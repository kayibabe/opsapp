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ebApps\opsapp\dataupdater\"/>
    </mc:Choice>
  </mc:AlternateContent>
  <xr:revisionPtr revIDLastSave="0" documentId="13_ncr:1_{A7A31AE6-0736-4957-8FAE-93F1C2B90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Entry" sheetId="1" r:id="rId1"/>
    <sheet name="Quarterly" sheetId="2" r:id="rId2"/>
    <sheet name="Annual" sheetId="3" r:id="rId3"/>
    <sheet name="Look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7" i="3" l="1"/>
  <c r="D886" i="3"/>
  <c r="D881" i="3"/>
  <c r="D880" i="3"/>
  <c r="D874" i="3"/>
  <c r="D873" i="3"/>
  <c r="D872" i="3"/>
  <c r="D871" i="3"/>
  <c r="D869" i="3"/>
  <c r="D867" i="3"/>
  <c r="D860" i="3"/>
  <c r="D859" i="3"/>
  <c r="D854" i="3"/>
  <c r="D853" i="3"/>
  <c r="D847" i="3"/>
  <c r="D846" i="3"/>
  <c r="D845" i="3"/>
  <c r="D844" i="3"/>
  <c r="D842" i="3"/>
  <c r="D840" i="3"/>
  <c r="D833" i="3"/>
  <c r="D832" i="3"/>
  <c r="D827" i="3"/>
  <c r="D826" i="3"/>
  <c r="D820" i="3"/>
  <c r="D819" i="3"/>
  <c r="D818" i="3"/>
  <c r="D817" i="3"/>
  <c r="D815" i="3"/>
  <c r="D813" i="3"/>
  <c r="D806" i="3"/>
  <c r="D805" i="3"/>
  <c r="D800" i="3"/>
  <c r="D799" i="3"/>
  <c r="D793" i="3"/>
  <c r="D792" i="3"/>
  <c r="D791" i="3"/>
  <c r="D790" i="3"/>
  <c r="D788" i="3"/>
  <c r="D786" i="3"/>
  <c r="D779" i="3"/>
  <c r="D778" i="3"/>
  <c r="D773" i="3"/>
  <c r="D772" i="3"/>
  <c r="D766" i="3"/>
  <c r="D765" i="3"/>
  <c r="D764" i="3"/>
  <c r="D763" i="3"/>
  <c r="D761" i="3"/>
  <c r="D759" i="3"/>
  <c r="D752" i="3"/>
  <c r="D751" i="3"/>
  <c r="D746" i="3"/>
  <c r="D745" i="3"/>
  <c r="D739" i="3"/>
  <c r="D738" i="3"/>
  <c r="D737" i="3"/>
  <c r="D736" i="3"/>
  <c r="D734" i="3"/>
  <c r="D732" i="3"/>
  <c r="D725" i="3"/>
  <c r="D724" i="3"/>
  <c r="D719" i="3"/>
  <c r="D718" i="3"/>
  <c r="D712" i="3"/>
  <c r="D711" i="3"/>
  <c r="D710" i="3"/>
  <c r="D709" i="3"/>
  <c r="D707" i="3"/>
  <c r="D705" i="3"/>
  <c r="D698" i="3"/>
  <c r="D697" i="3"/>
  <c r="D692" i="3"/>
  <c r="D691" i="3"/>
  <c r="D685" i="3"/>
  <c r="D684" i="3"/>
  <c r="D683" i="3"/>
  <c r="D682" i="3"/>
  <c r="D680" i="3"/>
  <c r="D678" i="3"/>
  <c r="D671" i="3"/>
  <c r="D670" i="3"/>
  <c r="D665" i="3"/>
  <c r="D664" i="3"/>
  <c r="D658" i="3"/>
  <c r="D657" i="3"/>
  <c r="D656" i="3"/>
  <c r="D655" i="3"/>
  <c r="D653" i="3"/>
  <c r="D651" i="3"/>
  <c r="D644" i="3"/>
  <c r="D643" i="3"/>
  <c r="D638" i="3"/>
  <c r="D637" i="3"/>
  <c r="D631" i="3"/>
  <c r="D630" i="3"/>
  <c r="D629" i="3"/>
  <c r="D628" i="3"/>
  <c r="D626" i="3"/>
  <c r="D624" i="3"/>
  <c r="D617" i="3"/>
  <c r="D616" i="3"/>
  <c r="D611" i="3"/>
  <c r="D610" i="3"/>
  <c r="D604" i="3"/>
  <c r="D603" i="3"/>
  <c r="D602" i="3"/>
  <c r="D601" i="3"/>
  <c r="D599" i="3"/>
  <c r="D597" i="3"/>
  <c r="D590" i="3"/>
  <c r="D589" i="3"/>
  <c r="D584" i="3"/>
  <c r="D583" i="3"/>
  <c r="D577" i="3"/>
  <c r="D576" i="3"/>
  <c r="D575" i="3"/>
  <c r="D574" i="3"/>
  <c r="D572" i="3"/>
  <c r="D570" i="3"/>
  <c r="D563" i="3"/>
  <c r="D562" i="3"/>
  <c r="D557" i="3"/>
  <c r="D556" i="3"/>
  <c r="D550" i="3"/>
  <c r="D549" i="3"/>
  <c r="D548" i="3"/>
  <c r="D547" i="3"/>
  <c r="D545" i="3"/>
  <c r="D543" i="3"/>
  <c r="D536" i="3"/>
  <c r="D535" i="3"/>
  <c r="D530" i="3"/>
  <c r="D529" i="3"/>
  <c r="D523" i="3"/>
  <c r="D522" i="3"/>
  <c r="D521" i="3"/>
  <c r="D520" i="3"/>
  <c r="D518" i="3"/>
  <c r="D516" i="3"/>
  <c r="D509" i="3"/>
  <c r="D508" i="3"/>
  <c r="D503" i="3"/>
  <c r="D502" i="3"/>
  <c r="D496" i="3"/>
  <c r="D495" i="3"/>
  <c r="D494" i="3"/>
  <c r="D493" i="3"/>
  <c r="D491" i="3"/>
  <c r="D489" i="3"/>
  <c r="D482" i="3"/>
  <c r="D481" i="3"/>
  <c r="D476" i="3"/>
  <c r="D475" i="3"/>
  <c r="D469" i="3"/>
  <c r="D468" i="3"/>
  <c r="D467" i="3"/>
  <c r="D466" i="3"/>
  <c r="D464" i="3"/>
  <c r="D462" i="3"/>
  <c r="D455" i="3"/>
  <c r="D454" i="3"/>
  <c r="D449" i="3"/>
  <c r="D448" i="3"/>
  <c r="D442" i="3"/>
  <c r="D441" i="3"/>
  <c r="D440" i="3"/>
  <c r="D439" i="3"/>
  <c r="D437" i="3"/>
  <c r="D435" i="3"/>
  <c r="D428" i="3"/>
  <c r="D427" i="3"/>
  <c r="D422" i="3"/>
  <c r="D421" i="3"/>
  <c r="D415" i="3"/>
  <c r="D414" i="3"/>
  <c r="D413" i="3"/>
  <c r="D412" i="3"/>
  <c r="D410" i="3"/>
  <c r="D408" i="3"/>
  <c r="D401" i="3"/>
  <c r="D400" i="3"/>
  <c r="D395" i="3"/>
  <c r="D394" i="3"/>
  <c r="D388" i="3"/>
  <c r="D387" i="3"/>
  <c r="D386" i="3"/>
  <c r="D385" i="3"/>
  <c r="D383" i="3"/>
  <c r="D381" i="3"/>
  <c r="D374" i="3"/>
  <c r="D373" i="3"/>
  <c r="D368" i="3"/>
  <c r="D367" i="3"/>
  <c r="D361" i="3"/>
  <c r="D360" i="3"/>
  <c r="D359" i="3"/>
  <c r="D358" i="3"/>
  <c r="D356" i="3"/>
  <c r="D354" i="3"/>
  <c r="D347" i="3"/>
  <c r="D346" i="3"/>
  <c r="D341" i="3"/>
  <c r="D340" i="3"/>
  <c r="D334" i="3"/>
  <c r="D333" i="3"/>
  <c r="D332" i="3"/>
  <c r="D331" i="3"/>
  <c r="D329" i="3"/>
  <c r="D327" i="3"/>
  <c r="D320" i="3"/>
  <c r="D319" i="3"/>
  <c r="D314" i="3"/>
  <c r="D313" i="3"/>
  <c r="D307" i="3"/>
  <c r="D306" i="3"/>
  <c r="D305" i="3"/>
  <c r="D304" i="3"/>
  <c r="D302" i="3"/>
  <c r="D300" i="3"/>
  <c r="D293" i="3"/>
  <c r="D292" i="3"/>
  <c r="D287" i="3"/>
  <c r="D286" i="3"/>
  <c r="D280" i="3"/>
  <c r="D279" i="3"/>
  <c r="D278" i="3"/>
  <c r="D277" i="3"/>
  <c r="D275" i="3"/>
  <c r="D273" i="3"/>
  <c r="D266" i="3"/>
  <c r="D265" i="3"/>
  <c r="D260" i="3"/>
  <c r="D259" i="3"/>
  <c r="D253" i="3"/>
  <c r="D252" i="3"/>
  <c r="D251" i="3"/>
  <c r="D250" i="3"/>
  <c r="D248" i="3"/>
  <c r="D246" i="3"/>
  <c r="D239" i="3"/>
  <c r="D238" i="3"/>
  <c r="D233" i="3"/>
  <c r="D232" i="3"/>
  <c r="D226" i="3"/>
  <c r="D225" i="3"/>
  <c r="D224" i="3"/>
  <c r="D223" i="3"/>
  <c r="D221" i="3"/>
  <c r="D219" i="3"/>
  <c r="D212" i="3"/>
  <c r="D211" i="3"/>
  <c r="D206" i="3"/>
  <c r="D205" i="3"/>
  <c r="D199" i="3"/>
  <c r="D198" i="3"/>
  <c r="D197" i="3"/>
  <c r="D196" i="3"/>
  <c r="D194" i="3"/>
  <c r="D192" i="3"/>
  <c r="D185" i="3"/>
  <c r="D184" i="3"/>
  <c r="D179" i="3"/>
  <c r="D178" i="3"/>
  <c r="D172" i="3"/>
  <c r="D171" i="3"/>
  <c r="D170" i="3"/>
  <c r="D169" i="3"/>
  <c r="D167" i="3"/>
  <c r="D165" i="3"/>
  <c r="D158" i="3"/>
  <c r="D157" i="3"/>
  <c r="D152" i="3"/>
  <c r="D151" i="3"/>
  <c r="D145" i="3"/>
  <c r="D144" i="3"/>
  <c r="D143" i="3"/>
  <c r="D142" i="3"/>
  <c r="D140" i="3"/>
  <c r="D138" i="3"/>
  <c r="D131" i="3"/>
  <c r="D130" i="3"/>
  <c r="D125" i="3"/>
  <c r="D124" i="3"/>
  <c r="D118" i="3"/>
  <c r="D117" i="3"/>
  <c r="D116" i="3"/>
  <c r="D115" i="3"/>
  <c r="D113" i="3"/>
  <c r="D111" i="3"/>
  <c r="D104" i="3"/>
  <c r="D103" i="3"/>
  <c r="D98" i="3"/>
  <c r="D97" i="3"/>
  <c r="D91" i="3"/>
  <c r="D90" i="3"/>
  <c r="D89" i="3"/>
  <c r="D88" i="3"/>
  <c r="D86" i="3"/>
  <c r="D84" i="3"/>
  <c r="D77" i="3"/>
  <c r="D76" i="3"/>
  <c r="D71" i="3"/>
  <c r="D70" i="3"/>
  <c r="D64" i="3"/>
  <c r="D63" i="3"/>
  <c r="D62" i="3"/>
  <c r="D61" i="3"/>
  <c r="D59" i="3"/>
  <c r="D57" i="3"/>
  <c r="D50" i="3"/>
  <c r="D49" i="3"/>
  <c r="D44" i="3"/>
  <c r="D43" i="3"/>
  <c r="D37" i="3"/>
  <c r="D36" i="3"/>
  <c r="D35" i="3"/>
  <c r="D34" i="3"/>
  <c r="D32" i="3"/>
  <c r="D30" i="3"/>
  <c r="D23" i="3"/>
  <c r="D22" i="3"/>
  <c r="D17" i="3"/>
  <c r="D16" i="3"/>
  <c r="D10" i="3"/>
  <c r="D9" i="3"/>
  <c r="D8" i="3"/>
  <c r="D7" i="3"/>
  <c r="D5" i="3"/>
  <c r="D3" i="3"/>
  <c r="H421" i="2"/>
  <c r="G421" i="2"/>
  <c r="F421" i="2"/>
  <c r="E421" i="2"/>
  <c r="D421" i="2"/>
  <c r="H419" i="2"/>
  <c r="G419" i="2"/>
  <c r="F419" i="2"/>
  <c r="E419" i="2"/>
  <c r="D419" i="2"/>
  <c r="G408" i="2"/>
  <c r="F408" i="2"/>
  <c r="E408" i="2"/>
  <c r="D408" i="2"/>
  <c r="H408" i="2" s="1"/>
  <c r="G406" i="2"/>
  <c r="F406" i="2"/>
  <c r="E406" i="2"/>
  <c r="D406" i="2"/>
  <c r="H406" i="2" s="1"/>
  <c r="H395" i="2"/>
  <c r="G395" i="2"/>
  <c r="F395" i="2"/>
  <c r="E395" i="2"/>
  <c r="D395" i="2"/>
  <c r="G393" i="2"/>
  <c r="F393" i="2"/>
  <c r="E393" i="2"/>
  <c r="D393" i="2"/>
  <c r="H393" i="2" s="1"/>
  <c r="G382" i="2"/>
  <c r="F382" i="2"/>
  <c r="H382" i="2" s="1"/>
  <c r="E382" i="2"/>
  <c r="D382" i="2"/>
  <c r="G380" i="2"/>
  <c r="F380" i="2"/>
  <c r="E380" i="2"/>
  <c r="H380" i="2" s="1"/>
  <c r="D380" i="2"/>
  <c r="G369" i="2"/>
  <c r="F369" i="2"/>
  <c r="E369" i="2"/>
  <c r="D369" i="2"/>
  <c r="H369" i="2" s="1"/>
  <c r="G367" i="2"/>
  <c r="F367" i="2"/>
  <c r="E367" i="2"/>
  <c r="D367" i="2"/>
  <c r="H367" i="2" s="1"/>
  <c r="G356" i="2"/>
  <c r="F356" i="2"/>
  <c r="E356" i="2"/>
  <c r="H356" i="2" s="1"/>
  <c r="D356" i="2"/>
  <c r="G354" i="2"/>
  <c r="F354" i="2"/>
  <c r="E354" i="2"/>
  <c r="D354" i="2"/>
  <c r="G343" i="2"/>
  <c r="F343" i="2"/>
  <c r="E343" i="2"/>
  <c r="D343" i="2"/>
  <c r="H343" i="2" s="1"/>
  <c r="G341" i="2"/>
  <c r="F341" i="2"/>
  <c r="H341" i="2" s="1"/>
  <c r="E341" i="2"/>
  <c r="D341" i="2"/>
  <c r="G330" i="2"/>
  <c r="F330" i="2"/>
  <c r="E330" i="2"/>
  <c r="D330" i="2"/>
  <c r="G328" i="2"/>
  <c r="F328" i="2"/>
  <c r="E328" i="2"/>
  <c r="D328" i="2"/>
  <c r="H328" i="2" s="1"/>
  <c r="G317" i="2"/>
  <c r="F317" i="2"/>
  <c r="H317" i="2" s="1"/>
  <c r="E317" i="2"/>
  <c r="D317" i="2"/>
  <c r="H315" i="2"/>
  <c r="G315" i="2"/>
  <c r="F315" i="2"/>
  <c r="E315" i="2"/>
  <c r="D315" i="2"/>
  <c r="G304" i="2"/>
  <c r="F304" i="2"/>
  <c r="E304" i="2"/>
  <c r="D304" i="2"/>
  <c r="H304" i="2" s="1"/>
  <c r="G302" i="2"/>
  <c r="F302" i="2"/>
  <c r="H302" i="2" s="1"/>
  <c r="E302" i="2"/>
  <c r="D302" i="2"/>
  <c r="G291" i="2"/>
  <c r="H291" i="2" s="1"/>
  <c r="F291" i="2"/>
  <c r="E291" i="2"/>
  <c r="D291" i="2"/>
  <c r="G289" i="2"/>
  <c r="F289" i="2"/>
  <c r="E289" i="2"/>
  <c r="D289" i="2"/>
  <c r="H289" i="2" s="1"/>
  <c r="H278" i="2"/>
  <c r="G278" i="2"/>
  <c r="F278" i="2"/>
  <c r="E278" i="2"/>
  <c r="D278" i="2"/>
  <c r="G276" i="2"/>
  <c r="F276" i="2"/>
  <c r="E276" i="2"/>
  <c r="D276" i="2"/>
  <c r="H276" i="2" s="1"/>
  <c r="G265" i="2"/>
  <c r="F265" i="2"/>
  <c r="E265" i="2"/>
  <c r="D265" i="2"/>
  <c r="H263" i="2"/>
  <c r="G263" i="2"/>
  <c r="F263" i="2"/>
  <c r="E263" i="2"/>
  <c r="D263" i="2"/>
  <c r="G252" i="2"/>
  <c r="F252" i="2"/>
  <c r="E252" i="2"/>
  <c r="D252" i="2"/>
  <c r="G250" i="2"/>
  <c r="F250" i="2"/>
  <c r="E250" i="2"/>
  <c r="D250" i="2"/>
  <c r="H250" i="2" s="1"/>
  <c r="H239" i="2"/>
  <c r="G239" i="2"/>
  <c r="F239" i="2"/>
  <c r="E239" i="2"/>
  <c r="D239" i="2"/>
  <c r="H237" i="2"/>
  <c r="G237" i="2"/>
  <c r="F237" i="2"/>
  <c r="E237" i="2"/>
  <c r="D237" i="2"/>
  <c r="G226" i="2"/>
  <c r="F226" i="2"/>
  <c r="E226" i="2"/>
  <c r="D226" i="2"/>
  <c r="H226" i="2" s="1"/>
  <c r="G224" i="2"/>
  <c r="H224" i="2" s="1"/>
  <c r="F224" i="2"/>
  <c r="E224" i="2"/>
  <c r="D224" i="2"/>
  <c r="H213" i="2"/>
  <c r="G213" i="2"/>
  <c r="F213" i="2"/>
  <c r="E213" i="2"/>
  <c r="D213" i="2"/>
  <c r="G211" i="2"/>
  <c r="F211" i="2"/>
  <c r="E211" i="2"/>
  <c r="D211" i="2"/>
  <c r="H211" i="2" s="1"/>
  <c r="G200" i="2"/>
  <c r="F200" i="2"/>
  <c r="H200" i="2" s="1"/>
  <c r="E200" i="2"/>
  <c r="D200" i="2"/>
  <c r="G198" i="2"/>
  <c r="F198" i="2"/>
  <c r="E198" i="2"/>
  <c r="H198" i="2" s="1"/>
  <c r="D198" i="2"/>
  <c r="G187" i="2"/>
  <c r="F187" i="2"/>
  <c r="E187" i="2"/>
  <c r="D187" i="2"/>
  <c r="H187" i="2" s="1"/>
  <c r="G185" i="2"/>
  <c r="F185" i="2"/>
  <c r="E185" i="2"/>
  <c r="D185" i="2"/>
  <c r="G174" i="2"/>
  <c r="F174" i="2"/>
  <c r="E174" i="2"/>
  <c r="D174" i="2"/>
  <c r="G172" i="2"/>
  <c r="F172" i="2"/>
  <c r="E172" i="2"/>
  <c r="H172" i="2" s="1"/>
  <c r="D172" i="2"/>
  <c r="G161" i="2"/>
  <c r="F161" i="2"/>
  <c r="H161" i="2" s="1"/>
  <c r="E161" i="2"/>
  <c r="D161" i="2"/>
  <c r="G159" i="2"/>
  <c r="F159" i="2"/>
  <c r="E159" i="2"/>
  <c r="D159" i="2"/>
  <c r="H159" i="2" s="1"/>
  <c r="G148" i="2"/>
  <c r="F148" i="2"/>
  <c r="H148" i="2" s="1"/>
  <c r="E148" i="2"/>
  <c r="D148" i="2"/>
  <c r="G146" i="2"/>
  <c r="F146" i="2"/>
  <c r="E146" i="2"/>
  <c r="D146" i="2"/>
  <c r="H146" i="2" s="1"/>
  <c r="G135" i="2"/>
  <c r="H135" i="2" s="1"/>
  <c r="F135" i="2"/>
  <c r="E135" i="2"/>
  <c r="D135" i="2"/>
  <c r="G133" i="2"/>
  <c r="F133" i="2"/>
  <c r="E133" i="2"/>
  <c r="D133" i="2"/>
  <c r="G122" i="2"/>
  <c r="F122" i="2"/>
  <c r="E122" i="2"/>
  <c r="D122" i="2"/>
  <c r="H122" i="2" s="1"/>
  <c r="G120" i="2"/>
  <c r="F120" i="2"/>
  <c r="E120" i="2"/>
  <c r="D120" i="2"/>
  <c r="G109" i="2"/>
  <c r="F109" i="2"/>
  <c r="E109" i="2"/>
  <c r="D109" i="2"/>
  <c r="G107" i="2"/>
  <c r="F107" i="2"/>
  <c r="E107" i="2"/>
  <c r="D107" i="2"/>
  <c r="H107" i="2" s="1"/>
  <c r="G96" i="2"/>
  <c r="F96" i="2"/>
  <c r="E96" i="2"/>
  <c r="D96" i="2"/>
  <c r="H94" i="2"/>
  <c r="G94" i="2"/>
  <c r="F94" i="2"/>
  <c r="E94" i="2"/>
  <c r="D94" i="2"/>
  <c r="G83" i="2"/>
  <c r="F83" i="2"/>
  <c r="E83" i="2"/>
  <c r="D83" i="2"/>
  <c r="H81" i="2"/>
  <c r="G81" i="2"/>
  <c r="F81" i="2"/>
  <c r="E81" i="2"/>
  <c r="D81" i="2"/>
  <c r="H70" i="2"/>
  <c r="G70" i="2"/>
  <c r="F70" i="2"/>
  <c r="E70" i="2"/>
  <c r="D70" i="2"/>
  <c r="H68" i="2"/>
  <c r="G68" i="2"/>
  <c r="F68" i="2"/>
  <c r="E68" i="2"/>
  <c r="D68" i="2"/>
  <c r="G57" i="2"/>
  <c r="H57" i="2" s="1"/>
  <c r="F57" i="2"/>
  <c r="E57" i="2"/>
  <c r="D57" i="2"/>
  <c r="H55" i="2"/>
  <c r="G55" i="2"/>
  <c r="F55" i="2"/>
  <c r="E55" i="2"/>
  <c r="D55" i="2"/>
  <c r="G44" i="2"/>
  <c r="F44" i="2"/>
  <c r="E44" i="2"/>
  <c r="H44" i="2" s="1"/>
  <c r="D44" i="2"/>
  <c r="G42" i="2"/>
  <c r="F42" i="2"/>
  <c r="E42" i="2"/>
  <c r="D42" i="2"/>
  <c r="H42" i="2" s="1"/>
  <c r="G31" i="2"/>
  <c r="F31" i="2"/>
  <c r="E31" i="2"/>
  <c r="D31" i="2"/>
  <c r="H29" i="2"/>
  <c r="G29" i="2"/>
  <c r="F29" i="2"/>
  <c r="E29" i="2"/>
  <c r="D29" i="2"/>
  <c r="G18" i="2"/>
  <c r="F18" i="2"/>
  <c r="E18" i="2"/>
  <c r="D18" i="2"/>
  <c r="H16" i="2"/>
  <c r="G16" i="2"/>
  <c r="F16" i="2"/>
  <c r="E16" i="2"/>
  <c r="D16" i="2"/>
  <c r="G5" i="2"/>
  <c r="H5" i="2" s="1"/>
  <c r="F5" i="2"/>
  <c r="E5" i="2"/>
  <c r="D5" i="2"/>
  <c r="H3" i="2"/>
  <c r="G3" i="2"/>
  <c r="F3" i="2"/>
  <c r="E3" i="2"/>
  <c r="D3" i="2"/>
  <c r="HN398" i="1"/>
  <c r="HK398" i="1"/>
  <c r="HJ398" i="1"/>
  <c r="HA398" i="1"/>
  <c r="GW398" i="1"/>
  <c r="GR398" i="1"/>
  <c r="GL398" i="1"/>
  <c r="GM398" i="1" s="1"/>
  <c r="GX398" i="1" s="1"/>
  <c r="GG398" i="1"/>
  <c r="GB398" i="1"/>
  <c r="HD398" i="1" s="1"/>
  <c r="GA398" i="1"/>
  <c r="FV398" i="1"/>
  <c r="FQ398" i="1"/>
  <c r="FG398" i="1"/>
  <c r="DU398" i="1"/>
  <c r="DT398" i="1"/>
  <c r="DS398" i="1"/>
  <c r="DR398" i="1"/>
  <c r="DQ398" i="1"/>
  <c r="DL398" i="1"/>
  <c r="DG398" i="1"/>
  <c r="DB398" i="1"/>
  <c r="DV398" i="1" s="1"/>
  <c r="CW398" i="1"/>
  <c r="CR398" i="1"/>
  <c r="CS398" i="1" s="1"/>
  <c r="CM398" i="1"/>
  <c r="CH398" i="1"/>
  <c r="BZ398" i="1"/>
  <c r="BY398" i="1"/>
  <c r="BW398" i="1"/>
  <c r="BX398" i="1" s="1"/>
  <c r="BR398" i="1"/>
  <c r="BQ398" i="1"/>
  <c r="BK398" i="1"/>
  <c r="BL398" i="1" s="1"/>
  <c r="BE398" i="1"/>
  <c r="BF398" i="1" s="1"/>
  <c r="AY398" i="1"/>
  <c r="AV398" i="1"/>
  <c r="AU398" i="1"/>
  <c r="AM398" i="1"/>
  <c r="AK398" i="1"/>
  <c r="AI398" i="1"/>
  <c r="AG398" i="1"/>
  <c r="AE398" i="1"/>
  <c r="AC398" i="1"/>
  <c r="AA398" i="1"/>
  <c r="Y398" i="1"/>
  <c r="W398" i="1"/>
  <c r="U398" i="1"/>
  <c r="R398" i="1"/>
  <c r="S398" i="1" s="1"/>
  <c r="AW398" i="1" s="1"/>
  <c r="M398" i="1"/>
  <c r="HN397" i="1"/>
  <c r="HK397" i="1"/>
  <c r="HJ397" i="1"/>
  <c r="HA397" i="1"/>
  <c r="GW397" i="1"/>
  <c r="GR397" i="1"/>
  <c r="GL397" i="1"/>
  <c r="GG397" i="1"/>
  <c r="GM397" i="1" s="1"/>
  <c r="GA397" i="1"/>
  <c r="GB397" i="1" s="1"/>
  <c r="G424" i="2" s="1"/>
  <c r="FV397" i="1"/>
  <c r="FQ397" i="1"/>
  <c r="FG397" i="1"/>
  <c r="DU397" i="1"/>
  <c r="DT397" i="1"/>
  <c r="DS397" i="1"/>
  <c r="DR397" i="1"/>
  <c r="DQ397" i="1"/>
  <c r="DL397" i="1"/>
  <c r="DG397" i="1"/>
  <c r="DB397" i="1"/>
  <c r="CW397" i="1"/>
  <c r="CS397" i="1"/>
  <c r="G427" i="2" s="1"/>
  <c r="CR397" i="1"/>
  <c r="CM397" i="1"/>
  <c r="CH397" i="1"/>
  <c r="CB397" i="1"/>
  <c r="BZ397" i="1"/>
  <c r="BY397" i="1"/>
  <c r="BW397" i="1"/>
  <c r="BX397" i="1" s="1"/>
  <c r="BR397" i="1"/>
  <c r="BQ397" i="1"/>
  <c r="BL397" i="1"/>
  <c r="BK397" i="1"/>
  <c r="CA397" i="1" s="1"/>
  <c r="BE397" i="1"/>
  <c r="BF397" i="1" s="1"/>
  <c r="AY397" i="1"/>
  <c r="AW397" i="1"/>
  <c r="AV397" i="1"/>
  <c r="AU397" i="1"/>
  <c r="G423" i="2" s="1"/>
  <c r="AM397" i="1"/>
  <c r="AK397" i="1"/>
  <c r="AI397" i="1"/>
  <c r="AG397" i="1"/>
  <c r="AE397" i="1"/>
  <c r="AC397" i="1"/>
  <c r="AA397" i="1"/>
  <c r="Y397" i="1"/>
  <c r="W397" i="1"/>
  <c r="U397" i="1"/>
  <c r="R397" i="1"/>
  <c r="M397" i="1"/>
  <c r="S397" i="1" s="1"/>
  <c r="HA396" i="1"/>
  <c r="HN395" i="1"/>
  <c r="HK395" i="1"/>
  <c r="HJ395" i="1"/>
  <c r="HA395" i="1"/>
  <c r="GW395" i="1"/>
  <c r="GR395" i="1"/>
  <c r="GM395" i="1"/>
  <c r="GX395" i="1" s="1"/>
  <c r="GL395" i="1"/>
  <c r="GG395" i="1"/>
  <c r="GA395" i="1"/>
  <c r="FV395" i="1"/>
  <c r="GB395" i="1" s="1"/>
  <c r="FQ395" i="1"/>
  <c r="FG395" i="1"/>
  <c r="DU395" i="1"/>
  <c r="DT395" i="1"/>
  <c r="DS395" i="1"/>
  <c r="DR395" i="1"/>
  <c r="DQ395" i="1"/>
  <c r="DL395" i="1"/>
  <c r="DG395" i="1"/>
  <c r="DB395" i="1"/>
  <c r="CW395" i="1"/>
  <c r="CR395" i="1"/>
  <c r="CM395" i="1"/>
  <c r="CS395" i="1" s="1"/>
  <c r="CH395" i="1"/>
  <c r="BZ395" i="1"/>
  <c r="BY395" i="1"/>
  <c r="BW395" i="1"/>
  <c r="BX395" i="1" s="1"/>
  <c r="BQ395" i="1"/>
  <c r="BR395" i="1" s="1"/>
  <c r="BK395" i="1"/>
  <c r="BL395" i="1" s="1"/>
  <c r="BF395" i="1"/>
  <c r="BE395" i="1"/>
  <c r="AY395" i="1"/>
  <c r="AV395" i="1"/>
  <c r="AU395" i="1"/>
  <c r="AM395" i="1"/>
  <c r="AK395" i="1"/>
  <c r="AI395" i="1"/>
  <c r="AG395" i="1"/>
  <c r="AE395" i="1"/>
  <c r="AC395" i="1"/>
  <c r="AA395" i="1"/>
  <c r="Y395" i="1"/>
  <c r="W395" i="1"/>
  <c r="U395" i="1"/>
  <c r="S395" i="1"/>
  <c r="R395" i="1"/>
  <c r="M395" i="1"/>
  <c r="HN394" i="1"/>
  <c r="HK394" i="1"/>
  <c r="HJ394" i="1"/>
  <c r="HA394" i="1"/>
  <c r="GW394" i="1"/>
  <c r="GR394" i="1"/>
  <c r="GM394" i="1"/>
  <c r="GX394" i="1" s="1"/>
  <c r="HD394" i="1" s="1"/>
  <c r="GL394" i="1"/>
  <c r="GG394" i="1"/>
  <c r="GB394" i="1"/>
  <c r="GA394" i="1"/>
  <c r="FV394" i="1"/>
  <c r="FQ394" i="1"/>
  <c r="FG394" i="1"/>
  <c r="DU394" i="1"/>
  <c r="DT394" i="1"/>
  <c r="DS394" i="1"/>
  <c r="DR394" i="1"/>
  <c r="DQ394" i="1"/>
  <c r="DL394" i="1"/>
  <c r="DG394" i="1"/>
  <c r="DB394" i="1"/>
  <c r="DV394" i="1" s="1"/>
  <c r="CW394" i="1"/>
  <c r="CS394" i="1"/>
  <c r="CR394" i="1"/>
  <c r="CM394" i="1"/>
  <c r="CH394" i="1"/>
  <c r="CA394" i="1"/>
  <c r="BZ394" i="1"/>
  <c r="BY394" i="1"/>
  <c r="BW394" i="1"/>
  <c r="BX394" i="1" s="1"/>
  <c r="BR394" i="1"/>
  <c r="BQ394" i="1"/>
  <c r="BK394" i="1"/>
  <c r="BL394" i="1" s="1"/>
  <c r="BF394" i="1"/>
  <c r="CB394" i="1" s="1"/>
  <c r="BE394" i="1"/>
  <c r="AY394" i="1"/>
  <c r="AV394" i="1"/>
  <c r="AU394" i="1"/>
  <c r="AM394" i="1"/>
  <c r="AK394" i="1"/>
  <c r="AI394" i="1"/>
  <c r="AG394" i="1"/>
  <c r="AE394" i="1"/>
  <c r="AC394" i="1"/>
  <c r="AA394" i="1"/>
  <c r="Y394" i="1"/>
  <c r="W394" i="1"/>
  <c r="U394" i="1"/>
  <c r="S394" i="1"/>
  <c r="AW394" i="1" s="1"/>
  <c r="R394" i="1"/>
  <c r="M394" i="1"/>
  <c r="HN393" i="1"/>
  <c r="HK393" i="1"/>
  <c r="HJ393" i="1"/>
  <c r="HA393" i="1"/>
  <c r="GW393" i="1"/>
  <c r="GR393" i="1"/>
  <c r="GX393" i="1" s="1"/>
  <c r="GL393" i="1"/>
  <c r="GG393" i="1"/>
  <c r="GM393" i="1" s="1"/>
  <c r="GA393" i="1"/>
  <c r="FV393" i="1"/>
  <c r="GB393" i="1" s="1"/>
  <c r="F424" i="2" s="1"/>
  <c r="FQ393" i="1"/>
  <c r="FG393" i="1"/>
  <c r="DU393" i="1"/>
  <c r="DT393" i="1"/>
  <c r="DS393" i="1"/>
  <c r="DR393" i="1"/>
  <c r="DQ393" i="1"/>
  <c r="DL393" i="1"/>
  <c r="DG393" i="1"/>
  <c r="DB393" i="1"/>
  <c r="CW393" i="1"/>
  <c r="CS393" i="1"/>
  <c r="F427" i="2" s="1"/>
  <c r="CR393" i="1"/>
  <c r="CM393" i="1"/>
  <c r="CH393" i="1"/>
  <c r="CB393" i="1"/>
  <c r="BZ393" i="1"/>
  <c r="BY393" i="1"/>
  <c r="BX393" i="1"/>
  <c r="BW393" i="1"/>
  <c r="BQ393" i="1"/>
  <c r="BR393" i="1" s="1"/>
  <c r="BL393" i="1"/>
  <c r="BK393" i="1"/>
  <c r="CA393" i="1" s="1"/>
  <c r="BF393" i="1"/>
  <c r="BE393" i="1"/>
  <c r="AY393" i="1"/>
  <c r="AU393" i="1"/>
  <c r="F423" i="2" s="1"/>
  <c r="AM393" i="1"/>
  <c r="AK393" i="1"/>
  <c r="AI393" i="1"/>
  <c r="AG393" i="1"/>
  <c r="AE393" i="1"/>
  <c r="AC393" i="1"/>
  <c r="AA393" i="1"/>
  <c r="Y393" i="1"/>
  <c r="W393" i="1"/>
  <c r="U393" i="1"/>
  <c r="F422" i="2" s="1"/>
  <c r="R393" i="1"/>
  <c r="M393" i="1"/>
  <c r="S393" i="1" s="1"/>
  <c r="AW393" i="1" s="1"/>
  <c r="HN392" i="1"/>
  <c r="HK392" i="1"/>
  <c r="HJ392" i="1"/>
  <c r="HA392" i="1"/>
  <c r="GW392" i="1"/>
  <c r="GR392" i="1"/>
  <c r="GL392" i="1"/>
  <c r="GG392" i="1"/>
  <c r="GM392" i="1" s="1"/>
  <c r="GX392" i="1" s="1"/>
  <c r="GA392" i="1"/>
  <c r="FV392" i="1"/>
  <c r="GB392" i="1" s="1"/>
  <c r="FQ392" i="1"/>
  <c r="FG392" i="1"/>
  <c r="DU392" i="1"/>
  <c r="DT392" i="1"/>
  <c r="DS392" i="1"/>
  <c r="DR392" i="1"/>
  <c r="DQ392" i="1"/>
  <c r="DL392" i="1"/>
  <c r="DG392" i="1"/>
  <c r="DB392" i="1"/>
  <c r="DV392" i="1" s="1"/>
  <c r="CW392" i="1"/>
  <c r="CS392" i="1"/>
  <c r="CR392" i="1"/>
  <c r="CM392" i="1"/>
  <c r="CH392" i="1"/>
  <c r="BZ392" i="1"/>
  <c r="BY392" i="1"/>
  <c r="BX392" i="1"/>
  <c r="BW392" i="1"/>
  <c r="BQ392" i="1"/>
  <c r="BR392" i="1" s="1"/>
  <c r="BK392" i="1"/>
  <c r="BL392" i="1" s="1"/>
  <c r="BE392" i="1"/>
  <c r="CA392" i="1" s="1"/>
  <c r="AY392" i="1"/>
  <c r="AU392" i="1"/>
  <c r="AV392" i="1" s="1"/>
  <c r="AM392" i="1"/>
  <c r="AK392" i="1"/>
  <c r="AI392" i="1"/>
  <c r="AG392" i="1"/>
  <c r="AE392" i="1"/>
  <c r="AC392" i="1"/>
  <c r="AA392" i="1"/>
  <c r="Y392" i="1"/>
  <c r="W392" i="1"/>
  <c r="U392" i="1"/>
  <c r="R392" i="1"/>
  <c r="M392" i="1"/>
  <c r="S392" i="1" s="1"/>
  <c r="AW392" i="1" s="1"/>
  <c r="HN391" i="1"/>
  <c r="HK391" i="1"/>
  <c r="HJ391" i="1"/>
  <c r="HC391" i="1"/>
  <c r="HA391" i="1"/>
  <c r="GW391" i="1"/>
  <c r="GR391" i="1"/>
  <c r="GL391" i="1"/>
  <c r="GG391" i="1"/>
  <c r="GM391" i="1" s="1"/>
  <c r="GX391" i="1" s="1"/>
  <c r="GA391" i="1"/>
  <c r="FV391" i="1"/>
  <c r="GB391" i="1" s="1"/>
  <c r="FQ391" i="1"/>
  <c r="FG391" i="1"/>
  <c r="DU391" i="1"/>
  <c r="DT391" i="1"/>
  <c r="DS391" i="1"/>
  <c r="DR391" i="1"/>
  <c r="DQ391" i="1"/>
  <c r="DL391" i="1"/>
  <c r="DG391" i="1"/>
  <c r="DB391" i="1"/>
  <c r="DV391" i="1" s="1"/>
  <c r="CW391" i="1"/>
  <c r="CS391" i="1"/>
  <c r="CR391" i="1"/>
  <c r="CM391" i="1"/>
  <c r="CH391" i="1"/>
  <c r="BZ391" i="1"/>
  <c r="BY391" i="1"/>
  <c r="BW391" i="1"/>
  <c r="BX391" i="1" s="1"/>
  <c r="BR391" i="1"/>
  <c r="BQ391" i="1"/>
  <c r="BK391" i="1"/>
  <c r="BL391" i="1" s="1"/>
  <c r="BE391" i="1"/>
  <c r="CA391" i="1" s="1"/>
  <c r="AY391" i="1"/>
  <c r="AU391" i="1"/>
  <c r="AV391" i="1" s="1"/>
  <c r="AM391" i="1"/>
  <c r="AK391" i="1"/>
  <c r="AI391" i="1"/>
  <c r="AG391" i="1"/>
  <c r="AE391" i="1"/>
  <c r="AC391" i="1"/>
  <c r="AA391" i="1"/>
  <c r="Y391" i="1"/>
  <c r="W391" i="1"/>
  <c r="U391" i="1"/>
  <c r="R391" i="1"/>
  <c r="S391" i="1" s="1"/>
  <c r="M391" i="1"/>
  <c r="HN390" i="1"/>
  <c r="HK390" i="1"/>
  <c r="HJ390" i="1"/>
  <c r="HA390" i="1"/>
  <c r="GW390" i="1"/>
  <c r="GX390" i="1" s="1"/>
  <c r="GR390" i="1"/>
  <c r="GM390" i="1"/>
  <c r="GL390" i="1"/>
  <c r="GG390" i="1"/>
  <c r="GA390" i="1"/>
  <c r="FV390" i="1"/>
  <c r="GB390" i="1" s="1"/>
  <c r="E424" i="2" s="1"/>
  <c r="FQ390" i="1"/>
  <c r="FG390" i="1"/>
  <c r="DU390" i="1"/>
  <c r="DT390" i="1"/>
  <c r="DS390" i="1"/>
  <c r="DR390" i="1"/>
  <c r="DQ390" i="1"/>
  <c r="DL390" i="1"/>
  <c r="DG390" i="1"/>
  <c r="DB390" i="1"/>
  <c r="DV390" i="1" s="1"/>
  <c r="E429" i="2" s="1"/>
  <c r="CW390" i="1"/>
  <c r="CR390" i="1"/>
  <c r="CM390" i="1"/>
  <c r="CH390" i="1"/>
  <c r="CA390" i="1"/>
  <c r="BZ390" i="1"/>
  <c r="BY390" i="1"/>
  <c r="BW390" i="1"/>
  <c r="BX390" i="1" s="1"/>
  <c r="BR390" i="1"/>
  <c r="BQ390" i="1"/>
  <c r="BL390" i="1"/>
  <c r="BK390" i="1"/>
  <c r="BF390" i="1"/>
  <c r="CB390" i="1" s="1"/>
  <c r="BE390" i="1"/>
  <c r="AY390" i="1"/>
  <c r="AV390" i="1"/>
  <c r="AU390" i="1"/>
  <c r="AM390" i="1"/>
  <c r="AK390" i="1"/>
  <c r="AI390" i="1"/>
  <c r="AG390" i="1"/>
  <c r="AE390" i="1"/>
  <c r="AC390" i="1"/>
  <c r="AA390" i="1"/>
  <c r="Y390" i="1"/>
  <c r="W390" i="1"/>
  <c r="U390" i="1"/>
  <c r="S390" i="1"/>
  <c r="AW390" i="1" s="1"/>
  <c r="R390" i="1"/>
  <c r="M390" i="1"/>
  <c r="HN389" i="1"/>
  <c r="HK389" i="1"/>
  <c r="HJ389" i="1"/>
  <c r="HA389" i="1"/>
  <c r="GW389" i="1"/>
  <c r="GR389" i="1"/>
  <c r="GM389" i="1"/>
  <c r="GX389" i="1" s="1"/>
  <c r="GL389" i="1"/>
  <c r="GG389" i="1"/>
  <c r="GB389" i="1"/>
  <c r="GA389" i="1"/>
  <c r="FV389" i="1"/>
  <c r="FQ389" i="1"/>
  <c r="FG389" i="1"/>
  <c r="DU389" i="1"/>
  <c r="DT389" i="1"/>
  <c r="DS389" i="1"/>
  <c r="DR389" i="1"/>
  <c r="DQ389" i="1"/>
  <c r="DL389" i="1"/>
  <c r="DG389" i="1"/>
  <c r="DB389" i="1"/>
  <c r="DV389" i="1" s="1"/>
  <c r="CW389" i="1"/>
  <c r="CS389" i="1"/>
  <c r="CR389" i="1"/>
  <c r="CM389" i="1"/>
  <c r="CH389" i="1"/>
  <c r="BZ389" i="1"/>
  <c r="BY389" i="1"/>
  <c r="BX389" i="1"/>
  <c r="BW389" i="1"/>
  <c r="BQ389" i="1"/>
  <c r="BR389" i="1" s="1"/>
  <c r="BK389" i="1"/>
  <c r="BL389" i="1" s="1"/>
  <c r="BE389" i="1"/>
  <c r="AY389" i="1"/>
  <c r="AU389" i="1"/>
  <c r="AV389" i="1" s="1"/>
  <c r="AM389" i="1"/>
  <c r="AK389" i="1"/>
  <c r="AI389" i="1"/>
  <c r="AG389" i="1"/>
  <c r="AE389" i="1"/>
  <c r="AC389" i="1"/>
  <c r="AA389" i="1"/>
  <c r="Y389" i="1"/>
  <c r="W389" i="1"/>
  <c r="U389" i="1"/>
  <c r="R389" i="1"/>
  <c r="M389" i="1"/>
  <c r="S389" i="1" s="1"/>
  <c r="AW389" i="1" s="1"/>
  <c r="HN388" i="1"/>
  <c r="HK388" i="1"/>
  <c r="HJ388" i="1"/>
  <c r="HA388" i="1"/>
  <c r="GX388" i="1"/>
  <c r="GW388" i="1"/>
  <c r="GR388" i="1"/>
  <c r="GL388" i="1"/>
  <c r="GG388" i="1"/>
  <c r="GM388" i="1" s="1"/>
  <c r="GA388" i="1"/>
  <c r="FV388" i="1"/>
  <c r="GB388" i="1" s="1"/>
  <c r="FQ388" i="1"/>
  <c r="FG388" i="1"/>
  <c r="DU388" i="1"/>
  <c r="DT388" i="1"/>
  <c r="DS388" i="1"/>
  <c r="DR388" i="1"/>
  <c r="DQ388" i="1"/>
  <c r="DL388" i="1"/>
  <c r="DG388" i="1"/>
  <c r="DB388" i="1"/>
  <c r="DV388" i="1" s="1"/>
  <c r="CW388" i="1"/>
  <c r="CR388" i="1"/>
  <c r="CS388" i="1" s="1"/>
  <c r="CM388" i="1"/>
  <c r="CH388" i="1"/>
  <c r="BZ388" i="1"/>
  <c r="BY388" i="1"/>
  <c r="BX388" i="1"/>
  <c r="BW388" i="1"/>
  <c r="BR388" i="1"/>
  <c r="BQ388" i="1"/>
  <c r="BL388" i="1"/>
  <c r="BK388" i="1"/>
  <c r="BE388" i="1"/>
  <c r="AY388" i="1"/>
  <c r="AU388" i="1"/>
  <c r="AV388" i="1" s="1"/>
  <c r="AM388" i="1"/>
  <c r="AK388" i="1"/>
  <c r="AI388" i="1"/>
  <c r="AG388" i="1"/>
  <c r="AE388" i="1"/>
  <c r="AC388" i="1"/>
  <c r="AA388" i="1"/>
  <c r="Y388" i="1"/>
  <c r="W388" i="1"/>
  <c r="U388" i="1"/>
  <c r="R388" i="1"/>
  <c r="M388" i="1"/>
  <c r="S388" i="1" s="1"/>
  <c r="AW388" i="1" s="1"/>
  <c r="HN387" i="1"/>
  <c r="D893" i="3" s="1"/>
  <c r="HK387" i="1"/>
  <c r="HJ387" i="1"/>
  <c r="HA387" i="1"/>
  <c r="GW387" i="1"/>
  <c r="GR387" i="1"/>
  <c r="GL387" i="1"/>
  <c r="GM387" i="1" s="1"/>
  <c r="GG387" i="1"/>
  <c r="GA387" i="1"/>
  <c r="FV387" i="1"/>
  <c r="FQ387" i="1"/>
  <c r="FG387" i="1"/>
  <c r="DU387" i="1"/>
  <c r="DT387" i="1"/>
  <c r="DS387" i="1"/>
  <c r="DR387" i="1"/>
  <c r="DQ387" i="1"/>
  <c r="DL387" i="1"/>
  <c r="DG387" i="1"/>
  <c r="DB387" i="1"/>
  <c r="DV387" i="1" s="1"/>
  <c r="CW387" i="1"/>
  <c r="D888" i="3" s="1"/>
  <c r="CR387" i="1"/>
  <c r="CM387" i="1"/>
  <c r="CS387" i="1" s="1"/>
  <c r="CH387" i="1"/>
  <c r="BZ387" i="1"/>
  <c r="BY387" i="1"/>
  <c r="BW387" i="1"/>
  <c r="BX387" i="1" s="1"/>
  <c r="BR387" i="1"/>
  <c r="BQ387" i="1"/>
  <c r="BL387" i="1"/>
  <c r="BK387" i="1"/>
  <c r="BE387" i="1"/>
  <c r="CA387" i="1" s="1"/>
  <c r="AY387" i="1"/>
  <c r="AV387" i="1"/>
  <c r="AU387" i="1"/>
  <c r="AM387" i="1"/>
  <c r="AK387" i="1"/>
  <c r="AI387" i="1"/>
  <c r="AG387" i="1"/>
  <c r="AE387" i="1"/>
  <c r="AC387" i="1"/>
  <c r="AA387" i="1"/>
  <c r="Y387" i="1"/>
  <c r="W387" i="1"/>
  <c r="U387" i="1"/>
  <c r="R387" i="1"/>
  <c r="S387" i="1" s="1"/>
  <c r="M387" i="1"/>
  <c r="HN386" i="1"/>
  <c r="HK386" i="1"/>
  <c r="HJ386" i="1"/>
  <c r="HA386" i="1"/>
  <c r="GW386" i="1"/>
  <c r="GR386" i="1"/>
  <c r="GM386" i="1"/>
  <c r="GL386" i="1"/>
  <c r="GG386" i="1"/>
  <c r="GB386" i="1"/>
  <c r="GA386" i="1"/>
  <c r="FV386" i="1"/>
  <c r="FQ386" i="1"/>
  <c r="FG386" i="1"/>
  <c r="DU386" i="1"/>
  <c r="DT386" i="1"/>
  <c r="DS386" i="1"/>
  <c r="DR386" i="1"/>
  <c r="DQ386" i="1"/>
  <c r="DL386" i="1"/>
  <c r="DG386" i="1"/>
  <c r="DB386" i="1"/>
  <c r="CW386" i="1"/>
  <c r="CR386" i="1"/>
  <c r="CS386" i="1" s="1"/>
  <c r="CM386" i="1"/>
  <c r="CH386" i="1"/>
  <c r="BZ386" i="1"/>
  <c r="BY386" i="1"/>
  <c r="BX386" i="1"/>
  <c r="BW386" i="1"/>
  <c r="BR386" i="1"/>
  <c r="BQ386" i="1"/>
  <c r="BK386" i="1"/>
  <c r="BL386" i="1" s="1"/>
  <c r="BE386" i="1"/>
  <c r="AY386" i="1"/>
  <c r="AV386" i="1"/>
  <c r="AU386" i="1"/>
  <c r="AM386" i="1"/>
  <c r="AK386" i="1"/>
  <c r="AI386" i="1"/>
  <c r="AG386" i="1"/>
  <c r="AE386" i="1"/>
  <c r="AC386" i="1"/>
  <c r="AA386" i="1"/>
  <c r="Y386" i="1"/>
  <c r="W386" i="1"/>
  <c r="U386" i="1"/>
  <c r="R386" i="1"/>
  <c r="M386" i="1"/>
  <c r="S386" i="1" s="1"/>
  <c r="AW386" i="1" s="1"/>
  <c r="HN385" i="1"/>
  <c r="HK385" i="1"/>
  <c r="HJ385" i="1"/>
  <c r="HA385" i="1"/>
  <c r="GX385" i="1"/>
  <c r="GW385" i="1"/>
  <c r="GR385" i="1"/>
  <c r="GL385" i="1"/>
  <c r="GG385" i="1"/>
  <c r="GM385" i="1" s="1"/>
  <c r="G412" i="2" s="1"/>
  <c r="GA385" i="1"/>
  <c r="FV385" i="1"/>
  <c r="GB385" i="1" s="1"/>
  <c r="G411" i="2" s="1"/>
  <c r="FQ385" i="1"/>
  <c r="FG385" i="1"/>
  <c r="DU385" i="1"/>
  <c r="DT385" i="1"/>
  <c r="DS385" i="1"/>
  <c r="DR385" i="1"/>
  <c r="DQ385" i="1"/>
  <c r="DL385" i="1"/>
  <c r="DG385" i="1"/>
  <c r="DB385" i="1"/>
  <c r="CW385" i="1"/>
  <c r="CR385" i="1"/>
  <c r="CS385" i="1" s="1"/>
  <c r="G414" i="2" s="1"/>
  <c r="CM385" i="1"/>
  <c r="CH385" i="1"/>
  <c r="BZ385" i="1"/>
  <c r="BY385" i="1"/>
  <c r="BW385" i="1"/>
  <c r="BX385" i="1" s="1"/>
  <c r="BQ385" i="1"/>
  <c r="BR385" i="1" s="1"/>
  <c r="BK385" i="1"/>
  <c r="BL385" i="1" s="1"/>
  <c r="BE385" i="1"/>
  <c r="BF385" i="1" s="1"/>
  <c r="AY385" i="1"/>
  <c r="AV385" i="1"/>
  <c r="AU385" i="1"/>
  <c r="G410" i="2" s="1"/>
  <c r="AM385" i="1"/>
  <c r="AK385" i="1"/>
  <c r="AI385" i="1"/>
  <c r="AG385" i="1"/>
  <c r="AE385" i="1"/>
  <c r="AC385" i="1"/>
  <c r="AA385" i="1"/>
  <c r="Y385" i="1"/>
  <c r="W385" i="1"/>
  <c r="U385" i="1"/>
  <c r="G409" i="2" s="1"/>
  <c r="R385" i="1"/>
  <c r="M385" i="1"/>
  <c r="S385" i="1" s="1"/>
  <c r="AW385" i="1" s="1"/>
  <c r="HA384" i="1"/>
  <c r="HN383" i="1"/>
  <c r="HK383" i="1"/>
  <c r="HJ383" i="1"/>
  <c r="HA383" i="1"/>
  <c r="GW383" i="1"/>
  <c r="GR383" i="1"/>
  <c r="GL383" i="1"/>
  <c r="GM383" i="1" s="1"/>
  <c r="GX383" i="1" s="1"/>
  <c r="GG383" i="1"/>
  <c r="GA383" i="1"/>
  <c r="FV383" i="1"/>
  <c r="GB383" i="1" s="1"/>
  <c r="FQ383" i="1"/>
  <c r="FG383" i="1"/>
  <c r="DU383" i="1"/>
  <c r="DT383" i="1"/>
  <c r="DS383" i="1"/>
  <c r="DR383" i="1"/>
  <c r="DQ383" i="1"/>
  <c r="DL383" i="1"/>
  <c r="DG383" i="1"/>
  <c r="DB383" i="1"/>
  <c r="CW383" i="1"/>
  <c r="CR383" i="1"/>
  <c r="CM383" i="1"/>
  <c r="CS383" i="1" s="1"/>
  <c r="CH383" i="1"/>
  <c r="CA383" i="1"/>
  <c r="BZ383" i="1"/>
  <c r="BY383" i="1"/>
  <c r="BW383" i="1"/>
  <c r="BX383" i="1" s="1"/>
  <c r="BR383" i="1"/>
  <c r="BQ383" i="1"/>
  <c r="BK383" i="1"/>
  <c r="BL383" i="1" s="1"/>
  <c r="BF383" i="1"/>
  <c r="BE383" i="1"/>
  <c r="AY383" i="1"/>
  <c r="AU383" i="1"/>
  <c r="AV383" i="1" s="1"/>
  <c r="AM383" i="1"/>
  <c r="AK383" i="1"/>
  <c r="AI383" i="1"/>
  <c r="AG383" i="1"/>
  <c r="AE383" i="1"/>
  <c r="AC383" i="1"/>
  <c r="AA383" i="1"/>
  <c r="Y383" i="1"/>
  <c r="W383" i="1"/>
  <c r="U383" i="1"/>
  <c r="R383" i="1"/>
  <c r="S383" i="1" s="1"/>
  <c r="AW383" i="1" s="1"/>
  <c r="M383" i="1"/>
  <c r="HN382" i="1"/>
  <c r="HK382" i="1"/>
  <c r="HJ382" i="1"/>
  <c r="HA382" i="1"/>
  <c r="GW382" i="1"/>
  <c r="GR382" i="1"/>
  <c r="GL382" i="1"/>
  <c r="GM382" i="1" s="1"/>
  <c r="GX382" i="1" s="1"/>
  <c r="GG382" i="1"/>
  <c r="GA382" i="1"/>
  <c r="GB382" i="1" s="1"/>
  <c r="FV382" i="1"/>
  <c r="FQ382" i="1"/>
  <c r="FG382" i="1"/>
  <c r="DU382" i="1"/>
  <c r="DT382" i="1"/>
  <c r="DS382" i="1"/>
  <c r="DR382" i="1"/>
  <c r="DQ382" i="1"/>
  <c r="DL382" i="1"/>
  <c r="DG382" i="1"/>
  <c r="DB382" i="1"/>
  <c r="DV382" i="1" s="1"/>
  <c r="CW382" i="1"/>
  <c r="CR382" i="1"/>
  <c r="CM382" i="1"/>
  <c r="CS382" i="1" s="1"/>
  <c r="CH382" i="1"/>
  <c r="BZ382" i="1"/>
  <c r="BY382" i="1"/>
  <c r="BX382" i="1"/>
  <c r="BW382" i="1"/>
  <c r="BR382" i="1"/>
  <c r="BQ382" i="1"/>
  <c r="BK382" i="1"/>
  <c r="BF382" i="1"/>
  <c r="BE382" i="1"/>
  <c r="AY382" i="1"/>
  <c r="AV382" i="1"/>
  <c r="AU382" i="1"/>
  <c r="AM382" i="1"/>
  <c r="AK382" i="1"/>
  <c r="AI382" i="1"/>
  <c r="AG382" i="1"/>
  <c r="AE382" i="1"/>
  <c r="AC382" i="1"/>
  <c r="AA382" i="1"/>
  <c r="Y382" i="1"/>
  <c r="W382" i="1"/>
  <c r="U382" i="1"/>
  <c r="S382" i="1"/>
  <c r="AW382" i="1" s="1"/>
  <c r="R382" i="1"/>
  <c r="M382" i="1"/>
  <c r="HN381" i="1"/>
  <c r="HK381" i="1"/>
  <c r="HJ381" i="1"/>
  <c r="HA381" i="1"/>
  <c r="GW381" i="1"/>
  <c r="GR381" i="1"/>
  <c r="GX381" i="1" s="1"/>
  <c r="HB381" i="1" s="1"/>
  <c r="GL381" i="1"/>
  <c r="GG381" i="1"/>
  <c r="GM381" i="1" s="1"/>
  <c r="GA381" i="1"/>
  <c r="FV381" i="1"/>
  <c r="FQ381" i="1"/>
  <c r="FG381" i="1"/>
  <c r="DU381" i="1"/>
  <c r="DT381" i="1"/>
  <c r="DS381" i="1"/>
  <c r="DR381" i="1"/>
  <c r="DQ381" i="1"/>
  <c r="DL381" i="1"/>
  <c r="DG381" i="1"/>
  <c r="DB381" i="1"/>
  <c r="CW381" i="1"/>
  <c r="CR381" i="1"/>
  <c r="CM381" i="1"/>
  <c r="CS381" i="1" s="1"/>
  <c r="CH381" i="1"/>
  <c r="BZ381" i="1"/>
  <c r="BY381" i="1"/>
  <c r="BW381" i="1"/>
  <c r="BX381" i="1" s="1"/>
  <c r="BQ381" i="1"/>
  <c r="BR381" i="1" s="1"/>
  <c r="BL381" i="1"/>
  <c r="BK381" i="1"/>
  <c r="BE381" i="1"/>
  <c r="BF381" i="1" s="1"/>
  <c r="AY381" i="1"/>
  <c r="AU381" i="1"/>
  <c r="AM381" i="1"/>
  <c r="AK381" i="1"/>
  <c r="AI381" i="1"/>
  <c r="AG381" i="1"/>
  <c r="AE381" i="1"/>
  <c r="AC381" i="1"/>
  <c r="AA381" i="1"/>
  <c r="Y381" i="1"/>
  <c r="W381" i="1"/>
  <c r="U381" i="1"/>
  <c r="R381" i="1"/>
  <c r="M381" i="1"/>
  <c r="S381" i="1" s="1"/>
  <c r="AW381" i="1" s="1"/>
  <c r="HN380" i="1"/>
  <c r="HK380" i="1"/>
  <c r="HJ380" i="1"/>
  <c r="HA380" i="1"/>
  <c r="GW380" i="1"/>
  <c r="GR380" i="1"/>
  <c r="GL380" i="1"/>
  <c r="GG380" i="1"/>
  <c r="GM380" i="1" s="1"/>
  <c r="GX380" i="1" s="1"/>
  <c r="HC380" i="1" s="1"/>
  <c r="GA380" i="1"/>
  <c r="FV380" i="1"/>
  <c r="GB380" i="1" s="1"/>
  <c r="FQ380" i="1"/>
  <c r="FG380" i="1"/>
  <c r="DU380" i="1"/>
  <c r="DT380" i="1"/>
  <c r="DS380" i="1"/>
  <c r="DR380" i="1"/>
  <c r="DQ380" i="1"/>
  <c r="DL380" i="1"/>
  <c r="DG380" i="1"/>
  <c r="DB380" i="1"/>
  <c r="DV380" i="1" s="1"/>
  <c r="CW380" i="1"/>
  <c r="CS380" i="1"/>
  <c r="CR380" i="1"/>
  <c r="CM380" i="1"/>
  <c r="CH380" i="1"/>
  <c r="BZ380" i="1"/>
  <c r="BY380" i="1"/>
  <c r="BX380" i="1"/>
  <c r="BW380" i="1"/>
  <c r="BQ380" i="1"/>
  <c r="BR380" i="1" s="1"/>
  <c r="BL380" i="1"/>
  <c r="BK380" i="1"/>
  <c r="BE380" i="1"/>
  <c r="AY380" i="1"/>
  <c r="AU380" i="1"/>
  <c r="AV380" i="1" s="1"/>
  <c r="AM380" i="1"/>
  <c r="AK380" i="1"/>
  <c r="AI380" i="1"/>
  <c r="AG380" i="1"/>
  <c r="AE380" i="1"/>
  <c r="AC380" i="1"/>
  <c r="AA380" i="1"/>
  <c r="Y380" i="1"/>
  <c r="W380" i="1"/>
  <c r="U380" i="1"/>
  <c r="S380" i="1"/>
  <c r="AW380" i="1" s="1"/>
  <c r="R380" i="1"/>
  <c r="M380" i="1"/>
  <c r="HN379" i="1"/>
  <c r="HK379" i="1"/>
  <c r="HJ379" i="1"/>
  <c r="HA379" i="1"/>
  <c r="GW379" i="1"/>
  <c r="GR379" i="1"/>
  <c r="GL379" i="1"/>
  <c r="GG379" i="1"/>
  <c r="GM379" i="1" s="1"/>
  <c r="GX379" i="1" s="1"/>
  <c r="GB379" i="1"/>
  <c r="HC379" i="1" s="1"/>
  <c r="GA379" i="1"/>
  <c r="FV379" i="1"/>
  <c r="FQ379" i="1"/>
  <c r="FG379" i="1"/>
  <c r="DU379" i="1"/>
  <c r="DT379" i="1"/>
  <c r="DS379" i="1"/>
  <c r="DR379" i="1"/>
  <c r="DQ379" i="1"/>
  <c r="DL379" i="1"/>
  <c r="DG379" i="1"/>
  <c r="DB379" i="1"/>
  <c r="DV379" i="1" s="1"/>
  <c r="CW379" i="1"/>
  <c r="CR379" i="1"/>
  <c r="CS379" i="1" s="1"/>
  <c r="CM379" i="1"/>
  <c r="CH379" i="1"/>
  <c r="BZ379" i="1"/>
  <c r="BY379" i="1"/>
  <c r="BW379" i="1"/>
  <c r="BX379" i="1" s="1"/>
  <c r="BR379" i="1"/>
  <c r="BQ379" i="1"/>
  <c r="BK379" i="1"/>
  <c r="BL379" i="1" s="1"/>
  <c r="BE379" i="1"/>
  <c r="AY379" i="1"/>
  <c r="AU379" i="1"/>
  <c r="AV379" i="1" s="1"/>
  <c r="AM379" i="1"/>
  <c r="AK379" i="1"/>
  <c r="AI379" i="1"/>
  <c r="AG379" i="1"/>
  <c r="AE379" i="1"/>
  <c r="AC379" i="1"/>
  <c r="AA379" i="1"/>
  <c r="Y379" i="1"/>
  <c r="W379" i="1"/>
  <c r="U379" i="1"/>
  <c r="R379" i="1"/>
  <c r="S379" i="1" s="1"/>
  <c r="AW379" i="1" s="1"/>
  <c r="M379" i="1"/>
  <c r="HN378" i="1"/>
  <c r="HK378" i="1"/>
  <c r="HJ378" i="1"/>
  <c r="HA378" i="1"/>
  <c r="GW378" i="1"/>
  <c r="GX378" i="1" s="1"/>
  <c r="HB378" i="1" s="1"/>
  <c r="GR378" i="1"/>
  <c r="GM378" i="1"/>
  <c r="GL378" i="1"/>
  <c r="GG378" i="1"/>
  <c r="GB378" i="1"/>
  <c r="GA378" i="1"/>
  <c r="FV378" i="1"/>
  <c r="FQ378" i="1"/>
  <c r="FG378" i="1"/>
  <c r="DU378" i="1"/>
  <c r="DT378" i="1"/>
  <c r="DS378" i="1"/>
  <c r="DR378" i="1"/>
  <c r="DQ378" i="1"/>
  <c r="DL378" i="1"/>
  <c r="DG378" i="1"/>
  <c r="DB378" i="1"/>
  <c r="DV378" i="1" s="1"/>
  <c r="E416" i="2" s="1"/>
  <c r="CW378" i="1"/>
  <c r="CR378" i="1"/>
  <c r="CM378" i="1"/>
  <c r="CS378" i="1" s="1"/>
  <c r="CH378" i="1"/>
  <c r="BZ378" i="1"/>
  <c r="BY378" i="1"/>
  <c r="BW378" i="1"/>
  <c r="BX378" i="1" s="1"/>
  <c r="BR378" i="1"/>
  <c r="BQ378" i="1"/>
  <c r="CA378" i="1" s="1"/>
  <c r="BL378" i="1"/>
  <c r="BK378" i="1"/>
  <c r="BF378" i="1"/>
  <c r="BE378" i="1"/>
  <c r="AY378" i="1"/>
  <c r="AU378" i="1"/>
  <c r="E410" i="2" s="1"/>
  <c r="AM378" i="1"/>
  <c r="AK378" i="1"/>
  <c r="AI378" i="1"/>
  <c r="AG378" i="1"/>
  <c r="AE378" i="1"/>
  <c r="AC378" i="1"/>
  <c r="AA378" i="1"/>
  <c r="Y378" i="1"/>
  <c r="W378" i="1"/>
  <c r="U378" i="1"/>
  <c r="S378" i="1"/>
  <c r="R378" i="1"/>
  <c r="M378" i="1"/>
  <c r="HN377" i="1"/>
  <c r="HK377" i="1"/>
  <c r="HJ377" i="1"/>
  <c r="HA377" i="1"/>
  <c r="GW377" i="1"/>
  <c r="GR377" i="1"/>
  <c r="GM377" i="1"/>
  <c r="GX377" i="1" s="1"/>
  <c r="GL377" i="1"/>
  <c r="GG377" i="1"/>
  <c r="GB377" i="1"/>
  <c r="GA377" i="1"/>
  <c r="FV377" i="1"/>
  <c r="FQ377" i="1"/>
  <c r="FG377" i="1"/>
  <c r="DU377" i="1"/>
  <c r="DT377" i="1"/>
  <c r="DS377" i="1"/>
  <c r="DR377" i="1"/>
  <c r="DQ377" i="1"/>
  <c r="DL377" i="1"/>
  <c r="DG377" i="1"/>
  <c r="DB377" i="1"/>
  <c r="DV377" i="1" s="1"/>
  <c r="CW377" i="1"/>
  <c r="CR377" i="1"/>
  <c r="CS377" i="1" s="1"/>
  <c r="CM377" i="1"/>
  <c r="CH377" i="1"/>
  <c r="BZ377" i="1"/>
  <c r="BY377" i="1"/>
  <c r="BW377" i="1"/>
  <c r="BX377" i="1" s="1"/>
  <c r="BQ377" i="1"/>
  <c r="BR377" i="1" s="1"/>
  <c r="BK377" i="1"/>
  <c r="BL377" i="1" s="1"/>
  <c r="BE377" i="1"/>
  <c r="AY377" i="1"/>
  <c r="AU377" i="1"/>
  <c r="AV377" i="1" s="1"/>
  <c r="AM377" i="1"/>
  <c r="AK377" i="1"/>
  <c r="AI377" i="1"/>
  <c r="AG377" i="1"/>
  <c r="AE377" i="1"/>
  <c r="AC377" i="1"/>
  <c r="AA377" i="1"/>
  <c r="Y377" i="1"/>
  <c r="W377" i="1"/>
  <c r="U377" i="1"/>
  <c r="R377" i="1"/>
  <c r="M377" i="1"/>
  <c r="S377" i="1" s="1"/>
  <c r="AW377" i="1" s="1"/>
  <c r="HN376" i="1"/>
  <c r="HK376" i="1"/>
  <c r="HJ376" i="1"/>
  <c r="HA376" i="1"/>
  <c r="GW376" i="1"/>
  <c r="GR376" i="1"/>
  <c r="GL376" i="1"/>
  <c r="GM376" i="1" s="1"/>
  <c r="GX376" i="1" s="1"/>
  <c r="GG376" i="1"/>
  <c r="GA376" i="1"/>
  <c r="FV376" i="1"/>
  <c r="GB376" i="1" s="1"/>
  <c r="FQ376" i="1"/>
  <c r="FG376" i="1"/>
  <c r="DU376" i="1"/>
  <c r="DT376" i="1"/>
  <c r="DS376" i="1"/>
  <c r="DR376" i="1"/>
  <c r="DQ376" i="1"/>
  <c r="DL376" i="1"/>
  <c r="DG376" i="1"/>
  <c r="DB376" i="1"/>
  <c r="CW376" i="1"/>
  <c r="CR376" i="1"/>
  <c r="CM376" i="1"/>
  <c r="CS376" i="1" s="1"/>
  <c r="CH376" i="1"/>
  <c r="BZ376" i="1"/>
  <c r="BY376" i="1"/>
  <c r="BW376" i="1"/>
  <c r="BX376" i="1" s="1"/>
  <c r="BQ376" i="1"/>
  <c r="BR376" i="1" s="1"/>
  <c r="BL376" i="1"/>
  <c r="BK376" i="1"/>
  <c r="BE376" i="1"/>
  <c r="CA376" i="1" s="1"/>
  <c r="AY376" i="1"/>
  <c r="AU376" i="1"/>
  <c r="AV376" i="1" s="1"/>
  <c r="AM376" i="1"/>
  <c r="AK376" i="1"/>
  <c r="AI376" i="1"/>
  <c r="AG376" i="1"/>
  <c r="AE376" i="1"/>
  <c r="AC376" i="1"/>
  <c r="AA376" i="1"/>
  <c r="Y376" i="1"/>
  <c r="W376" i="1"/>
  <c r="U376" i="1"/>
  <c r="R376" i="1"/>
  <c r="S376" i="1" s="1"/>
  <c r="M376" i="1"/>
  <c r="HN375" i="1"/>
  <c r="HK375" i="1"/>
  <c r="HJ375" i="1"/>
  <c r="HA375" i="1"/>
  <c r="GW375" i="1"/>
  <c r="GR375" i="1"/>
  <c r="GM375" i="1"/>
  <c r="GL375" i="1"/>
  <c r="GG375" i="1"/>
  <c r="GA375" i="1"/>
  <c r="GB375" i="1" s="1"/>
  <c r="FV375" i="1"/>
  <c r="FQ375" i="1"/>
  <c r="FG375" i="1"/>
  <c r="DU375" i="1"/>
  <c r="DT375" i="1"/>
  <c r="DS375" i="1"/>
  <c r="DR375" i="1"/>
  <c r="DQ375" i="1"/>
  <c r="DL375" i="1"/>
  <c r="DG375" i="1"/>
  <c r="DB375" i="1"/>
  <c r="DV375" i="1" s="1"/>
  <c r="CW375" i="1"/>
  <c r="D861" i="3" s="1"/>
  <c r="CR375" i="1"/>
  <c r="CM375" i="1"/>
  <c r="CS375" i="1" s="1"/>
  <c r="CH375" i="1"/>
  <c r="BZ375" i="1"/>
  <c r="BY375" i="1"/>
  <c r="BW375" i="1"/>
  <c r="BX375" i="1" s="1"/>
  <c r="BR375" i="1"/>
  <c r="BQ375" i="1"/>
  <c r="BK375" i="1"/>
  <c r="BL375" i="1" s="1"/>
  <c r="BE375" i="1"/>
  <c r="AY375" i="1"/>
  <c r="AV375" i="1"/>
  <c r="AU375" i="1"/>
  <c r="AM375" i="1"/>
  <c r="AK375" i="1"/>
  <c r="AI375" i="1"/>
  <c r="AG375" i="1"/>
  <c r="AE375" i="1"/>
  <c r="AC375" i="1"/>
  <c r="AA375" i="1"/>
  <c r="Y375" i="1"/>
  <c r="W375" i="1"/>
  <c r="U375" i="1"/>
  <c r="S375" i="1"/>
  <c r="R375" i="1"/>
  <c r="M375" i="1"/>
  <c r="HN374" i="1"/>
  <c r="HK374" i="1"/>
  <c r="HJ374" i="1"/>
  <c r="HA374" i="1"/>
  <c r="GW374" i="1"/>
  <c r="GR374" i="1"/>
  <c r="GL374" i="1"/>
  <c r="GG374" i="1"/>
  <c r="GM374" i="1" s="1"/>
  <c r="GX374" i="1" s="1"/>
  <c r="HB374" i="1" s="1"/>
  <c r="GB374" i="1"/>
  <c r="GA374" i="1"/>
  <c r="FV374" i="1"/>
  <c r="FQ374" i="1"/>
  <c r="FG374" i="1"/>
  <c r="DU374" i="1"/>
  <c r="DT374" i="1"/>
  <c r="DS374" i="1"/>
  <c r="DR374" i="1"/>
  <c r="DQ374" i="1"/>
  <c r="DL374" i="1"/>
  <c r="DG374" i="1"/>
  <c r="DB374" i="1"/>
  <c r="CW374" i="1"/>
  <c r="CR374" i="1"/>
  <c r="CM374" i="1"/>
  <c r="CH374" i="1"/>
  <c r="BZ374" i="1"/>
  <c r="BY374" i="1"/>
  <c r="BW374" i="1"/>
  <c r="BX374" i="1" s="1"/>
  <c r="BR374" i="1"/>
  <c r="BQ374" i="1"/>
  <c r="BK374" i="1"/>
  <c r="BL374" i="1" s="1"/>
  <c r="BE374" i="1"/>
  <c r="BF374" i="1" s="1"/>
  <c r="CB374" i="1" s="1"/>
  <c r="AY374" i="1"/>
  <c r="AV374" i="1"/>
  <c r="AU374" i="1"/>
  <c r="AM374" i="1"/>
  <c r="AK374" i="1"/>
  <c r="AI374" i="1"/>
  <c r="AG374" i="1"/>
  <c r="AE374" i="1"/>
  <c r="AC374" i="1"/>
  <c r="AA374" i="1"/>
  <c r="Y374" i="1"/>
  <c r="W374" i="1"/>
  <c r="U374" i="1"/>
  <c r="R374" i="1"/>
  <c r="M374" i="1"/>
  <c r="S374" i="1" s="1"/>
  <c r="AW374" i="1" s="1"/>
  <c r="HN373" i="1"/>
  <c r="HK373" i="1"/>
  <c r="HJ373" i="1"/>
  <c r="HA373" i="1"/>
  <c r="GW373" i="1"/>
  <c r="GR373" i="1"/>
  <c r="GL373" i="1"/>
  <c r="GG373" i="1"/>
  <c r="GM373" i="1" s="1"/>
  <c r="GA373" i="1"/>
  <c r="FV373" i="1"/>
  <c r="GB373" i="1" s="1"/>
  <c r="FQ373" i="1"/>
  <c r="FG373" i="1"/>
  <c r="DU373" i="1"/>
  <c r="DT373" i="1"/>
  <c r="DS373" i="1"/>
  <c r="DR373" i="1"/>
  <c r="DQ373" i="1"/>
  <c r="DL373" i="1"/>
  <c r="DG373" i="1"/>
  <c r="DB373" i="1"/>
  <c r="CW373" i="1"/>
  <c r="CS373" i="1"/>
  <c r="CR373" i="1"/>
  <c r="CM373" i="1"/>
  <c r="CH373" i="1"/>
  <c r="BZ373" i="1"/>
  <c r="BY373" i="1"/>
  <c r="BX373" i="1"/>
  <c r="BW373" i="1"/>
  <c r="BQ373" i="1"/>
  <c r="BR373" i="1" s="1"/>
  <c r="BK373" i="1"/>
  <c r="BL373" i="1" s="1"/>
  <c r="CB373" i="1" s="1"/>
  <c r="BE373" i="1"/>
  <c r="BF373" i="1" s="1"/>
  <c r="AY373" i="1"/>
  <c r="AU373" i="1"/>
  <c r="G397" i="2" s="1"/>
  <c r="AM373" i="1"/>
  <c r="AK373" i="1"/>
  <c r="AI373" i="1"/>
  <c r="AG373" i="1"/>
  <c r="AE373" i="1"/>
  <c r="AC373" i="1"/>
  <c r="AA373" i="1"/>
  <c r="Y373" i="1"/>
  <c r="W373" i="1"/>
  <c r="U373" i="1"/>
  <c r="R373" i="1"/>
  <c r="M373" i="1"/>
  <c r="S373" i="1" s="1"/>
  <c r="HA372" i="1"/>
  <c r="HN371" i="1"/>
  <c r="HK371" i="1"/>
  <c r="HJ371" i="1"/>
  <c r="HA371" i="1"/>
  <c r="GW371" i="1"/>
  <c r="GR371" i="1"/>
  <c r="GM371" i="1"/>
  <c r="GX371" i="1" s="1"/>
  <c r="GL371" i="1"/>
  <c r="GG371" i="1"/>
  <c r="GA371" i="1"/>
  <c r="GB371" i="1" s="1"/>
  <c r="FV371" i="1"/>
  <c r="FQ371" i="1"/>
  <c r="FG371" i="1"/>
  <c r="DU371" i="1"/>
  <c r="DT371" i="1"/>
  <c r="DS371" i="1"/>
  <c r="DR371" i="1"/>
  <c r="DQ371" i="1"/>
  <c r="DL371" i="1"/>
  <c r="DG371" i="1"/>
  <c r="DB371" i="1"/>
  <c r="DV371" i="1" s="1"/>
  <c r="CW371" i="1"/>
  <c r="CR371" i="1"/>
  <c r="CM371" i="1"/>
  <c r="CS371" i="1" s="1"/>
  <c r="CH371" i="1"/>
  <c r="BZ371" i="1"/>
  <c r="BY371" i="1"/>
  <c r="BW371" i="1"/>
  <c r="BX371" i="1" s="1"/>
  <c r="BR371" i="1"/>
  <c r="BQ371" i="1"/>
  <c r="BK371" i="1"/>
  <c r="BL371" i="1" s="1"/>
  <c r="BF371" i="1"/>
  <c r="CB371" i="1" s="1"/>
  <c r="BE371" i="1"/>
  <c r="CA371" i="1" s="1"/>
  <c r="AY371" i="1"/>
  <c r="AV371" i="1"/>
  <c r="AU371" i="1"/>
  <c r="AM371" i="1"/>
  <c r="AK371" i="1"/>
  <c r="AI371" i="1"/>
  <c r="AG371" i="1"/>
  <c r="AE371" i="1"/>
  <c r="AC371" i="1"/>
  <c r="AA371" i="1"/>
  <c r="Y371" i="1"/>
  <c r="W371" i="1"/>
  <c r="U371" i="1"/>
  <c r="R371" i="1"/>
  <c r="S371" i="1" s="1"/>
  <c r="AW371" i="1" s="1"/>
  <c r="M371" i="1"/>
  <c r="HN370" i="1"/>
  <c r="HK370" i="1"/>
  <c r="HJ370" i="1"/>
  <c r="HA370" i="1"/>
  <c r="GW370" i="1"/>
  <c r="GR370" i="1"/>
  <c r="GL370" i="1"/>
  <c r="GG370" i="1"/>
  <c r="GM370" i="1" s="1"/>
  <c r="GA370" i="1"/>
  <c r="GB370" i="1" s="1"/>
  <c r="FV370" i="1"/>
  <c r="FQ370" i="1"/>
  <c r="FG370" i="1"/>
  <c r="DU370" i="1"/>
  <c r="DT370" i="1"/>
  <c r="DS370" i="1"/>
  <c r="DR370" i="1"/>
  <c r="DQ370" i="1"/>
  <c r="DL370" i="1"/>
  <c r="DG370" i="1"/>
  <c r="DB370" i="1"/>
  <c r="DV370" i="1" s="1"/>
  <c r="CW370" i="1"/>
  <c r="CS370" i="1"/>
  <c r="CR370" i="1"/>
  <c r="CM370" i="1"/>
  <c r="CH370" i="1"/>
  <c r="BZ370" i="1"/>
  <c r="BY370" i="1"/>
  <c r="BW370" i="1"/>
  <c r="BX370" i="1" s="1"/>
  <c r="BR370" i="1"/>
  <c r="BQ370" i="1"/>
  <c r="BK370" i="1"/>
  <c r="BL370" i="1" s="1"/>
  <c r="BE370" i="1"/>
  <c r="BF370" i="1" s="1"/>
  <c r="AY370" i="1"/>
  <c r="AW370" i="1"/>
  <c r="AV370" i="1"/>
  <c r="AU370" i="1"/>
  <c r="AM370" i="1"/>
  <c r="AK370" i="1"/>
  <c r="AI370" i="1"/>
  <c r="AG370" i="1"/>
  <c r="AE370" i="1"/>
  <c r="AC370" i="1"/>
  <c r="AA370" i="1"/>
  <c r="Y370" i="1"/>
  <c r="W370" i="1"/>
  <c r="U370" i="1"/>
  <c r="R370" i="1"/>
  <c r="M370" i="1"/>
  <c r="S370" i="1" s="1"/>
  <c r="HN369" i="1"/>
  <c r="HK369" i="1"/>
  <c r="HJ369" i="1"/>
  <c r="HA369" i="1"/>
  <c r="GW369" i="1"/>
  <c r="GR369" i="1"/>
  <c r="GL369" i="1"/>
  <c r="GG369" i="1"/>
  <c r="GM369" i="1" s="1"/>
  <c r="GA369" i="1"/>
  <c r="FV369" i="1"/>
  <c r="GB369" i="1" s="1"/>
  <c r="FQ369" i="1"/>
  <c r="FG369" i="1"/>
  <c r="DU369" i="1"/>
  <c r="DT369" i="1"/>
  <c r="DS369" i="1"/>
  <c r="DR369" i="1"/>
  <c r="DQ369" i="1"/>
  <c r="DL369" i="1"/>
  <c r="DG369" i="1"/>
  <c r="DB369" i="1"/>
  <c r="CW369" i="1"/>
  <c r="CS369" i="1"/>
  <c r="CR369" i="1"/>
  <c r="CM369" i="1"/>
  <c r="CH369" i="1"/>
  <c r="BZ369" i="1"/>
  <c r="BY369" i="1"/>
  <c r="BX369" i="1"/>
  <c r="BW369" i="1"/>
  <c r="BQ369" i="1"/>
  <c r="BR369" i="1" s="1"/>
  <c r="BK369" i="1"/>
  <c r="BL369" i="1" s="1"/>
  <c r="CB369" i="1" s="1"/>
  <c r="BE369" i="1"/>
  <c r="BF369" i="1" s="1"/>
  <c r="AY369" i="1"/>
  <c r="AU369" i="1"/>
  <c r="AM369" i="1"/>
  <c r="AK369" i="1"/>
  <c r="AI369" i="1"/>
  <c r="AG369" i="1"/>
  <c r="AE369" i="1"/>
  <c r="AC369" i="1"/>
  <c r="AA369" i="1"/>
  <c r="Y369" i="1"/>
  <c r="W369" i="1"/>
  <c r="U369" i="1"/>
  <c r="R369" i="1"/>
  <c r="M369" i="1"/>
  <c r="S369" i="1" s="1"/>
  <c r="HN368" i="1"/>
  <c r="HK368" i="1"/>
  <c r="HJ368" i="1"/>
  <c r="HA368" i="1"/>
  <c r="GX368" i="1"/>
  <c r="GW368" i="1"/>
  <c r="GR368" i="1"/>
  <c r="GL368" i="1"/>
  <c r="GG368" i="1"/>
  <c r="GM368" i="1" s="1"/>
  <c r="GA368" i="1"/>
  <c r="FV368" i="1"/>
  <c r="GB368" i="1" s="1"/>
  <c r="FQ368" i="1"/>
  <c r="FG368" i="1"/>
  <c r="DU368" i="1"/>
  <c r="DT368" i="1"/>
  <c r="DS368" i="1"/>
  <c r="DR368" i="1"/>
  <c r="DQ368" i="1"/>
  <c r="DL368" i="1"/>
  <c r="DG368" i="1"/>
  <c r="DB368" i="1"/>
  <c r="DV368" i="1" s="1"/>
  <c r="CW368" i="1"/>
  <c r="CS368" i="1"/>
  <c r="CR368" i="1"/>
  <c r="CM368" i="1"/>
  <c r="CH368" i="1"/>
  <c r="BZ368" i="1"/>
  <c r="BY368" i="1"/>
  <c r="BX368" i="1"/>
  <c r="BW368" i="1"/>
  <c r="BQ368" i="1"/>
  <c r="BR368" i="1" s="1"/>
  <c r="BK368" i="1"/>
  <c r="BL368" i="1" s="1"/>
  <c r="BF368" i="1"/>
  <c r="BE368" i="1"/>
  <c r="CA368" i="1" s="1"/>
  <c r="AY368" i="1"/>
  <c r="AU368" i="1"/>
  <c r="AV368" i="1" s="1"/>
  <c r="AM368" i="1"/>
  <c r="AK368" i="1"/>
  <c r="AI368" i="1"/>
  <c r="AG368" i="1"/>
  <c r="AE368" i="1"/>
  <c r="AC368" i="1"/>
  <c r="AA368" i="1"/>
  <c r="Y368" i="1"/>
  <c r="W368" i="1"/>
  <c r="U368" i="1"/>
  <c r="R368" i="1"/>
  <c r="M368" i="1"/>
  <c r="S368" i="1" s="1"/>
  <c r="AW368" i="1" s="1"/>
  <c r="HN367" i="1"/>
  <c r="HK367" i="1"/>
  <c r="HJ367" i="1"/>
  <c r="HA367" i="1"/>
  <c r="GW367" i="1"/>
  <c r="GR367" i="1"/>
  <c r="GM367" i="1"/>
  <c r="GX367" i="1" s="1"/>
  <c r="GL367" i="1"/>
  <c r="GG367" i="1"/>
  <c r="GB367" i="1"/>
  <c r="GA367" i="1"/>
  <c r="FV367" i="1"/>
  <c r="FQ367" i="1"/>
  <c r="FG367" i="1"/>
  <c r="DU367" i="1"/>
  <c r="DT367" i="1"/>
  <c r="DS367" i="1"/>
  <c r="DR367" i="1"/>
  <c r="DQ367" i="1"/>
  <c r="DL367" i="1"/>
  <c r="DG367" i="1"/>
  <c r="DB367" i="1"/>
  <c r="DV367" i="1" s="1"/>
  <c r="CW367" i="1"/>
  <c r="CR367" i="1"/>
  <c r="CM367" i="1"/>
  <c r="CS367" i="1" s="1"/>
  <c r="CH367" i="1"/>
  <c r="BZ367" i="1"/>
  <c r="BY367" i="1"/>
  <c r="BW367" i="1"/>
  <c r="BX367" i="1" s="1"/>
  <c r="BQ367" i="1"/>
  <c r="BR367" i="1" s="1"/>
  <c r="BK367" i="1"/>
  <c r="BL367" i="1" s="1"/>
  <c r="BF367" i="1"/>
  <c r="BE367" i="1"/>
  <c r="AY367" i="1"/>
  <c r="AV367" i="1"/>
  <c r="AU367" i="1"/>
  <c r="AM367" i="1"/>
  <c r="AK367" i="1"/>
  <c r="AI367" i="1"/>
  <c r="AG367" i="1"/>
  <c r="AE367" i="1"/>
  <c r="AC367" i="1"/>
  <c r="AA367" i="1"/>
  <c r="Y367" i="1"/>
  <c r="W367" i="1"/>
  <c r="U367" i="1"/>
  <c r="S367" i="1"/>
  <c r="AW367" i="1" s="1"/>
  <c r="R367" i="1"/>
  <c r="M367" i="1"/>
  <c r="HN366" i="1"/>
  <c r="HK366" i="1"/>
  <c r="HJ366" i="1"/>
  <c r="HA366" i="1"/>
  <c r="GW366" i="1"/>
  <c r="GR366" i="1"/>
  <c r="GM366" i="1"/>
  <c r="GL366" i="1"/>
  <c r="GG366" i="1"/>
  <c r="GB366" i="1"/>
  <c r="GA366" i="1"/>
  <c r="FV366" i="1"/>
  <c r="FQ366" i="1"/>
  <c r="FG366" i="1"/>
  <c r="DU366" i="1"/>
  <c r="DT366" i="1"/>
  <c r="DS366" i="1"/>
  <c r="DR366" i="1"/>
  <c r="DQ366" i="1"/>
  <c r="DL366" i="1"/>
  <c r="DG366" i="1"/>
  <c r="DB366" i="1"/>
  <c r="DV366" i="1" s="1"/>
  <c r="CW366" i="1"/>
  <c r="CR366" i="1"/>
  <c r="CS366" i="1" s="1"/>
  <c r="CM366" i="1"/>
  <c r="CH366" i="1"/>
  <c r="BZ366" i="1"/>
  <c r="BY366" i="1"/>
  <c r="BW366" i="1"/>
  <c r="BX366" i="1" s="1"/>
  <c r="BQ366" i="1"/>
  <c r="BR366" i="1" s="1"/>
  <c r="BK366" i="1"/>
  <c r="BF366" i="1"/>
  <c r="BE366" i="1"/>
  <c r="AY366" i="1"/>
  <c r="AU366" i="1"/>
  <c r="AM366" i="1"/>
  <c r="AK366" i="1"/>
  <c r="AI366" i="1"/>
  <c r="AG366" i="1"/>
  <c r="AE366" i="1"/>
  <c r="AC366" i="1"/>
  <c r="AA366" i="1"/>
  <c r="Y366" i="1"/>
  <c r="W366" i="1"/>
  <c r="U366" i="1"/>
  <c r="E396" i="2" s="1"/>
  <c r="S366" i="1"/>
  <c r="R366" i="1"/>
  <c r="M366" i="1"/>
  <c r="HN365" i="1"/>
  <c r="HK365" i="1"/>
  <c r="HJ365" i="1"/>
  <c r="HA365" i="1"/>
  <c r="GW365" i="1"/>
  <c r="GR365" i="1"/>
  <c r="GL365" i="1"/>
  <c r="GG365" i="1"/>
  <c r="GM365" i="1" s="1"/>
  <c r="GB365" i="1"/>
  <c r="GA365" i="1"/>
  <c r="FV365" i="1"/>
  <c r="FQ365" i="1"/>
  <c r="FG365" i="1"/>
  <c r="DU365" i="1"/>
  <c r="DT365" i="1"/>
  <c r="DS365" i="1"/>
  <c r="DR365" i="1"/>
  <c r="DQ365" i="1"/>
  <c r="DL365" i="1"/>
  <c r="DG365" i="1"/>
  <c r="DB365" i="1"/>
  <c r="CW365" i="1"/>
  <c r="CR365" i="1"/>
  <c r="CS365" i="1" s="1"/>
  <c r="CM365" i="1"/>
  <c r="CH365" i="1"/>
  <c r="BZ365" i="1"/>
  <c r="BY365" i="1"/>
  <c r="BX365" i="1"/>
  <c r="BW365" i="1"/>
  <c r="BQ365" i="1"/>
  <c r="BR365" i="1" s="1"/>
  <c r="BL365" i="1"/>
  <c r="BK365" i="1"/>
  <c r="BE365" i="1"/>
  <c r="AY365" i="1"/>
  <c r="AU365" i="1"/>
  <c r="AV365" i="1" s="1"/>
  <c r="AM365" i="1"/>
  <c r="AK365" i="1"/>
  <c r="AI365" i="1"/>
  <c r="AG365" i="1"/>
  <c r="AE365" i="1"/>
  <c r="AC365" i="1"/>
  <c r="AA365" i="1"/>
  <c r="Y365" i="1"/>
  <c r="W365" i="1"/>
  <c r="U365" i="1"/>
  <c r="R365" i="1"/>
  <c r="M365" i="1"/>
  <c r="HN364" i="1"/>
  <c r="HK364" i="1"/>
  <c r="HJ364" i="1"/>
  <c r="HA364" i="1"/>
  <c r="GW364" i="1"/>
  <c r="GR364" i="1"/>
  <c r="GL364" i="1"/>
  <c r="GM364" i="1" s="1"/>
  <c r="GX364" i="1" s="1"/>
  <c r="GG364" i="1"/>
  <c r="GA364" i="1"/>
  <c r="FV364" i="1"/>
  <c r="FQ364" i="1"/>
  <c r="FG364" i="1"/>
  <c r="DU364" i="1"/>
  <c r="DT364" i="1"/>
  <c r="DS364" i="1"/>
  <c r="DR364" i="1"/>
  <c r="DQ364" i="1"/>
  <c r="DL364" i="1"/>
  <c r="DG364" i="1"/>
  <c r="DB364" i="1"/>
  <c r="CW364" i="1"/>
  <c r="CR364" i="1"/>
  <c r="CM364" i="1"/>
  <c r="CS364" i="1" s="1"/>
  <c r="CH364" i="1"/>
  <c r="BZ364" i="1"/>
  <c r="BY364" i="1"/>
  <c r="BW364" i="1"/>
  <c r="BX364" i="1" s="1"/>
  <c r="BR364" i="1"/>
  <c r="BQ364" i="1"/>
  <c r="BL364" i="1"/>
  <c r="BK364" i="1"/>
  <c r="BE364" i="1"/>
  <c r="AY364" i="1"/>
  <c r="AU364" i="1"/>
  <c r="AV364" i="1" s="1"/>
  <c r="AM364" i="1"/>
  <c r="AK364" i="1"/>
  <c r="AI364" i="1"/>
  <c r="AG364" i="1"/>
  <c r="AE364" i="1"/>
  <c r="AC364" i="1"/>
  <c r="AA364" i="1"/>
  <c r="Y364" i="1"/>
  <c r="W364" i="1"/>
  <c r="U364" i="1"/>
  <c r="R364" i="1"/>
  <c r="S364" i="1" s="1"/>
  <c r="AW364" i="1" s="1"/>
  <c r="M364" i="1"/>
  <c r="HN363" i="1"/>
  <c r="HK363" i="1"/>
  <c r="HJ363" i="1"/>
  <c r="HA363" i="1"/>
  <c r="GW363" i="1"/>
  <c r="GR363" i="1"/>
  <c r="GL363" i="1"/>
  <c r="GM363" i="1" s="1"/>
  <c r="GG363" i="1"/>
  <c r="GA363" i="1"/>
  <c r="GB363" i="1" s="1"/>
  <c r="FV363" i="1"/>
  <c r="FQ363" i="1"/>
  <c r="FG363" i="1"/>
  <c r="DU363" i="1"/>
  <c r="DT363" i="1"/>
  <c r="DS363" i="1"/>
  <c r="DR363" i="1"/>
  <c r="DQ363" i="1"/>
  <c r="DL363" i="1"/>
  <c r="DG363" i="1"/>
  <c r="DB363" i="1"/>
  <c r="DV363" i="1" s="1"/>
  <c r="CW363" i="1"/>
  <c r="CR363" i="1"/>
  <c r="CM363" i="1"/>
  <c r="CS363" i="1" s="1"/>
  <c r="CH363" i="1"/>
  <c r="CA363" i="1"/>
  <c r="BZ363" i="1"/>
  <c r="BY363" i="1"/>
  <c r="BW363" i="1"/>
  <c r="BX363" i="1" s="1"/>
  <c r="BR363" i="1"/>
  <c r="BQ363" i="1"/>
  <c r="BK363" i="1"/>
  <c r="BL363" i="1" s="1"/>
  <c r="BF363" i="1"/>
  <c r="CB363" i="1" s="1"/>
  <c r="BE363" i="1"/>
  <c r="AY363" i="1"/>
  <c r="AV363" i="1"/>
  <c r="AU363" i="1"/>
  <c r="AM363" i="1"/>
  <c r="AK363" i="1"/>
  <c r="AI363" i="1"/>
  <c r="AG363" i="1"/>
  <c r="AE363" i="1"/>
  <c r="AC363" i="1"/>
  <c r="AA363" i="1"/>
  <c r="Y363" i="1"/>
  <c r="W363" i="1"/>
  <c r="U363" i="1"/>
  <c r="R363" i="1"/>
  <c r="S363" i="1" s="1"/>
  <c r="M363" i="1"/>
  <c r="HN362" i="1"/>
  <c r="HK362" i="1"/>
  <c r="HJ362" i="1"/>
  <c r="HA362" i="1"/>
  <c r="GW362" i="1"/>
  <c r="GR362" i="1"/>
  <c r="GL362" i="1"/>
  <c r="GG362" i="1"/>
  <c r="GM362" i="1" s="1"/>
  <c r="GB362" i="1"/>
  <c r="GA362" i="1"/>
  <c r="FV362" i="1"/>
  <c r="FQ362" i="1"/>
  <c r="FG362" i="1"/>
  <c r="DU362" i="1"/>
  <c r="DT362" i="1"/>
  <c r="DS362" i="1"/>
  <c r="DR362" i="1"/>
  <c r="DQ362" i="1"/>
  <c r="DL362" i="1"/>
  <c r="DG362" i="1"/>
  <c r="DB362" i="1"/>
  <c r="CW362" i="1"/>
  <c r="CR362" i="1"/>
  <c r="CS362" i="1" s="1"/>
  <c r="CM362" i="1"/>
  <c r="CH362" i="1"/>
  <c r="BZ362" i="1"/>
  <c r="BY362" i="1"/>
  <c r="BX362" i="1"/>
  <c r="BW362" i="1"/>
  <c r="BR362" i="1"/>
  <c r="BQ362" i="1"/>
  <c r="BK362" i="1"/>
  <c r="BL362" i="1" s="1"/>
  <c r="BE362" i="1"/>
  <c r="BF362" i="1" s="1"/>
  <c r="AY362" i="1"/>
  <c r="AV362" i="1"/>
  <c r="AU362" i="1"/>
  <c r="AM362" i="1"/>
  <c r="AK362" i="1"/>
  <c r="AI362" i="1"/>
  <c r="AG362" i="1"/>
  <c r="AE362" i="1"/>
  <c r="AC362" i="1"/>
  <c r="AA362" i="1"/>
  <c r="Y362" i="1"/>
  <c r="W362" i="1"/>
  <c r="U362" i="1"/>
  <c r="R362" i="1"/>
  <c r="M362" i="1"/>
  <c r="S362" i="1" s="1"/>
  <c r="AW362" i="1" s="1"/>
  <c r="HN361" i="1"/>
  <c r="HK361" i="1"/>
  <c r="HJ361" i="1"/>
  <c r="HA361" i="1"/>
  <c r="GW361" i="1"/>
  <c r="GR361" i="1"/>
  <c r="GL361" i="1"/>
  <c r="GG361" i="1"/>
  <c r="GM361" i="1" s="1"/>
  <c r="GA361" i="1"/>
  <c r="FV361" i="1"/>
  <c r="FQ361" i="1"/>
  <c r="FG361" i="1"/>
  <c r="DU361" i="1"/>
  <c r="DT361" i="1"/>
  <c r="DS361" i="1"/>
  <c r="DR361" i="1"/>
  <c r="DQ361" i="1"/>
  <c r="DL361" i="1"/>
  <c r="DG361" i="1"/>
  <c r="DB361" i="1"/>
  <c r="CW361" i="1"/>
  <c r="CR361" i="1"/>
  <c r="CM361" i="1"/>
  <c r="CS361" i="1" s="1"/>
  <c r="G388" i="2" s="1"/>
  <c r="CH361" i="1"/>
  <c r="BZ361" i="1"/>
  <c r="BY361" i="1"/>
  <c r="BX361" i="1"/>
  <c r="BW361" i="1"/>
  <c r="BQ361" i="1"/>
  <c r="BR361" i="1" s="1"/>
  <c r="BK361" i="1"/>
  <c r="BL361" i="1" s="1"/>
  <c r="CB361" i="1" s="1"/>
  <c r="BE361" i="1"/>
  <c r="BF361" i="1" s="1"/>
  <c r="AY361" i="1"/>
  <c r="AU361" i="1"/>
  <c r="G384" i="2" s="1"/>
  <c r="AM361" i="1"/>
  <c r="AK361" i="1"/>
  <c r="AI361" i="1"/>
  <c r="AG361" i="1"/>
  <c r="AE361" i="1"/>
  <c r="AC361" i="1"/>
  <c r="AA361" i="1"/>
  <c r="Y361" i="1"/>
  <c r="W361" i="1"/>
  <c r="U361" i="1"/>
  <c r="G383" i="2" s="1"/>
  <c r="R361" i="1"/>
  <c r="M361" i="1"/>
  <c r="S361" i="1" s="1"/>
  <c r="HA360" i="1"/>
  <c r="HN359" i="1"/>
  <c r="HK359" i="1"/>
  <c r="HJ359" i="1"/>
  <c r="HA359" i="1"/>
  <c r="GW359" i="1"/>
  <c r="GR359" i="1"/>
  <c r="GM359" i="1"/>
  <c r="GL359" i="1"/>
  <c r="GG359" i="1"/>
  <c r="GA359" i="1"/>
  <c r="GB359" i="1" s="1"/>
  <c r="FV359" i="1"/>
  <c r="FQ359" i="1"/>
  <c r="FG359" i="1"/>
  <c r="DU359" i="1"/>
  <c r="DT359" i="1"/>
  <c r="DS359" i="1"/>
  <c r="DR359" i="1"/>
  <c r="DQ359" i="1"/>
  <c r="DL359" i="1"/>
  <c r="DG359" i="1"/>
  <c r="DB359" i="1"/>
  <c r="DV359" i="1" s="1"/>
  <c r="CW359" i="1"/>
  <c r="CR359" i="1"/>
  <c r="CM359" i="1"/>
  <c r="CS359" i="1" s="1"/>
  <c r="CH359" i="1"/>
  <c r="CA359" i="1"/>
  <c r="BZ359" i="1"/>
  <c r="BY359" i="1"/>
  <c r="BW359" i="1"/>
  <c r="BX359" i="1" s="1"/>
  <c r="BR359" i="1"/>
  <c r="BQ359" i="1"/>
  <c r="BL359" i="1"/>
  <c r="BK359" i="1"/>
  <c r="BF359" i="1"/>
  <c r="CB359" i="1" s="1"/>
  <c r="BE359" i="1"/>
  <c r="AY359" i="1"/>
  <c r="AV359" i="1"/>
  <c r="AU359" i="1"/>
  <c r="AM359" i="1"/>
  <c r="AK359" i="1"/>
  <c r="AI359" i="1"/>
  <c r="AG359" i="1"/>
  <c r="AE359" i="1"/>
  <c r="AC359" i="1"/>
  <c r="AA359" i="1"/>
  <c r="Y359" i="1"/>
  <c r="W359" i="1"/>
  <c r="U359" i="1"/>
  <c r="R359" i="1"/>
  <c r="S359" i="1" s="1"/>
  <c r="AW359" i="1" s="1"/>
  <c r="M359" i="1"/>
  <c r="HN358" i="1"/>
  <c r="HK358" i="1"/>
  <c r="HJ358" i="1"/>
  <c r="HA358" i="1"/>
  <c r="GW358" i="1"/>
  <c r="GR358" i="1"/>
  <c r="GL358" i="1"/>
  <c r="GG358" i="1"/>
  <c r="GA358" i="1"/>
  <c r="GB358" i="1" s="1"/>
  <c r="FV358" i="1"/>
  <c r="FQ358" i="1"/>
  <c r="FG358" i="1"/>
  <c r="DU358" i="1"/>
  <c r="DT358" i="1"/>
  <c r="DS358" i="1"/>
  <c r="DR358" i="1"/>
  <c r="DQ358" i="1"/>
  <c r="DL358" i="1"/>
  <c r="DG358" i="1"/>
  <c r="DB358" i="1"/>
  <c r="CW358" i="1"/>
  <c r="CR358" i="1"/>
  <c r="CM358" i="1"/>
  <c r="CS358" i="1" s="1"/>
  <c r="CH358" i="1"/>
  <c r="BZ358" i="1"/>
  <c r="BY358" i="1"/>
  <c r="BX358" i="1"/>
  <c r="BW358" i="1"/>
  <c r="BR358" i="1"/>
  <c r="BQ358" i="1"/>
  <c r="BK358" i="1"/>
  <c r="BL358" i="1" s="1"/>
  <c r="BE358" i="1"/>
  <c r="BF358" i="1" s="1"/>
  <c r="AY358" i="1"/>
  <c r="AV358" i="1"/>
  <c r="AU358" i="1"/>
  <c r="AM358" i="1"/>
  <c r="AK358" i="1"/>
  <c r="AI358" i="1"/>
  <c r="AG358" i="1"/>
  <c r="AE358" i="1"/>
  <c r="AC358" i="1"/>
  <c r="AA358" i="1"/>
  <c r="Y358" i="1"/>
  <c r="W358" i="1"/>
  <c r="U358" i="1"/>
  <c r="R358" i="1"/>
  <c r="M358" i="1"/>
  <c r="HN357" i="1"/>
  <c r="HK357" i="1"/>
  <c r="HJ357" i="1"/>
  <c r="HA357" i="1"/>
  <c r="GW357" i="1"/>
  <c r="GR357" i="1"/>
  <c r="GL357" i="1"/>
  <c r="GG357" i="1"/>
  <c r="GM357" i="1" s="1"/>
  <c r="GX357" i="1" s="1"/>
  <c r="GA357" i="1"/>
  <c r="FV357" i="1"/>
  <c r="FQ357" i="1"/>
  <c r="FG357" i="1"/>
  <c r="DU357" i="1"/>
  <c r="DT357" i="1"/>
  <c r="DS357" i="1"/>
  <c r="DR357" i="1"/>
  <c r="DQ357" i="1"/>
  <c r="DL357" i="1"/>
  <c r="DG357" i="1"/>
  <c r="DB357" i="1"/>
  <c r="CW357" i="1"/>
  <c r="CR357" i="1"/>
  <c r="CM357" i="1"/>
  <c r="CS357" i="1" s="1"/>
  <c r="F388" i="2" s="1"/>
  <c r="CH357" i="1"/>
  <c r="BZ357" i="1"/>
  <c r="BY357" i="1"/>
  <c r="BX357" i="1"/>
  <c r="BW357" i="1"/>
  <c r="BQ357" i="1"/>
  <c r="BR357" i="1" s="1"/>
  <c r="BL357" i="1"/>
  <c r="BK357" i="1"/>
  <c r="CA357" i="1" s="1"/>
  <c r="BE357" i="1"/>
  <c r="BF357" i="1" s="1"/>
  <c r="CB357" i="1" s="1"/>
  <c r="AY357" i="1"/>
  <c r="AU357" i="1"/>
  <c r="AM357" i="1"/>
  <c r="AK357" i="1"/>
  <c r="AI357" i="1"/>
  <c r="AG357" i="1"/>
  <c r="AE357" i="1"/>
  <c r="AC357" i="1"/>
  <c r="AA357" i="1"/>
  <c r="Y357" i="1"/>
  <c r="W357" i="1"/>
  <c r="U357" i="1"/>
  <c r="F383" i="2" s="1"/>
  <c r="R357" i="1"/>
  <c r="M357" i="1"/>
  <c r="S357" i="1" s="1"/>
  <c r="HN356" i="1"/>
  <c r="HK356" i="1"/>
  <c r="HJ356" i="1"/>
  <c r="HA356" i="1"/>
  <c r="GW356" i="1"/>
  <c r="GR356" i="1"/>
  <c r="GL356" i="1"/>
  <c r="GG356" i="1"/>
  <c r="GM356" i="1" s="1"/>
  <c r="GX356" i="1" s="1"/>
  <c r="GA356" i="1"/>
  <c r="FV356" i="1"/>
  <c r="GB356" i="1" s="1"/>
  <c r="FQ356" i="1"/>
  <c r="FG356" i="1"/>
  <c r="DU356" i="1"/>
  <c r="DT356" i="1"/>
  <c r="DS356" i="1"/>
  <c r="DR356" i="1"/>
  <c r="DQ356" i="1"/>
  <c r="DL356" i="1"/>
  <c r="DG356" i="1"/>
  <c r="DB356" i="1"/>
  <c r="DV356" i="1" s="1"/>
  <c r="CW356" i="1"/>
  <c r="CS356" i="1"/>
  <c r="CR356" i="1"/>
  <c r="CM356" i="1"/>
  <c r="CH356" i="1"/>
  <c r="BZ356" i="1"/>
  <c r="BY356" i="1"/>
  <c r="BX356" i="1"/>
  <c r="BW356" i="1"/>
  <c r="BQ356" i="1"/>
  <c r="BR356" i="1" s="1"/>
  <c r="BK356" i="1"/>
  <c r="BL356" i="1" s="1"/>
  <c r="BF356" i="1"/>
  <c r="BE356" i="1"/>
  <c r="CA356" i="1" s="1"/>
  <c r="AY356" i="1"/>
  <c r="AU356" i="1"/>
  <c r="AV356" i="1" s="1"/>
  <c r="AM356" i="1"/>
  <c r="AK356" i="1"/>
  <c r="AI356" i="1"/>
  <c r="AG356" i="1"/>
  <c r="AE356" i="1"/>
  <c r="AC356" i="1"/>
  <c r="AA356" i="1"/>
  <c r="Y356" i="1"/>
  <c r="W356" i="1"/>
  <c r="U356" i="1"/>
  <c r="S356" i="1"/>
  <c r="AW356" i="1" s="1"/>
  <c r="R356" i="1"/>
  <c r="M356" i="1"/>
  <c r="HN355" i="1"/>
  <c r="HK355" i="1"/>
  <c r="HJ355" i="1"/>
  <c r="HA355" i="1"/>
  <c r="GW355" i="1"/>
  <c r="GR355" i="1"/>
  <c r="GL355" i="1"/>
  <c r="GG355" i="1"/>
  <c r="GM355" i="1" s="1"/>
  <c r="GX355" i="1" s="1"/>
  <c r="GA355" i="1"/>
  <c r="FV355" i="1"/>
  <c r="GB355" i="1" s="1"/>
  <c r="FQ355" i="1"/>
  <c r="FG355" i="1"/>
  <c r="DU355" i="1"/>
  <c r="DT355" i="1"/>
  <c r="DS355" i="1"/>
  <c r="DR355" i="1"/>
  <c r="DQ355" i="1"/>
  <c r="DL355" i="1"/>
  <c r="DG355" i="1"/>
  <c r="DB355" i="1"/>
  <c r="DV355" i="1" s="1"/>
  <c r="CW355" i="1"/>
  <c r="CR355" i="1"/>
  <c r="CM355" i="1"/>
  <c r="CS355" i="1" s="1"/>
  <c r="CH355" i="1"/>
  <c r="BZ355" i="1"/>
  <c r="BY355" i="1"/>
  <c r="BW355" i="1"/>
  <c r="BX355" i="1" s="1"/>
  <c r="BR355" i="1"/>
  <c r="BQ355" i="1"/>
  <c r="BK355" i="1"/>
  <c r="BL355" i="1" s="1"/>
  <c r="BF355" i="1"/>
  <c r="BE355" i="1"/>
  <c r="AY355" i="1"/>
  <c r="AU355" i="1"/>
  <c r="AV355" i="1" s="1"/>
  <c r="AM355" i="1"/>
  <c r="AK355" i="1"/>
  <c r="AI355" i="1"/>
  <c r="AG355" i="1"/>
  <c r="AE355" i="1"/>
  <c r="AC355" i="1"/>
  <c r="AA355" i="1"/>
  <c r="Y355" i="1"/>
  <c r="W355" i="1"/>
  <c r="U355" i="1"/>
  <c r="S355" i="1"/>
  <c r="AW355" i="1" s="1"/>
  <c r="R355" i="1"/>
  <c r="M355" i="1"/>
  <c r="HN354" i="1"/>
  <c r="HK354" i="1"/>
  <c r="HJ354" i="1"/>
  <c r="HA354" i="1"/>
  <c r="GW354" i="1"/>
  <c r="GX354" i="1" s="1"/>
  <c r="GR354" i="1"/>
  <c r="GM354" i="1"/>
  <c r="GL354" i="1"/>
  <c r="GG354" i="1"/>
  <c r="GA354" i="1"/>
  <c r="FV354" i="1"/>
  <c r="GB354" i="1" s="1"/>
  <c r="E385" i="2" s="1"/>
  <c r="FQ354" i="1"/>
  <c r="FG354" i="1"/>
  <c r="DU354" i="1"/>
  <c r="DT354" i="1"/>
  <c r="DS354" i="1"/>
  <c r="DR354" i="1"/>
  <c r="DQ354" i="1"/>
  <c r="DL354" i="1"/>
  <c r="DG354" i="1"/>
  <c r="DB354" i="1"/>
  <c r="DV354" i="1" s="1"/>
  <c r="E390" i="2" s="1"/>
  <c r="CW354" i="1"/>
  <c r="CR354" i="1"/>
  <c r="CS354" i="1" s="1"/>
  <c r="CM354" i="1"/>
  <c r="CH354" i="1"/>
  <c r="BZ354" i="1"/>
  <c r="BY354" i="1"/>
  <c r="BW354" i="1"/>
  <c r="BX354" i="1" s="1"/>
  <c r="BQ354" i="1"/>
  <c r="BR354" i="1" s="1"/>
  <c r="BK354" i="1"/>
  <c r="BF354" i="1"/>
  <c r="BE354" i="1"/>
  <c r="AY354" i="1"/>
  <c r="AU354" i="1"/>
  <c r="AM354" i="1"/>
  <c r="AK354" i="1"/>
  <c r="AI354" i="1"/>
  <c r="AG354" i="1"/>
  <c r="AE354" i="1"/>
  <c r="AC354" i="1"/>
  <c r="AA354" i="1"/>
  <c r="Y354" i="1"/>
  <c r="W354" i="1"/>
  <c r="U354" i="1"/>
  <c r="E383" i="2" s="1"/>
  <c r="S354" i="1"/>
  <c r="R354" i="1"/>
  <c r="M354" i="1"/>
  <c r="HN353" i="1"/>
  <c r="HK353" i="1"/>
  <c r="HJ353" i="1"/>
  <c r="HB353" i="1"/>
  <c r="HA353" i="1"/>
  <c r="GW353" i="1"/>
  <c r="GR353" i="1"/>
  <c r="GL353" i="1"/>
  <c r="GG353" i="1"/>
  <c r="GM353" i="1" s="1"/>
  <c r="GX353" i="1" s="1"/>
  <c r="GB353" i="1"/>
  <c r="GA353" i="1"/>
  <c r="FV353" i="1"/>
  <c r="FQ353" i="1"/>
  <c r="FG353" i="1"/>
  <c r="DU353" i="1"/>
  <c r="DT353" i="1"/>
  <c r="DS353" i="1"/>
  <c r="DR353" i="1"/>
  <c r="DQ353" i="1"/>
  <c r="DL353" i="1"/>
  <c r="DG353" i="1"/>
  <c r="DB353" i="1"/>
  <c r="DV353" i="1" s="1"/>
  <c r="CW353" i="1"/>
  <c r="CS353" i="1"/>
  <c r="CR353" i="1"/>
  <c r="CM353" i="1"/>
  <c r="CH353" i="1"/>
  <c r="BZ353" i="1"/>
  <c r="BY353" i="1"/>
  <c r="BW353" i="1"/>
  <c r="BX353" i="1" s="1"/>
  <c r="BQ353" i="1"/>
  <c r="BR353" i="1" s="1"/>
  <c r="BL353" i="1"/>
  <c r="BK353" i="1"/>
  <c r="BF353" i="1"/>
  <c r="CB353" i="1" s="1"/>
  <c r="BE353" i="1"/>
  <c r="AY353" i="1"/>
  <c r="AU353" i="1"/>
  <c r="AV353" i="1" s="1"/>
  <c r="AM353" i="1"/>
  <c r="AK353" i="1"/>
  <c r="AI353" i="1"/>
  <c r="AG353" i="1"/>
  <c r="AE353" i="1"/>
  <c r="AC353" i="1"/>
  <c r="AA353" i="1"/>
  <c r="Y353" i="1"/>
  <c r="W353" i="1"/>
  <c r="U353" i="1"/>
  <c r="R353" i="1"/>
  <c r="S353" i="1" s="1"/>
  <c r="AW353" i="1" s="1"/>
  <c r="M353" i="1"/>
  <c r="HN352" i="1"/>
  <c r="HK352" i="1"/>
  <c r="HJ352" i="1"/>
  <c r="HB352" i="1"/>
  <c r="HA352" i="1"/>
  <c r="GW352" i="1"/>
  <c r="GR352" i="1"/>
  <c r="GL352" i="1"/>
  <c r="GM352" i="1" s="1"/>
  <c r="GX352" i="1" s="1"/>
  <c r="GG352" i="1"/>
  <c r="GB352" i="1"/>
  <c r="GA352" i="1"/>
  <c r="FV352" i="1"/>
  <c r="FQ352" i="1"/>
  <c r="FG352" i="1"/>
  <c r="DU352" i="1"/>
  <c r="DT352" i="1"/>
  <c r="DS352" i="1"/>
  <c r="DR352" i="1"/>
  <c r="DQ352" i="1"/>
  <c r="DL352" i="1"/>
  <c r="DG352" i="1"/>
  <c r="DB352" i="1"/>
  <c r="DV352" i="1" s="1"/>
  <c r="CW352" i="1"/>
  <c r="CR352" i="1"/>
  <c r="CM352" i="1"/>
  <c r="CS352" i="1" s="1"/>
  <c r="CH352" i="1"/>
  <c r="BZ352" i="1"/>
  <c r="BY352" i="1"/>
  <c r="BW352" i="1"/>
  <c r="BX352" i="1" s="1"/>
  <c r="BR352" i="1"/>
  <c r="BQ352" i="1"/>
  <c r="BL352" i="1"/>
  <c r="BK352" i="1"/>
  <c r="BF352" i="1"/>
  <c r="CB352" i="1" s="1"/>
  <c r="BE352" i="1"/>
  <c r="AY352" i="1"/>
  <c r="AV352" i="1"/>
  <c r="AU352" i="1"/>
  <c r="AM352" i="1"/>
  <c r="AK352" i="1"/>
  <c r="AI352" i="1"/>
  <c r="AG352" i="1"/>
  <c r="AE352" i="1"/>
  <c r="AC352" i="1"/>
  <c r="AA352" i="1"/>
  <c r="Y352" i="1"/>
  <c r="W352" i="1"/>
  <c r="U352" i="1"/>
  <c r="S352" i="1"/>
  <c r="AW352" i="1" s="1"/>
  <c r="R352" i="1"/>
  <c r="M352" i="1"/>
  <c r="HN351" i="1"/>
  <c r="HK351" i="1"/>
  <c r="D811" i="3" s="1"/>
  <c r="HJ351" i="1"/>
  <c r="HA351" i="1"/>
  <c r="GW351" i="1"/>
  <c r="GR351" i="1"/>
  <c r="GL351" i="1"/>
  <c r="GM351" i="1" s="1"/>
  <c r="GG351" i="1"/>
  <c r="GB351" i="1"/>
  <c r="GA351" i="1"/>
  <c r="FV351" i="1"/>
  <c r="FQ351" i="1"/>
  <c r="FG351" i="1"/>
  <c r="DU351" i="1"/>
  <c r="DT351" i="1"/>
  <c r="DS351" i="1"/>
  <c r="DR351" i="1"/>
  <c r="DQ351" i="1"/>
  <c r="DL351" i="1"/>
  <c r="DG351" i="1"/>
  <c r="DB351" i="1"/>
  <c r="DV351" i="1" s="1"/>
  <c r="CW351" i="1"/>
  <c r="CR351" i="1"/>
  <c r="CM351" i="1"/>
  <c r="CS351" i="1" s="1"/>
  <c r="CH351" i="1"/>
  <c r="BZ351" i="1"/>
  <c r="BY351" i="1"/>
  <c r="BW351" i="1"/>
  <c r="BX351" i="1" s="1"/>
  <c r="BR351" i="1"/>
  <c r="BQ351" i="1"/>
  <c r="BK351" i="1"/>
  <c r="BL351" i="1" s="1"/>
  <c r="BE351" i="1"/>
  <c r="CA351" i="1" s="1"/>
  <c r="AY351" i="1"/>
  <c r="AV351" i="1"/>
  <c r="AU351" i="1"/>
  <c r="AM351" i="1"/>
  <c r="AK351" i="1"/>
  <c r="AI351" i="1"/>
  <c r="AG351" i="1"/>
  <c r="AE351" i="1"/>
  <c r="AC351" i="1"/>
  <c r="AA351" i="1"/>
  <c r="Y351" i="1"/>
  <c r="W351" i="1"/>
  <c r="U351" i="1"/>
  <c r="R351" i="1"/>
  <c r="S351" i="1" s="1"/>
  <c r="M351" i="1"/>
  <c r="HN350" i="1"/>
  <c r="HK350" i="1"/>
  <c r="HJ350" i="1"/>
  <c r="HA350" i="1"/>
  <c r="GW350" i="1"/>
  <c r="GR350" i="1"/>
  <c r="GL350" i="1"/>
  <c r="GG350" i="1"/>
  <c r="GM350" i="1" s="1"/>
  <c r="GX350" i="1" s="1"/>
  <c r="GA350" i="1"/>
  <c r="GB350" i="1" s="1"/>
  <c r="FV350" i="1"/>
  <c r="FQ350" i="1"/>
  <c r="FG350" i="1"/>
  <c r="DU350" i="1"/>
  <c r="DT350" i="1"/>
  <c r="DS350" i="1"/>
  <c r="DR350" i="1"/>
  <c r="DQ350" i="1"/>
  <c r="DL350" i="1"/>
  <c r="DG350" i="1"/>
  <c r="DB350" i="1"/>
  <c r="DV350" i="1" s="1"/>
  <c r="CW350" i="1"/>
  <c r="CR350" i="1"/>
  <c r="CS350" i="1" s="1"/>
  <c r="CM350" i="1"/>
  <c r="CH350" i="1"/>
  <c r="BZ350" i="1"/>
  <c r="BY350" i="1"/>
  <c r="BW350" i="1"/>
  <c r="BX350" i="1" s="1"/>
  <c r="BR350" i="1"/>
  <c r="BQ350" i="1"/>
  <c r="BK350" i="1"/>
  <c r="BL350" i="1" s="1"/>
  <c r="BE350" i="1"/>
  <c r="BF350" i="1" s="1"/>
  <c r="AY350" i="1"/>
  <c r="AW350" i="1"/>
  <c r="AV350" i="1"/>
  <c r="AU350" i="1"/>
  <c r="AM350" i="1"/>
  <c r="AK350" i="1"/>
  <c r="AI350" i="1"/>
  <c r="AG350" i="1"/>
  <c r="AE350" i="1"/>
  <c r="AC350" i="1"/>
  <c r="AA350" i="1"/>
  <c r="Y350" i="1"/>
  <c r="W350" i="1"/>
  <c r="U350" i="1"/>
  <c r="R350" i="1"/>
  <c r="M350" i="1"/>
  <c r="S350" i="1" s="1"/>
  <c r="HN349" i="1"/>
  <c r="HK349" i="1"/>
  <c r="HJ349" i="1"/>
  <c r="HA349" i="1"/>
  <c r="GW349" i="1"/>
  <c r="GR349" i="1"/>
  <c r="GL349" i="1"/>
  <c r="GG349" i="1"/>
  <c r="GM349" i="1" s="1"/>
  <c r="GA349" i="1"/>
  <c r="FV349" i="1"/>
  <c r="GB349" i="1" s="1"/>
  <c r="FQ349" i="1"/>
  <c r="FG349" i="1"/>
  <c r="DU349" i="1"/>
  <c r="DT349" i="1"/>
  <c r="DS349" i="1"/>
  <c r="DR349" i="1"/>
  <c r="DQ349" i="1"/>
  <c r="DL349" i="1"/>
  <c r="DG349" i="1"/>
  <c r="DB349" i="1"/>
  <c r="CW349" i="1"/>
  <c r="CR349" i="1"/>
  <c r="CM349" i="1"/>
  <c r="CS349" i="1" s="1"/>
  <c r="G375" i="2" s="1"/>
  <c r="CH349" i="1"/>
  <c r="BZ349" i="1"/>
  <c r="BY349" i="1"/>
  <c r="BX349" i="1"/>
  <c r="BW349" i="1"/>
  <c r="BR349" i="1"/>
  <c r="BQ349" i="1"/>
  <c r="BL349" i="1"/>
  <c r="BK349" i="1"/>
  <c r="BE349" i="1"/>
  <c r="CA349" i="1" s="1"/>
  <c r="AY349" i="1"/>
  <c r="AU349" i="1"/>
  <c r="AM349" i="1"/>
  <c r="AK349" i="1"/>
  <c r="AI349" i="1"/>
  <c r="AG349" i="1"/>
  <c r="AE349" i="1"/>
  <c r="AC349" i="1"/>
  <c r="AA349" i="1"/>
  <c r="Y349" i="1"/>
  <c r="W349" i="1"/>
  <c r="U349" i="1"/>
  <c r="G370" i="2" s="1"/>
  <c r="R349" i="1"/>
  <c r="M349" i="1"/>
  <c r="S349" i="1" s="1"/>
  <c r="HA348" i="1"/>
  <c r="HN347" i="1"/>
  <c r="HK347" i="1"/>
  <c r="HJ347" i="1"/>
  <c r="HA347" i="1"/>
  <c r="GW347" i="1"/>
  <c r="GR347" i="1"/>
  <c r="GM347" i="1"/>
  <c r="GX347" i="1" s="1"/>
  <c r="GL347" i="1"/>
  <c r="GG347" i="1"/>
  <c r="GA347" i="1"/>
  <c r="GB347" i="1" s="1"/>
  <c r="FV347" i="1"/>
  <c r="FQ347" i="1"/>
  <c r="FG347" i="1"/>
  <c r="DU347" i="1"/>
  <c r="DT347" i="1"/>
  <c r="DS347" i="1"/>
  <c r="DR347" i="1"/>
  <c r="DQ347" i="1"/>
  <c r="DL347" i="1"/>
  <c r="DG347" i="1"/>
  <c r="DB347" i="1"/>
  <c r="DV347" i="1" s="1"/>
  <c r="CW347" i="1"/>
  <c r="CS347" i="1"/>
  <c r="CR347" i="1"/>
  <c r="CM347" i="1"/>
  <c r="CH347" i="1"/>
  <c r="BZ347" i="1"/>
  <c r="BY347" i="1"/>
  <c r="BX347" i="1"/>
  <c r="BW347" i="1"/>
  <c r="BR347" i="1"/>
  <c r="BQ347" i="1"/>
  <c r="BL347" i="1"/>
  <c r="BK347" i="1"/>
  <c r="CA347" i="1" s="1"/>
  <c r="BF347" i="1"/>
  <c r="BE347" i="1"/>
  <c r="AY347" i="1"/>
  <c r="AV347" i="1"/>
  <c r="AU347" i="1"/>
  <c r="AM347" i="1"/>
  <c r="AK347" i="1"/>
  <c r="AI347" i="1"/>
  <c r="AG347" i="1"/>
  <c r="AE347" i="1"/>
  <c r="AC347" i="1"/>
  <c r="AA347" i="1"/>
  <c r="Y347" i="1"/>
  <c r="W347" i="1"/>
  <c r="U347" i="1"/>
  <c r="R347" i="1"/>
  <c r="M347" i="1"/>
  <c r="S347" i="1" s="1"/>
  <c r="AW347" i="1" s="1"/>
  <c r="HN346" i="1"/>
  <c r="HK346" i="1"/>
  <c r="HJ346" i="1"/>
  <c r="HB346" i="1"/>
  <c r="HA346" i="1"/>
  <c r="GX346" i="1"/>
  <c r="GW346" i="1"/>
  <c r="GR346" i="1"/>
  <c r="GL346" i="1"/>
  <c r="GG346" i="1"/>
  <c r="GM346" i="1" s="1"/>
  <c r="GA346" i="1"/>
  <c r="GB346" i="1" s="1"/>
  <c r="FV346" i="1"/>
  <c r="FQ346" i="1"/>
  <c r="FG346" i="1"/>
  <c r="DU346" i="1"/>
  <c r="DT346" i="1"/>
  <c r="DS346" i="1"/>
  <c r="DR346" i="1"/>
  <c r="DQ346" i="1"/>
  <c r="DL346" i="1"/>
  <c r="DG346" i="1"/>
  <c r="DB346" i="1"/>
  <c r="CW346" i="1"/>
  <c r="CR346" i="1"/>
  <c r="CM346" i="1"/>
  <c r="CS346" i="1" s="1"/>
  <c r="CH346" i="1"/>
  <c r="BZ346" i="1"/>
  <c r="BY346" i="1"/>
  <c r="BW346" i="1"/>
  <c r="BX346" i="1" s="1"/>
  <c r="BQ346" i="1"/>
  <c r="BR346" i="1" s="1"/>
  <c r="BK346" i="1"/>
  <c r="BL346" i="1" s="1"/>
  <c r="CB346" i="1" s="1"/>
  <c r="BE346" i="1"/>
  <c r="BF346" i="1" s="1"/>
  <c r="AY346" i="1"/>
  <c r="AV346" i="1"/>
  <c r="AU346" i="1"/>
  <c r="AM346" i="1"/>
  <c r="AK346" i="1"/>
  <c r="AI346" i="1"/>
  <c r="AG346" i="1"/>
  <c r="AE346" i="1"/>
  <c r="AC346" i="1"/>
  <c r="AA346" i="1"/>
  <c r="Y346" i="1"/>
  <c r="W346" i="1"/>
  <c r="U346" i="1"/>
  <c r="R346" i="1"/>
  <c r="M346" i="1"/>
  <c r="HN345" i="1"/>
  <c r="HK345" i="1"/>
  <c r="HJ345" i="1"/>
  <c r="HA345" i="1"/>
  <c r="GW345" i="1"/>
  <c r="GR345" i="1"/>
  <c r="GL345" i="1"/>
  <c r="GG345" i="1"/>
  <c r="GM345" i="1" s="1"/>
  <c r="GA345" i="1"/>
  <c r="FV345" i="1"/>
  <c r="FQ345" i="1"/>
  <c r="FG345" i="1"/>
  <c r="DU345" i="1"/>
  <c r="DT345" i="1"/>
  <c r="DS345" i="1"/>
  <c r="DR345" i="1"/>
  <c r="DQ345" i="1"/>
  <c r="DL345" i="1"/>
  <c r="DG345" i="1"/>
  <c r="DB345" i="1"/>
  <c r="CW345" i="1"/>
  <c r="CR345" i="1"/>
  <c r="CM345" i="1"/>
  <c r="CS345" i="1" s="1"/>
  <c r="CH345" i="1"/>
  <c r="BZ345" i="1"/>
  <c r="BY345" i="1"/>
  <c r="BX345" i="1"/>
  <c r="BW345" i="1"/>
  <c r="BR345" i="1"/>
  <c r="BQ345" i="1"/>
  <c r="BL345" i="1"/>
  <c r="BK345" i="1"/>
  <c r="BE345" i="1"/>
  <c r="CA345" i="1" s="1"/>
  <c r="AY345" i="1"/>
  <c r="AU345" i="1"/>
  <c r="AM345" i="1"/>
  <c r="AK345" i="1"/>
  <c r="AI345" i="1"/>
  <c r="AG345" i="1"/>
  <c r="AE345" i="1"/>
  <c r="AC345" i="1"/>
  <c r="AA345" i="1"/>
  <c r="Y345" i="1"/>
  <c r="W345" i="1"/>
  <c r="U345" i="1"/>
  <c r="F370" i="2" s="1"/>
  <c r="R345" i="1"/>
  <c r="M345" i="1"/>
  <c r="S345" i="1" s="1"/>
  <c r="HN344" i="1"/>
  <c r="HK344" i="1"/>
  <c r="HJ344" i="1"/>
  <c r="HA344" i="1"/>
  <c r="GW344" i="1"/>
  <c r="GR344" i="1"/>
  <c r="GM344" i="1"/>
  <c r="GX344" i="1" s="1"/>
  <c r="GL344" i="1"/>
  <c r="GG344" i="1"/>
  <c r="GA344" i="1"/>
  <c r="FV344" i="1"/>
  <c r="GB344" i="1" s="1"/>
  <c r="FQ344" i="1"/>
  <c r="FG344" i="1"/>
  <c r="DU344" i="1"/>
  <c r="DT344" i="1"/>
  <c r="DS344" i="1"/>
  <c r="DR344" i="1"/>
  <c r="DQ344" i="1"/>
  <c r="DL344" i="1"/>
  <c r="DG344" i="1"/>
  <c r="DB344" i="1"/>
  <c r="DV344" i="1" s="1"/>
  <c r="CW344" i="1"/>
  <c r="CS344" i="1"/>
  <c r="CR344" i="1"/>
  <c r="CM344" i="1"/>
  <c r="CH344" i="1"/>
  <c r="BZ344" i="1"/>
  <c r="BY344" i="1"/>
  <c r="BW344" i="1"/>
  <c r="BQ344" i="1"/>
  <c r="BR344" i="1" s="1"/>
  <c r="BK344" i="1"/>
  <c r="BL344" i="1" s="1"/>
  <c r="BF344" i="1"/>
  <c r="BE344" i="1"/>
  <c r="AY344" i="1"/>
  <c r="AV344" i="1"/>
  <c r="AU344" i="1"/>
  <c r="AM344" i="1"/>
  <c r="AK344" i="1"/>
  <c r="AI344" i="1"/>
  <c r="AG344" i="1"/>
  <c r="AE344" i="1"/>
  <c r="AC344" i="1"/>
  <c r="AA344" i="1"/>
  <c r="Y344" i="1"/>
  <c r="W344" i="1"/>
  <c r="U344" i="1"/>
  <c r="R344" i="1"/>
  <c r="M344" i="1"/>
  <c r="S344" i="1" s="1"/>
  <c r="AW344" i="1" s="1"/>
  <c r="HN343" i="1"/>
  <c r="HK343" i="1"/>
  <c r="HJ343" i="1"/>
  <c r="HA343" i="1"/>
  <c r="GW343" i="1"/>
  <c r="GR343" i="1"/>
  <c r="GM343" i="1"/>
  <c r="GX343" i="1" s="1"/>
  <c r="GL343" i="1"/>
  <c r="GG343" i="1"/>
  <c r="GA343" i="1"/>
  <c r="FV343" i="1"/>
  <c r="GB343" i="1" s="1"/>
  <c r="FQ343" i="1"/>
  <c r="FG343" i="1"/>
  <c r="DU343" i="1"/>
  <c r="DT343" i="1"/>
  <c r="DS343" i="1"/>
  <c r="DR343" i="1"/>
  <c r="DQ343" i="1"/>
  <c r="DL343" i="1"/>
  <c r="DG343" i="1"/>
  <c r="DB343" i="1"/>
  <c r="DV343" i="1" s="1"/>
  <c r="CW343" i="1"/>
  <c r="CR343" i="1"/>
  <c r="CM343" i="1"/>
  <c r="CS343" i="1" s="1"/>
  <c r="CH343" i="1"/>
  <c r="BZ343" i="1"/>
  <c r="BY343" i="1"/>
  <c r="BW343" i="1"/>
  <c r="BX343" i="1" s="1"/>
  <c r="BR343" i="1"/>
  <c r="BQ343" i="1"/>
  <c r="BL343" i="1"/>
  <c r="BK343" i="1"/>
  <c r="CA343" i="1" s="1"/>
  <c r="BF343" i="1"/>
  <c r="CB343" i="1" s="1"/>
  <c r="BE343" i="1"/>
  <c r="AY343" i="1"/>
  <c r="AV343" i="1"/>
  <c r="AU343" i="1"/>
  <c r="AM343" i="1"/>
  <c r="AK343" i="1"/>
  <c r="AI343" i="1"/>
  <c r="AG343" i="1"/>
  <c r="AE343" i="1"/>
  <c r="AC343" i="1"/>
  <c r="AA343" i="1"/>
  <c r="Y343" i="1"/>
  <c r="W343" i="1"/>
  <c r="U343" i="1"/>
  <c r="S343" i="1"/>
  <c r="AW343" i="1" s="1"/>
  <c r="R343" i="1"/>
  <c r="M343" i="1"/>
  <c r="HN342" i="1"/>
  <c r="HK342" i="1"/>
  <c r="HJ342" i="1"/>
  <c r="HA342" i="1"/>
  <c r="GW342" i="1"/>
  <c r="GR342" i="1"/>
  <c r="GL342" i="1"/>
  <c r="GM342" i="1" s="1"/>
  <c r="GG342" i="1"/>
  <c r="GB342" i="1"/>
  <c r="E372" i="2" s="1"/>
  <c r="GA342" i="1"/>
  <c r="FV342" i="1"/>
  <c r="FQ342" i="1"/>
  <c r="FG342" i="1"/>
  <c r="DU342" i="1"/>
  <c r="DT342" i="1"/>
  <c r="DS342" i="1"/>
  <c r="DR342" i="1"/>
  <c r="DQ342" i="1"/>
  <c r="DL342" i="1"/>
  <c r="DG342" i="1"/>
  <c r="DB342" i="1"/>
  <c r="DV342" i="1" s="1"/>
  <c r="CW342" i="1"/>
  <c r="CR342" i="1"/>
  <c r="CS342" i="1" s="1"/>
  <c r="CM342" i="1"/>
  <c r="CH342" i="1"/>
  <c r="BZ342" i="1"/>
  <c r="BY342" i="1"/>
  <c r="BW342" i="1"/>
  <c r="BQ342" i="1"/>
  <c r="BR342" i="1" s="1"/>
  <c r="BK342" i="1"/>
  <c r="BL342" i="1" s="1"/>
  <c r="BF342" i="1"/>
  <c r="BE342" i="1"/>
  <c r="AY342" i="1"/>
  <c r="AU342" i="1"/>
  <c r="AM342" i="1"/>
  <c r="AK342" i="1"/>
  <c r="AI342" i="1"/>
  <c r="AG342" i="1"/>
  <c r="AE342" i="1"/>
  <c r="AC342" i="1"/>
  <c r="AA342" i="1"/>
  <c r="Y342" i="1"/>
  <c r="W342" i="1"/>
  <c r="U342" i="1"/>
  <c r="R342" i="1"/>
  <c r="M342" i="1"/>
  <c r="S342" i="1" s="1"/>
  <c r="HN341" i="1"/>
  <c r="HK341" i="1"/>
  <c r="HJ341" i="1"/>
  <c r="HA341" i="1"/>
  <c r="GW341" i="1"/>
  <c r="GR341" i="1"/>
  <c r="GM341" i="1"/>
  <c r="GL341" i="1"/>
  <c r="GG341" i="1"/>
  <c r="GA341" i="1"/>
  <c r="FV341" i="1"/>
  <c r="GB341" i="1" s="1"/>
  <c r="FQ341" i="1"/>
  <c r="FG341" i="1"/>
  <c r="DU341" i="1"/>
  <c r="DT341" i="1"/>
  <c r="DS341" i="1"/>
  <c r="DR341" i="1"/>
  <c r="DQ341" i="1"/>
  <c r="DL341" i="1"/>
  <c r="DG341" i="1"/>
  <c r="DB341" i="1"/>
  <c r="DV341" i="1" s="1"/>
  <c r="CW341" i="1"/>
  <c r="CR341" i="1"/>
  <c r="CM341" i="1"/>
  <c r="CS341" i="1" s="1"/>
  <c r="CH341" i="1"/>
  <c r="BZ341" i="1"/>
  <c r="BY341" i="1"/>
  <c r="BW341" i="1"/>
  <c r="BX341" i="1" s="1"/>
  <c r="BQ341" i="1"/>
  <c r="BR341" i="1" s="1"/>
  <c r="BL341" i="1"/>
  <c r="BK341" i="1"/>
  <c r="BE341" i="1"/>
  <c r="AY341" i="1"/>
  <c r="AU341" i="1"/>
  <c r="AV341" i="1" s="1"/>
  <c r="AM341" i="1"/>
  <c r="AK341" i="1"/>
  <c r="AI341" i="1"/>
  <c r="AG341" i="1"/>
  <c r="AE341" i="1"/>
  <c r="AC341" i="1"/>
  <c r="AA341" i="1"/>
  <c r="Y341" i="1"/>
  <c r="W341" i="1"/>
  <c r="U341" i="1"/>
  <c r="R341" i="1"/>
  <c r="S341" i="1" s="1"/>
  <c r="AW341" i="1" s="1"/>
  <c r="M341" i="1"/>
  <c r="HN340" i="1"/>
  <c r="HK340" i="1"/>
  <c r="HJ340" i="1"/>
  <c r="HA340" i="1"/>
  <c r="GW340" i="1"/>
  <c r="GR340" i="1"/>
  <c r="GL340" i="1"/>
  <c r="GM340" i="1" s="1"/>
  <c r="GX340" i="1" s="1"/>
  <c r="GG340" i="1"/>
  <c r="GB340" i="1"/>
  <c r="GA340" i="1"/>
  <c r="FV340" i="1"/>
  <c r="FQ340" i="1"/>
  <c r="FG340" i="1"/>
  <c r="DU340" i="1"/>
  <c r="DT340" i="1"/>
  <c r="DS340" i="1"/>
  <c r="DR340" i="1"/>
  <c r="DQ340" i="1"/>
  <c r="DL340" i="1"/>
  <c r="DG340" i="1"/>
  <c r="DB340" i="1"/>
  <c r="CW340" i="1"/>
  <c r="CR340" i="1"/>
  <c r="CM340" i="1"/>
  <c r="CS340" i="1" s="1"/>
  <c r="CH340" i="1"/>
  <c r="BZ340" i="1"/>
  <c r="BY340" i="1"/>
  <c r="BW340" i="1"/>
  <c r="BX340" i="1" s="1"/>
  <c r="BQ340" i="1"/>
  <c r="BR340" i="1" s="1"/>
  <c r="BK340" i="1"/>
  <c r="BL340" i="1" s="1"/>
  <c r="BE340" i="1"/>
  <c r="CA340" i="1" s="1"/>
  <c r="AY340" i="1"/>
  <c r="AU340" i="1"/>
  <c r="AV340" i="1" s="1"/>
  <c r="AM340" i="1"/>
  <c r="AK340" i="1"/>
  <c r="AI340" i="1"/>
  <c r="AG340" i="1"/>
  <c r="AE340" i="1"/>
  <c r="AC340" i="1"/>
  <c r="AA340" i="1"/>
  <c r="Y340" i="1"/>
  <c r="W340" i="1"/>
  <c r="U340" i="1"/>
  <c r="R340" i="1"/>
  <c r="S340" i="1" s="1"/>
  <c r="M340" i="1"/>
  <c r="HN339" i="1"/>
  <c r="HK339" i="1"/>
  <c r="HJ339" i="1"/>
  <c r="HA339" i="1"/>
  <c r="GW339" i="1"/>
  <c r="GR339" i="1"/>
  <c r="GL339" i="1"/>
  <c r="GM339" i="1" s="1"/>
  <c r="GG339" i="1"/>
  <c r="GB339" i="1"/>
  <c r="GA339" i="1"/>
  <c r="FV339" i="1"/>
  <c r="FQ339" i="1"/>
  <c r="FG339" i="1"/>
  <c r="D783" i="3" s="1"/>
  <c r="DU339" i="1"/>
  <c r="DT339" i="1"/>
  <c r="DS339" i="1"/>
  <c r="DR339" i="1"/>
  <c r="DQ339" i="1"/>
  <c r="DL339" i="1"/>
  <c r="DG339" i="1"/>
  <c r="DB339" i="1"/>
  <c r="CW339" i="1"/>
  <c r="CR339" i="1"/>
  <c r="CS339" i="1" s="1"/>
  <c r="CM339" i="1"/>
  <c r="CH339" i="1"/>
  <c r="BZ339" i="1"/>
  <c r="BY339" i="1"/>
  <c r="BW339" i="1"/>
  <c r="BX339" i="1" s="1"/>
  <c r="BR339" i="1"/>
  <c r="BQ339" i="1"/>
  <c r="BK339" i="1"/>
  <c r="BL339" i="1" s="1"/>
  <c r="BE339" i="1"/>
  <c r="AY339" i="1"/>
  <c r="AW339" i="1"/>
  <c r="AV339" i="1"/>
  <c r="AU339" i="1"/>
  <c r="AM339" i="1"/>
  <c r="AK339" i="1"/>
  <c r="AI339" i="1"/>
  <c r="AG339" i="1"/>
  <c r="AE339" i="1"/>
  <c r="AC339" i="1"/>
  <c r="AA339" i="1"/>
  <c r="Y339" i="1"/>
  <c r="W339" i="1"/>
  <c r="U339" i="1"/>
  <c r="R339" i="1"/>
  <c r="S339" i="1" s="1"/>
  <c r="M339" i="1"/>
  <c r="HN338" i="1"/>
  <c r="HK338" i="1"/>
  <c r="HJ338" i="1"/>
  <c r="HA338" i="1"/>
  <c r="GW338" i="1"/>
  <c r="GR338" i="1"/>
  <c r="GL338" i="1"/>
  <c r="GG338" i="1"/>
  <c r="GM338" i="1" s="1"/>
  <c r="GB338" i="1"/>
  <c r="GA338" i="1"/>
  <c r="FV338" i="1"/>
  <c r="FQ338" i="1"/>
  <c r="FG338" i="1"/>
  <c r="DU338" i="1"/>
  <c r="DT338" i="1"/>
  <c r="DS338" i="1"/>
  <c r="DR338" i="1"/>
  <c r="DQ338" i="1"/>
  <c r="DL338" i="1"/>
  <c r="DG338" i="1"/>
  <c r="DB338" i="1"/>
  <c r="DV338" i="1" s="1"/>
  <c r="CW338" i="1"/>
  <c r="CR338" i="1"/>
  <c r="CM338" i="1"/>
  <c r="CS338" i="1" s="1"/>
  <c r="CH338" i="1"/>
  <c r="BZ338" i="1"/>
  <c r="BY338" i="1"/>
  <c r="BW338" i="1"/>
  <c r="BX338" i="1" s="1"/>
  <c r="BR338" i="1"/>
  <c r="BQ338" i="1"/>
  <c r="BL338" i="1"/>
  <c r="BK338" i="1"/>
  <c r="BE338" i="1"/>
  <c r="AY338" i="1"/>
  <c r="AU338" i="1"/>
  <c r="AV338" i="1" s="1"/>
  <c r="AM338" i="1"/>
  <c r="AK338" i="1"/>
  <c r="AI338" i="1"/>
  <c r="AG338" i="1"/>
  <c r="AE338" i="1"/>
  <c r="AC338" i="1"/>
  <c r="AA338" i="1"/>
  <c r="Y338" i="1"/>
  <c r="W338" i="1"/>
  <c r="U338" i="1"/>
  <c r="R338" i="1"/>
  <c r="M338" i="1"/>
  <c r="S338" i="1" s="1"/>
  <c r="AW338" i="1" s="1"/>
  <c r="HN337" i="1"/>
  <c r="HK337" i="1"/>
  <c r="HJ337" i="1"/>
  <c r="HA337" i="1"/>
  <c r="GW337" i="1"/>
  <c r="GR337" i="1"/>
  <c r="GL337" i="1"/>
  <c r="GG337" i="1"/>
  <c r="GM337" i="1" s="1"/>
  <c r="GA337" i="1"/>
  <c r="FV337" i="1"/>
  <c r="GB337" i="1" s="1"/>
  <c r="FQ337" i="1"/>
  <c r="FG337" i="1"/>
  <c r="DU337" i="1"/>
  <c r="DT337" i="1"/>
  <c r="DS337" i="1"/>
  <c r="DR337" i="1"/>
  <c r="DQ337" i="1"/>
  <c r="DL337" i="1"/>
  <c r="DG337" i="1"/>
  <c r="DB337" i="1"/>
  <c r="DV337" i="1" s="1"/>
  <c r="G364" i="2" s="1"/>
  <c r="CW337" i="1"/>
  <c r="CR337" i="1"/>
  <c r="CM337" i="1"/>
  <c r="CS337" i="1" s="1"/>
  <c r="G362" i="2" s="1"/>
  <c r="CH337" i="1"/>
  <c r="BZ337" i="1"/>
  <c r="BY337" i="1"/>
  <c r="BX337" i="1"/>
  <c r="BW337" i="1"/>
  <c r="BQ337" i="1"/>
  <c r="BR337" i="1" s="1"/>
  <c r="BK337" i="1"/>
  <c r="BL337" i="1" s="1"/>
  <c r="BE337" i="1"/>
  <c r="BF337" i="1" s="1"/>
  <c r="AY337" i="1"/>
  <c r="AV337" i="1"/>
  <c r="AU337" i="1"/>
  <c r="AM337" i="1"/>
  <c r="AK337" i="1"/>
  <c r="AI337" i="1"/>
  <c r="AG337" i="1"/>
  <c r="AE337" i="1"/>
  <c r="AC337" i="1"/>
  <c r="AA337" i="1"/>
  <c r="Y337" i="1"/>
  <c r="W337" i="1"/>
  <c r="U337" i="1"/>
  <c r="S337" i="1"/>
  <c r="R337" i="1"/>
  <c r="M337" i="1"/>
  <c r="HA336" i="1"/>
  <c r="HN335" i="1"/>
  <c r="HK335" i="1"/>
  <c r="HJ335" i="1"/>
  <c r="HA335" i="1"/>
  <c r="GW335" i="1"/>
  <c r="GR335" i="1"/>
  <c r="GM335" i="1"/>
  <c r="GL335" i="1"/>
  <c r="GG335" i="1"/>
  <c r="GB335" i="1"/>
  <c r="GA335" i="1"/>
  <c r="FV335" i="1"/>
  <c r="FQ335" i="1"/>
  <c r="FG335" i="1"/>
  <c r="DU335" i="1"/>
  <c r="DT335" i="1"/>
  <c r="DS335" i="1"/>
  <c r="DR335" i="1"/>
  <c r="DQ335" i="1"/>
  <c r="DL335" i="1"/>
  <c r="DG335" i="1"/>
  <c r="DB335" i="1"/>
  <c r="DV335" i="1" s="1"/>
  <c r="CW335" i="1"/>
  <c r="CR335" i="1"/>
  <c r="CS335" i="1" s="1"/>
  <c r="CM335" i="1"/>
  <c r="CH335" i="1"/>
  <c r="CA335" i="1"/>
  <c r="BZ335" i="1"/>
  <c r="BY335" i="1"/>
  <c r="BW335" i="1"/>
  <c r="BX335" i="1" s="1"/>
  <c r="BR335" i="1"/>
  <c r="BQ335" i="1"/>
  <c r="BK335" i="1"/>
  <c r="BL335" i="1" s="1"/>
  <c r="BE335" i="1"/>
  <c r="BF335" i="1" s="1"/>
  <c r="CB335" i="1" s="1"/>
  <c r="AY335" i="1"/>
  <c r="AV335" i="1"/>
  <c r="AU335" i="1"/>
  <c r="AM335" i="1"/>
  <c r="AK335" i="1"/>
  <c r="AI335" i="1"/>
  <c r="AG335" i="1"/>
  <c r="AE335" i="1"/>
  <c r="AC335" i="1"/>
  <c r="AA335" i="1"/>
  <c r="Y335" i="1"/>
  <c r="W335" i="1"/>
  <c r="U335" i="1"/>
  <c r="R335" i="1"/>
  <c r="S335" i="1" s="1"/>
  <c r="AW335" i="1" s="1"/>
  <c r="M335" i="1"/>
  <c r="HN334" i="1"/>
  <c r="HK334" i="1"/>
  <c r="HJ334" i="1"/>
  <c r="HA334" i="1"/>
  <c r="GW334" i="1"/>
  <c r="GX334" i="1" s="1"/>
  <c r="GR334" i="1"/>
  <c r="GL334" i="1"/>
  <c r="GG334" i="1"/>
  <c r="GM334" i="1" s="1"/>
  <c r="GA334" i="1"/>
  <c r="FV334" i="1"/>
  <c r="GB334" i="1" s="1"/>
  <c r="FQ334" i="1"/>
  <c r="FG334" i="1"/>
  <c r="DU334" i="1"/>
  <c r="DT334" i="1"/>
  <c r="DS334" i="1"/>
  <c r="DR334" i="1"/>
  <c r="DQ334" i="1"/>
  <c r="DL334" i="1"/>
  <c r="DG334" i="1"/>
  <c r="DB334" i="1"/>
  <c r="DV334" i="1" s="1"/>
  <c r="CW334" i="1"/>
  <c r="CR334" i="1"/>
  <c r="CM334" i="1"/>
  <c r="CS334" i="1" s="1"/>
  <c r="CH334" i="1"/>
  <c r="BZ334" i="1"/>
  <c r="BY334" i="1"/>
  <c r="BW334" i="1"/>
  <c r="BX334" i="1" s="1"/>
  <c r="BR334" i="1"/>
  <c r="BQ334" i="1"/>
  <c r="BL334" i="1"/>
  <c r="BK334" i="1"/>
  <c r="BE334" i="1"/>
  <c r="AY334" i="1"/>
  <c r="AU334" i="1"/>
  <c r="AV334" i="1" s="1"/>
  <c r="AM334" i="1"/>
  <c r="AK334" i="1"/>
  <c r="AI334" i="1"/>
  <c r="AG334" i="1"/>
  <c r="AE334" i="1"/>
  <c r="AC334" i="1"/>
  <c r="AA334" i="1"/>
  <c r="Y334" i="1"/>
  <c r="W334" i="1"/>
  <c r="U334" i="1"/>
  <c r="R334" i="1"/>
  <c r="M334" i="1"/>
  <c r="S334" i="1" s="1"/>
  <c r="AW334" i="1" s="1"/>
  <c r="HN333" i="1"/>
  <c r="HK333" i="1"/>
  <c r="HJ333" i="1"/>
  <c r="HA333" i="1"/>
  <c r="GW333" i="1"/>
  <c r="GR333" i="1"/>
  <c r="GL333" i="1"/>
  <c r="GG333" i="1"/>
  <c r="GM333" i="1" s="1"/>
  <c r="GA333" i="1"/>
  <c r="FV333" i="1"/>
  <c r="FQ333" i="1"/>
  <c r="FG333" i="1"/>
  <c r="DU333" i="1"/>
  <c r="DT333" i="1"/>
  <c r="DS333" i="1"/>
  <c r="DR333" i="1"/>
  <c r="DQ333" i="1"/>
  <c r="DL333" i="1"/>
  <c r="DG333" i="1"/>
  <c r="DB333" i="1"/>
  <c r="CW333" i="1"/>
  <c r="CR333" i="1"/>
  <c r="CM333" i="1"/>
  <c r="CS333" i="1" s="1"/>
  <c r="CH333" i="1"/>
  <c r="CA333" i="1"/>
  <c r="BZ333" i="1"/>
  <c r="BY333" i="1"/>
  <c r="BX333" i="1"/>
  <c r="BW333" i="1"/>
  <c r="BR333" i="1"/>
  <c r="BQ333" i="1"/>
  <c r="BK333" i="1"/>
  <c r="BL333" i="1" s="1"/>
  <c r="BE333" i="1"/>
  <c r="BF333" i="1" s="1"/>
  <c r="CB333" i="1" s="1"/>
  <c r="AY333" i="1"/>
  <c r="AV333" i="1"/>
  <c r="AU333" i="1"/>
  <c r="F358" i="2" s="1"/>
  <c r="AM333" i="1"/>
  <c r="AK333" i="1"/>
  <c r="AI333" i="1"/>
  <c r="AG333" i="1"/>
  <c r="AE333" i="1"/>
  <c r="AC333" i="1"/>
  <c r="AA333" i="1"/>
  <c r="Y333" i="1"/>
  <c r="W333" i="1"/>
  <c r="U333" i="1"/>
  <c r="S333" i="1"/>
  <c r="R333" i="1"/>
  <c r="M333" i="1"/>
  <c r="HN332" i="1"/>
  <c r="HK332" i="1"/>
  <c r="HJ332" i="1"/>
  <c r="HA332" i="1"/>
  <c r="GW332" i="1"/>
  <c r="GR332" i="1"/>
  <c r="GM332" i="1"/>
  <c r="GX332" i="1" s="1"/>
  <c r="GL332" i="1"/>
  <c r="GG332" i="1"/>
  <c r="GB332" i="1"/>
  <c r="GA332" i="1"/>
  <c r="FV332" i="1"/>
  <c r="FQ332" i="1"/>
  <c r="FG332" i="1"/>
  <c r="DU332" i="1"/>
  <c r="DT332" i="1"/>
  <c r="DS332" i="1"/>
  <c r="DR332" i="1"/>
  <c r="DQ332" i="1"/>
  <c r="DL332" i="1"/>
  <c r="DG332" i="1"/>
  <c r="DB332" i="1"/>
  <c r="DV332" i="1" s="1"/>
  <c r="CW332" i="1"/>
  <c r="CS332" i="1"/>
  <c r="CR332" i="1"/>
  <c r="CM332" i="1"/>
  <c r="CH332" i="1"/>
  <c r="BZ332" i="1"/>
  <c r="BY332" i="1"/>
  <c r="BX332" i="1"/>
  <c r="BW332" i="1"/>
  <c r="BR332" i="1"/>
  <c r="BQ332" i="1"/>
  <c r="BK332" i="1"/>
  <c r="BL332" i="1" s="1"/>
  <c r="BE332" i="1"/>
  <c r="AY332" i="1"/>
  <c r="AV332" i="1"/>
  <c r="AU332" i="1"/>
  <c r="AM332" i="1"/>
  <c r="AK332" i="1"/>
  <c r="AI332" i="1"/>
  <c r="AG332" i="1"/>
  <c r="AE332" i="1"/>
  <c r="AC332" i="1"/>
  <c r="AA332" i="1"/>
  <c r="Y332" i="1"/>
  <c r="W332" i="1"/>
  <c r="U332" i="1"/>
  <c r="R332" i="1"/>
  <c r="M332" i="1"/>
  <c r="S332" i="1" s="1"/>
  <c r="AW332" i="1" s="1"/>
  <c r="HN331" i="1"/>
  <c r="HK331" i="1"/>
  <c r="HJ331" i="1"/>
  <c r="HA331" i="1"/>
  <c r="GX331" i="1"/>
  <c r="GW331" i="1"/>
  <c r="GR331" i="1"/>
  <c r="GM331" i="1"/>
  <c r="GL331" i="1"/>
  <c r="GG331" i="1"/>
  <c r="GA331" i="1"/>
  <c r="FV331" i="1"/>
  <c r="GB331" i="1" s="1"/>
  <c r="FQ331" i="1"/>
  <c r="FG331" i="1"/>
  <c r="DU331" i="1"/>
  <c r="DT331" i="1"/>
  <c r="DS331" i="1"/>
  <c r="DR331" i="1"/>
  <c r="DQ331" i="1"/>
  <c r="DL331" i="1"/>
  <c r="DG331" i="1"/>
  <c r="DB331" i="1"/>
  <c r="DV331" i="1" s="1"/>
  <c r="CW331" i="1"/>
  <c r="CR331" i="1"/>
  <c r="CM331" i="1"/>
  <c r="CS331" i="1" s="1"/>
  <c r="CH331" i="1"/>
  <c r="BZ331" i="1"/>
  <c r="BY331" i="1"/>
  <c r="BW331" i="1"/>
  <c r="BX331" i="1" s="1"/>
  <c r="BQ331" i="1"/>
  <c r="BR331" i="1" s="1"/>
  <c r="BK331" i="1"/>
  <c r="BF331" i="1"/>
  <c r="BE331" i="1"/>
  <c r="AY331" i="1"/>
  <c r="AU331" i="1"/>
  <c r="AV331" i="1" s="1"/>
  <c r="AM331" i="1"/>
  <c r="AK331" i="1"/>
  <c r="AI331" i="1"/>
  <c r="AG331" i="1"/>
  <c r="AE331" i="1"/>
  <c r="AC331" i="1"/>
  <c r="AA331" i="1"/>
  <c r="Y331" i="1"/>
  <c r="W331" i="1"/>
  <c r="U331" i="1"/>
  <c r="S331" i="1"/>
  <c r="AW331" i="1" s="1"/>
  <c r="R331" i="1"/>
  <c r="M331" i="1"/>
  <c r="HN330" i="1"/>
  <c r="HK330" i="1"/>
  <c r="HJ330" i="1"/>
  <c r="HA330" i="1"/>
  <c r="GW330" i="1"/>
  <c r="GR330" i="1"/>
  <c r="GM330" i="1"/>
  <c r="GL330" i="1"/>
  <c r="GG330" i="1"/>
  <c r="GB330" i="1"/>
  <c r="E359" i="2" s="1"/>
  <c r="GA330" i="1"/>
  <c r="FV330" i="1"/>
  <c r="FQ330" i="1"/>
  <c r="FG330" i="1"/>
  <c r="DU330" i="1"/>
  <c r="DT330" i="1"/>
  <c r="DS330" i="1"/>
  <c r="DR330" i="1"/>
  <c r="DQ330" i="1"/>
  <c r="DL330" i="1"/>
  <c r="DG330" i="1"/>
  <c r="DB330" i="1"/>
  <c r="DV330" i="1" s="1"/>
  <c r="CW330" i="1"/>
  <c r="CR330" i="1"/>
  <c r="CS330" i="1" s="1"/>
  <c r="E362" i="2" s="1"/>
  <c r="CM330" i="1"/>
  <c r="CH330" i="1"/>
  <c r="BZ330" i="1"/>
  <c r="BY330" i="1"/>
  <c r="BX330" i="1"/>
  <c r="BW330" i="1"/>
  <c r="BQ330" i="1"/>
  <c r="BR330" i="1" s="1"/>
  <c r="BK330" i="1"/>
  <c r="BL330" i="1" s="1"/>
  <c r="BE330" i="1"/>
  <c r="AY330" i="1"/>
  <c r="AU330" i="1"/>
  <c r="AM330" i="1"/>
  <c r="AK330" i="1"/>
  <c r="AI330" i="1"/>
  <c r="AG330" i="1"/>
  <c r="AE330" i="1"/>
  <c r="AC330" i="1"/>
  <c r="AA330" i="1"/>
  <c r="Y330" i="1"/>
  <c r="W330" i="1"/>
  <c r="U330" i="1"/>
  <c r="R330" i="1"/>
  <c r="M330" i="1"/>
  <c r="S330" i="1" s="1"/>
  <c r="E355" i="2" s="1"/>
  <c r="HN329" i="1"/>
  <c r="HK329" i="1"/>
  <c r="HJ329" i="1"/>
  <c r="HA329" i="1"/>
  <c r="GW329" i="1"/>
  <c r="GR329" i="1"/>
  <c r="GL329" i="1"/>
  <c r="GM329" i="1" s="1"/>
  <c r="GX329" i="1" s="1"/>
  <c r="GG329" i="1"/>
  <c r="GA329" i="1"/>
  <c r="FV329" i="1"/>
  <c r="GB329" i="1" s="1"/>
  <c r="FQ329" i="1"/>
  <c r="FG329" i="1"/>
  <c r="DU329" i="1"/>
  <c r="DT329" i="1"/>
  <c r="DS329" i="1"/>
  <c r="DR329" i="1"/>
  <c r="DQ329" i="1"/>
  <c r="DL329" i="1"/>
  <c r="DG329" i="1"/>
  <c r="DB329" i="1"/>
  <c r="DV329" i="1" s="1"/>
  <c r="CW329" i="1"/>
  <c r="CR329" i="1"/>
  <c r="CM329" i="1"/>
  <c r="CS329" i="1" s="1"/>
  <c r="CH329" i="1"/>
  <c r="BZ329" i="1"/>
  <c r="BY329" i="1"/>
  <c r="BX329" i="1"/>
  <c r="BW329" i="1"/>
  <c r="BQ329" i="1"/>
  <c r="BR329" i="1" s="1"/>
  <c r="BL329" i="1"/>
  <c r="BK329" i="1"/>
  <c r="BF329" i="1"/>
  <c r="CB329" i="1" s="1"/>
  <c r="BE329" i="1"/>
  <c r="CA329" i="1" s="1"/>
  <c r="AY329" i="1"/>
  <c r="AU329" i="1"/>
  <c r="AV329" i="1" s="1"/>
  <c r="AM329" i="1"/>
  <c r="AK329" i="1"/>
  <c r="AI329" i="1"/>
  <c r="AG329" i="1"/>
  <c r="AE329" i="1"/>
  <c r="AC329" i="1"/>
  <c r="AA329" i="1"/>
  <c r="Y329" i="1"/>
  <c r="W329" i="1"/>
  <c r="U329" i="1"/>
  <c r="S329" i="1"/>
  <c r="AW329" i="1" s="1"/>
  <c r="R329" i="1"/>
  <c r="M329" i="1"/>
  <c r="HN328" i="1"/>
  <c r="HK328" i="1"/>
  <c r="HJ328" i="1"/>
  <c r="HB328" i="1"/>
  <c r="HA328" i="1"/>
  <c r="GX328" i="1"/>
  <c r="GW328" i="1"/>
  <c r="GR328" i="1"/>
  <c r="GL328" i="1"/>
  <c r="GM328" i="1" s="1"/>
  <c r="GG328" i="1"/>
  <c r="GA328" i="1"/>
  <c r="FV328" i="1"/>
  <c r="GB328" i="1" s="1"/>
  <c r="FQ328" i="1"/>
  <c r="FG328" i="1"/>
  <c r="DU328" i="1"/>
  <c r="DT328" i="1"/>
  <c r="DS328" i="1"/>
  <c r="DR328" i="1"/>
  <c r="DQ328" i="1"/>
  <c r="DL328" i="1"/>
  <c r="DG328" i="1"/>
  <c r="DB328" i="1"/>
  <c r="CW328" i="1"/>
  <c r="CR328" i="1"/>
  <c r="CM328" i="1"/>
  <c r="CS328" i="1" s="1"/>
  <c r="CH328" i="1"/>
  <c r="BZ328" i="1"/>
  <c r="BY328" i="1"/>
  <c r="BW328" i="1"/>
  <c r="BX328" i="1" s="1"/>
  <c r="BQ328" i="1"/>
  <c r="BR328" i="1" s="1"/>
  <c r="BK328" i="1"/>
  <c r="BF328" i="1"/>
  <c r="BE328" i="1"/>
  <c r="AY328" i="1"/>
  <c r="AU328" i="1"/>
  <c r="AV328" i="1" s="1"/>
  <c r="AM328" i="1"/>
  <c r="AK328" i="1"/>
  <c r="AI328" i="1"/>
  <c r="AG328" i="1"/>
  <c r="AE328" i="1"/>
  <c r="AC328" i="1"/>
  <c r="AA328" i="1"/>
  <c r="Y328" i="1"/>
  <c r="W328" i="1"/>
  <c r="U328" i="1"/>
  <c r="S328" i="1"/>
  <c r="AW328" i="1" s="1"/>
  <c r="R328" i="1"/>
  <c r="M328" i="1"/>
  <c r="HN327" i="1"/>
  <c r="HK327" i="1"/>
  <c r="HJ327" i="1"/>
  <c r="HA327" i="1"/>
  <c r="GW327" i="1"/>
  <c r="GR327" i="1"/>
  <c r="GL327" i="1"/>
  <c r="GG327" i="1"/>
  <c r="GM327" i="1" s="1"/>
  <c r="GA327" i="1"/>
  <c r="GB327" i="1" s="1"/>
  <c r="FV327" i="1"/>
  <c r="FQ327" i="1"/>
  <c r="FG327" i="1"/>
  <c r="DU327" i="1"/>
  <c r="DT327" i="1"/>
  <c r="DS327" i="1"/>
  <c r="DR327" i="1"/>
  <c r="DQ327" i="1"/>
  <c r="DL327" i="1"/>
  <c r="DG327" i="1"/>
  <c r="DB327" i="1"/>
  <c r="DV327" i="1" s="1"/>
  <c r="CW327" i="1"/>
  <c r="CR327" i="1"/>
  <c r="CM327" i="1"/>
  <c r="CS327" i="1" s="1"/>
  <c r="CH327" i="1"/>
  <c r="BZ327" i="1"/>
  <c r="BY327" i="1"/>
  <c r="BW327" i="1"/>
  <c r="BX327" i="1" s="1"/>
  <c r="BR327" i="1"/>
  <c r="BQ327" i="1"/>
  <c r="BK327" i="1"/>
  <c r="BL327" i="1" s="1"/>
  <c r="BF327" i="1"/>
  <c r="BE327" i="1"/>
  <c r="AY327" i="1"/>
  <c r="AV327" i="1"/>
  <c r="AU327" i="1"/>
  <c r="AM327" i="1"/>
  <c r="AK327" i="1"/>
  <c r="AI327" i="1"/>
  <c r="AG327" i="1"/>
  <c r="AE327" i="1"/>
  <c r="AC327" i="1"/>
  <c r="AA327" i="1"/>
  <c r="Y327" i="1"/>
  <c r="W327" i="1"/>
  <c r="U327" i="1"/>
  <c r="S327" i="1"/>
  <c r="AW327" i="1" s="1"/>
  <c r="R327" i="1"/>
  <c r="M327" i="1"/>
  <c r="HN326" i="1"/>
  <c r="HK326" i="1"/>
  <c r="HJ326" i="1"/>
  <c r="HA326" i="1"/>
  <c r="GW326" i="1"/>
  <c r="GR326" i="1"/>
  <c r="GL326" i="1"/>
  <c r="GG326" i="1"/>
  <c r="GA326" i="1"/>
  <c r="FV326" i="1"/>
  <c r="FQ326" i="1"/>
  <c r="FG326" i="1"/>
  <c r="DU326" i="1"/>
  <c r="DT326" i="1"/>
  <c r="DS326" i="1"/>
  <c r="DR326" i="1"/>
  <c r="DQ326" i="1"/>
  <c r="DL326" i="1"/>
  <c r="DG326" i="1"/>
  <c r="DB326" i="1"/>
  <c r="CW326" i="1"/>
  <c r="CR326" i="1"/>
  <c r="CM326" i="1"/>
  <c r="CS326" i="1" s="1"/>
  <c r="CH326" i="1"/>
  <c r="BZ326" i="1"/>
  <c r="BY326" i="1"/>
  <c r="BX326" i="1"/>
  <c r="BW326" i="1"/>
  <c r="BQ326" i="1"/>
  <c r="BR326" i="1" s="1"/>
  <c r="BK326" i="1"/>
  <c r="BL326" i="1" s="1"/>
  <c r="CB326" i="1" s="1"/>
  <c r="BE326" i="1"/>
  <c r="BF326" i="1" s="1"/>
  <c r="AY326" i="1"/>
  <c r="AU326" i="1"/>
  <c r="AV326" i="1" s="1"/>
  <c r="AM326" i="1"/>
  <c r="AK326" i="1"/>
  <c r="AI326" i="1"/>
  <c r="AG326" i="1"/>
  <c r="AE326" i="1"/>
  <c r="AC326" i="1"/>
  <c r="AA326" i="1"/>
  <c r="Y326" i="1"/>
  <c r="W326" i="1"/>
  <c r="U326" i="1"/>
  <c r="R326" i="1"/>
  <c r="M326" i="1"/>
  <c r="S326" i="1" s="1"/>
  <c r="AW326" i="1" s="1"/>
  <c r="HN325" i="1"/>
  <c r="HK325" i="1"/>
  <c r="HJ325" i="1"/>
  <c r="HA325" i="1"/>
  <c r="GW325" i="1"/>
  <c r="GR325" i="1"/>
  <c r="GX325" i="1" s="1"/>
  <c r="GL325" i="1"/>
  <c r="GG325" i="1"/>
  <c r="GM325" i="1" s="1"/>
  <c r="GA325" i="1"/>
  <c r="FV325" i="1"/>
  <c r="FQ325" i="1"/>
  <c r="FG325" i="1"/>
  <c r="DU325" i="1"/>
  <c r="DT325" i="1"/>
  <c r="DS325" i="1"/>
  <c r="DR325" i="1"/>
  <c r="DQ325" i="1"/>
  <c r="DL325" i="1"/>
  <c r="DG325" i="1"/>
  <c r="DB325" i="1"/>
  <c r="DV325" i="1" s="1"/>
  <c r="CW325" i="1"/>
  <c r="CR325" i="1"/>
  <c r="CM325" i="1"/>
  <c r="CS325" i="1" s="1"/>
  <c r="G349" i="2" s="1"/>
  <c r="CH325" i="1"/>
  <c r="BZ325" i="1"/>
  <c r="BY325" i="1"/>
  <c r="BX325" i="1"/>
  <c r="BW325" i="1"/>
  <c r="BQ325" i="1"/>
  <c r="BR325" i="1" s="1"/>
  <c r="BL325" i="1"/>
  <c r="CB325" i="1" s="1"/>
  <c r="BK325" i="1"/>
  <c r="BF325" i="1"/>
  <c r="BE325" i="1"/>
  <c r="AY325" i="1"/>
  <c r="AU325" i="1"/>
  <c r="AM325" i="1"/>
  <c r="AK325" i="1"/>
  <c r="AI325" i="1"/>
  <c r="AG325" i="1"/>
  <c r="AE325" i="1"/>
  <c r="AC325" i="1"/>
  <c r="AA325" i="1"/>
  <c r="Y325" i="1"/>
  <c r="W325" i="1"/>
  <c r="U325" i="1"/>
  <c r="G344" i="2" s="1"/>
  <c r="S325" i="1"/>
  <c r="R325" i="1"/>
  <c r="M325" i="1"/>
  <c r="HA324" i="1"/>
  <c r="HN323" i="1"/>
  <c r="HK323" i="1"/>
  <c r="HJ323" i="1"/>
  <c r="HA323" i="1"/>
  <c r="GW323" i="1"/>
  <c r="GR323" i="1"/>
  <c r="GL323" i="1"/>
  <c r="GG323" i="1"/>
  <c r="GM323" i="1" s="1"/>
  <c r="GX323" i="1" s="1"/>
  <c r="HD323" i="1" s="1"/>
  <c r="GB323" i="1"/>
  <c r="GA323" i="1"/>
  <c r="FV323" i="1"/>
  <c r="FQ323" i="1"/>
  <c r="FG323" i="1"/>
  <c r="DU323" i="1"/>
  <c r="DT323" i="1"/>
  <c r="DS323" i="1"/>
  <c r="DR323" i="1"/>
  <c r="DQ323" i="1"/>
  <c r="DL323" i="1"/>
  <c r="DG323" i="1"/>
  <c r="DB323" i="1"/>
  <c r="DV323" i="1" s="1"/>
  <c r="CW323" i="1"/>
  <c r="CS323" i="1"/>
  <c r="CR323" i="1"/>
  <c r="CM323" i="1"/>
  <c r="CH323" i="1"/>
  <c r="BZ323" i="1"/>
  <c r="BY323" i="1"/>
  <c r="BW323" i="1"/>
  <c r="BX323" i="1" s="1"/>
  <c r="BR323" i="1"/>
  <c r="BQ323" i="1"/>
  <c r="BK323" i="1"/>
  <c r="BL323" i="1" s="1"/>
  <c r="BE323" i="1"/>
  <c r="CA323" i="1" s="1"/>
  <c r="AY323" i="1"/>
  <c r="AV323" i="1"/>
  <c r="AU323" i="1"/>
  <c r="AM323" i="1"/>
  <c r="AK323" i="1"/>
  <c r="AI323" i="1"/>
  <c r="AG323" i="1"/>
  <c r="AE323" i="1"/>
  <c r="AC323" i="1"/>
  <c r="AA323" i="1"/>
  <c r="Y323" i="1"/>
  <c r="W323" i="1"/>
  <c r="U323" i="1"/>
  <c r="R323" i="1"/>
  <c r="M323" i="1"/>
  <c r="S323" i="1" s="1"/>
  <c r="AW323" i="1" s="1"/>
  <c r="HN322" i="1"/>
  <c r="HK322" i="1"/>
  <c r="HJ322" i="1"/>
  <c r="HA322" i="1"/>
  <c r="GW322" i="1"/>
  <c r="GR322" i="1"/>
  <c r="GL322" i="1"/>
  <c r="GG322" i="1"/>
  <c r="GB322" i="1"/>
  <c r="GA322" i="1"/>
  <c r="FV322" i="1"/>
  <c r="FQ322" i="1"/>
  <c r="FG322" i="1"/>
  <c r="DU322" i="1"/>
  <c r="DT322" i="1"/>
  <c r="DS322" i="1"/>
  <c r="DR322" i="1"/>
  <c r="DQ322" i="1"/>
  <c r="DL322" i="1"/>
  <c r="DG322" i="1"/>
  <c r="DB322" i="1"/>
  <c r="DV322" i="1" s="1"/>
  <c r="CW322" i="1"/>
  <c r="CR322" i="1"/>
  <c r="CM322" i="1"/>
  <c r="CS322" i="1" s="1"/>
  <c r="CH322" i="1"/>
  <c r="BZ322" i="1"/>
  <c r="BY322" i="1"/>
  <c r="BX322" i="1"/>
  <c r="BW322" i="1"/>
  <c r="BR322" i="1"/>
  <c r="BQ322" i="1"/>
  <c r="BL322" i="1"/>
  <c r="BK322" i="1"/>
  <c r="BE322" i="1"/>
  <c r="BF322" i="1" s="1"/>
  <c r="CB322" i="1" s="1"/>
  <c r="AY322" i="1"/>
  <c r="AU322" i="1"/>
  <c r="AV322" i="1" s="1"/>
  <c r="AM322" i="1"/>
  <c r="AK322" i="1"/>
  <c r="AI322" i="1"/>
  <c r="AG322" i="1"/>
  <c r="AE322" i="1"/>
  <c r="AC322" i="1"/>
  <c r="AA322" i="1"/>
  <c r="Y322" i="1"/>
  <c r="W322" i="1"/>
  <c r="U322" i="1"/>
  <c r="R322" i="1"/>
  <c r="M322" i="1"/>
  <c r="HN321" i="1"/>
  <c r="HK321" i="1"/>
  <c r="HJ321" i="1"/>
  <c r="HA321" i="1"/>
  <c r="GW321" i="1"/>
  <c r="GR321" i="1"/>
  <c r="GL321" i="1"/>
  <c r="GG321" i="1"/>
  <c r="GM321" i="1" s="1"/>
  <c r="GA321" i="1"/>
  <c r="FV321" i="1"/>
  <c r="GB321" i="1" s="1"/>
  <c r="F346" i="2" s="1"/>
  <c r="FQ321" i="1"/>
  <c r="FG321" i="1"/>
  <c r="DU321" i="1"/>
  <c r="DT321" i="1"/>
  <c r="DS321" i="1"/>
  <c r="DR321" i="1"/>
  <c r="DQ321" i="1"/>
  <c r="DL321" i="1"/>
  <c r="DG321" i="1"/>
  <c r="DB321" i="1"/>
  <c r="CW321" i="1"/>
  <c r="CR321" i="1"/>
  <c r="CM321" i="1"/>
  <c r="CS321" i="1" s="1"/>
  <c r="CH321" i="1"/>
  <c r="BZ321" i="1"/>
  <c r="BY321" i="1"/>
  <c r="BX321" i="1"/>
  <c r="BW321" i="1"/>
  <c r="BR321" i="1"/>
  <c r="BQ321" i="1"/>
  <c r="BL321" i="1"/>
  <c r="CB321" i="1" s="1"/>
  <c r="BK321" i="1"/>
  <c r="CA321" i="1" s="1"/>
  <c r="BF321" i="1"/>
  <c r="BE321" i="1"/>
  <c r="AY321" i="1"/>
  <c r="AU321" i="1"/>
  <c r="F345" i="2" s="1"/>
  <c r="AM321" i="1"/>
  <c r="AK321" i="1"/>
  <c r="AI321" i="1"/>
  <c r="AG321" i="1"/>
  <c r="AE321" i="1"/>
  <c r="AC321" i="1"/>
  <c r="AA321" i="1"/>
  <c r="Y321" i="1"/>
  <c r="W321" i="1"/>
  <c r="U321" i="1"/>
  <c r="F344" i="2" s="1"/>
  <c r="S321" i="1"/>
  <c r="R321" i="1"/>
  <c r="M321" i="1"/>
  <c r="HN320" i="1"/>
  <c r="HK320" i="1"/>
  <c r="HJ320" i="1"/>
  <c r="HC320" i="1"/>
  <c r="HA320" i="1"/>
  <c r="GW320" i="1"/>
  <c r="GR320" i="1"/>
  <c r="GL320" i="1"/>
  <c r="GG320" i="1"/>
  <c r="GM320" i="1" s="1"/>
  <c r="GX320" i="1" s="1"/>
  <c r="GB320" i="1"/>
  <c r="GA320" i="1"/>
  <c r="FV320" i="1"/>
  <c r="FQ320" i="1"/>
  <c r="FG320" i="1"/>
  <c r="DU320" i="1"/>
  <c r="DT320" i="1"/>
  <c r="DS320" i="1"/>
  <c r="DR320" i="1"/>
  <c r="DQ320" i="1"/>
  <c r="DL320" i="1"/>
  <c r="DG320" i="1"/>
  <c r="DB320" i="1"/>
  <c r="DV320" i="1" s="1"/>
  <c r="CW320" i="1"/>
  <c r="CR320" i="1"/>
  <c r="CM320" i="1"/>
  <c r="CH320" i="1"/>
  <c r="BZ320" i="1"/>
  <c r="BY320" i="1"/>
  <c r="BW320" i="1"/>
  <c r="BX320" i="1" s="1"/>
  <c r="BQ320" i="1"/>
  <c r="BR320" i="1" s="1"/>
  <c r="BK320" i="1"/>
  <c r="BL320" i="1" s="1"/>
  <c r="BE320" i="1"/>
  <c r="AY320" i="1"/>
  <c r="AU320" i="1"/>
  <c r="AV320" i="1" s="1"/>
  <c r="AM320" i="1"/>
  <c r="AK320" i="1"/>
  <c r="AI320" i="1"/>
  <c r="AG320" i="1"/>
  <c r="AE320" i="1"/>
  <c r="AC320" i="1"/>
  <c r="AA320" i="1"/>
  <c r="Y320" i="1"/>
  <c r="W320" i="1"/>
  <c r="U320" i="1"/>
  <c r="R320" i="1"/>
  <c r="M320" i="1"/>
  <c r="HN319" i="1"/>
  <c r="HK319" i="1"/>
  <c r="HJ319" i="1"/>
  <c r="HA319" i="1"/>
  <c r="GW319" i="1"/>
  <c r="GR319" i="1"/>
  <c r="GL319" i="1"/>
  <c r="GG319" i="1"/>
  <c r="GM319" i="1" s="1"/>
  <c r="GX319" i="1" s="1"/>
  <c r="GA319" i="1"/>
  <c r="FV319" i="1"/>
  <c r="GB319" i="1" s="1"/>
  <c r="FQ319" i="1"/>
  <c r="FG319" i="1"/>
  <c r="DU319" i="1"/>
  <c r="DT319" i="1"/>
  <c r="DS319" i="1"/>
  <c r="DR319" i="1"/>
  <c r="DQ319" i="1"/>
  <c r="DL319" i="1"/>
  <c r="DG319" i="1"/>
  <c r="DB319" i="1"/>
  <c r="DV319" i="1" s="1"/>
  <c r="CW319" i="1"/>
  <c r="CS319" i="1"/>
  <c r="CR319" i="1"/>
  <c r="CM319" i="1"/>
  <c r="CH319" i="1"/>
  <c r="BZ319" i="1"/>
  <c r="BY319" i="1"/>
  <c r="BX319" i="1"/>
  <c r="BW319" i="1"/>
  <c r="BQ319" i="1"/>
  <c r="BR319" i="1" s="1"/>
  <c r="BK319" i="1"/>
  <c r="BF319" i="1"/>
  <c r="BE319" i="1"/>
  <c r="AY319" i="1"/>
  <c r="AU319" i="1"/>
  <c r="AV319" i="1" s="1"/>
  <c r="AM319" i="1"/>
  <c r="AK319" i="1"/>
  <c r="AI319" i="1"/>
  <c r="AG319" i="1"/>
  <c r="AE319" i="1"/>
  <c r="AC319" i="1"/>
  <c r="AA319" i="1"/>
  <c r="Y319" i="1"/>
  <c r="W319" i="1"/>
  <c r="U319" i="1"/>
  <c r="R319" i="1"/>
  <c r="M319" i="1"/>
  <c r="S319" i="1" s="1"/>
  <c r="AW319" i="1" s="1"/>
  <c r="HN318" i="1"/>
  <c r="HK318" i="1"/>
  <c r="HJ318" i="1"/>
  <c r="HA318" i="1"/>
  <c r="GW318" i="1"/>
  <c r="GR318" i="1"/>
  <c r="GL318" i="1"/>
  <c r="GG318" i="1"/>
  <c r="GM318" i="1" s="1"/>
  <c r="GA318" i="1"/>
  <c r="FV318" i="1"/>
  <c r="GB318" i="1" s="1"/>
  <c r="E346" i="2" s="1"/>
  <c r="FQ318" i="1"/>
  <c r="FG318" i="1"/>
  <c r="DU318" i="1"/>
  <c r="DT318" i="1"/>
  <c r="DS318" i="1"/>
  <c r="DR318" i="1"/>
  <c r="DQ318" i="1"/>
  <c r="DL318" i="1"/>
  <c r="DG318" i="1"/>
  <c r="DB318" i="1"/>
  <c r="DV318" i="1" s="1"/>
  <c r="E351" i="2" s="1"/>
  <c r="CW318" i="1"/>
  <c r="CS318" i="1"/>
  <c r="CR318" i="1"/>
  <c r="CM318" i="1"/>
  <c r="CH318" i="1"/>
  <c r="BZ318" i="1"/>
  <c r="BY318" i="1"/>
  <c r="BW318" i="1"/>
  <c r="BX318" i="1" s="1"/>
  <c r="BQ318" i="1"/>
  <c r="BR318" i="1" s="1"/>
  <c r="BL318" i="1"/>
  <c r="BK318" i="1"/>
  <c r="BE318" i="1"/>
  <c r="AY318" i="1"/>
  <c r="AU318" i="1"/>
  <c r="AM318" i="1"/>
  <c r="AK318" i="1"/>
  <c r="AI318" i="1"/>
  <c r="AG318" i="1"/>
  <c r="AE318" i="1"/>
  <c r="AC318" i="1"/>
  <c r="AA318" i="1"/>
  <c r="Y318" i="1"/>
  <c r="W318" i="1"/>
  <c r="U318" i="1"/>
  <c r="E344" i="2" s="1"/>
  <c r="R318" i="1"/>
  <c r="M318" i="1"/>
  <c r="S318" i="1" s="1"/>
  <c r="HN317" i="1"/>
  <c r="HK317" i="1"/>
  <c r="HJ317" i="1"/>
  <c r="HA317" i="1"/>
  <c r="GW317" i="1"/>
  <c r="GX317" i="1" s="1"/>
  <c r="GR317" i="1"/>
  <c r="GM317" i="1"/>
  <c r="GL317" i="1"/>
  <c r="GG317" i="1"/>
  <c r="GA317" i="1"/>
  <c r="FV317" i="1"/>
  <c r="GB317" i="1" s="1"/>
  <c r="FQ317" i="1"/>
  <c r="FG317" i="1"/>
  <c r="DU317" i="1"/>
  <c r="DT317" i="1"/>
  <c r="DS317" i="1"/>
  <c r="DR317" i="1"/>
  <c r="DQ317" i="1"/>
  <c r="DL317" i="1"/>
  <c r="DG317" i="1"/>
  <c r="DB317" i="1"/>
  <c r="DV317" i="1" s="1"/>
  <c r="CW317" i="1"/>
  <c r="CS317" i="1"/>
  <c r="CR317" i="1"/>
  <c r="CM317" i="1"/>
  <c r="CH317" i="1"/>
  <c r="BZ317" i="1"/>
  <c r="BY317" i="1"/>
  <c r="BX317" i="1"/>
  <c r="BW317" i="1"/>
  <c r="BR317" i="1"/>
  <c r="BQ317" i="1"/>
  <c r="BL317" i="1"/>
  <c r="BK317" i="1"/>
  <c r="BF317" i="1"/>
  <c r="CB317" i="1" s="1"/>
  <c r="BE317" i="1"/>
  <c r="CA317" i="1" s="1"/>
  <c r="AY317" i="1"/>
  <c r="AV317" i="1"/>
  <c r="AU317" i="1"/>
  <c r="AM317" i="1"/>
  <c r="AK317" i="1"/>
  <c r="AI317" i="1"/>
  <c r="AG317" i="1"/>
  <c r="AE317" i="1"/>
  <c r="AC317" i="1"/>
  <c r="AA317" i="1"/>
  <c r="Y317" i="1"/>
  <c r="W317" i="1"/>
  <c r="U317" i="1"/>
  <c r="S317" i="1"/>
  <c r="AW317" i="1" s="1"/>
  <c r="R317" i="1"/>
  <c r="M317" i="1"/>
  <c r="HN316" i="1"/>
  <c r="HK316" i="1"/>
  <c r="HJ316" i="1"/>
  <c r="HA316" i="1"/>
  <c r="GX316" i="1"/>
  <c r="HB316" i="1" s="1"/>
  <c r="GW316" i="1"/>
  <c r="GR316" i="1"/>
  <c r="GM316" i="1"/>
  <c r="GL316" i="1"/>
  <c r="GG316" i="1"/>
  <c r="GA316" i="1"/>
  <c r="FV316" i="1"/>
  <c r="FQ316" i="1"/>
  <c r="FG316" i="1"/>
  <c r="DU316" i="1"/>
  <c r="DT316" i="1"/>
  <c r="DS316" i="1"/>
  <c r="DR316" i="1"/>
  <c r="DQ316" i="1"/>
  <c r="DL316" i="1"/>
  <c r="DG316" i="1"/>
  <c r="DB316" i="1"/>
  <c r="CW316" i="1"/>
  <c r="CR316" i="1"/>
  <c r="CM316" i="1"/>
  <c r="CS316" i="1" s="1"/>
  <c r="CH316" i="1"/>
  <c r="BZ316" i="1"/>
  <c r="BY316" i="1"/>
  <c r="BW316" i="1"/>
  <c r="BX316" i="1" s="1"/>
  <c r="BQ316" i="1"/>
  <c r="BR316" i="1" s="1"/>
  <c r="BK316" i="1"/>
  <c r="BF316" i="1"/>
  <c r="BE316" i="1"/>
  <c r="AY316" i="1"/>
  <c r="AU316" i="1"/>
  <c r="AV316" i="1" s="1"/>
  <c r="AM316" i="1"/>
  <c r="AK316" i="1"/>
  <c r="AI316" i="1"/>
  <c r="AG316" i="1"/>
  <c r="AE316" i="1"/>
  <c r="AC316" i="1"/>
  <c r="AA316" i="1"/>
  <c r="Y316" i="1"/>
  <c r="W316" i="1"/>
  <c r="U316" i="1"/>
  <c r="S316" i="1"/>
  <c r="AW316" i="1" s="1"/>
  <c r="R316" i="1"/>
  <c r="M316" i="1"/>
  <c r="HN315" i="1"/>
  <c r="HK315" i="1"/>
  <c r="HJ315" i="1"/>
  <c r="HA315" i="1"/>
  <c r="GW315" i="1"/>
  <c r="GR315" i="1"/>
  <c r="GL315" i="1"/>
  <c r="GM315" i="1" s="1"/>
  <c r="GG315" i="1"/>
  <c r="GB315" i="1"/>
  <c r="GA315" i="1"/>
  <c r="FV315" i="1"/>
  <c r="FQ315" i="1"/>
  <c r="FG315" i="1"/>
  <c r="DU315" i="1"/>
  <c r="DT315" i="1"/>
  <c r="DS315" i="1"/>
  <c r="DR315" i="1"/>
  <c r="DQ315" i="1"/>
  <c r="DL315" i="1"/>
  <c r="DG315" i="1"/>
  <c r="DB315" i="1"/>
  <c r="DV315" i="1" s="1"/>
  <c r="CW315" i="1"/>
  <c r="D726" i="3" s="1"/>
  <c r="CR315" i="1"/>
  <c r="CS315" i="1" s="1"/>
  <c r="CM315" i="1"/>
  <c r="CH315" i="1"/>
  <c r="BZ315" i="1"/>
  <c r="BY315" i="1"/>
  <c r="BW315" i="1"/>
  <c r="BX315" i="1" s="1"/>
  <c r="BR315" i="1"/>
  <c r="BQ315" i="1"/>
  <c r="BK315" i="1"/>
  <c r="BL315" i="1" s="1"/>
  <c r="BE315" i="1"/>
  <c r="AY315" i="1"/>
  <c r="AW315" i="1"/>
  <c r="AV315" i="1"/>
  <c r="AU315" i="1"/>
  <c r="AM315" i="1"/>
  <c r="AK315" i="1"/>
  <c r="AI315" i="1"/>
  <c r="AG315" i="1"/>
  <c r="AE315" i="1"/>
  <c r="AC315" i="1"/>
  <c r="AA315" i="1"/>
  <c r="Y315" i="1"/>
  <c r="W315" i="1"/>
  <c r="U315" i="1"/>
  <c r="R315" i="1"/>
  <c r="S315" i="1" s="1"/>
  <c r="M315" i="1"/>
  <c r="HN314" i="1"/>
  <c r="HK314" i="1"/>
  <c r="HJ314" i="1"/>
  <c r="HA314" i="1"/>
  <c r="GW314" i="1"/>
  <c r="GR314" i="1"/>
  <c r="GL314" i="1"/>
  <c r="GG314" i="1"/>
  <c r="GA314" i="1"/>
  <c r="FV314" i="1"/>
  <c r="GB314" i="1" s="1"/>
  <c r="FQ314" i="1"/>
  <c r="FG314" i="1"/>
  <c r="DU314" i="1"/>
  <c r="DT314" i="1"/>
  <c r="DS314" i="1"/>
  <c r="DR314" i="1"/>
  <c r="DQ314" i="1"/>
  <c r="DL314" i="1"/>
  <c r="DG314" i="1"/>
  <c r="DB314" i="1"/>
  <c r="CW314" i="1"/>
  <c r="CR314" i="1"/>
  <c r="CM314" i="1"/>
  <c r="CS314" i="1" s="1"/>
  <c r="CH314" i="1"/>
  <c r="BZ314" i="1"/>
  <c r="BY314" i="1"/>
  <c r="BX314" i="1"/>
  <c r="BW314" i="1"/>
  <c r="BQ314" i="1"/>
  <c r="BR314" i="1" s="1"/>
  <c r="BL314" i="1"/>
  <c r="BK314" i="1"/>
  <c r="BE314" i="1"/>
  <c r="AY314" i="1"/>
  <c r="AV314" i="1"/>
  <c r="AU314" i="1"/>
  <c r="AM314" i="1"/>
  <c r="AK314" i="1"/>
  <c r="AI314" i="1"/>
  <c r="AG314" i="1"/>
  <c r="AE314" i="1"/>
  <c r="AC314" i="1"/>
  <c r="AA314" i="1"/>
  <c r="Y314" i="1"/>
  <c r="W314" i="1"/>
  <c r="U314" i="1"/>
  <c r="R314" i="1"/>
  <c r="M314" i="1"/>
  <c r="HN313" i="1"/>
  <c r="HK313" i="1"/>
  <c r="HJ313" i="1"/>
  <c r="HA313" i="1"/>
  <c r="GW313" i="1"/>
  <c r="GR313" i="1"/>
  <c r="GM313" i="1"/>
  <c r="GL313" i="1"/>
  <c r="GG313" i="1"/>
  <c r="GA313" i="1"/>
  <c r="FV313" i="1"/>
  <c r="GB313" i="1" s="1"/>
  <c r="FQ313" i="1"/>
  <c r="FG313" i="1"/>
  <c r="DU313" i="1"/>
  <c r="DT313" i="1"/>
  <c r="DS313" i="1"/>
  <c r="DR313" i="1"/>
  <c r="DQ313" i="1"/>
  <c r="DL313" i="1"/>
  <c r="DG313" i="1"/>
  <c r="DB313" i="1"/>
  <c r="DV313" i="1" s="1"/>
  <c r="CW313" i="1"/>
  <c r="CR313" i="1"/>
  <c r="CM313" i="1"/>
  <c r="CS313" i="1" s="1"/>
  <c r="CH313" i="1"/>
  <c r="BZ313" i="1"/>
  <c r="BY313" i="1"/>
  <c r="BX313" i="1"/>
  <c r="BW313" i="1"/>
  <c r="BR313" i="1"/>
  <c r="BQ313" i="1"/>
  <c r="BK313" i="1"/>
  <c r="BL313" i="1" s="1"/>
  <c r="BF313" i="1"/>
  <c r="CB313" i="1" s="1"/>
  <c r="BE313" i="1"/>
  <c r="AY313" i="1"/>
  <c r="AV313" i="1"/>
  <c r="AU313" i="1"/>
  <c r="G332" i="2" s="1"/>
  <c r="AM313" i="1"/>
  <c r="AK313" i="1"/>
  <c r="AI313" i="1"/>
  <c r="AG313" i="1"/>
  <c r="AE313" i="1"/>
  <c r="AC313" i="1"/>
  <c r="AA313" i="1"/>
  <c r="Y313" i="1"/>
  <c r="W313" i="1"/>
  <c r="U313" i="1"/>
  <c r="G331" i="2" s="1"/>
  <c r="R313" i="1"/>
  <c r="S313" i="1" s="1"/>
  <c r="M313" i="1"/>
  <c r="HA312" i="1"/>
  <c r="HN311" i="1"/>
  <c r="HK311" i="1"/>
  <c r="HJ311" i="1"/>
  <c r="HA311" i="1"/>
  <c r="GW311" i="1"/>
  <c r="GR311" i="1"/>
  <c r="GL311" i="1"/>
  <c r="GG311" i="1"/>
  <c r="GM311" i="1" s="1"/>
  <c r="GB311" i="1"/>
  <c r="GA311" i="1"/>
  <c r="FV311" i="1"/>
  <c r="FQ311" i="1"/>
  <c r="FG311" i="1"/>
  <c r="DU311" i="1"/>
  <c r="DT311" i="1"/>
  <c r="DS311" i="1"/>
  <c r="DR311" i="1"/>
  <c r="DQ311" i="1"/>
  <c r="DL311" i="1"/>
  <c r="DG311" i="1"/>
  <c r="DB311" i="1"/>
  <c r="DV311" i="1" s="1"/>
  <c r="CW311" i="1"/>
  <c r="CS311" i="1"/>
  <c r="CR311" i="1"/>
  <c r="CM311" i="1"/>
  <c r="CH311" i="1"/>
  <c r="BZ311" i="1"/>
  <c r="BY311" i="1"/>
  <c r="BX311" i="1"/>
  <c r="BW311" i="1"/>
  <c r="BR311" i="1"/>
  <c r="BQ311" i="1"/>
  <c r="BL311" i="1"/>
  <c r="CB311" i="1" s="1"/>
  <c r="BK311" i="1"/>
  <c r="CA311" i="1" s="1"/>
  <c r="BF311" i="1"/>
  <c r="BE311" i="1"/>
  <c r="AY311" i="1"/>
  <c r="AV311" i="1"/>
  <c r="AU311" i="1"/>
  <c r="AM311" i="1"/>
  <c r="AK311" i="1"/>
  <c r="AI311" i="1"/>
  <c r="AG311" i="1"/>
  <c r="AE311" i="1"/>
  <c r="AC311" i="1"/>
  <c r="AA311" i="1"/>
  <c r="Y311" i="1"/>
  <c r="W311" i="1"/>
  <c r="U311" i="1"/>
  <c r="R311" i="1"/>
  <c r="M311" i="1"/>
  <c r="S311" i="1" s="1"/>
  <c r="AW311" i="1" s="1"/>
  <c r="HN310" i="1"/>
  <c r="HK310" i="1"/>
  <c r="HJ310" i="1"/>
  <c r="HA310" i="1"/>
  <c r="GW310" i="1"/>
  <c r="GR310" i="1"/>
  <c r="GL310" i="1"/>
  <c r="GG310" i="1"/>
  <c r="GM310" i="1" s="1"/>
  <c r="GX310" i="1" s="1"/>
  <c r="GB310" i="1"/>
  <c r="GA310" i="1"/>
  <c r="FV310" i="1"/>
  <c r="FQ310" i="1"/>
  <c r="FG310" i="1"/>
  <c r="DU310" i="1"/>
  <c r="DT310" i="1"/>
  <c r="DS310" i="1"/>
  <c r="DR310" i="1"/>
  <c r="DQ310" i="1"/>
  <c r="DL310" i="1"/>
  <c r="DG310" i="1"/>
  <c r="DB310" i="1"/>
  <c r="CW310" i="1"/>
  <c r="CR310" i="1"/>
  <c r="CM310" i="1"/>
  <c r="CS310" i="1" s="1"/>
  <c r="CH310" i="1"/>
  <c r="BZ310" i="1"/>
  <c r="BY310" i="1"/>
  <c r="BX310" i="1"/>
  <c r="BW310" i="1"/>
  <c r="BR310" i="1"/>
  <c r="BQ310" i="1"/>
  <c r="BL310" i="1"/>
  <c r="BK310" i="1"/>
  <c r="BE310" i="1"/>
  <c r="AY310" i="1"/>
  <c r="AU310" i="1"/>
  <c r="AV310" i="1" s="1"/>
  <c r="AM310" i="1"/>
  <c r="AK310" i="1"/>
  <c r="AI310" i="1"/>
  <c r="AG310" i="1"/>
  <c r="AE310" i="1"/>
  <c r="AC310" i="1"/>
  <c r="AA310" i="1"/>
  <c r="Y310" i="1"/>
  <c r="W310" i="1"/>
  <c r="U310" i="1"/>
  <c r="R310" i="1"/>
  <c r="M310" i="1"/>
  <c r="S310" i="1" s="1"/>
  <c r="HN309" i="1"/>
  <c r="HK309" i="1"/>
  <c r="HJ309" i="1"/>
  <c r="HA309" i="1"/>
  <c r="GW309" i="1"/>
  <c r="GR309" i="1"/>
  <c r="GL309" i="1"/>
  <c r="GM309" i="1" s="1"/>
  <c r="GG309" i="1"/>
  <c r="GA309" i="1"/>
  <c r="FV309" i="1"/>
  <c r="FQ309" i="1"/>
  <c r="FG309" i="1"/>
  <c r="DU309" i="1"/>
  <c r="DT309" i="1"/>
  <c r="DS309" i="1"/>
  <c r="DR309" i="1"/>
  <c r="DQ309" i="1"/>
  <c r="DL309" i="1"/>
  <c r="DG309" i="1"/>
  <c r="DB309" i="1"/>
  <c r="DV309" i="1" s="1"/>
  <c r="CW309" i="1"/>
  <c r="CR309" i="1"/>
  <c r="CM309" i="1"/>
  <c r="CS309" i="1" s="1"/>
  <c r="CH309" i="1"/>
  <c r="BZ309" i="1"/>
  <c r="BY309" i="1"/>
  <c r="BX309" i="1"/>
  <c r="BW309" i="1"/>
  <c r="BQ309" i="1"/>
  <c r="BR309" i="1" s="1"/>
  <c r="BL309" i="1"/>
  <c r="BK309" i="1"/>
  <c r="BE309" i="1"/>
  <c r="CA309" i="1" s="1"/>
  <c r="AY309" i="1"/>
  <c r="AV309" i="1"/>
  <c r="AU309" i="1"/>
  <c r="AM309" i="1"/>
  <c r="AK309" i="1"/>
  <c r="AI309" i="1"/>
  <c r="AG309" i="1"/>
  <c r="AE309" i="1"/>
  <c r="AC309" i="1"/>
  <c r="AA309" i="1"/>
  <c r="Y309" i="1"/>
  <c r="W309" i="1"/>
  <c r="U309" i="1"/>
  <c r="F331" i="2" s="1"/>
  <c r="S309" i="1"/>
  <c r="R309" i="1"/>
  <c r="M309" i="1"/>
  <c r="HN308" i="1"/>
  <c r="HK308" i="1"/>
  <c r="HJ308" i="1"/>
  <c r="HA308" i="1"/>
  <c r="GW308" i="1"/>
  <c r="GR308" i="1"/>
  <c r="GM308" i="1"/>
  <c r="GX308" i="1" s="1"/>
  <c r="HD308" i="1" s="1"/>
  <c r="GL308" i="1"/>
  <c r="GG308" i="1"/>
  <c r="GB308" i="1"/>
  <c r="GA308" i="1"/>
  <c r="FV308" i="1"/>
  <c r="FQ308" i="1"/>
  <c r="FG308" i="1"/>
  <c r="DU308" i="1"/>
  <c r="DT308" i="1"/>
  <c r="DS308" i="1"/>
  <c r="DR308" i="1"/>
  <c r="DQ308" i="1"/>
  <c r="DL308" i="1"/>
  <c r="DG308" i="1"/>
  <c r="DB308" i="1"/>
  <c r="DV308" i="1" s="1"/>
  <c r="CW308" i="1"/>
  <c r="CS308" i="1"/>
  <c r="CR308" i="1"/>
  <c r="CM308" i="1"/>
  <c r="CH308" i="1"/>
  <c r="BZ308" i="1"/>
  <c r="BY308" i="1"/>
  <c r="BW308" i="1"/>
  <c r="BR308" i="1"/>
  <c r="BQ308" i="1"/>
  <c r="BK308" i="1"/>
  <c r="BL308" i="1" s="1"/>
  <c r="BF308" i="1"/>
  <c r="BE308" i="1"/>
  <c r="AY308" i="1"/>
  <c r="AV308" i="1"/>
  <c r="AU308" i="1"/>
  <c r="AM308" i="1"/>
  <c r="AK308" i="1"/>
  <c r="AI308" i="1"/>
  <c r="AG308" i="1"/>
  <c r="AE308" i="1"/>
  <c r="AC308" i="1"/>
  <c r="AA308" i="1"/>
  <c r="Y308" i="1"/>
  <c r="W308" i="1"/>
  <c r="U308" i="1"/>
  <c r="R308" i="1"/>
  <c r="M308" i="1"/>
  <c r="S308" i="1" s="1"/>
  <c r="AW308" i="1" s="1"/>
  <c r="HN307" i="1"/>
  <c r="HK307" i="1"/>
  <c r="HJ307" i="1"/>
  <c r="HA307" i="1"/>
  <c r="GW307" i="1"/>
  <c r="GR307" i="1"/>
  <c r="GL307" i="1"/>
  <c r="GG307" i="1"/>
  <c r="GM307" i="1" s="1"/>
  <c r="GX307" i="1" s="1"/>
  <c r="GA307" i="1"/>
  <c r="FV307" i="1"/>
  <c r="GB307" i="1" s="1"/>
  <c r="FQ307" i="1"/>
  <c r="FG307" i="1"/>
  <c r="DU307" i="1"/>
  <c r="DT307" i="1"/>
  <c r="DS307" i="1"/>
  <c r="DR307" i="1"/>
  <c r="DQ307" i="1"/>
  <c r="DL307" i="1"/>
  <c r="DG307" i="1"/>
  <c r="DB307" i="1"/>
  <c r="DV307" i="1" s="1"/>
  <c r="CW307" i="1"/>
  <c r="CS307" i="1"/>
  <c r="CR307" i="1"/>
  <c r="CM307" i="1"/>
  <c r="CH307" i="1"/>
  <c r="BZ307" i="1"/>
  <c r="BY307" i="1"/>
  <c r="BX307" i="1"/>
  <c r="BW307" i="1"/>
  <c r="BR307" i="1"/>
  <c r="BQ307" i="1"/>
  <c r="BL307" i="1"/>
  <c r="BK307" i="1"/>
  <c r="CA307" i="1" s="1"/>
  <c r="BF307" i="1"/>
  <c r="BE307" i="1"/>
  <c r="AY307" i="1"/>
  <c r="AW307" i="1"/>
  <c r="AV307" i="1"/>
  <c r="AU307" i="1"/>
  <c r="AM307" i="1"/>
  <c r="AK307" i="1"/>
  <c r="AI307" i="1"/>
  <c r="AG307" i="1"/>
  <c r="AE307" i="1"/>
  <c r="AC307" i="1"/>
  <c r="AA307" i="1"/>
  <c r="Y307" i="1"/>
  <c r="W307" i="1"/>
  <c r="U307" i="1"/>
  <c r="R307" i="1"/>
  <c r="M307" i="1"/>
  <c r="S307" i="1" s="1"/>
  <c r="HN306" i="1"/>
  <c r="HK306" i="1"/>
  <c r="HJ306" i="1"/>
  <c r="HA306" i="1"/>
  <c r="GX306" i="1"/>
  <c r="GW306" i="1"/>
  <c r="GR306" i="1"/>
  <c r="GM306" i="1"/>
  <c r="GL306" i="1"/>
  <c r="GG306" i="1"/>
  <c r="GA306" i="1"/>
  <c r="FV306" i="1"/>
  <c r="GB306" i="1" s="1"/>
  <c r="FQ306" i="1"/>
  <c r="FG306" i="1"/>
  <c r="DU306" i="1"/>
  <c r="DT306" i="1"/>
  <c r="DS306" i="1"/>
  <c r="DR306" i="1"/>
  <c r="DQ306" i="1"/>
  <c r="DL306" i="1"/>
  <c r="DG306" i="1"/>
  <c r="DB306" i="1"/>
  <c r="DV306" i="1" s="1"/>
  <c r="CW306" i="1"/>
  <c r="CS306" i="1"/>
  <c r="CR306" i="1"/>
  <c r="CM306" i="1"/>
  <c r="CH306" i="1"/>
  <c r="BZ306" i="1"/>
  <c r="BY306" i="1"/>
  <c r="BX306" i="1"/>
  <c r="BW306" i="1"/>
  <c r="BQ306" i="1"/>
  <c r="BR306" i="1" s="1"/>
  <c r="BK306" i="1"/>
  <c r="BL306" i="1" s="1"/>
  <c r="BE306" i="1"/>
  <c r="AY306" i="1"/>
  <c r="AU306" i="1"/>
  <c r="AM306" i="1"/>
  <c r="AK306" i="1"/>
  <c r="AI306" i="1"/>
  <c r="AG306" i="1"/>
  <c r="AE306" i="1"/>
  <c r="AC306" i="1"/>
  <c r="AA306" i="1"/>
  <c r="Y306" i="1"/>
  <c r="W306" i="1"/>
  <c r="U306" i="1"/>
  <c r="E331" i="2" s="1"/>
  <c r="R306" i="1"/>
  <c r="M306" i="1"/>
  <c r="HN305" i="1"/>
  <c r="HK305" i="1"/>
  <c r="HJ305" i="1"/>
  <c r="HA305" i="1"/>
  <c r="GW305" i="1"/>
  <c r="GR305" i="1"/>
  <c r="GL305" i="1"/>
  <c r="GG305" i="1"/>
  <c r="GM305" i="1" s="1"/>
  <c r="GX305" i="1" s="1"/>
  <c r="GA305" i="1"/>
  <c r="FV305" i="1"/>
  <c r="GB305" i="1" s="1"/>
  <c r="FQ305" i="1"/>
  <c r="FG305" i="1"/>
  <c r="DU305" i="1"/>
  <c r="DT305" i="1"/>
  <c r="DS305" i="1"/>
  <c r="DR305" i="1"/>
  <c r="DQ305" i="1"/>
  <c r="DL305" i="1"/>
  <c r="DG305" i="1"/>
  <c r="DB305" i="1"/>
  <c r="DV305" i="1" s="1"/>
  <c r="CW305" i="1"/>
  <c r="CR305" i="1"/>
  <c r="CM305" i="1"/>
  <c r="CS305" i="1" s="1"/>
  <c r="CH305" i="1"/>
  <c r="BZ305" i="1"/>
  <c r="BY305" i="1"/>
  <c r="BX305" i="1"/>
  <c r="BW305" i="1"/>
  <c r="BR305" i="1"/>
  <c r="BQ305" i="1"/>
  <c r="BL305" i="1"/>
  <c r="BK305" i="1"/>
  <c r="BF305" i="1"/>
  <c r="CB305" i="1" s="1"/>
  <c r="BE305" i="1"/>
  <c r="CA305" i="1" s="1"/>
  <c r="AY305" i="1"/>
  <c r="AV305" i="1"/>
  <c r="AU305" i="1"/>
  <c r="AM305" i="1"/>
  <c r="AK305" i="1"/>
  <c r="AI305" i="1"/>
  <c r="AG305" i="1"/>
  <c r="AE305" i="1"/>
  <c r="AC305" i="1"/>
  <c r="AA305" i="1"/>
  <c r="Y305" i="1"/>
  <c r="W305" i="1"/>
  <c r="U305" i="1"/>
  <c r="S305" i="1"/>
  <c r="AW305" i="1" s="1"/>
  <c r="R305" i="1"/>
  <c r="M305" i="1"/>
  <c r="HN304" i="1"/>
  <c r="HK304" i="1"/>
  <c r="HJ304" i="1"/>
  <c r="HB304" i="1"/>
  <c r="HA304" i="1"/>
  <c r="GX304" i="1"/>
  <c r="GW304" i="1"/>
  <c r="GR304" i="1"/>
  <c r="GM304" i="1"/>
  <c r="GL304" i="1"/>
  <c r="GG304" i="1"/>
  <c r="GB304" i="1"/>
  <c r="GA304" i="1"/>
  <c r="FV304" i="1"/>
  <c r="FQ304" i="1"/>
  <c r="FG304" i="1"/>
  <c r="DU304" i="1"/>
  <c r="DT304" i="1"/>
  <c r="DS304" i="1"/>
  <c r="DR304" i="1"/>
  <c r="DQ304" i="1"/>
  <c r="DL304" i="1"/>
  <c r="DG304" i="1"/>
  <c r="DB304" i="1"/>
  <c r="CW304" i="1"/>
  <c r="CR304" i="1"/>
  <c r="CM304" i="1"/>
  <c r="CS304" i="1" s="1"/>
  <c r="CH304" i="1"/>
  <c r="BZ304" i="1"/>
  <c r="BY304" i="1"/>
  <c r="BW304" i="1"/>
  <c r="BX304" i="1" s="1"/>
  <c r="BQ304" i="1"/>
  <c r="BR304" i="1" s="1"/>
  <c r="BK304" i="1"/>
  <c r="BF304" i="1"/>
  <c r="BE304" i="1"/>
  <c r="AY304" i="1"/>
  <c r="AU304" i="1"/>
  <c r="AV304" i="1" s="1"/>
  <c r="AM304" i="1"/>
  <c r="AK304" i="1"/>
  <c r="AI304" i="1"/>
  <c r="AG304" i="1"/>
  <c r="AE304" i="1"/>
  <c r="AC304" i="1"/>
  <c r="AA304" i="1"/>
  <c r="Y304" i="1"/>
  <c r="W304" i="1"/>
  <c r="U304" i="1"/>
  <c r="S304" i="1"/>
  <c r="AW304" i="1" s="1"/>
  <c r="R304" i="1"/>
  <c r="M304" i="1"/>
  <c r="HN303" i="1"/>
  <c r="HK303" i="1"/>
  <c r="HJ303" i="1"/>
  <c r="HA303" i="1"/>
  <c r="GW303" i="1"/>
  <c r="GR303" i="1"/>
  <c r="GL303" i="1"/>
  <c r="GM303" i="1" s="1"/>
  <c r="GG303" i="1"/>
  <c r="GB303" i="1"/>
  <c r="GA303" i="1"/>
  <c r="FV303" i="1"/>
  <c r="FQ303" i="1"/>
  <c r="FG303" i="1"/>
  <c r="DU303" i="1"/>
  <c r="DT303" i="1"/>
  <c r="DS303" i="1"/>
  <c r="DR303" i="1"/>
  <c r="DQ303" i="1"/>
  <c r="DL303" i="1"/>
  <c r="DG303" i="1"/>
  <c r="DB303" i="1"/>
  <c r="DV303" i="1" s="1"/>
  <c r="CW303" i="1"/>
  <c r="CR303" i="1"/>
  <c r="CM303" i="1"/>
  <c r="CS303" i="1" s="1"/>
  <c r="CH303" i="1"/>
  <c r="BZ303" i="1"/>
  <c r="BY303" i="1"/>
  <c r="BW303" i="1"/>
  <c r="BX303" i="1" s="1"/>
  <c r="BR303" i="1"/>
  <c r="BQ303" i="1"/>
  <c r="BK303" i="1"/>
  <c r="BL303" i="1" s="1"/>
  <c r="BE303" i="1"/>
  <c r="AY303" i="1"/>
  <c r="AV303" i="1"/>
  <c r="AU303" i="1"/>
  <c r="AM303" i="1"/>
  <c r="AK303" i="1"/>
  <c r="AI303" i="1"/>
  <c r="AG303" i="1"/>
  <c r="AE303" i="1"/>
  <c r="AC303" i="1"/>
  <c r="AA303" i="1"/>
  <c r="Y303" i="1"/>
  <c r="W303" i="1"/>
  <c r="U303" i="1"/>
  <c r="R303" i="1"/>
  <c r="S303" i="1" s="1"/>
  <c r="M303" i="1"/>
  <c r="HN302" i="1"/>
  <c r="HK302" i="1"/>
  <c r="HJ302" i="1"/>
  <c r="HA302" i="1"/>
  <c r="GW302" i="1"/>
  <c r="GR302" i="1"/>
  <c r="GL302" i="1"/>
  <c r="GG302" i="1"/>
  <c r="GA302" i="1"/>
  <c r="FV302" i="1"/>
  <c r="GB302" i="1" s="1"/>
  <c r="FQ302" i="1"/>
  <c r="FG302" i="1"/>
  <c r="DU302" i="1"/>
  <c r="DT302" i="1"/>
  <c r="DS302" i="1"/>
  <c r="DR302" i="1"/>
  <c r="DQ302" i="1"/>
  <c r="DL302" i="1"/>
  <c r="DG302" i="1"/>
  <c r="DB302" i="1"/>
  <c r="DV302" i="1" s="1"/>
  <c r="CW302" i="1"/>
  <c r="CR302" i="1"/>
  <c r="CM302" i="1"/>
  <c r="CS302" i="1" s="1"/>
  <c r="CH302" i="1"/>
  <c r="BZ302" i="1"/>
  <c r="BY302" i="1"/>
  <c r="BX302" i="1"/>
  <c r="BW302" i="1"/>
  <c r="BR302" i="1"/>
  <c r="BQ302" i="1"/>
  <c r="BL302" i="1"/>
  <c r="BK302" i="1"/>
  <c r="BE302" i="1"/>
  <c r="AY302" i="1"/>
  <c r="AU302" i="1"/>
  <c r="AV302" i="1" s="1"/>
  <c r="AM302" i="1"/>
  <c r="AK302" i="1"/>
  <c r="AI302" i="1"/>
  <c r="AG302" i="1"/>
  <c r="AE302" i="1"/>
  <c r="AC302" i="1"/>
  <c r="AA302" i="1"/>
  <c r="Y302" i="1"/>
  <c r="W302" i="1"/>
  <c r="U302" i="1"/>
  <c r="R302" i="1"/>
  <c r="M302" i="1"/>
  <c r="S302" i="1" s="1"/>
  <c r="AW302" i="1" s="1"/>
  <c r="HN301" i="1"/>
  <c r="HK301" i="1"/>
  <c r="HJ301" i="1"/>
  <c r="HA301" i="1"/>
  <c r="GW301" i="1"/>
  <c r="GR301" i="1"/>
  <c r="GL301" i="1"/>
  <c r="GG301" i="1"/>
  <c r="GM301" i="1" s="1"/>
  <c r="GA301" i="1"/>
  <c r="FV301" i="1"/>
  <c r="GB301" i="1" s="1"/>
  <c r="G320" i="2" s="1"/>
  <c r="FQ301" i="1"/>
  <c r="FG301" i="1"/>
  <c r="DU301" i="1"/>
  <c r="DT301" i="1"/>
  <c r="DS301" i="1"/>
  <c r="DR301" i="1"/>
  <c r="DQ301" i="1"/>
  <c r="DL301" i="1"/>
  <c r="DG301" i="1"/>
  <c r="DB301" i="1"/>
  <c r="CW301" i="1"/>
  <c r="CR301" i="1"/>
  <c r="CM301" i="1"/>
  <c r="CS301" i="1" s="1"/>
  <c r="G323" i="2" s="1"/>
  <c r="CH301" i="1"/>
  <c r="CA301" i="1"/>
  <c r="BZ301" i="1"/>
  <c r="BY301" i="1"/>
  <c r="BX301" i="1"/>
  <c r="BW301" i="1"/>
  <c r="BQ301" i="1"/>
  <c r="BR301" i="1" s="1"/>
  <c r="BK301" i="1"/>
  <c r="BL301" i="1" s="1"/>
  <c r="BF301" i="1"/>
  <c r="CB301" i="1" s="1"/>
  <c r="BE301" i="1"/>
  <c r="AY301" i="1"/>
  <c r="AV301" i="1"/>
  <c r="AU301" i="1"/>
  <c r="AM301" i="1"/>
  <c r="AK301" i="1"/>
  <c r="AI301" i="1"/>
  <c r="AG301" i="1"/>
  <c r="AE301" i="1"/>
  <c r="AC301" i="1"/>
  <c r="AA301" i="1"/>
  <c r="Y301" i="1"/>
  <c r="W301" i="1"/>
  <c r="U301" i="1"/>
  <c r="S301" i="1"/>
  <c r="R301" i="1"/>
  <c r="M301" i="1"/>
  <c r="HA300" i="1"/>
  <c r="HN299" i="1"/>
  <c r="HK299" i="1"/>
  <c r="HJ299" i="1"/>
  <c r="HA299" i="1"/>
  <c r="GW299" i="1"/>
  <c r="GR299" i="1"/>
  <c r="GL299" i="1"/>
  <c r="GM299" i="1" s="1"/>
  <c r="GX299" i="1" s="1"/>
  <c r="HC299" i="1" s="1"/>
  <c r="GG299" i="1"/>
  <c r="GB299" i="1"/>
  <c r="GA299" i="1"/>
  <c r="FV299" i="1"/>
  <c r="FQ299" i="1"/>
  <c r="FG299" i="1"/>
  <c r="DU299" i="1"/>
  <c r="DT299" i="1"/>
  <c r="DS299" i="1"/>
  <c r="DR299" i="1"/>
  <c r="DQ299" i="1"/>
  <c r="DL299" i="1"/>
  <c r="DG299" i="1"/>
  <c r="DB299" i="1"/>
  <c r="DV299" i="1" s="1"/>
  <c r="CW299" i="1"/>
  <c r="CR299" i="1"/>
  <c r="CM299" i="1"/>
  <c r="CH299" i="1"/>
  <c r="BZ299" i="1"/>
  <c r="BY299" i="1"/>
  <c r="BW299" i="1"/>
  <c r="BX299" i="1" s="1"/>
  <c r="BR299" i="1"/>
  <c r="BQ299" i="1"/>
  <c r="BK299" i="1"/>
  <c r="BL299" i="1" s="1"/>
  <c r="BE299" i="1"/>
  <c r="AY299" i="1"/>
  <c r="AW299" i="1"/>
  <c r="AV299" i="1"/>
  <c r="AU299" i="1"/>
  <c r="AM299" i="1"/>
  <c r="AK299" i="1"/>
  <c r="AI299" i="1"/>
  <c r="AG299" i="1"/>
  <c r="AE299" i="1"/>
  <c r="AC299" i="1"/>
  <c r="AA299" i="1"/>
  <c r="Y299" i="1"/>
  <c r="W299" i="1"/>
  <c r="U299" i="1"/>
  <c r="R299" i="1"/>
  <c r="S299" i="1" s="1"/>
  <c r="M299" i="1"/>
  <c r="HN298" i="1"/>
  <c r="HK298" i="1"/>
  <c r="HJ298" i="1"/>
  <c r="HA298" i="1"/>
  <c r="GW298" i="1"/>
  <c r="GR298" i="1"/>
  <c r="GL298" i="1"/>
  <c r="GG298" i="1"/>
  <c r="GA298" i="1"/>
  <c r="FV298" i="1"/>
  <c r="GB298" i="1" s="1"/>
  <c r="FQ298" i="1"/>
  <c r="FG298" i="1"/>
  <c r="DU298" i="1"/>
  <c r="DT298" i="1"/>
  <c r="DS298" i="1"/>
  <c r="DR298" i="1"/>
  <c r="DQ298" i="1"/>
  <c r="DL298" i="1"/>
  <c r="DG298" i="1"/>
  <c r="DB298" i="1"/>
  <c r="DV298" i="1" s="1"/>
  <c r="CW298" i="1"/>
  <c r="CR298" i="1"/>
  <c r="CM298" i="1"/>
  <c r="CS298" i="1" s="1"/>
  <c r="CH298" i="1"/>
  <c r="BZ298" i="1"/>
  <c r="BY298" i="1"/>
  <c r="BX298" i="1"/>
  <c r="BW298" i="1"/>
  <c r="BR298" i="1"/>
  <c r="BQ298" i="1"/>
  <c r="BL298" i="1"/>
  <c r="BK298" i="1"/>
  <c r="BE298" i="1"/>
  <c r="AY298" i="1"/>
  <c r="AU298" i="1"/>
  <c r="AV298" i="1" s="1"/>
  <c r="AM298" i="1"/>
  <c r="AK298" i="1"/>
  <c r="AI298" i="1"/>
  <c r="AG298" i="1"/>
  <c r="AE298" i="1"/>
  <c r="AC298" i="1"/>
  <c r="AA298" i="1"/>
  <c r="Y298" i="1"/>
  <c r="W298" i="1"/>
  <c r="U298" i="1"/>
  <c r="R298" i="1"/>
  <c r="M298" i="1"/>
  <c r="S298" i="1" s="1"/>
  <c r="AW298" i="1" s="1"/>
  <c r="HN297" i="1"/>
  <c r="HK297" i="1"/>
  <c r="HJ297" i="1"/>
  <c r="HA297" i="1"/>
  <c r="GW297" i="1"/>
  <c r="GR297" i="1"/>
  <c r="GL297" i="1"/>
  <c r="GG297" i="1"/>
  <c r="GM297" i="1" s="1"/>
  <c r="GA297" i="1"/>
  <c r="FV297" i="1"/>
  <c r="GB297" i="1" s="1"/>
  <c r="F320" i="2" s="1"/>
  <c r="FQ297" i="1"/>
  <c r="FG297" i="1"/>
  <c r="DU297" i="1"/>
  <c r="DT297" i="1"/>
  <c r="DS297" i="1"/>
  <c r="DR297" i="1"/>
  <c r="DQ297" i="1"/>
  <c r="DL297" i="1"/>
  <c r="DG297" i="1"/>
  <c r="DB297" i="1"/>
  <c r="CW297" i="1"/>
  <c r="CR297" i="1"/>
  <c r="CM297" i="1"/>
  <c r="CS297" i="1" s="1"/>
  <c r="CH297" i="1"/>
  <c r="BZ297" i="1"/>
  <c r="BY297" i="1"/>
  <c r="BX297" i="1"/>
  <c r="BW297" i="1"/>
  <c r="BQ297" i="1"/>
  <c r="BR297" i="1" s="1"/>
  <c r="BK297" i="1"/>
  <c r="BL297" i="1" s="1"/>
  <c r="BF297" i="1"/>
  <c r="BE297" i="1"/>
  <c r="AY297" i="1"/>
  <c r="AV297" i="1"/>
  <c r="AU297" i="1"/>
  <c r="F319" i="2" s="1"/>
  <c r="AM297" i="1"/>
  <c r="AK297" i="1"/>
  <c r="AI297" i="1"/>
  <c r="AG297" i="1"/>
  <c r="AE297" i="1"/>
  <c r="AC297" i="1"/>
  <c r="AA297" i="1"/>
  <c r="Y297" i="1"/>
  <c r="W297" i="1"/>
  <c r="U297" i="1"/>
  <c r="S297" i="1"/>
  <c r="R297" i="1"/>
  <c r="M297" i="1"/>
  <c r="HN296" i="1"/>
  <c r="HK296" i="1"/>
  <c r="HJ296" i="1"/>
  <c r="HD296" i="1"/>
  <c r="HB296" i="1"/>
  <c r="HA296" i="1"/>
  <c r="GW296" i="1"/>
  <c r="GR296" i="1"/>
  <c r="GL296" i="1"/>
  <c r="GM296" i="1" s="1"/>
  <c r="GX296" i="1" s="1"/>
  <c r="HC296" i="1" s="1"/>
  <c r="GG296" i="1"/>
  <c r="GB296" i="1"/>
  <c r="GA296" i="1"/>
  <c r="FV296" i="1"/>
  <c r="FQ296" i="1"/>
  <c r="FG296" i="1"/>
  <c r="DU296" i="1"/>
  <c r="DT296" i="1"/>
  <c r="DS296" i="1"/>
  <c r="DR296" i="1"/>
  <c r="DQ296" i="1"/>
  <c r="DL296" i="1"/>
  <c r="DG296" i="1"/>
  <c r="DB296" i="1"/>
  <c r="DV296" i="1" s="1"/>
  <c r="CW296" i="1"/>
  <c r="CR296" i="1"/>
  <c r="CM296" i="1"/>
  <c r="CH296" i="1"/>
  <c r="BZ296" i="1"/>
  <c r="BY296" i="1"/>
  <c r="BX296" i="1"/>
  <c r="BW296" i="1"/>
  <c r="BR296" i="1"/>
  <c r="BQ296" i="1"/>
  <c r="BK296" i="1"/>
  <c r="BL296" i="1" s="1"/>
  <c r="BE296" i="1"/>
  <c r="CA296" i="1" s="1"/>
  <c r="AY296" i="1"/>
  <c r="AW296" i="1"/>
  <c r="AU296" i="1"/>
  <c r="AV296" i="1" s="1"/>
  <c r="AM296" i="1"/>
  <c r="AK296" i="1"/>
  <c r="AI296" i="1"/>
  <c r="AG296" i="1"/>
  <c r="AE296" i="1"/>
  <c r="AC296" i="1"/>
  <c r="AA296" i="1"/>
  <c r="Y296" i="1"/>
  <c r="W296" i="1"/>
  <c r="U296" i="1"/>
  <c r="R296" i="1"/>
  <c r="M296" i="1"/>
  <c r="S296" i="1" s="1"/>
  <c r="HN295" i="1"/>
  <c r="HK295" i="1"/>
  <c r="HJ295" i="1"/>
  <c r="HA295" i="1"/>
  <c r="GW295" i="1"/>
  <c r="GR295" i="1"/>
  <c r="GL295" i="1"/>
  <c r="GG295" i="1"/>
  <c r="GM295" i="1" s="1"/>
  <c r="GA295" i="1"/>
  <c r="FV295" i="1"/>
  <c r="GB295" i="1" s="1"/>
  <c r="FQ295" i="1"/>
  <c r="FG295" i="1"/>
  <c r="DU295" i="1"/>
  <c r="DT295" i="1"/>
  <c r="DS295" i="1"/>
  <c r="DR295" i="1"/>
  <c r="DQ295" i="1"/>
  <c r="DL295" i="1"/>
  <c r="DG295" i="1"/>
  <c r="DB295" i="1"/>
  <c r="CW295" i="1"/>
  <c r="CS295" i="1"/>
  <c r="CR295" i="1"/>
  <c r="CM295" i="1"/>
  <c r="CH295" i="1"/>
  <c r="CA295" i="1"/>
  <c r="BZ295" i="1"/>
  <c r="BY295" i="1"/>
  <c r="BX295" i="1"/>
  <c r="BW295" i="1"/>
  <c r="BQ295" i="1"/>
  <c r="BR295" i="1" s="1"/>
  <c r="BK295" i="1"/>
  <c r="BL295" i="1" s="1"/>
  <c r="BF295" i="1"/>
  <c r="BE295" i="1"/>
  <c r="AY295" i="1"/>
  <c r="AU295" i="1"/>
  <c r="AV295" i="1" s="1"/>
  <c r="AM295" i="1"/>
  <c r="AK295" i="1"/>
  <c r="AI295" i="1"/>
  <c r="AG295" i="1"/>
  <c r="AE295" i="1"/>
  <c r="AC295" i="1"/>
  <c r="AA295" i="1"/>
  <c r="Y295" i="1"/>
  <c r="W295" i="1"/>
  <c r="U295" i="1"/>
  <c r="R295" i="1"/>
  <c r="M295" i="1"/>
  <c r="S295" i="1" s="1"/>
  <c r="AW295" i="1" s="1"/>
  <c r="HN294" i="1"/>
  <c r="HK294" i="1"/>
  <c r="HJ294" i="1"/>
  <c r="HA294" i="1"/>
  <c r="GW294" i="1"/>
  <c r="GR294" i="1"/>
  <c r="GL294" i="1"/>
  <c r="GG294" i="1"/>
  <c r="GM294" i="1" s="1"/>
  <c r="GA294" i="1"/>
  <c r="FV294" i="1"/>
  <c r="GB294" i="1" s="1"/>
  <c r="FQ294" i="1"/>
  <c r="FG294" i="1"/>
  <c r="DU294" i="1"/>
  <c r="DT294" i="1"/>
  <c r="DS294" i="1"/>
  <c r="DR294" i="1"/>
  <c r="DQ294" i="1"/>
  <c r="DL294" i="1"/>
  <c r="DG294" i="1"/>
  <c r="DB294" i="1"/>
  <c r="DV294" i="1" s="1"/>
  <c r="CW294" i="1"/>
  <c r="CS294" i="1"/>
  <c r="CR294" i="1"/>
  <c r="CM294" i="1"/>
  <c r="CH294" i="1"/>
  <c r="BZ294" i="1"/>
  <c r="BY294" i="1"/>
  <c r="BX294" i="1"/>
  <c r="BW294" i="1"/>
  <c r="BQ294" i="1"/>
  <c r="BR294" i="1" s="1"/>
  <c r="BL294" i="1"/>
  <c r="BK294" i="1"/>
  <c r="BE294" i="1"/>
  <c r="CA294" i="1" s="1"/>
  <c r="E324" i="2" s="1"/>
  <c r="AY294" i="1"/>
  <c r="AW294" i="1"/>
  <c r="AU294" i="1"/>
  <c r="AM294" i="1"/>
  <c r="AK294" i="1"/>
  <c r="AI294" i="1"/>
  <c r="AG294" i="1"/>
  <c r="AE294" i="1"/>
  <c r="AC294" i="1"/>
  <c r="AA294" i="1"/>
  <c r="Y294" i="1"/>
  <c r="W294" i="1"/>
  <c r="U294" i="1"/>
  <c r="R294" i="1"/>
  <c r="M294" i="1"/>
  <c r="S294" i="1" s="1"/>
  <c r="E316" i="2" s="1"/>
  <c r="HN293" i="1"/>
  <c r="HK293" i="1"/>
  <c r="HJ293" i="1"/>
  <c r="HA293" i="1"/>
  <c r="GW293" i="1"/>
  <c r="GR293" i="1"/>
  <c r="GL293" i="1"/>
  <c r="GG293" i="1"/>
  <c r="GM293" i="1" s="1"/>
  <c r="GX293" i="1" s="1"/>
  <c r="GA293" i="1"/>
  <c r="FV293" i="1"/>
  <c r="GB293" i="1" s="1"/>
  <c r="FQ293" i="1"/>
  <c r="FG293" i="1"/>
  <c r="DU293" i="1"/>
  <c r="DT293" i="1"/>
  <c r="DS293" i="1"/>
  <c r="DR293" i="1"/>
  <c r="DQ293" i="1"/>
  <c r="DL293" i="1"/>
  <c r="DG293" i="1"/>
  <c r="DB293" i="1"/>
  <c r="DV293" i="1" s="1"/>
  <c r="CW293" i="1"/>
  <c r="CS293" i="1"/>
  <c r="CR293" i="1"/>
  <c r="CM293" i="1"/>
  <c r="CH293" i="1"/>
  <c r="BZ293" i="1"/>
  <c r="BY293" i="1"/>
  <c r="BX293" i="1"/>
  <c r="BW293" i="1"/>
  <c r="BR293" i="1"/>
  <c r="BQ293" i="1"/>
  <c r="BL293" i="1"/>
  <c r="BK293" i="1"/>
  <c r="BF293" i="1"/>
  <c r="CB293" i="1" s="1"/>
  <c r="BE293" i="1"/>
  <c r="AY293" i="1"/>
  <c r="AV293" i="1"/>
  <c r="AU293" i="1"/>
  <c r="AM293" i="1"/>
  <c r="AK293" i="1"/>
  <c r="AI293" i="1"/>
  <c r="AG293" i="1"/>
  <c r="AE293" i="1"/>
  <c r="AC293" i="1"/>
  <c r="AA293" i="1"/>
  <c r="Y293" i="1"/>
  <c r="W293" i="1"/>
  <c r="U293" i="1"/>
  <c r="S293" i="1"/>
  <c r="AW293" i="1" s="1"/>
  <c r="R293" i="1"/>
  <c r="M293" i="1"/>
  <c r="HN292" i="1"/>
  <c r="HK292" i="1"/>
  <c r="HJ292" i="1"/>
  <c r="HA292" i="1"/>
  <c r="GW292" i="1"/>
  <c r="GR292" i="1"/>
  <c r="GM292" i="1"/>
  <c r="GL292" i="1"/>
  <c r="GG292" i="1"/>
  <c r="GA292" i="1"/>
  <c r="GB292" i="1" s="1"/>
  <c r="FV292" i="1"/>
  <c r="FQ292" i="1"/>
  <c r="FG292" i="1"/>
  <c r="DU292" i="1"/>
  <c r="DT292" i="1"/>
  <c r="DS292" i="1"/>
  <c r="DR292" i="1"/>
  <c r="DQ292" i="1"/>
  <c r="DL292" i="1"/>
  <c r="DG292" i="1"/>
  <c r="DB292" i="1"/>
  <c r="DV292" i="1" s="1"/>
  <c r="CW292" i="1"/>
  <c r="CR292" i="1"/>
  <c r="CM292" i="1"/>
  <c r="CS292" i="1" s="1"/>
  <c r="CH292" i="1"/>
  <c r="CA292" i="1"/>
  <c r="BZ292" i="1"/>
  <c r="BY292" i="1"/>
  <c r="BW292" i="1"/>
  <c r="BX292" i="1" s="1"/>
  <c r="BQ292" i="1"/>
  <c r="BR292" i="1" s="1"/>
  <c r="BL292" i="1"/>
  <c r="BK292" i="1"/>
  <c r="BF292" i="1"/>
  <c r="BE292" i="1"/>
  <c r="AY292" i="1"/>
  <c r="AU292" i="1"/>
  <c r="AV292" i="1" s="1"/>
  <c r="AM292" i="1"/>
  <c r="AK292" i="1"/>
  <c r="AI292" i="1"/>
  <c r="AG292" i="1"/>
  <c r="AE292" i="1"/>
  <c r="AC292" i="1"/>
  <c r="AA292" i="1"/>
  <c r="Y292" i="1"/>
  <c r="W292" i="1"/>
  <c r="U292" i="1"/>
  <c r="S292" i="1"/>
  <c r="AW292" i="1" s="1"/>
  <c r="R292" i="1"/>
  <c r="M292" i="1"/>
  <c r="HN291" i="1"/>
  <c r="HK291" i="1"/>
  <c r="D676" i="3" s="1"/>
  <c r="HJ291" i="1"/>
  <c r="HA291" i="1"/>
  <c r="GW291" i="1"/>
  <c r="GR291" i="1"/>
  <c r="GL291" i="1"/>
  <c r="GG291" i="1"/>
  <c r="GM291" i="1" s="1"/>
  <c r="GA291" i="1"/>
  <c r="GB291" i="1" s="1"/>
  <c r="FV291" i="1"/>
  <c r="FQ291" i="1"/>
  <c r="FG291" i="1"/>
  <c r="DU291" i="1"/>
  <c r="DT291" i="1"/>
  <c r="DS291" i="1"/>
  <c r="DR291" i="1"/>
  <c r="DQ291" i="1"/>
  <c r="DL291" i="1"/>
  <c r="DG291" i="1"/>
  <c r="DB291" i="1"/>
  <c r="DV291" i="1" s="1"/>
  <c r="CW291" i="1"/>
  <c r="CS291" i="1"/>
  <c r="CR291" i="1"/>
  <c r="CM291" i="1"/>
  <c r="CH291" i="1"/>
  <c r="BZ291" i="1"/>
  <c r="BY291" i="1"/>
  <c r="BX291" i="1"/>
  <c r="BW291" i="1"/>
  <c r="BR291" i="1"/>
  <c r="BQ291" i="1"/>
  <c r="BL291" i="1"/>
  <c r="BK291" i="1"/>
  <c r="BE291" i="1"/>
  <c r="CA291" i="1" s="1"/>
  <c r="AY291" i="1"/>
  <c r="AV291" i="1"/>
  <c r="AU291" i="1"/>
  <c r="AM291" i="1"/>
  <c r="AK291" i="1"/>
  <c r="AI291" i="1"/>
  <c r="AG291" i="1"/>
  <c r="AE291" i="1"/>
  <c r="AC291" i="1"/>
  <c r="AA291" i="1"/>
  <c r="Y291" i="1"/>
  <c r="W291" i="1"/>
  <c r="U291" i="1"/>
  <c r="R291" i="1"/>
  <c r="M291" i="1"/>
  <c r="S291" i="1" s="1"/>
  <c r="HN290" i="1"/>
  <c r="HK290" i="1"/>
  <c r="HJ290" i="1"/>
  <c r="HA290" i="1"/>
  <c r="GW290" i="1"/>
  <c r="GR290" i="1"/>
  <c r="GL290" i="1"/>
  <c r="GG290" i="1"/>
  <c r="GA290" i="1"/>
  <c r="FV290" i="1"/>
  <c r="GB290" i="1" s="1"/>
  <c r="FQ290" i="1"/>
  <c r="FG290" i="1"/>
  <c r="DU290" i="1"/>
  <c r="DT290" i="1"/>
  <c r="DS290" i="1"/>
  <c r="DR290" i="1"/>
  <c r="DQ290" i="1"/>
  <c r="DL290" i="1"/>
  <c r="DG290" i="1"/>
  <c r="DB290" i="1"/>
  <c r="CW290" i="1"/>
  <c r="CS290" i="1"/>
  <c r="CR290" i="1"/>
  <c r="CM290" i="1"/>
  <c r="CH290" i="1"/>
  <c r="BZ290" i="1"/>
  <c r="BY290" i="1"/>
  <c r="BX290" i="1"/>
  <c r="BW290" i="1"/>
  <c r="BQ290" i="1"/>
  <c r="BR290" i="1" s="1"/>
  <c r="BK290" i="1"/>
  <c r="BE290" i="1"/>
  <c r="BF290" i="1" s="1"/>
  <c r="AY290" i="1"/>
  <c r="AV290" i="1"/>
  <c r="AU290" i="1"/>
  <c r="AM290" i="1"/>
  <c r="AK290" i="1"/>
  <c r="AI290" i="1"/>
  <c r="AG290" i="1"/>
  <c r="AE290" i="1"/>
  <c r="AC290" i="1"/>
  <c r="AA290" i="1"/>
  <c r="Y290" i="1"/>
  <c r="W290" i="1"/>
  <c r="U290" i="1"/>
  <c r="R290" i="1"/>
  <c r="M290" i="1"/>
  <c r="HN289" i="1"/>
  <c r="HK289" i="1"/>
  <c r="HJ289" i="1"/>
  <c r="HA289" i="1"/>
  <c r="GX289" i="1"/>
  <c r="GW289" i="1"/>
  <c r="GR289" i="1"/>
  <c r="GM289" i="1"/>
  <c r="GL289" i="1"/>
  <c r="GG289" i="1"/>
  <c r="GA289" i="1"/>
  <c r="FV289" i="1"/>
  <c r="GB289" i="1" s="1"/>
  <c r="FQ289" i="1"/>
  <c r="FG289" i="1"/>
  <c r="DU289" i="1"/>
  <c r="DT289" i="1"/>
  <c r="DS289" i="1"/>
  <c r="DR289" i="1"/>
  <c r="DQ289" i="1"/>
  <c r="DL289" i="1"/>
  <c r="DG289" i="1"/>
  <c r="DB289" i="1"/>
  <c r="DV289" i="1" s="1"/>
  <c r="CW289" i="1"/>
  <c r="CR289" i="1"/>
  <c r="CM289" i="1"/>
  <c r="CS289" i="1" s="1"/>
  <c r="G310" i="2" s="1"/>
  <c r="CH289" i="1"/>
  <c r="BZ289" i="1"/>
  <c r="BY289" i="1"/>
  <c r="BX289" i="1"/>
  <c r="BW289" i="1"/>
  <c r="BQ289" i="1"/>
  <c r="BR289" i="1" s="1"/>
  <c r="BL289" i="1"/>
  <c r="BK289" i="1"/>
  <c r="BF289" i="1"/>
  <c r="CB289" i="1" s="1"/>
  <c r="BE289" i="1"/>
  <c r="CA289" i="1" s="1"/>
  <c r="AY289" i="1"/>
  <c r="AU289" i="1"/>
  <c r="G306" i="2" s="1"/>
  <c r="AM289" i="1"/>
  <c r="AK289" i="1"/>
  <c r="AI289" i="1"/>
  <c r="AG289" i="1"/>
  <c r="AE289" i="1"/>
  <c r="AC289" i="1"/>
  <c r="AA289" i="1"/>
  <c r="Y289" i="1"/>
  <c r="W289" i="1"/>
  <c r="U289" i="1"/>
  <c r="G305" i="2" s="1"/>
  <c r="R289" i="1"/>
  <c r="M289" i="1"/>
  <c r="HA288" i="1"/>
  <c r="HN287" i="1"/>
  <c r="HK287" i="1"/>
  <c r="HJ287" i="1"/>
  <c r="HD287" i="1"/>
  <c r="HB287" i="1"/>
  <c r="HA287" i="1"/>
  <c r="GW287" i="1"/>
  <c r="GR287" i="1"/>
  <c r="GL287" i="1"/>
  <c r="GG287" i="1"/>
  <c r="GM287" i="1" s="1"/>
  <c r="GX287" i="1" s="1"/>
  <c r="GA287" i="1"/>
  <c r="GB287" i="1" s="1"/>
  <c r="FV287" i="1"/>
  <c r="FQ287" i="1"/>
  <c r="FG287" i="1"/>
  <c r="DU287" i="1"/>
  <c r="DT287" i="1"/>
  <c r="DS287" i="1"/>
  <c r="DR287" i="1"/>
  <c r="DQ287" i="1"/>
  <c r="DL287" i="1"/>
  <c r="DG287" i="1"/>
  <c r="DB287" i="1"/>
  <c r="DV287" i="1" s="1"/>
  <c r="CW287" i="1"/>
  <c r="CS287" i="1"/>
  <c r="CR287" i="1"/>
  <c r="CM287" i="1"/>
  <c r="CH287" i="1"/>
  <c r="BZ287" i="1"/>
  <c r="BY287" i="1"/>
  <c r="BX287" i="1"/>
  <c r="BW287" i="1"/>
  <c r="BR287" i="1"/>
  <c r="BQ287" i="1"/>
  <c r="BL287" i="1"/>
  <c r="BK287" i="1"/>
  <c r="BF287" i="1"/>
  <c r="CB287" i="1" s="1"/>
  <c r="BE287" i="1"/>
  <c r="CA287" i="1" s="1"/>
  <c r="AY287" i="1"/>
  <c r="AV287" i="1"/>
  <c r="AU287" i="1"/>
  <c r="AM287" i="1"/>
  <c r="AK287" i="1"/>
  <c r="AI287" i="1"/>
  <c r="AG287" i="1"/>
  <c r="AE287" i="1"/>
  <c r="AC287" i="1"/>
  <c r="AA287" i="1"/>
  <c r="Y287" i="1"/>
  <c r="W287" i="1"/>
  <c r="U287" i="1"/>
  <c r="R287" i="1"/>
  <c r="M287" i="1"/>
  <c r="S287" i="1" s="1"/>
  <c r="AW287" i="1" s="1"/>
  <c r="HN286" i="1"/>
  <c r="HK286" i="1"/>
  <c r="HJ286" i="1"/>
  <c r="HA286" i="1"/>
  <c r="GW286" i="1"/>
  <c r="GR286" i="1"/>
  <c r="GL286" i="1"/>
  <c r="GG286" i="1"/>
  <c r="GA286" i="1"/>
  <c r="FV286" i="1"/>
  <c r="GB286" i="1" s="1"/>
  <c r="FQ286" i="1"/>
  <c r="FG286" i="1"/>
  <c r="DU286" i="1"/>
  <c r="DT286" i="1"/>
  <c r="DS286" i="1"/>
  <c r="DR286" i="1"/>
  <c r="DQ286" i="1"/>
  <c r="DL286" i="1"/>
  <c r="DG286" i="1"/>
  <c r="DB286" i="1"/>
  <c r="CW286" i="1"/>
  <c r="CS286" i="1"/>
  <c r="CR286" i="1"/>
  <c r="CM286" i="1"/>
  <c r="CH286" i="1"/>
  <c r="BZ286" i="1"/>
  <c r="BY286" i="1"/>
  <c r="BX286" i="1"/>
  <c r="BW286" i="1"/>
  <c r="BQ286" i="1"/>
  <c r="BR286" i="1" s="1"/>
  <c r="BK286" i="1"/>
  <c r="BL286" i="1" s="1"/>
  <c r="BE286" i="1"/>
  <c r="BF286" i="1" s="1"/>
  <c r="AY286" i="1"/>
  <c r="AV286" i="1"/>
  <c r="AU286" i="1"/>
  <c r="AM286" i="1"/>
  <c r="AK286" i="1"/>
  <c r="AI286" i="1"/>
  <c r="AG286" i="1"/>
  <c r="AE286" i="1"/>
  <c r="AC286" i="1"/>
  <c r="AA286" i="1"/>
  <c r="Y286" i="1"/>
  <c r="W286" i="1"/>
  <c r="U286" i="1"/>
  <c r="R286" i="1"/>
  <c r="M286" i="1"/>
  <c r="HN285" i="1"/>
  <c r="HK285" i="1"/>
  <c r="HJ285" i="1"/>
  <c r="HA285" i="1"/>
  <c r="GW285" i="1"/>
  <c r="GR285" i="1"/>
  <c r="GX285" i="1" s="1"/>
  <c r="GM285" i="1"/>
  <c r="GL285" i="1"/>
  <c r="GG285" i="1"/>
  <c r="GA285" i="1"/>
  <c r="FV285" i="1"/>
  <c r="FQ285" i="1"/>
  <c r="FG285" i="1"/>
  <c r="DU285" i="1"/>
  <c r="DT285" i="1"/>
  <c r="DS285" i="1"/>
  <c r="DR285" i="1"/>
  <c r="DQ285" i="1"/>
  <c r="DL285" i="1"/>
  <c r="DG285" i="1"/>
  <c r="DB285" i="1"/>
  <c r="DV285" i="1" s="1"/>
  <c r="CW285" i="1"/>
  <c r="CR285" i="1"/>
  <c r="CM285" i="1"/>
  <c r="CS285" i="1" s="1"/>
  <c r="CH285" i="1"/>
  <c r="CB285" i="1"/>
  <c r="BZ285" i="1"/>
  <c r="BY285" i="1"/>
  <c r="BX285" i="1"/>
  <c r="BW285" i="1"/>
  <c r="BR285" i="1"/>
  <c r="BQ285" i="1"/>
  <c r="BL285" i="1"/>
  <c r="BK285" i="1"/>
  <c r="BF285" i="1"/>
  <c r="BE285" i="1"/>
  <c r="CA285" i="1" s="1"/>
  <c r="AY285" i="1"/>
  <c r="AU285" i="1"/>
  <c r="F306" i="2" s="1"/>
  <c r="AM285" i="1"/>
  <c r="AK285" i="1"/>
  <c r="AI285" i="1"/>
  <c r="AG285" i="1"/>
  <c r="AE285" i="1"/>
  <c r="AC285" i="1"/>
  <c r="AA285" i="1"/>
  <c r="Y285" i="1"/>
  <c r="W285" i="1"/>
  <c r="U285" i="1"/>
  <c r="F305" i="2" s="1"/>
  <c r="R285" i="1"/>
  <c r="M285" i="1"/>
  <c r="S285" i="1" s="1"/>
  <c r="HN284" i="1"/>
  <c r="HK284" i="1"/>
  <c r="HJ284" i="1"/>
  <c r="HA284" i="1"/>
  <c r="GW284" i="1"/>
  <c r="GR284" i="1"/>
  <c r="GL284" i="1"/>
  <c r="GG284" i="1"/>
  <c r="GM284" i="1" s="1"/>
  <c r="GX284" i="1" s="1"/>
  <c r="GA284" i="1"/>
  <c r="FV284" i="1"/>
  <c r="GB284" i="1" s="1"/>
  <c r="HC284" i="1" s="1"/>
  <c r="FQ284" i="1"/>
  <c r="FG284" i="1"/>
  <c r="DU284" i="1"/>
  <c r="DT284" i="1"/>
  <c r="DS284" i="1"/>
  <c r="DR284" i="1"/>
  <c r="DQ284" i="1"/>
  <c r="DL284" i="1"/>
  <c r="DG284" i="1"/>
  <c r="DB284" i="1"/>
  <c r="DV284" i="1" s="1"/>
  <c r="CW284" i="1"/>
  <c r="CS284" i="1"/>
  <c r="CR284" i="1"/>
  <c r="CM284" i="1"/>
  <c r="CH284" i="1"/>
  <c r="BZ284" i="1"/>
  <c r="BY284" i="1"/>
  <c r="BW284" i="1"/>
  <c r="BX284" i="1" s="1"/>
  <c r="BQ284" i="1"/>
  <c r="BR284" i="1" s="1"/>
  <c r="BK284" i="1"/>
  <c r="BL284" i="1" s="1"/>
  <c r="BF284" i="1"/>
  <c r="BE284" i="1"/>
  <c r="AY284" i="1"/>
  <c r="AV284" i="1"/>
  <c r="AU284" i="1"/>
  <c r="AM284" i="1"/>
  <c r="AK284" i="1"/>
  <c r="AI284" i="1"/>
  <c r="AG284" i="1"/>
  <c r="AE284" i="1"/>
  <c r="AC284" i="1"/>
  <c r="AA284" i="1"/>
  <c r="Y284" i="1"/>
  <c r="W284" i="1"/>
  <c r="U284" i="1"/>
  <c r="R284" i="1"/>
  <c r="M284" i="1"/>
  <c r="S284" i="1" s="1"/>
  <c r="AW284" i="1" s="1"/>
  <c r="HN283" i="1"/>
  <c r="HK283" i="1"/>
  <c r="HJ283" i="1"/>
  <c r="HC283" i="1"/>
  <c r="HA283" i="1"/>
  <c r="GW283" i="1"/>
  <c r="GR283" i="1"/>
  <c r="GM283" i="1"/>
  <c r="GX283" i="1" s="1"/>
  <c r="GL283" i="1"/>
  <c r="GG283" i="1"/>
  <c r="GB283" i="1"/>
  <c r="GA283" i="1"/>
  <c r="FV283" i="1"/>
  <c r="FQ283" i="1"/>
  <c r="FG283" i="1"/>
  <c r="DU283" i="1"/>
  <c r="DT283" i="1"/>
  <c r="DS283" i="1"/>
  <c r="DR283" i="1"/>
  <c r="DQ283" i="1"/>
  <c r="DL283" i="1"/>
  <c r="DG283" i="1"/>
  <c r="DB283" i="1"/>
  <c r="DV283" i="1" s="1"/>
  <c r="CW283" i="1"/>
  <c r="CS283" i="1"/>
  <c r="CR283" i="1"/>
  <c r="CM283" i="1"/>
  <c r="CH283" i="1"/>
  <c r="BZ283" i="1"/>
  <c r="BY283" i="1"/>
  <c r="BX283" i="1"/>
  <c r="BW283" i="1"/>
  <c r="BR283" i="1"/>
  <c r="BQ283" i="1"/>
  <c r="BL283" i="1"/>
  <c r="BK283" i="1"/>
  <c r="CA283" i="1" s="1"/>
  <c r="BF283" i="1"/>
  <c r="BE283" i="1"/>
  <c r="AY283" i="1"/>
  <c r="AV283" i="1"/>
  <c r="AU283" i="1"/>
  <c r="AM283" i="1"/>
  <c r="AK283" i="1"/>
  <c r="AI283" i="1"/>
  <c r="AG283" i="1"/>
  <c r="AE283" i="1"/>
  <c r="AC283" i="1"/>
  <c r="AA283" i="1"/>
  <c r="Y283" i="1"/>
  <c r="W283" i="1"/>
  <c r="U283" i="1"/>
  <c r="S283" i="1"/>
  <c r="AW283" i="1" s="1"/>
  <c r="R283" i="1"/>
  <c r="M283" i="1"/>
  <c r="HN282" i="1"/>
  <c r="HK282" i="1"/>
  <c r="HJ282" i="1"/>
  <c r="HB282" i="1"/>
  <c r="HA282" i="1"/>
  <c r="GX282" i="1"/>
  <c r="GW282" i="1"/>
  <c r="GR282" i="1"/>
  <c r="GL282" i="1"/>
  <c r="GG282" i="1"/>
  <c r="GM282" i="1" s="1"/>
  <c r="GA282" i="1"/>
  <c r="FV282" i="1"/>
  <c r="GB282" i="1" s="1"/>
  <c r="E307" i="2" s="1"/>
  <c r="FQ282" i="1"/>
  <c r="FG282" i="1"/>
  <c r="DU282" i="1"/>
  <c r="DT282" i="1"/>
  <c r="DS282" i="1"/>
  <c r="DR282" i="1"/>
  <c r="DQ282" i="1"/>
  <c r="DL282" i="1"/>
  <c r="DG282" i="1"/>
  <c r="DB282" i="1"/>
  <c r="CW282" i="1"/>
  <c r="CR282" i="1"/>
  <c r="CS282" i="1" s="1"/>
  <c r="E310" i="2" s="1"/>
  <c r="CM282" i="1"/>
  <c r="CH282" i="1"/>
  <c r="BZ282" i="1"/>
  <c r="BY282" i="1"/>
  <c r="BW282" i="1"/>
  <c r="BX282" i="1" s="1"/>
  <c r="BQ282" i="1"/>
  <c r="BR282" i="1" s="1"/>
  <c r="BL282" i="1"/>
  <c r="BK282" i="1"/>
  <c r="CA282" i="1" s="1"/>
  <c r="BF282" i="1"/>
  <c r="BE282" i="1"/>
  <c r="AY282" i="1"/>
  <c r="AU282" i="1"/>
  <c r="AM282" i="1"/>
  <c r="AK282" i="1"/>
  <c r="AI282" i="1"/>
  <c r="AG282" i="1"/>
  <c r="AE282" i="1"/>
  <c r="AC282" i="1"/>
  <c r="AA282" i="1"/>
  <c r="Y282" i="1"/>
  <c r="W282" i="1"/>
  <c r="U282" i="1"/>
  <c r="E305" i="2" s="1"/>
  <c r="S282" i="1"/>
  <c r="R282" i="1"/>
  <c r="M282" i="1"/>
  <c r="HN281" i="1"/>
  <c r="HK281" i="1"/>
  <c r="HJ281" i="1"/>
  <c r="HA281" i="1"/>
  <c r="GW281" i="1"/>
  <c r="GR281" i="1"/>
  <c r="GL281" i="1"/>
  <c r="GG281" i="1"/>
  <c r="GM281" i="1" s="1"/>
  <c r="GX281" i="1" s="1"/>
  <c r="GB281" i="1"/>
  <c r="GA281" i="1"/>
  <c r="FV281" i="1"/>
  <c r="FQ281" i="1"/>
  <c r="FG281" i="1"/>
  <c r="DU281" i="1"/>
  <c r="DT281" i="1"/>
  <c r="DS281" i="1"/>
  <c r="DR281" i="1"/>
  <c r="DQ281" i="1"/>
  <c r="DL281" i="1"/>
  <c r="DG281" i="1"/>
  <c r="DB281" i="1"/>
  <c r="DV281" i="1" s="1"/>
  <c r="CW281" i="1"/>
  <c r="CS281" i="1"/>
  <c r="CR281" i="1"/>
  <c r="CM281" i="1"/>
  <c r="CH281" i="1"/>
  <c r="BZ281" i="1"/>
  <c r="BY281" i="1"/>
  <c r="BW281" i="1"/>
  <c r="BX281" i="1" s="1"/>
  <c r="BR281" i="1"/>
  <c r="BQ281" i="1"/>
  <c r="BL281" i="1"/>
  <c r="BK281" i="1"/>
  <c r="BE281" i="1"/>
  <c r="AY281" i="1"/>
  <c r="AV281" i="1"/>
  <c r="AU281" i="1"/>
  <c r="AM281" i="1"/>
  <c r="AK281" i="1"/>
  <c r="AI281" i="1"/>
  <c r="AG281" i="1"/>
  <c r="AE281" i="1"/>
  <c r="AC281" i="1"/>
  <c r="AA281" i="1"/>
  <c r="Y281" i="1"/>
  <c r="W281" i="1"/>
  <c r="U281" i="1"/>
  <c r="R281" i="1"/>
  <c r="S281" i="1" s="1"/>
  <c r="AW281" i="1" s="1"/>
  <c r="M281" i="1"/>
  <c r="HN280" i="1"/>
  <c r="HK280" i="1"/>
  <c r="HJ280" i="1"/>
  <c r="HA280" i="1"/>
  <c r="GX280" i="1"/>
  <c r="GW280" i="1"/>
  <c r="GR280" i="1"/>
  <c r="GM280" i="1"/>
  <c r="GL280" i="1"/>
  <c r="GG280" i="1"/>
  <c r="GA280" i="1"/>
  <c r="FV280" i="1"/>
  <c r="GB280" i="1" s="1"/>
  <c r="FQ280" i="1"/>
  <c r="FG280" i="1"/>
  <c r="DU280" i="1"/>
  <c r="DT280" i="1"/>
  <c r="DS280" i="1"/>
  <c r="DR280" i="1"/>
  <c r="DQ280" i="1"/>
  <c r="DL280" i="1"/>
  <c r="DG280" i="1"/>
  <c r="DB280" i="1"/>
  <c r="DV280" i="1" s="1"/>
  <c r="CW280" i="1"/>
  <c r="CR280" i="1"/>
  <c r="CM280" i="1"/>
  <c r="CS280" i="1" s="1"/>
  <c r="CH280" i="1"/>
  <c r="BZ280" i="1"/>
  <c r="BY280" i="1"/>
  <c r="BW280" i="1"/>
  <c r="BX280" i="1" s="1"/>
  <c r="BQ280" i="1"/>
  <c r="BR280" i="1" s="1"/>
  <c r="BK280" i="1"/>
  <c r="BL280" i="1" s="1"/>
  <c r="BE280" i="1"/>
  <c r="AY280" i="1"/>
  <c r="AU280" i="1"/>
  <c r="AV280" i="1" s="1"/>
  <c r="AM280" i="1"/>
  <c r="AK280" i="1"/>
  <c r="AI280" i="1"/>
  <c r="AG280" i="1"/>
  <c r="AE280" i="1"/>
  <c r="AC280" i="1"/>
  <c r="AA280" i="1"/>
  <c r="Y280" i="1"/>
  <c r="W280" i="1"/>
  <c r="U280" i="1"/>
  <c r="R280" i="1"/>
  <c r="S280" i="1" s="1"/>
  <c r="AW280" i="1" s="1"/>
  <c r="M280" i="1"/>
  <c r="HN279" i="1"/>
  <c r="HK279" i="1"/>
  <c r="HJ279" i="1"/>
  <c r="HA279" i="1"/>
  <c r="D639" i="3" s="1"/>
  <c r="GW279" i="1"/>
  <c r="GR279" i="1"/>
  <c r="GL279" i="1"/>
  <c r="GG279" i="1"/>
  <c r="GM279" i="1" s="1"/>
  <c r="GA279" i="1"/>
  <c r="FV279" i="1"/>
  <c r="GB279" i="1" s="1"/>
  <c r="FQ279" i="1"/>
  <c r="FG279" i="1"/>
  <c r="DU279" i="1"/>
  <c r="DT279" i="1"/>
  <c r="DS279" i="1"/>
  <c r="DR279" i="1"/>
  <c r="DQ279" i="1"/>
  <c r="DL279" i="1"/>
  <c r="DG279" i="1"/>
  <c r="DB279" i="1"/>
  <c r="CW279" i="1"/>
  <c r="CR279" i="1"/>
  <c r="CS279" i="1" s="1"/>
  <c r="CM279" i="1"/>
  <c r="CH279" i="1"/>
  <c r="BZ279" i="1"/>
  <c r="BY279" i="1"/>
  <c r="BW279" i="1"/>
  <c r="BX279" i="1" s="1"/>
  <c r="BQ279" i="1"/>
  <c r="BR279" i="1" s="1"/>
  <c r="BL279" i="1"/>
  <c r="BK279" i="1"/>
  <c r="BE279" i="1"/>
  <c r="AY279" i="1"/>
  <c r="AU279" i="1"/>
  <c r="AM279" i="1"/>
  <c r="AK279" i="1"/>
  <c r="AI279" i="1"/>
  <c r="AG279" i="1"/>
  <c r="AE279" i="1"/>
  <c r="AC279" i="1"/>
  <c r="AA279" i="1"/>
  <c r="Y279" i="1"/>
  <c r="W279" i="1"/>
  <c r="U279" i="1"/>
  <c r="R279" i="1"/>
  <c r="M279" i="1"/>
  <c r="S279" i="1" s="1"/>
  <c r="HN278" i="1"/>
  <c r="HK278" i="1"/>
  <c r="HJ278" i="1"/>
  <c r="HA278" i="1"/>
  <c r="GW278" i="1"/>
  <c r="GR278" i="1"/>
  <c r="GM278" i="1"/>
  <c r="GX278" i="1" s="1"/>
  <c r="GL278" i="1"/>
  <c r="GG278" i="1"/>
  <c r="GA278" i="1"/>
  <c r="FV278" i="1"/>
  <c r="GB278" i="1" s="1"/>
  <c r="HD278" i="1" s="1"/>
  <c r="FQ278" i="1"/>
  <c r="FG278" i="1"/>
  <c r="DU278" i="1"/>
  <c r="DT278" i="1"/>
  <c r="DS278" i="1"/>
  <c r="DR278" i="1"/>
  <c r="DQ278" i="1"/>
  <c r="DL278" i="1"/>
  <c r="DG278" i="1"/>
  <c r="DB278" i="1"/>
  <c r="DV278" i="1" s="1"/>
  <c r="CW278" i="1"/>
  <c r="CR278" i="1"/>
  <c r="CM278" i="1"/>
  <c r="CS278" i="1" s="1"/>
  <c r="CH278" i="1"/>
  <c r="BZ278" i="1"/>
  <c r="BY278" i="1"/>
  <c r="BX278" i="1"/>
  <c r="BW278" i="1"/>
  <c r="BR278" i="1"/>
  <c r="BQ278" i="1"/>
  <c r="BL278" i="1"/>
  <c r="BK278" i="1"/>
  <c r="BE278" i="1"/>
  <c r="CA278" i="1" s="1"/>
  <c r="AY278" i="1"/>
  <c r="AV278" i="1"/>
  <c r="AU278" i="1"/>
  <c r="AM278" i="1"/>
  <c r="AK278" i="1"/>
  <c r="AI278" i="1"/>
  <c r="AG278" i="1"/>
  <c r="AE278" i="1"/>
  <c r="AC278" i="1"/>
  <c r="AA278" i="1"/>
  <c r="Y278" i="1"/>
  <c r="W278" i="1"/>
  <c r="U278" i="1"/>
  <c r="S278" i="1"/>
  <c r="AW278" i="1" s="1"/>
  <c r="R278" i="1"/>
  <c r="M278" i="1"/>
  <c r="HN277" i="1"/>
  <c r="HK277" i="1"/>
  <c r="HJ277" i="1"/>
  <c r="HA277" i="1"/>
  <c r="GW277" i="1"/>
  <c r="GR277" i="1"/>
  <c r="GL277" i="1"/>
  <c r="GM277" i="1" s="1"/>
  <c r="GG277" i="1"/>
  <c r="GA277" i="1"/>
  <c r="GB277" i="1" s="1"/>
  <c r="FV277" i="1"/>
  <c r="FQ277" i="1"/>
  <c r="FG277" i="1"/>
  <c r="DU277" i="1"/>
  <c r="DT277" i="1"/>
  <c r="DS277" i="1"/>
  <c r="DR277" i="1"/>
  <c r="DQ277" i="1"/>
  <c r="DL277" i="1"/>
  <c r="DG277" i="1"/>
  <c r="DB277" i="1"/>
  <c r="CW277" i="1"/>
  <c r="CR277" i="1"/>
  <c r="CM277" i="1"/>
  <c r="CS277" i="1" s="1"/>
  <c r="G297" i="2" s="1"/>
  <c r="CH277" i="1"/>
  <c r="BZ277" i="1"/>
  <c r="BY277" i="1"/>
  <c r="BW277" i="1"/>
  <c r="BX277" i="1" s="1"/>
  <c r="BR277" i="1"/>
  <c r="BQ277" i="1"/>
  <c r="BK277" i="1"/>
  <c r="BE277" i="1"/>
  <c r="BF277" i="1" s="1"/>
  <c r="AY277" i="1"/>
  <c r="AV277" i="1"/>
  <c r="AU277" i="1"/>
  <c r="AM277" i="1"/>
  <c r="AK277" i="1"/>
  <c r="AI277" i="1"/>
  <c r="AG277" i="1"/>
  <c r="AE277" i="1"/>
  <c r="AC277" i="1"/>
  <c r="AA277" i="1"/>
  <c r="Y277" i="1"/>
  <c r="W277" i="1"/>
  <c r="U277" i="1"/>
  <c r="G292" i="2" s="1"/>
  <c r="R277" i="1"/>
  <c r="S277" i="1" s="1"/>
  <c r="AW277" i="1" s="1"/>
  <c r="M277" i="1"/>
  <c r="HN275" i="1"/>
  <c r="HK275" i="1"/>
  <c r="HJ275" i="1"/>
  <c r="HA275" i="1"/>
  <c r="GW275" i="1"/>
  <c r="GR275" i="1"/>
  <c r="GL275" i="1"/>
  <c r="GG275" i="1"/>
  <c r="GM275" i="1" s="1"/>
  <c r="GA275" i="1"/>
  <c r="GB275" i="1" s="1"/>
  <c r="FV275" i="1"/>
  <c r="FQ275" i="1"/>
  <c r="FG275" i="1"/>
  <c r="DU275" i="1"/>
  <c r="DT275" i="1"/>
  <c r="DS275" i="1"/>
  <c r="DR275" i="1"/>
  <c r="DQ275" i="1"/>
  <c r="DL275" i="1"/>
  <c r="DG275" i="1"/>
  <c r="DB275" i="1"/>
  <c r="CW275" i="1"/>
  <c r="CS275" i="1"/>
  <c r="CR275" i="1"/>
  <c r="CM275" i="1"/>
  <c r="CH275" i="1"/>
  <c r="CB275" i="1"/>
  <c r="BZ275" i="1"/>
  <c r="BY275" i="1"/>
  <c r="BX275" i="1"/>
  <c r="BW275" i="1"/>
  <c r="BR275" i="1"/>
  <c r="BQ275" i="1"/>
  <c r="BL275" i="1"/>
  <c r="BK275" i="1"/>
  <c r="CA275" i="1" s="1"/>
  <c r="BF275" i="1"/>
  <c r="BE275" i="1"/>
  <c r="AY275" i="1"/>
  <c r="AV275" i="1"/>
  <c r="AU275" i="1"/>
  <c r="AM275" i="1"/>
  <c r="AK275" i="1"/>
  <c r="AI275" i="1"/>
  <c r="AG275" i="1"/>
  <c r="AE275" i="1"/>
  <c r="AC275" i="1"/>
  <c r="AA275" i="1"/>
  <c r="Y275" i="1"/>
  <c r="W275" i="1"/>
  <c r="U275" i="1"/>
  <c r="R275" i="1"/>
  <c r="M275" i="1"/>
  <c r="S275" i="1" s="1"/>
  <c r="AW275" i="1" s="1"/>
  <c r="HN274" i="1"/>
  <c r="HK274" i="1"/>
  <c r="HJ274" i="1"/>
  <c r="HA274" i="1"/>
  <c r="GW274" i="1"/>
  <c r="GR274" i="1"/>
  <c r="GL274" i="1"/>
  <c r="GG274" i="1"/>
  <c r="GA274" i="1"/>
  <c r="FV274" i="1"/>
  <c r="GB274" i="1" s="1"/>
  <c r="FQ274" i="1"/>
  <c r="FG274" i="1"/>
  <c r="DU274" i="1"/>
  <c r="DT274" i="1"/>
  <c r="DS274" i="1"/>
  <c r="DR274" i="1"/>
  <c r="DQ274" i="1"/>
  <c r="DL274" i="1"/>
  <c r="DG274" i="1"/>
  <c r="DB274" i="1"/>
  <c r="CW274" i="1"/>
  <c r="CS274" i="1"/>
  <c r="CR274" i="1"/>
  <c r="CM274" i="1"/>
  <c r="CH274" i="1"/>
  <c r="CA274" i="1"/>
  <c r="BZ274" i="1"/>
  <c r="BY274" i="1"/>
  <c r="BX274" i="1"/>
  <c r="BW274" i="1"/>
  <c r="BQ274" i="1"/>
  <c r="BR274" i="1" s="1"/>
  <c r="BK274" i="1"/>
  <c r="BL274" i="1" s="1"/>
  <c r="BE274" i="1"/>
  <c r="BF274" i="1" s="1"/>
  <c r="AY274" i="1"/>
  <c r="AU274" i="1"/>
  <c r="AV274" i="1" s="1"/>
  <c r="AM274" i="1"/>
  <c r="AK274" i="1"/>
  <c r="AI274" i="1"/>
  <c r="AG274" i="1"/>
  <c r="AE274" i="1"/>
  <c r="AC274" i="1"/>
  <c r="AA274" i="1"/>
  <c r="Y274" i="1"/>
  <c r="W274" i="1"/>
  <c r="U274" i="1"/>
  <c r="R274" i="1"/>
  <c r="M274" i="1"/>
  <c r="S274" i="1" s="1"/>
  <c r="HN273" i="1"/>
  <c r="HK273" i="1"/>
  <c r="HJ273" i="1"/>
  <c r="HA273" i="1"/>
  <c r="GW273" i="1"/>
  <c r="GR273" i="1"/>
  <c r="GL273" i="1"/>
  <c r="GG273" i="1"/>
  <c r="GM273" i="1" s="1"/>
  <c r="GA273" i="1"/>
  <c r="FV273" i="1"/>
  <c r="FQ273" i="1"/>
  <c r="FG273" i="1"/>
  <c r="DU273" i="1"/>
  <c r="DT273" i="1"/>
  <c r="DS273" i="1"/>
  <c r="DR273" i="1"/>
  <c r="DQ273" i="1"/>
  <c r="DL273" i="1"/>
  <c r="DG273" i="1"/>
  <c r="DB273" i="1"/>
  <c r="DV273" i="1" s="1"/>
  <c r="CW273" i="1"/>
  <c r="CR273" i="1"/>
  <c r="CM273" i="1"/>
  <c r="CS273" i="1" s="1"/>
  <c r="CH273" i="1"/>
  <c r="BZ273" i="1"/>
  <c r="BY273" i="1"/>
  <c r="BX273" i="1"/>
  <c r="BW273" i="1"/>
  <c r="BQ273" i="1"/>
  <c r="BR273" i="1" s="1"/>
  <c r="BL273" i="1"/>
  <c r="BK273" i="1"/>
  <c r="BF273" i="1"/>
  <c r="BE273" i="1"/>
  <c r="AY273" i="1"/>
  <c r="AU273" i="1"/>
  <c r="AM273" i="1"/>
  <c r="AK273" i="1"/>
  <c r="AI273" i="1"/>
  <c r="AG273" i="1"/>
  <c r="AE273" i="1"/>
  <c r="AC273" i="1"/>
  <c r="AA273" i="1"/>
  <c r="Y273" i="1"/>
  <c r="W273" i="1"/>
  <c r="U273" i="1"/>
  <c r="S273" i="1"/>
  <c r="R273" i="1"/>
  <c r="M273" i="1"/>
  <c r="HN272" i="1"/>
  <c r="HK272" i="1"/>
  <c r="HJ272" i="1"/>
  <c r="HA272" i="1"/>
  <c r="GW272" i="1"/>
  <c r="GR272" i="1"/>
  <c r="GM272" i="1"/>
  <c r="GX272" i="1" s="1"/>
  <c r="GL272" i="1"/>
  <c r="GG272" i="1"/>
  <c r="GB272" i="1"/>
  <c r="GA272" i="1"/>
  <c r="FV272" i="1"/>
  <c r="FQ272" i="1"/>
  <c r="FG272" i="1"/>
  <c r="DU272" i="1"/>
  <c r="DT272" i="1"/>
  <c r="DS272" i="1"/>
  <c r="DR272" i="1"/>
  <c r="DQ272" i="1"/>
  <c r="DL272" i="1"/>
  <c r="DG272" i="1"/>
  <c r="DB272" i="1"/>
  <c r="DV272" i="1" s="1"/>
  <c r="CW272" i="1"/>
  <c r="CR272" i="1"/>
  <c r="CM272" i="1"/>
  <c r="CS272" i="1" s="1"/>
  <c r="CH272" i="1"/>
  <c r="BZ272" i="1"/>
  <c r="BY272" i="1"/>
  <c r="BW272" i="1"/>
  <c r="BX272" i="1" s="1"/>
  <c r="BQ272" i="1"/>
  <c r="BR272" i="1" s="1"/>
  <c r="BK272" i="1"/>
  <c r="BL272" i="1" s="1"/>
  <c r="BF272" i="1"/>
  <c r="CB272" i="1" s="1"/>
  <c r="BE272" i="1"/>
  <c r="AY272" i="1"/>
  <c r="AU272" i="1"/>
  <c r="AV272" i="1" s="1"/>
  <c r="AM272" i="1"/>
  <c r="AK272" i="1"/>
  <c r="AI272" i="1"/>
  <c r="AG272" i="1"/>
  <c r="AE272" i="1"/>
  <c r="AC272" i="1"/>
  <c r="AA272" i="1"/>
  <c r="Y272" i="1"/>
  <c r="W272" i="1"/>
  <c r="U272" i="1"/>
  <c r="S272" i="1"/>
  <c r="AW272" i="1" s="1"/>
  <c r="R272" i="1"/>
  <c r="M272" i="1"/>
  <c r="HN271" i="1"/>
  <c r="HK271" i="1"/>
  <c r="HJ271" i="1"/>
  <c r="HA271" i="1"/>
  <c r="GW271" i="1"/>
  <c r="GR271" i="1"/>
  <c r="GM271" i="1"/>
  <c r="GL271" i="1"/>
  <c r="GG271" i="1"/>
  <c r="GB271" i="1"/>
  <c r="GA271" i="1"/>
  <c r="FV271" i="1"/>
  <c r="FQ271" i="1"/>
  <c r="FG271" i="1"/>
  <c r="DU271" i="1"/>
  <c r="DT271" i="1"/>
  <c r="DS271" i="1"/>
  <c r="DR271" i="1"/>
  <c r="DQ271" i="1"/>
  <c r="DL271" i="1"/>
  <c r="DG271" i="1"/>
  <c r="DB271" i="1"/>
  <c r="DV271" i="1" s="1"/>
  <c r="CW271" i="1"/>
  <c r="CR271" i="1"/>
  <c r="CS271" i="1" s="1"/>
  <c r="CM271" i="1"/>
  <c r="CH271" i="1"/>
  <c r="CB271" i="1"/>
  <c r="BZ271" i="1"/>
  <c r="BY271" i="1"/>
  <c r="BX271" i="1"/>
  <c r="BW271" i="1"/>
  <c r="BR271" i="1"/>
  <c r="BQ271" i="1"/>
  <c r="BL271" i="1"/>
  <c r="BK271" i="1"/>
  <c r="CA271" i="1" s="1"/>
  <c r="BF271" i="1"/>
  <c r="BE271" i="1"/>
  <c r="AY271" i="1"/>
  <c r="AV271" i="1"/>
  <c r="AU271" i="1"/>
  <c r="AM271" i="1"/>
  <c r="AK271" i="1"/>
  <c r="AI271" i="1"/>
  <c r="AG271" i="1"/>
  <c r="AE271" i="1"/>
  <c r="AC271" i="1"/>
  <c r="AA271" i="1"/>
  <c r="Y271" i="1"/>
  <c r="W271" i="1"/>
  <c r="U271" i="1"/>
  <c r="S271" i="1"/>
  <c r="AW271" i="1" s="1"/>
  <c r="R271" i="1"/>
  <c r="M271" i="1"/>
  <c r="HN270" i="1"/>
  <c r="HK270" i="1"/>
  <c r="HJ270" i="1"/>
  <c r="HA270" i="1"/>
  <c r="GW270" i="1"/>
  <c r="GR270" i="1"/>
  <c r="GL270" i="1"/>
  <c r="GG270" i="1"/>
  <c r="GA270" i="1"/>
  <c r="FV270" i="1"/>
  <c r="GB270" i="1" s="1"/>
  <c r="E294" i="2" s="1"/>
  <c r="FQ270" i="1"/>
  <c r="FG270" i="1"/>
  <c r="DU270" i="1"/>
  <c r="DT270" i="1"/>
  <c r="DS270" i="1"/>
  <c r="DR270" i="1"/>
  <c r="DQ270" i="1"/>
  <c r="DL270" i="1"/>
  <c r="DG270" i="1"/>
  <c r="DB270" i="1"/>
  <c r="CW270" i="1"/>
  <c r="CR270" i="1"/>
  <c r="CS270" i="1" s="1"/>
  <c r="CM270" i="1"/>
  <c r="CH270" i="1"/>
  <c r="BZ270" i="1"/>
  <c r="BY270" i="1"/>
  <c r="BW270" i="1"/>
  <c r="BX270" i="1" s="1"/>
  <c r="BQ270" i="1"/>
  <c r="BR270" i="1" s="1"/>
  <c r="BL270" i="1"/>
  <c r="BK270" i="1"/>
  <c r="BE270" i="1"/>
  <c r="AY270" i="1"/>
  <c r="AU270" i="1"/>
  <c r="AM270" i="1"/>
  <c r="AK270" i="1"/>
  <c r="AI270" i="1"/>
  <c r="AG270" i="1"/>
  <c r="AE270" i="1"/>
  <c r="AC270" i="1"/>
  <c r="AA270" i="1"/>
  <c r="Y270" i="1"/>
  <c r="W270" i="1"/>
  <c r="U270" i="1"/>
  <c r="R270" i="1"/>
  <c r="M270" i="1"/>
  <c r="HN269" i="1"/>
  <c r="HK269" i="1"/>
  <c r="HJ269" i="1"/>
  <c r="HA269" i="1"/>
  <c r="GW269" i="1"/>
  <c r="GR269" i="1"/>
  <c r="GL269" i="1"/>
  <c r="GM269" i="1" s="1"/>
  <c r="GX269" i="1" s="1"/>
  <c r="GG269" i="1"/>
  <c r="GA269" i="1"/>
  <c r="FV269" i="1"/>
  <c r="FQ269" i="1"/>
  <c r="FG269" i="1"/>
  <c r="DU269" i="1"/>
  <c r="DT269" i="1"/>
  <c r="DS269" i="1"/>
  <c r="DR269" i="1"/>
  <c r="DQ269" i="1"/>
  <c r="DL269" i="1"/>
  <c r="DG269" i="1"/>
  <c r="DB269" i="1"/>
  <c r="DV269" i="1" s="1"/>
  <c r="CW269" i="1"/>
  <c r="CR269" i="1"/>
  <c r="CM269" i="1"/>
  <c r="CS269" i="1" s="1"/>
  <c r="CH269" i="1"/>
  <c r="BZ269" i="1"/>
  <c r="BY269" i="1"/>
  <c r="BX269" i="1"/>
  <c r="BW269" i="1"/>
  <c r="BR269" i="1"/>
  <c r="BQ269" i="1"/>
  <c r="BL269" i="1"/>
  <c r="BK269" i="1"/>
  <c r="BF269" i="1"/>
  <c r="CB269" i="1" s="1"/>
  <c r="BE269" i="1"/>
  <c r="CA269" i="1" s="1"/>
  <c r="AY269" i="1"/>
  <c r="AV269" i="1"/>
  <c r="AU269" i="1"/>
  <c r="AM269" i="1"/>
  <c r="AK269" i="1"/>
  <c r="AI269" i="1"/>
  <c r="AG269" i="1"/>
  <c r="AE269" i="1"/>
  <c r="AC269" i="1"/>
  <c r="AA269" i="1"/>
  <c r="Y269" i="1"/>
  <c r="W269" i="1"/>
  <c r="U269" i="1"/>
  <c r="R269" i="1"/>
  <c r="S269" i="1" s="1"/>
  <c r="AW269" i="1" s="1"/>
  <c r="M269" i="1"/>
  <c r="HN268" i="1"/>
  <c r="HK268" i="1"/>
  <c r="HJ268" i="1"/>
  <c r="HA268" i="1"/>
  <c r="GW268" i="1"/>
  <c r="GR268" i="1"/>
  <c r="GL268" i="1"/>
  <c r="GM268" i="1" s="1"/>
  <c r="GX268" i="1" s="1"/>
  <c r="HC268" i="1" s="1"/>
  <c r="GG268" i="1"/>
  <c r="GA268" i="1"/>
  <c r="GB268" i="1" s="1"/>
  <c r="FV268" i="1"/>
  <c r="FQ268" i="1"/>
  <c r="FG268" i="1"/>
  <c r="DU268" i="1"/>
  <c r="DT268" i="1"/>
  <c r="DS268" i="1"/>
  <c r="DR268" i="1"/>
  <c r="DQ268" i="1"/>
  <c r="DL268" i="1"/>
  <c r="DG268" i="1"/>
  <c r="DB268" i="1"/>
  <c r="DV268" i="1" s="1"/>
  <c r="CW268" i="1"/>
  <c r="CR268" i="1"/>
  <c r="CM268" i="1"/>
  <c r="CH268" i="1"/>
  <c r="CA268" i="1"/>
  <c r="BZ268" i="1"/>
  <c r="BY268" i="1"/>
  <c r="BW268" i="1"/>
  <c r="BX268" i="1" s="1"/>
  <c r="BR268" i="1"/>
  <c r="BQ268" i="1"/>
  <c r="BK268" i="1"/>
  <c r="BL268" i="1" s="1"/>
  <c r="BE268" i="1"/>
  <c r="BF268" i="1" s="1"/>
  <c r="AY268" i="1"/>
  <c r="AW268" i="1"/>
  <c r="AV268" i="1"/>
  <c r="AU268" i="1"/>
  <c r="AM268" i="1"/>
  <c r="AK268" i="1"/>
  <c r="AI268" i="1"/>
  <c r="AG268" i="1"/>
  <c r="AE268" i="1"/>
  <c r="AC268" i="1"/>
  <c r="AA268" i="1"/>
  <c r="Y268" i="1"/>
  <c r="W268" i="1"/>
  <c r="U268" i="1"/>
  <c r="R268" i="1"/>
  <c r="S268" i="1" s="1"/>
  <c r="M268" i="1"/>
  <c r="HN267" i="1"/>
  <c r="D623" i="3" s="1"/>
  <c r="HK267" i="1"/>
  <c r="D622" i="3" s="1"/>
  <c r="HJ267" i="1"/>
  <c r="HA267" i="1"/>
  <c r="GW267" i="1"/>
  <c r="GR267" i="1"/>
  <c r="GL267" i="1"/>
  <c r="GG267" i="1"/>
  <c r="GM267" i="1" s="1"/>
  <c r="GA267" i="1"/>
  <c r="GB267" i="1" s="1"/>
  <c r="FV267" i="1"/>
  <c r="FQ267" i="1"/>
  <c r="FG267" i="1"/>
  <c r="D621" i="3" s="1"/>
  <c r="DU267" i="1"/>
  <c r="DT267" i="1"/>
  <c r="DS267" i="1"/>
  <c r="DR267" i="1"/>
  <c r="DQ267" i="1"/>
  <c r="DL267" i="1"/>
  <c r="DG267" i="1"/>
  <c r="DB267" i="1"/>
  <c r="DV267" i="1" s="1"/>
  <c r="CW267" i="1"/>
  <c r="CR267" i="1"/>
  <c r="CM267" i="1"/>
  <c r="CS267" i="1" s="1"/>
  <c r="CH267" i="1"/>
  <c r="BZ267" i="1"/>
  <c r="BY267" i="1"/>
  <c r="BX267" i="1"/>
  <c r="BW267" i="1"/>
  <c r="BR267" i="1"/>
  <c r="BQ267" i="1"/>
  <c r="BK267" i="1"/>
  <c r="BL267" i="1" s="1"/>
  <c r="BF267" i="1"/>
  <c r="BE267" i="1"/>
  <c r="AY267" i="1"/>
  <c r="AV267" i="1"/>
  <c r="AU267" i="1"/>
  <c r="AM267" i="1"/>
  <c r="AK267" i="1"/>
  <c r="AI267" i="1"/>
  <c r="AG267" i="1"/>
  <c r="AE267" i="1"/>
  <c r="AC267" i="1"/>
  <c r="AA267" i="1"/>
  <c r="Y267" i="1"/>
  <c r="W267" i="1"/>
  <c r="U267" i="1"/>
  <c r="R267" i="1"/>
  <c r="M267" i="1"/>
  <c r="S267" i="1" s="1"/>
  <c r="HN266" i="1"/>
  <c r="HK266" i="1"/>
  <c r="HJ266" i="1"/>
  <c r="HC266" i="1"/>
  <c r="HA266" i="1"/>
  <c r="GW266" i="1"/>
  <c r="GR266" i="1"/>
  <c r="GL266" i="1"/>
  <c r="GG266" i="1"/>
  <c r="GM266" i="1" s="1"/>
  <c r="GX266" i="1" s="1"/>
  <c r="HB266" i="1" s="1"/>
  <c r="GA266" i="1"/>
  <c r="FV266" i="1"/>
  <c r="GB266" i="1" s="1"/>
  <c r="FQ266" i="1"/>
  <c r="FG266" i="1"/>
  <c r="DU266" i="1"/>
  <c r="DT266" i="1"/>
  <c r="DS266" i="1"/>
  <c r="DR266" i="1"/>
  <c r="DQ266" i="1"/>
  <c r="DL266" i="1"/>
  <c r="DG266" i="1"/>
  <c r="DB266" i="1"/>
  <c r="CW266" i="1"/>
  <c r="CS266" i="1"/>
  <c r="CR266" i="1"/>
  <c r="CM266" i="1"/>
  <c r="CH266" i="1"/>
  <c r="BZ266" i="1"/>
  <c r="BY266" i="1"/>
  <c r="BX266" i="1"/>
  <c r="BW266" i="1"/>
  <c r="BQ266" i="1"/>
  <c r="BR266" i="1" s="1"/>
  <c r="BK266" i="1"/>
  <c r="BL266" i="1" s="1"/>
  <c r="BE266" i="1"/>
  <c r="BF266" i="1" s="1"/>
  <c r="AY266" i="1"/>
  <c r="AU266" i="1"/>
  <c r="AV266" i="1" s="1"/>
  <c r="AM266" i="1"/>
  <c r="AK266" i="1"/>
  <c r="AI266" i="1"/>
  <c r="AG266" i="1"/>
  <c r="AE266" i="1"/>
  <c r="AC266" i="1"/>
  <c r="AA266" i="1"/>
  <c r="Y266" i="1"/>
  <c r="W266" i="1"/>
  <c r="U266" i="1"/>
  <c r="R266" i="1"/>
  <c r="M266" i="1"/>
  <c r="HN265" i="1"/>
  <c r="HK265" i="1"/>
  <c r="HJ265" i="1"/>
  <c r="HA265" i="1"/>
  <c r="GW265" i="1"/>
  <c r="GR265" i="1"/>
  <c r="GL265" i="1"/>
  <c r="GG265" i="1"/>
  <c r="GM265" i="1" s="1"/>
  <c r="GA265" i="1"/>
  <c r="FV265" i="1"/>
  <c r="GB265" i="1" s="1"/>
  <c r="FQ265" i="1"/>
  <c r="FG265" i="1"/>
  <c r="DU265" i="1"/>
  <c r="DT265" i="1"/>
  <c r="DS265" i="1"/>
  <c r="DR265" i="1"/>
  <c r="DQ265" i="1"/>
  <c r="DL265" i="1"/>
  <c r="DG265" i="1"/>
  <c r="DB265" i="1"/>
  <c r="DV265" i="1" s="1"/>
  <c r="CW265" i="1"/>
  <c r="CS265" i="1"/>
  <c r="G284" i="2" s="1"/>
  <c r="CR265" i="1"/>
  <c r="CM265" i="1"/>
  <c r="CH265" i="1"/>
  <c r="BZ265" i="1"/>
  <c r="BY265" i="1"/>
  <c r="BX265" i="1"/>
  <c r="BW265" i="1"/>
  <c r="BQ265" i="1"/>
  <c r="BR265" i="1" s="1"/>
  <c r="BL265" i="1"/>
  <c r="BK265" i="1"/>
  <c r="BF265" i="1"/>
  <c r="BE265" i="1"/>
  <c r="CA265" i="1" s="1"/>
  <c r="AY265" i="1"/>
  <c r="AV265" i="1"/>
  <c r="AU265" i="1"/>
  <c r="G280" i="2" s="1"/>
  <c r="AM265" i="1"/>
  <c r="AK265" i="1"/>
  <c r="AI265" i="1"/>
  <c r="AG265" i="1"/>
  <c r="AE265" i="1"/>
  <c r="AC265" i="1"/>
  <c r="AA265" i="1"/>
  <c r="Y265" i="1"/>
  <c r="W265" i="1"/>
  <c r="U265" i="1"/>
  <c r="R265" i="1"/>
  <c r="M265" i="1"/>
  <c r="S265" i="1" s="1"/>
  <c r="HN263" i="1"/>
  <c r="HK263" i="1"/>
  <c r="HJ263" i="1"/>
  <c r="HA263" i="1"/>
  <c r="GW263" i="1"/>
  <c r="GR263" i="1"/>
  <c r="GX263" i="1" s="1"/>
  <c r="GM263" i="1"/>
  <c r="GL263" i="1"/>
  <c r="GG263" i="1"/>
  <c r="GA263" i="1"/>
  <c r="FV263" i="1"/>
  <c r="GB263" i="1" s="1"/>
  <c r="FQ263" i="1"/>
  <c r="FG263" i="1"/>
  <c r="DU263" i="1"/>
  <c r="DT263" i="1"/>
  <c r="DS263" i="1"/>
  <c r="DR263" i="1"/>
  <c r="DQ263" i="1"/>
  <c r="DL263" i="1"/>
  <c r="DG263" i="1"/>
  <c r="DB263" i="1"/>
  <c r="DV263" i="1" s="1"/>
  <c r="CW263" i="1"/>
  <c r="CR263" i="1"/>
  <c r="CM263" i="1"/>
  <c r="CH263" i="1"/>
  <c r="BZ263" i="1"/>
  <c r="BY263" i="1"/>
  <c r="BW263" i="1"/>
  <c r="BX263" i="1" s="1"/>
  <c r="BQ263" i="1"/>
  <c r="BR263" i="1" s="1"/>
  <c r="BK263" i="1"/>
  <c r="BL263" i="1" s="1"/>
  <c r="BF263" i="1"/>
  <c r="BE263" i="1"/>
  <c r="AY263" i="1"/>
  <c r="AU263" i="1"/>
  <c r="AV263" i="1" s="1"/>
  <c r="AM263" i="1"/>
  <c r="AK263" i="1"/>
  <c r="AI263" i="1"/>
  <c r="AG263" i="1"/>
  <c r="AE263" i="1"/>
  <c r="AC263" i="1"/>
  <c r="AA263" i="1"/>
  <c r="Y263" i="1"/>
  <c r="W263" i="1"/>
  <c r="U263" i="1"/>
  <c r="S263" i="1"/>
  <c r="R263" i="1"/>
  <c r="M263" i="1"/>
  <c r="HN262" i="1"/>
  <c r="HK262" i="1"/>
  <c r="HJ262" i="1"/>
  <c r="HA262" i="1"/>
  <c r="GW262" i="1"/>
  <c r="GR262" i="1"/>
  <c r="GL262" i="1"/>
  <c r="GG262" i="1"/>
  <c r="GM262" i="1" s="1"/>
  <c r="GX262" i="1" s="1"/>
  <c r="GB262" i="1"/>
  <c r="GA262" i="1"/>
  <c r="FV262" i="1"/>
  <c r="FQ262" i="1"/>
  <c r="FG262" i="1"/>
  <c r="DU262" i="1"/>
  <c r="DT262" i="1"/>
  <c r="DS262" i="1"/>
  <c r="DR262" i="1"/>
  <c r="DQ262" i="1"/>
  <c r="DL262" i="1"/>
  <c r="DG262" i="1"/>
  <c r="DB262" i="1"/>
  <c r="DV262" i="1" s="1"/>
  <c r="CW262" i="1"/>
  <c r="CS262" i="1"/>
  <c r="CR262" i="1"/>
  <c r="CM262" i="1"/>
  <c r="CH262" i="1"/>
  <c r="BZ262" i="1"/>
  <c r="BY262" i="1"/>
  <c r="BX262" i="1"/>
  <c r="BW262" i="1"/>
  <c r="BR262" i="1"/>
  <c r="BQ262" i="1"/>
  <c r="BK262" i="1"/>
  <c r="BL262" i="1" s="1"/>
  <c r="BF262" i="1"/>
  <c r="CB262" i="1" s="1"/>
  <c r="BE262" i="1"/>
  <c r="AY262" i="1"/>
  <c r="AV262" i="1"/>
  <c r="AU262" i="1"/>
  <c r="AM262" i="1"/>
  <c r="AK262" i="1"/>
  <c r="AI262" i="1"/>
  <c r="AG262" i="1"/>
  <c r="AE262" i="1"/>
  <c r="AC262" i="1"/>
  <c r="AA262" i="1"/>
  <c r="Y262" i="1"/>
  <c r="W262" i="1"/>
  <c r="U262" i="1"/>
  <c r="R262" i="1"/>
  <c r="M262" i="1"/>
  <c r="S262" i="1" s="1"/>
  <c r="AW262" i="1" s="1"/>
  <c r="HN261" i="1"/>
  <c r="HK261" i="1"/>
  <c r="HJ261" i="1"/>
  <c r="HA261" i="1"/>
  <c r="GX261" i="1"/>
  <c r="GW261" i="1"/>
  <c r="GR261" i="1"/>
  <c r="GL261" i="1"/>
  <c r="GG261" i="1"/>
  <c r="GM261" i="1" s="1"/>
  <c r="GB261" i="1"/>
  <c r="GA261" i="1"/>
  <c r="FV261" i="1"/>
  <c r="FQ261" i="1"/>
  <c r="FG261" i="1"/>
  <c r="DU261" i="1"/>
  <c r="DT261" i="1"/>
  <c r="DS261" i="1"/>
  <c r="DR261" i="1"/>
  <c r="DQ261" i="1"/>
  <c r="DL261" i="1"/>
  <c r="DG261" i="1"/>
  <c r="DB261" i="1"/>
  <c r="CW261" i="1"/>
  <c r="CR261" i="1"/>
  <c r="CS261" i="1" s="1"/>
  <c r="CM261" i="1"/>
  <c r="CH261" i="1"/>
  <c r="BZ261" i="1"/>
  <c r="BY261" i="1"/>
  <c r="BW261" i="1"/>
  <c r="BX261" i="1" s="1"/>
  <c r="BQ261" i="1"/>
  <c r="BR261" i="1" s="1"/>
  <c r="BL261" i="1"/>
  <c r="BK261" i="1"/>
  <c r="BE261" i="1"/>
  <c r="BF261" i="1" s="1"/>
  <c r="AY261" i="1"/>
  <c r="AU261" i="1"/>
  <c r="AM261" i="1"/>
  <c r="AK261" i="1"/>
  <c r="AI261" i="1"/>
  <c r="AG261" i="1"/>
  <c r="AE261" i="1"/>
  <c r="AC261" i="1"/>
  <c r="AA261" i="1"/>
  <c r="Y261" i="1"/>
  <c r="W261" i="1"/>
  <c r="U261" i="1"/>
  <c r="F279" i="2" s="1"/>
  <c r="R261" i="1"/>
  <c r="M261" i="1"/>
  <c r="HN260" i="1"/>
  <c r="HK260" i="1"/>
  <c r="HJ260" i="1"/>
  <c r="HA260" i="1"/>
  <c r="GX260" i="1"/>
  <c r="GW260" i="1"/>
  <c r="GR260" i="1"/>
  <c r="GM260" i="1"/>
  <c r="GL260" i="1"/>
  <c r="GG260" i="1"/>
  <c r="GA260" i="1"/>
  <c r="FV260" i="1"/>
  <c r="FQ260" i="1"/>
  <c r="FG260" i="1"/>
  <c r="DU260" i="1"/>
  <c r="DT260" i="1"/>
  <c r="DS260" i="1"/>
  <c r="DR260" i="1"/>
  <c r="DQ260" i="1"/>
  <c r="DL260" i="1"/>
  <c r="DG260" i="1"/>
  <c r="DB260" i="1"/>
  <c r="DV260" i="1" s="1"/>
  <c r="CW260" i="1"/>
  <c r="CR260" i="1"/>
  <c r="CM260" i="1"/>
  <c r="CS260" i="1" s="1"/>
  <c r="CH260" i="1"/>
  <c r="BZ260" i="1"/>
  <c r="BY260" i="1"/>
  <c r="BX260" i="1"/>
  <c r="BW260" i="1"/>
  <c r="BQ260" i="1"/>
  <c r="BR260" i="1" s="1"/>
  <c r="BL260" i="1"/>
  <c r="BK260" i="1"/>
  <c r="BE260" i="1"/>
  <c r="AY260" i="1"/>
  <c r="AV260" i="1"/>
  <c r="AU260" i="1"/>
  <c r="AM260" i="1"/>
  <c r="AK260" i="1"/>
  <c r="AI260" i="1"/>
  <c r="AG260" i="1"/>
  <c r="AE260" i="1"/>
  <c r="AC260" i="1"/>
  <c r="AA260" i="1"/>
  <c r="Y260" i="1"/>
  <c r="W260" i="1"/>
  <c r="U260" i="1"/>
  <c r="S260" i="1"/>
  <c r="AW260" i="1" s="1"/>
  <c r="R260" i="1"/>
  <c r="M260" i="1"/>
  <c r="HN259" i="1"/>
  <c r="HK259" i="1"/>
  <c r="HJ259" i="1"/>
  <c r="HA259" i="1"/>
  <c r="GW259" i="1"/>
  <c r="GR259" i="1"/>
  <c r="GM259" i="1"/>
  <c r="GL259" i="1"/>
  <c r="GG259" i="1"/>
  <c r="GB259" i="1"/>
  <c r="GA259" i="1"/>
  <c r="FV259" i="1"/>
  <c r="FQ259" i="1"/>
  <c r="FG259" i="1"/>
  <c r="DU259" i="1"/>
  <c r="DT259" i="1"/>
  <c r="DS259" i="1"/>
  <c r="DR259" i="1"/>
  <c r="DQ259" i="1"/>
  <c r="DL259" i="1"/>
  <c r="DG259" i="1"/>
  <c r="DB259" i="1"/>
  <c r="DV259" i="1" s="1"/>
  <c r="CW259" i="1"/>
  <c r="CR259" i="1"/>
  <c r="CM259" i="1"/>
  <c r="CH259" i="1"/>
  <c r="BZ259" i="1"/>
  <c r="BY259" i="1"/>
  <c r="BW259" i="1"/>
  <c r="BX259" i="1" s="1"/>
  <c r="BQ259" i="1"/>
  <c r="BR259" i="1" s="1"/>
  <c r="BK259" i="1"/>
  <c r="BL259" i="1" s="1"/>
  <c r="BF259" i="1"/>
  <c r="BE259" i="1"/>
  <c r="AY259" i="1"/>
  <c r="AW259" i="1"/>
  <c r="AV259" i="1"/>
  <c r="AU259" i="1"/>
  <c r="AM259" i="1"/>
  <c r="AK259" i="1"/>
  <c r="AI259" i="1"/>
  <c r="AG259" i="1"/>
  <c r="AE259" i="1"/>
  <c r="AC259" i="1"/>
  <c r="AA259" i="1"/>
  <c r="Y259" i="1"/>
  <c r="W259" i="1"/>
  <c r="U259" i="1"/>
  <c r="S259" i="1"/>
  <c r="R259" i="1"/>
  <c r="M259" i="1"/>
  <c r="HN258" i="1"/>
  <c r="HK258" i="1"/>
  <c r="HJ258" i="1"/>
  <c r="HA258" i="1"/>
  <c r="GW258" i="1"/>
  <c r="GR258" i="1"/>
  <c r="GM258" i="1"/>
  <c r="GL258" i="1"/>
  <c r="GG258" i="1"/>
  <c r="GA258" i="1"/>
  <c r="GB258" i="1" s="1"/>
  <c r="FV258" i="1"/>
  <c r="FQ258" i="1"/>
  <c r="FG258" i="1"/>
  <c r="DU258" i="1"/>
  <c r="DT258" i="1"/>
  <c r="DS258" i="1"/>
  <c r="DR258" i="1"/>
  <c r="DQ258" i="1"/>
  <c r="DL258" i="1"/>
  <c r="DG258" i="1"/>
  <c r="DB258" i="1"/>
  <c r="DV258" i="1" s="1"/>
  <c r="E286" i="2" s="1"/>
  <c r="CW258" i="1"/>
  <c r="CR258" i="1"/>
  <c r="CM258" i="1"/>
  <c r="CH258" i="1"/>
  <c r="BZ258" i="1"/>
  <c r="BY258" i="1"/>
  <c r="BW258" i="1"/>
  <c r="BX258" i="1" s="1"/>
  <c r="BR258" i="1"/>
  <c r="BQ258" i="1"/>
  <c r="BK258" i="1"/>
  <c r="BL258" i="1" s="1"/>
  <c r="BF258" i="1"/>
  <c r="BE258" i="1"/>
  <c r="AY258" i="1"/>
  <c r="AV258" i="1"/>
  <c r="AU258" i="1"/>
  <c r="AM258" i="1"/>
  <c r="AK258" i="1"/>
  <c r="AI258" i="1"/>
  <c r="AG258" i="1"/>
  <c r="AE258" i="1"/>
  <c r="AC258" i="1"/>
  <c r="AA258" i="1"/>
  <c r="Y258" i="1"/>
  <c r="W258" i="1"/>
  <c r="U258" i="1"/>
  <c r="E279" i="2" s="1"/>
  <c r="S258" i="1"/>
  <c r="AW258" i="1" s="1"/>
  <c r="R258" i="1"/>
  <c r="M258" i="1"/>
  <c r="HN257" i="1"/>
  <c r="HK257" i="1"/>
  <c r="HJ257" i="1"/>
  <c r="HA257" i="1"/>
  <c r="GW257" i="1"/>
  <c r="GR257" i="1"/>
  <c r="GL257" i="1"/>
  <c r="GG257" i="1"/>
  <c r="GB257" i="1"/>
  <c r="GA257" i="1"/>
  <c r="FV257" i="1"/>
  <c r="FQ257" i="1"/>
  <c r="FG257" i="1"/>
  <c r="DU257" i="1"/>
  <c r="DT257" i="1"/>
  <c r="DS257" i="1"/>
  <c r="DR257" i="1"/>
  <c r="DQ257" i="1"/>
  <c r="DL257" i="1"/>
  <c r="DG257" i="1"/>
  <c r="DB257" i="1"/>
  <c r="CW257" i="1"/>
  <c r="CS257" i="1"/>
  <c r="CR257" i="1"/>
  <c r="CM257" i="1"/>
  <c r="CH257" i="1"/>
  <c r="BZ257" i="1"/>
  <c r="BY257" i="1"/>
  <c r="BX257" i="1"/>
  <c r="BW257" i="1"/>
  <c r="BQ257" i="1"/>
  <c r="BR257" i="1" s="1"/>
  <c r="BK257" i="1"/>
  <c r="BL257" i="1" s="1"/>
  <c r="CB257" i="1" s="1"/>
  <c r="BE257" i="1"/>
  <c r="BF257" i="1" s="1"/>
  <c r="AY257" i="1"/>
  <c r="AU257" i="1"/>
  <c r="AV257" i="1" s="1"/>
  <c r="AM257" i="1"/>
  <c r="AK257" i="1"/>
  <c r="AI257" i="1"/>
  <c r="AG257" i="1"/>
  <c r="AE257" i="1"/>
  <c r="AC257" i="1"/>
  <c r="AA257" i="1"/>
  <c r="Y257" i="1"/>
  <c r="W257" i="1"/>
  <c r="U257" i="1"/>
  <c r="R257" i="1"/>
  <c r="M257" i="1"/>
  <c r="S257" i="1" s="1"/>
  <c r="AW257" i="1" s="1"/>
  <c r="HN256" i="1"/>
  <c r="HK256" i="1"/>
  <c r="HJ256" i="1"/>
  <c r="HA256" i="1"/>
  <c r="GW256" i="1"/>
  <c r="GR256" i="1"/>
  <c r="GL256" i="1"/>
  <c r="GG256" i="1"/>
  <c r="GM256" i="1" s="1"/>
  <c r="GX256" i="1" s="1"/>
  <c r="GA256" i="1"/>
  <c r="FV256" i="1"/>
  <c r="GB256" i="1" s="1"/>
  <c r="FQ256" i="1"/>
  <c r="FG256" i="1"/>
  <c r="DU256" i="1"/>
  <c r="DT256" i="1"/>
  <c r="DS256" i="1"/>
  <c r="DR256" i="1"/>
  <c r="DQ256" i="1"/>
  <c r="DL256" i="1"/>
  <c r="DG256" i="1"/>
  <c r="DB256" i="1"/>
  <c r="DV256" i="1" s="1"/>
  <c r="CW256" i="1"/>
  <c r="CS256" i="1"/>
  <c r="CR256" i="1"/>
  <c r="CM256" i="1"/>
  <c r="CH256" i="1"/>
  <c r="BZ256" i="1"/>
  <c r="BY256" i="1"/>
  <c r="BX256" i="1"/>
  <c r="BW256" i="1"/>
  <c r="BR256" i="1"/>
  <c r="BQ256" i="1"/>
  <c r="BL256" i="1"/>
  <c r="BK256" i="1"/>
  <c r="BF256" i="1"/>
  <c r="CB256" i="1" s="1"/>
  <c r="BE256" i="1"/>
  <c r="CA256" i="1" s="1"/>
  <c r="AY256" i="1"/>
  <c r="AV256" i="1"/>
  <c r="AU256" i="1"/>
  <c r="AM256" i="1"/>
  <c r="AK256" i="1"/>
  <c r="AI256" i="1"/>
  <c r="AG256" i="1"/>
  <c r="AE256" i="1"/>
  <c r="AC256" i="1"/>
  <c r="AA256" i="1"/>
  <c r="Y256" i="1"/>
  <c r="W256" i="1"/>
  <c r="U256" i="1"/>
  <c r="R256" i="1"/>
  <c r="M256" i="1"/>
  <c r="S256" i="1" s="1"/>
  <c r="AW256" i="1" s="1"/>
  <c r="HN255" i="1"/>
  <c r="HK255" i="1"/>
  <c r="HJ255" i="1"/>
  <c r="HA255" i="1"/>
  <c r="GW255" i="1"/>
  <c r="GR255" i="1"/>
  <c r="GM255" i="1"/>
  <c r="GX255" i="1" s="1"/>
  <c r="GL255" i="1"/>
  <c r="GG255" i="1"/>
  <c r="GB255" i="1"/>
  <c r="GA255" i="1"/>
  <c r="FV255" i="1"/>
  <c r="FQ255" i="1"/>
  <c r="FG255" i="1"/>
  <c r="DU255" i="1"/>
  <c r="DT255" i="1"/>
  <c r="DS255" i="1"/>
  <c r="DR255" i="1"/>
  <c r="DQ255" i="1"/>
  <c r="DL255" i="1"/>
  <c r="DG255" i="1"/>
  <c r="DB255" i="1"/>
  <c r="DV255" i="1" s="1"/>
  <c r="CW255" i="1"/>
  <c r="CR255" i="1"/>
  <c r="CM255" i="1"/>
  <c r="CS255" i="1" s="1"/>
  <c r="CH255" i="1"/>
  <c r="BZ255" i="1"/>
  <c r="BY255" i="1"/>
  <c r="BW255" i="1"/>
  <c r="BX255" i="1" s="1"/>
  <c r="BR255" i="1"/>
  <c r="BQ255" i="1"/>
  <c r="BK255" i="1"/>
  <c r="BL255" i="1" s="1"/>
  <c r="BF255" i="1"/>
  <c r="BE255" i="1"/>
  <c r="CA255" i="1" s="1"/>
  <c r="AY255" i="1"/>
  <c r="AW255" i="1"/>
  <c r="AV255" i="1"/>
  <c r="AU255" i="1"/>
  <c r="AM255" i="1"/>
  <c r="AK255" i="1"/>
  <c r="AI255" i="1"/>
  <c r="AG255" i="1"/>
  <c r="AE255" i="1"/>
  <c r="AC255" i="1"/>
  <c r="AA255" i="1"/>
  <c r="Y255" i="1"/>
  <c r="W255" i="1"/>
  <c r="U255" i="1"/>
  <c r="S255" i="1"/>
  <c r="R255" i="1"/>
  <c r="M255" i="1"/>
  <c r="HN254" i="1"/>
  <c r="HK254" i="1"/>
  <c r="HJ254" i="1"/>
  <c r="HA254" i="1"/>
  <c r="GW254" i="1"/>
  <c r="GR254" i="1"/>
  <c r="GM254" i="1"/>
  <c r="GX254" i="1" s="1"/>
  <c r="GL254" i="1"/>
  <c r="GG254" i="1"/>
  <c r="GA254" i="1"/>
  <c r="GB254" i="1" s="1"/>
  <c r="FV254" i="1"/>
  <c r="FQ254" i="1"/>
  <c r="FG254" i="1"/>
  <c r="DU254" i="1"/>
  <c r="DT254" i="1"/>
  <c r="DS254" i="1"/>
  <c r="DR254" i="1"/>
  <c r="DQ254" i="1"/>
  <c r="DL254" i="1"/>
  <c r="DG254" i="1"/>
  <c r="DB254" i="1"/>
  <c r="DV254" i="1" s="1"/>
  <c r="CW254" i="1"/>
  <c r="CS254" i="1"/>
  <c r="CR254" i="1"/>
  <c r="CM254" i="1"/>
  <c r="CH254" i="1"/>
  <c r="BZ254" i="1"/>
  <c r="BY254" i="1"/>
  <c r="BX254" i="1"/>
  <c r="BW254" i="1"/>
  <c r="BR254" i="1"/>
  <c r="BQ254" i="1"/>
  <c r="BL254" i="1"/>
  <c r="CB254" i="1" s="1"/>
  <c r="BK254" i="1"/>
  <c r="CA254" i="1" s="1"/>
  <c r="BF254" i="1"/>
  <c r="BE254" i="1"/>
  <c r="AY254" i="1"/>
  <c r="AV254" i="1"/>
  <c r="AU254" i="1"/>
  <c r="AM254" i="1"/>
  <c r="AK254" i="1"/>
  <c r="AI254" i="1"/>
  <c r="AG254" i="1"/>
  <c r="AE254" i="1"/>
  <c r="AC254" i="1"/>
  <c r="AA254" i="1"/>
  <c r="Y254" i="1"/>
  <c r="W254" i="1"/>
  <c r="U254" i="1"/>
  <c r="R254" i="1"/>
  <c r="M254" i="1"/>
  <c r="S254" i="1" s="1"/>
  <c r="AW254" i="1" s="1"/>
  <c r="HN253" i="1"/>
  <c r="HK253" i="1"/>
  <c r="HJ253" i="1"/>
  <c r="HA253" i="1"/>
  <c r="GW253" i="1"/>
  <c r="GR253" i="1"/>
  <c r="GL253" i="1"/>
  <c r="GG253" i="1"/>
  <c r="GB253" i="1"/>
  <c r="G268" i="2" s="1"/>
  <c r="GA253" i="1"/>
  <c r="FV253" i="1"/>
  <c r="FQ253" i="1"/>
  <c r="FG253" i="1"/>
  <c r="DU253" i="1"/>
  <c r="DT253" i="1"/>
  <c r="DS253" i="1"/>
  <c r="DR253" i="1"/>
  <c r="DQ253" i="1"/>
  <c r="DL253" i="1"/>
  <c r="DG253" i="1"/>
  <c r="DB253" i="1"/>
  <c r="CW253" i="1"/>
  <c r="CS253" i="1"/>
  <c r="G271" i="2" s="1"/>
  <c r="CR253" i="1"/>
  <c r="CM253" i="1"/>
  <c r="CH253" i="1"/>
  <c r="BZ253" i="1"/>
  <c r="BY253" i="1"/>
  <c r="BX253" i="1"/>
  <c r="BW253" i="1"/>
  <c r="BQ253" i="1"/>
  <c r="BR253" i="1" s="1"/>
  <c r="BL253" i="1"/>
  <c r="BK253" i="1"/>
  <c r="BE253" i="1"/>
  <c r="BF253" i="1" s="1"/>
  <c r="CB253" i="1" s="1"/>
  <c r="AY253" i="1"/>
  <c r="AV253" i="1"/>
  <c r="AU253" i="1"/>
  <c r="G267" i="2" s="1"/>
  <c r="AM253" i="1"/>
  <c r="AK253" i="1"/>
  <c r="AI253" i="1"/>
  <c r="AG253" i="1"/>
  <c r="AE253" i="1"/>
  <c r="AC253" i="1"/>
  <c r="AA253" i="1"/>
  <c r="Y253" i="1"/>
  <c r="W253" i="1"/>
  <c r="U253" i="1"/>
  <c r="G266" i="2" s="1"/>
  <c r="R253" i="1"/>
  <c r="M253" i="1"/>
  <c r="S253" i="1" s="1"/>
  <c r="HN251" i="1"/>
  <c r="HK251" i="1"/>
  <c r="HJ251" i="1"/>
  <c r="HA251" i="1"/>
  <c r="GW251" i="1"/>
  <c r="GR251" i="1"/>
  <c r="GM251" i="1"/>
  <c r="GX251" i="1" s="1"/>
  <c r="GL251" i="1"/>
  <c r="GG251" i="1"/>
  <c r="GA251" i="1"/>
  <c r="FV251" i="1"/>
  <c r="FQ251" i="1"/>
  <c r="FG251" i="1"/>
  <c r="DU251" i="1"/>
  <c r="DT251" i="1"/>
  <c r="DS251" i="1"/>
  <c r="DR251" i="1"/>
  <c r="DQ251" i="1"/>
  <c r="DL251" i="1"/>
  <c r="DG251" i="1"/>
  <c r="DB251" i="1"/>
  <c r="DV251" i="1" s="1"/>
  <c r="CW251" i="1"/>
  <c r="CS251" i="1"/>
  <c r="CR251" i="1"/>
  <c r="CM251" i="1"/>
  <c r="CH251" i="1"/>
  <c r="BZ251" i="1"/>
  <c r="BY251" i="1"/>
  <c r="BX251" i="1"/>
  <c r="BW251" i="1"/>
  <c r="BQ251" i="1"/>
  <c r="BR251" i="1" s="1"/>
  <c r="BL251" i="1"/>
  <c r="BK251" i="1"/>
  <c r="BE251" i="1"/>
  <c r="BF251" i="1" s="1"/>
  <c r="AY251" i="1"/>
  <c r="AV251" i="1"/>
  <c r="AU251" i="1"/>
  <c r="AM251" i="1"/>
  <c r="AK251" i="1"/>
  <c r="AI251" i="1"/>
  <c r="AG251" i="1"/>
  <c r="AE251" i="1"/>
  <c r="AC251" i="1"/>
  <c r="AA251" i="1"/>
  <c r="Y251" i="1"/>
  <c r="W251" i="1"/>
  <c r="U251" i="1"/>
  <c r="R251" i="1"/>
  <c r="M251" i="1"/>
  <c r="S251" i="1" s="1"/>
  <c r="AW251" i="1" s="1"/>
  <c r="HN250" i="1"/>
  <c r="HK250" i="1"/>
  <c r="HJ250" i="1"/>
  <c r="HA250" i="1"/>
  <c r="GX250" i="1"/>
  <c r="HD250" i="1" s="1"/>
  <c r="GW250" i="1"/>
  <c r="GR250" i="1"/>
  <c r="GM250" i="1"/>
  <c r="GL250" i="1"/>
  <c r="GG250" i="1"/>
  <c r="GA250" i="1"/>
  <c r="FV250" i="1"/>
  <c r="GB250" i="1" s="1"/>
  <c r="FQ250" i="1"/>
  <c r="FG250" i="1"/>
  <c r="DU250" i="1"/>
  <c r="DT250" i="1"/>
  <c r="DS250" i="1"/>
  <c r="DR250" i="1"/>
  <c r="DQ250" i="1"/>
  <c r="DL250" i="1"/>
  <c r="DG250" i="1"/>
  <c r="DB250" i="1"/>
  <c r="DV250" i="1" s="1"/>
  <c r="CW250" i="1"/>
  <c r="CS250" i="1"/>
  <c r="CR250" i="1"/>
  <c r="CM250" i="1"/>
  <c r="CH250" i="1"/>
  <c r="BZ250" i="1"/>
  <c r="BY250" i="1"/>
  <c r="BW250" i="1"/>
  <c r="BX250" i="1" s="1"/>
  <c r="BR250" i="1"/>
  <c r="BQ250" i="1"/>
  <c r="BK250" i="1"/>
  <c r="BL250" i="1" s="1"/>
  <c r="BE250" i="1"/>
  <c r="CA250" i="1" s="1"/>
  <c r="AY250" i="1"/>
  <c r="AV250" i="1"/>
  <c r="AU250" i="1"/>
  <c r="AM250" i="1"/>
  <c r="AK250" i="1"/>
  <c r="AI250" i="1"/>
  <c r="AG250" i="1"/>
  <c r="AE250" i="1"/>
  <c r="AC250" i="1"/>
  <c r="AA250" i="1"/>
  <c r="Y250" i="1"/>
  <c r="W250" i="1"/>
  <c r="U250" i="1"/>
  <c r="R250" i="1"/>
  <c r="M250" i="1"/>
  <c r="S250" i="1" s="1"/>
  <c r="AW250" i="1" s="1"/>
  <c r="HN249" i="1"/>
  <c r="HK249" i="1"/>
  <c r="HJ249" i="1"/>
  <c r="HA249" i="1"/>
  <c r="GW249" i="1"/>
  <c r="GR249" i="1"/>
  <c r="GX249" i="1" s="1"/>
  <c r="GM249" i="1"/>
  <c r="GL249" i="1"/>
  <c r="GG249" i="1"/>
  <c r="GA249" i="1"/>
  <c r="FV249" i="1"/>
  <c r="GB249" i="1" s="1"/>
  <c r="FQ249" i="1"/>
  <c r="FG249" i="1"/>
  <c r="DU249" i="1"/>
  <c r="DT249" i="1"/>
  <c r="DS249" i="1"/>
  <c r="DR249" i="1"/>
  <c r="DQ249" i="1"/>
  <c r="DL249" i="1"/>
  <c r="DG249" i="1"/>
  <c r="DB249" i="1"/>
  <c r="DV249" i="1" s="1"/>
  <c r="F273" i="2" s="1"/>
  <c r="CW249" i="1"/>
  <c r="CR249" i="1"/>
  <c r="CM249" i="1"/>
  <c r="CH249" i="1"/>
  <c r="CA249" i="1"/>
  <c r="BZ249" i="1"/>
  <c r="BY249" i="1"/>
  <c r="BW249" i="1"/>
  <c r="BX249" i="1" s="1"/>
  <c r="BR249" i="1"/>
  <c r="BQ249" i="1"/>
  <c r="BL249" i="1"/>
  <c r="BK249" i="1"/>
  <c r="BF249" i="1"/>
  <c r="CB249" i="1" s="1"/>
  <c r="BE249" i="1"/>
  <c r="AY249" i="1"/>
  <c r="AV249" i="1"/>
  <c r="AU249" i="1"/>
  <c r="AM249" i="1"/>
  <c r="AK249" i="1"/>
  <c r="AI249" i="1"/>
  <c r="AG249" i="1"/>
  <c r="AE249" i="1"/>
  <c r="AC249" i="1"/>
  <c r="AA249" i="1"/>
  <c r="Y249" i="1"/>
  <c r="W249" i="1"/>
  <c r="U249" i="1"/>
  <c r="S249" i="1"/>
  <c r="AW249" i="1" s="1"/>
  <c r="R249" i="1"/>
  <c r="M249" i="1"/>
  <c r="HN248" i="1"/>
  <c r="HK248" i="1"/>
  <c r="HJ248" i="1"/>
  <c r="HA248" i="1"/>
  <c r="GW248" i="1"/>
  <c r="GR248" i="1"/>
  <c r="GL248" i="1"/>
  <c r="GG248" i="1"/>
  <c r="GM248" i="1" s="1"/>
  <c r="GX248" i="1" s="1"/>
  <c r="GB248" i="1"/>
  <c r="GA248" i="1"/>
  <c r="FV248" i="1"/>
  <c r="FQ248" i="1"/>
  <c r="FG248" i="1"/>
  <c r="DU248" i="1"/>
  <c r="DT248" i="1"/>
  <c r="DS248" i="1"/>
  <c r="DR248" i="1"/>
  <c r="DQ248" i="1"/>
  <c r="DL248" i="1"/>
  <c r="DG248" i="1"/>
  <c r="DB248" i="1"/>
  <c r="DV248" i="1" s="1"/>
  <c r="CW248" i="1"/>
  <c r="CS248" i="1"/>
  <c r="CR248" i="1"/>
  <c r="CM248" i="1"/>
  <c r="CH248" i="1"/>
  <c r="BZ248" i="1"/>
  <c r="BY248" i="1"/>
  <c r="BX248" i="1"/>
  <c r="BW248" i="1"/>
  <c r="BQ248" i="1"/>
  <c r="BR248" i="1" s="1"/>
  <c r="BK248" i="1"/>
  <c r="BL248" i="1" s="1"/>
  <c r="BE248" i="1"/>
  <c r="BF248" i="1" s="1"/>
  <c r="CB248" i="1" s="1"/>
  <c r="AY248" i="1"/>
  <c r="AU248" i="1"/>
  <c r="AV248" i="1" s="1"/>
  <c r="AM248" i="1"/>
  <c r="AK248" i="1"/>
  <c r="AI248" i="1"/>
  <c r="AG248" i="1"/>
  <c r="AE248" i="1"/>
  <c r="AC248" i="1"/>
  <c r="AA248" i="1"/>
  <c r="Y248" i="1"/>
  <c r="W248" i="1"/>
  <c r="U248" i="1"/>
  <c r="S248" i="1"/>
  <c r="AW248" i="1" s="1"/>
  <c r="R248" i="1"/>
  <c r="M248" i="1"/>
  <c r="HN247" i="1"/>
  <c r="HK247" i="1"/>
  <c r="HJ247" i="1"/>
  <c r="HA247" i="1"/>
  <c r="GW247" i="1"/>
  <c r="GR247" i="1"/>
  <c r="GL247" i="1"/>
  <c r="GM247" i="1" s="1"/>
  <c r="GX247" i="1" s="1"/>
  <c r="GG247" i="1"/>
  <c r="GB247" i="1"/>
  <c r="GA247" i="1"/>
  <c r="FV247" i="1"/>
  <c r="FQ247" i="1"/>
  <c r="FG247" i="1"/>
  <c r="DU247" i="1"/>
  <c r="DT247" i="1"/>
  <c r="DS247" i="1"/>
  <c r="DR247" i="1"/>
  <c r="DQ247" i="1"/>
  <c r="DL247" i="1"/>
  <c r="DG247" i="1"/>
  <c r="DB247" i="1"/>
  <c r="DV247" i="1" s="1"/>
  <c r="CW247" i="1"/>
  <c r="CR247" i="1"/>
  <c r="CM247" i="1"/>
  <c r="CS247" i="1" s="1"/>
  <c r="CH247" i="1"/>
  <c r="BZ247" i="1"/>
  <c r="BY247" i="1"/>
  <c r="BX247" i="1"/>
  <c r="BW247" i="1"/>
  <c r="BQ247" i="1"/>
  <c r="BR247" i="1" s="1"/>
  <c r="BL247" i="1"/>
  <c r="BK247" i="1"/>
  <c r="BF247" i="1"/>
  <c r="BE247" i="1"/>
  <c r="AY247" i="1"/>
  <c r="AV247" i="1"/>
  <c r="AU247" i="1"/>
  <c r="AM247" i="1"/>
  <c r="AK247" i="1"/>
  <c r="AI247" i="1"/>
  <c r="AG247" i="1"/>
  <c r="AE247" i="1"/>
  <c r="AC247" i="1"/>
  <c r="AA247" i="1"/>
  <c r="Y247" i="1"/>
  <c r="W247" i="1"/>
  <c r="U247" i="1"/>
  <c r="R247" i="1"/>
  <c r="M247" i="1"/>
  <c r="S247" i="1" s="1"/>
  <c r="AW247" i="1" s="1"/>
  <c r="HN246" i="1"/>
  <c r="HK246" i="1"/>
  <c r="HJ246" i="1"/>
  <c r="HA246" i="1"/>
  <c r="GW246" i="1"/>
  <c r="GR246" i="1"/>
  <c r="GM246" i="1"/>
  <c r="GL246" i="1"/>
  <c r="GG246" i="1"/>
  <c r="GB246" i="1"/>
  <c r="GA246" i="1"/>
  <c r="FV246" i="1"/>
  <c r="FQ246" i="1"/>
  <c r="FG246" i="1"/>
  <c r="DU246" i="1"/>
  <c r="DT246" i="1"/>
  <c r="DS246" i="1"/>
  <c r="DR246" i="1"/>
  <c r="DQ246" i="1"/>
  <c r="DL246" i="1"/>
  <c r="DG246" i="1"/>
  <c r="DB246" i="1"/>
  <c r="DV246" i="1" s="1"/>
  <c r="E273" i="2" s="1"/>
  <c r="CW246" i="1"/>
  <c r="CR246" i="1"/>
  <c r="CM246" i="1"/>
  <c r="CH246" i="1"/>
  <c r="BZ246" i="1"/>
  <c r="BY246" i="1"/>
  <c r="BW246" i="1"/>
  <c r="BX246" i="1" s="1"/>
  <c r="BR246" i="1"/>
  <c r="BQ246" i="1"/>
  <c r="BK246" i="1"/>
  <c r="BL246" i="1" s="1"/>
  <c r="CB246" i="1" s="1"/>
  <c r="BF246" i="1"/>
  <c r="BE246" i="1"/>
  <c r="AY246" i="1"/>
  <c r="AV246" i="1"/>
  <c r="AU246" i="1"/>
  <c r="AM246" i="1"/>
  <c r="AK246" i="1"/>
  <c r="AI246" i="1"/>
  <c r="AG246" i="1"/>
  <c r="AE246" i="1"/>
  <c r="AC246" i="1"/>
  <c r="AA246" i="1"/>
  <c r="Y246" i="1"/>
  <c r="W246" i="1"/>
  <c r="U246" i="1"/>
  <c r="E266" i="2" s="1"/>
  <c r="S246" i="1"/>
  <c r="R246" i="1"/>
  <c r="M246" i="1"/>
  <c r="HN245" i="1"/>
  <c r="HK245" i="1"/>
  <c r="HJ245" i="1"/>
  <c r="HA245" i="1"/>
  <c r="GW245" i="1"/>
  <c r="GR245" i="1"/>
  <c r="GM245" i="1"/>
  <c r="GL245" i="1"/>
  <c r="GG245" i="1"/>
  <c r="GB245" i="1"/>
  <c r="GA245" i="1"/>
  <c r="FV245" i="1"/>
  <c r="FQ245" i="1"/>
  <c r="FG245" i="1"/>
  <c r="DU245" i="1"/>
  <c r="DT245" i="1"/>
  <c r="DS245" i="1"/>
  <c r="DR245" i="1"/>
  <c r="DQ245" i="1"/>
  <c r="DL245" i="1"/>
  <c r="DG245" i="1"/>
  <c r="DB245" i="1"/>
  <c r="DV245" i="1" s="1"/>
  <c r="CW245" i="1"/>
  <c r="CR245" i="1"/>
  <c r="CM245" i="1"/>
  <c r="CS245" i="1" s="1"/>
  <c r="CH245" i="1"/>
  <c r="BZ245" i="1"/>
  <c r="BY245" i="1"/>
  <c r="BW245" i="1"/>
  <c r="BX245" i="1" s="1"/>
  <c r="BR245" i="1"/>
  <c r="BQ245" i="1"/>
  <c r="BL245" i="1"/>
  <c r="CB245" i="1" s="1"/>
  <c r="BK245" i="1"/>
  <c r="BF245" i="1"/>
  <c r="BE245" i="1"/>
  <c r="CA245" i="1" s="1"/>
  <c r="AY245" i="1"/>
  <c r="AV245" i="1"/>
  <c r="AU245" i="1"/>
  <c r="AM245" i="1"/>
  <c r="AK245" i="1"/>
  <c r="AI245" i="1"/>
  <c r="AG245" i="1"/>
  <c r="AE245" i="1"/>
  <c r="AC245" i="1"/>
  <c r="AA245" i="1"/>
  <c r="Y245" i="1"/>
  <c r="W245" i="1"/>
  <c r="U245" i="1"/>
  <c r="S245" i="1"/>
  <c r="AW245" i="1" s="1"/>
  <c r="R245" i="1"/>
  <c r="M245" i="1"/>
  <c r="HN244" i="1"/>
  <c r="HK244" i="1"/>
  <c r="HJ244" i="1"/>
  <c r="HA244" i="1"/>
  <c r="GW244" i="1"/>
  <c r="GR244" i="1"/>
  <c r="GL244" i="1"/>
  <c r="GG244" i="1"/>
  <c r="GM244" i="1" s="1"/>
  <c r="GX244" i="1" s="1"/>
  <c r="GA244" i="1"/>
  <c r="FV244" i="1"/>
  <c r="GB244" i="1" s="1"/>
  <c r="FQ244" i="1"/>
  <c r="FG244" i="1"/>
  <c r="DU244" i="1"/>
  <c r="DT244" i="1"/>
  <c r="DS244" i="1"/>
  <c r="DR244" i="1"/>
  <c r="DQ244" i="1"/>
  <c r="DL244" i="1"/>
  <c r="DG244" i="1"/>
  <c r="DB244" i="1"/>
  <c r="CW244" i="1"/>
  <c r="CR244" i="1"/>
  <c r="CM244" i="1"/>
  <c r="CS244" i="1" s="1"/>
  <c r="CH244" i="1"/>
  <c r="BZ244" i="1"/>
  <c r="BY244" i="1"/>
  <c r="BW244" i="1"/>
  <c r="BX244" i="1" s="1"/>
  <c r="BQ244" i="1"/>
  <c r="BR244" i="1" s="1"/>
  <c r="BK244" i="1"/>
  <c r="BL244" i="1" s="1"/>
  <c r="BE244" i="1"/>
  <c r="BF244" i="1" s="1"/>
  <c r="AY244" i="1"/>
  <c r="AV244" i="1"/>
  <c r="AU244" i="1"/>
  <c r="AM244" i="1"/>
  <c r="AK244" i="1"/>
  <c r="AI244" i="1"/>
  <c r="AG244" i="1"/>
  <c r="AE244" i="1"/>
  <c r="AC244" i="1"/>
  <c r="AA244" i="1"/>
  <c r="Y244" i="1"/>
  <c r="W244" i="1"/>
  <c r="U244" i="1"/>
  <c r="R244" i="1"/>
  <c r="M244" i="1"/>
  <c r="S244" i="1" s="1"/>
  <c r="AW244" i="1" s="1"/>
  <c r="HN243" i="1"/>
  <c r="D569" i="3" s="1"/>
  <c r="HK243" i="1"/>
  <c r="HJ243" i="1"/>
  <c r="HA243" i="1"/>
  <c r="D558" i="3" s="1"/>
  <c r="GW243" i="1"/>
  <c r="GR243" i="1"/>
  <c r="GL243" i="1"/>
  <c r="GG243" i="1"/>
  <c r="GM243" i="1" s="1"/>
  <c r="GA243" i="1"/>
  <c r="FV243" i="1"/>
  <c r="FQ243" i="1"/>
  <c r="FG243" i="1"/>
  <c r="DU243" i="1"/>
  <c r="DT243" i="1"/>
  <c r="DS243" i="1"/>
  <c r="DR243" i="1"/>
  <c r="DQ243" i="1"/>
  <c r="DL243" i="1"/>
  <c r="DG243" i="1"/>
  <c r="DB243" i="1"/>
  <c r="DV243" i="1" s="1"/>
  <c r="CW243" i="1"/>
  <c r="CR243" i="1"/>
  <c r="CM243" i="1"/>
  <c r="CS243" i="1" s="1"/>
  <c r="CH243" i="1"/>
  <c r="BZ243" i="1"/>
  <c r="BY243" i="1"/>
  <c r="BX243" i="1"/>
  <c r="BW243" i="1"/>
  <c r="BR243" i="1"/>
  <c r="BQ243" i="1"/>
  <c r="BL243" i="1"/>
  <c r="CB243" i="1" s="1"/>
  <c r="BK243" i="1"/>
  <c r="CA243" i="1" s="1"/>
  <c r="BF243" i="1"/>
  <c r="BE243" i="1"/>
  <c r="AY243" i="1"/>
  <c r="AV243" i="1"/>
  <c r="AU243" i="1"/>
  <c r="AM243" i="1"/>
  <c r="AK243" i="1"/>
  <c r="AI243" i="1"/>
  <c r="AG243" i="1"/>
  <c r="AE243" i="1"/>
  <c r="AC243" i="1"/>
  <c r="AA243" i="1"/>
  <c r="Y243" i="1"/>
  <c r="W243" i="1"/>
  <c r="U243" i="1"/>
  <c r="R243" i="1"/>
  <c r="S243" i="1" s="1"/>
  <c r="M243" i="1"/>
  <c r="HN242" i="1"/>
  <c r="HK242" i="1"/>
  <c r="HJ242" i="1"/>
  <c r="HA242" i="1"/>
  <c r="GW242" i="1"/>
  <c r="GR242" i="1"/>
  <c r="GM242" i="1"/>
  <c r="GX242" i="1" s="1"/>
  <c r="HB242" i="1" s="1"/>
  <c r="GL242" i="1"/>
  <c r="GG242" i="1"/>
  <c r="GB242" i="1"/>
  <c r="HC242" i="1" s="1"/>
  <c r="GA242" i="1"/>
  <c r="FV242" i="1"/>
  <c r="FQ242" i="1"/>
  <c r="FG242" i="1"/>
  <c r="DU242" i="1"/>
  <c r="DT242" i="1"/>
  <c r="DS242" i="1"/>
  <c r="DR242" i="1"/>
  <c r="DQ242" i="1"/>
  <c r="DL242" i="1"/>
  <c r="DG242" i="1"/>
  <c r="DB242" i="1"/>
  <c r="DV242" i="1" s="1"/>
  <c r="CW242" i="1"/>
  <c r="CR242" i="1"/>
  <c r="CM242" i="1"/>
  <c r="CS242" i="1" s="1"/>
  <c r="CH242" i="1"/>
  <c r="CA242" i="1"/>
  <c r="BZ242" i="1"/>
  <c r="BY242" i="1"/>
  <c r="BX242" i="1"/>
  <c r="BW242" i="1"/>
  <c r="BR242" i="1"/>
  <c r="BQ242" i="1"/>
  <c r="BK242" i="1"/>
  <c r="BL242" i="1" s="1"/>
  <c r="BF242" i="1"/>
  <c r="BE242" i="1"/>
  <c r="AY242" i="1"/>
  <c r="AU242" i="1"/>
  <c r="AV242" i="1" s="1"/>
  <c r="AM242" i="1"/>
  <c r="AK242" i="1"/>
  <c r="AI242" i="1"/>
  <c r="AG242" i="1"/>
  <c r="AE242" i="1"/>
  <c r="AC242" i="1"/>
  <c r="AA242" i="1"/>
  <c r="Y242" i="1"/>
  <c r="W242" i="1"/>
  <c r="U242" i="1"/>
  <c r="S242" i="1"/>
  <c r="AW242" i="1" s="1"/>
  <c r="R242" i="1"/>
  <c r="M242" i="1"/>
  <c r="HN241" i="1"/>
  <c r="HK241" i="1"/>
  <c r="HJ241" i="1"/>
  <c r="HA241" i="1"/>
  <c r="GW241" i="1"/>
  <c r="GR241" i="1"/>
  <c r="GL241" i="1"/>
  <c r="GG241" i="1"/>
  <c r="GM241" i="1" s="1"/>
  <c r="GA241" i="1"/>
  <c r="FV241" i="1"/>
  <c r="GB241" i="1" s="1"/>
  <c r="FQ241" i="1"/>
  <c r="FG241" i="1"/>
  <c r="DU241" i="1"/>
  <c r="DT241" i="1"/>
  <c r="DS241" i="1"/>
  <c r="DR241" i="1"/>
  <c r="DQ241" i="1"/>
  <c r="DL241" i="1"/>
  <c r="DG241" i="1"/>
  <c r="DB241" i="1"/>
  <c r="DV241" i="1" s="1"/>
  <c r="CW241" i="1"/>
  <c r="CR241" i="1"/>
  <c r="CM241" i="1"/>
  <c r="CS241" i="1" s="1"/>
  <c r="G258" i="2" s="1"/>
  <c r="CH241" i="1"/>
  <c r="BZ241" i="1"/>
  <c r="BY241" i="1"/>
  <c r="BX241" i="1"/>
  <c r="BW241" i="1"/>
  <c r="BQ241" i="1"/>
  <c r="BR241" i="1" s="1"/>
  <c r="BL241" i="1"/>
  <c r="CB241" i="1" s="1"/>
  <c r="BK241" i="1"/>
  <c r="CA241" i="1" s="1"/>
  <c r="G259" i="2" s="1"/>
  <c r="BF241" i="1"/>
  <c r="BE241" i="1"/>
  <c r="AY241" i="1"/>
  <c r="AV241" i="1"/>
  <c r="AU241" i="1"/>
  <c r="AM241" i="1"/>
  <c r="AK241" i="1"/>
  <c r="AI241" i="1"/>
  <c r="AG241" i="1"/>
  <c r="AE241" i="1"/>
  <c r="AC241" i="1"/>
  <c r="AA241" i="1"/>
  <c r="Y241" i="1"/>
  <c r="W241" i="1"/>
  <c r="U241" i="1"/>
  <c r="G253" i="2" s="1"/>
  <c r="R241" i="1"/>
  <c r="M241" i="1"/>
  <c r="S241" i="1" s="1"/>
  <c r="HN239" i="1"/>
  <c r="HK239" i="1"/>
  <c r="HJ239" i="1"/>
  <c r="HA239" i="1"/>
  <c r="GW239" i="1"/>
  <c r="GR239" i="1"/>
  <c r="GL239" i="1"/>
  <c r="GG239" i="1"/>
  <c r="GM239" i="1" s="1"/>
  <c r="GX239" i="1" s="1"/>
  <c r="GA239" i="1"/>
  <c r="FV239" i="1"/>
  <c r="GB239" i="1" s="1"/>
  <c r="FQ239" i="1"/>
  <c r="FG239" i="1"/>
  <c r="DU239" i="1"/>
  <c r="DT239" i="1"/>
  <c r="DS239" i="1"/>
  <c r="DR239" i="1"/>
  <c r="DQ239" i="1"/>
  <c r="DL239" i="1"/>
  <c r="DG239" i="1"/>
  <c r="DB239" i="1"/>
  <c r="DV239" i="1" s="1"/>
  <c r="CW239" i="1"/>
  <c r="CS239" i="1"/>
  <c r="CR239" i="1"/>
  <c r="CM239" i="1"/>
  <c r="CH239" i="1"/>
  <c r="BZ239" i="1"/>
  <c r="BY239" i="1"/>
  <c r="BW239" i="1"/>
  <c r="BX239" i="1" s="1"/>
  <c r="BQ239" i="1"/>
  <c r="BR239" i="1" s="1"/>
  <c r="BK239" i="1"/>
  <c r="BL239" i="1" s="1"/>
  <c r="BE239" i="1"/>
  <c r="CA239" i="1" s="1"/>
  <c r="AY239" i="1"/>
  <c r="AV239" i="1"/>
  <c r="AU239" i="1"/>
  <c r="AM239" i="1"/>
  <c r="AK239" i="1"/>
  <c r="AI239" i="1"/>
  <c r="AG239" i="1"/>
  <c r="AE239" i="1"/>
  <c r="AC239" i="1"/>
  <c r="AA239" i="1"/>
  <c r="Y239" i="1"/>
  <c r="W239" i="1"/>
  <c r="U239" i="1"/>
  <c r="R239" i="1"/>
  <c r="M239" i="1"/>
  <c r="S239" i="1" s="1"/>
  <c r="AW239" i="1" s="1"/>
  <c r="HN238" i="1"/>
  <c r="HK238" i="1"/>
  <c r="HJ238" i="1"/>
  <c r="HA238" i="1"/>
  <c r="GX238" i="1"/>
  <c r="GW238" i="1"/>
  <c r="GR238" i="1"/>
  <c r="GM238" i="1"/>
  <c r="GL238" i="1"/>
  <c r="GG238" i="1"/>
  <c r="GA238" i="1"/>
  <c r="FV238" i="1"/>
  <c r="GB238" i="1" s="1"/>
  <c r="FQ238" i="1"/>
  <c r="FG238" i="1"/>
  <c r="DU238" i="1"/>
  <c r="DT238" i="1"/>
  <c r="DS238" i="1"/>
  <c r="DR238" i="1"/>
  <c r="DQ238" i="1"/>
  <c r="DL238" i="1"/>
  <c r="DG238" i="1"/>
  <c r="DB238" i="1"/>
  <c r="DV238" i="1" s="1"/>
  <c r="CW238" i="1"/>
  <c r="CS238" i="1"/>
  <c r="CR238" i="1"/>
  <c r="CM238" i="1"/>
  <c r="CH238" i="1"/>
  <c r="BZ238" i="1"/>
  <c r="BY238" i="1"/>
  <c r="BX238" i="1"/>
  <c r="BW238" i="1"/>
  <c r="BQ238" i="1"/>
  <c r="BR238" i="1" s="1"/>
  <c r="BK238" i="1"/>
  <c r="BL238" i="1" s="1"/>
  <c r="BF238" i="1"/>
  <c r="CB238" i="1" s="1"/>
  <c r="BE238" i="1"/>
  <c r="AY238" i="1"/>
  <c r="AU238" i="1"/>
  <c r="AV238" i="1" s="1"/>
  <c r="AM238" i="1"/>
  <c r="AK238" i="1"/>
  <c r="AI238" i="1"/>
  <c r="AG238" i="1"/>
  <c r="AE238" i="1"/>
  <c r="AC238" i="1"/>
  <c r="AA238" i="1"/>
  <c r="Y238" i="1"/>
  <c r="W238" i="1"/>
  <c r="U238" i="1"/>
  <c r="S238" i="1"/>
  <c r="AW238" i="1" s="1"/>
  <c r="R238" i="1"/>
  <c r="M238" i="1"/>
  <c r="HN237" i="1"/>
  <c r="HK237" i="1"/>
  <c r="HJ237" i="1"/>
  <c r="HA237" i="1"/>
  <c r="GW237" i="1"/>
  <c r="GR237" i="1"/>
  <c r="GM237" i="1"/>
  <c r="GL237" i="1"/>
  <c r="GG237" i="1"/>
  <c r="GB237" i="1"/>
  <c r="GA237" i="1"/>
  <c r="FV237" i="1"/>
  <c r="FQ237" i="1"/>
  <c r="FG237" i="1"/>
  <c r="DU237" i="1"/>
  <c r="DT237" i="1"/>
  <c r="DS237" i="1"/>
  <c r="DR237" i="1"/>
  <c r="DQ237" i="1"/>
  <c r="DL237" i="1"/>
  <c r="DG237" i="1"/>
  <c r="DB237" i="1"/>
  <c r="DV237" i="1" s="1"/>
  <c r="F260" i="2" s="1"/>
  <c r="CW237" i="1"/>
  <c r="CR237" i="1"/>
  <c r="CS237" i="1" s="1"/>
  <c r="F258" i="2" s="1"/>
  <c r="CM237" i="1"/>
  <c r="CH237" i="1"/>
  <c r="BZ237" i="1"/>
  <c r="BY237" i="1"/>
  <c r="BW237" i="1"/>
  <c r="BX237" i="1" s="1"/>
  <c r="BQ237" i="1"/>
  <c r="BR237" i="1" s="1"/>
  <c r="BL237" i="1"/>
  <c r="BK237" i="1"/>
  <c r="BE237" i="1"/>
  <c r="CA237" i="1" s="1"/>
  <c r="AY237" i="1"/>
  <c r="AU237" i="1"/>
  <c r="AM237" i="1"/>
  <c r="AK237" i="1"/>
  <c r="AI237" i="1"/>
  <c r="AG237" i="1"/>
  <c r="AE237" i="1"/>
  <c r="AC237" i="1"/>
  <c r="AA237" i="1"/>
  <c r="Y237" i="1"/>
  <c r="W237" i="1"/>
  <c r="U237" i="1"/>
  <c r="R237" i="1"/>
  <c r="M237" i="1"/>
  <c r="S237" i="1" s="1"/>
  <c r="HN236" i="1"/>
  <c r="HK236" i="1"/>
  <c r="HJ236" i="1"/>
  <c r="HA236" i="1"/>
  <c r="GX236" i="1"/>
  <c r="GW236" i="1"/>
  <c r="GR236" i="1"/>
  <c r="GM236" i="1"/>
  <c r="GL236" i="1"/>
  <c r="GG236" i="1"/>
  <c r="GA236" i="1"/>
  <c r="FV236" i="1"/>
  <c r="GB236" i="1" s="1"/>
  <c r="FQ236" i="1"/>
  <c r="FG236" i="1"/>
  <c r="DU236" i="1"/>
  <c r="DT236" i="1"/>
  <c r="DS236" i="1"/>
  <c r="DR236" i="1"/>
  <c r="DQ236" i="1"/>
  <c r="DL236" i="1"/>
  <c r="DG236" i="1"/>
  <c r="DB236" i="1"/>
  <c r="DV236" i="1" s="1"/>
  <c r="CW236" i="1"/>
  <c r="CS236" i="1"/>
  <c r="CR236" i="1"/>
  <c r="CM236" i="1"/>
  <c r="CH236" i="1"/>
  <c r="BZ236" i="1"/>
  <c r="BY236" i="1"/>
  <c r="BW236" i="1"/>
  <c r="BX236" i="1" s="1"/>
  <c r="BR236" i="1"/>
  <c r="BQ236" i="1"/>
  <c r="BL236" i="1"/>
  <c r="BK236" i="1"/>
  <c r="BE236" i="1"/>
  <c r="CA236" i="1" s="1"/>
  <c r="AY236" i="1"/>
  <c r="AV236" i="1"/>
  <c r="AU236" i="1"/>
  <c r="AM236" i="1"/>
  <c r="AK236" i="1"/>
  <c r="AI236" i="1"/>
  <c r="AG236" i="1"/>
  <c r="AE236" i="1"/>
  <c r="AC236" i="1"/>
  <c r="AA236" i="1"/>
  <c r="Y236" i="1"/>
  <c r="W236" i="1"/>
  <c r="U236" i="1"/>
  <c r="R236" i="1"/>
  <c r="S236" i="1" s="1"/>
  <c r="AW236" i="1" s="1"/>
  <c r="M236" i="1"/>
  <c r="HN235" i="1"/>
  <c r="HK235" i="1"/>
  <c r="HJ235" i="1"/>
  <c r="HA235" i="1"/>
  <c r="GX235" i="1"/>
  <c r="GW235" i="1"/>
  <c r="GR235" i="1"/>
  <c r="GM235" i="1"/>
  <c r="GL235" i="1"/>
  <c r="GG235" i="1"/>
  <c r="GA235" i="1"/>
  <c r="FV235" i="1"/>
  <c r="GB235" i="1" s="1"/>
  <c r="HD235" i="1" s="1"/>
  <c r="FQ235" i="1"/>
  <c r="FG235" i="1"/>
  <c r="DU235" i="1"/>
  <c r="DT235" i="1"/>
  <c r="DS235" i="1"/>
  <c r="DR235" i="1"/>
  <c r="DQ235" i="1"/>
  <c r="DL235" i="1"/>
  <c r="DG235" i="1"/>
  <c r="DB235" i="1"/>
  <c r="DV235" i="1" s="1"/>
  <c r="CW235" i="1"/>
  <c r="CR235" i="1"/>
  <c r="CM235" i="1"/>
  <c r="CH235" i="1"/>
  <c r="BZ235" i="1"/>
  <c r="BY235" i="1"/>
  <c r="BW235" i="1"/>
  <c r="BX235" i="1" s="1"/>
  <c r="BR235" i="1"/>
  <c r="BQ235" i="1"/>
  <c r="BK235" i="1"/>
  <c r="BL235" i="1" s="1"/>
  <c r="BE235" i="1"/>
  <c r="CA235" i="1" s="1"/>
  <c r="AY235" i="1"/>
  <c r="AV235" i="1"/>
  <c r="AU235" i="1"/>
  <c r="AM235" i="1"/>
  <c r="AK235" i="1"/>
  <c r="AI235" i="1"/>
  <c r="AG235" i="1"/>
  <c r="AE235" i="1"/>
  <c r="AC235" i="1"/>
  <c r="AA235" i="1"/>
  <c r="Y235" i="1"/>
  <c r="W235" i="1"/>
  <c r="U235" i="1"/>
  <c r="R235" i="1"/>
  <c r="S235" i="1" s="1"/>
  <c r="AW235" i="1" s="1"/>
  <c r="M235" i="1"/>
  <c r="HN234" i="1"/>
  <c r="HK234" i="1"/>
  <c r="HJ234" i="1"/>
  <c r="HA234" i="1"/>
  <c r="GW234" i="1"/>
  <c r="GR234" i="1"/>
  <c r="GM234" i="1"/>
  <c r="GL234" i="1"/>
  <c r="GG234" i="1"/>
  <c r="GB234" i="1"/>
  <c r="GA234" i="1"/>
  <c r="FV234" i="1"/>
  <c r="FQ234" i="1"/>
  <c r="FG234" i="1"/>
  <c r="DU234" i="1"/>
  <c r="DT234" i="1"/>
  <c r="DS234" i="1"/>
  <c r="DR234" i="1"/>
  <c r="DQ234" i="1"/>
  <c r="DL234" i="1"/>
  <c r="DG234" i="1"/>
  <c r="DB234" i="1"/>
  <c r="DV234" i="1" s="1"/>
  <c r="E260" i="2" s="1"/>
  <c r="CW234" i="1"/>
  <c r="CR234" i="1"/>
  <c r="CS234" i="1" s="1"/>
  <c r="CM234" i="1"/>
  <c r="CH234" i="1"/>
  <c r="BZ234" i="1"/>
  <c r="BY234" i="1"/>
  <c r="BW234" i="1"/>
  <c r="BX234" i="1" s="1"/>
  <c r="BR234" i="1"/>
  <c r="BQ234" i="1"/>
  <c r="BL234" i="1"/>
  <c r="BK234" i="1"/>
  <c r="BF234" i="1"/>
  <c r="CB234" i="1" s="1"/>
  <c r="BE234" i="1"/>
  <c r="CA234" i="1" s="1"/>
  <c r="E259" i="2" s="1"/>
  <c r="AY234" i="1"/>
  <c r="AV234" i="1"/>
  <c r="AU234" i="1"/>
  <c r="AM234" i="1"/>
  <c r="AK234" i="1"/>
  <c r="AI234" i="1"/>
  <c r="AG234" i="1"/>
  <c r="AE234" i="1"/>
  <c r="AC234" i="1"/>
  <c r="AA234" i="1"/>
  <c r="Y234" i="1"/>
  <c r="W234" i="1"/>
  <c r="U234" i="1"/>
  <c r="S234" i="1"/>
  <c r="R234" i="1"/>
  <c r="M234" i="1"/>
  <c r="HN233" i="1"/>
  <c r="HK233" i="1"/>
  <c r="HJ233" i="1"/>
  <c r="HA233" i="1"/>
  <c r="GW233" i="1"/>
  <c r="GR233" i="1"/>
  <c r="GL233" i="1"/>
  <c r="GG233" i="1"/>
  <c r="GA233" i="1"/>
  <c r="FV233" i="1"/>
  <c r="GB233" i="1" s="1"/>
  <c r="FQ233" i="1"/>
  <c r="FG233" i="1"/>
  <c r="DU233" i="1"/>
  <c r="DT233" i="1"/>
  <c r="DS233" i="1"/>
  <c r="DR233" i="1"/>
  <c r="DQ233" i="1"/>
  <c r="DL233" i="1"/>
  <c r="DG233" i="1"/>
  <c r="DB233" i="1"/>
  <c r="CW233" i="1"/>
  <c r="CS233" i="1"/>
  <c r="CR233" i="1"/>
  <c r="CM233" i="1"/>
  <c r="CH233" i="1"/>
  <c r="BZ233" i="1"/>
  <c r="BY233" i="1"/>
  <c r="BX233" i="1"/>
  <c r="BW233" i="1"/>
  <c r="BQ233" i="1"/>
  <c r="BR233" i="1" s="1"/>
  <c r="BK233" i="1"/>
  <c r="BL233" i="1" s="1"/>
  <c r="BE233" i="1"/>
  <c r="BF233" i="1" s="1"/>
  <c r="AY233" i="1"/>
  <c r="AV233" i="1"/>
  <c r="AU233" i="1"/>
  <c r="AM233" i="1"/>
  <c r="AK233" i="1"/>
  <c r="AI233" i="1"/>
  <c r="AG233" i="1"/>
  <c r="AE233" i="1"/>
  <c r="AC233" i="1"/>
  <c r="AA233" i="1"/>
  <c r="Y233" i="1"/>
  <c r="W233" i="1"/>
  <c r="U233" i="1"/>
  <c r="R233" i="1"/>
  <c r="M233" i="1"/>
  <c r="S233" i="1" s="1"/>
  <c r="AW233" i="1" s="1"/>
  <c r="HN232" i="1"/>
  <c r="HK232" i="1"/>
  <c r="HJ232" i="1"/>
  <c r="HA232" i="1"/>
  <c r="GW232" i="1"/>
  <c r="GX232" i="1" s="1"/>
  <c r="GR232" i="1"/>
  <c r="GM232" i="1"/>
  <c r="GL232" i="1"/>
  <c r="GG232" i="1"/>
  <c r="GA232" i="1"/>
  <c r="FV232" i="1"/>
  <c r="FQ232" i="1"/>
  <c r="FG232" i="1"/>
  <c r="DU232" i="1"/>
  <c r="DT232" i="1"/>
  <c r="DS232" i="1"/>
  <c r="DR232" i="1"/>
  <c r="DQ232" i="1"/>
  <c r="DL232" i="1"/>
  <c r="DG232" i="1"/>
  <c r="DB232" i="1"/>
  <c r="DV232" i="1" s="1"/>
  <c r="CW232" i="1"/>
  <c r="CR232" i="1"/>
  <c r="CM232" i="1"/>
  <c r="CS232" i="1" s="1"/>
  <c r="CH232" i="1"/>
  <c r="BZ232" i="1"/>
  <c r="BY232" i="1"/>
  <c r="BX232" i="1"/>
  <c r="BW232" i="1"/>
  <c r="BR232" i="1"/>
  <c r="BQ232" i="1"/>
  <c r="BK232" i="1"/>
  <c r="BL232" i="1" s="1"/>
  <c r="BE232" i="1"/>
  <c r="BF232" i="1" s="1"/>
  <c r="AY232" i="1"/>
  <c r="AV232" i="1"/>
  <c r="AU232" i="1"/>
  <c r="AM232" i="1"/>
  <c r="AK232" i="1"/>
  <c r="AI232" i="1"/>
  <c r="AG232" i="1"/>
  <c r="AE232" i="1"/>
  <c r="AC232" i="1"/>
  <c r="AA232" i="1"/>
  <c r="Y232" i="1"/>
  <c r="W232" i="1"/>
  <c r="U232" i="1"/>
  <c r="R232" i="1"/>
  <c r="M232" i="1"/>
  <c r="S232" i="1" s="1"/>
  <c r="AW232" i="1" s="1"/>
  <c r="HN231" i="1"/>
  <c r="HK231" i="1"/>
  <c r="D541" i="3" s="1"/>
  <c r="HJ231" i="1"/>
  <c r="HA231" i="1"/>
  <c r="GW231" i="1"/>
  <c r="GR231" i="1"/>
  <c r="GL231" i="1"/>
  <c r="GG231" i="1"/>
  <c r="GM231" i="1" s="1"/>
  <c r="GA231" i="1"/>
  <c r="FV231" i="1"/>
  <c r="GB231" i="1" s="1"/>
  <c r="FQ231" i="1"/>
  <c r="FG231" i="1"/>
  <c r="D540" i="3" s="1"/>
  <c r="DU231" i="1"/>
  <c r="DT231" i="1"/>
  <c r="DS231" i="1"/>
  <c r="DR231" i="1"/>
  <c r="DQ231" i="1"/>
  <c r="DL231" i="1"/>
  <c r="DG231" i="1"/>
  <c r="DB231" i="1"/>
  <c r="DV231" i="1" s="1"/>
  <c r="CW231" i="1"/>
  <c r="D537" i="3" s="1"/>
  <c r="CS231" i="1"/>
  <c r="CR231" i="1"/>
  <c r="CM231" i="1"/>
  <c r="CH231" i="1"/>
  <c r="BZ231" i="1"/>
  <c r="BY231" i="1"/>
  <c r="BX231" i="1"/>
  <c r="BW231" i="1"/>
  <c r="BR231" i="1"/>
  <c r="BQ231" i="1"/>
  <c r="BK231" i="1"/>
  <c r="BL231" i="1" s="1"/>
  <c r="BE231" i="1"/>
  <c r="BF231" i="1" s="1"/>
  <c r="AY231" i="1"/>
  <c r="AV231" i="1"/>
  <c r="AU231" i="1"/>
  <c r="AM231" i="1"/>
  <c r="AK231" i="1"/>
  <c r="AI231" i="1"/>
  <c r="AG231" i="1"/>
  <c r="AE231" i="1"/>
  <c r="AC231" i="1"/>
  <c r="AA231" i="1"/>
  <c r="Y231" i="1"/>
  <c r="W231" i="1"/>
  <c r="U231" i="1"/>
  <c r="R231" i="1"/>
  <c r="M231" i="1"/>
  <c r="S231" i="1" s="1"/>
  <c r="HN230" i="1"/>
  <c r="HK230" i="1"/>
  <c r="HJ230" i="1"/>
  <c r="HA230" i="1"/>
  <c r="GW230" i="1"/>
  <c r="GR230" i="1"/>
  <c r="GL230" i="1"/>
  <c r="GG230" i="1"/>
  <c r="GM230" i="1" s="1"/>
  <c r="GX230" i="1" s="1"/>
  <c r="GA230" i="1"/>
  <c r="FV230" i="1"/>
  <c r="GB230" i="1" s="1"/>
  <c r="FQ230" i="1"/>
  <c r="FG230" i="1"/>
  <c r="DU230" i="1"/>
  <c r="DT230" i="1"/>
  <c r="DS230" i="1"/>
  <c r="DR230" i="1"/>
  <c r="DQ230" i="1"/>
  <c r="DL230" i="1"/>
  <c r="DG230" i="1"/>
  <c r="DB230" i="1"/>
  <c r="DV230" i="1" s="1"/>
  <c r="CW230" i="1"/>
  <c r="CS230" i="1"/>
  <c r="CR230" i="1"/>
  <c r="CM230" i="1"/>
  <c r="CH230" i="1"/>
  <c r="BZ230" i="1"/>
  <c r="BY230" i="1"/>
  <c r="BX230" i="1"/>
  <c r="BW230" i="1"/>
  <c r="BQ230" i="1"/>
  <c r="BR230" i="1" s="1"/>
  <c r="BK230" i="1"/>
  <c r="BL230" i="1" s="1"/>
  <c r="BF230" i="1"/>
  <c r="CB230" i="1" s="1"/>
  <c r="BE230" i="1"/>
  <c r="AY230" i="1"/>
  <c r="AU230" i="1"/>
  <c r="AV230" i="1" s="1"/>
  <c r="AM230" i="1"/>
  <c r="AK230" i="1"/>
  <c r="AI230" i="1"/>
  <c r="AG230" i="1"/>
  <c r="AE230" i="1"/>
  <c r="AC230" i="1"/>
  <c r="AA230" i="1"/>
  <c r="Y230" i="1"/>
  <c r="W230" i="1"/>
  <c r="U230" i="1"/>
  <c r="R230" i="1"/>
  <c r="M230" i="1"/>
  <c r="S230" i="1" s="1"/>
  <c r="AW230" i="1" s="1"/>
  <c r="HN229" i="1"/>
  <c r="HK229" i="1"/>
  <c r="HJ229" i="1"/>
  <c r="HA229" i="1"/>
  <c r="GX229" i="1"/>
  <c r="GW229" i="1"/>
  <c r="GR229" i="1"/>
  <c r="GM229" i="1"/>
  <c r="GL229" i="1"/>
  <c r="GG229" i="1"/>
  <c r="GA229" i="1"/>
  <c r="FV229" i="1"/>
  <c r="GB229" i="1" s="1"/>
  <c r="G242" i="2" s="1"/>
  <c r="FQ229" i="1"/>
  <c r="FG229" i="1"/>
  <c r="DU229" i="1"/>
  <c r="DT229" i="1"/>
  <c r="DS229" i="1"/>
  <c r="DR229" i="1"/>
  <c r="DQ229" i="1"/>
  <c r="DL229" i="1"/>
  <c r="DG229" i="1"/>
  <c r="DB229" i="1"/>
  <c r="DV229" i="1" s="1"/>
  <c r="G247" i="2" s="1"/>
  <c r="CW229" i="1"/>
  <c r="CS229" i="1"/>
  <c r="CR229" i="1"/>
  <c r="CM229" i="1"/>
  <c r="CH229" i="1"/>
  <c r="BZ229" i="1"/>
  <c r="BY229" i="1"/>
  <c r="BX229" i="1"/>
  <c r="BW229" i="1"/>
  <c r="BQ229" i="1"/>
  <c r="BR229" i="1" s="1"/>
  <c r="BK229" i="1"/>
  <c r="BL229" i="1" s="1"/>
  <c r="BF229" i="1"/>
  <c r="BE229" i="1"/>
  <c r="AY229" i="1"/>
  <c r="AU229" i="1"/>
  <c r="G241" i="2" s="1"/>
  <c r="AM229" i="1"/>
  <c r="AK229" i="1"/>
  <c r="AI229" i="1"/>
  <c r="AG229" i="1"/>
  <c r="AE229" i="1"/>
  <c r="AC229" i="1"/>
  <c r="AA229" i="1"/>
  <c r="Y229" i="1"/>
  <c r="W229" i="1"/>
  <c r="U229" i="1"/>
  <c r="G240" i="2" s="1"/>
  <c r="S229" i="1"/>
  <c r="AW229" i="1" s="1"/>
  <c r="R229" i="1"/>
  <c r="M229" i="1"/>
  <c r="HN227" i="1"/>
  <c r="HK227" i="1"/>
  <c r="HJ227" i="1"/>
  <c r="HA227" i="1"/>
  <c r="GW227" i="1"/>
  <c r="GR227" i="1"/>
  <c r="GM227" i="1"/>
  <c r="GX227" i="1" s="1"/>
  <c r="GL227" i="1"/>
  <c r="GG227" i="1"/>
  <c r="GB227" i="1"/>
  <c r="GA227" i="1"/>
  <c r="FV227" i="1"/>
  <c r="FQ227" i="1"/>
  <c r="FG227" i="1"/>
  <c r="DU227" i="1"/>
  <c r="DT227" i="1"/>
  <c r="DS227" i="1"/>
  <c r="DR227" i="1"/>
  <c r="DQ227" i="1"/>
  <c r="DL227" i="1"/>
  <c r="DG227" i="1"/>
  <c r="DB227" i="1"/>
  <c r="DV227" i="1" s="1"/>
  <c r="CW227" i="1"/>
  <c r="CR227" i="1"/>
  <c r="CS227" i="1" s="1"/>
  <c r="CM227" i="1"/>
  <c r="CH227" i="1"/>
  <c r="BZ227" i="1"/>
  <c r="BY227" i="1"/>
  <c r="BW227" i="1"/>
  <c r="BX227" i="1" s="1"/>
  <c r="BQ227" i="1"/>
  <c r="BR227" i="1" s="1"/>
  <c r="BL227" i="1"/>
  <c r="BK227" i="1"/>
  <c r="BF227" i="1"/>
  <c r="CB227" i="1" s="1"/>
  <c r="BE227" i="1"/>
  <c r="CA227" i="1" s="1"/>
  <c r="AY227" i="1"/>
  <c r="AU227" i="1"/>
  <c r="AV227" i="1" s="1"/>
  <c r="AM227" i="1"/>
  <c r="AK227" i="1"/>
  <c r="AI227" i="1"/>
  <c r="AG227" i="1"/>
  <c r="AE227" i="1"/>
  <c r="AC227" i="1"/>
  <c r="AA227" i="1"/>
  <c r="Y227" i="1"/>
  <c r="W227" i="1"/>
  <c r="U227" i="1"/>
  <c r="S227" i="1"/>
  <c r="AW227" i="1" s="1"/>
  <c r="R227" i="1"/>
  <c r="M227" i="1"/>
  <c r="HN226" i="1"/>
  <c r="HK226" i="1"/>
  <c r="HJ226" i="1"/>
  <c r="HA226" i="1"/>
  <c r="GW226" i="1"/>
  <c r="GX226" i="1" s="1"/>
  <c r="GR226" i="1"/>
  <c r="GM226" i="1"/>
  <c r="GL226" i="1"/>
  <c r="GG226" i="1"/>
  <c r="GB226" i="1"/>
  <c r="GA226" i="1"/>
  <c r="FV226" i="1"/>
  <c r="FQ226" i="1"/>
  <c r="FG226" i="1"/>
  <c r="DU226" i="1"/>
  <c r="DT226" i="1"/>
  <c r="DS226" i="1"/>
  <c r="DR226" i="1"/>
  <c r="DQ226" i="1"/>
  <c r="DL226" i="1"/>
  <c r="DG226" i="1"/>
  <c r="DB226" i="1"/>
  <c r="DV226" i="1" s="1"/>
  <c r="CW226" i="1"/>
  <c r="CR226" i="1"/>
  <c r="CM226" i="1"/>
  <c r="CS226" i="1" s="1"/>
  <c r="CH226" i="1"/>
  <c r="BZ226" i="1"/>
  <c r="BY226" i="1"/>
  <c r="BW226" i="1"/>
  <c r="BX226" i="1" s="1"/>
  <c r="BQ226" i="1"/>
  <c r="BR226" i="1" s="1"/>
  <c r="BL226" i="1"/>
  <c r="CB226" i="1" s="1"/>
  <c r="BK226" i="1"/>
  <c r="BF226" i="1"/>
  <c r="BE226" i="1"/>
  <c r="AY226" i="1"/>
  <c r="AW226" i="1"/>
  <c r="AU226" i="1"/>
  <c r="AV226" i="1" s="1"/>
  <c r="AM226" i="1"/>
  <c r="AK226" i="1"/>
  <c r="AI226" i="1"/>
  <c r="AG226" i="1"/>
  <c r="AE226" i="1"/>
  <c r="AC226" i="1"/>
  <c r="AA226" i="1"/>
  <c r="Y226" i="1"/>
  <c r="W226" i="1"/>
  <c r="U226" i="1"/>
  <c r="S226" i="1"/>
  <c r="R226" i="1"/>
  <c r="M226" i="1"/>
  <c r="HN225" i="1"/>
  <c r="HK225" i="1"/>
  <c r="HJ225" i="1"/>
  <c r="HA225" i="1"/>
  <c r="GW225" i="1"/>
  <c r="GR225" i="1"/>
  <c r="GL225" i="1"/>
  <c r="GM225" i="1" s="1"/>
  <c r="GG225" i="1"/>
  <c r="GB225" i="1"/>
  <c r="GA225" i="1"/>
  <c r="FV225" i="1"/>
  <c r="FQ225" i="1"/>
  <c r="FG225" i="1"/>
  <c r="DU225" i="1"/>
  <c r="DT225" i="1"/>
  <c r="DS225" i="1"/>
  <c r="DR225" i="1"/>
  <c r="DQ225" i="1"/>
  <c r="DL225" i="1"/>
  <c r="DG225" i="1"/>
  <c r="DB225" i="1"/>
  <c r="DV225" i="1" s="1"/>
  <c r="CW225" i="1"/>
  <c r="CR225" i="1"/>
  <c r="CM225" i="1"/>
  <c r="CS225" i="1" s="1"/>
  <c r="CH225" i="1"/>
  <c r="BZ225" i="1"/>
  <c r="BY225" i="1"/>
  <c r="BW225" i="1"/>
  <c r="BX225" i="1" s="1"/>
  <c r="BR225" i="1"/>
  <c r="BQ225" i="1"/>
  <c r="BL225" i="1"/>
  <c r="BK225" i="1"/>
  <c r="BE225" i="1"/>
  <c r="CA225" i="1" s="1"/>
  <c r="AY225" i="1"/>
  <c r="AV225" i="1"/>
  <c r="AU225" i="1"/>
  <c r="AM225" i="1"/>
  <c r="AK225" i="1"/>
  <c r="AI225" i="1"/>
  <c r="AG225" i="1"/>
  <c r="AE225" i="1"/>
  <c r="AC225" i="1"/>
  <c r="AA225" i="1"/>
  <c r="Y225" i="1"/>
  <c r="W225" i="1"/>
  <c r="U225" i="1"/>
  <c r="F240" i="2" s="1"/>
  <c r="R225" i="1"/>
  <c r="S225" i="1" s="1"/>
  <c r="M225" i="1"/>
  <c r="HN224" i="1"/>
  <c r="HK224" i="1"/>
  <c r="HJ224" i="1"/>
  <c r="HD224" i="1"/>
  <c r="HA224" i="1"/>
  <c r="GW224" i="1"/>
  <c r="GR224" i="1"/>
  <c r="GL224" i="1"/>
  <c r="GG224" i="1"/>
  <c r="GM224" i="1" s="1"/>
  <c r="GX224" i="1" s="1"/>
  <c r="GA224" i="1"/>
  <c r="GB224" i="1" s="1"/>
  <c r="FV224" i="1"/>
  <c r="FQ224" i="1"/>
  <c r="FG224" i="1"/>
  <c r="DU224" i="1"/>
  <c r="DT224" i="1"/>
  <c r="DS224" i="1"/>
  <c r="DR224" i="1"/>
  <c r="DQ224" i="1"/>
  <c r="DL224" i="1"/>
  <c r="DG224" i="1"/>
  <c r="DB224" i="1"/>
  <c r="DV224" i="1" s="1"/>
  <c r="CW224" i="1"/>
  <c r="CR224" i="1"/>
  <c r="CM224" i="1"/>
  <c r="CS224" i="1" s="1"/>
  <c r="CH224" i="1"/>
  <c r="BZ224" i="1"/>
  <c r="BY224" i="1"/>
  <c r="BW224" i="1"/>
  <c r="BX224" i="1" s="1"/>
  <c r="BR224" i="1"/>
  <c r="BQ224" i="1"/>
  <c r="BL224" i="1"/>
  <c r="BK224" i="1"/>
  <c r="BE224" i="1"/>
  <c r="AY224" i="1"/>
  <c r="AV224" i="1"/>
  <c r="AU224" i="1"/>
  <c r="AM224" i="1"/>
  <c r="AK224" i="1"/>
  <c r="AI224" i="1"/>
  <c r="AG224" i="1"/>
  <c r="AE224" i="1"/>
  <c r="AC224" i="1"/>
  <c r="AA224" i="1"/>
  <c r="Y224" i="1"/>
  <c r="W224" i="1"/>
  <c r="U224" i="1"/>
  <c r="R224" i="1"/>
  <c r="M224" i="1"/>
  <c r="HN223" i="1"/>
  <c r="HK223" i="1"/>
  <c r="HJ223" i="1"/>
  <c r="HA223" i="1"/>
  <c r="GW223" i="1"/>
  <c r="GR223" i="1"/>
  <c r="GL223" i="1"/>
  <c r="GG223" i="1"/>
  <c r="GM223" i="1" s="1"/>
  <c r="GX223" i="1" s="1"/>
  <c r="GA223" i="1"/>
  <c r="FV223" i="1"/>
  <c r="FQ223" i="1"/>
  <c r="FG223" i="1"/>
  <c r="DU223" i="1"/>
  <c r="DT223" i="1"/>
  <c r="DS223" i="1"/>
  <c r="DR223" i="1"/>
  <c r="DQ223" i="1"/>
  <c r="DL223" i="1"/>
  <c r="DG223" i="1"/>
  <c r="DB223" i="1"/>
  <c r="DV223" i="1" s="1"/>
  <c r="CW223" i="1"/>
  <c r="CR223" i="1"/>
  <c r="CM223" i="1"/>
  <c r="CS223" i="1" s="1"/>
  <c r="CH223" i="1"/>
  <c r="BZ223" i="1"/>
  <c r="BY223" i="1"/>
  <c r="BX223" i="1"/>
  <c r="BW223" i="1"/>
  <c r="BR223" i="1"/>
  <c r="BQ223" i="1"/>
  <c r="BK223" i="1"/>
  <c r="BL223" i="1" s="1"/>
  <c r="BE223" i="1"/>
  <c r="BF223" i="1" s="1"/>
  <c r="AY223" i="1"/>
  <c r="AV223" i="1"/>
  <c r="AU223" i="1"/>
  <c r="AM223" i="1"/>
  <c r="AK223" i="1"/>
  <c r="AI223" i="1"/>
  <c r="AG223" i="1"/>
  <c r="AE223" i="1"/>
  <c r="AC223" i="1"/>
  <c r="AA223" i="1"/>
  <c r="Y223" i="1"/>
  <c r="W223" i="1"/>
  <c r="U223" i="1"/>
  <c r="R223" i="1"/>
  <c r="M223" i="1"/>
  <c r="S223" i="1" s="1"/>
  <c r="AW223" i="1" s="1"/>
  <c r="HN222" i="1"/>
  <c r="HK222" i="1"/>
  <c r="HJ222" i="1"/>
  <c r="HA222" i="1"/>
  <c r="GW222" i="1"/>
  <c r="GR222" i="1"/>
  <c r="GL222" i="1"/>
  <c r="GG222" i="1"/>
  <c r="GM222" i="1" s="1"/>
  <c r="GA222" i="1"/>
  <c r="FV222" i="1"/>
  <c r="GB222" i="1" s="1"/>
  <c r="FQ222" i="1"/>
  <c r="FG222" i="1"/>
  <c r="DU222" i="1"/>
  <c r="DT222" i="1"/>
  <c r="DS222" i="1"/>
  <c r="DR222" i="1"/>
  <c r="DQ222" i="1"/>
  <c r="DL222" i="1"/>
  <c r="DG222" i="1"/>
  <c r="DB222" i="1"/>
  <c r="CW222" i="1"/>
  <c r="CS222" i="1"/>
  <c r="CR222" i="1"/>
  <c r="CM222" i="1"/>
  <c r="CH222" i="1"/>
  <c r="CA222" i="1"/>
  <c r="BZ222" i="1"/>
  <c r="BY222" i="1"/>
  <c r="BX222" i="1"/>
  <c r="BW222" i="1"/>
  <c r="BR222" i="1"/>
  <c r="BQ222" i="1"/>
  <c r="BK222" i="1"/>
  <c r="BL222" i="1" s="1"/>
  <c r="BE222" i="1"/>
  <c r="BF222" i="1" s="1"/>
  <c r="CB222" i="1" s="1"/>
  <c r="AY222" i="1"/>
  <c r="AV222" i="1"/>
  <c r="AU222" i="1"/>
  <c r="AM222" i="1"/>
  <c r="AK222" i="1"/>
  <c r="AI222" i="1"/>
  <c r="AG222" i="1"/>
  <c r="AE222" i="1"/>
  <c r="AC222" i="1"/>
  <c r="AA222" i="1"/>
  <c r="Y222" i="1"/>
  <c r="W222" i="1"/>
  <c r="U222" i="1"/>
  <c r="E240" i="2" s="1"/>
  <c r="R222" i="1"/>
  <c r="M222" i="1"/>
  <c r="S222" i="1" s="1"/>
  <c r="HN221" i="1"/>
  <c r="HK221" i="1"/>
  <c r="HJ221" i="1"/>
  <c r="HA221" i="1"/>
  <c r="GW221" i="1"/>
  <c r="GR221" i="1"/>
  <c r="GL221" i="1"/>
  <c r="GG221" i="1"/>
  <c r="GM221" i="1" s="1"/>
  <c r="GX221" i="1" s="1"/>
  <c r="GA221" i="1"/>
  <c r="FV221" i="1"/>
  <c r="GB221" i="1" s="1"/>
  <c r="FQ221" i="1"/>
  <c r="FG221" i="1"/>
  <c r="DU221" i="1"/>
  <c r="DT221" i="1"/>
  <c r="DS221" i="1"/>
  <c r="DR221" i="1"/>
  <c r="DQ221" i="1"/>
  <c r="DL221" i="1"/>
  <c r="DG221" i="1"/>
  <c r="DB221" i="1"/>
  <c r="DV221" i="1" s="1"/>
  <c r="CW221" i="1"/>
  <c r="CS221" i="1"/>
  <c r="CR221" i="1"/>
  <c r="CM221" i="1"/>
  <c r="CH221" i="1"/>
  <c r="BZ221" i="1"/>
  <c r="BY221" i="1"/>
  <c r="BX221" i="1"/>
  <c r="BW221" i="1"/>
  <c r="BQ221" i="1"/>
  <c r="BR221" i="1" s="1"/>
  <c r="BK221" i="1"/>
  <c r="BL221" i="1" s="1"/>
  <c r="BF221" i="1"/>
  <c r="CB221" i="1" s="1"/>
  <c r="BE221" i="1"/>
  <c r="AY221" i="1"/>
  <c r="AU221" i="1"/>
  <c r="AV221" i="1" s="1"/>
  <c r="AM221" i="1"/>
  <c r="AK221" i="1"/>
  <c r="AI221" i="1"/>
  <c r="AG221" i="1"/>
  <c r="AE221" i="1"/>
  <c r="AC221" i="1"/>
  <c r="AA221" i="1"/>
  <c r="Y221" i="1"/>
  <c r="W221" i="1"/>
  <c r="U221" i="1"/>
  <c r="R221" i="1"/>
  <c r="M221" i="1"/>
  <c r="S221" i="1" s="1"/>
  <c r="AW221" i="1" s="1"/>
  <c r="HN220" i="1"/>
  <c r="HK220" i="1"/>
  <c r="HJ220" i="1"/>
  <c r="HA220" i="1"/>
  <c r="GX220" i="1"/>
  <c r="GW220" i="1"/>
  <c r="GR220" i="1"/>
  <c r="GM220" i="1"/>
  <c r="GL220" i="1"/>
  <c r="GG220" i="1"/>
  <c r="GA220" i="1"/>
  <c r="FV220" i="1"/>
  <c r="GB220" i="1" s="1"/>
  <c r="FQ220" i="1"/>
  <c r="FG220" i="1"/>
  <c r="DU220" i="1"/>
  <c r="DT220" i="1"/>
  <c r="DS220" i="1"/>
  <c r="DR220" i="1"/>
  <c r="DQ220" i="1"/>
  <c r="DL220" i="1"/>
  <c r="DG220" i="1"/>
  <c r="DB220" i="1"/>
  <c r="DV220" i="1" s="1"/>
  <c r="CW220" i="1"/>
  <c r="CS220" i="1"/>
  <c r="CR220" i="1"/>
  <c r="CM220" i="1"/>
  <c r="CH220" i="1"/>
  <c r="BZ220" i="1"/>
  <c r="BY220" i="1"/>
  <c r="BX220" i="1"/>
  <c r="BW220" i="1"/>
  <c r="BQ220" i="1"/>
  <c r="BR220" i="1" s="1"/>
  <c r="BK220" i="1"/>
  <c r="BL220" i="1" s="1"/>
  <c r="BF220" i="1"/>
  <c r="BE220" i="1"/>
  <c r="AY220" i="1"/>
  <c r="AU220" i="1"/>
  <c r="AV220" i="1" s="1"/>
  <c r="AM220" i="1"/>
  <c r="AK220" i="1"/>
  <c r="AI220" i="1"/>
  <c r="AG220" i="1"/>
  <c r="AE220" i="1"/>
  <c r="AC220" i="1"/>
  <c r="AA220" i="1"/>
  <c r="Y220" i="1"/>
  <c r="W220" i="1"/>
  <c r="U220" i="1"/>
  <c r="S220" i="1"/>
  <c r="R220" i="1"/>
  <c r="M220" i="1"/>
  <c r="HN219" i="1"/>
  <c r="HK219" i="1"/>
  <c r="HJ219" i="1"/>
  <c r="HA219" i="1"/>
  <c r="GW219" i="1"/>
  <c r="GR219" i="1"/>
  <c r="GM219" i="1"/>
  <c r="GL219" i="1"/>
  <c r="GG219" i="1"/>
  <c r="GB219" i="1"/>
  <c r="GA219" i="1"/>
  <c r="FV219" i="1"/>
  <c r="FQ219" i="1"/>
  <c r="FG219" i="1"/>
  <c r="DU219" i="1"/>
  <c r="DT219" i="1"/>
  <c r="DS219" i="1"/>
  <c r="DR219" i="1"/>
  <c r="DQ219" i="1"/>
  <c r="DL219" i="1"/>
  <c r="DG219" i="1"/>
  <c r="DB219" i="1"/>
  <c r="DV219" i="1" s="1"/>
  <c r="CW219" i="1"/>
  <c r="CR219" i="1"/>
  <c r="CS219" i="1" s="1"/>
  <c r="CM219" i="1"/>
  <c r="CH219" i="1"/>
  <c r="BZ219" i="1"/>
  <c r="BY219" i="1"/>
  <c r="BW219" i="1"/>
  <c r="BX219" i="1" s="1"/>
  <c r="BQ219" i="1"/>
  <c r="BR219" i="1" s="1"/>
  <c r="BL219" i="1"/>
  <c r="BK219" i="1"/>
  <c r="BF219" i="1"/>
  <c r="BE219" i="1"/>
  <c r="CA219" i="1" s="1"/>
  <c r="AY219" i="1"/>
  <c r="AU219" i="1"/>
  <c r="AM219" i="1"/>
  <c r="AK219" i="1"/>
  <c r="AI219" i="1"/>
  <c r="AG219" i="1"/>
  <c r="AE219" i="1"/>
  <c r="AC219" i="1"/>
  <c r="AA219" i="1"/>
  <c r="Y219" i="1"/>
  <c r="W219" i="1"/>
  <c r="U219" i="1"/>
  <c r="S219" i="1"/>
  <c r="R219" i="1"/>
  <c r="M219" i="1"/>
  <c r="HN218" i="1"/>
  <c r="HK218" i="1"/>
  <c r="HJ218" i="1"/>
  <c r="HA218" i="1"/>
  <c r="GW218" i="1"/>
  <c r="GX218" i="1" s="1"/>
  <c r="GR218" i="1"/>
  <c r="GM218" i="1"/>
  <c r="GL218" i="1"/>
  <c r="GG218" i="1"/>
  <c r="GB218" i="1"/>
  <c r="GA218" i="1"/>
  <c r="FV218" i="1"/>
  <c r="FQ218" i="1"/>
  <c r="FG218" i="1"/>
  <c r="DU218" i="1"/>
  <c r="DT218" i="1"/>
  <c r="DS218" i="1"/>
  <c r="DR218" i="1"/>
  <c r="DQ218" i="1"/>
  <c r="DL218" i="1"/>
  <c r="DG218" i="1"/>
  <c r="DB218" i="1"/>
  <c r="DV218" i="1" s="1"/>
  <c r="CW218" i="1"/>
  <c r="CR218" i="1"/>
  <c r="CM218" i="1"/>
  <c r="CS218" i="1" s="1"/>
  <c r="CH218" i="1"/>
  <c r="BZ218" i="1"/>
  <c r="BY218" i="1"/>
  <c r="BW218" i="1"/>
  <c r="BX218" i="1" s="1"/>
  <c r="BQ218" i="1"/>
  <c r="BR218" i="1" s="1"/>
  <c r="BL218" i="1"/>
  <c r="CB218" i="1" s="1"/>
  <c r="BK218" i="1"/>
  <c r="BF218" i="1"/>
  <c r="BE218" i="1"/>
  <c r="AY218" i="1"/>
  <c r="AW218" i="1"/>
  <c r="AU218" i="1"/>
  <c r="AV218" i="1" s="1"/>
  <c r="AM218" i="1"/>
  <c r="AK218" i="1"/>
  <c r="AI218" i="1"/>
  <c r="AG218" i="1"/>
  <c r="AE218" i="1"/>
  <c r="AC218" i="1"/>
  <c r="AA218" i="1"/>
  <c r="Y218" i="1"/>
  <c r="W218" i="1"/>
  <c r="U218" i="1"/>
  <c r="S218" i="1"/>
  <c r="R218" i="1"/>
  <c r="M218" i="1"/>
  <c r="HN217" i="1"/>
  <c r="HK217" i="1"/>
  <c r="HJ217" i="1"/>
  <c r="HA217" i="1"/>
  <c r="GW217" i="1"/>
  <c r="GR217" i="1"/>
  <c r="GL217" i="1"/>
  <c r="GM217" i="1" s="1"/>
  <c r="GG217" i="1"/>
  <c r="GB217" i="1"/>
  <c r="GA217" i="1"/>
  <c r="FV217" i="1"/>
  <c r="FQ217" i="1"/>
  <c r="FG217" i="1"/>
  <c r="DU217" i="1"/>
  <c r="DT217" i="1"/>
  <c r="DS217" i="1"/>
  <c r="DR217" i="1"/>
  <c r="DQ217" i="1"/>
  <c r="DL217" i="1"/>
  <c r="DG217" i="1"/>
  <c r="DB217" i="1"/>
  <c r="DV217" i="1" s="1"/>
  <c r="G234" i="2" s="1"/>
  <c r="CW217" i="1"/>
  <c r="CR217" i="1"/>
  <c r="CM217" i="1"/>
  <c r="CS217" i="1" s="1"/>
  <c r="CH217" i="1"/>
  <c r="BZ217" i="1"/>
  <c r="BY217" i="1"/>
  <c r="BW217" i="1"/>
  <c r="BX217" i="1" s="1"/>
  <c r="BR217" i="1"/>
  <c r="BQ217" i="1"/>
  <c r="BL217" i="1"/>
  <c r="BK217" i="1"/>
  <c r="BE217" i="1"/>
  <c r="CA217" i="1" s="1"/>
  <c r="AY217" i="1"/>
  <c r="AV217" i="1"/>
  <c r="AU217" i="1"/>
  <c r="AM217" i="1"/>
  <c r="AK217" i="1"/>
  <c r="AI217" i="1"/>
  <c r="AG217" i="1"/>
  <c r="AE217" i="1"/>
  <c r="AC217" i="1"/>
  <c r="AA217" i="1"/>
  <c r="Y217" i="1"/>
  <c r="W217" i="1"/>
  <c r="U217" i="1"/>
  <c r="G227" i="2" s="1"/>
  <c r="R217" i="1"/>
  <c r="S217" i="1" s="1"/>
  <c r="M217" i="1"/>
  <c r="HN215" i="1"/>
  <c r="HK215" i="1"/>
  <c r="HJ215" i="1"/>
  <c r="HA215" i="1"/>
  <c r="GW215" i="1"/>
  <c r="GR215" i="1"/>
  <c r="GL215" i="1"/>
  <c r="GG215" i="1"/>
  <c r="GM215" i="1" s="1"/>
  <c r="GX215" i="1" s="1"/>
  <c r="GA215" i="1"/>
  <c r="GB215" i="1" s="1"/>
  <c r="FV215" i="1"/>
  <c r="FQ215" i="1"/>
  <c r="FG215" i="1"/>
  <c r="DU215" i="1"/>
  <c r="DT215" i="1"/>
  <c r="DS215" i="1"/>
  <c r="DR215" i="1"/>
  <c r="DQ215" i="1"/>
  <c r="DL215" i="1"/>
  <c r="DG215" i="1"/>
  <c r="DB215" i="1"/>
  <c r="DV215" i="1" s="1"/>
  <c r="CW215" i="1"/>
  <c r="CR215" i="1"/>
  <c r="CM215" i="1"/>
  <c r="CS215" i="1" s="1"/>
  <c r="CH215" i="1"/>
  <c r="BZ215" i="1"/>
  <c r="BY215" i="1"/>
  <c r="BW215" i="1"/>
  <c r="BX215" i="1" s="1"/>
  <c r="BR215" i="1"/>
  <c r="BQ215" i="1"/>
  <c r="BL215" i="1"/>
  <c r="BK215" i="1"/>
  <c r="BE215" i="1"/>
  <c r="AY215" i="1"/>
  <c r="AV215" i="1"/>
  <c r="AU215" i="1"/>
  <c r="AM215" i="1"/>
  <c r="AK215" i="1"/>
  <c r="AI215" i="1"/>
  <c r="AG215" i="1"/>
  <c r="AE215" i="1"/>
  <c r="AC215" i="1"/>
  <c r="AA215" i="1"/>
  <c r="Y215" i="1"/>
  <c r="W215" i="1"/>
  <c r="U215" i="1"/>
  <c r="R215" i="1"/>
  <c r="M215" i="1"/>
  <c r="HN214" i="1"/>
  <c r="HK214" i="1"/>
  <c r="HJ214" i="1"/>
  <c r="HA214" i="1"/>
  <c r="GW214" i="1"/>
  <c r="GR214" i="1"/>
  <c r="GL214" i="1"/>
  <c r="GG214" i="1"/>
  <c r="GM214" i="1" s="1"/>
  <c r="GX214" i="1" s="1"/>
  <c r="GA214" i="1"/>
  <c r="FV214" i="1"/>
  <c r="FQ214" i="1"/>
  <c r="FG214" i="1"/>
  <c r="DU214" i="1"/>
  <c r="DT214" i="1"/>
  <c r="DS214" i="1"/>
  <c r="DR214" i="1"/>
  <c r="DQ214" i="1"/>
  <c r="DL214" i="1"/>
  <c r="DG214" i="1"/>
  <c r="DB214" i="1"/>
  <c r="DV214" i="1" s="1"/>
  <c r="CW214" i="1"/>
  <c r="CR214" i="1"/>
  <c r="CM214" i="1"/>
  <c r="CS214" i="1" s="1"/>
  <c r="CH214" i="1"/>
  <c r="BZ214" i="1"/>
  <c r="BY214" i="1"/>
  <c r="BX214" i="1"/>
  <c r="BW214" i="1"/>
  <c r="BR214" i="1"/>
  <c r="BQ214" i="1"/>
  <c r="BK214" i="1"/>
  <c r="BL214" i="1" s="1"/>
  <c r="BE214" i="1"/>
  <c r="BF214" i="1" s="1"/>
  <c r="AY214" i="1"/>
  <c r="AV214" i="1"/>
  <c r="AU214" i="1"/>
  <c r="AM214" i="1"/>
  <c r="AK214" i="1"/>
  <c r="AI214" i="1"/>
  <c r="AG214" i="1"/>
  <c r="AE214" i="1"/>
  <c r="AC214" i="1"/>
  <c r="AA214" i="1"/>
  <c r="Y214" i="1"/>
  <c r="W214" i="1"/>
  <c r="U214" i="1"/>
  <c r="R214" i="1"/>
  <c r="M214" i="1"/>
  <c r="S214" i="1" s="1"/>
  <c r="AW214" i="1" s="1"/>
  <c r="HN213" i="1"/>
  <c r="HK213" i="1"/>
  <c r="HJ213" i="1"/>
  <c r="HA213" i="1"/>
  <c r="GW213" i="1"/>
  <c r="GR213" i="1"/>
  <c r="GL213" i="1"/>
  <c r="GG213" i="1"/>
  <c r="GM213" i="1" s="1"/>
  <c r="GA213" i="1"/>
  <c r="FV213" i="1"/>
  <c r="GB213" i="1" s="1"/>
  <c r="FQ213" i="1"/>
  <c r="FG213" i="1"/>
  <c r="DU213" i="1"/>
  <c r="DT213" i="1"/>
  <c r="DS213" i="1"/>
  <c r="DR213" i="1"/>
  <c r="DQ213" i="1"/>
  <c r="DL213" i="1"/>
  <c r="DG213" i="1"/>
  <c r="DB213" i="1"/>
  <c r="CW213" i="1"/>
  <c r="CS213" i="1"/>
  <c r="CR213" i="1"/>
  <c r="CM213" i="1"/>
  <c r="CH213" i="1"/>
  <c r="CA213" i="1"/>
  <c r="BZ213" i="1"/>
  <c r="BY213" i="1"/>
  <c r="BX213" i="1"/>
  <c r="BW213" i="1"/>
  <c r="BR213" i="1"/>
  <c r="BQ213" i="1"/>
  <c r="BK213" i="1"/>
  <c r="BL213" i="1" s="1"/>
  <c r="BE213" i="1"/>
  <c r="BF213" i="1" s="1"/>
  <c r="CB213" i="1" s="1"/>
  <c r="AY213" i="1"/>
  <c r="AV213" i="1"/>
  <c r="AU213" i="1"/>
  <c r="AM213" i="1"/>
  <c r="AK213" i="1"/>
  <c r="AI213" i="1"/>
  <c r="AG213" i="1"/>
  <c r="AE213" i="1"/>
  <c r="AC213" i="1"/>
  <c r="AA213" i="1"/>
  <c r="Y213" i="1"/>
  <c r="W213" i="1"/>
  <c r="U213" i="1"/>
  <c r="F227" i="2" s="1"/>
  <c r="R213" i="1"/>
  <c r="M213" i="1"/>
  <c r="S213" i="1" s="1"/>
  <c r="HN212" i="1"/>
  <c r="HK212" i="1"/>
  <c r="HJ212" i="1"/>
  <c r="HA212" i="1"/>
  <c r="GW212" i="1"/>
  <c r="GR212" i="1"/>
  <c r="GL212" i="1"/>
  <c r="GG212" i="1"/>
  <c r="GM212" i="1" s="1"/>
  <c r="GX212" i="1" s="1"/>
  <c r="GA212" i="1"/>
  <c r="FV212" i="1"/>
  <c r="GB212" i="1" s="1"/>
  <c r="FQ212" i="1"/>
  <c r="FG212" i="1"/>
  <c r="DU212" i="1"/>
  <c r="DT212" i="1"/>
  <c r="DS212" i="1"/>
  <c r="DR212" i="1"/>
  <c r="DQ212" i="1"/>
  <c r="DL212" i="1"/>
  <c r="DG212" i="1"/>
  <c r="DB212" i="1"/>
  <c r="DV212" i="1" s="1"/>
  <c r="CW212" i="1"/>
  <c r="CS212" i="1"/>
  <c r="CR212" i="1"/>
  <c r="CM212" i="1"/>
  <c r="CH212" i="1"/>
  <c r="BZ212" i="1"/>
  <c r="BY212" i="1"/>
  <c r="BX212" i="1"/>
  <c r="BW212" i="1"/>
  <c r="BQ212" i="1"/>
  <c r="BR212" i="1" s="1"/>
  <c r="BK212" i="1"/>
  <c r="BL212" i="1" s="1"/>
  <c r="BF212" i="1"/>
  <c r="CB212" i="1" s="1"/>
  <c r="BE212" i="1"/>
  <c r="AY212" i="1"/>
  <c r="AU212" i="1"/>
  <c r="AV212" i="1" s="1"/>
  <c r="AM212" i="1"/>
  <c r="AK212" i="1"/>
  <c r="AI212" i="1"/>
  <c r="AG212" i="1"/>
  <c r="AE212" i="1"/>
  <c r="AC212" i="1"/>
  <c r="AA212" i="1"/>
  <c r="Y212" i="1"/>
  <c r="W212" i="1"/>
  <c r="U212" i="1"/>
  <c r="R212" i="1"/>
  <c r="M212" i="1"/>
  <c r="S212" i="1" s="1"/>
  <c r="AW212" i="1" s="1"/>
  <c r="HN211" i="1"/>
  <c r="HK211" i="1"/>
  <c r="HJ211" i="1"/>
  <c r="HA211" i="1"/>
  <c r="GX211" i="1"/>
  <c r="GW211" i="1"/>
  <c r="GR211" i="1"/>
  <c r="GM211" i="1"/>
  <c r="GL211" i="1"/>
  <c r="GG211" i="1"/>
  <c r="GA211" i="1"/>
  <c r="FV211" i="1"/>
  <c r="GB211" i="1" s="1"/>
  <c r="FQ211" i="1"/>
  <c r="FG211" i="1"/>
  <c r="DU211" i="1"/>
  <c r="DT211" i="1"/>
  <c r="DS211" i="1"/>
  <c r="DR211" i="1"/>
  <c r="DQ211" i="1"/>
  <c r="DL211" i="1"/>
  <c r="DG211" i="1"/>
  <c r="DB211" i="1"/>
  <c r="DV211" i="1" s="1"/>
  <c r="CW211" i="1"/>
  <c r="CS211" i="1"/>
  <c r="CR211" i="1"/>
  <c r="CM211" i="1"/>
  <c r="CH211" i="1"/>
  <c r="BZ211" i="1"/>
  <c r="BY211" i="1"/>
  <c r="BX211" i="1"/>
  <c r="BW211" i="1"/>
  <c r="BQ211" i="1"/>
  <c r="BR211" i="1" s="1"/>
  <c r="BK211" i="1"/>
  <c r="BL211" i="1" s="1"/>
  <c r="BF211" i="1"/>
  <c r="BE211" i="1"/>
  <c r="AY211" i="1"/>
  <c r="AU211" i="1"/>
  <c r="AV211" i="1" s="1"/>
  <c r="AM211" i="1"/>
  <c r="AK211" i="1"/>
  <c r="AI211" i="1"/>
  <c r="AG211" i="1"/>
  <c r="AE211" i="1"/>
  <c r="AC211" i="1"/>
  <c r="AA211" i="1"/>
  <c r="Y211" i="1"/>
  <c r="W211" i="1"/>
  <c r="U211" i="1"/>
  <c r="S211" i="1"/>
  <c r="R211" i="1"/>
  <c r="M211" i="1"/>
  <c r="HN210" i="1"/>
  <c r="HK210" i="1"/>
  <c r="HJ210" i="1"/>
  <c r="HA210" i="1"/>
  <c r="GW210" i="1"/>
  <c r="GR210" i="1"/>
  <c r="GM210" i="1"/>
  <c r="GL210" i="1"/>
  <c r="GG210" i="1"/>
  <c r="GB210" i="1"/>
  <c r="GA210" i="1"/>
  <c r="FV210" i="1"/>
  <c r="FQ210" i="1"/>
  <c r="FG210" i="1"/>
  <c r="DU210" i="1"/>
  <c r="DT210" i="1"/>
  <c r="DS210" i="1"/>
  <c r="DR210" i="1"/>
  <c r="DQ210" i="1"/>
  <c r="DL210" i="1"/>
  <c r="DG210" i="1"/>
  <c r="DB210" i="1"/>
  <c r="DV210" i="1" s="1"/>
  <c r="E234" i="2" s="1"/>
  <c r="CW210" i="1"/>
  <c r="CR210" i="1"/>
  <c r="CS210" i="1" s="1"/>
  <c r="CM210" i="1"/>
  <c r="CH210" i="1"/>
  <c r="BZ210" i="1"/>
  <c r="BY210" i="1"/>
  <c r="BW210" i="1"/>
  <c r="BX210" i="1" s="1"/>
  <c r="BQ210" i="1"/>
  <c r="BR210" i="1" s="1"/>
  <c r="BL210" i="1"/>
  <c r="BK210" i="1"/>
  <c r="BF210" i="1"/>
  <c r="BE210" i="1"/>
  <c r="CA210" i="1" s="1"/>
  <c r="AY210" i="1"/>
  <c r="AU210" i="1"/>
  <c r="AM210" i="1"/>
  <c r="AK210" i="1"/>
  <c r="AI210" i="1"/>
  <c r="AG210" i="1"/>
  <c r="AE210" i="1"/>
  <c r="AC210" i="1"/>
  <c r="AA210" i="1"/>
  <c r="Y210" i="1"/>
  <c r="W210" i="1"/>
  <c r="U210" i="1"/>
  <c r="S210" i="1"/>
  <c r="R210" i="1"/>
  <c r="M210" i="1"/>
  <c r="HN209" i="1"/>
  <c r="HK209" i="1"/>
  <c r="HJ209" i="1"/>
  <c r="HA209" i="1"/>
  <c r="GW209" i="1"/>
  <c r="GR209" i="1"/>
  <c r="GM209" i="1"/>
  <c r="GX209" i="1" s="1"/>
  <c r="HB209" i="1" s="1"/>
  <c r="GL209" i="1"/>
  <c r="GG209" i="1"/>
  <c r="GB209" i="1"/>
  <c r="GA209" i="1"/>
  <c r="FV209" i="1"/>
  <c r="FQ209" i="1"/>
  <c r="FG209" i="1"/>
  <c r="DU209" i="1"/>
  <c r="DT209" i="1"/>
  <c r="DS209" i="1"/>
  <c r="DR209" i="1"/>
  <c r="DQ209" i="1"/>
  <c r="DL209" i="1"/>
  <c r="DG209" i="1"/>
  <c r="DB209" i="1"/>
  <c r="DV209" i="1" s="1"/>
  <c r="CW209" i="1"/>
  <c r="CR209" i="1"/>
  <c r="CM209" i="1"/>
  <c r="CS209" i="1" s="1"/>
  <c r="CH209" i="1"/>
  <c r="BZ209" i="1"/>
  <c r="BY209" i="1"/>
  <c r="BW209" i="1"/>
  <c r="BX209" i="1" s="1"/>
  <c r="BQ209" i="1"/>
  <c r="BR209" i="1" s="1"/>
  <c r="BL209" i="1"/>
  <c r="CB209" i="1" s="1"/>
  <c r="BK209" i="1"/>
  <c r="BF209" i="1"/>
  <c r="BE209" i="1"/>
  <c r="AY209" i="1"/>
  <c r="AW209" i="1"/>
  <c r="AU209" i="1"/>
  <c r="AV209" i="1" s="1"/>
  <c r="AM209" i="1"/>
  <c r="AK209" i="1"/>
  <c r="AI209" i="1"/>
  <c r="AG209" i="1"/>
  <c r="AE209" i="1"/>
  <c r="AC209" i="1"/>
  <c r="AA209" i="1"/>
  <c r="Y209" i="1"/>
  <c r="W209" i="1"/>
  <c r="U209" i="1"/>
  <c r="S209" i="1"/>
  <c r="R209" i="1"/>
  <c r="M209" i="1"/>
  <c r="HN208" i="1"/>
  <c r="HK208" i="1"/>
  <c r="HJ208" i="1"/>
  <c r="HA208" i="1"/>
  <c r="GW208" i="1"/>
  <c r="GR208" i="1"/>
  <c r="GL208" i="1"/>
  <c r="GM208" i="1" s="1"/>
  <c r="GX208" i="1" s="1"/>
  <c r="GG208" i="1"/>
  <c r="GB208" i="1"/>
  <c r="GA208" i="1"/>
  <c r="FV208" i="1"/>
  <c r="FQ208" i="1"/>
  <c r="FG208" i="1"/>
  <c r="DU208" i="1"/>
  <c r="DT208" i="1"/>
  <c r="DS208" i="1"/>
  <c r="DR208" i="1"/>
  <c r="DQ208" i="1"/>
  <c r="DL208" i="1"/>
  <c r="DG208" i="1"/>
  <c r="DB208" i="1"/>
  <c r="DV208" i="1" s="1"/>
  <c r="CW208" i="1"/>
  <c r="CR208" i="1"/>
  <c r="CM208" i="1"/>
  <c r="CS208" i="1" s="1"/>
  <c r="CH208" i="1"/>
  <c r="BZ208" i="1"/>
  <c r="BY208" i="1"/>
  <c r="BW208" i="1"/>
  <c r="BX208" i="1" s="1"/>
  <c r="BR208" i="1"/>
  <c r="BQ208" i="1"/>
  <c r="BL208" i="1"/>
  <c r="BK208" i="1"/>
  <c r="BE208" i="1"/>
  <c r="CA208" i="1" s="1"/>
  <c r="AY208" i="1"/>
  <c r="AV208" i="1"/>
  <c r="AU208" i="1"/>
  <c r="AM208" i="1"/>
  <c r="AK208" i="1"/>
  <c r="AI208" i="1"/>
  <c r="AG208" i="1"/>
  <c r="AE208" i="1"/>
  <c r="AC208" i="1"/>
  <c r="AA208" i="1"/>
  <c r="Y208" i="1"/>
  <c r="W208" i="1"/>
  <c r="U208" i="1"/>
  <c r="R208" i="1"/>
  <c r="S208" i="1" s="1"/>
  <c r="AW208" i="1" s="1"/>
  <c r="M208" i="1"/>
  <c r="HN207" i="1"/>
  <c r="HK207" i="1"/>
  <c r="HJ207" i="1"/>
  <c r="HA207" i="1"/>
  <c r="GW207" i="1"/>
  <c r="GR207" i="1"/>
  <c r="GL207" i="1"/>
  <c r="GG207" i="1"/>
  <c r="GM207" i="1" s="1"/>
  <c r="GA207" i="1"/>
  <c r="GB207" i="1" s="1"/>
  <c r="FV207" i="1"/>
  <c r="FQ207" i="1"/>
  <c r="FG207" i="1"/>
  <c r="DU207" i="1"/>
  <c r="DT207" i="1"/>
  <c r="DS207" i="1"/>
  <c r="DR207" i="1"/>
  <c r="DQ207" i="1"/>
  <c r="DL207" i="1"/>
  <c r="DG207" i="1"/>
  <c r="DB207" i="1"/>
  <c r="DV207" i="1" s="1"/>
  <c r="CW207" i="1"/>
  <c r="D483" i="3" s="1"/>
  <c r="CR207" i="1"/>
  <c r="CM207" i="1"/>
  <c r="CS207" i="1" s="1"/>
  <c r="CH207" i="1"/>
  <c r="BZ207" i="1"/>
  <c r="BY207" i="1"/>
  <c r="BW207" i="1"/>
  <c r="BX207" i="1" s="1"/>
  <c r="BR207" i="1"/>
  <c r="BQ207" i="1"/>
  <c r="BL207" i="1"/>
  <c r="BK207" i="1"/>
  <c r="BE207" i="1"/>
  <c r="AY207" i="1"/>
  <c r="AV207" i="1"/>
  <c r="AU207" i="1"/>
  <c r="AM207" i="1"/>
  <c r="AK207" i="1"/>
  <c r="AI207" i="1"/>
  <c r="AG207" i="1"/>
  <c r="AE207" i="1"/>
  <c r="AC207" i="1"/>
  <c r="AA207" i="1"/>
  <c r="Y207" i="1"/>
  <c r="W207" i="1"/>
  <c r="U207" i="1"/>
  <c r="R207" i="1"/>
  <c r="M207" i="1"/>
  <c r="HN206" i="1"/>
  <c r="HK206" i="1"/>
  <c r="HJ206" i="1"/>
  <c r="HA206" i="1"/>
  <c r="GW206" i="1"/>
  <c r="GR206" i="1"/>
  <c r="GL206" i="1"/>
  <c r="GG206" i="1"/>
  <c r="GM206" i="1" s="1"/>
  <c r="GA206" i="1"/>
  <c r="FV206" i="1"/>
  <c r="FQ206" i="1"/>
  <c r="FG206" i="1"/>
  <c r="DU206" i="1"/>
  <c r="DT206" i="1"/>
  <c r="DS206" i="1"/>
  <c r="DR206" i="1"/>
  <c r="DQ206" i="1"/>
  <c r="DL206" i="1"/>
  <c r="DG206" i="1"/>
  <c r="DB206" i="1"/>
  <c r="DV206" i="1" s="1"/>
  <c r="CW206" i="1"/>
  <c r="CR206" i="1"/>
  <c r="CM206" i="1"/>
  <c r="CS206" i="1" s="1"/>
  <c r="CH206" i="1"/>
  <c r="CA206" i="1"/>
  <c r="BZ206" i="1"/>
  <c r="BY206" i="1"/>
  <c r="BX206" i="1"/>
  <c r="BW206" i="1"/>
  <c r="BR206" i="1"/>
  <c r="BQ206" i="1"/>
  <c r="BK206" i="1"/>
  <c r="BL206" i="1" s="1"/>
  <c r="BE206" i="1"/>
  <c r="BF206" i="1" s="1"/>
  <c r="AY206" i="1"/>
  <c r="AV206" i="1"/>
  <c r="AU206" i="1"/>
  <c r="AM206" i="1"/>
  <c r="AK206" i="1"/>
  <c r="AI206" i="1"/>
  <c r="AG206" i="1"/>
  <c r="AE206" i="1"/>
  <c r="AC206" i="1"/>
  <c r="AA206" i="1"/>
  <c r="Y206" i="1"/>
  <c r="W206" i="1"/>
  <c r="U206" i="1"/>
  <c r="R206" i="1"/>
  <c r="M206" i="1"/>
  <c r="S206" i="1" s="1"/>
  <c r="AW206" i="1" s="1"/>
  <c r="HN205" i="1"/>
  <c r="HK205" i="1"/>
  <c r="HJ205" i="1"/>
  <c r="HA205" i="1"/>
  <c r="GW205" i="1"/>
  <c r="GR205" i="1"/>
  <c r="GL205" i="1"/>
  <c r="GG205" i="1"/>
  <c r="GM205" i="1" s="1"/>
  <c r="GA205" i="1"/>
  <c r="FV205" i="1"/>
  <c r="GB205" i="1" s="1"/>
  <c r="FQ205" i="1"/>
  <c r="FG205" i="1"/>
  <c r="DU205" i="1"/>
  <c r="DT205" i="1"/>
  <c r="DS205" i="1"/>
  <c r="DR205" i="1"/>
  <c r="DQ205" i="1"/>
  <c r="DL205" i="1"/>
  <c r="DG205" i="1"/>
  <c r="DB205" i="1"/>
  <c r="CW205" i="1"/>
  <c r="CS205" i="1"/>
  <c r="G219" i="2" s="1"/>
  <c r="CR205" i="1"/>
  <c r="CM205" i="1"/>
  <c r="CH205" i="1"/>
  <c r="BZ205" i="1"/>
  <c r="BY205" i="1"/>
  <c r="BX205" i="1"/>
  <c r="BW205" i="1"/>
  <c r="BR205" i="1"/>
  <c r="BQ205" i="1"/>
  <c r="BK205" i="1"/>
  <c r="BL205" i="1" s="1"/>
  <c r="BE205" i="1"/>
  <c r="BF205" i="1" s="1"/>
  <c r="AY205" i="1"/>
  <c r="AV205" i="1"/>
  <c r="AU205" i="1"/>
  <c r="AM205" i="1"/>
  <c r="AK205" i="1"/>
  <c r="AI205" i="1"/>
  <c r="AG205" i="1"/>
  <c r="AE205" i="1"/>
  <c r="AC205" i="1"/>
  <c r="AA205" i="1"/>
  <c r="Y205" i="1"/>
  <c r="W205" i="1"/>
  <c r="U205" i="1"/>
  <c r="R205" i="1"/>
  <c r="M205" i="1"/>
  <c r="S205" i="1" s="1"/>
  <c r="HN203" i="1"/>
  <c r="HK203" i="1"/>
  <c r="HJ203" i="1"/>
  <c r="HA203" i="1"/>
  <c r="GW203" i="1"/>
  <c r="GR203" i="1"/>
  <c r="GL203" i="1"/>
  <c r="GG203" i="1"/>
  <c r="GM203" i="1" s="1"/>
  <c r="GX203" i="1" s="1"/>
  <c r="GA203" i="1"/>
  <c r="FV203" i="1"/>
  <c r="GB203" i="1" s="1"/>
  <c r="FQ203" i="1"/>
  <c r="FG203" i="1"/>
  <c r="DU203" i="1"/>
  <c r="DT203" i="1"/>
  <c r="DS203" i="1"/>
  <c r="DR203" i="1"/>
  <c r="DQ203" i="1"/>
  <c r="DL203" i="1"/>
  <c r="DG203" i="1"/>
  <c r="DB203" i="1"/>
  <c r="CW203" i="1"/>
  <c r="CS203" i="1"/>
  <c r="CR203" i="1"/>
  <c r="CM203" i="1"/>
  <c r="CH203" i="1"/>
  <c r="BZ203" i="1"/>
  <c r="BY203" i="1"/>
  <c r="BX203" i="1"/>
  <c r="BW203" i="1"/>
  <c r="BQ203" i="1"/>
  <c r="BR203" i="1" s="1"/>
  <c r="BK203" i="1"/>
  <c r="BL203" i="1" s="1"/>
  <c r="BF203" i="1"/>
  <c r="CB203" i="1" s="1"/>
  <c r="BE203" i="1"/>
  <c r="AY203" i="1"/>
  <c r="AU203" i="1"/>
  <c r="AV203" i="1" s="1"/>
  <c r="AM203" i="1"/>
  <c r="AK203" i="1"/>
  <c r="AI203" i="1"/>
  <c r="AG203" i="1"/>
  <c r="AE203" i="1"/>
  <c r="AC203" i="1"/>
  <c r="AA203" i="1"/>
  <c r="Y203" i="1"/>
  <c r="W203" i="1"/>
  <c r="U203" i="1"/>
  <c r="R203" i="1"/>
  <c r="M203" i="1"/>
  <c r="S203" i="1" s="1"/>
  <c r="HN202" i="1"/>
  <c r="HK202" i="1"/>
  <c r="HJ202" i="1"/>
  <c r="HA202" i="1"/>
  <c r="GW202" i="1"/>
  <c r="GR202" i="1"/>
  <c r="GM202" i="1"/>
  <c r="GX202" i="1" s="1"/>
  <c r="GL202" i="1"/>
  <c r="GG202" i="1"/>
  <c r="GA202" i="1"/>
  <c r="FV202" i="1"/>
  <c r="GB202" i="1" s="1"/>
  <c r="FQ202" i="1"/>
  <c r="FG202" i="1"/>
  <c r="DU202" i="1"/>
  <c r="DT202" i="1"/>
  <c r="DS202" i="1"/>
  <c r="DR202" i="1"/>
  <c r="DQ202" i="1"/>
  <c r="DL202" i="1"/>
  <c r="DG202" i="1"/>
  <c r="DB202" i="1"/>
  <c r="DV202" i="1" s="1"/>
  <c r="CW202" i="1"/>
  <c r="CS202" i="1"/>
  <c r="CR202" i="1"/>
  <c r="CM202" i="1"/>
  <c r="CH202" i="1"/>
  <c r="BZ202" i="1"/>
  <c r="BY202" i="1"/>
  <c r="BX202" i="1"/>
  <c r="BW202" i="1"/>
  <c r="BQ202" i="1"/>
  <c r="BR202" i="1" s="1"/>
  <c r="BK202" i="1"/>
  <c r="BL202" i="1" s="1"/>
  <c r="BF202" i="1"/>
  <c r="CB202" i="1" s="1"/>
  <c r="BE202" i="1"/>
  <c r="AY202" i="1"/>
  <c r="AU202" i="1"/>
  <c r="AV202" i="1" s="1"/>
  <c r="AM202" i="1"/>
  <c r="AK202" i="1"/>
  <c r="AI202" i="1"/>
  <c r="AG202" i="1"/>
  <c r="AE202" i="1"/>
  <c r="AC202" i="1"/>
  <c r="AA202" i="1"/>
  <c r="Y202" i="1"/>
  <c r="W202" i="1"/>
  <c r="U202" i="1"/>
  <c r="S202" i="1"/>
  <c r="R202" i="1"/>
  <c r="M202" i="1"/>
  <c r="HN201" i="1"/>
  <c r="HK201" i="1"/>
  <c r="HJ201" i="1"/>
  <c r="HA201" i="1"/>
  <c r="GW201" i="1"/>
  <c r="GR201" i="1"/>
  <c r="GM201" i="1"/>
  <c r="GL201" i="1"/>
  <c r="GG201" i="1"/>
  <c r="GB201" i="1"/>
  <c r="GA201" i="1"/>
  <c r="FV201" i="1"/>
  <c r="FQ201" i="1"/>
  <c r="FG201" i="1"/>
  <c r="DU201" i="1"/>
  <c r="DT201" i="1"/>
  <c r="DS201" i="1"/>
  <c r="DR201" i="1"/>
  <c r="DQ201" i="1"/>
  <c r="DL201" i="1"/>
  <c r="DG201" i="1"/>
  <c r="DB201" i="1"/>
  <c r="DV201" i="1" s="1"/>
  <c r="CW201" i="1"/>
  <c r="CR201" i="1"/>
  <c r="CS201" i="1" s="1"/>
  <c r="F219" i="2" s="1"/>
  <c r="CM201" i="1"/>
  <c r="CH201" i="1"/>
  <c r="BZ201" i="1"/>
  <c r="BY201" i="1"/>
  <c r="BW201" i="1"/>
  <c r="BX201" i="1" s="1"/>
  <c r="BQ201" i="1"/>
  <c r="BR201" i="1" s="1"/>
  <c r="BL201" i="1"/>
  <c r="BK201" i="1"/>
  <c r="BF201" i="1"/>
  <c r="BE201" i="1"/>
  <c r="AY201" i="1"/>
  <c r="AW201" i="1"/>
  <c r="AU201" i="1"/>
  <c r="AM201" i="1"/>
  <c r="AK201" i="1"/>
  <c r="AI201" i="1"/>
  <c r="AG201" i="1"/>
  <c r="AE201" i="1"/>
  <c r="AC201" i="1"/>
  <c r="AA201" i="1"/>
  <c r="Y201" i="1"/>
  <c r="W201" i="1"/>
  <c r="U201" i="1"/>
  <c r="S201" i="1"/>
  <c r="R201" i="1"/>
  <c r="M201" i="1"/>
  <c r="HN200" i="1"/>
  <c r="HK200" i="1"/>
  <c r="HJ200" i="1"/>
  <c r="HA200" i="1"/>
  <c r="GW200" i="1"/>
  <c r="GR200" i="1"/>
  <c r="GM200" i="1"/>
  <c r="GL200" i="1"/>
  <c r="GG200" i="1"/>
  <c r="GB200" i="1"/>
  <c r="GA200" i="1"/>
  <c r="FV200" i="1"/>
  <c r="FQ200" i="1"/>
  <c r="FG200" i="1"/>
  <c r="DU200" i="1"/>
  <c r="DT200" i="1"/>
  <c r="DS200" i="1"/>
  <c r="DR200" i="1"/>
  <c r="DQ200" i="1"/>
  <c r="DL200" i="1"/>
  <c r="DG200" i="1"/>
  <c r="DB200" i="1"/>
  <c r="DV200" i="1" s="1"/>
  <c r="CW200" i="1"/>
  <c r="CR200" i="1"/>
  <c r="CM200" i="1"/>
  <c r="CS200" i="1" s="1"/>
  <c r="CH200" i="1"/>
  <c r="CB200" i="1"/>
  <c r="BZ200" i="1"/>
  <c r="BY200" i="1"/>
  <c r="BW200" i="1"/>
  <c r="BX200" i="1" s="1"/>
  <c r="BQ200" i="1"/>
  <c r="BR200" i="1" s="1"/>
  <c r="BL200" i="1"/>
  <c r="BK200" i="1"/>
  <c r="BF200" i="1"/>
  <c r="BE200" i="1"/>
  <c r="CA200" i="1" s="1"/>
  <c r="AY200" i="1"/>
  <c r="AW200" i="1"/>
  <c r="AU200" i="1"/>
  <c r="AV200" i="1" s="1"/>
  <c r="AM200" i="1"/>
  <c r="AK200" i="1"/>
  <c r="AI200" i="1"/>
  <c r="AG200" i="1"/>
  <c r="AE200" i="1"/>
  <c r="AC200" i="1"/>
  <c r="AA200" i="1"/>
  <c r="Y200" i="1"/>
  <c r="W200" i="1"/>
  <c r="U200" i="1"/>
  <c r="S200" i="1"/>
  <c r="R200" i="1"/>
  <c r="M200" i="1"/>
  <c r="HN199" i="1"/>
  <c r="HK199" i="1"/>
  <c r="HJ199" i="1"/>
  <c r="HA199" i="1"/>
  <c r="GW199" i="1"/>
  <c r="GR199" i="1"/>
  <c r="GL199" i="1"/>
  <c r="GM199" i="1" s="1"/>
  <c r="GX199" i="1" s="1"/>
  <c r="HD199" i="1" s="1"/>
  <c r="GG199" i="1"/>
  <c r="GB199" i="1"/>
  <c r="GA199" i="1"/>
  <c r="FV199" i="1"/>
  <c r="FQ199" i="1"/>
  <c r="FG199" i="1"/>
  <c r="DU199" i="1"/>
  <c r="DT199" i="1"/>
  <c r="DS199" i="1"/>
  <c r="DR199" i="1"/>
  <c r="DQ199" i="1"/>
  <c r="DL199" i="1"/>
  <c r="DG199" i="1"/>
  <c r="DB199" i="1"/>
  <c r="DV199" i="1" s="1"/>
  <c r="CW199" i="1"/>
  <c r="CR199" i="1"/>
  <c r="CM199" i="1"/>
  <c r="CS199" i="1" s="1"/>
  <c r="CH199" i="1"/>
  <c r="BZ199" i="1"/>
  <c r="BY199" i="1"/>
  <c r="BW199" i="1"/>
  <c r="BX199" i="1" s="1"/>
  <c r="BR199" i="1"/>
  <c r="BQ199" i="1"/>
  <c r="BL199" i="1"/>
  <c r="BK199" i="1"/>
  <c r="BE199" i="1"/>
  <c r="AY199" i="1"/>
  <c r="AV199" i="1"/>
  <c r="AU199" i="1"/>
  <c r="AM199" i="1"/>
  <c r="AK199" i="1"/>
  <c r="AI199" i="1"/>
  <c r="AG199" i="1"/>
  <c r="AE199" i="1"/>
  <c r="AC199" i="1"/>
  <c r="AA199" i="1"/>
  <c r="Y199" i="1"/>
  <c r="W199" i="1"/>
  <c r="U199" i="1"/>
  <c r="R199" i="1"/>
  <c r="S199" i="1" s="1"/>
  <c r="AW199" i="1" s="1"/>
  <c r="M199" i="1"/>
  <c r="HN198" i="1"/>
  <c r="HK198" i="1"/>
  <c r="HJ198" i="1"/>
  <c r="HA198" i="1"/>
  <c r="GW198" i="1"/>
  <c r="GR198" i="1"/>
  <c r="GL198" i="1"/>
  <c r="GG198" i="1"/>
  <c r="GM198" i="1" s="1"/>
  <c r="GA198" i="1"/>
  <c r="GB198" i="1" s="1"/>
  <c r="FV198" i="1"/>
  <c r="FQ198" i="1"/>
  <c r="FG198" i="1"/>
  <c r="DU198" i="1"/>
  <c r="DT198" i="1"/>
  <c r="DS198" i="1"/>
  <c r="DR198" i="1"/>
  <c r="DQ198" i="1"/>
  <c r="DL198" i="1"/>
  <c r="DG198" i="1"/>
  <c r="DB198" i="1"/>
  <c r="DV198" i="1" s="1"/>
  <c r="CW198" i="1"/>
  <c r="CR198" i="1"/>
  <c r="CM198" i="1"/>
  <c r="CS198" i="1" s="1"/>
  <c r="CH198" i="1"/>
  <c r="BZ198" i="1"/>
  <c r="BY198" i="1"/>
  <c r="BW198" i="1"/>
  <c r="BX198" i="1" s="1"/>
  <c r="BR198" i="1"/>
  <c r="BQ198" i="1"/>
  <c r="BL198" i="1"/>
  <c r="BK198" i="1"/>
  <c r="BE198" i="1"/>
  <c r="AY198" i="1"/>
  <c r="AV198" i="1"/>
  <c r="AU198" i="1"/>
  <c r="AM198" i="1"/>
  <c r="AK198" i="1"/>
  <c r="AI198" i="1"/>
  <c r="AG198" i="1"/>
  <c r="AE198" i="1"/>
  <c r="AC198" i="1"/>
  <c r="AA198" i="1"/>
  <c r="Y198" i="1"/>
  <c r="W198" i="1"/>
  <c r="U198" i="1"/>
  <c r="R198" i="1"/>
  <c r="M198" i="1"/>
  <c r="S198" i="1" s="1"/>
  <c r="HN197" i="1"/>
  <c r="HK197" i="1"/>
  <c r="HJ197" i="1"/>
  <c r="HA197" i="1"/>
  <c r="GW197" i="1"/>
  <c r="GR197" i="1"/>
  <c r="GL197" i="1"/>
  <c r="GG197" i="1"/>
  <c r="GM197" i="1" s="1"/>
  <c r="GA197" i="1"/>
  <c r="FV197" i="1"/>
  <c r="FQ197" i="1"/>
  <c r="FG197" i="1"/>
  <c r="DU197" i="1"/>
  <c r="DT197" i="1"/>
  <c r="DS197" i="1"/>
  <c r="DR197" i="1"/>
  <c r="DQ197" i="1"/>
  <c r="DL197" i="1"/>
  <c r="DG197" i="1"/>
  <c r="DB197" i="1"/>
  <c r="DV197" i="1" s="1"/>
  <c r="CW197" i="1"/>
  <c r="CR197" i="1"/>
  <c r="CM197" i="1"/>
  <c r="CS197" i="1" s="1"/>
  <c r="CH197" i="1"/>
  <c r="CA197" i="1"/>
  <c r="BZ197" i="1"/>
  <c r="BY197" i="1"/>
  <c r="BX197" i="1"/>
  <c r="BW197" i="1"/>
  <c r="BR197" i="1"/>
  <c r="BQ197" i="1"/>
  <c r="BK197" i="1"/>
  <c r="BL197" i="1" s="1"/>
  <c r="BE197" i="1"/>
  <c r="BF197" i="1" s="1"/>
  <c r="AY197" i="1"/>
  <c r="AV197" i="1"/>
  <c r="AU197" i="1"/>
  <c r="AM197" i="1"/>
  <c r="AK197" i="1"/>
  <c r="AI197" i="1"/>
  <c r="AG197" i="1"/>
  <c r="AE197" i="1"/>
  <c r="AC197" i="1"/>
  <c r="AA197" i="1"/>
  <c r="Y197" i="1"/>
  <c r="W197" i="1"/>
  <c r="U197" i="1"/>
  <c r="R197" i="1"/>
  <c r="M197" i="1"/>
  <c r="S197" i="1" s="1"/>
  <c r="AW197" i="1" s="1"/>
  <c r="HN196" i="1"/>
  <c r="HK196" i="1"/>
  <c r="HJ196" i="1"/>
  <c r="HA196" i="1"/>
  <c r="GW196" i="1"/>
  <c r="GR196" i="1"/>
  <c r="GL196" i="1"/>
  <c r="GG196" i="1"/>
  <c r="GM196" i="1" s="1"/>
  <c r="GX196" i="1" s="1"/>
  <c r="GA196" i="1"/>
  <c r="FV196" i="1"/>
  <c r="GB196" i="1" s="1"/>
  <c r="FQ196" i="1"/>
  <c r="FG196" i="1"/>
  <c r="DU196" i="1"/>
  <c r="DT196" i="1"/>
  <c r="DS196" i="1"/>
  <c r="DR196" i="1"/>
  <c r="DQ196" i="1"/>
  <c r="DL196" i="1"/>
  <c r="DG196" i="1"/>
  <c r="DB196" i="1"/>
  <c r="DV196" i="1" s="1"/>
  <c r="CW196" i="1"/>
  <c r="CS196" i="1"/>
  <c r="CR196" i="1"/>
  <c r="CM196" i="1"/>
  <c r="CH196" i="1"/>
  <c r="BZ196" i="1"/>
  <c r="BY196" i="1"/>
  <c r="BX196" i="1"/>
  <c r="BW196" i="1"/>
  <c r="BR196" i="1"/>
  <c r="BQ196" i="1"/>
  <c r="BK196" i="1"/>
  <c r="BL196" i="1" s="1"/>
  <c r="BE196" i="1"/>
  <c r="BF196" i="1" s="1"/>
  <c r="AY196" i="1"/>
  <c r="AV196" i="1"/>
  <c r="AU196" i="1"/>
  <c r="AM196" i="1"/>
  <c r="AK196" i="1"/>
  <c r="AI196" i="1"/>
  <c r="AG196" i="1"/>
  <c r="AE196" i="1"/>
  <c r="AC196" i="1"/>
  <c r="AA196" i="1"/>
  <c r="Y196" i="1"/>
  <c r="W196" i="1"/>
  <c r="U196" i="1"/>
  <c r="R196" i="1"/>
  <c r="M196" i="1"/>
  <c r="S196" i="1" s="1"/>
  <c r="AW196" i="1" s="1"/>
  <c r="HN195" i="1"/>
  <c r="HK195" i="1"/>
  <c r="HJ195" i="1"/>
  <c r="HA195" i="1"/>
  <c r="GW195" i="1"/>
  <c r="GR195" i="1"/>
  <c r="GL195" i="1"/>
  <c r="GG195" i="1"/>
  <c r="GM195" i="1" s="1"/>
  <c r="GX195" i="1" s="1"/>
  <c r="HC195" i="1" s="1"/>
  <c r="GA195" i="1"/>
  <c r="FV195" i="1"/>
  <c r="GB195" i="1" s="1"/>
  <c r="FQ195" i="1"/>
  <c r="FG195" i="1"/>
  <c r="D459" i="3" s="1"/>
  <c r="DU195" i="1"/>
  <c r="DT195" i="1"/>
  <c r="DS195" i="1"/>
  <c r="DR195" i="1"/>
  <c r="DQ195" i="1"/>
  <c r="DL195" i="1"/>
  <c r="DG195" i="1"/>
  <c r="DB195" i="1"/>
  <c r="DV195" i="1" s="1"/>
  <c r="CW195" i="1"/>
  <c r="CS195" i="1"/>
  <c r="CR195" i="1"/>
  <c r="CM195" i="1"/>
  <c r="CH195" i="1"/>
  <c r="CA195" i="1"/>
  <c r="BZ195" i="1"/>
  <c r="BY195" i="1"/>
  <c r="BX195" i="1"/>
  <c r="BW195" i="1"/>
  <c r="BQ195" i="1"/>
  <c r="BR195" i="1" s="1"/>
  <c r="BK195" i="1"/>
  <c r="BL195" i="1" s="1"/>
  <c r="BF195" i="1"/>
  <c r="BE195" i="1"/>
  <c r="AY195" i="1"/>
  <c r="AU195" i="1"/>
  <c r="AM195" i="1"/>
  <c r="AK195" i="1"/>
  <c r="AI195" i="1"/>
  <c r="AG195" i="1"/>
  <c r="AE195" i="1"/>
  <c r="AC195" i="1"/>
  <c r="AA195" i="1"/>
  <c r="Y195" i="1"/>
  <c r="W195" i="1"/>
  <c r="U195" i="1"/>
  <c r="R195" i="1"/>
  <c r="M195" i="1"/>
  <c r="S195" i="1" s="1"/>
  <c r="HN194" i="1"/>
  <c r="HK194" i="1"/>
  <c r="HJ194" i="1"/>
  <c r="HA194" i="1"/>
  <c r="GW194" i="1"/>
  <c r="GR194" i="1"/>
  <c r="GM194" i="1"/>
  <c r="GX194" i="1" s="1"/>
  <c r="GL194" i="1"/>
  <c r="GG194" i="1"/>
  <c r="GA194" i="1"/>
  <c r="FV194" i="1"/>
  <c r="GB194" i="1" s="1"/>
  <c r="FQ194" i="1"/>
  <c r="FG194" i="1"/>
  <c r="DU194" i="1"/>
  <c r="DT194" i="1"/>
  <c r="DS194" i="1"/>
  <c r="DR194" i="1"/>
  <c r="DQ194" i="1"/>
  <c r="DL194" i="1"/>
  <c r="DG194" i="1"/>
  <c r="DB194" i="1"/>
  <c r="DV194" i="1" s="1"/>
  <c r="CW194" i="1"/>
  <c r="CS194" i="1"/>
  <c r="CR194" i="1"/>
  <c r="CM194" i="1"/>
  <c r="CH194" i="1"/>
  <c r="BZ194" i="1"/>
  <c r="BY194" i="1"/>
  <c r="BX194" i="1"/>
  <c r="BW194" i="1"/>
  <c r="BQ194" i="1"/>
  <c r="BR194" i="1" s="1"/>
  <c r="BK194" i="1"/>
  <c r="BL194" i="1" s="1"/>
  <c r="BF194" i="1"/>
  <c r="BE194" i="1"/>
  <c r="AY194" i="1"/>
  <c r="AU194" i="1"/>
  <c r="AV194" i="1" s="1"/>
  <c r="AM194" i="1"/>
  <c r="AK194" i="1"/>
  <c r="AI194" i="1"/>
  <c r="AG194" i="1"/>
  <c r="AE194" i="1"/>
  <c r="AC194" i="1"/>
  <c r="AA194" i="1"/>
  <c r="Y194" i="1"/>
  <c r="W194" i="1"/>
  <c r="U194" i="1"/>
  <c r="S194" i="1"/>
  <c r="AW194" i="1" s="1"/>
  <c r="R194" i="1"/>
  <c r="M194" i="1"/>
  <c r="HN193" i="1"/>
  <c r="HK193" i="1"/>
  <c r="HJ193" i="1"/>
  <c r="HA193" i="1"/>
  <c r="GX193" i="1"/>
  <c r="GW193" i="1"/>
  <c r="GR193" i="1"/>
  <c r="GM193" i="1"/>
  <c r="G204" i="2" s="1"/>
  <c r="GL193" i="1"/>
  <c r="GG193" i="1"/>
  <c r="GA193" i="1"/>
  <c r="FV193" i="1"/>
  <c r="GB193" i="1" s="1"/>
  <c r="G203" i="2" s="1"/>
  <c r="FQ193" i="1"/>
  <c r="FG193" i="1"/>
  <c r="DU193" i="1"/>
  <c r="DT193" i="1"/>
  <c r="DS193" i="1"/>
  <c r="DR193" i="1"/>
  <c r="DQ193" i="1"/>
  <c r="DL193" i="1"/>
  <c r="DG193" i="1"/>
  <c r="DB193" i="1"/>
  <c r="DV193" i="1" s="1"/>
  <c r="G208" i="2" s="1"/>
  <c r="CW193" i="1"/>
  <c r="CR193" i="1"/>
  <c r="CS193" i="1" s="1"/>
  <c r="CM193" i="1"/>
  <c r="CH193" i="1"/>
  <c r="BZ193" i="1"/>
  <c r="BY193" i="1"/>
  <c r="BW193" i="1"/>
  <c r="BX193" i="1" s="1"/>
  <c r="BQ193" i="1"/>
  <c r="BR193" i="1" s="1"/>
  <c r="BL193" i="1"/>
  <c r="BK193" i="1"/>
  <c r="BF193" i="1"/>
  <c r="BE193" i="1"/>
  <c r="AY193" i="1"/>
  <c r="AU193" i="1"/>
  <c r="AM193" i="1"/>
  <c r="AK193" i="1"/>
  <c r="AI193" i="1"/>
  <c r="AG193" i="1"/>
  <c r="AE193" i="1"/>
  <c r="AC193" i="1"/>
  <c r="AA193" i="1"/>
  <c r="Y193" i="1"/>
  <c r="W193" i="1"/>
  <c r="U193" i="1"/>
  <c r="S193" i="1"/>
  <c r="R193" i="1"/>
  <c r="M193" i="1"/>
  <c r="HN191" i="1"/>
  <c r="HK191" i="1"/>
  <c r="HJ191" i="1"/>
  <c r="HB191" i="1"/>
  <c r="HA191" i="1"/>
  <c r="GW191" i="1"/>
  <c r="GR191" i="1"/>
  <c r="GM191" i="1"/>
  <c r="GX191" i="1" s="1"/>
  <c r="GL191" i="1"/>
  <c r="GG191" i="1"/>
  <c r="GB191" i="1"/>
  <c r="GA191" i="1"/>
  <c r="FV191" i="1"/>
  <c r="FQ191" i="1"/>
  <c r="FG191" i="1"/>
  <c r="DU191" i="1"/>
  <c r="DT191" i="1"/>
  <c r="DS191" i="1"/>
  <c r="DR191" i="1"/>
  <c r="DQ191" i="1"/>
  <c r="DL191" i="1"/>
  <c r="DG191" i="1"/>
  <c r="DB191" i="1"/>
  <c r="DV191" i="1" s="1"/>
  <c r="CW191" i="1"/>
  <c r="CR191" i="1"/>
  <c r="CM191" i="1"/>
  <c r="CS191" i="1" s="1"/>
  <c r="CH191" i="1"/>
  <c r="BZ191" i="1"/>
  <c r="BY191" i="1"/>
  <c r="BW191" i="1"/>
  <c r="BX191" i="1" s="1"/>
  <c r="BQ191" i="1"/>
  <c r="BR191" i="1" s="1"/>
  <c r="BL191" i="1"/>
  <c r="BK191" i="1"/>
  <c r="BF191" i="1"/>
  <c r="BE191" i="1"/>
  <c r="AY191" i="1"/>
  <c r="AU191" i="1"/>
  <c r="AV191" i="1" s="1"/>
  <c r="AM191" i="1"/>
  <c r="AK191" i="1"/>
  <c r="AI191" i="1"/>
  <c r="AG191" i="1"/>
  <c r="AE191" i="1"/>
  <c r="AC191" i="1"/>
  <c r="AA191" i="1"/>
  <c r="Y191" i="1"/>
  <c r="W191" i="1"/>
  <c r="U191" i="1"/>
  <c r="S191" i="1"/>
  <c r="AW191" i="1" s="1"/>
  <c r="R191" i="1"/>
  <c r="M191" i="1"/>
  <c r="HN190" i="1"/>
  <c r="HK190" i="1"/>
  <c r="HJ190" i="1"/>
  <c r="HA190" i="1"/>
  <c r="GW190" i="1"/>
  <c r="GR190" i="1"/>
  <c r="GL190" i="1"/>
  <c r="GM190" i="1" s="1"/>
  <c r="GG190" i="1"/>
  <c r="GB190" i="1"/>
  <c r="GA190" i="1"/>
  <c r="FV190" i="1"/>
  <c r="FQ190" i="1"/>
  <c r="FG190" i="1"/>
  <c r="DU190" i="1"/>
  <c r="DT190" i="1"/>
  <c r="DS190" i="1"/>
  <c r="DR190" i="1"/>
  <c r="DQ190" i="1"/>
  <c r="DL190" i="1"/>
  <c r="DG190" i="1"/>
  <c r="DB190" i="1"/>
  <c r="DV190" i="1" s="1"/>
  <c r="CW190" i="1"/>
  <c r="CR190" i="1"/>
  <c r="CM190" i="1"/>
  <c r="CS190" i="1" s="1"/>
  <c r="CH190" i="1"/>
  <c r="BZ190" i="1"/>
  <c r="BY190" i="1"/>
  <c r="BW190" i="1"/>
  <c r="BX190" i="1" s="1"/>
  <c r="BR190" i="1"/>
  <c r="BQ190" i="1"/>
  <c r="BL190" i="1"/>
  <c r="BK190" i="1"/>
  <c r="BE190" i="1"/>
  <c r="AY190" i="1"/>
  <c r="AW190" i="1"/>
  <c r="AV190" i="1"/>
  <c r="AU190" i="1"/>
  <c r="AM190" i="1"/>
  <c r="AK190" i="1"/>
  <c r="AI190" i="1"/>
  <c r="AG190" i="1"/>
  <c r="AE190" i="1"/>
  <c r="AC190" i="1"/>
  <c r="AA190" i="1"/>
  <c r="Y190" i="1"/>
  <c r="W190" i="1"/>
  <c r="U190" i="1"/>
  <c r="R190" i="1"/>
  <c r="S190" i="1" s="1"/>
  <c r="M190" i="1"/>
  <c r="HN189" i="1"/>
  <c r="HK189" i="1"/>
  <c r="HJ189" i="1"/>
  <c r="HA189" i="1"/>
  <c r="GW189" i="1"/>
  <c r="GR189" i="1"/>
  <c r="GL189" i="1"/>
  <c r="GG189" i="1"/>
  <c r="GA189" i="1"/>
  <c r="GB189" i="1" s="1"/>
  <c r="F203" i="2" s="1"/>
  <c r="FV189" i="1"/>
  <c r="FQ189" i="1"/>
  <c r="FG189" i="1"/>
  <c r="DU189" i="1"/>
  <c r="DT189" i="1"/>
  <c r="DS189" i="1"/>
  <c r="DR189" i="1"/>
  <c r="DQ189" i="1"/>
  <c r="DL189" i="1"/>
  <c r="DG189" i="1"/>
  <c r="DB189" i="1"/>
  <c r="CW189" i="1"/>
  <c r="CR189" i="1"/>
  <c r="CM189" i="1"/>
  <c r="CS189" i="1" s="1"/>
  <c r="F206" i="2" s="1"/>
  <c r="CH189" i="1"/>
  <c r="BZ189" i="1"/>
  <c r="BY189" i="1"/>
  <c r="BW189" i="1"/>
  <c r="BX189" i="1" s="1"/>
  <c r="BR189" i="1"/>
  <c r="BQ189" i="1"/>
  <c r="BL189" i="1"/>
  <c r="BK189" i="1"/>
  <c r="BE189" i="1"/>
  <c r="AY189" i="1"/>
  <c r="AV189" i="1"/>
  <c r="AU189" i="1"/>
  <c r="AM189" i="1"/>
  <c r="AK189" i="1"/>
  <c r="AI189" i="1"/>
  <c r="AG189" i="1"/>
  <c r="AE189" i="1"/>
  <c r="AC189" i="1"/>
  <c r="AA189" i="1"/>
  <c r="Y189" i="1"/>
  <c r="W189" i="1"/>
  <c r="U189" i="1"/>
  <c r="F201" i="2" s="1"/>
  <c r="R189" i="1"/>
  <c r="M189" i="1"/>
  <c r="HN188" i="1"/>
  <c r="HK188" i="1"/>
  <c r="HJ188" i="1"/>
  <c r="HA188" i="1"/>
  <c r="GW188" i="1"/>
  <c r="GR188" i="1"/>
  <c r="GL188" i="1"/>
  <c r="GG188" i="1"/>
  <c r="GM188" i="1" s="1"/>
  <c r="GA188" i="1"/>
  <c r="FV188" i="1"/>
  <c r="FQ188" i="1"/>
  <c r="FG188" i="1"/>
  <c r="DU188" i="1"/>
  <c r="DT188" i="1"/>
  <c r="DS188" i="1"/>
  <c r="DR188" i="1"/>
  <c r="DQ188" i="1"/>
  <c r="DL188" i="1"/>
  <c r="DG188" i="1"/>
  <c r="DB188" i="1"/>
  <c r="DV188" i="1" s="1"/>
  <c r="CW188" i="1"/>
  <c r="CR188" i="1"/>
  <c r="CM188" i="1"/>
  <c r="CS188" i="1" s="1"/>
  <c r="CH188" i="1"/>
  <c r="BZ188" i="1"/>
  <c r="BY188" i="1"/>
  <c r="BX188" i="1"/>
  <c r="BW188" i="1"/>
  <c r="BR188" i="1"/>
  <c r="BQ188" i="1"/>
  <c r="BK188" i="1"/>
  <c r="BL188" i="1" s="1"/>
  <c r="BE188" i="1"/>
  <c r="BF188" i="1" s="1"/>
  <c r="CB188" i="1" s="1"/>
  <c r="AY188" i="1"/>
  <c r="AV188" i="1"/>
  <c r="AU188" i="1"/>
  <c r="AM188" i="1"/>
  <c r="AK188" i="1"/>
  <c r="AI188" i="1"/>
  <c r="AG188" i="1"/>
  <c r="AE188" i="1"/>
  <c r="AC188" i="1"/>
  <c r="AA188" i="1"/>
  <c r="Y188" i="1"/>
  <c r="W188" i="1"/>
  <c r="U188" i="1"/>
  <c r="R188" i="1"/>
  <c r="M188" i="1"/>
  <c r="S188" i="1" s="1"/>
  <c r="AW188" i="1" s="1"/>
  <c r="HN187" i="1"/>
  <c r="HK187" i="1"/>
  <c r="HJ187" i="1"/>
  <c r="HA187" i="1"/>
  <c r="GW187" i="1"/>
  <c r="GR187" i="1"/>
  <c r="GL187" i="1"/>
  <c r="GG187" i="1"/>
  <c r="GM187" i="1" s="1"/>
  <c r="GX187" i="1" s="1"/>
  <c r="GA187" i="1"/>
  <c r="FV187" i="1"/>
  <c r="FQ187" i="1"/>
  <c r="FG187" i="1"/>
  <c r="DU187" i="1"/>
  <c r="DT187" i="1"/>
  <c r="DS187" i="1"/>
  <c r="DR187" i="1"/>
  <c r="DQ187" i="1"/>
  <c r="DL187" i="1"/>
  <c r="DG187" i="1"/>
  <c r="DB187" i="1"/>
  <c r="DV187" i="1" s="1"/>
  <c r="CW187" i="1"/>
  <c r="CR187" i="1"/>
  <c r="CM187" i="1"/>
  <c r="CS187" i="1" s="1"/>
  <c r="CH187" i="1"/>
  <c r="BZ187" i="1"/>
  <c r="BY187" i="1"/>
  <c r="BX187" i="1"/>
  <c r="BW187" i="1"/>
  <c r="BR187" i="1"/>
  <c r="BQ187" i="1"/>
  <c r="BK187" i="1"/>
  <c r="BL187" i="1" s="1"/>
  <c r="BE187" i="1"/>
  <c r="BF187" i="1" s="1"/>
  <c r="AY187" i="1"/>
  <c r="AV187" i="1"/>
  <c r="AU187" i="1"/>
  <c r="AM187" i="1"/>
  <c r="AK187" i="1"/>
  <c r="AI187" i="1"/>
  <c r="AG187" i="1"/>
  <c r="AE187" i="1"/>
  <c r="AC187" i="1"/>
  <c r="AA187" i="1"/>
  <c r="Y187" i="1"/>
  <c r="W187" i="1"/>
  <c r="U187" i="1"/>
  <c r="R187" i="1"/>
  <c r="M187" i="1"/>
  <c r="S187" i="1" s="1"/>
  <c r="AW187" i="1" s="1"/>
  <c r="HN186" i="1"/>
  <c r="HK186" i="1"/>
  <c r="HJ186" i="1"/>
  <c r="HA186" i="1"/>
  <c r="GX186" i="1"/>
  <c r="GW186" i="1"/>
  <c r="GR186" i="1"/>
  <c r="GL186" i="1"/>
  <c r="GG186" i="1"/>
  <c r="GM186" i="1" s="1"/>
  <c r="GA186" i="1"/>
  <c r="FV186" i="1"/>
  <c r="GB186" i="1" s="1"/>
  <c r="FQ186" i="1"/>
  <c r="FG186" i="1"/>
  <c r="DU186" i="1"/>
  <c r="DT186" i="1"/>
  <c r="DS186" i="1"/>
  <c r="DR186" i="1"/>
  <c r="DQ186" i="1"/>
  <c r="DL186" i="1"/>
  <c r="DG186" i="1"/>
  <c r="DB186" i="1"/>
  <c r="DV186" i="1" s="1"/>
  <c r="E208" i="2" s="1"/>
  <c r="CW186" i="1"/>
  <c r="CS186" i="1"/>
  <c r="CR186" i="1"/>
  <c r="CM186" i="1"/>
  <c r="CH186" i="1"/>
  <c r="CA186" i="1"/>
  <c r="BZ186" i="1"/>
  <c r="BY186" i="1"/>
  <c r="BX186" i="1"/>
  <c r="BW186" i="1"/>
  <c r="BQ186" i="1"/>
  <c r="BR186" i="1" s="1"/>
  <c r="BK186" i="1"/>
  <c r="BL186" i="1" s="1"/>
  <c r="BF186" i="1"/>
  <c r="BE186" i="1"/>
  <c r="AY186" i="1"/>
  <c r="AU186" i="1"/>
  <c r="AM186" i="1"/>
  <c r="AK186" i="1"/>
  <c r="AI186" i="1"/>
  <c r="AG186" i="1"/>
  <c r="AE186" i="1"/>
  <c r="AC186" i="1"/>
  <c r="AA186" i="1"/>
  <c r="Y186" i="1"/>
  <c r="W186" i="1"/>
  <c r="U186" i="1"/>
  <c r="R186" i="1"/>
  <c r="M186" i="1"/>
  <c r="S186" i="1" s="1"/>
  <c r="HN185" i="1"/>
  <c r="HK185" i="1"/>
  <c r="HJ185" i="1"/>
  <c r="HA185" i="1"/>
  <c r="GW185" i="1"/>
  <c r="GR185" i="1"/>
  <c r="GM185" i="1"/>
  <c r="GX185" i="1" s="1"/>
  <c r="HC185" i="1" s="1"/>
  <c r="GL185" i="1"/>
  <c r="GG185" i="1"/>
  <c r="GA185" i="1"/>
  <c r="FV185" i="1"/>
  <c r="GB185" i="1" s="1"/>
  <c r="FQ185" i="1"/>
  <c r="FG185" i="1"/>
  <c r="DU185" i="1"/>
  <c r="DT185" i="1"/>
  <c r="DS185" i="1"/>
  <c r="DR185" i="1"/>
  <c r="DQ185" i="1"/>
  <c r="DL185" i="1"/>
  <c r="DG185" i="1"/>
  <c r="DB185" i="1"/>
  <c r="DV185" i="1" s="1"/>
  <c r="CW185" i="1"/>
  <c r="CS185" i="1"/>
  <c r="CR185" i="1"/>
  <c r="CM185" i="1"/>
  <c r="CH185" i="1"/>
  <c r="BZ185" i="1"/>
  <c r="BY185" i="1"/>
  <c r="BX185" i="1"/>
  <c r="BW185" i="1"/>
  <c r="BQ185" i="1"/>
  <c r="BR185" i="1" s="1"/>
  <c r="BK185" i="1"/>
  <c r="BL185" i="1" s="1"/>
  <c r="BF185" i="1"/>
  <c r="CB185" i="1" s="1"/>
  <c r="BE185" i="1"/>
  <c r="AY185" i="1"/>
  <c r="AU185" i="1"/>
  <c r="AV185" i="1" s="1"/>
  <c r="AM185" i="1"/>
  <c r="AK185" i="1"/>
  <c r="AI185" i="1"/>
  <c r="AG185" i="1"/>
  <c r="AE185" i="1"/>
  <c r="AC185" i="1"/>
  <c r="AA185" i="1"/>
  <c r="Y185" i="1"/>
  <c r="W185" i="1"/>
  <c r="U185" i="1"/>
  <c r="R185" i="1"/>
  <c r="M185" i="1"/>
  <c r="S185" i="1" s="1"/>
  <c r="AW185" i="1" s="1"/>
  <c r="HN184" i="1"/>
  <c r="HK184" i="1"/>
  <c r="HJ184" i="1"/>
  <c r="HA184" i="1"/>
  <c r="GW184" i="1"/>
  <c r="GR184" i="1"/>
  <c r="GM184" i="1"/>
  <c r="GX184" i="1" s="1"/>
  <c r="GL184" i="1"/>
  <c r="GG184" i="1"/>
  <c r="GA184" i="1"/>
  <c r="FV184" i="1"/>
  <c r="GB184" i="1" s="1"/>
  <c r="FQ184" i="1"/>
  <c r="FG184" i="1"/>
  <c r="DU184" i="1"/>
  <c r="DT184" i="1"/>
  <c r="DS184" i="1"/>
  <c r="DR184" i="1"/>
  <c r="DQ184" i="1"/>
  <c r="DL184" i="1"/>
  <c r="DG184" i="1"/>
  <c r="DB184" i="1"/>
  <c r="DV184" i="1" s="1"/>
  <c r="CW184" i="1"/>
  <c r="CR184" i="1"/>
  <c r="CS184" i="1" s="1"/>
  <c r="CM184" i="1"/>
  <c r="CH184" i="1"/>
  <c r="BZ184" i="1"/>
  <c r="BY184" i="1"/>
  <c r="BW184" i="1"/>
  <c r="BX184" i="1" s="1"/>
  <c r="BQ184" i="1"/>
  <c r="BR184" i="1" s="1"/>
  <c r="BL184" i="1"/>
  <c r="BK184" i="1"/>
  <c r="BF184" i="1"/>
  <c r="BE184" i="1"/>
  <c r="AY184" i="1"/>
  <c r="AU184" i="1"/>
  <c r="AV184" i="1" s="1"/>
  <c r="AM184" i="1"/>
  <c r="AK184" i="1"/>
  <c r="AI184" i="1"/>
  <c r="AG184" i="1"/>
  <c r="AE184" i="1"/>
  <c r="AC184" i="1"/>
  <c r="AA184" i="1"/>
  <c r="Y184" i="1"/>
  <c r="W184" i="1"/>
  <c r="U184" i="1"/>
  <c r="S184" i="1"/>
  <c r="AW184" i="1" s="1"/>
  <c r="R184" i="1"/>
  <c r="M184" i="1"/>
  <c r="HN183" i="1"/>
  <c r="D434" i="3" s="1"/>
  <c r="HK183" i="1"/>
  <c r="HJ183" i="1"/>
  <c r="HA183" i="1"/>
  <c r="GW183" i="1"/>
  <c r="GR183" i="1"/>
  <c r="GM183" i="1"/>
  <c r="GL183" i="1"/>
  <c r="GG183" i="1"/>
  <c r="GB183" i="1"/>
  <c r="GA183" i="1"/>
  <c r="FV183" i="1"/>
  <c r="FQ183" i="1"/>
  <c r="FG183" i="1"/>
  <c r="DU183" i="1"/>
  <c r="DT183" i="1"/>
  <c r="DS183" i="1"/>
  <c r="DR183" i="1"/>
  <c r="DQ183" i="1"/>
  <c r="DL183" i="1"/>
  <c r="DG183" i="1"/>
  <c r="DB183" i="1"/>
  <c r="DV183" i="1" s="1"/>
  <c r="CW183" i="1"/>
  <c r="CR183" i="1"/>
  <c r="CM183" i="1"/>
  <c r="CS183" i="1" s="1"/>
  <c r="CH183" i="1"/>
  <c r="BZ183" i="1"/>
  <c r="BY183" i="1"/>
  <c r="BW183" i="1"/>
  <c r="BX183" i="1" s="1"/>
  <c r="BQ183" i="1"/>
  <c r="BR183" i="1" s="1"/>
  <c r="BL183" i="1"/>
  <c r="BK183" i="1"/>
  <c r="BF183" i="1"/>
  <c r="CB183" i="1" s="1"/>
  <c r="BE183" i="1"/>
  <c r="AY183" i="1"/>
  <c r="AU183" i="1"/>
  <c r="AM183" i="1"/>
  <c r="AK183" i="1"/>
  <c r="AI183" i="1"/>
  <c r="AG183" i="1"/>
  <c r="AE183" i="1"/>
  <c r="AC183" i="1"/>
  <c r="AA183" i="1"/>
  <c r="Y183" i="1"/>
  <c r="W183" i="1"/>
  <c r="U183" i="1"/>
  <c r="S183" i="1"/>
  <c r="R183" i="1"/>
  <c r="M183" i="1"/>
  <c r="HN182" i="1"/>
  <c r="HK182" i="1"/>
  <c r="HJ182" i="1"/>
  <c r="HA182" i="1"/>
  <c r="GW182" i="1"/>
  <c r="GR182" i="1"/>
  <c r="GL182" i="1"/>
  <c r="GM182" i="1" s="1"/>
  <c r="GG182" i="1"/>
  <c r="GB182" i="1"/>
  <c r="GA182" i="1"/>
  <c r="FV182" i="1"/>
  <c r="FQ182" i="1"/>
  <c r="FG182" i="1"/>
  <c r="DU182" i="1"/>
  <c r="DT182" i="1"/>
  <c r="DS182" i="1"/>
  <c r="DR182" i="1"/>
  <c r="DQ182" i="1"/>
  <c r="DL182" i="1"/>
  <c r="DG182" i="1"/>
  <c r="DB182" i="1"/>
  <c r="DV182" i="1" s="1"/>
  <c r="CW182" i="1"/>
  <c r="CR182" i="1"/>
  <c r="CM182" i="1"/>
  <c r="CS182" i="1" s="1"/>
  <c r="CH182" i="1"/>
  <c r="BZ182" i="1"/>
  <c r="BY182" i="1"/>
  <c r="BW182" i="1"/>
  <c r="BX182" i="1" s="1"/>
  <c r="BR182" i="1"/>
  <c r="BQ182" i="1"/>
  <c r="BL182" i="1"/>
  <c r="BK182" i="1"/>
  <c r="BE182" i="1"/>
  <c r="AY182" i="1"/>
  <c r="AW182" i="1"/>
  <c r="AV182" i="1"/>
  <c r="AU182" i="1"/>
  <c r="AM182" i="1"/>
  <c r="AK182" i="1"/>
  <c r="AI182" i="1"/>
  <c r="AG182" i="1"/>
  <c r="AE182" i="1"/>
  <c r="AC182" i="1"/>
  <c r="AA182" i="1"/>
  <c r="Y182" i="1"/>
  <c r="W182" i="1"/>
  <c r="U182" i="1"/>
  <c r="R182" i="1"/>
  <c r="S182" i="1" s="1"/>
  <c r="M182" i="1"/>
  <c r="HN181" i="1"/>
  <c r="HK181" i="1"/>
  <c r="HJ181" i="1"/>
  <c r="HA181" i="1"/>
  <c r="GW181" i="1"/>
  <c r="GR181" i="1"/>
  <c r="GL181" i="1"/>
  <c r="GG181" i="1"/>
  <c r="GB181" i="1"/>
  <c r="G190" i="2" s="1"/>
  <c r="GA181" i="1"/>
  <c r="FV181" i="1"/>
  <c r="FQ181" i="1"/>
  <c r="FG181" i="1"/>
  <c r="DU181" i="1"/>
  <c r="DT181" i="1"/>
  <c r="DS181" i="1"/>
  <c r="DR181" i="1"/>
  <c r="DQ181" i="1"/>
  <c r="DL181" i="1"/>
  <c r="DG181" i="1"/>
  <c r="DB181" i="1"/>
  <c r="DV181" i="1" s="1"/>
  <c r="CW181" i="1"/>
  <c r="CR181" i="1"/>
  <c r="CM181" i="1"/>
  <c r="CH181" i="1"/>
  <c r="BZ181" i="1"/>
  <c r="BY181" i="1"/>
  <c r="BW181" i="1"/>
  <c r="BX181" i="1" s="1"/>
  <c r="BR181" i="1"/>
  <c r="BQ181" i="1"/>
  <c r="BK181" i="1"/>
  <c r="BL181" i="1" s="1"/>
  <c r="CB181" i="1" s="1"/>
  <c r="BE181" i="1"/>
  <c r="BF181" i="1" s="1"/>
  <c r="AY181" i="1"/>
  <c r="AV181" i="1"/>
  <c r="AU181" i="1"/>
  <c r="G189" i="2" s="1"/>
  <c r="AM181" i="1"/>
  <c r="AK181" i="1"/>
  <c r="AI181" i="1"/>
  <c r="AG181" i="1"/>
  <c r="AE181" i="1"/>
  <c r="AC181" i="1"/>
  <c r="AA181" i="1"/>
  <c r="Y181" i="1"/>
  <c r="W181" i="1"/>
  <c r="U181" i="1"/>
  <c r="G188" i="2" s="1"/>
  <c r="R181" i="1"/>
  <c r="M181" i="1"/>
  <c r="HN179" i="1"/>
  <c r="HK179" i="1"/>
  <c r="HJ179" i="1"/>
  <c r="HA179" i="1"/>
  <c r="GW179" i="1"/>
  <c r="GR179" i="1"/>
  <c r="GL179" i="1"/>
  <c r="GG179" i="1"/>
  <c r="GM179" i="1" s="1"/>
  <c r="GA179" i="1"/>
  <c r="FV179" i="1"/>
  <c r="GB179" i="1" s="1"/>
  <c r="FQ179" i="1"/>
  <c r="FG179" i="1"/>
  <c r="DU179" i="1"/>
  <c r="DT179" i="1"/>
  <c r="DS179" i="1"/>
  <c r="DR179" i="1"/>
  <c r="DQ179" i="1"/>
  <c r="DL179" i="1"/>
  <c r="DG179" i="1"/>
  <c r="DB179" i="1"/>
  <c r="DV179" i="1" s="1"/>
  <c r="CW179" i="1"/>
  <c r="CR179" i="1"/>
  <c r="CM179" i="1"/>
  <c r="CS179" i="1" s="1"/>
  <c r="CH179" i="1"/>
  <c r="BZ179" i="1"/>
  <c r="BY179" i="1"/>
  <c r="BX179" i="1"/>
  <c r="BW179" i="1"/>
  <c r="BR179" i="1"/>
  <c r="BQ179" i="1"/>
  <c r="BL179" i="1"/>
  <c r="BK179" i="1"/>
  <c r="BE179" i="1"/>
  <c r="AY179" i="1"/>
  <c r="AV179" i="1"/>
  <c r="AU179" i="1"/>
  <c r="AM179" i="1"/>
  <c r="AK179" i="1"/>
  <c r="AI179" i="1"/>
  <c r="AG179" i="1"/>
  <c r="AE179" i="1"/>
  <c r="AC179" i="1"/>
  <c r="AA179" i="1"/>
  <c r="Y179" i="1"/>
  <c r="W179" i="1"/>
  <c r="U179" i="1"/>
  <c r="R179" i="1"/>
  <c r="M179" i="1"/>
  <c r="HN178" i="1"/>
  <c r="HK178" i="1"/>
  <c r="HJ178" i="1"/>
  <c r="HA178" i="1"/>
  <c r="GW178" i="1"/>
  <c r="GR178" i="1"/>
  <c r="GL178" i="1"/>
  <c r="GG178" i="1"/>
  <c r="GA178" i="1"/>
  <c r="FV178" i="1"/>
  <c r="GB178" i="1" s="1"/>
  <c r="FQ178" i="1"/>
  <c r="FG178" i="1"/>
  <c r="DU178" i="1"/>
  <c r="DT178" i="1"/>
  <c r="DS178" i="1"/>
  <c r="DR178" i="1"/>
  <c r="DQ178" i="1"/>
  <c r="DL178" i="1"/>
  <c r="DG178" i="1"/>
  <c r="DB178" i="1"/>
  <c r="DV178" i="1" s="1"/>
  <c r="CW178" i="1"/>
  <c r="CS178" i="1"/>
  <c r="CR178" i="1"/>
  <c r="CM178" i="1"/>
  <c r="CH178" i="1"/>
  <c r="BZ178" i="1"/>
  <c r="BY178" i="1"/>
  <c r="BX178" i="1"/>
  <c r="BW178" i="1"/>
  <c r="BR178" i="1"/>
  <c r="BQ178" i="1"/>
  <c r="BK178" i="1"/>
  <c r="BL178" i="1" s="1"/>
  <c r="BE178" i="1"/>
  <c r="BF178" i="1" s="1"/>
  <c r="AY178" i="1"/>
  <c r="AV178" i="1"/>
  <c r="AU178" i="1"/>
  <c r="AM178" i="1"/>
  <c r="AK178" i="1"/>
  <c r="AI178" i="1"/>
  <c r="AG178" i="1"/>
  <c r="AE178" i="1"/>
  <c r="AC178" i="1"/>
  <c r="AA178" i="1"/>
  <c r="Y178" i="1"/>
  <c r="W178" i="1"/>
  <c r="U178" i="1"/>
  <c r="R178" i="1"/>
  <c r="M178" i="1"/>
  <c r="HN177" i="1"/>
  <c r="HK177" i="1"/>
  <c r="HJ177" i="1"/>
  <c r="HA177" i="1"/>
  <c r="GX177" i="1"/>
  <c r="GW177" i="1"/>
  <c r="GR177" i="1"/>
  <c r="GL177" i="1"/>
  <c r="GG177" i="1"/>
  <c r="GM177" i="1" s="1"/>
  <c r="GA177" i="1"/>
  <c r="FV177" i="1"/>
  <c r="GB177" i="1" s="1"/>
  <c r="F190" i="2" s="1"/>
  <c r="FQ177" i="1"/>
  <c r="FG177" i="1"/>
  <c r="DU177" i="1"/>
  <c r="DT177" i="1"/>
  <c r="DS177" i="1"/>
  <c r="DR177" i="1"/>
  <c r="DQ177" i="1"/>
  <c r="DL177" i="1"/>
  <c r="DG177" i="1"/>
  <c r="DB177" i="1"/>
  <c r="DV177" i="1" s="1"/>
  <c r="F195" i="2" s="1"/>
  <c r="CW177" i="1"/>
  <c r="CS177" i="1"/>
  <c r="CR177" i="1"/>
  <c r="CM177" i="1"/>
  <c r="CH177" i="1"/>
  <c r="CA177" i="1"/>
  <c r="BZ177" i="1"/>
  <c r="BY177" i="1"/>
  <c r="BX177" i="1"/>
  <c r="BW177" i="1"/>
  <c r="BR177" i="1"/>
  <c r="BQ177" i="1"/>
  <c r="BK177" i="1"/>
  <c r="BL177" i="1" s="1"/>
  <c r="BF177" i="1"/>
  <c r="CB177" i="1" s="1"/>
  <c r="BE177" i="1"/>
  <c r="AY177" i="1"/>
  <c r="AV177" i="1"/>
  <c r="AU177" i="1"/>
  <c r="F189" i="2" s="1"/>
  <c r="AM177" i="1"/>
  <c r="AK177" i="1"/>
  <c r="AI177" i="1"/>
  <c r="AG177" i="1"/>
  <c r="AE177" i="1"/>
  <c r="AC177" i="1"/>
  <c r="AA177" i="1"/>
  <c r="Y177" i="1"/>
  <c r="W177" i="1"/>
  <c r="U177" i="1"/>
  <c r="S177" i="1"/>
  <c r="R177" i="1"/>
  <c r="M177" i="1"/>
  <c r="HN176" i="1"/>
  <c r="HK176" i="1"/>
  <c r="HJ176" i="1"/>
  <c r="HA176" i="1"/>
  <c r="GX176" i="1"/>
  <c r="GW176" i="1"/>
  <c r="GR176" i="1"/>
  <c r="GL176" i="1"/>
  <c r="GG176" i="1"/>
  <c r="GM176" i="1" s="1"/>
  <c r="GA176" i="1"/>
  <c r="FV176" i="1"/>
  <c r="GB176" i="1" s="1"/>
  <c r="FQ176" i="1"/>
  <c r="FG176" i="1"/>
  <c r="DU176" i="1"/>
  <c r="DT176" i="1"/>
  <c r="DS176" i="1"/>
  <c r="DR176" i="1"/>
  <c r="DQ176" i="1"/>
  <c r="DL176" i="1"/>
  <c r="DG176" i="1"/>
  <c r="DB176" i="1"/>
  <c r="DV176" i="1" s="1"/>
  <c r="CW176" i="1"/>
  <c r="CS176" i="1"/>
  <c r="CR176" i="1"/>
  <c r="CM176" i="1"/>
  <c r="CH176" i="1"/>
  <c r="BZ176" i="1"/>
  <c r="BY176" i="1"/>
  <c r="BW176" i="1"/>
  <c r="BX176" i="1" s="1"/>
  <c r="BQ176" i="1"/>
  <c r="BR176" i="1" s="1"/>
  <c r="BK176" i="1"/>
  <c r="BF176" i="1"/>
  <c r="BE176" i="1"/>
  <c r="AY176" i="1"/>
  <c r="AU176" i="1"/>
  <c r="AV176" i="1" s="1"/>
  <c r="AM176" i="1"/>
  <c r="AK176" i="1"/>
  <c r="AI176" i="1"/>
  <c r="AG176" i="1"/>
  <c r="AE176" i="1"/>
  <c r="AC176" i="1"/>
  <c r="AA176" i="1"/>
  <c r="Y176" i="1"/>
  <c r="W176" i="1"/>
  <c r="U176" i="1"/>
  <c r="S176" i="1"/>
  <c r="AW176" i="1" s="1"/>
  <c r="R176" i="1"/>
  <c r="M176" i="1"/>
  <c r="HN175" i="1"/>
  <c r="HK175" i="1"/>
  <c r="HJ175" i="1"/>
  <c r="HA175" i="1"/>
  <c r="GX175" i="1"/>
  <c r="GW175" i="1"/>
  <c r="GR175" i="1"/>
  <c r="GL175" i="1"/>
  <c r="GG175" i="1"/>
  <c r="GM175" i="1" s="1"/>
  <c r="GA175" i="1"/>
  <c r="FV175" i="1"/>
  <c r="GB175" i="1" s="1"/>
  <c r="FQ175" i="1"/>
  <c r="FG175" i="1"/>
  <c r="DU175" i="1"/>
  <c r="DT175" i="1"/>
  <c r="DS175" i="1"/>
  <c r="DR175" i="1"/>
  <c r="DQ175" i="1"/>
  <c r="DL175" i="1"/>
  <c r="DG175" i="1"/>
  <c r="DB175" i="1"/>
  <c r="DV175" i="1" s="1"/>
  <c r="CW175" i="1"/>
  <c r="CS175" i="1"/>
  <c r="CR175" i="1"/>
  <c r="CM175" i="1"/>
  <c r="CH175" i="1"/>
  <c r="BZ175" i="1"/>
  <c r="BY175" i="1"/>
  <c r="BW175" i="1"/>
  <c r="BX175" i="1" s="1"/>
  <c r="BQ175" i="1"/>
  <c r="BR175" i="1" s="1"/>
  <c r="BL175" i="1"/>
  <c r="BK175" i="1"/>
  <c r="BF175" i="1"/>
  <c r="BE175" i="1"/>
  <c r="AY175" i="1"/>
  <c r="AU175" i="1"/>
  <c r="AV175" i="1" s="1"/>
  <c r="AM175" i="1"/>
  <c r="AK175" i="1"/>
  <c r="AI175" i="1"/>
  <c r="AG175" i="1"/>
  <c r="AE175" i="1"/>
  <c r="AC175" i="1"/>
  <c r="AA175" i="1"/>
  <c r="Y175" i="1"/>
  <c r="W175" i="1"/>
  <c r="U175" i="1"/>
  <c r="S175" i="1"/>
  <c r="AW175" i="1" s="1"/>
  <c r="R175" i="1"/>
  <c r="M175" i="1"/>
  <c r="HN174" i="1"/>
  <c r="HK174" i="1"/>
  <c r="HJ174" i="1"/>
  <c r="HA174" i="1"/>
  <c r="GW174" i="1"/>
  <c r="GR174" i="1"/>
  <c r="GL174" i="1"/>
  <c r="GM174" i="1" s="1"/>
  <c r="GG174" i="1"/>
  <c r="GB174" i="1"/>
  <c r="E190" i="2" s="1"/>
  <c r="GA174" i="1"/>
  <c r="FV174" i="1"/>
  <c r="FQ174" i="1"/>
  <c r="FG174" i="1"/>
  <c r="DU174" i="1"/>
  <c r="DT174" i="1"/>
  <c r="DS174" i="1"/>
  <c r="DR174" i="1"/>
  <c r="DQ174" i="1"/>
  <c r="DL174" i="1"/>
  <c r="DG174" i="1"/>
  <c r="DB174" i="1"/>
  <c r="DV174" i="1" s="1"/>
  <c r="E195" i="2" s="1"/>
  <c r="CW174" i="1"/>
  <c r="CR174" i="1"/>
  <c r="CM174" i="1"/>
  <c r="CS174" i="1" s="1"/>
  <c r="CH174" i="1"/>
  <c r="BZ174" i="1"/>
  <c r="BY174" i="1"/>
  <c r="BW174" i="1"/>
  <c r="BX174" i="1" s="1"/>
  <c r="BQ174" i="1"/>
  <c r="BR174" i="1" s="1"/>
  <c r="BL174" i="1"/>
  <c r="BK174" i="1"/>
  <c r="BF174" i="1"/>
  <c r="BE174" i="1"/>
  <c r="AY174" i="1"/>
  <c r="AU174" i="1"/>
  <c r="AM174" i="1"/>
  <c r="AK174" i="1"/>
  <c r="AI174" i="1"/>
  <c r="AG174" i="1"/>
  <c r="AE174" i="1"/>
  <c r="AC174" i="1"/>
  <c r="AA174" i="1"/>
  <c r="Y174" i="1"/>
  <c r="W174" i="1"/>
  <c r="U174" i="1"/>
  <c r="S174" i="1"/>
  <c r="R174" i="1"/>
  <c r="M174" i="1"/>
  <c r="HN173" i="1"/>
  <c r="HK173" i="1"/>
  <c r="HJ173" i="1"/>
  <c r="HA173" i="1"/>
  <c r="GW173" i="1"/>
  <c r="GR173" i="1"/>
  <c r="GL173" i="1"/>
  <c r="GM173" i="1" s="1"/>
  <c r="GX173" i="1" s="1"/>
  <c r="HD173" i="1" s="1"/>
  <c r="GG173" i="1"/>
  <c r="GB173" i="1"/>
  <c r="GA173" i="1"/>
  <c r="FV173" i="1"/>
  <c r="FQ173" i="1"/>
  <c r="FG173" i="1"/>
  <c r="DU173" i="1"/>
  <c r="DT173" i="1"/>
  <c r="DS173" i="1"/>
  <c r="DR173" i="1"/>
  <c r="DQ173" i="1"/>
  <c r="DL173" i="1"/>
  <c r="DG173" i="1"/>
  <c r="DB173" i="1"/>
  <c r="DV173" i="1" s="1"/>
  <c r="CW173" i="1"/>
  <c r="CR173" i="1"/>
  <c r="CM173" i="1"/>
  <c r="CS173" i="1" s="1"/>
  <c r="CH173" i="1"/>
  <c r="BZ173" i="1"/>
  <c r="BY173" i="1"/>
  <c r="BW173" i="1"/>
  <c r="BX173" i="1" s="1"/>
  <c r="BR173" i="1"/>
  <c r="BQ173" i="1"/>
  <c r="BL173" i="1"/>
  <c r="BK173" i="1"/>
  <c r="BF173" i="1"/>
  <c r="CB173" i="1" s="1"/>
  <c r="BE173" i="1"/>
  <c r="CA173" i="1" s="1"/>
  <c r="AY173" i="1"/>
  <c r="AV173" i="1"/>
  <c r="AU173" i="1"/>
  <c r="AM173" i="1"/>
  <c r="AK173" i="1"/>
  <c r="AI173" i="1"/>
  <c r="AG173" i="1"/>
  <c r="AE173" i="1"/>
  <c r="AC173" i="1"/>
  <c r="AA173" i="1"/>
  <c r="Y173" i="1"/>
  <c r="W173" i="1"/>
  <c r="U173" i="1"/>
  <c r="R173" i="1"/>
  <c r="S173" i="1" s="1"/>
  <c r="AW173" i="1" s="1"/>
  <c r="M173" i="1"/>
  <c r="HN172" i="1"/>
  <c r="HK172" i="1"/>
  <c r="HJ172" i="1"/>
  <c r="HA172" i="1"/>
  <c r="GW172" i="1"/>
  <c r="GR172" i="1"/>
  <c r="GL172" i="1"/>
  <c r="GG172" i="1"/>
  <c r="GM172" i="1" s="1"/>
  <c r="GA172" i="1"/>
  <c r="GB172" i="1" s="1"/>
  <c r="FV172" i="1"/>
  <c r="FQ172" i="1"/>
  <c r="FG172" i="1"/>
  <c r="DU172" i="1"/>
  <c r="DT172" i="1"/>
  <c r="DS172" i="1"/>
  <c r="DR172" i="1"/>
  <c r="DQ172" i="1"/>
  <c r="DL172" i="1"/>
  <c r="DG172" i="1"/>
  <c r="DB172" i="1"/>
  <c r="DV172" i="1" s="1"/>
  <c r="CW172" i="1"/>
  <c r="CR172" i="1"/>
  <c r="CM172" i="1"/>
  <c r="CS172" i="1" s="1"/>
  <c r="CH172" i="1"/>
  <c r="CB172" i="1"/>
  <c r="BZ172" i="1"/>
  <c r="BY172" i="1"/>
  <c r="BW172" i="1"/>
  <c r="BX172" i="1" s="1"/>
  <c r="BR172" i="1"/>
  <c r="BQ172" i="1"/>
  <c r="BK172" i="1"/>
  <c r="BL172" i="1" s="1"/>
  <c r="BE172" i="1"/>
  <c r="BF172" i="1" s="1"/>
  <c r="AY172" i="1"/>
  <c r="AV172" i="1"/>
  <c r="AU172" i="1"/>
  <c r="AM172" i="1"/>
  <c r="AK172" i="1"/>
  <c r="AI172" i="1"/>
  <c r="AG172" i="1"/>
  <c r="AE172" i="1"/>
  <c r="AC172" i="1"/>
  <c r="AA172" i="1"/>
  <c r="Y172" i="1"/>
  <c r="W172" i="1"/>
  <c r="U172" i="1"/>
  <c r="R172" i="1"/>
  <c r="M172" i="1"/>
  <c r="HN171" i="1"/>
  <c r="D407" i="3" s="1"/>
  <c r="HK171" i="1"/>
  <c r="HJ171" i="1"/>
  <c r="HA171" i="1"/>
  <c r="GW171" i="1"/>
  <c r="GR171" i="1"/>
  <c r="GL171" i="1"/>
  <c r="GM171" i="1" s="1"/>
  <c r="GG171" i="1"/>
  <c r="GA171" i="1"/>
  <c r="FV171" i="1"/>
  <c r="GB171" i="1" s="1"/>
  <c r="FQ171" i="1"/>
  <c r="FG171" i="1"/>
  <c r="DU171" i="1"/>
  <c r="DT171" i="1"/>
  <c r="DS171" i="1"/>
  <c r="DR171" i="1"/>
  <c r="DQ171" i="1"/>
  <c r="DL171" i="1"/>
  <c r="DG171" i="1"/>
  <c r="DB171" i="1"/>
  <c r="CW171" i="1"/>
  <c r="D402" i="3" s="1"/>
  <c r="CS171" i="1"/>
  <c r="CR171" i="1"/>
  <c r="CM171" i="1"/>
  <c r="CH171" i="1"/>
  <c r="BZ171" i="1"/>
  <c r="BY171" i="1"/>
  <c r="BX171" i="1"/>
  <c r="BW171" i="1"/>
  <c r="BQ171" i="1"/>
  <c r="BR171" i="1" s="1"/>
  <c r="BK171" i="1"/>
  <c r="BL171" i="1" s="1"/>
  <c r="BE171" i="1"/>
  <c r="BF171" i="1" s="1"/>
  <c r="CB171" i="1" s="1"/>
  <c r="AY171" i="1"/>
  <c r="AV171" i="1"/>
  <c r="AU171" i="1"/>
  <c r="AM171" i="1"/>
  <c r="AK171" i="1"/>
  <c r="AI171" i="1"/>
  <c r="AG171" i="1"/>
  <c r="AE171" i="1"/>
  <c r="AC171" i="1"/>
  <c r="AA171" i="1"/>
  <c r="Y171" i="1"/>
  <c r="W171" i="1"/>
  <c r="U171" i="1"/>
  <c r="R171" i="1"/>
  <c r="M171" i="1"/>
  <c r="S171" i="1" s="1"/>
  <c r="HN170" i="1"/>
  <c r="HK170" i="1"/>
  <c r="HJ170" i="1"/>
  <c r="HA170" i="1"/>
  <c r="GX170" i="1"/>
  <c r="HB170" i="1" s="1"/>
  <c r="GW170" i="1"/>
  <c r="GR170" i="1"/>
  <c r="GL170" i="1"/>
  <c r="GG170" i="1"/>
  <c r="GM170" i="1" s="1"/>
  <c r="GB170" i="1"/>
  <c r="HC170" i="1" s="1"/>
  <c r="GA170" i="1"/>
  <c r="FV170" i="1"/>
  <c r="FQ170" i="1"/>
  <c r="FG170" i="1"/>
  <c r="DU170" i="1"/>
  <c r="DT170" i="1"/>
  <c r="DS170" i="1"/>
  <c r="DR170" i="1"/>
  <c r="DQ170" i="1"/>
  <c r="DL170" i="1"/>
  <c r="DG170" i="1"/>
  <c r="DB170" i="1"/>
  <c r="DV170" i="1" s="1"/>
  <c r="CW170" i="1"/>
  <c r="CS170" i="1"/>
  <c r="CR170" i="1"/>
  <c r="CM170" i="1"/>
  <c r="CH170" i="1"/>
  <c r="BZ170" i="1"/>
  <c r="BY170" i="1"/>
  <c r="BW170" i="1"/>
  <c r="BX170" i="1" s="1"/>
  <c r="BR170" i="1"/>
  <c r="BQ170" i="1"/>
  <c r="BK170" i="1"/>
  <c r="BL170" i="1" s="1"/>
  <c r="BF170" i="1"/>
  <c r="BE170" i="1"/>
  <c r="AY170" i="1"/>
  <c r="AV170" i="1"/>
  <c r="AU170" i="1"/>
  <c r="AM170" i="1"/>
  <c r="AK170" i="1"/>
  <c r="AI170" i="1"/>
  <c r="AG170" i="1"/>
  <c r="AE170" i="1"/>
  <c r="AC170" i="1"/>
  <c r="AA170" i="1"/>
  <c r="Y170" i="1"/>
  <c r="W170" i="1"/>
  <c r="U170" i="1"/>
  <c r="S170" i="1"/>
  <c r="AW170" i="1" s="1"/>
  <c r="R170" i="1"/>
  <c r="M170" i="1"/>
  <c r="HN169" i="1"/>
  <c r="HK169" i="1"/>
  <c r="HJ169" i="1"/>
  <c r="HA169" i="1"/>
  <c r="GW169" i="1"/>
  <c r="GR169" i="1"/>
  <c r="GM169" i="1"/>
  <c r="GL169" i="1"/>
  <c r="GG169" i="1"/>
  <c r="GA169" i="1"/>
  <c r="GB169" i="1" s="1"/>
  <c r="G177" i="2" s="1"/>
  <c r="FV169" i="1"/>
  <c r="FQ169" i="1"/>
  <c r="FG169" i="1"/>
  <c r="DU169" i="1"/>
  <c r="DT169" i="1"/>
  <c r="DS169" i="1"/>
  <c r="DR169" i="1"/>
  <c r="DQ169" i="1"/>
  <c r="DL169" i="1"/>
  <c r="DG169" i="1"/>
  <c r="DB169" i="1"/>
  <c r="DV169" i="1" s="1"/>
  <c r="G182" i="2" s="1"/>
  <c r="CW169" i="1"/>
  <c r="CR169" i="1"/>
  <c r="CM169" i="1"/>
  <c r="CH169" i="1"/>
  <c r="BZ169" i="1"/>
  <c r="BY169" i="1"/>
  <c r="BW169" i="1"/>
  <c r="BX169" i="1" s="1"/>
  <c r="BR169" i="1"/>
  <c r="BQ169" i="1"/>
  <c r="BK169" i="1"/>
  <c r="CA169" i="1" s="1"/>
  <c r="BF169" i="1"/>
  <c r="BE169" i="1"/>
  <c r="AY169" i="1"/>
  <c r="AW169" i="1"/>
  <c r="AV169" i="1"/>
  <c r="AU169" i="1"/>
  <c r="AM169" i="1"/>
  <c r="AK169" i="1"/>
  <c r="AI169" i="1"/>
  <c r="AG169" i="1"/>
  <c r="AE169" i="1"/>
  <c r="AC169" i="1"/>
  <c r="AA169" i="1"/>
  <c r="Y169" i="1"/>
  <c r="W169" i="1"/>
  <c r="U169" i="1"/>
  <c r="S169" i="1"/>
  <c r="R169" i="1"/>
  <c r="M169" i="1"/>
  <c r="HN167" i="1"/>
  <c r="HK167" i="1"/>
  <c r="HJ167" i="1"/>
  <c r="HA167" i="1"/>
  <c r="GW167" i="1"/>
  <c r="GR167" i="1"/>
  <c r="GL167" i="1"/>
  <c r="GG167" i="1"/>
  <c r="GM167" i="1" s="1"/>
  <c r="GB167" i="1"/>
  <c r="GA167" i="1"/>
  <c r="FV167" i="1"/>
  <c r="FQ167" i="1"/>
  <c r="FG167" i="1"/>
  <c r="DU167" i="1"/>
  <c r="DT167" i="1"/>
  <c r="DS167" i="1"/>
  <c r="DR167" i="1"/>
  <c r="DQ167" i="1"/>
  <c r="DL167" i="1"/>
  <c r="DG167" i="1"/>
  <c r="DB167" i="1"/>
  <c r="DV167" i="1" s="1"/>
  <c r="CW167" i="1"/>
  <c r="CS167" i="1"/>
  <c r="CR167" i="1"/>
  <c r="CM167" i="1"/>
  <c r="CH167" i="1"/>
  <c r="CA167" i="1"/>
  <c r="BZ167" i="1"/>
  <c r="BY167" i="1"/>
  <c r="BX167" i="1"/>
  <c r="BW167" i="1"/>
  <c r="BQ167" i="1"/>
  <c r="BR167" i="1" s="1"/>
  <c r="BK167" i="1"/>
  <c r="BL167" i="1" s="1"/>
  <c r="BF167" i="1"/>
  <c r="CB167" i="1" s="1"/>
  <c r="BE167" i="1"/>
  <c r="AY167" i="1"/>
  <c r="AU167" i="1"/>
  <c r="AV167" i="1" s="1"/>
  <c r="AM167" i="1"/>
  <c r="AK167" i="1"/>
  <c r="AI167" i="1"/>
  <c r="AG167" i="1"/>
  <c r="AE167" i="1"/>
  <c r="AC167" i="1"/>
  <c r="AA167" i="1"/>
  <c r="Y167" i="1"/>
  <c r="W167" i="1"/>
  <c r="U167" i="1"/>
  <c r="R167" i="1"/>
  <c r="S167" i="1" s="1"/>
  <c r="AW167" i="1" s="1"/>
  <c r="M167" i="1"/>
  <c r="HN166" i="1"/>
  <c r="HK166" i="1"/>
  <c r="HJ166" i="1"/>
  <c r="HA166" i="1"/>
  <c r="GW166" i="1"/>
  <c r="GR166" i="1"/>
  <c r="GM166" i="1"/>
  <c r="GX166" i="1" s="1"/>
  <c r="HC166" i="1" s="1"/>
  <c r="GL166" i="1"/>
  <c r="GG166" i="1"/>
  <c r="GB166" i="1"/>
  <c r="GA166" i="1"/>
  <c r="FV166" i="1"/>
  <c r="FQ166" i="1"/>
  <c r="FG166" i="1"/>
  <c r="DU166" i="1"/>
  <c r="DT166" i="1"/>
  <c r="DS166" i="1"/>
  <c r="DR166" i="1"/>
  <c r="DQ166" i="1"/>
  <c r="DL166" i="1"/>
  <c r="DG166" i="1"/>
  <c r="DB166" i="1"/>
  <c r="DV166" i="1" s="1"/>
  <c r="CW166" i="1"/>
  <c r="CR166" i="1"/>
  <c r="CM166" i="1"/>
  <c r="CH166" i="1"/>
  <c r="BZ166" i="1"/>
  <c r="BY166" i="1"/>
  <c r="BX166" i="1"/>
  <c r="BW166" i="1"/>
  <c r="BQ166" i="1"/>
  <c r="BR166" i="1" s="1"/>
  <c r="BL166" i="1"/>
  <c r="BK166" i="1"/>
  <c r="BE166" i="1"/>
  <c r="AY166" i="1"/>
  <c r="AV166" i="1"/>
  <c r="AU166" i="1"/>
  <c r="AM166" i="1"/>
  <c r="AK166" i="1"/>
  <c r="AI166" i="1"/>
  <c r="AG166" i="1"/>
  <c r="AE166" i="1"/>
  <c r="AC166" i="1"/>
  <c r="AA166" i="1"/>
  <c r="Y166" i="1"/>
  <c r="W166" i="1"/>
  <c r="U166" i="1"/>
  <c r="R166" i="1"/>
  <c r="M166" i="1"/>
  <c r="S166" i="1" s="1"/>
  <c r="AW166" i="1" s="1"/>
  <c r="HN165" i="1"/>
  <c r="HK165" i="1"/>
  <c r="HJ165" i="1"/>
  <c r="HA165" i="1"/>
  <c r="GW165" i="1"/>
  <c r="GR165" i="1"/>
  <c r="GM165" i="1"/>
  <c r="GX165" i="1" s="1"/>
  <c r="GL165" i="1"/>
  <c r="GG165" i="1"/>
  <c r="GA165" i="1"/>
  <c r="FV165" i="1"/>
  <c r="GB165" i="1" s="1"/>
  <c r="F177" i="2" s="1"/>
  <c r="FQ165" i="1"/>
  <c r="FG165" i="1"/>
  <c r="DU165" i="1"/>
  <c r="DT165" i="1"/>
  <c r="DS165" i="1"/>
  <c r="DR165" i="1"/>
  <c r="DQ165" i="1"/>
  <c r="DL165" i="1"/>
  <c r="DG165" i="1"/>
  <c r="DB165" i="1"/>
  <c r="DV165" i="1" s="1"/>
  <c r="F182" i="2" s="1"/>
  <c r="CW165" i="1"/>
  <c r="CR165" i="1"/>
  <c r="CM165" i="1"/>
  <c r="CH165" i="1"/>
  <c r="BZ165" i="1"/>
  <c r="BY165" i="1"/>
  <c r="BW165" i="1"/>
  <c r="BX165" i="1" s="1"/>
  <c r="BR165" i="1"/>
  <c r="BQ165" i="1"/>
  <c r="BK165" i="1"/>
  <c r="BL165" i="1" s="1"/>
  <c r="CB165" i="1" s="1"/>
  <c r="BF165" i="1"/>
  <c r="BE165" i="1"/>
  <c r="AY165" i="1"/>
  <c r="AW165" i="1"/>
  <c r="AV165" i="1"/>
  <c r="AU165" i="1"/>
  <c r="AM165" i="1"/>
  <c r="AK165" i="1"/>
  <c r="AI165" i="1"/>
  <c r="AG165" i="1"/>
  <c r="AE165" i="1"/>
  <c r="AC165" i="1"/>
  <c r="AA165" i="1"/>
  <c r="Y165" i="1"/>
  <c r="W165" i="1"/>
  <c r="U165" i="1"/>
  <c r="F175" i="2" s="1"/>
  <c r="S165" i="1"/>
  <c r="R165" i="1"/>
  <c r="M165" i="1"/>
  <c r="HN164" i="1"/>
  <c r="HK164" i="1"/>
  <c r="HJ164" i="1"/>
  <c r="HA164" i="1"/>
  <c r="GW164" i="1"/>
  <c r="GR164" i="1"/>
  <c r="GM164" i="1"/>
  <c r="GL164" i="1"/>
  <c r="GG164" i="1"/>
  <c r="GB164" i="1"/>
  <c r="GA164" i="1"/>
  <c r="FV164" i="1"/>
  <c r="FQ164" i="1"/>
  <c r="FG164" i="1"/>
  <c r="DU164" i="1"/>
  <c r="DT164" i="1"/>
  <c r="DS164" i="1"/>
  <c r="DR164" i="1"/>
  <c r="DQ164" i="1"/>
  <c r="DL164" i="1"/>
  <c r="DG164" i="1"/>
  <c r="DB164" i="1"/>
  <c r="DV164" i="1" s="1"/>
  <c r="CW164" i="1"/>
  <c r="CR164" i="1"/>
  <c r="CM164" i="1"/>
  <c r="CS164" i="1" s="1"/>
  <c r="CH164" i="1"/>
  <c r="BZ164" i="1"/>
  <c r="BY164" i="1"/>
  <c r="BW164" i="1"/>
  <c r="BX164" i="1" s="1"/>
  <c r="BR164" i="1"/>
  <c r="BQ164" i="1"/>
  <c r="BK164" i="1"/>
  <c r="BL164" i="1" s="1"/>
  <c r="BF164" i="1"/>
  <c r="BE164" i="1"/>
  <c r="AY164" i="1"/>
  <c r="AW164" i="1"/>
  <c r="AV164" i="1"/>
  <c r="AU164" i="1"/>
  <c r="AM164" i="1"/>
  <c r="AK164" i="1"/>
  <c r="AI164" i="1"/>
  <c r="AG164" i="1"/>
  <c r="AE164" i="1"/>
  <c r="AC164" i="1"/>
  <c r="AA164" i="1"/>
  <c r="Y164" i="1"/>
  <c r="W164" i="1"/>
  <c r="U164" i="1"/>
  <c r="S164" i="1"/>
  <c r="R164" i="1"/>
  <c r="M164" i="1"/>
  <c r="HN163" i="1"/>
  <c r="HK163" i="1"/>
  <c r="HJ163" i="1"/>
  <c r="HA163" i="1"/>
  <c r="GW163" i="1"/>
  <c r="GR163" i="1"/>
  <c r="GL163" i="1"/>
  <c r="GG163" i="1"/>
  <c r="GM163" i="1" s="1"/>
  <c r="GX163" i="1" s="1"/>
  <c r="GB163" i="1"/>
  <c r="GA163" i="1"/>
  <c r="FV163" i="1"/>
  <c r="FQ163" i="1"/>
  <c r="FG163" i="1"/>
  <c r="DU163" i="1"/>
  <c r="DT163" i="1"/>
  <c r="DS163" i="1"/>
  <c r="DR163" i="1"/>
  <c r="DQ163" i="1"/>
  <c r="DL163" i="1"/>
  <c r="DG163" i="1"/>
  <c r="DB163" i="1"/>
  <c r="DV163" i="1" s="1"/>
  <c r="CW163" i="1"/>
  <c r="CR163" i="1"/>
  <c r="CM163" i="1"/>
  <c r="CS163" i="1" s="1"/>
  <c r="CH163" i="1"/>
  <c r="BZ163" i="1"/>
  <c r="BY163" i="1"/>
  <c r="BW163" i="1"/>
  <c r="BX163" i="1" s="1"/>
  <c r="BR163" i="1"/>
  <c r="BQ163" i="1"/>
  <c r="BK163" i="1"/>
  <c r="BL163" i="1" s="1"/>
  <c r="BE163" i="1"/>
  <c r="BF163" i="1" s="1"/>
  <c r="AY163" i="1"/>
  <c r="AV163" i="1"/>
  <c r="AU163" i="1"/>
  <c r="AM163" i="1"/>
  <c r="AK163" i="1"/>
  <c r="AI163" i="1"/>
  <c r="AG163" i="1"/>
  <c r="AE163" i="1"/>
  <c r="AC163" i="1"/>
  <c r="AA163" i="1"/>
  <c r="Y163" i="1"/>
  <c r="W163" i="1"/>
  <c r="U163" i="1"/>
  <c r="R163" i="1"/>
  <c r="M163" i="1"/>
  <c r="S163" i="1" s="1"/>
  <c r="AW163" i="1" s="1"/>
  <c r="HN162" i="1"/>
  <c r="HK162" i="1"/>
  <c r="HJ162" i="1"/>
  <c r="HA162" i="1"/>
  <c r="GW162" i="1"/>
  <c r="GR162" i="1"/>
  <c r="GL162" i="1"/>
  <c r="GG162" i="1"/>
  <c r="GM162" i="1" s="1"/>
  <c r="E178" i="2" s="1"/>
  <c r="GA162" i="1"/>
  <c r="FV162" i="1"/>
  <c r="FQ162" i="1"/>
  <c r="FG162" i="1"/>
  <c r="DU162" i="1"/>
  <c r="DT162" i="1"/>
  <c r="DS162" i="1"/>
  <c r="DR162" i="1"/>
  <c r="DQ162" i="1"/>
  <c r="DL162" i="1"/>
  <c r="DG162" i="1"/>
  <c r="DB162" i="1"/>
  <c r="DV162" i="1" s="1"/>
  <c r="E182" i="2" s="1"/>
  <c r="CW162" i="1"/>
  <c r="CS162" i="1"/>
  <c r="CR162" i="1"/>
  <c r="CM162" i="1"/>
  <c r="CH162" i="1"/>
  <c r="BZ162" i="1"/>
  <c r="BY162" i="1"/>
  <c r="BX162" i="1"/>
  <c r="BW162" i="1"/>
  <c r="BR162" i="1"/>
  <c r="BQ162" i="1"/>
  <c r="BL162" i="1"/>
  <c r="CB162" i="1" s="1"/>
  <c r="BK162" i="1"/>
  <c r="CA162" i="1" s="1"/>
  <c r="BF162" i="1"/>
  <c r="BE162" i="1"/>
  <c r="AY162" i="1"/>
  <c r="AV162" i="1"/>
  <c r="AU162" i="1"/>
  <c r="E176" i="2" s="1"/>
  <c r="AM162" i="1"/>
  <c r="AK162" i="1"/>
  <c r="AI162" i="1"/>
  <c r="AG162" i="1"/>
  <c r="AE162" i="1"/>
  <c r="AC162" i="1"/>
  <c r="AA162" i="1"/>
  <c r="Y162" i="1"/>
  <c r="W162" i="1"/>
  <c r="U162" i="1"/>
  <c r="R162" i="1"/>
  <c r="S162" i="1" s="1"/>
  <c r="M162" i="1"/>
  <c r="HN161" i="1"/>
  <c r="HK161" i="1"/>
  <c r="HJ161" i="1"/>
  <c r="HA161" i="1"/>
  <c r="GW161" i="1"/>
  <c r="GR161" i="1"/>
  <c r="GM161" i="1"/>
  <c r="GL161" i="1"/>
  <c r="GG161" i="1"/>
  <c r="GB161" i="1"/>
  <c r="GA161" i="1"/>
  <c r="FV161" i="1"/>
  <c r="FQ161" i="1"/>
  <c r="FG161" i="1"/>
  <c r="DU161" i="1"/>
  <c r="DT161" i="1"/>
  <c r="DS161" i="1"/>
  <c r="DR161" i="1"/>
  <c r="DQ161" i="1"/>
  <c r="DL161" i="1"/>
  <c r="DG161" i="1"/>
  <c r="DB161" i="1"/>
  <c r="DV161" i="1" s="1"/>
  <c r="CW161" i="1"/>
  <c r="CR161" i="1"/>
  <c r="CM161" i="1"/>
  <c r="CS161" i="1" s="1"/>
  <c r="CH161" i="1"/>
  <c r="BZ161" i="1"/>
  <c r="BY161" i="1"/>
  <c r="BW161" i="1"/>
  <c r="BX161" i="1" s="1"/>
  <c r="BQ161" i="1"/>
  <c r="BR161" i="1" s="1"/>
  <c r="BK161" i="1"/>
  <c r="BL161" i="1" s="1"/>
  <c r="BE161" i="1"/>
  <c r="CA161" i="1" s="1"/>
  <c r="AY161" i="1"/>
  <c r="AU161" i="1"/>
  <c r="AV161" i="1" s="1"/>
  <c r="AM161" i="1"/>
  <c r="AK161" i="1"/>
  <c r="AI161" i="1"/>
  <c r="AG161" i="1"/>
  <c r="AE161" i="1"/>
  <c r="AC161" i="1"/>
  <c r="AA161" i="1"/>
  <c r="Y161" i="1"/>
  <c r="W161" i="1"/>
  <c r="U161" i="1"/>
  <c r="S161" i="1"/>
  <c r="R161" i="1"/>
  <c r="M161" i="1"/>
  <c r="HN160" i="1"/>
  <c r="HK160" i="1"/>
  <c r="HJ160" i="1"/>
  <c r="HA160" i="1"/>
  <c r="GW160" i="1"/>
  <c r="GR160" i="1"/>
  <c r="GL160" i="1"/>
  <c r="GG160" i="1"/>
  <c r="GM160" i="1" s="1"/>
  <c r="GX160" i="1" s="1"/>
  <c r="GA160" i="1"/>
  <c r="FV160" i="1"/>
  <c r="GB160" i="1" s="1"/>
  <c r="FQ160" i="1"/>
  <c r="FG160" i="1"/>
  <c r="DU160" i="1"/>
  <c r="DT160" i="1"/>
  <c r="DS160" i="1"/>
  <c r="DR160" i="1"/>
  <c r="DQ160" i="1"/>
  <c r="DL160" i="1"/>
  <c r="DG160" i="1"/>
  <c r="DB160" i="1"/>
  <c r="DV160" i="1" s="1"/>
  <c r="CW160" i="1"/>
  <c r="CS160" i="1"/>
  <c r="CR160" i="1"/>
  <c r="CM160" i="1"/>
  <c r="CH160" i="1"/>
  <c r="BZ160" i="1"/>
  <c r="BY160" i="1"/>
  <c r="BX160" i="1"/>
  <c r="BW160" i="1"/>
  <c r="BR160" i="1"/>
  <c r="BQ160" i="1"/>
  <c r="BL160" i="1"/>
  <c r="CB160" i="1" s="1"/>
  <c r="BK160" i="1"/>
  <c r="CA160" i="1" s="1"/>
  <c r="BF160" i="1"/>
  <c r="BE160" i="1"/>
  <c r="AY160" i="1"/>
  <c r="AU160" i="1"/>
  <c r="AV160" i="1" s="1"/>
  <c r="AM160" i="1"/>
  <c r="AK160" i="1"/>
  <c r="AI160" i="1"/>
  <c r="AG160" i="1"/>
  <c r="AE160" i="1"/>
  <c r="AC160" i="1"/>
  <c r="AA160" i="1"/>
  <c r="Y160" i="1"/>
  <c r="W160" i="1"/>
  <c r="U160" i="1"/>
  <c r="S160" i="1"/>
  <c r="R160" i="1"/>
  <c r="M160" i="1"/>
  <c r="HN159" i="1"/>
  <c r="HK159" i="1"/>
  <c r="HJ159" i="1"/>
  <c r="HA159" i="1"/>
  <c r="GW159" i="1"/>
  <c r="GR159" i="1"/>
  <c r="GL159" i="1"/>
  <c r="GM159" i="1" s="1"/>
  <c r="GG159" i="1"/>
  <c r="GB159" i="1"/>
  <c r="GA159" i="1"/>
  <c r="FV159" i="1"/>
  <c r="FQ159" i="1"/>
  <c r="FG159" i="1"/>
  <c r="DU159" i="1"/>
  <c r="DT159" i="1"/>
  <c r="DS159" i="1"/>
  <c r="DR159" i="1"/>
  <c r="DQ159" i="1"/>
  <c r="DL159" i="1"/>
  <c r="DG159" i="1"/>
  <c r="DB159" i="1"/>
  <c r="DV159" i="1" s="1"/>
  <c r="CW159" i="1"/>
  <c r="D375" i="3" s="1"/>
  <c r="CR159" i="1"/>
  <c r="CS159" i="1" s="1"/>
  <c r="CM159" i="1"/>
  <c r="CH159" i="1"/>
  <c r="BZ159" i="1"/>
  <c r="BY159" i="1"/>
  <c r="BW159" i="1"/>
  <c r="BX159" i="1" s="1"/>
  <c r="BQ159" i="1"/>
  <c r="BR159" i="1" s="1"/>
  <c r="BL159" i="1"/>
  <c r="BK159" i="1"/>
  <c r="BF159" i="1"/>
  <c r="BE159" i="1"/>
  <c r="CA159" i="1" s="1"/>
  <c r="AY159" i="1"/>
  <c r="AU159" i="1"/>
  <c r="AM159" i="1"/>
  <c r="AK159" i="1"/>
  <c r="AI159" i="1"/>
  <c r="AG159" i="1"/>
  <c r="AE159" i="1"/>
  <c r="AC159" i="1"/>
  <c r="AA159" i="1"/>
  <c r="Y159" i="1"/>
  <c r="W159" i="1"/>
  <c r="U159" i="1"/>
  <c r="R159" i="1"/>
  <c r="M159" i="1"/>
  <c r="S159" i="1" s="1"/>
  <c r="HN158" i="1"/>
  <c r="HK158" i="1"/>
  <c r="HJ158" i="1"/>
  <c r="HA158" i="1"/>
  <c r="GW158" i="1"/>
  <c r="GR158" i="1"/>
  <c r="GL158" i="1"/>
  <c r="GG158" i="1"/>
  <c r="GM158" i="1" s="1"/>
  <c r="GX158" i="1" s="1"/>
  <c r="GA158" i="1"/>
  <c r="FV158" i="1"/>
  <c r="GB158" i="1" s="1"/>
  <c r="FQ158" i="1"/>
  <c r="FG158" i="1"/>
  <c r="DU158" i="1"/>
  <c r="DT158" i="1"/>
  <c r="DS158" i="1"/>
  <c r="DR158" i="1"/>
  <c r="DQ158" i="1"/>
  <c r="DL158" i="1"/>
  <c r="DG158" i="1"/>
  <c r="DB158" i="1"/>
  <c r="DV158" i="1" s="1"/>
  <c r="CW158" i="1"/>
  <c r="CR158" i="1"/>
  <c r="CM158" i="1"/>
  <c r="CS158" i="1" s="1"/>
  <c r="CH158" i="1"/>
  <c r="BZ158" i="1"/>
  <c r="BY158" i="1"/>
  <c r="BW158" i="1"/>
  <c r="BX158" i="1" s="1"/>
  <c r="BQ158" i="1"/>
  <c r="BR158" i="1" s="1"/>
  <c r="BL158" i="1"/>
  <c r="BK158" i="1"/>
  <c r="BE158" i="1"/>
  <c r="AY158" i="1"/>
  <c r="AU158" i="1"/>
  <c r="AV158" i="1" s="1"/>
  <c r="AM158" i="1"/>
  <c r="AK158" i="1"/>
  <c r="AI158" i="1"/>
  <c r="AG158" i="1"/>
  <c r="AE158" i="1"/>
  <c r="AC158" i="1"/>
  <c r="AA158" i="1"/>
  <c r="Y158" i="1"/>
  <c r="W158" i="1"/>
  <c r="U158" i="1"/>
  <c r="R158" i="1"/>
  <c r="M158" i="1"/>
  <c r="S158" i="1" s="1"/>
  <c r="AW158" i="1" s="1"/>
  <c r="HN157" i="1"/>
  <c r="HK157" i="1"/>
  <c r="HJ157" i="1"/>
  <c r="HA157" i="1"/>
  <c r="GW157" i="1"/>
  <c r="GR157" i="1"/>
  <c r="GL157" i="1"/>
  <c r="GM157" i="1" s="1"/>
  <c r="GG157" i="1"/>
  <c r="GA157" i="1"/>
  <c r="FV157" i="1"/>
  <c r="GB157" i="1" s="1"/>
  <c r="G164" i="2" s="1"/>
  <c r="FQ157" i="1"/>
  <c r="FG157" i="1"/>
  <c r="DU157" i="1"/>
  <c r="DT157" i="1"/>
  <c r="DS157" i="1"/>
  <c r="DR157" i="1"/>
  <c r="DQ157" i="1"/>
  <c r="DL157" i="1"/>
  <c r="DG157" i="1"/>
  <c r="DB157" i="1"/>
  <c r="DV157" i="1" s="1"/>
  <c r="CW157" i="1"/>
  <c r="CR157" i="1"/>
  <c r="CM157" i="1"/>
  <c r="CH157" i="1"/>
  <c r="BZ157" i="1"/>
  <c r="BY157" i="1"/>
  <c r="BW157" i="1"/>
  <c r="BX157" i="1" s="1"/>
  <c r="BR157" i="1"/>
  <c r="BQ157" i="1"/>
  <c r="BK157" i="1"/>
  <c r="BL157" i="1" s="1"/>
  <c r="BE157" i="1"/>
  <c r="BF157" i="1" s="1"/>
  <c r="CB157" i="1" s="1"/>
  <c r="AY157" i="1"/>
  <c r="AU157" i="1"/>
  <c r="G163" i="2" s="1"/>
  <c r="AM157" i="1"/>
  <c r="AK157" i="1"/>
  <c r="AI157" i="1"/>
  <c r="AG157" i="1"/>
  <c r="AE157" i="1"/>
  <c r="AC157" i="1"/>
  <c r="AA157" i="1"/>
  <c r="Y157" i="1"/>
  <c r="W157" i="1"/>
  <c r="U157" i="1"/>
  <c r="G162" i="2" s="1"/>
  <c r="R157" i="1"/>
  <c r="S157" i="1" s="1"/>
  <c r="M157" i="1"/>
  <c r="HN155" i="1"/>
  <c r="HK155" i="1"/>
  <c r="HJ155" i="1"/>
  <c r="HA155" i="1"/>
  <c r="GW155" i="1"/>
  <c r="GR155" i="1"/>
  <c r="GM155" i="1"/>
  <c r="GX155" i="1" s="1"/>
  <c r="HD155" i="1" s="1"/>
  <c r="GL155" i="1"/>
  <c r="GG155" i="1"/>
  <c r="GB155" i="1"/>
  <c r="GA155" i="1"/>
  <c r="FV155" i="1"/>
  <c r="FQ155" i="1"/>
  <c r="FG155" i="1"/>
  <c r="DU155" i="1"/>
  <c r="DT155" i="1"/>
  <c r="DS155" i="1"/>
  <c r="DR155" i="1"/>
  <c r="DQ155" i="1"/>
  <c r="DL155" i="1"/>
  <c r="DG155" i="1"/>
  <c r="DB155" i="1"/>
  <c r="DV155" i="1" s="1"/>
  <c r="CW155" i="1"/>
  <c r="CR155" i="1"/>
  <c r="CM155" i="1"/>
  <c r="CH155" i="1"/>
  <c r="BZ155" i="1"/>
  <c r="BY155" i="1"/>
  <c r="BW155" i="1"/>
  <c r="BX155" i="1" s="1"/>
  <c r="BR155" i="1"/>
  <c r="BQ155" i="1"/>
  <c r="BK155" i="1"/>
  <c r="BL155" i="1" s="1"/>
  <c r="BE155" i="1"/>
  <c r="CA155" i="1" s="1"/>
  <c r="AY155" i="1"/>
  <c r="AV155" i="1"/>
  <c r="AU155" i="1"/>
  <c r="AM155" i="1"/>
  <c r="AK155" i="1"/>
  <c r="AI155" i="1"/>
  <c r="AG155" i="1"/>
  <c r="AE155" i="1"/>
  <c r="AC155" i="1"/>
  <c r="AA155" i="1"/>
  <c r="Y155" i="1"/>
  <c r="W155" i="1"/>
  <c r="U155" i="1"/>
  <c r="R155" i="1"/>
  <c r="S155" i="1" s="1"/>
  <c r="AW155" i="1" s="1"/>
  <c r="M155" i="1"/>
  <c r="HN154" i="1"/>
  <c r="HK154" i="1"/>
  <c r="HJ154" i="1"/>
  <c r="HA154" i="1"/>
  <c r="GW154" i="1"/>
  <c r="GR154" i="1"/>
  <c r="GL154" i="1"/>
  <c r="GG154" i="1"/>
  <c r="GA154" i="1"/>
  <c r="FV154" i="1"/>
  <c r="GB154" i="1" s="1"/>
  <c r="FQ154" i="1"/>
  <c r="FG154" i="1"/>
  <c r="DU154" i="1"/>
  <c r="DT154" i="1"/>
  <c r="DS154" i="1"/>
  <c r="DR154" i="1"/>
  <c r="DQ154" i="1"/>
  <c r="DL154" i="1"/>
  <c r="DG154" i="1"/>
  <c r="DB154" i="1"/>
  <c r="CW154" i="1"/>
  <c r="CS154" i="1"/>
  <c r="CR154" i="1"/>
  <c r="CM154" i="1"/>
  <c r="CH154" i="1"/>
  <c r="BZ154" i="1"/>
  <c r="BY154" i="1"/>
  <c r="BX154" i="1"/>
  <c r="BW154" i="1"/>
  <c r="BR154" i="1"/>
  <c r="BQ154" i="1"/>
  <c r="BL154" i="1"/>
  <c r="BK154" i="1"/>
  <c r="BE154" i="1"/>
  <c r="AY154" i="1"/>
  <c r="AW154" i="1"/>
  <c r="AU154" i="1"/>
  <c r="AV154" i="1" s="1"/>
  <c r="AM154" i="1"/>
  <c r="AK154" i="1"/>
  <c r="AI154" i="1"/>
  <c r="AG154" i="1"/>
  <c r="AE154" i="1"/>
  <c r="AC154" i="1"/>
  <c r="AA154" i="1"/>
  <c r="Y154" i="1"/>
  <c r="W154" i="1"/>
  <c r="U154" i="1"/>
  <c r="R154" i="1"/>
  <c r="M154" i="1"/>
  <c r="S154" i="1" s="1"/>
  <c r="HN153" i="1"/>
  <c r="HK153" i="1"/>
  <c r="HJ153" i="1"/>
  <c r="HA153" i="1"/>
  <c r="GW153" i="1"/>
  <c r="GR153" i="1"/>
  <c r="GL153" i="1"/>
  <c r="GG153" i="1"/>
  <c r="GM153" i="1" s="1"/>
  <c r="GA153" i="1"/>
  <c r="FV153" i="1"/>
  <c r="GB153" i="1" s="1"/>
  <c r="FQ153" i="1"/>
  <c r="FG153" i="1"/>
  <c r="DU153" i="1"/>
  <c r="DT153" i="1"/>
  <c r="DS153" i="1"/>
  <c r="DR153" i="1"/>
  <c r="DQ153" i="1"/>
  <c r="DL153" i="1"/>
  <c r="DG153" i="1"/>
  <c r="DB153" i="1"/>
  <c r="DV153" i="1" s="1"/>
  <c r="CW153" i="1"/>
  <c r="CR153" i="1"/>
  <c r="CM153" i="1"/>
  <c r="CS153" i="1" s="1"/>
  <c r="CH153" i="1"/>
  <c r="CA153" i="1"/>
  <c r="BZ153" i="1"/>
  <c r="BY153" i="1"/>
  <c r="BX153" i="1"/>
  <c r="BW153" i="1"/>
  <c r="BQ153" i="1"/>
  <c r="BR153" i="1" s="1"/>
  <c r="BK153" i="1"/>
  <c r="BL153" i="1" s="1"/>
  <c r="BF153" i="1"/>
  <c r="BE153" i="1"/>
  <c r="AY153" i="1"/>
  <c r="AV153" i="1"/>
  <c r="AU153" i="1"/>
  <c r="AM153" i="1"/>
  <c r="AK153" i="1"/>
  <c r="AI153" i="1"/>
  <c r="AG153" i="1"/>
  <c r="AE153" i="1"/>
  <c r="AC153" i="1"/>
  <c r="AA153" i="1"/>
  <c r="Y153" i="1"/>
  <c r="W153" i="1"/>
  <c r="U153" i="1"/>
  <c r="R153" i="1"/>
  <c r="S153" i="1" s="1"/>
  <c r="M153" i="1"/>
  <c r="HN152" i="1"/>
  <c r="HK152" i="1"/>
  <c r="HJ152" i="1"/>
  <c r="HA152" i="1"/>
  <c r="GW152" i="1"/>
  <c r="GR152" i="1"/>
  <c r="GX152" i="1" s="1"/>
  <c r="GM152" i="1"/>
  <c r="GL152" i="1"/>
  <c r="GG152" i="1"/>
  <c r="GA152" i="1"/>
  <c r="FV152" i="1"/>
  <c r="GB152" i="1" s="1"/>
  <c r="FQ152" i="1"/>
  <c r="FG152" i="1"/>
  <c r="DU152" i="1"/>
  <c r="DT152" i="1"/>
  <c r="DS152" i="1"/>
  <c r="DR152" i="1"/>
  <c r="DQ152" i="1"/>
  <c r="DL152" i="1"/>
  <c r="DG152" i="1"/>
  <c r="DB152" i="1"/>
  <c r="DV152" i="1" s="1"/>
  <c r="CW152" i="1"/>
  <c r="CR152" i="1"/>
  <c r="CM152" i="1"/>
  <c r="CS152" i="1" s="1"/>
  <c r="CH152" i="1"/>
  <c r="BZ152" i="1"/>
  <c r="BY152" i="1"/>
  <c r="BX152" i="1"/>
  <c r="BW152" i="1"/>
  <c r="BQ152" i="1"/>
  <c r="BR152" i="1" s="1"/>
  <c r="BK152" i="1"/>
  <c r="BL152" i="1" s="1"/>
  <c r="BE152" i="1"/>
  <c r="AY152" i="1"/>
  <c r="AU152" i="1"/>
  <c r="AV152" i="1" s="1"/>
  <c r="AM152" i="1"/>
  <c r="AK152" i="1"/>
  <c r="AI152" i="1"/>
  <c r="AG152" i="1"/>
  <c r="AE152" i="1"/>
  <c r="AC152" i="1"/>
  <c r="AA152" i="1"/>
  <c r="Y152" i="1"/>
  <c r="W152" i="1"/>
  <c r="U152" i="1"/>
  <c r="R152" i="1"/>
  <c r="M152" i="1"/>
  <c r="S152" i="1" s="1"/>
  <c r="AW152" i="1" s="1"/>
  <c r="HN151" i="1"/>
  <c r="HK151" i="1"/>
  <c r="HJ151" i="1"/>
  <c r="HA151" i="1"/>
  <c r="GW151" i="1"/>
  <c r="GR151" i="1"/>
  <c r="GX151" i="1" s="1"/>
  <c r="GL151" i="1"/>
  <c r="GG151" i="1"/>
  <c r="GM151" i="1" s="1"/>
  <c r="GB151" i="1"/>
  <c r="GA151" i="1"/>
  <c r="FV151" i="1"/>
  <c r="FQ151" i="1"/>
  <c r="FG151" i="1"/>
  <c r="DU151" i="1"/>
  <c r="DT151" i="1"/>
  <c r="DS151" i="1"/>
  <c r="DR151" i="1"/>
  <c r="DQ151" i="1"/>
  <c r="DL151" i="1"/>
  <c r="DG151" i="1"/>
  <c r="DB151" i="1"/>
  <c r="DV151" i="1" s="1"/>
  <c r="CW151" i="1"/>
  <c r="CS151" i="1"/>
  <c r="CR151" i="1"/>
  <c r="CM151" i="1"/>
  <c r="CH151" i="1"/>
  <c r="BZ151" i="1"/>
  <c r="BY151" i="1"/>
  <c r="BX151" i="1"/>
  <c r="BW151" i="1"/>
  <c r="BQ151" i="1"/>
  <c r="BR151" i="1" s="1"/>
  <c r="BL151" i="1"/>
  <c r="CB151" i="1" s="1"/>
  <c r="BK151" i="1"/>
  <c r="BF151" i="1"/>
  <c r="BE151" i="1"/>
  <c r="AY151" i="1"/>
  <c r="AW151" i="1"/>
  <c r="AU151" i="1"/>
  <c r="AV151" i="1" s="1"/>
  <c r="AM151" i="1"/>
  <c r="AK151" i="1"/>
  <c r="AI151" i="1"/>
  <c r="AG151" i="1"/>
  <c r="AE151" i="1"/>
  <c r="AC151" i="1"/>
  <c r="AA151" i="1"/>
  <c r="Y151" i="1"/>
  <c r="W151" i="1"/>
  <c r="U151" i="1"/>
  <c r="R151" i="1"/>
  <c r="M151" i="1"/>
  <c r="S151" i="1" s="1"/>
  <c r="HN150" i="1"/>
  <c r="HK150" i="1"/>
  <c r="HJ150" i="1"/>
  <c r="HA150" i="1"/>
  <c r="GW150" i="1"/>
  <c r="GR150" i="1"/>
  <c r="GL150" i="1"/>
  <c r="GM150" i="1" s="1"/>
  <c r="GG150" i="1"/>
  <c r="GA150" i="1"/>
  <c r="FV150" i="1"/>
  <c r="GB150" i="1" s="1"/>
  <c r="FQ150" i="1"/>
  <c r="FG150" i="1"/>
  <c r="DU150" i="1"/>
  <c r="DT150" i="1"/>
  <c r="DS150" i="1"/>
  <c r="DR150" i="1"/>
  <c r="DQ150" i="1"/>
  <c r="DL150" i="1"/>
  <c r="DG150" i="1"/>
  <c r="DB150" i="1"/>
  <c r="DV150" i="1" s="1"/>
  <c r="E169" i="2" s="1"/>
  <c r="CW150" i="1"/>
  <c r="CS150" i="1"/>
  <c r="E167" i="2" s="1"/>
  <c r="CR150" i="1"/>
  <c r="CM150" i="1"/>
  <c r="CH150" i="1"/>
  <c r="BZ150" i="1"/>
  <c r="BY150" i="1"/>
  <c r="BX150" i="1"/>
  <c r="BW150" i="1"/>
  <c r="BQ150" i="1"/>
  <c r="BR150" i="1" s="1"/>
  <c r="BL150" i="1"/>
  <c r="BK150" i="1"/>
  <c r="BE150" i="1"/>
  <c r="AY150" i="1"/>
  <c r="AU150" i="1"/>
  <c r="AM150" i="1"/>
  <c r="AK150" i="1"/>
  <c r="AI150" i="1"/>
  <c r="AG150" i="1"/>
  <c r="AE150" i="1"/>
  <c r="AC150" i="1"/>
  <c r="AA150" i="1"/>
  <c r="Y150" i="1"/>
  <c r="W150" i="1"/>
  <c r="U150" i="1"/>
  <c r="S150" i="1"/>
  <c r="E160" i="2" s="1"/>
  <c r="R150" i="1"/>
  <c r="M150" i="1"/>
  <c r="HN149" i="1"/>
  <c r="HK149" i="1"/>
  <c r="HJ149" i="1"/>
  <c r="HA149" i="1"/>
  <c r="GW149" i="1"/>
  <c r="GR149" i="1"/>
  <c r="GL149" i="1"/>
  <c r="GG149" i="1"/>
  <c r="GM149" i="1" s="1"/>
  <c r="GX149" i="1" s="1"/>
  <c r="GA149" i="1"/>
  <c r="FV149" i="1"/>
  <c r="GB149" i="1" s="1"/>
  <c r="FQ149" i="1"/>
  <c r="FG149" i="1"/>
  <c r="DU149" i="1"/>
  <c r="DT149" i="1"/>
  <c r="DS149" i="1"/>
  <c r="DR149" i="1"/>
  <c r="DQ149" i="1"/>
  <c r="DL149" i="1"/>
  <c r="DG149" i="1"/>
  <c r="DB149" i="1"/>
  <c r="CW149" i="1"/>
  <c r="CR149" i="1"/>
  <c r="CS149" i="1" s="1"/>
  <c r="CM149" i="1"/>
  <c r="CH149" i="1"/>
  <c r="BZ149" i="1"/>
  <c r="BY149" i="1"/>
  <c r="BX149" i="1"/>
  <c r="BW149" i="1"/>
  <c r="BR149" i="1"/>
  <c r="BQ149" i="1"/>
  <c r="BL149" i="1"/>
  <c r="CB149" i="1" s="1"/>
  <c r="BK149" i="1"/>
  <c r="BF149" i="1"/>
  <c r="BE149" i="1"/>
  <c r="AY149" i="1"/>
  <c r="AV149" i="1"/>
  <c r="AU149" i="1"/>
  <c r="AM149" i="1"/>
  <c r="AK149" i="1"/>
  <c r="AI149" i="1"/>
  <c r="AG149" i="1"/>
  <c r="AE149" i="1"/>
  <c r="AC149" i="1"/>
  <c r="AA149" i="1"/>
  <c r="Y149" i="1"/>
  <c r="W149" i="1"/>
  <c r="U149" i="1"/>
  <c r="R149" i="1"/>
  <c r="M149" i="1"/>
  <c r="S149" i="1" s="1"/>
  <c r="AW149" i="1" s="1"/>
  <c r="HN148" i="1"/>
  <c r="HK148" i="1"/>
  <c r="HJ148" i="1"/>
  <c r="HA148" i="1"/>
  <c r="GW148" i="1"/>
  <c r="GR148" i="1"/>
  <c r="GM148" i="1"/>
  <c r="GL148" i="1"/>
  <c r="GG148" i="1"/>
  <c r="GB148" i="1"/>
  <c r="GA148" i="1"/>
  <c r="FV148" i="1"/>
  <c r="FQ148" i="1"/>
  <c r="FG148" i="1"/>
  <c r="DU148" i="1"/>
  <c r="DT148" i="1"/>
  <c r="DS148" i="1"/>
  <c r="DR148" i="1"/>
  <c r="DQ148" i="1"/>
  <c r="DL148" i="1"/>
  <c r="DG148" i="1"/>
  <c r="DB148" i="1"/>
  <c r="DV148" i="1" s="1"/>
  <c r="CW148" i="1"/>
  <c r="CR148" i="1"/>
  <c r="CM148" i="1"/>
  <c r="CS148" i="1" s="1"/>
  <c r="CH148" i="1"/>
  <c r="BZ148" i="1"/>
  <c r="BY148" i="1"/>
  <c r="BW148" i="1"/>
  <c r="BX148" i="1" s="1"/>
  <c r="BR148" i="1"/>
  <c r="BQ148" i="1"/>
  <c r="BL148" i="1"/>
  <c r="BK148" i="1"/>
  <c r="BE148" i="1"/>
  <c r="CA148" i="1" s="1"/>
  <c r="AY148" i="1"/>
  <c r="AU148" i="1"/>
  <c r="AV148" i="1" s="1"/>
  <c r="AM148" i="1"/>
  <c r="AK148" i="1"/>
  <c r="AI148" i="1"/>
  <c r="AG148" i="1"/>
  <c r="AE148" i="1"/>
  <c r="AC148" i="1"/>
  <c r="AA148" i="1"/>
  <c r="Y148" i="1"/>
  <c r="W148" i="1"/>
  <c r="U148" i="1"/>
  <c r="S148" i="1"/>
  <c r="R148" i="1"/>
  <c r="M148" i="1"/>
  <c r="HN147" i="1"/>
  <c r="HK147" i="1"/>
  <c r="HJ147" i="1"/>
  <c r="HA147" i="1"/>
  <c r="GW147" i="1"/>
  <c r="GR147" i="1"/>
  <c r="GL147" i="1"/>
  <c r="GG147" i="1"/>
  <c r="GM147" i="1" s="1"/>
  <c r="GA147" i="1"/>
  <c r="GB147" i="1" s="1"/>
  <c r="FV147" i="1"/>
  <c r="FQ147" i="1"/>
  <c r="FG147" i="1"/>
  <c r="DU147" i="1"/>
  <c r="DT147" i="1"/>
  <c r="DS147" i="1"/>
  <c r="DR147" i="1"/>
  <c r="DQ147" i="1"/>
  <c r="DL147" i="1"/>
  <c r="DG147" i="1"/>
  <c r="DB147" i="1"/>
  <c r="DV147" i="1" s="1"/>
  <c r="CW147" i="1"/>
  <c r="D348" i="3" s="1"/>
  <c r="CS147" i="1"/>
  <c r="CR147" i="1"/>
  <c r="CM147" i="1"/>
  <c r="CH147" i="1"/>
  <c r="BZ147" i="1"/>
  <c r="BY147" i="1"/>
  <c r="BX147" i="1"/>
  <c r="BW147" i="1"/>
  <c r="BR147" i="1"/>
  <c r="BQ147" i="1"/>
  <c r="BL147" i="1"/>
  <c r="BK147" i="1"/>
  <c r="BE147" i="1"/>
  <c r="BF147" i="1" s="1"/>
  <c r="CB147" i="1" s="1"/>
  <c r="AY147" i="1"/>
  <c r="AV147" i="1"/>
  <c r="AU147" i="1"/>
  <c r="AM147" i="1"/>
  <c r="AK147" i="1"/>
  <c r="AI147" i="1"/>
  <c r="AG147" i="1"/>
  <c r="AE147" i="1"/>
  <c r="AC147" i="1"/>
  <c r="AA147" i="1"/>
  <c r="Y147" i="1"/>
  <c r="W147" i="1"/>
  <c r="U147" i="1"/>
  <c r="R147" i="1"/>
  <c r="M147" i="1"/>
  <c r="S147" i="1" s="1"/>
  <c r="HN146" i="1"/>
  <c r="HK146" i="1"/>
  <c r="HJ146" i="1"/>
  <c r="HA146" i="1"/>
  <c r="GW146" i="1"/>
  <c r="GR146" i="1"/>
  <c r="GL146" i="1"/>
  <c r="GG146" i="1"/>
  <c r="GM146" i="1" s="1"/>
  <c r="GX146" i="1" s="1"/>
  <c r="GB146" i="1"/>
  <c r="GA146" i="1"/>
  <c r="FV146" i="1"/>
  <c r="FQ146" i="1"/>
  <c r="FG146" i="1"/>
  <c r="DU146" i="1"/>
  <c r="DT146" i="1"/>
  <c r="DS146" i="1"/>
  <c r="DR146" i="1"/>
  <c r="DQ146" i="1"/>
  <c r="DL146" i="1"/>
  <c r="DG146" i="1"/>
  <c r="DB146" i="1"/>
  <c r="CW146" i="1"/>
  <c r="CR146" i="1"/>
  <c r="CM146" i="1"/>
  <c r="CS146" i="1" s="1"/>
  <c r="CH146" i="1"/>
  <c r="BZ146" i="1"/>
  <c r="BY146" i="1"/>
  <c r="BW146" i="1"/>
  <c r="BX146" i="1" s="1"/>
  <c r="BR146" i="1"/>
  <c r="BQ146" i="1"/>
  <c r="BK146" i="1"/>
  <c r="BL146" i="1" s="1"/>
  <c r="BE146" i="1"/>
  <c r="BF146" i="1" s="1"/>
  <c r="AY146" i="1"/>
  <c r="AV146" i="1"/>
  <c r="AU146" i="1"/>
  <c r="AM146" i="1"/>
  <c r="AK146" i="1"/>
  <c r="AI146" i="1"/>
  <c r="AG146" i="1"/>
  <c r="AE146" i="1"/>
  <c r="AC146" i="1"/>
  <c r="AA146" i="1"/>
  <c r="Y146" i="1"/>
  <c r="W146" i="1"/>
  <c r="U146" i="1"/>
  <c r="R146" i="1"/>
  <c r="M146" i="1"/>
  <c r="HN145" i="1"/>
  <c r="HK145" i="1"/>
  <c r="HJ145" i="1"/>
  <c r="HA145" i="1"/>
  <c r="GW145" i="1"/>
  <c r="GR145" i="1"/>
  <c r="GL145" i="1"/>
  <c r="GG145" i="1"/>
  <c r="GM145" i="1" s="1"/>
  <c r="GA145" i="1"/>
  <c r="FV145" i="1"/>
  <c r="GB145" i="1" s="1"/>
  <c r="FQ145" i="1"/>
  <c r="FG145" i="1"/>
  <c r="DU145" i="1"/>
  <c r="DT145" i="1"/>
  <c r="DS145" i="1"/>
  <c r="DR145" i="1"/>
  <c r="DQ145" i="1"/>
  <c r="DL145" i="1"/>
  <c r="DG145" i="1"/>
  <c r="DB145" i="1"/>
  <c r="DV145" i="1" s="1"/>
  <c r="CW145" i="1"/>
  <c r="CS145" i="1"/>
  <c r="CR145" i="1"/>
  <c r="CM145" i="1"/>
  <c r="CH145" i="1"/>
  <c r="BZ145" i="1"/>
  <c r="BY145" i="1"/>
  <c r="BX145" i="1"/>
  <c r="BW145" i="1"/>
  <c r="BR145" i="1"/>
  <c r="BQ145" i="1"/>
  <c r="BL145" i="1"/>
  <c r="BK145" i="1"/>
  <c r="BE145" i="1"/>
  <c r="CA145" i="1" s="1"/>
  <c r="AY145" i="1"/>
  <c r="AV145" i="1"/>
  <c r="AU145" i="1"/>
  <c r="G150" i="2" s="1"/>
  <c r="AM145" i="1"/>
  <c r="AK145" i="1"/>
  <c r="AI145" i="1"/>
  <c r="AG145" i="1"/>
  <c r="AE145" i="1"/>
  <c r="AC145" i="1"/>
  <c r="AA145" i="1"/>
  <c r="Y145" i="1"/>
  <c r="W145" i="1"/>
  <c r="U145" i="1"/>
  <c r="G149" i="2" s="1"/>
  <c r="R145" i="1"/>
  <c r="M145" i="1"/>
  <c r="HN143" i="1"/>
  <c r="HK143" i="1"/>
  <c r="HJ143" i="1"/>
  <c r="HA143" i="1"/>
  <c r="GW143" i="1"/>
  <c r="GR143" i="1"/>
  <c r="GL143" i="1"/>
  <c r="GG143" i="1"/>
  <c r="GA143" i="1"/>
  <c r="FV143" i="1"/>
  <c r="GB143" i="1" s="1"/>
  <c r="FQ143" i="1"/>
  <c r="FG143" i="1"/>
  <c r="DU143" i="1"/>
  <c r="DT143" i="1"/>
  <c r="DS143" i="1"/>
  <c r="DR143" i="1"/>
  <c r="DQ143" i="1"/>
  <c r="DL143" i="1"/>
  <c r="DG143" i="1"/>
  <c r="DB143" i="1"/>
  <c r="DV143" i="1" s="1"/>
  <c r="CW143" i="1"/>
  <c r="CS143" i="1"/>
  <c r="CR143" i="1"/>
  <c r="CM143" i="1"/>
  <c r="CH143" i="1"/>
  <c r="BZ143" i="1"/>
  <c r="BY143" i="1"/>
  <c r="BX143" i="1"/>
  <c r="BW143" i="1"/>
  <c r="BQ143" i="1"/>
  <c r="BR143" i="1" s="1"/>
  <c r="BK143" i="1"/>
  <c r="BL143" i="1" s="1"/>
  <c r="BE143" i="1"/>
  <c r="AY143" i="1"/>
  <c r="AW143" i="1"/>
  <c r="AV143" i="1"/>
  <c r="AU143" i="1"/>
  <c r="AM143" i="1"/>
  <c r="AK143" i="1"/>
  <c r="AI143" i="1"/>
  <c r="AG143" i="1"/>
  <c r="AE143" i="1"/>
  <c r="AC143" i="1"/>
  <c r="AA143" i="1"/>
  <c r="Y143" i="1"/>
  <c r="W143" i="1"/>
  <c r="U143" i="1"/>
  <c r="R143" i="1"/>
  <c r="S143" i="1" s="1"/>
  <c r="M143" i="1"/>
  <c r="HN142" i="1"/>
  <c r="HK142" i="1"/>
  <c r="HJ142" i="1"/>
  <c r="HA142" i="1"/>
  <c r="GW142" i="1"/>
  <c r="GR142" i="1"/>
  <c r="GX142" i="1" s="1"/>
  <c r="GM142" i="1"/>
  <c r="GL142" i="1"/>
  <c r="GG142" i="1"/>
  <c r="GA142" i="1"/>
  <c r="FV142" i="1"/>
  <c r="GB142" i="1" s="1"/>
  <c r="FQ142" i="1"/>
  <c r="FG142" i="1"/>
  <c r="DU142" i="1"/>
  <c r="DT142" i="1"/>
  <c r="DS142" i="1"/>
  <c r="DR142" i="1"/>
  <c r="DQ142" i="1"/>
  <c r="DL142" i="1"/>
  <c r="DG142" i="1"/>
  <c r="DB142" i="1"/>
  <c r="CW142" i="1"/>
  <c r="CR142" i="1"/>
  <c r="CM142" i="1"/>
  <c r="CS142" i="1" s="1"/>
  <c r="CH142" i="1"/>
  <c r="CA142" i="1"/>
  <c r="BZ142" i="1"/>
  <c r="BY142" i="1"/>
  <c r="BW142" i="1"/>
  <c r="BX142" i="1" s="1"/>
  <c r="BQ142" i="1"/>
  <c r="BR142" i="1" s="1"/>
  <c r="BK142" i="1"/>
  <c r="BL142" i="1" s="1"/>
  <c r="BF142" i="1"/>
  <c r="CB142" i="1" s="1"/>
  <c r="BE142" i="1"/>
  <c r="AY142" i="1"/>
  <c r="AU142" i="1"/>
  <c r="AM142" i="1"/>
  <c r="AK142" i="1"/>
  <c r="AI142" i="1"/>
  <c r="AG142" i="1"/>
  <c r="AE142" i="1"/>
  <c r="AC142" i="1"/>
  <c r="AA142" i="1"/>
  <c r="Y142" i="1"/>
  <c r="W142" i="1"/>
  <c r="U142" i="1"/>
  <c r="S142" i="1"/>
  <c r="R142" i="1"/>
  <c r="M142" i="1"/>
  <c r="HN141" i="1"/>
  <c r="HK141" i="1"/>
  <c r="HJ141" i="1"/>
  <c r="HA141" i="1"/>
  <c r="GW141" i="1"/>
  <c r="GR141" i="1"/>
  <c r="GM141" i="1"/>
  <c r="GL141" i="1"/>
  <c r="GG141" i="1"/>
  <c r="GB141" i="1"/>
  <c r="GA141" i="1"/>
  <c r="FV141" i="1"/>
  <c r="FQ141" i="1"/>
  <c r="FG141" i="1"/>
  <c r="DU141" i="1"/>
  <c r="DT141" i="1"/>
  <c r="DS141" i="1"/>
  <c r="DR141" i="1"/>
  <c r="DQ141" i="1"/>
  <c r="DL141" i="1"/>
  <c r="DG141" i="1"/>
  <c r="DB141" i="1"/>
  <c r="DV141" i="1" s="1"/>
  <c r="CW141" i="1"/>
  <c r="CS141" i="1"/>
  <c r="CR141" i="1"/>
  <c r="CM141" i="1"/>
  <c r="CH141" i="1"/>
  <c r="BZ141" i="1"/>
  <c r="BY141" i="1"/>
  <c r="BX141" i="1"/>
  <c r="BW141" i="1"/>
  <c r="BQ141" i="1"/>
  <c r="BR141" i="1" s="1"/>
  <c r="BK141" i="1"/>
  <c r="BL141" i="1" s="1"/>
  <c r="BE141" i="1"/>
  <c r="AY141" i="1"/>
  <c r="AU141" i="1"/>
  <c r="AM141" i="1"/>
  <c r="AK141" i="1"/>
  <c r="AI141" i="1"/>
  <c r="AG141" i="1"/>
  <c r="AE141" i="1"/>
  <c r="AC141" i="1"/>
  <c r="AA141" i="1"/>
  <c r="Y141" i="1"/>
  <c r="W141" i="1"/>
  <c r="U141" i="1"/>
  <c r="R141" i="1"/>
  <c r="M141" i="1"/>
  <c r="S141" i="1" s="1"/>
  <c r="F147" i="2" s="1"/>
  <c r="HN140" i="1"/>
  <c r="HK140" i="1"/>
  <c r="HJ140" i="1"/>
  <c r="HA140" i="1"/>
  <c r="GX140" i="1"/>
  <c r="GW140" i="1"/>
  <c r="GR140" i="1"/>
  <c r="GM140" i="1"/>
  <c r="GL140" i="1"/>
  <c r="GG140" i="1"/>
  <c r="GA140" i="1"/>
  <c r="FV140" i="1"/>
  <c r="GB140" i="1" s="1"/>
  <c r="FQ140" i="1"/>
  <c r="FG140" i="1"/>
  <c r="DU140" i="1"/>
  <c r="DT140" i="1"/>
  <c r="DS140" i="1"/>
  <c r="DR140" i="1"/>
  <c r="DQ140" i="1"/>
  <c r="DL140" i="1"/>
  <c r="DG140" i="1"/>
  <c r="DB140" i="1"/>
  <c r="DV140" i="1" s="1"/>
  <c r="CW140" i="1"/>
  <c r="CR140" i="1"/>
  <c r="CM140" i="1"/>
  <c r="CS140" i="1" s="1"/>
  <c r="CH140" i="1"/>
  <c r="BZ140" i="1"/>
  <c r="BY140" i="1"/>
  <c r="BW140" i="1"/>
  <c r="BX140" i="1" s="1"/>
  <c r="BR140" i="1"/>
  <c r="BQ140" i="1"/>
  <c r="BL140" i="1"/>
  <c r="BK140" i="1"/>
  <c r="BF140" i="1"/>
  <c r="BE140" i="1"/>
  <c r="CA140" i="1" s="1"/>
  <c r="AY140" i="1"/>
  <c r="AV140" i="1"/>
  <c r="AU140" i="1"/>
  <c r="AM140" i="1"/>
  <c r="AK140" i="1"/>
  <c r="AI140" i="1"/>
  <c r="AG140" i="1"/>
  <c r="AE140" i="1"/>
  <c r="AC140" i="1"/>
  <c r="AA140" i="1"/>
  <c r="Y140" i="1"/>
  <c r="W140" i="1"/>
  <c r="U140" i="1"/>
  <c r="S140" i="1"/>
  <c r="AW140" i="1" s="1"/>
  <c r="R140" i="1"/>
  <c r="M140" i="1"/>
  <c r="HN139" i="1"/>
  <c r="HK139" i="1"/>
  <c r="HJ139" i="1"/>
  <c r="HD139" i="1"/>
  <c r="HA139" i="1"/>
  <c r="GW139" i="1"/>
  <c r="GR139" i="1"/>
  <c r="GM139" i="1"/>
  <c r="GX139" i="1" s="1"/>
  <c r="GL139" i="1"/>
  <c r="GG139" i="1"/>
  <c r="GA139" i="1"/>
  <c r="FV139" i="1"/>
  <c r="GB139" i="1" s="1"/>
  <c r="FQ139" i="1"/>
  <c r="FG139" i="1"/>
  <c r="DU139" i="1"/>
  <c r="DT139" i="1"/>
  <c r="DS139" i="1"/>
  <c r="DR139" i="1"/>
  <c r="DQ139" i="1"/>
  <c r="DL139" i="1"/>
  <c r="DG139" i="1"/>
  <c r="DB139" i="1"/>
  <c r="DV139" i="1" s="1"/>
  <c r="CW139" i="1"/>
  <c r="CR139" i="1"/>
  <c r="CM139" i="1"/>
  <c r="CH139" i="1"/>
  <c r="BZ139" i="1"/>
  <c r="BY139" i="1"/>
  <c r="BW139" i="1"/>
  <c r="BX139" i="1" s="1"/>
  <c r="BR139" i="1"/>
  <c r="BQ139" i="1"/>
  <c r="BL139" i="1"/>
  <c r="BK139" i="1"/>
  <c r="BE139" i="1"/>
  <c r="CA139" i="1" s="1"/>
  <c r="AY139" i="1"/>
  <c r="AV139" i="1"/>
  <c r="AU139" i="1"/>
  <c r="AM139" i="1"/>
  <c r="AK139" i="1"/>
  <c r="AI139" i="1"/>
  <c r="AG139" i="1"/>
  <c r="AE139" i="1"/>
  <c r="AC139" i="1"/>
  <c r="AA139" i="1"/>
  <c r="Y139" i="1"/>
  <c r="W139" i="1"/>
  <c r="U139" i="1"/>
  <c r="R139" i="1"/>
  <c r="S139" i="1" s="1"/>
  <c r="AW139" i="1" s="1"/>
  <c r="M139" i="1"/>
  <c r="HN138" i="1"/>
  <c r="HK138" i="1"/>
  <c r="HJ138" i="1"/>
  <c r="HA138" i="1"/>
  <c r="GW138" i="1"/>
  <c r="GR138" i="1"/>
  <c r="GL138" i="1"/>
  <c r="GG138" i="1"/>
  <c r="GM138" i="1" s="1"/>
  <c r="GB138" i="1"/>
  <c r="GA138" i="1"/>
  <c r="FV138" i="1"/>
  <c r="FQ138" i="1"/>
  <c r="FG138" i="1"/>
  <c r="DU138" i="1"/>
  <c r="DT138" i="1"/>
  <c r="DS138" i="1"/>
  <c r="DR138" i="1"/>
  <c r="DQ138" i="1"/>
  <c r="DL138" i="1"/>
  <c r="DG138" i="1"/>
  <c r="DB138" i="1"/>
  <c r="DV138" i="1" s="1"/>
  <c r="E156" i="2" s="1"/>
  <c r="CW138" i="1"/>
  <c r="CS138" i="1"/>
  <c r="CR138" i="1"/>
  <c r="CM138" i="1"/>
  <c r="CH138" i="1"/>
  <c r="BZ138" i="1"/>
  <c r="BY138" i="1"/>
  <c r="BX138" i="1"/>
  <c r="BW138" i="1"/>
  <c r="BR138" i="1"/>
  <c r="BQ138" i="1"/>
  <c r="BL138" i="1"/>
  <c r="BK138" i="1"/>
  <c r="CA138" i="1" s="1"/>
  <c r="BF138" i="1"/>
  <c r="CB138" i="1" s="1"/>
  <c r="BE138" i="1"/>
  <c r="AY138" i="1"/>
  <c r="AV138" i="1"/>
  <c r="AU138" i="1"/>
  <c r="AM138" i="1"/>
  <c r="AK138" i="1"/>
  <c r="AI138" i="1"/>
  <c r="AG138" i="1"/>
  <c r="AE138" i="1"/>
  <c r="AC138" i="1"/>
  <c r="AA138" i="1"/>
  <c r="Y138" i="1"/>
  <c r="W138" i="1"/>
  <c r="U138" i="1"/>
  <c r="S138" i="1"/>
  <c r="R138" i="1"/>
  <c r="M138" i="1"/>
  <c r="HN137" i="1"/>
  <c r="HK137" i="1"/>
  <c r="HJ137" i="1"/>
  <c r="HA137" i="1"/>
  <c r="GW137" i="1"/>
  <c r="GR137" i="1"/>
  <c r="GL137" i="1"/>
  <c r="GG137" i="1"/>
  <c r="GM137" i="1" s="1"/>
  <c r="GX137" i="1" s="1"/>
  <c r="GA137" i="1"/>
  <c r="FV137" i="1"/>
  <c r="GB137" i="1" s="1"/>
  <c r="FQ137" i="1"/>
  <c r="FG137" i="1"/>
  <c r="DU137" i="1"/>
  <c r="DT137" i="1"/>
  <c r="DS137" i="1"/>
  <c r="DR137" i="1"/>
  <c r="DQ137" i="1"/>
  <c r="DL137" i="1"/>
  <c r="DG137" i="1"/>
  <c r="DB137" i="1"/>
  <c r="CW137" i="1"/>
  <c r="CR137" i="1"/>
  <c r="CS137" i="1" s="1"/>
  <c r="CM137" i="1"/>
  <c r="CH137" i="1"/>
  <c r="BZ137" i="1"/>
  <c r="BY137" i="1"/>
  <c r="BW137" i="1"/>
  <c r="BX137" i="1" s="1"/>
  <c r="BQ137" i="1"/>
  <c r="BR137" i="1" s="1"/>
  <c r="BL137" i="1"/>
  <c r="BK137" i="1"/>
  <c r="BE137" i="1"/>
  <c r="BF137" i="1" s="1"/>
  <c r="CB137" i="1" s="1"/>
  <c r="AY137" i="1"/>
  <c r="AU137" i="1"/>
  <c r="AV137" i="1" s="1"/>
  <c r="AM137" i="1"/>
  <c r="AK137" i="1"/>
  <c r="AI137" i="1"/>
  <c r="AG137" i="1"/>
  <c r="AE137" i="1"/>
  <c r="AC137" i="1"/>
  <c r="AA137" i="1"/>
  <c r="Y137" i="1"/>
  <c r="W137" i="1"/>
  <c r="U137" i="1"/>
  <c r="R137" i="1"/>
  <c r="M137" i="1"/>
  <c r="S137" i="1" s="1"/>
  <c r="HN136" i="1"/>
  <c r="HK136" i="1"/>
  <c r="HJ136" i="1"/>
  <c r="HA136" i="1"/>
  <c r="GW136" i="1"/>
  <c r="GR136" i="1"/>
  <c r="GM136" i="1"/>
  <c r="GL136" i="1"/>
  <c r="GG136" i="1"/>
  <c r="GA136" i="1"/>
  <c r="FV136" i="1"/>
  <c r="GB136" i="1" s="1"/>
  <c r="FQ136" i="1"/>
  <c r="FG136" i="1"/>
  <c r="DU136" i="1"/>
  <c r="DT136" i="1"/>
  <c r="DS136" i="1"/>
  <c r="DR136" i="1"/>
  <c r="DQ136" i="1"/>
  <c r="DL136" i="1"/>
  <c r="DG136" i="1"/>
  <c r="DB136" i="1"/>
  <c r="DV136" i="1" s="1"/>
  <c r="CW136" i="1"/>
  <c r="CR136" i="1"/>
  <c r="CM136" i="1"/>
  <c r="CS136" i="1" s="1"/>
  <c r="CH136" i="1"/>
  <c r="BZ136" i="1"/>
  <c r="BY136" i="1"/>
  <c r="BW136" i="1"/>
  <c r="BX136" i="1" s="1"/>
  <c r="BR136" i="1"/>
  <c r="BQ136" i="1"/>
  <c r="BL136" i="1"/>
  <c r="BK136" i="1"/>
  <c r="BF136" i="1"/>
  <c r="CB136" i="1" s="1"/>
  <c r="BE136" i="1"/>
  <c r="CA136" i="1" s="1"/>
  <c r="AY136" i="1"/>
  <c r="AV136" i="1"/>
  <c r="AU136" i="1"/>
  <c r="AM136" i="1"/>
  <c r="AK136" i="1"/>
  <c r="AI136" i="1"/>
  <c r="AG136" i="1"/>
  <c r="AE136" i="1"/>
  <c r="AC136" i="1"/>
  <c r="AA136" i="1"/>
  <c r="Y136" i="1"/>
  <c r="W136" i="1"/>
  <c r="U136" i="1"/>
  <c r="S136" i="1"/>
  <c r="AW136" i="1" s="1"/>
  <c r="R136" i="1"/>
  <c r="M136" i="1"/>
  <c r="HN135" i="1"/>
  <c r="HK135" i="1"/>
  <c r="HJ135" i="1"/>
  <c r="HA135" i="1"/>
  <c r="GW135" i="1"/>
  <c r="GR135" i="1"/>
  <c r="GL135" i="1"/>
  <c r="GM135" i="1" s="1"/>
  <c r="GG135" i="1"/>
  <c r="GB135" i="1"/>
  <c r="GA135" i="1"/>
  <c r="FV135" i="1"/>
  <c r="FQ135" i="1"/>
  <c r="FG135" i="1"/>
  <c r="DU135" i="1"/>
  <c r="DT135" i="1"/>
  <c r="DS135" i="1"/>
  <c r="DR135" i="1"/>
  <c r="DQ135" i="1"/>
  <c r="DL135" i="1"/>
  <c r="DG135" i="1"/>
  <c r="DB135" i="1"/>
  <c r="DV135" i="1" s="1"/>
  <c r="CW135" i="1"/>
  <c r="D321" i="3" s="1"/>
  <c r="CR135" i="1"/>
  <c r="CM135" i="1"/>
  <c r="CH135" i="1"/>
  <c r="BZ135" i="1"/>
  <c r="BY135" i="1"/>
  <c r="BW135" i="1"/>
  <c r="BX135" i="1" s="1"/>
  <c r="BR135" i="1"/>
  <c r="BQ135" i="1"/>
  <c r="BK135" i="1"/>
  <c r="BL135" i="1" s="1"/>
  <c r="BE135" i="1"/>
  <c r="AY135" i="1"/>
  <c r="AV135" i="1"/>
  <c r="AU135" i="1"/>
  <c r="AM135" i="1"/>
  <c r="AK135" i="1"/>
  <c r="AI135" i="1"/>
  <c r="AG135" i="1"/>
  <c r="AE135" i="1"/>
  <c r="AC135" i="1"/>
  <c r="AA135" i="1"/>
  <c r="Y135" i="1"/>
  <c r="W135" i="1"/>
  <c r="U135" i="1"/>
  <c r="R135" i="1"/>
  <c r="S135" i="1" s="1"/>
  <c r="AW135" i="1" s="1"/>
  <c r="M135" i="1"/>
  <c r="HN134" i="1"/>
  <c r="HK134" i="1"/>
  <c r="HJ134" i="1"/>
  <c r="HA134" i="1"/>
  <c r="GW134" i="1"/>
  <c r="GR134" i="1"/>
  <c r="GL134" i="1"/>
  <c r="GG134" i="1"/>
  <c r="GM134" i="1" s="1"/>
  <c r="GA134" i="1"/>
  <c r="GB134" i="1" s="1"/>
  <c r="FV134" i="1"/>
  <c r="FQ134" i="1"/>
  <c r="FG134" i="1"/>
  <c r="DU134" i="1"/>
  <c r="DT134" i="1"/>
  <c r="DS134" i="1"/>
  <c r="DR134" i="1"/>
  <c r="DQ134" i="1"/>
  <c r="DL134" i="1"/>
  <c r="DG134" i="1"/>
  <c r="DB134" i="1"/>
  <c r="DV134" i="1" s="1"/>
  <c r="CW134" i="1"/>
  <c r="CR134" i="1"/>
  <c r="CM134" i="1"/>
  <c r="CS134" i="1" s="1"/>
  <c r="CH134" i="1"/>
  <c r="BZ134" i="1"/>
  <c r="BY134" i="1"/>
  <c r="BX134" i="1"/>
  <c r="BW134" i="1"/>
  <c r="BR134" i="1"/>
  <c r="BQ134" i="1"/>
  <c r="BL134" i="1"/>
  <c r="CB134" i="1" s="1"/>
  <c r="BK134" i="1"/>
  <c r="CA134" i="1" s="1"/>
  <c r="BE134" i="1"/>
  <c r="BF134" i="1" s="1"/>
  <c r="AY134" i="1"/>
  <c r="AV134" i="1"/>
  <c r="AU134" i="1"/>
  <c r="AM134" i="1"/>
  <c r="AK134" i="1"/>
  <c r="AI134" i="1"/>
  <c r="AG134" i="1"/>
  <c r="AE134" i="1"/>
  <c r="AC134" i="1"/>
  <c r="AA134" i="1"/>
  <c r="Y134" i="1"/>
  <c r="W134" i="1"/>
  <c r="U134" i="1"/>
  <c r="R134" i="1"/>
  <c r="M134" i="1"/>
  <c r="S134" i="1" s="1"/>
  <c r="AW134" i="1" s="1"/>
  <c r="HN133" i="1"/>
  <c r="HK133" i="1"/>
  <c r="HJ133" i="1"/>
  <c r="HA133" i="1"/>
  <c r="GW133" i="1"/>
  <c r="GR133" i="1"/>
  <c r="GL133" i="1"/>
  <c r="GG133" i="1"/>
  <c r="GA133" i="1"/>
  <c r="FV133" i="1"/>
  <c r="GB133" i="1" s="1"/>
  <c r="G138" i="2" s="1"/>
  <c r="FQ133" i="1"/>
  <c r="FG133" i="1"/>
  <c r="DU133" i="1"/>
  <c r="DT133" i="1"/>
  <c r="DS133" i="1"/>
  <c r="DR133" i="1"/>
  <c r="DQ133" i="1"/>
  <c r="DL133" i="1"/>
  <c r="DG133" i="1"/>
  <c r="DB133" i="1"/>
  <c r="DV133" i="1" s="1"/>
  <c r="G143" i="2" s="1"/>
  <c r="CW133" i="1"/>
  <c r="CS133" i="1"/>
  <c r="CR133" i="1"/>
  <c r="CM133" i="1"/>
  <c r="CH133" i="1"/>
  <c r="BZ133" i="1"/>
  <c r="BY133" i="1"/>
  <c r="BX133" i="1"/>
  <c r="BW133" i="1"/>
  <c r="BQ133" i="1"/>
  <c r="BR133" i="1" s="1"/>
  <c r="BK133" i="1"/>
  <c r="BL133" i="1" s="1"/>
  <c r="BE133" i="1"/>
  <c r="BF133" i="1" s="1"/>
  <c r="CB133" i="1" s="1"/>
  <c r="AY133" i="1"/>
  <c r="AU133" i="1"/>
  <c r="G137" i="2" s="1"/>
  <c r="AM133" i="1"/>
  <c r="AK133" i="1"/>
  <c r="AI133" i="1"/>
  <c r="AG133" i="1"/>
  <c r="AE133" i="1"/>
  <c r="AC133" i="1"/>
  <c r="AA133" i="1"/>
  <c r="Y133" i="1"/>
  <c r="W133" i="1"/>
  <c r="U133" i="1"/>
  <c r="G136" i="2" s="1"/>
  <c r="R133" i="1"/>
  <c r="M133" i="1"/>
  <c r="HN131" i="1"/>
  <c r="HK131" i="1"/>
  <c r="HJ131" i="1"/>
  <c r="HC131" i="1"/>
  <c r="HA131" i="1"/>
  <c r="GW131" i="1"/>
  <c r="GR131" i="1"/>
  <c r="GL131" i="1"/>
  <c r="GG131" i="1"/>
  <c r="GM131" i="1" s="1"/>
  <c r="GX131" i="1" s="1"/>
  <c r="GA131" i="1"/>
  <c r="FV131" i="1"/>
  <c r="FQ131" i="1"/>
  <c r="FG131" i="1"/>
  <c r="DU131" i="1"/>
  <c r="DT131" i="1"/>
  <c r="DS131" i="1"/>
  <c r="DR131" i="1"/>
  <c r="DQ131" i="1"/>
  <c r="DL131" i="1"/>
  <c r="DG131" i="1"/>
  <c r="DB131" i="1"/>
  <c r="DV131" i="1" s="1"/>
  <c r="CW131" i="1"/>
  <c r="CS131" i="1"/>
  <c r="CR131" i="1"/>
  <c r="CM131" i="1"/>
  <c r="CH131" i="1"/>
  <c r="BZ131" i="1"/>
  <c r="BY131" i="1"/>
  <c r="BX131" i="1"/>
  <c r="BW131" i="1"/>
  <c r="BR131" i="1"/>
  <c r="BQ131" i="1"/>
  <c r="BK131" i="1"/>
  <c r="BL131" i="1" s="1"/>
  <c r="BF131" i="1"/>
  <c r="BE131" i="1"/>
  <c r="CA131" i="1" s="1"/>
  <c r="AY131" i="1"/>
  <c r="AV131" i="1"/>
  <c r="AU131" i="1"/>
  <c r="AM131" i="1"/>
  <c r="AK131" i="1"/>
  <c r="AI131" i="1"/>
  <c r="AG131" i="1"/>
  <c r="AE131" i="1"/>
  <c r="AC131" i="1"/>
  <c r="AA131" i="1"/>
  <c r="Y131" i="1"/>
  <c r="W131" i="1"/>
  <c r="U131" i="1"/>
  <c r="R131" i="1"/>
  <c r="M131" i="1"/>
  <c r="S131" i="1" s="1"/>
  <c r="AW131" i="1" s="1"/>
  <c r="HN130" i="1"/>
  <c r="HK130" i="1"/>
  <c r="HJ130" i="1"/>
  <c r="HA130" i="1"/>
  <c r="GX130" i="1"/>
  <c r="GW130" i="1"/>
  <c r="GR130" i="1"/>
  <c r="GM130" i="1"/>
  <c r="GL130" i="1"/>
  <c r="GG130" i="1"/>
  <c r="GA130" i="1"/>
  <c r="FV130" i="1"/>
  <c r="GB130" i="1" s="1"/>
  <c r="FQ130" i="1"/>
  <c r="FG130" i="1"/>
  <c r="DU130" i="1"/>
  <c r="DT130" i="1"/>
  <c r="DS130" i="1"/>
  <c r="DR130" i="1"/>
  <c r="DQ130" i="1"/>
  <c r="DL130" i="1"/>
  <c r="DG130" i="1"/>
  <c r="DB130" i="1"/>
  <c r="CW130" i="1"/>
  <c r="CR130" i="1"/>
  <c r="CM130" i="1"/>
  <c r="CS130" i="1" s="1"/>
  <c r="CH130" i="1"/>
  <c r="CA130" i="1"/>
  <c r="BZ130" i="1"/>
  <c r="BY130" i="1"/>
  <c r="BW130" i="1"/>
  <c r="BX130" i="1" s="1"/>
  <c r="BQ130" i="1"/>
  <c r="BR130" i="1" s="1"/>
  <c r="BK130" i="1"/>
  <c r="BL130" i="1" s="1"/>
  <c r="BF130" i="1"/>
  <c r="BE130" i="1"/>
  <c r="AY130" i="1"/>
  <c r="AW130" i="1"/>
  <c r="AU130" i="1"/>
  <c r="AV130" i="1" s="1"/>
  <c r="AM130" i="1"/>
  <c r="AK130" i="1"/>
  <c r="AI130" i="1"/>
  <c r="AG130" i="1"/>
  <c r="AE130" i="1"/>
  <c r="AC130" i="1"/>
  <c r="AA130" i="1"/>
  <c r="Y130" i="1"/>
  <c r="W130" i="1"/>
  <c r="U130" i="1"/>
  <c r="S130" i="1"/>
  <c r="R130" i="1"/>
  <c r="M130" i="1"/>
  <c r="HN129" i="1"/>
  <c r="HK129" i="1"/>
  <c r="HJ129" i="1"/>
  <c r="HA129" i="1"/>
  <c r="GW129" i="1"/>
  <c r="GR129" i="1"/>
  <c r="GL129" i="1"/>
  <c r="GG129" i="1"/>
  <c r="GM129" i="1" s="1"/>
  <c r="GB129" i="1"/>
  <c r="GA129" i="1"/>
  <c r="FV129" i="1"/>
  <c r="FQ129" i="1"/>
  <c r="FG129" i="1"/>
  <c r="DU129" i="1"/>
  <c r="DT129" i="1"/>
  <c r="DS129" i="1"/>
  <c r="DR129" i="1"/>
  <c r="DQ129" i="1"/>
  <c r="DL129" i="1"/>
  <c r="DG129" i="1"/>
  <c r="DB129" i="1"/>
  <c r="DV129" i="1" s="1"/>
  <c r="CW129" i="1"/>
  <c r="CS129" i="1"/>
  <c r="CR129" i="1"/>
  <c r="CM129" i="1"/>
  <c r="CH129" i="1"/>
  <c r="BZ129" i="1"/>
  <c r="BY129" i="1"/>
  <c r="BX129" i="1"/>
  <c r="BW129" i="1"/>
  <c r="BQ129" i="1"/>
  <c r="BR129" i="1" s="1"/>
  <c r="BL129" i="1"/>
  <c r="BK129" i="1"/>
  <c r="CA129" i="1" s="1"/>
  <c r="BF129" i="1"/>
  <c r="CB129" i="1" s="1"/>
  <c r="BE129" i="1"/>
  <c r="AY129" i="1"/>
  <c r="AU129" i="1"/>
  <c r="AV129" i="1" s="1"/>
  <c r="AM129" i="1"/>
  <c r="AK129" i="1"/>
  <c r="AI129" i="1"/>
  <c r="AG129" i="1"/>
  <c r="AE129" i="1"/>
  <c r="AC129" i="1"/>
  <c r="AA129" i="1"/>
  <c r="Y129" i="1"/>
  <c r="W129" i="1"/>
  <c r="U129" i="1"/>
  <c r="R129" i="1"/>
  <c r="M129" i="1"/>
  <c r="S129" i="1" s="1"/>
  <c r="HN128" i="1"/>
  <c r="HK128" i="1"/>
  <c r="HJ128" i="1"/>
  <c r="HA128" i="1"/>
  <c r="GW128" i="1"/>
  <c r="GR128" i="1"/>
  <c r="GL128" i="1"/>
  <c r="GG128" i="1"/>
  <c r="GM128" i="1" s="1"/>
  <c r="GX128" i="1" s="1"/>
  <c r="GB128" i="1"/>
  <c r="GA128" i="1"/>
  <c r="FV128" i="1"/>
  <c r="FQ128" i="1"/>
  <c r="FG128" i="1"/>
  <c r="DU128" i="1"/>
  <c r="DT128" i="1"/>
  <c r="DS128" i="1"/>
  <c r="DR128" i="1"/>
  <c r="DQ128" i="1"/>
  <c r="DL128" i="1"/>
  <c r="DG128" i="1"/>
  <c r="DB128" i="1"/>
  <c r="DV128" i="1" s="1"/>
  <c r="CW128" i="1"/>
  <c r="CR128" i="1"/>
  <c r="CS128" i="1" s="1"/>
  <c r="CM128" i="1"/>
  <c r="CH128" i="1"/>
  <c r="BZ128" i="1"/>
  <c r="BY128" i="1"/>
  <c r="BW128" i="1"/>
  <c r="BX128" i="1" s="1"/>
  <c r="BQ128" i="1"/>
  <c r="BR128" i="1" s="1"/>
  <c r="BL128" i="1"/>
  <c r="BK128" i="1"/>
  <c r="BE128" i="1"/>
  <c r="AY128" i="1"/>
  <c r="AU128" i="1"/>
  <c r="AV128" i="1" s="1"/>
  <c r="AM128" i="1"/>
  <c r="AK128" i="1"/>
  <c r="AI128" i="1"/>
  <c r="AG128" i="1"/>
  <c r="AE128" i="1"/>
  <c r="AC128" i="1"/>
  <c r="AA128" i="1"/>
  <c r="Y128" i="1"/>
  <c r="W128" i="1"/>
  <c r="U128" i="1"/>
  <c r="R128" i="1"/>
  <c r="M128" i="1"/>
  <c r="HN127" i="1"/>
  <c r="HK127" i="1"/>
  <c r="HJ127" i="1"/>
  <c r="HA127" i="1"/>
  <c r="GW127" i="1"/>
  <c r="GR127" i="1"/>
  <c r="GM127" i="1"/>
  <c r="GX127" i="1" s="1"/>
  <c r="GL127" i="1"/>
  <c r="GG127" i="1"/>
  <c r="GA127" i="1"/>
  <c r="FV127" i="1"/>
  <c r="FQ127" i="1"/>
  <c r="FG127" i="1"/>
  <c r="DU127" i="1"/>
  <c r="DT127" i="1"/>
  <c r="DS127" i="1"/>
  <c r="DR127" i="1"/>
  <c r="DQ127" i="1"/>
  <c r="DL127" i="1"/>
  <c r="DG127" i="1"/>
  <c r="DB127" i="1"/>
  <c r="DV127" i="1" s="1"/>
  <c r="CW127" i="1"/>
  <c r="CR127" i="1"/>
  <c r="CM127" i="1"/>
  <c r="CS127" i="1" s="1"/>
  <c r="CH127" i="1"/>
  <c r="BZ127" i="1"/>
  <c r="BY127" i="1"/>
  <c r="BW127" i="1"/>
  <c r="BX127" i="1" s="1"/>
  <c r="BR127" i="1"/>
  <c r="BQ127" i="1"/>
  <c r="BL127" i="1"/>
  <c r="BK127" i="1"/>
  <c r="BF127" i="1"/>
  <c r="CB127" i="1" s="1"/>
  <c r="BE127" i="1"/>
  <c r="CA127" i="1" s="1"/>
  <c r="AY127" i="1"/>
  <c r="AV127" i="1"/>
  <c r="AU127" i="1"/>
  <c r="AM127" i="1"/>
  <c r="AK127" i="1"/>
  <c r="AI127" i="1"/>
  <c r="AG127" i="1"/>
  <c r="AE127" i="1"/>
  <c r="AC127" i="1"/>
  <c r="AA127" i="1"/>
  <c r="Y127" i="1"/>
  <c r="W127" i="1"/>
  <c r="U127" i="1"/>
  <c r="S127" i="1"/>
  <c r="AW127" i="1" s="1"/>
  <c r="R127" i="1"/>
  <c r="M127" i="1"/>
  <c r="HN126" i="1"/>
  <c r="HK126" i="1"/>
  <c r="HJ126" i="1"/>
  <c r="HA126" i="1"/>
  <c r="GW126" i="1"/>
  <c r="GR126" i="1"/>
  <c r="GL126" i="1"/>
  <c r="GM126" i="1" s="1"/>
  <c r="GG126" i="1"/>
  <c r="GB126" i="1"/>
  <c r="GA126" i="1"/>
  <c r="FV126" i="1"/>
  <c r="FQ126" i="1"/>
  <c r="FG126" i="1"/>
  <c r="DU126" i="1"/>
  <c r="DT126" i="1"/>
  <c r="DS126" i="1"/>
  <c r="DR126" i="1"/>
  <c r="DQ126" i="1"/>
  <c r="DL126" i="1"/>
  <c r="DG126" i="1"/>
  <c r="DB126" i="1"/>
  <c r="CW126" i="1"/>
  <c r="CR126" i="1"/>
  <c r="CM126" i="1"/>
  <c r="CS126" i="1" s="1"/>
  <c r="CH126" i="1"/>
  <c r="BZ126" i="1"/>
  <c r="BY126" i="1"/>
  <c r="BW126" i="1"/>
  <c r="BX126" i="1" s="1"/>
  <c r="BR126" i="1"/>
  <c r="BQ126" i="1"/>
  <c r="BK126" i="1"/>
  <c r="BL126" i="1" s="1"/>
  <c r="BE126" i="1"/>
  <c r="BF126" i="1" s="1"/>
  <c r="AY126" i="1"/>
  <c r="AW126" i="1"/>
  <c r="AV126" i="1"/>
  <c r="AU126" i="1"/>
  <c r="AM126" i="1"/>
  <c r="AK126" i="1"/>
  <c r="AI126" i="1"/>
  <c r="AG126" i="1"/>
  <c r="AE126" i="1"/>
  <c r="AC126" i="1"/>
  <c r="AA126" i="1"/>
  <c r="Y126" i="1"/>
  <c r="W126" i="1"/>
  <c r="U126" i="1"/>
  <c r="E136" i="2" s="1"/>
  <c r="R126" i="1"/>
  <c r="S126" i="1" s="1"/>
  <c r="M126" i="1"/>
  <c r="HN125" i="1"/>
  <c r="HK125" i="1"/>
  <c r="HJ125" i="1"/>
  <c r="HA125" i="1"/>
  <c r="GW125" i="1"/>
  <c r="GR125" i="1"/>
  <c r="GL125" i="1"/>
  <c r="GG125" i="1"/>
  <c r="GM125" i="1" s="1"/>
  <c r="GA125" i="1"/>
  <c r="GB125" i="1" s="1"/>
  <c r="FV125" i="1"/>
  <c r="FQ125" i="1"/>
  <c r="FG125" i="1"/>
  <c r="DU125" i="1"/>
  <c r="DT125" i="1"/>
  <c r="DS125" i="1"/>
  <c r="DR125" i="1"/>
  <c r="DQ125" i="1"/>
  <c r="DL125" i="1"/>
  <c r="DG125" i="1"/>
  <c r="DB125" i="1"/>
  <c r="CW125" i="1"/>
  <c r="CS125" i="1"/>
  <c r="CR125" i="1"/>
  <c r="CM125" i="1"/>
  <c r="CH125" i="1"/>
  <c r="BZ125" i="1"/>
  <c r="BY125" i="1"/>
  <c r="BX125" i="1"/>
  <c r="BW125" i="1"/>
  <c r="BR125" i="1"/>
  <c r="BQ125" i="1"/>
  <c r="BL125" i="1"/>
  <c r="CB125" i="1" s="1"/>
  <c r="BK125" i="1"/>
  <c r="CA125" i="1" s="1"/>
  <c r="BE125" i="1"/>
  <c r="BF125" i="1" s="1"/>
  <c r="AY125" i="1"/>
  <c r="AV125" i="1"/>
  <c r="AU125" i="1"/>
  <c r="AM125" i="1"/>
  <c r="AK125" i="1"/>
  <c r="AI125" i="1"/>
  <c r="AG125" i="1"/>
  <c r="AE125" i="1"/>
  <c r="AC125" i="1"/>
  <c r="AA125" i="1"/>
  <c r="Y125" i="1"/>
  <c r="W125" i="1"/>
  <c r="U125" i="1"/>
  <c r="R125" i="1"/>
  <c r="M125" i="1"/>
  <c r="S125" i="1" s="1"/>
  <c r="AW125" i="1" s="1"/>
  <c r="HN124" i="1"/>
  <c r="HK124" i="1"/>
  <c r="HJ124" i="1"/>
  <c r="HA124" i="1"/>
  <c r="GW124" i="1"/>
  <c r="GR124" i="1"/>
  <c r="GX124" i="1" s="1"/>
  <c r="GL124" i="1"/>
  <c r="GG124" i="1"/>
  <c r="GM124" i="1" s="1"/>
  <c r="GA124" i="1"/>
  <c r="FV124" i="1"/>
  <c r="GB124" i="1" s="1"/>
  <c r="FQ124" i="1"/>
  <c r="FG124" i="1"/>
  <c r="DU124" i="1"/>
  <c r="DT124" i="1"/>
  <c r="DS124" i="1"/>
  <c r="DR124" i="1"/>
  <c r="DQ124" i="1"/>
  <c r="DL124" i="1"/>
  <c r="DG124" i="1"/>
  <c r="DB124" i="1"/>
  <c r="CW124" i="1"/>
  <c r="CS124" i="1"/>
  <c r="CR124" i="1"/>
  <c r="CM124" i="1"/>
  <c r="CH124" i="1"/>
  <c r="CA124" i="1"/>
  <c r="BZ124" i="1"/>
  <c r="BY124" i="1"/>
  <c r="BX124" i="1"/>
  <c r="BW124" i="1"/>
  <c r="BQ124" i="1"/>
  <c r="BR124" i="1" s="1"/>
  <c r="BK124" i="1"/>
  <c r="BL124" i="1" s="1"/>
  <c r="BE124" i="1"/>
  <c r="BF124" i="1" s="1"/>
  <c r="CB124" i="1" s="1"/>
  <c r="AY124" i="1"/>
  <c r="AU124" i="1"/>
  <c r="AV124" i="1" s="1"/>
  <c r="AM124" i="1"/>
  <c r="AK124" i="1"/>
  <c r="AI124" i="1"/>
  <c r="AG124" i="1"/>
  <c r="AE124" i="1"/>
  <c r="AC124" i="1"/>
  <c r="AA124" i="1"/>
  <c r="Y124" i="1"/>
  <c r="W124" i="1"/>
  <c r="U124" i="1"/>
  <c r="R124" i="1"/>
  <c r="M124" i="1"/>
  <c r="HN123" i="1"/>
  <c r="HK123" i="1"/>
  <c r="HJ123" i="1"/>
  <c r="HA123" i="1"/>
  <c r="GW123" i="1"/>
  <c r="GR123" i="1"/>
  <c r="GL123" i="1"/>
  <c r="GG123" i="1"/>
  <c r="GM123" i="1" s="1"/>
  <c r="GA123" i="1"/>
  <c r="FV123" i="1"/>
  <c r="FQ123" i="1"/>
  <c r="FG123" i="1"/>
  <c r="DU123" i="1"/>
  <c r="DT123" i="1"/>
  <c r="DS123" i="1"/>
  <c r="DR123" i="1"/>
  <c r="DQ123" i="1"/>
  <c r="DL123" i="1"/>
  <c r="DG123" i="1"/>
  <c r="DB123" i="1"/>
  <c r="DV123" i="1" s="1"/>
  <c r="CW123" i="1"/>
  <c r="CR123" i="1"/>
  <c r="CM123" i="1"/>
  <c r="CS123" i="1" s="1"/>
  <c r="CH123" i="1"/>
  <c r="BZ123" i="1"/>
  <c r="BY123" i="1"/>
  <c r="BX123" i="1"/>
  <c r="BW123" i="1"/>
  <c r="BR123" i="1"/>
  <c r="BQ123" i="1"/>
  <c r="BK123" i="1"/>
  <c r="BL123" i="1" s="1"/>
  <c r="BF123" i="1"/>
  <c r="BE123" i="1"/>
  <c r="CA123" i="1" s="1"/>
  <c r="AY123" i="1"/>
  <c r="AV123" i="1"/>
  <c r="AU123" i="1"/>
  <c r="AM123" i="1"/>
  <c r="AK123" i="1"/>
  <c r="AI123" i="1"/>
  <c r="AG123" i="1"/>
  <c r="AE123" i="1"/>
  <c r="AC123" i="1"/>
  <c r="AA123" i="1"/>
  <c r="Y123" i="1"/>
  <c r="W123" i="1"/>
  <c r="U123" i="1"/>
  <c r="S123" i="1"/>
  <c r="R123" i="1"/>
  <c r="M123" i="1"/>
  <c r="HN122" i="1"/>
  <c r="HK122" i="1"/>
  <c r="HJ122" i="1"/>
  <c r="HA122" i="1"/>
  <c r="GX122" i="1"/>
  <c r="GW122" i="1"/>
  <c r="GR122" i="1"/>
  <c r="GM122" i="1"/>
  <c r="GL122" i="1"/>
  <c r="GG122" i="1"/>
  <c r="GA122" i="1"/>
  <c r="FV122" i="1"/>
  <c r="GB122" i="1" s="1"/>
  <c r="FQ122" i="1"/>
  <c r="FG122" i="1"/>
  <c r="DU122" i="1"/>
  <c r="DT122" i="1"/>
  <c r="DS122" i="1"/>
  <c r="DR122" i="1"/>
  <c r="DQ122" i="1"/>
  <c r="DL122" i="1"/>
  <c r="DG122" i="1"/>
  <c r="DB122" i="1"/>
  <c r="CW122" i="1"/>
  <c r="CR122" i="1"/>
  <c r="CM122" i="1"/>
  <c r="CH122" i="1"/>
  <c r="BZ122" i="1"/>
  <c r="BY122" i="1"/>
  <c r="BW122" i="1"/>
  <c r="BX122" i="1" s="1"/>
  <c r="BQ122" i="1"/>
  <c r="BR122" i="1" s="1"/>
  <c r="BK122" i="1"/>
  <c r="BL122" i="1" s="1"/>
  <c r="BF122" i="1"/>
  <c r="BE122" i="1"/>
  <c r="AY122" i="1"/>
  <c r="AW122" i="1"/>
  <c r="AU122" i="1"/>
  <c r="AV122" i="1" s="1"/>
  <c r="AM122" i="1"/>
  <c r="AK122" i="1"/>
  <c r="AI122" i="1"/>
  <c r="AG122" i="1"/>
  <c r="AE122" i="1"/>
  <c r="AC122" i="1"/>
  <c r="AA122" i="1"/>
  <c r="Y122" i="1"/>
  <c r="W122" i="1"/>
  <c r="U122" i="1"/>
  <c r="S122" i="1"/>
  <c r="R122" i="1"/>
  <c r="M122" i="1"/>
  <c r="HN121" i="1"/>
  <c r="HK121" i="1"/>
  <c r="HJ121" i="1"/>
  <c r="HA121" i="1"/>
  <c r="GW121" i="1"/>
  <c r="GR121" i="1"/>
  <c r="GL121" i="1"/>
  <c r="GG121" i="1"/>
  <c r="GM121" i="1" s="1"/>
  <c r="GB121" i="1"/>
  <c r="GA121" i="1"/>
  <c r="FV121" i="1"/>
  <c r="FQ121" i="1"/>
  <c r="FG121" i="1"/>
  <c r="DU121" i="1"/>
  <c r="DT121" i="1"/>
  <c r="DS121" i="1"/>
  <c r="DR121" i="1"/>
  <c r="DQ121" i="1"/>
  <c r="DL121" i="1"/>
  <c r="DG121" i="1"/>
  <c r="DB121" i="1"/>
  <c r="DV121" i="1" s="1"/>
  <c r="CW121" i="1"/>
  <c r="CS121" i="1"/>
  <c r="CR121" i="1"/>
  <c r="CM121" i="1"/>
  <c r="CH121" i="1"/>
  <c r="BZ121" i="1"/>
  <c r="BY121" i="1"/>
  <c r="BX121" i="1"/>
  <c r="BW121" i="1"/>
  <c r="BQ121" i="1"/>
  <c r="BR121" i="1" s="1"/>
  <c r="BL121" i="1"/>
  <c r="BK121" i="1"/>
  <c r="CA121" i="1" s="1"/>
  <c r="BF121" i="1"/>
  <c r="CB121" i="1" s="1"/>
  <c r="BE121" i="1"/>
  <c r="AY121" i="1"/>
  <c r="AU121" i="1"/>
  <c r="AV121" i="1" s="1"/>
  <c r="AM121" i="1"/>
  <c r="AK121" i="1"/>
  <c r="AI121" i="1"/>
  <c r="AG121" i="1"/>
  <c r="AE121" i="1"/>
  <c r="AC121" i="1"/>
  <c r="AA121" i="1"/>
  <c r="Y121" i="1"/>
  <c r="W121" i="1"/>
  <c r="U121" i="1"/>
  <c r="R121" i="1"/>
  <c r="M121" i="1"/>
  <c r="S121" i="1" s="1"/>
  <c r="HN119" i="1"/>
  <c r="HK119" i="1"/>
  <c r="HJ119" i="1"/>
  <c r="HA119" i="1"/>
  <c r="GX119" i="1"/>
  <c r="HC119" i="1" s="1"/>
  <c r="GW119" i="1"/>
  <c r="GR119" i="1"/>
  <c r="GL119" i="1"/>
  <c r="GG119" i="1"/>
  <c r="GM119" i="1" s="1"/>
  <c r="GB119" i="1"/>
  <c r="GA119" i="1"/>
  <c r="FV119" i="1"/>
  <c r="FQ119" i="1"/>
  <c r="FG119" i="1"/>
  <c r="DU119" i="1"/>
  <c r="DT119" i="1"/>
  <c r="DS119" i="1"/>
  <c r="DR119" i="1"/>
  <c r="DQ119" i="1"/>
  <c r="DL119" i="1"/>
  <c r="DG119" i="1"/>
  <c r="DB119" i="1"/>
  <c r="CW119" i="1"/>
  <c r="CR119" i="1"/>
  <c r="CS119" i="1" s="1"/>
  <c r="CM119" i="1"/>
  <c r="CH119" i="1"/>
  <c r="BZ119" i="1"/>
  <c r="BY119" i="1"/>
  <c r="BW119" i="1"/>
  <c r="BX119" i="1" s="1"/>
  <c r="BQ119" i="1"/>
  <c r="BR119" i="1" s="1"/>
  <c r="BL119" i="1"/>
  <c r="BK119" i="1"/>
  <c r="BE119" i="1"/>
  <c r="AY119" i="1"/>
  <c r="AW119" i="1"/>
  <c r="AU119" i="1"/>
  <c r="AV119" i="1" s="1"/>
  <c r="AM119" i="1"/>
  <c r="AK119" i="1"/>
  <c r="AI119" i="1"/>
  <c r="AG119" i="1"/>
  <c r="AE119" i="1"/>
  <c r="AC119" i="1"/>
  <c r="AA119" i="1"/>
  <c r="Y119" i="1"/>
  <c r="W119" i="1"/>
  <c r="U119" i="1"/>
  <c r="R119" i="1"/>
  <c r="M119" i="1"/>
  <c r="S119" i="1" s="1"/>
  <c r="HN118" i="1"/>
  <c r="HK118" i="1"/>
  <c r="HJ118" i="1"/>
  <c r="HA118" i="1"/>
  <c r="GW118" i="1"/>
  <c r="GR118" i="1"/>
  <c r="GL118" i="1"/>
  <c r="GM118" i="1" s="1"/>
  <c r="GX118" i="1" s="1"/>
  <c r="GG118" i="1"/>
  <c r="GA118" i="1"/>
  <c r="FV118" i="1"/>
  <c r="FQ118" i="1"/>
  <c r="FG118" i="1"/>
  <c r="DU118" i="1"/>
  <c r="DT118" i="1"/>
  <c r="DS118" i="1"/>
  <c r="DR118" i="1"/>
  <c r="DQ118" i="1"/>
  <c r="DL118" i="1"/>
  <c r="DG118" i="1"/>
  <c r="DB118" i="1"/>
  <c r="DV118" i="1" s="1"/>
  <c r="CW118" i="1"/>
  <c r="CR118" i="1"/>
  <c r="CM118" i="1"/>
  <c r="CS118" i="1" s="1"/>
  <c r="CH118" i="1"/>
  <c r="BZ118" i="1"/>
  <c r="BY118" i="1"/>
  <c r="BW118" i="1"/>
  <c r="BX118" i="1" s="1"/>
  <c r="BR118" i="1"/>
  <c r="BQ118" i="1"/>
  <c r="BL118" i="1"/>
  <c r="BK118" i="1"/>
  <c r="BE118" i="1"/>
  <c r="CA118" i="1" s="1"/>
  <c r="AY118" i="1"/>
  <c r="AV118" i="1"/>
  <c r="AU118" i="1"/>
  <c r="AM118" i="1"/>
  <c r="AK118" i="1"/>
  <c r="AI118" i="1"/>
  <c r="AG118" i="1"/>
  <c r="AE118" i="1"/>
  <c r="AC118" i="1"/>
  <c r="AA118" i="1"/>
  <c r="Y118" i="1"/>
  <c r="W118" i="1"/>
  <c r="U118" i="1"/>
  <c r="S118" i="1"/>
  <c r="AW118" i="1" s="1"/>
  <c r="R118" i="1"/>
  <c r="M118" i="1"/>
  <c r="HN117" i="1"/>
  <c r="HK117" i="1"/>
  <c r="HJ117" i="1"/>
  <c r="HA117" i="1"/>
  <c r="GW117" i="1"/>
  <c r="GR117" i="1"/>
  <c r="GL117" i="1"/>
  <c r="GM117" i="1" s="1"/>
  <c r="GG117" i="1"/>
  <c r="GA117" i="1"/>
  <c r="GB117" i="1" s="1"/>
  <c r="FV117" i="1"/>
  <c r="FQ117" i="1"/>
  <c r="FG117" i="1"/>
  <c r="DU117" i="1"/>
  <c r="DT117" i="1"/>
  <c r="DS117" i="1"/>
  <c r="DR117" i="1"/>
  <c r="DQ117" i="1"/>
  <c r="DL117" i="1"/>
  <c r="DG117" i="1"/>
  <c r="DB117" i="1"/>
  <c r="CW117" i="1"/>
  <c r="CR117" i="1"/>
  <c r="CM117" i="1"/>
  <c r="CH117" i="1"/>
  <c r="CA117" i="1"/>
  <c r="BZ117" i="1"/>
  <c r="BY117" i="1"/>
  <c r="BW117" i="1"/>
  <c r="BX117" i="1" s="1"/>
  <c r="BR117" i="1"/>
  <c r="BQ117" i="1"/>
  <c r="BK117" i="1"/>
  <c r="BL117" i="1" s="1"/>
  <c r="BE117" i="1"/>
  <c r="BF117" i="1" s="1"/>
  <c r="AY117" i="1"/>
  <c r="AW117" i="1"/>
  <c r="AV117" i="1"/>
  <c r="AU117" i="1"/>
  <c r="AM117" i="1"/>
  <c r="AK117" i="1"/>
  <c r="AI117" i="1"/>
  <c r="AG117" i="1"/>
  <c r="AE117" i="1"/>
  <c r="AC117" i="1"/>
  <c r="AA117" i="1"/>
  <c r="Y117" i="1"/>
  <c r="W117" i="1"/>
  <c r="U117" i="1"/>
  <c r="F123" i="2" s="1"/>
  <c r="R117" i="1"/>
  <c r="S117" i="1" s="1"/>
  <c r="M117" i="1"/>
  <c r="HN116" i="1"/>
  <c r="HK116" i="1"/>
  <c r="HJ116" i="1"/>
  <c r="HA116" i="1"/>
  <c r="GW116" i="1"/>
  <c r="GR116" i="1"/>
  <c r="GL116" i="1"/>
  <c r="GG116" i="1"/>
  <c r="GM116" i="1" s="1"/>
  <c r="GA116" i="1"/>
  <c r="GB116" i="1" s="1"/>
  <c r="FV116" i="1"/>
  <c r="FQ116" i="1"/>
  <c r="FG116" i="1"/>
  <c r="DU116" i="1"/>
  <c r="DT116" i="1"/>
  <c r="DS116" i="1"/>
  <c r="DR116" i="1"/>
  <c r="DQ116" i="1"/>
  <c r="DL116" i="1"/>
  <c r="DG116" i="1"/>
  <c r="DB116" i="1"/>
  <c r="DV116" i="1" s="1"/>
  <c r="CW116" i="1"/>
  <c r="CR116" i="1"/>
  <c r="CM116" i="1"/>
  <c r="CS116" i="1" s="1"/>
  <c r="CH116" i="1"/>
  <c r="BZ116" i="1"/>
  <c r="BY116" i="1"/>
  <c r="BX116" i="1"/>
  <c r="BW116" i="1"/>
  <c r="BR116" i="1"/>
  <c r="BQ116" i="1"/>
  <c r="BL116" i="1"/>
  <c r="BK116" i="1"/>
  <c r="CA116" i="1" s="1"/>
  <c r="BE116" i="1"/>
  <c r="BF116" i="1" s="1"/>
  <c r="CB116" i="1" s="1"/>
  <c r="AY116" i="1"/>
  <c r="AV116" i="1"/>
  <c r="AU116" i="1"/>
  <c r="AM116" i="1"/>
  <c r="AK116" i="1"/>
  <c r="AI116" i="1"/>
  <c r="AG116" i="1"/>
  <c r="AE116" i="1"/>
  <c r="AC116" i="1"/>
  <c r="AA116" i="1"/>
  <c r="Y116" i="1"/>
  <c r="W116" i="1"/>
  <c r="U116" i="1"/>
  <c r="R116" i="1"/>
  <c r="M116" i="1"/>
  <c r="S116" i="1" s="1"/>
  <c r="AW116" i="1" s="1"/>
  <c r="HN115" i="1"/>
  <c r="HK115" i="1"/>
  <c r="HJ115" i="1"/>
  <c r="HA115" i="1"/>
  <c r="GW115" i="1"/>
  <c r="GR115" i="1"/>
  <c r="GL115" i="1"/>
  <c r="GG115" i="1"/>
  <c r="GA115" i="1"/>
  <c r="FV115" i="1"/>
  <c r="GB115" i="1" s="1"/>
  <c r="FQ115" i="1"/>
  <c r="FG115" i="1"/>
  <c r="DU115" i="1"/>
  <c r="DT115" i="1"/>
  <c r="DS115" i="1"/>
  <c r="DR115" i="1"/>
  <c r="DQ115" i="1"/>
  <c r="DL115" i="1"/>
  <c r="DG115" i="1"/>
  <c r="DB115" i="1"/>
  <c r="CW115" i="1"/>
  <c r="CS115" i="1"/>
  <c r="CR115" i="1"/>
  <c r="CM115" i="1"/>
  <c r="CH115" i="1"/>
  <c r="BZ115" i="1"/>
  <c r="BY115" i="1"/>
  <c r="BX115" i="1"/>
  <c r="BW115" i="1"/>
  <c r="BQ115" i="1"/>
  <c r="BR115" i="1" s="1"/>
  <c r="BK115" i="1"/>
  <c r="BL115" i="1" s="1"/>
  <c r="BE115" i="1"/>
  <c r="BF115" i="1" s="1"/>
  <c r="AY115" i="1"/>
  <c r="AU115" i="1"/>
  <c r="AV115" i="1" s="1"/>
  <c r="AM115" i="1"/>
  <c r="AK115" i="1"/>
  <c r="AI115" i="1"/>
  <c r="AG115" i="1"/>
  <c r="AE115" i="1"/>
  <c r="AC115" i="1"/>
  <c r="AA115" i="1"/>
  <c r="Y115" i="1"/>
  <c r="W115" i="1"/>
  <c r="U115" i="1"/>
  <c r="R115" i="1"/>
  <c r="M115" i="1"/>
  <c r="HN114" i="1"/>
  <c r="HK114" i="1"/>
  <c r="HJ114" i="1"/>
  <c r="HA114" i="1"/>
  <c r="GW114" i="1"/>
  <c r="GR114" i="1"/>
  <c r="GL114" i="1"/>
  <c r="GG114" i="1"/>
  <c r="GM114" i="1" s="1"/>
  <c r="GA114" i="1"/>
  <c r="FV114" i="1"/>
  <c r="FQ114" i="1"/>
  <c r="FG114" i="1"/>
  <c r="DU114" i="1"/>
  <c r="DT114" i="1"/>
  <c r="DS114" i="1"/>
  <c r="DR114" i="1"/>
  <c r="DQ114" i="1"/>
  <c r="DL114" i="1"/>
  <c r="DG114" i="1"/>
  <c r="DB114" i="1"/>
  <c r="DV114" i="1" s="1"/>
  <c r="CW114" i="1"/>
  <c r="CR114" i="1"/>
  <c r="CM114" i="1"/>
  <c r="CS114" i="1" s="1"/>
  <c r="E128" i="2" s="1"/>
  <c r="CH114" i="1"/>
  <c r="BZ114" i="1"/>
  <c r="BY114" i="1"/>
  <c r="BX114" i="1"/>
  <c r="BW114" i="1"/>
  <c r="BQ114" i="1"/>
  <c r="BR114" i="1" s="1"/>
  <c r="BK114" i="1"/>
  <c r="BL114" i="1" s="1"/>
  <c r="BF114" i="1"/>
  <c r="BE114" i="1"/>
  <c r="AY114" i="1"/>
  <c r="AV114" i="1"/>
  <c r="AU114" i="1"/>
  <c r="AM114" i="1"/>
  <c r="AK114" i="1"/>
  <c r="AI114" i="1"/>
  <c r="AG114" i="1"/>
  <c r="AE114" i="1"/>
  <c r="AC114" i="1"/>
  <c r="AA114" i="1"/>
  <c r="Y114" i="1"/>
  <c r="W114" i="1"/>
  <c r="U114" i="1"/>
  <c r="S114" i="1"/>
  <c r="R114" i="1"/>
  <c r="M114" i="1"/>
  <c r="HN113" i="1"/>
  <c r="HK113" i="1"/>
  <c r="HJ113" i="1"/>
  <c r="HA113" i="1"/>
  <c r="GW113" i="1"/>
  <c r="GR113" i="1"/>
  <c r="GM113" i="1"/>
  <c r="GX113" i="1" s="1"/>
  <c r="GL113" i="1"/>
  <c r="GG113" i="1"/>
  <c r="GA113" i="1"/>
  <c r="FV113" i="1"/>
  <c r="GB113" i="1" s="1"/>
  <c r="FQ113" i="1"/>
  <c r="FG113" i="1"/>
  <c r="DU113" i="1"/>
  <c r="DT113" i="1"/>
  <c r="DS113" i="1"/>
  <c r="DR113" i="1"/>
  <c r="DQ113" i="1"/>
  <c r="DL113" i="1"/>
  <c r="DG113" i="1"/>
  <c r="DB113" i="1"/>
  <c r="DV113" i="1" s="1"/>
  <c r="CW113" i="1"/>
  <c r="CR113" i="1"/>
  <c r="CM113" i="1"/>
  <c r="CH113" i="1"/>
  <c r="BZ113" i="1"/>
  <c r="BY113" i="1"/>
  <c r="BW113" i="1"/>
  <c r="BX113" i="1" s="1"/>
  <c r="BQ113" i="1"/>
  <c r="BR113" i="1" s="1"/>
  <c r="BK113" i="1"/>
  <c r="BL113" i="1" s="1"/>
  <c r="BF113" i="1"/>
  <c r="BE113" i="1"/>
  <c r="AY113" i="1"/>
  <c r="AW113" i="1"/>
  <c r="AU113" i="1"/>
  <c r="AV113" i="1" s="1"/>
  <c r="AM113" i="1"/>
  <c r="AK113" i="1"/>
  <c r="AI113" i="1"/>
  <c r="AG113" i="1"/>
  <c r="AE113" i="1"/>
  <c r="AC113" i="1"/>
  <c r="AA113" i="1"/>
  <c r="Y113" i="1"/>
  <c r="W113" i="1"/>
  <c r="U113" i="1"/>
  <c r="S113" i="1"/>
  <c r="R113" i="1"/>
  <c r="M113" i="1"/>
  <c r="HN112" i="1"/>
  <c r="HK112" i="1"/>
  <c r="HJ112" i="1"/>
  <c r="HA112" i="1"/>
  <c r="GW112" i="1"/>
  <c r="GR112" i="1"/>
  <c r="GM112" i="1"/>
  <c r="GX112" i="1" s="1"/>
  <c r="GL112" i="1"/>
  <c r="GG112" i="1"/>
  <c r="GB112" i="1"/>
  <c r="HC112" i="1" s="1"/>
  <c r="GA112" i="1"/>
  <c r="FV112" i="1"/>
  <c r="FQ112" i="1"/>
  <c r="FG112" i="1"/>
  <c r="DU112" i="1"/>
  <c r="DT112" i="1"/>
  <c r="DS112" i="1"/>
  <c r="DR112" i="1"/>
  <c r="DQ112" i="1"/>
  <c r="DL112" i="1"/>
  <c r="DG112" i="1"/>
  <c r="DB112" i="1"/>
  <c r="DV112" i="1" s="1"/>
  <c r="CW112" i="1"/>
  <c r="CR112" i="1"/>
  <c r="CS112" i="1" s="1"/>
  <c r="CM112" i="1"/>
  <c r="CH112" i="1"/>
  <c r="BZ112" i="1"/>
  <c r="BY112" i="1"/>
  <c r="BX112" i="1"/>
  <c r="BW112" i="1"/>
  <c r="BQ112" i="1"/>
  <c r="BR112" i="1" s="1"/>
  <c r="BL112" i="1"/>
  <c r="BK112" i="1"/>
  <c r="BF112" i="1"/>
  <c r="CB112" i="1" s="1"/>
  <c r="BE112" i="1"/>
  <c r="AY112" i="1"/>
  <c r="AU112" i="1"/>
  <c r="AV112" i="1" s="1"/>
  <c r="AM112" i="1"/>
  <c r="AK112" i="1"/>
  <c r="AI112" i="1"/>
  <c r="AG112" i="1"/>
  <c r="AE112" i="1"/>
  <c r="AC112" i="1"/>
  <c r="AA112" i="1"/>
  <c r="Y112" i="1"/>
  <c r="W112" i="1"/>
  <c r="U112" i="1"/>
  <c r="R112" i="1"/>
  <c r="M112" i="1"/>
  <c r="S112" i="1" s="1"/>
  <c r="AW112" i="1" s="1"/>
  <c r="HN111" i="1"/>
  <c r="D272" i="3" s="1"/>
  <c r="HK111" i="1"/>
  <c r="HJ111" i="1"/>
  <c r="HA111" i="1"/>
  <c r="GW111" i="1"/>
  <c r="GR111" i="1"/>
  <c r="GL111" i="1"/>
  <c r="GG111" i="1"/>
  <c r="GB111" i="1"/>
  <c r="GA111" i="1"/>
  <c r="FV111" i="1"/>
  <c r="FQ111" i="1"/>
  <c r="FG111" i="1"/>
  <c r="DU111" i="1"/>
  <c r="DT111" i="1"/>
  <c r="DS111" i="1"/>
  <c r="DR111" i="1"/>
  <c r="DQ111" i="1"/>
  <c r="DL111" i="1"/>
  <c r="DG111" i="1"/>
  <c r="DB111" i="1"/>
  <c r="CW111" i="1"/>
  <c r="CR111" i="1"/>
  <c r="CS111" i="1" s="1"/>
  <c r="CM111" i="1"/>
  <c r="CH111" i="1"/>
  <c r="BZ111" i="1"/>
  <c r="BY111" i="1"/>
  <c r="BW111" i="1"/>
  <c r="BX111" i="1" s="1"/>
  <c r="BQ111" i="1"/>
  <c r="BR111" i="1" s="1"/>
  <c r="BL111" i="1"/>
  <c r="BK111" i="1"/>
  <c r="BE111" i="1"/>
  <c r="AY111" i="1"/>
  <c r="AU111" i="1"/>
  <c r="AM111" i="1"/>
  <c r="AK111" i="1"/>
  <c r="AI111" i="1"/>
  <c r="AG111" i="1"/>
  <c r="AE111" i="1"/>
  <c r="AC111" i="1"/>
  <c r="AA111" i="1"/>
  <c r="Y111" i="1"/>
  <c r="W111" i="1"/>
  <c r="U111" i="1"/>
  <c r="R111" i="1"/>
  <c r="M111" i="1"/>
  <c r="HN110" i="1"/>
  <c r="HK110" i="1"/>
  <c r="HJ110" i="1"/>
  <c r="HA110" i="1"/>
  <c r="GW110" i="1"/>
  <c r="GR110" i="1"/>
  <c r="GL110" i="1"/>
  <c r="GM110" i="1" s="1"/>
  <c r="GX110" i="1" s="1"/>
  <c r="GG110" i="1"/>
  <c r="GA110" i="1"/>
  <c r="FV110" i="1"/>
  <c r="FQ110" i="1"/>
  <c r="FG110" i="1"/>
  <c r="DU110" i="1"/>
  <c r="DT110" i="1"/>
  <c r="DS110" i="1"/>
  <c r="DR110" i="1"/>
  <c r="DQ110" i="1"/>
  <c r="DL110" i="1"/>
  <c r="DG110" i="1"/>
  <c r="DB110" i="1"/>
  <c r="DV110" i="1" s="1"/>
  <c r="CW110" i="1"/>
  <c r="CR110" i="1"/>
  <c r="CM110" i="1"/>
  <c r="CS110" i="1" s="1"/>
  <c r="CH110" i="1"/>
  <c r="BZ110" i="1"/>
  <c r="BY110" i="1"/>
  <c r="BW110" i="1"/>
  <c r="BX110" i="1" s="1"/>
  <c r="BR110" i="1"/>
  <c r="BQ110" i="1"/>
  <c r="BL110" i="1"/>
  <c r="BK110" i="1"/>
  <c r="BE110" i="1"/>
  <c r="CA110" i="1" s="1"/>
  <c r="AY110" i="1"/>
  <c r="AV110" i="1"/>
  <c r="AU110" i="1"/>
  <c r="AM110" i="1"/>
  <c r="AK110" i="1"/>
  <c r="AI110" i="1"/>
  <c r="AG110" i="1"/>
  <c r="AE110" i="1"/>
  <c r="AC110" i="1"/>
  <c r="AA110" i="1"/>
  <c r="Y110" i="1"/>
  <c r="W110" i="1"/>
  <c r="U110" i="1"/>
  <c r="S110" i="1"/>
  <c r="AW110" i="1" s="1"/>
  <c r="R110" i="1"/>
  <c r="M110" i="1"/>
  <c r="HN109" i="1"/>
  <c r="HK109" i="1"/>
  <c r="HJ109" i="1"/>
  <c r="HA109" i="1"/>
  <c r="GW109" i="1"/>
  <c r="GR109" i="1"/>
  <c r="GL109" i="1"/>
  <c r="GM109" i="1" s="1"/>
  <c r="GG109" i="1"/>
  <c r="GA109" i="1"/>
  <c r="GB109" i="1" s="1"/>
  <c r="FV109" i="1"/>
  <c r="FQ109" i="1"/>
  <c r="FG109" i="1"/>
  <c r="DU109" i="1"/>
  <c r="DT109" i="1"/>
  <c r="DS109" i="1"/>
  <c r="DR109" i="1"/>
  <c r="DQ109" i="1"/>
  <c r="DL109" i="1"/>
  <c r="DG109" i="1"/>
  <c r="DB109" i="1"/>
  <c r="CW109" i="1"/>
  <c r="CR109" i="1"/>
  <c r="CM109" i="1"/>
  <c r="CH109" i="1"/>
  <c r="CA109" i="1"/>
  <c r="G116" i="2" s="1"/>
  <c r="BZ109" i="1"/>
  <c r="BY109" i="1"/>
  <c r="BW109" i="1"/>
  <c r="BX109" i="1" s="1"/>
  <c r="BR109" i="1"/>
  <c r="BQ109" i="1"/>
  <c r="BK109" i="1"/>
  <c r="BL109" i="1" s="1"/>
  <c r="BE109" i="1"/>
  <c r="BF109" i="1" s="1"/>
  <c r="AY109" i="1"/>
  <c r="AW109" i="1"/>
  <c r="AV109" i="1"/>
  <c r="AU109" i="1"/>
  <c r="AM109" i="1"/>
  <c r="AK109" i="1"/>
  <c r="AI109" i="1"/>
  <c r="AG109" i="1"/>
  <c r="AE109" i="1"/>
  <c r="AC109" i="1"/>
  <c r="AA109" i="1"/>
  <c r="Y109" i="1"/>
  <c r="W109" i="1"/>
  <c r="U109" i="1"/>
  <c r="G110" i="2" s="1"/>
  <c r="R109" i="1"/>
  <c r="S109" i="1" s="1"/>
  <c r="G108" i="2" s="1"/>
  <c r="M109" i="1"/>
  <c r="HN107" i="1"/>
  <c r="HK107" i="1"/>
  <c r="HJ107" i="1"/>
  <c r="HA107" i="1"/>
  <c r="GW107" i="1"/>
  <c r="GR107" i="1"/>
  <c r="GL107" i="1"/>
  <c r="GG107" i="1"/>
  <c r="GM107" i="1" s="1"/>
  <c r="GX107" i="1" s="1"/>
  <c r="GA107" i="1"/>
  <c r="GB107" i="1" s="1"/>
  <c r="FV107" i="1"/>
  <c r="FQ107" i="1"/>
  <c r="FG107" i="1"/>
  <c r="DU107" i="1"/>
  <c r="DT107" i="1"/>
  <c r="DS107" i="1"/>
  <c r="DR107" i="1"/>
  <c r="DQ107" i="1"/>
  <c r="DL107" i="1"/>
  <c r="DG107" i="1"/>
  <c r="DB107" i="1"/>
  <c r="DV107" i="1" s="1"/>
  <c r="CW107" i="1"/>
  <c r="CR107" i="1"/>
  <c r="CM107" i="1"/>
  <c r="CS107" i="1" s="1"/>
  <c r="CH107" i="1"/>
  <c r="BZ107" i="1"/>
  <c r="BY107" i="1"/>
  <c r="BX107" i="1"/>
  <c r="BW107" i="1"/>
  <c r="BR107" i="1"/>
  <c r="BQ107" i="1"/>
  <c r="BL107" i="1"/>
  <c r="BK107" i="1"/>
  <c r="CA107" i="1" s="1"/>
  <c r="BE107" i="1"/>
  <c r="BF107" i="1" s="1"/>
  <c r="CB107" i="1" s="1"/>
  <c r="AY107" i="1"/>
  <c r="AV107" i="1"/>
  <c r="AU107" i="1"/>
  <c r="AM107" i="1"/>
  <c r="AK107" i="1"/>
  <c r="AI107" i="1"/>
  <c r="AG107" i="1"/>
  <c r="AE107" i="1"/>
  <c r="AC107" i="1"/>
  <c r="AA107" i="1"/>
  <c r="Y107" i="1"/>
  <c r="W107" i="1"/>
  <c r="U107" i="1"/>
  <c r="R107" i="1"/>
  <c r="M107" i="1"/>
  <c r="S107" i="1" s="1"/>
  <c r="AW107" i="1" s="1"/>
  <c r="HN106" i="1"/>
  <c r="HK106" i="1"/>
  <c r="HJ106" i="1"/>
  <c r="HA106" i="1"/>
  <c r="GW106" i="1"/>
  <c r="GR106" i="1"/>
  <c r="GL106" i="1"/>
  <c r="GG106" i="1"/>
  <c r="GA106" i="1"/>
  <c r="FV106" i="1"/>
  <c r="GB106" i="1" s="1"/>
  <c r="FQ106" i="1"/>
  <c r="FG106" i="1"/>
  <c r="DU106" i="1"/>
  <c r="DT106" i="1"/>
  <c r="DS106" i="1"/>
  <c r="DR106" i="1"/>
  <c r="DQ106" i="1"/>
  <c r="DL106" i="1"/>
  <c r="DG106" i="1"/>
  <c r="DB106" i="1"/>
  <c r="CW106" i="1"/>
  <c r="CS106" i="1"/>
  <c r="CR106" i="1"/>
  <c r="CM106" i="1"/>
  <c r="CH106" i="1"/>
  <c r="CA106" i="1"/>
  <c r="BZ106" i="1"/>
  <c r="BY106" i="1"/>
  <c r="BX106" i="1"/>
  <c r="BW106" i="1"/>
  <c r="BQ106" i="1"/>
  <c r="BR106" i="1" s="1"/>
  <c r="BK106" i="1"/>
  <c r="BL106" i="1" s="1"/>
  <c r="BE106" i="1"/>
  <c r="BF106" i="1" s="1"/>
  <c r="AY106" i="1"/>
  <c r="AU106" i="1"/>
  <c r="AV106" i="1" s="1"/>
  <c r="AM106" i="1"/>
  <c r="AK106" i="1"/>
  <c r="AI106" i="1"/>
  <c r="AG106" i="1"/>
  <c r="AE106" i="1"/>
  <c r="AC106" i="1"/>
  <c r="AA106" i="1"/>
  <c r="Y106" i="1"/>
  <c r="W106" i="1"/>
  <c r="U106" i="1"/>
  <c r="R106" i="1"/>
  <c r="M106" i="1"/>
  <c r="S106" i="1" s="1"/>
  <c r="AW106" i="1" s="1"/>
  <c r="HN105" i="1"/>
  <c r="HK105" i="1"/>
  <c r="HJ105" i="1"/>
  <c r="HA105" i="1"/>
  <c r="GW105" i="1"/>
  <c r="GR105" i="1"/>
  <c r="GL105" i="1"/>
  <c r="GG105" i="1"/>
  <c r="GM105" i="1" s="1"/>
  <c r="GA105" i="1"/>
  <c r="FV105" i="1"/>
  <c r="FQ105" i="1"/>
  <c r="FG105" i="1"/>
  <c r="DU105" i="1"/>
  <c r="DT105" i="1"/>
  <c r="DS105" i="1"/>
  <c r="DR105" i="1"/>
  <c r="DQ105" i="1"/>
  <c r="DL105" i="1"/>
  <c r="DG105" i="1"/>
  <c r="DB105" i="1"/>
  <c r="DV105" i="1" s="1"/>
  <c r="CW105" i="1"/>
  <c r="CR105" i="1"/>
  <c r="CM105" i="1"/>
  <c r="CS105" i="1" s="1"/>
  <c r="F115" i="2" s="1"/>
  <c r="CH105" i="1"/>
  <c r="BZ105" i="1"/>
  <c r="BY105" i="1"/>
  <c r="BX105" i="1"/>
  <c r="BW105" i="1"/>
  <c r="BQ105" i="1"/>
  <c r="BR105" i="1" s="1"/>
  <c r="BK105" i="1"/>
  <c r="BL105" i="1" s="1"/>
  <c r="BF105" i="1"/>
  <c r="BE105" i="1"/>
  <c r="AY105" i="1"/>
  <c r="AV105" i="1"/>
  <c r="AU105" i="1"/>
  <c r="F111" i="2" s="1"/>
  <c r="AM105" i="1"/>
  <c r="AK105" i="1"/>
  <c r="AI105" i="1"/>
  <c r="AG105" i="1"/>
  <c r="AE105" i="1"/>
  <c r="AC105" i="1"/>
  <c r="AA105" i="1"/>
  <c r="Y105" i="1"/>
  <c r="W105" i="1"/>
  <c r="U105" i="1"/>
  <c r="S105" i="1"/>
  <c r="R105" i="1"/>
  <c r="M105" i="1"/>
  <c r="HN104" i="1"/>
  <c r="HK104" i="1"/>
  <c r="HJ104" i="1"/>
  <c r="HA104" i="1"/>
  <c r="GX104" i="1"/>
  <c r="GW104" i="1"/>
  <c r="GR104" i="1"/>
  <c r="GM104" i="1"/>
  <c r="GL104" i="1"/>
  <c r="GG104" i="1"/>
  <c r="GA104" i="1"/>
  <c r="FV104" i="1"/>
  <c r="GB104" i="1" s="1"/>
  <c r="FQ104" i="1"/>
  <c r="FG104" i="1"/>
  <c r="DU104" i="1"/>
  <c r="DT104" i="1"/>
  <c r="DS104" i="1"/>
  <c r="DR104" i="1"/>
  <c r="DQ104" i="1"/>
  <c r="DL104" i="1"/>
  <c r="DG104" i="1"/>
  <c r="DB104" i="1"/>
  <c r="DV104" i="1" s="1"/>
  <c r="CW104" i="1"/>
  <c r="CR104" i="1"/>
  <c r="CM104" i="1"/>
  <c r="CH104" i="1"/>
  <c r="BZ104" i="1"/>
  <c r="BY104" i="1"/>
  <c r="BW104" i="1"/>
  <c r="BX104" i="1" s="1"/>
  <c r="BQ104" i="1"/>
  <c r="BR104" i="1" s="1"/>
  <c r="BK104" i="1"/>
  <c r="BL104" i="1" s="1"/>
  <c r="BF104" i="1"/>
  <c r="BE104" i="1"/>
  <c r="AY104" i="1"/>
  <c r="AU104" i="1"/>
  <c r="AV104" i="1" s="1"/>
  <c r="AM104" i="1"/>
  <c r="AK104" i="1"/>
  <c r="AI104" i="1"/>
  <c r="AG104" i="1"/>
  <c r="AE104" i="1"/>
  <c r="AC104" i="1"/>
  <c r="AA104" i="1"/>
  <c r="Y104" i="1"/>
  <c r="W104" i="1"/>
  <c r="U104" i="1"/>
  <c r="S104" i="1"/>
  <c r="AW104" i="1" s="1"/>
  <c r="R104" i="1"/>
  <c r="M104" i="1"/>
  <c r="HN103" i="1"/>
  <c r="HK103" i="1"/>
  <c r="HJ103" i="1"/>
  <c r="HB103" i="1"/>
  <c r="HA103" i="1"/>
  <c r="GW103" i="1"/>
  <c r="GR103" i="1"/>
  <c r="GM103" i="1"/>
  <c r="GX103" i="1" s="1"/>
  <c r="HD103" i="1" s="1"/>
  <c r="GL103" i="1"/>
  <c r="GG103" i="1"/>
  <c r="GB103" i="1"/>
  <c r="GA103" i="1"/>
  <c r="FV103" i="1"/>
  <c r="FQ103" i="1"/>
  <c r="FG103" i="1"/>
  <c r="DU103" i="1"/>
  <c r="DT103" i="1"/>
  <c r="DS103" i="1"/>
  <c r="DR103" i="1"/>
  <c r="DQ103" i="1"/>
  <c r="DL103" i="1"/>
  <c r="DG103" i="1"/>
  <c r="DB103" i="1"/>
  <c r="DV103" i="1" s="1"/>
  <c r="CW103" i="1"/>
  <c r="CR103" i="1"/>
  <c r="CS103" i="1" s="1"/>
  <c r="CM103" i="1"/>
  <c r="CH103" i="1"/>
  <c r="BZ103" i="1"/>
  <c r="BY103" i="1"/>
  <c r="BX103" i="1"/>
  <c r="BW103" i="1"/>
  <c r="BQ103" i="1"/>
  <c r="BR103" i="1" s="1"/>
  <c r="BL103" i="1"/>
  <c r="BK103" i="1"/>
  <c r="CA103" i="1" s="1"/>
  <c r="BF103" i="1"/>
  <c r="CB103" i="1" s="1"/>
  <c r="BE103" i="1"/>
  <c r="AY103" i="1"/>
  <c r="AU103" i="1"/>
  <c r="AV103" i="1" s="1"/>
  <c r="AM103" i="1"/>
  <c r="AK103" i="1"/>
  <c r="AI103" i="1"/>
  <c r="AG103" i="1"/>
  <c r="AE103" i="1"/>
  <c r="AC103" i="1"/>
  <c r="AA103" i="1"/>
  <c r="Y103" i="1"/>
  <c r="W103" i="1"/>
  <c r="U103" i="1"/>
  <c r="R103" i="1"/>
  <c r="M103" i="1"/>
  <c r="S103" i="1" s="1"/>
  <c r="AW103" i="1" s="1"/>
  <c r="HN102" i="1"/>
  <c r="HK102" i="1"/>
  <c r="HJ102" i="1"/>
  <c r="HA102" i="1"/>
  <c r="GW102" i="1"/>
  <c r="GR102" i="1"/>
  <c r="GL102" i="1"/>
  <c r="GG102" i="1"/>
  <c r="GA102" i="1"/>
  <c r="FV102" i="1"/>
  <c r="GB102" i="1" s="1"/>
  <c r="E112" i="2" s="1"/>
  <c r="FQ102" i="1"/>
  <c r="FG102" i="1"/>
  <c r="DU102" i="1"/>
  <c r="DT102" i="1"/>
  <c r="DS102" i="1"/>
  <c r="DR102" i="1"/>
  <c r="DQ102" i="1"/>
  <c r="DL102" i="1"/>
  <c r="DG102" i="1"/>
  <c r="DB102" i="1"/>
  <c r="DV102" i="1" s="1"/>
  <c r="E117" i="2" s="1"/>
  <c r="CW102" i="1"/>
  <c r="CR102" i="1"/>
  <c r="CS102" i="1" s="1"/>
  <c r="CM102" i="1"/>
  <c r="CH102" i="1"/>
  <c r="BZ102" i="1"/>
  <c r="BY102" i="1"/>
  <c r="BW102" i="1"/>
  <c r="BX102" i="1" s="1"/>
  <c r="BQ102" i="1"/>
  <c r="BR102" i="1" s="1"/>
  <c r="BL102" i="1"/>
  <c r="BK102" i="1"/>
  <c r="BE102" i="1"/>
  <c r="AY102" i="1"/>
  <c r="AU102" i="1"/>
  <c r="AM102" i="1"/>
  <c r="AK102" i="1"/>
  <c r="AI102" i="1"/>
  <c r="AG102" i="1"/>
  <c r="AE102" i="1"/>
  <c r="AC102" i="1"/>
  <c r="AA102" i="1"/>
  <c r="Y102" i="1"/>
  <c r="W102" i="1"/>
  <c r="U102" i="1"/>
  <c r="R102" i="1"/>
  <c r="M102" i="1"/>
  <c r="HN101" i="1"/>
  <c r="HK101" i="1"/>
  <c r="HJ101" i="1"/>
  <c r="HA101" i="1"/>
  <c r="GW101" i="1"/>
  <c r="GR101" i="1"/>
  <c r="GL101" i="1"/>
  <c r="GM101" i="1" s="1"/>
  <c r="GX101" i="1" s="1"/>
  <c r="GG101" i="1"/>
  <c r="GA101" i="1"/>
  <c r="FV101" i="1"/>
  <c r="FQ101" i="1"/>
  <c r="FG101" i="1"/>
  <c r="DU101" i="1"/>
  <c r="DT101" i="1"/>
  <c r="DS101" i="1"/>
  <c r="DR101" i="1"/>
  <c r="DQ101" i="1"/>
  <c r="DL101" i="1"/>
  <c r="DG101" i="1"/>
  <c r="DB101" i="1"/>
  <c r="DV101" i="1" s="1"/>
  <c r="CW101" i="1"/>
  <c r="CR101" i="1"/>
  <c r="CM101" i="1"/>
  <c r="CS101" i="1" s="1"/>
  <c r="CH101" i="1"/>
  <c r="BZ101" i="1"/>
  <c r="BY101" i="1"/>
  <c r="BW101" i="1"/>
  <c r="BX101" i="1" s="1"/>
  <c r="BR101" i="1"/>
  <c r="BQ101" i="1"/>
  <c r="BL101" i="1"/>
  <c r="BK101" i="1"/>
  <c r="BE101" i="1"/>
  <c r="AY101" i="1"/>
  <c r="AV101" i="1"/>
  <c r="AU101" i="1"/>
  <c r="AM101" i="1"/>
  <c r="AK101" i="1"/>
  <c r="AI101" i="1"/>
  <c r="AG101" i="1"/>
  <c r="AE101" i="1"/>
  <c r="AC101" i="1"/>
  <c r="AA101" i="1"/>
  <c r="Y101" i="1"/>
  <c r="W101" i="1"/>
  <c r="U101" i="1"/>
  <c r="S101" i="1"/>
  <c r="AW101" i="1" s="1"/>
  <c r="R101" i="1"/>
  <c r="M101" i="1"/>
  <c r="HN100" i="1"/>
  <c r="HK100" i="1"/>
  <c r="HJ100" i="1"/>
  <c r="HA100" i="1"/>
  <c r="GW100" i="1"/>
  <c r="GR100" i="1"/>
  <c r="GL100" i="1"/>
  <c r="GM100" i="1" s="1"/>
  <c r="GG100" i="1"/>
  <c r="GA100" i="1"/>
  <c r="GB100" i="1" s="1"/>
  <c r="FV100" i="1"/>
  <c r="FQ100" i="1"/>
  <c r="FG100" i="1"/>
  <c r="DU100" i="1"/>
  <c r="DT100" i="1"/>
  <c r="DS100" i="1"/>
  <c r="DR100" i="1"/>
  <c r="DQ100" i="1"/>
  <c r="DL100" i="1"/>
  <c r="DG100" i="1"/>
  <c r="DB100" i="1"/>
  <c r="CW100" i="1"/>
  <c r="CR100" i="1"/>
  <c r="CM100" i="1"/>
  <c r="CH100" i="1"/>
  <c r="CA100" i="1"/>
  <c r="BZ100" i="1"/>
  <c r="BY100" i="1"/>
  <c r="BW100" i="1"/>
  <c r="BX100" i="1" s="1"/>
  <c r="BR100" i="1"/>
  <c r="BQ100" i="1"/>
  <c r="BK100" i="1"/>
  <c r="BL100" i="1" s="1"/>
  <c r="BE100" i="1"/>
  <c r="BF100" i="1" s="1"/>
  <c r="AY100" i="1"/>
  <c r="AW100" i="1"/>
  <c r="AV100" i="1"/>
  <c r="AU100" i="1"/>
  <c r="AM100" i="1"/>
  <c r="AK100" i="1"/>
  <c r="AI100" i="1"/>
  <c r="AG100" i="1"/>
  <c r="AE100" i="1"/>
  <c r="AC100" i="1"/>
  <c r="AA100" i="1"/>
  <c r="Y100" i="1"/>
  <c r="W100" i="1"/>
  <c r="U100" i="1"/>
  <c r="R100" i="1"/>
  <c r="S100" i="1" s="1"/>
  <c r="M100" i="1"/>
  <c r="HN99" i="1"/>
  <c r="HK99" i="1"/>
  <c r="D244" i="3" s="1"/>
  <c r="HJ99" i="1"/>
  <c r="HA99" i="1"/>
  <c r="D234" i="3" s="1"/>
  <c r="GW99" i="1"/>
  <c r="GR99" i="1"/>
  <c r="GL99" i="1"/>
  <c r="GG99" i="1"/>
  <c r="GM99" i="1" s="1"/>
  <c r="GA99" i="1"/>
  <c r="GB99" i="1" s="1"/>
  <c r="FV99" i="1"/>
  <c r="FQ99" i="1"/>
  <c r="FG99" i="1"/>
  <c r="D243" i="3" s="1"/>
  <c r="DU99" i="1"/>
  <c r="DT99" i="1"/>
  <c r="DS99" i="1"/>
  <c r="DR99" i="1"/>
  <c r="DQ99" i="1"/>
  <c r="DL99" i="1"/>
  <c r="DG99" i="1"/>
  <c r="DB99" i="1"/>
  <c r="DV99" i="1" s="1"/>
  <c r="CW99" i="1"/>
  <c r="CR99" i="1"/>
  <c r="CM99" i="1"/>
  <c r="CS99" i="1" s="1"/>
  <c r="CH99" i="1"/>
  <c r="BZ99" i="1"/>
  <c r="BY99" i="1"/>
  <c r="BX99" i="1"/>
  <c r="BW99" i="1"/>
  <c r="BR99" i="1"/>
  <c r="BQ99" i="1"/>
  <c r="BL99" i="1"/>
  <c r="BK99" i="1"/>
  <c r="BE99" i="1"/>
  <c r="AY99" i="1"/>
  <c r="AV99" i="1"/>
  <c r="AU99" i="1"/>
  <c r="AM99" i="1"/>
  <c r="AK99" i="1"/>
  <c r="AI99" i="1"/>
  <c r="AG99" i="1"/>
  <c r="AE99" i="1"/>
  <c r="AC99" i="1"/>
  <c r="AA99" i="1"/>
  <c r="Y99" i="1"/>
  <c r="W99" i="1"/>
  <c r="U99" i="1"/>
  <c r="R99" i="1"/>
  <c r="M99" i="1"/>
  <c r="HN98" i="1"/>
  <c r="HK98" i="1"/>
  <c r="HJ98" i="1"/>
  <c r="HA98" i="1"/>
  <c r="GW98" i="1"/>
  <c r="GR98" i="1"/>
  <c r="GL98" i="1"/>
  <c r="GG98" i="1"/>
  <c r="GA98" i="1"/>
  <c r="FV98" i="1"/>
  <c r="GB98" i="1" s="1"/>
  <c r="FQ98" i="1"/>
  <c r="FG98" i="1"/>
  <c r="DU98" i="1"/>
  <c r="DT98" i="1"/>
  <c r="DS98" i="1"/>
  <c r="DR98" i="1"/>
  <c r="DQ98" i="1"/>
  <c r="DL98" i="1"/>
  <c r="DG98" i="1"/>
  <c r="DB98" i="1"/>
  <c r="CW98" i="1"/>
  <c r="CS98" i="1"/>
  <c r="CR98" i="1"/>
  <c r="CM98" i="1"/>
  <c r="CH98" i="1"/>
  <c r="CA98" i="1"/>
  <c r="BZ98" i="1"/>
  <c r="BY98" i="1"/>
  <c r="BX98" i="1"/>
  <c r="BW98" i="1"/>
  <c r="BR98" i="1"/>
  <c r="BQ98" i="1"/>
  <c r="BK98" i="1"/>
  <c r="BL98" i="1" s="1"/>
  <c r="BE98" i="1"/>
  <c r="BF98" i="1" s="1"/>
  <c r="AY98" i="1"/>
  <c r="AV98" i="1"/>
  <c r="AU98" i="1"/>
  <c r="AM98" i="1"/>
  <c r="AK98" i="1"/>
  <c r="AI98" i="1"/>
  <c r="AG98" i="1"/>
  <c r="AE98" i="1"/>
  <c r="AC98" i="1"/>
  <c r="AA98" i="1"/>
  <c r="Y98" i="1"/>
  <c r="W98" i="1"/>
  <c r="U98" i="1"/>
  <c r="R98" i="1"/>
  <c r="M98" i="1"/>
  <c r="S98" i="1" s="1"/>
  <c r="AW98" i="1" s="1"/>
  <c r="HN97" i="1"/>
  <c r="HK97" i="1"/>
  <c r="HJ97" i="1"/>
  <c r="HA97" i="1"/>
  <c r="GW97" i="1"/>
  <c r="GR97" i="1"/>
  <c r="GL97" i="1"/>
  <c r="GG97" i="1"/>
  <c r="GA97" i="1"/>
  <c r="FV97" i="1"/>
  <c r="FQ97" i="1"/>
  <c r="FG97" i="1"/>
  <c r="DU97" i="1"/>
  <c r="DT97" i="1"/>
  <c r="DS97" i="1"/>
  <c r="DR97" i="1"/>
  <c r="DQ97" i="1"/>
  <c r="DL97" i="1"/>
  <c r="DG97" i="1"/>
  <c r="DB97" i="1"/>
  <c r="CW97" i="1"/>
  <c r="CS97" i="1"/>
  <c r="G102" i="2" s="1"/>
  <c r="CR97" i="1"/>
  <c r="CM97" i="1"/>
  <c r="CH97" i="1"/>
  <c r="BZ97" i="1"/>
  <c r="BY97" i="1"/>
  <c r="BX97" i="1"/>
  <c r="BW97" i="1"/>
  <c r="BR97" i="1"/>
  <c r="BQ97" i="1"/>
  <c r="BK97" i="1"/>
  <c r="BL97" i="1" s="1"/>
  <c r="BE97" i="1"/>
  <c r="AY97" i="1"/>
  <c r="AU97" i="1"/>
  <c r="AM97" i="1"/>
  <c r="AK97" i="1"/>
  <c r="AI97" i="1"/>
  <c r="AG97" i="1"/>
  <c r="AE97" i="1"/>
  <c r="AC97" i="1"/>
  <c r="AA97" i="1"/>
  <c r="Y97" i="1"/>
  <c r="W97" i="1"/>
  <c r="U97" i="1"/>
  <c r="G97" i="2" s="1"/>
  <c r="R97" i="1"/>
  <c r="M97" i="1"/>
  <c r="S97" i="1" s="1"/>
  <c r="HN95" i="1"/>
  <c r="HK95" i="1"/>
  <c r="HJ95" i="1"/>
  <c r="HA95" i="1"/>
  <c r="GW95" i="1"/>
  <c r="GR95" i="1"/>
  <c r="GL95" i="1"/>
  <c r="GG95" i="1"/>
  <c r="GM95" i="1" s="1"/>
  <c r="GX95" i="1" s="1"/>
  <c r="GA95" i="1"/>
  <c r="FV95" i="1"/>
  <c r="GB95" i="1" s="1"/>
  <c r="FQ95" i="1"/>
  <c r="FG95" i="1"/>
  <c r="DU95" i="1"/>
  <c r="DT95" i="1"/>
  <c r="DS95" i="1"/>
  <c r="DR95" i="1"/>
  <c r="DQ95" i="1"/>
  <c r="DL95" i="1"/>
  <c r="DG95" i="1"/>
  <c r="DB95" i="1"/>
  <c r="DV95" i="1" s="1"/>
  <c r="CW95" i="1"/>
  <c r="CS95" i="1"/>
  <c r="CR95" i="1"/>
  <c r="CM95" i="1"/>
  <c r="CH95" i="1"/>
  <c r="CA95" i="1"/>
  <c r="BZ95" i="1"/>
  <c r="BY95" i="1"/>
  <c r="BX95" i="1"/>
  <c r="BW95" i="1"/>
  <c r="BR95" i="1"/>
  <c r="BQ95" i="1"/>
  <c r="BK95" i="1"/>
  <c r="BL95" i="1" s="1"/>
  <c r="BF95" i="1"/>
  <c r="BE95" i="1"/>
  <c r="AY95" i="1"/>
  <c r="AW95" i="1"/>
  <c r="AV95" i="1"/>
  <c r="AU95" i="1"/>
  <c r="AM95" i="1"/>
  <c r="AK95" i="1"/>
  <c r="AI95" i="1"/>
  <c r="AG95" i="1"/>
  <c r="AE95" i="1"/>
  <c r="AC95" i="1"/>
  <c r="AA95" i="1"/>
  <c r="Y95" i="1"/>
  <c r="W95" i="1"/>
  <c r="U95" i="1"/>
  <c r="S95" i="1"/>
  <c r="R95" i="1"/>
  <c r="M95" i="1"/>
  <c r="HN94" i="1"/>
  <c r="HK94" i="1"/>
  <c r="HJ94" i="1"/>
  <c r="HA94" i="1"/>
  <c r="GW94" i="1"/>
  <c r="GR94" i="1"/>
  <c r="GX94" i="1" s="1"/>
  <c r="GM94" i="1"/>
  <c r="GL94" i="1"/>
  <c r="GG94" i="1"/>
  <c r="GA94" i="1"/>
  <c r="FV94" i="1"/>
  <c r="GB94" i="1" s="1"/>
  <c r="FQ94" i="1"/>
  <c r="FG94" i="1"/>
  <c r="DU94" i="1"/>
  <c r="DT94" i="1"/>
  <c r="DS94" i="1"/>
  <c r="DR94" i="1"/>
  <c r="DQ94" i="1"/>
  <c r="DL94" i="1"/>
  <c r="DG94" i="1"/>
  <c r="DB94" i="1"/>
  <c r="CW94" i="1"/>
  <c r="CR94" i="1"/>
  <c r="CS94" i="1" s="1"/>
  <c r="CM94" i="1"/>
  <c r="CH94" i="1"/>
  <c r="BZ94" i="1"/>
  <c r="BY94" i="1"/>
  <c r="BW94" i="1"/>
  <c r="BX94" i="1" s="1"/>
  <c r="BQ94" i="1"/>
  <c r="BR94" i="1" s="1"/>
  <c r="BL94" i="1"/>
  <c r="BK94" i="1"/>
  <c r="BF94" i="1"/>
  <c r="CB94" i="1" s="1"/>
  <c r="BE94" i="1"/>
  <c r="AY94" i="1"/>
  <c r="AU94" i="1"/>
  <c r="AV94" i="1" s="1"/>
  <c r="AM94" i="1"/>
  <c r="AK94" i="1"/>
  <c r="AI94" i="1"/>
  <c r="AG94" i="1"/>
  <c r="AE94" i="1"/>
  <c r="AC94" i="1"/>
  <c r="AA94" i="1"/>
  <c r="Y94" i="1"/>
  <c r="W94" i="1"/>
  <c r="U94" i="1"/>
  <c r="R94" i="1"/>
  <c r="M94" i="1"/>
  <c r="S94" i="1" s="1"/>
  <c r="AW94" i="1" s="1"/>
  <c r="HN93" i="1"/>
  <c r="HK93" i="1"/>
  <c r="HJ93" i="1"/>
  <c r="HA93" i="1"/>
  <c r="GW93" i="1"/>
  <c r="GR93" i="1"/>
  <c r="GL93" i="1"/>
  <c r="GG93" i="1"/>
  <c r="GA93" i="1"/>
  <c r="FV93" i="1"/>
  <c r="GB93" i="1" s="1"/>
  <c r="F99" i="2" s="1"/>
  <c r="FQ93" i="1"/>
  <c r="FG93" i="1"/>
  <c r="DU93" i="1"/>
  <c r="DT93" i="1"/>
  <c r="DS93" i="1"/>
  <c r="DR93" i="1"/>
  <c r="DQ93" i="1"/>
  <c r="DL93" i="1"/>
  <c r="DG93" i="1"/>
  <c r="DB93" i="1"/>
  <c r="DV93" i="1" s="1"/>
  <c r="CW93" i="1"/>
  <c r="CS93" i="1"/>
  <c r="CR93" i="1"/>
  <c r="CM93" i="1"/>
  <c r="CH93" i="1"/>
  <c r="BZ93" i="1"/>
  <c r="BY93" i="1"/>
  <c r="BX93" i="1"/>
  <c r="BW93" i="1"/>
  <c r="BQ93" i="1"/>
  <c r="BR93" i="1" s="1"/>
  <c r="BL93" i="1"/>
  <c r="BK93" i="1"/>
  <c r="BF93" i="1"/>
  <c r="BE93" i="1"/>
  <c r="AY93" i="1"/>
  <c r="AW93" i="1"/>
  <c r="AU93" i="1"/>
  <c r="AM93" i="1"/>
  <c r="AK93" i="1"/>
  <c r="AI93" i="1"/>
  <c r="AG93" i="1"/>
  <c r="AE93" i="1"/>
  <c r="AC93" i="1"/>
  <c r="AA93" i="1"/>
  <c r="Y93" i="1"/>
  <c r="W93" i="1"/>
  <c r="U93" i="1"/>
  <c r="S93" i="1"/>
  <c r="R93" i="1"/>
  <c r="M93" i="1"/>
  <c r="HN92" i="1"/>
  <c r="HK92" i="1"/>
  <c r="HJ92" i="1"/>
  <c r="HA92" i="1"/>
  <c r="GW92" i="1"/>
  <c r="GR92" i="1"/>
  <c r="GM92" i="1"/>
  <c r="GX92" i="1" s="1"/>
  <c r="GL92" i="1"/>
  <c r="GG92" i="1"/>
  <c r="GB92" i="1"/>
  <c r="GA92" i="1"/>
  <c r="FV92" i="1"/>
  <c r="FQ92" i="1"/>
  <c r="FG92" i="1"/>
  <c r="DU92" i="1"/>
  <c r="DT92" i="1"/>
  <c r="DS92" i="1"/>
  <c r="DR92" i="1"/>
  <c r="DQ92" i="1"/>
  <c r="DL92" i="1"/>
  <c r="DG92" i="1"/>
  <c r="DB92" i="1"/>
  <c r="DV92" i="1" s="1"/>
  <c r="CW92" i="1"/>
  <c r="CR92" i="1"/>
  <c r="CM92" i="1"/>
  <c r="CS92" i="1" s="1"/>
  <c r="CH92" i="1"/>
  <c r="BZ92" i="1"/>
  <c r="BY92" i="1"/>
  <c r="BW92" i="1"/>
  <c r="BX92" i="1" s="1"/>
  <c r="BR92" i="1"/>
  <c r="BQ92" i="1"/>
  <c r="BL92" i="1"/>
  <c r="BK92" i="1"/>
  <c r="BF92" i="1"/>
  <c r="CB92" i="1" s="1"/>
  <c r="BE92" i="1"/>
  <c r="AY92" i="1"/>
  <c r="AW92" i="1"/>
  <c r="AV92" i="1"/>
  <c r="AU92" i="1"/>
  <c r="AM92" i="1"/>
  <c r="AK92" i="1"/>
  <c r="AI92" i="1"/>
  <c r="AG92" i="1"/>
  <c r="AE92" i="1"/>
  <c r="AC92" i="1"/>
  <c r="AA92" i="1"/>
  <c r="Y92" i="1"/>
  <c r="W92" i="1"/>
  <c r="U92" i="1"/>
  <c r="S92" i="1"/>
  <c r="R92" i="1"/>
  <c r="M92" i="1"/>
  <c r="HN91" i="1"/>
  <c r="HK91" i="1"/>
  <c r="HJ91" i="1"/>
  <c r="HA91" i="1"/>
  <c r="GW91" i="1"/>
  <c r="GR91" i="1"/>
  <c r="GM91" i="1"/>
  <c r="GX91" i="1" s="1"/>
  <c r="GL91" i="1"/>
  <c r="GG91" i="1"/>
  <c r="GB91" i="1"/>
  <c r="GA91" i="1"/>
  <c r="FV91" i="1"/>
  <c r="FQ91" i="1"/>
  <c r="FG91" i="1"/>
  <c r="DU91" i="1"/>
  <c r="DT91" i="1"/>
  <c r="DS91" i="1"/>
  <c r="DR91" i="1"/>
  <c r="DQ91" i="1"/>
  <c r="DL91" i="1"/>
  <c r="DG91" i="1"/>
  <c r="DB91" i="1"/>
  <c r="DV91" i="1" s="1"/>
  <c r="CW91" i="1"/>
  <c r="CR91" i="1"/>
  <c r="CM91" i="1"/>
  <c r="CS91" i="1" s="1"/>
  <c r="CH91" i="1"/>
  <c r="BZ91" i="1"/>
  <c r="BY91" i="1"/>
  <c r="BW91" i="1"/>
  <c r="BX91" i="1" s="1"/>
  <c r="BR91" i="1"/>
  <c r="BQ91" i="1"/>
  <c r="BL91" i="1"/>
  <c r="BK91" i="1"/>
  <c r="BE91" i="1"/>
  <c r="CA91" i="1" s="1"/>
  <c r="AY91" i="1"/>
  <c r="AV91" i="1"/>
  <c r="AU91" i="1"/>
  <c r="AM91" i="1"/>
  <c r="AK91" i="1"/>
  <c r="AI91" i="1"/>
  <c r="AG91" i="1"/>
  <c r="AE91" i="1"/>
  <c r="AC91" i="1"/>
  <c r="AA91" i="1"/>
  <c r="Y91" i="1"/>
  <c r="W91" i="1"/>
  <c r="U91" i="1"/>
  <c r="R91" i="1"/>
  <c r="S91" i="1" s="1"/>
  <c r="AW91" i="1" s="1"/>
  <c r="M91" i="1"/>
  <c r="HN90" i="1"/>
  <c r="HK90" i="1"/>
  <c r="HJ90" i="1"/>
  <c r="HA90" i="1"/>
  <c r="GW90" i="1"/>
  <c r="GR90" i="1"/>
  <c r="GL90" i="1"/>
  <c r="GG90" i="1"/>
  <c r="GM90" i="1" s="1"/>
  <c r="GB90" i="1"/>
  <c r="GA90" i="1"/>
  <c r="FV90" i="1"/>
  <c r="FQ90" i="1"/>
  <c r="FG90" i="1"/>
  <c r="DU90" i="1"/>
  <c r="DT90" i="1"/>
  <c r="DS90" i="1"/>
  <c r="DR90" i="1"/>
  <c r="DQ90" i="1"/>
  <c r="DL90" i="1"/>
  <c r="DG90" i="1"/>
  <c r="DB90" i="1"/>
  <c r="DV90" i="1" s="1"/>
  <c r="CW90" i="1"/>
  <c r="CR90" i="1"/>
  <c r="CM90" i="1"/>
  <c r="CH90" i="1"/>
  <c r="BZ90" i="1"/>
  <c r="BY90" i="1"/>
  <c r="BW90" i="1"/>
  <c r="BX90" i="1" s="1"/>
  <c r="BR90" i="1"/>
  <c r="BQ90" i="1"/>
  <c r="BK90" i="1"/>
  <c r="BL90" i="1" s="1"/>
  <c r="BE90" i="1"/>
  <c r="AY90" i="1"/>
  <c r="AV90" i="1"/>
  <c r="AU90" i="1"/>
  <c r="AM90" i="1"/>
  <c r="AK90" i="1"/>
  <c r="AI90" i="1"/>
  <c r="AG90" i="1"/>
  <c r="AE90" i="1"/>
  <c r="AC90" i="1"/>
  <c r="AA90" i="1"/>
  <c r="Y90" i="1"/>
  <c r="W90" i="1"/>
  <c r="U90" i="1"/>
  <c r="R90" i="1"/>
  <c r="M90" i="1"/>
  <c r="S90" i="1" s="1"/>
  <c r="HN89" i="1"/>
  <c r="HK89" i="1"/>
  <c r="HJ89" i="1"/>
  <c r="HA89" i="1"/>
  <c r="GW89" i="1"/>
  <c r="GR89" i="1"/>
  <c r="GL89" i="1"/>
  <c r="GG89" i="1"/>
  <c r="GM89" i="1" s="1"/>
  <c r="GX89" i="1" s="1"/>
  <c r="GA89" i="1"/>
  <c r="FV89" i="1"/>
  <c r="FQ89" i="1"/>
  <c r="FG89" i="1"/>
  <c r="DU89" i="1"/>
  <c r="DT89" i="1"/>
  <c r="DS89" i="1"/>
  <c r="DR89" i="1"/>
  <c r="DQ89" i="1"/>
  <c r="DL89" i="1"/>
  <c r="DG89" i="1"/>
  <c r="DB89" i="1"/>
  <c r="CW89" i="1"/>
  <c r="CR89" i="1"/>
  <c r="CM89" i="1"/>
  <c r="CS89" i="1" s="1"/>
  <c r="CH89" i="1"/>
  <c r="BZ89" i="1"/>
  <c r="BY89" i="1"/>
  <c r="BX89" i="1"/>
  <c r="BW89" i="1"/>
  <c r="BR89" i="1"/>
  <c r="BQ89" i="1"/>
  <c r="BL89" i="1"/>
  <c r="BK89" i="1"/>
  <c r="BE89" i="1"/>
  <c r="BF89" i="1" s="1"/>
  <c r="AY89" i="1"/>
  <c r="AV89" i="1"/>
  <c r="AU89" i="1"/>
  <c r="AM89" i="1"/>
  <c r="AK89" i="1"/>
  <c r="AI89" i="1"/>
  <c r="AG89" i="1"/>
  <c r="AE89" i="1"/>
  <c r="AC89" i="1"/>
  <c r="AA89" i="1"/>
  <c r="Y89" i="1"/>
  <c r="W89" i="1"/>
  <c r="U89" i="1"/>
  <c r="R89" i="1"/>
  <c r="M89" i="1"/>
  <c r="HN88" i="1"/>
  <c r="HK88" i="1"/>
  <c r="HJ88" i="1"/>
  <c r="HA88" i="1"/>
  <c r="GW88" i="1"/>
  <c r="GR88" i="1"/>
  <c r="GM88" i="1"/>
  <c r="GX88" i="1" s="1"/>
  <c r="GL88" i="1"/>
  <c r="GG88" i="1"/>
  <c r="GA88" i="1"/>
  <c r="FV88" i="1"/>
  <c r="FQ88" i="1"/>
  <c r="FG88" i="1"/>
  <c r="DU88" i="1"/>
  <c r="DT88" i="1"/>
  <c r="DS88" i="1"/>
  <c r="DR88" i="1"/>
  <c r="DQ88" i="1"/>
  <c r="DL88" i="1"/>
  <c r="DG88" i="1"/>
  <c r="DB88" i="1"/>
  <c r="DV88" i="1" s="1"/>
  <c r="CW88" i="1"/>
  <c r="CR88" i="1"/>
  <c r="CM88" i="1"/>
  <c r="CS88" i="1" s="1"/>
  <c r="CH88" i="1"/>
  <c r="BZ88" i="1"/>
  <c r="BY88" i="1"/>
  <c r="BX88" i="1"/>
  <c r="BW88" i="1"/>
  <c r="BQ88" i="1"/>
  <c r="BR88" i="1" s="1"/>
  <c r="BK88" i="1"/>
  <c r="BL88" i="1" s="1"/>
  <c r="BF88" i="1"/>
  <c r="BE88" i="1"/>
  <c r="AY88" i="1"/>
  <c r="AV88" i="1"/>
  <c r="AU88" i="1"/>
  <c r="AM88" i="1"/>
  <c r="AK88" i="1"/>
  <c r="AI88" i="1"/>
  <c r="AG88" i="1"/>
  <c r="AE88" i="1"/>
  <c r="AC88" i="1"/>
  <c r="AA88" i="1"/>
  <c r="Y88" i="1"/>
  <c r="W88" i="1"/>
  <c r="U88" i="1"/>
  <c r="S88" i="1"/>
  <c r="R88" i="1"/>
  <c r="M88" i="1"/>
  <c r="HN87" i="1"/>
  <c r="HK87" i="1"/>
  <c r="D217" i="3" s="1"/>
  <c r="HJ87" i="1"/>
  <c r="HA87" i="1"/>
  <c r="GW87" i="1"/>
  <c r="GR87" i="1"/>
  <c r="GM87" i="1"/>
  <c r="GL87" i="1"/>
  <c r="GG87" i="1"/>
  <c r="GB87" i="1"/>
  <c r="GA87" i="1"/>
  <c r="FV87" i="1"/>
  <c r="FQ87" i="1"/>
  <c r="FG87" i="1"/>
  <c r="DU87" i="1"/>
  <c r="DT87" i="1"/>
  <c r="DS87" i="1"/>
  <c r="DR87" i="1"/>
  <c r="DQ87" i="1"/>
  <c r="DL87" i="1"/>
  <c r="DG87" i="1"/>
  <c r="DB87" i="1"/>
  <c r="DV87" i="1" s="1"/>
  <c r="CW87" i="1"/>
  <c r="CR87" i="1"/>
  <c r="CM87" i="1"/>
  <c r="CS87" i="1" s="1"/>
  <c r="CH87" i="1"/>
  <c r="BZ87" i="1"/>
  <c r="BY87" i="1"/>
  <c r="BX87" i="1"/>
  <c r="BW87" i="1"/>
  <c r="BR87" i="1"/>
  <c r="BQ87" i="1"/>
  <c r="BK87" i="1"/>
  <c r="BL87" i="1" s="1"/>
  <c r="BF87" i="1"/>
  <c r="BE87" i="1"/>
  <c r="AY87" i="1"/>
  <c r="AU87" i="1"/>
  <c r="AM87" i="1"/>
  <c r="AK87" i="1"/>
  <c r="AI87" i="1"/>
  <c r="AG87" i="1"/>
  <c r="AE87" i="1"/>
  <c r="AC87" i="1"/>
  <c r="AA87" i="1"/>
  <c r="Y87" i="1"/>
  <c r="W87" i="1"/>
  <c r="U87" i="1"/>
  <c r="R87" i="1"/>
  <c r="M87" i="1"/>
  <c r="S87" i="1" s="1"/>
  <c r="HN86" i="1"/>
  <c r="HK86" i="1"/>
  <c r="HJ86" i="1"/>
  <c r="HA86" i="1"/>
  <c r="GW86" i="1"/>
  <c r="GR86" i="1"/>
  <c r="GL86" i="1"/>
  <c r="GG86" i="1"/>
  <c r="GM86" i="1" s="1"/>
  <c r="GX86" i="1" s="1"/>
  <c r="GA86" i="1"/>
  <c r="FV86" i="1"/>
  <c r="GB86" i="1" s="1"/>
  <c r="FQ86" i="1"/>
  <c r="FG86" i="1"/>
  <c r="DU86" i="1"/>
  <c r="DT86" i="1"/>
  <c r="DS86" i="1"/>
  <c r="DR86" i="1"/>
  <c r="DQ86" i="1"/>
  <c r="DL86" i="1"/>
  <c r="DG86" i="1"/>
  <c r="DB86" i="1"/>
  <c r="DV86" i="1" s="1"/>
  <c r="CW86" i="1"/>
  <c r="CS86" i="1"/>
  <c r="CR86" i="1"/>
  <c r="CM86" i="1"/>
  <c r="CH86" i="1"/>
  <c r="BZ86" i="1"/>
  <c r="BY86" i="1"/>
  <c r="BX86" i="1"/>
  <c r="BW86" i="1"/>
  <c r="BQ86" i="1"/>
  <c r="BR86" i="1" s="1"/>
  <c r="BK86" i="1"/>
  <c r="BF86" i="1"/>
  <c r="BE86" i="1"/>
  <c r="AY86" i="1"/>
  <c r="AU86" i="1"/>
  <c r="AV86" i="1" s="1"/>
  <c r="AM86" i="1"/>
  <c r="AK86" i="1"/>
  <c r="AI86" i="1"/>
  <c r="AG86" i="1"/>
  <c r="AE86" i="1"/>
  <c r="AC86" i="1"/>
  <c r="AA86" i="1"/>
  <c r="Y86" i="1"/>
  <c r="W86" i="1"/>
  <c r="U86" i="1"/>
  <c r="S86" i="1"/>
  <c r="AW86" i="1" s="1"/>
  <c r="R86" i="1"/>
  <c r="M86" i="1"/>
  <c r="HN85" i="1"/>
  <c r="HK85" i="1"/>
  <c r="HJ85" i="1"/>
  <c r="HA85" i="1"/>
  <c r="GW85" i="1"/>
  <c r="GR85" i="1"/>
  <c r="GL85" i="1"/>
  <c r="GG85" i="1"/>
  <c r="GM85" i="1" s="1"/>
  <c r="GB85" i="1"/>
  <c r="G86" i="2" s="1"/>
  <c r="GA85" i="1"/>
  <c r="FV85" i="1"/>
  <c r="FQ85" i="1"/>
  <c r="FG85" i="1"/>
  <c r="DU85" i="1"/>
  <c r="DT85" i="1"/>
  <c r="DS85" i="1"/>
  <c r="DR85" i="1"/>
  <c r="DQ85" i="1"/>
  <c r="DL85" i="1"/>
  <c r="DG85" i="1"/>
  <c r="DB85" i="1"/>
  <c r="DV85" i="1" s="1"/>
  <c r="G91" i="2" s="1"/>
  <c r="CW85" i="1"/>
  <c r="CR85" i="1"/>
  <c r="CS85" i="1" s="1"/>
  <c r="G89" i="2" s="1"/>
  <c r="CM85" i="1"/>
  <c r="CH85" i="1"/>
  <c r="BZ85" i="1"/>
  <c r="BY85" i="1"/>
  <c r="BW85" i="1"/>
  <c r="BX85" i="1" s="1"/>
  <c r="BQ85" i="1"/>
  <c r="BR85" i="1" s="1"/>
  <c r="BL85" i="1"/>
  <c r="BK85" i="1"/>
  <c r="BF85" i="1"/>
  <c r="CB85" i="1" s="1"/>
  <c r="BE85" i="1"/>
  <c r="AY85" i="1"/>
  <c r="AU85" i="1"/>
  <c r="AM85" i="1"/>
  <c r="AK85" i="1"/>
  <c r="AI85" i="1"/>
  <c r="AG85" i="1"/>
  <c r="AE85" i="1"/>
  <c r="AC85" i="1"/>
  <c r="AA85" i="1"/>
  <c r="Y85" i="1"/>
  <c r="W85" i="1"/>
  <c r="U85" i="1"/>
  <c r="R85" i="1"/>
  <c r="M85" i="1"/>
  <c r="HN83" i="1"/>
  <c r="HK83" i="1"/>
  <c r="HJ83" i="1"/>
  <c r="HA83" i="1"/>
  <c r="GW83" i="1"/>
  <c r="GR83" i="1"/>
  <c r="GL83" i="1"/>
  <c r="GG83" i="1"/>
  <c r="GM83" i="1" s="1"/>
  <c r="GX83" i="1" s="1"/>
  <c r="GA83" i="1"/>
  <c r="FV83" i="1"/>
  <c r="FQ83" i="1"/>
  <c r="FG83" i="1"/>
  <c r="DU83" i="1"/>
  <c r="DT83" i="1"/>
  <c r="DS83" i="1"/>
  <c r="DR83" i="1"/>
  <c r="DQ83" i="1"/>
  <c r="DL83" i="1"/>
  <c r="DG83" i="1"/>
  <c r="DB83" i="1"/>
  <c r="DV83" i="1" s="1"/>
  <c r="CW83" i="1"/>
  <c r="CR83" i="1"/>
  <c r="CM83" i="1"/>
  <c r="CS83" i="1" s="1"/>
  <c r="CH83" i="1"/>
  <c r="BZ83" i="1"/>
  <c r="BY83" i="1"/>
  <c r="BX83" i="1"/>
  <c r="BW83" i="1"/>
  <c r="BQ83" i="1"/>
  <c r="BR83" i="1" s="1"/>
  <c r="BL83" i="1"/>
  <c r="BK83" i="1"/>
  <c r="BE83" i="1"/>
  <c r="AY83" i="1"/>
  <c r="AU83" i="1"/>
  <c r="AV83" i="1" s="1"/>
  <c r="AM83" i="1"/>
  <c r="AK83" i="1"/>
  <c r="AI83" i="1"/>
  <c r="AG83" i="1"/>
  <c r="AE83" i="1"/>
  <c r="AC83" i="1"/>
  <c r="AA83" i="1"/>
  <c r="Y83" i="1"/>
  <c r="W83" i="1"/>
  <c r="U83" i="1"/>
  <c r="R83" i="1"/>
  <c r="M83" i="1"/>
  <c r="S83" i="1" s="1"/>
  <c r="AW83" i="1" s="1"/>
  <c r="HN82" i="1"/>
  <c r="HK82" i="1"/>
  <c r="HJ82" i="1"/>
  <c r="HA82" i="1"/>
  <c r="GW82" i="1"/>
  <c r="GR82" i="1"/>
  <c r="GL82" i="1"/>
  <c r="GM82" i="1" s="1"/>
  <c r="GX82" i="1" s="1"/>
  <c r="GG82" i="1"/>
  <c r="GA82" i="1"/>
  <c r="FV82" i="1"/>
  <c r="GB82" i="1" s="1"/>
  <c r="FQ82" i="1"/>
  <c r="FG82" i="1"/>
  <c r="DU82" i="1"/>
  <c r="DT82" i="1"/>
  <c r="DS82" i="1"/>
  <c r="DR82" i="1"/>
  <c r="DQ82" i="1"/>
  <c r="DL82" i="1"/>
  <c r="DG82" i="1"/>
  <c r="DB82" i="1"/>
  <c r="CW82" i="1"/>
  <c r="CR82" i="1"/>
  <c r="CM82" i="1"/>
  <c r="CH82" i="1"/>
  <c r="BZ82" i="1"/>
  <c r="BY82" i="1"/>
  <c r="BW82" i="1"/>
  <c r="BX82" i="1" s="1"/>
  <c r="BR82" i="1"/>
  <c r="BQ82" i="1"/>
  <c r="BK82" i="1"/>
  <c r="BL82" i="1" s="1"/>
  <c r="BF82" i="1"/>
  <c r="BE82" i="1"/>
  <c r="AY82" i="1"/>
  <c r="AV82" i="1"/>
  <c r="AU82" i="1"/>
  <c r="AM82" i="1"/>
  <c r="AK82" i="1"/>
  <c r="AI82" i="1"/>
  <c r="AG82" i="1"/>
  <c r="AE82" i="1"/>
  <c r="AC82" i="1"/>
  <c r="AA82" i="1"/>
  <c r="Y82" i="1"/>
  <c r="W82" i="1"/>
  <c r="U82" i="1"/>
  <c r="S82" i="1"/>
  <c r="AW82" i="1" s="1"/>
  <c r="R82" i="1"/>
  <c r="M82" i="1"/>
  <c r="HN81" i="1"/>
  <c r="HK81" i="1"/>
  <c r="HJ81" i="1"/>
  <c r="HA81" i="1"/>
  <c r="GW81" i="1"/>
  <c r="GR81" i="1"/>
  <c r="GM81" i="1"/>
  <c r="GL81" i="1"/>
  <c r="GG81" i="1"/>
  <c r="GA81" i="1"/>
  <c r="GB81" i="1" s="1"/>
  <c r="FV81" i="1"/>
  <c r="FQ81" i="1"/>
  <c r="FG81" i="1"/>
  <c r="DU81" i="1"/>
  <c r="DT81" i="1"/>
  <c r="DS81" i="1"/>
  <c r="DR81" i="1"/>
  <c r="DQ81" i="1"/>
  <c r="DL81" i="1"/>
  <c r="DG81" i="1"/>
  <c r="DB81" i="1"/>
  <c r="CW81" i="1"/>
  <c r="CR81" i="1"/>
  <c r="CM81" i="1"/>
  <c r="CS81" i="1" s="1"/>
  <c r="CH81" i="1"/>
  <c r="CA81" i="1"/>
  <c r="BZ81" i="1"/>
  <c r="BY81" i="1"/>
  <c r="BW81" i="1"/>
  <c r="BX81" i="1" s="1"/>
  <c r="BR81" i="1"/>
  <c r="BQ81" i="1"/>
  <c r="BK81" i="1"/>
  <c r="BL81" i="1" s="1"/>
  <c r="BF81" i="1"/>
  <c r="BE81" i="1"/>
  <c r="AY81" i="1"/>
  <c r="AV81" i="1"/>
  <c r="AU81" i="1"/>
  <c r="AM81" i="1"/>
  <c r="AK81" i="1"/>
  <c r="AI81" i="1"/>
  <c r="AG81" i="1"/>
  <c r="AE81" i="1"/>
  <c r="AC81" i="1"/>
  <c r="AA81" i="1"/>
  <c r="Y81" i="1"/>
  <c r="W81" i="1"/>
  <c r="U81" i="1"/>
  <c r="F84" i="2" s="1"/>
  <c r="S81" i="1"/>
  <c r="AW81" i="1" s="1"/>
  <c r="R81" i="1"/>
  <c r="M81" i="1"/>
  <c r="HN80" i="1"/>
  <c r="HK80" i="1"/>
  <c r="HJ80" i="1"/>
  <c r="HA80" i="1"/>
  <c r="GW80" i="1"/>
  <c r="GR80" i="1"/>
  <c r="GL80" i="1"/>
  <c r="GG80" i="1"/>
  <c r="GB80" i="1"/>
  <c r="GA80" i="1"/>
  <c r="FV80" i="1"/>
  <c r="FQ80" i="1"/>
  <c r="FG80" i="1"/>
  <c r="DU80" i="1"/>
  <c r="DT80" i="1"/>
  <c r="DS80" i="1"/>
  <c r="DR80" i="1"/>
  <c r="DQ80" i="1"/>
  <c r="DL80" i="1"/>
  <c r="DG80" i="1"/>
  <c r="DB80" i="1"/>
  <c r="CW80" i="1"/>
  <c r="CR80" i="1"/>
  <c r="CM80" i="1"/>
  <c r="CS80" i="1" s="1"/>
  <c r="CH80" i="1"/>
  <c r="BZ80" i="1"/>
  <c r="BY80" i="1"/>
  <c r="BX80" i="1"/>
  <c r="BW80" i="1"/>
  <c r="BR80" i="1"/>
  <c r="BQ80" i="1"/>
  <c r="BL80" i="1"/>
  <c r="BK80" i="1"/>
  <c r="BE80" i="1"/>
  <c r="BF80" i="1" s="1"/>
  <c r="AY80" i="1"/>
  <c r="AW80" i="1"/>
  <c r="AU80" i="1"/>
  <c r="AV80" i="1" s="1"/>
  <c r="AM80" i="1"/>
  <c r="AK80" i="1"/>
  <c r="AI80" i="1"/>
  <c r="AG80" i="1"/>
  <c r="AE80" i="1"/>
  <c r="AC80" i="1"/>
  <c r="AA80" i="1"/>
  <c r="Y80" i="1"/>
  <c r="W80" i="1"/>
  <c r="U80" i="1"/>
  <c r="R80" i="1"/>
  <c r="M80" i="1"/>
  <c r="S80" i="1" s="1"/>
  <c r="HN79" i="1"/>
  <c r="HK79" i="1"/>
  <c r="HJ79" i="1"/>
  <c r="HA79" i="1"/>
  <c r="GW79" i="1"/>
  <c r="GR79" i="1"/>
  <c r="GL79" i="1"/>
  <c r="GG79" i="1"/>
  <c r="GM79" i="1" s="1"/>
  <c r="GX79" i="1" s="1"/>
  <c r="GA79" i="1"/>
  <c r="FV79" i="1"/>
  <c r="FQ79" i="1"/>
  <c r="FG79" i="1"/>
  <c r="DU79" i="1"/>
  <c r="DT79" i="1"/>
  <c r="DS79" i="1"/>
  <c r="DR79" i="1"/>
  <c r="DQ79" i="1"/>
  <c r="DL79" i="1"/>
  <c r="DG79" i="1"/>
  <c r="DB79" i="1"/>
  <c r="DV79" i="1" s="1"/>
  <c r="CW79" i="1"/>
  <c r="CR79" i="1"/>
  <c r="CM79" i="1"/>
  <c r="CS79" i="1" s="1"/>
  <c r="CH79" i="1"/>
  <c r="BZ79" i="1"/>
  <c r="BY79" i="1"/>
  <c r="BX79" i="1"/>
  <c r="BW79" i="1"/>
  <c r="BR79" i="1"/>
  <c r="BQ79" i="1"/>
  <c r="BK79" i="1"/>
  <c r="BL79" i="1" s="1"/>
  <c r="BF79" i="1"/>
  <c r="BE79" i="1"/>
  <c r="CA79" i="1" s="1"/>
  <c r="AY79" i="1"/>
  <c r="AV79" i="1"/>
  <c r="AU79" i="1"/>
  <c r="AM79" i="1"/>
  <c r="AK79" i="1"/>
  <c r="AI79" i="1"/>
  <c r="AG79" i="1"/>
  <c r="AE79" i="1"/>
  <c r="AC79" i="1"/>
  <c r="AA79" i="1"/>
  <c r="Y79" i="1"/>
  <c r="W79" i="1"/>
  <c r="U79" i="1"/>
  <c r="R79" i="1"/>
  <c r="M79" i="1"/>
  <c r="HN78" i="1"/>
  <c r="HK78" i="1"/>
  <c r="HJ78" i="1"/>
  <c r="HA78" i="1"/>
  <c r="GW78" i="1"/>
  <c r="GR78" i="1"/>
  <c r="GX78" i="1" s="1"/>
  <c r="GM78" i="1"/>
  <c r="GL78" i="1"/>
  <c r="GG78" i="1"/>
  <c r="GA78" i="1"/>
  <c r="FV78" i="1"/>
  <c r="GB78" i="1" s="1"/>
  <c r="FQ78" i="1"/>
  <c r="FG78" i="1"/>
  <c r="DU78" i="1"/>
  <c r="DT78" i="1"/>
  <c r="DS78" i="1"/>
  <c r="DR78" i="1"/>
  <c r="DQ78" i="1"/>
  <c r="DL78" i="1"/>
  <c r="DG78" i="1"/>
  <c r="DB78" i="1"/>
  <c r="CW78" i="1"/>
  <c r="CR78" i="1"/>
  <c r="CM78" i="1"/>
  <c r="CS78" i="1" s="1"/>
  <c r="CH78" i="1"/>
  <c r="BZ78" i="1"/>
  <c r="BY78" i="1"/>
  <c r="BX78" i="1"/>
  <c r="BW78" i="1"/>
  <c r="BQ78" i="1"/>
  <c r="BR78" i="1" s="1"/>
  <c r="BK78" i="1"/>
  <c r="BL78" i="1" s="1"/>
  <c r="BE78" i="1"/>
  <c r="AY78" i="1"/>
  <c r="AU78" i="1"/>
  <c r="AM78" i="1"/>
  <c r="AK78" i="1"/>
  <c r="AI78" i="1"/>
  <c r="AG78" i="1"/>
  <c r="AE78" i="1"/>
  <c r="AC78" i="1"/>
  <c r="AA78" i="1"/>
  <c r="Y78" i="1"/>
  <c r="W78" i="1"/>
  <c r="U78" i="1"/>
  <c r="E84" i="2" s="1"/>
  <c r="R78" i="1"/>
  <c r="M78" i="1"/>
  <c r="S78" i="1" s="1"/>
  <c r="HN77" i="1"/>
  <c r="HK77" i="1"/>
  <c r="HJ77" i="1"/>
  <c r="HA77" i="1"/>
  <c r="GW77" i="1"/>
  <c r="GR77" i="1"/>
  <c r="GL77" i="1"/>
  <c r="GG77" i="1"/>
  <c r="GM77" i="1" s="1"/>
  <c r="GX77" i="1" s="1"/>
  <c r="GA77" i="1"/>
  <c r="FV77" i="1"/>
  <c r="GB77" i="1" s="1"/>
  <c r="FQ77" i="1"/>
  <c r="FG77" i="1"/>
  <c r="DU77" i="1"/>
  <c r="DT77" i="1"/>
  <c r="DS77" i="1"/>
  <c r="DR77" i="1"/>
  <c r="DQ77" i="1"/>
  <c r="DL77" i="1"/>
  <c r="DG77" i="1"/>
  <c r="DB77" i="1"/>
  <c r="DV77" i="1" s="1"/>
  <c r="CW77" i="1"/>
  <c r="CR77" i="1"/>
  <c r="CS77" i="1" s="1"/>
  <c r="CM77" i="1"/>
  <c r="CH77" i="1"/>
  <c r="CB77" i="1"/>
  <c r="BZ77" i="1"/>
  <c r="BY77" i="1"/>
  <c r="BX77" i="1"/>
  <c r="BW77" i="1"/>
  <c r="BQ77" i="1"/>
  <c r="BR77" i="1" s="1"/>
  <c r="BL77" i="1"/>
  <c r="BK77" i="1"/>
  <c r="CA77" i="1" s="1"/>
  <c r="BF77" i="1"/>
  <c r="BE77" i="1"/>
  <c r="AY77" i="1"/>
  <c r="AU77" i="1"/>
  <c r="AV77" i="1" s="1"/>
  <c r="AM77" i="1"/>
  <c r="AK77" i="1"/>
  <c r="AI77" i="1"/>
  <c r="AG77" i="1"/>
  <c r="AE77" i="1"/>
  <c r="AC77" i="1"/>
  <c r="AA77" i="1"/>
  <c r="Y77" i="1"/>
  <c r="W77" i="1"/>
  <c r="U77" i="1"/>
  <c r="R77" i="1"/>
  <c r="M77" i="1"/>
  <c r="S77" i="1" s="1"/>
  <c r="AW77" i="1" s="1"/>
  <c r="HN76" i="1"/>
  <c r="HK76" i="1"/>
  <c r="HJ76" i="1"/>
  <c r="HA76" i="1"/>
  <c r="GW76" i="1"/>
  <c r="GR76" i="1"/>
  <c r="GL76" i="1"/>
  <c r="GM76" i="1" s="1"/>
  <c r="GX76" i="1" s="1"/>
  <c r="GG76" i="1"/>
  <c r="GA76" i="1"/>
  <c r="FV76" i="1"/>
  <c r="GB76" i="1" s="1"/>
  <c r="FQ76" i="1"/>
  <c r="FG76" i="1"/>
  <c r="DU76" i="1"/>
  <c r="DT76" i="1"/>
  <c r="DS76" i="1"/>
  <c r="DR76" i="1"/>
  <c r="DQ76" i="1"/>
  <c r="DL76" i="1"/>
  <c r="DG76" i="1"/>
  <c r="DB76" i="1"/>
  <c r="DV76" i="1" s="1"/>
  <c r="CW76" i="1"/>
  <c r="CS76" i="1"/>
  <c r="CR76" i="1"/>
  <c r="CM76" i="1"/>
  <c r="CH76" i="1"/>
  <c r="BZ76" i="1"/>
  <c r="BY76" i="1"/>
  <c r="BX76" i="1"/>
  <c r="BW76" i="1"/>
  <c r="BQ76" i="1"/>
  <c r="BR76" i="1" s="1"/>
  <c r="BK76" i="1"/>
  <c r="BL76" i="1" s="1"/>
  <c r="BE76" i="1"/>
  <c r="AY76" i="1"/>
  <c r="AU76" i="1"/>
  <c r="AV76" i="1" s="1"/>
  <c r="AM76" i="1"/>
  <c r="AK76" i="1"/>
  <c r="AI76" i="1"/>
  <c r="AG76" i="1"/>
  <c r="AE76" i="1"/>
  <c r="AC76" i="1"/>
  <c r="AA76" i="1"/>
  <c r="Y76" i="1"/>
  <c r="W76" i="1"/>
  <c r="U76" i="1"/>
  <c r="R76" i="1"/>
  <c r="M76" i="1"/>
  <c r="S76" i="1" s="1"/>
  <c r="AW76" i="1" s="1"/>
  <c r="HN75" i="1"/>
  <c r="D191" i="3" s="1"/>
  <c r="HK75" i="1"/>
  <c r="HJ75" i="1"/>
  <c r="HA75" i="1"/>
  <c r="GW75" i="1"/>
  <c r="GR75" i="1"/>
  <c r="GL75" i="1"/>
  <c r="GG75" i="1"/>
  <c r="GM75" i="1" s="1"/>
  <c r="GA75" i="1"/>
  <c r="FV75" i="1"/>
  <c r="GB75" i="1" s="1"/>
  <c r="FQ75" i="1"/>
  <c r="FG75" i="1"/>
  <c r="DU75" i="1"/>
  <c r="DT75" i="1"/>
  <c r="DS75" i="1"/>
  <c r="DR75" i="1"/>
  <c r="DQ75" i="1"/>
  <c r="DL75" i="1"/>
  <c r="DG75" i="1"/>
  <c r="DB75" i="1"/>
  <c r="CW75" i="1"/>
  <c r="CR75" i="1"/>
  <c r="CS75" i="1" s="1"/>
  <c r="CM75" i="1"/>
  <c r="CH75" i="1"/>
  <c r="BZ75" i="1"/>
  <c r="BY75" i="1"/>
  <c r="BW75" i="1"/>
  <c r="BX75" i="1" s="1"/>
  <c r="BQ75" i="1"/>
  <c r="BR75" i="1" s="1"/>
  <c r="BL75" i="1"/>
  <c r="BK75" i="1"/>
  <c r="BE75" i="1"/>
  <c r="AY75" i="1"/>
  <c r="AU75" i="1"/>
  <c r="AM75" i="1"/>
  <c r="AK75" i="1"/>
  <c r="AI75" i="1"/>
  <c r="AG75" i="1"/>
  <c r="AE75" i="1"/>
  <c r="AC75" i="1"/>
  <c r="AA75" i="1"/>
  <c r="Y75" i="1"/>
  <c r="W75" i="1"/>
  <c r="U75" i="1"/>
  <c r="R75" i="1"/>
  <c r="M75" i="1"/>
  <c r="S75" i="1" s="1"/>
  <c r="HN74" i="1"/>
  <c r="HK74" i="1"/>
  <c r="HJ74" i="1"/>
  <c r="HA74" i="1"/>
  <c r="GX74" i="1"/>
  <c r="GW74" i="1"/>
  <c r="GR74" i="1"/>
  <c r="GM74" i="1"/>
  <c r="GL74" i="1"/>
  <c r="GG74" i="1"/>
  <c r="GA74" i="1"/>
  <c r="FV74" i="1"/>
  <c r="GB74" i="1" s="1"/>
  <c r="FQ74" i="1"/>
  <c r="FG74" i="1"/>
  <c r="DU74" i="1"/>
  <c r="DT74" i="1"/>
  <c r="DS74" i="1"/>
  <c r="DR74" i="1"/>
  <c r="DQ74" i="1"/>
  <c r="DL74" i="1"/>
  <c r="DG74" i="1"/>
  <c r="DB74" i="1"/>
  <c r="DV74" i="1" s="1"/>
  <c r="CW74" i="1"/>
  <c r="CR74" i="1"/>
  <c r="CM74" i="1"/>
  <c r="CS74" i="1" s="1"/>
  <c r="CH74" i="1"/>
  <c r="BZ74" i="1"/>
  <c r="BY74" i="1"/>
  <c r="BX74" i="1"/>
  <c r="BW74" i="1"/>
  <c r="BQ74" i="1"/>
  <c r="BR74" i="1" s="1"/>
  <c r="BL74" i="1"/>
  <c r="BK74" i="1"/>
  <c r="BE74" i="1"/>
  <c r="CA74" i="1" s="1"/>
  <c r="AY74" i="1"/>
  <c r="AU74" i="1"/>
  <c r="AV74" i="1" s="1"/>
  <c r="AM74" i="1"/>
  <c r="AK74" i="1"/>
  <c r="AI74" i="1"/>
  <c r="AG74" i="1"/>
  <c r="AE74" i="1"/>
  <c r="AC74" i="1"/>
  <c r="AA74" i="1"/>
  <c r="Y74" i="1"/>
  <c r="W74" i="1"/>
  <c r="U74" i="1"/>
  <c r="R74" i="1"/>
  <c r="S74" i="1" s="1"/>
  <c r="AW74" i="1" s="1"/>
  <c r="M74" i="1"/>
  <c r="HN73" i="1"/>
  <c r="HK73" i="1"/>
  <c r="HJ73" i="1"/>
  <c r="HA73" i="1"/>
  <c r="GW73" i="1"/>
  <c r="GR73" i="1"/>
  <c r="GM73" i="1"/>
  <c r="GL73" i="1"/>
  <c r="GG73" i="1"/>
  <c r="GB73" i="1"/>
  <c r="GA73" i="1"/>
  <c r="FV73" i="1"/>
  <c r="FQ73" i="1"/>
  <c r="FG73" i="1"/>
  <c r="DU73" i="1"/>
  <c r="DT73" i="1"/>
  <c r="DS73" i="1"/>
  <c r="DR73" i="1"/>
  <c r="DQ73" i="1"/>
  <c r="DL73" i="1"/>
  <c r="DG73" i="1"/>
  <c r="DB73" i="1"/>
  <c r="DV73" i="1" s="1"/>
  <c r="G78" i="2" s="1"/>
  <c r="CW73" i="1"/>
  <c r="CR73" i="1"/>
  <c r="CM73" i="1"/>
  <c r="CH73" i="1"/>
  <c r="BZ73" i="1"/>
  <c r="BY73" i="1"/>
  <c r="BW73" i="1"/>
  <c r="BX73" i="1" s="1"/>
  <c r="BR73" i="1"/>
  <c r="BQ73" i="1"/>
  <c r="BK73" i="1"/>
  <c r="BL73" i="1" s="1"/>
  <c r="BF73" i="1"/>
  <c r="BE73" i="1"/>
  <c r="AY73" i="1"/>
  <c r="AW73" i="1"/>
  <c r="AV73" i="1"/>
  <c r="AU73" i="1"/>
  <c r="AM73" i="1"/>
  <c r="AK73" i="1"/>
  <c r="AI73" i="1"/>
  <c r="AG73" i="1"/>
  <c r="AE73" i="1"/>
  <c r="AC73" i="1"/>
  <c r="AA73" i="1"/>
  <c r="Y73" i="1"/>
  <c r="W73" i="1"/>
  <c r="U73" i="1"/>
  <c r="G71" i="2" s="1"/>
  <c r="S73" i="1"/>
  <c r="R73" i="1"/>
  <c r="M73" i="1"/>
  <c r="HN71" i="1"/>
  <c r="HK71" i="1"/>
  <c r="HJ71" i="1"/>
  <c r="HB71" i="1"/>
  <c r="HA71" i="1"/>
  <c r="GW71" i="1"/>
  <c r="GR71" i="1"/>
  <c r="GL71" i="1"/>
  <c r="GG71" i="1"/>
  <c r="GM71" i="1" s="1"/>
  <c r="GX71" i="1" s="1"/>
  <c r="HC71" i="1" s="1"/>
  <c r="GB71" i="1"/>
  <c r="GA71" i="1"/>
  <c r="FV71" i="1"/>
  <c r="FQ71" i="1"/>
  <c r="FG71" i="1"/>
  <c r="DU71" i="1"/>
  <c r="DT71" i="1"/>
  <c r="DS71" i="1"/>
  <c r="DR71" i="1"/>
  <c r="DQ71" i="1"/>
  <c r="DL71" i="1"/>
  <c r="DG71" i="1"/>
  <c r="DB71" i="1"/>
  <c r="CW71" i="1"/>
  <c r="CR71" i="1"/>
  <c r="CM71" i="1"/>
  <c r="CS71" i="1" s="1"/>
  <c r="CH71" i="1"/>
  <c r="BZ71" i="1"/>
  <c r="BY71" i="1"/>
  <c r="BW71" i="1"/>
  <c r="BX71" i="1" s="1"/>
  <c r="BR71" i="1"/>
  <c r="BQ71" i="1"/>
  <c r="BL71" i="1"/>
  <c r="CB71" i="1" s="1"/>
  <c r="BK71" i="1"/>
  <c r="CA71" i="1" s="1"/>
  <c r="BF71" i="1"/>
  <c r="BE71" i="1"/>
  <c r="AY71" i="1"/>
  <c r="AW71" i="1"/>
  <c r="AV71" i="1"/>
  <c r="AU71" i="1"/>
  <c r="AM71" i="1"/>
  <c r="AK71" i="1"/>
  <c r="AI71" i="1"/>
  <c r="AG71" i="1"/>
  <c r="AE71" i="1"/>
  <c r="AC71" i="1"/>
  <c r="AA71" i="1"/>
  <c r="Y71" i="1"/>
  <c r="W71" i="1"/>
  <c r="U71" i="1"/>
  <c r="R71" i="1"/>
  <c r="M71" i="1"/>
  <c r="S71" i="1" s="1"/>
  <c r="HN70" i="1"/>
  <c r="HK70" i="1"/>
  <c r="HJ70" i="1"/>
  <c r="HA70" i="1"/>
  <c r="GW70" i="1"/>
  <c r="GR70" i="1"/>
  <c r="GL70" i="1"/>
  <c r="GG70" i="1"/>
  <c r="GM70" i="1" s="1"/>
  <c r="GX70" i="1" s="1"/>
  <c r="GA70" i="1"/>
  <c r="FV70" i="1"/>
  <c r="GB70" i="1" s="1"/>
  <c r="FQ70" i="1"/>
  <c r="FG70" i="1"/>
  <c r="DU70" i="1"/>
  <c r="DT70" i="1"/>
  <c r="DS70" i="1"/>
  <c r="DR70" i="1"/>
  <c r="DQ70" i="1"/>
  <c r="DL70" i="1"/>
  <c r="DG70" i="1"/>
  <c r="DB70" i="1"/>
  <c r="CW70" i="1"/>
  <c r="CS70" i="1"/>
  <c r="CR70" i="1"/>
  <c r="CM70" i="1"/>
  <c r="CH70" i="1"/>
  <c r="BZ70" i="1"/>
  <c r="BY70" i="1"/>
  <c r="BX70" i="1"/>
  <c r="BW70" i="1"/>
  <c r="BQ70" i="1"/>
  <c r="BR70" i="1" s="1"/>
  <c r="BK70" i="1"/>
  <c r="BL70" i="1" s="1"/>
  <c r="CB70" i="1" s="1"/>
  <c r="BE70" i="1"/>
  <c r="BF70" i="1" s="1"/>
  <c r="AY70" i="1"/>
  <c r="AU70" i="1"/>
  <c r="AV70" i="1" s="1"/>
  <c r="AM70" i="1"/>
  <c r="AK70" i="1"/>
  <c r="AI70" i="1"/>
  <c r="AG70" i="1"/>
  <c r="AE70" i="1"/>
  <c r="AC70" i="1"/>
  <c r="AA70" i="1"/>
  <c r="Y70" i="1"/>
  <c r="W70" i="1"/>
  <c r="U70" i="1"/>
  <c r="R70" i="1"/>
  <c r="M70" i="1"/>
  <c r="HN69" i="1"/>
  <c r="HK69" i="1"/>
  <c r="HJ69" i="1"/>
  <c r="HA69" i="1"/>
  <c r="GX69" i="1"/>
  <c r="GW69" i="1"/>
  <c r="GR69" i="1"/>
  <c r="GM69" i="1"/>
  <c r="GL69" i="1"/>
  <c r="GG69" i="1"/>
  <c r="GA69" i="1"/>
  <c r="FV69" i="1"/>
  <c r="GB69" i="1" s="1"/>
  <c r="FQ69" i="1"/>
  <c r="FG69" i="1"/>
  <c r="DU69" i="1"/>
  <c r="DT69" i="1"/>
  <c r="DS69" i="1"/>
  <c r="DR69" i="1"/>
  <c r="DQ69" i="1"/>
  <c r="DL69" i="1"/>
  <c r="DG69" i="1"/>
  <c r="DB69" i="1"/>
  <c r="DV69" i="1" s="1"/>
  <c r="CW69" i="1"/>
  <c r="CR69" i="1"/>
  <c r="CM69" i="1"/>
  <c r="CS69" i="1" s="1"/>
  <c r="CH69" i="1"/>
  <c r="BZ69" i="1"/>
  <c r="BY69" i="1"/>
  <c r="BX69" i="1"/>
  <c r="BW69" i="1"/>
  <c r="BQ69" i="1"/>
  <c r="BR69" i="1" s="1"/>
  <c r="BL69" i="1"/>
  <c r="BK69" i="1"/>
  <c r="BF69" i="1"/>
  <c r="BE69" i="1"/>
  <c r="AY69" i="1"/>
  <c r="AV69" i="1"/>
  <c r="AU69" i="1"/>
  <c r="AM69" i="1"/>
  <c r="AK69" i="1"/>
  <c r="AI69" i="1"/>
  <c r="AG69" i="1"/>
  <c r="AE69" i="1"/>
  <c r="AC69" i="1"/>
  <c r="AA69" i="1"/>
  <c r="Y69" i="1"/>
  <c r="W69" i="1"/>
  <c r="U69" i="1"/>
  <c r="R69" i="1"/>
  <c r="S69" i="1" s="1"/>
  <c r="M69" i="1"/>
  <c r="HN68" i="1"/>
  <c r="HK68" i="1"/>
  <c r="HJ68" i="1"/>
  <c r="HA68" i="1"/>
  <c r="GW68" i="1"/>
  <c r="GR68" i="1"/>
  <c r="GM68" i="1"/>
  <c r="GX68" i="1" s="1"/>
  <c r="GL68" i="1"/>
  <c r="GG68" i="1"/>
  <c r="GA68" i="1"/>
  <c r="FV68" i="1"/>
  <c r="GB68" i="1" s="1"/>
  <c r="FQ68" i="1"/>
  <c r="FG68" i="1"/>
  <c r="DU68" i="1"/>
  <c r="DT68" i="1"/>
  <c r="DS68" i="1"/>
  <c r="DR68" i="1"/>
  <c r="DQ68" i="1"/>
  <c r="DL68" i="1"/>
  <c r="DG68" i="1"/>
  <c r="DB68" i="1"/>
  <c r="DV68" i="1" s="1"/>
  <c r="CW68" i="1"/>
  <c r="CR68" i="1"/>
  <c r="CM68" i="1"/>
  <c r="CS68" i="1" s="1"/>
  <c r="CH68" i="1"/>
  <c r="BZ68" i="1"/>
  <c r="BY68" i="1"/>
  <c r="BW68" i="1"/>
  <c r="BX68" i="1" s="1"/>
  <c r="BR68" i="1"/>
  <c r="BQ68" i="1"/>
  <c r="BK68" i="1"/>
  <c r="BL68" i="1" s="1"/>
  <c r="BF68" i="1"/>
  <c r="BE68" i="1"/>
  <c r="AY68" i="1"/>
  <c r="AV68" i="1"/>
  <c r="AU68" i="1"/>
  <c r="AM68" i="1"/>
  <c r="AK68" i="1"/>
  <c r="AI68" i="1"/>
  <c r="AG68" i="1"/>
  <c r="AE68" i="1"/>
  <c r="AC68" i="1"/>
  <c r="AA68" i="1"/>
  <c r="Y68" i="1"/>
  <c r="W68" i="1"/>
  <c r="U68" i="1"/>
  <c r="S68" i="1"/>
  <c r="AW68" i="1" s="1"/>
  <c r="R68" i="1"/>
  <c r="M68" i="1"/>
  <c r="HN67" i="1"/>
  <c r="HK67" i="1"/>
  <c r="HJ67" i="1"/>
  <c r="HA67" i="1"/>
  <c r="GW67" i="1"/>
  <c r="GR67" i="1"/>
  <c r="GL67" i="1"/>
  <c r="GG67" i="1"/>
  <c r="GM67" i="1" s="1"/>
  <c r="GX67" i="1" s="1"/>
  <c r="GB67" i="1"/>
  <c r="GA67" i="1"/>
  <c r="FV67" i="1"/>
  <c r="FQ67" i="1"/>
  <c r="FG67" i="1"/>
  <c r="DU67" i="1"/>
  <c r="DT67" i="1"/>
  <c r="DS67" i="1"/>
  <c r="DR67" i="1"/>
  <c r="DQ67" i="1"/>
  <c r="DL67" i="1"/>
  <c r="DG67" i="1"/>
  <c r="DB67" i="1"/>
  <c r="DV67" i="1" s="1"/>
  <c r="CW67" i="1"/>
  <c r="CS67" i="1"/>
  <c r="CR67" i="1"/>
  <c r="CM67" i="1"/>
  <c r="CH67" i="1"/>
  <c r="BZ67" i="1"/>
  <c r="BY67" i="1"/>
  <c r="BX67" i="1"/>
  <c r="BW67" i="1"/>
  <c r="BR67" i="1"/>
  <c r="BQ67" i="1"/>
  <c r="BK67" i="1"/>
  <c r="BL67" i="1" s="1"/>
  <c r="CB67" i="1" s="1"/>
  <c r="BF67" i="1"/>
  <c r="BE67" i="1"/>
  <c r="AY67" i="1"/>
  <c r="AV67" i="1"/>
  <c r="AU67" i="1"/>
  <c r="AM67" i="1"/>
  <c r="AK67" i="1"/>
  <c r="AI67" i="1"/>
  <c r="AG67" i="1"/>
  <c r="AE67" i="1"/>
  <c r="AC67" i="1"/>
  <c r="AA67" i="1"/>
  <c r="Y67" i="1"/>
  <c r="W67" i="1"/>
  <c r="U67" i="1"/>
  <c r="R67" i="1"/>
  <c r="M67" i="1"/>
  <c r="S67" i="1" s="1"/>
  <c r="AW67" i="1" s="1"/>
  <c r="HN66" i="1"/>
  <c r="HK66" i="1"/>
  <c r="HJ66" i="1"/>
  <c r="HA66" i="1"/>
  <c r="GW66" i="1"/>
  <c r="GR66" i="1"/>
  <c r="GL66" i="1"/>
  <c r="GG66" i="1"/>
  <c r="GM66" i="1" s="1"/>
  <c r="GA66" i="1"/>
  <c r="FV66" i="1"/>
  <c r="GB66" i="1" s="1"/>
  <c r="E73" i="2" s="1"/>
  <c r="FQ66" i="1"/>
  <c r="FG66" i="1"/>
  <c r="DU66" i="1"/>
  <c r="DT66" i="1"/>
  <c r="DS66" i="1"/>
  <c r="DR66" i="1"/>
  <c r="DQ66" i="1"/>
  <c r="DL66" i="1"/>
  <c r="DG66" i="1"/>
  <c r="DB66" i="1"/>
  <c r="CW66" i="1"/>
  <c r="CR66" i="1"/>
  <c r="CS66" i="1" s="1"/>
  <c r="E76" i="2" s="1"/>
  <c r="CM66" i="1"/>
  <c r="CH66" i="1"/>
  <c r="BZ66" i="1"/>
  <c r="BY66" i="1"/>
  <c r="BW66" i="1"/>
  <c r="BX66" i="1" s="1"/>
  <c r="BQ66" i="1"/>
  <c r="BR66" i="1" s="1"/>
  <c r="BL66" i="1"/>
  <c r="BK66" i="1"/>
  <c r="BE66" i="1"/>
  <c r="AY66" i="1"/>
  <c r="AU66" i="1"/>
  <c r="AM66" i="1"/>
  <c r="AK66" i="1"/>
  <c r="AI66" i="1"/>
  <c r="AG66" i="1"/>
  <c r="AE66" i="1"/>
  <c r="AC66" i="1"/>
  <c r="AA66" i="1"/>
  <c r="Y66" i="1"/>
  <c r="W66" i="1"/>
  <c r="U66" i="1"/>
  <c r="R66" i="1"/>
  <c r="M66" i="1"/>
  <c r="HN65" i="1"/>
  <c r="HK65" i="1"/>
  <c r="HJ65" i="1"/>
  <c r="HA65" i="1"/>
  <c r="GW65" i="1"/>
  <c r="GR65" i="1"/>
  <c r="GM65" i="1"/>
  <c r="GX65" i="1" s="1"/>
  <c r="GL65" i="1"/>
  <c r="GG65" i="1"/>
  <c r="GA65" i="1"/>
  <c r="FV65" i="1"/>
  <c r="GB65" i="1" s="1"/>
  <c r="FQ65" i="1"/>
  <c r="FG65" i="1"/>
  <c r="DU65" i="1"/>
  <c r="DT65" i="1"/>
  <c r="DS65" i="1"/>
  <c r="DR65" i="1"/>
  <c r="DQ65" i="1"/>
  <c r="DL65" i="1"/>
  <c r="DG65" i="1"/>
  <c r="DB65" i="1"/>
  <c r="DV65" i="1" s="1"/>
  <c r="CW65" i="1"/>
  <c r="CR65" i="1"/>
  <c r="CM65" i="1"/>
  <c r="CS65" i="1" s="1"/>
  <c r="CH65" i="1"/>
  <c r="BZ65" i="1"/>
  <c r="BY65" i="1"/>
  <c r="BX65" i="1"/>
  <c r="BW65" i="1"/>
  <c r="BR65" i="1"/>
  <c r="BQ65" i="1"/>
  <c r="BL65" i="1"/>
  <c r="BK65" i="1"/>
  <c r="BF65" i="1"/>
  <c r="CB65" i="1" s="1"/>
  <c r="BE65" i="1"/>
  <c r="CA65" i="1" s="1"/>
  <c r="AY65" i="1"/>
  <c r="AV65" i="1"/>
  <c r="AU65" i="1"/>
  <c r="AM65" i="1"/>
  <c r="AK65" i="1"/>
  <c r="AI65" i="1"/>
  <c r="AG65" i="1"/>
  <c r="AE65" i="1"/>
  <c r="AC65" i="1"/>
  <c r="AA65" i="1"/>
  <c r="Y65" i="1"/>
  <c r="W65" i="1"/>
  <c r="U65" i="1"/>
  <c r="R65" i="1"/>
  <c r="M65" i="1"/>
  <c r="S65" i="1" s="1"/>
  <c r="AW65" i="1" s="1"/>
  <c r="HN64" i="1"/>
  <c r="HK64" i="1"/>
  <c r="HJ64" i="1"/>
  <c r="HA64" i="1"/>
  <c r="GW64" i="1"/>
  <c r="GR64" i="1"/>
  <c r="GM64" i="1"/>
  <c r="GX64" i="1" s="1"/>
  <c r="GL64" i="1"/>
  <c r="GG64" i="1"/>
  <c r="GA64" i="1"/>
  <c r="FV64" i="1"/>
  <c r="GB64" i="1" s="1"/>
  <c r="FQ64" i="1"/>
  <c r="FG64" i="1"/>
  <c r="DU64" i="1"/>
  <c r="DT64" i="1"/>
  <c r="DS64" i="1"/>
  <c r="DR64" i="1"/>
  <c r="DQ64" i="1"/>
  <c r="DL64" i="1"/>
  <c r="DG64" i="1"/>
  <c r="DB64" i="1"/>
  <c r="DV64" i="1" s="1"/>
  <c r="CW64" i="1"/>
  <c r="CR64" i="1"/>
  <c r="CM64" i="1"/>
  <c r="CS64" i="1" s="1"/>
  <c r="CH64" i="1"/>
  <c r="BZ64" i="1"/>
  <c r="BY64" i="1"/>
  <c r="BW64" i="1"/>
  <c r="BX64" i="1" s="1"/>
  <c r="BR64" i="1"/>
  <c r="BQ64" i="1"/>
  <c r="BK64" i="1"/>
  <c r="BL64" i="1" s="1"/>
  <c r="BE64" i="1"/>
  <c r="BF64" i="1" s="1"/>
  <c r="CB64" i="1" s="1"/>
  <c r="AY64" i="1"/>
  <c r="AV64" i="1"/>
  <c r="AU64" i="1"/>
  <c r="AM64" i="1"/>
  <c r="AK64" i="1"/>
  <c r="AI64" i="1"/>
  <c r="AG64" i="1"/>
  <c r="AE64" i="1"/>
  <c r="AC64" i="1"/>
  <c r="AA64" i="1"/>
  <c r="Y64" i="1"/>
  <c r="W64" i="1"/>
  <c r="U64" i="1"/>
  <c r="R64" i="1"/>
  <c r="S64" i="1" s="1"/>
  <c r="AW64" i="1" s="1"/>
  <c r="M64" i="1"/>
  <c r="HN63" i="1"/>
  <c r="HK63" i="1"/>
  <c r="D163" i="3" s="1"/>
  <c r="HJ63" i="1"/>
  <c r="HA63" i="1"/>
  <c r="GW63" i="1"/>
  <c r="GR63" i="1"/>
  <c r="GL63" i="1"/>
  <c r="GG63" i="1"/>
  <c r="GM63" i="1" s="1"/>
  <c r="GA63" i="1"/>
  <c r="GB63" i="1" s="1"/>
  <c r="FV63" i="1"/>
  <c r="FQ63" i="1"/>
  <c r="FG63" i="1"/>
  <c r="D162" i="3" s="1"/>
  <c r="DU63" i="1"/>
  <c r="DT63" i="1"/>
  <c r="DS63" i="1"/>
  <c r="DR63" i="1"/>
  <c r="DQ63" i="1"/>
  <c r="DL63" i="1"/>
  <c r="DG63" i="1"/>
  <c r="DB63" i="1"/>
  <c r="DV63" i="1" s="1"/>
  <c r="CW63" i="1"/>
  <c r="CS63" i="1"/>
  <c r="CR63" i="1"/>
  <c r="CM63" i="1"/>
  <c r="CH63" i="1"/>
  <c r="BZ63" i="1"/>
  <c r="BY63" i="1"/>
  <c r="BX63" i="1"/>
  <c r="BW63" i="1"/>
  <c r="BR63" i="1"/>
  <c r="BQ63" i="1"/>
  <c r="BK63" i="1"/>
  <c r="BL63" i="1" s="1"/>
  <c r="CB63" i="1" s="1"/>
  <c r="BF63" i="1"/>
  <c r="BE63" i="1"/>
  <c r="AY63" i="1"/>
  <c r="AV63" i="1"/>
  <c r="AU63" i="1"/>
  <c r="AM63" i="1"/>
  <c r="AK63" i="1"/>
  <c r="AI63" i="1"/>
  <c r="AG63" i="1"/>
  <c r="AE63" i="1"/>
  <c r="AC63" i="1"/>
  <c r="AA63" i="1"/>
  <c r="Y63" i="1"/>
  <c r="W63" i="1"/>
  <c r="U63" i="1"/>
  <c r="R63" i="1"/>
  <c r="M63" i="1"/>
  <c r="S63" i="1" s="1"/>
  <c r="HN62" i="1"/>
  <c r="HK62" i="1"/>
  <c r="HJ62" i="1"/>
  <c r="HA62" i="1"/>
  <c r="GW62" i="1"/>
  <c r="GR62" i="1"/>
  <c r="GL62" i="1"/>
  <c r="GG62" i="1"/>
  <c r="GM62" i="1" s="1"/>
  <c r="GX62" i="1" s="1"/>
  <c r="GA62" i="1"/>
  <c r="FV62" i="1"/>
  <c r="GB62" i="1" s="1"/>
  <c r="FQ62" i="1"/>
  <c r="FG62" i="1"/>
  <c r="DU62" i="1"/>
  <c r="DT62" i="1"/>
  <c r="DS62" i="1"/>
  <c r="DR62" i="1"/>
  <c r="DQ62" i="1"/>
  <c r="DL62" i="1"/>
  <c r="DG62" i="1"/>
  <c r="DB62" i="1"/>
  <c r="CW62" i="1"/>
  <c r="CR62" i="1"/>
  <c r="CS62" i="1" s="1"/>
  <c r="CM62" i="1"/>
  <c r="CH62" i="1"/>
  <c r="BZ62" i="1"/>
  <c r="BY62" i="1"/>
  <c r="BW62" i="1"/>
  <c r="BX62" i="1" s="1"/>
  <c r="BQ62" i="1"/>
  <c r="BR62" i="1" s="1"/>
  <c r="BK62" i="1"/>
  <c r="BL62" i="1" s="1"/>
  <c r="BE62" i="1"/>
  <c r="BF62" i="1" s="1"/>
  <c r="AY62" i="1"/>
  <c r="AU62" i="1"/>
  <c r="AV62" i="1" s="1"/>
  <c r="AM62" i="1"/>
  <c r="AK62" i="1"/>
  <c r="AI62" i="1"/>
  <c r="AG62" i="1"/>
  <c r="AE62" i="1"/>
  <c r="AC62" i="1"/>
  <c r="AA62" i="1"/>
  <c r="Y62" i="1"/>
  <c r="W62" i="1"/>
  <c r="U62" i="1"/>
  <c r="R62" i="1"/>
  <c r="M62" i="1"/>
  <c r="S62" i="1" s="1"/>
  <c r="AW62" i="1" s="1"/>
  <c r="HN61" i="1"/>
  <c r="HK61" i="1"/>
  <c r="HJ61" i="1"/>
  <c r="HA61" i="1"/>
  <c r="GW61" i="1"/>
  <c r="GR61" i="1"/>
  <c r="GL61" i="1"/>
  <c r="GG61" i="1"/>
  <c r="GM61" i="1" s="1"/>
  <c r="GA61" i="1"/>
  <c r="FV61" i="1"/>
  <c r="GB61" i="1" s="1"/>
  <c r="FQ61" i="1"/>
  <c r="FG61" i="1"/>
  <c r="DU61" i="1"/>
  <c r="DT61" i="1"/>
  <c r="DS61" i="1"/>
  <c r="DR61" i="1"/>
  <c r="DQ61" i="1"/>
  <c r="DL61" i="1"/>
  <c r="DG61" i="1"/>
  <c r="DB61" i="1"/>
  <c r="DV61" i="1" s="1"/>
  <c r="CW61" i="1"/>
  <c r="CR61" i="1"/>
  <c r="CM61" i="1"/>
  <c r="CS61" i="1" s="1"/>
  <c r="CH61" i="1"/>
  <c r="BZ61" i="1"/>
  <c r="BY61" i="1"/>
  <c r="BX61" i="1"/>
  <c r="BW61" i="1"/>
  <c r="BQ61" i="1"/>
  <c r="BR61" i="1" s="1"/>
  <c r="BL61" i="1"/>
  <c r="BK61" i="1"/>
  <c r="BF61" i="1"/>
  <c r="CB61" i="1" s="1"/>
  <c r="BE61" i="1"/>
  <c r="AY61" i="1"/>
  <c r="AU61" i="1"/>
  <c r="G59" i="2" s="1"/>
  <c r="AM61" i="1"/>
  <c r="AK61" i="1"/>
  <c r="AI61" i="1"/>
  <c r="AG61" i="1"/>
  <c r="AE61" i="1"/>
  <c r="AC61" i="1"/>
  <c r="AA61" i="1"/>
  <c r="Y61" i="1"/>
  <c r="W61" i="1"/>
  <c r="U61" i="1"/>
  <c r="R61" i="1"/>
  <c r="M61" i="1"/>
  <c r="S61" i="1" s="1"/>
  <c r="HN59" i="1"/>
  <c r="HK59" i="1"/>
  <c r="HJ59" i="1"/>
  <c r="HA59" i="1"/>
  <c r="GW59" i="1"/>
  <c r="GR59" i="1"/>
  <c r="GL59" i="1"/>
  <c r="GM59" i="1" s="1"/>
  <c r="GX59" i="1" s="1"/>
  <c r="GG59" i="1"/>
  <c r="GA59" i="1"/>
  <c r="FV59" i="1"/>
  <c r="GB59" i="1" s="1"/>
  <c r="FQ59" i="1"/>
  <c r="FG59" i="1"/>
  <c r="DU59" i="1"/>
  <c r="DT59" i="1"/>
  <c r="DS59" i="1"/>
  <c r="DR59" i="1"/>
  <c r="DQ59" i="1"/>
  <c r="DL59" i="1"/>
  <c r="DG59" i="1"/>
  <c r="DB59" i="1"/>
  <c r="DV59" i="1" s="1"/>
  <c r="CW59" i="1"/>
  <c r="CR59" i="1"/>
  <c r="CM59" i="1"/>
  <c r="CS59" i="1" s="1"/>
  <c r="CH59" i="1"/>
  <c r="BZ59" i="1"/>
  <c r="BY59" i="1"/>
  <c r="BW59" i="1"/>
  <c r="BX59" i="1" s="1"/>
  <c r="BQ59" i="1"/>
  <c r="BR59" i="1" s="1"/>
  <c r="BK59" i="1"/>
  <c r="BL59" i="1" s="1"/>
  <c r="BE59" i="1"/>
  <c r="BF59" i="1" s="1"/>
  <c r="AY59" i="1"/>
  <c r="AU59" i="1"/>
  <c r="AV59" i="1" s="1"/>
  <c r="AM59" i="1"/>
  <c r="AK59" i="1"/>
  <c r="AI59" i="1"/>
  <c r="AG59" i="1"/>
  <c r="AE59" i="1"/>
  <c r="AC59" i="1"/>
  <c r="AA59" i="1"/>
  <c r="Y59" i="1"/>
  <c r="W59" i="1"/>
  <c r="U59" i="1"/>
  <c r="R59" i="1"/>
  <c r="S59" i="1" s="1"/>
  <c r="AW59" i="1" s="1"/>
  <c r="M59" i="1"/>
  <c r="HN58" i="1"/>
  <c r="HK58" i="1"/>
  <c r="HJ58" i="1"/>
  <c r="HA58" i="1"/>
  <c r="GW58" i="1"/>
  <c r="GR58" i="1"/>
  <c r="GL58" i="1"/>
  <c r="GG58" i="1"/>
  <c r="GM58" i="1" s="1"/>
  <c r="GX58" i="1" s="1"/>
  <c r="GA58" i="1"/>
  <c r="GB58" i="1" s="1"/>
  <c r="FV58" i="1"/>
  <c r="FQ58" i="1"/>
  <c r="FG58" i="1"/>
  <c r="DU58" i="1"/>
  <c r="DT58" i="1"/>
  <c r="DS58" i="1"/>
  <c r="DR58" i="1"/>
  <c r="DQ58" i="1"/>
  <c r="DL58" i="1"/>
  <c r="DG58" i="1"/>
  <c r="DB58" i="1"/>
  <c r="DV58" i="1" s="1"/>
  <c r="CW58" i="1"/>
  <c r="CR58" i="1"/>
  <c r="CM58" i="1"/>
  <c r="CS58" i="1" s="1"/>
  <c r="CH58" i="1"/>
  <c r="BZ58" i="1"/>
  <c r="BY58" i="1"/>
  <c r="BW58" i="1"/>
  <c r="BX58" i="1" s="1"/>
  <c r="BR58" i="1"/>
  <c r="BQ58" i="1"/>
  <c r="BL58" i="1"/>
  <c r="CB58" i="1" s="1"/>
  <c r="BK58" i="1"/>
  <c r="CA58" i="1" s="1"/>
  <c r="BF58" i="1"/>
  <c r="BE58" i="1"/>
  <c r="AY58" i="1"/>
  <c r="AV58" i="1"/>
  <c r="AU58" i="1"/>
  <c r="AM58" i="1"/>
  <c r="AK58" i="1"/>
  <c r="AI58" i="1"/>
  <c r="AG58" i="1"/>
  <c r="AE58" i="1"/>
  <c r="AC58" i="1"/>
  <c r="AA58" i="1"/>
  <c r="Y58" i="1"/>
  <c r="W58" i="1"/>
  <c r="U58" i="1"/>
  <c r="R58" i="1"/>
  <c r="M58" i="1"/>
  <c r="S58" i="1" s="1"/>
  <c r="AW58" i="1" s="1"/>
  <c r="HN57" i="1"/>
  <c r="HK57" i="1"/>
  <c r="HJ57" i="1"/>
  <c r="HA57" i="1"/>
  <c r="GW57" i="1"/>
  <c r="GR57" i="1"/>
  <c r="GL57" i="1"/>
  <c r="GG57" i="1"/>
  <c r="GM57" i="1" s="1"/>
  <c r="GB57" i="1"/>
  <c r="GA57" i="1"/>
  <c r="FV57" i="1"/>
  <c r="FQ57" i="1"/>
  <c r="FG57" i="1"/>
  <c r="DU57" i="1"/>
  <c r="DT57" i="1"/>
  <c r="DS57" i="1"/>
  <c r="DR57" i="1"/>
  <c r="DQ57" i="1"/>
  <c r="DL57" i="1"/>
  <c r="DG57" i="1"/>
  <c r="DB57" i="1"/>
  <c r="DV57" i="1" s="1"/>
  <c r="CW57" i="1"/>
  <c r="CR57" i="1"/>
  <c r="CS57" i="1" s="1"/>
  <c r="F63" i="2" s="1"/>
  <c r="CM57" i="1"/>
  <c r="CH57" i="1"/>
  <c r="BZ57" i="1"/>
  <c r="BY57" i="1"/>
  <c r="BW57" i="1"/>
  <c r="BX57" i="1" s="1"/>
  <c r="BQ57" i="1"/>
  <c r="BR57" i="1" s="1"/>
  <c r="BK57" i="1"/>
  <c r="BL57" i="1" s="1"/>
  <c r="BE57" i="1"/>
  <c r="BF57" i="1" s="1"/>
  <c r="CB57" i="1" s="1"/>
  <c r="AY57" i="1"/>
  <c r="AW57" i="1"/>
  <c r="AU57" i="1"/>
  <c r="AM57" i="1"/>
  <c r="AK57" i="1"/>
  <c r="AI57" i="1"/>
  <c r="AG57" i="1"/>
  <c r="AE57" i="1"/>
  <c r="AC57" i="1"/>
  <c r="AA57" i="1"/>
  <c r="Y57" i="1"/>
  <c r="W57" i="1"/>
  <c r="U57" i="1"/>
  <c r="R57" i="1"/>
  <c r="M57" i="1"/>
  <c r="S57" i="1" s="1"/>
  <c r="HN56" i="1"/>
  <c r="HK56" i="1"/>
  <c r="HJ56" i="1"/>
  <c r="HA56" i="1"/>
  <c r="GW56" i="1"/>
  <c r="GR56" i="1"/>
  <c r="GL56" i="1"/>
  <c r="GM56" i="1" s="1"/>
  <c r="GX56" i="1" s="1"/>
  <c r="GG56" i="1"/>
  <c r="GA56" i="1"/>
  <c r="FV56" i="1"/>
  <c r="FQ56" i="1"/>
  <c r="FG56" i="1"/>
  <c r="DU56" i="1"/>
  <c r="DT56" i="1"/>
  <c r="DS56" i="1"/>
  <c r="DR56" i="1"/>
  <c r="DQ56" i="1"/>
  <c r="DL56" i="1"/>
  <c r="DG56" i="1"/>
  <c r="DB56" i="1"/>
  <c r="DV56" i="1" s="1"/>
  <c r="CW56" i="1"/>
  <c r="CR56" i="1"/>
  <c r="CM56" i="1"/>
  <c r="CS56" i="1" s="1"/>
  <c r="CH56" i="1"/>
  <c r="BZ56" i="1"/>
  <c r="BY56" i="1"/>
  <c r="BX56" i="1"/>
  <c r="BW56" i="1"/>
  <c r="BQ56" i="1"/>
  <c r="BR56" i="1" s="1"/>
  <c r="BL56" i="1"/>
  <c r="BK56" i="1"/>
  <c r="BE56" i="1"/>
  <c r="AY56" i="1"/>
  <c r="AV56" i="1"/>
  <c r="AU56" i="1"/>
  <c r="AM56" i="1"/>
  <c r="AK56" i="1"/>
  <c r="AI56" i="1"/>
  <c r="AG56" i="1"/>
  <c r="AE56" i="1"/>
  <c r="AC56" i="1"/>
  <c r="AA56" i="1"/>
  <c r="Y56" i="1"/>
  <c r="W56" i="1"/>
  <c r="U56" i="1"/>
  <c r="R56" i="1"/>
  <c r="M56" i="1"/>
  <c r="S56" i="1" s="1"/>
  <c r="AW56" i="1" s="1"/>
  <c r="HN55" i="1"/>
  <c r="HK55" i="1"/>
  <c r="HJ55" i="1"/>
  <c r="HA55" i="1"/>
  <c r="GW55" i="1"/>
  <c r="GR55" i="1"/>
  <c r="GM55" i="1"/>
  <c r="GX55" i="1" s="1"/>
  <c r="GL55" i="1"/>
  <c r="GG55" i="1"/>
  <c r="GB55" i="1"/>
  <c r="GA55" i="1"/>
  <c r="FV55" i="1"/>
  <c r="FQ55" i="1"/>
  <c r="FG55" i="1"/>
  <c r="DU55" i="1"/>
  <c r="DT55" i="1"/>
  <c r="DS55" i="1"/>
  <c r="DR55" i="1"/>
  <c r="DQ55" i="1"/>
  <c r="DL55" i="1"/>
  <c r="DG55" i="1"/>
  <c r="DB55" i="1"/>
  <c r="DV55" i="1" s="1"/>
  <c r="CW55" i="1"/>
  <c r="CR55" i="1"/>
  <c r="CM55" i="1"/>
  <c r="CH55" i="1"/>
  <c r="BZ55" i="1"/>
  <c r="BY55" i="1"/>
  <c r="BW55" i="1"/>
  <c r="BX55" i="1" s="1"/>
  <c r="BQ55" i="1"/>
  <c r="BR55" i="1" s="1"/>
  <c r="BK55" i="1"/>
  <c r="BL55" i="1" s="1"/>
  <c r="BE55" i="1"/>
  <c r="BF55" i="1" s="1"/>
  <c r="CB55" i="1" s="1"/>
  <c r="AY55" i="1"/>
  <c r="AV55" i="1"/>
  <c r="AU55" i="1"/>
  <c r="AM55" i="1"/>
  <c r="AK55" i="1"/>
  <c r="AI55" i="1"/>
  <c r="AG55" i="1"/>
  <c r="AE55" i="1"/>
  <c r="AC55" i="1"/>
  <c r="AA55" i="1"/>
  <c r="Y55" i="1"/>
  <c r="W55" i="1"/>
  <c r="U55" i="1"/>
  <c r="R55" i="1"/>
  <c r="S55" i="1" s="1"/>
  <c r="AW55" i="1" s="1"/>
  <c r="M55" i="1"/>
  <c r="HN54" i="1"/>
  <c r="HK54" i="1"/>
  <c r="HJ54" i="1"/>
  <c r="HA54" i="1"/>
  <c r="GW54" i="1"/>
  <c r="GR54" i="1"/>
  <c r="GM54" i="1"/>
  <c r="GL54" i="1"/>
  <c r="GG54" i="1"/>
  <c r="GB54" i="1"/>
  <c r="GA54" i="1"/>
  <c r="FV54" i="1"/>
  <c r="FQ54" i="1"/>
  <c r="FG54" i="1"/>
  <c r="DU54" i="1"/>
  <c r="DT54" i="1"/>
  <c r="DS54" i="1"/>
  <c r="DR54" i="1"/>
  <c r="DQ54" i="1"/>
  <c r="DL54" i="1"/>
  <c r="DG54" i="1"/>
  <c r="DB54" i="1"/>
  <c r="DV54" i="1" s="1"/>
  <c r="CW54" i="1"/>
  <c r="CR54" i="1"/>
  <c r="CM54" i="1"/>
  <c r="CS54" i="1" s="1"/>
  <c r="CH54" i="1"/>
  <c r="BZ54" i="1"/>
  <c r="BY54" i="1"/>
  <c r="BW54" i="1"/>
  <c r="BX54" i="1" s="1"/>
  <c r="BR54" i="1"/>
  <c r="BQ54" i="1"/>
  <c r="BK54" i="1"/>
  <c r="BL54" i="1" s="1"/>
  <c r="BF54" i="1"/>
  <c r="CB54" i="1" s="1"/>
  <c r="BE54" i="1"/>
  <c r="AY54" i="1"/>
  <c r="AW54" i="1"/>
  <c r="AV54" i="1"/>
  <c r="AU54" i="1"/>
  <c r="AM54" i="1"/>
  <c r="AK54" i="1"/>
  <c r="AI54" i="1"/>
  <c r="AG54" i="1"/>
  <c r="AE54" i="1"/>
  <c r="AC54" i="1"/>
  <c r="AA54" i="1"/>
  <c r="Y54" i="1"/>
  <c r="W54" i="1"/>
  <c r="U54" i="1"/>
  <c r="E58" i="2" s="1"/>
  <c r="S54" i="1"/>
  <c r="R54" i="1"/>
  <c r="M54" i="1"/>
  <c r="HN53" i="1"/>
  <c r="HK53" i="1"/>
  <c r="HJ53" i="1"/>
  <c r="HA53" i="1"/>
  <c r="GW53" i="1"/>
  <c r="GR53" i="1"/>
  <c r="GL53" i="1"/>
  <c r="GG53" i="1"/>
  <c r="GM53" i="1" s="1"/>
  <c r="GX53" i="1" s="1"/>
  <c r="GA53" i="1"/>
  <c r="FV53" i="1"/>
  <c r="GB53" i="1" s="1"/>
  <c r="FQ53" i="1"/>
  <c r="FG53" i="1"/>
  <c r="DU53" i="1"/>
  <c r="DT53" i="1"/>
  <c r="DS53" i="1"/>
  <c r="DR53" i="1"/>
  <c r="DQ53" i="1"/>
  <c r="DL53" i="1"/>
  <c r="DG53" i="1"/>
  <c r="DB53" i="1"/>
  <c r="DV53" i="1" s="1"/>
  <c r="CW53" i="1"/>
  <c r="CR53" i="1"/>
  <c r="CS53" i="1" s="1"/>
  <c r="CM53" i="1"/>
  <c r="CH53" i="1"/>
  <c r="BZ53" i="1"/>
  <c r="BY53" i="1"/>
  <c r="BW53" i="1"/>
  <c r="BX53" i="1" s="1"/>
  <c r="BQ53" i="1"/>
  <c r="BR53" i="1" s="1"/>
  <c r="BK53" i="1"/>
  <c r="BL53" i="1" s="1"/>
  <c r="CB53" i="1" s="1"/>
  <c r="BE53" i="1"/>
  <c r="BF53" i="1" s="1"/>
  <c r="AY53" i="1"/>
  <c r="AU53" i="1"/>
  <c r="AV53" i="1" s="1"/>
  <c r="AM53" i="1"/>
  <c r="AK53" i="1"/>
  <c r="AI53" i="1"/>
  <c r="AG53" i="1"/>
  <c r="AE53" i="1"/>
  <c r="AC53" i="1"/>
  <c r="AA53" i="1"/>
  <c r="Y53" i="1"/>
  <c r="W53" i="1"/>
  <c r="U53" i="1"/>
  <c r="R53" i="1"/>
  <c r="M53" i="1"/>
  <c r="S53" i="1" s="1"/>
  <c r="AW53" i="1" s="1"/>
  <c r="HN52" i="1"/>
  <c r="HK52" i="1"/>
  <c r="HJ52" i="1"/>
  <c r="HA52" i="1"/>
  <c r="GW52" i="1"/>
  <c r="GR52" i="1"/>
  <c r="GM52" i="1"/>
  <c r="GX52" i="1" s="1"/>
  <c r="GL52" i="1"/>
  <c r="GG52" i="1"/>
  <c r="GA52" i="1"/>
  <c r="FV52" i="1"/>
  <c r="GB52" i="1" s="1"/>
  <c r="FQ52" i="1"/>
  <c r="FG52" i="1"/>
  <c r="DU52" i="1"/>
  <c r="DT52" i="1"/>
  <c r="DS52" i="1"/>
  <c r="DR52" i="1"/>
  <c r="DQ52" i="1"/>
  <c r="DL52" i="1"/>
  <c r="DG52" i="1"/>
  <c r="DB52" i="1"/>
  <c r="DV52" i="1" s="1"/>
  <c r="CW52" i="1"/>
  <c r="CS52" i="1"/>
  <c r="CR52" i="1"/>
  <c r="CM52" i="1"/>
  <c r="CH52" i="1"/>
  <c r="BZ52" i="1"/>
  <c r="BY52" i="1"/>
  <c r="BX52" i="1"/>
  <c r="BW52" i="1"/>
  <c r="BQ52" i="1"/>
  <c r="BR52" i="1" s="1"/>
  <c r="BL52" i="1"/>
  <c r="BK52" i="1"/>
  <c r="BF52" i="1"/>
  <c r="CB52" i="1" s="1"/>
  <c r="BE52" i="1"/>
  <c r="AY52" i="1"/>
  <c r="AV52" i="1"/>
  <c r="AU52" i="1"/>
  <c r="AM52" i="1"/>
  <c r="AK52" i="1"/>
  <c r="AI52" i="1"/>
  <c r="AG52" i="1"/>
  <c r="AE52" i="1"/>
  <c r="AC52" i="1"/>
  <c r="AA52" i="1"/>
  <c r="Y52" i="1"/>
  <c r="W52" i="1"/>
  <c r="U52" i="1"/>
  <c r="R52" i="1"/>
  <c r="S52" i="1" s="1"/>
  <c r="AW52" i="1" s="1"/>
  <c r="M52" i="1"/>
  <c r="HN51" i="1"/>
  <c r="HK51" i="1"/>
  <c r="HJ51" i="1"/>
  <c r="HA51" i="1"/>
  <c r="D126" i="3" s="1"/>
  <c r="GW51" i="1"/>
  <c r="GR51" i="1"/>
  <c r="GX51" i="1" s="1"/>
  <c r="GM51" i="1"/>
  <c r="GL51" i="1"/>
  <c r="GG51" i="1"/>
  <c r="GA51" i="1"/>
  <c r="FV51" i="1"/>
  <c r="GB51" i="1" s="1"/>
  <c r="FQ51" i="1"/>
  <c r="FG51" i="1"/>
  <c r="D135" i="3" s="1"/>
  <c r="DU51" i="1"/>
  <c r="DT51" i="1"/>
  <c r="DS51" i="1"/>
  <c r="DR51" i="1"/>
  <c r="DQ51" i="1"/>
  <c r="DL51" i="1"/>
  <c r="DG51" i="1"/>
  <c r="DB51" i="1"/>
  <c r="DV51" i="1" s="1"/>
  <c r="CW51" i="1"/>
  <c r="CR51" i="1"/>
  <c r="CM51" i="1"/>
  <c r="CS51" i="1" s="1"/>
  <c r="CH51" i="1"/>
  <c r="BZ51" i="1"/>
  <c r="BY51" i="1"/>
  <c r="BW51" i="1"/>
  <c r="BX51" i="1" s="1"/>
  <c r="BQ51" i="1"/>
  <c r="BR51" i="1" s="1"/>
  <c r="BK51" i="1"/>
  <c r="BL51" i="1" s="1"/>
  <c r="BF51" i="1"/>
  <c r="BE51" i="1"/>
  <c r="CA51" i="1" s="1"/>
  <c r="AY51" i="1"/>
  <c r="AW51" i="1"/>
  <c r="AV51" i="1"/>
  <c r="AU51" i="1"/>
  <c r="AM51" i="1"/>
  <c r="AK51" i="1"/>
  <c r="AI51" i="1"/>
  <c r="AG51" i="1"/>
  <c r="AE51" i="1"/>
  <c r="AC51" i="1"/>
  <c r="AA51" i="1"/>
  <c r="Y51" i="1"/>
  <c r="W51" i="1"/>
  <c r="U51" i="1"/>
  <c r="S51" i="1"/>
  <c r="R51" i="1"/>
  <c r="M51" i="1"/>
  <c r="HN50" i="1"/>
  <c r="HK50" i="1"/>
  <c r="HJ50" i="1"/>
  <c r="HA50" i="1"/>
  <c r="GW50" i="1"/>
  <c r="GR50" i="1"/>
  <c r="GM50" i="1"/>
  <c r="GX50" i="1" s="1"/>
  <c r="GL50" i="1"/>
  <c r="GG50" i="1"/>
  <c r="GA50" i="1"/>
  <c r="GB50" i="1" s="1"/>
  <c r="FV50" i="1"/>
  <c r="FQ50" i="1"/>
  <c r="FG50" i="1"/>
  <c r="DU50" i="1"/>
  <c r="DT50" i="1"/>
  <c r="DS50" i="1"/>
  <c r="DR50" i="1"/>
  <c r="DQ50" i="1"/>
  <c r="DL50" i="1"/>
  <c r="DG50" i="1"/>
  <c r="DB50" i="1"/>
  <c r="DV50" i="1" s="1"/>
  <c r="CW50" i="1"/>
  <c r="CR50" i="1"/>
  <c r="CM50" i="1"/>
  <c r="CS50" i="1" s="1"/>
  <c r="CH50" i="1"/>
  <c r="BZ50" i="1"/>
  <c r="BY50" i="1"/>
  <c r="BW50" i="1"/>
  <c r="BX50" i="1" s="1"/>
  <c r="BR50" i="1"/>
  <c r="BQ50" i="1"/>
  <c r="BL50" i="1"/>
  <c r="BK50" i="1"/>
  <c r="CA50" i="1" s="1"/>
  <c r="BF50" i="1"/>
  <c r="CB50" i="1" s="1"/>
  <c r="BE50" i="1"/>
  <c r="AY50" i="1"/>
  <c r="AV50" i="1"/>
  <c r="AU50" i="1"/>
  <c r="AM50" i="1"/>
  <c r="AK50" i="1"/>
  <c r="AI50" i="1"/>
  <c r="AG50" i="1"/>
  <c r="AE50" i="1"/>
  <c r="AC50" i="1"/>
  <c r="AA50" i="1"/>
  <c r="Y50" i="1"/>
  <c r="W50" i="1"/>
  <c r="U50" i="1"/>
  <c r="S50" i="1"/>
  <c r="AW50" i="1" s="1"/>
  <c r="R50" i="1"/>
  <c r="M50" i="1"/>
  <c r="HN49" i="1"/>
  <c r="HK49" i="1"/>
  <c r="HJ49" i="1"/>
  <c r="HA49" i="1"/>
  <c r="GW49" i="1"/>
  <c r="GR49" i="1"/>
  <c r="GL49" i="1"/>
  <c r="GG49" i="1"/>
  <c r="GA49" i="1"/>
  <c r="FV49" i="1"/>
  <c r="GB49" i="1" s="1"/>
  <c r="FQ49" i="1"/>
  <c r="FG49" i="1"/>
  <c r="DU49" i="1"/>
  <c r="DT49" i="1"/>
  <c r="DS49" i="1"/>
  <c r="DR49" i="1"/>
  <c r="DQ49" i="1"/>
  <c r="DL49" i="1"/>
  <c r="DG49" i="1"/>
  <c r="DB49" i="1"/>
  <c r="CW49" i="1"/>
  <c r="CS49" i="1"/>
  <c r="CR49" i="1"/>
  <c r="CM49" i="1"/>
  <c r="CH49" i="1"/>
  <c r="BZ49" i="1"/>
  <c r="BY49" i="1"/>
  <c r="BX49" i="1"/>
  <c r="BW49" i="1"/>
  <c r="BQ49" i="1"/>
  <c r="BR49" i="1" s="1"/>
  <c r="BL49" i="1"/>
  <c r="CB49" i="1" s="1"/>
  <c r="BK49" i="1"/>
  <c r="BE49" i="1"/>
  <c r="BF49" i="1" s="1"/>
  <c r="AY49" i="1"/>
  <c r="AU49" i="1"/>
  <c r="AM49" i="1"/>
  <c r="AK49" i="1"/>
  <c r="AI49" i="1"/>
  <c r="AG49" i="1"/>
  <c r="AE49" i="1"/>
  <c r="AC49" i="1"/>
  <c r="AA49" i="1"/>
  <c r="Y49" i="1"/>
  <c r="W49" i="1"/>
  <c r="U49" i="1"/>
  <c r="G45" i="2" s="1"/>
  <c r="R49" i="1"/>
  <c r="M49" i="1"/>
  <c r="HN47" i="1"/>
  <c r="HK47" i="1"/>
  <c r="HJ47" i="1"/>
  <c r="HA47" i="1"/>
  <c r="GW47" i="1"/>
  <c r="GR47" i="1"/>
  <c r="GL47" i="1"/>
  <c r="GG47" i="1"/>
  <c r="GM47" i="1" s="1"/>
  <c r="GX47" i="1" s="1"/>
  <c r="GA47" i="1"/>
  <c r="FV47" i="1"/>
  <c r="FQ47" i="1"/>
  <c r="FG47" i="1"/>
  <c r="DU47" i="1"/>
  <c r="DT47" i="1"/>
  <c r="DS47" i="1"/>
  <c r="DR47" i="1"/>
  <c r="DQ47" i="1"/>
  <c r="DL47" i="1"/>
  <c r="DG47" i="1"/>
  <c r="DB47" i="1"/>
  <c r="DV47" i="1" s="1"/>
  <c r="CW47" i="1"/>
  <c r="CR47" i="1"/>
  <c r="CM47" i="1"/>
  <c r="CS47" i="1" s="1"/>
  <c r="CH47" i="1"/>
  <c r="CB47" i="1"/>
  <c r="BZ47" i="1"/>
  <c r="BY47" i="1"/>
  <c r="BX47" i="1"/>
  <c r="BW47" i="1"/>
  <c r="BR47" i="1"/>
  <c r="BQ47" i="1"/>
  <c r="BL47" i="1"/>
  <c r="BK47" i="1"/>
  <c r="BF47" i="1"/>
  <c r="BE47" i="1"/>
  <c r="AY47" i="1"/>
  <c r="AU47" i="1"/>
  <c r="AV47" i="1" s="1"/>
  <c r="AM47" i="1"/>
  <c r="AK47" i="1"/>
  <c r="AI47" i="1"/>
  <c r="AG47" i="1"/>
  <c r="AE47" i="1"/>
  <c r="AC47" i="1"/>
  <c r="AA47" i="1"/>
  <c r="Y47" i="1"/>
  <c r="W47" i="1"/>
  <c r="U47" i="1"/>
  <c r="S47" i="1"/>
  <c r="AW47" i="1" s="1"/>
  <c r="R47" i="1"/>
  <c r="M47" i="1"/>
  <c r="HN46" i="1"/>
  <c r="HK46" i="1"/>
  <c r="HJ46" i="1"/>
  <c r="HA46" i="1"/>
  <c r="GW46" i="1"/>
  <c r="GR46" i="1"/>
  <c r="GL46" i="1"/>
  <c r="GM46" i="1" s="1"/>
  <c r="GX46" i="1" s="1"/>
  <c r="GG46" i="1"/>
  <c r="GA46" i="1"/>
  <c r="FV46" i="1"/>
  <c r="GB46" i="1" s="1"/>
  <c r="FQ46" i="1"/>
  <c r="FG46" i="1"/>
  <c r="DU46" i="1"/>
  <c r="DT46" i="1"/>
  <c r="DS46" i="1"/>
  <c r="DR46" i="1"/>
  <c r="DQ46" i="1"/>
  <c r="DL46" i="1"/>
  <c r="DG46" i="1"/>
  <c r="DB46" i="1"/>
  <c r="DV46" i="1" s="1"/>
  <c r="CW46" i="1"/>
  <c r="CR46" i="1"/>
  <c r="CM46" i="1"/>
  <c r="CH46" i="1"/>
  <c r="BZ46" i="1"/>
  <c r="BY46" i="1"/>
  <c r="BW46" i="1"/>
  <c r="BX46" i="1" s="1"/>
  <c r="BR46" i="1"/>
  <c r="BQ46" i="1"/>
  <c r="BK46" i="1"/>
  <c r="BL46" i="1" s="1"/>
  <c r="BF46" i="1"/>
  <c r="CB46" i="1" s="1"/>
  <c r="BE46" i="1"/>
  <c r="CA46" i="1" s="1"/>
  <c r="AY46" i="1"/>
  <c r="AU46" i="1"/>
  <c r="AV46" i="1" s="1"/>
  <c r="AM46" i="1"/>
  <c r="AK46" i="1"/>
  <c r="AI46" i="1"/>
  <c r="AG46" i="1"/>
  <c r="AE46" i="1"/>
  <c r="AC46" i="1"/>
  <c r="AA46" i="1"/>
  <c r="Y46" i="1"/>
  <c r="W46" i="1"/>
  <c r="U46" i="1"/>
  <c r="S46" i="1"/>
  <c r="AW46" i="1" s="1"/>
  <c r="R46" i="1"/>
  <c r="M46" i="1"/>
  <c r="HN45" i="1"/>
  <c r="HK45" i="1"/>
  <c r="HJ45" i="1"/>
  <c r="HA45" i="1"/>
  <c r="GW45" i="1"/>
  <c r="GR45" i="1"/>
  <c r="GL45" i="1"/>
  <c r="GG45" i="1"/>
  <c r="GM45" i="1" s="1"/>
  <c r="GB45" i="1"/>
  <c r="GA45" i="1"/>
  <c r="FV45" i="1"/>
  <c r="FQ45" i="1"/>
  <c r="FG45" i="1"/>
  <c r="DU45" i="1"/>
  <c r="DT45" i="1"/>
  <c r="DS45" i="1"/>
  <c r="DR45" i="1"/>
  <c r="DQ45" i="1"/>
  <c r="DL45" i="1"/>
  <c r="DG45" i="1"/>
  <c r="DB45" i="1"/>
  <c r="DV45" i="1" s="1"/>
  <c r="F52" i="2" s="1"/>
  <c r="CW45" i="1"/>
  <c r="CS45" i="1"/>
  <c r="CR45" i="1"/>
  <c r="CM45" i="1"/>
  <c r="CH45" i="1"/>
  <c r="BZ45" i="1"/>
  <c r="BY45" i="1"/>
  <c r="BX45" i="1"/>
  <c r="BW45" i="1"/>
  <c r="BR45" i="1"/>
  <c r="BQ45" i="1"/>
  <c r="BL45" i="1"/>
  <c r="CB45" i="1" s="1"/>
  <c r="BK45" i="1"/>
  <c r="CA45" i="1" s="1"/>
  <c r="BF45" i="1"/>
  <c r="BE45" i="1"/>
  <c r="AY45" i="1"/>
  <c r="AV45" i="1"/>
  <c r="AU45" i="1"/>
  <c r="AM45" i="1"/>
  <c r="AK45" i="1"/>
  <c r="AI45" i="1"/>
  <c r="AG45" i="1"/>
  <c r="AE45" i="1"/>
  <c r="AC45" i="1"/>
  <c r="AA45" i="1"/>
  <c r="Y45" i="1"/>
  <c r="W45" i="1"/>
  <c r="U45" i="1"/>
  <c r="F45" i="2" s="1"/>
  <c r="R45" i="1"/>
  <c r="M45" i="1"/>
  <c r="S45" i="1" s="1"/>
  <c r="HN44" i="1"/>
  <c r="HK44" i="1"/>
  <c r="HJ44" i="1"/>
  <c r="HA44" i="1"/>
  <c r="GW44" i="1"/>
  <c r="GR44" i="1"/>
  <c r="GM44" i="1"/>
  <c r="GX44" i="1" s="1"/>
  <c r="GL44" i="1"/>
  <c r="GG44" i="1"/>
  <c r="GA44" i="1"/>
  <c r="FV44" i="1"/>
  <c r="GB44" i="1" s="1"/>
  <c r="FQ44" i="1"/>
  <c r="FG44" i="1"/>
  <c r="DU44" i="1"/>
  <c r="DT44" i="1"/>
  <c r="DS44" i="1"/>
  <c r="DR44" i="1"/>
  <c r="DQ44" i="1"/>
  <c r="DL44" i="1"/>
  <c r="DG44" i="1"/>
  <c r="DB44" i="1"/>
  <c r="DV44" i="1" s="1"/>
  <c r="CW44" i="1"/>
  <c r="CR44" i="1"/>
  <c r="CS44" i="1" s="1"/>
  <c r="CM44" i="1"/>
  <c r="CH44" i="1"/>
  <c r="BZ44" i="1"/>
  <c r="BY44" i="1"/>
  <c r="BW44" i="1"/>
  <c r="BX44" i="1" s="1"/>
  <c r="BQ44" i="1"/>
  <c r="BR44" i="1" s="1"/>
  <c r="BL44" i="1"/>
  <c r="BK44" i="1"/>
  <c r="BE44" i="1"/>
  <c r="CA44" i="1" s="1"/>
  <c r="AY44" i="1"/>
  <c r="AU44" i="1"/>
  <c r="AV44" i="1" s="1"/>
  <c r="AM44" i="1"/>
  <c r="AK44" i="1"/>
  <c r="AI44" i="1"/>
  <c r="AG44" i="1"/>
  <c r="AE44" i="1"/>
  <c r="AC44" i="1"/>
  <c r="AA44" i="1"/>
  <c r="Y44" i="1"/>
  <c r="W44" i="1"/>
  <c r="U44" i="1"/>
  <c r="R44" i="1"/>
  <c r="M44" i="1"/>
  <c r="S44" i="1" s="1"/>
  <c r="AW44" i="1" s="1"/>
  <c r="HN43" i="1"/>
  <c r="HK43" i="1"/>
  <c r="HJ43" i="1"/>
  <c r="HA43" i="1"/>
  <c r="GW43" i="1"/>
  <c r="GR43" i="1"/>
  <c r="GL43" i="1"/>
  <c r="GG43" i="1"/>
  <c r="GM43" i="1" s="1"/>
  <c r="GX43" i="1" s="1"/>
  <c r="GA43" i="1"/>
  <c r="FV43" i="1"/>
  <c r="GB43" i="1" s="1"/>
  <c r="FQ43" i="1"/>
  <c r="FG43" i="1"/>
  <c r="DU43" i="1"/>
  <c r="DT43" i="1"/>
  <c r="DS43" i="1"/>
  <c r="DR43" i="1"/>
  <c r="DQ43" i="1"/>
  <c r="DL43" i="1"/>
  <c r="DG43" i="1"/>
  <c r="DB43" i="1"/>
  <c r="DV43" i="1" s="1"/>
  <c r="CW43" i="1"/>
  <c r="CS43" i="1"/>
  <c r="CR43" i="1"/>
  <c r="CM43" i="1"/>
  <c r="CH43" i="1"/>
  <c r="BZ43" i="1"/>
  <c r="BY43" i="1"/>
  <c r="BW43" i="1"/>
  <c r="BX43" i="1" s="1"/>
  <c r="BR43" i="1"/>
  <c r="BQ43" i="1"/>
  <c r="BL43" i="1"/>
  <c r="BK43" i="1"/>
  <c r="BE43" i="1"/>
  <c r="AY43" i="1"/>
  <c r="AV43" i="1"/>
  <c r="AU43" i="1"/>
  <c r="AM43" i="1"/>
  <c r="AK43" i="1"/>
  <c r="AI43" i="1"/>
  <c r="AG43" i="1"/>
  <c r="AE43" i="1"/>
  <c r="AC43" i="1"/>
  <c r="AA43" i="1"/>
  <c r="Y43" i="1"/>
  <c r="W43" i="1"/>
  <c r="U43" i="1"/>
  <c r="R43" i="1"/>
  <c r="M43" i="1"/>
  <c r="S43" i="1" s="1"/>
  <c r="AW43" i="1" s="1"/>
  <c r="HN42" i="1"/>
  <c r="HK42" i="1"/>
  <c r="HJ42" i="1"/>
  <c r="HA42" i="1"/>
  <c r="GW42" i="1"/>
  <c r="GR42" i="1"/>
  <c r="GM42" i="1"/>
  <c r="GL42" i="1"/>
  <c r="GG42" i="1"/>
  <c r="GB42" i="1"/>
  <c r="GA42" i="1"/>
  <c r="FV42" i="1"/>
  <c r="FQ42" i="1"/>
  <c r="FG42" i="1"/>
  <c r="DU42" i="1"/>
  <c r="DT42" i="1"/>
  <c r="DS42" i="1"/>
  <c r="DR42" i="1"/>
  <c r="DQ42" i="1"/>
  <c r="DL42" i="1"/>
  <c r="DG42" i="1"/>
  <c r="DB42" i="1"/>
  <c r="DV42" i="1" s="1"/>
  <c r="E52" i="2" s="1"/>
  <c r="CW42" i="1"/>
  <c r="CR42" i="1"/>
  <c r="CM42" i="1"/>
  <c r="CH42" i="1"/>
  <c r="BZ42" i="1"/>
  <c r="BY42" i="1"/>
  <c r="BW42" i="1"/>
  <c r="BX42" i="1" s="1"/>
  <c r="BR42" i="1"/>
  <c r="BQ42" i="1"/>
  <c r="BK42" i="1"/>
  <c r="BL42" i="1" s="1"/>
  <c r="BE42" i="1"/>
  <c r="CA42" i="1" s="1"/>
  <c r="AY42" i="1"/>
  <c r="AV42" i="1"/>
  <c r="AU42" i="1"/>
  <c r="E46" i="2" s="1"/>
  <c r="AM42" i="1"/>
  <c r="AK42" i="1"/>
  <c r="AI42" i="1"/>
  <c r="AG42" i="1"/>
  <c r="AE42" i="1"/>
  <c r="AC42" i="1"/>
  <c r="AA42" i="1"/>
  <c r="Y42" i="1"/>
  <c r="W42" i="1"/>
  <c r="U42" i="1"/>
  <c r="R42" i="1"/>
  <c r="S42" i="1" s="1"/>
  <c r="M42" i="1"/>
  <c r="HN41" i="1"/>
  <c r="HK41" i="1"/>
  <c r="HJ41" i="1"/>
  <c r="HA41" i="1"/>
  <c r="GW41" i="1"/>
  <c r="GR41" i="1"/>
  <c r="GM41" i="1"/>
  <c r="GX41" i="1" s="1"/>
  <c r="HD41" i="1" s="1"/>
  <c r="GL41" i="1"/>
  <c r="GG41" i="1"/>
  <c r="GA41" i="1"/>
  <c r="GB41" i="1" s="1"/>
  <c r="FV41" i="1"/>
  <c r="FQ41" i="1"/>
  <c r="FG41" i="1"/>
  <c r="DU41" i="1"/>
  <c r="DT41" i="1"/>
  <c r="DS41" i="1"/>
  <c r="DR41" i="1"/>
  <c r="DQ41" i="1"/>
  <c r="DL41" i="1"/>
  <c r="DG41" i="1"/>
  <c r="DB41" i="1"/>
  <c r="DV41" i="1" s="1"/>
  <c r="CW41" i="1"/>
  <c r="CR41" i="1"/>
  <c r="CM41" i="1"/>
  <c r="CS41" i="1" s="1"/>
  <c r="CH41" i="1"/>
  <c r="BZ41" i="1"/>
  <c r="BY41" i="1"/>
  <c r="BW41" i="1"/>
  <c r="BX41" i="1" s="1"/>
  <c r="BR41" i="1"/>
  <c r="BQ41" i="1"/>
  <c r="BL41" i="1"/>
  <c r="BK41" i="1"/>
  <c r="BF41" i="1"/>
  <c r="BE41" i="1"/>
  <c r="CA41" i="1" s="1"/>
  <c r="AY41" i="1"/>
  <c r="AV41" i="1"/>
  <c r="AU41" i="1"/>
  <c r="AM41" i="1"/>
  <c r="AK41" i="1"/>
  <c r="AI41" i="1"/>
  <c r="AG41" i="1"/>
  <c r="AE41" i="1"/>
  <c r="AC41" i="1"/>
  <c r="AA41" i="1"/>
  <c r="Y41" i="1"/>
  <c r="W41" i="1"/>
  <c r="U41" i="1"/>
  <c r="S41" i="1"/>
  <c r="AW41" i="1" s="1"/>
  <c r="R41" i="1"/>
  <c r="M41" i="1"/>
  <c r="HN40" i="1"/>
  <c r="HK40" i="1"/>
  <c r="HJ40" i="1"/>
  <c r="HA40" i="1"/>
  <c r="GW40" i="1"/>
  <c r="GR40" i="1"/>
  <c r="GL40" i="1"/>
  <c r="GG40" i="1"/>
  <c r="GA40" i="1"/>
  <c r="FV40" i="1"/>
  <c r="GB40" i="1" s="1"/>
  <c r="FQ40" i="1"/>
  <c r="FG40" i="1"/>
  <c r="DU40" i="1"/>
  <c r="DT40" i="1"/>
  <c r="DS40" i="1"/>
  <c r="DR40" i="1"/>
  <c r="DQ40" i="1"/>
  <c r="DL40" i="1"/>
  <c r="DG40" i="1"/>
  <c r="DB40" i="1"/>
  <c r="CW40" i="1"/>
  <c r="CS40" i="1"/>
  <c r="CR40" i="1"/>
  <c r="CM40" i="1"/>
  <c r="CH40" i="1"/>
  <c r="BZ40" i="1"/>
  <c r="BY40" i="1"/>
  <c r="BX40" i="1"/>
  <c r="BW40" i="1"/>
  <c r="BQ40" i="1"/>
  <c r="BR40" i="1" s="1"/>
  <c r="BL40" i="1"/>
  <c r="CB40" i="1" s="1"/>
  <c r="BK40" i="1"/>
  <c r="BE40" i="1"/>
  <c r="BF40" i="1" s="1"/>
  <c r="AY40" i="1"/>
  <c r="AW40" i="1"/>
  <c r="AV40" i="1"/>
  <c r="AU40" i="1"/>
  <c r="AM40" i="1"/>
  <c r="AK40" i="1"/>
  <c r="AI40" i="1"/>
  <c r="AG40" i="1"/>
  <c r="AE40" i="1"/>
  <c r="AC40" i="1"/>
  <c r="AA40" i="1"/>
  <c r="Y40" i="1"/>
  <c r="W40" i="1"/>
  <c r="U40" i="1"/>
  <c r="R40" i="1"/>
  <c r="M40" i="1"/>
  <c r="S40" i="1" s="1"/>
  <c r="HN39" i="1"/>
  <c r="HK39" i="1"/>
  <c r="HJ39" i="1"/>
  <c r="HA39" i="1"/>
  <c r="GW39" i="1"/>
  <c r="GR39" i="1"/>
  <c r="GM39" i="1"/>
  <c r="GL39" i="1"/>
  <c r="GG39" i="1"/>
  <c r="GA39" i="1"/>
  <c r="FV39" i="1"/>
  <c r="FQ39" i="1"/>
  <c r="FG39" i="1"/>
  <c r="DU39" i="1"/>
  <c r="DT39" i="1"/>
  <c r="DS39" i="1"/>
  <c r="DR39" i="1"/>
  <c r="DQ39" i="1"/>
  <c r="DL39" i="1"/>
  <c r="DG39" i="1"/>
  <c r="DB39" i="1"/>
  <c r="DV39" i="1" s="1"/>
  <c r="CW39" i="1"/>
  <c r="D105" i="3" s="1"/>
  <c r="CR39" i="1"/>
  <c r="CM39" i="1"/>
  <c r="CS39" i="1" s="1"/>
  <c r="CH39" i="1"/>
  <c r="BZ39" i="1"/>
  <c r="BY39" i="1"/>
  <c r="BX39" i="1"/>
  <c r="BW39" i="1"/>
  <c r="BR39" i="1"/>
  <c r="BQ39" i="1"/>
  <c r="BK39" i="1"/>
  <c r="BL39" i="1" s="1"/>
  <c r="BE39" i="1"/>
  <c r="CA39" i="1" s="1"/>
  <c r="AY39" i="1"/>
  <c r="AU39" i="1"/>
  <c r="AM39" i="1"/>
  <c r="AK39" i="1"/>
  <c r="AI39" i="1"/>
  <c r="AG39" i="1"/>
  <c r="AE39" i="1"/>
  <c r="AC39" i="1"/>
  <c r="AA39" i="1"/>
  <c r="Y39" i="1"/>
  <c r="W39" i="1"/>
  <c r="U39" i="1"/>
  <c r="R39" i="1"/>
  <c r="M39" i="1"/>
  <c r="S39" i="1" s="1"/>
  <c r="HN38" i="1"/>
  <c r="HK38" i="1"/>
  <c r="HJ38" i="1"/>
  <c r="HA38" i="1"/>
  <c r="GW38" i="1"/>
  <c r="GR38" i="1"/>
  <c r="GM38" i="1"/>
  <c r="GX38" i="1" s="1"/>
  <c r="GL38" i="1"/>
  <c r="GG38" i="1"/>
  <c r="GA38" i="1"/>
  <c r="FV38" i="1"/>
  <c r="GB38" i="1" s="1"/>
  <c r="FQ38" i="1"/>
  <c r="FG38" i="1"/>
  <c r="DU38" i="1"/>
  <c r="DT38" i="1"/>
  <c r="DS38" i="1"/>
  <c r="DR38" i="1"/>
  <c r="DQ38" i="1"/>
  <c r="DL38" i="1"/>
  <c r="DG38" i="1"/>
  <c r="DB38" i="1"/>
  <c r="DV38" i="1" s="1"/>
  <c r="CW38" i="1"/>
  <c r="CR38" i="1"/>
  <c r="CM38" i="1"/>
  <c r="CS38" i="1" s="1"/>
  <c r="CH38" i="1"/>
  <c r="BZ38" i="1"/>
  <c r="BY38" i="1"/>
  <c r="BX38" i="1"/>
  <c r="BW38" i="1"/>
  <c r="BQ38" i="1"/>
  <c r="BR38" i="1" s="1"/>
  <c r="BK38" i="1"/>
  <c r="BL38" i="1" s="1"/>
  <c r="BF38" i="1"/>
  <c r="BE38" i="1"/>
  <c r="AY38" i="1"/>
  <c r="AU38" i="1"/>
  <c r="AV38" i="1" s="1"/>
  <c r="AM38" i="1"/>
  <c r="AK38" i="1"/>
  <c r="AI38" i="1"/>
  <c r="AG38" i="1"/>
  <c r="AE38" i="1"/>
  <c r="AC38" i="1"/>
  <c r="AA38" i="1"/>
  <c r="Y38" i="1"/>
  <c r="W38" i="1"/>
  <c r="U38" i="1"/>
  <c r="R38" i="1"/>
  <c r="M38" i="1"/>
  <c r="S38" i="1" s="1"/>
  <c r="AW38" i="1" s="1"/>
  <c r="HN37" i="1"/>
  <c r="HK37" i="1"/>
  <c r="HJ37" i="1"/>
  <c r="HA37" i="1"/>
  <c r="GW37" i="1"/>
  <c r="GR37" i="1"/>
  <c r="GL37" i="1"/>
  <c r="GG37" i="1"/>
  <c r="GM37" i="1" s="1"/>
  <c r="GB37" i="1"/>
  <c r="GA37" i="1"/>
  <c r="FV37" i="1"/>
  <c r="FQ37" i="1"/>
  <c r="FG37" i="1"/>
  <c r="DU37" i="1"/>
  <c r="DT37" i="1"/>
  <c r="DS37" i="1"/>
  <c r="DR37" i="1"/>
  <c r="DQ37" i="1"/>
  <c r="DL37" i="1"/>
  <c r="DG37" i="1"/>
  <c r="DB37" i="1"/>
  <c r="DV37" i="1" s="1"/>
  <c r="G39" i="2" s="1"/>
  <c r="CW37" i="1"/>
  <c r="CR37" i="1"/>
  <c r="CM37" i="1"/>
  <c r="CS37" i="1" s="1"/>
  <c r="G37" i="2" s="1"/>
  <c r="CH37" i="1"/>
  <c r="BZ37" i="1"/>
  <c r="BY37" i="1"/>
  <c r="BW37" i="1"/>
  <c r="BX37" i="1" s="1"/>
  <c r="BR37" i="1"/>
  <c r="BQ37" i="1"/>
  <c r="BL37" i="1"/>
  <c r="BK37" i="1"/>
  <c r="CA37" i="1" s="1"/>
  <c r="BF37" i="1"/>
  <c r="BE37" i="1"/>
  <c r="AY37" i="1"/>
  <c r="AV37" i="1"/>
  <c r="AU37" i="1"/>
  <c r="AM37" i="1"/>
  <c r="AK37" i="1"/>
  <c r="AI37" i="1"/>
  <c r="AG37" i="1"/>
  <c r="AE37" i="1"/>
  <c r="AC37" i="1"/>
  <c r="AA37" i="1"/>
  <c r="Y37" i="1"/>
  <c r="W37" i="1"/>
  <c r="U37" i="1"/>
  <c r="R37" i="1"/>
  <c r="M37" i="1"/>
  <c r="S37" i="1" s="1"/>
  <c r="AW37" i="1" s="1"/>
  <c r="S36" i="1"/>
  <c r="R36" i="1"/>
  <c r="M36" i="1"/>
  <c r="HN35" i="1"/>
  <c r="HK35" i="1"/>
  <c r="HJ35" i="1"/>
  <c r="HA35" i="1"/>
  <c r="GW35" i="1"/>
  <c r="GR35" i="1"/>
  <c r="GX35" i="1" s="1"/>
  <c r="GM35" i="1"/>
  <c r="GL35" i="1"/>
  <c r="GG35" i="1"/>
  <c r="GA35" i="1"/>
  <c r="FV35" i="1"/>
  <c r="GB35" i="1" s="1"/>
  <c r="FQ35" i="1"/>
  <c r="FG35" i="1"/>
  <c r="DU35" i="1"/>
  <c r="DT35" i="1"/>
  <c r="DS35" i="1"/>
  <c r="DR35" i="1"/>
  <c r="DQ35" i="1"/>
  <c r="DL35" i="1"/>
  <c r="DG35" i="1"/>
  <c r="DB35" i="1"/>
  <c r="DV35" i="1" s="1"/>
  <c r="CW35" i="1"/>
  <c r="CR35" i="1"/>
  <c r="CM35" i="1"/>
  <c r="CS35" i="1" s="1"/>
  <c r="CH35" i="1"/>
  <c r="BZ35" i="1"/>
  <c r="BY35" i="1"/>
  <c r="BW35" i="1"/>
  <c r="BX35" i="1" s="1"/>
  <c r="BR35" i="1"/>
  <c r="BQ35" i="1"/>
  <c r="BK35" i="1"/>
  <c r="BL35" i="1" s="1"/>
  <c r="BF35" i="1"/>
  <c r="BE35" i="1"/>
  <c r="AY35" i="1"/>
  <c r="AV35" i="1"/>
  <c r="AU35" i="1"/>
  <c r="AW35" i="1" s="1"/>
  <c r="AM35" i="1"/>
  <c r="AK35" i="1"/>
  <c r="AI35" i="1"/>
  <c r="AG35" i="1"/>
  <c r="AE35" i="1"/>
  <c r="AC35" i="1"/>
  <c r="AA35" i="1"/>
  <c r="Y35" i="1"/>
  <c r="W35" i="1"/>
  <c r="U35" i="1"/>
  <c r="S35" i="1"/>
  <c r="R35" i="1"/>
  <c r="M35" i="1"/>
  <c r="HN34" i="1"/>
  <c r="HK34" i="1"/>
  <c r="HJ34" i="1"/>
  <c r="HA34" i="1"/>
  <c r="GW34" i="1"/>
  <c r="GR34" i="1"/>
  <c r="GL34" i="1"/>
  <c r="GG34" i="1"/>
  <c r="GM34" i="1" s="1"/>
  <c r="GX34" i="1" s="1"/>
  <c r="GB34" i="1"/>
  <c r="GA34" i="1"/>
  <c r="FV34" i="1"/>
  <c r="FQ34" i="1"/>
  <c r="FG34" i="1"/>
  <c r="DU34" i="1"/>
  <c r="DT34" i="1"/>
  <c r="DS34" i="1"/>
  <c r="DR34" i="1"/>
  <c r="DQ34" i="1"/>
  <c r="DL34" i="1"/>
  <c r="DG34" i="1"/>
  <c r="DB34" i="1"/>
  <c r="DV34" i="1" s="1"/>
  <c r="CW34" i="1"/>
  <c r="CS34" i="1"/>
  <c r="CR34" i="1"/>
  <c r="CM34" i="1"/>
  <c r="CH34" i="1"/>
  <c r="BZ34" i="1"/>
  <c r="BY34" i="1"/>
  <c r="BX34" i="1"/>
  <c r="BW34" i="1"/>
  <c r="BQ34" i="1"/>
  <c r="BR34" i="1" s="1"/>
  <c r="BK34" i="1"/>
  <c r="CA34" i="1" s="1"/>
  <c r="BF34" i="1"/>
  <c r="BE34" i="1"/>
  <c r="AY34" i="1"/>
  <c r="AU34" i="1"/>
  <c r="AV34" i="1" s="1"/>
  <c r="AM34" i="1"/>
  <c r="AK34" i="1"/>
  <c r="AI34" i="1"/>
  <c r="AG34" i="1"/>
  <c r="AE34" i="1"/>
  <c r="AC34" i="1"/>
  <c r="AA34" i="1"/>
  <c r="Y34" i="1"/>
  <c r="W34" i="1"/>
  <c r="U34" i="1"/>
  <c r="R34" i="1"/>
  <c r="M34" i="1"/>
  <c r="S34" i="1" s="1"/>
  <c r="AW34" i="1" s="1"/>
  <c r="HN33" i="1"/>
  <c r="HK33" i="1"/>
  <c r="HJ33" i="1"/>
  <c r="HA33" i="1"/>
  <c r="GW33" i="1"/>
  <c r="GR33" i="1"/>
  <c r="GL33" i="1"/>
  <c r="GG33" i="1"/>
  <c r="GM33" i="1" s="1"/>
  <c r="GA33" i="1"/>
  <c r="FV33" i="1"/>
  <c r="GB33" i="1" s="1"/>
  <c r="F34" i="2" s="1"/>
  <c r="FQ33" i="1"/>
  <c r="FG33" i="1"/>
  <c r="DU33" i="1"/>
  <c r="DT33" i="1"/>
  <c r="DS33" i="1"/>
  <c r="DR33" i="1"/>
  <c r="DQ33" i="1"/>
  <c r="DL33" i="1"/>
  <c r="DG33" i="1"/>
  <c r="DB33" i="1"/>
  <c r="DV33" i="1" s="1"/>
  <c r="CW33" i="1"/>
  <c r="CS33" i="1"/>
  <c r="CR33" i="1"/>
  <c r="CM33" i="1"/>
  <c r="CH33" i="1"/>
  <c r="BZ33" i="1"/>
  <c r="BY33" i="1"/>
  <c r="BX33" i="1"/>
  <c r="BW33" i="1"/>
  <c r="BQ33" i="1"/>
  <c r="BR33" i="1" s="1"/>
  <c r="BL33" i="1"/>
  <c r="BK33" i="1"/>
  <c r="BE33" i="1"/>
  <c r="CA33" i="1" s="1"/>
  <c r="AY33" i="1"/>
  <c r="AU33" i="1"/>
  <c r="F33" i="2" s="1"/>
  <c r="AM33" i="1"/>
  <c r="AK33" i="1"/>
  <c r="AI33" i="1"/>
  <c r="AG33" i="1"/>
  <c r="AE33" i="1"/>
  <c r="AC33" i="1"/>
  <c r="AA33" i="1"/>
  <c r="Y33" i="1"/>
  <c r="W33" i="1"/>
  <c r="U33" i="1"/>
  <c r="R33" i="1"/>
  <c r="M33" i="1"/>
  <c r="S33" i="1" s="1"/>
  <c r="HN32" i="1"/>
  <c r="HK32" i="1"/>
  <c r="HJ32" i="1"/>
  <c r="HA32" i="1"/>
  <c r="GW32" i="1"/>
  <c r="GR32" i="1"/>
  <c r="GM32" i="1"/>
  <c r="GX32" i="1" s="1"/>
  <c r="GL32" i="1"/>
  <c r="GG32" i="1"/>
  <c r="GA32" i="1"/>
  <c r="FV32" i="1"/>
  <c r="GB32" i="1" s="1"/>
  <c r="FQ32" i="1"/>
  <c r="FG32" i="1"/>
  <c r="DU32" i="1"/>
  <c r="DT32" i="1"/>
  <c r="DS32" i="1"/>
  <c r="DR32" i="1"/>
  <c r="DQ32" i="1"/>
  <c r="DL32" i="1"/>
  <c r="DG32" i="1"/>
  <c r="DB32" i="1"/>
  <c r="DV32" i="1" s="1"/>
  <c r="CW32" i="1"/>
  <c r="CR32" i="1"/>
  <c r="CM32" i="1"/>
  <c r="CS32" i="1" s="1"/>
  <c r="CH32" i="1"/>
  <c r="BZ32" i="1"/>
  <c r="BY32" i="1"/>
  <c r="BW32" i="1"/>
  <c r="BX32" i="1" s="1"/>
  <c r="BQ32" i="1"/>
  <c r="BR32" i="1" s="1"/>
  <c r="BL32" i="1"/>
  <c r="BK32" i="1"/>
  <c r="BF32" i="1"/>
  <c r="BE32" i="1"/>
  <c r="CA32" i="1" s="1"/>
  <c r="AY32" i="1"/>
  <c r="AU32" i="1"/>
  <c r="AV32" i="1" s="1"/>
  <c r="AM32" i="1"/>
  <c r="AK32" i="1"/>
  <c r="AI32" i="1"/>
  <c r="AG32" i="1"/>
  <c r="AE32" i="1"/>
  <c r="AC32" i="1"/>
  <c r="AA32" i="1"/>
  <c r="Y32" i="1"/>
  <c r="W32" i="1"/>
  <c r="U32" i="1"/>
  <c r="S32" i="1"/>
  <c r="AW32" i="1" s="1"/>
  <c r="R32" i="1"/>
  <c r="M32" i="1"/>
  <c r="HN31" i="1"/>
  <c r="HK31" i="1"/>
  <c r="HJ31" i="1"/>
  <c r="HA31" i="1"/>
  <c r="GW31" i="1"/>
  <c r="GR31" i="1"/>
  <c r="GM31" i="1"/>
  <c r="GX31" i="1" s="1"/>
  <c r="GL31" i="1"/>
  <c r="GG31" i="1"/>
  <c r="GB31" i="1"/>
  <c r="GA31" i="1"/>
  <c r="FV31" i="1"/>
  <c r="FQ31" i="1"/>
  <c r="FG31" i="1"/>
  <c r="DU31" i="1"/>
  <c r="DT31" i="1"/>
  <c r="DS31" i="1"/>
  <c r="DR31" i="1"/>
  <c r="DQ31" i="1"/>
  <c r="DL31" i="1"/>
  <c r="DG31" i="1"/>
  <c r="DB31" i="1"/>
  <c r="DV31" i="1" s="1"/>
  <c r="CW31" i="1"/>
  <c r="CR31" i="1"/>
  <c r="CM31" i="1"/>
  <c r="CS31" i="1" s="1"/>
  <c r="CH31" i="1"/>
  <c r="BZ31" i="1"/>
  <c r="BY31" i="1"/>
  <c r="BW31" i="1"/>
  <c r="BX31" i="1" s="1"/>
  <c r="BR31" i="1"/>
  <c r="BQ31" i="1"/>
  <c r="BK31" i="1"/>
  <c r="BL31" i="1" s="1"/>
  <c r="BF31" i="1"/>
  <c r="CB31" i="1" s="1"/>
  <c r="BE31" i="1"/>
  <c r="CA31" i="1" s="1"/>
  <c r="AY31" i="1"/>
  <c r="AW31" i="1"/>
  <c r="AV31" i="1"/>
  <c r="AU31" i="1"/>
  <c r="AM31" i="1"/>
  <c r="AK31" i="1"/>
  <c r="AI31" i="1"/>
  <c r="AG31" i="1"/>
  <c r="AE31" i="1"/>
  <c r="AC31" i="1"/>
  <c r="AA31" i="1"/>
  <c r="Y31" i="1"/>
  <c r="W31" i="1"/>
  <c r="U31" i="1"/>
  <c r="S31" i="1"/>
  <c r="R31" i="1"/>
  <c r="M31" i="1"/>
  <c r="HN30" i="1"/>
  <c r="HK30" i="1"/>
  <c r="HJ30" i="1"/>
  <c r="HA30" i="1"/>
  <c r="GW30" i="1"/>
  <c r="GR30" i="1"/>
  <c r="GL30" i="1"/>
  <c r="GG30" i="1"/>
  <c r="GM30" i="1" s="1"/>
  <c r="GB30" i="1"/>
  <c r="GA30" i="1"/>
  <c r="FV30" i="1"/>
  <c r="FQ30" i="1"/>
  <c r="FG30" i="1"/>
  <c r="DU30" i="1"/>
  <c r="DT30" i="1"/>
  <c r="DS30" i="1"/>
  <c r="DR30" i="1"/>
  <c r="DQ30" i="1"/>
  <c r="DL30" i="1"/>
  <c r="DG30" i="1"/>
  <c r="DB30" i="1"/>
  <c r="DV30" i="1" s="1"/>
  <c r="CW30" i="1"/>
  <c r="CR30" i="1"/>
  <c r="CM30" i="1"/>
  <c r="CS30" i="1" s="1"/>
  <c r="CH30" i="1"/>
  <c r="BZ30" i="1"/>
  <c r="BY30" i="1"/>
  <c r="BW30" i="1"/>
  <c r="BX30" i="1" s="1"/>
  <c r="BR30" i="1"/>
  <c r="BQ30" i="1"/>
  <c r="BL30" i="1"/>
  <c r="BK30" i="1"/>
  <c r="CA30" i="1" s="1"/>
  <c r="BE30" i="1"/>
  <c r="BF30" i="1" s="1"/>
  <c r="AY30" i="1"/>
  <c r="AV30" i="1"/>
  <c r="AU30" i="1"/>
  <c r="AM30" i="1"/>
  <c r="AK30" i="1"/>
  <c r="AI30" i="1"/>
  <c r="AG30" i="1"/>
  <c r="AE30" i="1"/>
  <c r="AC30" i="1"/>
  <c r="AA30" i="1"/>
  <c r="Y30" i="1"/>
  <c r="W30" i="1"/>
  <c r="U30" i="1"/>
  <c r="R30" i="1"/>
  <c r="M30" i="1"/>
  <c r="S30" i="1" s="1"/>
  <c r="HN29" i="1"/>
  <c r="HK29" i="1"/>
  <c r="HJ29" i="1"/>
  <c r="HA29" i="1"/>
  <c r="GW29" i="1"/>
  <c r="GR29" i="1"/>
  <c r="GL29" i="1"/>
  <c r="GG29" i="1"/>
  <c r="GM29" i="1" s="1"/>
  <c r="GX29" i="1" s="1"/>
  <c r="GA29" i="1"/>
  <c r="FV29" i="1"/>
  <c r="GB29" i="1" s="1"/>
  <c r="FQ29" i="1"/>
  <c r="FG29" i="1"/>
  <c r="DU29" i="1"/>
  <c r="DT29" i="1"/>
  <c r="DS29" i="1"/>
  <c r="DR29" i="1"/>
  <c r="DQ29" i="1"/>
  <c r="DL29" i="1"/>
  <c r="DG29" i="1"/>
  <c r="DB29" i="1"/>
  <c r="DV29" i="1" s="1"/>
  <c r="CW29" i="1"/>
  <c r="CS29" i="1"/>
  <c r="CR29" i="1"/>
  <c r="CM29" i="1"/>
  <c r="CH29" i="1"/>
  <c r="BZ29" i="1"/>
  <c r="BY29" i="1"/>
  <c r="BX29" i="1"/>
  <c r="BW29" i="1"/>
  <c r="BQ29" i="1"/>
  <c r="BR29" i="1" s="1"/>
  <c r="BL29" i="1"/>
  <c r="BK29" i="1"/>
  <c r="BE29" i="1"/>
  <c r="CA29" i="1" s="1"/>
  <c r="AY29" i="1"/>
  <c r="AU29" i="1"/>
  <c r="AV29" i="1" s="1"/>
  <c r="AM29" i="1"/>
  <c r="AK29" i="1"/>
  <c r="AI29" i="1"/>
  <c r="AG29" i="1"/>
  <c r="AE29" i="1"/>
  <c r="AC29" i="1"/>
  <c r="AA29" i="1"/>
  <c r="Y29" i="1"/>
  <c r="W29" i="1"/>
  <c r="U29" i="1"/>
  <c r="R29" i="1"/>
  <c r="M29" i="1"/>
  <c r="S29" i="1" s="1"/>
  <c r="AW29" i="1" s="1"/>
  <c r="HN28" i="1"/>
  <c r="HK28" i="1"/>
  <c r="HJ28" i="1"/>
  <c r="HA28" i="1"/>
  <c r="GW28" i="1"/>
  <c r="GR28" i="1"/>
  <c r="GL28" i="1"/>
  <c r="GG28" i="1"/>
  <c r="GM28" i="1" s="1"/>
  <c r="GX28" i="1" s="1"/>
  <c r="GA28" i="1"/>
  <c r="FV28" i="1"/>
  <c r="GB28" i="1" s="1"/>
  <c r="FQ28" i="1"/>
  <c r="FG28" i="1"/>
  <c r="DU28" i="1"/>
  <c r="DT28" i="1"/>
  <c r="DS28" i="1"/>
  <c r="DR28" i="1"/>
  <c r="DQ28" i="1"/>
  <c r="DL28" i="1"/>
  <c r="DG28" i="1"/>
  <c r="DB28" i="1"/>
  <c r="DV28" i="1" s="1"/>
  <c r="CW28" i="1"/>
  <c r="CR28" i="1"/>
  <c r="CM28" i="1"/>
  <c r="CS28" i="1" s="1"/>
  <c r="CH28" i="1"/>
  <c r="BZ28" i="1"/>
  <c r="BY28" i="1"/>
  <c r="BX28" i="1"/>
  <c r="BW28" i="1"/>
  <c r="BR28" i="1"/>
  <c r="BQ28" i="1"/>
  <c r="BK28" i="1"/>
  <c r="BL28" i="1" s="1"/>
  <c r="BE28" i="1"/>
  <c r="CA28" i="1" s="1"/>
  <c r="AY28" i="1"/>
  <c r="AV28" i="1"/>
  <c r="AU28" i="1"/>
  <c r="AM28" i="1"/>
  <c r="AK28" i="1"/>
  <c r="AI28" i="1"/>
  <c r="AG28" i="1"/>
  <c r="AE28" i="1"/>
  <c r="AC28" i="1"/>
  <c r="AA28" i="1"/>
  <c r="Y28" i="1"/>
  <c r="W28" i="1"/>
  <c r="U28" i="1"/>
  <c r="R28" i="1"/>
  <c r="M28" i="1"/>
  <c r="S28" i="1" s="1"/>
  <c r="AW28" i="1" s="1"/>
  <c r="HN27" i="1"/>
  <c r="HK27" i="1"/>
  <c r="D82" i="3" s="1"/>
  <c r="HJ27" i="1"/>
  <c r="HA27" i="1"/>
  <c r="GW27" i="1"/>
  <c r="GR27" i="1"/>
  <c r="GX27" i="1" s="1"/>
  <c r="GM27" i="1"/>
  <c r="GL27" i="1"/>
  <c r="GG27" i="1"/>
  <c r="GA27" i="1"/>
  <c r="FV27" i="1"/>
  <c r="GB27" i="1" s="1"/>
  <c r="FQ27" i="1"/>
  <c r="FG27" i="1"/>
  <c r="D81" i="3" s="1"/>
  <c r="DU27" i="1"/>
  <c r="DT27" i="1"/>
  <c r="DS27" i="1"/>
  <c r="DR27" i="1"/>
  <c r="DQ27" i="1"/>
  <c r="DL27" i="1"/>
  <c r="DG27" i="1"/>
  <c r="DB27" i="1"/>
  <c r="DV27" i="1" s="1"/>
  <c r="CW27" i="1"/>
  <c r="CR27" i="1"/>
  <c r="CM27" i="1"/>
  <c r="CS27" i="1" s="1"/>
  <c r="CH27" i="1"/>
  <c r="BZ27" i="1"/>
  <c r="BY27" i="1"/>
  <c r="BW27" i="1"/>
  <c r="BX27" i="1" s="1"/>
  <c r="BR27" i="1"/>
  <c r="BQ27" i="1"/>
  <c r="BK27" i="1"/>
  <c r="BL27" i="1" s="1"/>
  <c r="BF27" i="1"/>
  <c r="CB27" i="1" s="1"/>
  <c r="BE27" i="1"/>
  <c r="AY27" i="1"/>
  <c r="AV27" i="1"/>
  <c r="AU27" i="1"/>
  <c r="AM27" i="1"/>
  <c r="AK27" i="1"/>
  <c r="AI27" i="1"/>
  <c r="AG27" i="1"/>
  <c r="AE27" i="1"/>
  <c r="AC27" i="1"/>
  <c r="AA27" i="1"/>
  <c r="Y27" i="1"/>
  <c r="W27" i="1"/>
  <c r="U27" i="1"/>
  <c r="S27" i="1"/>
  <c r="R27" i="1"/>
  <c r="M27" i="1"/>
  <c r="HN26" i="1"/>
  <c r="HK26" i="1"/>
  <c r="HJ26" i="1"/>
  <c r="HA26" i="1"/>
  <c r="GW26" i="1"/>
  <c r="GR26" i="1"/>
  <c r="GL26" i="1"/>
  <c r="GG26" i="1"/>
  <c r="GM26" i="1" s="1"/>
  <c r="GX26" i="1" s="1"/>
  <c r="GB26" i="1"/>
  <c r="GA26" i="1"/>
  <c r="FV26" i="1"/>
  <c r="FQ26" i="1"/>
  <c r="FG26" i="1"/>
  <c r="DU26" i="1"/>
  <c r="DT26" i="1"/>
  <c r="DS26" i="1"/>
  <c r="DR26" i="1"/>
  <c r="DQ26" i="1"/>
  <c r="DL26" i="1"/>
  <c r="DG26" i="1"/>
  <c r="DB26" i="1"/>
  <c r="DV26" i="1" s="1"/>
  <c r="CW26" i="1"/>
  <c r="CS26" i="1"/>
  <c r="CR26" i="1"/>
  <c r="CM26" i="1"/>
  <c r="CH26" i="1"/>
  <c r="BZ26" i="1"/>
  <c r="BY26" i="1"/>
  <c r="BX26" i="1"/>
  <c r="BW26" i="1"/>
  <c r="BQ26" i="1"/>
  <c r="BR26" i="1" s="1"/>
  <c r="BK26" i="1"/>
  <c r="CA26" i="1" s="1"/>
  <c r="BF26" i="1"/>
  <c r="BE26" i="1"/>
  <c r="AY26" i="1"/>
  <c r="AU26" i="1"/>
  <c r="AV26" i="1" s="1"/>
  <c r="AM26" i="1"/>
  <c r="AK26" i="1"/>
  <c r="AI26" i="1"/>
  <c r="AG26" i="1"/>
  <c r="AE26" i="1"/>
  <c r="AC26" i="1"/>
  <c r="AA26" i="1"/>
  <c r="Y26" i="1"/>
  <c r="W26" i="1"/>
  <c r="U26" i="1"/>
  <c r="R26" i="1"/>
  <c r="M26" i="1"/>
  <c r="S26" i="1" s="1"/>
  <c r="AW26" i="1" s="1"/>
  <c r="HN25" i="1"/>
  <c r="HK25" i="1"/>
  <c r="HJ25" i="1"/>
  <c r="HA25" i="1"/>
  <c r="GW25" i="1"/>
  <c r="GR25" i="1"/>
  <c r="GL25" i="1"/>
  <c r="GG25" i="1"/>
  <c r="GM25" i="1" s="1"/>
  <c r="GA25" i="1"/>
  <c r="FV25" i="1"/>
  <c r="GB25" i="1" s="1"/>
  <c r="G21" i="2" s="1"/>
  <c r="FQ25" i="1"/>
  <c r="FG25" i="1"/>
  <c r="DU25" i="1"/>
  <c r="DT25" i="1"/>
  <c r="DS25" i="1"/>
  <c r="DR25" i="1"/>
  <c r="DQ25" i="1"/>
  <c r="DL25" i="1"/>
  <c r="DG25" i="1"/>
  <c r="DB25" i="1"/>
  <c r="DV25" i="1" s="1"/>
  <c r="CW25" i="1"/>
  <c r="CS25" i="1"/>
  <c r="CR25" i="1"/>
  <c r="CM25" i="1"/>
  <c r="CH25" i="1"/>
  <c r="BZ25" i="1"/>
  <c r="BY25" i="1"/>
  <c r="BX25" i="1"/>
  <c r="BW25" i="1"/>
  <c r="BQ25" i="1"/>
  <c r="BR25" i="1" s="1"/>
  <c r="BL25" i="1"/>
  <c r="BK25" i="1"/>
  <c r="BE25" i="1"/>
  <c r="CA25" i="1" s="1"/>
  <c r="G25" i="2" s="1"/>
  <c r="AY25" i="1"/>
  <c r="AU25" i="1"/>
  <c r="G20" i="2" s="1"/>
  <c r="AM25" i="1"/>
  <c r="AK25" i="1"/>
  <c r="AI25" i="1"/>
  <c r="AG25" i="1"/>
  <c r="AE25" i="1"/>
  <c r="AC25" i="1"/>
  <c r="AA25" i="1"/>
  <c r="Y25" i="1"/>
  <c r="W25" i="1"/>
  <c r="U25" i="1"/>
  <c r="R25" i="1"/>
  <c r="M25" i="1"/>
  <c r="S25" i="1" s="1"/>
  <c r="HN23" i="1"/>
  <c r="HK23" i="1"/>
  <c r="HJ23" i="1"/>
  <c r="HA23" i="1"/>
  <c r="GW23" i="1"/>
  <c r="GR23" i="1"/>
  <c r="GM23" i="1"/>
  <c r="GX23" i="1" s="1"/>
  <c r="GL23" i="1"/>
  <c r="GG23" i="1"/>
  <c r="GA23" i="1"/>
  <c r="FV23" i="1"/>
  <c r="GB23" i="1" s="1"/>
  <c r="FQ23" i="1"/>
  <c r="FG23" i="1"/>
  <c r="DU23" i="1"/>
  <c r="DT23" i="1"/>
  <c r="DS23" i="1"/>
  <c r="DR23" i="1"/>
  <c r="DQ23" i="1"/>
  <c r="DL23" i="1"/>
  <c r="DG23" i="1"/>
  <c r="DB23" i="1"/>
  <c r="DV23" i="1" s="1"/>
  <c r="CW23" i="1"/>
  <c r="CR23" i="1"/>
  <c r="CM23" i="1"/>
  <c r="CS23" i="1" s="1"/>
  <c r="CH23" i="1"/>
  <c r="BZ23" i="1"/>
  <c r="BY23" i="1"/>
  <c r="BW23" i="1"/>
  <c r="BX23" i="1" s="1"/>
  <c r="BQ23" i="1"/>
  <c r="BR23" i="1" s="1"/>
  <c r="BL23" i="1"/>
  <c r="BK23" i="1"/>
  <c r="BF23" i="1"/>
  <c r="CB23" i="1" s="1"/>
  <c r="BE23" i="1"/>
  <c r="CA23" i="1" s="1"/>
  <c r="AY23" i="1"/>
  <c r="AU23" i="1"/>
  <c r="AV23" i="1" s="1"/>
  <c r="AM23" i="1"/>
  <c r="AK23" i="1"/>
  <c r="AI23" i="1"/>
  <c r="AG23" i="1"/>
  <c r="AE23" i="1"/>
  <c r="AC23" i="1"/>
  <c r="AA23" i="1"/>
  <c r="Y23" i="1"/>
  <c r="W23" i="1"/>
  <c r="U23" i="1"/>
  <c r="S23" i="1"/>
  <c r="AW23" i="1" s="1"/>
  <c r="R23" i="1"/>
  <c r="M23" i="1"/>
  <c r="HN22" i="1"/>
  <c r="HK22" i="1"/>
  <c r="HJ22" i="1"/>
  <c r="HA22" i="1"/>
  <c r="GW22" i="1"/>
  <c r="GR22" i="1"/>
  <c r="GM22" i="1"/>
  <c r="GX22" i="1" s="1"/>
  <c r="GL22" i="1"/>
  <c r="GG22" i="1"/>
  <c r="GB22" i="1"/>
  <c r="GA22" i="1"/>
  <c r="FV22" i="1"/>
  <c r="FQ22" i="1"/>
  <c r="FG22" i="1"/>
  <c r="DU22" i="1"/>
  <c r="DT22" i="1"/>
  <c r="DS22" i="1"/>
  <c r="DR22" i="1"/>
  <c r="DQ22" i="1"/>
  <c r="DL22" i="1"/>
  <c r="DG22" i="1"/>
  <c r="DB22" i="1"/>
  <c r="DV22" i="1" s="1"/>
  <c r="CW22" i="1"/>
  <c r="CR22" i="1"/>
  <c r="CM22" i="1"/>
  <c r="CS22" i="1" s="1"/>
  <c r="CH22" i="1"/>
  <c r="BZ22" i="1"/>
  <c r="BY22" i="1"/>
  <c r="BW22" i="1"/>
  <c r="BX22" i="1" s="1"/>
  <c r="BR22" i="1"/>
  <c r="BQ22" i="1"/>
  <c r="BK22" i="1"/>
  <c r="BL22" i="1" s="1"/>
  <c r="BF22" i="1"/>
  <c r="BE22" i="1"/>
  <c r="CA22" i="1" s="1"/>
  <c r="AY22" i="1"/>
  <c r="AW22" i="1"/>
  <c r="AV22" i="1"/>
  <c r="AU22" i="1"/>
  <c r="AM22" i="1"/>
  <c r="AK22" i="1"/>
  <c r="AI22" i="1"/>
  <c r="AG22" i="1"/>
  <c r="AE22" i="1"/>
  <c r="AC22" i="1"/>
  <c r="AA22" i="1"/>
  <c r="Y22" i="1"/>
  <c r="W22" i="1"/>
  <c r="U22" i="1"/>
  <c r="S22" i="1"/>
  <c r="R22" i="1"/>
  <c r="M22" i="1"/>
  <c r="HN21" i="1"/>
  <c r="HK21" i="1"/>
  <c r="HJ21" i="1"/>
  <c r="HA21" i="1"/>
  <c r="GW21" i="1"/>
  <c r="GR21" i="1"/>
  <c r="GL21" i="1"/>
  <c r="GG21" i="1"/>
  <c r="GM21" i="1" s="1"/>
  <c r="GB21" i="1"/>
  <c r="GA21" i="1"/>
  <c r="FV21" i="1"/>
  <c r="FQ21" i="1"/>
  <c r="FG21" i="1"/>
  <c r="DU21" i="1"/>
  <c r="DT21" i="1"/>
  <c r="DS21" i="1"/>
  <c r="DR21" i="1"/>
  <c r="DQ21" i="1"/>
  <c r="DL21" i="1"/>
  <c r="DG21" i="1"/>
  <c r="DB21" i="1"/>
  <c r="DV21" i="1" s="1"/>
  <c r="F26" i="2" s="1"/>
  <c r="CW21" i="1"/>
  <c r="CR21" i="1"/>
  <c r="CM21" i="1"/>
  <c r="CS21" i="1" s="1"/>
  <c r="CH21" i="1"/>
  <c r="BZ21" i="1"/>
  <c r="BY21" i="1"/>
  <c r="BW21" i="1"/>
  <c r="BX21" i="1" s="1"/>
  <c r="BR21" i="1"/>
  <c r="BQ21" i="1"/>
  <c r="BL21" i="1"/>
  <c r="BK21" i="1"/>
  <c r="CA21" i="1" s="1"/>
  <c r="F25" i="2" s="1"/>
  <c r="BE21" i="1"/>
  <c r="BF21" i="1" s="1"/>
  <c r="AY21" i="1"/>
  <c r="AV21" i="1"/>
  <c r="AU21" i="1"/>
  <c r="AM21" i="1"/>
  <c r="AK21" i="1"/>
  <c r="AI21" i="1"/>
  <c r="AG21" i="1"/>
  <c r="AE21" i="1"/>
  <c r="AC21" i="1"/>
  <c r="AA21" i="1"/>
  <c r="Y21" i="1"/>
  <c r="W21" i="1"/>
  <c r="U21" i="1"/>
  <c r="R21" i="1"/>
  <c r="M21" i="1"/>
  <c r="S21" i="1" s="1"/>
  <c r="HN20" i="1"/>
  <c r="HK20" i="1"/>
  <c r="HJ20" i="1"/>
  <c r="HA20" i="1"/>
  <c r="GW20" i="1"/>
  <c r="GR20" i="1"/>
  <c r="GL20" i="1"/>
  <c r="GG20" i="1"/>
  <c r="GM20" i="1" s="1"/>
  <c r="GX20" i="1" s="1"/>
  <c r="GA20" i="1"/>
  <c r="FV20" i="1"/>
  <c r="GB20" i="1" s="1"/>
  <c r="FQ20" i="1"/>
  <c r="FG20" i="1"/>
  <c r="DU20" i="1"/>
  <c r="DT20" i="1"/>
  <c r="DS20" i="1"/>
  <c r="DR20" i="1"/>
  <c r="DQ20" i="1"/>
  <c r="DL20" i="1"/>
  <c r="DG20" i="1"/>
  <c r="DB20" i="1"/>
  <c r="DV20" i="1" s="1"/>
  <c r="CW20" i="1"/>
  <c r="CS20" i="1"/>
  <c r="CR20" i="1"/>
  <c r="CM20" i="1"/>
  <c r="CH20" i="1"/>
  <c r="BZ20" i="1"/>
  <c r="BY20" i="1"/>
  <c r="BX20" i="1"/>
  <c r="BW20" i="1"/>
  <c r="BQ20" i="1"/>
  <c r="BR20" i="1" s="1"/>
  <c r="BL20" i="1"/>
  <c r="BK20" i="1"/>
  <c r="BE20" i="1"/>
  <c r="CA20" i="1" s="1"/>
  <c r="AY20" i="1"/>
  <c r="AU20" i="1"/>
  <c r="AV20" i="1" s="1"/>
  <c r="AM20" i="1"/>
  <c r="AK20" i="1"/>
  <c r="AI20" i="1"/>
  <c r="AG20" i="1"/>
  <c r="AE20" i="1"/>
  <c r="AC20" i="1"/>
  <c r="AA20" i="1"/>
  <c r="Y20" i="1"/>
  <c r="W20" i="1"/>
  <c r="U20" i="1"/>
  <c r="R20" i="1"/>
  <c r="M20" i="1"/>
  <c r="S20" i="1" s="1"/>
  <c r="AW20" i="1" s="1"/>
  <c r="HN19" i="1"/>
  <c r="HK19" i="1"/>
  <c r="HJ19" i="1"/>
  <c r="HA19" i="1"/>
  <c r="GW19" i="1"/>
  <c r="GR19" i="1"/>
  <c r="GL19" i="1"/>
  <c r="GG19" i="1"/>
  <c r="GM19" i="1" s="1"/>
  <c r="GX19" i="1" s="1"/>
  <c r="GA19" i="1"/>
  <c r="FV19" i="1"/>
  <c r="GB19" i="1" s="1"/>
  <c r="FQ19" i="1"/>
  <c r="FG19" i="1"/>
  <c r="DU19" i="1"/>
  <c r="DT19" i="1"/>
  <c r="DS19" i="1"/>
  <c r="DR19" i="1"/>
  <c r="DQ19" i="1"/>
  <c r="DL19" i="1"/>
  <c r="DG19" i="1"/>
  <c r="DB19" i="1"/>
  <c r="DV19" i="1" s="1"/>
  <c r="CW19" i="1"/>
  <c r="CR19" i="1"/>
  <c r="CM19" i="1"/>
  <c r="CS19" i="1" s="1"/>
  <c r="CH19" i="1"/>
  <c r="BZ19" i="1"/>
  <c r="BY19" i="1"/>
  <c r="BX19" i="1"/>
  <c r="BW19" i="1"/>
  <c r="BR19" i="1"/>
  <c r="BQ19" i="1"/>
  <c r="BK19" i="1"/>
  <c r="BL19" i="1" s="1"/>
  <c r="BE19" i="1"/>
  <c r="CA19" i="1" s="1"/>
  <c r="AY19" i="1"/>
  <c r="AV19" i="1"/>
  <c r="AU19" i="1"/>
  <c r="AM19" i="1"/>
  <c r="AK19" i="1"/>
  <c r="AI19" i="1"/>
  <c r="AG19" i="1"/>
  <c r="AE19" i="1"/>
  <c r="AC19" i="1"/>
  <c r="AA19" i="1"/>
  <c r="Y19" i="1"/>
  <c r="W19" i="1"/>
  <c r="U19" i="1"/>
  <c r="R19" i="1"/>
  <c r="M19" i="1"/>
  <c r="S19" i="1" s="1"/>
  <c r="AW19" i="1" s="1"/>
  <c r="HN18" i="1"/>
  <c r="HK18" i="1"/>
  <c r="HJ18" i="1"/>
  <c r="HA18" i="1"/>
  <c r="GW18" i="1"/>
  <c r="GR18" i="1"/>
  <c r="GX18" i="1" s="1"/>
  <c r="GM18" i="1"/>
  <c r="GL18" i="1"/>
  <c r="GG18" i="1"/>
  <c r="GA18" i="1"/>
  <c r="FV18" i="1"/>
  <c r="GB18" i="1" s="1"/>
  <c r="FQ18" i="1"/>
  <c r="FG18" i="1"/>
  <c r="DU18" i="1"/>
  <c r="DT18" i="1"/>
  <c r="DS18" i="1"/>
  <c r="DR18" i="1"/>
  <c r="DQ18" i="1"/>
  <c r="DL18" i="1"/>
  <c r="DG18" i="1"/>
  <c r="DB18" i="1"/>
  <c r="DV18" i="1" s="1"/>
  <c r="E26" i="2" s="1"/>
  <c r="CW18" i="1"/>
  <c r="CR18" i="1"/>
  <c r="CM18" i="1"/>
  <c r="CS18" i="1" s="1"/>
  <c r="E24" i="2" s="1"/>
  <c r="CH18" i="1"/>
  <c r="BZ18" i="1"/>
  <c r="BY18" i="1"/>
  <c r="BW18" i="1"/>
  <c r="BX18" i="1" s="1"/>
  <c r="BR18" i="1"/>
  <c r="BQ18" i="1"/>
  <c r="BK18" i="1"/>
  <c r="BL18" i="1" s="1"/>
  <c r="BF18" i="1"/>
  <c r="BE18" i="1"/>
  <c r="AY18" i="1"/>
  <c r="AV18" i="1"/>
  <c r="AU18" i="1"/>
  <c r="E20" i="2" s="1"/>
  <c r="AM18" i="1"/>
  <c r="AK18" i="1"/>
  <c r="AI18" i="1"/>
  <c r="AG18" i="1"/>
  <c r="AE18" i="1"/>
  <c r="AC18" i="1"/>
  <c r="AA18" i="1"/>
  <c r="Y18" i="1"/>
  <c r="W18" i="1"/>
  <c r="U18" i="1"/>
  <c r="E19" i="2" s="1"/>
  <c r="S18" i="1"/>
  <c r="AW18" i="1" s="1"/>
  <c r="R18" i="1"/>
  <c r="M18" i="1"/>
  <c r="HN17" i="1"/>
  <c r="HK17" i="1"/>
  <c r="HJ17" i="1"/>
  <c r="HA17" i="1"/>
  <c r="GW17" i="1"/>
  <c r="GR17" i="1"/>
  <c r="GL17" i="1"/>
  <c r="GG17" i="1"/>
  <c r="GM17" i="1" s="1"/>
  <c r="GX17" i="1" s="1"/>
  <c r="GB17" i="1"/>
  <c r="GA17" i="1"/>
  <c r="FV17" i="1"/>
  <c r="FQ17" i="1"/>
  <c r="FG17" i="1"/>
  <c r="DU17" i="1"/>
  <c r="DT17" i="1"/>
  <c r="DS17" i="1"/>
  <c r="DR17" i="1"/>
  <c r="DQ17" i="1"/>
  <c r="DL17" i="1"/>
  <c r="DG17" i="1"/>
  <c r="DB17" i="1"/>
  <c r="DV17" i="1" s="1"/>
  <c r="CW17" i="1"/>
  <c r="CS17" i="1"/>
  <c r="CR17" i="1"/>
  <c r="CM17" i="1"/>
  <c r="CH17" i="1"/>
  <c r="BZ17" i="1"/>
  <c r="BY17" i="1"/>
  <c r="BX17" i="1"/>
  <c r="BW17" i="1"/>
  <c r="BQ17" i="1"/>
  <c r="BR17" i="1" s="1"/>
  <c r="BK17" i="1"/>
  <c r="CA17" i="1" s="1"/>
  <c r="BF17" i="1"/>
  <c r="BE17" i="1"/>
  <c r="AY17" i="1"/>
  <c r="AU17" i="1"/>
  <c r="AV17" i="1" s="1"/>
  <c r="AM17" i="1"/>
  <c r="AK17" i="1"/>
  <c r="AI17" i="1"/>
  <c r="AG17" i="1"/>
  <c r="AE17" i="1"/>
  <c r="AC17" i="1"/>
  <c r="AA17" i="1"/>
  <c r="Y17" i="1"/>
  <c r="W17" i="1"/>
  <c r="U17" i="1"/>
  <c r="R17" i="1"/>
  <c r="M17" i="1"/>
  <c r="S17" i="1" s="1"/>
  <c r="AW17" i="1" s="1"/>
  <c r="HN16" i="1"/>
  <c r="HK16" i="1"/>
  <c r="HJ16" i="1"/>
  <c r="HA16" i="1"/>
  <c r="GW16" i="1"/>
  <c r="GR16" i="1"/>
  <c r="GL16" i="1"/>
  <c r="GG16" i="1"/>
  <c r="GM16" i="1" s="1"/>
  <c r="GX16" i="1" s="1"/>
  <c r="GA16" i="1"/>
  <c r="FV16" i="1"/>
  <c r="GB16" i="1" s="1"/>
  <c r="FQ16" i="1"/>
  <c r="FG16" i="1"/>
  <c r="DU16" i="1"/>
  <c r="DT16" i="1"/>
  <c r="DS16" i="1"/>
  <c r="DR16" i="1"/>
  <c r="DQ16" i="1"/>
  <c r="DL16" i="1"/>
  <c r="DG16" i="1"/>
  <c r="DB16" i="1"/>
  <c r="DV16" i="1" s="1"/>
  <c r="CW16" i="1"/>
  <c r="CS16" i="1"/>
  <c r="CR16" i="1"/>
  <c r="CM16" i="1"/>
  <c r="CH16" i="1"/>
  <c r="BZ16" i="1"/>
  <c r="BY16" i="1"/>
  <c r="BX16" i="1"/>
  <c r="BW16" i="1"/>
  <c r="BQ16" i="1"/>
  <c r="BR16" i="1" s="1"/>
  <c r="BL16" i="1"/>
  <c r="BK16" i="1"/>
  <c r="BE16" i="1"/>
  <c r="CA16" i="1" s="1"/>
  <c r="AY16" i="1"/>
  <c r="AU16" i="1"/>
  <c r="AV16" i="1" s="1"/>
  <c r="AM16" i="1"/>
  <c r="AK16" i="1"/>
  <c r="AI16" i="1"/>
  <c r="AG16" i="1"/>
  <c r="AE16" i="1"/>
  <c r="AC16" i="1"/>
  <c r="AA16" i="1"/>
  <c r="Y16" i="1"/>
  <c r="W16" i="1"/>
  <c r="U16" i="1"/>
  <c r="R16" i="1"/>
  <c r="M16" i="1"/>
  <c r="S16" i="1" s="1"/>
  <c r="AW16" i="1" s="1"/>
  <c r="HN15" i="1"/>
  <c r="HK15" i="1"/>
  <c r="HJ15" i="1"/>
  <c r="HA15" i="1"/>
  <c r="GW15" i="1"/>
  <c r="GR15" i="1"/>
  <c r="GM15" i="1"/>
  <c r="GL15" i="1"/>
  <c r="GG15" i="1"/>
  <c r="GA15" i="1"/>
  <c r="FV15" i="1"/>
  <c r="GB15" i="1" s="1"/>
  <c r="FQ15" i="1"/>
  <c r="FG15" i="1"/>
  <c r="DU15" i="1"/>
  <c r="DT15" i="1"/>
  <c r="DS15" i="1"/>
  <c r="DR15" i="1"/>
  <c r="DQ15" i="1"/>
  <c r="DL15" i="1"/>
  <c r="DG15" i="1"/>
  <c r="DB15" i="1"/>
  <c r="DV15" i="1" s="1"/>
  <c r="CW15" i="1"/>
  <c r="CR15" i="1"/>
  <c r="CM15" i="1"/>
  <c r="CS15" i="1" s="1"/>
  <c r="CH15" i="1"/>
  <c r="BZ15" i="1"/>
  <c r="BY15" i="1"/>
  <c r="BW15" i="1"/>
  <c r="BX15" i="1" s="1"/>
  <c r="BQ15" i="1"/>
  <c r="BR15" i="1" s="1"/>
  <c r="BL15" i="1"/>
  <c r="BK15" i="1"/>
  <c r="BF15" i="1"/>
  <c r="BE15" i="1"/>
  <c r="CA15" i="1" s="1"/>
  <c r="AY15" i="1"/>
  <c r="AU15" i="1"/>
  <c r="AM15" i="1"/>
  <c r="AK15" i="1"/>
  <c r="AI15" i="1"/>
  <c r="AG15" i="1"/>
  <c r="AE15" i="1"/>
  <c r="AC15" i="1"/>
  <c r="AA15" i="1"/>
  <c r="Y15" i="1"/>
  <c r="W15" i="1"/>
  <c r="U15" i="1"/>
  <c r="S15" i="1"/>
  <c r="R15" i="1"/>
  <c r="M15" i="1"/>
  <c r="HN14" i="1"/>
  <c r="HK14" i="1"/>
  <c r="HJ14" i="1"/>
  <c r="HA14" i="1"/>
  <c r="GW14" i="1"/>
  <c r="GR14" i="1"/>
  <c r="GM14" i="1"/>
  <c r="GX14" i="1" s="1"/>
  <c r="GL14" i="1"/>
  <c r="GG14" i="1"/>
  <c r="GB14" i="1"/>
  <c r="GA14" i="1"/>
  <c r="FV14" i="1"/>
  <c r="FQ14" i="1"/>
  <c r="FG14" i="1"/>
  <c r="DU14" i="1"/>
  <c r="DT14" i="1"/>
  <c r="DS14" i="1"/>
  <c r="DR14" i="1"/>
  <c r="DQ14" i="1"/>
  <c r="DL14" i="1"/>
  <c r="DG14" i="1"/>
  <c r="DB14" i="1"/>
  <c r="DV14" i="1" s="1"/>
  <c r="CW14" i="1"/>
  <c r="CR14" i="1"/>
  <c r="CM14" i="1"/>
  <c r="CS14" i="1" s="1"/>
  <c r="CH14" i="1"/>
  <c r="BZ14" i="1"/>
  <c r="BY14" i="1"/>
  <c r="BW14" i="1"/>
  <c r="BX14" i="1" s="1"/>
  <c r="BR14" i="1"/>
  <c r="BQ14" i="1"/>
  <c r="BK14" i="1"/>
  <c r="BL14" i="1" s="1"/>
  <c r="BF14" i="1"/>
  <c r="BE14" i="1"/>
  <c r="CA14" i="1" s="1"/>
  <c r="AY14" i="1"/>
  <c r="AW14" i="1"/>
  <c r="AV14" i="1"/>
  <c r="AU14" i="1"/>
  <c r="AM14" i="1"/>
  <c r="AK14" i="1"/>
  <c r="AI14" i="1"/>
  <c r="AG14" i="1"/>
  <c r="AE14" i="1"/>
  <c r="AC14" i="1"/>
  <c r="AA14" i="1"/>
  <c r="Y14" i="1"/>
  <c r="W14" i="1"/>
  <c r="U14" i="1"/>
  <c r="S14" i="1"/>
  <c r="R14" i="1"/>
  <c r="M14" i="1"/>
  <c r="HN13" i="1"/>
  <c r="HK13" i="1"/>
  <c r="HJ13" i="1"/>
  <c r="HA13" i="1"/>
  <c r="GW13" i="1"/>
  <c r="GR13" i="1"/>
  <c r="GL13" i="1"/>
  <c r="GG13" i="1"/>
  <c r="GM13" i="1" s="1"/>
  <c r="GB13" i="1"/>
  <c r="GA13" i="1"/>
  <c r="FV13" i="1"/>
  <c r="FQ13" i="1"/>
  <c r="FG13" i="1"/>
  <c r="DU13" i="1"/>
  <c r="DT13" i="1"/>
  <c r="DS13" i="1"/>
  <c r="DR13" i="1"/>
  <c r="DQ13" i="1"/>
  <c r="DL13" i="1"/>
  <c r="DG13" i="1"/>
  <c r="DB13" i="1"/>
  <c r="DV13" i="1" s="1"/>
  <c r="G13" i="2" s="1"/>
  <c r="CW13" i="1"/>
  <c r="CR13" i="1"/>
  <c r="CM13" i="1"/>
  <c r="CS13" i="1" s="1"/>
  <c r="CH13" i="1"/>
  <c r="BZ13" i="1"/>
  <c r="BY13" i="1"/>
  <c r="BW13" i="1"/>
  <c r="BX13" i="1" s="1"/>
  <c r="BR13" i="1"/>
  <c r="BQ13" i="1"/>
  <c r="BL13" i="1"/>
  <c r="BK13" i="1"/>
  <c r="CA13" i="1" s="1"/>
  <c r="BE13" i="1"/>
  <c r="BF13" i="1" s="1"/>
  <c r="AY13" i="1"/>
  <c r="AV13" i="1"/>
  <c r="AU13" i="1"/>
  <c r="G7" i="2" s="1"/>
  <c r="AM13" i="1"/>
  <c r="AK13" i="1"/>
  <c r="AI13" i="1"/>
  <c r="AG13" i="1"/>
  <c r="AE13" i="1"/>
  <c r="AC13" i="1"/>
  <c r="AA13" i="1"/>
  <c r="Y13" i="1"/>
  <c r="W13" i="1"/>
  <c r="U13" i="1"/>
  <c r="G6" i="2" s="1"/>
  <c r="R13" i="1"/>
  <c r="M13" i="1"/>
  <c r="S13" i="1" s="1"/>
  <c r="HN11" i="1"/>
  <c r="HK11" i="1"/>
  <c r="HJ11" i="1"/>
  <c r="HA11" i="1"/>
  <c r="GW11" i="1"/>
  <c r="GR11" i="1"/>
  <c r="GL11" i="1"/>
  <c r="GG11" i="1"/>
  <c r="GM11" i="1" s="1"/>
  <c r="GX11" i="1" s="1"/>
  <c r="GA11" i="1"/>
  <c r="FV11" i="1"/>
  <c r="GB11" i="1" s="1"/>
  <c r="FQ11" i="1"/>
  <c r="FG11" i="1"/>
  <c r="DU11" i="1"/>
  <c r="DT11" i="1"/>
  <c r="DS11" i="1"/>
  <c r="DR11" i="1"/>
  <c r="DQ11" i="1"/>
  <c r="DL11" i="1"/>
  <c r="DG11" i="1"/>
  <c r="DB11" i="1"/>
  <c r="DV11" i="1" s="1"/>
  <c r="CW11" i="1"/>
  <c r="CS11" i="1"/>
  <c r="CR11" i="1"/>
  <c r="CM11" i="1"/>
  <c r="CH11" i="1"/>
  <c r="BZ11" i="1"/>
  <c r="BY11" i="1"/>
  <c r="BX11" i="1"/>
  <c r="BW11" i="1"/>
  <c r="BQ11" i="1"/>
  <c r="BR11" i="1" s="1"/>
  <c r="BL11" i="1"/>
  <c r="BK11" i="1"/>
  <c r="BE11" i="1"/>
  <c r="CA11" i="1" s="1"/>
  <c r="AY11" i="1"/>
  <c r="AU11" i="1"/>
  <c r="AV11" i="1" s="1"/>
  <c r="AM11" i="1"/>
  <c r="AK11" i="1"/>
  <c r="AI11" i="1"/>
  <c r="AG11" i="1"/>
  <c r="AE11" i="1"/>
  <c r="AC11" i="1"/>
  <c r="AA11" i="1"/>
  <c r="Y11" i="1"/>
  <c r="W11" i="1"/>
  <c r="U11" i="1"/>
  <c r="R11" i="1"/>
  <c r="M11" i="1"/>
  <c r="S11" i="1" s="1"/>
  <c r="AW11" i="1" s="1"/>
  <c r="HN10" i="1"/>
  <c r="HK10" i="1"/>
  <c r="HJ10" i="1"/>
  <c r="HA10" i="1"/>
  <c r="GW10" i="1"/>
  <c r="GR10" i="1"/>
  <c r="GL10" i="1"/>
  <c r="GG10" i="1"/>
  <c r="GM10" i="1" s="1"/>
  <c r="GX10" i="1" s="1"/>
  <c r="GA10" i="1"/>
  <c r="FV10" i="1"/>
  <c r="GB10" i="1" s="1"/>
  <c r="FQ10" i="1"/>
  <c r="FG10" i="1"/>
  <c r="DU10" i="1"/>
  <c r="DT10" i="1"/>
  <c r="DS10" i="1"/>
  <c r="DR10" i="1"/>
  <c r="DQ10" i="1"/>
  <c r="DL10" i="1"/>
  <c r="DG10" i="1"/>
  <c r="DB10" i="1"/>
  <c r="DV10" i="1" s="1"/>
  <c r="CW10" i="1"/>
  <c r="CR10" i="1"/>
  <c r="CM10" i="1"/>
  <c r="CS10" i="1" s="1"/>
  <c r="CH10" i="1"/>
  <c r="BZ10" i="1"/>
  <c r="BY10" i="1"/>
  <c r="BX10" i="1"/>
  <c r="BW10" i="1"/>
  <c r="BR10" i="1"/>
  <c r="BQ10" i="1"/>
  <c r="BK10" i="1"/>
  <c r="BL10" i="1" s="1"/>
  <c r="BE10" i="1"/>
  <c r="CA10" i="1" s="1"/>
  <c r="AY10" i="1"/>
  <c r="AV10" i="1"/>
  <c r="AU10" i="1"/>
  <c r="AM10" i="1"/>
  <c r="AK10" i="1"/>
  <c r="AI10" i="1"/>
  <c r="AG10" i="1"/>
  <c r="AE10" i="1"/>
  <c r="AC10" i="1"/>
  <c r="AA10" i="1"/>
  <c r="Y10" i="1"/>
  <c r="W10" i="1"/>
  <c r="U10" i="1"/>
  <c r="R10" i="1"/>
  <c r="M10" i="1"/>
  <c r="S10" i="1" s="1"/>
  <c r="AW10" i="1" s="1"/>
  <c r="HN9" i="1"/>
  <c r="HK9" i="1"/>
  <c r="HJ9" i="1"/>
  <c r="HA9" i="1"/>
  <c r="GW9" i="1"/>
  <c r="GR9" i="1"/>
  <c r="GX9" i="1" s="1"/>
  <c r="GM9" i="1"/>
  <c r="GL9" i="1"/>
  <c r="GG9" i="1"/>
  <c r="GA9" i="1"/>
  <c r="FV9" i="1"/>
  <c r="GB9" i="1" s="1"/>
  <c r="FQ9" i="1"/>
  <c r="FG9" i="1"/>
  <c r="DU9" i="1"/>
  <c r="DT9" i="1"/>
  <c r="DS9" i="1"/>
  <c r="DR9" i="1"/>
  <c r="DQ9" i="1"/>
  <c r="DL9" i="1"/>
  <c r="DG9" i="1"/>
  <c r="DB9" i="1"/>
  <c r="DV9" i="1" s="1"/>
  <c r="CW9" i="1"/>
  <c r="CR9" i="1"/>
  <c r="CM9" i="1"/>
  <c r="CS9" i="1" s="1"/>
  <c r="F11" i="2" s="1"/>
  <c r="CH9" i="1"/>
  <c r="BZ9" i="1"/>
  <c r="BY9" i="1"/>
  <c r="BW9" i="1"/>
  <c r="BX9" i="1" s="1"/>
  <c r="BR9" i="1"/>
  <c r="BQ9" i="1"/>
  <c r="BK9" i="1"/>
  <c r="CA9" i="1" s="1"/>
  <c r="BF9" i="1"/>
  <c r="BE9" i="1"/>
  <c r="AY9" i="1"/>
  <c r="AV9" i="1"/>
  <c r="AU9" i="1"/>
  <c r="F7" i="2" s="1"/>
  <c r="AM9" i="1"/>
  <c r="AK9" i="1"/>
  <c r="AI9" i="1"/>
  <c r="AG9" i="1"/>
  <c r="AE9" i="1"/>
  <c r="AC9" i="1"/>
  <c r="AA9" i="1"/>
  <c r="Y9" i="1"/>
  <c r="W9" i="1"/>
  <c r="U9" i="1"/>
  <c r="F6" i="2" s="1"/>
  <c r="S9" i="1"/>
  <c r="AW9" i="1" s="1"/>
  <c r="R9" i="1"/>
  <c r="M9" i="1"/>
  <c r="HN8" i="1"/>
  <c r="HK8" i="1"/>
  <c r="HJ8" i="1"/>
  <c r="HA8" i="1"/>
  <c r="GW8" i="1"/>
  <c r="GR8" i="1"/>
  <c r="GL8" i="1"/>
  <c r="GG8" i="1"/>
  <c r="GM8" i="1" s="1"/>
  <c r="GX8" i="1" s="1"/>
  <c r="GB8" i="1"/>
  <c r="GA8" i="1"/>
  <c r="FV8" i="1"/>
  <c r="FQ8" i="1"/>
  <c r="FG8" i="1"/>
  <c r="DU8" i="1"/>
  <c r="DT8" i="1"/>
  <c r="DS8" i="1"/>
  <c r="DR8" i="1"/>
  <c r="DQ8" i="1"/>
  <c r="DL8" i="1"/>
  <c r="DG8" i="1"/>
  <c r="DB8" i="1"/>
  <c r="DV8" i="1" s="1"/>
  <c r="CW8" i="1"/>
  <c r="CS8" i="1"/>
  <c r="CR8" i="1"/>
  <c r="CM8" i="1"/>
  <c r="CH8" i="1"/>
  <c r="BZ8" i="1"/>
  <c r="BY8" i="1"/>
  <c r="BX8" i="1"/>
  <c r="BW8" i="1"/>
  <c r="BQ8" i="1"/>
  <c r="BR8" i="1" s="1"/>
  <c r="BK8" i="1"/>
  <c r="BL8" i="1" s="1"/>
  <c r="BF8" i="1"/>
  <c r="BE8" i="1"/>
  <c r="AY8" i="1"/>
  <c r="AU8" i="1"/>
  <c r="AV8" i="1" s="1"/>
  <c r="AM8" i="1"/>
  <c r="AK8" i="1"/>
  <c r="AI8" i="1"/>
  <c r="AG8" i="1"/>
  <c r="AE8" i="1"/>
  <c r="AC8" i="1"/>
  <c r="AA8" i="1"/>
  <c r="Y8" i="1"/>
  <c r="W8" i="1"/>
  <c r="U8" i="1"/>
  <c r="R8" i="1"/>
  <c r="M8" i="1"/>
  <c r="S8" i="1" s="1"/>
  <c r="AW8" i="1" s="1"/>
  <c r="HN7" i="1"/>
  <c r="HK7" i="1"/>
  <c r="HJ7" i="1"/>
  <c r="HA7" i="1"/>
  <c r="GW7" i="1"/>
  <c r="GR7" i="1"/>
  <c r="GL7" i="1"/>
  <c r="GG7" i="1"/>
  <c r="GM7" i="1" s="1"/>
  <c r="GX7" i="1" s="1"/>
  <c r="GA7" i="1"/>
  <c r="FV7" i="1"/>
  <c r="GB7" i="1" s="1"/>
  <c r="FQ7" i="1"/>
  <c r="FG7" i="1"/>
  <c r="DU7" i="1"/>
  <c r="DT7" i="1"/>
  <c r="DS7" i="1"/>
  <c r="DR7" i="1"/>
  <c r="DQ7" i="1"/>
  <c r="DL7" i="1"/>
  <c r="DG7" i="1"/>
  <c r="DB7" i="1"/>
  <c r="DV7" i="1" s="1"/>
  <c r="CW7" i="1"/>
  <c r="CR7" i="1"/>
  <c r="CS7" i="1" s="1"/>
  <c r="CM7" i="1"/>
  <c r="CH7" i="1"/>
  <c r="BZ7" i="1"/>
  <c r="BY7" i="1"/>
  <c r="BW7" i="1"/>
  <c r="BX7" i="1" s="1"/>
  <c r="BQ7" i="1"/>
  <c r="BR7" i="1" s="1"/>
  <c r="BL7" i="1"/>
  <c r="BK7" i="1"/>
  <c r="BE7" i="1"/>
  <c r="CA7" i="1" s="1"/>
  <c r="AY7" i="1"/>
  <c r="AU7" i="1"/>
  <c r="AV7" i="1" s="1"/>
  <c r="AM7" i="1"/>
  <c r="AK7" i="1"/>
  <c r="AI7" i="1"/>
  <c r="AG7" i="1"/>
  <c r="AE7" i="1"/>
  <c r="AC7" i="1"/>
  <c r="AA7" i="1"/>
  <c r="Y7" i="1"/>
  <c r="W7" i="1"/>
  <c r="U7" i="1"/>
  <c r="R7" i="1"/>
  <c r="M7" i="1"/>
  <c r="S7" i="1" s="1"/>
  <c r="AW7" i="1" s="1"/>
  <c r="HN6" i="1"/>
  <c r="HK6" i="1"/>
  <c r="HJ6" i="1"/>
  <c r="HA6" i="1"/>
  <c r="GW6" i="1"/>
  <c r="GR6" i="1"/>
  <c r="GM6" i="1"/>
  <c r="GL6" i="1"/>
  <c r="GG6" i="1"/>
  <c r="GA6" i="1"/>
  <c r="FV6" i="1"/>
  <c r="GB6" i="1" s="1"/>
  <c r="E8" i="2" s="1"/>
  <c r="FQ6" i="1"/>
  <c r="FG6" i="1"/>
  <c r="DU6" i="1"/>
  <c r="DT6" i="1"/>
  <c r="DS6" i="1"/>
  <c r="DR6" i="1"/>
  <c r="DQ6" i="1"/>
  <c r="DL6" i="1"/>
  <c r="DG6" i="1"/>
  <c r="DB6" i="1"/>
  <c r="DV6" i="1" s="1"/>
  <c r="CW6" i="1"/>
  <c r="CR6" i="1"/>
  <c r="CM6" i="1"/>
  <c r="CS6" i="1" s="1"/>
  <c r="E11" i="2" s="1"/>
  <c r="CH6" i="1"/>
  <c r="BZ6" i="1"/>
  <c r="BY6" i="1"/>
  <c r="BW6" i="1"/>
  <c r="BX6" i="1" s="1"/>
  <c r="BQ6" i="1"/>
  <c r="BR6" i="1" s="1"/>
  <c r="BL6" i="1"/>
  <c r="BK6" i="1"/>
  <c r="BF6" i="1"/>
  <c r="CB6" i="1" s="1"/>
  <c r="BE6" i="1"/>
  <c r="CA6" i="1" s="1"/>
  <c r="AY6" i="1"/>
  <c r="AU6" i="1"/>
  <c r="AM6" i="1"/>
  <c r="AK6" i="1"/>
  <c r="AI6" i="1"/>
  <c r="AG6" i="1"/>
  <c r="AE6" i="1"/>
  <c r="AC6" i="1"/>
  <c r="AA6" i="1"/>
  <c r="Y6" i="1"/>
  <c r="W6" i="1"/>
  <c r="U6" i="1"/>
  <c r="S6" i="1"/>
  <c r="R6" i="1"/>
  <c r="M6" i="1"/>
  <c r="HN5" i="1"/>
  <c r="HK5" i="1"/>
  <c r="HJ5" i="1"/>
  <c r="HA5" i="1"/>
  <c r="GW5" i="1"/>
  <c r="GR5" i="1"/>
  <c r="GL5" i="1"/>
  <c r="GM5" i="1" s="1"/>
  <c r="GX5" i="1" s="1"/>
  <c r="GG5" i="1"/>
  <c r="GB5" i="1"/>
  <c r="GA5" i="1"/>
  <c r="FV5" i="1"/>
  <c r="FQ5" i="1"/>
  <c r="FG5" i="1"/>
  <c r="DU5" i="1"/>
  <c r="DT5" i="1"/>
  <c r="DS5" i="1"/>
  <c r="DR5" i="1"/>
  <c r="DQ5" i="1"/>
  <c r="DL5" i="1"/>
  <c r="DG5" i="1"/>
  <c r="DB5" i="1"/>
  <c r="DV5" i="1" s="1"/>
  <c r="CW5" i="1"/>
  <c r="CR5" i="1"/>
  <c r="CM5" i="1"/>
  <c r="CS5" i="1" s="1"/>
  <c r="CH5" i="1"/>
  <c r="BZ5" i="1"/>
  <c r="BY5" i="1"/>
  <c r="BW5" i="1"/>
  <c r="BX5" i="1" s="1"/>
  <c r="BR5" i="1"/>
  <c r="BQ5" i="1"/>
  <c r="BK5" i="1"/>
  <c r="BL5" i="1" s="1"/>
  <c r="BE5" i="1"/>
  <c r="CA5" i="1" s="1"/>
  <c r="AY5" i="1"/>
  <c r="AV5" i="1"/>
  <c r="AU5" i="1"/>
  <c r="AM5" i="1"/>
  <c r="AK5" i="1"/>
  <c r="AI5" i="1"/>
  <c r="AG5" i="1"/>
  <c r="AE5" i="1"/>
  <c r="AC5" i="1"/>
  <c r="AA5" i="1"/>
  <c r="Y5" i="1"/>
  <c r="W5" i="1"/>
  <c r="U5" i="1"/>
  <c r="R5" i="1"/>
  <c r="S5" i="1" s="1"/>
  <c r="AW5" i="1" s="1"/>
  <c r="M5" i="1"/>
  <c r="HN4" i="1"/>
  <c r="HK4" i="1"/>
  <c r="HJ4" i="1"/>
  <c r="HA4" i="1"/>
  <c r="GW4" i="1"/>
  <c r="GR4" i="1"/>
  <c r="GL4" i="1"/>
  <c r="GG4" i="1"/>
  <c r="GM4" i="1" s="1"/>
  <c r="GX4" i="1" s="1"/>
  <c r="GA4" i="1"/>
  <c r="GB4" i="1" s="1"/>
  <c r="FV4" i="1"/>
  <c r="FQ4" i="1"/>
  <c r="FG4" i="1"/>
  <c r="DU4" i="1"/>
  <c r="DT4" i="1"/>
  <c r="DS4" i="1"/>
  <c r="DR4" i="1"/>
  <c r="DQ4" i="1"/>
  <c r="DL4" i="1"/>
  <c r="DG4" i="1"/>
  <c r="DB4" i="1"/>
  <c r="DV4" i="1" s="1"/>
  <c r="CW4" i="1"/>
  <c r="CR4" i="1"/>
  <c r="CM4" i="1"/>
  <c r="CS4" i="1" s="1"/>
  <c r="CH4" i="1"/>
  <c r="BZ4" i="1"/>
  <c r="BY4" i="1"/>
  <c r="BW4" i="1"/>
  <c r="BX4" i="1" s="1"/>
  <c r="BR4" i="1"/>
  <c r="BQ4" i="1"/>
  <c r="BL4" i="1"/>
  <c r="BK4" i="1"/>
  <c r="CA4" i="1" s="1"/>
  <c r="BE4" i="1"/>
  <c r="BF4" i="1" s="1"/>
  <c r="AY4" i="1"/>
  <c r="AV4" i="1"/>
  <c r="AU4" i="1"/>
  <c r="AM4" i="1"/>
  <c r="AK4" i="1"/>
  <c r="AI4" i="1"/>
  <c r="AG4" i="1"/>
  <c r="AE4" i="1"/>
  <c r="AC4" i="1"/>
  <c r="AA4" i="1"/>
  <c r="Y4" i="1"/>
  <c r="W4" i="1"/>
  <c r="U4" i="1"/>
  <c r="R4" i="1"/>
  <c r="M4" i="1"/>
  <c r="S4" i="1" s="1"/>
  <c r="AW4" i="1" s="1"/>
  <c r="HN3" i="1"/>
  <c r="HK3" i="1"/>
  <c r="HJ3" i="1"/>
  <c r="HA3" i="1"/>
  <c r="GW3" i="1"/>
  <c r="GR3" i="1"/>
  <c r="GL3" i="1"/>
  <c r="GG3" i="1"/>
  <c r="GM3" i="1" s="1"/>
  <c r="GA3" i="1"/>
  <c r="FV3" i="1"/>
  <c r="GB3" i="1" s="1"/>
  <c r="FQ3" i="1"/>
  <c r="FG3" i="1"/>
  <c r="DU3" i="1"/>
  <c r="DT3" i="1"/>
  <c r="DS3" i="1"/>
  <c r="DR3" i="1"/>
  <c r="DQ3" i="1"/>
  <c r="DL3" i="1"/>
  <c r="DG3" i="1"/>
  <c r="DB3" i="1"/>
  <c r="DV3" i="1" s="1"/>
  <c r="CW3" i="1"/>
  <c r="D24" i="3" s="1"/>
  <c r="CS3" i="1"/>
  <c r="CR3" i="1"/>
  <c r="CM3" i="1"/>
  <c r="CH3" i="1"/>
  <c r="BZ3" i="1"/>
  <c r="BY3" i="1"/>
  <c r="BX3" i="1"/>
  <c r="BW3" i="1"/>
  <c r="BQ3" i="1"/>
  <c r="BR3" i="1" s="1"/>
  <c r="BK3" i="1"/>
  <c r="BL3" i="1" s="1"/>
  <c r="BE3" i="1"/>
  <c r="CA3" i="1" s="1"/>
  <c r="AY3" i="1"/>
  <c r="AU3" i="1"/>
  <c r="AM3" i="1"/>
  <c r="AK3" i="1"/>
  <c r="AI3" i="1"/>
  <c r="AG3" i="1"/>
  <c r="AE3" i="1"/>
  <c r="AC3" i="1"/>
  <c r="AA3" i="1"/>
  <c r="Y3" i="1"/>
  <c r="W3" i="1"/>
  <c r="U3" i="1"/>
  <c r="R3" i="1"/>
  <c r="M3" i="1"/>
  <c r="S3" i="1" s="1"/>
  <c r="HD14" i="1" l="1"/>
  <c r="HC14" i="1"/>
  <c r="HB14" i="1"/>
  <c r="CB4" i="1"/>
  <c r="HD4" i="1"/>
  <c r="HB4" i="1"/>
  <c r="HC4" i="1"/>
  <c r="HB5" i="1"/>
  <c r="HD5" i="1"/>
  <c r="HC5" i="1"/>
  <c r="F13" i="2"/>
  <c r="E23" i="2"/>
  <c r="HD18" i="1"/>
  <c r="HC18" i="1"/>
  <c r="E27" i="2" s="1"/>
  <c r="HB18" i="1"/>
  <c r="HD22" i="1"/>
  <c r="HC22" i="1"/>
  <c r="HB22" i="1"/>
  <c r="HD23" i="1"/>
  <c r="HC23" i="1"/>
  <c r="HB23" i="1"/>
  <c r="E39" i="2"/>
  <c r="CB32" i="1"/>
  <c r="F30" i="2"/>
  <c r="AW33" i="1"/>
  <c r="CB35" i="1"/>
  <c r="CB62" i="1"/>
  <c r="HC65" i="1"/>
  <c r="HB65" i="1"/>
  <c r="HD65" i="1"/>
  <c r="HD68" i="1"/>
  <c r="HC68" i="1"/>
  <c r="HB68" i="1"/>
  <c r="AW69" i="1"/>
  <c r="F76" i="2"/>
  <c r="D86" i="2"/>
  <c r="HD77" i="1"/>
  <c r="HC77" i="1"/>
  <c r="HB77" i="1"/>
  <c r="HD78" i="1"/>
  <c r="HC78" i="1"/>
  <c r="HB78" i="1"/>
  <c r="D14" i="3"/>
  <c r="D9" i="2"/>
  <c r="GX3" i="1"/>
  <c r="HB56" i="1"/>
  <c r="HC56" i="1"/>
  <c r="G61" i="2"/>
  <c r="GX61" i="1"/>
  <c r="HC76" i="1"/>
  <c r="HB76" i="1"/>
  <c r="HD76" i="1"/>
  <c r="HD32" i="1"/>
  <c r="HC32" i="1"/>
  <c r="HB32" i="1"/>
  <c r="E13" i="2"/>
  <c r="F8" i="2"/>
  <c r="CB13" i="1"/>
  <c r="G26" i="2"/>
  <c r="D80" i="3"/>
  <c r="D39" i="2"/>
  <c r="H39" i="2" s="1"/>
  <c r="HD35" i="1"/>
  <c r="HC35" i="1"/>
  <c r="HB35" i="1"/>
  <c r="D50" i="2"/>
  <c r="HC55" i="1"/>
  <c r="HB55" i="1"/>
  <c r="HD55" i="1"/>
  <c r="G56" i="2"/>
  <c r="AW61" i="1"/>
  <c r="G63" i="2"/>
  <c r="D78" i="2"/>
  <c r="D13" i="3"/>
  <c r="D8" i="2"/>
  <c r="F10" i="2"/>
  <c r="HD9" i="1"/>
  <c r="HC9" i="1"/>
  <c r="HB9" i="1"/>
  <c r="G17" i="2"/>
  <c r="AW25" i="1"/>
  <c r="F35" i="2"/>
  <c r="GX33" i="1"/>
  <c r="HB47" i="1"/>
  <c r="HB70" i="1"/>
  <c r="HD70" i="1"/>
  <c r="HC70" i="1"/>
  <c r="D12" i="2"/>
  <c r="D53" i="3"/>
  <c r="D26" i="2"/>
  <c r="H26" i="2" s="1"/>
  <c r="D36" i="2"/>
  <c r="HD27" i="1"/>
  <c r="HC27" i="1"/>
  <c r="HB27" i="1"/>
  <c r="HD31" i="1"/>
  <c r="HC31" i="1"/>
  <c r="HB31" i="1"/>
  <c r="D4" i="3"/>
  <c r="D4" i="2"/>
  <c r="AW3" i="1"/>
  <c r="CB8" i="1"/>
  <c r="HC11" i="1"/>
  <c r="HB11" i="1"/>
  <c r="HD11" i="1"/>
  <c r="G4" i="2"/>
  <c r="AW13" i="1"/>
  <c r="G12" i="2"/>
  <c r="G11" i="2"/>
  <c r="G9" i="2"/>
  <c r="GX13" i="1"/>
  <c r="D40" i="3"/>
  <c r="D21" i="2"/>
  <c r="E21" i="2"/>
  <c r="CB21" i="1"/>
  <c r="F39" i="2"/>
  <c r="D43" i="2"/>
  <c r="AW39" i="1"/>
  <c r="F43" i="2"/>
  <c r="AW45" i="1"/>
  <c r="D62" i="2"/>
  <c r="HC51" i="1"/>
  <c r="HD51" i="1"/>
  <c r="HB51" i="1"/>
  <c r="HC59" i="1"/>
  <c r="HD59" i="1"/>
  <c r="HB59" i="1"/>
  <c r="HD53" i="1"/>
  <c r="HC53" i="1"/>
  <c r="HB53" i="1"/>
  <c r="HB7" i="1"/>
  <c r="HC7" i="1"/>
  <c r="HD7" i="1"/>
  <c r="HB8" i="1"/>
  <c r="HC8" i="1"/>
  <c r="HD8" i="1"/>
  <c r="HD10" i="1"/>
  <c r="HC10" i="1"/>
  <c r="HB10" i="1"/>
  <c r="CB17" i="1"/>
  <c r="HC20" i="1"/>
  <c r="HB20" i="1"/>
  <c r="HD20" i="1"/>
  <c r="F17" i="2"/>
  <c r="AW21" i="1"/>
  <c r="F24" i="2"/>
  <c r="F22" i="2"/>
  <c r="GX21" i="1"/>
  <c r="D67" i="3"/>
  <c r="D34" i="2"/>
  <c r="CB30" i="1"/>
  <c r="G35" i="2"/>
  <c r="GX37" i="1"/>
  <c r="HD38" i="1"/>
  <c r="HC38" i="1"/>
  <c r="HB38" i="1"/>
  <c r="CB41" i="1"/>
  <c r="HD44" i="1"/>
  <c r="HC44" i="1"/>
  <c r="HB44" i="1"/>
  <c r="G47" i="2"/>
  <c r="D65" i="2"/>
  <c r="HB52" i="1"/>
  <c r="HD52" i="1"/>
  <c r="HC52" i="1"/>
  <c r="E65" i="2"/>
  <c r="CB59" i="1"/>
  <c r="D89" i="2"/>
  <c r="D75" i="3"/>
  <c r="D37" i="2"/>
  <c r="HB34" i="1"/>
  <c r="HD34" i="1"/>
  <c r="HC34" i="1"/>
  <c r="D26" i="3"/>
  <c r="D13" i="2"/>
  <c r="H13" i="2" s="1"/>
  <c r="CB14" i="1"/>
  <c r="D25" i="2"/>
  <c r="HC16" i="1"/>
  <c r="HD16" i="1"/>
  <c r="HB16" i="1"/>
  <c r="HB17" i="1"/>
  <c r="HD17" i="1"/>
  <c r="HC17" i="1"/>
  <c r="HD19" i="1"/>
  <c r="HC19" i="1"/>
  <c r="HB19" i="1"/>
  <c r="HC29" i="1"/>
  <c r="HB29" i="1"/>
  <c r="HD29" i="1"/>
  <c r="E30" i="2"/>
  <c r="AW30" i="1"/>
  <c r="E38" i="2"/>
  <c r="E37" i="2"/>
  <c r="E35" i="2"/>
  <c r="GX30" i="1"/>
  <c r="D69" i="3" s="1"/>
  <c r="CB37" i="1"/>
  <c r="HD43" i="1"/>
  <c r="HC43" i="1"/>
  <c r="HB43" i="1"/>
  <c r="HD62" i="1"/>
  <c r="HC62" i="1"/>
  <c r="HB62" i="1"/>
  <c r="D69" i="2"/>
  <c r="AW63" i="1"/>
  <c r="D148" i="3"/>
  <c r="D73" i="2"/>
  <c r="F12" i="2"/>
  <c r="CB15" i="1"/>
  <c r="D48" i="3"/>
  <c r="D24" i="2"/>
  <c r="CB18" i="1"/>
  <c r="CB22" i="1"/>
  <c r="G22" i="2"/>
  <c r="GX25" i="1"/>
  <c r="HB26" i="1"/>
  <c r="HD26" i="1"/>
  <c r="HC26" i="1"/>
  <c r="HD28" i="1"/>
  <c r="HC28" i="1"/>
  <c r="HB28" i="1"/>
  <c r="E43" i="2"/>
  <c r="AW42" i="1"/>
  <c r="F48" i="2"/>
  <c r="GX45" i="1"/>
  <c r="HC46" i="1"/>
  <c r="HD46" i="1"/>
  <c r="HB46" i="1"/>
  <c r="D60" i="2"/>
  <c r="HD58" i="1"/>
  <c r="HC58" i="1"/>
  <c r="HB58" i="1"/>
  <c r="D149" i="3"/>
  <c r="D74" i="2"/>
  <c r="GX63" i="1"/>
  <c r="HC64" i="1"/>
  <c r="HD64" i="1"/>
  <c r="HB64" i="1"/>
  <c r="HD67" i="1"/>
  <c r="HC67" i="1"/>
  <c r="HB67" i="1"/>
  <c r="HB79" i="1"/>
  <c r="CA18" i="1"/>
  <c r="E25" i="2" s="1"/>
  <c r="CA35" i="1"/>
  <c r="F38" i="2" s="1"/>
  <c r="F61" i="2"/>
  <c r="CA59" i="1"/>
  <c r="CA66" i="1"/>
  <c r="BF66" i="1"/>
  <c r="CB66" i="1" s="1"/>
  <c r="D82" i="2"/>
  <c r="AW78" i="1"/>
  <c r="HB83" i="1"/>
  <c r="HB88" i="1"/>
  <c r="HB89" i="1"/>
  <c r="HD89" i="1"/>
  <c r="E95" i="2"/>
  <c r="AW90" i="1"/>
  <c r="HC92" i="1"/>
  <c r="HD92" i="1"/>
  <c r="HB101" i="1"/>
  <c r="HB110" i="1"/>
  <c r="HC113" i="1"/>
  <c r="HD113" i="1"/>
  <c r="HB113" i="1"/>
  <c r="D139" i="2"/>
  <c r="GX123" i="1"/>
  <c r="HC128" i="1"/>
  <c r="HD128" i="1"/>
  <c r="HB128" i="1"/>
  <c r="F134" i="2"/>
  <c r="AW129" i="1"/>
  <c r="E4" i="2"/>
  <c r="D31" i="3"/>
  <c r="D17" i="2"/>
  <c r="D41" i="3"/>
  <c r="D22" i="2"/>
  <c r="D60" i="3"/>
  <c r="D32" i="2"/>
  <c r="CA27" i="1"/>
  <c r="D92" i="3"/>
  <c r="D46" i="2"/>
  <c r="HD50" i="1"/>
  <c r="BF3" i="1"/>
  <c r="CB3" i="1" s="1"/>
  <c r="E6" i="2"/>
  <c r="BL9" i="1"/>
  <c r="CB9" i="1" s="1"/>
  <c r="BF11" i="1"/>
  <c r="CB11" i="1" s="1"/>
  <c r="D33" i="3"/>
  <c r="D19" i="2"/>
  <c r="D54" i="3"/>
  <c r="D55" i="3"/>
  <c r="BF20" i="1"/>
  <c r="CB20" i="1" s="1"/>
  <c r="F20" i="2"/>
  <c r="AV25" i="1"/>
  <c r="D83" i="3"/>
  <c r="BF29" i="1"/>
  <c r="CB29" i="1" s="1"/>
  <c r="E33" i="2"/>
  <c r="AV33" i="1"/>
  <c r="G33" i="2"/>
  <c r="AV39" i="1"/>
  <c r="BF44" i="1"/>
  <c r="CB44" i="1" s="1"/>
  <c r="CS46" i="1"/>
  <c r="GB47" i="1"/>
  <c r="HD47" i="1" s="1"/>
  <c r="CA52" i="1"/>
  <c r="D133" i="3" s="1"/>
  <c r="CA53" i="1"/>
  <c r="F59" i="2"/>
  <c r="AV57" i="1"/>
  <c r="D164" i="3"/>
  <c r="S66" i="1"/>
  <c r="D139" i="3" s="1"/>
  <c r="CA69" i="1"/>
  <c r="S70" i="1"/>
  <c r="AW70" i="1" s="1"/>
  <c r="DV78" i="1"/>
  <c r="E91" i="2" s="1"/>
  <c r="CB80" i="1"/>
  <c r="CA82" i="1"/>
  <c r="S85" i="1"/>
  <c r="G87" i="2"/>
  <c r="GX85" i="1"/>
  <c r="CB93" i="1"/>
  <c r="CA94" i="1"/>
  <c r="D222" i="3"/>
  <c r="D110" i="2"/>
  <c r="D291" i="3"/>
  <c r="D141" i="2"/>
  <c r="HC124" i="1"/>
  <c r="HB124" i="1"/>
  <c r="HD124" i="1"/>
  <c r="F139" i="2"/>
  <c r="GX129" i="1"/>
  <c r="HD137" i="1"/>
  <c r="HC137" i="1"/>
  <c r="HB137" i="1"/>
  <c r="E9" i="2"/>
  <c r="D28" i="3"/>
  <c r="D56" i="3"/>
  <c r="D65" i="3"/>
  <c r="D33" i="2"/>
  <c r="H33" i="2" s="1"/>
  <c r="CB38" i="1"/>
  <c r="CA38" i="1"/>
  <c r="G38" i="2" s="1"/>
  <c r="GM40" i="1"/>
  <c r="GX40" i="1" s="1"/>
  <c r="E48" i="2"/>
  <c r="F47" i="2"/>
  <c r="GM49" i="1"/>
  <c r="G60" i="2"/>
  <c r="D141" i="3"/>
  <c r="D71" i="2"/>
  <c r="CA63" i="1"/>
  <c r="CA67" i="1"/>
  <c r="CB69" i="1"/>
  <c r="F75" i="2"/>
  <c r="HB69" i="1"/>
  <c r="F80" i="2" s="1"/>
  <c r="G74" i="2"/>
  <c r="GX73" i="1"/>
  <c r="HC74" i="1"/>
  <c r="HB74" i="1"/>
  <c r="D87" i="2"/>
  <c r="DV81" i="1"/>
  <c r="CB82" i="1"/>
  <c r="E104" i="2"/>
  <c r="HC91" i="1"/>
  <c r="HB91" i="1"/>
  <c r="GM93" i="1"/>
  <c r="DV97" i="1"/>
  <c r="BF5" i="1"/>
  <c r="CB5" i="1" s="1"/>
  <c r="GX6" i="1"/>
  <c r="CA8" i="1"/>
  <c r="D25" i="3" s="1"/>
  <c r="GX15" i="1"/>
  <c r="E34" i="2"/>
  <c r="F37" i="2"/>
  <c r="G30" i="2"/>
  <c r="G34" i="2"/>
  <c r="D95" i="3"/>
  <c r="D48" i="2"/>
  <c r="D109" i="3"/>
  <c r="F50" i="2"/>
  <c r="G46" i="2"/>
  <c r="AV49" i="1"/>
  <c r="G50" i="2"/>
  <c r="D112" i="3"/>
  <c r="D56" i="2"/>
  <c r="CB51" i="1"/>
  <c r="E56" i="2"/>
  <c r="E61" i="2"/>
  <c r="GX54" i="1"/>
  <c r="F65" i="2"/>
  <c r="CA64" i="1"/>
  <c r="E74" i="2"/>
  <c r="CA68" i="1"/>
  <c r="F73" i="2"/>
  <c r="HD71" i="1"/>
  <c r="BF74" i="1"/>
  <c r="CB74" i="1" s="1"/>
  <c r="HC82" i="1"/>
  <c r="HD82" i="1"/>
  <c r="HB82" i="1"/>
  <c r="CA86" i="1"/>
  <c r="BL86" i="1"/>
  <c r="CB86" i="1" s="1"/>
  <c r="HD86" i="1"/>
  <c r="HC86" i="1"/>
  <c r="HB86" i="1"/>
  <c r="AW87" i="1"/>
  <c r="D102" i="2"/>
  <c r="G98" i="2"/>
  <c r="AV97" i="1"/>
  <c r="HD142" i="1"/>
  <c r="HC142" i="1"/>
  <c r="HB142" i="1"/>
  <c r="E7" i="2"/>
  <c r="G8" i="2"/>
  <c r="D38" i="3"/>
  <c r="D20" i="2"/>
  <c r="H20" i="2" s="1"/>
  <c r="D66" i="3"/>
  <c r="AV15" i="1"/>
  <c r="D39" i="3" s="1"/>
  <c r="BL17" i="1"/>
  <c r="BF19" i="1"/>
  <c r="CB19" i="1" s="1"/>
  <c r="BL26" i="1"/>
  <c r="CB26" i="1" s="1"/>
  <c r="AW27" i="1"/>
  <c r="BF28" i="1"/>
  <c r="CB28" i="1" s="1"/>
  <c r="BL34" i="1"/>
  <c r="CB34" i="1" s="1"/>
  <c r="BF39" i="1"/>
  <c r="CB39" i="1" s="1"/>
  <c r="D110" i="3"/>
  <c r="HB41" i="1"/>
  <c r="BF42" i="1"/>
  <c r="CB42" i="1" s="1"/>
  <c r="HB50" i="1"/>
  <c r="D114" i="3"/>
  <c r="D58" i="2"/>
  <c r="D63" i="2"/>
  <c r="CA54" i="1"/>
  <c r="E64" i="2" s="1"/>
  <c r="CA56" i="1"/>
  <c r="CA57" i="1"/>
  <c r="F64" i="2" s="1"/>
  <c r="GX57" i="1"/>
  <c r="D153" i="3"/>
  <c r="CB68" i="1"/>
  <c r="HC69" i="1"/>
  <c r="F79" i="2" s="1"/>
  <c r="HD74" i="1"/>
  <c r="D173" i="3"/>
  <c r="D85" i="2"/>
  <c r="AV75" i="1"/>
  <c r="CA76" i="1"/>
  <c r="BF76" i="1"/>
  <c r="CB76" i="1" s="1"/>
  <c r="HB92" i="1"/>
  <c r="D125" i="2"/>
  <c r="D6" i="3"/>
  <c r="D6" i="2"/>
  <c r="H6" i="2" s="1"/>
  <c r="D29" i="3"/>
  <c r="G24" i="2"/>
  <c r="D11" i="3"/>
  <c r="D7" i="2"/>
  <c r="H7" i="2" s="1"/>
  <c r="AV6" i="1"/>
  <c r="BF10" i="1"/>
  <c r="CB10" i="1" s="1"/>
  <c r="D45" i="3"/>
  <c r="D18" i="3"/>
  <c r="AW6" i="1"/>
  <c r="BF7" i="1"/>
  <c r="CB7" i="1" s="1"/>
  <c r="AW15" i="1"/>
  <c r="BF16" i="1"/>
  <c r="CB16" i="1" s="1"/>
  <c r="BF25" i="1"/>
  <c r="CB25" i="1" s="1"/>
  <c r="BF33" i="1"/>
  <c r="CB33" i="1" s="1"/>
  <c r="D108" i="3"/>
  <c r="DV40" i="1"/>
  <c r="D107" i="3" s="1"/>
  <c r="HC41" i="1"/>
  <c r="E45" i="2"/>
  <c r="GX42" i="1"/>
  <c r="CA43" i="1"/>
  <c r="E51" i="2" s="1"/>
  <c r="DV49" i="1"/>
  <c r="G52" i="2" s="1"/>
  <c r="HC50" i="1"/>
  <c r="CA55" i="1"/>
  <c r="BF56" i="1"/>
  <c r="CB56" i="1" s="1"/>
  <c r="F56" i="2"/>
  <c r="AV61" i="1"/>
  <c r="D120" i="3" s="1"/>
  <c r="D147" i="3"/>
  <c r="E72" i="2"/>
  <c r="AV66" i="1"/>
  <c r="HD69" i="1"/>
  <c r="AW75" i="1"/>
  <c r="DV75" i="1"/>
  <c r="F86" i="2"/>
  <c r="HD83" i="1"/>
  <c r="HD94" i="1"/>
  <c r="HC94" i="1"/>
  <c r="HB94" i="1"/>
  <c r="CB95" i="1"/>
  <c r="CA97" i="1"/>
  <c r="G103" i="2" s="1"/>
  <c r="BF97" i="1"/>
  <c r="CB97" i="1" s="1"/>
  <c r="CB98" i="1"/>
  <c r="BF111" i="1"/>
  <c r="CB111" i="1" s="1"/>
  <c r="CA111" i="1"/>
  <c r="G121" i="2"/>
  <c r="AW121" i="1"/>
  <c r="E152" i="2"/>
  <c r="GX138" i="1"/>
  <c r="F21" i="2"/>
  <c r="D72" i="3"/>
  <c r="AV3" i="1"/>
  <c r="D12" i="3" s="1"/>
  <c r="G19" i="2"/>
  <c r="D78" i="3"/>
  <c r="F32" i="2"/>
  <c r="D87" i="3"/>
  <c r="D45" i="2"/>
  <c r="GX39" i="1"/>
  <c r="CA40" i="1"/>
  <c r="D51" i="2" s="1"/>
  <c r="BF43" i="1"/>
  <c r="CB43" i="1" s="1"/>
  <c r="CA47" i="1"/>
  <c r="F51" i="2" s="1"/>
  <c r="CA49" i="1"/>
  <c r="G51" i="2" s="1"/>
  <c r="D119" i="3"/>
  <c r="D59" i="2"/>
  <c r="D132" i="3"/>
  <c r="DV62" i="1"/>
  <c r="G65" i="2" s="1"/>
  <c r="DV66" i="1"/>
  <c r="E78" i="2" s="1"/>
  <c r="F72" i="2"/>
  <c r="DV70" i="1"/>
  <c r="F78" i="2" s="1"/>
  <c r="DV71" i="1"/>
  <c r="CA73" i="1"/>
  <c r="G77" i="2" s="1"/>
  <c r="GX75" i="1"/>
  <c r="CA78" i="1"/>
  <c r="BF78" i="1"/>
  <c r="CB78" i="1" s="1"/>
  <c r="E89" i="2"/>
  <c r="CB81" i="1"/>
  <c r="DV82" i="1"/>
  <c r="GB83" i="1"/>
  <c r="HC83" i="1" s="1"/>
  <c r="D100" i="2"/>
  <c r="GX87" i="1"/>
  <c r="HD91" i="1"/>
  <c r="F104" i="2"/>
  <c r="DV94" i="1"/>
  <c r="GM97" i="1"/>
  <c r="BF99" i="1"/>
  <c r="CB99" i="1" s="1"/>
  <c r="CA99" i="1"/>
  <c r="F113" i="2"/>
  <c r="GX105" i="1"/>
  <c r="HD107" i="1"/>
  <c r="HB107" i="1"/>
  <c r="HC107" i="1"/>
  <c r="HB118" i="1"/>
  <c r="G126" i="2"/>
  <c r="GX121" i="1"/>
  <c r="D27" i="3"/>
  <c r="D21" i="3"/>
  <c r="D11" i="2"/>
  <c r="H11" i="2" s="1"/>
  <c r="F4" i="2"/>
  <c r="F9" i="2"/>
  <c r="D51" i="3"/>
  <c r="E17" i="2"/>
  <c r="E22" i="2"/>
  <c r="F19" i="2"/>
  <c r="D58" i="3"/>
  <c r="D30" i="2"/>
  <c r="H30" i="2" s="1"/>
  <c r="D68" i="3"/>
  <c r="D35" i="2"/>
  <c r="H35" i="2" s="1"/>
  <c r="E32" i="2"/>
  <c r="G32" i="2"/>
  <c r="GB39" i="1"/>
  <c r="D99" i="3"/>
  <c r="CS42" i="1"/>
  <c r="E50" i="2" s="1"/>
  <c r="E47" i="2"/>
  <c r="S49" i="1"/>
  <c r="D85" i="3" s="1"/>
  <c r="D122" i="3"/>
  <c r="D61" i="2"/>
  <c r="H61" i="2" s="1"/>
  <c r="D136" i="3"/>
  <c r="CS55" i="1"/>
  <c r="E63" i="2" s="1"/>
  <c r="GB56" i="1"/>
  <c r="HD56" i="1" s="1"/>
  <c r="F58" i="2"/>
  <c r="F60" i="2"/>
  <c r="CA61" i="1"/>
  <c r="G64" i="2" s="1"/>
  <c r="CA62" i="1"/>
  <c r="D156" i="3"/>
  <c r="D76" i="2"/>
  <c r="H76" i="2" s="1"/>
  <c r="GX66" i="1"/>
  <c r="F74" i="2"/>
  <c r="CA70" i="1"/>
  <c r="G69" i="2"/>
  <c r="CB73" i="1"/>
  <c r="CS73" i="1"/>
  <c r="G76" i="2" s="1"/>
  <c r="G73" i="2"/>
  <c r="CA75" i="1"/>
  <c r="S79" i="1"/>
  <c r="AW79" i="1" s="1"/>
  <c r="CB79" i="1"/>
  <c r="D200" i="3"/>
  <c r="D98" i="2"/>
  <c r="AV87" i="1"/>
  <c r="CB89" i="1"/>
  <c r="BF90" i="1"/>
  <c r="CB90" i="1" s="1"/>
  <c r="CA90" i="1"/>
  <c r="CS90" i="1"/>
  <c r="E102" i="2" s="1"/>
  <c r="E100" i="2"/>
  <c r="GX90" i="1"/>
  <c r="HD95" i="1"/>
  <c r="HC95" i="1"/>
  <c r="HB95" i="1"/>
  <c r="G95" i="2"/>
  <c r="AW97" i="1"/>
  <c r="CA101" i="1"/>
  <c r="BF101" i="1"/>
  <c r="CB101" i="1" s="1"/>
  <c r="GX114" i="1"/>
  <c r="G113" i="2"/>
  <c r="GX109" i="1"/>
  <c r="D267" i="3"/>
  <c r="HD112" i="1"/>
  <c r="CA113" i="1"/>
  <c r="AW114" i="1"/>
  <c r="HD119" i="1"/>
  <c r="HC122" i="1"/>
  <c r="HD122" i="1"/>
  <c r="AW123" i="1"/>
  <c r="E141" i="2"/>
  <c r="CB131" i="1"/>
  <c r="HC140" i="1"/>
  <c r="HB140" i="1"/>
  <c r="HD140" i="1"/>
  <c r="GX141" i="1"/>
  <c r="HD151" i="1"/>
  <c r="HC151" i="1"/>
  <c r="HB151" i="1"/>
  <c r="F169" i="2"/>
  <c r="HD160" i="1"/>
  <c r="HB160" i="1"/>
  <c r="HC160" i="1"/>
  <c r="E173" i="2"/>
  <c r="AW162" i="1"/>
  <c r="HD163" i="1"/>
  <c r="HC163" i="1"/>
  <c r="HB163" i="1"/>
  <c r="D186" i="3"/>
  <c r="E85" i="2"/>
  <c r="DV80" i="1"/>
  <c r="CA83" i="1"/>
  <c r="F90" i="2" s="1"/>
  <c r="G85" i="2"/>
  <c r="AV85" i="1"/>
  <c r="D216" i="3"/>
  <c r="DV89" i="1"/>
  <c r="D215" i="3" s="1"/>
  <c r="D113" i="2"/>
  <c r="GX99" i="1"/>
  <c r="D245" i="3"/>
  <c r="BF102" i="1"/>
  <c r="CB102" i="1" s="1"/>
  <c r="CA102" i="1"/>
  <c r="HC103" i="1"/>
  <c r="DV111" i="1"/>
  <c r="CA115" i="1"/>
  <c r="GX116" i="1"/>
  <c r="BF119" i="1"/>
  <c r="CB119" i="1" s="1"/>
  <c r="CA119" i="1"/>
  <c r="F129" i="2" s="1"/>
  <c r="CA122" i="1"/>
  <c r="E139" i="2"/>
  <c r="GX126" i="1"/>
  <c r="F142" i="2"/>
  <c r="HD131" i="1"/>
  <c r="HB131" i="1"/>
  <c r="GM133" i="1"/>
  <c r="D284" i="3" s="1"/>
  <c r="CA143" i="1"/>
  <c r="BF143" i="1"/>
  <c r="CB143" i="1" s="1"/>
  <c r="GM143" i="1"/>
  <c r="GX143" i="1" s="1"/>
  <c r="HD146" i="1"/>
  <c r="HC146" i="1"/>
  <c r="HB146" i="1"/>
  <c r="D328" i="3"/>
  <c r="D160" i="2"/>
  <c r="AW147" i="1"/>
  <c r="D377" i="3"/>
  <c r="D182" i="2"/>
  <c r="H182" i="2" s="1"/>
  <c r="G58" i="2"/>
  <c r="D159" i="3"/>
  <c r="F71" i="2"/>
  <c r="BF75" i="1"/>
  <c r="CB75" i="1" s="1"/>
  <c r="AV78" i="1"/>
  <c r="CA80" i="1"/>
  <c r="BF83" i="1"/>
  <c r="CB83" i="1" s="1"/>
  <c r="CB87" i="1"/>
  <c r="CA87" i="1"/>
  <c r="S89" i="1"/>
  <c r="AW89" i="1" s="1"/>
  <c r="CA89" i="1"/>
  <c r="E97" i="2"/>
  <c r="BF91" i="1"/>
  <c r="CB91" i="1" s="1"/>
  <c r="CA92" i="1"/>
  <c r="CA93" i="1"/>
  <c r="F103" i="2" s="1"/>
  <c r="GB97" i="1"/>
  <c r="G99" i="2" s="1"/>
  <c r="CB100" i="1"/>
  <c r="S102" i="1"/>
  <c r="GM102" i="1"/>
  <c r="CA105" i="1"/>
  <c r="F116" i="2" s="1"/>
  <c r="DV109" i="1"/>
  <c r="G117" i="2" s="1"/>
  <c r="BF110" i="1"/>
  <c r="CB110" i="1" s="1"/>
  <c r="GB110" i="1"/>
  <c r="HC110" i="1" s="1"/>
  <c r="D254" i="3"/>
  <c r="D124" i="2"/>
  <c r="AV111" i="1"/>
  <c r="D255" i="3" s="1"/>
  <c r="CB113" i="1"/>
  <c r="CS113" i="1"/>
  <c r="CB115" i="1"/>
  <c r="CB117" i="1"/>
  <c r="HB122" i="1"/>
  <c r="DV125" i="1"/>
  <c r="DV130" i="1"/>
  <c r="F143" i="2" s="1"/>
  <c r="S133" i="1"/>
  <c r="D310" i="3"/>
  <c r="D151" i="2"/>
  <c r="GX136" i="1"/>
  <c r="HC139" i="1"/>
  <c r="HB139" i="1"/>
  <c r="AW141" i="1"/>
  <c r="G152" i="2"/>
  <c r="GX145" i="1"/>
  <c r="CB146" i="1"/>
  <c r="D165" i="2"/>
  <c r="GX147" i="1"/>
  <c r="CB164" i="1"/>
  <c r="HD184" i="1"/>
  <c r="HC184" i="1"/>
  <c r="HB184" i="1"/>
  <c r="E71" i="2"/>
  <c r="G72" i="2"/>
  <c r="D168" i="3"/>
  <c r="D84" i="2"/>
  <c r="D189" i="3"/>
  <c r="GB79" i="1"/>
  <c r="HC79" i="1" s="1"/>
  <c r="CS82" i="1"/>
  <c r="F89" i="2" s="1"/>
  <c r="D195" i="3"/>
  <c r="D97" i="2"/>
  <c r="CB88" i="1"/>
  <c r="CA88" i="1"/>
  <c r="GB89" i="1"/>
  <c r="HC89" i="1" s="1"/>
  <c r="GM98" i="1"/>
  <c r="GX98" i="1" s="1"/>
  <c r="D228" i="3"/>
  <c r="CS100" i="1"/>
  <c r="D237" i="3" s="1"/>
  <c r="CB105" i="1"/>
  <c r="GB105" i="1"/>
  <c r="F112" i="2" s="1"/>
  <c r="DV106" i="1"/>
  <c r="F117" i="2" s="1"/>
  <c r="CA112" i="1"/>
  <c r="E124" i="2"/>
  <c r="GM115" i="1"/>
  <c r="GX115" i="1" s="1"/>
  <c r="F121" i="2"/>
  <c r="CS117" i="1"/>
  <c r="F128" i="2" s="1"/>
  <c r="CB122" i="1"/>
  <c r="CS122" i="1"/>
  <c r="G128" i="2" s="1"/>
  <c r="S124" i="1"/>
  <c r="AW124" i="1" s="1"/>
  <c r="DV126" i="1"/>
  <c r="E143" i="2" s="1"/>
  <c r="GB127" i="1"/>
  <c r="HC130" i="1"/>
  <c r="HB130" i="1"/>
  <c r="HD130" i="1"/>
  <c r="GX134" i="1"/>
  <c r="CA135" i="1"/>
  <c r="BF135" i="1"/>
  <c r="CB135" i="1" s="1"/>
  <c r="CS135" i="1"/>
  <c r="DV137" i="1"/>
  <c r="CB140" i="1"/>
  <c r="DV142" i="1"/>
  <c r="F156" i="2" s="1"/>
  <c r="F82" i="2"/>
  <c r="F87" i="2"/>
  <c r="GX81" i="1"/>
  <c r="CA85" i="1"/>
  <c r="G90" i="2" s="1"/>
  <c r="D207" i="3"/>
  <c r="AW88" i="1"/>
  <c r="GB88" i="1"/>
  <c r="HC88" i="1" s="1"/>
  <c r="E99" i="2"/>
  <c r="F95" i="2"/>
  <c r="GX100" i="1"/>
  <c r="CA104" i="1"/>
  <c r="HC104" i="1"/>
  <c r="HD104" i="1"/>
  <c r="F108" i="2"/>
  <c r="AW105" i="1"/>
  <c r="HB112" i="1"/>
  <c r="S115" i="1"/>
  <c r="AW115" i="1" s="1"/>
  <c r="F126" i="2"/>
  <c r="GX117" i="1"/>
  <c r="DV119" i="1"/>
  <c r="F141" i="2"/>
  <c r="D147" i="2"/>
  <c r="D152" i="2"/>
  <c r="GX135" i="1"/>
  <c r="E147" i="2"/>
  <c r="AW138" i="1"/>
  <c r="E155" i="2"/>
  <c r="CA141" i="1"/>
  <c r="F155" i="2" s="1"/>
  <c r="BF141" i="1"/>
  <c r="CB141" i="1" s="1"/>
  <c r="HD149" i="1"/>
  <c r="HC149" i="1"/>
  <c r="HB149" i="1"/>
  <c r="GX153" i="1"/>
  <c r="D382" i="3"/>
  <c r="AW171" i="1"/>
  <c r="D191" i="2"/>
  <c r="GX171" i="1"/>
  <c r="G129" i="2"/>
  <c r="BF128" i="1"/>
  <c r="CB128" i="1" s="1"/>
  <c r="CA128" i="1"/>
  <c r="AW142" i="1"/>
  <c r="AV142" i="1"/>
  <c r="E165" i="2"/>
  <c r="GX150" i="1"/>
  <c r="F160" i="2"/>
  <c r="AW153" i="1"/>
  <c r="D181" i="2"/>
  <c r="F46" i="2"/>
  <c r="D137" i="3"/>
  <c r="E59" i="2"/>
  <c r="D146" i="3"/>
  <c r="D72" i="2"/>
  <c r="H72" i="2" s="1"/>
  <c r="D180" i="3"/>
  <c r="GM80" i="1"/>
  <c r="GX80" i="1" s="1"/>
  <c r="S99" i="1"/>
  <c r="DV100" i="1"/>
  <c r="D242" i="3" s="1"/>
  <c r="GB101" i="1"/>
  <c r="D229" i="3" s="1"/>
  <c r="E111" i="2"/>
  <c r="AV102" i="1"/>
  <c r="CB104" i="1"/>
  <c r="CS104" i="1"/>
  <c r="E115" i="2" s="1"/>
  <c r="HB104" i="1"/>
  <c r="CB106" i="1"/>
  <c r="CB109" i="1"/>
  <c r="S111" i="1"/>
  <c r="GM111" i="1"/>
  <c r="CA114" i="1"/>
  <c r="E129" i="2" s="1"/>
  <c r="DV117" i="1"/>
  <c r="BF118" i="1"/>
  <c r="CB118" i="1" s="1"/>
  <c r="GB118" i="1"/>
  <c r="HC118" i="1" s="1"/>
  <c r="DV122" i="1"/>
  <c r="G130" i="2" s="1"/>
  <c r="D142" i="2"/>
  <c r="D288" i="3"/>
  <c r="DV124" i="1"/>
  <c r="D143" i="2" s="1"/>
  <c r="H143" i="2" s="1"/>
  <c r="GX125" i="1"/>
  <c r="CA126" i="1"/>
  <c r="E142" i="2" s="1"/>
  <c r="S128" i="1"/>
  <c r="AW128" i="1" s="1"/>
  <c r="D156" i="2"/>
  <c r="AW137" i="1"/>
  <c r="F154" i="2"/>
  <c r="D169" i="2"/>
  <c r="H169" i="2" s="1"/>
  <c r="HC152" i="1"/>
  <c r="HD152" i="1"/>
  <c r="HB152" i="1"/>
  <c r="G160" i="2"/>
  <c r="AW157" i="1"/>
  <c r="HC165" i="1"/>
  <c r="HD165" i="1"/>
  <c r="HB165" i="1"/>
  <c r="F98" i="2"/>
  <c r="AV93" i="1"/>
  <c r="F102" i="2"/>
  <c r="DV98" i="1"/>
  <c r="GM106" i="1"/>
  <c r="GX106" i="1" s="1"/>
  <c r="CS109" i="1"/>
  <c r="G115" i="2" s="1"/>
  <c r="D264" i="3"/>
  <c r="D128" i="2"/>
  <c r="CB114" i="1"/>
  <c r="GB114" i="1"/>
  <c r="E125" i="2" s="1"/>
  <c r="DV115" i="1"/>
  <c r="E130" i="2" s="1"/>
  <c r="HB119" i="1"/>
  <c r="CB123" i="1"/>
  <c r="GB123" i="1"/>
  <c r="CB126" i="1"/>
  <c r="E138" i="2"/>
  <c r="HB127" i="1"/>
  <c r="HD127" i="1"/>
  <c r="HC127" i="1"/>
  <c r="CB130" i="1"/>
  <c r="GB131" i="1"/>
  <c r="CA133" i="1"/>
  <c r="G142" i="2" s="1"/>
  <c r="E154" i="2"/>
  <c r="HB158" i="1"/>
  <c r="HD158" i="1"/>
  <c r="HC158" i="1"/>
  <c r="D365" i="3"/>
  <c r="D178" i="2"/>
  <c r="GX159" i="1"/>
  <c r="G84" i="2"/>
  <c r="D213" i="3"/>
  <c r="F97" i="2"/>
  <c r="E110" i="2"/>
  <c r="G111" i="2"/>
  <c r="D249" i="3"/>
  <c r="D123" i="2"/>
  <c r="D270" i="3"/>
  <c r="D271" i="3"/>
  <c r="F124" i="2"/>
  <c r="D299" i="3"/>
  <c r="E137" i="2"/>
  <c r="D308" i="3"/>
  <c r="D150" i="2"/>
  <c r="CA137" i="1"/>
  <c r="BF139" i="1"/>
  <c r="CB139" i="1" s="1"/>
  <c r="CA147" i="1"/>
  <c r="D351" i="3"/>
  <c r="BF148" i="1"/>
  <c r="CB148" i="1" s="1"/>
  <c r="CA150" i="1"/>
  <c r="BF150" i="1"/>
  <c r="CB150" i="1" s="1"/>
  <c r="F163" i="2"/>
  <c r="BF154" i="1"/>
  <c r="CB154" i="1" s="1"/>
  <c r="CA154" i="1"/>
  <c r="BF155" i="1"/>
  <c r="CB155" i="1" s="1"/>
  <c r="HB155" i="1"/>
  <c r="BF161" i="1"/>
  <c r="CB161" i="1" s="1"/>
  <c r="GX162" i="1"/>
  <c r="HB166" i="1"/>
  <c r="G178" i="2"/>
  <c r="GX169" i="1"/>
  <c r="CA170" i="1"/>
  <c r="D406" i="3"/>
  <c r="E191" i="2"/>
  <c r="GX174" i="1"/>
  <c r="CB175" i="1"/>
  <c r="D199" i="2"/>
  <c r="AW183" i="1"/>
  <c r="E202" i="2"/>
  <c r="AV186" i="1"/>
  <c r="HB203" i="1"/>
  <c r="HD203" i="1"/>
  <c r="HC203" i="1"/>
  <c r="G125" i="2"/>
  <c r="D281" i="3"/>
  <c r="D137" i="2"/>
  <c r="F138" i="2"/>
  <c r="G141" i="2"/>
  <c r="D309" i="3"/>
  <c r="D315" i="3"/>
  <c r="E151" i="2"/>
  <c r="F150" i="2"/>
  <c r="AV141" i="1"/>
  <c r="F151" i="2"/>
  <c r="D330" i="3"/>
  <c r="D162" i="2"/>
  <c r="D342" i="3"/>
  <c r="AW148" i="1"/>
  <c r="E164" i="2"/>
  <c r="CS155" i="1"/>
  <c r="HC155" i="1"/>
  <c r="CS157" i="1"/>
  <c r="G167" i="2" s="1"/>
  <c r="CB159" i="1"/>
  <c r="AW160" i="1"/>
  <c r="AW161" i="1"/>
  <c r="E175" i="2"/>
  <c r="F173" i="2"/>
  <c r="CA165" i="1"/>
  <c r="CS166" i="1"/>
  <c r="HD166" i="1"/>
  <c r="GX167" i="1"/>
  <c r="CB170" i="1"/>
  <c r="D384" i="3"/>
  <c r="D188" i="2"/>
  <c r="E186" i="2"/>
  <c r="AW174" i="1"/>
  <c r="D208" i="2"/>
  <c r="G154" i="2"/>
  <c r="G165" i="2"/>
  <c r="D355" i="3"/>
  <c r="D173" i="2"/>
  <c r="AW159" i="1"/>
  <c r="D177" i="2"/>
  <c r="H177" i="2" s="1"/>
  <c r="HB177" i="1"/>
  <c r="HD177" i="1"/>
  <c r="HC177" i="1"/>
  <c r="HC186" i="1"/>
  <c r="HD202" i="1"/>
  <c r="HC202" i="1"/>
  <c r="HB202" i="1"/>
  <c r="D190" i="3"/>
  <c r="F85" i="2"/>
  <c r="D218" i="3"/>
  <c r="E98" i="2"/>
  <c r="D227" i="3"/>
  <c r="D111" i="2"/>
  <c r="H111" i="2" s="1"/>
  <c r="D261" i="3"/>
  <c r="CS139" i="1"/>
  <c r="D337" i="3"/>
  <c r="D164" i="2"/>
  <c r="H164" i="2" s="1"/>
  <c r="E162" i="2"/>
  <c r="AV157" i="1"/>
  <c r="CA158" i="1"/>
  <c r="BF158" i="1"/>
  <c r="CB158" i="1" s="1"/>
  <c r="D180" i="2"/>
  <c r="D193" i="2"/>
  <c r="BL176" i="1"/>
  <c r="CB176" i="1" s="1"/>
  <c r="CA176" i="1"/>
  <c r="CA182" i="1"/>
  <c r="BF182" i="1"/>
  <c r="CB182" i="1" s="1"/>
  <c r="HB195" i="1"/>
  <c r="HD195" i="1"/>
  <c r="G155" i="2"/>
  <c r="D336" i="3"/>
  <c r="CB153" i="1"/>
  <c r="F168" i="2"/>
  <c r="F164" i="2"/>
  <c r="G169" i="2"/>
  <c r="D357" i="3"/>
  <c r="D175" i="2"/>
  <c r="HD175" i="1"/>
  <c r="HB175" i="1"/>
  <c r="HD185" i="1"/>
  <c r="HB185" i="1"/>
  <c r="CA188" i="1"/>
  <c r="CA190" i="1"/>
  <c r="BF190" i="1"/>
  <c r="CB190" i="1" s="1"/>
  <c r="HD194" i="1"/>
  <c r="HB194" i="1"/>
  <c r="HC194" i="1"/>
  <c r="G123" i="2"/>
  <c r="D294" i="3"/>
  <c r="F136" i="2"/>
  <c r="E149" i="2"/>
  <c r="S145" i="1"/>
  <c r="D301" i="3" s="1"/>
  <c r="BF145" i="1"/>
  <c r="CB145" i="1" s="1"/>
  <c r="D345" i="3"/>
  <c r="D167" i="2"/>
  <c r="D352" i="3"/>
  <c r="GX148" i="1"/>
  <c r="CA152" i="1"/>
  <c r="BF152" i="1"/>
  <c r="CB152" i="1" s="1"/>
  <c r="GX157" i="1"/>
  <c r="D379" i="3"/>
  <c r="GX161" i="1"/>
  <c r="E180" i="2"/>
  <c r="CA163" i="1"/>
  <c r="E181" i="2" s="1"/>
  <c r="GX164" i="1"/>
  <c r="G173" i="2"/>
  <c r="CS169" i="1"/>
  <c r="G180" i="2" s="1"/>
  <c r="DV171" i="1"/>
  <c r="D405" i="3"/>
  <c r="HD176" i="1"/>
  <c r="HB176" i="1"/>
  <c r="AW177" i="1"/>
  <c r="D203" i="2"/>
  <c r="HB187" i="1"/>
  <c r="HC187" i="1"/>
  <c r="G205" i="2"/>
  <c r="HD193" i="1"/>
  <c r="HC193" i="1"/>
  <c r="G209" i="2" s="1"/>
  <c r="HB193" i="1"/>
  <c r="D303" i="3"/>
  <c r="D149" i="2"/>
  <c r="D324" i="3"/>
  <c r="D325" i="3"/>
  <c r="CA146" i="1"/>
  <c r="AW150" i="1"/>
  <c r="F167" i="2"/>
  <c r="CA157" i="1"/>
  <c r="G168" i="2" s="1"/>
  <c r="D362" i="3"/>
  <c r="D176" i="2"/>
  <c r="AV159" i="1"/>
  <c r="D363" i="3" s="1"/>
  <c r="D378" i="3"/>
  <c r="CB163" i="1"/>
  <c r="CA164" i="1"/>
  <c r="F178" i="2"/>
  <c r="CA166" i="1"/>
  <c r="G181" i="2"/>
  <c r="CA171" i="1"/>
  <c r="D396" i="3"/>
  <c r="HC175" i="1"/>
  <c r="D426" i="3"/>
  <c r="D206" i="2"/>
  <c r="D240" i="3"/>
  <c r="F110" i="2"/>
  <c r="E123" i="2"/>
  <c r="G124" i="2"/>
  <c r="D276" i="3"/>
  <c r="D136" i="2"/>
  <c r="D297" i="3"/>
  <c r="D298" i="3"/>
  <c r="F137" i="2"/>
  <c r="AV133" i="1"/>
  <c r="D282" i="3" s="1"/>
  <c r="D326" i="3"/>
  <c r="F149" i="2"/>
  <c r="G151" i="2"/>
  <c r="DV149" i="1"/>
  <c r="D350" i="3" s="1"/>
  <c r="CA151" i="1"/>
  <c r="DV154" i="1"/>
  <c r="BF166" i="1"/>
  <c r="CB166" i="1" s="1"/>
  <c r="HD170" i="1"/>
  <c r="HC173" i="1"/>
  <c r="HB173" i="1"/>
  <c r="CB174" i="1"/>
  <c r="E193" i="2"/>
  <c r="HC176" i="1"/>
  <c r="BF179" i="1"/>
  <c r="CB179" i="1" s="1"/>
  <c r="CA179" i="1"/>
  <c r="CB191" i="1"/>
  <c r="D512" i="3"/>
  <c r="D247" i="2"/>
  <c r="H247" i="2" s="1"/>
  <c r="S146" i="1"/>
  <c r="AW146" i="1" s="1"/>
  <c r="DV146" i="1"/>
  <c r="G156" i="2" s="1"/>
  <c r="CA149" i="1"/>
  <c r="E163" i="2"/>
  <c r="AV150" i="1"/>
  <c r="F162" i="2"/>
  <c r="GB162" i="1"/>
  <c r="E177" i="2" s="1"/>
  <c r="F176" i="2"/>
  <c r="CS165" i="1"/>
  <c r="F180" i="2" s="1"/>
  <c r="BL169" i="1"/>
  <c r="CB169" i="1" s="1"/>
  <c r="D389" i="3"/>
  <c r="D189" i="2"/>
  <c r="H189" i="2" s="1"/>
  <c r="CA175" i="1"/>
  <c r="S178" i="1"/>
  <c r="AW178" i="1" s="1"/>
  <c r="GX182" i="1"/>
  <c r="CB187" i="1"/>
  <c r="CA187" i="1"/>
  <c r="E207" i="2" s="1"/>
  <c r="GB187" i="1"/>
  <c r="D418" i="3" s="1"/>
  <c r="DV189" i="1"/>
  <c r="F208" i="2" s="1"/>
  <c r="GX190" i="1"/>
  <c r="G199" i="2"/>
  <c r="G206" i="2"/>
  <c r="CB196" i="1"/>
  <c r="CA196" i="1"/>
  <c r="D457" i="3" s="1"/>
  <c r="AW203" i="1"/>
  <c r="CB205" i="1"/>
  <c r="CA205" i="1"/>
  <c r="G220" i="2" s="1"/>
  <c r="G216" i="2"/>
  <c r="E232" i="2"/>
  <c r="DV213" i="1"/>
  <c r="F234" i="2" s="1"/>
  <c r="D507" i="3"/>
  <c r="D245" i="2"/>
  <c r="DV222" i="1"/>
  <c r="E247" i="2" s="1"/>
  <c r="HD263" i="1"/>
  <c r="HC263" i="1"/>
  <c r="HB263" i="1"/>
  <c r="G176" i="2"/>
  <c r="CA174" i="1"/>
  <c r="GM178" i="1"/>
  <c r="GX178" i="1" s="1"/>
  <c r="F192" i="2" s="1"/>
  <c r="S181" i="1"/>
  <c r="CA181" i="1"/>
  <c r="G194" i="2" s="1"/>
  <c r="CA183" i="1"/>
  <c r="E201" i="2"/>
  <c r="E206" i="2"/>
  <c r="GB188" i="1"/>
  <c r="CA191" i="1"/>
  <c r="D438" i="3"/>
  <c r="D214" i="2"/>
  <c r="D453" i="3"/>
  <c r="D219" i="2"/>
  <c r="GB197" i="1"/>
  <c r="D445" i="3" s="1"/>
  <c r="E216" i="2"/>
  <c r="GX200" i="1"/>
  <c r="CA201" i="1"/>
  <c r="G212" i="2"/>
  <c r="AW205" i="1"/>
  <c r="GB206" i="1"/>
  <c r="D229" i="2"/>
  <c r="E225" i="2"/>
  <c r="AW210" i="1"/>
  <c r="CB211" i="1"/>
  <c r="GB214" i="1"/>
  <c r="F229" i="2" s="1"/>
  <c r="HD218" i="1"/>
  <c r="HC218" i="1"/>
  <c r="D238" i="2"/>
  <c r="AW219" i="1"/>
  <c r="CB220" i="1"/>
  <c r="GB223" i="1"/>
  <c r="HD226" i="1"/>
  <c r="HC226" i="1"/>
  <c r="CB229" i="1"/>
  <c r="CB231" i="1"/>
  <c r="CB232" i="1"/>
  <c r="CB233" i="1"/>
  <c r="HD236" i="1"/>
  <c r="G260" i="2"/>
  <c r="D544" i="3"/>
  <c r="D264" i="2"/>
  <c r="AW243" i="1"/>
  <c r="D272" i="2"/>
  <c r="CB244" i="1"/>
  <c r="F270" i="2"/>
  <c r="HD249" i="1"/>
  <c r="HC249" i="1"/>
  <c r="HB249" i="1"/>
  <c r="HC255" i="1"/>
  <c r="HD255" i="1"/>
  <c r="HB255" i="1"/>
  <c r="HD196" i="1"/>
  <c r="HB196" i="1"/>
  <c r="CB197" i="1"/>
  <c r="CA198" i="1"/>
  <c r="E220" i="2" s="1"/>
  <c r="BF198" i="1"/>
  <c r="CB198" i="1" s="1"/>
  <c r="E217" i="2"/>
  <c r="GX198" i="1"/>
  <c r="CA199" i="1"/>
  <c r="BF199" i="1"/>
  <c r="CB199" i="1" s="1"/>
  <c r="CB201" i="1"/>
  <c r="F216" i="2"/>
  <c r="G217" i="2"/>
  <c r="GX205" i="1"/>
  <c r="CB206" i="1"/>
  <c r="CA207" i="1"/>
  <c r="BF207" i="1"/>
  <c r="CB207" i="1" s="1"/>
  <c r="D473" i="3"/>
  <c r="D230" i="2"/>
  <c r="GX207" i="1"/>
  <c r="E230" i="2"/>
  <c r="GX210" i="1"/>
  <c r="HB212" i="1"/>
  <c r="HD212" i="1"/>
  <c r="CA215" i="1"/>
  <c r="BF215" i="1"/>
  <c r="CB215" i="1" s="1"/>
  <c r="HC215" i="1"/>
  <c r="HB215" i="1"/>
  <c r="G233" i="2"/>
  <c r="D500" i="3"/>
  <c r="D243" i="2"/>
  <c r="GX219" i="1"/>
  <c r="HB221" i="1"/>
  <c r="HD221" i="1"/>
  <c r="E242" i="2"/>
  <c r="CA224" i="1"/>
  <c r="BF224" i="1"/>
  <c r="CB224" i="1" s="1"/>
  <c r="HC224" i="1"/>
  <c r="HB224" i="1"/>
  <c r="HD227" i="1"/>
  <c r="HC227" i="1"/>
  <c r="HB227" i="1"/>
  <c r="HB230" i="1"/>
  <c r="HD230" i="1"/>
  <c r="HC230" i="1"/>
  <c r="D517" i="3"/>
  <c r="D251" i="2"/>
  <c r="AW231" i="1"/>
  <c r="GX231" i="1"/>
  <c r="D271" i="2"/>
  <c r="HB251" i="1"/>
  <c r="HB256" i="1"/>
  <c r="HC256" i="1"/>
  <c r="HD256" i="1"/>
  <c r="E205" i="2"/>
  <c r="HB186" i="1"/>
  <c r="HD186" i="1"/>
  <c r="GX188" i="1"/>
  <c r="CA189" i="1"/>
  <c r="F207" i="2" s="1"/>
  <c r="BF189" i="1"/>
  <c r="CB189" i="1" s="1"/>
  <c r="G202" i="2"/>
  <c r="AV193" i="1"/>
  <c r="CB194" i="1"/>
  <c r="D443" i="3"/>
  <c r="D215" i="2"/>
  <c r="AV195" i="1"/>
  <c r="D458" i="3"/>
  <c r="D221" i="2"/>
  <c r="GX197" i="1"/>
  <c r="E212" i="2"/>
  <c r="AW198" i="1"/>
  <c r="E219" i="2"/>
  <c r="F212" i="2"/>
  <c r="DV203" i="1"/>
  <c r="F221" i="2" s="1"/>
  <c r="G214" i="2"/>
  <c r="GX206" i="1"/>
  <c r="S207" i="1"/>
  <c r="D480" i="3"/>
  <c r="D232" i="2"/>
  <c r="AW211" i="1"/>
  <c r="AW213" i="1"/>
  <c r="CB214" i="1"/>
  <c r="HB214" i="1"/>
  <c r="S215" i="1"/>
  <c r="AW215" i="1" s="1"/>
  <c r="HB218" i="1"/>
  <c r="AW220" i="1"/>
  <c r="E238" i="2"/>
  <c r="AW222" i="1"/>
  <c r="CB223" i="1"/>
  <c r="HD223" i="1"/>
  <c r="HC223" i="1"/>
  <c r="HB223" i="1"/>
  <c r="S224" i="1"/>
  <c r="AW224" i="1" s="1"/>
  <c r="HB226" i="1"/>
  <c r="CB247" i="1"/>
  <c r="D353" i="3"/>
  <c r="GM154" i="1"/>
  <c r="GX154" i="1" s="1"/>
  <c r="D380" i="3"/>
  <c r="S172" i="1"/>
  <c r="AW172" i="1" s="1"/>
  <c r="CA172" i="1"/>
  <c r="F188" i="2"/>
  <c r="S179" i="1"/>
  <c r="AW179" i="1" s="1"/>
  <c r="CS181" i="1"/>
  <c r="G193" i="2" s="1"/>
  <c r="GM181" i="1"/>
  <c r="S189" i="1"/>
  <c r="GM189" i="1"/>
  <c r="AW193" i="1"/>
  <c r="CA209" i="1"/>
  <c r="F230" i="2"/>
  <c r="GX213" i="1"/>
  <c r="G225" i="2"/>
  <c r="AW217" i="1"/>
  <c r="G232" i="2"/>
  <c r="CA218" i="1"/>
  <c r="E243" i="2"/>
  <c r="GX222" i="1"/>
  <c r="F238" i="2"/>
  <c r="AW225" i="1"/>
  <c r="F245" i="2"/>
  <c r="CA226" i="1"/>
  <c r="F246" i="2" s="1"/>
  <c r="HC248" i="1"/>
  <c r="HB248" i="1"/>
  <c r="HD248" i="1"/>
  <c r="HC199" i="1"/>
  <c r="HB199" i="1"/>
  <c r="F217" i="2"/>
  <c r="GX201" i="1"/>
  <c r="HD208" i="1"/>
  <c r="HC208" i="1"/>
  <c r="HB208" i="1"/>
  <c r="G230" i="2"/>
  <c r="GX217" i="1"/>
  <c r="F243" i="2"/>
  <c r="GX225" i="1"/>
  <c r="HB232" i="1"/>
  <c r="HD239" i="1"/>
  <c r="HC239" i="1"/>
  <c r="HB239" i="1"/>
  <c r="G251" i="2"/>
  <c r="AW241" i="1"/>
  <c r="G256" i="2"/>
  <c r="GX241" i="1"/>
  <c r="HC247" i="1"/>
  <c r="HD247" i="1"/>
  <c r="HB247" i="1"/>
  <c r="E189" i="2"/>
  <c r="AV174" i="1"/>
  <c r="D390" i="3" s="1"/>
  <c r="F193" i="2"/>
  <c r="D419" i="3"/>
  <c r="D204" i="2"/>
  <c r="GX183" i="1"/>
  <c r="CA184" i="1"/>
  <c r="CB186" i="1"/>
  <c r="HD191" i="1"/>
  <c r="HC191" i="1"/>
  <c r="CA193" i="1"/>
  <c r="CB195" i="1"/>
  <c r="E221" i="2"/>
  <c r="DV205" i="1"/>
  <c r="G221" i="2" s="1"/>
  <c r="D485" i="3"/>
  <c r="D234" i="2"/>
  <c r="H234" i="2" s="1"/>
  <c r="HD211" i="1"/>
  <c r="HC211" i="1"/>
  <c r="HB211" i="1"/>
  <c r="HD220" i="1"/>
  <c r="HC220" i="1"/>
  <c r="HB220" i="1"/>
  <c r="F251" i="2"/>
  <c r="AW237" i="1"/>
  <c r="HC244" i="1"/>
  <c r="HB244" i="1"/>
  <c r="HD244" i="1"/>
  <c r="AW265" i="1"/>
  <c r="G175" i="2"/>
  <c r="D391" i="3"/>
  <c r="D190" i="2"/>
  <c r="H190" i="2" s="1"/>
  <c r="GX172" i="1"/>
  <c r="CB178" i="1"/>
  <c r="CA178" i="1"/>
  <c r="F194" i="2" s="1"/>
  <c r="GX179" i="1"/>
  <c r="G195" i="2"/>
  <c r="CB184" i="1"/>
  <c r="E199" i="2"/>
  <c r="AW186" i="1"/>
  <c r="E204" i="2"/>
  <c r="CB193" i="1"/>
  <c r="D436" i="3"/>
  <c r="D212" i="2"/>
  <c r="H212" i="2" s="1"/>
  <c r="AW195" i="1"/>
  <c r="D446" i="3"/>
  <c r="D217" i="2"/>
  <c r="HC196" i="1"/>
  <c r="AW202" i="1"/>
  <c r="HD209" i="1"/>
  <c r="HC209" i="1"/>
  <c r="CB210" i="1"/>
  <c r="HC212" i="1"/>
  <c r="HD215" i="1"/>
  <c r="CB219" i="1"/>
  <c r="HC221" i="1"/>
  <c r="F247" i="2"/>
  <c r="CB251" i="1"/>
  <c r="HD262" i="1"/>
  <c r="HC262" i="1"/>
  <c r="HB262" i="1"/>
  <c r="G282" i="2"/>
  <c r="GX265" i="1"/>
  <c r="G244" i="2"/>
  <c r="D519" i="3"/>
  <c r="D253" i="2"/>
  <c r="CA231" i="1"/>
  <c r="E251" i="2"/>
  <c r="E256" i="2"/>
  <c r="GX234" i="1"/>
  <c r="F256" i="2"/>
  <c r="HD238" i="1"/>
  <c r="D546" i="3"/>
  <c r="D266" i="2"/>
  <c r="E269" i="2"/>
  <c r="G264" i="2"/>
  <c r="CA253" i="1"/>
  <c r="G272" i="2" s="1"/>
  <c r="HD254" i="1"/>
  <c r="HC254" i="1"/>
  <c r="E282" i="2"/>
  <c r="GX258" i="1"/>
  <c r="F283" i="2"/>
  <c r="HC383" i="1"/>
  <c r="HB383" i="1"/>
  <c r="HD383" i="1"/>
  <c r="D868" i="3"/>
  <c r="D420" i="2"/>
  <c r="AW387" i="1"/>
  <c r="E150" i="2"/>
  <c r="D335" i="3"/>
  <c r="D163" i="2"/>
  <c r="H163" i="2" s="1"/>
  <c r="D369" i="3"/>
  <c r="G201" i="2"/>
  <c r="D456" i="3"/>
  <c r="F214" i="2"/>
  <c r="E227" i="2"/>
  <c r="G228" i="2"/>
  <c r="D492" i="3"/>
  <c r="D240" i="2"/>
  <c r="H240" i="2" s="1"/>
  <c r="D513" i="3"/>
  <c r="D514" i="3"/>
  <c r="F241" i="2"/>
  <c r="AV229" i="1"/>
  <c r="D542" i="3"/>
  <c r="E253" i="2"/>
  <c r="BF237" i="1"/>
  <c r="CB237" i="1" s="1"/>
  <c r="BF239" i="1"/>
  <c r="CB239" i="1" s="1"/>
  <c r="HD242" i="1"/>
  <c r="GB243" i="1"/>
  <c r="F267" i="2"/>
  <c r="CS249" i="1"/>
  <c r="F271" i="2" s="1"/>
  <c r="CA251" i="1"/>
  <c r="AW263" i="1"/>
  <c r="CA266" i="1"/>
  <c r="G285" i="2" s="1"/>
  <c r="HD266" i="1"/>
  <c r="HD272" i="1"/>
  <c r="HC272" i="1"/>
  <c r="HD281" i="1"/>
  <c r="HC281" i="1"/>
  <c r="HB281" i="1"/>
  <c r="HC340" i="1"/>
  <c r="HD340" i="1"/>
  <c r="HB340" i="1"/>
  <c r="HC347" i="1"/>
  <c r="HB347" i="1"/>
  <c r="HD347" i="1"/>
  <c r="D429" i="3"/>
  <c r="E214" i="2"/>
  <c r="G215" i="2"/>
  <c r="D465" i="3"/>
  <c r="D227" i="2"/>
  <c r="H227" i="2" s="1"/>
  <c r="D486" i="3"/>
  <c r="D487" i="3"/>
  <c r="F228" i="2"/>
  <c r="D515" i="3"/>
  <c r="E241" i="2"/>
  <c r="HB229" i="1"/>
  <c r="D524" i="3"/>
  <c r="D254" i="2"/>
  <c r="GM233" i="1"/>
  <c r="GX233" i="1" s="1"/>
  <c r="HB236" i="1"/>
  <c r="HB238" i="1"/>
  <c r="D551" i="3"/>
  <c r="D267" i="2"/>
  <c r="E264" i="2"/>
  <c r="CA246" i="1"/>
  <c r="E272" i="2" s="1"/>
  <c r="CA247" i="1"/>
  <c r="HB250" i="1"/>
  <c r="GB251" i="1"/>
  <c r="HD251" i="1" s="1"/>
  <c r="D277" i="2"/>
  <c r="CB255" i="1"/>
  <c r="D585" i="3"/>
  <c r="CA259" i="1"/>
  <c r="CS259" i="1"/>
  <c r="CA261" i="1"/>
  <c r="HB261" i="1"/>
  <c r="CB266" i="1"/>
  <c r="HB268" i="1"/>
  <c r="HB269" i="1"/>
  <c r="E297" i="2"/>
  <c r="F297" i="2"/>
  <c r="GX273" i="1"/>
  <c r="HC278" i="1"/>
  <c r="HB278" i="1"/>
  <c r="D303" i="2"/>
  <c r="CA331" i="1"/>
  <c r="BL331" i="1"/>
  <c r="CB331" i="1" s="1"/>
  <c r="D460" i="3"/>
  <c r="F215" i="2"/>
  <c r="CA203" i="1"/>
  <c r="D488" i="3"/>
  <c r="E228" i="2"/>
  <c r="CA212" i="1"/>
  <c r="G229" i="2"/>
  <c r="D497" i="3"/>
  <c r="D241" i="2"/>
  <c r="H241" i="2" s="1"/>
  <c r="CA221" i="1"/>
  <c r="F242" i="2"/>
  <c r="G245" i="2"/>
  <c r="HC229" i="1"/>
  <c r="G248" i="2" s="1"/>
  <c r="CA230" i="1"/>
  <c r="D525" i="3"/>
  <c r="D531" i="3"/>
  <c r="HC236" i="1"/>
  <c r="F253" i="2"/>
  <c r="GX237" i="1"/>
  <c r="HC238" i="1"/>
  <c r="D552" i="3"/>
  <c r="D269" i="2"/>
  <c r="DV244" i="1"/>
  <c r="D566" i="3" s="1"/>
  <c r="GX246" i="1"/>
  <c r="CA248" i="1"/>
  <c r="HC250" i="1"/>
  <c r="D573" i="3"/>
  <c r="D279" i="2"/>
  <c r="D284" i="2"/>
  <c r="D580" i="3"/>
  <c r="D281" i="2"/>
  <c r="DV257" i="1"/>
  <c r="D593" i="3" s="1"/>
  <c r="CA258" i="1"/>
  <c r="CB259" i="1"/>
  <c r="CB261" i="1"/>
  <c r="F281" i="2"/>
  <c r="HC261" i="1"/>
  <c r="F287" i="2" s="1"/>
  <c r="CA262" i="1"/>
  <c r="CA263" i="1"/>
  <c r="HD268" i="1"/>
  <c r="AW274" i="1"/>
  <c r="E338" i="2"/>
  <c r="CA328" i="1"/>
  <c r="BL328" i="1"/>
  <c r="CB328" i="1" s="1"/>
  <c r="E188" i="2"/>
  <c r="D411" i="3"/>
  <c r="D201" i="2"/>
  <c r="D432" i="3"/>
  <c r="D433" i="3"/>
  <c r="F202" i="2"/>
  <c r="D461" i="3"/>
  <c r="E215" i="2"/>
  <c r="AV201" i="1"/>
  <c r="D470" i="3"/>
  <c r="D228" i="2"/>
  <c r="AV210" i="1"/>
  <c r="D471" i="3" s="1"/>
  <c r="AV219" i="1"/>
  <c r="D504" i="3"/>
  <c r="HD229" i="1"/>
  <c r="BF235" i="1"/>
  <c r="CB235" i="1" s="1"/>
  <c r="F269" i="2"/>
  <c r="GM253" i="1"/>
  <c r="HB254" i="1"/>
  <c r="E277" i="2"/>
  <c r="CB258" i="1"/>
  <c r="F282" i="2"/>
  <c r="HD261" i="1"/>
  <c r="D294" i="2"/>
  <c r="G294" i="2"/>
  <c r="HB285" i="1"/>
  <c r="HC293" i="1"/>
  <c r="HB293" i="1"/>
  <c r="HD293" i="1"/>
  <c r="D477" i="3"/>
  <c r="E229" i="2"/>
  <c r="F232" i="2"/>
  <c r="CA214" i="1"/>
  <c r="F233" i="2" s="1"/>
  <c r="D499" i="3"/>
  <c r="D242" i="2"/>
  <c r="H242" i="2" s="1"/>
  <c r="E245" i="2"/>
  <c r="CA223" i="1"/>
  <c r="E246" i="2" s="1"/>
  <c r="G238" i="2"/>
  <c r="G243" i="2"/>
  <c r="D258" i="2"/>
  <c r="CA232" i="1"/>
  <c r="DV233" i="1"/>
  <c r="D539" i="3" s="1"/>
  <c r="AW234" i="1"/>
  <c r="E255" i="2"/>
  <c r="HC235" i="1"/>
  <c r="F254" i="2"/>
  <c r="AV237" i="1"/>
  <c r="F255" i="2"/>
  <c r="CB242" i="1"/>
  <c r="CA244" i="1"/>
  <c r="D565" i="3" s="1"/>
  <c r="E267" i="2"/>
  <c r="CS246" i="1"/>
  <c r="E271" i="2" s="1"/>
  <c r="E268" i="2"/>
  <c r="D578" i="3"/>
  <c r="D280" i="2"/>
  <c r="D591" i="3"/>
  <c r="D595" i="3"/>
  <c r="CS258" i="1"/>
  <c r="E284" i="2" s="1"/>
  <c r="GX259" i="1"/>
  <c r="CS263" i="1"/>
  <c r="D588" i="3" s="1"/>
  <c r="D295" i="2"/>
  <c r="GX267" i="1"/>
  <c r="HB272" i="1"/>
  <c r="CA303" i="1"/>
  <c r="BF303" i="1"/>
  <c r="CB303" i="1" s="1"/>
  <c r="D696" i="3"/>
  <c r="D336" i="2"/>
  <c r="HD319" i="1"/>
  <c r="HB319" i="1"/>
  <c r="HC319" i="1"/>
  <c r="D416" i="3"/>
  <c r="D202" i="2"/>
  <c r="H202" i="2" s="1"/>
  <c r="CA185" i="1"/>
  <c r="CA194" i="1"/>
  <c r="D450" i="3"/>
  <c r="CA202" i="1"/>
  <c r="BF208" i="1"/>
  <c r="CB208" i="1" s="1"/>
  <c r="CA211" i="1"/>
  <c r="E233" i="2" s="1"/>
  <c r="BF217" i="1"/>
  <c r="CB217" i="1" s="1"/>
  <c r="CA220" i="1"/>
  <c r="D511" i="3" s="1"/>
  <c r="BF225" i="1"/>
  <c r="CB225" i="1" s="1"/>
  <c r="CA229" i="1"/>
  <c r="G246" i="2" s="1"/>
  <c r="CA233" i="1"/>
  <c r="BF236" i="1"/>
  <c r="CB236" i="1" s="1"/>
  <c r="CA238" i="1"/>
  <c r="F259" i="2" s="1"/>
  <c r="G255" i="2"/>
  <c r="GX245" i="1"/>
  <c r="F264" i="2"/>
  <c r="F272" i="2"/>
  <c r="AW253" i="1"/>
  <c r="CA260" i="1"/>
  <c r="BF260" i="1"/>
  <c r="CB260" i="1" s="1"/>
  <c r="HB260" i="1"/>
  <c r="HD260" i="1"/>
  <c r="CB267" i="1"/>
  <c r="D632" i="3"/>
  <c r="D306" i="2"/>
  <c r="AV279" i="1"/>
  <c r="D307" i="2"/>
  <c r="H307" i="2" s="1"/>
  <c r="AV183" i="1"/>
  <c r="D417" i="3" s="1"/>
  <c r="D423" i="3"/>
  <c r="D510" i="3"/>
  <c r="GB232" i="1"/>
  <c r="D526" i="3" s="1"/>
  <c r="CS235" i="1"/>
  <c r="E258" i="2" s="1"/>
  <c r="HB235" i="1"/>
  <c r="G254" i="2"/>
  <c r="D567" i="3"/>
  <c r="GX243" i="1"/>
  <c r="AW246" i="1"/>
  <c r="F266" i="2"/>
  <c r="BF250" i="1"/>
  <c r="CB250" i="1" s="1"/>
  <c r="D594" i="3"/>
  <c r="GB260" i="1"/>
  <c r="HC260" i="1" s="1"/>
  <c r="DV261" i="1"/>
  <c r="F286" i="2" s="1"/>
  <c r="G286" i="2"/>
  <c r="G290" i="2"/>
  <c r="BL277" i="1"/>
  <c r="CA277" i="1"/>
  <c r="G298" i="2" s="1"/>
  <c r="AW279" i="1"/>
  <c r="BL290" i="1"/>
  <c r="CB290" i="1" s="1"/>
  <c r="CA290" i="1"/>
  <c r="G321" i="2"/>
  <c r="GX301" i="1"/>
  <c r="F334" i="2"/>
  <c r="GX309" i="1"/>
  <c r="CB268" i="1"/>
  <c r="CA270" i="1"/>
  <c r="BF270" i="1"/>
  <c r="CB270" i="1" s="1"/>
  <c r="F293" i="2"/>
  <c r="CB274" i="1"/>
  <c r="GX275" i="1"/>
  <c r="D652" i="3"/>
  <c r="D316" i="2"/>
  <c r="AW291" i="1"/>
  <c r="D661" i="3"/>
  <c r="D320" i="2"/>
  <c r="H320" i="2" s="1"/>
  <c r="E321" i="2"/>
  <c r="GX294" i="1"/>
  <c r="DV297" i="1"/>
  <c r="F325" i="2" s="1"/>
  <c r="G316" i="2"/>
  <c r="AW301" i="1"/>
  <c r="D329" i="2"/>
  <c r="D689" i="3"/>
  <c r="D334" i="2"/>
  <c r="GX303" i="1"/>
  <c r="HC310" i="1"/>
  <c r="HB310" i="1"/>
  <c r="AW313" i="1"/>
  <c r="CA315" i="1"/>
  <c r="BF315" i="1"/>
  <c r="CB315" i="1" s="1"/>
  <c r="HC329" i="1"/>
  <c r="HB329" i="1"/>
  <c r="HD329" i="1"/>
  <c r="E364" i="2"/>
  <c r="D372" i="2"/>
  <c r="D403" i="2"/>
  <c r="H403" i="2" s="1"/>
  <c r="F399" i="2"/>
  <c r="GX369" i="1"/>
  <c r="E254" i="2"/>
  <c r="D564" i="3"/>
  <c r="D568" i="3"/>
  <c r="DV253" i="1"/>
  <c r="G273" i="2" s="1"/>
  <c r="GM257" i="1"/>
  <c r="GX257" i="1" s="1"/>
  <c r="S261" i="1"/>
  <c r="D571" i="3" s="1"/>
  <c r="S266" i="1"/>
  <c r="AW266" i="1" s="1"/>
  <c r="CS268" i="1"/>
  <c r="D297" i="2" s="1"/>
  <c r="H297" i="2" s="1"/>
  <c r="S270" i="1"/>
  <c r="GM270" i="1"/>
  <c r="D608" i="3" s="1"/>
  <c r="AV273" i="1"/>
  <c r="GM274" i="1"/>
  <c r="GX274" i="1" s="1"/>
  <c r="CB277" i="1"/>
  <c r="CA279" i="1"/>
  <c r="BF279" i="1"/>
  <c r="CB279" i="1" s="1"/>
  <c r="CA280" i="1"/>
  <c r="BF280" i="1"/>
  <c r="CB280" i="1" s="1"/>
  <c r="E308" i="2"/>
  <c r="HD284" i="1"/>
  <c r="HB284" i="1"/>
  <c r="E314" i="2" s="1"/>
  <c r="HC287" i="1"/>
  <c r="D662" i="3"/>
  <c r="D321" i="2"/>
  <c r="GX291" i="1"/>
  <c r="CB295" i="1"/>
  <c r="GX295" i="1"/>
  <c r="CS296" i="1"/>
  <c r="E323" i="2" s="1"/>
  <c r="D699" i="3"/>
  <c r="CA304" i="1"/>
  <c r="BL304" i="1"/>
  <c r="CB304" i="1" s="1"/>
  <c r="GX313" i="1"/>
  <c r="D342" i="2"/>
  <c r="D723" i="3"/>
  <c r="D349" i="2"/>
  <c r="D347" i="2"/>
  <c r="GX315" i="1"/>
  <c r="HB317" i="1"/>
  <c r="HD317" i="1"/>
  <c r="HC317" i="1"/>
  <c r="DV321" i="1"/>
  <c r="F351" i="2" s="1"/>
  <c r="CA325" i="1"/>
  <c r="D364" i="2"/>
  <c r="H364" i="2" s="1"/>
  <c r="HD328" i="1"/>
  <c r="BF339" i="1"/>
  <c r="CB339" i="1" s="1"/>
  <c r="CA339" i="1"/>
  <c r="D308" i="2"/>
  <c r="GX279" i="1"/>
  <c r="E311" i="2"/>
  <c r="HD283" i="1"/>
  <c r="HB283" i="1"/>
  <c r="AW285" i="1"/>
  <c r="G311" i="2"/>
  <c r="HB289" i="1"/>
  <c r="HD289" i="1"/>
  <c r="HC289" i="1"/>
  <c r="BF298" i="1"/>
  <c r="CB298" i="1" s="1"/>
  <c r="CA298" i="1"/>
  <c r="D338" i="2"/>
  <c r="E335" i="2"/>
  <c r="HB306" i="1"/>
  <c r="E340" i="2" s="1"/>
  <c r="HD306" i="1"/>
  <c r="HC306" i="1"/>
  <c r="CB307" i="1"/>
  <c r="HD307" i="1"/>
  <c r="HC307" i="1"/>
  <c r="HB307" i="1"/>
  <c r="CA316" i="1"/>
  <c r="BL316" i="1"/>
  <c r="CB316" i="1" s="1"/>
  <c r="CS320" i="1"/>
  <c r="HB320" i="1"/>
  <c r="HD320" i="1"/>
  <c r="HB325" i="1"/>
  <c r="HD332" i="1"/>
  <c r="HC332" i="1"/>
  <c r="HB332" i="1"/>
  <c r="CB265" i="1"/>
  <c r="D598" i="3"/>
  <c r="D290" i="2"/>
  <c r="AW267" i="1"/>
  <c r="D620" i="3"/>
  <c r="D299" i="2"/>
  <c r="D612" i="3"/>
  <c r="CA273" i="1"/>
  <c r="F298" i="2" s="1"/>
  <c r="G295" i="2"/>
  <c r="GX277" i="1"/>
  <c r="D642" i="3"/>
  <c r="D310" i="2"/>
  <c r="H310" i="2" s="1"/>
  <c r="CA281" i="1"/>
  <c r="BF281" i="1"/>
  <c r="CB281" i="1" s="1"/>
  <c r="AW282" i="1"/>
  <c r="CB282" i="1"/>
  <c r="D669" i="3"/>
  <c r="D323" i="2"/>
  <c r="CB292" i="1"/>
  <c r="CA297" i="1"/>
  <c r="DV301" i="1"/>
  <c r="G325" i="2" s="1"/>
  <c r="DV304" i="1"/>
  <c r="D701" i="3" s="1"/>
  <c r="CA306" i="1"/>
  <c r="BF306" i="1"/>
  <c r="CB306" i="1" s="1"/>
  <c r="G338" i="2"/>
  <c r="HB364" i="1"/>
  <c r="G281" i="2"/>
  <c r="DV266" i="1"/>
  <c r="CA267" i="1"/>
  <c r="DV270" i="1"/>
  <c r="E299" i="2" s="1"/>
  <c r="CB273" i="1"/>
  <c r="DV275" i="1"/>
  <c r="DV282" i="1"/>
  <c r="E312" i="2" s="1"/>
  <c r="CB283" i="1"/>
  <c r="F310" i="2"/>
  <c r="CA286" i="1"/>
  <c r="F311" i="2" s="1"/>
  <c r="S289" i="1"/>
  <c r="CB297" i="1"/>
  <c r="GX297" i="1"/>
  <c r="CA299" i="1"/>
  <c r="BF299" i="1"/>
  <c r="CB299" i="1" s="1"/>
  <c r="CS299" i="1"/>
  <c r="AW310" i="1"/>
  <c r="DV314" i="1"/>
  <c r="E347" i="2"/>
  <c r="GX318" i="1"/>
  <c r="CA319" i="1"/>
  <c r="BL319" i="1"/>
  <c r="CB319" i="1" s="1"/>
  <c r="D742" i="3"/>
  <c r="D359" i="2"/>
  <c r="HD334" i="1"/>
  <c r="HC334" i="1"/>
  <c r="HB334" i="1"/>
  <c r="CA341" i="1"/>
  <c r="BF341" i="1"/>
  <c r="CB341" i="1" s="1"/>
  <c r="F373" i="2"/>
  <c r="GX345" i="1"/>
  <c r="CA257" i="1"/>
  <c r="D285" i="2" s="1"/>
  <c r="F280" i="2"/>
  <c r="AV261" i="1"/>
  <c r="D579" i="3" s="1"/>
  <c r="CB263" i="1"/>
  <c r="D600" i="3"/>
  <c r="D292" i="2"/>
  <c r="GB269" i="1"/>
  <c r="HD269" i="1" s="1"/>
  <c r="E293" i="2"/>
  <c r="AV270" i="1"/>
  <c r="D606" i="3" s="1"/>
  <c r="GX271" i="1"/>
  <c r="CA272" i="1"/>
  <c r="F290" i="2"/>
  <c r="AW273" i="1"/>
  <c r="GB273" i="1"/>
  <c r="F294" i="2" s="1"/>
  <c r="DV274" i="1"/>
  <c r="F299" i="2" s="1"/>
  <c r="DV277" i="1"/>
  <c r="G299" i="2" s="1"/>
  <c r="BF278" i="1"/>
  <c r="CB278" i="1" s="1"/>
  <c r="DV279" i="1"/>
  <c r="E309" i="2"/>
  <c r="HD282" i="1"/>
  <c r="HC282" i="1"/>
  <c r="E313" i="2" s="1"/>
  <c r="D325" i="2"/>
  <c r="DV295" i="1"/>
  <c r="D674" i="3" s="1"/>
  <c r="F316" i="2"/>
  <c r="AW297" i="1"/>
  <c r="F323" i="2"/>
  <c r="HB299" i="1"/>
  <c r="HD299" i="1"/>
  <c r="BF302" i="1"/>
  <c r="CB302" i="1" s="1"/>
  <c r="CA302" i="1"/>
  <c r="G324" i="2" s="1"/>
  <c r="AW303" i="1"/>
  <c r="HD304" i="1"/>
  <c r="HC304" i="1"/>
  <c r="HD305" i="1"/>
  <c r="HC305" i="1"/>
  <c r="HB305" i="1"/>
  <c r="S306" i="1"/>
  <c r="HD310" i="1"/>
  <c r="GX311" i="1"/>
  <c r="D743" i="3"/>
  <c r="D360" i="2"/>
  <c r="GX327" i="1"/>
  <c r="G355" i="2"/>
  <c r="AW337" i="1"/>
  <c r="AW345" i="1"/>
  <c r="HC280" i="1"/>
  <c r="HD280" i="1"/>
  <c r="HB280" i="1"/>
  <c r="E306" i="2"/>
  <c r="AV282" i="1"/>
  <c r="CB286" i="1"/>
  <c r="GX292" i="1"/>
  <c r="E320" i="2"/>
  <c r="D333" i="2"/>
  <c r="CA308" i="1"/>
  <c r="BX308" i="1"/>
  <c r="HC308" i="1"/>
  <c r="HB308" i="1"/>
  <c r="F337" i="2"/>
  <c r="GB316" i="1"/>
  <c r="HD316" i="1" s="1"/>
  <c r="E342" i="2"/>
  <c r="AW318" i="1"/>
  <c r="HC323" i="1"/>
  <c r="HB323" i="1"/>
  <c r="D750" i="3"/>
  <c r="D362" i="2"/>
  <c r="HD344" i="1"/>
  <c r="HB344" i="1"/>
  <c r="HC344" i="1"/>
  <c r="HD350" i="1"/>
  <c r="HC350" i="1"/>
  <c r="HB350" i="1"/>
  <c r="D386" i="2"/>
  <c r="GX351" i="1"/>
  <c r="D596" i="3"/>
  <c r="E280" i="2"/>
  <c r="D605" i="3"/>
  <c r="D293" i="2"/>
  <c r="S286" i="1"/>
  <c r="AW286" i="1" s="1"/>
  <c r="DV286" i="1"/>
  <c r="F312" i="2" s="1"/>
  <c r="S290" i="1"/>
  <c r="AW290" i="1" s="1"/>
  <c r="DV290" i="1"/>
  <c r="G312" i="2" s="1"/>
  <c r="CA293" i="1"/>
  <c r="D673" i="3" s="1"/>
  <c r="E319" i="2"/>
  <c r="AV294" i="1"/>
  <c r="D660" i="3" s="1"/>
  <c r="F318" i="2"/>
  <c r="G318" i="2"/>
  <c r="F332" i="2"/>
  <c r="F336" i="2"/>
  <c r="S314" i="1"/>
  <c r="AW314" i="1" s="1"/>
  <c r="CA314" i="1"/>
  <c r="BF314" i="1"/>
  <c r="CB314" i="1" s="1"/>
  <c r="CA326" i="1"/>
  <c r="GB326" i="1"/>
  <c r="CA330" i="1"/>
  <c r="BF330" i="1"/>
  <c r="CB330" i="1" s="1"/>
  <c r="GB333" i="1"/>
  <c r="F359" i="2" s="1"/>
  <c r="D368" i="2"/>
  <c r="CB342" i="1"/>
  <c r="E375" i="2"/>
  <c r="E373" i="2"/>
  <c r="GX342" i="1"/>
  <c r="BX344" i="1"/>
  <c r="CA344" i="1"/>
  <c r="F375" i="2"/>
  <c r="G368" i="2"/>
  <c r="AW349" i="1"/>
  <c r="G373" i="2"/>
  <c r="GX349" i="1"/>
  <c r="CB350" i="1"/>
  <c r="D787" i="3"/>
  <c r="D381" i="2"/>
  <c r="AW351" i="1"/>
  <c r="HD357" i="1"/>
  <c r="HB357" i="1"/>
  <c r="AW363" i="1"/>
  <c r="CA366" i="1"/>
  <c r="BL366" i="1"/>
  <c r="CB366" i="1" s="1"/>
  <c r="E349" i="2"/>
  <c r="F349" i="2"/>
  <c r="G345" i="2"/>
  <c r="AV325" i="1"/>
  <c r="F363" i="2"/>
  <c r="D762" i="3"/>
  <c r="D370" i="2"/>
  <c r="D777" i="3"/>
  <c r="D375" i="2"/>
  <c r="H375" i="2" s="1"/>
  <c r="D770" i="3"/>
  <c r="D373" i="2"/>
  <c r="H373" i="2" s="1"/>
  <c r="GX339" i="1"/>
  <c r="E368" i="2"/>
  <c r="AW342" i="1"/>
  <c r="D390" i="2"/>
  <c r="HD355" i="1"/>
  <c r="HC355" i="1"/>
  <c r="HB355" i="1"/>
  <c r="HB356" i="1"/>
  <c r="HC356" i="1"/>
  <c r="D824" i="3"/>
  <c r="D399" i="2"/>
  <c r="GX363" i="1"/>
  <c r="E394" i="2"/>
  <c r="AW366" i="1"/>
  <c r="E403" i="2"/>
  <c r="CA377" i="1"/>
  <c r="BF377" i="1"/>
  <c r="CB377" i="1" s="1"/>
  <c r="D429" i="2"/>
  <c r="GB285" i="1"/>
  <c r="F307" i="2" s="1"/>
  <c r="G307" i="2"/>
  <c r="D672" i="3"/>
  <c r="G319" i="2"/>
  <c r="D703" i="3"/>
  <c r="E333" i="2"/>
  <c r="DV310" i="1"/>
  <c r="F338" i="2" s="1"/>
  <c r="CA313" i="1"/>
  <c r="D730" i="3"/>
  <c r="AV321" i="1"/>
  <c r="D741" i="3"/>
  <c r="D753" i="3"/>
  <c r="CA332" i="1"/>
  <c r="BF332" i="1"/>
  <c r="CB332" i="1" s="1"/>
  <c r="F360" i="2"/>
  <c r="GX333" i="1"/>
  <c r="BF334" i="1"/>
  <c r="CB334" i="1" s="1"/>
  <c r="CA334" i="1"/>
  <c r="D780" i="3"/>
  <c r="AW340" i="1"/>
  <c r="DV340" i="1"/>
  <c r="GX341" i="1"/>
  <c r="E377" i="2"/>
  <c r="CB347" i="1"/>
  <c r="HC352" i="1"/>
  <c r="HD352" i="1"/>
  <c r="HD353" i="1"/>
  <c r="HC353" i="1"/>
  <c r="HD367" i="1"/>
  <c r="HC367" i="1"/>
  <c r="HB367" i="1"/>
  <c r="D645" i="3"/>
  <c r="BF291" i="1"/>
  <c r="CB291" i="1" s="1"/>
  <c r="D681" i="3"/>
  <c r="D331" i="2"/>
  <c r="H331" i="2" s="1"/>
  <c r="D702" i="3"/>
  <c r="D704" i="3"/>
  <c r="CB308" i="1"/>
  <c r="CA310" i="1"/>
  <c r="BF310" i="1"/>
  <c r="CB310" i="1" s="1"/>
  <c r="G333" i="2"/>
  <c r="D708" i="3"/>
  <c r="D344" i="2"/>
  <c r="H344" i="2" s="1"/>
  <c r="D729" i="3"/>
  <c r="D731" i="3"/>
  <c r="E345" i="2"/>
  <c r="AV318" i="1"/>
  <c r="CA322" i="1"/>
  <c r="F350" i="2" s="1"/>
  <c r="BF323" i="1"/>
  <c r="CB323" i="1" s="1"/>
  <c r="D757" i="3"/>
  <c r="F355" i="2"/>
  <c r="AW333" i="1"/>
  <c r="F362" i="2"/>
  <c r="G359" i="2"/>
  <c r="DV339" i="1"/>
  <c r="BX342" i="1"/>
  <c r="CA342" i="1"/>
  <c r="E376" i="2" s="1"/>
  <c r="F371" i="2"/>
  <c r="AV345" i="1"/>
  <c r="D768" i="3" s="1"/>
  <c r="DV345" i="1"/>
  <c r="HD346" i="1"/>
  <c r="HC346" i="1"/>
  <c r="D411" i="2"/>
  <c r="G279" i="2"/>
  <c r="D618" i="3"/>
  <c r="F292" i="2"/>
  <c r="D649" i="3"/>
  <c r="AV285" i="1"/>
  <c r="AV289" i="1"/>
  <c r="D654" i="3"/>
  <c r="D318" i="2"/>
  <c r="H318" i="2" s="1"/>
  <c r="D675" i="3"/>
  <c r="D677" i="3"/>
  <c r="BF294" i="1"/>
  <c r="CB294" i="1" s="1"/>
  <c r="BF296" i="1"/>
  <c r="CB296" i="1" s="1"/>
  <c r="GM298" i="1"/>
  <c r="GX298" i="1" s="1"/>
  <c r="GM302" i="1"/>
  <c r="GX302" i="1" s="1"/>
  <c r="BF309" i="1"/>
  <c r="CB309" i="1" s="1"/>
  <c r="GM314" i="1"/>
  <c r="GX314" i="1" s="1"/>
  <c r="DV316" i="1"/>
  <c r="D728" i="3" s="1"/>
  <c r="S322" i="1"/>
  <c r="AW322" i="1" s="1"/>
  <c r="DV328" i="1"/>
  <c r="D755" i="3" s="1"/>
  <c r="E360" i="2"/>
  <c r="GX330" i="1"/>
  <c r="GX335" i="1"/>
  <c r="CA337" i="1"/>
  <c r="BF338" i="1"/>
  <c r="CB338" i="1" s="1"/>
  <c r="CA338" i="1"/>
  <c r="G371" i="2"/>
  <c r="AV349" i="1"/>
  <c r="CA354" i="1"/>
  <c r="BL354" i="1"/>
  <c r="CB354" i="1" s="1"/>
  <c r="CA365" i="1"/>
  <c r="BF365" i="1"/>
  <c r="CB365" i="1" s="1"/>
  <c r="HB368" i="1"/>
  <c r="HD368" i="1"/>
  <c r="HC368" i="1"/>
  <c r="HD376" i="1"/>
  <c r="HC376" i="1"/>
  <c r="HB376" i="1"/>
  <c r="E292" i="2"/>
  <c r="G293" i="2"/>
  <c r="D627" i="3"/>
  <c r="D305" i="2"/>
  <c r="H305" i="2" s="1"/>
  <c r="D648" i="3"/>
  <c r="D650" i="3"/>
  <c r="CB284" i="1"/>
  <c r="CA284" i="1"/>
  <c r="GM286" i="1"/>
  <c r="GX286" i="1" s="1"/>
  <c r="F309" i="2" s="1"/>
  <c r="GM290" i="1"/>
  <c r="GX290" i="1" s="1"/>
  <c r="G309" i="2" s="1"/>
  <c r="E332" i="2"/>
  <c r="AV306" i="1"/>
  <c r="E336" i="2"/>
  <c r="F329" i="2"/>
  <c r="AW309" i="1"/>
  <c r="G336" i="2"/>
  <c r="S320" i="1"/>
  <c r="AW320" i="1" s="1"/>
  <c r="CA320" i="1"/>
  <c r="BF320" i="1"/>
  <c r="CB320" i="1" s="1"/>
  <c r="GX321" i="1"/>
  <c r="CA327" i="1"/>
  <c r="HC328" i="1"/>
  <c r="E358" i="2"/>
  <c r="AV330" i="1"/>
  <c r="HD331" i="1"/>
  <c r="HC331" i="1"/>
  <c r="HB331" i="1"/>
  <c r="CB337" i="1"/>
  <c r="G360" i="2"/>
  <c r="GX337" i="1"/>
  <c r="E371" i="2"/>
  <c r="AV342" i="1"/>
  <c r="D385" i="2"/>
  <c r="E381" i="2"/>
  <c r="AW354" i="1"/>
  <c r="E387" i="2"/>
  <c r="HD354" i="1"/>
  <c r="HC354" i="1"/>
  <c r="HB354" i="1"/>
  <c r="CA375" i="1"/>
  <c r="BF375" i="1"/>
  <c r="CB375" i="1" s="1"/>
  <c r="HB392" i="1"/>
  <c r="HD392" i="1"/>
  <c r="HC392" i="1"/>
  <c r="E303" i="2"/>
  <c r="F308" i="2"/>
  <c r="D666" i="3"/>
  <c r="E318" i="2"/>
  <c r="D687" i="3"/>
  <c r="E334" i="2"/>
  <c r="GB309" i="1"/>
  <c r="F333" i="2" s="1"/>
  <c r="HC316" i="1"/>
  <c r="CA318" i="1"/>
  <c r="BF318" i="1"/>
  <c r="CB318" i="1" s="1"/>
  <c r="F342" i="2"/>
  <c r="AW321" i="1"/>
  <c r="G342" i="2"/>
  <c r="AW325" i="1"/>
  <c r="GB325" i="1"/>
  <c r="G346" i="2" s="1"/>
  <c r="DV326" i="1"/>
  <c r="G351" i="2" s="1"/>
  <c r="D733" i="3"/>
  <c r="D355" i="2"/>
  <c r="CB327" i="1"/>
  <c r="AW330" i="1"/>
  <c r="DV333" i="1"/>
  <c r="F364" i="2" s="1"/>
  <c r="GX338" i="1"/>
  <c r="HD343" i="1"/>
  <c r="HC343" i="1"/>
  <c r="HB343" i="1"/>
  <c r="CA346" i="1"/>
  <c r="F376" i="2" s="1"/>
  <c r="D804" i="3"/>
  <c r="D388" i="2"/>
  <c r="H388" i="2" s="1"/>
  <c r="HD356" i="1"/>
  <c r="F384" i="2"/>
  <c r="AV357" i="1"/>
  <c r="D878" i="3"/>
  <c r="D425" i="2"/>
  <c r="GX387" i="1"/>
  <c r="G358" i="2"/>
  <c r="D784" i="3"/>
  <c r="S358" i="1"/>
  <c r="AW358" i="1" s="1"/>
  <c r="CB358" i="1"/>
  <c r="CA358" i="1"/>
  <c r="F389" i="2" s="1"/>
  <c r="G386" i="2"/>
  <c r="DV362" i="1"/>
  <c r="D837" i="3"/>
  <c r="S365" i="1"/>
  <c r="AW365" i="1" s="1"/>
  <c r="E398" i="2"/>
  <c r="F396" i="2"/>
  <c r="DV373" i="1"/>
  <c r="G403" i="2" s="1"/>
  <c r="D858" i="3"/>
  <c r="D414" i="2"/>
  <c r="HB379" i="1"/>
  <c r="DV383" i="1"/>
  <c r="D863" i="3" s="1"/>
  <c r="HD385" i="1"/>
  <c r="HC385" i="1"/>
  <c r="HB385" i="1"/>
  <c r="DV386" i="1"/>
  <c r="HD389" i="1"/>
  <c r="HC389" i="1"/>
  <c r="HB389" i="1"/>
  <c r="HB391" i="1"/>
  <c r="HD391" i="1"/>
  <c r="DV395" i="1"/>
  <c r="CB398" i="1"/>
  <c r="D785" i="3"/>
  <c r="CB344" i="1"/>
  <c r="D807" i="3"/>
  <c r="E388" i="2"/>
  <c r="D828" i="3"/>
  <c r="E401" i="2"/>
  <c r="CB368" i="1"/>
  <c r="F401" i="2"/>
  <c r="CB370" i="1"/>
  <c r="CA370" i="1"/>
  <c r="CA373" i="1"/>
  <c r="DV374" i="1"/>
  <c r="D841" i="3"/>
  <c r="D407" i="2"/>
  <c r="AW375" i="1"/>
  <c r="HD377" i="1"/>
  <c r="HC377" i="1"/>
  <c r="HB377" i="1"/>
  <c r="CB378" i="1"/>
  <c r="E411" i="2"/>
  <c r="GB381" i="1"/>
  <c r="F411" i="2" s="1"/>
  <c r="HD388" i="1"/>
  <c r="HC388" i="1"/>
  <c r="HB388" i="1"/>
  <c r="HC398" i="1"/>
  <c r="HB398" i="1"/>
  <c r="D735" i="3"/>
  <c r="D357" i="2"/>
  <c r="D756" i="3"/>
  <c r="D758" i="3"/>
  <c r="D812" i="3"/>
  <c r="E384" i="2"/>
  <c r="AV354" i="1"/>
  <c r="D795" i="3" s="1"/>
  <c r="DV357" i="1"/>
  <c r="F390" i="2" s="1"/>
  <c r="AV361" i="1"/>
  <c r="CB362" i="1"/>
  <c r="CA362" i="1"/>
  <c r="DV364" i="1"/>
  <c r="D836" i="3" s="1"/>
  <c r="GX365" i="1"/>
  <c r="F397" i="2"/>
  <c r="AV369" i="1"/>
  <c r="HC371" i="1"/>
  <c r="HB371" i="1"/>
  <c r="G398" i="2"/>
  <c r="D851" i="3"/>
  <c r="D412" i="2"/>
  <c r="GX375" i="1"/>
  <c r="AW378" i="1"/>
  <c r="E414" i="2"/>
  <c r="D659" i="3"/>
  <c r="D319" i="2"/>
  <c r="H319" i="2" s="1"/>
  <c r="D686" i="3"/>
  <c r="D332" i="2"/>
  <c r="H332" i="2" s="1"/>
  <c r="D713" i="3"/>
  <c r="D345" i="2"/>
  <c r="H345" i="2" s="1"/>
  <c r="GM322" i="1"/>
  <c r="GX322" i="1" s="1"/>
  <c r="GM326" i="1"/>
  <c r="GX326" i="1" s="1"/>
  <c r="D774" i="3"/>
  <c r="E370" i="2"/>
  <c r="BF345" i="1"/>
  <c r="CB345" i="1" s="1"/>
  <c r="BF349" i="1"/>
  <c r="CB349" i="1" s="1"/>
  <c r="DV349" i="1"/>
  <c r="G377" i="2" s="1"/>
  <c r="CA350" i="1"/>
  <c r="G376" i="2" s="1"/>
  <c r="D810" i="3"/>
  <c r="E386" i="2"/>
  <c r="F381" i="2"/>
  <c r="AW357" i="1"/>
  <c r="GM358" i="1"/>
  <c r="GX358" i="1" s="1"/>
  <c r="F387" i="2" s="1"/>
  <c r="D816" i="3"/>
  <c r="D396" i="2"/>
  <c r="E399" i="2"/>
  <c r="GX366" i="1"/>
  <c r="DV369" i="1"/>
  <c r="F403" i="2" s="1"/>
  <c r="G394" i="2"/>
  <c r="AW373" i="1"/>
  <c r="AW376" i="1"/>
  <c r="HD379" i="1"/>
  <c r="CA385" i="1"/>
  <c r="G415" i="2" s="1"/>
  <c r="AW391" i="1"/>
  <c r="F426" i="2"/>
  <c r="HD393" i="1"/>
  <c r="HC393" i="1"/>
  <c r="HB393" i="1"/>
  <c r="F431" i="2" s="1"/>
  <c r="D693" i="3"/>
  <c r="D714" i="3"/>
  <c r="D720" i="3"/>
  <c r="D747" i="3"/>
  <c r="E357" i="2"/>
  <c r="BF340" i="1"/>
  <c r="CB340" i="1" s="1"/>
  <c r="S346" i="1"/>
  <c r="AW346" i="1" s="1"/>
  <c r="DV346" i="1"/>
  <c r="BF351" i="1"/>
  <c r="CB351" i="1" s="1"/>
  <c r="CA352" i="1"/>
  <c r="D808" i="3" s="1"/>
  <c r="CA353" i="1"/>
  <c r="D389" i="2" s="1"/>
  <c r="GB357" i="1"/>
  <c r="F385" i="2" s="1"/>
  <c r="GX359" i="1"/>
  <c r="DV361" i="1"/>
  <c r="GX361" i="1"/>
  <c r="D831" i="3"/>
  <c r="D401" i="2"/>
  <c r="H401" i="2" s="1"/>
  <c r="D838" i="3"/>
  <c r="GB364" i="1"/>
  <c r="HC364" i="1" s="1"/>
  <c r="CA369" i="1"/>
  <c r="F402" i="2" s="1"/>
  <c r="GX370" i="1"/>
  <c r="G399" i="2"/>
  <c r="GX373" i="1"/>
  <c r="CA374" i="1"/>
  <c r="DV376" i="1"/>
  <c r="D416" i="2" s="1"/>
  <c r="CA380" i="1"/>
  <c r="E415" i="2" s="1"/>
  <c r="F414" i="2"/>
  <c r="CB383" i="1"/>
  <c r="CA386" i="1"/>
  <c r="BF386" i="1"/>
  <c r="CB386" i="1" s="1"/>
  <c r="CA388" i="1"/>
  <c r="BF388" i="1"/>
  <c r="CB388" i="1" s="1"/>
  <c r="CA389" i="1"/>
  <c r="BF389" i="1"/>
  <c r="CB389" i="1" s="1"/>
  <c r="G372" i="2"/>
  <c r="D789" i="3"/>
  <c r="D383" i="2"/>
  <c r="H383" i="2" s="1"/>
  <c r="D801" i="3"/>
  <c r="CB356" i="1"/>
  <c r="G381" i="2"/>
  <c r="AW361" i="1"/>
  <c r="CA361" i="1"/>
  <c r="G389" i="2" s="1"/>
  <c r="GX362" i="1"/>
  <c r="CA364" i="1"/>
  <c r="D402" i="2" s="1"/>
  <c r="BF364" i="1"/>
  <c r="CB364" i="1" s="1"/>
  <c r="DV365" i="1"/>
  <c r="CB367" i="1"/>
  <c r="F398" i="2"/>
  <c r="G396" i="2"/>
  <c r="D849" i="3"/>
  <c r="HB380" i="1"/>
  <c r="E418" i="2" s="1"/>
  <c r="HD380" i="1"/>
  <c r="CA381" i="1"/>
  <c r="F413" i="2"/>
  <c r="HC381" i="1"/>
  <c r="F417" i="2" s="1"/>
  <c r="CB385" i="1"/>
  <c r="D889" i="3"/>
  <c r="D428" i="2"/>
  <c r="E426" i="2"/>
  <c r="HD390" i="1"/>
  <c r="HC390" i="1"/>
  <c r="HB390" i="1"/>
  <c r="E431" i="2" s="1"/>
  <c r="F357" i="2"/>
  <c r="G357" i="2"/>
  <c r="GB345" i="1"/>
  <c r="F372" i="2" s="1"/>
  <c r="CB355" i="1"/>
  <c r="F386" i="2"/>
  <c r="DV358" i="1"/>
  <c r="GB361" i="1"/>
  <c r="G385" i="2" s="1"/>
  <c r="D834" i="3"/>
  <c r="F394" i="2"/>
  <c r="AW369" i="1"/>
  <c r="HD371" i="1"/>
  <c r="G401" i="2"/>
  <c r="CS374" i="1"/>
  <c r="HD374" i="1"/>
  <c r="HC374" i="1"/>
  <c r="AV378" i="1"/>
  <c r="E413" i="2"/>
  <c r="HD378" i="1"/>
  <c r="HC378" i="1"/>
  <c r="E417" i="2" s="1"/>
  <c r="CB381" i="1"/>
  <c r="BL382" i="1"/>
  <c r="CA382" i="1"/>
  <c r="HD382" i="1"/>
  <c r="HC382" i="1"/>
  <c r="HB382" i="1"/>
  <c r="F418" i="2" s="1"/>
  <c r="CB395" i="1"/>
  <c r="HD395" i="1"/>
  <c r="HC395" i="1"/>
  <c r="HB395" i="1"/>
  <c r="D843" i="3"/>
  <c r="D409" i="2"/>
  <c r="D864" i="3"/>
  <c r="D865" i="3"/>
  <c r="F410" i="2"/>
  <c r="D891" i="3"/>
  <c r="CA395" i="1"/>
  <c r="F428" i="2" s="1"/>
  <c r="D839" i="3"/>
  <c r="E397" i="2"/>
  <c r="AV373" i="1"/>
  <c r="D866" i="3"/>
  <c r="E412" i="2"/>
  <c r="AV381" i="1"/>
  <c r="F412" i="2"/>
  <c r="BF387" i="1"/>
  <c r="CB387" i="1" s="1"/>
  <c r="E425" i="2"/>
  <c r="AV393" i="1"/>
  <c r="HB394" i="1"/>
  <c r="AW395" i="1"/>
  <c r="D740" i="3"/>
  <c r="D358" i="2"/>
  <c r="H358" i="2" s="1"/>
  <c r="D767" i="3"/>
  <c r="D371" i="2"/>
  <c r="D794" i="3"/>
  <c r="D384" i="2"/>
  <c r="H384" i="2" s="1"/>
  <c r="D821" i="3"/>
  <c r="D397" i="2"/>
  <c r="H397" i="2" s="1"/>
  <c r="AV366" i="1"/>
  <c r="D822" i="3" s="1"/>
  <c r="D410" i="2"/>
  <c r="H410" i="2" s="1"/>
  <c r="D848" i="3"/>
  <c r="GB387" i="1"/>
  <c r="D882" i="3"/>
  <c r="F425" i="2"/>
  <c r="HC394" i="1"/>
  <c r="G425" i="2"/>
  <c r="GX397" i="1"/>
  <c r="H18" i="2"/>
  <c r="D855" i="3"/>
  <c r="E407" i="2"/>
  <c r="CA379" i="1"/>
  <c r="D422" i="2"/>
  <c r="D870" i="3"/>
  <c r="E420" i="2"/>
  <c r="E428" i="2"/>
  <c r="CA355" i="1"/>
  <c r="CA367" i="1"/>
  <c r="BF376" i="1"/>
  <c r="CB376" i="1" s="1"/>
  <c r="E409" i="2"/>
  <c r="BF379" i="1"/>
  <c r="CB379" i="1" s="1"/>
  <c r="BF380" i="1"/>
  <c r="CB380" i="1" s="1"/>
  <c r="F407" i="2"/>
  <c r="DV381" i="1"/>
  <c r="D885" i="3"/>
  <c r="D427" i="2"/>
  <c r="H427" i="2" s="1"/>
  <c r="E422" i="2"/>
  <c r="BF391" i="1"/>
  <c r="CB391" i="1" s="1"/>
  <c r="BF392" i="1"/>
  <c r="CB392" i="1" s="1"/>
  <c r="F420" i="2"/>
  <c r="D875" i="3"/>
  <c r="D423" i="2"/>
  <c r="H423" i="2" s="1"/>
  <c r="D892" i="3"/>
  <c r="DV393" i="1"/>
  <c r="F429" i="2" s="1"/>
  <c r="DV397" i="1"/>
  <c r="G429" i="2" s="1"/>
  <c r="CA398" i="1"/>
  <c r="G428" i="2" s="1"/>
  <c r="F409" i="2"/>
  <c r="CB382" i="1"/>
  <c r="G407" i="2"/>
  <c r="DV385" i="1"/>
  <c r="G416" i="2" s="1"/>
  <c r="GX386" i="1"/>
  <c r="G413" i="2" s="1"/>
  <c r="D876" i="3"/>
  <c r="E423" i="2"/>
  <c r="CS390" i="1"/>
  <c r="E427" i="2" s="1"/>
  <c r="G420" i="2"/>
  <c r="H31" i="2"/>
  <c r="G422" i="2"/>
  <c r="H109" i="2"/>
  <c r="H133" i="2"/>
  <c r="H96" i="2"/>
  <c r="H120" i="2"/>
  <c r="H83" i="2"/>
  <c r="H174" i="2"/>
  <c r="H185" i="2"/>
  <c r="H265" i="2"/>
  <c r="H252" i="2"/>
  <c r="H330" i="2"/>
  <c r="H354" i="2"/>
  <c r="H51" i="2" l="1"/>
  <c r="H389" i="2"/>
  <c r="E389" i="2"/>
  <c r="D823" i="3"/>
  <c r="H422" i="2"/>
  <c r="E430" i="2"/>
  <c r="D877" i="3"/>
  <c r="D424" i="2"/>
  <c r="H424" i="2" s="1"/>
  <c r="H371" i="2"/>
  <c r="HD370" i="1"/>
  <c r="HC370" i="1"/>
  <c r="HB370" i="1"/>
  <c r="HC359" i="1"/>
  <c r="HB359" i="1"/>
  <c r="HD359" i="1"/>
  <c r="G402" i="2"/>
  <c r="D835" i="3"/>
  <c r="E350" i="2"/>
  <c r="E391" i="2"/>
  <c r="HD335" i="1"/>
  <c r="HB335" i="1"/>
  <c r="HC335" i="1"/>
  <c r="HD302" i="1"/>
  <c r="HC302" i="1"/>
  <c r="HB302" i="1"/>
  <c r="D782" i="3"/>
  <c r="D377" i="2"/>
  <c r="H429" i="2"/>
  <c r="D809" i="3"/>
  <c r="H370" i="2"/>
  <c r="HC357" i="1"/>
  <c r="G374" i="2"/>
  <c r="HB349" i="1"/>
  <c r="G379" i="2" s="1"/>
  <c r="HD349" i="1"/>
  <c r="HC349" i="1"/>
  <c r="G378" i="2" s="1"/>
  <c r="H292" i="2"/>
  <c r="E337" i="2"/>
  <c r="E339" i="2"/>
  <c r="G335" i="2"/>
  <c r="HC313" i="1"/>
  <c r="HB313" i="1"/>
  <c r="HD313" i="1"/>
  <c r="D663" i="3"/>
  <c r="D322" i="2"/>
  <c r="HC291" i="1"/>
  <c r="HB291" i="1"/>
  <c r="HD291" i="1"/>
  <c r="F400" i="2"/>
  <c r="HD369" i="1"/>
  <c r="HB369" i="1"/>
  <c r="F405" i="2" s="1"/>
  <c r="HC369" i="1"/>
  <c r="F404" i="2" s="1"/>
  <c r="D690" i="3"/>
  <c r="D335" i="2"/>
  <c r="HB303" i="1"/>
  <c r="HD303" i="1"/>
  <c r="HC303" i="1"/>
  <c r="E322" i="2"/>
  <c r="HD294" i="1"/>
  <c r="HB294" i="1"/>
  <c r="HC294" i="1"/>
  <c r="HD275" i="1"/>
  <c r="HB275" i="1"/>
  <c r="HC275" i="1"/>
  <c r="D270" i="2"/>
  <c r="HB243" i="1"/>
  <c r="HD243" i="1"/>
  <c r="HC243" i="1"/>
  <c r="D615" i="3"/>
  <c r="H336" i="2"/>
  <c r="H280" i="2"/>
  <c r="D534" i="3"/>
  <c r="HC269" i="1"/>
  <c r="H267" i="2"/>
  <c r="H266" i="2"/>
  <c r="H253" i="2"/>
  <c r="D592" i="3"/>
  <c r="F218" i="2"/>
  <c r="HD201" i="1"/>
  <c r="HC201" i="1"/>
  <c r="F222" i="2" s="1"/>
  <c r="HB201" i="1"/>
  <c r="F223" i="2" s="1"/>
  <c r="F204" i="2"/>
  <c r="GX189" i="1"/>
  <c r="HC214" i="1"/>
  <c r="D463" i="3"/>
  <c r="D225" i="2"/>
  <c r="AW207" i="1"/>
  <c r="HD197" i="1"/>
  <c r="HC197" i="1"/>
  <c r="D451" i="3" s="1"/>
  <c r="HB197" i="1"/>
  <c r="H271" i="2"/>
  <c r="H243" i="2"/>
  <c r="HD200" i="1"/>
  <c r="HC200" i="1"/>
  <c r="HB200" i="1"/>
  <c r="H136" i="2"/>
  <c r="F191" i="2"/>
  <c r="E179" i="2"/>
  <c r="HB162" i="1"/>
  <c r="HD162" i="1"/>
  <c r="HC162" i="1"/>
  <c r="E168" i="2"/>
  <c r="D323" i="3"/>
  <c r="D220" i="3"/>
  <c r="D108" i="2"/>
  <c r="AW99" i="1"/>
  <c r="E87" i="2"/>
  <c r="G153" i="2"/>
  <c r="HB145" i="1"/>
  <c r="G158" i="2" s="1"/>
  <c r="HD145" i="1"/>
  <c r="HC145" i="1"/>
  <c r="G157" i="2" s="1"/>
  <c r="G134" i="2"/>
  <c r="AW133" i="1"/>
  <c r="E108" i="2"/>
  <c r="AW102" i="1"/>
  <c r="D230" i="3"/>
  <c r="D274" i="3"/>
  <c r="E103" i="2"/>
  <c r="E75" i="2"/>
  <c r="HD66" i="1"/>
  <c r="HC66" i="1"/>
  <c r="E79" i="2" s="1"/>
  <c r="HB66" i="1"/>
  <c r="E80" i="2" s="1"/>
  <c r="D296" i="3"/>
  <c r="D174" i="3"/>
  <c r="E86" i="2"/>
  <c r="E62" i="2"/>
  <c r="HD54" i="1"/>
  <c r="HB54" i="1"/>
  <c r="E67" i="2" s="1"/>
  <c r="HC54" i="1"/>
  <c r="E66" i="2" s="1"/>
  <c r="H71" i="2"/>
  <c r="H46" i="2"/>
  <c r="HD101" i="1"/>
  <c r="E60" i="2"/>
  <c r="D52" i="2"/>
  <c r="H52" i="2" s="1"/>
  <c r="H65" i="2"/>
  <c r="H34" i="2"/>
  <c r="H21" i="2"/>
  <c r="D106" i="3"/>
  <c r="HC47" i="1"/>
  <c r="F14" i="2"/>
  <c r="G62" i="2"/>
  <c r="HB61" i="1"/>
  <c r="G67" i="2" s="1"/>
  <c r="HD61" i="1"/>
  <c r="HC61" i="1"/>
  <c r="G66" i="2" s="1"/>
  <c r="D15" i="3"/>
  <c r="D10" i="2"/>
  <c r="HC3" i="1"/>
  <c r="HD3" i="1"/>
  <c r="HB3" i="1"/>
  <c r="HD326" i="1"/>
  <c r="HC326" i="1"/>
  <c r="HB326" i="1"/>
  <c r="G347" i="2"/>
  <c r="H428" i="2"/>
  <c r="HD362" i="1"/>
  <c r="HC362" i="1"/>
  <c r="HB362" i="1"/>
  <c r="E400" i="2"/>
  <c r="HD366" i="1"/>
  <c r="HC366" i="1"/>
  <c r="E404" i="2" s="1"/>
  <c r="HB366" i="1"/>
  <c r="E405" i="2" s="1"/>
  <c r="E361" i="2"/>
  <c r="HD330" i="1"/>
  <c r="HC330" i="1"/>
  <c r="E365" i="2" s="1"/>
  <c r="HB330" i="1"/>
  <c r="E366" i="2" s="1"/>
  <c r="HD298" i="1"/>
  <c r="HC298" i="1"/>
  <c r="HB298" i="1"/>
  <c r="HD341" i="1"/>
  <c r="HC341" i="1"/>
  <c r="HB341" i="1"/>
  <c r="H293" i="2"/>
  <c r="HD364" i="1"/>
  <c r="H299" i="2"/>
  <c r="D717" i="3"/>
  <c r="D348" i="2"/>
  <c r="HB315" i="1"/>
  <c r="HD315" i="1"/>
  <c r="HC315" i="1"/>
  <c r="G334" i="2"/>
  <c r="H334" i="2" s="1"/>
  <c r="G322" i="2"/>
  <c r="HB301" i="1"/>
  <c r="G327" i="2" s="1"/>
  <c r="HD301" i="1"/>
  <c r="HC301" i="1"/>
  <c r="G326" i="2" s="1"/>
  <c r="H228" i="2"/>
  <c r="H201" i="2"/>
  <c r="E270" i="2"/>
  <c r="HC246" i="1"/>
  <c r="E274" i="2" s="1"/>
  <c r="HD246" i="1"/>
  <c r="HB246" i="1"/>
  <c r="E275" i="2" s="1"/>
  <c r="E283" i="2"/>
  <c r="HD258" i="1"/>
  <c r="HC258" i="1"/>
  <c r="HB258" i="1"/>
  <c r="HC172" i="1"/>
  <c r="HB172" i="1"/>
  <c r="HD172" i="1"/>
  <c r="F244" i="2"/>
  <c r="HD225" i="1"/>
  <c r="HC225" i="1"/>
  <c r="F248" i="2" s="1"/>
  <c r="HB225" i="1"/>
  <c r="F249" i="2" s="1"/>
  <c r="F199" i="2"/>
  <c r="AW189" i="1"/>
  <c r="HD154" i="1"/>
  <c r="HC154" i="1"/>
  <c r="HB154" i="1"/>
  <c r="HD214" i="1"/>
  <c r="HD206" i="1"/>
  <c r="HC206" i="1"/>
  <c r="HB206" i="1"/>
  <c r="H221" i="2"/>
  <c r="D561" i="3"/>
  <c r="D484" i="3"/>
  <c r="D233" i="2"/>
  <c r="H233" i="2" s="1"/>
  <c r="E218" i="2"/>
  <c r="HC198" i="1"/>
  <c r="E222" i="2" s="1"/>
  <c r="HB198" i="1"/>
  <c r="E223" i="2" s="1"/>
  <c r="HD198" i="1"/>
  <c r="H245" i="2"/>
  <c r="H167" i="2"/>
  <c r="D216" i="2"/>
  <c r="H216" i="2" s="1"/>
  <c r="H188" i="2"/>
  <c r="E192" i="2"/>
  <c r="HC174" i="1"/>
  <c r="E196" i="2" s="1"/>
  <c r="HD174" i="1"/>
  <c r="HB174" i="1"/>
  <c r="E197" i="2" s="1"/>
  <c r="H128" i="2"/>
  <c r="HD80" i="1"/>
  <c r="HB80" i="1"/>
  <c r="HC80" i="1"/>
  <c r="D376" i="3"/>
  <c r="D186" i="2"/>
  <c r="H124" i="2"/>
  <c r="D214" i="3"/>
  <c r="D103" i="2"/>
  <c r="H103" i="2" s="1"/>
  <c r="E140" i="2"/>
  <c r="HC126" i="1"/>
  <c r="E144" i="2" s="1"/>
  <c r="HD126" i="1"/>
  <c r="HB126" i="1"/>
  <c r="E145" i="2" s="1"/>
  <c r="D269" i="3"/>
  <c r="D130" i="2"/>
  <c r="D187" i="3"/>
  <c r="D90" i="2"/>
  <c r="D94" i="3"/>
  <c r="D47" i="2"/>
  <c r="H47" i="2" s="1"/>
  <c r="G127" i="2"/>
  <c r="HD121" i="1"/>
  <c r="HB121" i="1"/>
  <c r="G132" i="2" s="1"/>
  <c r="HC121" i="1"/>
  <c r="G131" i="2" s="1"/>
  <c r="F114" i="2"/>
  <c r="HD105" i="1"/>
  <c r="HB105" i="1"/>
  <c r="HC105" i="1"/>
  <c r="G112" i="2"/>
  <c r="E49" i="2"/>
  <c r="HC42" i="1"/>
  <c r="E53" i="2" s="1"/>
  <c r="HB42" i="1"/>
  <c r="E54" i="2" s="1"/>
  <c r="HD42" i="1"/>
  <c r="F125" i="2"/>
  <c r="H85" i="2"/>
  <c r="D99" i="2"/>
  <c r="H99" i="2" s="1"/>
  <c r="D42" i="3"/>
  <c r="D23" i="2"/>
  <c r="HD15" i="1"/>
  <c r="HC15" i="1"/>
  <c r="HB15" i="1"/>
  <c r="G75" i="2"/>
  <c r="HC73" i="1"/>
  <c r="G79" i="2" s="1"/>
  <c r="HD73" i="1"/>
  <c r="HB73" i="1"/>
  <c r="G80" i="2" s="1"/>
  <c r="F140" i="2"/>
  <c r="HD129" i="1"/>
  <c r="HB129" i="1"/>
  <c r="F145" i="2" s="1"/>
  <c r="HC129" i="1"/>
  <c r="F144" i="2" s="1"/>
  <c r="H110" i="2"/>
  <c r="H19" i="2"/>
  <c r="HC101" i="1"/>
  <c r="E82" i="2"/>
  <c r="H89" i="2"/>
  <c r="D134" i="3"/>
  <c r="H9" i="2"/>
  <c r="E28" i="2"/>
  <c r="F322" i="2"/>
  <c r="HB297" i="1"/>
  <c r="F327" i="2" s="1"/>
  <c r="HD297" i="1"/>
  <c r="HC297" i="1"/>
  <c r="F326" i="2" s="1"/>
  <c r="G269" i="2"/>
  <c r="GX253" i="1"/>
  <c r="D555" i="3" s="1"/>
  <c r="F296" i="2"/>
  <c r="HD273" i="1"/>
  <c r="HB273" i="1"/>
  <c r="HC273" i="1"/>
  <c r="H420" i="2"/>
  <c r="G191" i="2"/>
  <c r="GX181" i="1"/>
  <c r="D528" i="3"/>
  <c r="D257" i="2"/>
  <c r="HD231" i="1"/>
  <c r="HC231" i="1"/>
  <c r="HB231" i="1"/>
  <c r="H272" i="2"/>
  <c r="H238" i="2"/>
  <c r="H229" i="2"/>
  <c r="HD161" i="1"/>
  <c r="HC161" i="1"/>
  <c r="HB161" i="1"/>
  <c r="HB115" i="1"/>
  <c r="HD115" i="1"/>
  <c r="HC115" i="1"/>
  <c r="HB143" i="1"/>
  <c r="HD143" i="1"/>
  <c r="HC143" i="1"/>
  <c r="G114" i="2"/>
  <c r="HC109" i="1"/>
  <c r="G118" i="2" s="1"/>
  <c r="HB109" i="1"/>
  <c r="G119" i="2" s="1"/>
  <c r="HD109" i="1"/>
  <c r="D49" i="2"/>
  <c r="HB39" i="1"/>
  <c r="HD39" i="1"/>
  <c r="HC39" i="1"/>
  <c r="H125" i="2"/>
  <c r="D202" i="3"/>
  <c r="D79" i="3"/>
  <c r="D38" i="2"/>
  <c r="H38" i="2" s="1"/>
  <c r="H60" i="2"/>
  <c r="D183" i="3"/>
  <c r="F23" i="2"/>
  <c r="HD21" i="1"/>
  <c r="HC21" i="1"/>
  <c r="F27" i="2" s="1"/>
  <c r="HB21" i="1"/>
  <c r="F28" i="2" s="1"/>
  <c r="G10" i="2"/>
  <c r="HC13" i="1"/>
  <c r="G14" i="2" s="1"/>
  <c r="HD13" i="1"/>
  <c r="HB13" i="1"/>
  <c r="G15" i="2" s="1"/>
  <c r="H86" i="2"/>
  <c r="F277" i="2"/>
  <c r="H277" i="2" s="1"/>
  <c r="AW261" i="1"/>
  <c r="F416" i="2"/>
  <c r="H416" i="2" s="1"/>
  <c r="G426" i="2"/>
  <c r="HD397" i="1"/>
  <c r="HC397" i="1"/>
  <c r="G430" i="2" s="1"/>
  <c r="HB397" i="1"/>
  <c r="G431" i="2" s="1"/>
  <c r="D398" i="2"/>
  <c r="H398" i="2" s="1"/>
  <c r="HD322" i="1"/>
  <c r="HC322" i="1"/>
  <c r="HB322" i="1"/>
  <c r="D426" i="2"/>
  <c r="H426" i="2" s="1"/>
  <c r="D879" i="3"/>
  <c r="HC387" i="1"/>
  <c r="HB387" i="1"/>
  <c r="HD387" i="1"/>
  <c r="HD338" i="1"/>
  <c r="HB338" i="1"/>
  <c r="HC338" i="1"/>
  <c r="D754" i="3"/>
  <c r="D363" i="2"/>
  <c r="F377" i="2"/>
  <c r="D771" i="3"/>
  <c r="D374" i="2"/>
  <c r="HD339" i="1"/>
  <c r="HB339" i="1"/>
  <c r="HC339" i="1"/>
  <c r="H333" i="2"/>
  <c r="H360" i="2"/>
  <c r="E348" i="2"/>
  <c r="HD318" i="1"/>
  <c r="HC318" i="1"/>
  <c r="E352" i="2" s="1"/>
  <c r="HB318" i="1"/>
  <c r="E353" i="2" s="1"/>
  <c r="F321" i="2"/>
  <c r="H321" i="2" s="1"/>
  <c r="F324" i="2"/>
  <c r="HD325" i="1"/>
  <c r="D636" i="3"/>
  <c r="D309" i="2"/>
  <c r="H309" i="2" s="1"/>
  <c r="HD279" i="1"/>
  <c r="HB279" i="1"/>
  <c r="HC279" i="1"/>
  <c r="D716" i="3"/>
  <c r="HD257" i="1"/>
  <c r="HC257" i="1"/>
  <c r="D586" i="3" s="1"/>
  <c r="HB257" i="1"/>
  <c r="D587" i="3" s="1"/>
  <c r="D727" i="3"/>
  <c r="D350" i="2"/>
  <c r="D634" i="3"/>
  <c r="D700" i="3"/>
  <c r="D337" i="2"/>
  <c r="F284" i="2"/>
  <c r="H284" i="2" s="1"/>
  <c r="H294" i="2"/>
  <c r="H269" i="2"/>
  <c r="F295" i="2"/>
  <c r="F288" i="2"/>
  <c r="G283" i="2"/>
  <c r="HD265" i="1"/>
  <c r="HB265" i="1"/>
  <c r="G288" i="2" s="1"/>
  <c r="HC265" i="1"/>
  <c r="G287" i="2" s="1"/>
  <c r="H217" i="2"/>
  <c r="D246" i="2"/>
  <c r="H246" i="2" s="1"/>
  <c r="D420" i="3"/>
  <c r="D205" i="2"/>
  <c r="HD183" i="1"/>
  <c r="HC183" i="1"/>
  <c r="HB183" i="1"/>
  <c r="G231" i="2"/>
  <c r="HD217" i="1"/>
  <c r="HC217" i="1"/>
  <c r="G235" i="2" s="1"/>
  <c r="HB217" i="1"/>
  <c r="G236" i="2" s="1"/>
  <c r="D444" i="3"/>
  <c r="HC188" i="1"/>
  <c r="E209" i="2" s="1"/>
  <c r="HB188" i="1"/>
  <c r="HD188" i="1"/>
  <c r="D286" i="2"/>
  <c r="H286" i="2" s="1"/>
  <c r="D256" i="2"/>
  <c r="H256" i="2" s="1"/>
  <c r="E231" i="2"/>
  <c r="HD210" i="1"/>
  <c r="HC210" i="1"/>
  <c r="E235" i="2" s="1"/>
  <c r="HB210" i="1"/>
  <c r="E236" i="2" s="1"/>
  <c r="G218" i="2"/>
  <c r="HD205" i="1"/>
  <c r="HB205" i="1"/>
  <c r="G223" i="2" s="1"/>
  <c r="HC205" i="1"/>
  <c r="G222" i="2" s="1"/>
  <c r="D283" i="2"/>
  <c r="H283" i="2" s="1"/>
  <c r="D490" i="3"/>
  <c r="D472" i="3"/>
  <c r="H219" i="2"/>
  <c r="D430" i="3"/>
  <c r="D207" i="2"/>
  <c r="HC182" i="1"/>
  <c r="HB182" i="1"/>
  <c r="HD182" i="1"/>
  <c r="D403" i="3"/>
  <c r="D194" i="2"/>
  <c r="H176" i="2"/>
  <c r="H149" i="2"/>
  <c r="HD187" i="1"/>
  <c r="D404" i="3"/>
  <c r="D195" i="2"/>
  <c r="H195" i="2" s="1"/>
  <c r="E203" i="2"/>
  <c r="D364" i="3"/>
  <c r="D220" i="2"/>
  <c r="H162" i="2"/>
  <c r="D349" i="3"/>
  <c r="D168" i="2"/>
  <c r="H168" i="2" s="1"/>
  <c r="D283" i="3"/>
  <c r="D138" i="2"/>
  <c r="H138" i="2" s="1"/>
  <c r="HD125" i="1"/>
  <c r="HB125" i="1"/>
  <c r="HC125" i="1"/>
  <c r="F130" i="2"/>
  <c r="D222" i="2"/>
  <c r="H222" i="2" s="1"/>
  <c r="F166" i="2"/>
  <c r="HB153" i="1"/>
  <c r="F171" i="2" s="1"/>
  <c r="HD153" i="1"/>
  <c r="HC153" i="1"/>
  <c r="F170" i="2" s="1"/>
  <c r="HB98" i="1"/>
  <c r="HD98" i="1"/>
  <c r="HC98" i="1"/>
  <c r="E116" i="2"/>
  <c r="D201" i="3"/>
  <c r="HD118" i="1"/>
  <c r="D112" i="2"/>
  <c r="H112" i="2" s="1"/>
  <c r="D101" i="2"/>
  <c r="HD87" i="1"/>
  <c r="HC87" i="1"/>
  <c r="HB87" i="1"/>
  <c r="E90" i="2"/>
  <c r="H45" i="2"/>
  <c r="E153" i="2"/>
  <c r="HC138" i="1"/>
  <c r="E157" i="2" s="1"/>
  <c r="HB138" i="1"/>
  <c r="E158" i="2" s="1"/>
  <c r="HD138" i="1"/>
  <c r="D256" i="3"/>
  <c r="H63" i="2"/>
  <c r="H102" i="2"/>
  <c r="E10" i="2"/>
  <c r="HD6" i="1"/>
  <c r="HC6" i="1"/>
  <c r="E14" i="2" s="1"/>
  <c r="HB6" i="1"/>
  <c r="E15" i="2" s="1"/>
  <c r="G48" i="2"/>
  <c r="H48" i="2" s="1"/>
  <c r="GX49" i="1"/>
  <c r="H32" i="2"/>
  <c r="D115" i="2"/>
  <c r="H115" i="2" s="1"/>
  <c r="D166" i="3"/>
  <c r="HD79" i="1"/>
  <c r="D121" i="3"/>
  <c r="G23" i="2"/>
  <c r="HC25" i="1"/>
  <c r="G27" i="2" s="1"/>
  <c r="HD25" i="1"/>
  <c r="HB25" i="1"/>
  <c r="G28" i="2" s="1"/>
  <c r="E12" i="2"/>
  <c r="E36" i="2"/>
  <c r="HD30" i="1"/>
  <c r="HC30" i="1"/>
  <c r="E40" i="2" s="1"/>
  <c r="HB30" i="1"/>
  <c r="E41" i="2" s="1"/>
  <c r="D67" i="2"/>
  <c r="H12" i="2"/>
  <c r="F36" i="2"/>
  <c r="HD33" i="1"/>
  <c r="HC33" i="1"/>
  <c r="F40" i="2" s="1"/>
  <c r="HB33" i="1"/>
  <c r="F41" i="2" s="1"/>
  <c r="H8" i="2"/>
  <c r="D104" i="2"/>
  <c r="E93" i="2"/>
  <c r="D175" i="3"/>
  <c r="D646" i="3"/>
  <c r="D311" i="2"/>
  <c r="H311" i="2" s="1"/>
  <c r="D852" i="3"/>
  <c r="D413" i="2"/>
  <c r="H413" i="2" s="1"/>
  <c r="HC375" i="1"/>
  <c r="HB375" i="1"/>
  <c r="HD375" i="1"/>
  <c r="HD365" i="1"/>
  <c r="HC365" i="1"/>
  <c r="HB365" i="1"/>
  <c r="H414" i="2"/>
  <c r="H425" i="2"/>
  <c r="F348" i="2"/>
  <c r="HB321" i="1"/>
  <c r="F353" i="2" s="1"/>
  <c r="HD321" i="1"/>
  <c r="HC321" i="1"/>
  <c r="F352" i="2" s="1"/>
  <c r="E402" i="2"/>
  <c r="H402" i="2" s="1"/>
  <c r="D760" i="3"/>
  <c r="D688" i="3"/>
  <c r="D647" i="3"/>
  <c r="D312" i="2"/>
  <c r="H312" i="2" s="1"/>
  <c r="HD271" i="1"/>
  <c r="HB271" i="1"/>
  <c r="HC271" i="1"/>
  <c r="D351" i="2"/>
  <c r="H351" i="2" s="1"/>
  <c r="G353" i="2"/>
  <c r="H338" i="2"/>
  <c r="G350" i="2"/>
  <c r="H349" i="2"/>
  <c r="HB274" i="1"/>
  <c r="HD274" i="1"/>
  <c r="HC274" i="1"/>
  <c r="H372" i="2"/>
  <c r="D679" i="3"/>
  <c r="E298" i="2"/>
  <c r="D633" i="3"/>
  <c r="HD245" i="1"/>
  <c r="HC245" i="1"/>
  <c r="HB245" i="1"/>
  <c r="D324" i="2"/>
  <c r="H324" i="2" s="1"/>
  <c r="HC259" i="1"/>
  <c r="HD259" i="1"/>
  <c r="HB259" i="1"/>
  <c r="D607" i="3"/>
  <c r="D554" i="3"/>
  <c r="D346" i="2"/>
  <c r="H346" i="2" s="1"/>
  <c r="F285" i="2"/>
  <c r="HD233" i="1"/>
  <c r="HC233" i="1"/>
  <c r="HB233" i="1"/>
  <c r="D553" i="3"/>
  <c r="D268" i="2"/>
  <c r="H268" i="2" s="1"/>
  <c r="E257" i="2"/>
  <c r="HD234" i="1"/>
  <c r="HC234" i="1"/>
  <c r="E261" i="2" s="1"/>
  <c r="HB234" i="1"/>
  <c r="E262" i="2" s="1"/>
  <c r="H204" i="2"/>
  <c r="F268" i="2"/>
  <c r="F231" i="2"/>
  <c r="HD213" i="1"/>
  <c r="HC213" i="1"/>
  <c r="F235" i="2" s="1"/>
  <c r="HB213" i="1"/>
  <c r="F236" i="2" s="1"/>
  <c r="F225" i="2"/>
  <c r="H215" i="2"/>
  <c r="D527" i="3"/>
  <c r="D582" i="3"/>
  <c r="H203" i="2"/>
  <c r="G166" i="2"/>
  <c r="HC157" i="1"/>
  <c r="G170" i="2" s="1"/>
  <c r="HB157" i="1"/>
  <c r="G171" i="2" s="1"/>
  <c r="HD157" i="1"/>
  <c r="G147" i="2"/>
  <c r="H147" i="2" s="1"/>
  <c r="AW145" i="1"/>
  <c r="H175" i="2"/>
  <c r="H193" i="2"/>
  <c r="HD167" i="1"/>
  <c r="HC167" i="1"/>
  <c r="F183" i="2" s="1"/>
  <c r="HB167" i="1"/>
  <c r="F184" i="2" s="1"/>
  <c r="D366" i="3"/>
  <c r="D179" i="2"/>
  <c r="HC159" i="1"/>
  <c r="HD159" i="1"/>
  <c r="HB159" i="1"/>
  <c r="HB106" i="1"/>
  <c r="HD106" i="1"/>
  <c r="HC106" i="1"/>
  <c r="F179" i="2"/>
  <c r="E166" i="2"/>
  <c r="HB150" i="1"/>
  <c r="E171" i="2" s="1"/>
  <c r="HD150" i="1"/>
  <c r="HC150" i="1"/>
  <c r="E170" i="2" s="1"/>
  <c r="F165" i="2"/>
  <c r="D318" i="3"/>
  <c r="D154" i="2"/>
  <c r="H154" i="2" s="1"/>
  <c r="H84" i="2"/>
  <c r="D339" i="3"/>
  <c r="D166" i="2"/>
  <c r="H166" i="2" s="1"/>
  <c r="HC147" i="1"/>
  <c r="HD147" i="1"/>
  <c r="HB147" i="1"/>
  <c r="E127" i="2"/>
  <c r="HD114" i="1"/>
  <c r="HB114" i="1"/>
  <c r="HC114" i="1"/>
  <c r="H98" i="2"/>
  <c r="D177" i="3"/>
  <c r="D88" i="2"/>
  <c r="HD75" i="1"/>
  <c r="HC75" i="1"/>
  <c r="HB75" i="1"/>
  <c r="H59" i="2"/>
  <c r="D188" i="3"/>
  <c r="D91" i="2"/>
  <c r="D129" i="3"/>
  <c r="D210" i="3"/>
  <c r="H56" i="2"/>
  <c r="F91" i="2"/>
  <c r="F77" i="2"/>
  <c r="HD88" i="1"/>
  <c r="D150" i="3"/>
  <c r="D75" i="2"/>
  <c r="H75" i="2" s="1"/>
  <c r="HD63" i="1"/>
  <c r="HC63" i="1"/>
  <c r="HB63" i="1"/>
  <c r="H73" i="2"/>
  <c r="G36" i="2"/>
  <c r="HD37" i="1"/>
  <c r="HC37" i="1"/>
  <c r="G40" i="2" s="1"/>
  <c r="HB37" i="1"/>
  <c r="G41" i="2" s="1"/>
  <c r="D74" i="3"/>
  <c r="D41" i="2"/>
  <c r="H41" i="2" s="1"/>
  <c r="E92" i="2"/>
  <c r="HD386" i="1"/>
  <c r="HC386" i="1"/>
  <c r="HB386" i="1"/>
  <c r="HC325" i="1"/>
  <c r="G352" i="2" s="1"/>
  <c r="H409" i="2"/>
  <c r="HD381" i="1"/>
  <c r="H396" i="2"/>
  <c r="H412" i="2"/>
  <c r="H407" i="2"/>
  <c r="H385" i="2"/>
  <c r="F347" i="2"/>
  <c r="H381" i="2"/>
  <c r="D798" i="3"/>
  <c r="D387" i="2"/>
  <c r="HC351" i="1"/>
  <c r="HB351" i="1"/>
  <c r="HD351" i="1"/>
  <c r="HD311" i="1"/>
  <c r="HC311" i="1"/>
  <c r="HB311" i="1"/>
  <c r="H359" i="2"/>
  <c r="E325" i="2"/>
  <c r="H323" i="2"/>
  <c r="G296" i="2"/>
  <c r="HC277" i="1"/>
  <c r="G300" i="2" s="1"/>
  <c r="HD277" i="1"/>
  <c r="HB277" i="1"/>
  <c r="G301" i="2" s="1"/>
  <c r="G348" i="2"/>
  <c r="D635" i="3"/>
  <c r="D769" i="3"/>
  <c r="G329" i="2"/>
  <c r="H316" i="2"/>
  <c r="H306" i="2"/>
  <c r="H279" i="2"/>
  <c r="D715" i="3"/>
  <c r="H254" i="2"/>
  <c r="D273" i="2"/>
  <c r="H273" i="2" s="1"/>
  <c r="E210" i="2"/>
  <c r="HC251" i="1"/>
  <c r="D474" i="3"/>
  <c r="D231" i="2"/>
  <c r="H231" i="2" s="1"/>
  <c r="HC207" i="1"/>
  <c r="HB207" i="1"/>
  <c r="HD207" i="1"/>
  <c r="F275" i="2"/>
  <c r="H264" i="2"/>
  <c r="H214" i="2"/>
  <c r="G186" i="2"/>
  <c r="AW181" i="1"/>
  <c r="E281" i="2"/>
  <c r="H281" i="2" s="1"/>
  <c r="G210" i="2"/>
  <c r="D452" i="3"/>
  <c r="D223" i="2"/>
  <c r="H223" i="2" s="1"/>
  <c r="D399" i="3"/>
  <c r="H173" i="2"/>
  <c r="H208" i="2"/>
  <c r="H137" i="2"/>
  <c r="G179" i="2"/>
  <c r="HD169" i="1"/>
  <c r="HC169" i="1"/>
  <c r="G183" i="2" s="1"/>
  <c r="HB169" i="1"/>
  <c r="G184" i="2" s="1"/>
  <c r="H123" i="2"/>
  <c r="H178" i="2"/>
  <c r="D257" i="3"/>
  <c r="D126" i="2"/>
  <c r="GX111" i="1"/>
  <c r="D393" i="3"/>
  <c r="D192" i="2"/>
  <c r="HB171" i="1"/>
  <c r="HC171" i="1"/>
  <c r="HD171" i="1"/>
  <c r="D312" i="3"/>
  <c r="D153" i="2"/>
  <c r="HC135" i="1"/>
  <c r="HD135" i="1"/>
  <c r="HB135" i="1"/>
  <c r="F127" i="2"/>
  <c r="HC117" i="1"/>
  <c r="F131" i="2" s="1"/>
  <c r="HD117" i="1"/>
  <c r="HB117" i="1"/>
  <c r="F132" i="2" s="1"/>
  <c r="F88" i="2"/>
  <c r="HD81" i="1"/>
  <c r="HC81" i="1"/>
  <c r="F92" i="2" s="1"/>
  <c r="HB81" i="1"/>
  <c r="F93" i="2" s="1"/>
  <c r="H165" i="2"/>
  <c r="HB136" i="1"/>
  <c r="HD136" i="1"/>
  <c r="HC136" i="1"/>
  <c r="H160" i="2"/>
  <c r="G139" i="2"/>
  <c r="H139" i="2" s="1"/>
  <c r="GX133" i="1"/>
  <c r="E134" i="2"/>
  <c r="E126" i="2"/>
  <c r="E101" i="2"/>
  <c r="HD90" i="1"/>
  <c r="HC90" i="1"/>
  <c r="E105" i="2" s="1"/>
  <c r="HB90" i="1"/>
  <c r="E106" i="2" s="1"/>
  <c r="G43" i="2"/>
  <c r="H43" i="2" s="1"/>
  <c r="AW49" i="1"/>
  <c r="D241" i="3"/>
  <c r="D116" i="2"/>
  <c r="H116" i="2" s="1"/>
  <c r="D203" i="3"/>
  <c r="H58" i="2"/>
  <c r="D117" i="2"/>
  <c r="H117" i="2" s="1"/>
  <c r="H87" i="2"/>
  <c r="G88" i="2"/>
  <c r="HD85" i="1"/>
  <c r="HC85" i="1"/>
  <c r="G92" i="2" s="1"/>
  <c r="HB85" i="1"/>
  <c r="G93" i="2" s="1"/>
  <c r="E69" i="2"/>
  <c r="AW66" i="1"/>
  <c r="H22" i="2"/>
  <c r="HD110" i="1"/>
  <c r="E77" i="2"/>
  <c r="H74" i="2"/>
  <c r="D66" i="2"/>
  <c r="H4" i="2"/>
  <c r="D73" i="3"/>
  <c r="D40" i="2"/>
  <c r="H78" i="2"/>
  <c r="H50" i="2"/>
  <c r="G361" i="2"/>
  <c r="HB337" i="1"/>
  <c r="G366" i="2" s="1"/>
  <c r="HC337" i="1"/>
  <c r="G365" i="2" s="1"/>
  <c r="HD337" i="1"/>
  <c r="D744" i="3"/>
  <c r="D361" i="2"/>
  <c r="HD327" i="1"/>
  <c r="HC327" i="1"/>
  <c r="HB327" i="1"/>
  <c r="H347" i="2"/>
  <c r="D796" i="3"/>
  <c r="HD290" i="1"/>
  <c r="HC290" i="1"/>
  <c r="G313" i="2" s="1"/>
  <c r="HB290" i="1"/>
  <c r="G314" i="2" s="1"/>
  <c r="HD314" i="1"/>
  <c r="HC314" i="1"/>
  <c r="HB314" i="1"/>
  <c r="H411" i="2"/>
  <c r="D825" i="3"/>
  <c r="D400" i="2"/>
  <c r="HC363" i="1"/>
  <c r="HB363" i="1"/>
  <c r="HD363" i="1"/>
  <c r="D394" i="2"/>
  <c r="H394" i="2" s="1"/>
  <c r="H386" i="2"/>
  <c r="H325" i="2"/>
  <c r="F374" i="2"/>
  <c r="HB345" i="1"/>
  <c r="F379" i="2" s="1"/>
  <c r="HD345" i="1"/>
  <c r="HC345" i="1"/>
  <c r="F378" i="2" s="1"/>
  <c r="G303" i="2"/>
  <c r="AW289" i="1"/>
  <c r="D619" i="3"/>
  <c r="D298" i="2"/>
  <c r="H298" i="2" s="1"/>
  <c r="H342" i="2"/>
  <c r="HD295" i="1"/>
  <c r="HC295" i="1"/>
  <c r="HB295" i="1"/>
  <c r="E295" i="2"/>
  <c r="H295" i="2" s="1"/>
  <c r="GX270" i="1"/>
  <c r="D282" i="2"/>
  <c r="H282" i="2" s="1"/>
  <c r="HC285" i="1"/>
  <c r="HB179" i="1"/>
  <c r="HC179" i="1"/>
  <c r="HD179" i="1"/>
  <c r="G277" i="2"/>
  <c r="D260" i="2"/>
  <c r="H260" i="2" s="1"/>
  <c r="G207" i="2"/>
  <c r="HC232" i="1"/>
  <c r="E244" i="2"/>
  <c r="HD222" i="1"/>
  <c r="HC222" i="1"/>
  <c r="E248" i="2" s="1"/>
  <c r="HB222" i="1"/>
  <c r="E249" i="2" s="1"/>
  <c r="H232" i="2"/>
  <c r="H251" i="2"/>
  <c r="H230" i="2"/>
  <c r="F274" i="2"/>
  <c r="HB178" i="1"/>
  <c r="HC178" i="1"/>
  <c r="F196" i="2" s="1"/>
  <c r="HD178" i="1"/>
  <c r="D255" i="2"/>
  <c r="H255" i="2" s="1"/>
  <c r="HC190" i="1"/>
  <c r="HB190" i="1"/>
  <c r="HD190" i="1"/>
  <c r="H206" i="2"/>
  <c r="D218" i="2"/>
  <c r="H218" i="2" s="1"/>
  <c r="H180" i="2"/>
  <c r="D431" i="3"/>
  <c r="H199" i="2"/>
  <c r="H150" i="2"/>
  <c r="H142" i="2"/>
  <c r="D247" i="3"/>
  <c r="D121" i="2"/>
  <c r="AW111" i="1"/>
  <c r="H191" i="2"/>
  <c r="HC100" i="1"/>
  <c r="HD100" i="1"/>
  <c r="HB100" i="1"/>
  <c r="D322" i="3"/>
  <c r="D155" i="2"/>
  <c r="H155" i="2" s="1"/>
  <c r="D338" i="3"/>
  <c r="H151" i="2"/>
  <c r="D114" i="2"/>
  <c r="HD99" i="1"/>
  <c r="HB99" i="1"/>
  <c r="HC99" i="1"/>
  <c r="F153" i="2"/>
  <c r="HD141" i="1"/>
  <c r="HB141" i="1"/>
  <c r="F158" i="2" s="1"/>
  <c r="HC141" i="1"/>
  <c r="F157" i="2" s="1"/>
  <c r="E121" i="2"/>
  <c r="D95" i="2"/>
  <c r="H95" i="2" s="1"/>
  <c r="G104" i="2"/>
  <c r="D176" i="3"/>
  <c r="HD40" i="1"/>
  <c r="HC40" i="1"/>
  <c r="HB40" i="1"/>
  <c r="H141" i="2"/>
  <c r="D93" i="3"/>
  <c r="H25" i="2"/>
  <c r="D161" i="3"/>
  <c r="D102" i="3"/>
  <c r="D64" i="2"/>
  <c r="H64" i="2" s="1"/>
  <c r="E88" i="2"/>
  <c r="F69" i="2"/>
  <c r="G400" i="2"/>
  <c r="HD373" i="1"/>
  <c r="HB373" i="1"/>
  <c r="G405" i="2" s="1"/>
  <c r="HC373" i="1"/>
  <c r="G404" i="2" s="1"/>
  <c r="G387" i="2"/>
  <c r="HD361" i="1"/>
  <c r="HB361" i="1"/>
  <c r="G392" i="2" s="1"/>
  <c r="HC361" i="1"/>
  <c r="G391" i="2" s="1"/>
  <c r="G418" i="2"/>
  <c r="D862" i="3"/>
  <c r="D415" i="2"/>
  <c r="F415" i="2"/>
  <c r="G390" i="2"/>
  <c r="H390" i="2" s="1"/>
  <c r="F430" i="2"/>
  <c r="HD358" i="1"/>
  <c r="HC358" i="1"/>
  <c r="HB358" i="1"/>
  <c r="F392" i="2" s="1"/>
  <c r="H357" i="2"/>
  <c r="G417" i="2"/>
  <c r="H355" i="2"/>
  <c r="G308" i="2"/>
  <c r="H308" i="2" s="1"/>
  <c r="E392" i="2"/>
  <c r="HD286" i="1"/>
  <c r="HC286" i="1"/>
  <c r="HB286" i="1"/>
  <c r="F314" i="2" s="1"/>
  <c r="G363" i="2"/>
  <c r="D850" i="3"/>
  <c r="F361" i="2"/>
  <c r="HB333" i="1"/>
  <c r="F366" i="2" s="1"/>
  <c r="HD333" i="1"/>
  <c r="HC333" i="1"/>
  <c r="F365" i="2" s="1"/>
  <c r="G337" i="2"/>
  <c r="D890" i="3"/>
  <c r="H399" i="2"/>
  <c r="D814" i="3"/>
  <c r="E374" i="2"/>
  <c r="HC342" i="1"/>
  <c r="E378" i="2" s="1"/>
  <c r="HD342" i="1"/>
  <c r="HB342" i="1"/>
  <c r="E379" i="2" s="1"/>
  <c r="E363" i="2"/>
  <c r="D797" i="3"/>
  <c r="H362" i="2"/>
  <c r="HC292" i="1"/>
  <c r="HD292" i="1"/>
  <c r="HB292" i="1"/>
  <c r="F368" i="2"/>
  <c r="H368" i="2" s="1"/>
  <c r="E329" i="2"/>
  <c r="H329" i="2" s="1"/>
  <c r="AW306" i="1"/>
  <c r="F303" i="2"/>
  <c r="H303" i="2" s="1"/>
  <c r="D781" i="3"/>
  <c r="D376" i="2"/>
  <c r="H376" i="2" s="1"/>
  <c r="D706" i="3"/>
  <c r="E290" i="2"/>
  <c r="H290" i="2" s="1"/>
  <c r="AW270" i="1"/>
  <c r="F335" i="2"/>
  <c r="HC309" i="1"/>
  <c r="F339" i="2" s="1"/>
  <c r="HB309" i="1"/>
  <c r="F340" i="2" s="1"/>
  <c r="HD309" i="1"/>
  <c r="D581" i="3"/>
  <c r="D609" i="3"/>
  <c r="D296" i="2"/>
  <c r="HD267" i="1"/>
  <c r="HB267" i="1"/>
  <c r="HC267" i="1"/>
  <c r="H258" i="2"/>
  <c r="HD285" i="1"/>
  <c r="D498" i="3"/>
  <c r="E285" i="2"/>
  <c r="H285" i="2" s="1"/>
  <c r="F257" i="2"/>
  <c r="HD237" i="1"/>
  <c r="HC237" i="1"/>
  <c r="F261" i="2" s="1"/>
  <c r="HB237" i="1"/>
  <c r="F262" i="2" s="1"/>
  <c r="D625" i="3"/>
  <c r="G249" i="2"/>
  <c r="D538" i="3"/>
  <c r="D259" i="2"/>
  <c r="H259" i="2" s="1"/>
  <c r="G257" i="2"/>
  <c r="HD241" i="1"/>
  <c r="HB241" i="1"/>
  <c r="G262" i="2" s="1"/>
  <c r="HC241" i="1"/>
  <c r="G261" i="2" s="1"/>
  <c r="HD232" i="1"/>
  <c r="D501" i="3"/>
  <c r="D244" i="2"/>
  <c r="H244" i="2" s="1"/>
  <c r="HD219" i="1"/>
  <c r="HC219" i="1"/>
  <c r="HB219" i="1"/>
  <c r="F220" i="2"/>
  <c r="E194" i="2"/>
  <c r="F186" i="2"/>
  <c r="HD164" i="1"/>
  <c r="HC164" i="1"/>
  <c r="HB164" i="1"/>
  <c r="HC148" i="1"/>
  <c r="HD148" i="1"/>
  <c r="HB148" i="1"/>
  <c r="D447" i="3"/>
  <c r="D372" i="3"/>
  <c r="F197" i="2"/>
  <c r="F181" i="2"/>
  <c r="H181" i="2" s="1"/>
  <c r="D409" i="3"/>
  <c r="H156" i="2"/>
  <c r="D295" i="3"/>
  <c r="D392" i="3"/>
  <c r="D311" i="3"/>
  <c r="HD134" i="1"/>
  <c r="HC134" i="1"/>
  <c r="HB134" i="1"/>
  <c r="H97" i="2"/>
  <c r="E113" i="2"/>
  <c r="H113" i="2" s="1"/>
  <c r="GX102" i="1"/>
  <c r="D231" i="3" s="1"/>
  <c r="HD116" i="1"/>
  <c r="HB116" i="1"/>
  <c r="HC116" i="1"/>
  <c r="F152" i="2"/>
  <c r="H152" i="2" s="1"/>
  <c r="D134" i="2"/>
  <c r="H134" i="2" s="1"/>
  <c r="G100" i="2"/>
  <c r="GX97" i="1"/>
  <c r="D268" i="3"/>
  <c r="D129" i="2"/>
  <c r="H129" i="2" s="1"/>
  <c r="F62" i="2"/>
  <c r="H62" i="2" s="1"/>
  <c r="HC57" i="1"/>
  <c r="F66" i="2" s="1"/>
  <c r="HB57" i="1"/>
  <c r="F67" i="2" s="1"/>
  <c r="HD57" i="1"/>
  <c r="D193" i="3"/>
  <c r="F100" i="2"/>
  <c r="H100" i="2" s="1"/>
  <c r="GX93" i="1"/>
  <c r="D204" i="3" s="1"/>
  <c r="D160" i="3"/>
  <c r="D77" i="2"/>
  <c r="H77" i="2" s="1"/>
  <c r="G82" i="2"/>
  <c r="H82" i="2" s="1"/>
  <c r="AW85" i="1"/>
  <c r="H17" i="2"/>
  <c r="D285" i="3"/>
  <c r="D140" i="2"/>
  <c r="HD123" i="1"/>
  <c r="HB123" i="1"/>
  <c r="HC123" i="1"/>
  <c r="F49" i="2"/>
  <c r="HD45" i="1"/>
  <c r="HC45" i="1"/>
  <c r="F53" i="2" s="1"/>
  <c r="HB45" i="1"/>
  <c r="F54" i="2" s="1"/>
  <c r="H24" i="2"/>
  <c r="H69" i="2"/>
  <c r="D52" i="3"/>
  <c r="H37" i="2"/>
  <c r="D123" i="3"/>
  <c r="H36" i="2"/>
  <c r="F15" i="2"/>
  <c r="H415" i="2" l="1"/>
  <c r="D119" i="2"/>
  <c r="E296" i="2"/>
  <c r="HC270" i="1"/>
  <c r="E300" i="2" s="1"/>
  <c r="HD270" i="1"/>
  <c r="HB270" i="1"/>
  <c r="E301" i="2" s="1"/>
  <c r="D748" i="3"/>
  <c r="D365" i="2"/>
  <c r="H365" i="2" s="1"/>
  <c r="D316" i="3"/>
  <c r="D157" i="2"/>
  <c r="H157" i="2" s="1"/>
  <c r="D258" i="3"/>
  <c r="D127" i="2"/>
  <c r="H127" i="2" s="1"/>
  <c r="HC111" i="1"/>
  <c r="HB111" i="1"/>
  <c r="HD111" i="1"/>
  <c r="D479" i="3"/>
  <c r="D236" i="2"/>
  <c r="H236" i="2" s="1"/>
  <c r="E131" i="2"/>
  <c r="H179" i="2"/>
  <c r="D641" i="3"/>
  <c r="D314" i="2"/>
  <c r="H314" i="2" s="1"/>
  <c r="D776" i="3"/>
  <c r="D379" i="2"/>
  <c r="H379" i="2" s="1"/>
  <c r="D287" i="2"/>
  <c r="D721" i="3"/>
  <c r="D352" i="2"/>
  <c r="H352" i="2" s="1"/>
  <c r="D20" i="3"/>
  <c r="D15" i="2"/>
  <c r="H15" i="2" s="1"/>
  <c r="D274" i="2"/>
  <c r="E326" i="2"/>
  <c r="H322" i="2"/>
  <c r="H153" i="2"/>
  <c r="H126" i="2"/>
  <c r="D478" i="3"/>
  <c r="D235" i="2"/>
  <c r="H235" i="2" s="1"/>
  <c r="D182" i="3"/>
  <c r="D93" i="2"/>
  <c r="H93" i="2" s="1"/>
  <c r="E132" i="2"/>
  <c r="H350" i="2"/>
  <c r="F118" i="2"/>
  <c r="E327" i="2"/>
  <c r="H377" i="2"/>
  <c r="D145" i="2"/>
  <c r="D830" i="3"/>
  <c r="D405" i="2"/>
  <c r="H405" i="2" s="1"/>
  <c r="H361" i="2"/>
  <c r="H40" i="2"/>
  <c r="D181" i="3"/>
  <c r="D92" i="2"/>
  <c r="H92" i="2" s="1"/>
  <c r="H374" i="2"/>
  <c r="D53" i="2"/>
  <c r="D533" i="3"/>
  <c r="D262" i="2"/>
  <c r="H262" i="2" s="1"/>
  <c r="F300" i="2"/>
  <c r="F119" i="2"/>
  <c r="D722" i="3"/>
  <c r="D353" i="2"/>
  <c r="H353" i="2" s="1"/>
  <c r="D19" i="3"/>
  <c r="D14" i="2"/>
  <c r="H14" i="2" s="1"/>
  <c r="D275" i="2"/>
  <c r="D614" i="3"/>
  <c r="D301" i="2"/>
  <c r="D829" i="3"/>
  <c r="D404" i="2"/>
  <c r="H404" i="2" s="1"/>
  <c r="D803" i="3"/>
  <c r="D392" i="2"/>
  <c r="H392" i="2" s="1"/>
  <c r="D155" i="3"/>
  <c r="D80" i="2"/>
  <c r="H80" i="2" s="1"/>
  <c r="D884" i="3"/>
  <c r="D431" i="2"/>
  <c r="H431" i="2" s="1"/>
  <c r="D532" i="3"/>
  <c r="D261" i="2"/>
  <c r="H261" i="2" s="1"/>
  <c r="F301" i="2"/>
  <c r="H90" i="2"/>
  <c r="H348" i="2"/>
  <c r="H10" i="2"/>
  <c r="E183" i="2"/>
  <c r="G340" i="2"/>
  <c r="D144" i="2"/>
  <c r="D613" i="3"/>
  <c r="D300" i="2"/>
  <c r="H300" i="2" s="1"/>
  <c r="F101" i="2"/>
  <c r="HC93" i="1"/>
  <c r="F105" i="2" s="1"/>
  <c r="HB93" i="1"/>
  <c r="F106" i="2" s="1"/>
  <c r="HD93" i="1"/>
  <c r="G101" i="2"/>
  <c r="HB97" i="1"/>
  <c r="G106" i="2" s="1"/>
  <c r="HD97" i="1"/>
  <c r="HC97" i="1"/>
  <c r="G105" i="2" s="1"/>
  <c r="E114" i="2"/>
  <c r="H114" i="2" s="1"/>
  <c r="HC102" i="1"/>
  <c r="E118" i="2" s="1"/>
  <c r="HD102" i="1"/>
  <c r="HB102" i="1"/>
  <c r="E119" i="2" s="1"/>
  <c r="D506" i="3"/>
  <c r="D249" i="2"/>
  <c r="H249" i="2" s="1"/>
  <c r="H400" i="2"/>
  <c r="D196" i="2"/>
  <c r="D802" i="3"/>
  <c r="D391" i="2"/>
  <c r="D154" i="3"/>
  <c r="D79" i="2"/>
  <c r="H79" i="2" s="1"/>
  <c r="H88" i="2"/>
  <c r="D344" i="3"/>
  <c r="D171" i="2"/>
  <c r="H171" i="2" s="1"/>
  <c r="D418" i="2"/>
  <c r="H418" i="2" s="1"/>
  <c r="D857" i="3"/>
  <c r="H104" i="2"/>
  <c r="H67" i="2"/>
  <c r="G49" i="2"/>
  <c r="HD49" i="1"/>
  <c r="HC49" i="1"/>
  <c r="G53" i="2" s="1"/>
  <c r="HB49" i="1"/>
  <c r="G54" i="2" s="1"/>
  <c r="D209" i="3"/>
  <c r="D106" i="2"/>
  <c r="H106" i="2" s="1"/>
  <c r="H207" i="2"/>
  <c r="D210" i="2"/>
  <c r="D883" i="3"/>
  <c r="D430" i="2"/>
  <c r="H430" i="2" s="1"/>
  <c r="D101" i="3"/>
  <c r="D54" i="2"/>
  <c r="H54" i="2" s="1"/>
  <c r="D47" i="3"/>
  <c r="D28" i="2"/>
  <c r="H28" i="2" s="1"/>
  <c r="D288" i="2"/>
  <c r="H225" i="2"/>
  <c r="D694" i="3"/>
  <c r="D339" i="2"/>
  <c r="G339" i="2"/>
  <c r="H296" i="2"/>
  <c r="H66" i="2"/>
  <c r="D197" i="2"/>
  <c r="H387" i="2"/>
  <c r="D371" i="3"/>
  <c r="D184" i="2"/>
  <c r="D856" i="3"/>
  <c r="D417" i="2"/>
  <c r="H417" i="2" s="1"/>
  <c r="D128" i="3"/>
  <c r="D208" i="3"/>
  <c r="D105" i="2"/>
  <c r="H105" i="2" s="1"/>
  <c r="D209" i="2"/>
  <c r="H337" i="2"/>
  <c r="H363" i="2"/>
  <c r="H49" i="2"/>
  <c r="H257" i="2"/>
  <c r="D46" i="3"/>
  <c r="D27" i="2"/>
  <c r="H27" i="2" s="1"/>
  <c r="H130" i="2"/>
  <c r="E288" i="2"/>
  <c r="E184" i="2"/>
  <c r="F391" i="2"/>
  <c r="H121" i="2"/>
  <c r="F313" i="2"/>
  <c r="D127" i="3"/>
  <c r="D317" i="3"/>
  <c r="D158" i="2"/>
  <c r="H158" i="2" s="1"/>
  <c r="H91" i="2"/>
  <c r="D343" i="3"/>
  <c r="D170" i="2"/>
  <c r="H170" i="2" s="1"/>
  <c r="D96" i="3"/>
  <c r="G270" i="2"/>
  <c r="H270" i="2" s="1"/>
  <c r="HD253" i="1"/>
  <c r="HC253" i="1"/>
  <c r="G274" i="2" s="1"/>
  <c r="HB253" i="1"/>
  <c r="G275" i="2" s="1"/>
  <c r="H186" i="2"/>
  <c r="E287" i="2"/>
  <c r="D695" i="3"/>
  <c r="D340" i="2"/>
  <c r="H340" i="2" s="1"/>
  <c r="D668" i="3"/>
  <c r="D327" i="2"/>
  <c r="H327" i="2" s="1"/>
  <c r="D505" i="3"/>
  <c r="D248" i="2"/>
  <c r="H248" i="2" s="1"/>
  <c r="D235" i="3"/>
  <c r="D118" i="2"/>
  <c r="H118" i="2" s="1"/>
  <c r="D749" i="3"/>
  <c r="D366" i="2"/>
  <c r="H366" i="2" s="1"/>
  <c r="G140" i="2"/>
  <c r="H140" i="2" s="1"/>
  <c r="HC133" i="1"/>
  <c r="G144" i="2" s="1"/>
  <c r="HB133" i="1"/>
  <c r="G145" i="2" s="1"/>
  <c r="HD133" i="1"/>
  <c r="D370" i="3"/>
  <c r="D183" i="2"/>
  <c r="H183" i="2" s="1"/>
  <c r="H101" i="2"/>
  <c r="H220" i="2"/>
  <c r="H194" i="2"/>
  <c r="D640" i="3"/>
  <c r="D313" i="2"/>
  <c r="H313" i="2" s="1"/>
  <c r="D775" i="3"/>
  <c r="D378" i="2"/>
  <c r="H378" i="2" s="1"/>
  <c r="G192" i="2"/>
  <c r="H192" i="2" s="1"/>
  <c r="HC181" i="1"/>
  <c r="G196" i="2" s="1"/>
  <c r="HB181" i="1"/>
  <c r="G197" i="2" s="1"/>
  <c r="HD181" i="1"/>
  <c r="H23" i="2"/>
  <c r="H108" i="2"/>
  <c r="F205" i="2"/>
  <c r="H205" i="2" s="1"/>
  <c r="HC189" i="1"/>
  <c r="F209" i="2" s="1"/>
  <c r="HB189" i="1"/>
  <c r="F210" i="2" s="1"/>
  <c r="HD189" i="1"/>
  <c r="H335" i="2"/>
  <c r="D667" i="3"/>
  <c r="D326" i="2"/>
  <c r="H326" i="2" s="1"/>
  <c r="H209" i="2" l="1"/>
  <c r="H53" i="2"/>
  <c r="D424" i="3"/>
  <c r="H210" i="2"/>
  <c r="H144" i="2"/>
  <c r="D100" i="3"/>
  <c r="H274" i="2"/>
  <c r="D263" i="3"/>
  <c r="D132" i="2"/>
  <c r="H132" i="2" s="1"/>
  <c r="H197" i="2"/>
  <c r="H288" i="2"/>
  <c r="D425" i="3"/>
  <c r="D289" i="3"/>
  <c r="H145" i="2"/>
  <c r="D559" i="3"/>
  <c r="D262" i="3"/>
  <c r="D131" i="2"/>
  <c r="H131" i="2" s="1"/>
  <c r="D398" i="3"/>
  <c r="H391" i="2"/>
  <c r="D290" i="3"/>
  <c r="H301" i="2"/>
  <c r="H196" i="2"/>
  <c r="H119" i="2"/>
  <c r="D397" i="3"/>
  <c r="H275" i="2"/>
  <c r="D236" i="3"/>
  <c r="H184" i="2"/>
  <c r="H339" i="2"/>
  <c r="D560" i="3"/>
  <c r="H287" i="2"/>
</calcChain>
</file>

<file path=xl/sharedStrings.xml><?xml version="1.0" encoding="utf-8"?>
<sst xmlns="http://schemas.openxmlformats.org/spreadsheetml/2006/main" count="6294" uniqueCount="359">
  <si>
    <t>RECORD DIMENSIONS</t>
  </si>
  <si>
    <t>WATER PRODUCTION &amp; NRW</t>
  </si>
  <si>
    <t>TREATMENT CHEMICALS</t>
  </si>
  <si>
    <t>POWER</t>
  </si>
  <si>
    <t>TRANSPORT &amp; OPERATIONS</t>
  </si>
  <si>
    <t>STAFFING</t>
  </si>
  <si>
    <t>CONNECTIONS — INDIVIDUAL</t>
  </si>
  <si>
    <t>CONNECTIONS — INSTITUTIONAL</t>
  </si>
  <si>
    <t>CONNECTIONS — COMMERCIAL</t>
  </si>
  <si>
    <t>CONNECTIONS — CWP</t>
  </si>
  <si>
    <t>AGGREGATED CONNECTIONS</t>
  </si>
  <si>
    <t>METERS &amp; DISCONNECTIONS</t>
  </si>
  <si>
    <t>ACTIVE CONSUMERS</t>
  </si>
  <si>
    <t>POPULATION</t>
  </si>
  <si>
    <t>STUCK METERS — INSTITUTIONAL</t>
  </si>
  <si>
    <t>STUCK METERS — COMMERCIAL</t>
  </si>
  <si>
    <t>STUCK METERS — CWP</t>
  </si>
  <si>
    <t>STUCK METERS — INDIVIDUAL</t>
  </si>
  <si>
    <t>AGGREGATED STUCK METERS</t>
  </si>
  <si>
    <t>PIPE BREAKDOWNS — PVC</t>
  </si>
  <si>
    <t>PIPE BREAKDOWNS — GI</t>
  </si>
  <si>
    <t>PIPE BREAKDOWNS — DI</t>
  </si>
  <si>
    <t>PIPE BREAKDOWNS — HDPE &amp; AC</t>
  </si>
  <si>
    <t>TOTAL BREAKDOWNS</t>
  </si>
  <si>
    <t>PUMPS &amp; SUPPLY HOURS</t>
  </si>
  <si>
    <t>DEVELOPMENT LINES</t>
  </si>
  <si>
    <t>CASH COLLECTED</t>
  </si>
  <si>
    <t>AMOUNTS BILLED</t>
  </si>
  <si>
    <t>SERVICE CHARGES</t>
  </si>
  <si>
    <t>METER RENTAL</t>
  </si>
  <si>
    <t>FINANCIAL KPIs</t>
  </si>
  <si>
    <t>CONNECTION PERFORMANCE</t>
  </si>
  <si>
    <t>QUERY PERFORMANCE</t>
  </si>
  <si>
    <t>Zone</t>
  </si>
  <si>
    <t>Scheme</t>
  </si>
  <si>
    <t>Fiscal Year</t>
  </si>
  <si>
    <t>Year</t>
  </si>
  <si>
    <t>Month No.</t>
  </si>
  <si>
    <t>Month</t>
  </si>
  <si>
    <t>Quarter</t>
  </si>
  <si>
    <t>Volume Produced (m³)</t>
  </si>
  <si>
    <t>Vol Billed Individual Postpaid</t>
  </si>
  <si>
    <t>Vol Billed CWP Postpaid</t>
  </si>
  <si>
    <t>Vol Billed Institutions Postpaid</t>
  </si>
  <si>
    <t>Vol Billed Commercial Postpaid</t>
  </si>
  <si>
    <t>TOTAL Vol Billed Postpaid</t>
  </si>
  <si>
    <t>Vol Billed Individual Prepaid</t>
  </si>
  <si>
    <t>Vol Billed CWP Prepaid</t>
  </si>
  <si>
    <t>Vol Billed Institutions Prepaid</t>
  </si>
  <si>
    <t>Vol Billed Commercial Prepaid</t>
  </si>
  <si>
    <t>TOTAL Vol Billed Prepaid</t>
  </si>
  <si>
    <t>TOTAL Revenue Water m³</t>
  </si>
  <si>
    <t>Non-Revenue Water m³</t>
  </si>
  <si>
    <t>% NRW</t>
  </si>
  <si>
    <t>Chlorine kg</t>
  </si>
  <si>
    <t>Chlorine kg per m³</t>
  </si>
  <si>
    <t>Alum Sulphate kg</t>
  </si>
  <si>
    <t>Alum Sulphate kg per m³</t>
  </si>
  <si>
    <t>Soda Ash kg</t>
  </si>
  <si>
    <t>Soda Ash kg per m³</t>
  </si>
  <si>
    <t>Algae Floc litres</t>
  </si>
  <si>
    <t>Algae Floc per m³</t>
  </si>
  <si>
    <t>Sud Floc litres</t>
  </si>
  <si>
    <t>Sud Floc per m³</t>
  </si>
  <si>
    <t>Potassium Permanganate kg</t>
  </si>
  <si>
    <t>KMnO4 per m³</t>
  </si>
  <si>
    <t>Cost of Chemicals MWK</t>
  </si>
  <si>
    <t>Chem Cost per m³</t>
  </si>
  <si>
    <t>Power Usage kWh</t>
  </si>
  <si>
    <t>Power per m³</t>
  </si>
  <si>
    <t>Cost of Power MWK</t>
  </si>
  <si>
    <t>Power Cost per m³</t>
  </si>
  <si>
    <t>Distances Covered km</t>
  </si>
  <si>
    <t>Fuel Used litres</t>
  </si>
  <si>
    <t>Cost of Fuel MWK</t>
  </si>
  <si>
    <t>Maintenance MWK</t>
  </si>
  <si>
    <t>Staff Costs MWK</t>
  </si>
  <si>
    <t>Wages MWK</t>
  </si>
  <si>
    <t>Other Overhead MWK</t>
  </si>
  <si>
    <t>TOTAL Operating Costs MWK</t>
  </si>
  <si>
    <t>OpCost per m³ Produced</t>
  </si>
  <si>
    <t>OpCost per m³ Billed</t>
  </si>
  <si>
    <t>Permanent Staff</t>
  </si>
  <si>
    <t>Staff per 1000m³ 12h</t>
  </si>
  <si>
    <t>Temporary Staff</t>
  </si>
  <si>
    <t>Indiv Conn BroughtFwd</t>
  </si>
  <si>
    <t>Indiv Conn Applied PP</t>
  </si>
  <si>
    <t>Indiv Conn Done PP</t>
  </si>
  <si>
    <t>Indiv Conn Done Prepaid</t>
  </si>
  <si>
    <t>Indiv Conn TOTAL Done</t>
  </si>
  <si>
    <t>Indiv Conn CarriedFwd</t>
  </si>
  <si>
    <t>Inst Conn BroughtFwd</t>
  </si>
  <si>
    <t>Inst Conn Applied PP</t>
  </si>
  <si>
    <t>Inst Conn Done PP</t>
  </si>
  <si>
    <t>Inst Conn Done Prepaid</t>
  </si>
  <si>
    <t>Inst Conn TOTAL Done</t>
  </si>
  <si>
    <t>Inst Conn CarriedFwd</t>
  </si>
  <si>
    <t>Comm Conn BroughtFwd</t>
  </si>
  <si>
    <t>Comm Conn Applied PP</t>
  </si>
  <si>
    <t>Comm Conn Done PP</t>
  </si>
  <si>
    <t>Comm Conn Done Prepaid</t>
  </si>
  <si>
    <t>Comm Conn TOTAL Done</t>
  </si>
  <si>
    <t>Comm Conn CarriedFwd</t>
  </si>
  <si>
    <t>CWP Conn BroughtFwd</t>
  </si>
  <si>
    <t>CWP Conn Applied PP</t>
  </si>
  <si>
    <t>CWP Conn Done PP</t>
  </si>
  <si>
    <t>CWP Conn Done Prepaid</t>
  </si>
  <si>
    <t>CWP Conn TOTAL Done</t>
  </si>
  <si>
    <t>CWP Conn CarriedFwd</t>
  </si>
  <si>
    <t>ALL Conn BroughtFwd</t>
  </si>
  <si>
    <t>ALL Conn Applied</t>
  </si>
  <si>
    <t>ALL Conn TOTAL Done</t>
  </si>
  <si>
    <t>ALL Conn CarriedFwd</t>
  </si>
  <si>
    <t>Prepaid Meters Installed</t>
  </si>
  <si>
    <t>Disconnected Individual</t>
  </si>
  <si>
    <t>Disconnected Institutional</t>
  </si>
  <si>
    <t>Disconnected Commercial</t>
  </si>
  <si>
    <t>Disconnected CWP</t>
  </si>
  <si>
    <t>TOTAL Disconnected</t>
  </si>
  <si>
    <t>Active Postpaid Individual</t>
  </si>
  <si>
    <t>Active Postpaid Institutional</t>
  </si>
  <si>
    <t>Active Postpaid Commercial</t>
  </si>
  <si>
    <t>Active Postpaid CWP</t>
  </si>
  <si>
    <t>TOTAL Active Postpaid</t>
  </si>
  <si>
    <t>Active Prepaid Individual</t>
  </si>
  <si>
    <t>Active Prepaid Institutional</t>
  </si>
  <si>
    <t>Active Prepaid Commercial</t>
  </si>
  <si>
    <t>Active Prepaid CWP</t>
  </si>
  <si>
    <t>TOTAL Active Prepaid</t>
  </si>
  <si>
    <t>TOTAL Active Customers</t>
  </si>
  <si>
    <t>Total Metered Consumers</t>
  </si>
  <si>
    <t>Population Supply Area</t>
  </si>
  <si>
    <t>Population Supplied</t>
  </si>
  <si>
    <t>Pct Population Supplied</t>
  </si>
  <si>
    <t>Inst StuckM BroughtFwd</t>
  </si>
  <si>
    <t>Inst StuckM New</t>
  </si>
  <si>
    <t>Inst StuckM Repaired</t>
  </si>
  <si>
    <t>Inst StuckM Replaced</t>
  </si>
  <si>
    <t>Inst StuckM CarriedFwd</t>
  </si>
  <si>
    <t>Comm StuckM BroughtFwd</t>
  </si>
  <si>
    <t>Comm StuckM New</t>
  </si>
  <si>
    <t>Comm StuckM Repaired</t>
  </si>
  <si>
    <t>Comm StuckM Replaced</t>
  </si>
  <si>
    <t>Comm StuckM CarriedFwd</t>
  </si>
  <si>
    <t>CWP StuckM BroughtFwd</t>
  </si>
  <si>
    <t>CWP StuckM New</t>
  </si>
  <si>
    <t>CWP StuckM Repaired</t>
  </si>
  <si>
    <t>CWP StuckM Replaced</t>
  </si>
  <si>
    <t>CWP StuckM CarriedFwd</t>
  </si>
  <si>
    <t>Indiv StuckM BroughtFwd</t>
  </si>
  <si>
    <t>Indiv StuckM New</t>
  </si>
  <si>
    <t>Indiv StuckM Repaired</t>
  </si>
  <si>
    <t>Indiv StuckM Replaced</t>
  </si>
  <si>
    <t>Indiv StuckM CarriedFwd</t>
  </si>
  <si>
    <t>ALL StuckM BroughtFwd</t>
  </si>
  <si>
    <t>ALL StuckM New</t>
  </si>
  <si>
    <t>ALL StuckM Repaired</t>
  </si>
  <si>
    <t>ALL StuckM Replaced</t>
  </si>
  <si>
    <t>ALL StuckM CarriedFwd</t>
  </si>
  <si>
    <t>PVC 20mm</t>
  </si>
  <si>
    <t>PVC 25mm</t>
  </si>
  <si>
    <t>PVC 32mm</t>
  </si>
  <si>
    <t>PVC 40mm</t>
  </si>
  <si>
    <t>PVC 50mm</t>
  </si>
  <si>
    <t>PVC 63mm</t>
  </si>
  <si>
    <t>PVC 75mm</t>
  </si>
  <si>
    <t>PVC 90mm</t>
  </si>
  <si>
    <t>PVC 110mm</t>
  </si>
  <si>
    <t>PVC 160mm</t>
  </si>
  <si>
    <t>PVC 200mm</t>
  </si>
  <si>
    <t>PVC 250mm</t>
  </si>
  <si>
    <t>PVC 315mm</t>
  </si>
  <si>
    <t>GI 15mm</t>
  </si>
  <si>
    <t>GI 20mm</t>
  </si>
  <si>
    <t>GI 25mm</t>
  </si>
  <si>
    <t>GI 40mm</t>
  </si>
  <si>
    <t>GI 50mm</t>
  </si>
  <si>
    <t>GI 75mm</t>
  </si>
  <si>
    <t>GI 100mm</t>
  </si>
  <si>
    <t>GI 150mm</t>
  </si>
  <si>
    <t>GI 200mm</t>
  </si>
  <si>
    <t>DI 150mm</t>
  </si>
  <si>
    <t>DI 200mm</t>
  </si>
  <si>
    <t>DI 250mm</t>
  </si>
  <si>
    <t>DI 300mm</t>
  </si>
  <si>
    <t>DI 350mm</t>
  </si>
  <si>
    <t>DI 525mm</t>
  </si>
  <si>
    <t>HDPE 20mm</t>
  </si>
  <si>
    <t>HDPE 25mm</t>
  </si>
  <si>
    <t>HDPE 32mm</t>
  </si>
  <si>
    <t>HDPE 50mm</t>
  </si>
  <si>
    <t>AC 50mm</t>
  </si>
  <si>
    <t>AC 75mm</t>
  </si>
  <si>
    <t>AC 100mm</t>
  </si>
  <si>
    <t>AC 150mm</t>
  </si>
  <si>
    <t>TOTAL Pipe Breakdowns</t>
  </si>
  <si>
    <t>Pump Breakdowns</t>
  </si>
  <si>
    <t>Pump Hours Lost</t>
  </si>
  <si>
    <t>Normal Supply Hours</t>
  </si>
  <si>
    <t>Power Failure Hours</t>
  </si>
  <si>
    <t>DevLines 32mm</t>
  </si>
  <si>
    <t>DevLines 50mm</t>
  </si>
  <si>
    <t>DevLines 63mm</t>
  </si>
  <si>
    <t>DevLines 90mm</t>
  </si>
  <si>
    <t>DevLines 110mm</t>
  </si>
  <si>
    <t>TOTAL Dev Lines Done</t>
  </si>
  <si>
    <t>Cash Coll Indiv PP</t>
  </si>
  <si>
    <t>Cash Coll CWP PP</t>
  </si>
  <si>
    <t>Cash Coll Comm PP</t>
  </si>
  <si>
    <t>Cash Coll Inst PP</t>
  </si>
  <si>
    <t>TOTAL Cash Coll PP</t>
  </si>
  <si>
    <t>Cash Coll Indiv Prepaid</t>
  </si>
  <si>
    <t>Cash Coll CWP Prepaid</t>
  </si>
  <si>
    <t>Cash Coll Comm Prepaid</t>
  </si>
  <si>
    <t>Cash Coll Inst Prepaid</t>
  </si>
  <si>
    <t>TOTAL Cash Coll Prepaid</t>
  </si>
  <si>
    <t>TOTAL Cash Collected</t>
  </si>
  <si>
    <t>Amt Billed Indiv PP</t>
  </si>
  <si>
    <t>Amt Billed CWP PP</t>
  </si>
  <si>
    <t>Amt Billed Inst PP</t>
  </si>
  <si>
    <t>Amt Billed Comm PP</t>
  </si>
  <si>
    <t>TOTAL Amt Billed PP</t>
  </si>
  <si>
    <t>Amt Billed Indiv Prepaid</t>
  </si>
  <si>
    <t>Amt Billed CWP Prepaid</t>
  </si>
  <si>
    <t>Amt Billed Inst Prepaid</t>
  </si>
  <si>
    <t>Amt Billed Comm Prepaid</t>
  </si>
  <si>
    <t>TOTAL Amt Billed Prepaid</t>
  </si>
  <si>
    <t>TOTAL Amount Billed</t>
  </si>
  <si>
    <t>Svc Charge Individual</t>
  </si>
  <si>
    <t>Svc Charge CWP</t>
  </si>
  <si>
    <t>Svc Charge Institutions</t>
  </si>
  <si>
    <t>Svc Charge Commercial</t>
  </si>
  <si>
    <t>TOTAL Service Charge</t>
  </si>
  <si>
    <t>Meter Rental Individual</t>
  </si>
  <si>
    <t>Meter Rental CWP</t>
  </si>
  <si>
    <t>Meter Rental Institutions</t>
  </si>
  <si>
    <t>Meter Rental Commercial</t>
  </si>
  <si>
    <t>TOTAL Meter Rental</t>
  </si>
  <si>
    <t>TOTAL Sales MWK</t>
  </si>
  <si>
    <t>Private Debtors MWK</t>
  </si>
  <si>
    <t>Public Debtors MWK</t>
  </si>
  <si>
    <t>TOTAL Debtors MWK</t>
  </si>
  <si>
    <t>OpCost per Sales</t>
  </si>
  <si>
    <t>Cash Collection Rate</t>
  </si>
  <si>
    <t>Collection per Total Sales</t>
  </si>
  <si>
    <t>Cust Applied Connection</t>
  </si>
  <si>
    <t>Days to Quotation</t>
  </si>
  <si>
    <t>Cust Fully Paid</t>
  </si>
  <si>
    <t>Paid-up Applicants</t>
  </si>
  <si>
    <t>Days to Connect</t>
  </si>
  <si>
    <t>Connection Days</t>
  </si>
  <si>
    <t>Connectivity Rate</t>
  </si>
  <si>
    <t>Queries Received</t>
  </si>
  <si>
    <t>Time to Resolve Queries</t>
  </si>
  <si>
    <t>Response Time avg</t>
  </si>
  <si>
    <t>Liwonde</t>
  </si>
  <si>
    <t>Balaka</t>
  </si>
  <si>
    <t>FY2025/26</t>
  </si>
  <si>
    <t>April</t>
  </si>
  <si>
    <t>Q1</t>
  </si>
  <si>
    <t>May</t>
  </si>
  <si>
    <t>June</t>
  </si>
  <si>
    <t>July</t>
  </si>
  <si>
    <t>Q2</t>
  </si>
  <si>
    <t>August</t>
  </si>
  <si>
    <t>September</t>
  </si>
  <si>
    <t>October</t>
  </si>
  <si>
    <t>Q3</t>
  </si>
  <si>
    <t>November</t>
  </si>
  <si>
    <t>December</t>
  </si>
  <si>
    <t>January</t>
  </si>
  <si>
    <t>Q4</t>
  </si>
  <si>
    <t>February</t>
  </si>
  <si>
    <t>March</t>
  </si>
  <si>
    <t>Machinga</t>
  </si>
  <si>
    <t>Ntaja</t>
  </si>
  <si>
    <t>Mangochi</t>
  </si>
  <si>
    <t>Monkey Bay</t>
  </si>
  <si>
    <t>Namwera</t>
  </si>
  <si>
    <t>Nkhudzi</t>
  </si>
  <si>
    <t>Mulanje</t>
  </si>
  <si>
    <t>Luchenza</t>
  </si>
  <si>
    <t>MUST</t>
  </si>
  <si>
    <t>Migowi</t>
  </si>
  <si>
    <t>Mikolongwe</t>
  </si>
  <si>
    <t>Muloza</t>
  </si>
  <si>
    <t>Nkando</t>
  </si>
  <si>
    <t>Phalombe</t>
  </si>
  <si>
    <t>Thyolo</t>
  </si>
  <si>
    <t>Ngabu</t>
  </si>
  <si>
    <t>Bangula</t>
  </si>
  <si>
    <t>Chikwawa</t>
  </si>
  <si>
    <t>Miseu Folo</t>
  </si>
  <si>
    <t>Nchalo</t>
  </si>
  <si>
    <t>Nsanje</t>
  </si>
  <si>
    <t>Zomba</t>
  </si>
  <si>
    <t>Chiradzulu</t>
  </si>
  <si>
    <t>Domasi</t>
  </si>
  <si>
    <t>Jali</t>
  </si>
  <si>
    <t>Kuchawe</t>
  </si>
  <si>
    <t>Lirangwe</t>
  </si>
  <si>
    <t>Mwanza</t>
  </si>
  <si>
    <t>Namadzi</t>
  </si>
  <si>
    <t>Neno</t>
  </si>
  <si>
    <t>Thondwe</t>
  </si>
  <si>
    <t>QUARTERLY PERFORMANCE SUMMARY — FY 2025/26  (Auto-calculated from DataEntry)</t>
  </si>
  <si>
    <t>KPI</t>
  </si>
  <si>
    <t>Q1 (Apr-Jun)</t>
  </si>
  <si>
    <t>Q2 (Jul-Sep)</t>
  </si>
  <si>
    <t>Q3 (Oct-Dec)</t>
  </si>
  <si>
    <t>Q4 (Jan-Mar)</t>
  </si>
  <si>
    <t>Full Year</t>
  </si>
  <si>
    <t>Total Revenue Water</t>
  </si>
  <si>
    <t>Non-Revenue Water</t>
  </si>
  <si>
    <t>Total Operating Costs</t>
  </si>
  <si>
    <t>Total Cash Collected</t>
  </si>
  <si>
    <t>Total Amount Billed</t>
  </si>
  <si>
    <t>Total Sales</t>
  </si>
  <si>
    <t>Active Customers</t>
  </si>
  <si>
    <t>New Connections</t>
  </si>
  <si>
    <t>Stuck Meters C/Fwd</t>
  </si>
  <si>
    <t>ANNUAL SUMMARY — FY 2025/26  (Auto-calculated from DataEntry)</t>
  </si>
  <si>
    <t>Annual Total / Avg</t>
  </si>
  <si>
    <t>Total Revenue Water (m³)</t>
  </si>
  <si>
    <t>Non-Revenue Water (m³)</t>
  </si>
  <si>
    <t>% NRW (avg)</t>
  </si>
  <si>
    <t>Chlorine Used (kg)</t>
  </si>
  <si>
    <t>Cost of Chemicals (MWK)</t>
  </si>
  <si>
    <t>Cost of Power (MWK)</t>
  </si>
  <si>
    <t>Cost of Fuel (MWK)</t>
  </si>
  <si>
    <t>Total Operating Costs (MWK)</t>
  </si>
  <si>
    <t>OpCost per m³ Produced (avg)</t>
  </si>
  <si>
    <t>Total Cash Collected (MWK)</t>
  </si>
  <si>
    <t>Total Amount Billed (MWK)</t>
  </si>
  <si>
    <t>Total Sales (MWK)</t>
  </si>
  <si>
    <t>Private Debtors (MWK)</t>
  </si>
  <si>
    <t>Public Debtors (MWK)</t>
  </si>
  <si>
    <t>Total Debtors (MWK)</t>
  </si>
  <si>
    <t>Cash Collection Rate (avg)</t>
  </si>
  <si>
    <t>OpCost / Sales (avg)</t>
  </si>
  <si>
    <t>Total Active Customers (end)</t>
  </si>
  <si>
    <t>Total Metered Consumers (end)</t>
  </si>
  <si>
    <t>Population Supplied (end)</t>
  </si>
  <si>
    <t>% Population Supplied (avg)</t>
  </si>
  <si>
    <t>New Connections Total Done</t>
  </si>
  <si>
    <t>Stuck Meters Carried Fwd</t>
  </si>
  <si>
    <t>Total Pipe Breakdowns</t>
  </si>
  <si>
    <t>Connectivity Rate (avg)</t>
  </si>
  <si>
    <t>Response Time avg (days)</t>
  </si>
  <si>
    <t>REFERENCE TABLES — Zones, Schemes &amp; Quarter Definitions</t>
  </si>
  <si>
    <t>ZONES</t>
  </si>
  <si>
    <t>ZONE</t>
  </si>
  <si>
    <t>SCHEME</t>
  </si>
  <si>
    <t>QTR</t>
  </si>
  <si>
    <t>MONTHS</t>
  </si>
  <si>
    <t>April, May, June</t>
  </si>
  <si>
    <t>July, August, September</t>
  </si>
  <si>
    <t>October, November, December</t>
  </si>
  <si>
    <t>January, February,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</si>
</sst>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1" x14ac:knownFonts="1">
    <font>
      <sz val="11"/>
      <color theme="1"/>
      <name val="Calibri"/>
      <family val="2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9"/>
      <color rgb="FFFFFFFF"/>
      <name val="Arial"/>
    </font>
    <font>
      <b/>
      <sz val="9"/>
      <color rgb="FF1A5276"/>
      <name val="Arial"/>
    </font>
    <font>
      <b/>
      <sz val="9"/>
      <color rgb="FF145A32"/>
      <name val="Arial"/>
    </font>
    <font>
      <b/>
      <sz val="10"/>
      <name val="Arial"/>
    </font>
    <font>
      <i/>
      <sz val="10"/>
      <color rgb="FF145A32"/>
      <name val="Arial"/>
    </font>
    <font>
      <b/>
      <sz val="13"/>
      <color rgb="FFFFFFFF"/>
      <name val="Arial"/>
    </font>
    <font>
      <b/>
      <sz val="10"/>
      <color rgb="FF1B4F72"/>
      <name val="Arial"/>
    </font>
  </fonts>
  <fills count="25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86AB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E8F8F5"/>
      </patternFill>
    </fill>
    <fill>
      <patternFill patternType="solid">
        <fgColor rgb="FF117A65"/>
      </patternFill>
    </fill>
    <fill>
      <patternFill patternType="solid">
        <fgColor rgb="FF7D6608"/>
      </patternFill>
    </fill>
    <fill>
      <patternFill patternType="solid">
        <fgColor rgb="FF2874A6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0E6655"/>
      </patternFill>
    </fill>
    <fill>
      <patternFill patternType="solid">
        <fgColor rgb="FF884EA0"/>
      </patternFill>
    </fill>
    <fill>
      <patternFill patternType="solid">
        <fgColor rgb="FF6E2F1A"/>
      </patternFill>
    </fill>
    <fill>
      <patternFill patternType="solid">
        <fgColor rgb="FF1C2833"/>
      </patternFill>
    </fill>
    <fill>
      <patternFill patternType="solid">
        <fgColor rgb="FF922B21"/>
      </patternFill>
    </fill>
    <fill>
      <patternFill patternType="solid">
        <fgColor rgb="FF1D8348"/>
      </patternFill>
    </fill>
    <fill>
      <patternFill patternType="solid">
        <fgColor rgb="FF196F3D"/>
      </patternFill>
    </fill>
    <fill>
      <patternFill patternType="solid">
        <fgColor rgb="FF154360"/>
      </patternFill>
    </fill>
    <fill>
      <patternFill patternType="solid">
        <fgColor rgb="FFFFFFFF"/>
      </patternFill>
    </fill>
    <fill>
      <patternFill patternType="solid">
        <fgColor rgb="FFF0FBF7"/>
      </patternFill>
    </fill>
    <fill>
      <patternFill patternType="solid">
        <fgColor rgb="FFF8FBFD"/>
      </patternFill>
    </fill>
    <fill>
      <patternFill patternType="solid">
        <fgColor rgb="FFD0E8F5"/>
      </patternFill>
    </fill>
    <fill>
      <patternFill patternType="solid">
        <fgColor rgb="FFD6EAF8"/>
      </patternFill>
    </fill>
  </fills>
  <borders count="5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/>
      <right/>
      <top/>
      <bottom style="thin">
        <color rgb="FFBFC9CA"/>
      </bottom>
      <diagonal/>
    </border>
    <border>
      <left/>
      <right/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5" borderId="1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3" fontId="3" fillId="20" borderId="1" xfId="0" applyNumberFormat="1" applyFont="1" applyFill="1" applyBorder="1" applyAlignment="1">
      <alignment horizontal="right" vertical="center"/>
    </xf>
    <xf numFmtId="3" fontId="8" fillId="21" borderId="1" xfId="0" applyNumberFormat="1" applyFont="1" applyFill="1" applyBorder="1" applyAlignment="1">
      <alignment horizontal="right" vertical="center"/>
    </xf>
    <xf numFmtId="164" fontId="8" fillId="21" borderId="1" xfId="0" applyNumberFormat="1" applyFont="1" applyFill="1" applyBorder="1" applyAlignment="1">
      <alignment horizontal="right" vertical="center"/>
    </xf>
    <xf numFmtId="165" fontId="8" fillId="21" borderId="1" xfId="0" applyNumberFormat="1" applyFont="1" applyFill="1" applyBorder="1" applyAlignment="1">
      <alignment horizontal="right" vertical="center"/>
    </xf>
    <xf numFmtId="0" fontId="7" fillId="22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/>
    </xf>
    <xf numFmtId="3" fontId="3" fillId="22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/>
    </xf>
    <xf numFmtId="3" fontId="10" fillId="23" borderId="1" xfId="0" applyNumberFormat="1" applyFont="1" applyFill="1" applyBorder="1" applyAlignment="1">
      <alignment horizontal="right" vertical="center"/>
    </xf>
    <xf numFmtId="0" fontId="3" fillId="22" borderId="1" xfId="0" applyFont="1" applyFill="1" applyBorder="1" applyAlignment="1">
      <alignment horizontal="left" vertical="center"/>
    </xf>
    <xf numFmtId="3" fontId="10" fillId="24" borderId="1" xfId="0" applyNumberFormat="1" applyFont="1" applyFill="1" applyBorder="1" applyAlignment="1">
      <alignment horizontal="right" vertical="center"/>
    </xf>
    <xf numFmtId="164" fontId="10" fillId="24" borderId="1" xfId="0" applyNumberFormat="1" applyFont="1" applyFill="1" applyBorder="1" applyAlignment="1">
      <alignment horizontal="right" vertical="center"/>
    </xf>
    <xf numFmtId="164" fontId="10" fillId="2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0" borderId="1" xfId="0" applyFont="1" applyFill="1" applyBorder="1"/>
    <xf numFmtId="0" fontId="0" fillId="0" borderId="0" xfId="0"/>
    <xf numFmtId="0" fontId="4" fillId="11" borderId="2" xfId="0" applyFont="1" applyFill="1" applyBorder="1" applyAlignment="1">
      <alignment horizontal="center" vertical="center"/>
    </xf>
    <xf numFmtId="0" fontId="0" fillId="0" borderId="4" xfId="0" applyBorder="1"/>
    <xf numFmtId="0" fontId="4" fillId="7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3" xfId="0" applyBorder="1"/>
    <xf numFmtId="0" fontId="9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1A5276"/>
      <rgbColor rgb="FF7D6608"/>
      <rgbColor rgb="FF800080"/>
      <rgbColor rgb="FF117A65"/>
      <rgbColor rgb="FFBFC9CA"/>
      <rgbColor rgb="FF808080"/>
      <rgbColor rgb="FF9999FF"/>
      <rgbColor rgb="FF6C3483"/>
      <rgbColor rgb="FFF0FBF7"/>
      <rgbColor rgb="FFE8F8F5"/>
      <rgbColor rgb="FF660066"/>
      <rgbColor rgb="FFFF8080"/>
      <rgbColor rgb="FF2874A6"/>
      <rgbColor rgb="FFD0E8F5"/>
      <rgbColor rgb="FF000080"/>
      <rgbColor rgb="FFFF00FF"/>
      <rgbColor rgb="FFFFFF00"/>
      <rgbColor rgb="FF00FFFF"/>
      <rgbColor rgb="FF800080"/>
      <rgbColor rgb="FF800000"/>
      <rgbColor rgb="FF0E6655"/>
      <rgbColor rgb="FF0000FF"/>
      <rgbColor rgb="FF00CCFF"/>
      <rgbColor rgb="FFD6EAF8"/>
      <rgbColor rgb="FFEBF5FB"/>
      <rgbColor rgb="FFF2F3F4"/>
      <rgbColor rgb="FF99CCFF"/>
      <rgbColor rgb="FFFF99CC"/>
      <rgbColor rgb="FFCC99FF"/>
      <rgbColor rgb="FFF8FBFD"/>
      <rgbColor rgb="FF2E86AB"/>
      <rgbColor rgb="FF33CCCC"/>
      <rgbColor rgb="FF99CC00"/>
      <rgbColor rgb="FFFFCC00"/>
      <rgbColor rgb="FFFF9900"/>
      <rgbColor rgb="FFFF6600"/>
      <rgbColor rgb="FF884EA0"/>
      <rgbColor rgb="FF969696"/>
      <rgbColor rgb="FF154360"/>
      <rgbColor rgb="FF1D8348"/>
      <rgbColor rgb="FF145A32"/>
      <rgbColor rgb="FF6E2F1A"/>
      <rgbColor rgb="FF922B21"/>
      <rgbColor rgb="FF993366"/>
      <rgbColor rgb="FF1B4F72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398"/>
  <sheetViews>
    <sheetView showGridLines="0" tabSelected="1" workbookViewId="0">
      <selection activeCell="L7" sqref="L7"/>
    </sheetView>
  </sheetViews>
  <sheetFormatPr defaultColWidth="8.6640625" defaultRowHeight="14.4" x14ac:dyDescent="0.3"/>
  <cols>
    <col min="1" max="1" width="9.33203125" style="28" customWidth="1"/>
    <col min="2" max="2" width="11.5546875" style="28" customWidth="1"/>
    <col min="3" max="3" width="9.88671875" style="28" customWidth="1"/>
    <col min="4" max="4" width="5" style="28" customWidth="1"/>
    <col min="5" max="5" width="5.77734375" style="28" customWidth="1"/>
    <col min="6" max="6" width="9.77734375" style="28" customWidth="1"/>
    <col min="7" max="7" width="6.88671875" style="28" customWidth="1"/>
    <col min="8" max="8" width="11.88671875" style="28" customWidth="1"/>
    <col min="9" max="9" width="8.44140625" style="28" customWidth="1"/>
    <col min="10" max="10" width="11.88671875" style="28" customWidth="1"/>
    <col min="11" max="11" width="9.5546875" style="28" customWidth="1"/>
    <col min="12" max="12" width="10" style="28" customWidth="1"/>
    <col min="13" max="13" width="14.33203125" style="28" customWidth="1"/>
    <col min="14" max="14" width="8.44140625" style="28" customWidth="1"/>
    <col min="15" max="15" width="11.109375" style="28" customWidth="1"/>
    <col min="16" max="16" width="9.5546875" style="28" customWidth="1"/>
    <col min="17" max="17" width="10" style="28" customWidth="1"/>
    <col min="18" max="18" width="14.33203125" style="28" customWidth="1"/>
    <col min="19" max="19" width="14.109375" style="28" customWidth="1"/>
    <col min="20" max="20" width="11.77734375" style="28" customWidth="1"/>
    <col min="21" max="21" width="6.88671875" style="28" customWidth="1"/>
    <col min="22" max="23" width="9.88671875" style="28" customWidth="1"/>
    <col min="24" max="25" width="12" style="28" customWidth="1"/>
    <col min="26" max="27" width="10.44140625" style="28" customWidth="1"/>
    <col min="28" max="28" width="8.88671875" style="28" customWidth="1"/>
    <col min="29" max="29" width="12" style="28" customWidth="1"/>
    <col min="30" max="30" width="7.6640625" style="28" customWidth="1"/>
    <col min="31" max="31" width="10.77734375" style="28" customWidth="1"/>
    <col min="32" max="32" width="11.109375" style="28" customWidth="1"/>
    <col min="33" max="33" width="9.77734375" style="28" customWidth="1"/>
    <col min="34" max="34" width="11.109375" style="28" customWidth="1"/>
    <col min="35" max="35" width="9.44140625" style="28" customWidth="1"/>
    <col min="36" max="36" width="11.21875" style="28" customWidth="1"/>
    <col min="37" max="37" width="11.5546875" style="28" customWidth="1"/>
    <col min="38" max="38" width="11.88671875" style="28" customWidth="1"/>
    <col min="39" max="39" width="9.88671875" style="28" customWidth="1"/>
    <col min="40" max="40" width="10.33203125" style="28" customWidth="1"/>
    <col min="41" max="41" width="8.77734375" style="28" customWidth="1"/>
    <col min="42" max="42" width="10.33203125" style="28" customWidth="1"/>
    <col min="43" max="43" width="10.88671875" style="28" customWidth="1"/>
    <col min="44" max="44" width="10.109375" style="28" customWidth="1"/>
    <col min="45" max="45" width="10.5546875" style="28" customWidth="1"/>
    <col min="46" max="46" width="10.109375" style="28" customWidth="1"/>
    <col min="47" max="47" width="14.77734375" style="28" customWidth="1"/>
    <col min="48" max="48" width="11.109375" style="28" customWidth="1"/>
    <col min="49" max="49" width="9.88671875" style="28" customWidth="1"/>
    <col min="50" max="50" width="9.33203125" style="28" customWidth="1"/>
    <col min="51" max="51" width="9.77734375" style="28" customWidth="1"/>
    <col min="52" max="52" width="9.21875" style="28" customWidth="1"/>
    <col min="53" max="53" width="10.44140625" style="28" customWidth="1"/>
    <col min="54" max="55" width="9.33203125" style="28" customWidth="1"/>
    <col min="56" max="56" width="11.5546875" style="28" customWidth="1"/>
    <col min="57" max="57" width="11" style="28" customWidth="1"/>
    <col min="58" max="58" width="9.88671875" style="28" customWidth="1"/>
    <col min="59" max="59" width="10.44140625" style="28" customWidth="1"/>
    <col min="60" max="60" width="9.33203125" style="28" customWidth="1"/>
    <col min="61" max="61" width="8.33203125" style="28" customWidth="1"/>
    <col min="62" max="62" width="11.5546875" style="28" customWidth="1"/>
    <col min="63" max="63" width="11" style="28" customWidth="1"/>
    <col min="64" max="64" width="9.88671875" style="28" customWidth="1"/>
    <col min="65" max="65" width="10.44140625" style="28" customWidth="1"/>
    <col min="66" max="67" width="10.33203125" style="28" customWidth="1"/>
    <col min="68" max="68" width="11.5546875" style="28" customWidth="1"/>
    <col min="69" max="69" width="11" style="28" customWidth="1"/>
    <col min="70" max="70" width="10.33203125" style="28" customWidth="1"/>
    <col min="71" max="71" width="10.44140625" style="28" customWidth="1"/>
    <col min="72" max="72" width="9.33203125" style="28" customWidth="1"/>
    <col min="73" max="73" width="9.21875" style="28" customWidth="1"/>
    <col min="74" max="74" width="11.5546875" style="28" customWidth="1"/>
    <col min="75" max="75" width="11" style="28" customWidth="1"/>
    <col min="76" max="76" width="9.88671875" style="28" customWidth="1"/>
    <col min="77" max="77" width="10.44140625" style="28" customWidth="1"/>
    <col min="78" max="78" width="14.88671875" style="28" customWidth="1"/>
    <col min="79" max="79" width="14.5546875" style="28" customWidth="1"/>
    <col min="80" max="80" width="9.88671875" style="28" customWidth="1"/>
    <col min="81" max="81" width="7.44140625" style="28" customWidth="1"/>
    <col min="82" max="86" width="11.6640625" style="28" customWidth="1"/>
    <col min="87" max="87" width="8.44140625" style="28" customWidth="1"/>
    <col min="88" max="89" width="10" style="28" customWidth="1"/>
    <col min="90" max="90" width="11.88671875" style="28" customWidth="1"/>
    <col min="91" max="91" width="11.6640625" style="28" customWidth="1"/>
    <col min="92" max="92" width="8.44140625" style="28" customWidth="1"/>
    <col min="93" max="94" width="10" style="28" customWidth="1"/>
    <col min="95" max="95" width="11.109375" style="28" customWidth="1"/>
    <col min="96" max="97" width="11.6640625" style="28" customWidth="1"/>
    <col min="98" max="98" width="11.88671875" style="28" customWidth="1"/>
    <col min="99" max="99" width="10.109375" style="28" customWidth="1"/>
    <col min="100" max="101" width="9.21875" style="28" customWidth="1"/>
    <col min="102" max="102" width="10.44140625" style="28" customWidth="1"/>
    <col min="103" max="106" width="10" style="28" customWidth="1"/>
    <col min="107" max="111" width="12" style="28" customWidth="1"/>
    <col min="112" max="116" width="10.88671875" style="28" customWidth="1"/>
    <col min="117" max="121" width="11" style="28" customWidth="1"/>
    <col min="122" max="122" width="10.44140625" style="28" customWidth="1"/>
    <col min="123" max="123" width="14.109375" style="28" customWidth="1"/>
    <col min="124" max="126" width="10.109375" style="28" customWidth="1"/>
    <col min="127" max="134" width="9" style="28" customWidth="1"/>
    <col min="135" max="139" width="9.88671875" style="28" customWidth="1"/>
    <col min="140" max="145" width="7.44140625" style="28" customWidth="1"/>
    <col min="146" max="148" width="8.33203125" style="28" customWidth="1"/>
    <col min="149" max="154" width="8.21875" style="28" customWidth="1"/>
    <col min="155" max="158" width="10.33203125" style="28" customWidth="1"/>
    <col min="159" max="160" width="7.88671875" style="28" customWidth="1"/>
    <col min="161" max="162" width="8.77734375" style="28" customWidth="1"/>
    <col min="163" max="163" width="19.109375" style="28" customWidth="1"/>
    <col min="164" max="164" width="10.5546875" style="28" customWidth="1"/>
    <col min="165" max="165" width="10.44140625" style="28" customWidth="1"/>
    <col min="166" max="166" width="11.33203125" style="28" customWidth="1"/>
    <col min="167" max="167" width="11.6640625" style="28" customWidth="1"/>
    <col min="168" max="172" width="8.33203125" style="28" customWidth="1"/>
    <col min="173" max="173" width="14.88671875" style="28" customWidth="1"/>
    <col min="174" max="174" width="11.109375" style="28" customWidth="1"/>
    <col min="175" max="175" width="10.109375" style="28" customWidth="1"/>
    <col min="176" max="176" width="9.109375" style="28" customWidth="1"/>
    <col min="177" max="177" width="11.6640625" style="28" customWidth="1"/>
    <col min="178" max="178" width="14.44140625" style="28" customWidth="1"/>
    <col min="179" max="179" width="11.21875" style="28" customWidth="1"/>
    <col min="180" max="180" width="11.109375" style="28" customWidth="1"/>
    <col min="181" max="181" width="10.109375" style="28" customWidth="1"/>
    <col min="182" max="182" width="11.6640625" style="28" customWidth="1"/>
    <col min="183" max="183" width="14.44140625" style="28" customWidth="1"/>
    <col min="184" max="184" width="11.77734375" style="28" customWidth="1"/>
    <col min="185" max="185" width="11.109375" style="28" customWidth="1"/>
    <col min="186" max="186" width="10.109375" style="28" customWidth="1"/>
    <col min="187" max="187" width="12" style="28" customWidth="1"/>
    <col min="188" max="188" width="9.109375" style="28" customWidth="1"/>
    <col min="189" max="189" width="14.77734375" style="28" customWidth="1"/>
    <col min="190" max="190" width="11.21875" style="28" customWidth="1"/>
    <col min="191" max="191" width="11.109375" style="28" customWidth="1"/>
    <col min="192" max="192" width="12" style="28" customWidth="1"/>
    <col min="193" max="193" width="10.109375" style="28" customWidth="1"/>
    <col min="194" max="194" width="14.77734375" style="28" customWidth="1"/>
    <col min="195" max="195" width="12.6640625" style="28" customWidth="1"/>
    <col min="196" max="196" width="10.109375" style="28" customWidth="1"/>
    <col min="197" max="199" width="10" style="28" customWidth="1"/>
    <col min="200" max="200" width="13" style="28" customWidth="1"/>
    <col min="201" max="204" width="11" style="28" customWidth="1"/>
    <col min="205" max="205" width="11.44140625" style="28" customWidth="1"/>
    <col min="206" max="206" width="11.77734375" style="28" customWidth="1"/>
    <col min="207" max="207" width="12.6640625" style="28" customWidth="1"/>
    <col min="208" max="208" width="11.6640625" style="28" customWidth="1"/>
    <col min="209" max="209" width="13.44140625" style="28" customWidth="1"/>
    <col min="210" max="210" width="9.88671875" style="28" customWidth="1"/>
    <col min="211" max="211" width="9.5546875" style="28" customWidth="1"/>
    <col min="212" max="212" width="11.88671875" style="28" customWidth="1"/>
    <col min="213" max="213" width="10.77734375" style="28" customWidth="1"/>
    <col min="214" max="215" width="8.5546875" style="28" customWidth="1"/>
    <col min="216" max="216" width="8.88671875" style="28" customWidth="1"/>
    <col min="217" max="217" width="7.44140625" style="28" customWidth="1"/>
    <col min="218" max="218" width="9.88671875" style="28" customWidth="1"/>
    <col min="219" max="219" width="10.6640625" style="28" customWidth="1"/>
    <col min="220" max="220" width="8.33203125" style="28" customWidth="1"/>
    <col min="221" max="221" width="7.33203125" style="28" customWidth="1"/>
    <col min="222" max="222" width="8.77734375" style="28" customWidth="1"/>
  </cols>
  <sheetData>
    <row r="1" spans="1:222" ht="19.5" customHeight="1" x14ac:dyDescent="0.3">
      <c r="A1" s="40" t="s">
        <v>0</v>
      </c>
      <c r="B1" s="30"/>
      <c r="C1" s="30"/>
      <c r="D1" s="30"/>
      <c r="E1" s="30"/>
      <c r="F1" s="30"/>
      <c r="G1" s="30"/>
      <c r="H1" s="31" t="s">
        <v>1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7" t="s">
        <v>2</v>
      </c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3" t="s">
        <v>3</v>
      </c>
      <c r="AK1" s="30"/>
      <c r="AL1" s="30"/>
      <c r="AM1" s="30"/>
      <c r="AN1" s="33" t="s">
        <v>4</v>
      </c>
      <c r="AO1" s="30"/>
      <c r="AP1" s="30"/>
      <c r="AQ1" s="30"/>
      <c r="AR1" s="30"/>
      <c r="AS1" s="30"/>
      <c r="AT1" s="30"/>
      <c r="AU1" s="30"/>
      <c r="AV1" s="30"/>
      <c r="AW1" s="30"/>
      <c r="AX1" s="42" t="s">
        <v>5</v>
      </c>
      <c r="AY1" s="30"/>
      <c r="AZ1" s="30"/>
      <c r="BA1" s="29" t="s">
        <v>6</v>
      </c>
      <c r="BB1" s="30"/>
      <c r="BC1" s="30"/>
      <c r="BD1" s="30"/>
      <c r="BE1" s="30"/>
      <c r="BF1" s="30"/>
      <c r="BG1" s="29" t="s">
        <v>7</v>
      </c>
      <c r="BH1" s="30"/>
      <c r="BI1" s="30"/>
      <c r="BJ1" s="30"/>
      <c r="BK1" s="30"/>
      <c r="BL1" s="30"/>
      <c r="BM1" s="29" t="s">
        <v>8</v>
      </c>
      <c r="BN1" s="30"/>
      <c r="BO1" s="30"/>
      <c r="BP1" s="30"/>
      <c r="BQ1" s="30"/>
      <c r="BR1" s="30"/>
      <c r="BS1" s="29" t="s">
        <v>9</v>
      </c>
      <c r="BT1" s="30"/>
      <c r="BU1" s="30"/>
      <c r="BV1" s="30"/>
      <c r="BW1" s="30"/>
      <c r="BX1" s="30"/>
      <c r="BY1" s="35" t="s">
        <v>10</v>
      </c>
      <c r="BZ1" s="30"/>
      <c r="CA1" s="30"/>
      <c r="CB1" s="30"/>
      <c r="CC1" s="43" t="s">
        <v>11</v>
      </c>
      <c r="CD1" s="30"/>
      <c r="CE1" s="30"/>
      <c r="CF1" s="30"/>
      <c r="CG1" s="30"/>
      <c r="CH1" s="30"/>
      <c r="CI1" s="43" t="s">
        <v>12</v>
      </c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43" t="s">
        <v>13</v>
      </c>
      <c r="CV1" s="30"/>
      <c r="CW1" s="30"/>
      <c r="CX1" s="37" t="s">
        <v>14</v>
      </c>
      <c r="CY1" s="30"/>
      <c r="CZ1" s="30"/>
      <c r="DA1" s="30"/>
      <c r="DB1" s="30"/>
      <c r="DC1" s="37" t="s">
        <v>15</v>
      </c>
      <c r="DD1" s="30"/>
      <c r="DE1" s="30"/>
      <c r="DF1" s="30"/>
      <c r="DG1" s="30"/>
      <c r="DH1" s="37" t="s">
        <v>16</v>
      </c>
      <c r="DI1" s="30"/>
      <c r="DJ1" s="30"/>
      <c r="DK1" s="30"/>
      <c r="DL1" s="30"/>
      <c r="DM1" s="37" t="s">
        <v>17</v>
      </c>
      <c r="DN1" s="30"/>
      <c r="DO1" s="30"/>
      <c r="DP1" s="30"/>
      <c r="DQ1" s="30"/>
      <c r="DR1" s="41" t="s">
        <v>18</v>
      </c>
      <c r="DS1" s="30"/>
      <c r="DT1" s="30"/>
      <c r="DU1" s="30"/>
      <c r="DV1" s="30"/>
      <c r="DW1" s="32" t="s">
        <v>19</v>
      </c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2" t="s">
        <v>20</v>
      </c>
      <c r="EK1" s="30"/>
      <c r="EL1" s="30"/>
      <c r="EM1" s="30"/>
      <c r="EN1" s="30"/>
      <c r="EO1" s="30"/>
      <c r="EP1" s="30"/>
      <c r="EQ1" s="30"/>
      <c r="ER1" s="30"/>
      <c r="ES1" s="32" t="s">
        <v>21</v>
      </c>
      <c r="ET1" s="30"/>
      <c r="EU1" s="30"/>
      <c r="EV1" s="30"/>
      <c r="EW1" s="30"/>
      <c r="EX1" s="30"/>
      <c r="EY1" s="32" t="s">
        <v>22</v>
      </c>
      <c r="EZ1" s="30"/>
      <c r="FA1" s="30"/>
      <c r="FB1" s="30"/>
      <c r="FC1" s="30"/>
      <c r="FD1" s="30"/>
      <c r="FE1" s="30"/>
      <c r="FF1" s="30"/>
      <c r="FG1" s="2" t="s">
        <v>23</v>
      </c>
      <c r="FH1" s="38" t="s">
        <v>24</v>
      </c>
      <c r="FI1" s="30"/>
      <c r="FJ1" s="30"/>
      <c r="FK1" s="30"/>
      <c r="FL1" s="39" t="s">
        <v>25</v>
      </c>
      <c r="FM1" s="30"/>
      <c r="FN1" s="30"/>
      <c r="FO1" s="30"/>
      <c r="FP1" s="30"/>
      <c r="FQ1" s="30"/>
      <c r="FR1" s="34" t="s">
        <v>26</v>
      </c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4" t="s">
        <v>27</v>
      </c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4" t="s">
        <v>28</v>
      </c>
      <c r="GO1" s="30"/>
      <c r="GP1" s="30"/>
      <c r="GQ1" s="30"/>
      <c r="GR1" s="30"/>
      <c r="GS1" s="34" t="s">
        <v>29</v>
      </c>
      <c r="GT1" s="30"/>
      <c r="GU1" s="30"/>
      <c r="GV1" s="30"/>
      <c r="GW1" s="30"/>
      <c r="GX1" s="38" t="s">
        <v>30</v>
      </c>
      <c r="GY1" s="30"/>
      <c r="GZ1" s="30"/>
      <c r="HA1" s="30"/>
      <c r="HB1" s="30"/>
      <c r="HC1" s="30"/>
      <c r="HD1" s="30"/>
      <c r="HE1" s="36" t="s">
        <v>31</v>
      </c>
      <c r="HF1" s="30"/>
      <c r="HG1" s="30"/>
      <c r="HH1" s="30"/>
      <c r="HI1" s="30"/>
      <c r="HJ1" s="30"/>
      <c r="HK1" s="30"/>
      <c r="HL1" s="36" t="s">
        <v>32</v>
      </c>
      <c r="HM1" s="30"/>
      <c r="HN1" s="30"/>
    </row>
    <row r="2" spans="1:222" ht="49.5" customHeight="1" x14ac:dyDescent="0.3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4" t="s">
        <v>40</v>
      </c>
      <c r="I2" s="4" t="s">
        <v>41</v>
      </c>
      <c r="J2" s="4" t="s">
        <v>42</v>
      </c>
      <c r="K2" s="4" t="s">
        <v>43</v>
      </c>
      <c r="L2" s="4" t="s">
        <v>44</v>
      </c>
      <c r="M2" s="5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5" t="s">
        <v>50</v>
      </c>
      <c r="S2" s="5" t="s">
        <v>51</v>
      </c>
      <c r="T2" s="4" t="s">
        <v>52</v>
      </c>
      <c r="U2" s="5" t="s">
        <v>53</v>
      </c>
      <c r="V2" s="4" t="s">
        <v>54</v>
      </c>
      <c r="W2" s="5" t="s">
        <v>55</v>
      </c>
      <c r="X2" s="4" t="s">
        <v>56</v>
      </c>
      <c r="Y2" s="5" t="s">
        <v>57</v>
      </c>
      <c r="Z2" s="4" t="s">
        <v>58</v>
      </c>
      <c r="AA2" s="5" t="s">
        <v>59</v>
      </c>
      <c r="AB2" s="4" t="s">
        <v>60</v>
      </c>
      <c r="AC2" s="5" t="s">
        <v>61</v>
      </c>
      <c r="AD2" s="4" t="s">
        <v>62</v>
      </c>
      <c r="AE2" s="5" t="s">
        <v>63</v>
      </c>
      <c r="AF2" s="4" t="s">
        <v>64</v>
      </c>
      <c r="AG2" s="5" t="s">
        <v>65</v>
      </c>
      <c r="AH2" s="4" t="s">
        <v>66</v>
      </c>
      <c r="AI2" s="5" t="s">
        <v>67</v>
      </c>
      <c r="AJ2" s="4" t="s">
        <v>68</v>
      </c>
      <c r="AK2" s="5" t="s">
        <v>69</v>
      </c>
      <c r="AL2" s="4" t="s">
        <v>70</v>
      </c>
      <c r="AM2" s="5" t="s">
        <v>71</v>
      </c>
      <c r="AN2" s="4" t="s">
        <v>72</v>
      </c>
      <c r="AO2" s="4" t="s">
        <v>73</v>
      </c>
      <c r="AP2" s="4" t="s">
        <v>74</v>
      </c>
      <c r="AQ2" s="4" t="s">
        <v>75</v>
      </c>
      <c r="AR2" s="4" t="s">
        <v>76</v>
      </c>
      <c r="AS2" s="4" t="s">
        <v>77</v>
      </c>
      <c r="AT2" s="4" t="s">
        <v>78</v>
      </c>
      <c r="AU2" s="5" t="s">
        <v>79</v>
      </c>
      <c r="AV2" s="5" t="s">
        <v>80</v>
      </c>
      <c r="AW2" s="5" t="s">
        <v>81</v>
      </c>
      <c r="AX2" s="4" t="s">
        <v>82</v>
      </c>
      <c r="AY2" s="5" t="s">
        <v>83</v>
      </c>
      <c r="AZ2" s="4" t="s">
        <v>84</v>
      </c>
      <c r="BA2" s="4" t="s">
        <v>85</v>
      </c>
      <c r="BB2" s="4" t="s">
        <v>86</v>
      </c>
      <c r="BC2" s="4" t="s">
        <v>87</v>
      </c>
      <c r="BD2" s="4" t="s">
        <v>88</v>
      </c>
      <c r="BE2" s="5" t="s">
        <v>89</v>
      </c>
      <c r="BF2" s="5" t="s">
        <v>90</v>
      </c>
      <c r="BG2" s="4" t="s">
        <v>91</v>
      </c>
      <c r="BH2" s="4" t="s">
        <v>92</v>
      </c>
      <c r="BI2" s="4" t="s">
        <v>93</v>
      </c>
      <c r="BJ2" s="4" t="s">
        <v>94</v>
      </c>
      <c r="BK2" s="5" t="s">
        <v>95</v>
      </c>
      <c r="BL2" s="5" t="s">
        <v>96</v>
      </c>
      <c r="BM2" s="4" t="s">
        <v>97</v>
      </c>
      <c r="BN2" s="4" t="s">
        <v>98</v>
      </c>
      <c r="BO2" s="4" t="s">
        <v>99</v>
      </c>
      <c r="BP2" s="4" t="s">
        <v>100</v>
      </c>
      <c r="BQ2" s="5" t="s">
        <v>101</v>
      </c>
      <c r="BR2" s="5" t="s">
        <v>102</v>
      </c>
      <c r="BS2" s="4" t="s">
        <v>103</v>
      </c>
      <c r="BT2" s="4" t="s">
        <v>104</v>
      </c>
      <c r="BU2" s="4" t="s">
        <v>105</v>
      </c>
      <c r="BV2" s="4" t="s">
        <v>106</v>
      </c>
      <c r="BW2" s="5" t="s">
        <v>107</v>
      </c>
      <c r="BX2" s="5" t="s">
        <v>108</v>
      </c>
      <c r="BY2" s="5" t="s">
        <v>109</v>
      </c>
      <c r="BZ2" s="5" t="s">
        <v>110</v>
      </c>
      <c r="CA2" s="5" t="s">
        <v>111</v>
      </c>
      <c r="CB2" s="5" t="s">
        <v>112</v>
      </c>
      <c r="CC2" s="4" t="s">
        <v>113</v>
      </c>
      <c r="CD2" s="4" t="s">
        <v>114</v>
      </c>
      <c r="CE2" s="4" t="s">
        <v>115</v>
      </c>
      <c r="CF2" s="4" t="s">
        <v>116</v>
      </c>
      <c r="CG2" s="4" t="s">
        <v>117</v>
      </c>
      <c r="CH2" s="5" t="s">
        <v>118</v>
      </c>
      <c r="CI2" s="4" t="s">
        <v>119</v>
      </c>
      <c r="CJ2" s="4" t="s">
        <v>120</v>
      </c>
      <c r="CK2" s="4" t="s">
        <v>121</v>
      </c>
      <c r="CL2" s="4" t="s">
        <v>122</v>
      </c>
      <c r="CM2" s="5" t="s">
        <v>123</v>
      </c>
      <c r="CN2" s="4" t="s">
        <v>124</v>
      </c>
      <c r="CO2" s="4" t="s">
        <v>125</v>
      </c>
      <c r="CP2" s="4" t="s">
        <v>126</v>
      </c>
      <c r="CQ2" s="4" t="s">
        <v>127</v>
      </c>
      <c r="CR2" s="5" t="s">
        <v>128</v>
      </c>
      <c r="CS2" s="5" t="s">
        <v>129</v>
      </c>
      <c r="CT2" s="4" t="s">
        <v>130</v>
      </c>
      <c r="CU2" s="4" t="s">
        <v>131</v>
      </c>
      <c r="CV2" s="4" t="s">
        <v>132</v>
      </c>
      <c r="CW2" s="5" t="s">
        <v>133</v>
      </c>
      <c r="CX2" s="4" t="s">
        <v>134</v>
      </c>
      <c r="CY2" s="4" t="s">
        <v>135</v>
      </c>
      <c r="CZ2" s="4" t="s">
        <v>136</v>
      </c>
      <c r="DA2" s="4" t="s">
        <v>137</v>
      </c>
      <c r="DB2" s="5" t="s">
        <v>138</v>
      </c>
      <c r="DC2" s="4" t="s">
        <v>139</v>
      </c>
      <c r="DD2" s="4" t="s">
        <v>140</v>
      </c>
      <c r="DE2" s="4" t="s">
        <v>141</v>
      </c>
      <c r="DF2" s="4" t="s">
        <v>142</v>
      </c>
      <c r="DG2" s="5" t="s">
        <v>143</v>
      </c>
      <c r="DH2" s="4" t="s">
        <v>144</v>
      </c>
      <c r="DI2" s="4" t="s">
        <v>145</v>
      </c>
      <c r="DJ2" s="4" t="s">
        <v>146</v>
      </c>
      <c r="DK2" s="4" t="s">
        <v>147</v>
      </c>
      <c r="DL2" s="5" t="s">
        <v>148</v>
      </c>
      <c r="DM2" s="4" t="s">
        <v>149</v>
      </c>
      <c r="DN2" s="4" t="s">
        <v>150</v>
      </c>
      <c r="DO2" s="4" t="s">
        <v>151</v>
      </c>
      <c r="DP2" s="4" t="s">
        <v>152</v>
      </c>
      <c r="DQ2" s="5" t="s">
        <v>153</v>
      </c>
      <c r="DR2" s="5" t="s">
        <v>154</v>
      </c>
      <c r="DS2" s="5" t="s">
        <v>155</v>
      </c>
      <c r="DT2" s="5" t="s">
        <v>156</v>
      </c>
      <c r="DU2" s="5" t="s">
        <v>157</v>
      </c>
      <c r="DV2" s="5" t="s">
        <v>158</v>
      </c>
      <c r="DW2" s="4" t="s">
        <v>159</v>
      </c>
      <c r="DX2" s="4" t="s">
        <v>160</v>
      </c>
      <c r="DY2" s="4" t="s">
        <v>161</v>
      </c>
      <c r="DZ2" s="4" t="s">
        <v>162</v>
      </c>
      <c r="EA2" s="4" t="s">
        <v>163</v>
      </c>
      <c r="EB2" s="4" t="s">
        <v>164</v>
      </c>
      <c r="EC2" s="4" t="s">
        <v>165</v>
      </c>
      <c r="ED2" s="4" t="s">
        <v>166</v>
      </c>
      <c r="EE2" s="4" t="s">
        <v>167</v>
      </c>
      <c r="EF2" s="4" t="s">
        <v>168</v>
      </c>
      <c r="EG2" s="4" t="s">
        <v>169</v>
      </c>
      <c r="EH2" s="4" t="s">
        <v>170</v>
      </c>
      <c r="EI2" s="4" t="s">
        <v>171</v>
      </c>
      <c r="EJ2" s="4" t="s">
        <v>172</v>
      </c>
      <c r="EK2" s="4" t="s">
        <v>173</v>
      </c>
      <c r="EL2" s="4" t="s">
        <v>174</v>
      </c>
      <c r="EM2" s="4" t="s">
        <v>175</v>
      </c>
      <c r="EN2" s="4" t="s">
        <v>176</v>
      </c>
      <c r="EO2" s="4" t="s">
        <v>177</v>
      </c>
      <c r="EP2" s="4" t="s">
        <v>178</v>
      </c>
      <c r="EQ2" s="4" t="s">
        <v>179</v>
      </c>
      <c r="ER2" s="4" t="s">
        <v>180</v>
      </c>
      <c r="ES2" s="4" t="s">
        <v>181</v>
      </c>
      <c r="ET2" s="4" t="s">
        <v>182</v>
      </c>
      <c r="EU2" s="4" t="s">
        <v>183</v>
      </c>
      <c r="EV2" s="4" t="s">
        <v>184</v>
      </c>
      <c r="EW2" s="4" t="s">
        <v>185</v>
      </c>
      <c r="EX2" s="4" t="s">
        <v>186</v>
      </c>
      <c r="EY2" s="4" t="s">
        <v>187</v>
      </c>
      <c r="EZ2" s="4" t="s">
        <v>188</v>
      </c>
      <c r="FA2" s="4" t="s">
        <v>189</v>
      </c>
      <c r="FB2" s="4" t="s">
        <v>190</v>
      </c>
      <c r="FC2" s="4" t="s">
        <v>191</v>
      </c>
      <c r="FD2" s="4" t="s">
        <v>192</v>
      </c>
      <c r="FE2" s="4" t="s">
        <v>193</v>
      </c>
      <c r="FF2" s="4" t="s">
        <v>194</v>
      </c>
      <c r="FG2" s="5" t="s">
        <v>195</v>
      </c>
      <c r="FH2" s="4" t="s">
        <v>196</v>
      </c>
      <c r="FI2" s="4" t="s">
        <v>197</v>
      </c>
      <c r="FJ2" s="4" t="s">
        <v>198</v>
      </c>
      <c r="FK2" s="4" t="s">
        <v>199</v>
      </c>
      <c r="FL2" s="4" t="s">
        <v>200</v>
      </c>
      <c r="FM2" s="4" t="s">
        <v>201</v>
      </c>
      <c r="FN2" s="4" t="s">
        <v>202</v>
      </c>
      <c r="FO2" s="4" t="s">
        <v>203</v>
      </c>
      <c r="FP2" s="4" t="s">
        <v>204</v>
      </c>
      <c r="FQ2" s="5" t="s">
        <v>205</v>
      </c>
      <c r="FR2" s="4" t="s">
        <v>206</v>
      </c>
      <c r="FS2" s="4" t="s">
        <v>207</v>
      </c>
      <c r="FT2" s="4" t="s">
        <v>208</v>
      </c>
      <c r="FU2" s="4" t="s">
        <v>209</v>
      </c>
      <c r="FV2" s="5" t="s">
        <v>210</v>
      </c>
      <c r="FW2" s="4" t="s">
        <v>211</v>
      </c>
      <c r="FX2" s="4" t="s">
        <v>212</v>
      </c>
      <c r="FY2" s="4" t="s">
        <v>213</v>
      </c>
      <c r="FZ2" s="4" t="s">
        <v>214</v>
      </c>
      <c r="GA2" s="5" t="s">
        <v>215</v>
      </c>
      <c r="GB2" s="5" t="s">
        <v>216</v>
      </c>
      <c r="GC2" s="4" t="s">
        <v>217</v>
      </c>
      <c r="GD2" s="4" t="s">
        <v>218</v>
      </c>
      <c r="GE2" s="4" t="s">
        <v>219</v>
      </c>
      <c r="GF2" s="4" t="s">
        <v>220</v>
      </c>
      <c r="GG2" s="5" t="s">
        <v>221</v>
      </c>
      <c r="GH2" s="4" t="s">
        <v>222</v>
      </c>
      <c r="GI2" s="4" t="s">
        <v>223</v>
      </c>
      <c r="GJ2" s="4" t="s">
        <v>224</v>
      </c>
      <c r="GK2" s="4" t="s">
        <v>225</v>
      </c>
      <c r="GL2" s="5" t="s">
        <v>226</v>
      </c>
      <c r="GM2" s="5" t="s">
        <v>227</v>
      </c>
      <c r="GN2" s="4" t="s">
        <v>228</v>
      </c>
      <c r="GO2" s="4" t="s">
        <v>229</v>
      </c>
      <c r="GP2" s="4" t="s">
        <v>230</v>
      </c>
      <c r="GQ2" s="4" t="s">
        <v>231</v>
      </c>
      <c r="GR2" s="5" t="s">
        <v>232</v>
      </c>
      <c r="GS2" s="4" t="s">
        <v>233</v>
      </c>
      <c r="GT2" s="4" t="s">
        <v>234</v>
      </c>
      <c r="GU2" s="4" t="s">
        <v>235</v>
      </c>
      <c r="GV2" s="4" t="s">
        <v>236</v>
      </c>
      <c r="GW2" s="5" t="s">
        <v>237</v>
      </c>
      <c r="GX2" s="5" t="s">
        <v>238</v>
      </c>
      <c r="GY2" s="4" t="s">
        <v>239</v>
      </c>
      <c r="GZ2" s="4" t="s">
        <v>240</v>
      </c>
      <c r="HA2" s="5" t="s">
        <v>241</v>
      </c>
      <c r="HB2" s="5" t="s">
        <v>242</v>
      </c>
      <c r="HC2" s="5" t="s">
        <v>243</v>
      </c>
      <c r="HD2" s="5" t="s">
        <v>244</v>
      </c>
      <c r="HE2" s="4" t="s">
        <v>245</v>
      </c>
      <c r="HF2" s="4" t="s">
        <v>246</v>
      </c>
      <c r="HG2" s="4" t="s">
        <v>247</v>
      </c>
      <c r="HH2" s="4" t="s">
        <v>248</v>
      </c>
      <c r="HI2" s="4" t="s">
        <v>249</v>
      </c>
      <c r="HJ2" s="5" t="s">
        <v>250</v>
      </c>
      <c r="HK2" s="5" t="s">
        <v>251</v>
      </c>
      <c r="HL2" s="4" t="s">
        <v>252</v>
      </c>
      <c r="HM2" s="4" t="s">
        <v>253</v>
      </c>
      <c r="HN2" s="5" t="s">
        <v>254</v>
      </c>
    </row>
    <row r="3" spans="1:222" x14ac:dyDescent="0.3">
      <c r="A3" s="6" t="s">
        <v>255</v>
      </c>
      <c r="B3" s="6" t="s">
        <v>256</v>
      </c>
      <c r="C3" s="7" t="s">
        <v>257</v>
      </c>
      <c r="D3" s="7">
        <v>2025</v>
      </c>
      <c r="E3" s="7">
        <v>4</v>
      </c>
      <c r="F3" s="7" t="s">
        <v>258</v>
      </c>
      <c r="G3" s="7" t="s">
        <v>259</v>
      </c>
      <c r="H3" s="8">
        <v>53275</v>
      </c>
      <c r="I3" s="8">
        <v>24957</v>
      </c>
      <c r="J3" s="8">
        <v>958</v>
      </c>
      <c r="K3" s="8">
        <v>90</v>
      </c>
      <c r="L3" s="8">
        <v>11</v>
      </c>
      <c r="M3" s="9">
        <f t="shared" ref="M3:M11" si="0">SUM(I3,J3,K3,L3)</f>
        <v>26016</v>
      </c>
      <c r="N3" s="8">
        <v>9562.5999999999894</v>
      </c>
      <c r="O3" s="8">
        <v>43.4</v>
      </c>
      <c r="P3" s="8">
        <v>1612.1</v>
      </c>
      <c r="Q3" s="8">
        <v>353.8</v>
      </c>
      <c r="R3" s="9">
        <f t="shared" ref="R3:R11" si="1">SUM(N3,O3,P3,Q3)</f>
        <v>11571.899999999989</v>
      </c>
      <c r="S3" s="9">
        <f t="shared" ref="S3:S11" si="2">M3+R3</f>
        <v>37587.899999999987</v>
      </c>
      <c r="T3" s="8">
        <v>15687.1</v>
      </c>
      <c r="U3" s="10">
        <f t="shared" ref="U3:U11" si="3">IF(H3=0,"",T3/H3)</f>
        <v>0.2944551853589864</v>
      </c>
      <c r="V3" s="8">
        <v>86</v>
      </c>
      <c r="W3" s="11">
        <f t="shared" ref="W3:W11" si="4">IF(H3=0,"",V3/H3)</f>
        <v>1.6142656030032848E-3</v>
      </c>
      <c r="X3" s="8">
        <v>0</v>
      </c>
      <c r="Y3" s="11">
        <f t="shared" ref="Y3:Y11" si="5">IF(H3=0,"",X3/H3)</f>
        <v>0</v>
      </c>
      <c r="Z3" s="8">
        <v>0</v>
      </c>
      <c r="AA3" s="11">
        <f t="shared" ref="AA3:AA11" si="6">IF(H3=0,"",Z3/H3)</f>
        <v>0</v>
      </c>
      <c r="AB3" s="8">
        <v>0</v>
      </c>
      <c r="AC3" s="11">
        <f t="shared" ref="AC3:AC11" si="7">IF(H3=0,"",AB3/H3)</f>
        <v>0</v>
      </c>
      <c r="AD3" s="8">
        <v>0</v>
      </c>
      <c r="AE3" s="11">
        <f t="shared" ref="AE3:AE11" si="8">IF(H3=0,"",AD3/H3)</f>
        <v>0</v>
      </c>
      <c r="AF3" s="8">
        <v>0</v>
      </c>
      <c r="AG3" s="11">
        <f t="shared" ref="AG3:AG11" si="9">IF(H3=0,"",AF3/H3)</f>
        <v>0</v>
      </c>
      <c r="AH3" s="8">
        <v>303174.94</v>
      </c>
      <c r="AI3" s="9">
        <f t="shared" ref="AI3:AI11" si="10">IF(H3=0,"",AH3/H3)</f>
        <v>5.6907543876114497</v>
      </c>
      <c r="AJ3" s="8">
        <v>28941.5</v>
      </c>
      <c r="AK3" s="11">
        <f t="shared" ref="AK3:AK11" si="11">IF(H3=0,"",AJ3/H3)</f>
        <v>0.543247301736274</v>
      </c>
      <c r="AL3" s="8">
        <v>4857706.61625</v>
      </c>
      <c r="AM3" s="9">
        <f t="shared" ref="AM3:AM11" si="12">IF(H3=0,"",AL3/H3)</f>
        <v>91.181729070858751</v>
      </c>
      <c r="AN3" s="8">
        <v>3192</v>
      </c>
      <c r="AO3" s="8">
        <v>120</v>
      </c>
      <c r="AP3" s="8">
        <v>327600</v>
      </c>
      <c r="AQ3" s="8">
        <v>0</v>
      </c>
      <c r="AR3" s="8">
        <v>17284771.379999999</v>
      </c>
      <c r="AS3" s="8">
        <v>4389039.26</v>
      </c>
      <c r="AT3" s="8">
        <v>5018013.6900000004</v>
      </c>
      <c r="AU3" s="9">
        <f t="shared" ref="AU3:AU11" si="13">AH3+AL3+AP3+AQ3+AR3+AS3+AT3</f>
        <v>32180305.88625</v>
      </c>
      <c r="AV3" s="9">
        <f t="shared" ref="AV3:AV11" si="14">IF(H3=0,"",AU3/H3)</f>
        <v>604.04140565462228</v>
      </c>
      <c r="AW3" s="9">
        <f t="shared" ref="AW3:AW11" si="15">IF(S3=0,"",AU3/S3)</f>
        <v>856.1347105384981</v>
      </c>
      <c r="AX3" s="8">
        <v>14</v>
      </c>
      <c r="AY3" s="9">
        <f t="shared" ref="AY3:AY11" si="16">IF(H3=0,"",AX3/(H3/1000/12))</f>
        <v>3.1534490849366494</v>
      </c>
      <c r="AZ3" s="8">
        <v>20</v>
      </c>
      <c r="BA3" s="8">
        <v>407</v>
      </c>
      <c r="BB3" s="8">
        <v>34</v>
      </c>
      <c r="BC3" s="8">
        <v>48</v>
      </c>
      <c r="BD3" s="8">
        <v>0</v>
      </c>
      <c r="BE3" s="9">
        <f t="shared" ref="BE3:BE11" si="17">BC3+BD3</f>
        <v>48</v>
      </c>
      <c r="BF3" s="9">
        <f t="shared" ref="BF3:BF11" si="18">BA3+BB3-BE3</f>
        <v>393</v>
      </c>
      <c r="BG3" s="8">
        <v>0</v>
      </c>
      <c r="BH3" s="8">
        <v>0</v>
      </c>
      <c r="BI3" s="8">
        <v>0</v>
      </c>
      <c r="BJ3" s="8">
        <v>0</v>
      </c>
      <c r="BK3" s="9">
        <f t="shared" ref="BK3:BK11" si="19">BI3+BJ3</f>
        <v>0</v>
      </c>
      <c r="BL3" s="9">
        <f t="shared" ref="BL3:BL11" si="20">BG3+BH3-BK3</f>
        <v>0</v>
      </c>
      <c r="BM3" s="8">
        <v>0</v>
      </c>
      <c r="BN3" s="8">
        <v>0</v>
      </c>
      <c r="BO3" s="8">
        <v>0</v>
      </c>
      <c r="BP3" s="8">
        <v>0</v>
      </c>
      <c r="BQ3" s="9">
        <f t="shared" ref="BQ3:BQ11" si="21">BO3+BP3</f>
        <v>0</v>
      </c>
      <c r="BR3" s="9">
        <f t="shared" ref="BR3:BR11" si="22">BM3+BN3-BQ3</f>
        <v>0</v>
      </c>
      <c r="BS3" s="8">
        <v>0</v>
      </c>
      <c r="BT3" s="8">
        <v>0</v>
      </c>
      <c r="BU3" s="8">
        <v>0</v>
      </c>
      <c r="BV3" s="8">
        <v>0</v>
      </c>
      <c r="BW3" s="9">
        <f t="shared" ref="BW3:BW11" si="23">BU3+BV3</f>
        <v>0</v>
      </c>
      <c r="BX3" s="9">
        <f t="shared" ref="BX3:BX11" si="24">BS3+BT3-BW3</f>
        <v>0</v>
      </c>
      <c r="BY3" s="9">
        <f t="shared" ref="BY3:BY11" si="25">BA3+BG3+BM3+BS3</f>
        <v>407</v>
      </c>
      <c r="BZ3" s="9">
        <f t="shared" ref="BZ3:BZ11" si="26">BB3+BH3+BN3+BT3</f>
        <v>34</v>
      </c>
      <c r="CA3" s="9">
        <f t="shared" ref="CA3:CA11" si="27">BE3+BK3+BQ3+BW3</f>
        <v>48</v>
      </c>
      <c r="CB3" s="9">
        <f t="shared" ref="CB3:CB11" si="28">BF3+BL3+BR3+BX3</f>
        <v>393</v>
      </c>
      <c r="CC3" s="8">
        <v>61</v>
      </c>
      <c r="CD3" s="8">
        <v>2565</v>
      </c>
      <c r="CE3" s="8">
        <v>49</v>
      </c>
      <c r="CF3" s="8">
        <v>95</v>
      </c>
      <c r="CG3" s="8">
        <v>20</v>
      </c>
      <c r="CH3" s="9">
        <f t="shared" ref="CH3:CH11" si="29">CD3+CE3+CF3+CG3</f>
        <v>2729</v>
      </c>
      <c r="CI3" s="8">
        <v>3360</v>
      </c>
      <c r="CJ3" s="8">
        <v>12</v>
      </c>
      <c r="CK3" s="8">
        <v>1</v>
      </c>
      <c r="CL3" s="8">
        <v>11</v>
      </c>
      <c r="CM3" s="9">
        <f t="shared" ref="CM3:CM11" si="30">CI3+CJ3+CK3+CL3</f>
        <v>3384</v>
      </c>
      <c r="CN3" s="8">
        <v>1543</v>
      </c>
      <c r="CO3" s="8">
        <v>74</v>
      </c>
      <c r="CP3" s="8">
        <v>70</v>
      </c>
      <c r="CQ3" s="8">
        <v>3</v>
      </c>
      <c r="CR3" s="9">
        <f t="shared" ref="CR3:CR11" si="31">CN3+CO3+CP3+CQ3</f>
        <v>1690</v>
      </c>
      <c r="CS3" s="9">
        <f t="shared" ref="CS3:CS11" si="32">CM3+CR3</f>
        <v>5074</v>
      </c>
      <c r="CT3" s="8">
        <v>7803</v>
      </c>
      <c r="CU3" s="8">
        <v>41026</v>
      </c>
      <c r="CV3" s="8">
        <v>34872</v>
      </c>
      <c r="CW3" s="10">
        <f t="shared" ref="CW3:CW11" si="33">IF(CU3=0,"",CV3/CU3)</f>
        <v>0.84999756252132797</v>
      </c>
      <c r="CX3" s="8"/>
      <c r="CY3" s="8"/>
      <c r="CZ3" s="8"/>
      <c r="DA3" s="8"/>
      <c r="DB3" s="9">
        <f t="shared" ref="DB3:DB11" si="34">CX3+CY3-CZ3-DA3</f>
        <v>0</v>
      </c>
      <c r="DC3" s="8">
        <v>0</v>
      </c>
      <c r="DD3" s="8">
        <v>0</v>
      </c>
      <c r="DE3" s="8">
        <v>0</v>
      </c>
      <c r="DF3" s="8">
        <v>0</v>
      </c>
      <c r="DG3" s="9">
        <f t="shared" ref="DG3:DG11" si="35">DC3+DD3-DE3-DF3</f>
        <v>0</v>
      </c>
      <c r="DH3" s="8">
        <v>0</v>
      </c>
      <c r="DI3" s="8">
        <v>0</v>
      </c>
      <c r="DJ3" s="8">
        <v>0</v>
      </c>
      <c r="DK3" s="8">
        <v>0</v>
      </c>
      <c r="DL3" s="9">
        <f t="shared" ref="DL3:DL11" si="36">DH3+DI3-DJ3-DK3</f>
        <v>0</v>
      </c>
      <c r="DM3" s="8">
        <v>376</v>
      </c>
      <c r="DN3" s="8">
        <v>0</v>
      </c>
      <c r="DO3" s="8">
        <v>46</v>
      </c>
      <c r="DP3" s="8">
        <v>0</v>
      </c>
      <c r="DQ3" s="9">
        <f t="shared" ref="DQ3:DQ11" si="37">DM3+DN3-DO3-DP3</f>
        <v>330</v>
      </c>
      <c r="DR3" s="9">
        <f t="shared" ref="DR3:DR11" si="38">CX3+DC3+DH3+DM3</f>
        <v>376</v>
      </c>
      <c r="DS3" s="9">
        <f t="shared" ref="DS3:DS11" si="39">CY3+DD3+DI3+DN3</f>
        <v>0</v>
      </c>
      <c r="DT3" s="9">
        <f t="shared" ref="DT3:DT11" si="40">CZ3+DE3+DJ3+DO3</f>
        <v>46</v>
      </c>
      <c r="DU3" s="9">
        <f t="shared" ref="DU3:DU11" si="41">DA3+DF3+DK3+DP3</f>
        <v>0</v>
      </c>
      <c r="DV3" s="9">
        <f t="shared" ref="DV3:DV11" si="42">DB3+DG3+DL3+DQ3</f>
        <v>330</v>
      </c>
      <c r="DW3" s="8">
        <v>91</v>
      </c>
      <c r="DX3" s="8">
        <v>52</v>
      </c>
      <c r="DY3" s="8">
        <v>24</v>
      </c>
      <c r="DZ3" s="8">
        <v>0</v>
      </c>
      <c r="EA3" s="8">
        <v>2</v>
      </c>
      <c r="EB3" s="8">
        <v>7</v>
      </c>
      <c r="EC3" s="8">
        <v>0</v>
      </c>
      <c r="ED3" s="8">
        <v>1</v>
      </c>
      <c r="EE3" s="8">
        <v>3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9">
        <f t="shared" ref="FG3:FG11" si="43">SUM(DW3,DX3,DY3,DZ3,EA3,EB3,EC3,ED3,EE3,EF3,EG3,EH3,EI3,EJ3,EK3,EL3,EM3,EN3,EO3,EP3,EQ3,ER3,ES3,ET3,EU3,EV3,EW3,EX3,EY3,EZ3,FA3,FB3,FC3,FD3,FE3,FF3)</f>
        <v>180</v>
      </c>
      <c r="FH3" s="8">
        <v>0</v>
      </c>
      <c r="FI3" s="8">
        <v>0</v>
      </c>
      <c r="FJ3" s="8">
        <v>72</v>
      </c>
      <c r="FK3" s="8">
        <v>504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9">
        <f t="shared" ref="FQ3:FQ11" si="44">FL3+FM3+FN3+FO3+FP3</f>
        <v>0</v>
      </c>
      <c r="FR3" s="8">
        <v>17408596.219999999</v>
      </c>
      <c r="FS3" s="8">
        <v>178300</v>
      </c>
      <c r="FT3" s="8">
        <v>16000</v>
      </c>
      <c r="FU3" s="8">
        <v>26000</v>
      </c>
      <c r="FV3" s="9">
        <f t="shared" ref="FV3:FV11" si="45">FR3+FS3+FT3+FU3</f>
        <v>17628896.219999999</v>
      </c>
      <c r="FW3" s="8">
        <v>12283137.699999999</v>
      </c>
      <c r="FX3" s="8">
        <v>9324.64</v>
      </c>
      <c r="FY3" s="8">
        <v>1687222.81</v>
      </c>
      <c r="FZ3" s="8">
        <v>4930154.25</v>
      </c>
      <c r="GA3" s="9">
        <f t="shared" ref="GA3:GA11" si="46">FW3+FX3+FY3+FZ3</f>
        <v>18909839.399999999</v>
      </c>
      <c r="GB3" s="9">
        <f t="shared" ref="GB3:GB11" si="47">FV3+GA3</f>
        <v>36538735.619999997</v>
      </c>
      <c r="GC3" s="8">
        <v>24219711.5</v>
      </c>
      <c r="GD3" s="8">
        <v>183246.24</v>
      </c>
      <c r="GE3" s="8">
        <v>280474.64</v>
      </c>
      <c r="GF3" s="8">
        <v>32821.449999999997</v>
      </c>
      <c r="GG3" s="9">
        <f t="shared" ref="GG3:GG11" si="48">GC3+GD3+GE3+GF3</f>
        <v>24716253.829999998</v>
      </c>
      <c r="GH3" s="8">
        <v>11979413.080000009</v>
      </c>
      <c r="GI3" s="8">
        <v>9324.64</v>
      </c>
      <c r="GJ3" s="8">
        <v>4896554.25</v>
      </c>
      <c r="GK3" s="8">
        <v>1660222.81</v>
      </c>
      <c r="GL3" s="9">
        <f t="shared" ref="GL3:GL11" si="49">GH3+GI3+GJ3+GK3</f>
        <v>18545514.780000009</v>
      </c>
      <c r="GM3" s="9">
        <f t="shared" ref="GM3:GM11" si="50">GG3+GL3</f>
        <v>43261768.610000007</v>
      </c>
      <c r="GN3" s="8">
        <v>1792290.4</v>
      </c>
      <c r="GO3" s="8">
        <v>2104.08</v>
      </c>
      <c r="GP3" s="8">
        <v>40723.68</v>
      </c>
      <c r="GQ3" s="8">
        <v>4637.34</v>
      </c>
      <c r="GR3" s="9">
        <f t="shared" ref="GR3:GR11" si="51">GN3+GO3+GP3+GQ3</f>
        <v>1839755.5</v>
      </c>
      <c r="GS3" s="8">
        <v>3000480</v>
      </c>
      <c r="GT3" s="8">
        <v>9823</v>
      </c>
      <c r="GU3" s="8">
        <v>10716</v>
      </c>
      <c r="GV3" s="8">
        <v>893</v>
      </c>
      <c r="GW3" s="9">
        <f t="shared" ref="GW3:GW11" si="52">GS3+GT3+GU3+GV3</f>
        <v>3021912</v>
      </c>
      <c r="GX3" s="9">
        <f t="shared" ref="GX3:GX11" si="53">GM3+GR3+GW3</f>
        <v>48123436.110000007</v>
      </c>
      <c r="GY3" s="8">
        <v>316123530.96000099</v>
      </c>
      <c r="GZ3" s="8">
        <v>4644828.04</v>
      </c>
      <c r="HA3" s="9">
        <f t="shared" ref="HA3:HA11" si="54">GY3+GZ3</f>
        <v>320768359.00000101</v>
      </c>
      <c r="HB3" s="9">
        <f t="shared" ref="HB3:HB11" si="55">IF(GX3=0,"",AU3/GX3)</f>
        <v>0.66870341121720034</v>
      </c>
      <c r="HC3" s="10">
        <f t="shared" ref="HC3:HC11" si="56">IF((GX3+GY3)=0,"",GB3/(GX3+GY3))</f>
        <v>0.10031308129733303</v>
      </c>
      <c r="HD3" s="9">
        <f t="shared" ref="HD3:HD11" si="57">IF(GX3=0,"",GB3/GX3)</f>
        <v>0.75927112803167607</v>
      </c>
      <c r="HE3" s="8">
        <v>34</v>
      </c>
      <c r="HF3" s="8">
        <v>1</v>
      </c>
      <c r="HG3" s="8">
        <v>393</v>
      </c>
      <c r="HH3" s="8">
        <v>34</v>
      </c>
      <c r="HI3" s="8">
        <v>20</v>
      </c>
      <c r="HJ3" s="9">
        <f t="shared" ref="HJ3:HJ11" si="58">HF3+HI3</f>
        <v>21</v>
      </c>
      <c r="HK3" s="10">
        <f t="shared" ref="HK3:HK11" si="59">IF(HE3=0,"",HH3/HE3)</f>
        <v>1</v>
      </c>
      <c r="HL3" s="8">
        <v>12</v>
      </c>
      <c r="HM3" s="8">
        <v>30</v>
      </c>
      <c r="HN3" s="11">
        <f t="shared" ref="HN3:HN11" si="60">IF(HL3=0,"",HM3/HL3)</f>
        <v>2.5</v>
      </c>
    </row>
    <row r="4" spans="1:222" x14ac:dyDescent="0.3">
      <c r="A4" s="12" t="s">
        <v>255</v>
      </c>
      <c r="B4" s="12" t="s">
        <v>256</v>
      </c>
      <c r="C4" s="13" t="s">
        <v>257</v>
      </c>
      <c r="D4" s="13">
        <v>2025</v>
      </c>
      <c r="E4" s="13">
        <v>5</v>
      </c>
      <c r="F4" s="13" t="s">
        <v>260</v>
      </c>
      <c r="G4" s="13" t="s">
        <v>259</v>
      </c>
      <c r="H4" s="14">
        <v>41589</v>
      </c>
      <c r="I4" s="14">
        <v>17592</v>
      </c>
      <c r="J4" s="14">
        <v>714</v>
      </c>
      <c r="K4" s="14">
        <v>80</v>
      </c>
      <c r="L4" s="14">
        <v>4</v>
      </c>
      <c r="M4" s="15">
        <f t="shared" si="0"/>
        <v>18390</v>
      </c>
      <c r="N4" s="14">
        <v>9832.7000000000007</v>
      </c>
      <c r="O4" s="14">
        <v>118.2</v>
      </c>
      <c r="P4" s="14">
        <v>720.8</v>
      </c>
      <c r="Q4" s="14">
        <v>595.6</v>
      </c>
      <c r="R4" s="15">
        <f t="shared" si="1"/>
        <v>11267.300000000001</v>
      </c>
      <c r="S4" s="15">
        <f t="shared" si="2"/>
        <v>29657.300000000003</v>
      </c>
      <c r="T4" s="14">
        <v>11931.7</v>
      </c>
      <c r="U4" s="16">
        <f t="shared" si="3"/>
        <v>0.28689557334872201</v>
      </c>
      <c r="V4" s="14">
        <v>110</v>
      </c>
      <c r="W4" s="17">
        <f t="shared" si="4"/>
        <v>2.6449301497992257E-3</v>
      </c>
      <c r="X4" s="14">
        <v>0</v>
      </c>
      <c r="Y4" s="17">
        <f t="shared" si="5"/>
        <v>0</v>
      </c>
      <c r="Z4" s="14">
        <v>0</v>
      </c>
      <c r="AA4" s="17">
        <f t="shared" si="6"/>
        <v>0</v>
      </c>
      <c r="AB4" s="14">
        <v>0</v>
      </c>
      <c r="AC4" s="17">
        <f t="shared" si="7"/>
        <v>0</v>
      </c>
      <c r="AD4" s="14">
        <v>0</v>
      </c>
      <c r="AE4" s="17">
        <f t="shared" si="8"/>
        <v>0</v>
      </c>
      <c r="AF4" s="14">
        <v>0</v>
      </c>
      <c r="AG4" s="17">
        <f t="shared" si="9"/>
        <v>0</v>
      </c>
      <c r="AH4" s="14">
        <v>387781.9</v>
      </c>
      <c r="AI4" s="15">
        <f t="shared" si="10"/>
        <v>9.3241458077857136</v>
      </c>
      <c r="AJ4" s="14">
        <v>32525.4</v>
      </c>
      <c r="AK4" s="17">
        <f t="shared" si="11"/>
        <v>0.78206737358436129</v>
      </c>
      <c r="AL4" s="14">
        <v>5456854.0585000003</v>
      </c>
      <c r="AM4" s="15">
        <f t="shared" si="12"/>
        <v>131.2090711125538</v>
      </c>
      <c r="AN4" s="14">
        <v>4415</v>
      </c>
      <c r="AO4" s="14">
        <v>166</v>
      </c>
      <c r="AP4" s="14">
        <v>453844</v>
      </c>
      <c r="AQ4" s="14">
        <v>0</v>
      </c>
      <c r="AR4" s="14">
        <v>17895362.129999999</v>
      </c>
      <c r="AS4" s="14">
        <v>3972300.7999999998</v>
      </c>
      <c r="AT4" s="14">
        <v>5293286.24</v>
      </c>
      <c r="AU4" s="15">
        <f t="shared" si="13"/>
        <v>33459429.1285</v>
      </c>
      <c r="AV4" s="15">
        <f t="shared" si="14"/>
        <v>804.52593542763714</v>
      </c>
      <c r="AW4" s="15">
        <f t="shared" si="15"/>
        <v>1128.202133319621</v>
      </c>
      <c r="AX4" s="14">
        <v>14</v>
      </c>
      <c r="AY4" s="15">
        <f t="shared" si="16"/>
        <v>4.039529683329727</v>
      </c>
      <c r="AZ4" s="14">
        <v>20</v>
      </c>
      <c r="BA4" s="14">
        <v>393</v>
      </c>
      <c r="BB4" s="14">
        <v>38</v>
      </c>
      <c r="BC4" s="14">
        <v>32</v>
      </c>
      <c r="BD4" s="14">
        <v>0</v>
      </c>
      <c r="BE4" s="15">
        <f t="shared" si="17"/>
        <v>32</v>
      </c>
      <c r="BF4" s="15">
        <f t="shared" si="18"/>
        <v>399</v>
      </c>
      <c r="BG4" s="14">
        <v>0</v>
      </c>
      <c r="BH4" s="14">
        <v>0</v>
      </c>
      <c r="BI4" s="14">
        <v>0</v>
      </c>
      <c r="BJ4" s="14">
        <v>0</v>
      </c>
      <c r="BK4" s="15">
        <f t="shared" si="19"/>
        <v>0</v>
      </c>
      <c r="BL4" s="15">
        <f t="shared" si="20"/>
        <v>0</v>
      </c>
      <c r="BM4" s="14">
        <v>0</v>
      </c>
      <c r="BN4" s="14">
        <v>0</v>
      </c>
      <c r="BO4" s="14">
        <v>0</v>
      </c>
      <c r="BP4" s="14">
        <v>0</v>
      </c>
      <c r="BQ4" s="15">
        <f t="shared" si="21"/>
        <v>0</v>
      </c>
      <c r="BR4" s="15">
        <f t="shared" si="22"/>
        <v>0</v>
      </c>
      <c r="BS4" s="14">
        <v>0</v>
      </c>
      <c r="BT4" s="14">
        <v>0</v>
      </c>
      <c r="BU4" s="14">
        <v>0</v>
      </c>
      <c r="BV4" s="14">
        <v>0</v>
      </c>
      <c r="BW4" s="15">
        <f t="shared" si="23"/>
        <v>0</v>
      </c>
      <c r="BX4" s="15">
        <f t="shared" si="24"/>
        <v>0</v>
      </c>
      <c r="BY4" s="15">
        <f t="shared" si="25"/>
        <v>393</v>
      </c>
      <c r="BZ4" s="15">
        <f t="shared" si="26"/>
        <v>38</v>
      </c>
      <c r="CA4" s="15">
        <f t="shared" si="27"/>
        <v>32</v>
      </c>
      <c r="CB4" s="15">
        <f t="shared" si="28"/>
        <v>399</v>
      </c>
      <c r="CC4" s="14">
        <v>72</v>
      </c>
      <c r="CD4" s="14">
        <v>2601</v>
      </c>
      <c r="CE4" s="14">
        <v>49</v>
      </c>
      <c r="CF4" s="14">
        <v>99</v>
      </c>
      <c r="CG4" s="14">
        <v>20</v>
      </c>
      <c r="CH4" s="15">
        <f t="shared" si="29"/>
        <v>2769</v>
      </c>
      <c r="CI4" s="14">
        <v>3347</v>
      </c>
      <c r="CJ4" s="14">
        <v>13</v>
      </c>
      <c r="CK4" s="14">
        <v>1</v>
      </c>
      <c r="CL4" s="14">
        <v>11</v>
      </c>
      <c r="CM4" s="15">
        <f t="shared" si="30"/>
        <v>3372</v>
      </c>
      <c r="CN4" s="14">
        <v>1554</v>
      </c>
      <c r="CO4" s="14">
        <v>73</v>
      </c>
      <c r="CP4" s="14">
        <v>70</v>
      </c>
      <c r="CQ4" s="14">
        <v>3</v>
      </c>
      <c r="CR4" s="15">
        <f t="shared" si="31"/>
        <v>1700</v>
      </c>
      <c r="CS4" s="15">
        <f t="shared" si="32"/>
        <v>5072</v>
      </c>
      <c r="CT4" s="14">
        <v>7841</v>
      </c>
      <c r="CU4" s="14">
        <v>41118</v>
      </c>
      <c r="CV4" s="14">
        <v>34127</v>
      </c>
      <c r="CW4" s="16">
        <f t="shared" si="33"/>
        <v>0.82997713896590297</v>
      </c>
      <c r="CX4" s="14"/>
      <c r="CY4" s="14"/>
      <c r="CZ4" s="14"/>
      <c r="DA4" s="14"/>
      <c r="DB4" s="15">
        <f t="shared" si="34"/>
        <v>0</v>
      </c>
      <c r="DC4" s="14">
        <v>0</v>
      </c>
      <c r="DD4" s="14">
        <v>0</v>
      </c>
      <c r="DE4" s="14">
        <v>0</v>
      </c>
      <c r="DF4" s="14">
        <v>0</v>
      </c>
      <c r="DG4" s="15">
        <f t="shared" si="35"/>
        <v>0</v>
      </c>
      <c r="DH4" s="14">
        <v>0</v>
      </c>
      <c r="DI4" s="14">
        <v>0</v>
      </c>
      <c r="DJ4" s="14">
        <v>0</v>
      </c>
      <c r="DK4" s="14">
        <v>0</v>
      </c>
      <c r="DL4" s="15">
        <f t="shared" si="36"/>
        <v>0</v>
      </c>
      <c r="DM4" s="14">
        <v>330</v>
      </c>
      <c r="DN4" s="14">
        <v>18</v>
      </c>
      <c r="DO4" s="14">
        <v>0</v>
      </c>
      <c r="DP4" s="14">
        <v>0</v>
      </c>
      <c r="DQ4" s="15">
        <f t="shared" si="37"/>
        <v>348</v>
      </c>
      <c r="DR4" s="15">
        <f t="shared" si="38"/>
        <v>330</v>
      </c>
      <c r="DS4" s="15">
        <f t="shared" si="39"/>
        <v>18</v>
      </c>
      <c r="DT4" s="15">
        <f t="shared" si="40"/>
        <v>0</v>
      </c>
      <c r="DU4" s="15">
        <f t="shared" si="41"/>
        <v>0</v>
      </c>
      <c r="DV4" s="15">
        <f t="shared" si="42"/>
        <v>348</v>
      </c>
      <c r="DW4" s="14">
        <v>111</v>
      </c>
      <c r="DX4" s="14">
        <v>94</v>
      </c>
      <c r="DY4" s="14">
        <v>17</v>
      </c>
      <c r="DZ4" s="14">
        <v>0</v>
      </c>
      <c r="EA4" s="14">
        <v>6</v>
      </c>
      <c r="EB4" s="14">
        <v>7</v>
      </c>
      <c r="EC4" s="14">
        <v>0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0</v>
      </c>
      <c r="EJ4" s="14">
        <v>0</v>
      </c>
      <c r="EK4" s="14">
        <v>0</v>
      </c>
      <c r="EL4" s="14">
        <v>0</v>
      </c>
      <c r="EM4" s="14">
        <v>0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14">
        <v>0</v>
      </c>
      <c r="EU4" s="14">
        <v>0</v>
      </c>
      <c r="EV4" s="14">
        <v>0</v>
      </c>
      <c r="EW4" s="14">
        <v>0</v>
      </c>
      <c r="EX4" s="14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14">
        <v>0</v>
      </c>
      <c r="FE4" s="14">
        <v>0</v>
      </c>
      <c r="FF4" s="14">
        <v>0</v>
      </c>
      <c r="FG4" s="15">
        <f t="shared" si="43"/>
        <v>235</v>
      </c>
      <c r="FH4" s="14">
        <v>0</v>
      </c>
      <c r="FI4" s="14">
        <v>0</v>
      </c>
      <c r="FJ4" s="14">
        <v>520</v>
      </c>
      <c r="FK4" s="14">
        <v>7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5">
        <f t="shared" si="44"/>
        <v>0</v>
      </c>
      <c r="FR4" s="14">
        <v>37173791.259999998</v>
      </c>
      <c r="FS4" s="14">
        <v>175400</v>
      </c>
      <c r="FT4" s="14">
        <v>0</v>
      </c>
      <c r="FU4" s="14">
        <v>52800</v>
      </c>
      <c r="FV4" s="15">
        <f t="shared" si="45"/>
        <v>37401991.259999998</v>
      </c>
      <c r="FW4" s="14">
        <v>12632085.33</v>
      </c>
      <c r="FX4" s="14">
        <v>25100</v>
      </c>
      <c r="FY4" s="14">
        <v>2809910.11</v>
      </c>
      <c r="FZ4" s="14">
        <v>2466546.38</v>
      </c>
      <c r="GA4" s="15">
        <f t="shared" si="46"/>
        <v>17933641.82</v>
      </c>
      <c r="GB4" s="15">
        <f t="shared" si="47"/>
        <v>55335633.079999998</v>
      </c>
      <c r="GC4" s="14">
        <v>18210957.980000298</v>
      </c>
      <c r="GD4" s="14">
        <v>136573.92000000001</v>
      </c>
      <c r="GE4" s="14">
        <v>262007.18</v>
      </c>
      <c r="GF4" s="14">
        <v>8410.99</v>
      </c>
      <c r="GG4" s="15">
        <f t="shared" si="48"/>
        <v>18617950.070000298</v>
      </c>
      <c r="GH4" s="14">
        <v>12288690.50000002</v>
      </c>
      <c r="GI4" s="14">
        <v>25100</v>
      </c>
      <c r="GJ4" s="14">
        <v>2185987.2799999998</v>
      </c>
      <c r="GK4" s="14">
        <v>2797200.9</v>
      </c>
      <c r="GL4" s="15">
        <f t="shared" si="49"/>
        <v>17296978.680000018</v>
      </c>
      <c r="GM4" s="15">
        <f t="shared" si="50"/>
        <v>35914928.750000313</v>
      </c>
      <c r="GN4" s="14">
        <v>1788460.6599999799</v>
      </c>
      <c r="GO4" s="14">
        <v>2104.08</v>
      </c>
      <c r="GP4" s="14">
        <v>44117.32</v>
      </c>
      <c r="GQ4" s="14">
        <v>4637.34</v>
      </c>
      <c r="GR4" s="15">
        <f t="shared" si="51"/>
        <v>1839319.3999999801</v>
      </c>
      <c r="GS4" s="14">
        <v>2988871</v>
      </c>
      <c r="GT4" s="14">
        <v>9823</v>
      </c>
      <c r="GU4" s="14">
        <v>11609</v>
      </c>
      <c r="GV4" s="14">
        <v>893</v>
      </c>
      <c r="GW4" s="15">
        <f t="shared" si="52"/>
        <v>3011196</v>
      </c>
      <c r="GX4" s="15">
        <f t="shared" si="53"/>
        <v>40765444.150000297</v>
      </c>
      <c r="GY4" s="14">
        <v>301974446.739999</v>
      </c>
      <c r="GZ4" s="14">
        <v>4837013.46</v>
      </c>
      <c r="HA4" s="15">
        <f t="shared" si="54"/>
        <v>306811460.19999897</v>
      </c>
      <c r="HB4" s="15">
        <f t="shared" si="55"/>
        <v>0.82077921205477056</v>
      </c>
      <c r="HC4" s="16">
        <f t="shared" si="56"/>
        <v>0.16145081022319549</v>
      </c>
      <c r="HD4" s="15">
        <f t="shared" si="57"/>
        <v>1.3574151891093671</v>
      </c>
      <c r="HE4" s="14">
        <v>38</v>
      </c>
      <c r="HF4" s="14">
        <v>1</v>
      </c>
      <c r="HG4" s="14">
        <v>399</v>
      </c>
      <c r="HH4" s="14">
        <v>38</v>
      </c>
      <c r="HI4" s="14">
        <v>20</v>
      </c>
      <c r="HJ4" s="15">
        <f t="shared" si="58"/>
        <v>21</v>
      </c>
      <c r="HK4" s="16">
        <f t="shared" si="59"/>
        <v>1</v>
      </c>
      <c r="HL4" s="14">
        <v>15</v>
      </c>
      <c r="HM4" s="14">
        <v>30</v>
      </c>
      <c r="HN4" s="17">
        <f t="shared" si="60"/>
        <v>2</v>
      </c>
    </row>
    <row r="5" spans="1:222" x14ac:dyDescent="0.3">
      <c r="A5" s="6" t="s">
        <v>255</v>
      </c>
      <c r="B5" s="6" t="s">
        <v>256</v>
      </c>
      <c r="C5" s="7" t="s">
        <v>257</v>
      </c>
      <c r="D5" s="7">
        <v>2025</v>
      </c>
      <c r="E5" s="7">
        <v>6</v>
      </c>
      <c r="F5" s="7" t="s">
        <v>261</v>
      </c>
      <c r="G5" s="7" t="s">
        <v>259</v>
      </c>
      <c r="H5" s="8">
        <v>45200</v>
      </c>
      <c r="I5" s="8">
        <v>17881</v>
      </c>
      <c r="J5" s="8">
        <v>633</v>
      </c>
      <c r="K5" s="8">
        <v>84</v>
      </c>
      <c r="L5" s="8">
        <v>0</v>
      </c>
      <c r="M5" s="9">
        <f t="shared" si="0"/>
        <v>18598</v>
      </c>
      <c r="N5" s="8">
        <v>11195.3</v>
      </c>
      <c r="O5" s="8">
        <v>125.7</v>
      </c>
      <c r="P5" s="8">
        <v>569.1</v>
      </c>
      <c r="Q5" s="8">
        <v>700.1</v>
      </c>
      <c r="R5" s="9">
        <f t="shared" si="1"/>
        <v>12590.2</v>
      </c>
      <c r="S5" s="9">
        <f t="shared" si="2"/>
        <v>31188.2</v>
      </c>
      <c r="T5" s="8">
        <v>14011.8</v>
      </c>
      <c r="U5" s="10">
        <f t="shared" si="3"/>
        <v>0.30999557522123894</v>
      </c>
      <c r="V5" s="8">
        <v>128</v>
      </c>
      <c r="W5" s="11">
        <f t="shared" si="4"/>
        <v>2.8318584070796461E-3</v>
      </c>
      <c r="X5" s="8">
        <v>0</v>
      </c>
      <c r="Y5" s="11">
        <f t="shared" si="5"/>
        <v>0</v>
      </c>
      <c r="Z5" s="8">
        <v>0</v>
      </c>
      <c r="AA5" s="11">
        <f t="shared" si="6"/>
        <v>0</v>
      </c>
      <c r="AB5" s="8">
        <v>0</v>
      </c>
      <c r="AC5" s="11">
        <f t="shared" si="7"/>
        <v>0</v>
      </c>
      <c r="AD5" s="8">
        <v>0</v>
      </c>
      <c r="AE5" s="11">
        <f t="shared" si="8"/>
        <v>0</v>
      </c>
      <c r="AF5" s="8">
        <v>0</v>
      </c>
      <c r="AG5" s="11">
        <f t="shared" si="9"/>
        <v>0</v>
      </c>
      <c r="AH5" s="8">
        <v>451237.12</v>
      </c>
      <c r="AI5" s="9">
        <f t="shared" si="10"/>
        <v>9.9831221238938053</v>
      </c>
      <c r="AJ5" s="8">
        <v>23254.6</v>
      </c>
      <c r="AK5" s="11">
        <f t="shared" si="11"/>
        <v>0.51448230088495572</v>
      </c>
      <c r="AL5" s="8">
        <v>3906984.8914999999</v>
      </c>
      <c r="AM5" s="9">
        <f t="shared" si="12"/>
        <v>86.43771883849557</v>
      </c>
      <c r="AN5" s="8">
        <v>7525</v>
      </c>
      <c r="AO5" s="8">
        <v>282</v>
      </c>
      <c r="AP5" s="8">
        <v>769860</v>
      </c>
      <c r="AQ5" s="8">
        <v>0</v>
      </c>
      <c r="AR5" s="8">
        <v>17883496.800000001</v>
      </c>
      <c r="AS5" s="8">
        <v>4462572.32</v>
      </c>
      <c r="AT5" s="8">
        <v>10710322.16</v>
      </c>
      <c r="AU5" s="9">
        <f t="shared" si="13"/>
        <v>38184473.291500002</v>
      </c>
      <c r="AV5" s="9">
        <f t="shared" si="14"/>
        <v>844.78923211283188</v>
      </c>
      <c r="AW5" s="9">
        <f t="shared" si="15"/>
        <v>1224.324369200531</v>
      </c>
      <c r="AX5" s="8">
        <v>14</v>
      </c>
      <c r="AY5" s="9">
        <f t="shared" si="16"/>
        <v>3.716814159292035</v>
      </c>
      <c r="AZ5" s="8">
        <v>20</v>
      </c>
      <c r="BA5" s="8">
        <v>399</v>
      </c>
      <c r="BB5" s="8">
        <v>43</v>
      </c>
      <c r="BC5" s="8">
        <v>33</v>
      </c>
      <c r="BD5" s="8">
        <v>0</v>
      </c>
      <c r="BE5" s="9">
        <f t="shared" si="17"/>
        <v>33</v>
      </c>
      <c r="BF5" s="9">
        <f t="shared" si="18"/>
        <v>409</v>
      </c>
      <c r="BG5" s="8">
        <v>0</v>
      </c>
      <c r="BH5" s="8">
        <v>0</v>
      </c>
      <c r="BI5" s="8">
        <v>0</v>
      </c>
      <c r="BJ5" s="8">
        <v>0</v>
      </c>
      <c r="BK5" s="9">
        <f t="shared" si="19"/>
        <v>0</v>
      </c>
      <c r="BL5" s="9">
        <f t="shared" si="20"/>
        <v>0</v>
      </c>
      <c r="BM5" s="8">
        <v>0</v>
      </c>
      <c r="BN5" s="8">
        <v>0</v>
      </c>
      <c r="BO5" s="8">
        <v>0</v>
      </c>
      <c r="BP5" s="8">
        <v>0</v>
      </c>
      <c r="BQ5" s="9">
        <f t="shared" si="21"/>
        <v>0</v>
      </c>
      <c r="BR5" s="9">
        <f t="shared" si="22"/>
        <v>0</v>
      </c>
      <c r="BS5" s="8">
        <v>0</v>
      </c>
      <c r="BT5" s="8">
        <v>0</v>
      </c>
      <c r="BU5" s="8">
        <v>0</v>
      </c>
      <c r="BV5" s="8">
        <v>0</v>
      </c>
      <c r="BW5" s="9">
        <f t="shared" si="23"/>
        <v>0</v>
      </c>
      <c r="BX5" s="9">
        <f t="shared" si="24"/>
        <v>0</v>
      </c>
      <c r="BY5" s="9">
        <f t="shared" si="25"/>
        <v>399</v>
      </c>
      <c r="BZ5" s="9">
        <f t="shared" si="26"/>
        <v>43</v>
      </c>
      <c r="CA5" s="9">
        <f t="shared" si="27"/>
        <v>33</v>
      </c>
      <c r="CB5" s="9">
        <f t="shared" si="28"/>
        <v>409</v>
      </c>
      <c r="CC5" s="8">
        <v>65</v>
      </c>
      <c r="CD5" s="8">
        <v>2569</v>
      </c>
      <c r="CE5" s="8">
        <v>51</v>
      </c>
      <c r="CF5" s="8">
        <v>99</v>
      </c>
      <c r="CG5" s="8">
        <v>20</v>
      </c>
      <c r="CH5" s="9">
        <f t="shared" si="29"/>
        <v>2739</v>
      </c>
      <c r="CI5" s="8">
        <v>3054</v>
      </c>
      <c r="CJ5" s="8">
        <v>9</v>
      </c>
      <c r="CK5" s="8">
        <v>1</v>
      </c>
      <c r="CL5" s="8">
        <v>11</v>
      </c>
      <c r="CM5" s="9">
        <f t="shared" si="30"/>
        <v>3075</v>
      </c>
      <c r="CN5" s="8">
        <v>1726</v>
      </c>
      <c r="CO5" s="8">
        <v>75</v>
      </c>
      <c r="CP5" s="8">
        <v>71</v>
      </c>
      <c r="CQ5" s="8">
        <v>3</v>
      </c>
      <c r="CR5" s="9">
        <f t="shared" si="31"/>
        <v>1875</v>
      </c>
      <c r="CS5" s="9">
        <f t="shared" si="32"/>
        <v>4950</v>
      </c>
      <c r="CT5" s="8">
        <v>7689</v>
      </c>
      <c r="CU5" s="8">
        <v>41203</v>
      </c>
      <c r="CV5" s="8">
        <v>35022.550000000003</v>
      </c>
      <c r="CW5" s="10">
        <f t="shared" si="33"/>
        <v>0.85000000000000009</v>
      </c>
      <c r="CX5" s="8"/>
      <c r="CY5" s="8"/>
      <c r="CZ5" s="8"/>
      <c r="DA5" s="8"/>
      <c r="DB5" s="9">
        <f t="shared" si="34"/>
        <v>0</v>
      </c>
      <c r="DC5" s="8">
        <v>0</v>
      </c>
      <c r="DD5" s="8">
        <v>0</v>
      </c>
      <c r="DE5" s="8">
        <v>0</v>
      </c>
      <c r="DF5" s="8">
        <v>0</v>
      </c>
      <c r="DG5" s="9">
        <f t="shared" si="35"/>
        <v>0</v>
      </c>
      <c r="DH5" s="8">
        <v>0</v>
      </c>
      <c r="DI5" s="8">
        <v>0</v>
      </c>
      <c r="DJ5" s="8">
        <v>0</v>
      </c>
      <c r="DK5" s="8">
        <v>0</v>
      </c>
      <c r="DL5" s="9">
        <f t="shared" si="36"/>
        <v>0</v>
      </c>
      <c r="DM5" s="8">
        <v>348</v>
      </c>
      <c r="DN5" s="8">
        <v>0</v>
      </c>
      <c r="DO5" s="8">
        <v>0</v>
      </c>
      <c r="DP5" s="8">
        <v>73</v>
      </c>
      <c r="DQ5" s="9">
        <f t="shared" si="37"/>
        <v>275</v>
      </c>
      <c r="DR5" s="9">
        <f t="shared" si="38"/>
        <v>348</v>
      </c>
      <c r="DS5" s="9">
        <f t="shared" si="39"/>
        <v>0</v>
      </c>
      <c r="DT5" s="9">
        <f t="shared" si="40"/>
        <v>0</v>
      </c>
      <c r="DU5" s="9">
        <f t="shared" si="41"/>
        <v>73</v>
      </c>
      <c r="DV5" s="9">
        <f t="shared" si="42"/>
        <v>275</v>
      </c>
      <c r="DW5" s="8">
        <v>89</v>
      </c>
      <c r="DX5" s="8">
        <v>82</v>
      </c>
      <c r="DY5" s="8">
        <v>12</v>
      </c>
      <c r="DZ5" s="8">
        <v>1</v>
      </c>
      <c r="EA5" s="8">
        <v>3</v>
      </c>
      <c r="EB5" s="8">
        <v>8</v>
      </c>
      <c r="EC5" s="8">
        <v>2</v>
      </c>
      <c r="ED5" s="8">
        <v>0</v>
      </c>
      <c r="EE5" s="8">
        <v>2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9">
        <f t="shared" si="43"/>
        <v>199</v>
      </c>
      <c r="FH5" s="8">
        <v>0</v>
      </c>
      <c r="FI5" s="8">
        <v>0</v>
      </c>
      <c r="FJ5" s="8">
        <v>504</v>
      </c>
      <c r="FK5" s="8">
        <v>36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9">
        <f t="shared" si="44"/>
        <v>0</v>
      </c>
      <c r="FR5" s="8">
        <v>56748775.399999999</v>
      </c>
      <c r="FS5" s="8">
        <v>315300</v>
      </c>
      <c r="FT5" s="8">
        <v>38600</v>
      </c>
      <c r="FU5" s="8">
        <v>301267.21999999997</v>
      </c>
      <c r="FV5" s="9">
        <f t="shared" si="45"/>
        <v>57403942.619999997</v>
      </c>
      <c r="FW5" s="8">
        <v>14435291.930000011</v>
      </c>
      <c r="FX5" s="8">
        <v>26845.88</v>
      </c>
      <c r="FY5" s="8">
        <v>3326633.11</v>
      </c>
      <c r="FZ5" s="8">
        <v>2412218.54</v>
      </c>
      <c r="GA5" s="9">
        <f t="shared" si="46"/>
        <v>20200989.460000012</v>
      </c>
      <c r="GB5" s="9">
        <f t="shared" si="47"/>
        <v>77604932.080000013</v>
      </c>
      <c r="GC5" s="8">
        <v>17754700.489999998</v>
      </c>
      <c r="GD5" s="8">
        <v>121080.24</v>
      </c>
      <c r="GE5" s="8">
        <v>266087.19</v>
      </c>
      <c r="GF5" s="8">
        <v>8410.99</v>
      </c>
      <c r="GG5" s="9">
        <f t="shared" si="48"/>
        <v>18150278.909999996</v>
      </c>
      <c r="GH5" s="8">
        <v>14014136.87000001</v>
      </c>
      <c r="GI5" s="8">
        <v>26845.88</v>
      </c>
      <c r="GJ5" s="8">
        <v>2119718.54</v>
      </c>
      <c r="GK5" s="8">
        <v>3274923.9</v>
      </c>
      <c r="GL5" s="9">
        <f t="shared" si="49"/>
        <v>19435625.190000009</v>
      </c>
      <c r="GM5" s="9">
        <f t="shared" si="50"/>
        <v>37585904.100000009</v>
      </c>
      <c r="GN5" s="8">
        <v>1626263.34</v>
      </c>
      <c r="GO5" s="8">
        <v>2104.08</v>
      </c>
      <c r="GP5" s="8">
        <v>30542.76</v>
      </c>
      <c r="GQ5" s="8">
        <v>4637.34</v>
      </c>
      <c r="GR5" s="9">
        <f t="shared" si="51"/>
        <v>1663547.5200000003</v>
      </c>
      <c r="GS5" s="8">
        <v>2727222</v>
      </c>
      <c r="GT5" s="8">
        <v>9823</v>
      </c>
      <c r="GU5" s="8">
        <v>8037</v>
      </c>
      <c r="GV5" s="8">
        <v>893</v>
      </c>
      <c r="GW5" s="9">
        <f t="shared" si="52"/>
        <v>2745975</v>
      </c>
      <c r="GX5" s="9">
        <f t="shared" si="53"/>
        <v>41995426.620000012</v>
      </c>
      <c r="GY5" s="8">
        <v>271226008.19</v>
      </c>
      <c r="GZ5" s="8">
        <v>2343196</v>
      </c>
      <c r="HA5" s="9">
        <f t="shared" si="54"/>
        <v>273569204.19</v>
      </c>
      <c r="HB5" s="9">
        <f t="shared" si="55"/>
        <v>0.90925313456191748</v>
      </c>
      <c r="HC5" s="10">
        <f t="shared" si="56"/>
        <v>0.24776379728633557</v>
      </c>
      <c r="HD5" s="9">
        <f t="shared" si="57"/>
        <v>1.8479377000313943</v>
      </c>
      <c r="HE5" s="8">
        <v>43</v>
      </c>
      <c r="HF5" s="8">
        <v>1</v>
      </c>
      <c r="HG5" s="8">
        <v>409</v>
      </c>
      <c r="HH5" s="8">
        <v>43</v>
      </c>
      <c r="HI5" s="8">
        <v>20</v>
      </c>
      <c r="HJ5" s="9">
        <f t="shared" si="58"/>
        <v>21</v>
      </c>
      <c r="HK5" s="10">
        <f t="shared" si="59"/>
        <v>1</v>
      </c>
      <c r="HL5" s="8">
        <v>12</v>
      </c>
      <c r="HM5" s="8">
        <v>30</v>
      </c>
      <c r="HN5" s="11">
        <f t="shared" si="60"/>
        <v>2.5</v>
      </c>
    </row>
    <row r="6" spans="1:222" x14ac:dyDescent="0.3">
      <c r="A6" s="12" t="s">
        <v>255</v>
      </c>
      <c r="B6" s="12" t="s">
        <v>256</v>
      </c>
      <c r="C6" s="13" t="s">
        <v>257</v>
      </c>
      <c r="D6" s="13">
        <v>2025</v>
      </c>
      <c r="E6" s="13">
        <v>7</v>
      </c>
      <c r="F6" s="13" t="s">
        <v>262</v>
      </c>
      <c r="G6" s="13" t="s">
        <v>263</v>
      </c>
      <c r="H6" s="14">
        <v>62022</v>
      </c>
      <c r="I6" s="14">
        <v>25332</v>
      </c>
      <c r="J6" s="14">
        <v>1028</v>
      </c>
      <c r="K6" s="14">
        <v>101</v>
      </c>
      <c r="L6" s="14">
        <v>56</v>
      </c>
      <c r="M6" s="15">
        <f t="shared" si="0"/>
        <v>26517</v>
      </c>
      <c r="N6" s="14">
        <v>14278.300000000099</v>
      </c>
      <c r="O6" s="14">
        <v>267.7</v>
      </c>
      <c r="P6" s="14">
        <v>1069</v>
      </c>
      <c r="Q6" s="14">
        <v>597.6</v>
      </c>
      <c r="R6" s="15">
        <f t="shared" si="1"/>
        <v>16212.6000000001</v>
      </c>
      <c r="S6" s="15">
        <f t="shared" si="2"/>
        <v>42729.6000000001</v>
      </c>
      <c r="T6" s="14">
        <v>19292.3999999999</v>
      </c>
      <c r="U6" s="16">
        <f t="shared" si="3"/>
        <v>0.31105736674083229</v>
      </c>
      <c r="V6" s="14">
        <v>200</v>
      </c>
      <c r="W6" s="17">
        <f t="shared" si="4"/>
        <v>3.2246622166328077E-3</v>
      </c>
      <c r="X6" s="14">
        <v>0</v>
      </c>
      <c r="Y6" s="17">
        <f t="shared" si="5"/>
        <v>0</v>
      </c>
      <c r="Z6" s="14">
        <v>0</v>
      </c>
      <c r="AA6" s="17">
        <f t="shared" si="6"/>
        <v>0</v>
      </c>
      <c r="AB6" s="14">
        <v>0</v>
      </c>
      <c r="AC6" s="17">
        <f t="shared" si="7"/>
        <v>0</v>
      </c>
      <c r="AD6" s="14">
        <v>0</v>
      </c>
      <c r="AE6" s="17">
        <f t="shared" si="8"/>
        <v>0</v>
      </c>
      <c r="AF6" s="14">
        <v>0</v>
      </c>
      <c r="AG6" s="17">
        <f t="shared" si="9"/>
        <v>0</v>
      </c>
      <c r="AH6" s="14">
        <v>705058</v>
      </c>
      <c r="AI6" s="15">
        <f t="shared" si="10"/>
        <v>11.36786946567347</v>
      </c>
      <c r="AJ6" s="14">
        <v>20456</v>
      </c>
      <c r="AK6" s="17">
        <f t="shared" si="11"/>
        <v>0.32981845151720357</v>
      </c>
      <c r="AL6" s="14">
        <v>3439121.94</v>
      </c>
      <c r="AM6" s="15">
        <f t="shared" si="12"/>
        <v>55.450032891554606</v>
      </c>
      <c r="AN6" s="14">
        <v>5432</v>
      </c>
      <c r="AO6" s="14">
        <v>198</v>
      </c>
      <c r="AP6" s="14">
        <v>540540</v>
      </c>
      <c r="AQ6" s="14">
        <v>0</v>
      </c>
      <c r="AR6" s="14">
        <v>17883496.800000001</v>
      </c>
      <c r="AS6" s="14">
        <v>4854203.2</v>
      </c>
      <c r="AT6" s="14">
        <v>5255000</v>
      </c>
      <c r="AU6" s="15">
        <f t="shared" si="13"/>
        <v>32677419.940000001</v>
      </c>
      <c r="AV6" s="15">
        <f t="shared" si="14"/>
        <v>526.8682070878076</v>
      </c>
      <c r="AW6" s="15">
        <f t="shared" si="15"/>
        <v>764.74902503182625</v>
      </c>
      <c r="AX6" s="14">
        <v>14</v>
      </c>
      <c r="AY6" s="15">
        <f t="shared" si="16"/>
        <v>2.7087162619715586</v>
      </c>
      <c r="AZ6" s="14">
        <v>20</v>
      </c>
      <c r="BA6" s="14">
        <v>409</v>
      </c>
      <c r="BB6" s="14">
        <v>59</v>
      </c>
      <c r="BC6" s="14">
        <v>61</v>
      </c>
      <c r="BD6" s="14">
        <v>0</v>
      </c>
      <c r="BE6" s="15">
        <f t="shared" si="17"/>
        <v>61</v>
      </c>
      <c r="BF6" s="15">
        <f t="shared" si="18"/>
        <v>407</v>
      </c>
      <c r="BG6" s="14">
        <v>0</v>
      </c>
      <c r="BH6" s="14">
        <v>0</v>
      </c>
      <c r="BI6" s="14">
        <v>0</v>
      </c>
      <c r="BJ6" s="14">
        <v>0</v>
      </c>
      <c r="BK6" s="15">
        <f t="shared" si="19"/>
        <v>0</v>
      </c>
      <c r="BL6" s="15">
        <f t="shared" si="20"/>
        <v>0</v>
      </c>
      <c r="BM6" s="14">
        <v>0</v>
      </c>
      <c r="BN6" s="14">
        <v>0</v>
      </c>
      <c r="BO6" s="14">
        <v>0</v>
      </c>
      <c r="BP6" s="14">
        <v>0</v>
      </c>
      <c r="BQ6" s="15">
        <f t="shared" si="21"/>
        <v>0</v>
      </c>
      <c r="BR6" s="15">
        <f t="shared" si="22"/>
        <v>0</v>
      </c>
      <c r="BS6" s="14">
        <v>0</v>
      </c>
      <c r="BT6" s="14">
        <v>0</v>
      </c>
      <c r="BU6" s="14">
        <v>0</v>
      </c>
      <c r="BV6" s="14">
        <v>0</v>
      </c>
      <c r="BW6" s="15">
        <f t="shared" si="23"/>
        <v>0</v>
      </c>
      <c r="BX6" s="15">
        <f t="shared" si="24"/>
        <v>0</v>
      </c>
      <c r="BY6" s="15">
        <f t="shared" si="25"/>
        <v>409</v>
      </c>
      <c r="BZ6" s="15">
        <f t="shared" si="26"/>
        <v>59</v>
      </c>
      <c r="CA6" s="15">
        <f t="shared" si="27"/>
        <v>61</v>
      </c>
      <c r="CB6" s="15">
        <f t="shared" si="28"/>
        <v>407</v>
      </c>
      <c r="CC6" s="14">
        <v>121</v>
      </c>
      <c r="CD6" s="14">
        <v>2642</v>
      </c>
      <c r="CE6" s="14">
        <v>51</v>
      </c>
      <c r="CF6" s="14">
        <v>99</v>
      </c>
      <c r="CG6" s="14">
        <v>19</v>
      </c>
      <c r="CH6" s="15">
        <f t="shared" si="29"/>
        <v>2811</v>
      </c>
      <c r="CI6" s="14">
        <v>3156</v>
      </c>
      <c r="CJ6" s="14">
        <v>9</v>
      </c>
      <c r="CK6" s="14">
        <v>1</v>
      </c>
      <c r="CL6" s="14">
        <v>11</v>
      </c>
      <c r="CM6" s="15">
        <f t="shared" si="30"/>
        <v>3177</v>
      </c>
      <c r="CN6" s="14">
        <v>1795</v>
      </c>
      <c r="CO6" s="14">
        <v>75</v>
      </c>
      <c r="CP6" s="14">
        <v>71</v>
      </c>
      <c r="CQ6" s="14">
        <v>4</v>
      </c>
      <c r="CR6" s="15">
        <f t="shared" si="31"/>
        <v>1945</v>
      </c>
      <c r="CS6" s="15">
        <f t="shared" si="32"/>
        <v>5122</v>
      </c>
      <c r="CT6" s="14">
        <v>7933</v>
      </c>
      <c r="CU6" s="14">
        <v>41615.03</v>
      </c>
      <c r="CV6" s="14">
        <v>35373.230000000003</v>
      </c>
      <c r="CW6" s="16">
        <f t="shared" si="33"/>
        <v>0.85001092153483981</v>
      </c>
      <c r="CX6" s="14"/>
      <c r="CY6" s="14"/>
      <c r="CZ6" s="14"/>
      <c r="DA6" s="14"/>
      <c r="DB6" s="15">
        <f t="shared" si="34"/>
        <v>0</v>
      </c>
      <c r="DC6" s="14">
        <v>0</v>
      </c>
      <c r="DD6" s="14">
        <v>0</v>
      </c>
      <c r="DE6" s="14">
        <v>0</v>
      </c>
      <c r="DF6" s="14">
        <v>0</v>
      </c>
      <c r="DG6" s="15">
        <f t="shared" si="35"/>
        <v>0</v>
      </c>
      <c r="DH6" s="14">
        <v>0</v>
      </c>
      <c r="DI6" s="14">
        <v>0</v>
      </c>
      <c r="DJ6" s="14">
        <v>0</v>
      </c>
      <c r="DK6" s="14">
        <v>0</v>
      </c>
      <c r="DL6" s="15">
        <f t="shared" si="36"/>
        <v>0</v>
      </c>
      <c r="DM6" s="14">
        <v>275</v>
      </c>
      <c r="DN6" s="14">
        <v>0</v>
      </c>
      <c r="DO6" s="14">
        <v>0</v>
      </c>
      <c r="DP6" s="14">
        <v>32</v>
      </c>
      <c r="DQ6" s="15">
        <f t="shared" si="37"/>
        <v>243</v>
      </c>
      <c r="DR6" s="15">
        <f t="shared" si="38"/>
        <v>275</v>
      </c>
      <c r="DS6" s="15">
        <f t="shared" si="39"/>
        <v>0</v>
      </c>
      <c r="DT6" s="15">
        <f t="shared" si="40"/>
        <v>0</v>
      </c>
      <c r="DU6" s="15">
        <f t="shared" si="41"/>
        <v>32</v>
      </c>
      <c r="DV6" s="15">
        <f t="shared" si="42"/>
        <v>243</v>
      </c>
      <c r="DW6" s="14">
        <v>104</v>
      </c>
      <c r="DX6" s="14">
        <v>75</v>
      </c>
      <c r="DY6" s="14">
        <v>10</v>
      </c>
      <c r="DZ6" s="14">
        <v>1</v>
      </c>
      <c r="EA6" s="14">
        <v>2</v>
      </c>
      <c r="EB6" s="14">
        <v>3</v>
      </c>
      <c r="EC6" s="14">
        <v>0</v>
      </c>
      <c r="ED6" s="14">
        <v>0</v>
      </c>
      <c r="EE6" s="14">
        <v>1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5">
        <f t="shared" si="43"/>
        <v>196</v>
      </c>
      <c r="FH6" s="14">
        <v>0</v>
      </c>
      <c r="FI6" s="14">
        <v>0</v>
      </c>
      <c r="FJ6" s="14">
        <v>520</v>
      </c>
      <c r="FK6" s="14">
        <v>5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5">
        <f t="shared" si="44"/>
        <v>0</v>
      </c>
      <c r="FR6" s="14">
        <v>23307259.920000002</v>
      </c>
      <c r="FS6" s="14">
        <v>263000</v>
      </c>
      <c r="FT6" s="14">
        <v>61000</v>
      </c>
      <c r="FU6" s="14">
        <v>89200</v>
      </c>
      <c r="FV6" s="15">
        <f t="shared" si="45"/>
        <v>23720459.920000002</v>
      </c>
      <c r="FW6" s="14">
        <v>18306154.350000098</v>
      </c>
      <c r="FX6" s="14">
        <v>56900</v>
      </c>
      <c r="FY6" s="14">
        <v>2836450</v>
      </c>
      <c r="FZ6" s="14">
        <v>3510164.78</v>
      </c>
      <c r="GA6" s="15">
        <f t="shared" si="46"/>
        <v>24709669.1300001</v>
      </c>
      <c r="GB6" s="15">
        <f t="shared" si="47"/>
        <v>48430129.050000101</v>
      </c>
      <c r="GC6" s="14">
        <v>23938309.829999998</v>
      </c>
      <c r="GD6" s="14">
        <v>196635.84</v>
      </c>
      <c r="GE6" s="14">
        <v>313271.24</v>
      </c>
      <c r="GF6" s="14">
        <v>254121.01</v>
      </c>
      <c r="GG6" s="15">
        <f t="shared" si="48"/>
        <v>24702337.919999998</v>
      </c>
      <c r="GH6" s="14">
        <v>17872550.310000092</v>
      </c>
      <c r="GI6" s="14">
        <v>56900</v>
      </c>
      <c r="GJ6" s="14">
        <v>3229537.61</v>
      </c>
      <c r="GK6" s="14">
        <v>2752750</v>
      </c>
      <c r="GL6" s="15">
        <f t="shared" si="49"/>
        <v>23911737.920000091</v>
      </c>
      <c r="GM6" s="15">
        <f t="shared" si="50"/>
        <v>48614075.840000093</v>
      </c>
      <c r="GN6" s="14">
        <v>1682555.67</v>
      </c>
      <c r="GO6" s="14">
        <v>2104.08</v>
      </c>
      <c r="GP6" s="14">
        <v>30542.76</v>
      </c>
      <c r="GQ6" s="14">
        <v>4637.34</v>
      </c>
      <c r="GR6" s="15">
        <f t="shared" si="51"/>
        <v>1719839.85</v>
      </c>
      <c r="GS6" s="14">
        <v>2818308</v>
      </c>
      <c r="GT6" s="14">
        <v>9823</v>
      </c>
      <c r="GU6" s="14">
        <v>8037</v>
      </c>
      <c r="GV6" s="14">
        <v>893</v>
      </c>
      <c r="GW6" s="15">
        <f t="shared" si="52"/>
        <v>2837061</v>
      </c>
      <c r="GX6" s="15">
        <f t="shared" si="53"/>
        <v>53170976.690000094</v>
      </c>
      <c r="GY6" s="14">
        <v>277127665.78999901</v>
      </c>
      <c r="GZ6" s="14">
        <v>2663026.79</v>
      </c>
      <c r="HA6" s="15">
        <f t="shared" si="54"/>
        <v>279790692.57999903</v>
      </c>
      <c r="HB6" s="15">
        <f t="shared" si="55"/>
        <v>0.61457249752092047</v>
      </c>
      <c r="HC6" s="16">
        <f t="shared" si="56"/>
        <v>0.14662527428623245</v>
      </c>
      <c r="HD6" s="15">
        <f t="shared" si="57"/>
        <v>0.91083767996889908</v>
      </c>
      <c r="HE6" s="14">
        <v>59</v>
      </c>
      <c r="HF6" s="14">
        <v>1</v>
      </c>
      <c r="HG6" s="14">
        <v>407</v>
      </c>
      <c r="HH6" s="14">
        <v>59</v>
      </c>
      <c r="HI6" s="14">
        <v>20</v>
      </c>
      <c r="HJ6" s="15">
        <f t="shared" si="58"/>
        <v>21</v>
      </c>
      <c r="HK6" s="16">
        <f t="shared" si="59"/>
        <v>1</v>
      </c>
      <c r="HL6" s="14">
        <v>14</v>
      </c>
      <c r="HM6" s="14">
        <v>30</v>
      </c>
      <c r="HN6" s="17">
        <f t="shared" si="60"/>
        <v>2.1428571428571428</v>
      </c>
    </row>
    <row r="7" spans="1:222" x14ac:dyDescent="0.3">
      <c r="A7" s="6" t="s">
        <v>255</v>
      </c>
      <c r="B7" s="6" t="s">
        <v>256</v>
      </c>
      <c r="C7" s="7" t="s">
        <v>257</v>
      </c>
      <c r="D7" s="7">
        <v>2025</v>
      </c>
      <c r="E7" s="7">
        <v>8</v>
      </c>
      <c r="F7" s="7" t="s">
        <v>264</v>
      </c>
      <c r="G7" s="7" t="s">
        <v>263</v>
      </c>
      <c r="H7" s="8">
        <v>50958</v>
      </c>
      <c r="I7" s="8">
        <v>19421</v>
      </c>
      <c r="J7" s="8">
        <v>772</v>
      </c>
      <c r="K7" s="8">
        <v>96</v>
      </c>
      <c r="L7" s="8">
        <v>11</v>
      </c>
      <c r="M7" s="9">
        <f t="shared" si="0"/>
        <v>20300</v>
      </c>
      <c r="N7" s="8">
        <v>13978.2</v>
      </c>
      <c r="O7" s="8">
        <v>356.5</v>
      </c>
      <c r="P7" s="8">
        <v>822.6</v>
      </c>
      <c r="Q7" s="8">
        <v>603.5</v>
      </c>
      <c r="R7" s="9">
        <f t="shared" si="1"/>
        <v>15760.800000000001</v>
      </c>
      <c r="S7" s="9">
        <f t="shared" si="2"/>
        <v>36060.800000000003</v>
      </c>
      <c r="T7" s="8">
        <v>14897.2</v>
      </c>
      <c r="U7" s="10">
        <f t="shared" si="3"/>
        <v>0.29234271360728442</v>
      </c>
      <c r="V7" s="8">
        <v>128</v>
      </c>
      <c r="W7" s="11">
        <f t="shared" si="4"/>
        <v>2.5118725224694848E-3</v>
      </c>
      <c r="X7" s="8">
        <v>0</v>
      </c>
      <c r="Y7" s="11">
        <f t="shared" si="5"/>
        <v>0</v>
      </c>
      <c r="Z7" s="8">
        <v>0</v>
      </c>
      <c r="AA7" s="11">
        <f t="shared" si="6"/>
        <v>0</v>
      </c>
      <c r="AB7" s="8">
        <v>0</v>
      </c>
      <c r="AC7" s="11">
        <f t="shared" si="7"/>
        <v>0</v>
      </c>
      <c r="AD7" s="8">
        <v>0</v>
      </c>
      <c r="AE7" s="11">
        <f t="shared" si="8"/>
        <v>0</v>
      </c>
      <c r="AF7" s="8">
        <v>0</v>
      </c>
      <c r="AG7" s="11">
        <f t="shared" si="9"/>
        <v>0</v>
      </c>
      <c r="AH7" s="8">
        <v>451237.12</v>
      </c>
      <c r="AI7" s="9">
        <f t="shared" si="10"/>
        <v>8.8550790847364489</v>
      </c>
      <c r="AJ7" s="8">
        <v>56715</v>
      </c>
      <c r="AK7" s="11">
        <f t="shared" si="11"/>
        <v>1.1129753914988814</v>
      </c>
      <c r="AL7" s="8">
        <v>9500810.9124999996</v>
      </c>
      <c r="AM7" s="9">
        <f t="shared" si="12"/>
        <v>186.44395212724203</v>
      </c>
      <c r="AN7" s="8">
        <v>5843.5151515151501</v>
      </c>
      <c r="AO7" s="8">
        <v>213</v>
      </c>
      <c r="AP7" s="8">
        <v>581490</v>
      </c>
      <c r="AQ7" s="8">
        <v>0</v>
      </c>
      <c r="AR7" s="8">
        <v>17703746</v>
      </c>
      <c r="AS7" s="8">
        <v>4932611.5999999996</v>
      </c>
      <c r="AT7" s="8">
        <v>8078460</v>
      </c>
      <c r="AU7" s="9">
        <f t="shared" si="13"/>
        <v>41248355.6325</v>
      </c>
      <c r="AV7" s="9">
        <f t="shared" si="14"/>
        <v>809.45789929942305</v>
      </c>
      <c r="AW7" s="9">
        <f t="shared" si="15"/>
        <v>1143.8558110884949</v>
      </c>
      <c r="AX7" s="8">
        <v>14</v>
      </c>
      <c r="AY7" s="9">
        <f t="shared" si="16"/>
        <v>3.2968326857411987</v>
      </c>
      <c r="AZ7" s="8">
        <v>20</v>
      </c>
      <c r="BA7" s="8">
        <v>407</v>
      </c>
      <c r="BB7" s="8">
        <v>63</v>
      </c>
      <c r="BC7" s="8">
        <v>54</v>
      </c>
      <c r="BD7" s="8">
        <v>0</v>
      </c>
      <c r="BE7" s="9">
        <f t="shared" si="17"/>
        <v>54</v>
      </c>
      <c r="BF7" s="9">
        <f t="shared" si="18"/>
        <v>416</v>
      </c>
      <c r="BG7" s="8">
        <v>0</v>
      </c>
      <c r="BH7" s="8">
        <v>0</v>
      </c>
      <c r="BI7" s="8">
        <v>0</v>
      </c>
      <c r="BJ7" s="8">
        <v>0</v>
      </c>
      <c r="BK7" s="9">
        <f t="shared" si="19"/>
        <v>0</v>
      </c>
      <c r="BL7" s="9">
        <f t="shared" si="20"/>
        <v>0</v>
      </c>
      <c r="BM7" s="8">
        <v>0</v>
      </c>
      <c r="BN7" s="8">
        <v>0</v>
      </c>
      <c r="BO7" s="8">
        <v>0</v>
      </c>
      <c r="BP7" s="8">
        <v>0</v>
      </c>
      <c r="BQ7" s="9">
        <f t="shared" si="21"/>
        <v>0</v>
      </c>
      <c r="BR7" s="9">
        <f t="shared" si="22"/>
        <v>0</v>
      </c>
      <c r="BS7" s="8">
        <v>0</v>
      </c>
      <c r="BT7" s="8">
        <v>0</v>
      </c>
      <c r="BU7" s="8">
        <v>0</v>
      </c>
      <c r="BV7" s="8">
        <v>0</v>
      </c>
      <c r="BW7" s="9">
        <f t="shared" si="23"/>
        <v>0</v>
      </c>
      <c r="BX7" s="9">
        <f t="shared" si="24"/>
        <v>0</v>
      </c>
      <c r="BY7" s="9">
        <f t="shared" si="25"/>
        <v>407</v>
      </c>
      <c r="BZ7" s="9">
        <f t="shared" si="26"/>
        <v>63</v>
      </c>
      <c r="CA7" s="9">
        <f t="shared" si="27"/>
        <v>54</v>
      </c>
      <c r="CB7" s="9">
        <f t="shared" si="28"/>
        <v>416</v>
      </c>
      <c r="CC7" s="8">
        <v>62</v>
      </c>
      <c r="CD7" s="8">
        <v>2554</v>
      </c>
      <c r="CE7" s="8">
        <v>50</v>
      </c>
      <c r="CF7" s="8">
        <v>98</v>
      </c>
      <c r="CG7" s="8">
        <v>18</v>
      </c>
      <c r="CH7" s="9">
        <f t="shared" si="29"/>
        <v>2720</v>
      </c>
      <c r="CI7" s="8">
        <v>2958</v>
      </c>
      <c r="CJ7" s="8">
        <v>9</v>
      </c>
      <c r="CK7" s="8">
        <v>2</v>
      </c>
      <c r="CL7" s="8">
        <v>11</v>
      </c>
      <c r="CM7" s="9">
        <f t="shared" si="30"/>
        <v>2980</v>
      </c>
      <c r="CN7" s="8">
        <v>2135</v>
      </c>
      <c r="CO7" s="8">
        <v>76</v>
      </c>
      <c r="CP7" s="8">
        <v>71</v>
      </c>
      <c r="CQ7" s="8">
        <v>5</v>
      </c>
      <c r="CR7" s="9">
        <f t="shared" si="31"/>
        <v>2287</v>
      </c>
      <c r="CS7" s="9">
        <f t="shared" si="32"/>
        <v>5267</v>
      </c>
      <c r="CT7" s="8">
        <v>7987</v>
      </c>
      <c r="CU7" s="8">
        <v>41615.03</v>
      </c>
      <c r="CV7" s="8">
        <v>35726.959999999999</v>
      </c>
      <c r="CW7" s="10">
        <f t="shared" si="33"/>
        <v>0.85851097548169497</v>
      </c>
      <c r="CX7" s="8"/>
      <c r="CY7" s="8"/>
      <c r="CZ7" s="8"/>
      <c r="DA7" s="8"/>
      <c r="DB7" s="9">
        <f t="shared" si="34"/>
        <v>0</v>
      </c>
      <c r="DC7" s="8">
        <v>0</v>
      </c>
      <c r="DD7" s="8">
        <v>0</v>
      </c>
      <c r="DE7" s="8">
        <v>0</v>
      </c>
      <c r="DF7" s="8">
        <v>0</v>
      </c>
      <c r="DG7" s="9">
        <f t="shared" si="35"/>
        <v>0</v>
      </c>
      <c r="DH7" s="8">
        <v>0</v>
      </c>
      <c r="DI7" s="8">
        <v>0</v>
      </c>
      <c r="DJ7" s="8">
        <v>0</v>
      </c>
      <c r="DK7" s="8">
        <v>0</v>
      </c>
      <c r="DL7" s="9">
        <f t="shared" si="36"/>
        <v>0</v>
      </c>
      <c r="DM7" s="8">
        <v>243</v>
      </c>
      <c r="DN7" s="8">
        <v>0</v>
      </c>
      <c r="DO7" s="8">
        <v>0</v>
      </c>
      <c r="DP7" s="8">
        <v>67</v>
      </c>
      <c r="DQ7" s="9">
        <f t="shared" si="37"/>
        <v>176</v>
      </c>
      <c r="DR7" s="9">
        <f t="shared" si="38"/>
        <v>243</v>
      </c>
      <c r="DS7" s="9">
        <f t="shared" si="39"/>
        <v>0</v>
      </c>
      <c r="DT7" s="9">
        <f t="shared" si="40"/>
        <v>0</v>
      </c>
      <c r="DU7" s="9">
        <f t="shared" si="41"/>
        <v>67</v>
      </c>
      <c r="DV7" s="9">
        <f t="shared" si="42"/>
        <v>176</v>
      </c>
      <c r="DW7" s="8">
        <v>147</v>
      </c>
      <c r="DX7" s="8">
        <v>64</v>
      </c>
      <c r="DY7" s="8">
        <v>12</v>
      </c>
      <c r="DZ7" s="8">
        <v>0</v>
      </c>
      <c r="EA7" s="8">
        <v>0</v>
      </c>
      <c r="EB7" s="8">
        <v>9</v>
      </c>
      <c r="EC7" s="8">
        <v>0</v>
      </c>
      <c r="ED7" s="8">
        <v>0</v>
      </c>
      <c r="EE7" s="8">
        <v>1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9">
        <f t="shared" si="43"/>
        <v>233</v>
      </c>
      <c r="FH7" s="8">
        <v>0</v>
      </c>
      <c r="FI7" s="8">
        <v>0</v>
      </c>
      <c r="FJ7" s="8">
        <v>504</v>
      </c>
      <c r="FK7" s="8">
        <v>3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9">
        <f t="shared" si="44"/>
        <v>0</v>
      </c>
      <c r="FR7" s="8">
        <v>27549690.960000001</v>
      </c>
      <c r="FS7" s="8">
        <v>210800</v>
      </c>
      <c r="FT7" s="8">
        <v>67.22</v>
      </c>
      <c r="FU7" s="8">
        <v>104867.22</v>
      </c>
      <c r="FV7" s="9">
        <f t="shared" si="45"/>
        <v>27865425.399999999</v>
      </c>
      <c r="FW7" s="8">
        <v>18757805.719999999</v>
      </c>
      <c r="FX7" s="8">
        <v>83000</v>
      </c>
      <c r="FY7" s="8">
        <v>2867900</v>
      </c>
      <c r="FZ7" s="8">
        <v>2799507</v>
      </c>
      <c r="GA7" s="9">
        <f t="shared" si="46"/>
        <v>24508212.719999999</v>
      </c>
      <c r="GB7" s="9">
        <f t="shared" si="47"/>
        <v>52373638.119999997</v>
      </c>
      <c r="GC7" s="8">
        <v>18832106.120000001</v>
      </c>
      <c r="GD7" s="8">
        <v>147668.16</v>
      </c>
      <c r="GE7" s="8">
        <v>283790.59999999998</v>
      </c>
      <c r="GF7" s="8">
        <v>30364.54</v>
      </c>
      <c r="GG7" s="9">
        <f t="shared" si="48"/>
        <v>19293929.420000002</v>
      </c>
      <c r="GH7" s="8">
        <v>17520114.16000003</v>
      </c>
      <c r="GI7" s="8">
        <v>75740</v>
      </c>
      <c r="GJ7" s="8">
        <v>2486071.8199999998</v>
      </c>
      <c r="GK7" s="8">
        <v>2760500</v>
      </c>
      <c r="GL7" s="9">
        <f t="shared" si="49"/>
        <v>22842425.98000003</v>
      </c>
      <c r="GM7" s="9">
        <f t="shared" si="50"/>
        <v>42136355.400000036</v>
      </c>
      <c r="GN7" s="8">
        <v>1587694.07</v>
      </c>
      <c r="GO7" s="8">
        <v>2104.08</v>
      </c>
      <c r="GP7" s="8">
        <v>30542.76</v>
      </c>
      <c r="GQ7" s="8">
        <v>9274.68</v>
      </c>
      <c r="GR7" s="9">
        <f t="shared" si="51"/>
        <v>1629615.59</v>
      </c>
      <c r="GS7" s="8">
        <v>2637029</v>
      </c>
      <c r="GT7" s="8">
        <v>9823</v>
      </c>
      <c r="GU7" s="8">
        <v>8037</v>
      </c>
      <c r="GV7" s="8">
        <v>1786</v>
      </c>
      <c r="GW7" s="9">
        <f t="shared" si="52"/>
        <v>2656675</v>
      </c>
      <c r="GX7" s="9">
        <f t="shared" si="53"/>
        <v>46422645.990000039</v>
      </c>
      <c r="GY7" s="8">
        <v>270397099.83999997</v>
      </c>
      <c r="GZ7" s="8">
        <v>2952170.94</v>
      </c>
      <c r="HA7" s="9">
        <f t="shared" si="54"/>
        <v>273349270.77999997</v>
      </c>
      <c r="HB7" s="9">
        <f t="shared" si="55"/>
        <v>0.888539521021386</v>
      </c>
      <c r="HC7" s="10">
        <f t="shared" si="56"/>
        <v>0.16531052375789348</v>
      </c>
      <c r="HD7" s="9">
        <f t="shared" si="57"/>
        <v>1.1281915755358252</v>
      </c>
      <c r="HE7" s="8">
        <v>63</v>
      </c>
      <c r="HF7" s="8">
        <v>1</v>
      </c>
      <c r="HG7" s="8">
        <v>416</v>
      </c>
      <c r="HH7" s="8">
        <v>63</v>
      </c>
      <c r="HI7" s="8">
        <v>20</v>
      </c>
      <c r="HJ7" s="9">
        <f t="shared" si="58"/>
        <v>21</v>
      </c>
      <c r="HK7" s="10">
        <f t="shared" si="59"/>
        <v>1</v>
      </c>
      <c r="HL7" s="8">
        <v>15</v>
      </c>
      <c r="HM7" s="8">
        <v>30</v>
      </c>
      <c r="HN7" s="11">
        <f t="shared" si="60"/>
        <v>2</v>
      </c>
    </row>
    <row r="8" spans="1:222" x14ac:dyDescent="0.3">
      <c r="A8" s="12" t="s">
        <v>255</v>
      </c>
      <c r="B8" s="12" t="s">
        <v>256</v>
      </c>
      <c r="C8" s="13" t="s">
        <v>257</v>
      </c>
      <c r="D8" s="13">
        <v>2025</v>
      </c>
      <c r="E8" s="13">
        <v>9</v>
      </c>
      <c r="F8" s="13" t="s">
        <v>265</v>
      </c>
      <c r="G8" s="13" t="s">
        <v>263</v>
      </c>
      <c r="H8" s="14">
        <v>65681</v>
      </c>
      <c r="I8" s="14">
        <v>25495</v>
      </c>
      <c r="J8" s="14">
        <v>1147</v>
      </c>
      <c r="K8" s="14">
        <v>115</v>
      </c>
      <c r="L8" s="14">
        <v>6</v>
      </c>
      <c r="M8" s="15">
        <f t="shared" si="0"/>
        <v>26763</v>
      </c>
      <c r="N8" s="14">
        <v>16674.599999999999</v>
      </c>
      <c r="O8" s="14">
        <v>446.5</v>
      </c>
      <c r="P8" s="14">
        <v>1097.7</v>
      </c>
      <c r="Q8" s="14">
        <v>513.5</v>
      </c>
      <c r="R8" s="15">
        <f t="shared" si="1"/>
        <v>18732.3</v>
      </c>
      <c r="S8" s="15">
        <f t="shared" si="2"/>
        <v>45495.3</v>
      </c>
      <c r="T8" s="14">
        <v>20185.7</v>
      </c>
      <c r="U8" s="16">
        <f t="shared" si="3"/>
        <v>0.30732936465644556</v>
      </c>
      <c r="V8" s="14">
        <v>130</v>
      </c>
      <c r="W8" s="17">
        <f t="shared" si="4"/>
        <v>1.9792634095095996E-3</v>
      </c>
      <c r="X8" s="14">
        <v>0</v>
      </c>
      <c r="Y8" s="17">
        <f t="shared" si="5"/>
        <v>0</v>
      </c>
      <c r="Z8" s="14">
        <v>0</v>
      </c>
      <c r="AA8" s="17">
        <f t="shared" si="6"/>
        <v>0</v>
      </c>
      <c r="AB8" s="14">
        <v>0</v>
      </c>
      <c r="AC8" s="17">
        <f t="shared" si="7"/>
        <v>0</v>
      </c>
      <c r="AD8" s="14">
        <v>0</v>
      </c>
      <c r="AE8" s="17">
        <f t="shared" si="8"/>
        <v>0</v>
      </c>
      <c r="AF8" s="14">
        <v>0</v>
      </c>
      <c r="AG8" s="17">
        <f t="shared" si="9"/>
        <v>0</v>
      </c>
      <c r="AH8" s="14">
        <v>458287.7</v>
      </c>
      <c r="AI8" s="15">
        <f t="shared" si="10"/>
        <v>6.9774775049100963</v>
      </c>
      <c r="AJ8" s="14">
        <v>25713.7</v>
      </c>
      <c r="AK8" s="17">
        <f t="shared" si="11"/>
        <v>0.39149373487005373</v>
      </c>
      <c r="AL8" s="14">
        <v>4318091.0817499999</v>
      </c>
      <c r="AM8" s="15">
        <f t="shared" si="12"/>
        <v>65.743382131057686</v>
      </c>
      <c r="AN8" s="14">
        <v>5426</v>
      </c>
      <c r="AO8" s="14">
        <v>375.00857142857097</v>
      </c>
      <c r="AP8" s="14">
        <v>1312530</v>
      </c>
      <c r="AQ8" s="14">
        <v>0</v>
      </c>
      <c r="AR8" s="14">
        <v>16664235.779999999</v>
      </c>
      <c r="AS8" s="14">
        <v>6601328.1600000001</v>
      </c>
      <c r="AT8" s="14">
        <v>1657762.08</v>
      </c>
      <c r="AU8" s="15">
        <f t="shared" si="13"/>
        <v>31012234.801749997</v>
      </c>
      <c r="AV8" s="15">
        <f t="shared" si="14"/>
        <v>472.16447377095352</v>
      </c>
      <c r="AW8" s="15">
        <f t="shared" si="15"/>
        <v>681.65799108369424</v>
      </c>
      <c r="AX8" s="14">
        <v>14</v>
      </c>
      <c r="AY8" s="15">
        <f t="shared" si="16"/>
        <v>2.5578173292124058</v>
      </c>
      <c r="AZ8" s="14">
        <v>39</v>
      </c>
      <c r="BA8" s="14">
        <v>416</v>
      </c>
      <c r="BB8" s="14">
        <v>48</v>
      </c>
      <c r="BC8" s="14">
        <v>42</v>
      </c>
      <c r="BD8" s="14">
        <v>0</v>
      </c>
      <c r="BE8" s="15">
        <f t="shared" si="17"/>
        <v>42</v>
      </c>
      <c r="BF8" s="15">
        <f t="shared" si="18"/>
        <v>422</v>
      </c>
      <c r="BG8" s="14">
        <v>0</v>
      </c>
      <c r="BH8" s="14">
        <v>0</v>
      </c>
      <c r="BI8" s="14">
        <v>0</v>
      </c>
      <c r="BJ8" s="14">
        <v>0</v>
      </c>
      <c r="BK8" s="15">
        <f t="shared" si="19"/>
        <v>0</v>
      </c>
      <c r="BL8" s="15">
        <f t="shared" si="20"/>
        <v>0</v>
      </c>
      <c r="BM8" s="14">
        <v>0</v>
      </c>
      <c r="BN8" s="14">
        <v>0</v>
      </c>
      <c r="BO8" s="14">
        <v>0</v>
      </c>
      <c r="BP8" s="14">
        <v>0</v>
      </c>
      <c r="BQ8" s="15">
        <f t="shared" si="21"/>
        <v>0</v>
      </c>
      <c r="BR8" s="15">
        <f t="shared" si="22"/>
        <v>0</v>
      </c>
      <c r="BS8" s="14">
        <v>0</v>
      </c>
      <c r="BT8" s="14">
        <v>0</v>
      </c>
      <c r="BU8" s="14">
        <v>0</v>
      </c>
      <c r="BV8" s="14">
        <v>0</v>
      </c>
      <c r="BW8" s="15">
        <f t="shared" si="23"/>
        <v>0</v>
      </c>
      <c r="BX8" s="15">
        <f t="shared" si="24"/>
        <v>0</v>
      </c>
      <c r="BY8" s="15">
        <f t="shared" si="25"/>
        <v>416</v>
      </c>
      <c r="BZ8" s="15">
        <f t="shared" si="26"/>
        <v>48</v>
      </c>
      <c r="CA8" s="15">
        <f t="shared" si="27"/>
        <v>42</v>
      </c>
      <c r="CB8" s="15">
        <f t="shared" si="28"/>
        <v>422</v>
      </c>
      <c r="CC8" s="14">
        <v>45</v>
      </c>
      <c r="CD8" s="14">
        <v>2508</v>
      </c>
      <c r="CE8" s="14">
        <v>50</v>
      </c>
      <c r="CF8" s="14">
        <v>98</v>
      </c>
      <c r="CG8" s="14">
        <v>18</v>
      </c>
      <c r="CH8" s="15">
        <f t="shared" si="29"/>
        <v>2674</v>
      </c>
      <c r="CI8" s="14">
        <v>2946</v>
      </c>
      <c r="CJ8" s="14">
        <v>9</v>
      </c>
      <c r="CK8" s="14">
        <v>1</v>
      </c>
      <c r="CL8" s="14">
        <v>11</v>
      </c>
      <c r="CM8" s="15">
        <f t="shared" si="30"/>
        <v>2967</v>
      </c>
      <c r="CN8" s="14">
        <v>2382</v>
      </c>
      <c r="CO8" s="14">
        <v>76</v>
      </c>
      <c r="CP8" s="14">
        <v>72</v>
      </c>
      <c r="CQ8" s="14">
        <v>5</v>
      </c>
      <c r="CR8" s="15">
        <f t="shared" si="31"/>
        <v>2535</v>
      </c>
      <c r="CS8" s="15">
        <f t="shared" si="32"/>
        <v>5502</v>
      </c>
      <c r="CT8" s="14">
        <v>8176</v>
      </c>
      <c r="CU8" s="14">
        <v>41615.03</v>
      </c>
      <c r="CV8" s="14">
        <v>36441.54</v>
      </c>
      <c r="CW8" s="16">
        <f t="shared" si="33"/>
        <v>0.87568217540633764</v>
      </c>
      <c r="CX8" s="14"/>
      <c r="CY8" s="14"/>
      <c r="CZ8" s="14"/>
      <c r="DA8" s="14"/>
      <c r="DB8" s="15">
        <f t="shared" si="34"/>
        <v>0</v>
      </c>
      <c r="DC8" s="14">
        <v>0</v>
      </c>
      <c r="DD8" s="14">
        <v>0</v>
      </c>
      <c r="DE8" s="14">
        <v>0</v>
      </c>
      <c r="DF8" s="14">
        <v>0</v>
      </c>
      <c r="DG8" s="15">
        <f t="shared" si="35"/>
        <v>0</v>
      </c>
      <c r="DH8" s="14">
        <v>0</v>
      </c>
      <c r="DI8" s="14">
        <v>0</v>
      </c>
      <c r="DJ8" s="14">
        <v>0</v>
      </c>
      <c r="DK8" s="14">
        <v>0</v>
      </c>
      <c r="DL8" s="15">
        <f t="shared" si="36"/>
        <v>0</v>
      </c>
      <c r="DM8" s="14">
        <v>176</v>
      </c>
      <c r="DN8" s="14">
        <v>12</v>
      </c>
      <c r="DO8" s="14">
        <v>0</v>
      </c>
      <c r="DP8" s="14">
        <v>0</v>
      </c>
      <c r="DQ8" s="15">
        <f t="shared" si="37"/>
        <v>188</v>
      </c>
      <c r="DR8" s="15">
        <f t="shared" si="38"/>
        <v>176</v>
      </c>
      <c r="DS8" s="15">
        <f t="shared" si="39"/>
        <v>12</v>
      </c>
      <c r="DT8" s="15">
        <f t="shared" si="40"/>
        <v>0</v>
      </c>
      <c r="DU8" s="15">
        <f t="shared" si="41"/>
        <v>0</v>
      </c>
      <c r="DV8" s="15">
        <f t="shared" si="42"/>
        <v>188</v>
      </c>
      <c r="DW8" s="14">
        <v>111</v>
      </c>
      <c r="DX8" s="14">
        <v>68</v>
      </c>
      <c r="DY8" s="14">
        <v>9</v>
      </c>
      <c r="DZ8" s="14">
        <v>1</v>
      </c>
      <c r="EA8" s="14">
        <v>4</v>
      </c>
      <c r="EB8" s="14">
        <v>10</v>
      </c>
      <c r="EC8" s="14">
        <v>1</v>
      </c>
      <c r="ED8" s="14">
        <v>0</v>
      </c>
      <c r="EE8" s="14">
        <v>1</v>
      </c>
      <c r="EF8" s="14">
        <v>3</v>
      </c>
      <c r="EG8" s="14">
        <v>4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5">
        <f t="shared" si="43"/>
        <v>212</v>
      </c>
      <c r="FH8" s="14">
        <v>0</v>
      </c>
      <c r="FI8" s="14">
        <v>0</v>
      </c>
      <c r="FJ8" s="14">
        <v>520</v>
      </c>
      <c r="FK8" s="14">
        <v>3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5">
        <f t="shared" si="44"/>
        <v>0</v>
      </c>
      <c r="FR8" s="14">
        <v>21691980.350000001</v>
      </c>
      <c r="FS8" s="14">
        <v>176267.22</v>
      </c>
      <c r="FT8" s="14">
        <v>350067.22</v>
      </c>
      <c r="FU8" s="14">
        <v>67000</v>
      </c>
      <c r="FV8" s="15">
        <f t="shared" si="45"/>
        <v>22285314.789999999</v>
      </c>
      <c r="FW8" s="14">
        <v>26130021.609999999</v>
      </c>
      <c r="FX8" s="14">
        <v>154524.64000000001</v>
      </c>
      <c r="FY8" s="14">
        <v>2554072.81</v>
      </c>
      <c r="FZ8" s="14">
        <v>3803513.85</v>
      </c>
      <c r="GA8" s="15">
        <f t="shared" si="46"/>
        <v>32642132.91</v>
      </c>
      <c r="GB8" s="15">
        <f t="shared" si="47"/>
        <v>54927447.700000003</v>
      </c>
      <c r="GC8" s="14">
        <v>24186378.670000002</v>
      </c>
      <c r="GD8" s="14">
        <v>219398.16</v>
      </c>
      <c r="GE8" s="14">
        <v>364727.96</v>
      </c>
      <c r="GF8" s="14">
        <v>15182.27</v>
      </c>
      <c r="GG8" s="15">
        <f t="shared" si="48"/>
        <v>24785687.060000002</v>
      </c>
      <c r="GH8" s="14">
        <v>20822944.670000009</v>
      </c>
      <c r="GI8" s="14">
        <v>94988.87</v>
      </c>
      <c r="GJ8" s="14">
        <v>3314638.17</v>
      </c>
      <c r="GK8" s="14">
        <v>2436112.81</v>
      </c>
      <c r="GL8" s="15">
        <f t="shared" si="49"/>
        <v>26668684.520000007</v>
      </c>
      <c r="GM8" s="15">
        <f t="shared" si="50"/>
        <v>51454371.580000013</v>
      </c>
      <c r="GN8" s="14">
        <v>1584702.28</v>
      </c>
      <c r="GO8" s="14">
        <v>2104.08</v>
      </c>
      <c r="GP8" s="14">
        <v>30542.76</v>
      </c>
      <c r="GQ8" s="14">
        <v>4637.34</v>
      </c>
      <c r="GR8" s="15">
        <f t="shared" si="51"/>
        <v>1621986.4600000002</v>
      </c>
      <c r="GS8" s="14">
        <v>2630778</v>
      </c>
      <c r="GT8" s="14">
        <v>9823</v>
      </c>
      <c r="GU8" s="14">
        <v>8037</v>
      </c>
      <c r="GV8" s="14">
        <v>893</v>
      </c>
      <c r="GW8" s="15">
        <f t="shared" si="52"/>
        <v>2649531</v>
      </c>
      <c r="GX8" s="15">
        <f t="shared" si="53"/>
        <v>55725889.040000014</v>
      </c>
      <c r="GY8" s="14">
        <v>276344663.43000001</v>
      </c>
      <c r="GZ8" s="14">
        <v>3372797.08</v>
      </c>
      <c r="HA8" s="15">
        <f t="shared" si="54"/>
        <v>279717460.50999999</v>
      </c>
      <c r="HB8" s="15">
        <f t="shared" si="55"/>
        <v>0.55651395313746244</v>
      </c>
      <c r="HC8" s="16">
        <f t="shared" si="56"/>
        <v>0.16540896894181023</v>
      </c>
      <c r="HD8" s="15">
        <f t="shared" si="57"/>
        <v>0.98567198561108837</v>
      </c>
      <c r="HE8" s="14">
        <v>48</v>
      </c>
      <c r="HF8" s="14">
        <v>1</v>
      </c>
      <c r="HG8" s="14">
        <v>422</v>
      </c>
      <c r="HH8" s="14">
        <v>48</v>
      </c>
      <c r="HI8" s="14">
        <v>20</v>
      </c>
      <c r="HJ8" s="15">
        <f t="shared" si="58"/>
        <v>21</v>
      </c>
      <c r="HK8" s="16">
        <f t="shared" si="59"/>
        <v>1</v>
      </c>
      <c r="HL8" s="14">
        <v>40</v>
      </c>
      <c r="HM8" s="14">
        <v>30</v>
      </c>
      <c r="HN8" s="17">
        <f t="shared" si="60"/>
        <v>0.75</v>
      </c>
    </row>
    <row r="9" spans="1:222" x14ac:dyDescent="0.3">
      <c r="A9" s="6" t="s">
        <v>255</v>
      </c>
      <c r="B9" s="6" t="s">
        <v>256</v>
      </c>
      <c r="C9" s="7" t="s">
        <v>257</v>
      </c>
      <c r="D9" s="7">
        <v>2025</v>
      </c>
      <c r="E9" s="7">
        <v>10</v>
      </c>
      <c r="F9" s="7" t="s">
        <v>266</v>
      </c>
      <c r="G9" s="7" t="s">
        <v>267</v>
      </c>
      <c r="H9" s="8">
        <v>46567</v>
      </c>
      <c r="I9" s="8">
        <v>17150</v>
      </c>
      <c r="J9" s="8">
        <v>809</v>
      </c>
      <c r="K9" s="8">
        <v>93</v>
      </c>
      <c r="L9" s="8">
        <v>2</v>
      </c>
      <c r="M9" s="9">
        <f t="shared" si="0"/>
        <v>18054</v>
      </c>
      <c r="N9" s="8">
        <v>12658</v>
      </c>
      <c r="O9" s="8">
        <v>386.9</v>
      </c>
      <c r="P9" s="8">
        <v>1415.9</v>
      </c>
      <c r="Q9" s="8">
        <v>453.7</v>
      </c>
      <c r="R9" s="9">
        <f t="shared" si="1"/>
        <v>14914.5</v>
      </c>
      <c r="S9" s="9">
        <f t="shared" si="2"/>
        <v>32968.5</v>
      </c>
      <c r="T9" s="8">
        <v>13598.5</v>
      </c>
      <c r="U9" s="10">
        <f t="shared" si="3"/>
        <v>0.29202010007086565</v>
      </c>
      <c r="V9" s="8">
        <v>82</v>
      </c>
      <c r="W9" s="11">
        <f t="shared" si="4"/>
        <v>1.7609036442115661E-3</v>
      </c>
      <c r="X9" s="8">
        <v>0</v>
      </c>
      <c r="Y9" s="11">
        <f t="shared" si="5"/>
        <v>0</v>
      </c>
      <c r="Z9" s="8">
        <v>0</v>
      </c>
      <c r="AA9" s="11">
        <f t="shared" si="6"/>
        <v>0</v>
      </c>
      <c r="AB9" s="8">
        <v>0</v>
      </c>
      <c r="AC9" s="11">
        <f t="shared" si="7"/>
        <v>0</v>
      </c>
      <c r="AD9" s="8">
        <v>0</v>
      </c>
      <c r="AE9" s="11">
        <f t="shared" si="8"/>
        <v>0</v>
      </c>
      <c r="AF9" s="8">
        <v>0</v>
      </c>
      <c r="AG9" s="11">
        <f t="shared" si="9"/>
        <v>0</v>
      </c>
      <c r="AH9" s="8">
        <v>289073.78000000003</v>
      </c>
      <c r="AI9" s="9">
        <f t="shared" si="10"/>
        <v>6.2076960079025927</v>
      </c>
      <c r="AJ9" s="8">
        <v>14255</v>
      </c>
      <c r="AK9" s="11">
        <f t="shared" si="11"/>
        <v>0.30611806644190093</v>
      </c>
      <c r="AL9" s="8">
        <v>2402454.2625000002</v>
      </c>
      <c r="AM9" s="9">
        <f t="shared" si="12"/>
        <v>51.591347144973909</v>
      </c>
      <c r="AN9" s="8">
        <v>4123.6657447829803</v>
      </c>
      <c r="AO9" s="8">
        <v>285</v>
      </c>
      <c r="AP9" s="8">
        <v>778050</v>
      </c>
      <c r="AQ9" s="8">
        <v>0</v>
      </c>
      <c r="AR9" s="8">
        <v>0</v>
      </c>
      <c r="AS9" s="8">
        <v>6654152.4800000004</v>
      </c>
      <c r="AT9" s="8">
        <v>1624766.84</v>
      </c>
      <c r="AU9" s="9">
        <f t="shared" si="13"/>
        <v>11748497.362500001</v>
      </c>
      <c r="AV9" s="9">
        <f t="shared" si="14"/>
        <v>252.29233926385641</v>
      </c>
      <c r="AW9" s="9">
        <f t="shared" si="15"/>
        <v>356.355228854816</v>
      </c>
      <c r="AX9" s="8">
        <v>14</v>
      </c>
      <c r="AY9" s="9">
        <f t="shared" si="16"/>
        <v>3.6077050271651596</v>
      </c>
      <c r="AZ9" s="8">
        <v>42</v>
      </c>
      <c r="BA9" s="8">
        <v>422</v>
      </c>
      <c r="BB9" s="8">
        <v>41</v>
      </c>
      <c r="BC9" s="8">
        <v>46</v>
      </c>
      <c r="BD9" s="8">
        <v>0</v>
      </c>
      <c r="BE9" s="9">
        <f t="shared" si="17"/>
        <v>46</v>
      </c>
      <c r="BF9" s="9">
        <f t="shared" si="18"/>
        <v>417</v>
      </c>
      <c r="BG9" s="8">
        <v>0</v>
      </c>
      <c r="BH9" s="8">
        <v>0</v>
      </c>
      <c r="BI9" s="8">
        <v>0</v>
      </c>
      <c r="BJ9" s="8">
        <v>0</v>
      </c>
      <c r="BK9" s="9">
        <f t="shared" si="19"/>
        <v>0</v>
      </c>
      <c r="BL9" s="9">
        <f t="shared" si="20"/>
        <v>0</v>
      </c>
      <c r="BM9" s="8">
        <v>0</v>
      </c>
      <c r="BN9" s="8">
        <v>0</v>
      </c>
      <c r="BO9" s="8">
        <v>0</v>
      </c>
      <c r="BP9" s="8">
        <v>0</v>
      </c>
      <c r="BQ9" s="9">
        <f t="shared" si="21"/>
        <v>0</v>
      </c>
      <c r="BR9" s="9">
        <f t="shared" si="22"/>
        <v>0</v>
      </c>
      <c r="BS9" s="8">
        <v>0</v>
      </c>
      <c r="BT9" s="8">
        <v>0</v>
      </c>
      <c r="BU9" s="8">
        <v>0</v>
      </c>
      <c r="BV9" s="8">
        <v>0</v>
      </c>
      <c r="BW9" s="9">
        <f t="shared" si="23"/>
        <v>0</v>
      </c>
      <c r="BX9" s="9">
        <f t="shared" si="24"/>
        <v>0</v>
      </c>
      <c r="BY9" s="9">
        <f t="shared" si="25"/>
        <v>422</v>
      </c>
      <c r="BZ9" s="9">
        <f t="shared" si="26"/>
        <v>41</v>
      </c>
      <c r="CA9" s="9">
        <f t="shared" si="27"/>
        <v>46</v>
      </c>
      <c r="CB9" s="9">
        <f t="shared" si="28"/>
        <v>417</v>
      </c>
      <c r="CC9" s="8">
        <v>35</v>
      </c>
      <c r="CD9" s="8">
        <v>2520</v>
      </c>
      <c r="CE9" s="8">
        <v>50</v>
      </c>
      <c r="CF9" s="8">
        <v>97</v>
      </c>
      <c r="CG9" s="8">
        <v>18</v>
      </c>
      <c r="CH9" s="9">
        <f t="shared" si="29"/>
        <v>2685</v>
      </c>
      <c r="CI9" s="8">
        <v>2980</v>
      </c>
      <c r="CJ9" s="8">
        <v>8</v>
      </c>
      <c r="CK9" s="8">
        <v>1</v>
      </c>
      <c r="CL9" s="8">
        <v>11</v>
      </c>
      <c r="CM9" s="9">
        <f t="shared" si="30"/>
        <v>3000</v>
      </c>
      <c r="CN9" s="8">
        <v>2382</v>
      </c>
      <c r="CO9" s="8">
        <v>77</v>
      </c>
      <c r="CP9" s="8">
        <v>73</v>
      </c>
      <c r="CQ9" s="8">
        <v>5</v>
      </c>
      <c r="CR9" s="9">
        <f t="shared" si="31"/>
        <v>2537</v>
      </c>
      <c r="CS9" s="9">
        <f t="shared" si="32"/>
        <v>5537</v>
      </c>
      <c r="CT9" s="8">
        <v>8222</v>
      </c>
      <c r="CU9" s="8">
        <v>41823.11</v>
      </c>
      <c r="CV9" s="8">
        <v>36623.75</v>
      </c>
      <c r="CW9" s="10">
        <f t="shared" si="33"/>
        <v>0.87568212885172814</v>
      </c>
      <c r="CX9" s="8"/>
      <c r="CY9" s="8"/>
      <c r="CZ9" s="8"/>
      <c r="DA9" s="8"/>
      <c r="DB9" s="9">
        <f t="shared" si="34"/>
        <v>0</v>
      </c>
      <c r="DC9" s="8">
        <v>0</v>
      </c>
      <c r="DD9" s="8">
        <v>0</v>
      </c>
      <c r="DE9" s="8">
        <v>0</v>
      </c>
      <c r="DF9" s="8">
        <v>0</v>
      </c>
      <c r="DG9" s="9">
        <f t="shared" si="35"/>
        <v>0</v>
      </c>
      <c r="DH9" s="8">
        <v>0</v>
      </c>
      <c r="DI9" s="8">
        <v>0</v>
      </c>
      <c r="DJ9" s="8">
        <v>0</v>
      </c>
      <c r="DK9" s="8">
        <v>0</v>
      </c>
      <c r="DL9" s="9">
        <f t="shared" si="36"/>
        <v>0</v>
      </c>
      <c r="DM9" s="8">
        <v>188</v>
      </c>
      <c r="DN9" s="8">
        <v>5</v>
      </c>
      <c r="DO9" s="8">
        <v>0</v>
      </c>
      <c r="DP9" s="8">
        <v>0</v>
      </c>
      <c r="DQ9" s="9">
        <f t="shared" si="37"/>
        <v>193</v>
      </c>
      <c r="DR9" s="9">
        <f t="shared" si="38"/>
        <v>188</v>
      </c>
      <c r="DS9" s="9">
        <f t="shared" si="39"/>
        <v>5</v>
      </c>
      <c r="DT9" s="9">
        <f t="shared" si="40"/>
        <v>0</v>
      </c>
      <c r="DU9" s="9">
        <f t="shared" si="41"/>
        <v>0</v>
      </c>
      <c r="DV9" s="9">
        <f t="shared" si="42"/>
        <v>193</v>
      </c>
      <c r="DW9" s="8">
        <v>84</v>
      </c>
      <c r="DX9" s="8">
        <v>42</v>
      </c>
      <c r="DY9" s="8">
        <v>8</v>
      </c>
      <c r="DZ9" s="8">
        <v>1</v>
      </c>
      <c r="EA9" s="8">
        <v>5</v>
      </c>
      <c r="EB9" s="8">
        <v>7</v>
      </c>
      <c r="EC9" s="8">
        <v>0</v>
      </c>
      <c r="ED9" s="8">
        <v>0</v>
      </c>
      <c r="EE9" s="8">
        <v>1</v>
      </c>
      <c r="EF9" s="8">
        <v>0</v>
      </c>
      <c r="EG9" s="8">
        <v>1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9">
        <f t="shared" si="43"/>
        <v>149</v>
      </c>
      <c r="FH9" s="8">
        <v>0</v>
      </c>
      <c r="FI9" s="8">
        <v>0</v>
      </c>
      <c r="FJ9" s="8">
        <v>372</v>
      </c>
      <c r="FK9" s="8">
        <v>10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9">
        <f t="shared" si="44"/>
        <v>0</v>
      </c>
      <c r="FR9" s="8">
        <v>17523447.91</v>
      </c>
      <c r="FS9" s="8">
        <v>148100</v>
      </c>
      <c r="FT9" s="8">
        <v>28900</v>
      </c>
      <c r="FU9" s="8">
        <v>0</v>
      </c>
      <c r="FV9" s="9">
        <f t="shared" si="45"/>
        <v>17700447.91</v>
      </c>
      <c r="FW9" s="8">
        <v>19671907.16</v>
      </c>
      <c r="FX9" s="8">
        <v>103500</v>
      </c>
      <c r="FY9" s="8">
        <v>2239345.62</v>
      </c>
      <c r="FZ9" s="8">
        <v>4819623.95</v>
      </c>
      <c r="GA9" s="9">
        <f t="shared" si="46"/>
        <v>26834376.73</v>
      </c>
      <c r="GB9" s="9">
        <f t="shared" si="47"/>
        <v>44534824.640000001</v>
      </c>
      <c r="GC9" s="8">
        <v>17807809.379999999</v>
      </c>
      <c r="GD9" s="8">
        <v>154745.51999999999</v>
      </c>
      <c r="GE9" s="8">
        <v>277155.21999999997</v>
      </c>
      <c r="GF9" s="8">
        <v>8410.99</v>
      </c>
      <c r="GG9" s="9">
        <f t="shared" si="48"/>
        <v>18248121.109999996</v>
      </c>
      <c r="GH9" s="8">
        <v>15820117.340000009</v>
      </c>
      <c r="GI9" s="8">
        <v>82260</v>
      </c>
      <c r="GJ9" s="8">
        <v>4303436.54</v>
      </c>
      <c r="GK9" s="8">
        <v>2122875.7799999998</v>
      </c>
      <c r="GL9" s="9">
        <f t="shared" si="49"/>
        <v>22328689.660000011</v>
      </c>
      <c r="GM9" s="9">
        <f t="shared" si="50"/>
        <v>40576810.770000011</v>
      </c>
      <c r="GN9" s="8">
        <v>1606705.64</v>
      </c>
      <c r="GO9" s="8">
        <v>2104.08</v>
      </c>
      <c r="GP9" s="8">
        <v>27149.119999999999</v>
      </c>
      <c r="GQ9" s="8">
        <v>4637.34</v>
      </c>
      <c r="GR9" s="9">
        <f t="shared" si="51"/>
        <v>1640596.1800000002</v>
      </c>
      <c r="GS9" s="8">
        <v>2661140</v>
      </c>
      <c r="GT9" s="8">
        <v>9823</v>
      </c>
      <c r="GU9" s="8">
        <v>7144</v>
      </c>
      <c r="GV9" s="8">
        <v>893</v>
      </c>
      <c r="GW9" s="9">
        <f t="shared" si="52"/>
        <v>2679000</v>
      </c>
      <c r="GX9" s="9">
        <f t="shared" si="53"/>
        <v>44896406.95000001</v>
      </c>
      <c r="GY9" s="8">
        <v>240642247.13999999</v>
      </c>
      <c r="GZ9" s="8">
        <v>3665086.08</v>
      </c>
      <c r="HA9" s="9">
        <f t="shared" si="54"/>
        <v>244307333.22</v>
      </c>
      <c r="HB9" s="9">
        <f t="shared" si="55"/>
        <v>0.26168012454947687</v>
      </c>
      <c r="HC9" s="10">
        <f t="shared" si="56"/>
        <v>0.15596776128938014</v>
      </c>
      <c r="HD9" s="9">
        <f t="shared" si="57"/>
        <v>0.99194629738627649</v>
      </c>
      <c r="HE9" s="8">
        <v>41</v>
      </c>
      <c r="HF9" s="8">
        <v>1</v>
      </c>
      <c r="HG9" s="8">
        <v>417</v>
      </c>
      <c r="HH9" s="8">
        <v>41</v>
      </c>
      <c r="HI9" s="8">
        <v>20</v>
      </c>
      <c r="HJ9" s="9">
        <f t="shared" si="58"/>
        <v>21</v>
      </c>
      <c r="HK9" s="10">
        <f t="shared" si="59"/>
        <v>1</v>
      </c>
      <c r="HL9" s="8">
        <v>13</v>
      </c>
      <c r="HM9" s="8">
        <v>30</v>
      </c>
      <c r="HN9" s="11">
        <f t="shared" si="60"/>
        <v>2.3076923076923075</v>
      </c>
    </row>
    <row r="10" spans="1:222" x14ac:dyDescent="0.3">
      <c r="A10" s="12" t="s">
        <v>255</v>
      </c>
      <c r="B10" s="12" t="s">
        <v>256</v>
      </c>
      <c r="C10" s="13" t="s">
        <v>257</v>
      </c>
      <c r="D10" s="13">
        <v>2025</v>
      </c>
      <c r="E10" s="13">
        <v>11</v>
      </c>
      <c r="F10" s="13" t="s">
        <v>268</v>
      </c>
      <c r="G10" s="13" t="s">
        <v>267</v>
      </c>
      <c r="H10" s="14">
        <v>49897</v>
      </c>
      <c r="I10" s="14">
        <v>18041</v>
      </c>
      <c r="J10" s="14">
        <v>738</v>
      </c>
      <c r="K10" s="14">
        <v>70</v>
      </c>
      <c r="L10" s="14">
        <v>7</v>
      </c>
      <c r="M10" s="15">
        <f t="shared" si="0"/>
        <v>18856</v>
      </c>
      <c r="N10" s="14">
        <v>13870.4</v>
      </c>
      <c r="O10" s="14">
        <v>126</v>
      </c>
      <c r="P10" s="14">
        <v>1261.7</v>
      </c>
      <c r="Q10" s="14">
        <v>489.8</v>
      </c>
      <c r="R10" s="15">
        <f t="shared" si="1"/>
        <v>15747.9</v>
      </c>
      <c r="S10" s="15">
        <f t="shared" si="2"/>
        <v>34603.9</v>
      </c>
      <c r="T10" s="14">
        <v>15293.1</v>
      </c>
      <c r="U10" s="16">
        <f t="shared" si="3"/>
        <v>0.30649337635529189</v>
      </c>
      <c r="V10" s="14">
        <v>108</v>
      </c>
      <c r="W10" s="17">
        <f t="shared" si="4"/>
        <v>2.1644587850973003E-3</v>
      </c>
      <c r="X10" s="14">
        <v>0</v>
      </c>
      <c r="Y10" s="17">
        <f t="shared" si="5"/>
        <v>0</v>
      </c>
      <c r="Z10" s="14">
        <v>0</v>
      </c>
      <c r="AA10" s="17">
        <f t="shared" si="6"/>
        <v>0</v>
      </c>
      <c r="AB10" s="14">
        <v>0</v>
      </c>
      <c r="AC10" s="17">
        <f t="shared" si="7"/>
        <v>0</v>
      </c>
      <c r="AD10" s="14">
        <v>0</v>
      </c>
      <c r="AE10" s="17">
        <f t="shared" si="8"/>
        <v>0</v>
      </c>
      <c r="AF10" s="14">
        <v>0</v>
      </c>
      <c r="AG10" s="17">
        <f t="shared" si="9"/>
        <v>0</v>
      </c>
      <c r="AH10" s="14">
        <v>380731.32</v>
      </c>
      <c r="AI10" s="15">
        <f t="shared" si="10"/>
        <v>7.630344910515662</v>
      </c>
      <c r="AJ10" s="14">
        <v>22349</v>
      </c>
      <c r="AK10" s="17">
        <f t="shared" si="11"/>
        <v>0.44790267951981083</v>
      </c>
      <c r="AL10" s="14">
        <v>3755588.9474999998</v>
      </c>
      <c r="AM10" s="15">
        <f t="shared" si="12"/>
        <v>75.266828616950917</v>
      </c>
      <c r="AN10" s="14">
        <v>5234</v>
      </c>
      <c r="AO10" s="14">
        <v>220</v>
      </c>
      <c r="AP10" s="14">
        <v>770000</v>
      </c>
      <c r="AQ10" s="14">
        <v>0</v>
      </c>
      <c r="AR10" s="14">
        <v>17028073.120000001</v>
      </c>
      <c r="AS10" s="14">
        <v>6654152.4800000004</v>
      </c>
      <c r="AT10" s="14">
        <v>7454346.5599999996</v>
      </c>
      <c r="AU10" s="15">
        <f t="shared" si="13"/>
        <v>36042892.427500002</v>
      </c>
      <c r="AV10" s="15">
        <f t="shared" si="14"/>
        <v>722.34588106499393</v>
      </c>
      <c r="AW10" s="15">
        <f t="shared" si="15"/>
        <v>1041.5846892257809</v>
      </c>
      <c r="AX10" s="14">
        <v>14</v>
      </c>
      <c r="AY10" s="15">
        <f t="shared" si="16"/>
        <v>3.3669358879291345</v>
      </c>
      <c r="AZ10" s="14">
        <v>47</v>
      </c>
      <c r="BA10" s="14">
        <v>417</v>
      </c>
      <c r="BB10" s="14">
        <v>27</v>
      </c>
      <c r="BC10" s="14">
        <v>32</v>
      </c>
      <c r="BD10" s="14">
        <v>0</v>
      </c>
      <c r="BE10" s="15">
        <f t="shared" si="17"/>
        <v>32</v>
      </c>
      <c r="BF10" s="15">
        <f t="shared" si="18"/>
        <v>412</v>
      </c>
      <c r="BG10" s="14">
        <v>0</v>
      </c>
      <c r="BH10" s="14">
        <v>0</v>
      </c>
      <c r="BI10" s="14">
        <v>0</v>
      </c>
      <c r="BJ10" s="14">
        <v>0</v>
      </c>
      <c r="BK10" s="15">
        <f t="shared" si="19"/>
        <v>0</v>
      </c>
      <c r="BL10" s="15">
        <f t="shared" si="20"/>
        <v>0</v>
      </c>
      <c r="BM10" s="14">
        <v>0</v>
      </c>
      <c r="BN10" s="14">
        <v>0</v>
      </c>
      <c r="BO10" s="14">
        <v>0</v>
      </c>
      <c r="BP10" s="14">
        <v>0</v>
      </c>
      <c r="BQ10" s="15">
        <f t="shared" si="21"/>
        <v>0</v>
      </c>
      <c r="BR10" s="15">
        <f t="shared" si="22"/>
        <v>0</v>
      </c>
      <c r="BS10" s="14">
        <v>0</v>
      </c>
      <c r="BT10" s="14">
        <v>0</v>
      </c>
      <c r="BU10" s="14">
        <v>0</v>
      </c>
      <c r="BV10" s="14">
        <v>0</v>
      </c>
      <c r="BW10" s="15">
        <f t="shared" si="23"/>
        <v>0</v>
      </c>
      <c r="BX10" s="15">
        <f t="shared" si="24"/>
        <v>0</v>
      </c>
      <c r="BY10" s="15">
        <f t="shared" si="25"/>
        <v>417</v>
      </c>
      <c r="BZ10" s="15">
        <f t="shared" si="26"/>
        <v>27</v>
      </c>
      <c r="CA10" s="15">
        <f t="shared" si="27"/>
        <v>32</v>
      </c>
      <c r="CB10" s="15">
        <f t="shared" si="28"/>
        <v>412</v>
      </c>
      <c r="CC10" s="14">
        <v>42</v>
      </c>
      <c r="CD10" s="14">
        <v>2694</v>
      </c>
      <c r="CE10" s="14">
        <v>50</v>
      </c>
      <c r="CF10" s="14">
        <v>97</v>
      </c>
      <c r="CG10" s="14">
        <v>18</v>
      </c>
      <c r="CH10" s="15">
        <f t="shared" si="29"/>
        <v>2859</v>
      </c>
      <c r="CI10" s="14">
        <v>2962</v>
      </c>
      <c r="CJ10" s="14">
        <v>8</v>
      </c>
      <c r="CK10" s="14">
        <v>2</v>
      </c>
      <c r="CL10" s="14">
        <v>11</v>
      </c>
      <c r="CM10" s="15">
        <f t="shared" si="30"/>
        <v>2983</v>
      </c>
      <c r="CN10" s="14">
        <v>2257</v>
      </c>
      <c r="CO10" s="14">
        <v>77</v>
      </c>
      <c r="CP10" s="14">
        <v>73</v>
      </c>
      <c r="CQ10" s="14">
        <v>5</v>
      </c>
      <c r="CR10" s="15">
        <f t="shared" si="31"/>
        <v>2412</v>
      </c>
      <c r="CS10" s="15">
        <f t="shared" si="32"/>
        <v>5395</v>
      </c>
      <c r="CT10" s="14">
        <v>8254</v>
      </c>
      <c r="CU10" s="14">
        <v>42241.341099999998</v>
      </c>
      <c r="CV10" s="14">
        <v>38017.206989999999</v>
      </c>
      <c r="CW10" s="16">
        <f t="shared" si="33"/>
        <v>0.9</v>
      </c>
      <c r="CX10" s="14"/>
      <c r="CY10" s="14"/>
      <c r="CZ10" s="14"/>
      <c r="DA10" s="14"/>
      <c r="DB10" s="15">
        <f t="shared" si="34"/>
        <v>0</v>
      </c>
      <c r="DC10" s="14">
        <v>0</v>
      </c>
      <c r="DD10" s="14">
        <v>0</v>
      </c>
      <c r="DE10" s="14">
        <v>0</v>
      </c>
      <c r="DF10" s="14">
        <v>0</v>
      </c>
      <c r="DG10" s="15">
        <f t="shared" si="35"/>
        <v>0</v>
      </c>
      <c r="DH10" s="14">
        <v>0</v>
      </c>
      <c r="DI10" s="14">
        <v>0</v>
      </c>
      <c r="DJ10" s="14">
        <v>0</v>
      </c>
      <c r="DK10" s="14">
        <v>0</v>
      </c>
      <c r="DL10" s="15">
        <f t="shared" si="36"/>
        <v>0</v>
      </c>
      <c r="DM10" s="14">
        <v>193</v>
      </c>
      <c r="DN10" s="14">
        <v>0</v>
      </c>
      <c r="DO10" s="14">
        <v>0</v>
      </c>
      <c r="DP10" s="14">
        <v>1</v>
      </c>
      <c r="DQ10" s="15">
        <f t="shared" si="37"/>
        <v>192</v>
      </c>
      <c r="DR10" s="15">
        <f t="shared" si="38"/>
        <v>193</v>
      </c>
      <c r="DS10" s="15">
        <f t="shared" si="39"/>
        <v>0</v>
      </c>
      <c r="DT10" s="15">
        <f t="shared" si="40"/>
        <v>0</v>
      </c>
      <c r="DU10" s="15">
        <f t="shared" si="41"/>
        <v>1</v>
      </c>
      <c r="DV10" s="15">
        <f t="shared" si="42"/>
        <v>192</v>
      </c>
      <c r="DW10" s="14">
        <v>128</v>
      </c>
      <c r="DX10" s="14">
        <v>50</v>
      </c>
      <c r="DY10" s="14">
        <v>13</v>
      </c>
      <c r="DZ10" s="14">
        <v>1</v>
      </c>
      <c r="EA10" s="14">
        <v>5</v>
      </c>
      <c r="EB10" s="14">
        <v>8</v>
      </c>
      <c r="EC10" s="14">
        <v>0</v>
      </c>
      <c r="ED10" s="14">
        <v>1</v>
      </c>
      <c r="EE10" s="14">
        <v>2</v>
      </c>
      <c r="EF10" s="14">
        <v>2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5">
        <f t="shared" si="43"/>
        <v>210</v>
      </c>
      <c r="FH10" s="14">
        <v>0</v>
      </c>
      <c r="FI10" s="14">
        <v>0</v>
      </c>
      <c r="FJ10" s="14">
        <v>520</v>
      </c>
      <c r="FK10" s="14">
        <v>30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5">
        <f t="shared" si="44"/>
        <v>0</v>
      </c>
      <c r="FR10" s="14">
        <v>19268979.989999998</v>
      </c>
      <c r="FS10" s="14">
        <v>91000</v>
      </c>
      <c r="FT10" s="14">
        <v>0</v>
      </c>
      <c r="FU10" s="14">
        <v>0</v>
      </c>
      <c r="FV10" s="15">
        <f t="shared" si="45"/>
        <v>19359979.989999998</v>
      </c>
      <c r="FW10" s="14">
        <v>23183278.640000001</v>
      </c>
      <c r="FX10" s="14">
        <v>26700</v>
      </c>
      <c r="FY10" s="14">
        <v>2530375</v>
      </c>
      <c r="FZ10" s="14">
        <v>4358291.1499999901</v>
      </c>
      <c r="GA10" s="15">
        <f t="shared" si="46"/>
        <v>30098644.789999992</v>
      </c>
      <c r="GB10" s="15">
        <f t="shared" si="47"/>
        <v>49458624.779999986</v>
      </c>
      <c r="GC10" s="14">
        <v>17976586.170000002</v>
      </c>
      <c r="GD10" s="14">
        <v>141164.64000000001</v>
      </c>
      <c r="GE10" s="14">
        <v>207889.96</v>
      </c>
      <c r="GF10" s="14">
        <v>20207.62</v>
      </c>
      <c r="GG10" s="15">
        <f t="shared" si="48"/>
        <v>18345848.390000004</v>
      </c>
      <c r="GH10" s="14">
        <v>17342171.59000003</v>
      </c>
      <c r="GI10" s="14">
        <v>26700</v>
      </c>
      <c r="GJ10" s="14">
        <v>3796225.73</v>
      </c>
      <c r="GK10" s="14">
        <v>2257321.61</v>
      </c>
      <c r="GL10" s="15">
        <f t="shared" si="49"/>
        <v>23422418.93000003</v>
      </c>
      <c r="GM10" s="15">
        <f t="shared" si="50"/>
        <v>41768267.320000038</v>
      </c>
      <c r="GN10" s="14">
        <v>1596633.68</v>
      </c>
      <c r="GO10" s="14">
        <v>2104.08</v>
      </c>
      <c r="GP10" s="14">
        <v>27149.119999999999</v>
      </c>
      <c r="GQ10" s="14">
        <v>9274.68</v>
      </c>
      <c r="GR10" s="15">
        <f t="shared" si="51"/>
        <v>1635161.56</v>
      </c>
      <c r="GS10" s="14">
        <v>2645066</v>
      </c>
      <c r="GT10" s="14">
        <v>9823</v>
      </c>
      <c r="GU10" s="14">
        <v>7144</v>
      </c>
      <c r="GV10" s="14">
        <v>1786</v>
      </c>
      <c r="GW10" s="15">
        <f t="shared" si="52"/>
        <v>2663819</v>
      </c>
      <c r="GX10" s="15">
        <f t="shared" si="53"/>
        <v>46067247.88000004</v>
      </c>
      <c r="GY10" s="14">
        <v>173948288.69</v>
      </c>
      <c r="GZ10" s="14">
        <v>3213544.59</v>
      </c>
      <c r="HA10" s="15">
        <f t="shared" si="54"/>
        <v>177161833.28</v>
      </c>
      <c r="HB10" s="15">
        <f t="shared" si="55"/>
        <v>0.78239734488562573</v>
      </c>
      <c r="HC10" s="16">
        <f t="shared" si="56"/>
        <v>0.22479605554703294</v>
      </c>
      <c r="HD10" s="15">
        <f t="shared" si="57"/>
        <v>1.0736179619158952</v>
      </c>
      <c r="HE10" s="14">
        <v>27</v>
      </c>
      <c r="HF10" s="14">
        <v>1</v>
      </c>
      <c r="HG10" s="14">
        <v>412</v>
      </c>
      <c r="HH10" s="14">
        <v>27</v>
      </c>
      <c r="HI10" s="14">
        <v>32</v>
      </c>
      <c r="HJ10" s="15">
        <f t="shared" si="58"/>
        <v>33</v>
      </c>
      <c r="HK10" s="16">
        <f t="shared" si="59"/>
        <v>1</v>
      </c>
      <c r="HL10" s="14">
        <v>40</v>
      </c>
      <c r="HM10" s="14">
        <v>7</v>
      </c>
      <c r="HN10" s="17">
        <f t="shared" si="60"/>
        <v>0.17499999999999999</v>
      </c>
    </row>
    <row r="11" spans="1:222" x14ac:dyDescent="0.3">
      <c r="A11" s="6" t="s">
        <v>255</v>
      </c>
      <c r="B11" s="6" t="s">
        <v>256</v>
      </c>
      <c r="C11" s="7" t="s">
        <v>257</v>
      </c>
      <c r="D11" s="7">
        <v>2025</v>
      </c>
      <c r="E11" s="7">
        <v>12</v>
      </c>
      <c r="F11" s="7" t="s">
        <v>269</v>
      </c>
      <c r="G11" s="7" t="s">
        <v>267</v>
      </c>
      <c r="H11" s="8">
        <v>50365</v>
      </c>
      <c r="I11" s="8">
        <v>17458</v>
      </c>
      <c r="J11" s="8">
        <v>660</v>
      </c>
      <c r="K11" s="8">
        <v>80</v>
      </c>
      <c r="L11" s="8">
        <v>9</v>
      </c>
      <c r="M11" s="9">
        <f t="shared" si="0"/>
        <v>18207</v>
      </c>
      <c r="N11" s="8">
        <v>15062.8</v>
      </c>
      <c r="O11" s="8">
        <v>123.3</v>
      </c>
      <c r="P11" s="8">
        <v>830.9</v>
      </c>
      <c r="Q11" s="8">
        <v>451.3</v>
      </c>
      <c r="R11" s="9">
        <f t="shared" si="1"/>
        <v>16468.3</v>
      </c>
      <c r="S11" s="9">
        <f t="shared" si="2"/>
        <v>34675.300000000003</v>
      </c>
      <c r="T11" s="8">
        <v>15689.7</v>
      </c>
      <c r="U11" s="10">
        <f t="shared" si="3"/>
        <v>0.31151990469572127</v>
      </c>
      <c r="V11" s="8">
        <v>110</v>
      </c>
      <c r="W11" s="11">
        <f t="shared" si="4"/>
        <v>2.1840563883649359E-3</v>
      </c>
      <c r="X11" s="8">
        <v>0</v>
      </c>
      <c r="Y11" s="11">
        <f t="shared" si="5"/>
        <v>0</v>
      </c>
      <c r="Z11" s="8">
        <v>0</v>
      </c>
      <c r="AA11" s="11">
        <f t="shared" si="6"/>
        <v>0</v>
      </c>
      <c r="AB11" s="8">
        <v>0</v>
      </c>
      <c r="AC11" s="11">
        <f t="shared" si="7"/>
        <v>0</v>
      </c>
      <c r="AD11" s="8">
        <v>0</v>
      </c>
      <c r="AE11" s="11">
        <f t="shared" si="8"/>
        <v>0</v>
      </c>
      <c r="AF11" s="8">
        <v>0</v>
      </c>
      <c r="AG11" s="11">
        <f t="shared" si="9"/>
        <v>0</v>
      </c>
      <c r="AH11" s="8">
        <v>387781.9</v>
      </c>
      <c r="AI11" s="9">
        <f t="shared" si="10"/>
        <v>7.699432145339026</v>
      </c>
      <c r="AJ11" s="8">
        <v>21444</v>
      </c>
      <c r="AK11" s="11">
        <f t="shared" si="11"/>
        <v>0.42577186538270623</v>
      </c>
      <c r="AL11" s="8">
        <v>3604293.31</v>
      </c>
      <c r="AM11" s="9">
        <f t="shared" si="12"/>
        <v>71.563452993150008</v>
      </c>
      <c r="AN11" s="8">
        <v>5332</v>
      </c>
      <c r="AO11" s="8">
        <v>215</v>
      </c>
      <c r="AP11" s="8">
        <v>752500</v>
      </c>
      <c r="AQ11" s="8">
        <v>0</v>
      </c>
      <c r="AR11" s="8">
        <v>17248877.329999998</v>
      </c>
      <c r="AS11" s="8">
        <v>8030642.96</v>
      </c>
      <c r="AT11" s="8">
        <v>5002000</v>
      </c>
      <c r="AU11" s="9">
        <f t="shared" si="13"/>
        <v>35026095.5</v>
      </c>
      <c r="AV11" s="9">
        <f t="shared" si="14"/>
        <v>695.44516032959393</v>
      </c>
      <c r="AW11" s="9">
        <f t="shared" si="15"/>
        <v>1010.1165815436348</v>
      </c>
      <c r="AX11" s="8">
        <v>15</v>
      </c>
      <c r="AY11" s="9">
        <f t="shared" si="16"/>
        <v>3.573910453688077</v>
      </c>
      <c r="AZ11" s="8">
        <v>47</v>
      </c>
      <c r="BA11" s="8">
        <v>412</v>
      </c>
      <c r="BB11" s="8">
        <v>23</v>
      </c>
      <c r="BC11" s="8">
        <v>31</v>
      </c>
      <c r="BD11" s="8">
        <v>0</v>
      </c>
      <c r="BE11" s="9">
        <f t="shared" si="17"/>
        <v>31</v>
      </c>
      <c r="BF11" s="9">
        <f t="shared" si="18"/>
        <v>404</v>
      </c>
      <c r="BG11" s="8">
        <v>0</v>
      </c>
      <c r="BH11" s="8">
        <v>0</v>
      </c>
      <c r="BI11" s="8">
        <v>0</v>
      </c>
      <c r="BJ11" s="8">
        <v>0</v>
      </c>
      <c r="BK11" s="9">
        <f t="shared" si="19"/>
        <v>0</v>
      </c>
      <c r="BL11" s="9">
        <f t="shared" si="20"/>
        <v>0</v>
      </c>
      <c r="BM11" s="8">
        <v>0</v>
      </c>
      <c r="BN11" s="8">
        <v>0</v>
      </c>
      <c r="BO11" s="8">
        <v>0</v>
      </c>
      <c r="BP11" s="8">
        <v>0</v>
      </c>
      <c r="BQ11" s="9">
        <f t="shared" si="21"/>
        <v>0</v>
      </c>
      <c r="BR11" s="9">
        <f t="shared" si="22"/>
        <v>0</v>
      </c>
      <c r="BS11" s="8">
        <v>0</v>
      </c>
      <c r="BT11" s="8">
        <v>0</v>
      </c>
      <c r="BU11" s="8">
        <v>0</v>
      </c>
      <c r="BV11" s="8">
        <v>0</v>
      </c>
      <c r="BW11" s="9">
        <f t="shared" si="23"/>
        <v>0</v>
      </c>
      <c r="BX11" s="9">
        <f t="shared" si="24"/>
        <v>0</v>
      </c>
      <c r="BY11" s="9">
        <f t="shared" si="25"/>
        <v>412</v>
      </c>
      <c r="BZ11" s="9">
        <f t="shared" si="26"/>
        <v>23</v>
      </c>
      <c r="CA11" s="9">
        <f t="shared" si="27"/>
        <v>31</v>
      </c>
      <c r="CB11" s="9">
        <f t="shared" si="28"/>
        <v>404</v>
      </c>
      <c r="CC11" s="8">
        <v>15</v>
      </c>
      <c r="CD11" s="8">
        <v>2683</v>
      </c>
      <c r="CE11" s="8">
        <v>49</v>
      </c>
      <c r="CF11" s="8">
        <v>96</v>
      </c>
      <c r="CG11" s="8">
        <v>18</v>
      </c>
      <c r="CH11" s="9">
        <f t="shared" si="29"/>
        <v>2846</v>
      </c>
      <c r="CI11" s="8">
        <v>2964</v>
      </c>
      <c r="CJ11" s="8">
        <v>8</v>
      </c>
      <c r="CK11" s="8">
        <v>2</v>
      </c>
      <c r="CL11" s="8">
        <v>11</v>
      </c>
      <c r="CM11" s="9">
        <f t="shared" si="30"/>
        <v>2985</v>
      </c>
      <c r="CN11" s="8">
        <v>2306</v>
      </c>
      <c r="CO11" s="8">
        <v>78</v>
      </c>
      <c r="CP11" s="8">
        <v>73</v>
      </c>
      <c r="CQ11" s="8">
        <v>5</v>
      </c>
      <c r="CR11" s="9">
        <f t="shared" si="31"/>
        <v>2462</v>
      </c>
      <c r="CS11" s="9">
        <f t="shared" si="32"/>
        <v>5447</v>
      </c>
      <c r="CT11" s="8">
        <v>8293</v>
      </c>
      <c r="CU11" s="8">
        <v>46253</v>
      </c>
      <c r="CV11" s="8">
        <v>38017</v>
      </c>
      <c r="CW11" s="10">
        <f t="shared" si="33"/>
        <v>0.82193587442976668</v>
      </c>
      <c r="CX11" s="8"/>
      <c r="CY11" s="8"/>
      <c r="CZ11" s="8"/>
      <c r="DA11" s="8"/>
      <c r="DB11" s="9">
        <f t="shared" si="34"/>
        <v>0</v>
      </c>
      <c r="DC11" s="8">
        <v>0</v>
      </c>
      <c r="DD11" s="8">
        <v>0</v>
      </c>
      <c r="DE11" s="8">
        <v>0</v>
      </c>
      <c r="DF11" s="8">
        <v>0</v>
      </c>
      <c r="DG11" s="9">
        <f t="shared" si="35"/>
        <v>0</v>
      </c>
      <c r="DH11" s="8">
        <v>0</v>
      </c>
      <c r="DI11" s="8">
        <v>0</v>
      </c>
      <c r="DJ11" s="8">
        <v>0</v>
      </c>
      <c r="DK11" s="8">
        <v>0</v>
      </c>
      <c r="DL11" s="9">
        <f t="shared" si="36"/>
        <v>0</v>
      </c>
      <c r="DM11" s="8">
        <v>192</v>
      </c>
      <c r="DN11" s="8">
        <v>10</v>
      </c>
      <c r="DO11" s="8">
        <v>5</v>
      </c>
      <c r="DP11" s="8">
        <v>3</v>
      </c>
      <c r="DQ11" s="9">
        <f t="shared" si="37"/>
        <v>194</v>
      </c>
      <c r="DR11" s="9">
        <f t="shared" si="38"/>
        <v>192</v>
      </c>
      <c r="DS11" s="9">
        <f t="shared" si="39"/>
        <v>10</v>
      </c>
      <c r="DT11" s="9">
        <f t="shared" si="40"/>
        <v>5</v>
      </c>
      <c r="DU11" s="9">
        <f t="shared" si="41"/>
        <v>3</v>
      </c>
      <c r="DV11" s="9">
        <f t="shared" si="42"/>
        <v>194</v>
      </c>
      <c r="DW11" s="8">
        <v>71</v>
      </c>
      <c r="DX11" s="8">
        <v>29</v>
      </c>
      <c r="DY11" s="8">
        <v>5</v>
      </c>
      <c r="DZ11" s="8">
        <v>0</v>
      </c>
      <c r="EA11" s="8">
        <v>3</v>
      </c>
      <c r="EB11" s="8">
        <v>4</v>
      </c>
      <c r="EC11" s="8">
        <v>0</v>
      </c>
      <c r="ED11" s="8">
        <v>0</v>
      </c>
      <c r="EE11" s="8">
        <v>4</v>
      </c>
      <c r="EF11" s="8">
        <v>4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9">
        <f t="shared" si="43"/>
        <v>120</v>
      </c>
      <c r="FH11" s="8">
        <v>0</v>
      </c>
      <c r="FI11" s="8">
        <v>0</v>
      </c>
      <c r="FJ11" s="8">
        <v>644</v>
      </c>
      <c r="FK11" s="8">
        <v>88</v>
      </c>
      <c r="FL11" s="8">
        <v>0</v>
      </c>
      <c r="FM11" s="8">
        <v>0</v>
      </c>
      <c r="FN11" s="8">
        <v>18</v>
      </c>
      <c r="FO11" s="8">
        <v>0</v>
      </c>
      <c r="FP11" s="8">
        <v>180</v>
      </c>
      <c r="FQ11" s="9">
        <f t="shared" si="44"/>
        <v>198</v>
      </c>
      <c r="FR11" s="8">
        <v>30042506.010000002</v>
      </c>
      <c r="FS11" s="8">
        <v>130400</v>
      </c>
      <c r="FT11" s="8">
        <v>65850</v>
      </c>
      <c r="FU11" s="8">
        <v>32000</v>
      </c>
      <c r="FV11" s="9">
        <f t="shared" si="45"/>
        <v>30270756.010000002</v>
      </c>
      <c r="FW11" s="8">
        <v>23832533.76000002</v>
      </c>
      <c r="FX11" s="8">
        <v>26200</v>
      </c>
      <c r="FY11" s="8">
        <v>2181528.09</v>
      </c>
      <c r="FZ11" s="8">
        <v>2906763.79</v>
      </c>
      <c r="GA11" s="9">
        <f t="shared" si="46"/>
        <v>28947025.640000019</v>
      </c>
      <c r="GB11" s="9">
        <f t="shared" si="47"/>
        <v>59217781.650000021</v>
      </c>
      <c r="GC11" s="8">
        <v>17732945.98</v>
      </c>
      <c r="GD11" s="8">
        <v>126244.8</v>
      </c>
      <c r="GE11" s="8">
        <v>228676.05</v>
      </c>
      <c r="GF11" s="8">
        <v>20207.62</v>
      </c>
      <c r="GG11" s="9">
        <f t="shared" si="48"/>
        <v>18108074.450000003</v>
      </c>
      <c r="GH11" s="8">
        <v>18795694.940000009</v>
      </c>
      <c r="GI11" s="8">
        <v>26200</v>
      </c>
      <c r="GJ11" s="8">
        <v>2489367.88</v>
      </c>
      <c r="GK11" s="8">
        <v>2055485.72</v>
      </c>
      <c r="GL11" s="9">
        <f t="shared" si="49"/>
        <v>23366748.540000007</v>
      </c>
      <c r="GM11" s="9">
        <f t="shared" si="50"/>
        <v>41474822.99000001</v>
      </c>
      <c r="GN11" s="8">
        <v>1598112.25</v>
      </c>
      <c r="GO11" s="8">
        <v>2104.08</v>
      </c>
      <c r="GP11" s="8">
        <v>27149.119999999999</v>
      </c>
      <c r="GQ11" s="8">
        <v>9274.68</v>
      </c>
      <c r="GR11" s="9">
        <f t="shared" si="51"/>
        <v>1636640.1300000001</v>
      </c>
      <c r="GS11" s="8">
        <v>2646852</v>
      </c>
      <c r="GT11" s="8">
        <v>9823</v>
      </c>
      <c r="GU11" s="8">
        <v>7144</v>
      </c>
      <c r="GV11" s="8">
        <v>1786</v>
      </c>
      <c r="GW11" s="9">
        <f t="shared" si="52"/>
        <v>2665605</v>
      </c>
      <c r="GX11" s="9">
        <f t="shared" si="53"/>
        <v>45777068.120000012</v>
      </c>
      <c r="GY11" s="8">
        <v>167835184.94999999</v>
      </c>
      <c r="GZ11" s="8">
        <v>3443415.56</v>
      </c>
      <c r="HA11" s="9">
        <f t="shared" si="54"/>
        <v>171278600.50999999</v>
      </c>
      <c r="HB11" s="9">
        <f t="shared" si="55"/>
        <v>0.76514501558253112</v>
      </c>
      <c r="HC11" s="10">
        <f t="shared" si="56"/>
        <v>0.27722090282243578</v>
      </c>
      <c r="HD11" s="9">
        <f t="shared" si="57"/>
        <v>1.2936123714774943</v>
      </c>
      <c r="HE11" s="8">
        <v>23</v>
      </c>
      <c r="HF11" s="8">
        <v>1</v>
      </c>
      <c r="HG11" s="8">
        <v>404</v>
      </c>
      <c r="HH11" s="8">
        <v>23</v>
      </c>
      <c r="HI11" s="8">
        <v>20</v>
      </c>
      <c r="HJ11" s="9">
        <f t="shared" si="58"/>
        <v>21</v>
      </c>
      <c r="HK11" s="10">
        <f t="shared" si="59"/>
        <v>1</v>
      </c>
      <c r="HL11" s="8">
        <v>45</v>
      </c>
      <c r="HM11" s="8">
        <v>7</v>
      </c>
      <c r="HN11" s="11">
        <f t="shared" si="60"/>
        <v>0.15555555555555556</v>
      </c>
    </row>
    <row r="12" spans="1:222" x14ac:dyDescent="0.3">
      <c r="A12" s="12" t="s">
        <v>255</v>
      </c>
      <c r="B12" s="12" t="s">
        <v>256</v>
      </c>
      <c r="C12" s="13" t="s">
        <v>257</v>
      </c>
      <c r="D12" s="13">
        <v>2026</v>
      </c>
      <c r="E12" s="13">
        <v>1</v>
      </c>
      <c r="F12" s="13" t="s">
        <v>270</v>
      </c>
      <c r="G12" s="13" t="s">
        <v>271</v>
      </c>
      <c r="H12" s="14">
        <v>47566</v>
      </c>
      <c r="I12" s="14">
        <v>15995</v>
      </c>
      <c r="J12" s="14">
        <v>666</v>
      </c>
      <c r="K12" s="14">
        <v>103</v>
      </c>
      <c r="L12" s="14">
        <v>10</v>
      </c>
      <c r="M12" s="15">
        <v>16774</v>
      </c>
      <c r="N12" s="14">
        <v>13862.7</v>
      </c>
      <c r="O12" s="14">
        <v>280.89999999999998</v>
      </c>
      <c r="P12" s="14">
        <v>962.7</v>
      </c>
      <c r="Q12" s="14">
        <v>564.9</v>
      </c>
      <c r="R12" s="15">
        <v>15671.2</v>
      </c>
      <c r="S12" s="15">
        <v>32445.200000000001</v>
      </c>
      <c r="T12" s="14">
        <v>15120.8</v>
      </c>
      <c r="U12" s="16">
        <v>0.31789093049657319</v>
      </c>
      <c r="V12" s="14">
        <v>42</v>
      </c>
      <c r="W12" s="17">
        <v>0.88298364377916994</v>
      </c>
      <c r="X12" s="14">
        <v>0</v>
      </c>
      <c r="Y12" s="17">
        <v>0</v>
      </c>
      <c r="Z12" s="14">
        <v>0</v>
      </c>
      <c r="AA12" s="17">
        <v>0</v>
      </c>
      <c r="AB12" s="14">
        <v>0</v>
      </c>
      <c r="AC12" s="17">
        <v>0</v>
      </c>
      <c r="AD12" s="14">
        <v>0</v>
      </c>
      <c r="AE12" s="17">
        <v>0</v>
      </c>
      <c r="AF12" s="14">
        <v>0</v>
      </c>
      <c r="AG12" s="17">
        <v>0</v>
      </c>
      <c r="AH12" s="14">
        <v>148062.18</v>
      </c>
      <c r="AI12" s="15">
        <v>3.1127734095782702</v>
      </c>
      <c r="AJ12" s="14">
        <v>22345</v>
      </c>
      <c r="AK12" s="17">
        <v>0.46976832191060841</v>
      </c>
      <c r="AL12" s="14">
        <v>3754920.2374999998</v>
      </c>
      <c r="AM12" s="15">
        <v>78.941265557330865</v>
      </c>
      <c r="AN12" s="14">
        <v>6789</v>
      </c>
      <c r="AO12" s="14">
        <v>115</v>
      </c>
      <c r="AP12" s="14">
        <v>575000</v>
      </c>
      <c r="AQ12" s="14">
        <v>0</v>
      </c>
      <c r="AR12" s="14">
        <v>17248877.329999998</v>
      </c>
      <c r="AS12" s="14">
        <v>7732934.4800000004</v>
      </c>
      <c r="AT12" s="14">
        <v>1654402.5</v>
      </c>
      <c r="AU12" s="15">
        <v>31114196.727499999</v>
      </c>
      <c r="AV12" s="15">
        <v>654.12682856452091</v>
      </c>
      <c r="AW12" s="15">
        <v>958.97688186542223</v>
      </c>
      <c r="AX12" s="14">
        <v>14</v>
      </c>
      <c r="AY12" s="15">
        <v>9.1241643190514239</v>
      </c>
      <c r="AZ12" s="14">
        <v>50</v>
      </c>
      <c r="BA12" s="14">
        <v>404</v>
      </c>
      <c r="BB12" s="14">
        <v>27</v>
      </c>
      <c r="BC12" s="14">
        <v>23</v>
      </c>
      <c r="BD12" s="14">
        <v>0</v>
      </c>
      <c r="BE12" s="15">
        <v>23</v>
      </c>
      <c r="BF12" s="15">
        <v>408</v>
      </c>
      <c r="BG12" s="14">
        <v>0</v>
      </c>
      <c r="BH12" s="14">
        <v>0</v>
      </c>
      <c r="BI12" s="14">
        <v>0</v>
      </c>
      <c r="BJ12" s="14">
        <v>0</v>
      </c>
      <c r="BK12" s="15">
        <v>0</v>
      </c>
      <c r="BL12" s="15">
        <v>0</v>
      </c>
      <c r="BM12" s="14">
        <v>0</v>
      </c>
      <c r="BN12" s="14">
        <v>0</v>
      </c>
      <c r="BO12" s="14">
        <v>0</v>
      </c>
      <c r="BP12" s="14">
        <v>0</v>
      </c>
      <c r="BQ12" s="15">
        <v>0</v>
      </c>
      <c r="BR12" s="15">
        <v>0</v>
      </c>
      <c r="BS12" s="14">
        <v>0</v>
      </c>
      <c r="BT12" s="14">
        <v>0</v>
      </c>
      <c r="BU12" s="14">
        <v>0</v>
      </c>
      <c r="BV12" s="14">
        <v>0</v>
      </c>
      <c r="BW12" s="15">
        <v>0</v>
      </c>
      <c r="BX12" s="15">
        <v>0</v>
      </c>
      <c r="BY12" s="15">
        <v>404</v>
      </c>
      <c r="BZ12" s="15">
        <v>27</v>
      </c>
      <c r="CA12" s="15">
        <v>23</v>
      </c>
      <c r="CB12" s="15">
        <v>408</v>
      </c>
      <c r="CC12" s="14">
        <v>23</v>
      </c>
      <c r="CD12" s="14">
        <v>2740</v>
      </c>
      <c r="CE12" s="14">
        <v>51</v>
      </c>
      <c r="CF12" s="14">
        <v>95</v>
      </c>
      <c r="CG12" s="14">
        <v>18</v>
      </c>
      <c r="CH12" s="15">
        <v>2904</v>
      </c>
      <c r="CI12" s="14">
        <v>2903</v>
      </c>
      <c r="CJ12" s="14">
        <v>6</v>
      </c>
      <c r="CK12" s="14">
        <v>3</v>
      </c>
      <c r="CL12" s="14">
        <v>10</v>
      </c>
      <c r="CM12" s="15">
        <v>2922</v>
      </c>
      <c r="CN12" s="14">
        <v>2333</v>
      </c>
      <c r="CO12" s="14">
        <v>78</v>
      </c>
      <c r="CP12" s="14">
        <v>74</v>
      </c>
      <c r="CQ12" s="14">
        <v>5</v>
      </c>
      <c r="CR12" s="15">
        <v>2490</v>
      </c>
      <c r="CS12" s="15">
        <v>5412</v>
      </c>
      <c r="CT12" s="14">
        <v>8316</v>
      </c>
      <c r="CU12" s="14">
        <v>46484</v>
      </c>
      <c r="CV12" s="14">
        <v>38207</v>
      </c>
      <c r="CW12" s="16">
        <v>0.82193873160657427</v>
      </c>
      <c r="CX12" s="14">
        <v>0</v>
      </c>
      <c r="CY12" s="14">
        <v>0</v>
      </c>
      <c r="CZ12" s="14">
        <v>0</v>
      </c>
      <c r="DA12" s="14">
        <v>0</v>
      </c>
      <c r="DB12" s="15">
        <v>0</v>
      </c>
      <c r="DC12" s="14">
        <v>0</v>
      </c>
      <c r="DD12" s="14">
        <v>0</v>
      </c>
      <c r="DE12" s="14">
        <v>0</v>
      </c>
      <c r="DF12" s="14">
        <v>0</v>
      </c>
      <c r="DG12" s="15">
        <v>0</v>
      </c>
      <c r="DH12" s="14">
        <v>0</v>
      </c>
      <c r="DI12" s="14">
        <v>0</v>
      </c>
      <c r="DJ12" s="14">
        <v>0</v>
      </c>
      <c r="DK12" s="14">
        <v>0</v>
      </c>
      <c r="DL12" s="15">
        <v>0</v>
      </c>
      <c r="DM12" s="14">
        <v>194</v>
      </c>
      <c r="DN12" s="14">
        <v>25</v>
      </c>
      <c r="DO12" s="14">
        <v>5</v>
      </c>
      <c r="DP12" s="14">
        <v>3</v>
      </c>
      <c r="DQ12" s="15">
        <v>211</v>
      </c>
      <c r="DR12" s="15">
        <v>194</v>
      </c>
      <c r="DS12" s="15">
        <v>25</v>
      </c>
      <c r="DT12" s="15">
        <v>5</v>
      </c>
      <c r="DU12" s="15">
        <v>3</v>
      </c>
      <c r="DV12" s="15">
        <v>211</v>
      </c>
      <c r="DW12" s="14">
        <v>115</v>
      </c>
      <c r="DX12" s="14">
        <v>67</v>
      </c>
      <c r="DY12" s="14">
        <v>23</v>
      </c>
      <c r="DZ12" s="14">
        <v>6</v>
      </c>
      <c r="EA12" s="14">
        <v>14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5">
        <v>225</v>
      </c>
      <c r="FH12" s="14">
        <v>0</v>
      </c>
      <c r="FI12" s="14">
        <v>0</v>
      </c>
      <c r="FJ12" s="14">
        <v>468</v>
      </c>
      <c r="FK12" s="14">
        <v>54</v>
      </c>
      <c r="FL12" s="14">
        <v>0</v>
      </c>
      <c r="FM12" s="14">
        <v>372</v>
      </c>
      <c r="FN12" s="14">
        <v>0</v>
      </c>
      <c r="FO12" s="14">
        <v>66</v>
      </c>
      <c r="FP12" s="14">
        <v>0</v>
      </c>
      <c r="FQ12" s="15">
        <v>438</v>
      </c>
      <c r="FR12" s="14">
        <v>24140238.98</v>
      </c>
      <c r="FS12" s="14">
        <v>184000</v>
      </c>
      <c r="FT12" s="14">
        <v>14000</v>
      </c>
      <c r="FU12" s="14">
        <v>77000</v>
      </c>
      <c r="FV12" s="15">
        <v>24415238.98</v>
      </c>
      <c r="FW12" s="14">
        <v>20269195.030000001</v>
      </c>
      <c r="FX12" s="14">
        <v>81700</v>
      </c>
      <c r="FY12" s="14">
        <v>2720500</v>
      </c>
      <c r="FZ12" s="14">
        <v>3334136.33</v>
      </c>
      <c r="GA12" s="15">
        <v>26405531.359999999</v>
      </c>
      <c r="GB12" s="15">
        <v>50820770.340000004</v>
      </c>
      <c r="GC12" s="14">
        <v>16119351.050000001</v>
      </c>
      <c r="GD12" s="14">
        <v>127392.48</v>
      </c>
      <c r="GE12" s="14">
        <v>324859.8</v>
      </c>
      <c r="GF12" s="14">
        <v>32004.25</v>
      </c>
      <c r="GG12" s="15">
        <v>16603607.58</v>
      </c>
      <c r="GH12" s="14">
        <v>17307497.230000012</v>
      </c>
      <c r="GI12" s="14">
        <v>59680</v>
      </c>
      <c r="GJ12" s="14">
        <v>2925000.31</v>
      </c>
      <c r="GK12" s="14">
        <v>2671960</v>
      </c>
      <c r="GL12" s="15">
        <v>22964137.54000001</v>
      </c>
      <c r="GM12" s="15">
        <v>39567745.119999997</v>
      </c>
      <c r="GN12" s="14">
        <v>1566227.62</v>
      </c>
      <c r="GO12" s="14">
        <v>1912.8</v>
      </c>
      <c r="GP12" s="14">
        <v>20361.84</v>
      </c>
      <c r="GQ12" s="14">
        <v>13912.02</v>
      </c>
      <c r="GR12" s="15">
        <v>1602414.28</v>
      </c>
      <c r="GS12" s="14">
        <v>2592379</v>
      </c>
      <c r="GT12" s="14">
        <v>8930</v>
      </c>
      <c r="GU12" s="14">
        <v>5358</v>
      </c>
      <c r="GV12" s="14">
        <v>2679</v>
      </c>
      <c r="GW12" s="15">
        <v>2609346</v>
      </c>
      <c r="GX12" s="15">
        <v>43779505.400000013</v>
      </c>
      <c r="GY12" s="14">
        <v>121756651.55</v>
      </c>
      <c r="GZ12" s="14">
        <v>1757068.59</v>
      </c>
      <c r="HA12" s="15">
        <v>123513720.14</v>
      </c>
      <c r="HB12" s="15">
        <v>43779505.400000013</v>
      </c>
      <c r="HC12" s="16">
        <v>121756651.55</v>
      </c>
      <c r="HD12" s="15">
        <v>1757068.59</v>
      </c>
      <c r="HE12" s="14">
        <v>27</v>
      </c>
      <c r="HF12" s="14">
        <v>1</v>
      </c>
      <c r="HG12" s="14">
        <v>408</v>
      </c>
      <c r="HH12" s="14">
        <v>27</v>
      </c>
      <c r="HI12" s="14">
        <v>20</v>
      </c>
      <c r="HJ12" s="15">
        <v>0.7407407407407407</v>
      </c>
      <c r="HK12" s="16">
        <v>5.6372549019607847</v>
      </c>
      <c r="HL12" s="14">
        <v>20</v>
      </c>
      <c r="HM12" s="14">
        <v>15</v>
      </c>
      <c r="HN12" s="17">
        <v>1.333333333333333</v>
      </c>
    </row>
    <row r="13" spans="1:222" x14ac:dyDescent="0.3">
      <c r="A13" s="6" t="s">
        <v>255</v>
      </c>
      <c r="B13" s="6" t="s">
        <v>256</v>
      </c>
      <c r="C13" s="7" t="s">
        <v>257</v>
      </c>
      <c r="D13" s="7">
        <v>2026</v>
      </c>
      <c r="E13" s="7">
        <v>2</v>
      </c>
      <c r="F13" s="7" t="s">
        <v>272</v>
      </c>
      <c r="G13" s="7" t="s">
        <v>271</v>
      </c>
      <c r="H13" s="8">
        <v>48213</v>
      </c>
      <c r="I13" s="8">
        <v>19774</v>
      </c>
      <c r="J13" s="8">
        <v>366</v>
      </c>
      <c r="K13" s="8">
        <v>56</v>
      </c>
      <c r="L13" s="8">
        <v>10</v>
      </c>
      <c r="M13" s="9">
        <f t="shared" ref="M13:M23" si="61">SUM(I13,J13,K13,L13)</f>
        <v>20206</v>
      </c>
      <c r="N13" s="8">
        <v>11339.5</v>
      </c>
      <c r="O13" s="8">
        <v>128.9</v>
      </c>
      <c r="P13" s="8">
        <v>639.20000000000005</v>
      </c>
      <c r="Q13" s="8">
        <v>1003.5</v>
      </c>
      <c r="R13" s="9">
        <f t="shared" ref="R13:R23" si="62">SUM(N13,O13,P13,Q13)</f>
        <v>13111.1</v>
      </c>
      <c r="S13" s="9">
        <f t="shared" ref="S13:S23" si="63">M13+R13</f>
        <v>33317.1</v>
      </c>
      <c r="T13" s="8">
        <v>14895.9</v>
      </c>
      <c r="U13" s="10">
        <f t="shared" ref="U13:U23" si="64">IF(H13=0,"",T13/H13)</f>
        <v>0.30896023893970503</v>
      </c>
      <c r="V13" s="8">
        <v>112</v>
      </c>
      <c r="W13" s="11">
        <f t="shared" ref="W13:W23" si="65">IF(H13=0,"",V13/H13)</f>
        <v>2.323024910293904E-3</v>
      </c>
      <c r="X13" s="8">
        <v>0</v>
      </c>
      <c r="Y13" s="11">
        <f t="shared" ref="Y13:Y23" si="66">IF(H13=0,"",X13/H13)</f>
        <v>0</v>
      </c>
      <c r="Z13" s="8">
        <v>0</v>
      </c>
      <c r="AA13" s="11">
        <f t="shared" ref="AA13:AA23" si="67">IF(H13=0,"",Z13/H13)</f>
        <v>0</v>
      </c>
      <c r="AB13" s="8">
        <v>0</v>
      </c>
      <c r="AC13" s="11">
        <f t="shared" ref="AC13:AC23" si="68">IF(H13=0,"",AB13/H13)</f>
        <v>0</v>
      </c>
      <c r="AD13" s="8">
        <v>0</v>
      </c>
      <c r="AE13" s="11">
        <f t="shared" ref="AE13:AE23" si="69">IF(H13=0,"",AD13/H13)</f>
        <v>0</v>
      </c>
      <c r="AF13" s="8">
        <v>0</v>
      </c>
      <c r="AG13" s="11">
        <f t="shared" ref="AG13:AG23" si="70">IF(H13=0,"",AF13/H13)</f>
        <v>0</v>
      </c>
      <c r="AH13" s="8">
        <v>394832.48</v>
      </c>
      <c r="AI13" s="9">
        <f t="shared" ref="AI13:AI23" si="71">IF(H13=0,"",AH13/H13)</f>
        <v>8.1893364860099975</v>
      </c>
      <c r="AJ13" s="8">
        <v>12203</v>
      </c>
      <c r="AK13" s="11">
        <f t="shared" ref="AK13:AK23" si="72">IF(H13=0,"",AJ13/H13)</f>
        <v>0.25310600875282602</v>
      </c>
      <c r="AL13" s="8">
        <v>2059406.0325</v>
      </c>
      <c r="AM13" s="9">
        <f t="shared" ref="AM13:AM23" si="73">IF(H13=0,"",AL13/H13)</f>
        <v>42.714745659884265</v>
      </c>
      <c r="AN13" s="8">
        <v>6342</v>
      </c>
      <c r="AO13" s="8">
        <v>112</v>
      </c>
      <c r="AP13" s="8">
        <v>560000</v>
      </c>
      <c r="AQ13" s="8">
        <v>0</v>
      </c>
      <c r="AR13" s="8">
        <v>18768051.489999998</v>
      </c>
      <c r="AS13" s="8">
        <v>0</v>
      </c>
      <c r="AT13" s="8">
        <v>5351000</v>
      </c>
      <c r="AU13" s="9">
        <f t="shared" ref="AU13:AU23" si="74">AH13+AL13+AP13+AQ13+AR13+AS13+AT13</f>
        <v>27133290.002499998</v>
      </c>
      <c r="AV13" s="9">
        <f t="shared" ref="AV13:AV23" si="75">IF(H13=0,"",AU13/H13)</f>
        <v>562.77954083960753</v>
      </c>
      <c r="AW13" s="9">
        <f t="shared" ref="AW13:AW23" si="76">IF(S13=0,"",AU13/S13)</f>
        <v>814.39531059125795</v>
      </c>
      <c r="AX13" s="8">
        <v>14</v>
      </c>
      <c r="AY13" s="9">
        <f t="shared" ref="AY13:AY23" si="77">IF(H13=0,"",AX13/(H13/1000/12))</f>
        <v>3.4845373654408558</v>
      </c>
      <c r="AZ13" s="8">
        <v>50</v>
      </c>
      <c r="BA13" s="8">
        <v>408</v>
      </c>
      <c r="BB13" s="8">
        <v>35</v>
      </c>
      <c r="BC13" s="8">
        <v>30</v>
      </c>
      <c r="BD13" s="8">
        <v>0</v>
      </c>
      <c r="BE13" s="9">
        <f t="shared" ref="BE13:BE23" si="78">BC13+BD13</f>
        <v>30</v>
      </c>
      <c r="BF13" s="9">
        <f t="shared" ref="BF13:BF23" si="79">BA13+BB13-BE13</f>
        <v>413</v>
      </c>
      <c r="BG13" s="8">
        <v>0</v>
      </c>
      <c r="BH13" s="8">
        <v>0</v>
      </c>
      <c r="BI13" s="8">
        <v>0</v>
      </c>
      <c r="BJ13" s="8">
        <v>0</v>
      </c>
      <c r="BK13" s="9">
        <f t="shared" ref="BK13:BK23" si="80">BI13+BJ13</f>
        <v>0</v>
      </c>
      <c r="BL13" s="9">
        <f t="shared" ref="BL13:BL23" si="81">BG13+BH13-BK13</f>
        <v>0</v>
      </c>
      <c r="BM13" s="8">
        <v>0</v>
      </c>
      <c r="BN13" s="8">
        <v>0</v>
      </c>
      <c r="BO13" s="8">
        <v>0</v>
      </c>
      <c r="BP13" s="8">
        <v>0</v>
      </c>
      <c r="BQ13" s="9">
        <f t="shared" ref="BQ13:BQ23" si="82">BO13+BP13</f>
        <v>0</v>
      </c>
      <c r="BR13" s="9">
        <f t="shared" ref="BR13:BR23" si="83">BM13+BN13-BQ13</f>
        <v>0</v>
      </c>
      <c r="BS13" s="8">
        <v>0</v>
      </c>
      <c r="BT13" s="8">
        <v>0</v>
      </c>
      <c r="BU13" s="8">
        <v>0</v>
      </c>
      <c r="BV13" s="8">
        <v>0</v>
      </c>
      <c r="BW13" s="9">
        <f t="shared" ref="BW13:BW23" si="84">BU13+BV13</f>
        <v>0</v>
      </c>
      <c r="BX13" s="9">
        <f t="shared" ref="BX13:BX23" si="85">BS13+BT13-BW13</f>
        <v>0</v>
      </c>
      <c r="BY13" s="9">
        <f t="shared" ref="BY13:BY23" si="86">BA13+BG13+BM13+BS13</f>
        <v>408</v>
      </c>
      <c r="BZ13" s="9">
        <f t="shared" ref="BZ13:BZ23" si="87">BB13+BH13+BN13+BT13</f>
        <v>35</v>
      </c>
      <c r="CA13" s="9">
        <f t="shared" ref="CA13:CA23" si="88">BE13+BK13+BQ13+BW13</f>
        <v>30</v>
      </c>
      <c r="CB13" s="9">
        <f t="shared" ref="CB13:CB23" si="89">BF13+BL13+BR13+BX13</f>
        <v>413</v>
      </c>
      <c r="CC13" s="8">
        <v>33</v>
      </c>
      <c r="CD13" s="8">
        <v>2696</v>
      </c>
      <c r="CE13" s="8">
        <v>51</v>
      </c>
      <c r="CF13" s="8">
        <v>95</v>
      </c>
      <c r="CG13" s="8">
        <v>18</v>
      </c>
      <c r="CH13" s="9">
        <f t="shared" ref="CH13:CH23" si="90">CD13+CE13+CF13+CG13</f>
        <v>2860</v>
      </c>
      <c r="CI13" s="8">
        <v>2948</v>
      </c>
      <c r="CJ13" s="8">
        <v>6</v>
      </c>
      <c r="CK13" s="8">
        <v>3</v>
      </c>
      <c r="CL13" s="8">
        <v>10</v>
      </c>
      <c r="CM13" s="9">
        <f t="shared" ref="CM13:CM23" si="91">CI13+CJ13+CK13+CL13</f>
        <v>2967</v>
      </c>
      <c r="CN13" s="8">
        <v>2362</v>
      </c>
      <c r="CO13" s="8">
        <v>78</v>
      </c>
      <c r="CP13" s="8">
        <v>74</v>
      </c>
      <c r="CQ13" s="8">
        <v>5</v>
      </c>
      <c r="CR13" s="9">
        <f t="shared" ref="CR13:CR23" si="92">CN13+CO13+CP13+CQ13</f>
        <v>2519</v>
      </c>
      <c r="CS13" s="9">
        <f t="shared" ref="CS13:CS23" si="93">CM13+CR13</f>
        <v>5486</v>
      </c>
      <c r="CT13" s="8">
        <v>8346</v>
      </c>
      <c r="CU13" s="8">
        <v>46948</v>
      </c>
      <c r="CV13" s="8">
        <v>38589</v>
      </c>
      <c r="CW13" s="10">
        <f t="shared" ref="CW13:CW23" si="94">IF(CU13=0,"",CV13/CU13)</f>
        <v>0.821951946834796</v>
      </c>
      <c r="CX13" s="8"/>
      <c r="CY13" s="8"/>
      <c r="CZ13" s="8"/>
      <c r="DA13" s="8"/>
      <c r="DB13" s="9">
        <f t="shared" ref="DB13:DB23" si="95">CX13+CY13-CZ13-DA13</f>
        <v>0</v>
      </c>
      <c r="DC13" s="8">
        <v>0</v>
      </c>
      <c r="DD13" s="8">
        <v>0</v>
      </c>
      <c r="DE13" s="8">
        <v>0</v>
      </c>
      <c r="DF13" s="8">
        <v>0</v>
      </c>
      <c r="DG13" s="9">
        <f t="shared" ref="DG13:DG23" si="96">DC13+DD13-DE13-DF13</f>
        <v>0</v>
      </c>
      <c r="DH13" s="8">
        <v>0</v>
      </c>
      <c r="DI13" s="8">
        <v>0</v>
      </c>
      <c r="DJ13" s="8">
        <v>0</v>
      </c>
      <c r="DK13" s="8">
        <v>0</v>
      </c>
      <c r="DL13" s="9">
        <f t="shared" ref="DL13:DL23" si="97">DH13+DI13-DJ13-DK13</f>
        <v>0</v>
      </c>
      <c r="DM13" s="8">
        <v>211</v>
      </c>
      <c r="DN13" s="8">
        <v>60</v>
      </c>
      <c r="DO13" s="8">
        <v>0</v>
      </c>
      <c r="DP13" s="8">
        <v>0</v>
      </c>
      <c r="DQ13" s="9">
        <f t="shared" ref="DQ13:DQ23" si="98">DM13+DN13-DO13-DP13</f>
        <v>271</v>
      </c>
      <c r="DR13" s="9">
        <f t="shared" ref="DR13:DR23" si="99">CX13+DC13+DH13+DM13</f>
        <v>211</v>
      </c>
      <c r="DS13" s="9">
        <f t="shared" ref="DS13:DS23" si="100">CY13+DD13+DI13+DN13</f>
        <v>60</v>
      </c>
      <c r="DT13" s="9">
        <f t="shared" ref="DT13:DT23" si="101">CZ13+DE13+DJ13+DO13</f>
        <v>0</v>
      </c>
      <c r="DU13" s="9">
        <f t="shared" ref="DU13:DU23" si="102">DA13+DF13+DK13+DP13</f>
        <v>0</v>
      </c>
      <c r="DV13" s="9">
        <f t="shared" ref="DV13:DV23" si="103">DB13+DG13+DL13+DQ13</f>
        <v>271</v>
      </c>
      <c r="DW13" s="8">
        <v>76</v>
      </c>
      <c r="DX13" s="8">
        <v>50</v>
      </c>
      <c r="DY13" s="8">
        <v>24</v>
      </c>
      <c r="DZ13" s="8">
        <v>2</v>
      </c>
      <c r="EA13" s="8">
        <v>3</v>
      </c>
      <c r="EB13" s="8">
        <v>4</v>
      </c>
      <c r="EC13" s="8">
        <v>0</v>
      </c>
      <c r="ED13" s="8">
        <v>0</v>
      </c>
      <c r="EE13" s="8">
        <v>2</v>
      </c>
      <c r="EF13" s="8">
        <v>0</v>
      </c>
      <c r="EG13" s="8">
        <v>2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9">
        <f t="shared" ref="FG13:FG23" si="104">SUM(DW13,DX13,DY13,DZ13,EA13,EB13,EC13,ED13,EE13,EF13,EG13,EH13,EI13,EJ13,EK13,EL13,EM13,EN13,EO13,EP13,EQ13,ER13,ES13,ET13,EU13,EV13,EW13,EX13,EY13,EZ13,FA13,FB13,FC13,FD13,FE13,FF13)</f>
        <v>163</v>
      </c>
      <c r="FH13" s="8">
        <v>0</v>
      </c>
      <c r="FI13" s="8">
        <v>0</v>
      </c>
      <c r="FJ13" s="8">
        <v>540</v>
      </c>
      <c r="FK13" s="8">
        <v>62</v>
      </c>
      <c r="FL13" s="8">
        <v>0</v>
      </c>
      <c r="FM13" s="8">
        <v>356</v>
      </c>
      <c r="FN13" s="8">
        <v>0</v>
      </c>
      <c r="FO13" s="8">
        <v>24</v>
      </c>
      <c r="FP13" s="8">
        <v>0</v>
      </c>
      <c r="FQ13" s="9">
        <f t="shared" ref="FQ13:FQ23" si="105">FL13+FM13+FN13+FO13+FP13</f>
        <v>380</v>
      </c>
      <c r="FR13" s="8">
        <v>15822772.59</v>
      </c>
      <c r="FS13" s="8">
        <v>104000</v>
      </c>
      <c r="FT13" s="8">
        <v>34700</v>
      </c>
      <c r="FU13" s="8">
        <v>364867.22</v>
      </c>
      <c r="FV13" s="9">
        <f t="shared" ref="FV13:FV23" si="106">FR13+FS13+FT13+FU13</f>
        <v>16326339.810000001</v>
      </c>
      <c r="FW13" s="8">
        <v>15836709.49</v>
      </c>
      <c r="FX13" s="8">
        <v>42260</v>
      </c>
      <c r="FY13" s="8">
        <v>4763717.47</v>
      </c>
      <c r="FZ13" s="8">
        <v>1951714.6</v>
      </c>
      <c r="GA13" s="9">
        <f t="shared" ref="GA13:GA23" si="107">FW13+FX13+FY13+FZ13</f>
        <v>22594401.560000002</v>
      </c>
      <c r="GB13" s="9">
        <f t="shared" ref="GB13:GB23" si="108">FV13+GA13</f>
        <v>38920741.370000005</v>
      </c>
      <c r="GC13" s="8">
        <v>20211627.75</v>
      </c>
      <c r="GD13" s="8">
        <v>70008.479999999996</v>
      </c>
      <c r="GE13" s="8">
        <v>137731.6</v>
      </c>
      <c r="GF13" s="8">
        <v>25232.97</v>
      </c>
      <c r="GG13" s="9">
        <f t="shared" ref="GG13:GG23" si="109">GC13+GD13+GE13+GF13</f>
        <v>20444600.800000001</v>
      </c>
      <c r="GH13" s="8">
        <v>14156304.250000009</v>
      </c>
      <c r="GI13" s="8">
        <v>27380</v>
      </c>
      <c r="GJ13" s="8">
        <v>1942714.6</v>
      </c>
      <c r="GK13" s="8">
        <v>4743083.41</v>
      </c>
      <c r="GL13" s="9">
        <f t="shared" ref="GL13:GL23" si="110">GH13+GI13+GJ13+GK13</f>
        <v>20869482.260000009</v>
      </c>
      <c r="GM13" s="9">
        <f t="shared" ref="GM13:GM23" si="111">GG13+GL13</f>
        <v>41314083.06000001</v>
      </c>
      <c r="GN13" s="8">
        <v>1586020.47</v>
      </c>
      <c r="GO13" s="8">
        <v>1912.8</v>
      </c>
      <c r="GP13" s="8">
        <v>20361.84</v>
      </c>
      <c r="GQ13" s="8">
        <v>13912.02</v>
      </c>
      <c r="GR13" s="9">
        <f t="shared" ref="GR13:GR23" si="112">GN13+GO13+GP13+GQ13</f>
        <v>1622207.1300000001</v>
      </c>
      <c r="GS13" s="8">
        <v>2632564</v>
      </c>
      <c r="GT13" s="8">
        <v>8930</v>
      </c>
      <c r="GU13" s="8">
        <v>5358</v>
      </c>
      <c r="GV13" s="8">
        <v>2679</v>
      </c>
      <c r="GW13" s="9">
        <f t="shared" ref="GW13:GW23" si="113">GS13+GT13+GU13+GV13</f>
        <v>2649531</v>
      </c>
      <c r="GX13" s="9">
        <f t="shared" ref="GX13:GX23" si="114">GM13+GR13+GW13</f>
        <v>45585821.190000013</v>
      </c>
      <c r="GY13" s="8">
        <v>131300996.03</v>
      </c>
      <c r="GZ13" s="8">
        <v>1920766.6</v>
      </c>
      <c r="HA13" s="9">
        <f t="shared" ref="HA13:HA23" si="115">GY13+GZ13</f>
        <v>133221762.63</v>
      </c>
      <c r="HB13" s="9">
        <f t="shared" ref="HB13:HB23" si="116">IF(GX13=0,"",AU13/GX13)</f>
        <v>0.59521336446719808</v>
      </c>
      <c r="HC13" s="10">
        <f t="shared" ref="HC13:HC23" si="117">IF((GX13+GY13)=0,"",GB13/(GX13+GY13))</f>
        <v>0.22003189373684631</v>
      </c>
      <c r="HD13" s="9">
        <f t="shared" ref="HD13:HD23" si="118">IF(GX13=0,"",GB13/GX13)</f>
        <v>0.85379050665293044</v>
      </c>
      <c r="HE13" s="8">
        <v>33</v>
      </c>
      <c r="HF13" s="8">
        <v>1</v>
      </c>
      <c r="HG13" s="8">
        <v>413</v>
      </c>
      <c r="HH13" s="8">
        <v>35</v>
      </c>
      <c r="HI13" s="8">
        <v>20</v>
      </c>
      <c r="HJ13" s="9">
        <f t="shared" ref="HJ13:HJ23" si="119">HF13+HI13</f>
        <v>21</v>
      </c>
      <c r="HK13" s="10">
        <f t="shared" ref="HK13:HK23" si="120">IF(HE13=0,"",HH13/HE13)</f>
        <v>1.0606060606060606</v>
      </c>
      <c r="HL13" s="8">
        <v>16</v>
      </c>
      <c r="HM13" s="8">
        <v>15</v>
      </c>
      <c r="HN13" s="11">
        <f t="shared" ref="HN13:HN23" si="121">IF(HL13=0,"",HM13/HL13)</f>
        <v>0.9375</v>
      </c>
    </row>
    <row r="14" spans="1:222" x14ac:dyDescent="0.3">
      <c r="A14" s="12" t="s">
        <v>255</v>
      </c>
      <c r="B14" s="12" t="s">
        <v>256</v>
      </c>
      <c r="C14" s="13" t="s">
        <v>257</v>
      </c>
      <c r="D14" s="13">
        <v>2026</v>
      </c>
      <c r="E14" s="13">
        <v>3</v>
      </c>
      <c r="F14" s="13" t="s">
        <v>273</v>
      </c>
      <c r="G14" s="13" t="s">
        <v>271</v>
      </c>
      <c r="H14" s="14">
        <v>48339</v>
      </c>
      <c r="I14" s="14">
        <v>17560</v>
      </c>
      <c r="J14" s="14">
        <v>489</v>
      </c>
      <c r="K14" s="14">
        <v>66</v>
      </c>
      <c r="L14" s="14">
        <v>4</v>
      </c>
      <c r="M14" s="15">
        <f t="shared" si="61"/>
        <v>18119</v>
      </c>
      <c r="N14" s="14">
        <v>14183.8</v>
      </c>
      <c r="O14" s="14">
        <v>214</v>
      </c>
      <c r="P14" s="14">
        <v>943.3</v>
      </c>
      <c r="Q14" s="14">
        <v>318</v>
      </c>
      <c r="R14" s="15">
        <f t="shared" si="62"/>
        <v>15659.099999999999</v>
      </c>
      <c r="S14" s="15">
        <f t="shared" si="63"/>
        <v>33778.1</v>
      </c>
      <c r="T14" s="14">
        <v>14560.9</v>
      </c>
      <c r="U14" s="16">
        <f t="shared" si="64"/>
        <v>0.30122468400256519</v>
      </c>
      <c r="V14" s="14">
        <v>46</v>
      </c>
      <c r="W14" s="17">
        <f t="shared" si="65"/>
        <v>9.5161256956081009E-4</v>
      </c>
      <c r="X14" s="14">
        <v>0</v>
      </c>
      <c r="Y14" s="17">
        <f t="shared" si="66"/>
        <v>0</v>
      </c>
      <c r="Z14" s="14">
        <v>0</v>
      </c>
      <c r="AA14" s="17">
        <f t="shared" si="67"/>
        <v>0</v>
      </c>
      <c r="AB14" s="14">
        <v>0</v>
      </c>
      <c r="AC14" s="17">
        <f t="shared" si="68"/>
        <v>0</v>
      </c>
      <c r="AD14" s="14">
        <v>0</v>
      </c>
      <c r="AE14" s="17">
        <f t="shared" si="69"/>
        <v>0</v>
      </c>
      <c r="AF14" s="14">
        <v>0</v>
      </c>
      <c r="AG14" s="17">
        <f t="shared" si="70"/>
        <v>0</v>
      </c>
      <c r="AH14" s="14">
        <v>162163.34</v>
      </c>
      <c r="AI14" s="15">
        <f t="shared" si="71"/>
        <v>3.3547102753470281</v>
      </c>
      <c r="AJ14" s="14">
        <v>27325</v>
      </c>
      <c r="AK14" s="17">
        <f t="shared" si="72"/>
        <v>0.56527855354889422</v>
      </c>
      <c r="AL14" s="14">
        <v>19339</v>
      </c>
      <c r="AM14" s="15">
        <f t="shared" si="73"/>
        <v>0.40007033658122843</v>
      </c>
      <c r="AN14" s="14">
        <v>6542</v>
      </c>
      <c r="AO14" s="14">
        <v>200</v>
      </c>
      <c r="AP14" s="14">
        <v>1000000</v>
      </c>
      <c r="AQ14" s="14">
        <v>0</v>
      </c>
      <c r="AR14" s="14">
        <v>17872104.030000001</v>
      </c>
      <c r="AS14" s="14">
        <v>6951595.7599999998</v>
      </c>
      <c r="AT14" s="14">
        <v>175400</v>
      </c>
      <c r="AU14" s="15">
        <f t="shared" si="74"/>
        <v>26180602.130000003</v>
      </c>
      <c r="AV14" s="15">
        <f t="shared" si="75"/>
        <v>541.60413186040262</v>
      </c>
      <c r="AW14" s="15">
        <f t="shared" si="76"/>
        <v>775.07622187156778</v>
      </c>
      <c r="AX14" s="14">
        <v>14</v>
      </c>
      <c r="AY14" s="15">
        <f t="shared" si="77"/>
        <v>3.4754546018742629</v>
      </c>
      <c r="AZ14" s="14">
        <v>50</v>
      </c>
      <c r="BA14" s="14">
        <v>413</v>
      </c>
      <c r="BB14" s="14">
        <v>30</v>
      </c>
      <c r="BC14" s="14">
        <v>24</v>
      </c>
      <c r="BD14" s="14">
        <v>0</v>
      </c>
      <c r="BE14" s="15">
        <f t="shared" si="78"/>
        <v>24</v>
      </c>
      <c r="BF14" s="15">
        <f t="shared" si="79"/>
        <v>419</v>
      </c>
      <c r="BG14" s="14">
        <v>0</v>
      </c>
      <c r="BH14" s="14">
        <v>0</v>
      </c>
      <c r="BI14" s="14">
        <v>0</v>
      </c>
      <c r="BJ14" s="14">
        <v>0</v>
      </c>
      <c r="BK14" s="15">
        <f t="shared" si="80"/>
        <v>0</v>
      </c>
      <c r="BL14" s="15">
        <f t="shared" si="81"/>
        <v>0</v>
      </c>
      <c r="BM14" s="14">
        <v>0</v>
      </c>
      <c r="BN14" s="14">
        <v>0</v>
      </c>
      <c r="BO14" s="14">
        <v>0</v>
      </c>
      <c r="BP14" s="14">
        <v>0</v>
      </c>
      <c r="BQ14" s="15">
        <f t="shared" si="82"/>
        <v>0</v>
      </c>
      <c r="BR14" s="15">
        <f t="shared" si="83"/>
        <v>0</v>
      </c>
      <c r="BS14" s="14">
        <v>0</v>
      </c>
      <c r="BT14" s="14">
        <v>0</v>
      </c>
      <c r="BU14" s="14">
        <v>0</v>
      </c>
      <c r="BV14" s="14">
        <v>0</v>
      </c>
      <c r="BW14" s="15">
        <f t="shared" si="84"/>
        <v>0</v>
      </c>
      <c r="BX14" s="15">
        <f t="shared" si="85"/>
        <v>0</v>
      </c>
      <c r="BY14" s="15">
        <f t="shared" si="86"/>
        <v>413</v>
      </c>
      <c r="BZ14" s="15">
        <f t="shared" si="87"/>
        <v>30</v>
      </c>
      <c r="CA14" s="15">
        <f t="shared" si="88"/>
        <v>24</v>
      </c>
      <c r="CB14" s="15">
        <f t="shared" si="89"/>
        <v>419</v>
      </c>
      <c r="CC14" s="14">
        <v>15</v>
      </c>
      <c r="CD14" s="14">
        <v>2544</v>
      </c>
      <c r="CE14" s="14">
        <v>62</v>
      </c>
      <c r="CF14" s="14">
        <v>94</v>
      </c>
      <c r="CG14" s="14">
        <v>19</v>
      </c>
      <c r="CH14" s="15">
        <f t="shared" si="90"/>
        <v>2719</v>
      </c>
      <c r="CI14" s="14">
        <v>3166</v>
      </c>
      <c r="CJ14" s="14">
        <v>6</v>
      </c>
      <c r="CK14" s="14">
        <v>2</v>
      </c>
      <c r="CL14" s="14">
        <v>10</v>
      </c>
      <c r="CM14" s="15">
        <f t="shared" si="91"/>
        <v>3184</v>
      </c>
      <c r="CN14" s="14">
        <v>2390</v>
      </c>
      <c r="CO14" s="14">
        <v>67</v>
      </c>
      <c r="CP14" s="14">
        <v>75</v>
      </c>
      <c r="CQ14" s="14">
        <v>5</v>
      </c>
      <c r="CR14" s="15">
        <f t="shared" si="92"/>
        <v>2537</v>
      </c>
      <c r="CS14" s="15">
        <f t="shared" si="93"/>
        <v>5721</v>
      </c>
      <c r="CT14" s="14">
        <v>8440</v>
      </c>
      <c r="CU14" s="14">
        <v>47417</v>
      </c>
      <c r="CV14" s="14">
        <v>38974</v>
      </c>
      <c r="CW14" s="16">
        <f t="shared" si="94"/>
        <v>0.82194149777505954</v>
      </c>
      <c r="CX14" s="14"/>
      <c r="CY14" s="14"/>
      <c r="CZ14" s="14"/>
      <c r="DA14" s="14"/>
      <c r="DB14" s="15">
        <f t="shared" si="95"/>
        <v>0</v>
      </c>
      <c r="DC14" s="14">
        <v>0</v>
      </c>
      <c r="DD14" s="14">
        <v>0</v>
      </c>
      <c r="DE14" s="14">
        <v>0</v>
      </c>
      <c r="DF14" s="14">
        <v>0</v>
      </c>
      <c r="DG14" s="15">
        <f t="shared" si="96"/>
        <v>0</v>
      </c>
      <c r="DH14" s="14">
        <v>0</v>
      </c>
      <c r="DI14" s="14">
        <v>0</v>
      </c>
      <c r="DJ14" s="14">
        <v>0</v>
      </c>
      <c r="DK14" s="14">
        <v>0</v>
      </c>
      <c r="DL14" s="15">
        <f t="shared" si="97"/>
        <v>0</v>
      </c>
      <c r="DM14" s="14">
        <v>271</v>
      </c>
      <c r="DN14" s="14">
        <v>36</v>
      </c>
      <c r="DO14" s="14">
        <v>0</v>
      </c>
      <c r="DP14" s="14">
        <v>0</v>
      </c>
      <c r="DQ14" s="15">
        <f t="shared" si="98"/>
        <v>307</v>
      </c>
      <c r="DR14" s="15">
        <f t="shared" si="99"/>
        <v>271</v>
      </c>
      <c r="DS14" s="15">
        <f t="shared" si="100"/>
        <v>36</v>
      </c>
      <c r="DT14" s="15">
        <f t="shared" si="101"/>
        <v>0</v>
      </c>
      <c r="DU14" s="15">
        <f t="shared" si="102"/>
        <v>0</v>
      </c>
      <c r="DV14" s="15">
        <f t="shared" si="103"/>
        <v>307</v>
      </c>
      <c r="DW14" s="14">
        <v>61</v>
      </c>
      <c r="DX14" s="14">
        <v>31</v>
      </c>
      <c r="DY14" s="14">
        <v>12</v>
      </c>
      <c r="DZ14" s="14">
        <v>2</v>
      </c>
      <c r="EA14" s="14">
        <v>0</v>
      </c>
      <c r="EB14" s="14">
        <v>7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5">
        <f t="shared" si="104"/>
        <v>113</v>
      </c>
      <c r="FH14" s="14">
        <v>0</v>
      </c>
      <c r="FI14" s="14">
        <v>0</v>
      </c>
      <c r="FJ14" s="14">
        <v>480</v>
      </c>
      <c r="FK14" s="14">
        <v>52</v>
      </c>
      <c r="FL14" s="14">
        <v>390</v>
      </c>
      <c r="FM14" s="14">
        <v>0</v>
      </c>
      <c r="FN14" s="14">
        <v>0</v>
      </c>
      <c r="FO14" s="14">
        <v>0</v>
      </c>
      <c r="FP14" s="14">
        <v>150</v>
      </c>
      <c r="FQ14" s="15">
        <f t="shared" si="105"/>
        <v>540</v>
      </c>
      <c r="FR14" s="14">
        <v>25246524.48</v>
      </c>
      <c r="FS14" s="14">
        <v>63100</v>
      </c>
      <c r="FT14" s="14">
        <v>60000</v>
      </c>
      <c r="FU14" s="14">
        <v>247867.22</v>
      </c>
      <c r="FV14" s="15">
        <f t="shared" si="106"/>
        <v>25617491.699999999</v>
      </c>
      <c r="FW14" s="14">
        <v>19444708.239999998</v>
      </c>
      <c r="FX14" s="14">
        <v>62580</v>
      </c>
      <c r="FY14" s="14">
        <v>1542422.81</v>
      </c>
      <c r="FZ14" s="14">
        <v>2898400</v>
      </c>
      <c r="GA14" s="15">
        <f t="shared" si="107"/>
        <v>23948111.049999997</v>
      </c>
      <c r="GB14" s="15">
        <f t="shared" si="108"/>
        <v>49565602.75</v>
      </c>
      <c r="GC14" s="14">
        <v>17559719.66</v>
      </c>
      <c r="GD14" s="14">
        <v>93535.92</v>
      </c>
      <c r="GE14" s="14">
        <v>175575.51</v>
      </c>
      <c r="GF14" s="14">
        <v>16821.98</v>
      </c>
      <c r="GG14" s="15">
        <f t="shared" si="109"/>
        <v>17845653.070000004</v>
      </c>
      <c r="GH14" s="14">
        <v>17700982.00000003</v>
      </c>
      <c r="GI14" s="14">
        <v>45486</v>
      </c>
      <c r="GJ14" s="14">
        <v>2867320</v>
      </c>
      <c r="GK14" s="14">
        <v>1503002.81</v>
      </c>
      <c r="GL14" s="15">
        <f t="shared" si="110"/>
        <v>22116790.810000028</v>
      </c>
      <c r="GM14" s="15">
        <f t="shared" si="111"/>
        <v>39962443.880000032</v>
      </c>
      <c r="GN14" s="14">
        <v>1554802.79</v>
      </c>
      <c r="GO14" s="14">
        <v>1912.8</v>
      </c>
      <c r="GP14" s="14">
        <v>20361.84</v>
      </c>
      <c r="GQ14" s="14">
        <v>9274.68</v>
      </c>
      <c r="GR14" s="15">
        <f t="shared" si="112"/>
        <v>1586352.11</v>
      </c>
      <c r="GS14" s="14">
        <v>2578984</v>
      </c>
      <c r="GT14" s="14">
        <v>8930</v>
      </c>
      <c r="GU14" s="14">
        <v>5358</v>
      </c>
      <c r="GV14" s="14">
        <v>1786</v>
      </c>
      <c r="GW14" s="15">
        <f t="shared" si="113"/>
        <v>2595058</v>
      </c>
      <c r="GX14" s="15">
        <f t="shared" si="114"/>
        <v>44143853.990000032</v>
      </c>
      <c r="GY14" s="14">
        <v>126418964.03</v>
      </c>
      <c r="GZ14" s="14">
        <v>1202893.75</v>
      </c>
      <c r="HA14" s="15">
        <f t="shared" si="115"/>
        <v>127621857.78</v>
      </c>
      <c r="HB14" s="15">
        <f t="shared" si="116"/>
        <v>0.59307468115336581</v>
      </c>
      <c r="HC14" s="16">
        <f t="shared" si="117"/>
        <v>0.29060028044440483</v>
      </c>
      <c r="HD14" s="15">
        <f t="shared" si="118"/>
        <v>1.1228200138852436</v>
      </c>
      <c r="HE14" s="14">
        <v>30</v>
      </c>
      <c r="HF14" s="14">
        <v>1</v>
      </c>
      <c r="HG14" s="14">
        <v>419</v>
      </c>
      <c r="HH14" s="14">
        <v>30</v>
      </c>
      <c r="HI14" s="14">
        <v>20</v>
      </c>
      <c r="HJ14" s="15">
        <f t="shared" si="119"/>
        <v>21</v>
      </c>
      <c r="HK14" s="16">
        <f t="shared" si="120"/>
        <v>1</v>
      </c>
      <c r="HL14" s="14">
        <v>20</v>
      </c>
      <c r="HM14" s="14">
        <v>15</v>
      </c>
      <c r="HN14" s="17">
        <f t="shared" si="121"/>
        <v>0.75</v>
      </c>
    </row>
    <row r="15" spans="1:222" x14ac:dyDescent="0.3">
      <c r="A15" s="6" t="s">
        <v>255</v>
      </c>
      <c r="B15" s="6" t="s">
        <v>255</v>
      </c>
      <c r="C15" s="7" t="s">
        <v>257</v>
      </c>
      <c r="D15" s="7">
        <v>2025</v>
      </c>
      <c r="E15" s="7">
        <v>4</v>
      </c>
      <c r="F15" s="7" t="s">
        <v>258</v>
      </c>
      <c r="G15" s="7" t="s">
        <v>259</v>
      </c>
      <c r="H15" s="8">
        <v>64376</v>
      </c>
      <c r="I15" s="8">
        <v>30208</v>
      </c>
      <c r="J15" s="8">
        <v>970</v>
      </c>
      <c r="K15" s="8">
        <v>936</v>
      </c>
      <c r="L15" s="8">
        <v>353</v>
      </c>
      <c r="M15" s="9">
        <f t="shared" si="61"/>
        <v>32467</v>
      </c>
      <c r="N15" s="8">
        <v>11071.6</v>
      </c>
      <c r="O15" s="8">
        <v>0</v>
      </c>
      <c r="P15" s="8">
        <v>977.6</v>
      </c>
      <c r="Q15" s="8">
        <v>1886.7</v>
      </c>
      <c r="R15" s="9">
        <f t="shared" si="62"/>
        <v>13935.900000000001</v>
      </c>
      <c r="S15" s="9">
        <f t="shared" si="63"/>
        <v>46402.9</v>
      </c>
      <c r="T15" s="8">
        <v>17973.099999999999</v>
      </c>
      <c r="U15" s="10">
        <f t="shared" si="64"/>
        <v>0.27918944948427982</v>
      </c>
      <c r="V15" s="8">
        <v>276</v>
      </c>
      <c r="W15" s="11">
        <f t="shared" si="65"/>
        <v>4.2873120417546914E-3</v>
      </c>
      <c r="X15" s="8">
        <v>658</v>
      </c>
      <c r="Y15" s="11">
        <f t="shared" si="66"/>
        <v>1.0221200447371692E-2</v>
      </c>
      <c r="Z15" s="8">
        <v>0</v>
      </c>
      <c r="AA15" s="11">
        <f t="shared" si="67"/>
        <v>0</v>
      </c>
      <c r="AB15" s="8">
        <v>0</v>
      </c>
      <c r="AC15" s="11">
        <f t="shared" si="68"/>
        <v>0</v>
      </c>
      <c r="AD15" s="8">
        <v>0</v>
      </c>
      <c r="AE15" s="11">
        <f t="shared" si="69"/>
        <v>0</v>
      </c>
      <c r="AF15" s="8">
        <v>0</v>
      </c>
      <c r="AG15" s="11">
        <f t="shared" si="70"/>
        <v>0</v>
      </c>
      <c r="AH15" s="8">
        <v>1670466.7647599999</v>
      </c>
      <c r="AI15" s="9">
        <f t="shared" si="71"/>
        <v>25.948595202559961</v>
      </c>
      <c r="AJ15" s="8">
        <v>56715</v>
      </c>
      <c r="AK15" s="11">
        <f t="shared" si="72"/>
        <v>0.88099602336274385</v>
      </c>
      <c r="AL15" s="8">
        <v>9500810.9124999996</v>
      </c>
      <c r="AM15" s="9">
        <f t="shared" si="73"/>
        <v>147.58311967969428</v>
      </c>
      <c r="AN15" s="8">
        <v>2712</v>
      </c>
      <c r="AO15" s="8">
        <v>300</v>
      </c>
      <c r="AP15" s="8">
        <v>441000</v>
      </c>
      <c r="AQ15" s="8">
        <v>0</v>
      </c>
      <c r="AR15" s="8">
        <v>15500412.58</v>
      </c>
      <c r="AS15" s="8">
        <v>3913343.38</v>
      </c>
      <c r="AT15" s="8">
        <v>7391853.6299999999</v>
      </c>
      <c r="AU15" s="9">
        <f t="shared" si="74"/>
        <v>38417887.26726</v>
      </c>
      <c r="AV15" s="9">
        <f t="shared" si="75"/>
        <v>596.77344456412322</v>
      </c>
      <c r="AW15" s="9">
        <f t="shared" si="76"/>
        <v>827.91996334841144</v>
      </c>
      <c r="AX15" s="8">
        <v>24</v>
      </c>
      <c r="AY15" s="9">
        <f t="shared" si="77"/>
        <v>4.4737169131353296</v>
      </c>
      <c r="AZ15" s="8">
        <v>26</v>
      </c>
      <c r="BA15" s="8">
        <v>678</v>
      </c>
      <c r="BB15" s="8">
        <v>42</v>
      </c>
      <c r="BC15" s="8">
        <v>0</v>
      </c>
      <c r="BD15" s="8">
        <v>36</v>
      </c>
      <c r="BE15" s="9">
        <f t="shared" si="78"/>
        <v>36</v>
      </c>
      <c r="BF15" s="9">
        <f t="shared" si="79"/>
        <v>684</v>
      </c>
      <c r="BG15" s="8">
        <v>0</v>
      </c>
      <c r="BH15" s="8">
        <v>0</v>
      </c>
      <c r="BI15" s="8">
        <v>0</v>
      </c>
      <c r="BJ15" s="8">
        <v>0</v>
      </c>
      <c r="BK15" s="9">
        <f t="shared" si="80"/>
        <v>0</v>
      </c>
      <c r="BL15" s="9">
        <f t="shared" si="81"/>
        <v>0</v>
      </c>
      <c r="BM15" s="8">
        <v>0</v>
      </c>
      <c r="BN15" s="8">
        <v>0</v>
      </c>
      <c r="BO15" s="8">
        <v>0</v>
      </c>
      <c r="BP15" s="8">
        <v>0</v>
      </c>
      <c r="BQ15" s="9">
        <f t="shared" si="82"/>
        <v>0</v>
      </c>
      <c r="BR15" s="9">
        <f t="shared" si="83"/>
        <v>0</v>
      </c>
      <c r="BS15" s="8">
        <v>0</v>
      </c>
      <c r="BT15" s="8">
        <v>0</v>
      </c>
      <c r="BU15" s="8">
        <v>0</v>
      </c>
      <c r="BV15" s="8">
        <v>0</v>
      </c>
      <c r="BW15" s="9">
        <f t="shared" si="84"/>
        <v>0</v>
      </c>
      <c r="BX15" s="9">
        <f t="shared" si="85"/>
        <v>0</v>
      </c>
      <c r="BY15" s="9">
        <f t="shared" si="86"/>
        <v>678</v>
      </c>
      <c r="BZ15" s="9">
        <f t="shared" si="87"/>
        <v>42</v>
      </c>
      <c r="CA15" s="9">
        <f t="shared" si="88"/>
        <v>36</v>
      </c>
      <c r="CB15" s="9">
        <f t="shared" si="89"/>
        <v>684</v>
      </c>
      <c r="CC15" s="8">
        <v>36</v>
      </c>
      <c r="CD15" s="8">
        <v>1458</v>
      </c>
      <c r="CE15" s="8">
        <v>33</v>
      </c>
      <c r="CF15" s="8">
        <v>20</v>
      </c>
      <c r="CG15" s="8">
        <v>15</v>
      </c>
      <c r="CH15" s="9">
        <f t="shared" si="90"/>
        <v>1526</v>
      </c>
      <c r="CI15" s="8">
        <v>2896</v>
      </c>
      <c r="CJ15" s="8">
        <v>14</v>
      </c>
      <c r="CK15" s="8">
        <v>9</v>
      </c>
      <c r="CL15" s="8">
        <v>13</v>
      </c>
      <c r="CM15" s="9">
        <f t="shared" si="91"/>
        <v>2932</v>
      </c>
      <c r="CN15" s="8">
        <v>1128</v>
      </c>
      <c r="CO15" s="8">
        <v>105</v>
      </c>
      <c r="CP15" s="8">
        <v>186</v>
      </c>
      <c r="CQ15" s="8">
        <v>0</v>
      </c>
      <c r="CR15" s="9">
        <f t="shared" si="92"/>
        <v>1419</v>
      </c>
      <c r="CS15" s="9">
        <f t="shared" si="93"/>
        <v>4351</v>
      </c>
      <c r="CT15" s="8">
        <v>5877</v>
      </c>
      <c r="CU15" s="8">
        <v>33916</v>
      </c>
      <c r="CV15" s="8">
        <v>30524.400000000001</v>
      </c>
      <c r="CW15" s="10">
        <f t="shared" si="94"/>
        <v>0.9</v>
      </c>
      <c r="CX15" s="8"/>
      <c r="CY15" s="8"/>
      <c r="CZ15" s="8"/>
      <c r="DA15" s="8"/>
      <c r="DB15" s="9">
        <f t="shared" si="95"/>
        <v>0</v>
      </c>
      <c r="DC15" s="8">
        <v>0</v>
      </c>
      <c r="DD15" s="8">
        <v>0</v>
      </c>
      <c r="DE15" s="8">
        <v>0</v>
      </c>
      <c r="DF15" s="8">
        <v>0</v>
      </c>
      <c r="DG15" s="9">
        <f t="shared" si="96"/>
        <v>0</v>
      </c>
      <c r="DH15" s="8">
        <v>0</v>
      </c>
      <c r="DI15" s="8">
        <v>0</v>
      </c>
      <c r="DJ15" s="8">
        <v>0</v>
      </c>
      <c r="DK15" s="8">
        <v>0</v>
      </c>
      <c r="DL15" s="9">
        <f t="shared" si="97"/>
        <v>0</v>
      </c>
      <c r="DM15" s="8">
        <v>293</v>
      </c>
      <c r="DN15" s="8">
        <v>0</v>
      </c>
      <c r="DO15" s="8">
        <v>0</v>
      </c>
      <c r="DP15" s="8">
        <v>39</v>
      </c>
      <c r="DQ15" s="9">
        <f t="shared" si="98"/>
        <v>254</v>
      </c>
      <c r="DR15" s="9">
        <f t="shared" si="99"/>
        <v>293</v>
      </c>
      <c r="DS15" s="9">
        <f t="shared" si="100"/>
        <v>0</v>
      </c>
      <c r="DT15" s="9">
        <f t="shared" si="101"/>
        <v>0</v>
      </c>
      <c r="DU15" s="9">
        <f t="shared" si="102"/>
        <v>39</v>
      </c>
      <c r="DV15" s="9">
        <f t="shared" si="103"/>
        <v>254</v>
      </c>
      <c r="DW15" s="8">
        <v>94</v>
      </c>
      <c r="DX15" s="8">
        <v>28</v>
      </c>
      <c r="DY15" s="8">
        <v>14</v>
      </c>
      <c r="DZ15" s="8">
        <v>4</v>
      </c>
      <c r="EA15" s="8">
        <v>2</v>
      </c>
      <c r="EB15" s="8">
        <v>8</v>
      </c>
      <c r="EC15" s="8">
        <v>0</v>
      </c>
      <c r="ED15" s="8">
        <v>4</v>
      </c>
      <c r="EE15" s="8">
        <v>18</v>
      </c>
      <c r="EF15" s="8">
        <v>9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9">
        <f t="shared" si="104"/>
        <v>181</v>
      </c>
      <c r="FH15" s="8">
        <v>1</v>
      </c>
      <c r="FI15" s="8">
        <v>56</v>
      </c>
      <c r="FJ15" s="8">
        <v>720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9">
        <f t="shared" si="105"/>
        <v>0</v>
      </c>
      <c r="FR15" s="8">
        <v>22564673.440000001</v>
      </c>
      <c r="FS15" s="8">
        <v>32500</v>
      </c>
      <c r="FT15" s="8">
        <v>4754131.3099999996</v>
      </c>
      <c r="FU15" s="8">
        <v>5141655.8099999996</v>
      </c>
      <c r="FV15" s="9">
        <f t="shared" si="106"/>
        <v>32492960.559999999</v>
      </c>
      <c r="FW15" s="8">
        <v>13947464.58</v>
      </c>
      <c r="FX15" s="8">
        <v>0</v>
      </c>
      <c r="FY15" s="8">
        <v>9263418.0899999999</v>
      </c>
      <c r="FZ15" s="8">
        <v>3163124.8</v>
      </c>
      <c r="GA15" s="9">
        <f t="shared" si="107"/>
        <v>26374007.470000003</v>
      </c>
      <c r="GB15" s="9">
        <f t="shared" si="108"/>
        <v>58866968.030000001</v>
      </c>
      <c r="GC15" s="8">
        <v>27814108.510000002</v>
      </c>
      <c r="GD15" s="8">
        <v>185541.6</v>
      </c>
      <c r="GE15" s="8">
        <v>3178071.64</v>
      </c>
      <c r="GF15" s="8">
        <v>1654100.61</v>
      </c>
      <c r="GG15" s="9">
        <f t="shared" si="109"/>
        <v>32831822.360000003</v>
      </c>
      <c r="GH15" s="8">
        <v>13814124.93999999</v>
      </c>
      <c r="GI15" s="8">
        <v>0</v>
      </c>
      <c r="GJ15" s="8">
        <v>2971124.8</v>
      </c>
      <c r="GK15" s="8">
        <v>8921850.3900000006</v>
      </c>
      <c r="GL15" s="9">
        <f t="shared" si="110"/>
        <v>25707100.129999992</v>
      </c>
      <c r="GM15" s="9">
        <f t="shared" si="111"/>
        <v>58538922.489999995</v>
      </c>
      <c r="GN15" s="8">
        <v>1551321.15</v>
      </c>
      <c r="GO15" s="8">
        <v>2486.64</v>
      </c>
      <c r="GP15" s="8">
        <v>47510.96</v>
      </c>
      <c r="GQ15" s="8">
        <v>41736.06</v>
      </c>
      <c r="GR15" s="9">
        <f t="shared" si="112"/>
        <v>1643054.8099999998</v>
      </c>
      <c r="GS15" s="8">
        <v>2586128</v>
      </c>
      <c r="GT15" s="8">
        <v>11609</v>
      </c>
      <c r="GU15" s="8">
        <v>12502</v>
      </c>
      <c r="GV15" s="8">
        <v>8037</v>
      </c>
      <c r="GW15" s="9">
        <f t="shared" si="113"/>
        <v>2618276</v>
      </c>
      <c r="GX15" s="9">
        <f t="shared" si="114"/>
        <v>62800253.299999997</v>
      </c>
      <c r="GY15" s="8">
        <v>226342545.09999999</v>
      </c>
      <c r="GZ15" s="8">
        <v>8416922.3000000007</v>
      </c>
      <c r="HA15" s="9">
        <f t="shared" si="115"/>
        <v>234759467.40000001</v>
      </c>
      <c r="HB15" s="9">
        <f t="shared" si="116"/>
        <v>0.61174732980352486</v>
      </c>
      <c r="HC15" s="10">
        <f t="shared" si="117"/>
        <v>0.20359133395590739</v>
      </c>
      <c r="HD15" s="9">
        <f t="shared" si="118"/>
        <v>0.93736832157012984</v>
      </c>
      <c r="HE15" s="8">
        <v>42</v>
      </c>
      <c r="HF15" s="8">
        <v>20</v>
      </c>
      <c r="HG15" s="8">
        <v>684</v>
      </c>
      <c r="HH15" s="8">
        <v>42</v>
      </c>
      <c r="HI15" s="8">
        <v>20</v>
      </c>
      <c r="HJ15" s="9">
        <f t="shared" si="119"/>
        <v>40</v>
      </c>
      <c r="HK15" s="10">
        <f t="shared" si="120"/>
        <v>1</v>
      </c>
      <c r="HL15" s="8">
        <v>12</v>
      </c>
      <c r="HM15" s="8">
        <v>30</v>
      </c>
      <c r="HN15" s="11">
        <f t="shared" si="121"/>
        <v>2.5</v>
      </c>
    </row>
    <row r="16" spans="1:222" x14ac:dyDescent="0.3">
      <c r="A16" s="12" t="s">
        <v>255</v>
      </c>
      <c r="B16" s="12" t="s">
        <v>255</v>
      </c>
      <c r="C16" s="13" t="s">
        <v>257</v>
      </c>
      <c r="D16" s="13">
        <v>2025</v>
      </c>
      <c r="E16" s="13">
        <v>5</v>
      </c>
      <c r="F16" s="13" t="s">
        <v>260</v>
      </c>
      <c r="G16" s="13" t="s">
        <v>259</v>
      </c>
      <c r="H16" s="14">
        <v>60718</v>
      </c>
      <c r="I16" s="14">
        <v>23130</v>
      </c>
      <c r="J16" s="14">
        <v>476</v>
      </c>
      <c r="K16" s="14">
        <v>617</v>
      </c>
      <c r="L16" s="14">
        <v>290</v>
      </c>
      <c r="M16" s="15">
        <f t="shared" si="61"/>
        <v>24513</v>
      </c>
      <c r="N16" s="14">
        <v>11701.7</v>
      </c>
      <c r="O16" s="14">
        <v>0</v>
      </c>
      <c r="P16" s="14">
        <v>4927.5</v>
      </c>
      <c r="Q16" s="14">
        <v>1757.4</v>
      </c>
      <c r="R16" s="15">
        <f t="shared" si="62"/>
        <v>18386.600000000002</v>
      </c>
      <c r="S16" s="15">
        <f t="shared" si="63"/>
        <v>42899.600000000006</v>
      </c>
      <c r="T16" s="14">
        <v>17818.400000000001</v>
      </c>
      <c r="U16" s="16">
        <f t="shared" si="64"/>
        <v>0.29346157646826315</v>
      </c>
      <c r="V16" s="14">
        <v>324</v>
      </c>
      <c r="W16" s="17">
        <f t="shared" si="65"/>
        <v>5.3361441417701504E-3</v>
      </c>
      <c r="X16" s="14">
        <v>225</v>
      </c>
      <c r="Y16" s="17">
        <f t="shared" si="66"/>
        <v>3.705655654007049E-3</v>
      </c>
      <c r="Z16" s="14">
        <v>0</v>
      </c>
      <c r="AA16" s="17">
        <f t="shared" si="67"/>
        <v>0</v>
      </c>
      <c r="AB16" s="14">
        <v>336</v>
      </c>
      <c r="AC16" s="17">
        <f t="shared" si="68"/>
        <v>5.5337791099838596E-3</v>
      </c>
      <c r="AD16" s="14">
        <v>0</v>
      </c>
      <c r="AE16" s="17">
        <f t="shared" si="69"/>
        <v>0</v>
      </c>
      <c r="AF16" s="14">
        <v>0</v>
      </c>
      <c r="AG16" s="17">
        <f t="shared" si="70"/>
        <v>0</v>
      </c>
      <c r="AH16" s="14">
        <v>2632876.1283</v>
      </c>
      <c r="AI16" s="15">
        <f t="shared" si="71"/>
        <v>43.362365827267034</v>
      </c>
      <c r="AJ16" s="14">
        <v>55348.800000000003</v>
      </c>
      <c r="AK16" s="17">
        <f t="shared" si="72"/>
        <v>0.91157152738891267</v>
      </c>
      <c r="AL16" s="14">
        <v>9272413.012000002</v>
      </c>
      <c r="AM16" s="15">
        <f t="shared" si="73"/>
        <v>152.71275424091706</v>
      </c>
      <c r="AN16" s="14">
        <v>2559</v>
      </c>
      <c r="AO16" s="14">
        <v>436</v>
      </c>
      <c r="AP16" s="14">
        <v>1192024</v>
      </c>
      <c r="AQ16" s="14">
        <v>0</v>
      </c>
      <c r="AR16" s="14">
        <v>15993838.800000001</v>
      </c>
      <c r="AS16" s="14">
        <v>4019251.08</v>
      </c>
      <c r="AT16" s="14">
        <v>293286.24</v>
      </c>
      <c r="AU16" s="15">
        <f t="shared" si="74"/>
        <v>33403689.260299999</v>
      </c>
      <c r="AV16" s="15">
        <f t="shared" si="75"/>
        <v>550.1447554316677</v>
      </c>
      <c r="AW16" s="15">
        <f t="shared" si="76"/>
        <v>778.64803541991057</v>
      </c>
      <c r="AX16" s="14">
        <v>24</v>
      </c>
      <c r="AY16" s="15">
        <f t="shared" si="77"/>
        <v>4.7432392371290222</v>
      </c>
      <c r="AZ16" s="14">
        <v>46</v>
      </c>
      <c r="BA16" s="14">
        <v>684</v>
      </c>
      <c r="BB16" s="14">
        <v>22</v>
      </c>
      <c r="BC16" s="14">
        <v>0</v>
      </c>
      <c r="BD16" s="14">
        <v>20</v>
      </c>
      <c r="BE16" s="15">
        <f t="shared" si="78"/>
        <v>20</v>
      </c>
      <c r="BF16" s="15">
        <f t="shared" si="79"/>
        <v>686</v>
      </c>
      <c r="BG16" s="14">
        <v>0</v>
      </c>
      <c r="BH16" s="14">
        <v>0</v>
      </c>
      <c r="BI16" s="14">
        <v>0</v>
      </c>
      <c r="BJ16" s="14">
        <v>0</v>
      </c>
      <c r="BK16" s="15">
        <f t="shared" si="80"/>
        <v>0</v>
      </c>
      <c r="BL16" s="15">
        <f t="shared" si="81"/>
        <v>0</v>
      </c>
      <c r="BM16" s="14">
        <v>0</v>
      </c>
      <c r="BN16" s="14">
        <v>0</v>
      </c>
      <c r="BO16" s="14">
        <v>0</v>
      </c>
      <c r="BP16" s="14">
        <v>0</v>
      </c>
      <c r="BQ16" s="15">
        <f t="shared" si="82"/>
        <v>0</v>
      </c>
      <c r="BR16" s="15">
        <f t="shared" si="83"/>
        <v>0</v>
      </c>
      <c r="BS16" s="14">
        <v>0</v>
      </c>
      <c r="BT16" s="14">
        <v>0</v>
      </c>
      <c r="BU16" s="14">
        <v>0</v>
      </c>
      <c r="BV16" s="14">
        <v>0</v>
      </c>
      <c r="BW16" s="15">
        <f t="shared" si="84"/>
        <v>0</v>
      </c>
      <c r="BX16" s="15">
        <f t="shared" si="85"/>
        <v>0</v>
      </c>
      <c r="BY16" s="15">
        <f t="shared" si="86"/>
        <v>684</v>
      </c>
      <c r="BZ16" s="15">
        <f t="shared" si="87"/>
        <v>22</v>
      </c>
      <c r="CA16" s="15">
        <f t="shared" si="88"/>
        <v>20</v>
      </c>
      <c r="CB16" s="15">
        <f t="shared" si="89"/>
        <v>686</v>
      </c>
      <c r="CC16" s="14">
        <v>20</v>
      </c>
      <c r="CD16" s="14">
        <v>1504</v>
      </c>
      <c r="CE16" s="14">
        <v>33</v>
      </c>
      <c r="CF16" s="14">
        <v>20</v>
      </c>
      <c r="CG16" s="14">
        <v>15</v>
      </c>
      <c r="CH16" s="15">
        <f t="shared" si="90"/>
        <v>1572</v>
      </c>
      <c r="CI16" s="14">
        <v>2855</v>
      </c>
      <c r="CJ16" s="14">
        <v>12</v>
      </c>
      <c r="CK16" s="14">
        <v>7</v>
      </c>
      <c r="CL16" s="14">
        <v>12</v>
      </c>
      <c r="CM16" s="15">
        <f t="shared" si="91"/>
        <v>2886</v>
      </c>
      <c r="CN16" s="14">
        <v>1148</v>
      </c>
      <c r="CO16" s="14">
        <v>105</v>
      </c>
      <c r="CP16" s="14">
        <v>186</v>
      </c>
      <c r="CQ16" s="14">
        <v>0</v>
      </c>
      <c r="CR16" s="15">
        <f t="shared" si="92"/>
        <v>1439</v>
      </c>
      <c r="CS16" s="15">
        <f t="shared" si="93"/>
        <v>4325</v>
      </c>
      <c r="CT16" s="14">
        <v>5897</v>
      </c>
      <c r="CU16" s="14">
        <v>33991</v>
      </c>
      <c r="CV16" s="14">
        <v>30591</v>
      </c>
      <c r="CW16" s="16">
        <f t="shared" si="94"/>
        <v>0.899973522402989</v>
      </c>
      <c r="CX16" s="14"/>
      <c r="CY16" s="14"/>
      <c r="CZ16" s="14"/>
      <c r="DA16" s="14"/>
      <c r="DB16" s="15">
        <f t="shared" si="95"/>
        <v>0</v>
      </c>
      <c r="DC16" s="14">
        <v>0</v>
      </c>
      <c r="DD16" s="14">
        <v>0</v>
      </c>
      <c r="DE16" s="14">
        <v>0</v>
      </c>
      <c r="DF16" s="14">
        <v>0</v>
      </c>
      <c r="DG16" s="15">
        <f t="shared" si="96"/>
        <v>0</v>
      </c>
      <c r="DH16" s="14">
        <v>0</v>
      </c>
      <c r="DI16" s="14">
        <v>0</v>
      </c>
      <c r="DJ16" s="14">
        <v>0</v>
      </c>
      <c r="DK16" s="14">
        <v>0</v>
      </c>
      <c r="DL16" s="15">
        <f t="shared" si="97"/>
        <v>0</v>
      </c>
      <c r="DM16" s="14">
        <v>254</v>
      </c>
      <c r="DN16" s="14">
        <v>18</v>
      </c>
      <c r="DO16" s="14">
        <v>0</v>
      </c>
      <c r="DP16" s="14">
        <v>4</v>
      </c>
      <c r="DQ16" s="15">
        <f t="shared" si="98"/>
        <v>268</v>
      </c>
      <c r="DR16" s="15">
        <f t="shared" si="99"/>
        <v>254</v>
      </c>
      <c r="DS16" s="15">
        <f t="shared" si="100"/>
        <v>18</v>
      </c>
      <c r="DT16" s="15">
        <f t="shared" si="101"/>
        <v>0</v>
      </c>
      <c r="DU16" s="15">
        <f t="shared" si="102"/>
        <v>4</v>
      </c>
      <c r="DV16" s="15">
        <f t="shared" si="103"/>
        <v>268</v>
      </c>
      <c r="DW16" s="14">
        <v>91</v>
      </c>
      <c r="DX16" s="14">
        <v>52</v>
      </c>
      <c r="DY16" s="14">
        <v>6</v>
      </c>
      <c r="DZ16" s="14">
        <v>6</v>
      </c>
      <c r="EA16" s="14">
        <v>3</v>
      </c>
      <c r="EB16" s="14">
        <v>3</v>
      </c>
      <c r="EC16" s="14">
        <v>0</v>
      </c>
      <c r="ED16" s="14">
        <v>12</v>
      </c>
      <c r="EE16" s="14">
        <v>9</v>
      </c>
      <c r="EF16" s="14">
        <v>13</v>
      </c>
      <c r="EG16" s="14">
        <v>0</v>
      </c>
      <c r="EH16" s="14">
        <v>0</v>
      </c>
      <c r="EI16" s="14">
        <v>1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5">
        <f t="shared" si="104"/>
        <v>196</v>
      </c>
      <c r="FH16" s="14">
        <v>0</v>
      </c>
      <c r="FI16" s="14">
        <v>0</v>
      </c>
      <c r="FJ16" s="14">
        <v>720</v>
      </c>
      <c r="FK16" s="14">
        <v>0</v>
      </c>
      <c r="FL16" s="14">
        <v>0</v>
      </c>
      <c r="FM16" s="14">
        <v>0</v>
      </c>
      <c r="FN16" s="14">
        <v>0</v>
      </c>
      <c r="FO16" s="14">
        <v>500</v>
      </c>
      <c r="FP16" s="14">
        <v>0</v>
      </c>
      <c r="FQ16" s="15">
        <f t="shared" si="105"/>
        <v>500</v>
      </c>
      <c r="FR16" s="14">
        <v>36178586.619999997</v>
      </c>
      <c r="FS16" s="14">
        <v>57000</v>
      </c>
      <c r="FT16" s="14">
        <v>2247970</v>
      </c>
      <c r="FU16" s="14">
        <v>94867.22</v>
      </c>
      <c r="FV16" s="15">
        <f t="shared" si="106"/>
        <v>38578423.839999996</v>
      </c>
      <c r="FW16" s="14">
        <v>14753004.85</v>
      </c>
      <c r="FX16" s="14">
        <v>0</v>
      </c>
      <c r="FY16" s="14">
        <v>8492989.6400000006</v>
      </c>
      <c r="FZ16" s="14">
        <v>15057333</v>
      </c>
      <c r="GA16" s="15">
        <f t="shared" si="107"/>
        <v>38303327.490000002</v>
      </c>
      <c r="GB16" s="15">
        <f t="shared" si="108"/>
        <v>76881751.329999998</v>
      </c>
      <c r="GC16" s="14">
        <v>21883103.989999998</v>
      </c>
      <c r="GD16" s="14">
        <v>91049.279999999999</v>
      </c>
      <c r="GE16" s="14">
        <v>2083115.36</v>
      </c>
      <c r="GF16" s="14">
        <v>1273569.6100000001</v>
      </c>
      <c r="GG16" s="15">
        <f t="shared" si="109"/>
        <v>25330838.239999998</v>
      </c>
      <c r="GH16" s="14">
        <v>14633439.35</v>
      </c>
      <c r="GI16" s="14">
        <v>0</v>
      </c>
      <c r="GJ16" s="14">
        <v>14902773.9</v>
      </c>
      <c r="GK16" s="14">
        <v>8286889.6399999997</v>
      </c>
      <c r="GL16" s="15">
        <f t="shared" si="110"/>
        <v>37823102.890000001</v>
      </c>
      <c r="GM16" s="15">
        <f t="shared" si="111"/>
        <v>63153941.129999995</v>
      </c>
      <c r="GN16" s="14">
        <v>1528918.01</v>
      </c>
      <c r="GO16" s="14">
        <v>2295.36</v>
      </c>
      <c r="GP16" s="14">
        <v>40723.68</v>
      </c>
      <c r="GQ16" s="14">
        <v>32461.38</v>
      </c>
      <c r="GR16" s="15">
        <f t="shared" si="112"/>
        <v>1604398.43</v>
      </c>
      <c r="GS16" s="14">
        <v>2549515</v>
      </c>
      <c r="GT16" s="14">
        <v>10716</v>
      </c>
      <c r="GU16" s="14">
        <v>10716</v>
      </c>
      <c r="GV16" s="14">
        <v>6251</v>
      </c>
      <c r="GW16" s="15">
        <f t="shared" si="113"/>
        <v>2577198</v>
      </c>
      <c r="GX16" s="15">
        <f t="shared" si="114"/>
        <v>67335537.560000002</v>
      </c>
      <c r="GY16" s="14">
        <v>215036695.40999699</v>
      </c>
      <c r="GZ16" s="14">
        <v>10616782.82</v>
      </c>
      <c r="HA16" s="15">
        <f t="shared" si="115"/>
        <v>225653478.22999698</v>
      </c>
      <c r="HB16" s="15">
        <f t="shared" si="116"/>
        <v>0.49607815532081123</v>
      </c>
      <c r="HC16" s="16">
        <f t="shared" si="117"/>
        <v>0.27227093302112659</v>
      </c>
      <c r="HD16" s="15">
        <f t="shared" si="118"/>
        <v>1.1417708110148188</v>
      </c>
      <c r="HE16" s="14">
        <v>22</v>
      </c>
      <c r="HF16" s="14">
        <v>1</v>
      </c>
      <c r="HG16" s="14">
        <v>686</v>
      </c>
      <c r="HH16" s="14">
        <v>22</v>
      </c>
      <c r="HI16" s="14">
        <v>20</v>
      </c>
      <c r="HJ16" s="15">
        <f t="shared" si="119"/>
        <v>21</v>
      </c>
      <c r="HK16" s="16">
        <f t="shared" si="120"/>
        <v>1</v>
      </c>
      <c r="HL16" s="14">
        <v>14</v>
      </c>
      <c r="HM16" s="14">
        <v>30</v>
      </c>
      <c r="HN16" s="17">
        <f t="shared" si="121"/>
        <v>2.1428571428571428</v>
      </c>
    </row>
    <row r="17" spans="1:222" x14ac:dyDescent="0.3">
      <c r="A17" s="6" t="s">
        <v>255</v>
      </c>
      <c r="B17" s="6" t="s">
        <v>255</v>
      </c>
      <c r="C17" s="7" t="s">
        <v>257</v>
      </c>
      <c r="D17" s="7">
        <v>2025</v>
      </c>
      <c r="E17" s="7">
        <v>6</v>
      </c>
      <c r="F17" s="7" t="s">
        <v>261</v>
      </c>
      <c r="G17" s="7" t="s">
        <v>259</v>
      </c>
      <c r="H17" s="8">
        <v>54718</v>
      </c>
      <c r="I17" s="8">
        <v>18981</v>
      </c>
      <c r="J17" s="8">
        <v>423</v>
      </c>
      <c r="K17" s="8">
        <v>494</v>
      </c>
      <c r="L17" s="8">
        <v>191</v>
      </c>
      <c r="M17" s="9">
        <f t="shared" si="61"/>
        <v>20089</v>
      </c>
      <c r="N17" s="8">
        <v>12704.8</v>
      </c>
      <c r="O17" s="8">
        <v>0</v>
      </c>
      <c r="P17" s="8">
        <v>3456.1</v>
      </c>
      <c r="Q17" s="8">
        <v>1590.8</v>
      </c>
      <c r="R17" s="9">
        <f t="shared" si="62"/>
        <v>17751.7</v>
      </c>
      <c r="S17" s="9">
        <f t="shared" si="63"/>
        <v>37840.699999999997</v>
      </c>
      <c r="T17" s="8">
        <v>16877.3</v>
      </c>
      <c r="U17" s="10">
        <f t="shared" si="64"/>
        <v>0.30844146350378304</v>
      </c>
      <c r="V17" s="8">
        <v>276</v>
      </c>
      <c r="W17" s="11">
        <f t="shared" si="65"/>
        <v>5.0440440074564132E-3</v>
      </c>
      <c r="X17" s="8">
        <v>0</v>
      </c>
      <c r="Y17" s="11">
        <f t="shared" si="66"/>
        <v>0</v>
      </c>
      <c r="Z17" s="8">
        <v>0</v>
      </c>
      <c r="AA17" s="11">
        <f t="shared" si="67"/>
        <v>0</v>
      </c>
      <c r="AB17" s="8">
        <v>432</v>
      </c>
      <c r="AC17" s="11">
        <f t="shared" si="68"/>
        <v>7.8950254029752556E-3</v>
      </c>
      <c r="AD17" s="8">
        <v>0</v>
      </c>
      <c r="AE17" s="11">
        <f t="shared" si="69"/>
        <v>0</v>
      </c>
      <c r="AF17" s="8">
        <v>0</v>
      </c>
      <c r="AG17" s="11">
        <f t="shared" si="70"/>
        <v>0</v>
      </c>
      <c r="AH17" s="8">
        <v>2582925.5855999999</v>
      </c>
      <c r="AI17" s="9">
        <f t="shared" si="71"/>
        <v>47.204312759969298</v>
      </c>
      <c r="AJ17" s="8">
        <v>71480</v>
      </c>
      <c r="AK17" s="11">
        <f t="shared" si="72"/>
        <v>1.3063342958441464</v>
      </c>
      <c r="AL17" s="8">
        <v>11969186.699999999</v>
      </c>
      <c r="AM17" s="9">
        <f t="shared" si="73"/>
        <v>218.74313205892028</v>
      </c>
      <c r="AN17" s="8">
        <v>2274</v>
      </c>
      <c r="AO17" s="8">
        <v>294</v>
      </c>
      <c r="AP17" s="8">
        <v>803796</v>
      </c>
      <c r="AQ17" s="8">
        <v>0</v>
      </c>
      <c r="AR17" s="8">
        <v>16837531.719999999</v>
      </c>
      <c r="AS17" s="8">
        <v>5358554.32</v>
      </c>
      <c r="AT17" s="8">
        <v>19454059.48</v>
      </c>
      <c r="AU17" s="9">
        <f t="shared" si="74"/>
        <v>57006053.805600002</v>
      </c>
      <c r="AV17" s="9">
        <f t="shared" si="75"/>
        <v>1041.8153771263569</v>
      </c>
      <c r="AW17" s="9">
        <f t="shared" si="76"/>
        <v>1506.4746108185104</v>
      </c>
      <c r="AX17" s="8">
        <v>24</v>
      </c>
      <c r="AY17" s="9">
        <f t="shared" si="77"/>
        <v>5.2633502686501696</v>
      </c>
      <c r="AZ17" s="8">
        <v>46</v>
      </c>
      <c r="BA17" s="8">
        <v>686</v>
      </c>
      <c r="BB17" s="8">
        <v>48</v>
      </c>
      <c r="BC17" s="8">
        <v>0</v>
      </c>
      <c r="BD17" s="8">
        <v>22</v>
      </c>
      <c r="BE17" s="9">
        <f t="shared" si="78"/>
        <v>22</v>
      </c>
      <c r="BF17" s="9">
        <f t="shared" si="79"/>
        <v>712</v>
      </c>
      <c r="BG17" s="8">
        <v>0</v>
      </c>
      <c r="BH17" s="8">
        <v>0</v>
      </c>
      <c r="BI17" s="8">
        <v>0</v>
      </c>
      <c r="BJ17" s="8">
        <v>0</v>
      </c>
      <c r="BK17" s="9">
        <f t="shared" si="80"/>
        <v>0</v>
      </c>
      <c r="BL17" s="9">
        <f t="shared" si="81"/>
        <v>0</v>
      </c>
      <c r="BM17" s="8">
        <v>0</v>
      </c>
      <c r="BN17" s="8">
        <v>0</v>
      </c>
      <c r="BO17" s="8">
        <v>0</v>
      </c>
      <c r="BP17" s="8">
        <v>0</v>
      </c>
      <c r="BQ17" s="9">
        <f t="shared" si="82"/>
        <v>0</v>
      </c>
      <c r="BR17" s="9">
        <f t="shared" si="83"/>
        <v>0</v>
      </c>
      <c r="BS17" s="8">
        <v>0</v>
      </c>
      <c r="BT17" s="8">
        <v>0</v>
      </c>
      <c r="BU17" s="8">
        <v>0</v>
      </c>
      <c r="BV17" s="8">
        <v>0</v>
      </c>
      <c r="BW17" s="9">
        <f t="shared" si="84"/>
        <v>0</v>
      </c>
      <c r="BX17" s="9">
        <f t="shared" si="85"/>
        <v>0</v>
      </c>
      <c r="BY17" s="9">
        <f t="shared" si="86"/>
        <v>686</v>
      </c>
      <c r="BZ17" s="9">
        <f t="shared" si="87"/>
        <v>48</v>
      </c>
      <c r="CA17" s="9">
        <f t="shared" si="88"/>
        <v>22</v>
      </c>
      <c r="CB17" s="9">
        <f t="shared" si="89"/>
        <v>712</v>
      </c>
      <c r="CC17" s="8">
        <v>63</v>
      </c>
      <c r="CD17" s="8">
        <v>1689</v>
      </c>
      <c r="CE17" s="8">
        <v>33</v>
      </c>
      <c r="CF17" s="8">
        <v>20</v>
      </c>
      <c r="CG17" s="8">
        <v>15</v>
      </c>
      <c r="CH17" s="9">
        <f t="shared" si="90"/>
        <v>1757</v>
      </c>
      <c r="CI17" s="8">
        <v>2604</v>
      </c>
      <c r="CJ17" s="8">
        <v>10</v>
      </c>
      <c r="CK17" s="8">
        <v>6</v>
      </c>
      <c r="CL17" s="8">
        <v>7</v>
      </c>
      <c r="CM17" s="9">
        <f t="shared" si="91"/>
        <v>2627</v>
      </c>
      <c r="CN17" s="8">
        <v>1383</v>
      </c>
      <c r="CO17" s="8">
        <v>44</v>
      </c>
      <c r="CP17" s="8">
        <v>108</v>
      </c>
      <c r="CQ17" s="8">
        <v>0</v>
      </c>
      <c r="CR17" s="9">
        <f t="shared" si="92"/>
        <v>1535</v>
      </c>
      <c r="CS17" s="9">
        <f t="shared" si="93"/>
        <v>4162</v>
      </c>
      <c r="CT17" s="8">
        <v>5919</v>
      </c>
      <c r="CU17" s="8">
        <v>34068</v>
      </c>
      <c r="CV17" s="8">
        <v>30591</v>
      </c>
      <c r="CW17" s="10">
        <f t="shared" si="94"/>
        <v>0.89793941528707288</v>
      </c>
      <c r="CX17" s="8"/>
      <c r="CY17" s="8"/>
      <c r="CZ17" s="8"/>
      <c r="DA17" s="8"/>
      <c r="DB17" s="9">
        <f t="shared" si="95"/>
        <v>0</v>
      </c>
      <c r="DC17" s="8">
        <v>0</v>
      </c>
      <c r="DD17" s="8">
        <v>0</v>
      </c>
      <c r="DE17" s="8">
        <v>0</v>
      </c>
      <c r="DF17" s="8">
        <v>0</v>
      </c>
      <c r="DG17" s="9">
        <f t="shared" si="96"/>
        <v>0</v>
      </c>
      <c r="DH17" s="8">
        <v>0</v>
      </c>
      <c r="DI17" s="8">
        <v>0</v>
      </c>
      <c r="DJ17" s="8">
        <v>0</v>
      </c>
      <c r="DK17" s="8">
        <v>0</v>
      </c>
      <c r="DL17" s="9">
        <f t="shared" si="97"/>
        <v>0</v>
      </c>
      <c r="DM17" s="8">
        <v>268</v>
      </c>
      <c r="DN17" s="8">
        <v>3</v>
      </c>
      <c r="DO17" s="8">
        <v>0</v>
      </c>
      <c r="DP17" s="8">
        <v>0</v>
      </c>
      <c r="DQ17" s="9">
        <f t="shared" si="98"/>
        <v>271</v>
      </c>
      <c r="DR17" s="9">
        <f t="shared" si="99"/>
        <v>268</v>
      </c>
      <c r="DS17" s="9">
        <f t="shared" si="100"/>
        <v>3</v>
      </c>
      <c r="DT17" s="9">
        <f t="shared" si="101"/>
        <v>0</v>
      </c>
      <c r="DU17" s="9">
        <f t="shared" si="102"/>
        <v>0</v>
      </c>
      <c r="DV17" s="9">
        <f t="shared" si="103"/>
        <v>271</v>
      </c>
      <c r="DW17" s="8">
        <v>72</v>
      </c>
      <c r="DX17" s="8">
        <v>44</v>
      </c>
      <c r="DY17" s="8">
        <v>28</v>
      </c>
      <c r="DZ17" s="8">
        <v>2</v>
      </c>
      <c r="EA17" s="8">
        <v>2</v>
      </c>
      <c r="EB17" s="8">
        <v>5</v>
      </c>
      <c r="EC17" s="8">
        <v>2</v>
      </c>
      <c r="ED17" s="8">
        <v>6</v>
      </c>
      <c r="EE17" s="8">
        <v>9</v>
      </c>
      <c r="EF17" s="8">
        <v>2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9">
        <f t="shared" si="104"/>
        <v>172</v>
      </c>
      <c r="FH17" s="8">
        <v>0</v>
      </c>
      <c r="FI17" s="8">
        <v>0</v>
      </c>
      <c r="FJ17" s="8">
        <v>644</v>
      </c>
      <c r="FK17" s="8">
        <v>21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9">
        <f t="shared" si="105"/>
        <v>0</v>
      </c>
      <c r="FR17" s="8">
        <v>55231037.079999901</v>
      </c>
      <c r="FS17" s="8">
        <v>337100</v>
      </c>
      <c r="FT17" s="8">
        <v>1875470</v>
      </c>
      <c r="FU17" s="8">
        <v>295934.44</v>
      </c>
      <c r="FV17" s="9">
        <f t="shared" si="106"/>
        <v>57739541.519999899</v>
      </c>
      <c r="FW17" s="8">
        <v>16014953.609999999</v>
      </c>
      <c r="FX17" s="8">
        <v>0</v>
      </c>
      <c r="FY17" s="8">
        <v>7768191</v>
      </c>
      <c r="FZ17" s="8">
        <v>10438909.4</v>
      </c>
      <c r="GA17" s="9">
        <f t="shared" si="107"/>
        <v>34222054.009999998</v>
      </c>
      <c r="GB17" s="9">
        <f t="shared" si="108"/>
        <v>91961595.529999897</v>
      </c>
      <c r="GC17" s="8">
        <v>17723557.82</v>
      </c>
      <c r="GD17" s="8">
        <v>80911.44</v>
      </c>
      <c r="GE17" s="8">
        <v>1664197.55</v>
      </c>
      <c r="GF17" s="8">
        <v>824838.04</v>
      </c>
      <c r="GG17" s="9">
        <f t="shared" si="109"/>
        <v>20293504.850000001</v>
      </c>
      <c r="GH17" s="8">
        <v>15919638.839999979</v>
      </c>
      <c r="GI17" s="8">
        <v>0</v>
      </c>
      <c r="GJ17" s="8">
        <v>10395380.33</v>
      </c>
      <c r="GK17" s="8">
        <v>7454188.6600000001</v>
      </c>
      <c r="GL17" s="9">
        <f t="shared" si="110"/>
        <v>33769207.829999983</v>
      </c>
      <c r="GM17" s="9">
        <f t="shared" si="111"/>
        <v>54062712.679999985</v>
      </c>
      <c r="GN17" s="8">
        <v>1395340.86</v>
      </c>
      <c r="GO17" s="8">
        <v>1338.96</v>
      </c>
      <c r="GP17" s="8">
        <v>33936.400000000001</v>
      </c>
      <c r="GQ17" s="8">
        <v>27824.04</v>
      </c>
      <c r="GR17" s="9">
        <f t="shared" si="112"/>
        <v>1458440.26</v>
      </c>
      <c r="GS17" s="8">
        <v>2325372</v>
      </c>
      <c r="GT17" s="8">
        <v>6251</v>
      </c>
      <c r="GU17" s="8">
        <v>8930</v>
      </c>
      <c r="GV17" s="8">
        <v>5358</v>
      </c>
      <c r="GW17" s="9">
        <f t="shared" si="113"/>
        <v>2345911</v>
      </c>
      <c r="GX17" s="9">
        <f t="shared" si="114"/>
        <v>57867063.939999983</v>
      </c>
      <c r="GY17" s="8">
        <v>181298808.59999999</v>
      </c>
      <c r="GZ17" s="8">
        <v>7705017.9299999997</v>
      </c>
      <c r="HA17" s="9">
        <f t="shared" si="115"/>
        <v>189003826.53</v>
      </c>
      <c r="HB17" s="9">
        <f t="shared" si="116"/>
        <v>0.98512089475815245</v>
      </c>
      <c r="HC17" s="10">
        <f t="shared" si="117"/>
        <v>0.38450969008807695</v>
      </c>
      <c r="HD17" s="9">
        <f t="shared" si="118"/>
        <v>1.5891871691529253</v>
      </c>
      <c r="HE17" s="8">
        <v>48</v>
      </c>
      <c r="HF17" s="8">
        <v>1</v>
      </c>
      <c r="HG17" s="8">
        <v>712</v>
      </c>
      <c r="HH17" s="8">
        <v>48</v>
      </c>
      <c r="HI17" s="8">
        <v>20</v>
      </c>
      <c r="HJ17" s="9">
        <f t="shared" si="119"/>
        <v>21</v>
      </c>
      <c r="HK17" s="10">
        <f t="shared" si="120"/>
        <v>1</v>
      </c>
      <c r="HL17" s="8">
        <v>16</v>
      </c>
      <c r="HM17" s="8">
        <v>30</v>
      </c>
      <c r="HN17" s="11">
        <f t="shared" si="121"/>
        <v>1.875</v>
      </c>
    </row>
    <row r="18" spans="1:222" x14ac:dyDescent="0.3">
      <c r="A18" s="12" t="s">
        <v>255</v>
      </c>
      <c r="B18" s="12" t="s">
        <v>255</v>
      </c>
      <c r="C18" s="13" t="s">
        <v>257</v>
      </c>
      <c r="D18" s="13">
        <v>2025</v>
      </c>
      <c r="E18" s="13">
        <v>7</v>
      </c>
      <c r="F18" s="13" t="s">
        <v>262</v>
      </c>
      <c r="G18" s="13" t="s">
        <v>263</v>
      </c>
      <c r="H18" s="14">
        <v>75207</v>
      </c>
      <c r="I18" s="14">
        <v>28705</v>
      </c>
      <c r="J18" s="14">
        <v>650</v>
      </c>
      <c r="K18" s="14">
        <v>651</v>
      </c>
      <c r="L18" s="14">
        <v>339</v>
      </c>
      <c r="M18" s="15">
        <f t="shared" si="61"/>
        <v>30345</v>
      </c>
      <c r="N18" s="14">
        <v>15473.4</v>
      </c>
      <c r="O18" s="14">
        <v>0</v>
      </c>
      <c r="P18" s="14">
        <v>1749.2</v>
      </c>
      <c r="Q18" s="14">
        <v>5209.7</v>
      </c>
      <c r="R18" s="15">
        <f t="shared" si="62"/>
        <v>22432.3</v>
      </c>
      <c r="S18" s="15">
        <f t="shared" si="63"/>
        <v>52777.3</v>
      </c>
      <c r="T18" s="14">
        <v>22429.7</v>
      </c>
      <c r="U18" s="16">
        <f t="shared" si="64"/>
        <v>0.29823952557607669</v>
      </c>
      <c r="V18" s="14">
        <v>369</v>
      </c>
      <c r="W18" s="17">
        <f t="shared" si="65"/>
        <v>4.9064581754357968E-3</v>
      </c>
      <c r="X18" s="14">
        <v>0</v>
      </c>
      <c r="Y18" s="17">
        <f t="shared" si="66"/>
        <v>0</v>
      </c>
      <c r="Z18" s="14">
        <v>0</v>
      </c>
      <c r="AA18" s="17">
        <f t="shared" si="67"/>
        <v>0</v>
      </c>
      <c r="AB18" s="14">
        <v>480</v>
      </c>
      <c r="AC18" s="17">
        <f t="shared" si="68"/>
        <v>6.3823846184530696E-3</v>
      </c>
      <c r="AD18" s="14">
        <v>0</v>
      </c>
      <c r="AE18" s="17">
        <f t="shared" si="69"/>
        <v>0</v>
      </c>
      <c r="AF18" s="14">
        <v>0</v>
      </c>
      <c r="AG18" s="17">
        <f t="shared" si="70"/>
        <v>0</v>
      </c>
      <c r="AH18" s="14">
        <v>3089660.3939999999</v>
      </c>
      <c r="AI18" s="15">
        <f t="shared" si="71"/>
        <v>41.082085364394267</v>
      </c>
      <c r="AJ18" s="14">
        <v>57800</v>
      </c>
      <c r="AK18" s="17">
        <f t="shared" si="72"/>
        <v>0.76854548113872379</v>
      </c>
      <c r="AL18" s="14">
        <v>9682198.5</v>
      </c>
      <c r="AM18" s="15">
        <f t="shared" si="73"/>
        <v>128.74065579001956</v>
      </c>
      <c r="AN18" s="14">
        <v>2592</v>
      </c>
      <c r="AO18" s="14">
        <v>513</v>
      </c>
      <c r="AP18" s="14">
        <v>1402542</v>
      </c>
      <c r="AQ18" s="14">
        <v>0</v>
      </c>
      <c r="AR18" s="14">
        <v>16837531.719999999</v>
      </c>
      <c r="AS18" s="14">
        <v>7820653.4400000004</v>
      </c>
      <c r="AT18" s="14">
        <v>156000</v>
      </c>
      <c r="AU18" s="15">
        <f t="shared" si="74"/>
        <v>38988586.053999998</v>
      </c>
      <c r="AV18" s="15">
        <f t="shared" si="75"/>
        <v>518.41698317975715</v>
      </c>
      <c r="AW18" s="15">
        <f t="shared" si="76"/>
        <v>738.73779170211424</v>
      </c>
      <c r="AX18" s="14">
        <v>26</v>
      </c>
      <c r="AY18" s="15">
        <f t="shared" si="77"/>
        <v>4.1485500019944954</v>
      </c>
      <c r="AZ18" s="14">
        <v>45</v>
      </c>
      <c r="BA18" s="14">
        <v>712</v>
      </c>
      <c r="BB18" s="14">
        <v>52</v>
      </c>
      <c r="BC18" s="14">
        <v>0</v>
      </c>
      <c r="BD18" s="14">
        <v>9</v>
      </c>
      <c r="BE18" s="15">
        <f t="shared" si="78"/>
        <v>9</v>
      </c>
      <c r="BF18" s="15">
        <f t="shared" si="79"/>
        <v>755</v>
      </c>
      <c r="BG18" s="14">
        <v>0</v>
      </c>
      <c r="BH18" s="14">
        <v>0</v>
      </c>
      <c r="BI18" s="14">
        <v>0</v>
      </c>
      <c r="BJ18" s="14">
        <v>0</v>
      </c>
      <c r="BK18" s="15">
        <f t="shared" si="80"/>
        <v>0</v>
      </c>
      <c r="BL18" s="15">
        <f t="shared" si="81"/>
        <v>0</v>
      </c>
      <c r="BM18" s="14">
        <v>0</v>
      </c>
      <c r="BN18" s="14">
        <v>0</v>
      </c>
      <c r="BO18" s="14">
        <v>0</v>
      </c>
      <c r="BP18" s="14">
        <v>0</v>
      </c>
      <c r="BQ18" s="15">
        <f t="shared" si="82"/>
        <v>0</v>
      </c>
      <c r="BR18" s="15">
        <f t="shared" si="83"/>
        <v>0</v>
      </c>
      <c r="BS18" s="14">
        <v>0</v>
      </c>
      <c r="BT18" s="14">
        <v>0</v>
      </c>
      <c r="BU18" s="14">
        <v>0</v>
      </c>
      <c r="BV18" s="14">
        <v>0</v>
      </c>
      <c r="BW18" s="15">
        <f t="shared" si="84"/>
        <v>0</v>
      </c>
      <c r="BX18" s="15">
        <f t="shared" si="85"/>
        <v>0</v>
      </c>
      <c r="BY18" s="15">
        <f t="shared" si="86"/>
        <v>712</v>
      </c>
      <c r="BZ18" s="15">
        <f t="shared" si="87"/>
        <v>52</v>
      </c>
      <c r="CA18" s="15">
        <f t="shared" si="88"/>
        <v>9</v>
      </c>
      <c r="CB18" s="15">
        <f t="shared" si="89"/>
        <v>755</v>
      </c>
      <c r="CC18" s="14">
        <v>54</v>
      </c>
      <c r="CD18" s="14">
        <v>1689</v>
      </c>
      <c r="CE18" s="14">
        <v>33</v>
      </c>
      <c r="CF18" s="14">
        <v>20</v>
      </c>
      <c r="CG18" s="14">
        <v>15</v>
      </c>
      <c r="CH18" s="15">
        <f t="shared" si="90"/>
        <v>1757</v>
      </c>
      <c r="CI18" s="14">
        <v>2674</v>
      </c>
      <c r="CJ18" s="14">
        <v>9</v>
      </c>
      <c r="CK18" s="14">
        <v>7</v>
      </c>
      <c r="CL18" s="14">
        <v>7</v>
      </c>
      <c r="CM18" s="15">
        <f t="shared" si="91"/>
        <v>2697</v>
      </c>
      <c r="CN18" s="14">
        <v>1437</v>
      </c>
      <c r="CO18" s="14">
        <v>37</v>
      </c>
      <c r="CP18" s="14">
        <v>122</v>
      </c>
      <c r="CQ18" s="14">
        <v>0</v>
      </c>
      <c r="CR18" s="15">
        <f t="shared" si="92"/>
        <v>1596</v>
      </c>
      <c r="CS18" s="15">
        <f t="shared" si="93"/>
        <v>4293</v>
      </c>
      <c r="CT18" s="14">
        <v>6050</v>
      </c>
      <c r="CU18" s="14">
        <v>34068</v>
      </c>
      <c r="CV18" s="14">
        <v>30591</v>
      </c>
      <c r="CW18" s="16">
        <f t="shared" si="94"/>
        <v>0.89793941528707288</v>
      </c>
      <c r="CX18" s="14"/>
      <c r="CY18" s="14"/>
      <c r="CZ18" s="14"/>
      <c r="DA18" s="14"/>
      <c r="DB18" s="15">
        <f t="shared" si="95"/>
        <v>0</v>
      </c>
      <c r="DC18" s="14">
        <v>0</v>
      </c>
      <c r="DD18" s="14">
        <v>0</v>
      </c>
      <c r="DE18" s="14">
        <v>0</v>
      </c>
      <c r="DF18" s="14">
        <v>0</v>
      </c>
      <c r="DG18" s="15">
        <f t="shared" si="96"/>
        <v>0</v>
      </c>
      <c r="DH18" s="14">
        <v>0</v>
      </c>
      <c r="DI18" s="14">
        <v>0</v>
      </c>
      <c r="DJ18" s="14">
        <v>0</v>
      </c>
      <c r="DK18" s="14">
        <v>0</v>
      </c>
      <c r="DL18" s="15">
        <f t="shared" si="97"/>
        <v>0</v>
      </c>
      <c r="DM18" s="14">
        <v>271</v>
      </c>
      <c r="DN18" s="14">
        <v>0</v>
      </c>
      <c r="DO18" s="14">
        <v>0</v>
      </c>
      <c r="DP18" s="14">
        <v>0</v>
      </c>
      <c r="DQ18" s="15">
        <f t="shared" si="98"/>
        <v>271</v>
      </c>
      <c r="DR18" s="15">
        <f t="shared" si="99"/>
        <v>271</v>
      </c>
      <c r="DS18" s="15">
        <f t="shared" si="100"/>
        <v>0</v>
      </c>
      <c r="DT18" s="15">
        <f t="shared" si="101"/>
        <v>0</v>
      </c>
      <c r="DU18" s="15">
        <f t="shared" si="102"/>
        <v>0</v>
      </c>
      <c r="DV18" s="15">
        <f t="shared" si="103"/>
        <v>271</v>
      </c>
      <c r="DW18" s="14">
        <v>84</v>
      </c>
      <c r="DX18" s="14">
        <v>39</v>
      </c>
      <c r="DY18" s="14">
        <v>16</v>
      </c>
      <c r="DZ18" s="14">
        <v>0</v>
      </c>
      <c r="EA18" s="14">
        <v>2</v>
      </c>
      <c r="EB18" s="14">
        <v>2</v>
      </c>
      <c r="EC18" s="14">
        <v>0</v>
      </c>
      <c r="ED18" s="14">
        <v>2</v>
      </c>
      <c r="EE18" s="14">
        <v>7</v>
      </c>
      <c r="EF18" s="14">
        <v>3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5">
        <f t="shared" si="104"/>
        <v>155</v>
      </c>
      <c r="FH18" s="14">
        <v>1</v>
      </c>
      <c r="FI18" s="14">
        <v>120</v>
      </c>
      <c r="FJ18" s="14">
        <v>540</v>
      </c>
      <c r="FK18" s="14">
        <v>72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5">
        <f t="shared" si="105"/>
        <v>0</v>
      </c>
      <c r="FR18" s="14">
        <v>21704845.23</v>
      </c>
      <c r="FS18" s="14">
        <v>61600</v>
      </c>
      <c r="FT18" s="14">
        <v>1536440</v>
      </c>
      <c r="FU18" s="14">
        <v>117500</v>
      </c>
      <c r="FV18" s="15">
        <f t="shared" si="106"/>
        <v>23420385.23</v>
      </c>
      <c r="FW18" s="14">
        <v>19554710.52</v>
      </c>
      <c r="FX18" s="14">
        <v>0</v>
      </c>
      <c r="FY18" s="14">
        <v>24809868.539999999</v>
      </c>
      <c r="FZ18" s="14">
        <v>5286447.4000000004</v>
      </c>
      <c r="GA18" s="15">
        <f t="shared" si="107"/>
        <v>49651026.460000001</v>
      </c>
      <c r="GB18" s="15">
        <f t="shared" si="108"/>
        <v>73071411.689999998</v>
      </c>
      <c r="GC18" s="14">
        <v>26356470.109999999</v>
      </c>
      <c r="GD18" s="14">
        <v>124332</v>
      </c>
      <c r="GE18" s="14">
        <v>2204247.67</v>
      </c>
      <c r="GF18" s="14">
        <v>1586676.21</v>
      </c>
      <c r="GG18" s="15">
        <f t="shared" si="109"/>
        <v>30271725.990000002</v>
      </c>
      <c r="GH18" s="14">
        <v>19397922.290000021</v>
      </c>
      <c r="GI18" s="14">
        <v>0</v>
      </c>
      <c r="GJ18" s="14">
        <v>5280447.4000000004</v>
      </c>
      <c r="GK18" s="14">
        <v>24536558.739999998</v>
      </c>
      <c r="GL18" s="15">
        <f t="shared" si="110"/>
        <v>49214928.430000022</v>
      </c>
      <c r="GM18" s="15">
        <f t="shared" si="111"/>
        <v>79486654.420000017</v>
      </c>
      <c r="GN18" s="14">
        <v>1434754.93</v>
      </c>
      <c r="GO18" s="14">
        <v>1338.96</v>
      </c>
      <c r="GP18" s="14">
        <v>30542.76</v>
      </c>
      <c r="GQ18" s="14">
        <v>32461.38</v>
      </c>
      <c r="GR18" s="15">
        <f t="shared" si="112"/>
        <v>1499098.0299999998</v>
      </c>
      <c r="GS18" s="14">
        <v>2387882</v>
      </c>
      <c r="GT18" s="14">
        <v>6251</v>
      </c>
      <c r="GU18" s="14">
        <v>8037</v>
      </c>
      <c r="GV18" s="14">
        <v>6251</v>
      </c>
      <c r="GW18" s="15">
        <f t="shared" si="113"/>
        <v>2408421</v>
      </c>
      <c r="GX18" s="15">
        <f t="shared" si="114"/>
        <v>83394173.450000018</v>
      </c>
      <c r="GY18" s="14">
        <v>191882856.439998</v>
      </c>
      <c r="GZ18" s="14">
        <v>8175151.4199999999</v>
      </c>
      <c r="HA18" s="15">
        <f t="shared" si="115"/>
        <v>200058007.85999799</v>
      </c>
      <c r="HB18" s="15">
        <f t="shared" si="116"/>
        <v>0.46752170374799717</v>
      </c>
      <c r="HC18" s="16">
        <f t="shared" si="117"/>
        <v>0.26544681813516979</v>
      </c>
      <c r="HD18" s="15">
        <f t="shared" si="118"/>
        <v>0.87621723037774146</v>
      </c>
      <c r="HE18" s="14">
        <v>52</v>
      </c>
      <c r="HF18" s="14">
        <v>1</v>
      </c>
      <c r="HG18" s="14">
        <v>755</v>
      </c>
      <c r="HH18" s="14">
        <v>52</v>
      </c>
      <c r="HI18" s="14">
        <v>20</v>
      </c>
      <c r="HJ18" s="15">
        <f t="shared" si="119"/>
        <v>21</v>
      </c>
      <c r="HK18" s="16">
        <f t="shared" si="120"/>
        <v>1</v>
      </c>
      <c r="HL18" s="14">
        <v>14</v>
      </c>
      <c r="HM18" s="14">
        <v>30</v>
      </c>
      <c r="HN18" s="17">
        <f t="shared" si="121"/>
        <v>2.1428571428571428</v>
      </c>
    </row>
    <row r="19" spans="1:222" x14ac:dyDescent="0.3">
      <c r="A19" s="6" t="s">
        <v>255</v>
      </c>
      <c r="B19" s="6" t="s">
        <v>255</v>
      </c>
      <c r="C19" s="7" t="s">
        <v>257</v>
      </c>
      <c r="D19" s="7">
        <v>2025</v>
      </c>
      <c r="E19" s="7">
        <v>8</v>
      </c>
      <c r="F19" s="7" t="s">
        <v>264</v>
      </c>
      <c r="G19" s="7" t="s">
        <v>263</v>
      </c>
      <c r="H19" s="8">
        <v>65442</v>
      </c>
      <c r="I19" s="8">
        <v>24392</v>
      </c>
      <c r="J19" s="8">
        <v>540</v>
      </c>
      <c r="K19" s="8">
        <v>373</v>
      </c>
      <c r="L19" s="8">
        <v>119</v>
      </c>
      <c r="M19" s="9">
        <f t="shared" si="61"/>
        <v>25424</v>
      </c>
      <c r="N19" s="8">
        <v>14811.4</v>
      </c>
      <c r="O19" s="8">
        <v>0</v>
      </c>
      <c r="P19" s="8">
        <v>3236.7</v>
      </c>
      <c r="Q19" s="8">
        <v>1938.7</v>
      </c>
      <c r="R19" s="9">
        <f t="shared" si="62"/>
        <v>19986.8</v>
      </c>
      <c r="S19" s="9">
        <f t="shared" si="63"/>
        <v>45410.8</v>
      </c>
      <c r="T19" s="8">
        <v>20031.2</v>
      </c>
      <c r="U19" s="10">
        <f t="shared" si="64"/>
        <v>0.30609088964273712</v>
      </c>
      <c r="V19" s="8">
        <v>348</v>
      </c>
      <c r="W19" s="11">
        <f t="shared" si="65"/>
        <v>5.3176858897955445E-3</v>
      </c>
      <c r="X19" s="8">
        <v>0</v>
      </c>
      <c r="Y19" s="11">
        <f t="shared" si="66"/>
        <v>0</v>
      </c>
      <c r="Z19" s="8">
        <v>0</v>
      </c>
      <c r="AA19" s="11">
        <f t="shared" si="67"/>
        <v>0</v>
      </c>
      <c r="AB19" s="8">
        <v>228</v>
      </c>
      <c r="AC19" s="11">
        <f t="shared" si="68"/>
        <v>3.4840011002108739E-3</v>
      </c>
      <c r="AD19" s="8">
        <v>0</v>
      </c>
      <c r="AE19" s="11">
        <f t="shared" si="69"/>
        <v>0</v>
      </c>
      <c r="AF19" s="8">
        <v>0</v>
      </c>
      <c r="AG19" s="11">
        <f t="shared" si="70"/>
        <v>0</v>
      </c>
      <c r="AH19" s="8">
        <v>2076494.4024</v>
      </c>
      <c r="AI19" s="9">
        <f t="shared" si="71"/>
        <v>31.730301677821583</v>
      </c>
      <c r="AJ19" s="8">
        <v>56715</v>
      </c>
      <c r="AK19" s="11">
        <f t="shared" si="72"/>
        <v>0.86664527367745481</v>
      </c>
      <c r="AL19" s="8">
        <v>9500810.9124999996</v>
      </c>
      <c r="AM19" s="9">
        <f t="shared" si="73"/>
        <v>145.17910382476086</v>
      </c>
      <c r="AN19" s="8">
        <v>1908</v>
      </c>
      <c r="AO19" s="8">
        <v>580</v>
      </c>
      <c r="AP19" s="8">
        <v>1585720</v>
      </c>
      <c r="AQ19" s="8">
        <v>0</v>
      </c>
      <c r="AR19" s="8">
        <v>16622298.060000001</v>
      </c>
      <c r="AS19" s="8">
        <v>7793633.2000000002</v>
      </c>
      <c r="AT19" s="8">
        <v>2545700</v>
      </c>
      <c r="AU19" s="9">
        <f t="shared" si="74"/>
        <v>40124656.574900001</v>
      </c>
      <c r="AV19" s="9">
        <f t="shared" si="75"/>
        <v>613.13310373918887</v>
      </c>
      <c r="AW19" s="9">
        <f t="shared" si="76"/>
        <v>883.59281437235188</v>
      </c>
      <c r="AX19" s="8">
        <v>25</v>
      </c>
      <c r="AY19" s="9">
        <f t="shared" si="77"/>
        <v>4.5842119739616765</v>
      </c>
      <c r="AZ19" s="8">
        <v>53</v>
      </c>
      <c r="BA19" s="8">
        <v>755</v>
      </c>
      <c r="BB19" s="8">
        <v>76</v>
      </c>
      <c r="BC19" s="8">
        <v>0</v>
      </c>
      <c r="BD19" s="8">
        <v>22</v>
      </c>
      <c r="BE19" s="9">
        <f t="shared" si="78"/>
        <v>22</v>
      </c>
      <c r="BF19" s="9">
        <f t="shared" si="79"/>
        <v>809</v>
      </c>
      <c r="BG19" s="8">
        <v>0</v>
      </c>
      <c r="BH19" s="8">
        <v>0</v>
      </c>
      <c r="BI19" s="8">
        <v>0</v>
      </c>
      <c r="BJ19" s="8">
        <v>0</v>
      </c>
      <c r="BK19" s="9">
        <f t="shared" si="80"/>
        <v>0</v>
      </c>
      <c r="BL19" s="9">
        <f t="shared" si="81"/>
        <v>0</v>
      </c>
      <c r="BM19" s="8">
        <v>0</v>
      </c>
      <c r="BN19" s="8">
        <v>0</v>
      </c>
      <c r="BO19" s="8">
        <v>0</v>
      </c>
      <c r="BP19" s="8">
        <v>0</v>
      </c>
      <c r="BQ19" s="9">
        <f t="shared" si="82"/>
        <v>0</v>
      </c>
      <c r="BR19" s="9">
        <f t="shared" si="83"/>
        <v>0</v>
      </c>
      <c r="BS19" s="8">
        <v>0</v>
      </c>
      <c r="BT19" s="8">
        <v>0</v>
      </c>
      <c r="BU19" s="8">
        <v>0</v>
      </c>
      <c r="BV19" s="8">
        <v>0</v>
      </c>
      <c r="BW19" s="9">
        <f t="shared" si="84"/>
        <v>0</v>
      </c>
      <c r="BX19" s="9">
        <f t="shared" si="85"/>
        <v>0</v>
      </c>
      <c r="BY19" s="9">
        <f t="shared" si="86"/>
        <v>755</v>
      </c>
      <c r="BZ19" s="9">
        <f t="shared" si="87"/>
        <v>76</v>
      </c>
      <c r="CA19" s="9">
        <f t="shared" si="88"/>
        <v>22</v>
      </c>
      <c r="CB19" s="9">
        <f t="shared" si="89"/>
        <v>809</v>
      </c>
      <c r="CC19" s="8">
        <v>43</v>
      </c>
      <c r="CD19" s="8">
        <v>1662</v>
      </c>
      <c r="CE19" s="8">
        <v>33</v>
      </c>
      <c r="CF19" s="8">
        <v>20</v>
      </c>
      <c r="CG19" s="8">
        <v>15</v>
      </c>
      <c r="CH19" s="9">
        <f t="shared" si="90"/>
        <v>1730</v>
      </c>
      <c r="CI19" s="8">
        <v>2649</v>
      </c>
      <c r="CJ19" s="8">
        <v>8</v>
      </c>
      <c r="CK19" s="8">
        <v>5</v>
      </c>
      <c r="CL19" s="8">
        <v>9</v>
      </c>
      <c r="CM19" s="9">
        <f t="shared" si="91"/>
        <v>2671</v>
      </c>
      <c r="CN19" s="8">
        <v>1511</v>
      </c>
      <c r="CO19" s="8">
        <v>45</v>
      </c>
      <c r="CP19" s="8">
        <v>114</v>
      </c>
      <c r="CQ19" s="8">
        <v>1</v>
      </c>
      <c r="CR19" s="9">
        <f t="shared" si="92"/>
        <v>1671</v>
      </c>
      <c r="CS19" s="9">
        <f t="shared" si="93"/>
        <v>4342</v>
      </c>
      <c r="CT19" s="8">
        <v>6072</v>
      </c>
      <c r="CU19" s="8">
        <v>34408.68</v>
      </c>
      <c r="CV19" s="8">
        <v>31202.82</v>
      </c>
      <c r="CW19" s="10">
        <f t="shared" si="94"/>
        <v>0.90682990454734091</v>
      </c>
      <c r="CX19" s="8"/>
      <c r="CY19" s="8"/>
      <c r="CZ19" s="8"/>
      <c r="DA19" s="8"/>
      <c r="DB19" s="9">
        <f t="shared" si="95"/>
        <v>0</v>
      </c>
      <c r="DC19" s="8">
        <v>0</v>
      </c>
      <c r="DD19" s="8">
        <v>0</v>
      </c>
      <c r="DE19" s="8">
        <v>0</v>
      </c>
      <c r="DF19" s="8">
        <v>0</v>
      </c>
      <c r="DG19" s="9">
        <f t="shared" si="96"/>
        <v>0</v>
      </c>
      <c r="DH19" s="8">
        <v>0</v>
      </c>
      <c r="DI19" s="8">
        <v>0</v>
      </c>
      <c r="DJ19" s="8">
        <v>0</v>
      </c>
      <c r="DK19" s="8">
        <v>0</v>
      </c>
      <c r="DL19" s="9">
        <f t="shared" si="97"/>
        <v>0</v>
      </c>
      <c r="DM19" s="8">
        <v>271</v>
      </c>
      <c r="DN19" s="8">
        <v>0</v>
      </c>
      <c r="DO19" s="8">
        <v>0</v>
      </c>
      <c r="DP19" s="8">
        <v>0</v>
      </c>
      <c r="DQ19" s="9">
        <f t="shared" si="98"/>
        <v>271</v>
      </c>
      <c r="DR19" s="9">
        <f t="shared" si="99"/>
        <v>271</v>
      </c>
      <c r="DS19" s="9">
        <f t="shared" si="100"/>
        <v>0</v>
      </c>
      <c r="DT19" s="9">
        <f t="shared" si="101"/>
        <v>0</v>
      </c>
      <c r="DU19" s="9">
        <f t="shared" si="102"/>
        <v>0</v>
      </c>
      <c r="DV19" s="9">
        <f t="shared" si="103"/>
        <v>271</v>
      </c>
      <c r="DW19" s="8">
        <v>65</v>
      </c>
      <c r="DX19" s="8">
        <v>25</v>
      </c>
      <c r="DY19" s="8">
        <v>14</v>
      </c>
      <c r="DZ19" s="8">
        <v>7</v>
      </c>
      <c r="EA19" s="8">
        <v>5</v>
      </c>
      <c r="EB19" s="8">
        <v>6</v>
      </c>
      <c r="EC19" s="8">
        <v>0</v>
      </c>
      <c r="ED19" s="8">
        <v>2</v>
      </c>
      <c r="EE19" s="8">
        <v>1</v>
      </c>
      <c r="EF19" s="8">
        <v>1</v>
      </c>
      <c r="EG19" s="8">
        <v>1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9">
        <f t="shared" si="104"/>
        <v>127</v>
      </c>
      <c r="FH19" s="8">
        <v>1</v>
      </c>
      <c r="FI19" s="8">
        <v>6</v>
      </c>
      <c r="FJ19" s="8">
        <v>670</v>
      </c>
      <c r="FK19" s="8">
        <v>74</v>
      </c>
      <c r="FL19" s="8">
        <v>0</v>
      </c>
      <c r="FM19" s="8">
        <v>0</v>
      </c>
      <c r="FN19" s="8">
        <v>0</v>
      </c>
      <c r="FO19" s="8">
        <v>0</v>
      </c>
      <c r="FP19" s="8">
        <v>0</v>
      </c>
      <c r="FQ19" s="9">
        <f t="shared" si="105"/>
        <v>0</v>
      </c>
      <c r="FR19" s="8">
        <v>28177388.98</v>
      </c>
      <c r="FS19" s="8">
        <v>210867.22</v>
      </c>
      <c r="FT19" s="8">
        <v>1417507.22</v>
      </c>
      <c r="FU19" s="8">
        <v>233000</v>
      </c>
      <c r="FV19" s="9">
        <f t="shared" si="106"/>
        <v>30038763.419999998</v>
      </c>
      <c r="FW19" s="8">
        <v>19264988.48</v>
      </c>
      <c r="FX19" s="8">
        <v>1500</v>
      </c>
      <c r="FY19" s="8">
        <v>9513496.1799999997</v>
      </c>
      <c r="FZ19" s="8">
        <v>9738987.0899999999</v>
      </c>
      <c r="GA19" s="9">
        <f t="shared" si="107"/>
        <v>38518971.75</v>
      </c>
      <c r="GB19" s="9">
        <f t="shared" si="108"/>
        <v>68557735.170000002</v>
      </c>
      <c r="GC19" s="8">
        <v>22381745.379999999</v>
      </c>
      <c r="GD19" s="8">
        <v>103291.2</v>
      </c>
      <c r="GE19" s="8">
        <v>1234495.27</v>
      </c>
      <c r="GF19" s="8">
        <v>519295.25</v>
      </c>
      <c r="GG19" s="9">
        <f t="shared" si="109"/>
        <v>24238827.099999998</v>
      </c>
      <c r="GH19" s="8">
        <v>18567798.160000019</v>
      </c>
      <c r="GI19" s="8">
        <v>600</v>
      </c>
      <c r="GJ19" s="8">
        <v>9737787.0899999999</v>
      </c>
      <c r="GK19" s="8">
        <v>9054878.8300000001</v>
      </c>
      <c r="GL19" s="9">
        <f t="shared" si="110"/>
        <v>37361064.080000021</v>
      </c>
      <c r="GM19" s="9">
        <f t="shared" si="111"/>
        <v>61599891.180000022</v>
      </c>
      <c r="GN19" s="8">
        <v>1420537.29</v>
      </c>
      <c r="GO19" s="8">
        <v>1721.52</v>
      </c>
      <c r="GP19" s="8">
        <v>27149.119999999999</v>
      </c>
      <c r="GQ19" s="8">
        <v>23186.7</v>
      </c>
      <c r="GR19" s="9">
        <f t="shared" si="112"/>
        <v>1472594.6300000001</v>
      </c>
      <c r="GS19" s="8">
        <v>2365557</v>
      </c>
      <c r="GT19" s="8">
        <v>8037</v>
      </c>
      <c r="GU19" s="8">
        <v>7144</v>
      </c>
      <c r="GV19" s="8">
        <v>4465</v>
      </c>
      <c r="GW19" s="9">
        <f t="shared" si="113"/>
        <v>2385203</v>
      </c>
      <c r="GX19" s="9">
        <f t="shared" si="114"/>
        <v>65457688.810000025</v>
      </c>
      <c r="GY19" s="8">
        <v>186349517.93000001</v>
      </c>
      <c r="GZ19" s="8">
        <v>11513609.67</v>
      </c>
      <c r="HA19" s="9">
        <f t="shared" si="115"/>
        <v>197863127.59999999</v>
      </c>
      <c r="HB19" s="9">
        <f t="shared" si="116"/>
        <v>0.61298614882916735</v>
      </c>
      <c r="HC19" s="10">
        <f t="shared" si="117"/>
        <v>0.27226280001107483</v>
      </c>
      <c r="HD19" s="9">
        <f t="shared" si="118"/>
        <v>1.0473595450184361</v>
      </c>
      <c r="HE19" s="8">
        <v>76</v>
      </c>
      <c r="HF19" s="8">
        <v>1</v>
      </c>
      <c r="HG19" s="8">
        <v>809</v>
      </c>
      <c r="HH19" s="8">
        <v>76</v>
      </c>
      <c r="HI19" s="8">
        <v>20</v>
      </c>
      <c r="HJ19" s="9">
        <f t="shared" si="119"/>
        <v>21</v>
      </c>
      <c r="HK19" s="10">
        <f t="shared" si="120"/>
        <v>1</v>
      </c>
      <c r="HL19" s="8">
        <v>9</v>
      </c>
      <c r="HM19" s="8">
        <v>30</v>
      </c>
      <c r="HN19" s="11">
        <f t="shared" si="121"/>
        <v>3.3333333333333335</v>
      </c>
    </row>
    <row r="20" spans="1:222" x14ac:dyDescent="0.3">
      <c r="A20" s="12" t="s">
        <v>255</v>
      </c>
      <c r="B20" s="12" t="s">
        <v>255</v>
      </c>
      <c r="C20" s="13" t="s">
        <v>257</v>
      </c>
      <c r="D20" s="13">
        <v>2025</v>
      </c>
      <c r="E20" s="13">
        <v>9</v>
      </c>
      <c r="F20" s="13" t="s">
        <v>265</v>
      </c>
      <c r="G20" s="13" t="s">
        <v>263</v>
      </c>
      <c r="H20" s="14">
        <v>79532</v>
      </c>
      <c r="I20" s="14">
        <v>30922</v>
      </c>
      <c r="J20" s="14">
        <v>819</v>
      </c>
      <c r="K20" s="14">
        <v>474</v>
      </c>
      <c r="L20" s="14">
        <v>155</v>
      </c>
      <c r="M20" s="15">
        <f t="shared" si="61"/>
        <v>32370</v>
      </c>
      <c r="N20" s="14">
        <v>19401.099999999999</v>
      </c>
      <c r="O20" s="14">
        <v>0</v>
      </c>
      <c r="P20" s="14">
        <v>1207.0999999999999</v>
      </c>
      <c r="Q20" s="14">
        <v>2262.3000000000002</v>
      </c>
      <c r="R20" s="15">
        <f t="shared" si="62"/>
        <v>22870.499999999996</v>
      </c>
      <c r="S20" s="15">
        <f t="shared" si="63"/>
        <v>55240.5</v>
      </c>
      <c r="T20" s="14">
        <v>24291.5</v>
      </c>
      <c r="U20" s="16">
        <f t="shared" si="64"/>
        <v>0.30543051853342051</v>
      </c>
      <c r="V20" s="14">
        <v>348</v>
      </c>
      <c r="W20" s="17">
        <f t="shared" si="65"/>
        <v>4.3755972438766786E-3</v>
      </c>
      <c r="X20" s="14">
        <v>0</v>
      </c>
      <c r="Y20" s="17">
        <f t="shared" si="66"/>
        <v>0</v>
      </c>
      <c r="Z20" s="14">
        <v>0</v>
      </c>
      <c r="AA20" s="17">
        <f t="shared" si="67"/>
        <v>0</v>
      </c>
      <c r="AB20" s="14">
        <v>435</v>
      </c>
      <c r="AC20" s="17">
        <f t="shared" si="68"/>
        <v>5.469496554845848E-3</v>
      </c>
      <c r="AD20" s="14">
        <v>0</v>
      </c>
      <c r="AE20" s="17">
        <f t="shared" si="69"/>
        <v>0</v>
      </c>
      <c r="AF20" s="14">
        <v>0</v>
      </c>
      <c r="AG20" s="17">
        <f t="shared" si="70"/>
        <v>0</v>
      </c>
      <c r="AH20" s="14">
        <v>2847926.6430000002</v>
      </c>
      <c r="AI20" s="15">
        <f t="shared" si="71"/>
        <v>35.808563131821153</v>
      </c>
      <c r="AJ20" s="14">
        <v>51921</v>
      </c>
      <c r="AK20" s="17">
        <f t="shared" si="72"/>
        <v>0.65283156465322134</v>
      </c>
      <c r="AL20" s="14">
        <v>8699361.977500001</v>
      </c>
      <c r="AM20" s="15">
        <f t="shared" si="73"/>
        <v>109.38190888573155</v>
      </c>
      <c r="AN20" s="14">
        <v>1610</v>
      </c>
      <c r="AO20" s="14">
        <v>220</v>
      </c>
      <c r="AP20" s="14">
        <v>601480</v>
      </c>
      <c r="AQ20" s="14">
        <v>0</v>
      </c>
      <c r="AR20" s="14">
        <v>16155162.279999999</v>
      </c>
      <c r="AS20" s="14">
        <v>9349269.4399999995</v>
      </c>
      <c r="AT20" s="14">
        <v>16955302.079999998</v>
      </c>
      <c r="AU20" s="15">
        <f t="shared" si="74"/>
        <v>54608502.420499995</v>
      </c>
      <c r="AV20" s="15">
        <f t="shared" si="75"/>
        <v>686.62302495222048</v>
      </c>
      <c r="AW20" s="15">
        <f t="shared" si="76"/>
        <v>988.55916257999104</v>
      </c>
      <c r="AX20" s="14">
        <v>25</v>
      </c>
      <c r="AY20" s="15">
        <f t="shared" si="77"/>
        <v>3.772066589548861</v>
      </c>
      <c r="AZ20" s="14">
        <v>53</v>
      </c>
      <c r="BA20" s="14">
        <v>809</v>
      </c>
      <c r="BB20" s="14">
        <v>57</v>
      </c>
      <c r="BC20" s="14">
        <v>0</v>
      </c>
      <c r="BD20" s="14">
        <v>32</v>
      </c>
      <c r="BE20" s="15">
        <f t="shared" si="78"/>
        <v>32</v>
      </c>
      <c r="BF20" s="15">
        <f t="shared" si="79"/>
        <v>834</v>
      </c>
      <c r="BG20" s="14">
        <v>0</v>
      </c>
      <c r="BH20" s="14">
        <v>0</v>
      </c>
      <c r="BI20" s="14">
        <v>0</v>
      </c>
      <c r="BJ20" s="14">
        <v>0</v>
      </c>
      <c r="BK20" s="15">
        <f t="shared" si="80"/>
        <v>0</v>
      </c>
      <c r="BL20" s="15">
        <f t="shared" si="81"/>
        <v>0</v>
      </c>
      <c r="BM20" s="14">
        <v>0</v>
      </c>
      <c r="BN20" s="14">
        <v>0</v>
      </c>
      <c r="BO20" s="14">
        <v>0</v>
      </c>
      <c r="BP20" s="14">
        <v>0</v>
      </c>
      <c r="BQ20" s="15">
        <f t="shared" si="82"/>
        <v>0</v>
      </c>
      <c r="BR20" s="15">
        <f t="shared" si="83"/>
        <v>0</v>
      </c>
      <c r="BS20" s="14">
        <v>0</v>
      </c>
      <c r="BT20" s="14">
        <v>0</v>
      </c>
      <c r="BU20" s="14">
        <v>0</v>
      </c>
      <c r="BV20" s="14">
        <v>0</v>
      </c>
      <c r="BW20" s="15">
        <f t="shared" si="84"/>
        <v>0</v>
      </c>
      <c r="BX20" s="15">
        <f t="shared" si="85"/>
        <v>0</v>
      </c>
      <c r="BY20" s="15">
        <f t="shared" si="86"/>
        <v>809</v>
      </c>
      <c r="BZ20" s="15">
        <f t="shared" si="87"/>
        <v>57</v>
      </c>
      <c r="CA20" s="15">
        <f t="shared" si="88"/>
        <v>32</v>
      </c>
      <c r="CB20" s="15">
        <f t="shared" si="89"/>
        <v>834</v>
      </c>
      <c r="CC20" s="14">
        <v>32</v>
      </c>
      <c r="CD20" s="14">
        <v>1662</v>
      </c>
      <c r="CE20" s="14">
        <v>33</v>
      </c>
      <c r="CF20" s="14">
        <v>20</v>
      </c>
      <c r="CG20" s="14">
        <v>15</v>
      </c>
      <c r="CH20" s="15">
        <f t="shared" si="90"/>
        <v>1730</v>
      </c>
      <c r="CI20" s="14">
        <v>2631</v>
      </c>
      <c r="CJ20" s="14">
        <v>7</v>
      </c>
      <c r="CK20" s="14">
        <v>4</v>
      </c>
      <c r="CL20" s="14">
        <v>10</v>
      </c>
      <c r="CM20" s="15">
        <f t="shared" si="91"/>
        <v>2652</v>
      </c>
      <c r="CN20" s="14">
        <v>1543</v>
      </c>
      <c r="CO20" s="14">
        <v>45</v>
      </c>
      <c r="CP20" s="14">
        <v>114</v>
      </c>
      <c r="CQ20" s="14">
        <v>1</v>
      </c>
      <c r="CR20" s="15">
        <f t="shared" si="92"/>
        <v>1703</v>
      </c>
      <c r="CS20" s="15">
        <f t="shared" si="93"/>
        <v>4355</v>
      </c>
      <c r="CT20" s="14">
        <v>6085</v>
      </c>
      <c r="CU20" s="14">
        <v>34753</v>
      </c>
      <c r="CV20" s="14">
        <v>31515</v>
      </c>
      <c r="CW20" s="16">
        <f t="shared" si="94"/>
        <v>0.90682818749460481</v>
      </c>
      <c r="CX20" s="14"/>
      <c r="CY20" s="14"/>
      <c r="CZ20" s="14"/>
      <c r="DA20" s="14"/>
      <c r="DB20" s="15">
        <f t="shared" si="95"/>
        <v>0</v>
      </c>
      <c r="DC20" s="14">
        <v>0</v>
      </c>
      <c r="DD20" s="14">
        <v>0</v>
      </c>
      <c r="DE20" s="14">
        <v>0</v>
      </c>
      <c r="DF20" s="14">
        <v>0</v>
      </c>
      <c r="DG20" s="15">
        <f t="shared" si="96"/>
        <v>0</v>
      </c>
      <c r="DH20" s="14">
        <v>0</v>
      </c>
      <c r="DI20" s="14">
        <v>0</v>
      </c>
      <c r="DJ20" s="14">
        <v>0</v>
      </c>
      <c r="DK20" s="14">
        <v>0</v>
      </c>
      <c r="DL20" s="15">
        <f t="shared" si="97"/>
        <v>0</v>
      </c>
      <c r="DM20" s="14">
        <v>244</v>
      </c>
      <c r="DN20" s="14">
        <v>0</v>
      </c>
      <c r="DO20" s="14">
        <v>0</v>
      </c>
      <c r="DP20" s="14">
        <v>12</v>
      </c>
      <c r="DQ20" s="15">
        <f t="shared" si="98"/>
        <v>232</v>
      </c>
      <c r="DR20" s="15">
        <f t="shared" si="99"/>
        <v>244</v>
      </c>
      <c r="DS20" s="15">
        <f t="shared" si="100"/>
        <v>0</v>
      </c>
      <c r="DT20" s="15">
        <f t="shared" si="101"/>
        <v>0</v>
      </c>
      <c r="DU20" s="15">
        <f t="shared" si="102"/>
        <v>12</v>
      </c>
      <c r="DV20" s="15">
        <f t="shared" si="103"/>
        <v>232</v>
      </c>
      <c r="DW20" s="14">
        <v>82</v>
      </c>
      <c r="DX20" s="14">
        <v>30</v>
      </c>
      <c r="DY20" s="14">
        <v>18</v>
      </c>
      <c r="DZ20" s="14">
        <v>7</v>
      </c>
      <c r="EA20" s="14">
        <v>6</v>
      </c>
      <c r="EB20" s="14">
        <v>10</v>
      </c>
      <c r="EC20" s="14">
        <v>0</v>
      </c>
      <c r="ED20" s="14">
        <v>6</v>
      </c>
      <c r="EE20" s="14">
        <v>1</v>
      </c>
      <c r="EF20" s="14">
        <v>0</v>
      </c>
      <c r="EG20" s="14">
        <v>0</v>
      </c>
      <c r="EH20" s="14">
        <v>0</v>
      </c>
      <c r="EI20" s="14">
        <v>0</v>
      </c>
      <c r="EJ20" s="14">
        <v>5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5">
        <f t="shared" si="104"/>
        <v>165</v>
      </c>
      <c r="FH20" s="14">
        <v>1</v>
      </c>
      <c r="FI20" s="14">
        <v>80</v>
      </c>
      <c r="FJ20" s="14">
        <v>620</v>
      </c>
      <c r="FK20" s="14">
        <v>20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5">
        <f t="shared" si="105"/>
        <v>0</v>
      </c>
      <c r="FR20" s="14">
        <v>23204888.82</v>
      </c>
      <c r="FS20" s="14">
        <v>141300</v>
      </c>
      <c r="FT20" s="14">
        <v>661540</v>
      </c>
      <c r="FU20" s="14">
        <v>7671857.5599999996</v>
      </c>
      <c r="FV20" s="15">
        <f t="shared" si="106"/>
        <v>31679586.379999999</v>
      </c>
      <c r="FW20" s="14">
        <v>25015887.699999899</v>
      </c>
      <c r="FX20" s="14">
        <v>2000</v>
      </c>
      <c r="FY20" s="14">
        <v>10996858.4</v>
      </c>
      <c r="FZ20" s="14">
        <v>3675049.16</v>
      </c>
      <c r="GA20" s="15">
        <f t="shared" si="107"/>
        <v>39689795.259999901</v>
      </c>
      <c r="GB20" s="15">
        <f t="shared" si="108"/>
        <v>71369381.639999896</v>
      </c>
      <c r="GC20" s="14">
        <v>28378726.629999999</v>
      </c>
      <c r="GD20" s="14">
        <v>156658.32</v>
      </c>
      <c r="GE20" s="14">
        <v>1594442.69</v>
      </c>
      <c r="GF20" s="14">
        <v>702883.86</v>
      </c>
      <c r="GG20" s="15">
        <f t="shared" si="109"/>
        <v>30832711.5</v>
      </c>
      <c r="GH20" s="14">
        <v>24201037.16999992</v>
      </c>
      <c r="GI20" s="14">
        <v>800</v>
      </c>
      <c r="GJ20" s="14">
        <v>3669049.16</v>
      </c>
      <c r="GK20" s="14">
        <v>10692907.67</v>
      </c>
      <c r="GL20" s="15">
        <f t="shared" si="110"/>
        <v>38563793.999999918</v>
      </c>
      <c r="GM20" s="15">
        <f t="shared" si="111"/>
        <v>69396505.499999911</v>
      </c>
      <c r="GN20" s="14">
        <v>1410503.69</v>
      </c>
      <c r="GO20" s="14">
        <v>1912.8</v>
      </c>
      <c r="GP20" s="14">
        <v>23755.48</v>
      </c>
      <c r="GQ20" s="14">
        <v>18549.36</v>
      </c>
      <c r="GR20" s="15">
        <f t="shared" si="112"/>
        <v>1454721.33</v>
      </c>
      <c r="GS20" s="14">
        <v>2349483</v>
      </c>
      <c r="GT20" s="14">
        <v>8930</v>
      </c>
      <c r="GU20" s="14">
        <v>6251</v>
      </c>
      <c r="GV20" s="14">
        <v>3572</v>
      </c>
      <c r="GW20" s="15">
        <f t="shared" si="113"/>
        <v>2368236</v>
      </c>
      <c r="GX20" s="15">
        <f t="shared" si="114"/>
        <v>73219462.829999909</v>
      </c>
      <c r="GY20" s="14">
        <v>195125766.94999999</v>
      </c>
      <c r="GZ20" s="14">
        <v>5845359.9800000004</v>
      </c>
      <c r="HA20" s="15">
        <f t="shared" si="115"/>
        <v>200971126.92999998</v>
      </c>
      <c r="HB20" s="15">
        <f t="shared" si="116"/>
        <v>0.7458194899256414</v>
      </c>
      <c r="HC20" s="16">
        <f t="shared" si="117"/>
        <v>0.26596105955940169</v>
      </c>
      <c r="HD20" s="15">
        <f t="shared" si="118"/>
        <v>0.97473238509963522</v>
      </c>
      <c r="HE20" s="14">
        <v>57</v>
      </c>
      <c r="HF20" s="14">
        <v>1</v>
      </c>
      <c r="HG20" s="14">
        <v>834</v>
      </c>
      <c r="HH20" s="14">
        <v>57</v>
      </c>
      <c r="HI20" s="14">
        <v>20</v>
      </c>
      <c r="HJ20" s="15">
        <f t="shared" si="119"/>
        <v>21</v>
      </c>
      <c r="HK20" s="16">
        <f t="shared" si="120"/>
        <v>1</v>
      </c>
      <c r="HL20" s="14">
        <v>18</v>
      </c>
      <c r="HM20" s="14">
        <v>30</v>
      </c>
      <c r="HN20" s="17">
        <f t="shared" si="121"/>
        <v>1.6666666666666667</v>
      </c>
    </row>
    <row r="21" spans="1:222" x14ac:dyDescent="0.3">
      <c r="A21" s="6" t="s">
        <v>255</v>
      </c>
      <c r="B21" s="6" t="s">
        <v>255</v>
      </c>
      <c r="C21" s="7" t="s">
        <v>257</v>
      </c>
      <c r="D21" s="7">
        <v>2025</v>
      </c>
      <c r="E21" s="7">
        <v>10</v>
      </c>
      <c r="F21" s="7" t="s">
        <v>266</v>
      </c>
      <c r="G21" s="7" t="s">
        <v>267</v>
      </c>
      <c r="H21" s="8">
        <v>69610</v>
      </c>
      <c r="I21" s="8">
        <v>23928</v>
      </c>
      <c r="J21" s="8">
        <v>606</v>
      </c>
      <c r="K21" s="8">
        <v>291</v>
      </c>
      <c r="L21" s="8">
        <v>13</v>
      </c>
      <c r="M21" s="9">
        <f t="shared" si="61"/>
        <v>24838</v>
      </c>
      <c r="N21" s="8">
        <v>19995.900000000001</v>
      </c>
      <c r="O21" s="8">
        <v>0</v>
      </c>
      <c r="P21" s="8">
        <v>2473.1999999999998</v>
      </c>
      <c r="Q21" s="8">
        <v>1755.6</v>
      </c>
      <c r="R21" s="9">
        <f t="shared" si="62"/>
        <v>24224.7</v>
      </c>
      <c r="S21" s="9">
        <f t="shared" si="63"/>
        <v>49062.7</v>
      </c>
      <c r="T21" s="8">
        <v>20547.3</v>
      </c>
      <c r="U21" s="10">
        <f t="shared" si="64"/>
        <v>0.29517741703778194</v>
      </c>
      <c r="V21" s="8">
        <v>338</v>
      </c>
      <c r="W21" s="11">
        <f t="shared" si="65"/>
        <v>4.8556241919264472E-3</v>
      </c>
      <c r="X21" s="8">
        <v>0</v>
      </c>
      <c r="Y21" s="11">
        <f t="shared" si="66"/>
        <v>0</v>
      </c>
      <c r="Z21" s="8">
        <v>0</v>
      </c>
      <c r="AA21" s="11">
        <f t="shared" si="67"/>
        <v>0</v>
      </c>
      <c r="AB21" s="8">
        <v>0</v>
      </c>
      <c r="AC21" s="11">
        <f t="shared" si="68"/>
        <v>0</v>
      </c>
      <c r="AD21" s="8">
        <v>0</v>
      </c>
      <c r="AE21" s="11">
        <f t="shared" si="69"/>
        <v>0</v>
      </c>
      <c r="AF21" s="8">
        <v>0</v>
      </c>
      <c r="AG21" s="11">
        <f t="shared" si="70"/>
        <v>0</v>
      </c>
      <c r="AH21" s="8">
        <v>1191548.02</v>
      </c>
      <c r="AI21" s="9">
        <f t="shared" si="71"/>
        <v>17.117483407556385</v>
      </c>
      <c r="AJ21" s="8">
        <v>54690</v>
      </c>
      <c r="AK21" s="11">
        <f t="shared" si="72"/>
        <v>0.78566297945697461</v>
      </c>
      <c r="AL21" s="8">
        <v>9162276.4749999996</v>
      </c>
      <c r="AM21" s="9">
        <f t="shared" si="73"/>
        <v>131.6229920270076</v>
      </c>
      <c r="AN21" s="8">
        <v>2459</v>
      </c>
      <c r="AO21" s="8">
        <v>252</v>
      </c>
      <c r="AP21" s="8">
        <v>688968</v>
      </c>
      <c r="AQ21" s="8">
        <v>0</v>
      </c>
      <c r="AR21" s="8">
        <v>0</v>
      </c>
      <c r="AS21" s="8">
        <v>8484854.8800000008</v>
      </c>
      <c r="AT21" s="8">
        <v>3671766.85</v>
      </c>
      <c r="AU21" s="9">
        <f t="shared" si="74"/>
        <v>23199414.225000001</v>
      </c>
      <c r="AV21" s="9">
        <f t="shared" si="75"/>
        <v>333.27703239477091</v>
      </c>
      <c r="AW21" s="9">
        <f t="shared" si="76"/>
        <v>472.85237512407599</v>
      </c>
      <c r="AX21" s="8">
        <v>25</v>
      </c>
      <c r="AY21" s="9">
        <f t="shared" si="77"/>
        <v>4.3097256141358997</v>
      </c>
      <c r="AZ21" s="8">
        <v>55</v>
      </c>
      <c r="BA21" s="8">
        <v>834</v>
      </c>
      <c r="BB21" s="8">
        <v>69</v>
      </c>
      <c r="BC21" s="8">
        <v>24</v>
      </c>
      <c r="BD21" s="8">
        <v>37</v>
      </c>
      <c r="BE21" s="9">
        <f t="shared" si="78"/>
        <v>61</v>
      </c>
      <c r="BF21" s="9">
        <f t="shared" si="79"/>
        <v>842</v>
      </c>
      <c r="BG21" s="8">
        <v>0</v>
      </c>
      <c r="BH21" s="8">
        <v>0</v>
      </c>
      <c r="BI21" s="8">
        <v>0</v>
      </c>
      <c r="BJ21" s="8">
        <v>0</v>
      </c>
      <c r="BK21" s="9">
        <f t="shared" si="80"/>
        <v>0</v>
      </c>
      <c r="BL21" s="9">
        <f t="shared" si="81"/>
        <v>0</v>
      </c>
      <c r="BM21" s="8">
        <v>0</v>
      </c>
      <c r="BN21" s="8">
        <v>0</v>
      </c>
      <c r="BO21" s="8">
        <v>0</v>
      </c>
      <c r="BP21" s="8">
        <v>0</v>
      </c>
      <c r="BQ21" s="9">
        <f t="shared" si="82"/>
        <v>0</v>
      </c>
      <c r="BR21" s="9">
        <f t="shared" si="83"/>
        <v>0</v>
      </c>
      <c r="BS21" s="8">
        <v>0</v>
      </c>
      <c r="BT21" s="8">
        <v>0</v>
      </c>
      <c r="BU21" s="8">
        <v>0</v>
      </c>
      <c r="BV21" s="8">
        <v>0</v>
      </c>
      <c r="BW21" s="9">
        <f t="shared" si="84"/>
        <v>0</v>
      </c>
      <c r="BX21" s="9">
        <f t="shared" si="85"/>
        <v>0</v>
      </c>
      <c r="BY21" s="9">
        <f t="shared" si="86"/>
        <v>834</v>
      </c>
      <c r="BZ21" s="9">
        <f t="shared" si="87"/>
        <v>69</v>
      </c>
      <c r="CA21" s="9">
        <f t="shared" si="88"/>
        <v>61</v>
      </c>
      <c r="CB21" s="9">
        <f t="shared" si="89"/>
        <v>842</v>
      </c>
      <c r="CC21" s="8">
        <v>45</v>
      </c>
      <c r="CD21" s="8">
        <v>1701</v>
      </c>
      <c r="CE21" s="8">
        <v>33</v>
      </c>
      <c r="CF21" s="8">
        <v>20</v>
      </c>
      <c r="CG21" s="8">
        <v>15</v>
      </c>
      <c r="CH21" s="9">
        <f t="shared" si="90"/>
        <v>1769</v>
      </c>
      <c r="CI21" s="8">
        <v>2553</v>
      </c>
      <c r="CJ21" s="8">
        <v>8</v>
      </c>
      <c r="CK21" s="8">
        <v>5</v>
      </c>
      <c r="CL21" s="8">
        <v>10</v>
      </c>
      <c r="CM21" s="9">
        <f t="shared" si="91"/>
        <v>2576</v>
      </c>
      <c r="CN21" s="8">
        <v>1604</v>
      </c>
      <c r="CO21" s="8">
        <v>45</v>
      </c>
      <c r="CP21" s="8">
        <v>114</v>
      </c>
      <c r="CQ21" s="8">
        <v>1</v>
      </c>
      <c r="CR21" s="9">
        <f t="shared" si="92"/>
        <v>1764</v>
      </c>
      <c r="CS21" s="9">
        <f t="shared" si="93"/>
        <v>4340</v>
      </c>
      <c r="CT21" s="8">
        <v>6109</v>
      </c>
      <c r="CU21" s="8">
        <v>35100</v>
      </c>
      <c r="CV21" s="8">
        <v>32643</v>
      </c>
      <c r="CW21" s="10">
        <f t="shared" si="94"/>
        <v>0.93</v>
      </c>
      <c r="CX21" s="8"/>
      <c r="CY21" s="8"/>
      <c r="CZ21" s="8"/>
      <c r="DA21" s="8"/>
      <c r="DB21" s="9">
        <f t="shared" si="95"/>
        <v>0</v>
      </c>
      <c r="DC21" s="8">
        <v>0</v>
      </c>
      <c r="DD21" s="8">
        <v>0</v>
      </c>
      <c r="DE21" s="8">
        <v>0</v>
      </c>
      <c r="DF21" s="8">
        <v>0</v>
      </c>
      <c r="DG21" s="9">
        <f t="shared" si="96"/>
        <v>0</v>
      </c>
      <c r="DH21" s="8">
        <v>0</v>
      </c>
      <c r="DI21" s="8">
        <v>0</v>
      </c>
      <c r="DJ21" s="8">
        <v>0</v>
      </c>
      <c r="DK21" s="8">
        <v>0</v>
      </c>
      <c r="DL21" s="9">
        <f t="shared" si="97"/>
        <v>0</v>
      </c>
      <c r="DM21" s="8">
        <v>232</v>
      </c>
      <c r="DN21" s="8">
        <v>85</v>
      </c>
      <c r="DO21" s="8">
        <v>0</v>
      </c>
      <c r="DP21" s="8">
        <v>0</v>
      </c>
      <c r="DQ21" s="9">
        <f t="shared" si="98"/>
        <v>317</v>
      </c>
      <c r="DR21" s="9">
        <f t="shared" si="99"/>
        <v>232</v>
      </c>
      <c r="DS21" s="9">
        <f t="shared" si="100"/>
        <v>85</v>
      </c>
      <c r="DT21" s="9">
        <f t="shared" si="101"/>
        <v>0</v>
      </c>
      <c r="DU21" s="9">
        <f t="shared" si="102"/>
        <v>0</v>
      </c>
      <c r="DV21" s="9">
        <f t="shared" si="103"/>
        <v>317</v>
      </c>
      <c r="DW21" s="8">
        <v>59</v>
      </c>
      <c r="DX21" s="8">
        <v>20</v>
      </c>
      <c r="DY21" s="8">
        <v>17</v>
      </c>
      <c r="DZ21" s="8">
        <v>0</v>
      </c>
      <c r="EA21" s="8">
        <v>4</v>
      </c>
      <c r="EB21" s="8">
        <v>3</v>
      </c>
      <c r="EC21" s="8">
        <v>1</v>
      </c>
      <c r="ED21" s="8">
        <v>1</v>
      </c>
      <c r="EE21" s="8">
        <v>4</v>
      </c>
      <c r="EF21" s="8">
        <v>2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9">
        <f t="shared" si="104"/>
        <v>111</v>
      </c>
      <c r="FH21" s="8">
        <v>0</v>
      </c>
      <c r="FI21" s="8">
        <v>0</v>
      </c>
      <c r="FJ21" s="8">
        <v>595</v>
      </c>
      <c r="FK21" s="8">
        <v>74</v>
      </c>
      <c r="FL21" s="8">
        <v>0</v>
      </c>
      <c r="FM21" s="8">
        <v>0</v>
      </c>
      <c r="FN21" s="8">
        <v>0</v>
      </c>
      <c r="FO21" s="8">
        <v>0</v>
      </c>
      <c r="FP21" s="8">
        <v>1158</v>
      </c>
      <c r="FQ21" s="9">
        <f t="shared" si="105"/>
        <v>1158</v>
      </c>
      <c r="FR21" s="8">
        <v>25387468.02</v>
      </c>
      <c r="FS21" s="8">
        <v>170700</v>
      </c>
      <c r="FT21" s="8">
        <v>1183440</v>
      </c>
      <c r="FU21" s="8">
        <v>30500</v>
      </c>
      <c r="FV21" s="9">
        <f t="shared" si="106"/>
        <v>26772108.02</v>
      </c>
      <c r="FW21" s="8">
        <v>26037364.77</v>
      </c>
      <c r="FX21" s="8">
        <v>0</v>
      </c>
      <c r="FY21" s="8">
        <v>8115189.3300000001</v>
      </c>
      <c r="FZ21" s="8">
        <v>7541179.2000000002</v>
      </c>
      <c r="GA21" s="9">
        <f t="shared" si="107"/>
        <v>41693733.300000004</v>
      </c>
      <c r="GB21" s="9">
        <f t="shared" si="108"/>
        <v>68465841.320000008</v>
      </c>
      <c r="GC21" s="8">
        <v>22010634.989999998</v>
      </c>
      <c r="GD21" s="8">
        <v>115915.68</v>
      </c>
      <c r="GE21" s="8">
        <v>978630.32</v>
      </c>
      <c r="GF21" s="8">
        <v>48826.23</v>
      </c>
      <c r="GG21" s="9">
        <f t="shared" si="109"/>
        <v>23154007.219999999</v>
      </c>
      <c r="GH21" s="8">
        <v>25007847.039999969</v>
      </c>
      <c r="GI21" s="8">
        <v>0</v>
      </c>
      <c r="GJ21" s="8">
        <v>7499121.8300000001</v>
      </c>
      <c r="GK21" s="8">
        <v>7801188.9400000004</v>
      </c>
      <c r="GL21" s="9">
        <f t="shared" si="110"/>
        <v>40308157.809999965</v>
      </c>
      <c r="GM21" s="9">
        <f t="shared" si="111"/>
        <v>63462165.029999964</v>
      </c>
      <c r="GN21" s="8">
        <v>1358330.17</v>
      </c>
      <c r="GO21" s="8">
        <v>1912.8</v>
      </c>
      <c r="GP21" s="8">
        <v>27149.119999999999</v>
      </c>
      <c r="GQ21" s="8">
        <v>23186.7</v>
      </c>
      <c r="GR21" s="9">
        <f t="shared" si="112"/>
        <v>1410578.79</v>
      </c>
      <c r="GS21" s="8">
        <v>2279829</v>
      </c>
      <c r="GT21" s="8">
        <v>8930</v>
      </c>
      <c r="GU21" s="8">
        <v>7144</v>
      </c>
      <c r="GV21" s="8">
        <v>4465</v>
      </c>
      <c r="GW21" s="9">
        <f t="shared" si="113"/>
        <v>2300368</v>
      </c>
      <c r="GX21" s="9">
        <f t="shared" si="114"/>
        <v>67173111.819999963</v>
      </c>
      <c r="GY21" s="8">
        <v>194517557.02000001</v>
      </c>
      <c r="GZ21" s="8">
        <v>6961042.0099999998</v>
      </c>
      <c r="HA21" s="9">
        <f t="shared" si="115"/>
        <v>201478599.03</v>
      </c>
      <c r="HB21" s="9">
        <f t="shared" si="116"/>
        <v>0.34536756741545899</v>
      </c>
      <c r="HC21" s="10">
        <f t="shared" si="117"/>
        <v>0.26162889805543904</v>
      </c>
      <c r="HD21" s="9">
        <f t="shared" si="118"/>
        <v>1.0192447463720915</v>
      </c>
      <c r="HE21" s="8">
        <v>69</v>
      </c>
      <c r="HF21" s="8">
        <v>1</v>
      </c>
      <c r="HG21" s="8">
        <v>842</v>
      </c>
      <c r="HH21" s="8">
        <v>69</v>
      </c>
      <c r="HI21" s="8">
        <v>20</v>
      </c>
      <c r="HJ21" s="9">
        <f t="shared" si="119"/>
        <v>21</v>
      </c>
      <c r="HK21" s="10">
        <f t="shared" si="120"/>
        <v>1</v>
      </c>
      <c r="HL21" s="8">
        <v>17</v>
      </c>
      <c r="HM21" s="8">
        <v>30</v>
      </c>
      <c r="HN21" s="11">
        <f t="shared" si="121"/>
        <v>1.7647058823529411</v>
      </c>
    </row>
    <row r="22" spans="1:222" x14ac:dyDescent="0.3">
      <c r="A22" s="12" t="s">
        <v>255</v>
      </c>
      <c r="B22" s="12" t="s">
        <v>255</v>
      </c>
      <c r="C22" s="13" t="s">
        <v>257</v>
      </c>
      <c r="D22" s="13">
        <v>2025</v>
      </c>
      <c r="E22" s="13">
        <v>11</v>
      </c>
      <c r="F22" s="13" t="s">
        <v>268</v>
      </c>
      <c r="G22" s="13" t="s">
        <v>267</v>
      </c>
      <c r="H22" s="14">
        <v>68078</v>
      </c>
      <c r="I22" s="14">
        <v>24485</v>
      </c>
      <c r="J22" s="14">
        <v>742</v>
      </c>
      <c r="K22" s="14">
        <v>532</v>
      </c>
      <c r="L22" s="14">
        <v>93</v>
      </c>
      <c r="M22" s="15">
        <f t="shared" si="61"/>
        <v>25852</v>
      </c>
      <c r="N22" s="14">
        <v>20022.3</v>
      </c>
      <c r="O22" s="14">
        <v>0</v>
      </c>
      <c r="P22" s="14">
        <v>1449.6</v>
      </c>
      <c r="Q22" s="14">
        <v>0</v>
      </c>
      <c r="R22" s="15">
        <f t="shared" si="62"/>
        <v>21471.899999999998</v>
      </c>
      <c r="S22" s="15">
        <f t="shared" si="63"/>
        <v>47323.899999999994</v>
      </c>
      <c r="T22" s="14">
        <v>20754.099999999999</v>
      </c>
      <c r="U22" s="16">
        <f t="shared" si="64"/>
        <v>0.30485766326860364</v>
      </c>
      <c r="V22" s="14">
        <v>348</v>
      </c>
      <c r="W22" s="17">
        <f t="shared" si="65"/>
        <v>5.1117835424072389E-3</v>
      </c>
      <c r="X22" s="14">
        <v>90</v>
      </c>
      <c r="Y22" s="17">
        <f t="shared" si="66"/>
        <v>1.3220129851053205E-3</v>
      </c>
      <c r="Z22" s="14">
        <v>0</v>
      </c>
      <c r="AA22" s="17">
        <f t="shared" si="67"/>
        <v>0</v>
      </c>
      <c r="AB22" s="14">
        <v>368</v>
      </c>
      <c r="AC22" s="17">
        <f t="shared" si="68"/>
        <v>5.4055642057639769E-3</v>
      </c>
      <c r="AD22" s="14">
        <v>0</v>
      </c>
      <c r="AE22" s="17">
        <f t="shared" si="69"/>
        <v>0</v>
      </c>
      <c r="AF22" s="14">
        <v>0</v>
      </c>
      <c r="AG22" s="17">
        <f t="shared" si="70"/>
        <v>0</v>
      </c>
      <c r="AH22" s="14">
        <v>2693636.9342</v>
      </c>
      <c r="AI22" s="15">
        <f t="shared" si="71"/>
        <v>39.566922268574281</v>
      </c>
      <c r="AJ22" s="14">
        <v>72598</v>
      </c>
      <c r="AK22" s="17">
        <f t="shared" si="72"/>
        <v>1.0663944299186228</v>
      </c>
      <c r="AL22" s="14">
        <v>12156091.145</v>
      </c>
      <c r="AM22" s="15">
        <f t="shared" si="73"/>
        <v>178.56122602015336</v>
      </c>
      <c r="AN22" s="14">
        <v>2589</v>
      </c>
      <c r="AO22" s="14">
        <v>342</v>
      </c>
      <c r="AP22" s="14">
        <v>1197000</v>
      </c>
      <c r="AQ22" s="14">
        <v>0</v>
      </c>
      <c r="AR22" s="14">
        <v>16385259.02</v>
      </c>
      <c r="AS22" s="14">
        <v>8484854.8800000008</v>
      </c>
      <c r="AT22" s="14">
        <v>4725040.12</v>
      </c>
      <c r="AU22" s="15">
        <f t="shared" si="74"/>
        <v>45641882.099199995</v>
      </c>
      <c r="AV22" s="15">
        <f t="shared" si="75"/>
        <v>670.43511999764974</v>
      </c>
      <c r="AW22" s="15">
        <f t="shared" si="76"/>
        <v>964.4573270419387</v>
      </c>
      <c r="AX22" s="14">
        <v>25</v>
      </c>
      <c r="AY22" s="15">
        <f t="shared" si="77"/>
        <v>4.4067099503510674</v>
      </c>
      <c r="AZ22" s="14">
        <v>57</v>
      </c>
      <c r="BA22" s="14">
        <v>842</v>
      </c>
      <c r="BB22" s="14">
        <v>44</v>
      </c>
      <c r="BC22" s="14">
        <v>17</v>
      </c>
      <c r="BD22" s="14">
        <v>36</v>
      </c>
      <c r="BE22" s="15">
        <f t="shared" si="78"/>
        <v>53</v>
      </c>
      <c r="BF22" s="15">
        <f t="shared" si="79"/>
        <v>833</v>
      </c>
      <c r="BG22" s="14">
        <v>0</v>
      </c>
      <c r="BH22" s="14">
        <v>0</v>
      </c>
      <c r="BI22" s="14">
        <v>0</v>
      </c>
      <c r="BJ22" s="14">
        <v>0</v>
      </c>
      <c r="BK22" s="15">
        <f t="shared" si="80"/>
        <v>0</v>
      </c>
      <c r="BL22" s="15">
        <f t="shared" si="81"/>
        <v>0</v>
      </c>
      <c r="BM22" s="14">
        <v>0</v>
      </c>
      <c r="BN22" s="14">
        <v>0</v>
      </c>
      <c r="BO22" s="14">
        <v>0</v>
      </c>
      <c r="BP22" s="14">
        <v>0</v>
      </c>
      <c r="BQ22" s="15">
        <f t="shared" si="82"/>
        <v>0</v>
      </c>
      <c r="BR22" s="15">
        <f t="shared" si="83"/>
        <v>0</v>
      </c>
      <c r="BS22" s="14">
        <v>0</v>
      </c>
      <c r="BT22" s="14">
        <v>0</v>
      </c>
      <c r="BU22" s="14">
        <v>0</v>
      </c>
      <c r="BV22" s="14">
        <v>0</v>
      </c>
      <c r="BW22" s="15">
        <f t="shared" si="84"/>
        <v>0</v>
      </c>
      <c r="BX22" s="15">
        <f t="shared" si="85"/>
        <v>0</v>
      </c>
      <c r="BY22" s="15">
        <f t="shared" si="86"/>
        <v>842</v>
      </c>
      <c r="BZ22" s="15">
        <f t="shared" si="87"/>
        <v>44</v>
      </c>
      <c r="CA22" s="15">
        <f t="shared" si="88"/>
        <v>53</v>
      </c>
      <c r="CB22" s="15">
        <f t="shared" si="89"/>
        <v>833</v>
      </c>
      <c r="CC22" s="14">
        <v>36</v>
      </c>
      <c r="CD22" s="14">
        <v>1701</v>
      </c>
      <c r="CE22" s="14">
        <v>33</v>
      </c>
      <c r="CF22" s="14">
        <v>20</v>
      </c>
      <c r="CG22" s="14">
        <v>15</v>
      </c>
      <c r="CH22" s="15">
        <f t="shared" si="90"/>
        <v>1769</v>
      </c>
      <c r="CI22" s="14">
        <v>2544</v>
      </c>
      <c r="CJ22" s="14">
        <v>9</v>
      </c>
      <c r="CK22" s="14">
        <v>5</v>
      </c>
      <c r="CL22" s="14">
        <v>11</v>
      </c>
      <c r="CM22" s="15">
        <f t="shared" si="91"/>
        <v>2569</v>
      </c>
      <c r="CN22" s="14">
        <v>1636</v>
      </c>
      <c r="CO22" s="14">
        <v>45</v>
      </c>
      <c r="CP22" s="14">
        <v>114</v>
      </c>
      <c r="CQ22" s="14">
        <v>1</v>
      </c>
      <c r="CR22" s="15">
        <f t="shared" si="92"/>
        <v>1796</v>
      </c>
      <c r="CS22" s="15">
        <f t="shared" si="93"/>
        <v>4365</v>
      </c>
      <c r="CT22" s="14">
        <v>6134</v>
      </c>
      <c r="CU22" s="14">
        <v>35451</v>
      </c>
      <c r="CV22" s="14">
        <v>32969.43</v>
      </c>
      <c r="CW22" s="16">
        <f t="shared" si="94"/>
        <v>0.93</v>
      </c>
      <c r="CX22" s="14"/>
      <c r="CY22" s="14"/>
      <c r="CZ22" s="14"/>
      <c r="DA22" s="14"/>
      <c r="DB22" s="15">
        <f t="shared" si="95"/>
        <v>0</v>
      </c>
      <c r="DC22" s="14">
        <v>0</v>
      </c>
      <c r="DD22" s="14">
        <v>0</v>
      </c>
      <c r="DE22" s="14">
        <v>0</v>
      </c>
      <c r="DF22" s="14">
        <v>0</v>
      </c>
      <c r="DG22" s="15">
        <f t="shared" si="96"/>
        <v>0</v>
      </c>
      <c r="DH22" s="14">
        <v>0</v>
      </c>
      <c r="DI22" s="14">
        <v>0</v>
      </c>
      <c r="DJ22" s="14">
        <v>0</v>
      </c>
      <c r="DK22" s="14">
        <v>0</v>
      </c>
      <c r="DL22" s="15">
        <f t="shared" si="97"/>
        <v>0</v>
      </c>
      <c r="DM22" s="14">
        <v>317</v>
      </c>
      <c r="DN22" s="14">
        <v>22</v>
      </c>
      <c r="DO22" s="14">
        <v>0</v>
      </c>
      <c r="DP22" s="14">
        <v>0</v>
      </c>
      <c r="DQ22" s="15">
        <f t="shared" si="98"/>
        <v>339</v>
      </c>
      <c r="DR22" s="15">
        <f t="shared" si="99"/>
        <v>317</v>
      </c>
      <c r="DS22" s="15">
        <f t="shared" si="100"/>
        <v>22</v>
      </c>
      <c r="DT22" s="15">
        <f t="shared" si="101"/>
        <v>0</v>
      </c>
      <c r="DU22" s="15">
        <f t="shared" si="102"/>
        <v>0</v>
      </c>
      <c r="DV22" s="15">
        <f t="shared" si="103"/>
        <v>339</v>
      </c>
      <c r="DW22" s="14">
        <v>66</v>
      </c>
      <c r="DX22" s="14">
        <v>35</v>
      </c>
      <c r="DY22" s="14">
        <v>11</v>
      </c>
      <c r="DZ22" s="14">
        <v>1</v>
      </c>
      <c r="EA22" s="14">
        <v>3</v>
      </c>
      <c r="EB22" s="14">
        <v>0</v>
      </c>
      <c r="EC22" s="14">
        <v>1</v>
      </c>
      <c r="ED22" s="14">
        <v>1</v>
      </c>
      <c r="EE22" s="14">
        <v>3</v>
      </c>
      <c r="EF22" s="14">
        <v>3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5">
        <f t="shared" si="104"/>
        <v>124</v>
      </c>
      <c r="FH22" s="14">
        <v>0</v>
      </c>
      <c r="FI22" s="14">
        <v>50</v>
      </c>
      <c r="FJ22" s="14">
        <v>744</v>
      </c>
      <c r="FK22" s="14">
        <v>124</v>
      </c>
      <c r="FL22" s="14">
        <v>0</v>
      </c>
      <c r="FM22" s="14">
        <v>0</v>
      </c>
      <c r="FN22" s="14">
        <v>0</v>
      </c>
      <c r="FO22" s="14">
        <v>0</v>
      </c>
      <c r="FP22" s="14">
        <v>792</v>
      </c>
      <c r="FQ22" s="15">
        <f t="shared" si="105"/>
        <v>792</v>
      </c>
      <c r="FR22" s="14">
        <v>22317439.09</v>
      </c>
      <c r="FS22" s="14">
        <v>32000</v>
      </c>
      <c r="FT22" s="14">
        <v>371940</v>
      </c>
      <c r="FU22" s="14">
        <v>2353043.9500000002</v>
      </c>
      <c r="FV22" s="15">
        <f t="shared" si="106"/>
        <v>25074423.039999999</v>
      </c>
      <c r="FW22" s="14">
        <v>25943365.82</v>
      </c>
      <c r="FX22" s="14">
        <v>13900</v>
      </c>
      <c r="FY22" s="14">
        <v>9554361.3800000008</v>
      </c>
      <c r="FZ22" s="14">
        <v>4432735</v>
      </c>
      <c r="GA22" s="15">
        <f t="shared" si="107"/>
        <v>39944362.200000003</v>
      </c>
      <c r="GB22" s="15">
        <f t="shared" si="108"/>
        <v>65018785.240000002</v>
      </c>
      <c r="GC22" s="14">
        <v>22452052.43</v>
      </c>
      <c r="GD22" s="14">
        <v>141929.76</v>
      </c>
      <c r="GE22" s="14">
        <v>1799775.8</v>
      </c>
      <c r="GF22" s="14">
        <v>399814.05</v>
      </c>
      <c r="GG22" s="15">
        <f t="shared" si="109"/>
        <v>24793572.040000003</v>
      </c>
      <c r="GH22" s="14">
        <v>25125924.400000021</v>
      </c>
      <c r="GI22" s="14">
        <v>12880</v>
      </c>
      <c r="GJ22" s="14">
        <v>4376520.4000000004</v>
      </c>
      <c r="GK22" s="14">
        <v>9240877.4199999981</v>
      </c>
      <c r="GL22" s="15">
        <f t="shared" si="110"/>
        <v>38756202.220000014</v>
      </c>
      <c r="GM22" s="15">
        <f t="shared" si="111"/>
        <v>63549774.26000002</v>
      </c>
      <c r="GN22" s="14">
        <v>1353364.79</v>
      </c>
      <c r="GO22" s="14">
        <v>2104.08</v>
      </c>
      <c r="GP22" s="14">
        <v>30542.76</v>
      </c>
      <c r="GQ22" s="14">
        <v>23186.7</v>
      </c>
      <c r="GR22" s="15">
        <f t="shared" si="112"/>
        <v>1409198.33</v>
      </c>
      <c r="GS22" s="14">
        <v>2271792</v>
      </c>
      <c r="GT22" s="14">
        <v>9823</v>
      </c>
      <c r="GU22" s="14">
        <v>8037</v>
      </c>
      <c r="GV22" s="14">
        <v>4465</v>
      </c>
      <c r="GW22" s="15">
        <f t="shared" si="113"/>
        <v>2294117</v>
      </c>
      <c r="GX22" s="15">
        <f t="shared" si="114"/>
        <v>67253089.590000018</v>
      </c>
      <c r="GY22" s="14">
        <v>154191936.71000001</v>
      </c>
      <c r="GZ22" s="14">
        <v>6518549.21</v>
      </c>
      <c r="HA22" s="15">
        <f t="shared" si="115"/>
        <v>160710485.92000002</v>
      </c>
      <c r="HB22" s="15">
        <f t="shared" si="116"/>
        <v>0.67865851780862374</v>
      </c>
      <c r="HC22" s="16">
        <f t="shared" si="117"/>
        <v>0.2936114047190953</v>
      </c>
      <c r="HD22" s="15">
        <f t="shared" si="118"/>
        <v>0.966777669790025</v>
      </c>
      <c r="HE22" s="14">
        <v>44</v>
      </c>
      <c r="HF22" s="14">
        <v>1</v>
      </c>
      <c r="HG22" s="14">
        <v>833</v>
      </c>
      <c r="HH22" s="14">
        <v>44</v>
      </c>
      <c r="HI22" s="14">
        <v>44</v>
      </c>
      <c r="HJ22" s="15">
        <f t="shared" si="119"/>
        <v>45</v>
      </c>
      <c r="HK22" s="16">
        <f t="shared" si="120"/>
        <v>1</v>
      </c>
      <c r="HL22" s="14">
        <v>18</v>
      </c>
      <c r="HM22" s="14">
        <v>30</v>
      </c>
      <c r="HN22" s="17">
        <f t="shared" si="121"/>
        <v>1.6666666666666667</v>
      </c>
    </row>
    <row r="23" spans="1:222" x14ac:dyDescent="0.3">
      <c r="A23" s="6" t="s">
        <v>255</v>
      </c>
      <c r="B23" s="6" t="s">
        <v>255</v>
      </c>
      <c r="C23" s="7" t="s">
        <v>257</v>
      </c>
      <c r="D23" s="7">
        <v>2025</v>
      </c>
      <c r="E23" s="7">
        <v>12</v>
      </c>
      <c r="F23" s="7" t="s">
        <v>269</v>
      </c>
      <c r="G23" s="7" t="s">
        <v>267</v>
      </c>
      <c r="H23" s="8">
        <v>60265</v>
      </c>
      <c r="I23" s="8">
        <v>22047</v>
      </c>
      <c r="J23" s="8">
        <v>338</v>
      </c>
      <c r="K23" s="8">
        <v>313</v>
      </c>
      <c r="L23" s="8">
        <v>146</v>
      </c>
      <c r="M23" s="9">
        <f t="shared" si="61"/>
        <v>22844</v>
      </c>
      <c r="N23" s="8">
        <v>15879.7</v>
      </c>
      <c r="O23" s="8">
        <v>0</v>
      </c>
      <c r="P23" s="8">
        <v>2083.4</v>
      </c>
      <c r="Q23" s="8">
        <v>1766</v>
      </c>
      <c r="R23" s="9">
        <f t="shared" si="62"/>
        <v>19729.100000000002</v>
      </c>
      <c r="S23" s="9">
        <f t="shared" si="63"/>
        <v>42573.100000000006</v>
      </c>
      <c r="T23" s="8">
        <v>17691.900000000001</v>
      </c>
      <c r="U23" s="10">
        <f t="shared" si="64"/>
        <v>0.29356840620592384</v>
      </c>
      <c r="V23" s="8">
        <v>370</v>
      </c>
      <c r="W23" s="11">
        <f t="shared" si="65"/>
        <v>6.1395503194225506E-3</v>
      </c>
      <c r="X23" s="8">
        <v>0</v>
      </c>
      <c r="Y23" s="11">
        <f t="shared" si="66"/>
        <v>0</v>
      </c>
      <c r="Z23" s="8">
        <v>0</v>
      </c>
      <c r="AA23" s="11">
        <f t="shared" si="67"/>
        <v>0</v>
      </c>
      <c r="AB23" s="8">
        <v>522</v>
      </c>
      <c r="AC23" s="11">
        <f t="shared" si="68"/>
        <v>8.6617439641583013E-3</v>
      </c>
      <c r="AD23" s="8">
        <v>0</v>
      </c>
      <c r="AE23" s="11">
        <f t="shared" si="69"/>
        <v>0</v>
      </c>
      <c r="AF23" s="8">
        <v>0</v>
      </c>
      <c r="AG23" s="11">
        <f t="shared" si="70"/>
        <v>0</v>
      </c>
      <c r="AH23" s="8">
        <v>3249708.1675999998</v>
      </c>
      <c r="AI23" s="9">
        <f t="shared" si="71"/>
        <v>53.923640049780133</v>
      </c>
      <c r="AJ23" s="8">
        <v>48883</v>
      </c>
      <c r="AK23" s="11">
        <f t="shared" si="72"/>
        <v>0.81113415747116901</v>
      </c>
      <c r="AL23" s="8">
        <v>8191476.7324999999</v>
      </c>
      <c r="AM23" s="9">
        <f t="shared" si="73"/>
        <v>135.92427997179126</v>
      </c>
      <c r="AN23" s="8">
        <v>2672</v>
      </c>
      <c r="AO23" s="8">
        <v>351</v>
      </c>
      <c r="AP23" s="8">
        <v>1228500</v>
      </c>
      <c r="AQ23" s="8">
        <v>0</v>
      </c>
      <c r="AR23" s="8">
        <v>17248877.329999998</v>
      </c>
      <c r="AS23" s="8">
        <v>8030642.96</v>
      </c>
      <c r="AT23" s="8">
        <v>2000</v>
      </c>
      <c r="AU23" s="9">
        <f t="shared" si="74"/>
        <v>37951205.190099999</v>
      </c>
      <c r="AV23" s="9">
        <f t="shared" si="75"/>
        <v>629.73874039824113</v>
      </c>
      <c r="AW23" s="9">
        <f t="shared" si="76"/>
        <v>891.436263511466</v>
      </c>
      <c r="AX23" s="8">
        <v>19</v>
      </c>
      <c r="AY23" s="9">
        <f t="shared" si="77"/>
        <v>3.7832904671036256</v>
      </c>
      <c r="AZ23" s="8">
        <v>60</v>
      </c>
      <c r="BA23" s="8">
        <v>833</v>
      </c>
      <c r="BB23" s="8">
        <v>19</v>
      </c>
      <c r="BC23" s="8">
        <v>32</v>
      </c>
      <c r="BD23" s="8">
        <v>7</v>
      </c>
      <c r="BE23" s="9">
        <f t="shared" si="78"/>
        <v>39</v>
      </c>
      <c r="BF23" s="9">
        <f t="shared" si="79"/>
        <v>813</v>
      </c>
      <c r="BG23" s="8">
        <v>0</v>
      </c>
      <c r="BH23" s="8">
        <v>0</v>
      </c>
      <c r="BI23" s="8">
        <v>0</v>
      </c>
      <c r="BJ23" s="8">
        <v>0</v>
      </c>
      <c r="BK23" s="9">
        <f t="shared" si="80"/>
        <v>0</v>
      </c>
      <c r="BL23" s="9">
        <f t="shared" si="81"/>
        <v>0</v>
      </c>
      <c r="BM23" s="8">
        <v>0</v>
      </c>
      <c r="BN23" s="8">
        <v>0</v>
      </c>
      <c r="BO23" s="8">
        <v>0</v>
      </c>
      <c r="BP23" s="8">
        <v>0</v>
      </c>
      <c r="BQ23" s="9">
        <f t="shared" si="82"/>
        <v>0</v>
      </c>
      <c r="BR23" s="9">
        <f t="shared" si="83"/>
        <v>0</v>
      </c>
      <c r="BS23" s="8">
        <v>0</v>
      </c>
      <c r="BT23" s="8">
        <v>0</v>
      </c>
      <c r="BU23" s="8">
        <v>0</v>
      </c>
      <c r="BV23" s="8">
        <v>0</v>
      </c>
      <c r="BW23" s="9">
        <f t="shared" si="84"/>
        <v>0</v>
      </c>
      <c r="BX23" s="9">
        <f t="shared" si="85"/>
        <v>0</v>
      </c>
      <c r="BY23" s="9">
        <f t="shared" si="86"/>
        <v>833</v>
      </c>
      <c r="BZ23" s="9">
        <f t="shared" si="87"/>
        <v>19</v>
      </c>
      <c r="CA23" s="9">
        <f t="shared" si="88"/>
        <v>39</v>
      </c>
      <c r="CB23" s="9">
        <f t="shared" si="89"/>
        <v>813</v>
      </c>
      <c r="CC23" s="8">
        <v>7</v>
      </c>
      <c r="CD23" s="8">
        <v>1698</v>
      </c>
      <c r="CE23" s="8">
        <v>33</v>
      </c>
      <c r="CF23" s="8">
        <v>20</v>
      </c>
      <c r="CG23" s="8">
        <v>15</v>
      </c>
      <c r="CH23" s="9">
        <f t="shared" si="90"/>
        <v>1766</v>
      </c>
      <c r="CI23" s="8">
        <v>2587</v>
      </c>
      <c r="CJ23" s="8">
        <v>9</v>
      </c>
      <c r="CK23" s="8">
        <v>4</v>
      </c>
      <c r="CL23" s="8">
        <v>11</v>
      </c>
      <c r="CM23" s="9">
        <f t="shared" si="91"/>
        <v>2611</v>
      </c>
      <c r="CN23" s="8">
        <v>1636</v>
      </c>
      <c r="CO23" s="8">
        <v>45</v>
      </c>
      <c r="CP23" s="8">
        <v>114</v>
      </c>
      <c r="CQ23" s="8">
        <v>1</v>
      </c>
      <c r="CR23" s="9">
        <f t="shared" si="92"/>
        <v>1796</v>
      </c>
      <c r="CS23" s="9">
        <f t="shared" si="93"/>
        <v>4407</v>
      </c>
      <c r="CT23" s="8">
        <v>6173</v>
      </c>
      <c r="CU23" s="8">
        <v>42663.75</v>
      </c>
      <c r="CV23" s="8">
        <v>38397.379999999997</v>
      </c>
      <c r="CW23" s="10">
        <f t="shared" si="94"/>
        <v>0.90000011719551132</v>
      </c>
      <c r="CX23" s="8"/>
      <c r="CY23" s="8"/>
      <c r="CZ23" s="8"/>
      <c r="DA23" s="8"/>
      <c r="DB23" s="9">
        <f t="shared" si="95"/>
        <v>0</v>
      </c>
      <c r="DC23" s="8">
        <v>0</v>
      </c>
      <c r="DD23" s="8">
        <v>0</v>
      </c>
      <c r="DE23" s="8">
        <v>0</v>
      </c>
      <c r="DF23" s="8">
        <v>0</v>
      </c>
      <c r="DG23" s="9">
        <f t="shared" si="96"/>
        <v>0</v>
      </c>
      <c r="DH23" s="8">
        <v>0</v>
      </c>
      <c r="DI23" s="8">
        <v>0</v>
      </c>
      <c r="DJ23" s="8">
        <v>0</v>
      </c>
      <c r="DK23" s="8">
        <v>0</v>
      </c>
      <c r="DL23" s="9">
        <f t="shared" si="97"/>
        <v>0</v>
      </c>
      <c r="DM23" s="8">
        <v>339</v>
      </c>
      <c r="DN23" s="8">
        <v>10</v>
      </c>
      <c r="DO23" s="8">
        <v>4</v>
      </c>
      <c r="DP23" s="8">
        <v>3</v>
      </c>
      <c r="DQ23" s="9">
        <f t="shared" si="98"/>
        <v>342</v>
      </c>
      <c r="DR23" s="9">
        <f t="shared" si="99"/>
        <v>339</v>
      </c>
      <c r="DS23" s="9">
        <f t="shared" si="100"/>
        <v>10</v>
      </c>
      <c r="DT23" s="9">
        <f t="shared" si="101"/>
        <v>4</v>
      </c>
      <c r="DU23" s="9">
        <f t="shared" si="102"/>
        <v>3</v>
      </c>
      <c r="DV23" s="9">
        <f t="shared" si="103"/>
        <v>342</v>
      </c>
      <c r="DW23" s="8">
        <v>71</v>
      </c>
      <c r="DX23" s="8">
        <v>29</v>
      </c>
      <c r="DY23" s="8">
        <v>5</v>
      </c>
      <c r="DZ23" s="8">
        <v>0</v>
      </c>
      <c r="EA23" s="8">
        <v>3</v>
      </c>
      <c r="EB23" s="8">
        <v>4</v>
      </c>
      <c r="EC23" s="8">
        <v>0</v>
      </c>
      <c r="ED23" s="8">
        <v>0</v>
      </c>
      <c r="EE23" s="8">
        <v>4</v>
      </c>
      <c r="EF23" s="8">
        <v>4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9">
        <f t="shared" si="104"/>
        <v>120</v>
      </c>
      <c r="FH23" s="8">
        <v>0</v>
      </c>
      <c r="FI23" s="8">
        <v>20</v>
      </c>
      <c r="FJ23" s="8">
        <v>680</v>
      </c>
      <c r="FK23" s="8">
        <v>32</v>
      </c>
      <c r="FL23" s="8">
        <v>0</v>
      </c>
      <c r="FM23" s="8">
        <v>0</v>
      </c>
      <c r="FN23" s="8">
        <v>210</v>
      </c>
      <c r="FO23" s="8">
        <v>0</v>
      </c>
      <c r="FP23" s="8">
        <v>180</v>
      </c>
      <c r="FQ23" s="9">
        <f t="shared" si="105"/>
        <v>390</v>
      </c>
      <c r="FR23" s="8">
        <v>27447376.100000001</v>
      </c>
      <c r="FS23" s="8">
        <v>142550</v>
      </c>
      <c r="FT23" s="8">
        <v>442340</v>
      </c>
      <c r="FU23" s="8">
        <v>48400</v>
      </c>
      <c r="FV23" s="9">
        <f t="shared" si="106"/>
        <v>28080666.100000001</v>
      </c>
      <c r="FW23" s="8">
        <v>20590855.719999999</v>
      </c>
      <c r="FX23" s="8">
        <v>29200</v>
      </c>
      <c r="FY23" s="8">
        <v>9183650</v>
      </c>
      <c r="FZ23" s="8">
        <v>6262200</v>
      </c>
      <c r="GA23" s="9">
        <f t="shared" si="107"/>
        <v>36065905.719999999</v>
      </c>
      <c r="GB23" s="9">
        <f t="shared" si="108"/>
        <v>64146571.82</v>
      </c>
      <c r="GC23" s="8">
        <v>20640651.890000001</v>
      </c>
      <c r="GD23" s="8">
        <v>64652.639999999999</v>
      </c>
      <c r="GE23" s="8">
        <v>1029095.41</v>
      </c>
      <c r="GF23" s="8">
        <v>659676.34</v>
      </c>
      <c r="GG23" s="9">
        <f t="shared" si="109"/>
        <v>22394076.280000001</v>
      </c>
      <c r="GH23" s="8">
        <v>19934967.109999988</v>
      </c>
      <c r="GI23" s="8">
        <v>15100</v>
      </c>
      <c r="GJ23" s="8">
        <v>6261000</v>
      </c>
      <c r="GK23" s="8">
        <v>8233600</v>
      </c>
      <c r="GL23" s="9">
        <f t="shared" si="110"/>
        <v>34444667.109999985</v>
      </c>
      <c r="GM23" s="9">
        <f t="shared" si="111"/>
        <v>56838743.389999986</v>
      </c>
      <c r="GN23" s="8">
        <v>1377021.64</v>
      </c>
      <c r="GO23" s="8">
        <v>2104.08</v>
      </c>
      <c r="GP23" s="8">
        <v>30542.76</v>
      </c>
      <c r="GQ23" s="8">
        <v>18549.36</v>
      </c>
      <c r="GR23" s="9">
        <f t="shared" si="112"/>
        <v>1428217.84</v>
      </c>
      <c r="GS23" s="8">
        <v>2310191</v>
      </c>
      <c r="GT23" s="8">
        <v>9823</v>
      </c>
      <c r="GU23" s="8">
        <v>8037</v>
      </c>
      <c r="GV23" s="8">
        <v>3572</v>
      </c>
      <c r="GW23" s="9">
        <f t="shared" si="113"/>
        <v>2331623</v>
      </c>
      <c r="GX23" s="9">
        <f t="shared" si="114"/>
        <v>60598584.229999989</v>
      </c>
      <c r="GY23" s="8">
        <v>152774245.03999999</v>
      </c>
      <c r="GZ23" s="8">
        <v>7741535.2800000003</v>
      </c>
      <c r="HA23" s="9">
        <f t="shared" si="115"/>
        <v>160515780.31999999</v>
      </c>
      <c r="HB23" s="9">
        <f t="shared" si="116"/>
        <v>0.62627214269655895</v>
      </c>
      <c r="HC23" s="10">
        <f t="shared" si="117"/>
        <v>0.30063139735017308</v>
      </c>
      <c r="HD23" s="9">
        <f t="shared" si="118"/>
        <v>1.0585490178538453</v>
      </c>
      <c r="HE23" s="8">
        <v>19</v>
      </c>
      <c r="HF23" s="8">
        <v>1</v>
      </c>
      <c r="HG23" s="8">
        <v>813</v>
      </c>
      <c r="HH23" s="8">
        <v>19</v>
      </c>
      <c r="HI23" s="8">
        <v>30</v>
      </c>
      <c r="HJ23" s="9">
        <f t="shared" si="119"/>
        <v>31</v>
      </c>
      <c r="HK23" s="10">
        <f t="shared" si="120"/>
        <v>1</v>
      </c>
      <c r="HL23" s="8">
        <v>15</v>
      </c>
      <c r="HM23" s="8">
        <v>30</v>
      </c>
      <c r="HN23" s="11">
        <f t="shared" si="121"/>
        <v>2</v>
      </c>
    </row>
    <row r="24" spans="1:222" x14ac:dyDescent="0.3">
      <c r="A24" s="12" t="s">
        <v>255</v>
      </c>
      <c r="B24" s="12" t="s">
        <v>255</v>
      </c>
      <c r="C24" s="13" t="s">
        <v>257</v>
      </c>
      <c r="D24" s="13">
        <v>2026</v>
      </c>
      <c r="E24" s="13">
        <v>1</v>
      </c>
      <c r="F24" s="13" t="s">
        <v>270</v>
      </c>
      <c r="G24" s="13" t="s">
        <v>271</v>
      </c>
      <c r="H24" s="14">
        <v>65878</v>
      </c>
      <c r="I24" s="14">
        <v>24213</v>
      </c>
      <c r="J24" s="14">
        <v>481</v>
      </c>
      <c r="K24" s="14">
        <v>279</v>
      </c>
      <c r="L24" s="14">
        <v>164</v>
      </c>
      <c r="M24" s="15">
        <v>25137</v>
      </c>
      <c r="N24" s="14">
        <v>17790</v>
      </c>
      <c r="O24" s="14">
        <v>10.6</v>
      </c>
      <c r="P24" s="14">
        <v>711.1</v>
      </c>
      <c r="Q24" s="14">
        <v>2669.2</v>
      </c>
      <c r="R24" s="15">
        <v>21180.9</v>
      </c>
      <c r="S24" s="15">
        <v>46317.899999999987</v>
      </c>
      <c r="T24" s="14">
        <v>19560.100000000009</v>
      </c>
      <c r="U24" s="16">
        <v>0.29691399253164952</v>
      </c>
      <c r="V24" s="14">
        <v>384</v>
      </c>
      <c r="W24" s="17">
        <v>5.8289565560581682</v>
      </c>
      <c r="X24" s="14">
        <v>0</v>
      </c>
      <c r="Y24" s="17">
        <v>0</v>
      </c>
      <c r="Z24" s="14">
        <v>0</v>
      </c>
      <c r="AA24" s="17">
        <v>0</v>
      </c>
      <c r="AB24" s="14">
        <v>709</v>
      </c>
      <c r="AC24" s="17">
        <v>10.76231822459698</v>
      </c>
      <c r="AD24" s="14">
        <v>0</v>
      </c>
      <c r="AE24" s="17">
        <v>0</v>
      </c>
      <c r="AF24" s="14">
        <v>0</v>
      </c>
      <c r="AG24" s="17">
        <v>0</v>
      </c>
      <c r="AH24" s="14">
        <v>3995959.9522000002</v>
      </c>
      <c r="AI24" s="15">
        <v>60.656971252922069</v>
      </c>
      <c r="AJ24" s="14">
        <v>66276</v>
      </c>
      <c r="AK24" s="17">
        <v>1.006041470597165</v>
      </c>
      <c r="AL24" s="14">
        <v>11099194.99</v>
      </c>
      <c r="AM24" s="15">
        <v>168.48105573939711</v>
      </c>
      <c r="AN24" s="14">
        <v>2732</v>
      </c>
      <c r="AO24" s="14">
        <v>120</v>
      </c>
      <c r="AP24" s="14">
        <v>420000</v>
      </c>
      <c r="AQ24" s="14">
        <v>0</v>
      </c>
      <c r="AR24" s="14">
        <v>0</v>
      </c>
      <c r="AS24" s="14">
        <v>6479315.9199999999</v>
      </c>
      <c r="AT24" s="14">
        <v>7683365.9199999999</v>
      </c>
      <c r="AU24" s="15">
        <v>29677836.782200001</v>
      </c>
      <c r="AV24" s="15">
        <v>450.49693041986711</v>
      </c>
      <c r="AW24" s="15">
        <v>640.74227851867215</v>
      </c>
      <c r="AX24" s="14">
        <v>26</v>
      </c>
      <c r="AY24" s="15">
        <v>12.23473693797626</v>
      </c>
      <c r="AZ24" s="14">
        <v>60</v>
      </c>
      <c r="BA24" s="14">
        <v>813</v>
      </c>
      <c r="BB24" s="14">
        <v>33</v>
      </c>
      <c r="BC24" s="14">
        <v>28</v>
      </c>
      <c r="BD24" s="14">
        <v>0</v>
      </c>
      <c r="BE24" s="15">
        <v>28</v>
      </c>
      <c r="BF24" s="15">
        <v>818</v>
      </c>
      <c r="BG24" s="14">
        <v>0</v>
      </c>
      <c r="BH24" s="14">
        <v>0</v>
      </c>
      <c r="BI24" s="14">
        <v>0</v>
      </c>
      <c r="BJ24" s="14">
        <v>0</v>
      </c>
      <c r="BK24" s="15">
        <v>0</v>
      </c>
      <c r="BL24" s="15">
        <v>0</v>
      </c>
      <c r="BM24" s="14">
        <v>0</v>
      </c>
      <c r="BN24" s="14">
        <v>0</v>
      </c>
      <c r="BO24" s="14">
        <v>0</v>
      </c>
      <c r="BP24" s="14">
        <v>0</v>
      </c>
      <c r="BQ24" s="15">
        <v>0</v>
      </c>
      <c r="BR24" s="15">
        <v>0</v>
      </c>
      <c r="BS24" s="14">
        <v>0</v>
      </c>
      <c r="BT24" s="14">
        <v>0</v>
      </c>
      <c r="BU24" s="14">
        <v>0</v>
      </c>
      <c r="BV24" s="14">
        <v>0</v>
      </c>
      <c r="BW24" s="15">
        <v>0</v>
      </c>
      <c r="BX24" s="15">
        <v>0</v>
      </c>
      <c r="BY24" s="15">
        <v>813</v>
      </c>
      <c r="BZ24" s="15">
        <v>33</v>
      </c>
      <c r="CA24" s="15">
        <v>28</v>
      </c>
      <c r="CB24" s="15">
        <v>818</v>
      </c>
      <c r="CC24" s="14">
        <v>21</v>
      </c>
      <c r="CD24" s="14">
        <v>1689</v>
      </c>
      <c r="CE24" s="14">
        <v>33</v>
      </c>
      <c r="CF24" s="14">
        <v>20</v>
      </c>
      <c r="CG24" s="14">
        <v>15</v>
      </c>
      <c r="CH24" s="15">
        <v>1757</v>
      </c>
      <c r="CI24" s="14">
        <v>2623</v>
      </c>
      <c r="CJ24" s="14">
        <v>9</v>
      </c>
      <c r="CK24" s="14">
        <v>5</v>
      </c>
      <c r="CL24" s="14">
        <v>11</v>
      </c>
      <c r="CM24" s="15">
        <v>2648</v>
      </c>
      <c r="CN24" s="14">
        <v>1636</v>
      </c>
      <c r="CO24" s="14">
        <v>45</v>
      </c>
      <c r="CP24" s="14">
        <v>114</v>
      </c>
      <c r="CQ24" s="14">
        <v>1</v>
      </c>
      <c r="CR24" s="15">
        <v>1796</v>
      </c>
      <c r="CS24" s="15">
        <v>4444</v>
      </c>
      <c r="CT24" s="14">
        <v>6201</v>
      </c>
      <c r="CU24" s="14">
        <v>42877</v>
      </c>
      <c r="CV24" s="14">
        <v>38588</v>
      </c>
      <c r="CW24" s="16">
        <v>0.89996968071460226</v>
      </c>
      <c r="CX24" s="14">
        <v>0</v>
      </c>
      <c r="CY24" s="14">
        <v>0</v>
      </c>
      <c r="CZ24" s="14">
        <v>0</v>
      </c>
      <c r="DA24" s="14">
        <v>0</v>
      </c>
      <c r="DB24" s="15">
        <v>0</v>
      </c>
      <c r="DC24" s="14">
        <v>0</v>
      </c>
      <c r="DD24" s="14">
        <v>0</v>
      </c>
      <c r="DE24" s="14">
        <v>0</v>
      </c>
      <c r="DF24" s="14">
        <v>0</v>
      </c>
      <c r="DG24" s="15">
        <v>0</v>
      </c>
      <c r="DH24" s="14">
        <v>0</v>
      </c>
      <c r="DI24" s="14">
        <v>0</v>
      </c>
      <c r="DJ24" s="14">
        <v>0</v>
      </c>
      <c r="DK24" s="14">
        <v>0</v>
      </c>
      <c r="DL24" s="15">
        <v>0</v>
      </c>
      <c r="DM24" s="14">
        <v>342</v>
      </c>
      <c r="DN24" s="14">
        <v>0</v>
      </c>
      <c r="DO24" s="14">
        <v>0</v>
      </c>
      <c r="DP24" s="14">
        <v>0</v>
      </c>
      <c r="DQ24" s="15">
        <v>342</v>
      </c>
      <c r="DR24" s="15">
        <v>342</v>
      </c>
      <c r="DS24" s="15">
        <v>0</v>
      </c>
      <c r="DT24" s="15">
        <v>0</v>
      </c>
      <c r="DU24" s="15">
        <v>0</v>
      </c>
      <c r="DV24" s="15">
        <v>342</v>
      </c>
      <c r="DW24" s="14">
        <v>70</v>
      </c>
      <c r="DX24" s="14">
        <v>32</v>
      </c>
      <c r="DY24" s="14">
        <v>16</v>
      </c>
      <c r="DZ24" s="14">
        <v>9</v>
      </c>
      <c r="EA24" s="14">
        <v>5</v>
      </c>
      <c r="EB24" s="14">
        <v>6</v>
      </c>
      <c r="EC24" s="14">
        <v>0</v>
      </c>
      <c r="ED24" s="14">
        <v>1</v>
      </c>
      <c r="EE24" s="14">
        <v>5</v>
      </c>
      <c r="EF24" s="14">
        <v>2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5">
        <v>146</v>
      </c>
      <c r="FH24" s="14">
        <v>0</v>
      </c>
      <c r="FI24" s="14">
        <v>47</v>
      </c>
      <c r="FJ24" s="14">
        <v>744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30</v>
      </c>
      <c r="FQ24" s="15">
        <v>30</v>
      </c>
      <c r="FR24" s="14">
        <v>26361814.149999999</v>
      </c>
      <c r="FS24" s="14">
        <v>161800</v>
      </c>
      <c r="FT24" s="14">
        <v>1290880</v>
      </c>
      <c r="FU24" s="14">
        <v>3095033.48</v>
      </c>
      <c r="FV24" s="15">
        <v>30909527.629999999</v>
      </c>
      <c r="FW24" s="14">
        <v>22981929.199999999</v>
      </c>
      <c r="FX24" s="14">
        <v>5600</v>
      </c>
      <c r="FY24" s="14">
        <v>12720637.26</v>
      </c>
      <c r="FZ24" s="14">
        <v>2173463.7000000002</v>
      </c>
      <c r="GA24" s="15">
        <v>37881630.159999996</v>
      </c>
      <c r="GB24" s="15">
        <v>68791157.790000007</v>
      </c>
      <c r="GC24" s="14">
        <v>22361248.359999999</v>
      </c>
      <c r="GD24" s="14">
        <v>92005.68</v>
      </c>
      <c r="GE24" s="14">
        <v>912375.87</v>
      </c>
      <c r="GF24" s="14">
        <v>718880.03</v>
      </c>
      <c r="GG24" s="15">
        <v>24084509.940000001</v>
      </c>
      <c r="GH24" s="14">
        <v>22184431.440000001</v>
      </c>
      <c r="GI24" s="14">
        <v>2240</v>
      </c>
      <c r="GJ24" s="14">
        <v>2160885.5099999998</v>
      </c>
      <c r="GK24" s="14">
        <v>12621697.26</v>
      </c>
      <c r="GL24" s="15">
        <v>36969254.209999993</v>
      </c>
      <c r="GM24" s="15">
        <v>61053764.149999991</v>
      </c>
      <c r="GN24" s="14">
        <v>1396802.97</v>
      </c>
      <c r="GO24" s="14">
        <v>2104.08</v>
      </c>
      <c r="GP24" s="14">
        <v>30542.76</v>
      </c>
      <c r="GQ24" s="14">
        <v>23186.7</v>
      </c>
      <c r="GR24" s="15">
        <v>1452636.51</v>
      </c>
      <c r="GS24" s="14">
        <v>2342339</v>
      </c>
      <c r="GT24" s="14">
        <v>9823</v>
      </c>
      <c r="GU24" s="14">
        <v>8037</v>
      </c>
      <c r="GV24" s="14">
        <v>4465</v>
      </c>
      <c r="GW24" s="15">
        <v>2364664</v>
      </c>
      <c r="GX24" s="15">
        <v>64871064.659999989</v>
      </c>
      <c r="GY24" s="14">
        <v>110775438.779999</v>
      </c>
      <c r="GZ24" s="14">
        <v>2520798.6800000002</v>
      </c>
      <c r="HA24" s="15">
        <v>113296237.459999</v>
      </c>
      <c r="HB24" s="15">
        <v>64871064.659999989</v>
      </c>
      <c r="HC24" s="16">
        <v>110775438.779999</v>
      </c>
      <c r="HD24" s="15">
        <v>2520798.6800000002</v>
      </c>
      <c r="HE24" s="14">
        <v>28</v>
      </c>
      <c r="HF24" s="14">
        <v>1</v>
      </c>
      <c r="HG24" s="14">
        <v>818</v>
      </c>
      <c r="HH24" s="14">
        <v>33</v>
      </c>
      <c r="HI24" s="14">
        <v>30</v>
      </c>
      <c r="HJ24" s="15">
        <v>0.90909090909090906</v>
      </c>
      <c r="HK24" s="16">
        <v>3.4229828850855739</v>
      </c>
      <c r="HL24" s="14">
        <v>13</v>
      </c>
      <c r="HM24" s="14">
        <v>30</v>
      </c>
      <c r="HN24" s="17">
        <v>0.43333333333333329</v>
      </c>
    </row>
    <row r="25" spans="1:222" x14ac:dyDescent="0.3">
      <c r="A25" s="6" t="s">
        <v>255</v>
      </c>
      <c r="B25" s="6" t="s">
        <v>255</v>
      </c>
      <c r="C25" s="7" t="s">
        <v>257</v>
      </c>
      <c r="D25" s="7">
        <v>2026</v>
      </c>
      <c r="E25" s="7">
        <v>2</v>
      </c>
      <c r="F25" s="7" t="s">
        <v>272</v>
      </c>
      <c r="G25" s="7" t="s">
        <v>271</v>
      </c>
      <c r="H25" s="8">
        <v>57839</v>
      </c>
      <c r="I25" s="8">
        <v>22432</v>
      </c>
      <c r="J25" s="8">
        <v>472</v>
      </c>
      <c r="K25" s="8">
        <v>394</v>
      </c>
      <c r="L25" s="8">
        <v>34</v>
      </c>
      <c r="M25" s="9">
        <f t="shared" ref="M25:M47" si="122">SUM(I25,J25,K25,L25)</f>
        <v>23332</v>
      </c>
      <c r="N25" s="8">
        <v>14953.5</v>
      </c>
      <c r="O25" s="8">
        <v>8.5</v>
      </c>
      <c r="P25" s="8">
        <v>567.9</v>
      </c>
      <c r="Q25" s="8">
        <v>1714.1</v>
      </c>
      <c r="R25" s="9">
        <f t="shared" ref="R25:R47" si="123">SUM(N25,O25,P25,Q25)</f>
        <v>17244</v>
      </c>
      <c r="S25" s="9">
        <f t="shared" ref="S25:S47" si="124">M25+R25</f>
        <v>40576</v>
      </c>
      <c r="T25" s="8">
        <v>17263</v>
      </c>
      <c r="U25" s="10">
        <f t="shared" ref="U25:U35" si="125">IF(H25=0,"",T25/H25)</f>
        <v>0.29846643268382927</v>
      </c>
      <c r="V25" s="8">
        <v>308</v>
      </c>
      <c r="W25" s="11">
        <f t="shared" ref="W25:W35" si="126">IF(H25=0,"",V25/H25)</f>
        <v>5.325126644651533E-3</v>
      </c>
      <c r="X25" s="8">
        <v>25</v>
      </c>
      <c r="Y25" s="11">
        <f t="shared" ref="Y25:Y35" si="127">IF(H25=0,"",X25/H25)</f>
        <v>4.3223430557236465E-4</v>
      </c>
      <c r="Z25" s="8">
        <v>0</v>
      </c>
      <c r="AA25" s="11">
        <f t="shared" ref="AA25:AA35" si="128">IF(H25=0,"",Z25/H25)</f>
        <v>0</v>
      </c>
      <c r="AB25" s="8">
        <v>471</v>
      </c>
      <c r="AC25" s="11">
        <f t="shared" ref="AC25:AC35" si="129">IF(H25=0,"",AB25/H25)</f>
        <v>8.1432943169833499E-3</v>
      </c>
      <c r="AD25" s="8">
        <v>0</v>
      </c>
      <c r="AE25" s="11">
        <f t="shared" ref="AE25:AE35" si="130">IF(H25=0,"",AD25/H25)</f>
        <v>0</v>
      </c>
      <c r="AF25" s="8">
        <v>0</v>
      </c>
      <c r="AG25" s="11">
        <f t="shared" ref="AG25:AG35" si="131">IF(H25=0,"",AF25/H25)</f>
        <v>0</v>
      </c>
      <c r="AH25" s="8">
        <v>2867577.4273000001</v>
      </c>
      <c r="AI25" s="9">
        <f t="shared" ref="AI25:AI35" si="132">IF(H25=0,"",AH25/H25)</f>
        <v>49.57861351856014</v>
      </c>
      <c r="AJ25" s="8">
        <v>64745.762711864401</v>
      </c>
      <c r="AK25" s="11">
        <f t="shared" ref="AK25:AK35" si="133">IF(H25=0,"",AJ25/H25)</f>
        <v>1.1194135913806325</v>
      </c>
      <c r="AL25" s="8">
        <v>10843373.74576271</v>
      </c>
      <c r="AM25" s="9">
        <f t="shared" ref="AM25:AM35" si="134">IF(H25=0,"",AL25/H25)</f>
        <v>187.47512484245422</v>
      </c>
      <c r="AN25" s="8">
        <v>1516</v>
      </c>
      <c r="AO25" s="8">
        <v>210</v>
      </c>
      <c r="AP25" s="8">
        <v>735000</v>
      </c>
      <c r="AQ25" s="8">
        <v>0</v>
      </c>
      <c r="AR25" s="8">
        <v>18768051.489999998</v>
      </c>
      <c r="AS25" s="8">
        <v>0</v>
      </c>
      <c r="AT25" s="8">
        <v>5351000</v>
      </c>
      <c r="AU25" s="9">
        <f t="shared" ref="AU25:AU35" si="135">AH25+AL25+AP25+AQ25+AR25+AS25+AT25</f>
        <v>38565002.663062707</v>
      </c>
      <c r="AV25" s="9">
        <f t="shared" ref="AV25:AV35" si="136">IF(H25=0,"",AU25/H25)</f>
        <v>666.76468581861218</v>
      </c>
      <c r="AW25" s="9">
        <f t="shared" ref="AW25:AW35" si="137">IF(S25=0,"",AU25/S25)</f>
        <v>950.43874859677408</v>
      </c>
      <c r="AX25" s="8">
        <v>26</v>
      </c>
      <c r="AY25" s="9">
        <f t="shared" ref="AY25:AY35" si="138">IF(H25=0,"",AX25/(H25/1000/12))</f>
        <v>5.3942841335431106</v>
      </c>
      <c r="AZ25" s="8">
        <v>50</v>
      </c>
      <c r="BA25" s="8">
        <v>818</v>
      </c>
      <c r="BB25" s="8">
        <v>42</v>
      </c>
      <c r="BC25" s="8">
        <v>28</v>
      </c>
      <c r="BD25" s="8">
        <v>0</v>
      </c>
      <c r="BE25" s="9">
        <f t="shared" ref="BE25:BE35" si="139">BC25+BD25</f>
        <v>28</v>
      </c>
      <c r="BF25" s="9">
        <f t="shared" ref="BF25:BF35" si="140">BA25+BB25-BE25</f>
        <v>832</v>
      </c>
      <c r="BG25" s="8">
        <v>0</v>
      </c>
      <c r="BH25" s="8">
        <v>0</v>
      </c>
      <c r="BI25" s="8">
        <v>0</v>
      </c>
      <c r="BJ25" s="8">
        <v>0</v>
      </c>
      <c r="BK25" s="9">
        <f t="shared" ref="BK25:BK35" si="141">BI25+BJ25</f>
        <v>0</v>
      </c>
      <c r="BL25" s="9">
        <f t="shared" ref="BL25:BL35" si="142">BG25+BH25-BK25</f>
        <v>0</v>
      </c>
      <c r="BM25" s="8">
        <v>0</v>
      </c>
      <c r="BN25" s="8">
        <v>0</v>
      </c>
      <c r="BO25" s="8">
        <v>0</v>
      </c>
      <c r="BP25" s="8">
        <v>0</v>
      </c>
      <c r="BQ25" s="9">
        <f t="shared" ref="BQ25:BQ35" si="143">BO25+BP25</f>
        <v>0</v>
      </c>
      <c r="BR25" s="9">
        <f t="shared" ref="BR25:BR35" si="144">BM25+BN25-BQ25</f>
        <v>0</v>
      </c>
      <c r="BS25" s="8">
        <v>0</v>
      </c>
      <c r="BT25" s="8">
        <v>0</v>
      </c>
      <c r="BU25" s="8">
        <v>0</v>
      </c>
      <c r="BV25" s="8">
        <v>0</v>
      </c>
      <c r="BW25" s="9">
        <f t="shared" ref="BW25:BW35" si="145">BU25+BV25</f>
        <v>0</v>
      </c>
      <c r="BX25" s="9">
        <f t="shared" ref="BX25:BX35" si="146">BS25+BT25-BW25</f>
        <v>0</v>
      </c>
      <c r="BY25" s="9">
        <f t="shared" ref="BY25:BY35" si="147">BA25+BG25+BM25+BS25</f>
        <v>818</v>
      </c>
      <c r="BZ25" s="9">
        <f t="shared" ref="BZ25:BZ35" si="148">BB25+BH25+BN25+BT25</f>
        <v>42</v>
      </c>
      <c r="CA25" s="9">
        <f t="shared" ref="CA25:CA35" si="149">BE25+BK25+BQ25+BW25</f>
        <v>28</v>
      </c>
      <c r="CB25" s="9">
        <f t="shared" ref="CB25:CB35" si="150">BF25+BL25+BR25+BX25</f>
        <v>832</v>
      </c>
      <c r="CC25" s="8">
        <v>0</v>
      </c>
      <c r="CD25" s="8">
        <v>1690</v>
      </c>
      <c r="CE25" s="8">
        <v>33</v>
      </c>
      <c r="CF25" s="8">
        <v>20</v>
      </c>
      <c r="CG25" s="8">
        <v>15</v>
      </c>
      <c r="CH25" s="9">
        <f t="shared" ref="CH25:CH35" si="151">CD25+CE25+CF25+CG25</f>
        <v>1758</v>
      </c>
      <c r="CI25" s="8">
        <v>2650</v>
      </c>
      <c r="CJ25" s="8">
        <v>9</v>
      </c>
      <c r="CK25" s="8">
        <v>5</v>
      </c>
      <c r="CL25" s="8">
        <v>11</v>
      </c>
      <c r="CM25" s="9">
        <f t="shared" ref="CM25:CM35" si="152">CI25+CJ25+CK25+CL25</f>
        <v>2675</v>
      </c>
      <c r="CN25" s="8">
        <v>1636</v>
      </c>
      <c r="CO25" s="8">
        <v>45</v>
      </c>
      <c r="CP25" s="8">
        <v>114</v>
      </c>
      <c r="CQ25" s="8">
        <v>1</v>
      </c>
      <c r="CR25" s="9">
        <f t="shared" ref="CR25:CR35" si="153">CN25+CO25+CP25+CQ25</f>
        <v>1796</v>
      </c>
      <c r="CS25" s="9">
        <f t="shared" ref="CS25:CS35" si="154">CM25+CR25</f>
        <v>4471</v>
      </c>
      <c r="CT25" s="8">
        <v>6229</v>
      </c>
      <c r="CU25" s="8">
        <v>43305.77</v>
      </c>
      <c r="CV25" s="8">
        <v>38973.879999999997</v>
      </c>
      <c r="CW25" s="10">
        <f t="shared" ref="CW25:CW35" si="155">IF(CU25=0,"",CV25/CU25)</f>
        <v>0.89996968071460226</v>
      </c>
      <c r="CX25" s="8"/>
      <c r="CY25" s="8"/>
      <c r="CZ25" s="8"/>
      <c r="DA25" s="8"/>
      <c r="DB25" s="9">
        <f t="shared" ref="DB25:DB35" si="156">CX25+CY25-CZ25-DA25</f>
        <v>0</v>
      </c>
      <c r="DC25" s="8">
        <v>0</v>
      </c>
      <c r="DD25" s="8">
        <v>0</v>
      </c>
      <c r="DE25" s="8">
        <v>0</v>
      </c>
      <c r="DF25" s="8">
        <v>0</v>
      </c>
      <c r="DG25" s="9">
        <f t="shared" ref="DG25:DG35" si="157">DC25+DD25-DE25-DF25</f>
        <v>0</v>
      </c>
      <c r="DH25" s="8">
        <v>0</v>
      </c>
      <c r="DI25" s="8">
        <v>0</v>
      </c>
      <c r="DJ25" s="8">
        <v>0</v>
      </c>
      <c r="DK25" s="8">
        <v>0</v>
      </c>
      <c r="DL25" s="9">
        <f t="shared" ref="DL25:DL35" si="158">DH25+DI25-DJ25-DK25</f>
        <v>0</v>
      </c>
      <c r="DM25" s="8">
        <v>342</v>
      </c>
      <c r="DN25" s="8">
        <v>0</v>
      </c>
      <c r="DO25" s="8">
        <v>0</v>
      </c>
      <c r="DP25" s="8">
        <v>0</v>
      </c>
      <c r="DQ25" s="9">
        <f t="shared" ref="DQ25:DQ35" si="159">DM25+DN25-DO25-DP25</f>
        <v>342</v>
      </c>
      <c r="DR25" s="9">
        <f t="shared" ref="DR25:DR35" si="160">CX25+DC25+DH25+DM25</f>
        <v>342</v>
      </c>
      <c r="DS25" s="9">
        <f t="shared" ref="DS25:DS35" si="161">CY25+DD25+DI25+DN25</f>
        <v>0</v>
      </c>
      <c r="DT25" s="9">
        <f t="shared" ref="DT25:DT35" si="162">CZ25+DE25+DJ25+DO25</f>
        <v>0</v>
      </c>
      <c r="DU25" s="9">
        <f t="shared" ref="DU25:DU35" si="163">DA25+DF25+DK25+DP25</f>
        <v>0</v>
      </c>
      <c r="DV25" s="9">
        <f t="shared" ref="DV25:DV35" si="164">DB25+DG25+DL25+DQ25</f>
        <v>342</v>
      </c>
      <c r="DW25" s="8">
        <v>73</v>
      </c>
      <c r="DX25" s="8">
        <v>29</v>
      </c>
      <c r="DY25" s="8">
        <v>10</v>
      </c>
      <c r="DZ25" s="8">
        <v>2</v>
      </c>
      <c r="EA25" s="8">
        <v>7</v>
      </c>
      <c r="EB25" s="8">
        <v>3</v>
      </c>
      <c r="EC25" s="8">
        <v>0</v>
      </c>
      <c r="ED25" s="8">
        <v>2</v>
      </c>
      <c r="EE25" s="8">
        <v>3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9">
        <f t="shared" ref="FG25:FG35" si="165">SUM(DW25,DX25,DY25,DZ25,EA25,EB25,EC25,ED25,EE25,EF25,EG25,EH25,EI25,EJ25,EK25,EL25,EM25,EN25,EO25,EP25,EQ25,ER25,ES25,ET25,EU25,EV25,EW25,EX25,EY25,EZ25,FA25,FB25,FC25,FD25,FE25,FF25)</f>
        <v>129</v>
      </c>
      <c r="FH25" s="8">
        <v>0</v>
      </c>
      <c r="FI25" s="8">
        <v>22</v>
      </c>
      <c r="FJ25" s="8">
        <v>608</v>
      </c>
      <c r="FK25" s="8">
        <v>40</v>
      </c>
      <c r="FL25" s="8">
        <v>0</v>
      </c>
      <c r="FM25" s="8">
        <v>0</v>
      </c>
      <c r="FN25" s="8">
        <v>0</v>
      </c>
      <c r="FO25" s="8">
        <v>360</v>
      </c>
      <c r="FP25" s="8">
        <v>310</v>
      </c>
      <c r="FQ25" s="9">
        <f t="shared" ref="FQ25:FQ35" si="166">FL25+FM25+FN25+FO25+FP25</f>
        <v>670</v>
      </c>
      <c r="FR25" s="8">
        <v>23361897.850000001</v>
      </c>
      <c r="FS25" s="8">
        <v>79178</v>
      </c>
      <c r="FT25" s="8">
        <v>1004540</v>
      </c>
      <c r="FU25" s="8">
        <v>123000</v>
      </c>
      <c r="FV25" s="9">
        <f t="shared" ref="FV25:FV35" si="167">FR25+FS25+FT25+FU25</f>
        <v>24568615.850000001</v>
      </c>
      <c r="FW25" s="8">
        <v>20364654.550000001</v>
      </c>
      <c r="FX25" s="8">
        <v>4500</v>
      </c>
      <c r="FY25" s="8">
        <v>8409408.4100000001</v>
      </c>
      <c r="FZ25" s="8">
        <v>1812394</v>
      </c>
      <c r="GA25" s="9">
        <f t="shared" ref="GA25:GA35" si="168">FW25+FX25+FY25+FZ25</f>
        <v>30590956.960000001</v>
      </c>
      <c r="GB25" s="9">
        <f t="shared" ref="GB25:GB35" si="169">FV25+GA25</f>
        <v>55159572.810000002</v>
      </c>
      <c r="GC25" s="8">
        <v>21051798.210000001</v>
      </c>
      <c r="GD25" s="8">
        <v>90284.160000000003</v>
      </c>
      <c r="GE25" s="8">
        <v>1313750.25</v>
      </c>
      <c r="GF25" s="8">
        <v>105840.39</v>
      </c>
      <c r="GG25" s="9">
        <f t="shared" ref="GG25:GG35" si="170">GC25+GD25+GE25+GF25</f>
        <v>22561673.010000002</v>
      </c>
      <c r="GH25" s="8">
        <v>18655880.16</v>
      </c>
      <c r="GI25" s="8">
        <v>1800</v>
      </c>
      <c r="GJ25" s="8">
        <v>1725754</v>
      </c>
      <c r="GK25" s="8">
        <v>8097074.9700000007</v>
      </c>
      <c r="GL25" s="9">
        <f t="shared" ref="GL25:GL35" si="171">GH25+GI25+GJ25+GK25</f>
        <v>28480509.130000003</v>
      </c>
      <c r="GM25" s="9">
        <f t="shared" ref="GM25:GM35" si="172">GG25+GL25</f>
        <v>51042182.140000001</v>
      </c>
      <c r="GN25" s="8">
        <v>1411352.23</v>
      </c>
      <c r="GO25" s="8">
        <v>2104.08</v>
      </c>
      <c r="GP25" s="8">
        <v>30542.76</v>
      </c>
      <c r="GQ25" s="8">
        <v>23186.7</v>
      </c>
      <c r="GR25" s="9">
        <f t="shared" ref="GR25:GR35" si="173">GN25+GO25+GP25+GQ25</f>
        <v>1467185.77</v>
      </c>
      <c r="GS25" s="8">
        <v>2366450</v>
      </c>
      <c r="GT25" s="8">
        <v>9823</v>
      </c>
      <c r="GU25" s="8">
        <v>8037</v>
      </c>
      <c r="GV25" s="8">
        <v>4465</v>
      </c>
      <c r="GW25" s="9">
        <f t="shared" ref="GW25:GW35" si="174">GS25+GT25+GU25+GV25</f>
        <v>2388775</v>
      </c>
      <c r="GX25" s="9">
        <f t="shared" ref="GX25:GX35" si="175">GM25+GR25+GW25</f>
        <v>54898142.910000004</v>
      </c>
      <c r="GY25" s="8">
        <v>111298327.06999999</v>
      </c>
      <c r="GZ25" s="8">
        <v>4181108.32</v>
      </c>
      <c r="HA25" s="9">
        <f t="shared" ref="HA25:HA35" si="176">GY25+GZ25</f>
        <v>115479435.38999999</v>
      </c>
      <c r="HB25" s="9">
        <f t="shared" ref="HB25:HB35" si="177">IF(GX25=0,"",AU25/GX25)</f>
        <v>0.70248282763018333</v>
      </c>
      <c r="HC25" s="10">
        <f t="shared" ref="HC25:HC35" si="178">IF((GX25+GY25)=0,"",GB25/(GX25+GY25))</f>
        <v>0.3318937689629502</v>
      </c>
      <c r="HD25" s="9">
        <f t="shared" ref="HD25:HD35" si="179">IF(GX25=0,"",GB25/GX25)</f>
        <v>1.0047620900479017</v>
      </c>
      <c r="HE25" s="8">
        <v>42</v>
      </c>
      <c r="HF25" s="8">
        <v>1</v>
      </c>
      <c r="HG25" s="8">
        <v>832</v>
      </c>
      <c r="HH25" s="8">
        <v>42</v>
      </c>
      <c r="HI25" s="8">
        <v>30</v>
      </c>
      <c r="HJ25" s="9">
        <f t="shared" ref="HJ25:HJ35" si="180">HF25+HI25</f>
        <v>31</v>
      </c>
      <c r="HK25" s="10">
        <f t="shared" ref="HK25:HK35" si="181">IF(HE25=0,"",HH25/HE25)</f>
        <v>1</v>
      </c>
      <c r="HL25" s="8">
        <v>10</v>
      </c>
      <c r="HM25" s="8">
        <v>30</v>
      </c>
      <c r="HN25" s="11">
        <f t="shared" ref="HN25:HN35" si="182">IF(HL25=0,"",HM25/HL25)</f>
        <v>3</v>
      </c>
    </row>
    <row r="26" spans="1:222" x14ac:dyDescent="0.3">
      <c r="A26" s="12" t="s">
        <v>255</v>
      </c>
      <c r="B26" s="12" t="s">
        <v>255</v>
      </c>
      <c r="C26" s="13" t="s">
        <v>257</v>
      </c>
      <c r="D26" s="13">
        <v>2026</v>
      </c>
      <c r="E26" s="13">
        <v>3</v>
      </c>
      <c r="F26" s="13" t="s">
        <v>273</v>
      </c>
      <c r="G26" s="13" t="s">
        <v>271</v>
      </c>
      <c r="H26" s="14">
        <v>62352</v>
      </c>
      <c r="I26" s="14">
        <v>23896</v>
      </c>
      <c r="J26" s="14">
        <v>413</v>
      </c>
      <c r="K26" s="14">
        <v>259</v>
      </c>
      <c r="L26" s="14">
        <v>34</v>
      </c>
      <c r="M26" s="15">
        <f t="shared" si="122"/>
        <v>24602</v>
      </c>
      <c r="N26" s="14">
        <v>15442.6</v>
      </c>
      <c r="O26" s="14">
        <v>17.100000000000001</v>
      </c>
      <c r="P26" s="14">
        <v>1051.7</v>
      </c>
      <c r="Q26" s="14">
        <v>1905.1</v>
      </c>
      <c r="R26" s="15">
        <f t="shared" si="123"/>
        <v>18416.5</v>
      </c>
      <c r="S26" s="15">
        <f t="shared" si="124"/>
        <v>43018.5</v>
      </c>
      <c r="T26" s="14">
        <v>19333.5</v>
      </c>
      <c r="U26" s="16">
        <f t="shared" si="125"/>
        <v>0.31007024634334102</v>
      </c>
      <c r="V26" s="14">
        <v>372</v>
      </c>
      <c r="W26" s="17">
        <f t="shared" si="126"/>
        <v>5.9661277906081604E-3</v>
      </c>
      <c r="X26" s="14">
        <v>985</v>
      </c>
      <c r="Y26" s="17">
        <f t="shared" si="127"/>
        <v>1.5797408262766231E-2</v>
      </c>
      <c r="Z26" s="14">
        <v>0</v>
      </c>
      <c r="AA26" s="17">
        <f t="shared" si="128"/>
        <v>0</v>
      </c>
      <c r="AB26" s="14">
        <v>0</v>
      </c>
      <c r="AC26" s="17">
        <f t="shared" si="129"/>
        <v>0</v>
      </c>
      <c r="AD26" s="14">
        <v>0</v>
      </c>
      <c r="AE26" s="17">
        <f t="shared" si="130"/>
        <v>0</v>
      </c>
      <c r="AF26" s="14">
        <v>0</v>
      </c>
      <c r="AG26" s="17">
        <f t="shared" si="131"/>
        <v>0</v>
      </c>
      <c r="AH26" s="14">
        <v>2355517.9467000002</v>
      </c>
      <c r="AI26" s="15">
        <f t="shared" si="132"/>
        <v>37.777744846997692</v>
      </c>
      <c r="AJ26" s="14">
        <v>55635</v>
      </c>
      <c r="AK26" s="17">
        <f t="shared" si="133"/>
        <v>0.89227290223248656</v>
      </c>
      <c r="AL26" s="14">
        <v>19339</v>
      </c>
      <c r="AM26" s="15">
        <f t="shared" si="134"/>
        <v>0.31015845522196561</v>
      </c>
      <c r="AN26" s="14">
        <v>2029</v>
      </c>
      <c r="AO26" s="14">
        <v>240</v>
      </c>
      <c r="AP26" s="14">
        <v>840000</v>
      </c>
      <c r="AQ26" s="14">
        <v>0</v>
      </c>
      <c r="AR26" s="14">
        <v>17418536.25</v>
      </c>
      <c r="AS26" s="14">
        <v>6951595.7599999998</v>
      </c>
      <c r="AT26" s="14">
        <v>1754000</v>
      </c>
      <c r="AU26" s="15">
        <f t="shared" si="135"/>
        <v>29338988.956699997</v>
      </c>
      <c r="AV26" s="15">
        <f t="shared" si="136"/>
        <v>470.53805742718754</v>
      </c>
      <c r="AW26" s="15">
        <f t="shared" si="137"/>
        <v>682.00864643583566</v>
      </c>
      <c r="AX26" s="14">
        <v>26</v>
      </c>
      <c r="AY26" s="15">
        <f t="shared" si="138"/>
        <v>5.0038491147036188</v>
      </c>
      <c r="AZ26" s="14">
        <v>50</v>
      </c>
      <c r="BA26" s="14">
        <v>832</v>
      </c>
      <c r="BB26" s="14">
        <v>51</v>
      </c>
      <c r="BC26" s="14">
        <v>24</v>
      </c>
      <c r="BD26" s="14">
        <v>2</v>
      </c>
      <c r="BE26" s="15">
        <f t="shared" si="139"/>
        <v>26</v>
      </c>
      <c r="BF26" s="15">
        <f t="shared" si="140"/>
        <v>857</v>
      </c>
      <c r="BG26" s="14">
        <v>0</v>
      </c>
      <c r="BH26" s="14">
        <v>0</v>
      </c>
      <c r="BI26" s="14">
        <v>0</v>
      </c>
      <c r="BJ26" s="14">
        <v>0</v>
      </c>
      <c r="BK26" s="15">
        <f t="shared" si="141"/>
        <v>0</v>
      </c>
      <c r="BL26" s="15">
        <f t="shared" si="142"/>
        <v>0</v>
      </c>
      <c r="BM26" s="14">
        <v>0</v>
      </c>
      <c r="BN26" s="14">
        <v>0</v>
      </c>
      <c r="BO26" s="14">
        <v>0</v>
      </c>
      <c r="BP26" s="14">
        <v>0</v>
      </c>
      <c r="BQ26" s="15">
        <f t="shared" si="143"/>
        <v>0</v>
      </c>
      <c r="BR26" s="15">
        <f t="shared" si="144"/>
        <v>0</v>
      </c>
      <c r="BS26" s="14">
        <v>0</v>
      </c>
      <c r="BT26" s="14">
        <v>0</v>
      </c>
      <c r="BU26" s="14">
        <v>0</v>
      </c>
      <c r="BV26" s="14">
        <v>0</v>
      </c>
      <c r="BW26" s="15">
        <f t="shared" si="145"/>
        <v>0</v>
      </c>
      <c r="BX26" s="15">
        <f t="shared" si="146"/>
        <v>0</v>
      </c>
      <c r="BY26" s="15">
        <f t="shared" si="147"/>
        <v>832</v>
      </c>
      <c r="BZ26" s="15">
        <f t="shared" si="148"/>
        <v>51</v>
      </c>
      <c r="CA26" s="15">
        <f t="shared" si="149"/>
        <v>26</v>
      </c>
      <c r="CB26" s="15">
        <f t="shared" si="150"/>
        <v>857</v>
      </c>
      <c r="CC26" s="14">
        <v>2</v>
      </c>
      <c r="CD26" s="14">
        <v>1684</v>
      </c>
      <c r="CE26" s="14">
        <v>33</v>
      </c>
      <c r="CF26" s="14">
        <v>20</v>
      </c>
      <c r="CG26" s="14">
        <v>15</v>
      </c>
      <c r="CH26" s="15">
        <f t="shared" si="151"/>
        <v>1752</v>
      </c>
      <c r="CI26" s="14">
        <v>2677</v>
      </c>
      <c r="CJ26" s="14">
        <v>9</v>
      </c>
      <c r="CK26" s="14">
        <v>8</v>
      </c>
      <c r="CL26" s="14">
        <v>11</v>
      </c>
      <c r="CM26" s="15">
        <f t="shared" si="152"/>
        <v>2705</v>
      </c>
      <c r="CN26" s="14">
        <v>1636</v>
      </c>
      <c r="CO26" s="14">
        <v>45</v>
      </c>
      <c r="CP26" s="14">
        <v>114</v>
      </c>
      <c r="CQ26" s="14">
        <v>1</v>
      </c>
      <c r="CR26" s="15">
        <f t="shared" si="153"/>
        <v>1796</v>
      </c>
      <c r="CS26" s="15">
        <f t="shared" si="154"/>
        <v>4501</v>
      </c>
      <c r="CT26" s="14">
        <v>6253</v>
      </c>
      <c r="CU26" s="14">
        <v>43739</v>
      </c>
      <c r="CV26" s="14">
        <v>39363</v>
      </c>
      <c r="CW26" s="16">
        <f t="shared" si="155"/>
        <v>0.89995198792839337</v>
      </c>
      <c r="CX26" s="14"/>
      <c r="CY26" s="14"/>
      <c r="CZ26" s="14"/>
      <c r="DA26" s="14"/>
      <c r="DB26" s="15">
        <f t="shared" si="156"/>
        <v>0</v>
      </c>
      <c r="DC26" s="14">
        <v>0</v>
      </c>
      <c r="DD26" s="14">
        <v>0</v>
      </c>
      <c r="DE26" s="14">
        <v>0</v>
      </c>
      <c r="DF26" s="14">
        <v>0</v>
      </c>
      <c r="DG26" s="15">
        <f t="shared" si="157"/>
        <v>0</v>
      </c>
      <c r="DH26" s="14">
        <v>0</v>
      </c>
      <c r="DI26" s="14">
        <v>0</v>
      </c>
      <c r="DJ26" s="14">
        <v>0</v>
      </c>
      <c r="DK26" s="14">
        <v>0</v>
      </c>
      <c r="DL26" s="15">
        <f t="shared" si="158"/>
        <v>0</v>
      </c>
      <c r="DM26" s="14">
        <v>342</v>
      </c>
      <c r="DN26" s="14">
        <v>0</v>
      </c>
      <c r="DO26" s="14">
        <v>0</v>
      </c>
      <c r="DP26" s="14">
        <v>0</v>
      </c>
      <c r="DQ26" s="15">
        <f t="shared" si="159"/>
        <v>342</v>
      </c>
      <c r="DR26" s="15">
        <f t="shared" si="160"/>
        <v>342</v>
      </c>
      <c r="DS26" s="15">
        <f t="shared" si="161"/>
        <v>0</v>
      </c>
      <c r="DT26" s="15">
        <f t="shared" si="162"/>
        <v>0</v>
      </c>
      <c r="DU26" s="15">
        <f t="shared" si="163"/>
        <v>0</v>
      </c>
      <c r="DV26" s="15">
        <f t="shared" si="164"/>
        <v>342</v>
      </c>
      <c r="DW26" s="14">
        <v>40</v>
      </c>
      <c r="DX26" s="14">
        <v>12</v>
      </c>
      <c r="DY26" s="14">
        <v>8</v>
      </c>
      <c r="DZ26" s="14">
        <v>3</v>
      </c>
      <c r="EA26" s="14">
        <v>5</v>
      </c>
      <c r="EB26" s="14">
        <v>3</v>
      </c>
      <c r="EC26" s="14">
        <v>0</v>
      </c>
      <c r="ED26" s="14">
        <v>1</v>
      </c>
      <c r="EE26" s="14">
        <v>5</v>
      </c>
      <c r="EF26" s="14">
        <v>1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5">
        <f t="shared" si="165"/>
        <v>78</v>
      </c>
      <c r="FH26" s="14">
        <v>0</v>
      </c>
      <c r="FI26" s="14">
        <v>0</v>
      </c>
      <c r="FJ26" s="14">
        <v>744</v>
      </c>
      <c r="FK26" s="14">
        <v>12</v>
      </c>
      <c r="FL26" s="14">
        <v>30</v>
      </c>
      <c r="FM26" s="14">
        <v>0</v>
      </c>
      <c r="FN26" s="14">
        <v>122</v>
      </c>
      <c r="FO26" s="14">
        <v>0</v>
      </c>
      <c r="FP26" s="14">
        <v>0</v>
      </c>
      <c r="FQ26" s="15">
        <f t="shared" si="166"/>
        <v>152</v>
      </c>
      <c r="FR26" s="14">
        <v>30088422.030000001</v>
      </c>
      <c r="FS26" s="14">
        <v>95121</v>
      </c>
      <c r="FT26" s="14">
        <v>402940</v>
      </c>
      <c r="FU26" s="14">
        <v>254600</v>
      </c>
      <c r="FV26" s="15">
        <f t="shared" si="167"/>
        <v>30841083.030000001</v>
      </c>
      <c r="FW26" s="14">
        <v>21755861.190000001</v>
      </c>
      <c r="FX26" s="14">
        <v>9000</v>
      </c>
      <c r="FY26" s="14">
        <v>9967207.1199999992</v>
      </c>
      <c r="FZ26" s="14">
        <v>3254854.05</v>
      </c>
      <c r="GA26" s="15">
        <f t="shared" si="168"/>
        <v>34986922.359999999</v>
      </c>
      <c r="GB26" s="15">
        <f t="shared" si="169"/>
        <v>65828005.390000001</v>
      </c>
      <c r="GC26" s="14">
        <v>22589533.809999999</v>
      </c>
      <c r="GD26" s="14">
        <v>78998.64</v>
      </c>
      <c r="GE26" s="14">
        <v>858634.86</v>
      </c>
      <c r="GF26" s="14">
        <v>138555.62</v>
      </c>
      <c r="GG26" s="15">
        <f t="shared" si="170"/>
        <v>23665722.93</v>
      </c>
      <c r="GH26" s="14">
        <v>19271306.100000009</v>
      </c>
      <c r="GI26" s="14">
        <v>3600</v>
      </c>
      <c r="GJ26" s="14">
        <v>3198022.94</v>
      </c>
      <c r="GK26" s="14">
        <v>9007103.2400000002</v>
      </c>
      <c r="GL26" s="15">
        <f t="shared" si="171"/>
        <v>31480032.280000009</v>
      </c>
      <c r="GM26" s="15">
        <f t="shared" si="172"/>
        <v>55145755.210000008</v>
      </c>
      <c r="GN26" s="14">
        <v>1425840.48</v>
      </c>
      <c r="GO26" s="14">
        <v>2104.08</v>
      </c>
      <c r="GP26" s="14">
        <v>30542.76</v>
      </c>
      <c r="GQ26" s="14">
        <v>37098.720000000001</v>
      </c>
      <c r="GR26" s="15">
        <f t="shared" si="173"/>
        <v>1495586.04</v>
      </c>
      <c r="GS26" s="14">
        <v>2390561</v>
      </c>
      <c r="GT26" s="14">
        <v>9823</v>
      </c>
      <c r="GU26" s="14">
        <v>8037</v>
      </c>
      <c r="GV26" s="14">
        <v>7144</v>
      </c>
      <c r="GW26" s="15">
        <f t="shared" si="174"/>
        <v>2415565</v>
      </c>
      <c r="GX26" s="15">
        <f t="shared" si="175"/>
        <v>59056906.250000007</v>
      </c>
      <c r="GY26" s="14">
        <v>103326660.39</v>
      </c>
      <c r="GZ26" s="14">
        <v>3135234.72</v>
      </c>
      <c r="HA26" s="15">
        <f t="shared" si="176"/>
        <v>106461895.11</v>
      </c>
      <c r="HB26" s="15">
        <f t="shared" si="177"/>
        <v>0.4967918372239486</v>
      </c>
      <c r="HC26" s="16">
        <f t="shared" si="178"/>
        <v>0.40538588203287168</v>
      </c>
      <c r="HD26" s="15">
        <f t="shared" si="179"/>
        <v>1.1146538071489309</v>
      </c>
      <c r="HE26" s="14">
        <v>51</v>
      </c>
      <c r="HF26" s="14">
        <v>1</v>
      </c>
      <c r="HG26" s="14">
        <v>857</v>
      </c>
      <c r="HH26" s="14">
        <v>51</v>
      </c>
      <c r="HI26" s="14">
        <v>30</v>
      </c>
      <c r="HJ26" s="15">
        <f t="shared" si="180"/>
        <v>31</v>
      </c>
      <c r="HK26" s="16">
        <f t="shared" si="181"/>
        <v>1</v>
      </c>
      <c r="HL26" s="14">
        <v>17</v>
      </c>
      <c r="HM26" s="14">
        <v>30</v>
      </c>
      <c r="HN26" s="17">
        <f t="shared" si="182"/>
        <v>1.7647058823529411</v>
      </c>
    </row>
    <row r="27" spans="1:222" x14ac:dyDescent="0.3">
      <c r="A27" s="6" t="s">
        <v>255</v>
      </c>
      <c r="B27" s="6" t="s">
        <v>274</v>
      </c>
      <c r="C27" s="7" t="s">
        <v>257</v>
      </c>
      <c r="D27" s="7">
        <v>2025</v>
      </c>
      <c r="E27" s="7">
        <v>4</v>
      </c>
      <c r="F27" s="7" t="s">
        <v>258</v>
      </c>
      <c r="G27" s="7" t="s">
        <v>259</v>
      </c>
      <c r="H27" s="8">
        <v>1641</v>
      </c>
      <c r="I27" s="8">
        <v>69</v>
      </c>
      <c r="J27" s="8">
        <v>0</v>
      </c>
      <c r="K27" s="8">
        <v>32</v>
      </c>
      <c r="L27" s="8">
        <v>0</v>
      </c>
      <c r="M27" s="9">
        <f t="shared" si="122"/>
        <v>101</v>
      </c>
      <c r="N27" s="8">
        <v>1274.8</v>
      </c>
      <c r="O27" s="8">
        <v>0</v>
      </c>
      <c r="P27" s="8">
        <v>2</v>
      </c>
      <c r="Q27" s="8">
        <v>16.899999999999999</v>
      </c>
      <c r="R27" s="9">
        <f t="shared" si="123"/>
        <v>1293.7</v>
      </c>
      <c r="S27" s="9">
        <f t="shared" si="124"/>
        <v>1394.7</v>
      </c>
      <c r="T27" s="8">
        <v>246.3</v>
      </c>
      <c r="U27" s="10">
        <f t="shared" si="125"/>
        <v>0.15009140767824497</v>
      </c>
      <c r="V27" s="8">
        <v>9</v>
      </c>
      <c r="W27" s="11">
        <f t="shared" si="126"/>
        <v>5.4844606946983544E-3</v>
      </c>
      <c r="X27" s="8">
        <v>0</v>
      </c>
      <c r="Y27" s="11">
        <f t="shared" si="127"/>
        <v>0</v>
      </c>
      <c r="Z27" s="8">
        <v>0</v>
      </c>
      <c r="AA27" s="11">
        <f t="shared" si="128"/>
        <v>0</v>
      </c>
      <c r="AB27" s="8">
        <v>0</v>
      </c>
      <c r="AC27" s="11">
        <f t="shared" si="129"/>
        <v>0</v>
      </c>
      <c r="AD27" s="8">
        <v>0</v>
      </c>
      <c r="AE27" s="11">
        <f t="shared" si="130"/>
        <v>0</v>
      </c>
      <c r="AF27" s="8">
        <v>0</v>
      </c>
      <c r="AG27" s="11">
        <f t="shared" si="131"/>
        <v>0</v>
      </c>
      <c r="AH27" s="8">
        <v>31727.61</v>
      </c>
      <c r="AI27" s="9">
        <f t="shared" si="132"/>
        <v>19.334314442413163</v>
      </c>
      <c r="AJ27" s="8">
        <v>760</v>
      </c>
      <c r="AK27" s="11">
        <f t="shared" si="133"/>
        <v>0.46313223644119439</v>
      </c>
      <c r="AL27" s="8">
        <v>146393.9</v>
      </c>
      <c r="AM27" s="9">
        <f t="shared" si="134"/>
        <v>89.210176721511274</v>
      </c>
      <c r="AN27" s="8">
        <v>0</v>
      </c>
      <c r="AO27" s="8">
        <v>0</v>
      </c>
      <c r="AP27" s="8">
        <v>0</v>
      </c>
      <c r="AQ27" s="8">
        <v>0</v>
      </c>
      <c r="AR27" s="8">
        <v>718108.71</v>
      </c>
      <c r="AS27" s="8">
        <v>720000.32</v>
      </c>
      <c r="AT27" s="8">
        <v>596480</v>
      </c>
      <c r="AU27" s="9">
        <f t="shared" si="135"/>
        <v>2212710.54</v>
      </c>
      <c r="AV27" s="9">
        <f t="shared" si="136"/>
        <v>1348.3915539305301</v>
      </c>
      <c r="AW27" s="9">
        <f t="shared" si="137"/>
        <v>1586.5136158313614</v>
      </c>
      <c r="AX27" s="8">
        <v>3</v>
      </c>
      <c r="AY27" s="9">
        <f t="shared" si="138"/>
        <v>21.937842778793417</v>
      </c>
      <c r="AZ27" s="8">
        <v>8</v>
      </c>
      <c r="BA27" s="8">
        <v>2</v>
      </c>
      <c r="BB27" s="8">
        <v>2</v>
      </c>
      <c r="BC27" s="8">
        <v>0</v>
      </c>
      <c r="BD27" s="8">
        <v>2</v>
      </c>
      <c r="BE27" s="9">
        <f t="shared" si="139"/>
        <v>2</v>
      </c>
      <c r="BF27" s="9">
        <f t="shared" si="140"/>
        <v>2</v>
      </c>
      <c r="BG27" s="8">
        <v>0</v>
      </c>
      <c r="BH27" s="8">
        <v>0</v>
      </c>
      <c r="BI27" s="8">
        <v>0</v>
      </c>
      <c r="BJ27" s="8">
        <v>0</v>
      </c>
      <c r="BK27" s="9">
        <f t="shared" si="141"/>
        <v>0</v>
      </c>
      <c r="BL27" s="9">
        <f t="shared" si="142"/>
        <v>0</v>
      </c>
      <c r="BM27" s="8">
        <v>0</v>
      </c>
      <c r="BN27" s="8">
        <v>0</v>
      </c>
      <c r="BO27" s="8">
        <v>0</v>
      </c>
      <c r="BP27" s="8">
        <v>0</v>
      </c>
      <c r="BQ27" s="9">
        <f t="shared" si="143"/>
        <v>0</v>
      </c>
      <c r="BR27" s="9">
        <f t="shared" si="144"/>
        <v>0</v>
      </c>
      <c r="BS27" s="8">
        <v>0</v>
      </c>
      <c r="BT27" s="8">
        <v>0</v>
      </c>
      <c r="BU27" s="8">
        <v>0</v>
      </c>
      <c r="BV27" s="8">
        <v>0</v>
      </c>
      <c r="BW27" s="9">
        <f t="shared" si="145"/>
        <v>0</v>
      </c>
      <c r="BX27" s="9">
        <f t="shared" si="146"/>
        <v>0</v>
      </c>
      <c r="BY27" s="9">
        <f t="shared" si="147"/>
        <v>2</v>
      </c>
      <c r="BZ27" s="9">
        <f t="shared" si="148"/>
        <v>2</v>
      </c>
      <c r="CA27" s="9">
        <f t="shared" si="149"/>
        <v>2</v>
      </c>
      <c r="CB27" s="9">
        <f t="shared" si="150"/>
        <v>2</v>
      </c>
      <c r="CC27" s="8">
        <v>12</v>
      </c>
      <c r="CD27" s="8">
        <v>0</v>
      </c>
      <c r="CE27" s="8">
        <v>0</v>
      </c>
      <c r="CF27" s="8">
        <v>0</v>
      </c>
      <c r="CG27" s="8">
        <v>0</v>
      </c>
      <c r="CH27" s="9">
        <f t="shared" si="151"/>
        <v>0</v>
      </c>
      <c r="CI27" s="8">
        <v>12</v>
      </c>
      <c r="CJ27" s="8">
        <v>1</v>
      </c>
      <c r="CK27" s="8">
        <v>0</v>
      </c>
      <c r="CL27" s="8">
        <v>0</v>
      </c>
      <c r="CM27" s="9">
        <f t="shared" si="152"/>
        <v>13</v>
      </c>
      <c r="CN27" s="8">
        <v>376</v>
      </c>
      <c r="CO27" s="8">
        <v>3</v>
      </c>
      <c r="CP27" s="8">
        <v>6</v>
      </c>
      <c r="CQ27" s="8">
        <v>0</v>
      </c>
      <c r="CR27" s="9">
        <f t="shared" si="153"/>
        <v>385</v>
      </c>
      <c r="CS27" s="9">
        <f t="shared" si="154"/>
        <v>398</v>
      </c>
      <c r="CT27" s="8">
        <v>398</v>
      </c>
      <c r="CU27" s="8">
        <v>1420</v>
      </c>
      <c r="CV27" s="8">
        <v>1065</v>
      </c>
      <c r="CW27" s="10">
        <f t="shared" si="155"/>
        <v>0.75</v>
      </c>
      <c r="CX27" s="8"/>
      <c r="CY27" s="8"/>
      <c r="CZ27" s="8"/>
      <c r="DA27" s="8"/>
      <c r="DB27" s="9">
        <f t="shared" si="156"/>
        <v>0</v>
      </c>
      <c r="DC27" s="8">
        <v>0</v>
      </c>
      <c r="DD27" s="8">
        <v>0</v>
      </c>
      <c r="DE27" s="8">
        <v>0</v>
      </c>
      <c r="DF27" s="8">
        <v>0</v>
      </c>
      <c r="DG27" s="9">
        <f t="shared" si="157"/>
        <v>0</v>
      </c>
      <c r="DH27" s="8">
        <v>0</v>
      </c>
      <c r="DI27" s="8">
        <v>0</v>
      </c>
      <c r="DJ27" s="8">
        <v>0</v>
      </c>
      <c r="DK27" s="8">
        <v>0</v>
      </c>
      <c r="DL27" s="9">
        <f t="shared" si="158"/>
        <v>0</v>
      </c>
      <c r="DM27" s="8">
        <v>0</v>
      </c>
      <c r="DN27" s="8">
        <v>0</v>
      </c>
      <c r="DO27" s="8">
        <v>0</v>
      </c>
      <c r="DP27" s="8">
        <v>0</v>
      </c>
      <c r="DQ27" s="9">
        <f t="shared" si="159"/>
        <v>0</v>
      </c>
      <c r="DR27" s="9">
        <f t="shared" si="160"/>
        <v>0</v>
      </c>
      <c r="DS27" s="9">
        <f t="shared" si="161"/>
        <v>0</v>
      </c>
      <c r="DT27" s="9">
        <f t="shared" si="162"/>
        <v>0</v>
      </c>
      <c r="DU27" s="9">
        <f t="shared" si="163"/>
        <v>0</v>
      </c>
      <c r="DV27" s="9">
        <f t="shared" si="164"/>
        <v>0</v>
      </c>
      <c r="DW27" s="8">
        <v>13</v>
      </c>
      <c r="DX27" s="8">
        <v>8</v>
      </c>
      <c r="DY27" s="8">
        <v>9</v>
      </c>
      <c r="DZ27" s="8">
        <v>3</v>
      </c>
      <c r="EA27" s="8">
        <v>2</v>
      </c>
      <c r="EB27" s="8">
        <v>4</v>
      </c>
      <c r="EC27" s="8">
        <v>0</v>
      </c>
      <c r="ED27" s="8">
        <v>2</v>
      </c>
      <c r="EE27" s="8">
        <v>1</v>
      </c>
      <c r="EF27" s="8">
        <v>0</v>
      </c>
      <c r="EG27" s="8">
        <v>0</v>
      </c>
      <c r="EH27" s="8">
        <v>0</v>
      </c>
      <c r="EI27" s="8">
        <v>0</v>
      </c>
      <c r="EJ27" s="8">
        <v>3</v>
      </c>
      <c r="EK27" s="8">
        <v>1</v>
      </c>
      <c r="EL27" s="8">
        <v>0</v>
      </c>
      <c r="EM27" s="8">
        <v>0</v>
      </c>
      <c r="EN27" s="8">
        <v>2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9">
        <f t="shared" si="165"/>
        <v>48</v>
      </c>
      <c r="FH27" s="8">
        <v>1</v>
      </c>
      <c r="FI27" s="8">
        <v>0</v>
      </c>
      <c r="FJ27" s="8">
        <v>0</v>
      </c>
      <c r="FK27" s="8">
        <v>39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9">
        <f t="shared" si="166"/>
        <v>0</v>
      </c>
      <c r="FR27" s="8">
        <v>49800</v>
      </c>
      <c r="FS27" s="8">
        <v>0</v>
      </c>
      <c r="FT27" s="8">
        <v>0</v>
      </c>
      <c r="FU27" s="8">
        <v>0</v>
      </c>
      <c r="FV27" s="9">
        <f t="shared" si="167"/>
        <v>49800</v>
      </c>
      <c r="FW27" s="8">
        <v>2505983.04</v>
      </c>
      <c r="FX27" s="8">
        <v>0</v>
      </c>
      <c r="FY27" s="8">
        <v>80000</v>
      </c>
      <c r="FZ27" s="8">
        <v>8000</v>
      </c>
      <c r="GA27" s="9">
        <f t="shared" si="168"/>
        <v>2593983.04</v>
      </c>
      <c r="GB27" s="9">
        <f t="shared" si="169"/>
        <v>2643783.04</v>
      </c>
      <c r="GC27" s="8">
        <v>66118.59</v>
      </c>
      <c r="GD27" s="8">
        <v>0</v>
      </c>
      <c r="GE27" s="8">
        <v>98236.19</v>
      </c>
      <c r="GF27" s="8">
        <v>0</v>
      </c>
      <c r="GG27" s="9">
        <f t="shared" si="170"/>
        <v>164354.78</v>
      </c>
      <c r="GH27" s="8">
        <v>1597739.04</v>
      </c>
      <c r="GI27" s="8">
        <v>0</v>
      </c>
      <c r="GJ27" s="8">
        <v>6200</v>
      </c>
      <c r="GK27" s="8">
        <v>80000</v>
      </c>
      <c r="GL27" s="9">
        <f t="shared" si="171"/>
        <v>1683939.04</v>
      </c>
      <c r="GM27" s="9">
        <f t="shared" si="172"/>
        <v>1848293.82</v>
      </c>
      <c r="GN27" s="8">
        <v>6661.18</v>
      </c>
      <c r="GO27" s="8">
        <v>0</v>
      </c>
      <c r="GP27" s="8">
        <v>3393.64</v>
      </c>
      <c r="GQ27" s="8">
        <v>0</v>
      </c>
      <c r="GR27" s="9">
        <f t="shared" si="173"/>
        <v>10054.82</v>
      </c>
      <c r="GS27" s="8">
        <v>10716</v>
      </c>
      <c r="GT27" s="8">
        <v>0</v>
      </c>
      <c r="GU27" s="8">
        <v>893</v>
      </c>
      <c r="GV27" s="8">
        <v>0</v>
      </c>
      <c r="GW27" s="9">
        <f t="shared" si="174"/>
        <v>11609</v>
      </c>
      <c r="GX27" s="9">
        <f t="shared" si="175"/>
        <v>1869957.6400000001</v>
      </c>
      <c r="GY27" s="8">
        <v>18501501.109999999</v>
      </c>
      <c r="GZ27" s="8">
        <v>1096482.98</v>
      </c>
      <c r="HA27" s="9">
        <f t="shared" si="176"/>
        <v>19597984.09</v>
      </c>
      <c r="HB27" s="9">
        <f t="shared" si="177"/>
        <v>1.1832944729165094</v>
      </c>
      <c r="HC27" s="10">
        <f t="shared" si="178"/>
        <v>0.12977877885156358</v>
      </c>
      <c r="HD27" s="9">
        <f t="shared" si="179"/>
        <v>1.4138197483446737</v>
      </c>
      <c r="HE27" s="8">
        <v>2</v>
      </c>
      <c r="HF27" s="8">
        <v>1</v>
      </c>
      <c r="HG27" s="8">
        <v>2</v>
      </c>
      <c r="HH27" s="8">
        <v>2</v>
      </c>
      <c r="HI27" s="8">
        <v>15</v>
      </c>
      <c r="HJ27" s="9">
        <f t="shared" si="180"/>
        <v>16</v>
      </c>
      <c r="HK27" s="10">
        <f t="shared" si="181"/>
        <v>1</v>
      </c>
      <c r="HL27" s="8">
        <v>23</v>
      </c>
      <c r="HM27" s="8">
        <v>2</v>
      </c>
      <c r="HN27" s="11">
        <f t="shared" si="182"/>
        <v>8.6956521739130432E-2</v>
      </c>
    </row>
    <row r="28" spans="1:222" x14ac:dyDescent="0.3">
      <c r="A28" s="12" t="s">
        <v>255</v>
      </c>
      <c r="B28" s="12" t="s">
        <v>274</v>
      </c>
      <c r="C28" s="13" t="s">
        <v>257</v>
      </c>
      <c r="D28" s="13">
        <v>2025</v>
      </c>
      <c r="E28" s="13">
        <v>5</v>
      </c>
      <c r="F28" s="13" t="s">
        <v>260</v>
      </c>
      <c r="G28" s="13" t="s">
        <v>259</v>
      </c>
      <c r="H28" s="14">
        <v>1921</v>
      </c>
      <c r="I28" s="14">
        <v>16</v>
      </c>
      <c r="J28" s="14">
        <v>0</v>
      </c>
      <c r="K28" s="14">
        <v>10</v>
      </c>
      <c r="L28" s="14">
        <v>0</v>
      </c>
      <c r="M28" s="15">
        <f t="shared" si="122"/>
        <v>26</v>
      </c>
      <c r="N28" s="14">
        <v>1352.9</v>
      </c>
      <c r="O28" s="14">
        <v>0</v>
      </c>
      <c r="P28" s="14">
        <v>13</v>
      </c>
      <c r="Q28" s="14">
        <v>0</v>
      </c>
      <c r="R28" s="15">
        <f t="shared" si="123"/>
        <v>1365.9</v>
      </c>
      <c r="S28" s="15">
        <f t="shared" si="124"/>
        <v>1391.9</v>
      </c>
      <c r="T28" s="14">
        <v>529.1</v>
      </c>
      <c r="U28" s="16">
        <f t="shared" si="125"/>
        <v>0.27542946382092659</v>
      </c>
      <c r="V28" s="14">
        <v>11</v>
      </c>
      <c r="W28" s="17">
        <f t="shared" si="126"/>
        <v>5.726184279021343E-3</v>
      </c>
      <c r="X28" s="14">
        <v>0</v>
      </c>
      <c r="Y28" s="17">
        <f t="shared" si="127"/>
        <v>0</v>
      </c>
      <c r="Z28" s="14">
        <v>0</v>
      </c>
      <c r="AA28" s="17">
        <f t="shared" si="128"/>
        <v>0</v>
      </c>
      <c r="AB28" s="14">
        <v>0</v>
      </c>
      <c r="AC28" s="17">
        <f t="shared" si="129"/>
        <v>0</v>
      </c>
      <c r="AD28" s="14">
        <v>0</v>
      </c>
      <c r="AE28" s="17">
        <f t="shared" si="130"/>
        <v>0</v>
      </c>
      <c r="AF28" s="14">
        <v>0</v>
      </c>
      <c r="AG28" s="17">
        <f t="shared" si="131"/>
        <v>0</v>
      </c>
      <c r="AH28" s="14">
        <v>38778.19</v>
      </c>
      <c r="AI28" s="15">
        <f t="shared" si="132"/>
        <v>20.186460176991151</v>
      </c>
      <c r="AJ28" s="14">
        <v>2306.8050699999999</v>
      </c>
      <c r="AK28" s="17">
        <f t="shared" si="133"/>
        <v>1.2008355387818843</v>
      </c>
      <c r="AL28" s="14">
        <v>404984.90458992502</v>
      </c>
      <c r="AM28" s="15">
        <f t="shared" si="134"/>
        <v>210.8198358094352</v>
      </c>
      <c r="AN28" s="14">
        <v>0</v>
      </c>
      <c r="AO28" s="14">
        <v>0</v>
      </c>
      <c r="AP28" s="14">
        <v>0</v>
      </c>
      <c r="AQ28" s="14">
        <v>0</v>
      </c>
      <c r="AR28" s="14">
        <v>718108.71</v>
      </c>
      <c r="AS28" s="14">
        <v>720000.32</v>
      </c>
      <c r="AT28" s="14">
        <v>293286.24</v>
      </c>
      <c r="AU28" s="15">
        <f t="shared" si="135"/>
        <v>2175158.3645899249</v>
      </c>
      <c r="AV28" s="15">
        <f t="shared" si="136"/>
        <v>1132.3052392451457</v>
      </c>
      <c r="AW28" s="15">
        <f t="shared" si="137"/>
        <v>1562.7260324663587</v>
      </c>
      <c r="AX28" s="14">
        <v>3</v>
      </c>
      <c r="AY28" s="15">
        <f t="shared" si="138"/>
        <v>18.740239458615306</v>
      </c>
      <c r="AZ28" s="14">
        <v>8</v>
      </c>
      <c r="BA28" s="14">
        <v>2</v>
      </c>
      <c r="BB28" s="14">
        <v>3</v>
      </c>
      <c r="BC28" s="14">
        <v>0</v>
      </c>
      <c r="BD28" s="14">
        <v>0</v>
      </c>
      <c r="BE28" s="15">
        <f t="shared" si="139"/>
        <v>0</v>
      </c>
      <c r="BF28" s="15">
        <f t="shared" si="140"/>
        <v>5</v>
      </c>
      <c r="BG28" s="14">
        <v>0</v>
      </c>
      <c r="BH28" s="14">
        <v>0</v>
      </c>
      <c r="BI28" s="14">
        <v>0</v>
      </c>
      <c r="BJ28" s="14">
        <v>0</v>
      </c>
      <c r="BK28" s="15">
        <f t="shared" si="141"/>
        <v>0</v>
      </c>
      <c r="BL28" s="15">
        <f t="shared" si="142"/>
        <v>0</v>
      </c>
      <c r="BM28" s="14">
        <v>0</v>
      </c>
      <c r="BN28" s="14">
        <v>0</v>
      </c>
      <c r="BO28" s="14">
        <v>0</v>
      </c>
      <c r="BP28" s="14">
        <v>0</v>
      </c>
      <c r="BQ28" s="15">
        <f t="shared" si="143"/>
        <v>0</v>
      </c>
      <c r="BR28" s="15">
        <f t="shared" si="144"/>
        <v>0</v>
      </c>
      <c r="BS28" s="14">
        <v>0</v>
      </c>
      <c r="BT28" s="14">
        <v>0</v>
      </c>
      <c r="BU28" s="14">
        <v>0</v>
      </c>
      <c r="BV28" s="14">
        <v>0</v>
      </c>
      <c r="BW28" s="15">
        <f t="shared" si="145"/>
        <v>0</v>
      </c>
      <c r="BX28" s="15">
        <f t="shared" si="146"/>
        <v>0</v>
      </c>
      <c r="BY28" s="15">
        <f t="shared" si="147"/>
        <v>2</v>
      </c>
      <c r="BZ28" s="15">
        <f t="shared" si="148"/>
        <v>3</v>
      </c>
      <c r="CA28" s="15">
        <f t="shared" si="149"/>
        <v>0</v>
      </c>
      <c r="CB28" s="15">
        <f t="shared" si="150"/>
        <v>5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5">
        <f t="shared" si="151"/>
        <v>0</v>
      </c>
      <c r="CI28" s="14">
        <v>2</v>
      </c>
      <c r="CJ28" s="14">
        <v>1</v>
      </c>
      <c r="CK28" s="14">
        <v>0</v>
      </c>
      <c r="CL28" s="14">
        <v>0</v>
      </c>
      <c r="CM28" s="15">
        <f t="shared" si="152"/>
        <v>3</v>
      </c>
      <c r="CN28" s="14">
        <v>376</v>
      </c>
      <c r="CO28" s="14">
        <v>3</v>
      </c>
      <c r="CP28" s="14">
        <v>6</v>
      </c>
      <c r="CQ28" s="14">
        <v>0</v>
      </c>
      <c r="CR28" s="15">
        <f t="shared" si="153"/>
        <v>385</v>
      </c>
      <c r="CS28" s="15">
        <f t="shared" si="154"/>
        <v>388</v>
      </c>
      <c r="CT28" s="14">
        <v>388</v>
      </c>
      <c r="CU28" s="14">
        <v>1425</v>
      </c>
      <c r="CV28" s="14">
        <v>1065</v>
      </c>
      <c r="CW28" s="16">
        <f t="shared" si="155"/>
        <v>0.74736842105263157</v>
      </c>
      <c r="CX28" s="14"/>
      <c r="CY28" s="14"/>
      <c r="CZ28" s="14"/>
      <c r="DA28" s="14"/>
      <c r="DB28" s="15">
        <f t="shared" si="156"/>
        <v>0</v>
      </c>
      <c r="DC28" s="14">
        <v>0</v>
      </c>
      <c r="DD28" s="14">
        <v>0</v>
      </c>
      <c r="DE28" s="14">
        <v>0</v>
      </c>
      <c r="DF28" s="14">
        <v>0</v>
      </c>
      <c r="DG28" s="15">
        <f t="shared" si="157"/>
        <v>0</v>
      </c>
      <c r="DH28" s="14">
        <v>0</v>
      </c>
      <c r="DI28" s="14">
        <v>0</v>
      </c>
      <c r="DJ28" s="14">
        <v>0</v>
      </c>
      <c r="DK28" s="14">
        <v>0</v>
      </c>
      <c r="DL28" s="15">
        <f t="shared" si="158"/>
        <v>0</v>
      </c>
      <c r="DM28" s="14">
        <v>0</v>
      </c>
      <c r="DN28" s="14">
        <v>0</v>
      </c>
      <c r="DO28" s="14">
        <v>0</v>
      </c>
      <c r="DP28" s="14">
        <v>0</v>
      </c>
      <c r="DQ28" s="15">
        <f t="shared" si="159"/>
        <v>0</v>
      </c>
      <c r="DR28" s="15">
        <f t="shared" si="160"/>
        <v>0</v>
      </c>
      <c r="DS28" s="15">
        <f t="shared" si="161"/>
        <v>0</v>
      </c>
      <c r="DT28" s="15">
        <f t="shared" si="162"/>
        <v>0</v>
      </c>
      <c r="DU28" s="15">
        <f t="shared" si="163"/>
        <v>0</v>
      </c>
      <c r="DV28" s="15">
        <f t="shared" si="164"/>
        <v>0</v>
      </c>
      <c r="DW28" s="14">
        <v>15</v>
      </c>
      <c r="DX28" s="14">
        <v>8</v>
      </c>
      <c r="DY28" s="14">
        <v>13</v>
      </c>
      <c r="DZ28" s="14">
        <v>6</v>
      </c>
      <c r="EA28" s="14">
        <v>3</v>
      </c>
      <c r="EB28" s="14">
        <v>3</v>
      </c>
      <c r="EC28" s="14">
        <v>0</v>
      </c>
      <c r="ED28" s="14">
        <v>2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1</v>
      </c>
      <c r="EK28" s="14">
        <v>0</v>
      </c>
      <c r="EL28" s="14">
        <v>0</v>
      </c>
      <c r="EM28" s="14">
        <v>0</v>
      </c>
      <c r="EN28" s="14">
        <v>3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5">
        <f t="shared" si="165"/>
        <v>54</v>
      </c>
      <c r="FH28" s="14">
        <v>1</v>
      </c>
      <c r="FI28" s="14">
        <v>0</v>
      </c>
      <c r="FJ28" s="14">
        <v>0</v>
      </c>
      <c r="FK28" s="14">
        <v>50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5">
        <f t="shared" si="166"/>
        <v>0</v>
      </c>
      <c r="FR28" s="14">
        <v>124800</v>
      </c>
      <c r="FS28" s="14">
        <v>0</v>
      </c>
      <c r="FT28" s="14">
        <v>0</v>
      </c>
      <c r="FU28" s="14">
        <v>0</v>
      </c>
      <c r="FV28" s="15">
        <f t="shared" si="167"/>
        <v>124800</v>
      </c>
      <c r="FW28" s="14">
        <v>2316627.04</v>
      </c>
      <c r="FX28" s="14">
        <v>0</v>
      </c>
      <c r="FY28" s="14">
        <v>15000</v>
      </c>
      <c r="FZ28" s="14">
        <v>40000</v>
      </c>
      <c r="GA28" s="15">
        <f t="shared" si="168"/>
        <v>2371627.04</v>
      </c>
      <c r="GB28" s="15">
        <f t="shared" si="169"/>
        <v>2496427.04</v>
      </c>
      <c r="GC28" s="14">
        <v>13718.12</v>
      </c>
      <c r="GD28" s="14">
        <v>0</v>
      </c>
      <c r="GE28" s="14">
        <v>24383.95</v>
      </c>
      <c r="GF28" s="14">
        <v>0</v>
      </c>
      <c r="GG28" s="15">
        <f t="shared" si="170"/>
        <v>38102.07</v>
      </c>
      <c r="GH28" s="14">
        <v>1711548.33</v>
      </c>
      <c r="GI28" s="14">
        <v>0</v>
      </c>
      <c r="GJ28" s="14">
        <v>39774.410000000003</v>
      </c>
      <c r="GK28" s="14">
        <v>15000</v>
      </c>
      <c r="GL28" s="15">
        <f t="shared" si="171"/>
        <v>1766322.74</v>
      </c>
      <c r="GM28" s="15">
        <f t="shared" si="172"/>
        <v>1804424.81</v>
      </c>
      <c r="GN28" s="14">
        <v>1089.8599999999999</v>
      </c>
      <c r="GO28" s="14">
        <v>0</v>
      </c>
      <c r="GP28" s="14">
        <v>3393.64</v>
      </c>
      <c r="GQ28" s="14">
        <v>0</v>
      </c>
      <c r="GR28" s="15">
        <f t="shared" si="173"/>
        <v>4483.5</v>
      </c>
      <c r="GS28" s="14">
        <v>1786</v>
      </c>
      <c r="GT28" s="14">
        <v>0</v>
      </c>
      <c r="GU28" s="14">
        <v>893</v>
      </c>
      <c r="GV28" s="14">
        <v>0</v>
      </c>
      <c r="GW28" s="15">
        <f t="shared" si="174"/>
        <v>2679</v>
      </c>
      <c r="GX28" s="15">
        <f t="shared" si="175"/>
        <v>1811587.31</v>
      </c>
      <c r="GY28" s="14">
        <v>18386757.5</v>
      </c>
      <c r="GZ28" s="14">
        <v>1131691.1599999999</v>
      </c>
      <c r="HA28" s="15">
        <f t="shared" si="176"/>
        <v>19518448.66</v>
      </c>
      <c r="HB28" s="15">
        <f t="shared" si="177"/>
        <v>1.2006919857425613</v>
      </c>
      <c r="HC28" s="16">
        <f t="shared" si="178"/>
        <v>0.12359562446740903</v>
      </c>
      <c r="HD28" s="15">
        <f t="shared" si="179"/>
        <v>1.3780329693300843</v>
      </c>
      <c r="HE28" s="14">
        <v>3</v>
      </c>
      <c r="HF28" s="14">
        <v>1</v>
      </c>
      <c r="HG28" s="14">
        <v>5</v>
      </c>
      <c r="HH28" s="14">
        <v>3</v>
      </c>
      <c r="HI28" s="14">
        <v>15</v>
      </c>
      <c r="HJ28" s="15">
        <f t="shared" si="180"/>
        <v>16</v>
      </c>
      <c r="HK28" s="16">
        <f t="shared" si="181"/>
        <v>1</v>
      </c>
      <c r="HL28" s="14">
        <v>16</v>
      </c>
      <c r="HM28" s="14">
        <v>4</v>
      </c>
      <c r="HN28" s="17">
        <f t="shared" si="182"/>
        <v>0.25</v>
      </c>
    </row>
    <row r="29" spans="1:222" x14ac:dyDescent="0.3">
      <c r="A29" s="6" t="s">
        <v>255</v>
      </c>
      <c r="B29" s="6" t="s">
        <v>274</v>
      </c>
      <c r="C29" s="7" t="s">
        <v>257</v>
      </c>
      <c r="D29" s="7">
        <v>2025</v>
      </c>
      <c r="E29" s="7">
        <v>6</v>
      </c>
      <c r="F29" s="7" t="s">
        <v>261</v>
      </c>
      <c r="G29" s="7" t="s">
        <v>259</v>
      </c>
      <c r="H29" s="8">
        <v>1922</v>
      </c>
      <c r="I29" s="8">
        <v>33</v>
      </c>
      <c r="J29" s="8">
        <v>0</v>
      </c>
      <c r="K29" s="8">
        <v>13</v>
      </c>
      <c r="L29" s="8">
        <v>0</v>
      </c>
      <c r="M29" s="9">
        <f t="shared" si="122"/>
        <v>46</v>
      </c>
      <c r="N29" s="8">
        <v>1498</v>
      </c>
      <c r="O29" s="8">
        <v>0</v>
      </c>
      <c r="P29" s="8">
        <v>2.2999999999999998</v>
      </c>
      <c r="Q29" s="8">
        <v>4.2</v>
      </c>
      <c r="R29" s="9">
        <f t="shared" si="123"/>
        <v>1504.5</v>
      </c>
      <c r="S29" s="9">
        <f t="shared" si="124"/>
        <v>1550.5</v>
      </c>
      <c r="T29" s="8">
        <v>371.5</v>
      </c>
      <c r="U29" s="10">
        <f t="shared" si="125"/>
        <v>0.19328824141519252</v>
      </c>
      <c r="V29" s="8">
        <v>7</v>
      </c>
      <c r="W29" s="11">
        <f t="shared" si="126"/>
        <v>3.6420395421436005E-3</v>
      </c>
      <c r="X29" s="8">
        <v>0</v>
      </c>
      <c r="Y29" s="11">
        <f t="shared" si="127"/>
        <v>0</v>
      </c>
      <c r="Z29" s="8">
        <v>0</v>
      </c>
      <c r="AA29" s="11">
        <f t="shared" si="128"/>
        <v>0</v>
      </c>
      <c r="AB29" s="8">
        <v>0</v>
      </c>
      <c r="AC29" s="11">
        <f t="shared" si="129"/>
        <v>0</v>
      </c>
      <c r="AD29" s="8">
        <v>0</v>
      </c>
      <c r="AE29" s="11">
        <f t="shared" si="130"/>
        <v>0</v>
      </c>
      <c r="AF29" s="8">
        <v>0</v>
      </c>
      <c r="AG29" s="11">
        <f t="shared" si="131"/>
        <v>0</v>
      </c>
      <c r="AH29" s="8">
        <v>24677.03</v>
      </c>
      <c r="AI29" s="9">
        <f t="shared" si="132"/>
        <v>12.839245577523412</v>
      </c>
      <c r="AJ29" s="8">
        <v>4000</v>
      </c>
      <c r="AK29" s="11">
        <f t="shared" si="133"/>
        <v>2.0811654526534857</v>
      </c>
      <c r="AL29" s="8">
        <v>688049</v>
      </c>
      <c r="AM29" s="9">
        <f t="shared" si="134"/>
        <v>357.98595213319459</v>
      </c>
      <c r="AN29" s="8">
        <v>0</v>
      </c>
      <c r="AO29" s="8">
        <v>0</v>
      </c>
      <c r="AP29" s="8">
        <v>0</v>
      </c>
      <c r="AQ29" s="8">
        <v>0</v>
      </c>
      <c r="AR29" s="8">
        <v>712768.63</v>
      </c>
      <c r="AS29" s="8">
        <v>1008001.28</v>
      </c>
      <c r="AT29" s="8">
        <v>0</v>
      </c>
      <c r="AU29" s="9">
        <f t="shared" si="135"/>
        <v>2433495.9400000004</v>
      </c>
      <c r="AV29" s="9">
        <f t="shared" si="136"/>
        <v>1266.1269198751304</v>
      </c>
      <c r="AW29" s="9">
        <f t="shared" si="137"/>
        <v>1569.4910931957436</v>
      </c>
      <c r="AX29" s="8">
        <v>3</v>
      </c>
      <c r="AY29" s="9">
        <f t="shared" si="138"/>
        <v>18.730489073881376</v>
      </c>
      <c r="AZ29" s="8">
        <v>8</v>
      </c>
      <c r="BA29" s="8">
        <v>5</v>
      </c>
      <c r="BB29" s="8">
        <v>5</v>
      </c>
      <c r="BC29" s="8">
        <v>0</v>
      </c>
      <c r="BD29" s="8">
        <v>4</v>
      </c>
      <c r="BE29" s="9">
        <f t="shared" si="139"/>
        <v>4</v>
      </c>
      <c r="BF29" s="9">
        <f t="shared" si="140"/>
        <v>6</v>
      </c>
      <c r="BG29" s="8">
        <v>0</v>
      </c>
      <c r="BH29" s="8">
        <v>0</v>
      </c>
      <c r="BI29" s="8">
        <v>0</v>
      </c>
      <c r="BJ29" s="8">
        <v>0</v>
      </c>
      <c r="BK29" s="9">
        <f t="shared" si="141"/>
        <v>0</v>
      </c>
      <c r="BL29" s="9">
        <f t="shared" si="142"/>
        <v>0</v>
      </c>
      <c r="BM29" s="8">
        <v>0</v>
      </c>
      <c r="BN29" s="8">
        <v>0</v>
      </c>
      <c r="BO29" s="8">
        <v>0</v>
      </c>
      <c r="BP29" s="8">
        <v>0</v>
      </c>
      <c r="BQ29" s="9">
        <f t="shared" si="143"/>
        <v>0</v>
      </c>
      <c r="BR29" s="9">
        <f t="shared" si="144"/>
        <v>0</v>
      </c>
      <c r="BS29" s="8">
        <v>0</v>
      </c>
      <c r="BT29" s="8">
        <v>0</v>
      </c>
      <c r="BU29" s="8">
        <v>0</v>
      </c>
      <c r="BV29" s="8">
        <v>0</v>
      </c>
      <c r="BW29" s="9">
        <f t="shared" si="145"/>
        <v>0</v>
      </c>
      <c r="BX29" s="9">
        <f t="shared" si="146"/>
        <v>0</v>
      </c>
      <c r="BY29" s="9">
        <f t="shared" si="147"/>
        <v>5</v>
      </c>
      <c r="BZ29" s="9">
        <f t="shared" si="148"/>
        <v>5</v>
      </c>
      <c r="CA29" s="9">
        <f t="shared" si="149"/>
        <v>4</v>
      </c>
      <c r="CB29" s="9">
        <f t="shared" si="150"/>
        <v>6</v>
      </c>
      <c r="CC29" s="8">
        <v>8</v>
      </c>
      <c r="CD29" s="8">
        <v>223</v>
      </c>
      <c r="CE29" s="8">
        <v>0</v>
      </c>
      <c r="CF29" s="8">
        <v>0</v>
      </c>
      <c r="CG29" s="8">
        <v>0</v>
      </c>
      <c r="CH29" s="9">
        <f t="shared" si="151"/>
        <v>223</v>
      </c>
      <c r="CI29" s="8">
        <v>33</v>
      </c>
      <c r="CJ29" s="8">
        <v>13</v>
      </c>
      <c r="CK29" s="8">
        <v>0</v>
      </c>
      <c r="CL29" s="8">
        <v>0</v>
      </c>
      <c r="CM29" s="9">
        <f t="shared" si="152"/>
        <v>46</v>
      </c>
      <c r="CN29" s="8">
        <v>376</v>
      </c>
      <c r="CO29" s="8">
        <v>2.2999999999999998</v>
      </c>
      <c r="CP29" s="8">
        <v>4.2</v>
      </c>
      <c r="CQ29" s="8">
        <v>0</v>
      </c>
      <c r="CR29" s="9">
        <f t="shared" si="153"/>
        <v>382.5</v>
      </c>
      <c r="CS29" s="9">
        <f t="shared" si="154"/>
        <v>428.5</v>
      </c>
      <c r="CT29" s="8">
        <v>651.5</v>
      </c>
      <c r="CU29" s="8">
        <v>1428</v>
      </c>
      <c r="CV29" s="8">
        <v>999.6</v>
      </c>
      <c r="CW29" s="10">
        <f t="shared" si="155"/>
        <v>0.70000000000000007</v>
      </c>
      <c r="CX29" s="8"/>
      <c r="CY29" s="8"/>
      <c r="CZ29" s="8"/>
      <c r="DA29" s="8"/>
      <c r="DB29" s="9">
        <f t="shared" si="156"/>
        <v>0</v>
      </c>
      <c r="DC29" s="8">
        <v>0</v>
      </c>
      <c r="DD29" s="8">
        <v>0</v>
      </c>
      <c r="DE29" s="8">
        <v>0</v>
      </c>
      <c r="DF29" s="8">
        <v>0</v>
      </c>
      <c r="DG29" s="9">
        <f t="shared" si="157"/>
        <v>0</v>
      </c>
      <c r="DH29" s="8">
        <v>0</v>
      </c>
      <c r="DI29" s="8">
        <v>0</v>
      </c>
      <c r="DJ29" s="8">
        <v>0</v>
      </c>
      <c r="DK29" s="8">
        <v>0</v>
      </c>
      <c r="DL29" s="9">
        <f t="shared" si="158"/>
        <v>0</v>
      </c>
      <c r="DM29" s="8">
        <v>0</v>
      </c>
      <c r="DN29" s="8">
        <v>0</v>
      </c>
      <c r="DO29" s="8">
        <v>0</v>
      </c>
      <c r="DP29" s="8">
        <v>0</v>
      </c>
      <c r="DQ29" s="9">
        <f t="shared" si="159"/>
        <v>0</v>
      </c>
      <c r="DR29" s="9">
        <f t="shared" si="160"/>
        <v>0</v>
      </c>
      <c r="DS29" s="9">
        <f t="shared" si="161"/>
        <v>0</v>
      </c>
      <c r="DT29" s="9">
        <f t="shared" si="162"/>
        <v>0</v>
      </c>
      <c r="DU29" s="9">
        <f t="shared" si="163"/>
        <v>0</v>
      </c>
      <c r="DV29" s="9">
        <f t="shared" si="164"/>
        <v>0</v>
      </c>
      <c r="DW29" s="8">
        <v>16</v>
      </c>
      <c r="DX29" s="8">
        <v>11</v>
      </c>
      <c r="DY29" s="8">
        <v>6</v>
      </c>
      <c r="DZ29" s="8">
        <v>4</v>
      </c>
      <c r="EA29" s="8">
        <v>3</v>
      </c>
      <c r="EB29" s="8">
        <v>2</v>
      </c>
      <c r="EC29" s="8">
        <v>0</v>
      </c>
      <c r="ED29" s="8">
        <v>1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3</v>
      </c>
      <c r="EK29" s="8">
        <v>2</v>
      </c>
      <c r="EL29" s="8">
        <v>0</v>
      </c>
      <c r="EM29" s="8">
        <v>0</v>
      </c>
      <c r="EN29" s="8">
        <v>2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9">
        <f t="shared" si="165"/>
        <v>50</v>
      </c>
      <c r="FH29" s="8">
        <v>1</v>
      </c>
      <c r="FI29" s="8">
        <v>0</v>
      </c>
      <c r="FJ29" s="8">
        <v>0</v>
      </c>
      <c r="FK29" s="8">
        <v>36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9">
        <f t="shared" si="166"/>
        <v>0</v>
      </c>
      <c r="FR29" s="8">
        <v>178250</v>
      </c>
      <c r="FS29" s="8">
        <v>0</v>
      </c>
      <c r="FT29" s="8">
        <v>0</v>
      </c>
      <c r="FU29" s="8">
        <v>0</v>
      </c>
      <c r="FV29" s="9">
        <f t="shared" si="167"/>
        <v>178250</v>
      </c>
      <c r="FW29" s="8">
        <v>2315477.12</v>
      </c>
      <c r="FX29" s="8">
        <v>0</v>
      </c>
      <c r="FY29" s="8">
        <v>20000</v>
      </c>
      <c r="FZ29" s="8">
        <v>6800</v>
      </c>
      <c r="GA29" s="9">
        <f t="shared" si="168"/>
        <v>2342277.1200000001</v>
      </c>
      <c r="GB29" s="9">
        <f t="shared" si="169"/>
        <v>2520527.12</v>
      </c>
      <c r="GC29" s="8">
        <v>31400.7</v>
      </c>
      <c r="GD29" s="8">
        <v>0</v>
      </c>
      <c r="GE29" s="8">
        <v>33408.699999999997</v>
      </c>
      <c r="GF29" s="8">
        <v>0</v>
      </c>
      <c r="GG29" s="9">
        <f t="shared" si="170"/>
        <v>64809.399999999994</v>
      </c>
      <c r="GH29" s="8">
        <v>1882430.42</v>
      </c>
      <c r="GI29" s="8">
        <v>0</v>
      </c>
      <c r="GJ29" s="8">
        <v>6800</v>
      </c>
      <c r="GK29" s="8">
        <v>20000</v>
      </c>
      <c r="GL29" s="9">
        <f t="shared" si="171"/>
        <v>1909230.42</v>
      </c>
      <c r="GM29" s="9">
        <f t="shared" si="172"/>
        <v>1974039.8199999998</v>
      </c>
      <c r="GN29" s="8">
        <v>1859.65</v>
      </c>
      <c r="GO29" s="8">
        <v>0</v>
      </c>
      <c r="GP29" s="8">
        <v>3393.64</v>
      </c>
      <c r="GQ29" s="8">
        <v>0</v>
      </c>
      <c r="GR29" s="9">
        <f t="shared" si="173"/>
        <v>5253.29</v>
      </c>
      <c r="GS29" s="8">
        <v>2679</v>
      </c>
      <c r="GT29" s="8">
        <v>0</v>
      </c>
      <c r="GU29" s="8">
        <v>893</v>
      </c>
      <c r="GV29" s="8">
        <v>0</v>
      </c>
      <c r="GW29" s="9">
        <f t="shared" si="174"/>
        <v>3572</v>
      </c>
      <c r="GX29" s="9">
        <f t="shared" si="175"/>
        <v>1982865.1099999999</v>
      </c>
      <c r="GY29" s="8">
        <v>17886441.829999998</v>
      </c>
      <c r="GZ29" s="8">
        <v>244132.86</v>
      </c>
      <c r="HA29" s="9">
        <f t="shared" si="176"/>
        <v>18130574.689999998</v>
      </c>
      <c r="HB29" s="9">
        <f t="shared" si="177"/>
        <v>1.2272624737443691</v>
      </c>
      <c r="HC29" s="10">
        <f t="shared" si="178"/>
        <v>0.12685531144147699</v>
      </c>
      <c r="HD29" s="9">
        <f t="shared" si="179"/>
        <v>1.2711541028628015</v>
      </c>
      <c r="HE29" s="8">
        <v>5</v>
      </c>
      <c r="HF29" s="8">
        <v>1</v>
      </c>
      <c r="HG29" s="8">
        <v>6</v>
      </c>
      <c r="HH29" s="8">
        <v>5</v>
      </c>
      <c r="HI29" s="8">
        <v>15</v>
      </c>
      <c r="HJ29" s="9">
        <f t="shared" si="180"/>
        <v>16</v>
      </c>
      <c r="HK29" s="10">
        <f t="shared" si="181"/>
        <v>1</v>
      </c>
      <c r="HL29" s="8">
        <v>9</v>
      </c>
      <c r="HM29" s="8">
        <v>2</v>
      </c>
      <c r="HN29" s="11">
        <f t="shared" si="182"/>
        <v>0.22222222222222221</v>
      </c>
    </row>
    <row r="30" spans="1:222" x14ac:dyDescent="0.3">
      <c r="A30" s="12" t="s">
        <v>255</v>
      </c>
      <c r="B30" s="12" t="s">
        <v>274</v>
      </c>
      <c r="C30" s="13" t="s">
        <v>257</v>
      </c>
      <c r="D30" s="13">
        <v>2025</v>
      </c>
      <c r="E30" s="13">
        <v>7</v>
      </c>
      <c r="F30" s="13" t="s">
        <v>262</v>
      </c>
      <c r="G30" s="13" t="s">
        <v>263</v>
      </c>
      <c r="H30" s="14">
        <v>2216</v>
      </c>
      <c r="I30" s="14">
        <v>43</v>
      </c>
      <c r="J30" s="14">
        <v>0</v>
      </c>
      <c r="K30" s="14">
        <v>8</v>
      </c>
      <c r="L30" s="14">
        <v>0</v>
      </c>
      <c r="M30" s="15">
        <f t="shared" si="122"/>
        <v>51</v>
      </c>
      <c r="N30" s="14">
        <v>1615.1</v>
      </c>
      <c r="O30" s="14">
        <v>0</v>
      </c>
      <c r="P30" s="14">
        <v>338.8</v>
      </c>
      <c r="Q30" s="14">
        <v>4.0999999999999996</v>
      </c>
      <c r="R30" s="15">
        <f t="shared" si="123"/>
        <v>1957.9999999999998</v>
      </c>
      <c r="S30" s="15">
        <f t="shared" si="124"/>
        <v>2008.9999999999998</v>
      </c>
      <c r="T30" s="14">
        <v>207</v>
      </c>
      <c r="U30" s="16">
        <f t="shared" si="125"/>
        <v>9.3411552346570392E-2</v>
      </c>
      <c r="V30" s="14">
        <v>8</v>
      </c>
      <c r="W30" s="17">
        <f t="shared" si="126"/>
        <v>3.6101083032490976E-3</v>
      </c>
      <c r="X30" s="14">
        <v>0</v>
      </c>
      <c r="Y30" s="17">
        <f t="shared" si="127"/>
        <v>0</v>
      </c>
      <c r="Z30" s="14">
        <v>0</v>
      </c>
      <c r="AA30" s="17">
        <f t="shared" si="128"/>
        <v>0</v>
      </c>
      <c r="AB30" s="14">
        <v>0</v>
      </c>
      <c r="AC30" s="17">
        <f t="shared" si="129"/>
        <v>0</v>
      </c>
      <c r="AD30" s="14">
        <v>0</v>
      </c>
      <c r="AE30" s="17">
        <f t="shared" si="130"/>
        <v>0</v>
      </c>
      <c r="AF30" s="14">
        <v>0</v>
      </c>
      <c r="AG30" s="17">
        <f t="shared" si="131"/>
        <v>0</v>
      </c>
      <c r="AH30" s="14">
        <v>28202.32</v>
      </c>
      <c r="AI30" s="15">
        <f t="shared" si="132"/>
        <v>12.726678700361012</v>
      </c>
      <c r="AJ30" s="14">
        <v>2400</v>
      </c>
      <c r="AK30" s="17">
        <f t="shared" si="133"/>
        <v>1.0830324909747293</v>
      </c>
      <c r="AL30" s="14">
        <v>420565</v>
      </c>
      <c r="AM30" s="15">
        <f t="shared" si="134"/>
        <v>189.78564981949458</v>
      </c>
      <c r="AN30" s="14">
        <v>0</v>
      </c>
      <c r="AO30" s="14">
        <v>0</v>
      </c>
      <c r="AP30" s="14">
        <v>0</v>
      </c>
      <c r="AQ30" s="14">
        <v>0</v>
      </c>
      <c r="AR30" s="14">
        <v>712768.63</v>
      </c>
      <c r="AS30" s="14">
        <v>1008001.28</v>
      </c>
      <c r="AT30" s="14">
        <v>0</v>
      </c>
      <c r="AU30" s="15">
        <f t="shared" si="135"/>
        <v>2169537.23</v>
      </c>
      <c r="AV30" s="15">
        <f t="shared" si="136"/>
        <v>979.0330460288809</v>
      </c>
      <c r="AW30" s="15">
        <f t="shared" si="137"/>
        <v>1079.909024390244</v>
      </c>
      <c r="AX30" s="14">
        <v>3</v>
      </c>
      <c r="AY30" s="15">
        <f t="shared" si="138"/>
        <v>16.245487364620939</v>
      </c>
      <c r="AZ30" s="14">
        <v>8</v>
      </c>
      <c r="BA30" s="14">
        <v>6</v>
      </c>
      <c r="BB30" s="14">
        <v>3</v>
      </c>
      <c r="BC30" s="14">
        <v>0</v>
      </c>
      <c r="BD30" s="14">
        <v>3</v>
      </c>
      <c r="BE30" s="15">
        <f t="shared" si="139"/>
        <v>3</v>
      </c>
      <c r="BF30" s="15">
        <f t="shared" si="140"/>
        <v>6</v>
      </c>
      <c r="BG30" s="14">
        <v>0</v>
      </c>
      <c r="BH30" s="14">
        <v>0</v>
      </c>
      <c r="BI30" s="14">
        <v>0</v>
      </c>
      <c r="BJ30" s="14">
        <v>0</v>
      </c>
      <c r="BK30" s="15">
        <f t="shared" si="141"/>
        <v>0</v>
      </c>
      <c r="BL30" s="15">
        <f t="shared" si="142"/>
        <v>0</v>
      </c>
      <c r="BM30" s="14">
        <v>0</v>
      </c>
      <c r="BN30" s="14">
        <v>0</v>
      </c>
      <c r="BO30" s="14">
        <v>0</v>
      </c>
      <c r="BP30" s="14">
        <v>0</v>
      </c>
      <c r="BQ30" s="15">
        <f t="shared" si="143"/>
        <v>0</v>
      </c>
      <c r="BR30" s="15">
        <f t="shared" si="144"/>
        <v>0</v>
      </c>
      <c r="BS30" s="14">
        <v>0</v>
      </c>
      <c r="BT30" s="14">
        <v>0</v>
      </c>
      <c r="BU30" s="14">
        <v>0</v>
      </c>
      <c r="BV30" s="14">
        <v>0</v>
      </c>
      <c r="BW30" s="15">
        <f t="shared" si="145"/>
        <v>0</v>
      </c>
      <c r="BX30" s="15">
        <f t="shared" si="146"/>
        <v>0</v>
      </c>
      <c r="BY30" s="15">
        <f t="shared" si="147"/>
        <v>6</v>
      </c>
      <c r="BZ30" s="15">
        <f t="shared" si="148"/>
        <v>3</v>
      </c>
      <c r="CA30" s="15">
        <f t="shared" si="149"/>
        <v>3</v>
      </c>
      <c r="CB30" s="15">
        <f t="shared" si="150"/>
        <v>6</v>
      </c>
      <c r="CC30" s="14">
        <v>3</v>
      </c>
      <c r="CD30" s="14">
        <v>223</v>
      </c>
      <c r="CE30" s="14">
        <v>0</v>
      </c>
      <c r="CF30" s="14">
        <v>0</v>
      </c>
      <c r="CG30" s="14">
        <v>0</v>
      </c>
      <c r="CH30" s="15">
        <f t="shared" si="151"/>
        <v>223</v>
      </c>
      <c r="CI30" s="14">
        <v>43</v>
      </c>
      <c r="CJ30" s="14">
        <v>8</v>
      </c>
      <c r="CK30" s="14">
        <v>0</v>
      </c>
      <c r="CL30" s="14">
        <v>0</v>
      </c>
      <c r="CM30" s="15">
        <f t="shared" si="152"/>
        <v>51</v>
      </c>
      <c r="CN30" s="14">
        <v>376</v>
      </c>
      <c r="CO30" s="14">
        <v>2</v>
      </c>
      <c r="CP30" s="14">
        <v>4.0999999999999996</v>
      </c>
      <c r="CQ30" s="14">
        <v>0</v>
      </c>
      <c r="CR30" s="15">
        <f t="shared" si="153"/>
        <v>382.1</v>
      </c>
      <c r="CS30" s="15">
        <f t="shared" si="154"/>
        <v>433.1</v>
      </c>
      <c r="CT30" s="14">
        <v>656.1</v>
      </c>
      <c r="CU30" s="14">
        <v>1453</v>
      </c>
      <c r="CV30" s="14">
        <v>1241</v>
      </c>
      <c r="CW30" s="16">
        <f t="shared" si="155"/>
        <v>0.85409497591190642</v>
      </c>
      <c r="CX30" s="14"/>
      <c r="CY30" s="14"/>
      <c r="CZ30" s="14"/>
      <c r="DA30" s="14"/>
      <c r="DB30" s="15">
        <f t="shared" si="156"/>
        <v>0</v>
      </c>
      <c r="DC30" s="14">
        <v>0</v>
      </c>
      <c r="DD30" s="14">
        <v>0</v>
      </c>
      <c r="DE30" s="14">
        <v>0</v>
      </c>
      <c r="DF30" s="14">
        <v>0</v>
      </c>
      <c r="DG30" s="15">
        <f t="shared" si="157"/>
        <v>0</v>
      </c>
      <c r="DH30" s="14">
        <v>0</v>
      </c>
      <c r="DI30" s="14">
        <v>0</v>
      </c>
      <c r="DJ30" s="14">
        <v>0</v>
      </c>
      <c r="DK30" s="14">
        <v>0</v>
      </c>
      <c r="DL30" s="15">
        <f t="shared" si="158"/>
        <v>0</v>
      </c>
      <c r="DM30" s="14">
        <v>0</v>
      </c>
      <c r="DN30" s="14">
        <v>0</v>
      </c>
      <c r="DO30" s="14">
        <v>0</v>
      </c>
      <c r="DP30" s="14">
        <v>0</v>
      </c>
      <c r="DQ30" s="15">
        <f t="shared" si="159"/>
        <v>0</v>
      </c>
      <c r="DR30" s="15">
        <f t="shared" si="160"/>
        <v>0</v>
      </c>
      <c r="DS30" s="15">
        <f t="shared" si="161"/>
        <v>0</v>
      </c>
      <c r="DT30" s="15">
        <f t="shared" si="162"/>
        <v>0</v>
      </c>
      <c r="DU30" s="15">
        <f t="shared" si="163"/>
        <v>0</v>
      </c>
      <c r="DV30" s="15">
        <f t="shared" si="164"/>
        <v>0</v>
      </c>
      <c r="DW30" s="14">
        <v>12</v>
      </c>
      <c r="DX30" s="14">
        <v>10</v>
      </c>
      <c r="DY30" s="14">
        <v>7</v>
      </c>
      <c r="DZ30" s="14">
        <v>4</v>
      </c>
      <c r="EA30" s="14">
        <v>5</v>
      </c>
      <c r="EB30" s="14">
        <v>3</v>
      </c>
      <c r="EC30" s="14">
        <v>0</v>
      </c>
      <c r="ED30" s="14">
        <v>2</v>
      </c>
      <c r="EE30" s="14">
        <v>1</v>
      </c>
      <c r="EF30" s="14">
        <v>0</v>
      </c>
      <c r="EG30" s="14">
        <v>0</v>
      </c>
      <c r="EH30" s="14">
        <v>0</v>
      </c>
      <c r="EI30" s="14">
        <v>0</v>
      </c>
      <c r="EJ30" s="14">
        <v>2</v>
      </c>
      <c r="EK30" s="14">
        <v>1</v>
      </c>
      <c r="EL30" s="14">
        <v>0</v>
      </c>
      <c r="EM30" s="14">
        <v>0</v>
      </c>
      <c r="EN30" s="14">
        <v>2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5">
        <f t="shared" si="165"/>
        <v>49</v>
      </c>
      <c r="FH30" s="14">
        <v>1</v>
      </c>
      <c r="FI30" s="14">
        <v>0</v>
      </c>
      <c r="FJ30" s="14">
        <v>648</v>
      </c>
      <c r="FK30" s="14">
        <v>72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5">
        <f t="shared" si="166"/>
        <v>0</v>
      </c>
      <c r="FR30" s="14">
        <v>80300</v>
      </c>
      <c r="FS30" s="14">
        <v>0</v>
      </c>
      <c r="FT30" s="14">
        <v>0</v>
      </c>
      <c r="FU30" s="14">
        <v>0</v>
      </c>
      <c r="FV30" s="15">
        <f t="shared" si="167"/>
        <v>80300</v>
      </c>
      <c r="FW30" s="14">
        <v>2394150</v>
      </c>
      <c r="FX30" s="14">
        <v>0</v>
      </c>
      <c r="FY30" s="14">
        <v>19500</v>
      </c>
      <c r="FZ30" s="14">
        <v>1030000</v>
      </c>
      <c r="GA30" s="15">
        <f t="shared" si="168"/>
        <v>3443650</v>
      </c>
      <c r="GB30" s="15">
        <f t="shared" si="169"/>
        <v>3523950</v>
      </c>
      <c r="GC30" s="14">
        <v>42183.11</v>
      </c>
      <c r="GD30" s="14">
        <v>0</v>
      </c>
      <c r="GE30" s="14">
        <v>19059.63</v>
      </c>
      <c r="GF30" s="14">
        <v>0</v>
      </c>
      <c r="GG30" s="15">
        <f t="shared" si="170"/>
        <v>61242.740000000005</v>
      </c>
      <c r="GH30" s="14">
        <v>2031701.56</v>
      </c>
      <c r="GI30" s="14">
        <v>0</v>
      </c>
      <c r="GJ30" s="14">
        <v>1030000</v>
      </c>
      <c r="GK30" s="14">
        <v>19500</v>
      </c>
      <c r="GL30" s="15">
        <f t="shared" si="171"/>
        <v>3081201.56</v>
      </c>
      <c r="GM30" s="15">
        <f t="shared" si="172"/>
        <v>3142444.3000000003</v>
      </c>
      <c r="GN30" s="14">
        <v>2404.58</v>
      </c>
      <c r="GO30" s="14">
        <v>0</v>
      </c>
      <c r="GP30" s="14">
        <v>3393.64</v>
      </c>
      <c r="GQ30" s="14">
        <v>0</v>
      </c>
      <c r="GR30" s="15">
        <f t="shared" si="173"/>
        <v>5798.2199999999993</v>
      </c>
      <c r="GS30" s="14">
        <v>3572</v>
      </c>
      <c r="GT30" s="14">
        <v>0</v>
      </c>
      <c r="GU30" s="14">
        <v>893</v>
      </c>
      <c r="GV30" s="14">
        <v>0</v>
      </c>
      <c r="GW30" s="15">
        <f t="shared" si="174"/>
        <v>4465</v>
      </c>
      <c r="GX30" s="15">
        <f t="shared" si="175"/>
        <v>3152707.5200000005</v>
      </c>
      <c r="GY30" s="14">
        <v>17863876.920000002</v>
      </c>
      <c r="GZ30" s="14">
        <v>273137.02</v>
      </c>
      <c r="HA30" s="15">
        <f t="shared" si="176"/>
        <v>18137013.940000001</v>
      </c>
      <c r="HB30" s="15">
        <f t="shared" si="177"/>
        <v>0.68815049167643683</v>
      </c>
      <c r="HC30" s="16">
        <f t="shared" si="178"/>
        <v>0.16767472421888929</v>
      </c>
      <c r="HD30" s="15">
        <f t="shared" si="179"/>
        <v>1.117753542834192</v>
      </c>
      <c r="HE30" s="14">
        <v>3</v>
      </c>
      <c r="HF30" s="14">
        <v>1</v>
      </c>
      <c r="HG30" s="14">
        <v>6</v>
      </c>
      <c r="HH30" s="14">
        <v>3</v>
      </c>
      <c r="HI30" s="14">
        <v>15</v>
      </c>
      <c r="HJ30" s="15">
        <f t="shared" si="180"/>
        <v>16</v>
      </c>
      <c r="HK30" s="16">
        <f t="shared" si="181"/>
        <v>1</v>
      </c>
      <c r="HL30" s="14">
        <v>18</v>
      </c>
      <c r="HM30" s="14">
        <v>6</v>
      </c>
      <c r="HN30" s="17">
        <f t="shared" si="182"/>
        <v>0.33333333333333331</v>
      </c>
    </row>
    <row r="31" spans="1:222" x14ac:dyDescent="0.3">
      <c r="A31" s="6" t="s">
        <v>255</v>
      </c>
      <c r="B31" s="6" t="s">
        <v>274</v>
      </c>
      <c r="C31" s="7" t="s">
        <v>257</v>
      </c>
      <c r="D31" s="7">
        <v>2025</v>
      </c>
      <c r="E31" s="7">
        <v>8</v>
      </c>
      <c r="F31" s="7" t="s">
        <v>264</v>
      </c>
      <c r="G31" s="7" t="s">
        <v>263</v>
      </c>
      <c r="H31" s="8">
        <v>1967</v>
      </c>
      <c r="I31" s="8">
        <v>30</v>
      </c>
      <c r="J31" s="8">
        <v>0</v>
      </c>
      <c r="K31" s="8">
        <v>6</v>
      </c>
      <c r="L31" s="8">
        <v>0</v>
      </c>
      <c r="M31" s="9">
        <f t="shared" si="122"/>
        <v>36</v>
      </c>
      <c r="N31" s="8">
        <v>1637.4</v>
      </c>
      <c r="O31" s="8">
        <v>0</v>
      </c>
      <c r="P31" s="8">
        <v>3.3</v>
      </c>
      <c r="Q31" s="8">
        <v>0</v>
      </c>
      <c r="R31" s="9">
        <f t="shared" si="123"/>
        <v>1640.7</v>
      </c>
      <c r="S31" s="9">
        <f t="shared" si="124"/>
        <v>1676.7</v>
      </c>
      <c r="T31" s="8">
        <v>290.3</v>
      </c>
      <c r="U31" s="10">
        <f t="shared" si="125"/>
        <v>0.14758515505846467</v>
      </c>
      <c r="V31" s="8">
        <v>7</v>
      </c>
      <c r="W31" s="11">
        <f t="shared" si="126"/>
        <v>3.5587188612099642E-3</v>
      </c>
      <c r="X31" s="8">
        <v>0</v>
      </c>
      <c r="Y31" s="11">
        <f t="shared" si="127"/>
        <v>0</v>
      </c>
      <c r="Z31" s="8">
        <v>0</v>
      </c>
      <c r="AA31" s="11">
        <f t="shared" si="128"/>
        <v>0</v>
      </c>
      <c r="AB31" s="8">
        <v>0</v>
      </c>
      <c r="AC31" s="11">
        <f t="shared" si="129"/>
        <v>0</v>
      </c>
      <c r="AD31" s="8">
        <v>0</v>
      </c>
      <c r="AE31" s="11">
        <f t="shared" si="130"/>
        <v>0</v>
      </c>
      <c r="AF31" s="8">
        <v>0</v>
      </c>
      <c r="AG31" s="11">
        <f t="shared" si="131"/>
        <v>0</v>
      </c>
      <c r="AH31" s="8">
        <v>24677.03</v>
      </c>
      <c r="AI31" s="9">
        <f t="shared" si="132"/>
        <v>12.545516014234876</v>
      </c>
      <c r="AJ31" s="8">
        <v>5200</v>
      </c>
      <c r="AK31" s="11">
        <f t="shared" si="133"/>
        <v>2.6436197254702591</v>
      </c>
      <c r="AL31" s="8">
        <v>888662</v>
      </c>
      <c r="AM31" s="9">
        <f t="shared" si="134"/>
        <v>451.78546009150989</v>
      </c>
      <c r="AN31" s="8">
        <v>0</v>
      </c>
      <c r="AO31" s="8">
        <v>0</v>
      </c>
      <c r="AP31" s="8">
        <v>0</v>
      </c>
      <c r="AQ31" s="8">
        <v>0</v>
      </c>
      <c r="AR31" s="8">
        <v>712768.63</v>
      </c>
      <c r="AS31" s="8">
        <v>1008001.28</v>
      </c>
      <c r="AT31" s="8">
        <v>0</v>
      </c>
      <c r="AU31" s="9">
        <f t="shared" si="135"/>
        <v>2634108.9400000004</v>
      </c>
      <c r="AV31" s="9">
        <f t="shared" si="136"/>
        <v>1339.1504524656839</v>
      </c>
      <c r="AW31" s="9">
        <f t="shared" si="137"/>
        <v>1571.0078964632912</v>
      </c>
      <c r="AX31" s="8">
        <v>0</v>
      </c>
      <c r="AY31" s="9">
        <f t="shared" si="138"/>
        <v>0</v>
      </c>
      <c r="AZ31" s="8">
        <v>8</v>
      </c>
      <c r="BA31" s="8">
        <v>6</v>
      </c>
      <c r="BB31" s="8">
        <v>7</v>
      </c>
      <c r="BC31" s="8">
        <v>7</v>
      </c>
      <c r="BD31" s="8">
        <v>0</v>
      </c>
      <c r="BE31" s="9">
        <f t="shared" si="139"/>
        <v>7</v>
      </c>
      <c r="BF31" s="9">
        <f t="shared" si="140"/>
        <v>6</v>
      </c>
      <c r="BG31" s="8">
        <v>0</v>
      </c>
      <c r="BH31" s="8">
        <v>0</v>
      </c>
      <c r="BI31" s="8">
        <v>0</v>
      </c>
      <c r="BJ31" s="8">
        <v>0</v>
      </c>
      <c r="BK31" s="9">
        <f t="shared" si="141"/>
        <v>0</v>
      </c>
      <c r="BL31" s="9">
        <f t="shared" si="142"/>
        <v>0</v>
      </c>
      <c r="BM31" s="8">
        <v>0</v>
      </c>
      <c r="BN31" s="8">
        <v>0</v>
      </c>
      <c r="BO31" s="8">
        <v>0</v>
      </c>
      <c r="BP31" s="8">
        <v>0</v>
      </c>
      <c r="BQ31" s="9">
        <f t="shared" si="143"/>
        <v>0</v>
      </c>
      <c r="BR31" s="9">
        <f t="shared" si="144"/>
        <v>0</v>
      </c>
      <c r="BS31" s="8">
        <v>0</v>
      </c>
      <c r="BT31" s="8">
        <v>0</v>
      </c>
      <c r="BU31" s="8">
        <v>0</v>
      </c>
      <c r="BV31" s="8">
        <v>0</v>
      </c>
      <c r="BW31" s="9">
        <f t="shared" si="145"/>
        <v>0</v>
      </c>
      <c r="BX31" s="9">
        <f t="shared" si="146"/>
        <v>0</v>
      </c>
      <c r="BY31" s="9">
        <f t="shared" si="147"/>
        <v>6</v>
      </c>
      <c r="BZ31" s="9">
        <f t="shared" si="148"/>
        <v>7</v>
      </c>
      <c r="CA31" s="9">
        <f t="shared" si="149"/>
        <v>7</v>
      </c>
      <c r="CB31" s="9">
        <f t="shared" si="150"/>
        <v>6</v>
      </c>
      <c r="CC31" s="8">
        <v>6</v>
      </c>
      <c r="CD31" s="8">
        <v>223</v>
      </c>
      <c r="CE31" s="8">
        <v>0</v>
      </c>
      <c r="CF31" s="8">
        <v>0</v>
      </c>
      <c r="CG31" s="8">
        <v>0</v>
      </c>
      <c r="CH31" s="9">
        <f t="shared" si="151"/>
        <v>223</v>
      </c>
      <c r="CI31" s="8">
        <v>10</v>
      </c>
      <c r="CJ31" s="8">
        <v>0</v>
      </c>
      <c r="CK31" s="8">
        <v>0</v>
      </c>
      <c r="CL31" s="8">
        <v>0</v>
      </c>
      <c r="CM31" s="9">
        <f t="shared" si="152"/>
        <v>10</v>
      </c>
      <c r="CN31" s="8">
        <v>320</v>
      </c>
      <c r="CO31" s="8">
        <v>14</v>
      </c>
      <c r="CP31" s="8">
        <v>27</v>
      </c>
      <c r="CQ31" s="8">
        <v>0</v>
      </c>
      <c r="CR31" s="9">
        <f t="shared" si="153"/>
        <v>361</v>
      </c>
      <c r="CS31" s="9">
        <f t="shared" si="154"/>
        <v>371</v>
      </c>
      <c r="CT31" s="8">
        <v>594</v>
      </c>
      <c r="CU31" s="8">
        <v>1453</v>
      </c>
      <c r="CV31" s="8">
        <v>1253</v>
      </c>
      <c r="CW31" s="10">
        <f t="shared" si="155"/>
        <v>0.86235375086028909</v>
      </c>
      <c r="CX31" s="8"/>
      <c r="CY31" s="8"/>
      <c r="CZ31" s="8"/>
      <c r="DA31" s="8"/>
      <c r="DB31" s="9">
        <f t="shared" si="156"/>
        <v>0</v>
      </c>
      <c r="DC31" s="8">
        <v>0</v>
      </c>
      <c r="DD31" s="8">
        <v>0</v>
      </c>
      <c r="DE31" s="8">
        <v>0</v>
      </c>
      <c r="DF31" s="8">
        <v>0</v>
      </c>
      <c r="DG31" s="9">
        <f t="shared" si="157"/>
        <v>0</v>
      </c>
      <c r="DH31" s="8">
        <v>0</v>
      </c>
      <c r="DI31" s="8">
        <v>0</v>
      </c>
      <c r="DJ31" s="8">
        <v>0</v>
      </c>
      <c r="DK31" s="8">
        <v>0</v>
      </c>
      <c r="DL31" s="9">
        <f t="shared" si="158"/>
        <v>0</v>
      </c>
      <c r="DM31" s="8">
        <v>0</v>
      </c>
      <c r="DN31" s="8">
        <v>0</v>
      </c>
      <c r="DO31" s="8">
        <v>0</v>
      </c>
      <c r="DP31" s="8">
        <v>0</v>
      </c>
      <c r="DQ31" s="9">
        <f t="shared" si="159"/>
        <v>0</v>
      </c>
      <c r="DR31" s="9">
        <f t="shared" si="160"/>
        <v>0</v>
      </c>
      <c r="DS31" s="9">
        <f t="shared" si="161"/>
        <v>0</v>
      </c>
      <c r="DT31" s="9">
        <f t="shared" si="162"/>
        <v>0</v>
      </c>
      <c r="DU31" s="9">
        <f t="shared" si="163"/>
        <v>0</v>
      </c>
      <c r="DV31" s="9">
        <f t="shared" si="164"/>
        <v>0</v>
      </c>
      <c r="DW31" s="8">
        <v>19</v>
      </c>
      <c r="DX31" s="8">
        <v>12</v>
      </c>
      <c r="DY31" s="8">
        <v>7</v>
      </c>
      <c r="DZ31" s="8">
        <v>5</v>
      </c>
      <c r="EA31" s="8">
        <v>1</v>
      </c>
      <c r="EB31" s="8">
        <v>2</v>
      </c>
      <c r="EC31" s="8">
        <v>0</v>
      </c>
      <c r="ED31" s="8">
        <v>1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3</v>
      </c>
      <c r="EK31" s="8">
        <v>2</v>
      </c>
      <c r="EL31" s="8">
        <v>0</v>
      </c>
      <c r="EM31" s="8">
        <v>0</v>
      </c>
      <c r="EN31" s="8">
        <v>3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9">
        <f t="shared" si="165"/>
        <v>55</v>
      </c>
      <c r="FH31" s="8">
        <v>1</v>
      </c>
      <c r="FI31" s="8">
        <v>0</v>
      </c>
      <c r="FJ31" s="8">
        <v>0</v>
      </c>
      <c r="FK31" s="8">
        <v>48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9">
        <f t="shared" si="166"/>
        <v>0</v>
      </c>
      <c r="FR31" s="8">
        <v>77208.02</v>
      </c>
      <c r="FS31" s="8">
        <v>0</v>
      </c>
      <c r="FT31" s="8">
        <v>0</v>
      </c>
      <c r="FU31" s="8">
        <v>0</v>
      </c>
      <c r="FV31" s="9">
        <f t="shared" si="167"/>
        <v>77208.02</v>
      </c>
      <c r="FW31" s="8">
        <v>2275291.56</v>
      </c>
      <c r="FX31" s="8">
        <v>0</v>
      </c>
      <c r="FY31" s="8">
        <v>2000</v>
      </c>
      <c r="FZ31" s="8">
        <v>10000</v>
      </c>
      <c r="GA31" s="9">
        <f t="shared" si="168"/>
        <v>2287291.56</v>
      </c>
      <c r="GB31" s="9">
        <f t="shared" si="169"/>
        <v>2364499.58</v>
      </c>
      <c r="GC31" s="8">
        <v>39595.68</v>
      </c>
      <c r="GD31" s="8">
        <v>0</v>
      </c>
      <c r="GE31" s="8">
        <v>13735.31</v>
      </c>
      <c r="GF31" s="8">
        <v>0</v>
      </c>
      <c r="GG31" s="9">
        <f t="shared" si="170"/>
        <v>53330.99</v>
      </c>
      <c r="GH31" s="8">
        <v>2060561.21</v>
      </c>
      <c r="GI31" s="8">
        <v>0</v>
      </c>
      <c r="GJ31" s="8">
        <v>10000</v>
      </c>
      <c r="GK31" s="8">
        <v>2000</v>
      </c>
      <c r="GL31" s="9">
        <f t="shared" si="171"/>
        <v>2072561.21</v>
      </c>
      <c r="GM31" s="9">
        <f t="shared" si="172"/>
        <v>2125892.2000000002</v>
      </c>
      <c r="GN31" s="8">
        <v>5674.16</v>
      </c>
      <c r="GO31" s="8">
        <v>0</v>
      </c>
      <c r="GP31" s="8">
        <v>3393.64</v>
      </c>
      <c r="GQ31" s="8">
        <v>0</v>
      </c>
      <c r="GR31" s="9">
        <f t="shared" si="173"/>
        <v>9067.7999999999993</v>
      </c>
      <c r="GS31" s="8">
        <v>8930</v>
      </c>
      <c r="GT31" s="8">
        <v>0</v>
      </c>
      <c r="GU31" s="8">
        <v>893</v>
      </c>
      <c r="GV31" s="8">
        <v>0</v>
      </c>
      <c r="GW31" s="9">
        <f t="shared" si="174"/>
        <v>9823</v>
      </c>
      <c r="GX31" s="9">
        <f t="shared" si="175"/>
        <v>2144783</v>
      </c>
      <c r="GY31" s="8">
        <v>17833007.34</v>
      </c>
      <c r="GZ31" s="8">
        <v>295937.15999999997</v>
      </c>
      <c r="HA31" s="9">
        <f t="shared" si="176"/>
        <v>18128944.5</v>
      </c>
      <c r="HB31" s="9">
        <f t="shared" si="177"/>
        <v>1.2281470619638446</v>
      </c>
      <c r="HC31" s="10">
        <f t="shared" si="178"/>
        <v>0.11835641178322627</v>
      </c>
      <c r="HD31" s="9">
        <f t="shared" si="179"/>
        <v>1.1024423356581994</v>
      </c>
      <c r="HE31" s="8">
        <v>7</v>
      </c>
      <c r="HF31" s="8">
        <v>1</v>
      </c>
      <c r="HG31" s="8">
        <v>6</v>
      </c>
      <c r="HH31" s="8">
        <v>7</v>
      </c>
      <c r="HI31" s="8">
        <v>15</v>
      </c>
      <c r="HJ31" s="9">
        <f t="shared" si="180"/>
        <v>16</v>
      </c>
      <c r="HK31" s="10">
        <f t="shared" si="181"/>
        <v>1</v>
      </c>
      <c r="HL31" s="8">
        <v>24</v>
      </c>
      <c r="HM31" s="8">
        <v>4</v>
      </c>
      <c r="HN31" s="11">
        <f t="shared" si="182"/>
        <v>0.16666666666666666</v>
      </c>
    </row>
    <row r="32" spans="1:222" x14ac:dyDescent="0.3">
      <c r="A32" s="12" t="s">
        <v>255</v>
      </c>
      <c r="B32" s="12" t="s">
        <v>274</v>
      </c>
      <c r="C32" s="13" t="s">
        <v>257</v>
      </c>
      <c r="D32" s="13">
        <v>2025</v>
      </c>
      <c r="E32" s="13">
        <v>9</v>
      </c>
      <c r="F32" s="13" t="s">
        <v>265</v>
      </c>
      <c r="G32" s="13" t="s">
        <v>263</v>
      </c>
      <c r="H32" s="14">
        <v>2860</v>
      </c>
      <c r="I32" s="14">
        <v>27</v>
      </c>
      <c r="J32" s="14">
        <v>0</v>
      </c>
      <c r="K32" s="14">
        <v>21</v>
      </c>
      <c r="L32" s="14">
        <v>0</v>
      </c>
      <c r="M32" s="15">
        <f t="shared" si="122"/>
        <v>48</v>
      </c>
      <c r="N32" s="14">
        <v>1860.5</v>
      </c>
      <c r="O32" s="14">
        <v>0</v>
      </c>
      <c r="P32" s="14">
        <v>14.2</v>
      </c>
      <c r="Q32" s="14">
        <v>32.5</v>
      </c>
      <c r="R32" s="15">
        <f t="shared" si="123"/>
        <v>1907.2</v>
      </c>
      <c r="S32" s="15">
        <f t="shared" si="124"/>
        <v>1955.2</v>
      </c>
      <c r="T32" s="14">
        <v>904.8</v>
      </c>
      <c r="U32" s="16">
        <f t="shared" si="125"/>
        <v>0.31636363636363635</v>
      </c>
      <c r="V32" s="14">
        <v>7</v>
      </c>
      <c r="W32" s="17">
        <f t="shared" si="126"/>
        <v>2.4475524475524478E-3</v>
      </c>
      <c r="X32" s="14">
        <v>0</v>
      </c>
      <c r="Y32" s="17">
        <f t="shared" si="127"/>
        <v>0</v>
      </c>
      <c r="Z32" s="14">
        <v>0</v>
      </c>
      <c r="AA32" s="17">
        <f t="shared" si="128"/>
        <v>0</v>
      </c>
      <c r="AB32" s="14">
        <v>0</v>
      </c>
      <c r="AC32" s="17">
        <f t="shared" si="129"/>
        <v>0</v>
      </c>
      <c r="AD32" s="14">
        <v>0</v>
      </c>
      <c r="AE32" s="17">
        <f t="shared" si="130"/>
        <v>0</v>
      </c>
      <c r="AF32" s="14">
        <v>0</v>
      </c>
      <c r="AG32" s="17">
        <f t="shared" si="131"/>
        <v>0</v>
      </c>
      <c r="AH32" s="14">
        <v>24677.03</v>
      </c>
      <c r="AI32" s="15">
        <f t="shared" si="132"/>
        <v>8.6283321678321681</v>
      </c>
      <c r="AJ32" s="14">
        <v>5100</v>
      </c>
      <c r="AK32" s="17">
        <f t="shared" si="133"/>
        <v>1.7832167832167831</v>
      </c>
      <c r="AL32" s="14">
        <v>871944.25</v>
      </c>
      <c r="AM32" s="15">
        <f t="shared" si="134"/>
        <v>304.87561188811191</v>
      </c>
      <c r="AN32" s="14">
        <v>0</v>
      </c>
      <c r="AO32" s="14">
        <v>0</v>
      </c>
      <c r="AP32" s="14">
        <v>0</v>
      </c>
      <c r="AQ32" s="14">
        <v>0</v>
      </c>
      <c r="AR32" s="14">
        <v>712768.63</v>
      </c>
      <c r="AS32" s="14">
        <v>1008001.28</v>
      </c>
      <c r="AT32" s="14">
        <v>97762.08</v>
      </c>
      <c r="AU32" s="15">
        <f t="shared" si="135"/>
        <v>2715153.2700000005</v>
      </c>
      <c r="AV32" s="15">
        <f t="shared" si="136"/>
        <v>949.35429020979041</v>
      </c>
      <c r="AW32" s="15">
        <f t="shared" si="137"/>
        <v>1388.6831372749593</v>
      </c>
      <c r="AX32" s="14">
        <v>3</v>
      </c>
      <c r="AY32" s="15">
        <f t="shared" si="138"/>
        <v>12.587412587412588</v>
      </c>
      <c r="AZ32" s="14">
        <v>8</v>
      </c>
      <c r="BA32" s="14">
        <v>6</v>
      </c>
      <c r="BB32" s="14">
        <v>6</v>
      </c>
      <c r="BC32" s="14">
        <v>0</v>
      </c>
      <c r="BD32" s="14">
        <v>8</v>
      </c>
      <c r="BE32" s="15">
        <f t="shared" si="139"/>
        <v>8</v>
      </c>
      <c r="BF32" s="15">
        <f t="shared" si="140"/>
        <v>4</v>
      </c>
      <c r="BG32" s="14">
        <v>0</v>
      </c>
      <c r="BH32" s="14">
        <v>0</v>
      </c>
      <c r="BI32" s="14">
        <v>0</v>
      </c>
      <c r="BJ32" s="14">
        <v>0</v>
      </c>
      <c r="BK32" s="15">
        <f t="shared" si="141"/>
        <v>0</v>
      </c>
      <c r="BL32" s="15">
        <f t="shared" si="142"/>
        <v>0</v>
      </c>
      <c r="BM32" s="14">
        <v>0</v>
      </c>
      <c r="BN32" s="14">
        <v>0</v>
      </c>
      <c r="BO32" s="14">
        <v>0</v>
      </c>
      <c r="BP32" s="14">
        <v>0</v>
      </c>
      <c r="BQ32" s="15">
        <f t="shared" si="143"/>
        <v>0</v>
      </c>
      <c r="BR32" s="15">
        <f t="shared" si="144"/>
        <v>0</v>
      </c>
      <c r="BS32" s="14">
        <v>0</v>
      </c>
      <c r="BT32" s="14">
        <v>0</v>
      </c>
      <c r="BU32" s="14">
        <v>0</v>
      </c>
      <c r="BV32" s="14">
        <v>0</v>
      </c>
      <c r="BW32" s="15">
        <f t="shared" si="145"/>
        <v>0</v>
      </c>
      <c r="BX32" s="15">
        <f t="shared" si="146"/>
        <v>0</v>
      </c>
      <c r="BY32" s="15">
        <f t="shared" si="147"/>
        <v>6</v>
      </c>
      <c r="BZ32" s="15">
        <f t="shared" si="148"/>
        <v>6</v>
      </c>
      <c r="CA32" s="15">
        <f t="shared" si="149"/>
        <v>8</v>
      </c>
      <c r="CB32" s="15">
        <f t="shared" si="150"/>
        <v>4</v>
      </c>
      <c r="CC32" s="14">
        <v>6</v>
      </c>
      <c r="CD32" s="14">
        <v>213</v>
      </c>
      <c r="CE32" s="14">
        <v>5</v>
      </c>
      <c r="CF32" s="14">
        <v>3</v>
      </c>
      <c r="CG32" s="14">
        <v>0</v>
      </c>
      <c r="CH32" s="15">
        <f t="shared" si="151"/>
        <v>221</v>
      </c>
      <c r="CI32" s="14">
        <v>6</v>
      </c>
      <c r="CJ32" s="14">
        <v>1</v>
      </c>
      <c r="CK32" s="14">
        <v>0</v>
      </c>
      <c r="CL32" s="14">
        <v>0</v>
      </c>
      <c r="CM32" s="15">
        <f t="shared" si="152"/>
        <v>7</v>
      </c>
      <c r="CN32" s="14">
        <v>334</v>
      </c>
      <c r="CO32" s="14">
        <v>14</v>
      </c>
      <c r="CP32" s="14">
        <v>27</v>
      </c>
      <c r="CQ32" s="14">
        <v>0</v>
      </c>
      <c r="CR32" s="15">
        <f t="shared" si="153"/>
        <v>375</v>
      </c>
      <c r="CS32" s="15">
        <f t="shared" si="154"/>
        <v>382</v>
      </c>
      <c r="CT32" s="14">
        <v>603</v>
      </c>
      <c r="CU32" s="14">
        <v>1463</v>
      </c>
      <c r="CV32" s="14">
        <v>1270</v>
      </c>
      <c r="CW32" s="16">
        <f t="shared" si="155"/>
        <v>0.86807928913192067</v>
      </c>
      <c r="CX32" s="14"/>
      <c r="CY32" s="14"/>
      <c r="CZ32" s="14"/>
      <c r="DA32" s="14"/>
      <c r="DB32" s="15">
        <f t="shared" si="156"/>
        <v>0</v>
      </c>
      <c r="DC32" s="14">
        <v>0</v>
      </c>
      <c r="DD32" s="14">
        <v>0</v>
      </c>
      <c r="DE32" s="14">
        <v>0</v>
      </c>
      <c r="DF32" s="14">
        <v>0</v>
      </c>
      <c r="DG32" s="15">
        <f t="shared" si="157"/>
        <v>0</v>
      </c>
      <c r="DH32" s="14">
        <v>0</v>
      </c>
      <c r="DI32" s="14">
        <v>0</v>
      </c>
      <c r="DJ32" s="14">
        <v>0</v>
      </c>
      <c r="DK32" s="14">
        <v>0</v>
      </c>
      <c r="DL32" s="15">
        <f t="shared" si="158"/>
        <v>0</v>
      </c>
      <c r="DM32" s="14">
        <v>0</v>
      </c>
      <c r="DN32" s="14">
        <v>0</v>
      </c>
      <c r="DO32" s="14">
        <v>0</v>
      </c>
      <c r="DP32" s="14">
        <v>0</v>
      </c>
      <c r="DQ32" s="15">
        <f t="shared" si="159"/>
        <v>0</v>
      </c>
      <c r="DR32" s="15">
        <f t="shared" si="160"/>
        <v>0</v>
      </c>
      <c r="DS32" s="15">
        <f t="shared" si="161"/>
        <v>0</v>
      </c>
      <c r="DT32" s="15">
        <f t="shared" si="162"/>
        <v>0</v>
      </c>
      <c r="DU32" s="15">
        <f t="shared" si="163"/>
        <v>0</v>
      </c>
      <c r="DV32" s="15">
        <f t="shared" si="164"/>
        <v>0</v>
      </c>
      <c r="DW32" s="14">
        <v>14</v>
      </c>
      <c r="DX32" s="14">
        <v>7</v>
      </c>
      <c r="DY32" s="14">
        <v>8</v>
      </c>
      <c r="DZ32" s="14">
        <v>3</v>
      </c>
      <c r="EA32" s="14">
        <v>5</v>
      </c>
      <c r="EB32" s="14">
        <v>2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2</v>
      </c>
      <c r="EK32" s="14">
        <v>1</v>
      </c>
      <c r="EL32" s="14">
        <v>0</v>
      </c>
      <c r="EM32" s="14">
        <v>0</v>
      </c>
      <c r="EN32" s="14">
        <v>3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5">
        <f t="shared" si="165"/>
        <v>45</v>
      </c>
      <c r="FH32" s="14">
        <v>1</v>
      </c>
      <c r="FI32" s="14">
        <v>0</v>
      </c>
      <c r="FJ32" s="14">
        <v>0</v>
      </c>
      <c r="FK32" s="14">
        <v>72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5">
        <f t="shared" si="166"/>
        <v>0</v>
      </c>
      <c r="FR32" s="14">
        <v>29800</v>
      </c>
      <c r="FS32" s="14">
        <v>0</v>
      </c>
      <c r="FT32" s="14">
        <v>0</v>
      </c>
      <c r="FU32" s="14">
        <v>0</v>
      </c>
      <c r="FV32" s="15">
        <f t="shared" si="167"/>
        <v>29800</v>
      </c>
      <c r="FW32" s="14">
        <v>2460893.7599999998</v>
      </c>
      <c r="FX32" s="14">
        <v>0</v>
      </c>
      <c r="FY32" s="14">
        <v>154000</v>
      </c>
      <c r="FZ32" s="14">
        <v>48000</v>
      </c>
      <c r="GA32" s="15">
        <f t="shared" si="168"/>
        <v>2662893.7599999998</v>
      </c>
      <c r="GB32" s="15">
        <f t="shared" si="169"/>
        <v>2692693.76</v>
      </c>
      <c r="GC32" s="14">
        <v>28838.560000000001</v>
      </c>
      <c r="GD32" s="14">
        <v>0</v>
      </c>
      <c r="GE32" s="14">
        <v>60182.02</v>
      </c>
      <c r="GF32" s="14">
        <v>0</v>
      </c>
      <c r="GG32" s="15">
        <f t="shared" si="170"/>
        <v>89020.58</v>
      </c>
      <c r="GH32" s="14">
        <v>2320471.5500000012</v>
      </c>
      <c r="GI32" s="14">
        <v>0</v>
      </c>
      <c r="GJ32" s="14">
        <v>43200</v>
      </c>
      <c r="GK32" s="14">
        <v>154000</v>
      </c>
      <c r="GL32" s="15">
        <f t="shared" si="171"/>
        <v>2517671.5500000012</v>
      </c>
      <c r="GM32" s="15">
        <f t="shared" si="172"/>
        <v>2606692.1300000013</v>
      </c>
      <c r="GN32" s="14">
        <v>3494.44</v>
      </c>
      <c r="GO32" s="14">
        <v>0</v>
      </c>
      <c r="GP32" s="14">
        <v>3393.64</v>
      </c>
      <c r="GQ32" s="14">
        <v>0</v>
      </c>
      <c r="GR32" s="15">
        <f t="shared" si="173"/>
        <v>6888.08</v>
      </c>
      <c r="GS32" s="14">
        <v>5358</v>
      </c>
      <c r="GT32" s="14">
        <v>0</v>
      </c>
      <c r="GU32" s="14">
        <v>893</v>
      </c>
      <c r="GV32" s="14">
        <v>0</v>
      </c>
      <c r="GW32" s="15">
        <f t="shared" si="174"/>
        <v>6251</v>
      </c>
      <c r="GX32" s="15">
        <f t="shared" si="175"/>
        <v>2619831.2100000014</v>
      </c>
      <c r="GY32" s="14">
        <v>17831880.620000001</v>
      </c>
      <c r="GZ32" s="14">
        <v>366063.71</v>
      </c>
      <c r="HA32" s="15">
        <f t="shared" si="176"/>
        <v>18197944.330000002</v>
      </c>
      <c r="HB32" s="15">
        <f t="shared" si="177"/>
        <v>1.0363848096916133</v>
      </c>
      <c r="HC32" s="16">
        <f t="shared" si="178"/>
        <v>0.13166104541186466</v>
      </c>
      <c r="HD32" s="15">
        <f t="shared" si="179"/>
        <v>1.027811925333922</v>
      </c>
      <c r="HE32" s="14">
        <v>5</v>
      </c>
      <c r="HF32" s="14">
        <v>1</v>
      </c>
      <c r="HG32" s="14">
        <v>4</v>
      </c>
      <c r="HH32" s="14">
        <v>6</v>
      </c>
      <c r="HI32" s="14">
        <v>15</v>
      </c>
      <c r="HJ32" s="15">
        <f t="shared" si="180"/>
        <v>16</v>
      </c>
      <c r="HK32" s="16">
        <f t="shared" si="181"/>
        <v>1.2</v>
      </c>
      <c r="HL32" s="14">
        <v>26</v>
      </c>
      <c r="HM32" s="14">
        <v>30</v>
      </c>
      <c r="HN32" s="17">
        <f t="shared" si="182"/>
        <v>1.1538461538461537</v>
      </c>
    </row>
    <row r="33" spans="1:222" x14ac:dyDescent="0.3">
      <c r="A33" s="6" t="s">
        <v>255</v>
      </c>
      <c r="B33" s="6" t="s">
        <v>274</v>
      </c>
      <c r="C33" s="7" t="s">
        <v>257</v>
      </c>
      <c r="D33" s="7">
        <v>2025</v>
      </c>
      <c r="E33" s="7">
        <v>10</v>
      </c>
      <c r="F33" s="7" t="s">
        <v>266</v>
      </c>
      <c r="G33" s="7" t="s">
        <v>267</v>
      </c>
      <c r="H33" s="8">
        <v>2573</v>
      </c>
      <c r="I33" s="8">
        <v>52</v>
      </c>
      <c r="J33" s="8">
        <v>0</v>
      </c>
      <c r="K33" s="8">
        <v>24</v>
      </c>
      <c r="L33" s="8">
        <v>0</v>
      </c>
      <c r="M33" s="9">
        <f t="shared" si="122"/>
        <v>76</v>
      </c>
      <c r="N33" s="8">
        <v>1705</v>
      </c>
      <c r="O33" s="8">
        <v>0</v>
      </c>
      <c r="P33" s="8">
        <v>403</v>
      </c>
      <c r="Q33" s="8">
        <v>35</v>
      </c>
      <c r="R33" s="9">
        <f t="shared" si="123"/>
        <v>2143</v>
      </c>
      <c r="S33" s="9">
        <f t="shared" si="124"/>
        <v>2219</v>
      </c>
      <c r="T33" s="8">
        <v>354</v>
      </c>
      <c r="U33" s="10">
        <f t="shared" si="125"/>
        <v>0.13758258841818888</v>
      </c>
      <c r="V33" s="8">
        <v>8</v>
      </c>
      <c r="W33" s="11">
        <f t="shared" si="126"/>
        <v>3.1092110376991838E-3</v>
      </c>
      <c r="X33" s="8">
        <v>0</v>
      </c>
      <c r="Y33" s="11">
        <f t="shared" si="127"/>
        <v>0</v>
      </c>
      <c r="Z33" s="8">
        <v>0</v>
      </c>
      <c r="AA33" s="11">
        <f t="shared" si="128"/>
        <v>0</v>
      </c>
      <c r="AB33" s="8">
        <v>0</v>
      </c>
      <c r="AC33" s="11">
        <f t="shared" si="129"/>
        <v>0</v>
      </c>
      <c r="AD33" s="8">
        <v>0</v>
      </c>
      <c r="AE33" s="11">
        <f t="shared" si="130"/>
        <v>0</v>
      </c>
      <c r="AF33" s="8">
        <v>0</v>
      </c>
      <c r="AG33" s="11">
        <f t="shared" si="131"/>
        <v>0</v>
      </c>
      <c r="AH33" s="8">
        <v>28202.32</v>
      </c>
      <c r="AI33" s="9">
        <f t="shared" si="132"/>
        <v>10.960870579090555</v>
      </c>
      <c r="AJ33" s="8">
        <v>5300</v>
      </c>
      <c r="AK33" s="11">
        <f t="shared" si="133"/>
        <v>2.0598523124757091</v>
      </c>
      <c r="AL33" s="8">
        <v>905379.75</v>
      </c>
      <c r="AM33" s="9">
        <f t="shared" si="134"/>
        <v>351.87708900116593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1008001.28</v>
      </c>
      <c r="AT33" s="8">
        <v>98000</v>
      </c>
      <c r="AU33" s="9">
        <f t="shared" si="135"/>
        <v>2039583.35</v>
      </c>
      <c r="AV33" s="9">
        <f t="shared" si="136"/>
        <v>792.68688301593477</v>
      </c>
      <c r="AW33" s="9">
        <f t="shared" si="137"/>
        <v>919.14526813880127</v>
      </c>
      <c r="AX33" s="8">
        <v>3</v>
      </c>
      <c r="AY33" s="9">
        <f t="shared" si="138"/>
        <v>13.991449669646327</v>
      </c>
      <c r="AZ33" s="8">
        <v>8</v>
      </c>
      <c r="BA33" s="8">
        <v>4</v>
      </c>
      <c r="BB33" s="8">
        <v>4</v>
      </c>
      <c r="BC33" s="8">
        <v>0</v>
      </c>
      <c r="BD33" s="8">
        <v>4</v>
      </c>
      <c r="BE33" s="9">
        <f t="shared" si="139"/>
        <v>4</v>
      </c>
      <c r="BF33" s="9">
        <f t="shared" si="140"/>
        <v>4</v>
      </c>
      <c r="BG33" s="8">
        <v>0</v>
      </c>
      <c r="BH33" s="8">
        <v>0</v>
      </c>
      <c r="BI33" s="8">
        <v>0</v>
      </c>
      <c r="BJ33" s="8">
        <v>0</v>
      </c>
      <c r="BK33" s="9">
        <f t="shared" si="141"/>
        <v>0</v>
      </c>
      <c r="BL33" s="9">
        <f t="shared" si="142"/>
        <v>0</v>
      </c>
      <c r="BM33" s="8">
        <v>0</v>
      </c>
      <c r="BN33" s="8">
        <v>0</v>
      </c>
      <c r="BO33" s="8">
        <v>0</v>
      </c>
      <c r="BP33" s="8">
        <v>0</v>
      </c>
      <c r="BQ33" s="9">
        <f t="shared" si="143"/>
        <v>0</v>
      </c>
      <c r="BR33" s="9">
        <f t="shared" si="144"/>
        <v>0</v>
      </c>
      <c r="BS33" s="8">
        <v>0</v>
      </c>
      <c r="BT33" s="8">
        <v>0</v>
      </c>
      <c r="BU33" s="8">
        <v>0</v>
      </c>
      <c r="BV33" s="8">
        <v>0</v>
      </c>
      <c r="BW33" s="9">
        <f t="shared" si="145"/>
        <v>0</v>
      </c>
      <c r="BX33" s="9">
        <f t="shared" si="146"/>
        <v>0</v>
      </c>
      <c r="BY33" s="9">
        <f t="shared" si="147"/>
        <v>4</v>
      </c>
      <c r="BZ33" s="9">
        <f t="shared" si="148"/>
        <v>4</v>
      </c>
      <c r="CA33" s="9">
        <f t="shared" si="149"/>
        <v>4</v>
      </c>
      <c r="CB33" s="9">
        <f t="shared" si="150"/>
        <v>4</v>
      </c>
      <c r="CC33" s="8">
        <v>7</v>
      </c>
      <c r="CD33" s="8">
        <v>213</v>
      </c>
      <c r="CE33" s="8">
        <v>5</v>
      </c>
      <c r="CF33" s="8">
        <v>3</v>
      </c>
      <c r="CG33" s="8">
        <v>0</v>
      </c>
      <c r="CH33" s="9">
        <f t="shared" si="151"/>
        <v>221</v>
      </c>
      <c r="CI33" s="8">
        <v>4</v>
      </c>
      <c r="CJ33" s="8">
        <v>0</v>
      </c>
      <c r="CK33" s="8">
        <v>0</v>
      </c>
      <c r="CL33" s="8">
        <v>0</v>
      </c>
      <c r="CM33" s="9">
        <f t="shared" si="152"/>
        <v>4</v>
      </c>
      <c r="CN33" s="8">
        <v>341</v>
      </c>
      <c r="CO33" s="8">
        <v>14</v>
      </c>
      <c r="CP33" s="8">
        <v>27</v>
      </c>
      <c r="CQ33" s="8">
        <v>0</v>
      </c>
      <c r="CR33" s="9">
        <f t="shared" si="153"/>
        <v>382</v>
      </c>
      <c r="CS33" s="9">
        <f t="shared" si="154"/>
        <v>386</v>
      </c>
      <c r="CT33" s="8">
        <v>607</v>
      </c>
      <c r="CU33" s="8">
        <v>1470</v>
      </c>
      <c r="CV33" s="8">
        <v>1276</v>
      </c>
      <c r="CW33" s="10">
        <f t="shared" si="155"/>
        <v>0.86802721088435375</v>
      </c>
      <c r="CX33" s="8"/>
      <c r="CY33" s="8"/>
      <c r="CZ33" s="8"/>
      <c r="DA33" s="8"/>
      <c r="DB33" s="9">
        <f t="shared" si="156"/>
        <v>0</v>
      </c>
      <c r="DC33" s="8">
        <v>0</v>
      </c>
      <c r="DD33" s="8">
        <v>0</v>
      </c>
      <c r="DE33" s="8">
        <v>0</v>
      </c>
      <c r="DF33" s="8">
        <v>0</v>
      </c>
      <c r="DG33" s="9">
        <f t="shared" si="157"/>
        <v>0</v>
      </c>
      <c r="DH33" s="8">
        <v>0</v>
      </c>
      <c r="DI33" s="8">
        <v>0</v>
      </c>
      <c r="DJ33" s="8">
        <v>0</v>
      </c>
      <c r="DK33" s="8">
        <v>0</v>
      </c>
      <c r="DL33" s="9">
        <f t="shared" si="158"/>
        <v>0</v>
      </c>
      <c r="DM33" s="8">
        <v>0</v>
      </c>
      <c r="DN33" s="8">
        <v>0</v>
      </c>
      <c r="DO33" s="8">
        <v>0</v>
      </c>
      <c r="DP33" s="8">
        <v>0</v>
      </c>
      <c r="DQ33" s="9">
        <f t="shared" si="159"/>
        <v>0</v>
      </c>
      <c r="DR33" s="9">
        <f t="shared" si="160"/>
        <v>0</v>
      </c>
      <c r="DS33" s="9">
        <f t="shared" si="161"/>
        <v>0</v>
      </c>
      <c r="DT33" s="9">
        <f t="shared" si="162"/>
        <v>0</v>
      </c>
      <c r="DU33" s="9">
        <f t="shared" si="163"/>
        <v>0</v>
      </c>
      <c r="DV33" s="9">
        <f t="shared" si="164"/>
        <v>0</v>
      </c>
      <c r="DW33" s="8">
        <v>16</v>
      </c>
      <c r="DX33" s="8">
        <v>11</v>
      </c>
      <c r="DY33" s="8">
        <v>7</v>
      </c>
      <c r="DZ33" s="8">
        <v>2</v>
      </c>
      <c r="EA33" s="8">
        <v>2</v>
      </c>
      <c r="EB33" s="8">
        <v>3</v>
      </c>
      <c r="EC33" s="8">
        <v>1</v>
      </c>
      <c r="ED33" s="8">
        <v>1</v>
      </c>
      <c r="EE33" s="8">
        <v>3</v>
      </c>
      <c r="EF33" s="8">
        <v>0</v>
      </c>
      <c r="EG33" s="8">
        <v>0</v>
      </c>
      <c r="EH33" s="8">
        <v>0</v>
      </c>
      <c r="EI33" s="8">
        <v>0</v>
      </c>
      <c r="EJ33" s="8">
        <v>3</v>
      </c>
      <c r="EK33" s="8">
        <v>1</v>
      </c>
      <c r="EL33" s="8">
        <v>1</v>
      </c>
      <c r="EM33" s="8">
        <v>0</v>
      </c>
      <c r="EN33" s="8">
        <v>2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9">
        <f t="shared" si="165"/>
        <v>53</v>
      </c>
      <c r="FH33" s="8">
        <v>1</v>
      </c>
      <c r="FI33" s="8">
        <v>0</v>
      </c>
      <c r="FJ33" s="8">
        <v>0</v>
      </c>
      <c r="FK33" s="8">
        <v>132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9">
        <f t="shared" si="166"/>
        <v>0</v>
      </c>
      <c r="FR33" s="8">
        <v>99867.22</v>
      </c>
      <c r="FS33" s="8">
        <v>0</v>
      </c>
      <c r="FT33" s="8">
        <v>0</v>
      </c>
      <c r="FU33" s="8">
        <v>0</v>
      </c>
      <c r="FV33" s="9">
        <f t="shared" si="167"/>
        <v>99867.22</v>
      </c>
      <c r="FW33" s="8">
        <v>2225112.4</v>
      </c>
      <c r="FX33" s="8">
        <v>0</v>
      </c>
      <c r="FY33" s="8">
        <v>165000</v>
      </c>
      <c r="FZ33" s="8">
        <v>1231200</v>
      </c>
      <c r="GA33" s="9">
        <f t="shared" si="168"/>
        <v>3621312.4</v>
      </c>
      <c r="GB33" s="9">
        <f t="shared" si="169"/>
        <v>3721179.62</v>
      </c>
      <c r="GC33" s="8">
        <v>46485.77</v>
      </c>
      <c r="GD33" s="8">
        <v>0</v>
      </c>
      <c r="GE33" s="8">
        <v>70560.429999999993</v>
      </c>
      <c r="GF33" s="8">
        <v>0</v>
      </c>
      <c r="GG33" s="9">
        <f t="shared" si="170"/>
        <v>117046.19999999998</v>
      </c>
      <c r="GH33" s="8">
        <v>2125328.14</v>
      </c>
      <c r="GI33" s="8">
        <v>0</v>
      </c>
      <c r="GJ33" s="8">
        <v>1224200</v>
      </c>
      <c r="GK33" s="8">
        <v>165000</v>
      </c>
      <c r="GL33" s="9">
        <f t="shared" si="171"/>
        <v>3514528.14</v>
      </c>
      <c r="GM33" s="9">
        <f t="shared" si="172"/>
        <v>3631574.3400000003</v>
      </c>
      <c r="GN33" s="8">
        <v>1859.65</v>
      </c>
      <c r="GO33" s="8">
        <v>0</v>
      </c>
      <c r="GP33" s="8">
        <v>3393.64</v>
      </c>
      <c r="GQ33" s="8">
        <v>0</v>
      </c>
      <c r="GR33" s="9">
        <f t="shared" si="173"/>
        <v>5253.29</v>
      </c>
      <c r="GS33" s="8">
        <v>2679</v>
      </c>
      <c r="GT33" s="8">
        <v>0</v>
      </c>
      <c r="GU33" s="8">
        <v>893</v>
      </c>
      <c r="GV33" s="8">
        <v>0</v>
      </c>
      <c r="GW33" s="9">
        <f t="shared" si="174"/>
        <v>3572</v>
      </c>
      <c r="GX33" s="9">
        <f t="shared" si="175"/>
        <v>3640399.6300000004</v>
      </c>
      <c r="GY33" s="8">
        <v>17772066.030000001</v>
      </c>
      <c r="GZ33" s="8">
        <v>451882.05</v>
      </c>
      <c r="HA33" s="9">
        <f t="shared" si="176"/>
        <v>18223948.080000002</v>
      </c>
      <c r="HB33" s="9">
        <f t="shared" si="177"/>
        <v>0.56026358567671863</v>
      </c>
      <c r="HC33" s="10">
        <f t="shared" si="178"/>
        <v>0.17378566668066756</v>
      </c>
      <c r="HD33" s="9">
        <f t="shared" si="179"/>
        <v>1.0221898687535027</v>
      </c>
      <c r="HE33" s="8">
        <v>4</v>
      </c>
      <c r="HF33" s="8">
        <v>1</v>
      </c>
      <c r="HG33" s="8">
        <v>4</v>
      </c>
      <c r="HH33" s="8">
        <v>4</v>
      </c>
      <c r="HI33" s="8">
        <v>15</v>
      </c>
      <c r="HJ33" s="9">
        <f t="shared" si="180"/>
        <v>16</v>
      </c>
      <c r="HK33" s="10">
        <f t="shared" si="181"/>
        <v>1</v>
      </c>
      <c r="HL33" s="8">
        <v>12</v>
      </c>
      <c r="HM33" s="8">
        <v>3</v>
      </c>
      <c r="HN33" s="11">
        <f t="shared" si="182"/>
        <v>0.25</v>
      </c>
    </row>
    <row r="34" spans="1:222" x14ac:dyDescent="0.3">
      <c r="A34" s="12" t="s">
        <v>255</v>
      </c>
      <c r="B34" s="12" t="s">
        <v>274</v>
      </c>
      <c r="C34" s="13" t="s">
        <v>257</v>
      </c>
      <c r="D34" s="13">
        <v>2025</v>
      </c>
      <c r="E34" s="13">
        <v>11</v>
      </c>
      <c r="F34" s="13" t="s">
        <v>268</v>
      </c>
      <c r="G34" s="13" t="s">
        <v>267</v>
      </c>
      <c r="H34" s="14">
        <v>2812</v>
      </c>
      <c r="I34" s="14">
        <v>36</v>
      </c>
      <c r="J34" s="14">
        <v>0</v>
      </c>
      <c r="K34" s="14">
        <v>68</v>
      </c>
      <c r="L34" s="14">
        <v>0</v>
      </c>
      <c r="M34" s="15">
        <f t="shared" si="122"/>
        <v>104</v>
      </c>
      <c r="N34" s="14">
        <v>1592.2</v>
      </c>
      <c r="O34" s="14">
        <v>0</v>
      </c>
      <c r="P34" s="14">
        <v>335.5</v>
      </c>
      <c r="Q34" s="14">
        <v>29</v>
      </c>
      <c r="R34" s="15">
        <f t="shared" si="123"/>
        <v>1956.7</v>
      </c>
      <c r="S34" s="15">
        <f t="shared" si="124"/>
        <v>2060.6999999999998</v>
      </c>
      <c r="T34" s="14">
        <v>751.3</v>
      </c>
      <c r="U34" s="16">
        <f t="shared" si="125"/>
        <v>0.26717638691322898</v>
      </c>
      <c r="V34" s="14">
        <v>7</v>
      </c>
      <c r="W34" s="17">
        <f t="shared" si="126"/>
        <v>2.4893314366998577E-3</v>
      </c>
      <c r="X34" s="14">
        <v>0</v>
      </c>
      <c r="Y34" s="17">
        <f t="shared" si="127"/>
        <v>0</v>
      </c>
      <c r="Z34" s="14">
        <v>0</v>
      </c>
      <c r="AA34" s="17">
        <f t="shared" si="128"/>
        <v>0</v>
      </c>
      <c r="AB34" s="14">
        <v>0</v>
      </c>
      <c r="AC34" s="17">
        <f t="shared" si="129"/>
        <v>0</v>
      </c>
      <c r="AD34" s="14">
        <v>0</v>
      </c>
      <c r="AE34" s="17">
        <f t="shared" si="130"/>
        <v>0</v>
      </c>
      <c r="AF34" s="14">
        <v>0</v>
      </c>
      <c r="AG34" s="17">
        <f t="shared" si="131"/>
        <v>0</v>
      </c>
      <c r="AH34" s="14">
        <v>24677.03</v>
      </c>
      <c r="AI34" s="15">
        <f t="shared" si="132"/>
        <v>8.7756152204836404</v>
      </c>
      <c r="AJ34" s="14">
        <v>5000</v>
      </c>
      <c r="AK34" s="17">
        <f t="shared" si="133"/>
        <v>1.7780938833570412</v>
      </c>
      <c r="AL34" s="14">
        <v>855226.5</v>
      </c>
      <c r="AM34" s="15">
        <f t="shared" si="134"/>
        <v>304.1346017069701</v>
      </c>
      <c r="AN34" s="14">
        <v>0</v>
      </c>
      <c r="AO34" s="14">
        <v>0</v>
      </c>
      <c r="AP34" s="14">
        <v>0</v>
      </c>
      <c r="AQ34" s="14">
        <v>0</v>
      </c>
      <c r="AR34" s="14">
        <v>712768.63</v>
      </c>
      <c r="AS34" s="14">
        <v>1008001.28</v>
      </c>
      <c r="AT34" s="14">
        <v>0</v>
      </c>
      <c r="AU34" s="15">
        <f t="shared" si="135"/>
        <v>2600673.4400000004</v>
      </c>
      <c r="AV34" s="15">
        <f t="shared" si="136"/>
        <v>924.84830725462314</v>
      </c>
      <c r="AW34" s="15">
        <f t="shared" si="137"/>
        <v>1262.0339884505267</v>
      </c>
      <c r="AX34" s="14">
        <v>3</v>
      </c>
      <c r="AY34" s="15">
        <f t="shared" si="138"/>
        <v>12.802275960170698</v>
      </c>
      <c r="AZ34" s="14">
        <v>8</v>
      </c>
      <c r="BA34" s="14">
        <v>4</v>
      </c>
      <c r="BB34" s="14">
        <v>4</v>
      </c>
      <c r="BC34" s="14">
        <v>0</v>
      </c>
      <c r="BD34" s="14">
        <v>4</v>
      </c>
      <c r="BE34" s="15">
        <f t="shared" si="139"/>
        <v>4</v>
      </c>
      <c r="BF34" s="15">
        <f t="shared" si="140"/>
        <v>4</v>
      </c>
      <c r="BG34" s="14">
        <v>0</v>
      </c>
      <c r="BH34" s="14">
        <v>0</v>
      </c>
      <c r="BI34" s="14">
        <v>0</v>
      </c>
      <c r="BJ34" s="14">
        <v>0</v>
      </c>
      <c r="BK34" s="15">
        <f t="shared" si="141"/>
        <v>0</v>
      </c>
      <c r="BL34" s="15">
        <f t="shared" si="142"/>
        <v>0</v>
      </c>
      <c r="BM34" s="14">
        <v>0</v>
      </c>
      <c r="BN34" s="14">
        <v>0</v>
      </c>
      <c r="BO34" s="14">
        <v>0</v>
      </c>
      <c r="BP34" s="14">
        <v>0</v>
      </c>
      <c r="BQ34" s="15">
        <f t="shared" si="143"/>
        <v>0</v>
      </c>
      <c r="BR34" s="15">
        <f t="shared" si="144"/>
        <v>0</v>
      </c>
      <c r="BS34" s="14">
        <v>0</v>
      </c>
      <c r="BT34" s="14">
        <v>0</v>
      </c>
      <c r="BU34" s="14">
        <v>0</v>
      </c>
      <c r="BV34" s="14">
        <v>0</v>
      </c>
      <c r="BW34" s="15">
        <f t="shared" si="145"/>
        <v>0</v>
      </c>
      <c r="BX34" s="15">
        <f t="shared" si="146"/>
        <v>0</v>
      </c>
      <c r="BY34" s="15">
        <f t="shared" si="147"/>
        <v>4</v>
      </c>
      <c r="BZ34" s="15">
        <f t="shared" si="148"/>
        <v>4</v>
      </c>
      <c r="CA34" s="15">
        <f t="shared" si="149"/>
        <v>4</v>
      </c>
      <c r="CB34" s="15">
        <f t="shared" si="150"/>
        <v>4</v>
      </c>
      <c r="CC34" s="14">
        <v>4</v>
      </c>
      <c r="CD34" s="14">
        <v>211</v>
      </c>
      <c r="CE34" s="14">
        <v>5</v>
      </c>
      <c r="CF34" s="14">
        <v>3</v>
      </c>
      <c r="CG34" s="14">
        <v>0</v>
      </c>
      <c r="CH34" s="15">
        <f t="shared" si="151"/>
        <v>219</v>
      </c>
      <c r="CI34" s="14">
        <v>4</v>
      </c>
      <c r="CJ34" s="14">
        <v>1</v>
      </c>
      <c r="CK34" s="14">
        <v>0</v>
      </c>
      <c r="CL34" s="14">
        <v>0</v>
      </c>
      <c r="CM34" s="15">
        <f t="shared" si="152"/>
        <v>5</v>
      </c>
      <c r="CN34" s="14">
        <v>345</v>
      </c>
      <c r="CO34" s="14">
        <v>14</v>
      </c>
      <c r="CP34" s="14">
        <v>27</v>
      </c>
      <c r="CQ34" s="14">
        <v>0</v>
      </c>
      <c r="CR34" s="15">
        <f t="shared" si="153"/>
        <v>386</v>
      </c>
      <c r="CS34" s="15">
        <f t="shared" si="154"/>
        <v>391</v>
      </c>
      <c r="CT34" s="14">
        <v>610</v>
      </c>
      <c r="CU34" s="14">
        <v>1485.0232000000001</v>
      </c>
      <c r="CV34" s="14">
        <v>1289.1134999999999</v>
      </c>
      <c r="CW34" s="16">
        <f t="shared" si="155"/>
        <v>0.86807633712389132</v>
      </c>
      <c r="CX34" s="14"/>
      <c r="CY34" s="14"/>
      <c r="CZ34" s="14"/>
      <c r="DA34" s="14"/>
      <c r="DB34" s="15">
        <f t="shared" si="156"/>
        <v>0</v>
      </c>
      <c r="DC34" s="14">
        <v>0</v>
      </c>
      <c r="DD34" s="14">
        <v>0</v>
      </c>
      <c r="DE34" s="14">
        <v>0</v>
      </c>
      <c r="DF34" s="14">
        <v>0</v>
      </c>
      <c r="DG34" s="15">
        <f t="shared" si="157"/>
        <v>0</v>
      </c>
      <c r="DH34" s="14">
        <v>0</v>
      </c>
      <c r="DI34" s="14">
        <v>0</v>
      </c>
      <c r="DJ34" s="14">
        <v>0</v>
      </c>
      <c r="DK34" s="14">
        <v>0</v>
      </c>
      <c r="DL34" s="15">
        <f t="shared" si="158"/>
        <v>0</v>
      </c>
      <c r="DM34" s="14">
        <v>0</v>
      </c>
      <c r="DN34" s="14">
        <v>0</v>
      </c>
      <c r="DO34" s="14">
        <v>0</v>
      </c>
      <c r="DP34" s="14">
        <v>0</v>
      </c>
      <c r="DQ34" s="15">
        <f t="shared" si="159"/>
        <v>0</v>
      </c>
      <c r="DR34" s="15">
        <f t="shared" si="160"/>
        <v>0</v>
      </c>
      <c r="DS34" s="15">
        <f t="shared" si="161"/>
        <v>0</v>
      </c>
      <c r="DT34" s="15">
        <f t="shared" si="162"/>
        <v>0</v>
      </c>
      <c r="DU34" s="15">
        <f t="shared" si="163"/>
        <v>0</v>
      </c>
      <c r="DV34" s="15">
        <f t="shared" si="164"/>
        <v>0</v>
      </c>
      <c r="DW34" s="14">
        <v>28</v>
      </c>
      <c r="DX34" s="14">
        <v>11</v>
      </c>
      <c r="DY34" s="14">
        <v>4</v>
      </c>
      <c r="DZ34" s="14">
        <v>7</v>
      </c>
      <c r="EA34" s="14">
        <v>3</v>
      </c>
      <c r="EB34" s="14">
        <v>2</v>
      </c>
      <c r="EC34" s="14">
        <v>0</v>
      </c>
      <c r="ED34" s="14">
        <v>1</v>
      </c>
      <c r="EE34" s="14">
        <v>1</v>
      </c>
      <c r="EF34" s="14">
        <v>0</v>
      </c>
      <c r="EG34" s="14">
        <v>0</v>
      </c>
      <c r="EH34" s="14">
        <v>0</v>
      </c>
      <c r="EI34" s="14">
        <v>0</v>
      </c>
      <c r="EJ34" s="14">
        <v>1</v>
      </c>
      <c r="EK34" s="14">
        <v>2</v>
      </c>
      <c r="EL34" s="14">
        <v>0</v>
      </c>
      <c r="EM34" s="14">
        <v>0</v>
      </c>
      <c r="EN34" s="14">
        <v>1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5">
        <f t="shared" si="165"/>
        <v>61</v>
      </c>
      <c r="FH34" s="14">
        <v>1</v>
      </c>
      <c r="FI34" s="14">
        <v>0</v>
      </c>
      <c r="FJ34" s="14">
        <v>0</v>
      </c>
      <c r="FK34" s="14">
        <v>48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5">
        <f t="shared" si="166"/>
        <v>0</v>
      </c>
      <c r="FR34" s="14">
        <v>0</v>
      </c>
      <c r="FS34" s="14">
        <v>0</v>
      </c>
      <c r="FT34" s="14">
        <v>0</v>
      </c>
      <c r="FU34" s="14">
        <v>0</v>
      </c>
      <c r="FV34" s="15">
        <f t="shared" si="167"/>
        <v>0</v>
      </c>
      <c r="FW34" s="14">
        <v>2207515.35</v>
      </c>
      <c r="FX34" s="14">
        <v>0</v>
      </c>
      <c r="FY34" s="14">
        <v>145000</v>
      </c>
      <c r="FZ34" s="14">
        <v>1020000</v>
      </c>
      <c r="GA34" s="15">
        <f t="shared" si="168"/>
        <v>3372515.35</v>
      </c>
      <c r="GB34" s="15">
        <f t="shared" si="169"/>
        <v>3372515.35</v>
      </c>
      <c r="GC34" s="14">
        <v>32415.19</v>
      </c>
      <c r="GD34" s="14">
        <v>0</v>
      </c>
      <c r="GE34" s="14">
        <v>222777.11</v>
      </c>
      <c r="GF34" s="14">
        <v>0</v>
      </c>
      <c r="GG34" s="15">
        <f t="shared" si="170"/>
        <v>255192.3</v>
      </c>
      <c r="GH34" s="14">
        <v>2001713.64</v>
      </c>
      <c r="GI34" s="14">
        <v>0</v>
      </c>
      <c r="GJ34" s="14">
        <v>1020000</v>
      </c>
      <c r="GK34" s="14">
        <v>136000</v>
      </c>
      <c r="GL34" s="15">
        <f t="shared" si="171"/>
        <v>3157713.6399999997</v>
      </c>
      <c r="GM34" s="15">
        <f t="shared" si="172"/>
        <v>3412905.9399999995</v>
      </c>
      <c r="GN34" s="14">
        <v>2404.58</v>
      </c>
      <c r="GO34" s="14">
        <v>0</v>
      </c>
      <c r="GP34" s="14">
        <v>3393.64</v>
      </c>
      <c r="GQ34" s="14">
        <v>0</v>
      </c>
      <c r="GR34" s="15">
        <f t="shared" si="173"/>
        <v>5798.2199999999993</v>
      </c>
      <c r="GS34" s="14">
        <v>3572</v>
      </c>
      <c r="GT34" s="14">
        <v>0</v>
      </c>
      <c r="GU34" s="14">
        <v>893</v>
      </c>
      <c r="GV34" s="14">
        <v>0</v>
      </c>
      <c r="GW34" s="15">
        <f t="shared" si="174"/>
        <v>4465</v>
      </c>
      <c r="GX34" s="15">
        <f t="shared" si="175"/>
        <v>3423169.1599999997</v>
      </c>
      <c r="GY34" s="14">
        <v>12913992.060000001</v>
      </c>
      <c r="GZ34" s="14">
        <v>643457</v>
      </c>
      <c r="HA34" s="15">
        <f t="shared" si="176"/>
        <v>13557449.060000001</v>
      </c>
      <c r="HB34" s="15">
        <f t="shared" si="177"/>
        <v>0.75972682576983741</v>
      </c>
      <c r="HC34" s="16">
        <f t="shared" si="178"/>
        <v>0.20643215210922672</v>
      </c>
      <c r="HD34" s="15">
        <f t="shared" si="179"/>
        <v>0.98520265647637473</v>
      </c>
      <c r="HE34" s="14">
        <v>4</v>
      </c>
      <c r="HF34" s="14">
        <v>1</v>
      </c>
      <c r="HG34" s="14">
        <v>4</v>
      </c>
      <c r="HH34" s="14">
        <v>4</v>
      </c>
      <c r="HI34" s="14">
        <v>4</v>
      </c>
      <c r="HJ34" s="15">
        <f t="shared" si="180"/>
        <v>5</v>
      </c>
      <c r="HK34" s="16">
        <f t="shared" si="181"/>
        <v>1</v>
      </c>
      <c r="HL34" s="14">
        <v>20</v>
      </c>
      <c r="HM34" s="14">
        <v>5</v>
      </c>
      <c r="HN34" s="17">
        <f t="shared" si="182"/>
        <v>0.25</v>
      </c>
    </row>
    <row r="35" spans="1:222" x14ac:dyDescent="0.3">
      <c r="A35" s="6" t="s">
        <v>255</v>
      </c>
      <c r="B35" s="6" t="s">
        <v>274</v>
      </c>
      <c r="C35" s="7" t="s">
        <v>257</v>
      </c>
      <c r="D35" s="7">
        <v>2025</v>
      </c>
      <c r="E35" s="7">
        <v>12</v>
      </c>
      <c r="F35" s="7" t="s">
        <v>269</v>
      </c>
      <c r="G35" s="7" t="s">
        <v>267</v>
      </c>
      <c r="H35" s="8">
        <v>2123</v>
      </c>
      <c r="I35" s="8">
        <v>67</v>
      </c>
      <c r="J35" s="8">
        <v>0</v>
      </c>
      <c r="K35" s="8">
        <v>5</v>
      </c>
      <c r="L35" s="8">
        <v>0</v>
      </c>
      <c r="M35" s="9">
        <f t="shared" si="122"/>
        <v>72</v>
      </c>
      <c r="N35" s="8">
        <v>1510.2</v>
      </c>
      <c r="O35" s="8">
        <v>0</v>
      </c>
      <c r="P35" s="8">
        <v>13.1</v>
      </c>
      <c r="Q35" s="8">
        <v>28</v>
      </c>
      <c r="R35" s="9">
        <f t="shared" si="123"/>
        <v>1551.3</v>
      </c>
      <c r="S35" s="9">
        <f t="shared" si="124"/>
        <v>1623.3</v>
      </c>
      <c r="T35" s="8">
        <v>499.7</v>
      </c>
      <c r="U35" s="10">
        <f t="shared" si="125"/>
        <v>0.235374470089496</v>
      </c>
      <c r="V35" s="8">
        <v>8</v>
      </c>
      <c r="W35" s="11">
        <f t="shared" si="126"/>
        <v>3.7682524729156855E-3</v>
      </c>
      <c r="X35" s="8">
        <v>0</v>
      </c>
      <c r="Y35" s="11">
        <f t="shared" si="127"/>
        <v>0</v>
      </c>
      <c r="Z35" s="8">
        <v>0</v>
      </c>
      <c r="AA35" s="11">
        <f t="shared" si="128"/>
        <v>0</v>
      </c>
      <c r="AB35" s="8">
        <v>0</v>
      </c>
      <c r="AC35" s="11">
        <f t="shared" si="129"/>
        <v>0</v>
      </c>
      <c r="AD35" s="8">
        <v>0</v>
      </c>
      <c r="AE35" s="11">
        <f t="shared" si="130"/>
        <v>0</v>
      </c>
      <c r="AF35" s="8">
        <v>0</v>
      </c>
      <c r="AG35" s="11">
        <f t="shared" si="131"/>
        <v>0</v>
      </c>
      <c r="AH35" s="8">
        <v>28202.32</v>
      </c>
      <c r="AI35" s="9">
        <f t="shared" si="132"/>
        <v>13.284182760244937</v>
      </c>
      <c r="AJ35" s="8">
        <v>5100</v>
      </c>
      <c r="AK35" s="11">
        <f t="shared" si="133"/>
        <v>2.4022609514837496</v>
      </c>
      <c r="AL35" s="8">
        <v>871944.25</v>
      </c>
      <c r="AM35" s="9">
        <f t="shared" si="134"/>
        <v>410.71325953838908</v>
      </c>
      <c r="AN35" s="8">
        <v>0</v>
      </c>
      <c r="AO35" s="8">
        <v>0</v>
      </c>
      <c r="AP35" s="8">
        <v>0</v>
      </c>
      <c r="AQ35" s="8">
        <v>0</v>
      </c>
      <c r="AR35" s="8">
        <v>712768.63</v>
      </c>
      <c r="AS35" s="8">
        <v>1008001.28</v>
      </c>
      <c r="AT35" s="8">
        <v>0</v>
      </c>
      <c r="AU35" s="9">
        <f t="shared" si="135"/>
        <v>2620916.48</v>
      </c>
      <c r="AV35" s="9">
        <f t="shared" si="136"/>
        <v>1234.5343758831841</v>
      </c>
      <c r="AW35" s="9">
        <f t="shared" si="137"/>
        <v>1614.5607589478225</v>
      </c>
      <c r="AX35" s="8">
        <v>3</v>
      </c>
      <c r="AY35" s="9">
        <f t="shared" si="138"/>
        <v>16.957136128120581</v>
      </c>
      <c r="AZ35" s="8">
        <v>8</v>
      </c>
      <c r="BA35" s="8">
        <v>4</v>
      </c>
      <c r="BB35" s="8">
        <v>3</v>
      </c>
      <c r="BC35" s="8">
        <v>0</v>
      </c>
      <c r="BD35" s="8">
        <v>2</v>
      </c>
      <c r="BE35" s="9">
        <f t="shared" si="139"/>
        <v>2</v>
      </c>
      <c r="BF35" s="9">
        <f t="shared" si="140"/>
        <v>5</v>
      </c>
      <c r="BG35" s="8">
        <v>0</v>
      </c>
      <c r="BH35" s="8">
        <v>0</v>
      </c>
      <c r="BI35" s="8">
        <v>0</v>
      </c>
      <c r="BJ35" s="8">
        <v>0</v>
      </c>
      <c r="BK35" s="9">
        <f t="shared" si="141"/>
        <v>0</v>
      </c>
      <c r="BL35" s="9">
        <f t="shared" si="142"/>
        <v>0</v>
      </c>
      <c r="BM35" s="8">
        <v>0</v>
      </c>
      <c r="BN35" s="8">
        <v>0</v>
      </c>
      <c r="BO35" s="8">
        <v>0</v>
      </c>
      <c r="BP35" s="8">
        <v>0</v>
      </c>
      <c r="BQ35" s="9">
        <f t="shared" si="143"/>
        <v>0</v>
      </c>
      <c r="BR35" s="9">
        <f t="shared" si="144"/>
        <v>0</v>
      </c>
      <c r="BS35" s="8">
        <v>0</v>
      </c>
      <c r="BT35" s="8">
        <v>0</v>
      </c>
      <c r="BU35" s="8">
        <v>0</v>
      </c>
      <c r="BV35" s="8">
        <v>0</v>
      </c>
      <c r="BW35" s="9">
        <f t="shared" si="145"/>
        <v>0</v>
      </c>
      <c r="BX35" s="9">
        <f t="shared" si="146"/>
        <v>0</v>
      </c>
      <c r="BY35" s="9">
        <f t="shared" si="147"/>
        <v>4</v>
      </c>
      <c r="BZ35" s="9">
        <f t="shared" si="148"/>
        <v>3</v>
      </c>
      <c r="CA35" s="9">
        <f t="shared" si="149"/>
        <v>2</v>
      </c>
      <c r="CB35" s="9">
        <f t="shared" si="150"/>
        <v>5</v>
      </c>
      <c r="CC35" s="8">
        <v>2</v>
      </c>
      <c r="CD35" s="8">
        <v>211</v>
      </c>
      <c r="CE35" s="8">
        <v>5</v>
      </c>
      <c r="CF35" s="8">
        <v>3</v>
      </c>
      <c r="CG35" s="8">
        <v>0</v>
      </c>
      <c r="CH35" s="9">
        <f t="shared" si="151"/>
        <v>219</v>
      </c>
      <c r="CI35" s="8">
        <v>5</v>
      </c>
      <c r="CJ35" s="8">
        <v>1</v>
      </c>
      <c r="CK35" s="8">
        <v>0</v>
      </c>
      <c r="CL35" s="8">
        <v>0</v>
      </c>
      <c r="CM35" s="9">
        <f t="shared" si="152"/>
        <v>6</v>
      </c>
      <c r="CN35" s="8">
        <v>347</v>
      </c>
      <c r="CO35" s="8">
        <v>14</v>
      </c>
      <c r="CP35" s="8">
        <v>27</v>
      </c>
      <c r="CQ35" s="8">
        <v>0</v>
      </c>
      <c r="CR35" s="9">
        <f t="shared" si="153"/>
        <v>388</v>
      </c>
      <c r="CS35" s="9">
        <f t="shared" si="154"/>
        <v>394</v>
      </c>
      <c r="CT35" s="8">
        <v>613</v>
      </c>
      <c r="CU35" s="8">
        <v>1499.85</v>
      </c>
      <c r="CV35" s="8">
        <v>1301.8900000000001</v>
      </c>
      <c r="CW35" s="10">
        <f t="shared" si="155"/>
        <v>0.86801346801346813</v>
      </c>
      <c r="CX35" s="8"/>
      <c r="CY35" s="8"/>
      <c r="CZ35" s="8"/>
      <c r="DA35" s="8"/>
      <c r="DB35" s="9">
        <f t="shared" si="156"/>
        <v>0</v>
      </c>
      <c r="DC35" s="8">
        <v>0</v>
      </c>
      <c r="DD35" s="8">
        <v>0</v>
      </c>
      <c r="DE35" s="8">
        <v>0</v>
      </c>
      <c r="DF35" s="8">
        <v>0</v>
      </c>
      <c r="DG35" s="9">
        <f t="shared" si="157"/>
        <v>0</v>
      </c>
      <c r="DH35" s="8">
        <v>0</v>
      </c>
      <c r="DI35" s="8">
        <v>0</v>
      </c>
      <c r="DJ35" s="8">
        <v>0</v>
      </c>
      <c r="DK35" s="8">
        <v>0</v>
      </c>
      <c r="DL35" s="9">
        <f t="shared" si="158"/>
        <v>0</v>
      </c>
      <c r="DM35" s="8">
        <v>0</v>
      </c>
      <c r="DN35" s="8">
        <v>0</v>
      </c>
      <c r="DO35" s="8">
        <v>0</v>
      </c>
      <c r="DP35" s="8">
        <v>0</v>
      </c>
      <c r="DQ35" s="9">
        <f t="shared" si="159"/>
        <v>0</v>
      </c>
      <c r="DR35" s="9">
        <f t="shared" si="160"/>
        <v>0</v>
      </c>
      <c r="DS35" s="9">
        <f t="shared" si="161"/>
        <v>0</v>
      </c>
      <c r="DT35" s="9">
        <f t="shared" si="162"/>
        <v>0</v>
      </c>
      <c r="DU35" s="9">
        <f t="shared" si="163"/>
        <v>0</v>
      </c>
      <c r="DV35" s="9">
        <f t="shared" si="164"/>
        <v>0</v>
      </c>
      <c r="DW35" s="8">
        <v>16</v>
      </c>
      <c r="DX35" s="8">
        <v>12</v>
      </c>
      <c r="DY35" s="8">
        <v>7</v>
      </c>
      <c r="DZ35" s="8">
        <v>5</v>
      </c>
      <c r="EA35" s="8">
        <v>4</v>
      </c>
      <c r="EB35" s="8">
        <v>3</v>
      </c>
      <c r="EC35" s="8">
        <v>0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9">
        <f t="shared" si="165"/>
        <v>47</v>
      </c>
      <c r="FH35" s="8">
        <v>1</v>
      </c>
      <c r="FI35" s="8">
        <v>0</v>
      </c>
      <c r="FJ35" s="8">
        <v>0</v>
      </c>
      <c r="FK35" s="8">
        <v>24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9">
        <f t="shared" si="166"/>
        <v>0</v>
      </c>
      <c r="FR35" s="8">
        <v>56000</v>
      </c>
      <c r="FS35" s="8">
        <v>0</v>
      </c>
      <c r="FT35" s="8">
        <v>0</v>
      </c>
      <c r="FU35" s="8">
        <v>0</v>
      </c>
      <c r="FV35" s="9">
        <f t="shared" si="167"/>
        <v>56000</v>
      </c>
      <c r="FW35" s="8">
        <v>2196867.64</v>
      </c>
      <c r="FX35" s="8">
        <v>0</v>
      </c>
      <c r="FY35" s="8">
        <v>143000</v>
      </c>
      <c r="FZ35" s="8">
        <v>42500</v>
      </c>
      <c r="GA35" s="9">
        <f t="shared" si="168"/>
        <v>2382367.64</v>
      </c>
      <c r="GB35" s="9">
        <f t="shared" si="169"/>
        <v>2438367.64</v>
      </c>
      <c r="GC35" s="8">
        <v>59531.74</v>
      </c>
      <c r="GD35" s="8">
        <v>0</v>
      </c>
      <c r="GE35" s="8">
        <v>11073.15</v>
      </c>
      <c r="GF35" s="8">
        <v>0</v>
      </c>
      <c r="GG35" s="9">
        <f t="shared" si="170"/>
        <v>70604.89</v>
      </c>
      <c r="GH35" s="8">
        <v>1901276.49</v>
      </c>
      <c r="GI35" s="8">
        <v>0</v>
      </c>
      <c r="GJ35" s="8">
        <v>39500</v>
      </c>
      <c r="GK35" s="8">
        <v>133303.54</v>
      </c>
      <c r="GL35" s="9">
        <f t="shared" si="171"/>
        <v>2074080.03</v>
      </c>
      <c r="GM35" s="9">
        <f t="shared" si="172"/>
        <v>2144684.92</v>
      </c>
      <c r="GN35" s="8">
        <v>3010.52</v>
      </c>
      <c r="GO35" s="8">
        <v>0</v>
      </c>
      <c r="GP35" s="8">
        <v>3393.64</v>
      </c>
      <c r="GQ35" s="8">
        <v>0</v>
      </c>
      <c r="GR35" s="9">
        <f t="shared" si="173"/>
        <v>6404.16</v>
      </c>
      <c r="GS35" s="8">
        <v>4465</v>
      </c>
      <c r="GT35" s="8">
        <v>0</v>
      </c>
      <c r="GU35" s="8">
        <v>893</v>
      </c>
      <c r="GV35" s="8">
        <v>0</v>
      </c>
      <c r="GW35" s="9">
        <f t="shared" si="174"/>
        <v>5358</v>
      </c>
      <c r="GX35" s="9">
        <f t="shared" si="175"/>
        <v>2156447.08</v>
      </c>
      <c r="GY35" s="8">
        <v>12915822.630000001</v>
      </c>
      <c r="GZ35" s="8">
        <v>667994.29</v>
      </c>
      <c r="HA35" s="9">
        <f t="shared" si="176"/>
        <v>13583816.920000002</v>
      </c>
      <c r="HB35" s="9">
        <f t="shared" si="177"/>
        <v>1.2153864123574969</v>
      </c>
      <c r="HC35" s="10">
        <f t="shared" si="178"/>
        <v>0.16177839747534614</v>
      </c>
      <c r="HD35" s="9">
        <f t="shared" si="179"/>
        <v>1.1307338179613478</v>
      </c>
      <c r="HE35" s="8">
        <v>4</v>
      </c>
      <c r="HF35" s="8">
        <v>1</v>
      </c>
      <c r="HG35" s="8">
        <v>5</v>
      </c>
      <c r="HH35" s="8">
        <v>3</v>
      </c>
      <c r="HI35" s="8">
        <v>1</v>
      </c>
      <c r="HJ35" s="9">
        <f t="shared" si="180"/>
        <v>2</v>
      </c>
      <c r="HK35" s="10">
        <f t="shared" si="181"/>
        <v>0.75</v>
      </c>
      <c r="HL35" s="8">
        <v>24</v>
      </c>
      <c r="HM35" s="8">
        <v>6</v>
      </c>
      <c r="HN35" s="11">
        <f t="shared" si="182"/>
        <v>0.25</v>
      </c>
    </row>
    <row r="36" spans="1:222" x14ac:dyDescent="0.3">
      <c r="A36" s="12" t="s">
        <v>255</v>
      </c>
      <c r="B36" s="12" t="s">
        <v>274</v>
      </c>
      <c r="C36" s="13" t="s">
        <v>257</v>
      </c>
      <c r="D36" s="13">
        <v>2026</v>
      </c>
      <c r="E36" s="13">
        <v>1</v>
      </c>
      <c r="F36" s="13" t="s">
        <v>270</v>
      </c>
      <c r="G36" s="13" t="s">
        <v>271</v>
      </c>
      <c r="H36" s="14">
        <v>2234</v>
      </c>
      <c r="I36" s="14">
        <v>44</v>
      </c>
      <c r="J36" s="14">
        <v>0</v>
      </c>
      <c r="K36" s="14">
        <v>6</v>
      </c>
      <c r="L36" s="14">
        <v>0</v>
      </c>
      <c r="M36" s="9">
        <f t="shared" si="122"/>
        <v>50</v>
      </c>
      <c r="N36" s="14">
        <v>1659.3</v>
      </c>
      <c r="O36" s="14">
        <v>0</v>
      </c>
      <c r="P36" s="14">
        <v>12.2</v>
      </c>
      <c r="Q36" s="14">
        <v>64</v>
      </c>
      <c r="R36" s="9">
        <f t="shared" si="123"/>
        <v>1735.5</v>
      </c>
      <c r="S36" s="9">
        <f t="shared" si="124"/>
        <v>1785.5</v>
      </c>
      <c r="T36" s="14">
        <v>448.5</v>
      </c>
      <c r="U36" s="16">
        <v>0.2007609668755595</v>
      </c>
      <c r="V36" s="14">
        <v>10</v>
      </c>
      <c r="W36" s="17">
        <v>4.476275738585497</v>
      </c>
      <c r="X36" s="14">
        <v>0</v>
      </c>
      <c r="Y36" s="17">
        <v>0</v>
      </c>
      <c r="Z36" s="14">
        <v>0</v>
      </c>
      <c r="AA36" s="17">
        <v>0</v>
      </c>
      <c r="AB36" s="14">
        <v>0</v>
      </c>
      <c r="AC36" s="17">
        <v>0</v>
      </c>
      <c r="AD36" s="14">
        <v>0</v>
      </c>
      <c r="AE36" s="17">
        <v>0</v>
      </c>
      <c r="AF36" s="14">
        <v>0</v>
      </c>
      <c r="AG36" s="17">
        <v>0</v>
      </c>
      <c r="AH36" s="14">
        <v>35252.9</v>
      </c>
      <c r="AI36" s="15">
        <v>15.78017009847807</v>
      </c>
      <c r="AJ36" s="14">
        <v>5200</v>
      </c>
      <c r="AK36" s="17">
        <v>2.3276633840644578</v>
      </c>
      <c r="AL36" s="14">
        <v>888662</v>
      </c>
      <c r="AM36" s="15">
        <v>397.78961504028649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1008001.28</v>
      </c>
      <c r="AT36" s="14">
        <v>466000</v>
      </c>
      <c r="AU36" s="15">
        <v>2397916.1800000002</v>
      </c>
      <c r="AV36" s="15">
        <v>1073.373401969561</v>
      </c>
      <c r="AW36" s="15">
        <v>1342.994220106413</v>
      </c>
      <c r="AX36" s="14">
        <v>3</v>
      </c>
      <c r="AY36" s="15">
        <v>41.629364368845117</v>
      </c>
      <c r="AZ36" s="14">
        <v>8</v>
      </c>
      <c r="BA36" s="14">
        <v>5</v>
      </c>
      <c r="BB36" s="14">
        <v>3</v>
      </c>
      <c r="BC36" s="14">
        <v>3</v>
      </c>
      <c r="BD36" s="14">
        <v>0</v>
      </c>
      <c r="BE36" s="15">
        <v>3</v>
      </c>
      <c r="BF36" s="15">
        <v>5</v>
      </c>
      <c r="BG36" s="14">
        <v>0</v>
      </c>
      <c r="BH36" s="14">
        <v>0</v>
      </c>
      <c r="BI36" s="14">
        <v>0</v>
      </c>
      <c r="BJ36" s="14">
        <v>0</v>
      </c>
      <c r="BK36" s="15">
        <v>0</v>
      </c>
      <c r="BL36" s="15">
        <v>0</v>
      </c>
      <c r="BM36" s="14">
        <v>0</v>
      </c>
      <c r="BN36" s="14">
        <v>0</v>
      </c>
      <c r="BO36" s="14">
        <v>0</v>
      </c>
      <c r="BP36" s="14">
        <v>0</v>
      </c>
      <c r="BQ36" s="15">
        <v>0</v>
      </c>
      <c r="BR36" s="15">
        <v>0</v>
      </c>
      <c r="BS36" s="14">
        <v>0</v>
      </c>
      <c r="BT36" s="14">
        <v>0</v>
      </c>
      <c r="BU36" s="14">
        <v>0</v>
      </c>
      <c r="BV36" s="14">
        <v>0</v>
      </c>
      <c r="BW36" s="15">
        <v>0</v>
      </c>
      <c r="BX36" s="15">
        <v>0</v>
      </c>
      <c r="BY36" s="15">
        <v>5</v>
      </c>
      <c r="BZ36" s="15">
        <v>3</v>
      </c>
      <c r="CA36" s="15">
        <v>3</v>
      </c>
      <c r="CB36" s="15">
        <v>5</v>
      </c>
      <c r="CC36" s="14">
        <v>0</v>
      </c>
      <c r="CD36" s="14">
        <v>211</v>
      </c>
      <c r="CE36" s="14">
        <v>5</v>
      </c>
      <c r="CF36" s="14">
        <v>3</v>
      </c>
      <c r="CG36" s="14">
        <v>0</v>
      </c>
      <c r="CH36" s="15">
        <v>219</v>
      </c>
      <c r="CI36" s="14">
        <v>9</v>
      </c>
      <c r="CJ36" s="14">
        <v>0</v>
      </c>
      <c r="CK36" s="14">
        <v>0</v>
      </c>
      <c r="CL36" s="14">
        <v>0</v>
      </c>
      <c r="CM36" s="15">
        <v>9</v>
      </c>
      <c r="CN36" s="14">
        <v>347</v>
      </c>
      <c r="CO36" s="14">
        <v>14</v>
      </c>
      <c r="CP36" s="14">
        <v>27</v>
      </c>
      <c r="CQ36" s="14">
        <v>0</v>
      </c>
      <c r="CR36" s="15">
        <v>388</v>
      </c>
      <c r="CS36" s="15">
        <v>397</v>
      </c>
      <c r="CT36" s="14">
        <v>616</v>
      </c>
      <c r="CU36" s="14">
        <v>1507</v>
      </c>
      <c r="CV36" s="14">
        <v>1308</v>
      </c>
      <c r="CW36" s="16">
        <v>0.86794956867949569</v>
      </c>
      <c r="CX36" s="14">
        <v>0</v>
      </c>
      <c r="CY36" s="14">
        <v>0</v>
      </c>
      <c r="CZ36" s="14">
        <v>0</v>
      </c>
      <c r="DA36" s="14">
        <v>0</v>
      </c>
      <c r="DB36" s="15">
        <v>0</v>
      </c>
      <c r="DC36" s="14">
        <v>0</v>
      </c>
      <c r="DD36" s="14">
        <v>0</v>
      </c>
      <c r="DE36" s="14">
        <v>0</v>
      </c>
      <c r="DF36" s="14">
        <v>0</v>
      </c>
      <c r="DG36" s="15">
        <v>0</v>
      </c>
      <c r="DH36" s="14">
        <v>0</v>
      </c>
      <c r="DI36" s="14">
        <v>0</v>
      </c>
      <c r="DJ36" s="14">
        <v>0</v>
      </c>
      <c r="DK36" s="14">
        <v>0</v>
      </c>
      <c r="DL36" s="15">
        <v>0</v>
      </c>
      <c r="DM36" s="14">
        <v>0</v>
      </c>
      <c r="DN36" s="14">
        <v>0</v>
      </c>
      <c r="DO36" s="14">
        <v>0</v>
      </c>
      <c r="DP36" s="14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4">
        <v>15</v>
      </c>
      <c r="DX36" s="14">
        <v>9</v>
      </c>
      <c r="DY36" s="14">
        <v>6</v>
      </c>
      <c r="DZ36" s="14">
        <v>3</v>
      </c>
      <c r="EA36" s="14">
        <v>5</v>
      </c>
      <c r="EB36" s="14">
        <v>3</v>
      </c>
      <c r="EC36" s="14">
        <v>0</v>
      </c>
      <c r="ED36" s="14">
        <v>0</v>
      </c>
      <c r="EE36" s="14">
        <v>2</v>
      </c>
      <c r="EF36" s="14">
        <v>0</v>
      </c>
      <c r="EG36" s="14">
        <v>0</v>
      </c>
      <c r="EH36" s="14">
        <v>0</v>
      </c>
      <c r="EI36" s="14">
        <v>0</v>
      </c>
      <c r="EJ36" s="14">
        <v>1</v>
      </c>
      <c r="EK36" s="14">
        <v>2</v>
      </c>
      <c r="EL36" s="14">
        <v>0</v>
      </c>
      <c r="EM36" s="14">
        <v>0</v>
      </c>
      <c r="EN36" s="14">
        <v>2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5">
        <v>48</v>
      </c>
      <c r="FH36" s="14">
        <v>1</v>
      </c>
      <c r="FI36" s="14">
        <v>0</v>
      </c>
      <c r="FJ36" s="14">
        <v>0</v>
      </c>
      <c r="FK36" s="14">
        <v>96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5">
        <v>0</v>
      </c>
      <c r="FR36" s="14">
        <v>0</v>
      </c>
      <c r="FS36" s="14">
        <v>0</v>
      </c>
      <c r="FT36" s="14">
        <v>0</v>
      </c>
      <c r="FU36" s="14">
        <v>0</v>
      </c>
      <c r="FV36" s="15">
        <v>0</v>
      </c>
      <c r="FW36" s="14">
        <v>2237101</v>
      </c>
      <c r="FX36" s="14">
        <v>0</v>
      </c>
      <c r="FY36" s="14">
        <v>304000</v>
      </c>
      <c r="FZ36" s="14">
        <v>42200</v>
      </c>
      <c r="GA36" s="15">
        <v>2583301</v>
      </c>
      <c r="GB36" s="15">
        <v>2583301</v>
      </c>
      <c r="GC36" s="14">
        <v>40153.949999999997</v>
      </c>
      <c r="GD36" s="14">
        <v>0</v>
      </c>
      <c r="GE36" s="14">
        <v>13735.31</v>
      </c>
      <c r="GF36" s="14">
        <v>0</v>
      </c>
      <c r="GG36" s="15">
        <v>53889.259999999987</v>
      </c>
      <c r="GH36" s="14">
        <v>2071227.7</v>
      </c>
      <c r="GI36" s="14">
        <v>0</v>
      </c>
      <c r="GJ36" s="14">
        <v>37400</v>
      </c>
      <c r="GK36" s="14">
        <v>304000</v>
      </c>
      <c r="GL36" s="15">
        <v>2412627.7000000002</v>
      </c>
      <c r="GM36" s="15">
        <v>2466516.96</v>
      </c>
      <c r="GN36" s="14">
        <v>3010.52</v>
      </c>
      <c r="GO36" s="14">
        <v>0</v>
      </c>
      <c r="GP36" s="14">
        <v>3393.64</v>
      </c>
      <c r="GQ36" s="14">
        <v>0</v>
      </c>
      <c r="GR36" s="15">
        <v>6404.16</v>
      </c>
      <c r="GS36" s="14">
        <v>4465</v>
      </c>
      <c r="GT36" s="14">
        <v>0</v>
      </c>
      <c r="GU36" s="14">
        <v>893</v>
      </c>
      <c r="GV36" s="14">
        <v>0</v>
      </c>
      <c r="GW36" s="15">
        <v>5358</v>
      </c>
      <c r="GX36" s="15">
        <v>2478279.12</v>
      </c>
      <c r="GY36" s="14">
        <v>11589497.289999999</v>
      </c>
      <c r="GZ36" s="14">
        <v>185952.69</v>
      </c>
      <c r="HA36" s="15">
        <v>11775449.98</v>
      </c>
      <c r="HB36" s="15">
        <v>2478279.12</v>
      </c>
      <c r="HC36" s="16">
        <v>11589497.289999999</v>
      </c>
      <c r="HD36" s="15">
        <v>185952.69</v>
      </c>
      <c r="HE36" s="14">
        <v>4</v>
      </c>
      <c r="HF36" s="14">
        <v>1</v>
      </c>
      <c r="HG36" s="14">
        <v>5</v>
      </c>
      <c r="HH36" s="14">
        <v>3</v>
      </c>
      <c r="HI36" s="14">
        <v>1</v>
      </c>
      <c r="HJ36" s="15">
        <v>0</v>
      </c>
      <c r="HK36" s="16">
        <v>60</v>
      </c>
      <c r="HL36" s="14">
        <v>8</v>
      </c>
      <c r="HM36" s="14">
        <v>2</v>
      </c>
      <c r="HN36" s="17">
        <v>4</v>
      </c>
    </row>
    <row r="37" spans="1:222" x14ac:dyDescent="0.3">
      <c r="A37" s="6" t="s">
        <v>255</v>
      </c>
      <c r="B37" s="6" t="s">
        <v>274</v>
      </c>
      <c r="C37" s="7" t="s">
        <v>257</v>
      </c>
      <c r="D37" s="7">
        <v>2026</v>
      </c>
      <c r="E37" s="7">
        <v>2</v>
      </c>
      <c r="F37" s="7" t="s">
        <v>272</v>
      </c>
      <c r="G37" s="7" t="s">
        <v>271</v>
      </c>
      <c r="H37" s="8">
        <v>2145</v>
      </c>
      <c r="I37" s="8">
        <v>83</v>
      </c>
      <c r="J37" s="8">
        <v>0</v>
      </c>
      <c r="K37" s="8">
        <v>10</v>
      </c>
      <c r="L37" s="8">
        <v>0</v>
      </c>
      <c r="M37" s="9">
        <f t="shared" si="122"/>
        <v>93</v>
      </c>
      <c r="N37" s="8">
        <v>1365.6</v>
      </c>
      <c r="O37" s="8">
        <v>0</v>
      </c>
      <c r="P37" s="8">
        <v>85</v>
      </c>
      <c r="Q37" s="8">
        <v>35</v>
      </c>
      <c r="R37" s="9">
        <f t="shared" si="123"/>
        <v>1485.6</v>
      </c>
      <c r="S37" s="9">
        <f t="shared" si="124"/>
        <v>1578.6</v>
      </c>
      <c r="T37" s="8">
        <v>566.40000000000009</v>
      </c>
      <c r="U37" s="10">
        <f t="shared" ref="U37:U47" si="183">IF(H37=0,"",T37/H37)</f>
        <v>0.26405594405594413</v>
      </c>
      <c r="V37" s="8">
        <v>9</v>
      </c>
      <c r="W37" s="11">
        <f t="shared" ref="W37:W47" si="184">IF(H37=0,"",V37/H37)</f>
        <v>4.1958041958041958E-3</v>
      </c>
      <c r="X37" s="8">
        <v>0</v>
      </c>
      <c r="Y37" s="11">
        <f t="shared" ref="Y37:Y47" si="185">IF(H37=0,"",X37/H37)</f>
        <v>0</v>
      </c>
      <c r="Z37" s="8">
        <v>0</v>
      </c>
      <c r="AA37" s="11">
        <f t="shared" ref="AA37:AA47" si="186">IF(H37=0,"",Z37/H37)</f>
        <v>0</v>
      </c>
      <c r="AB37" s="8">
        <v>0</v>
      </c>
      <c r="AC37" s="11">
        <f t="shared" ref="AC37:AC47" si="187">IF(H37=0,"",AB37/H37)</f>
        <v>0</v>
      </c>
      <c r="AD37" s="8">
        <v>0</v>
      </c>
      <c r="AE37" s="11">
        <f t="shared" ref="AE37:AE47" si="188">IF(H37=0,"",AD37/H37)</f>
        <v>0</v>
      </c>
      <c r="AF37" s="8">
        <v>0</v>
      </c>
      <c r="AG37" s="11">
        <f t="shared" ref="AG37:AG47" si="189">IF(H37=0,"",AF37/H37)</f>
        <v>0</v>
      </c>
      <c r="AH37" s="8">
        <v>31727.61</v>
      </c>
      <c r="AI37" s="9">
        <f t="shared" ref="AI37:AI47" si="190">IF(H37=0,"",AH37/H37)</f>
        <v>14.791426573426573</v>
      </c>
      <c r="AJ37" s="8">
        <v>860</v>
      </c>
      <c r="AK37" s="11">
        <f t="shared" ref="AK37:AK47" si="191">IF(H37=0,"",AJ37/H37)</f>
        <v>0.40093240093240096</v>
      </c>
      <c r="AL37" s="8">
        <v>163111.65</v>
      </c>
      <c r="AM37" s="9">
        <f t="shared" ref="AM37:AM47" si="192">IF(H37=0,"",AL37/H37)</f>
        <v>76.042727272727276</v>
      </c>
      <c r="AN37" s="8">
        <v>0</v>
      </c>
      <c r="AO37" s="8">
        <v>0</v>
      </c>
      <c r="AP37" s="8">
        <v>0</v>
      </c>
      <c r="AQ37" s="8">
        <v>0</v>
      </c>
      <c r="AR37" s="8">
        <v>712768.63</v>
      </c>
      <c r="AS37" s="8">
        <v>0</v>
      </c>
      <c r="AT37" s="8">
        <v>79000</v>
      </c>
      <c r="AU37" s="9">
        <f t="shared" ref="AU37:AU47" si="193">AH37+AL37+AP37+AQ37+AR37+AS37+AT37</f>
        <v>986607.89</v>
      </c>
      <c r="AV37" s="9">
        <f t="shared" ref="AV37:AV47" si="194">IF(H37=0,"",AU37/H37)</f>
        <v>459.95705827505827</v>
      </c>
      <c r="AW37" s="9">
        <f t="shared" ref="AW37:AW47" si="195">IF(S37=0,"",AU37/S37)</f>
        <v>624.98916128214876</v>
      </c>
      <c r="AX37" s="8">
        <v>3</v>
      </c>
      <c r="AY37" s="9">
        <f t="shared" ref="AY37:AY47" si="196">IF(H37=0,"",AX37/(H37/1000/12))</f>
        <v>16.783216783216783</v>
      </c>
      <c r="AZ37" s="8">
        <v>8</v>
      </c>
      <c r="BA37" s="8">
        <v>5</v>
      </c>
      <c r="BB37" s="8">
        <v>7</v>
      </c>
      <c r="BC37" s="8">
        <v>8</v>
      </c>
      <c r="BD37" s="8">
        <v>0</v>
      </c>
      <c r="BE37" s="9">
        <f t="shared" ref="BE37:BE47" si="197">BC37+BD37</f>
        <v>8</v>
      </c>
      <c r="BF37" s="9">
        <f t="shared" ref="BF37:BF47" si="198">BA37+BB37-BE37</f>
        <v>4</v>
      </c>
      <c r="BG37" s="8">
        <v>0</v>
      </c>
      <c r="BH37" s="8">
        <v>0</v>
      </c>
      <c r="BI37" s="8">
        <v>0</v>
      </c>
      <c r="BJ37" s="8">
        <v>0</v>
      </c>
      <c r="BK37" s="9">
        <f t="shared" ref="BK37:BK47" si="199">BI37+BJ37</f>
        <v>0</v>
      </c>
      <c r="BL37" s="9">
        <f t="shared" ref="BL37:BL47" si="200">BG37+BH37-BK37</f>
        <v>0</v>
      </c>
      <c r="BM37" s="8">
        <v>0</v>
      </c>
      <c r="BN37" s="8">
        <v>0</v>
      </c>
      <c r="BO37" s="8">
        <v>0</v>
      </c>
      <c r="BP37" s="8">
        <v>0</v>
      </c>
      <c r="BQ37" s="9">
        <f t="shared" ref="BQ37:BQ47" si="201">BO37+BP37</f>
        <v>0</v>
      </c>
      <c r="BR37" s="9">
        <f t="shared" ref="BR37:BR47" si="202">BM37+BN37-BQ37</f>
        <v>0</v>
      </c>
      <c r="BS37" s="8">
        <v>0</v>
      </c>
      <c r="BT37" s="8">
        <v>0</v>
      </c>
      <c r="BU37" s="8">
        <v>0</v>
      </c>
      <c r="BV37" s="8">
        <v>0</v>
      </c>
      <c r="BW37" s="9">
        <f t="shared" ref="BW37:BW47" si="203">BU37+BV37</f>
        <v>0</v>
      </c>
      <c r="BX37" s="9">
        <f t="shared" ref="BX37:BX47" si="204">BS37+BT37-BW37</f>
        <v>0</v>
      </c>
      <c r="BY37" s="9">
        <f t="shared" ref="BY37:BY47" si="205">BA37+BG37+BM37+BS37</f>
        <v>5</v>
      </c>
      <c r="BZ37" s="9">
        <f t="shared" ref="BZ37:BZ47" si="206">BB37+BH37+BN37+BT37</f>
        <v>7</v>
      </c>
      <c r="CA37" s="9">
        <f t="shared" ref="CA37:CA47" si="207">BE37+BK37+BQ37+BW37</f>
        <v>8</v>
      </c>
      <c r="CB37" s="9">
        <f t="shared" ref="CB37:CB47" si="208">BF37+BL37+BR37+BX37</f>
        <v>4</v>
      </c>
      <c r="CC37" s="8">
        <v>8</v>
      </c>
      <c r="CD37" s="8">
        <v>211</v>
      </c>
      <c r="CE37" s="8">
        <v>5</v>
      </c>
      <c r="CF37" s="8">
        <v>3</v>
      </c>
      <c r="CG37" s="8">
        <v>0</v>
      </c>
      <c r="CH37" s="9">
        <f t="shared" ref="CH37:CH47" si="209">CD37+CE37+CF37+CG37</f>
        <v>219</v>
      </c>
      <c r="CI37" s="8">
        <v>17</v>
      </c>
      <c r="CJ37" s="8">
        <v>0</v>
      </c>
      <c r="CK37" s="8">
        <v>0</v>
      </c>
      <c r="CL37" s="8">
        <v>0</v>
      </c>
      <c r="CM37" s="9">
        <f t="shared" ref="CM37:CM47" si="210">CI37+CJ37+CK37+CL37</f>
        <v>17</v>
      </c>
      <c r="CN37" s="8">
        <v>347</v>
      </c>
      <c r="CO37" s="8">
        <v>14</v>
      </c>
      <c r="CP37" s="8">
        <v>27</v>
      </c>
      <c r="CQ37" s="8">
        <v>0</v>
      </c>
      <c r="CR37" s="9">
        <f t="shared" ref="CR37:CR47" si="211">CN37+CO37+CP37+CQ37</f>
        <v>388</v>
      </c>
      <c r="CS37" s="9">
        <f t="shared" ref="CS37:CS47" si="212">CM37+CR37</f>
        <v>405</v>
      </c>
      <c r="CT37" s="8">
        <v>624</v>
      </c>
      <c r="CU37" s="8">
        <v>1522.07</v>
      </c>
      <c r="CV37" s="8">
        <v>1321</v>
      </c>
      <c r="CW37" s="10">
        <f t="shared" ref="CW37:CW47" si="213">IF(CU37=0,"",CV37/CU37)</f>
        <v>0.86789700867897013</v>
      </c>
      <c r="CX37" s="8"/>
      <c r="CY37" s="8"/>
      <c r="CZ37" s="8"/>
      <c r="DA37" s="8"/>
      <c r="DB37" s="9">
        <f t="shared" ref="DB37:DB47" si="214">CX37+CY37-CZ37-DA37</f>
        <v>0</v>
      </c>
      <c r="DC37" s="8">
        <v>0</v>
      </c>
      <c r="DD37" s="8">
        <v>0</v>
      </c>
      <c r="DE37" s="8">
        <v>0</v>
      </c>
      <c r="DF37" s="8">
        <v>0</v>
      </c>
      <c r="DG37" s="9">
        <f t="shared" ref="DG37:DG47" si="215">DC37+DD37-DE37-DF37</f>
        <v>0</v>
      </c>
      <c r="DH37" s="8">
        <v>0</v>
      </c>
      <c r="DI37" s="8">
        <v>0</v>
      </c>
      <c r="DJ37" s="8">
        <v>0</v>
      </c>
      <c r="DK37" s="8">
        <v>0</v>
      </c>
      <c r="DL37" s="9">
        <f t="shared" ref="DL37:DL47" si="216">DH37+DI37-DJ37-DK37</f>
        <v>0</v>
      </c>
      <c r="DM37" s="8">
        <v>0</v>
      </c>
      <c r="DN37" s="8">
        <v>0</v>
      </c>
      <c r="DO37" s="8">
        <v>0</v>
      </c>
      <c r="DP37" s="8">
        <v>0</v>
      </c>
      <c r="DQ37" s="9">
        <f t="shared" ref="DQ37:DQ47" si="217">DM37+DN37-DO37-DP37</f>
        <v>0</v>
      </c>
      <c r="DR37" s="9">
        <f t="shared" ref="DR37:DR47" si="218">CX37+DC37+DH37+DM37</f>
        <v>0</v>
      </c>
      <c r="DS37" s="9">
        <f t="shared" ref="DS37:DS47" si="219">CY37+DD37+DI37+DN37</f>
        <v>0</v>
      </c>
      <c r="DT37" s="9">
        <f t="shared" ref="DT37:DT47" si="220">CZ37+DE37+DJ37+DO37</f>
        <v>0</v>
      </c>
      <c r="DU37" s="9">
        <f t="shared" ref="DU37:DU47" si="221">DA37+DF37+DK37+DP37</f>
        <v>0</v>
      </c>
      <c r="DV37" s="9">
        <f t="shared" ref="DV37:DV47" si="222">DB37+DG37+DL37+DQ37</f>
        <v>0</v>
      </c>
      <c r="DW37" s="8">
        <v>11</v>
      </c>
      <c r="DX37" s="8">
        <v>7</v>
      </c>
      <c r="DY37" s="8">
        <v>7</v>
      </c>
      <c r="DZ37" s="8">
        <v>3</v>
      </c>
      <c r="EA37" s="8">
        <v>2</v>
      </c>
      <c r="EB37" s="8">
        <v>2</v>
      </c>
      <c r="EC37" s="8">
        <v>0</v>
      </c>
      <c r="ED37" s="8">
        <v>1</v>
      </c>
      <c r="EE37" s="8">
        <v>1</v>
      </c>
      <c r="EF37" s="8">
        <v>0</v>
      </c>
      <c r="EG37" s="8">
        <v>0</v>
      </c>
      <c r="EH37" s="8">
        <v>0</v>
      </c>
      <c r="EI37" s="8">
        <v>0</v>
      </c>
      <c r="EJ37" s="8">
        <v>3</v>
      </c>
      <c r="EK37" s="8">
        <v>1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9">
        <f t="shared" ref="FG37:FG47" si="223">SUM(DW37,DX37,DY37,DZ37,EA37,EB37,EC37,ED37,EE37,EF37,EG37,EH37,EI37,EJ37,EK37,EL37,EM37,EN37,EO37,EP37,EQ37,ER37,ES37,ET37,EU37,EV37,EW37,EX37,EY37,EZ37,FA37,FB37,FC37,FD37,FE37,FF37)</f>
        <v>38</v>
      </c>
      <c r="FH37" s="8">
        <v>1</v>
      </c>
      <c r="FI37" s="8">
        <v>0</v>
      </c>
      <c r="FJ37" s="8">
        <v>0</v>
      </c>
      <c r="FK37" s="8">
        <v>102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9">
        <f t="shared" ref="FQ37:FQ47" si="224">FL37+FM37+FN37+FO37+FP37</f>
        <v>0</v>
      </c>
      <c r="FR37" s="8">
        <v>0</v>
      </c>
      <c r="FS37" s="8">
        <v>0</v>
      </c>
      <c r="FT37" s="8">
        <v>0</v>
      </c>
      <c r="FU37" s="8">
        <v>0</v>
      </c>
      <c r="FV37" s="9">
        <f t="shared" ref="FV37:FV47" si="225">FR37+FS37+FT37+FU37</f>
        <v>0</v>
      </c>
      <c r="FW37" s="8">
        <v>1825909</v>
      </c>
      <c r="FX37" s="8">
        <v>0</v>
      </c>
      <c r="FY37" s="8">
        <v>173000</v>
      </c>
      <c r="FZ37" s="8">
        <v>412000</v>
      </c>
      <c r="GA37" s="9">
        <f t="shared" ref="GA37:GA47" si="226">FW37+FX37+FY37+FZ37</f>
        <v>2410909</v>
      </c>
      <c r="GB37" s="9">
        <f t="shared" ref="GB37:GB47" si="227">FV37+GA37</f>
        <v>2410909</v>
      </c>
      <c r="GC37" s="8">
        <v>78565.399999999994</v>
      </c>
      <c r="GD37" s="8">
        <v>0</v>
      </c>
      <c r="GE37" s="8">
        <v>24383.95</v>
      </c>
      <c r="GF37" s="8">
        <v>0</v>
      </c>
      <c r="GG37" s="9">
        <f t="shared" ref="GG37:GG47" si="228">GC37+GD37+GE37+GF37</f>
        <v>102949.34999999999</v>
      </c>
      <c r="GH37" s="8">
        <v>1704088.19</v>
      </c>
      <c r="GI37" s="8">
        <v>0</v>
      </c>
      <c r="GJ37" s="8">
        <v>258925.65</v>
      </c>
      <c r="GK37" s="8">
        <v>164000</v>
      </c>
      <c r="GL37" s="9">
        <f t="shared" ref="GL37:GL47" si="229">GH37+GI37+GJ37+GK37</f>
        <v>2127013.84</v>
      </c>
      <c r="GM37" s="9">
        <f t="shared" ref="GM37:GM47" si="230">GG37+GL37</f>
        <v>2229963.19</v>
      </c>
      <c r="GN37" s="8">
        <v>3555.45</v>
      </c>
      <c r="GO37" s="8">
        <v>0</v>
      </c>
      <c r="GP37" s="8">
        <v>3393.64</v>
      </c>
      <c r="GQ37" s="8">
        <v>0</v>
      </c>
      <c r="GR37" s="9">
        <f t="shared" ref="GR37:GR47" si="231">GN37+GO37+GP37+GQ37</f>
        <v>6949.09</v>
      </c>
      <c r="GS37" s="8">
        <v>5358</v>
      </c>
      <c r="GT37" s="8">
        <v>0</v>
      </c>
      <c r="GU37" s="8">
        <v>893</v>
      </c>
      <c r="GV37" s="8">
        <v>0</v>
      </c>
      <c r="GW37" s="9">
        <f t="shared" ref="GW37:GW47" si="232">GS37+GT37+GU37+GV37</f>
        <v>6251</v>
      </c>
      <c r="GX37" s="9">
        <f t="shared" ref="GX37:GX47" si="233">GM37+GR37+GW37</f>
        <v>2243163.2799999998</v>
      </c>
      <c r="GY37" s="8">
        <v>11668679.15</v>
      </c>
      <c r="GZ37" s="8">
        <v>222920.27</v>
      </c>
      <c r="HA37" s="9">
        <f t="shared" ref="HA37:HA47" si="234">GY37+GZ37</f>
        <v>11891599.42</v>
      </c>
      <c r="HB37" s="9">
        <f t="shared" ref="HB37:HB47" si="235">IF(GX37=0,"",AU37/GX37)</f>
        <v>0.43982883403833184</v>
      </c>
      <c r="HC37" s="10">
        <f t="shared" ref="HC37:HC47" si="236">IF((GX37+GY37)=0,"",GB37/(GX37+GY37))</f>
        <v>0.17329904447458583</v>
      </c>
      <c r="HD37" s="9">
        <f t="shared" ref="HD37:HD47" si="237">IF(GX37=0,"",GB37/GX37)</f>
        <v>1.0747808781891259</v>
      </c>
      <c r="HE37" s="8">
        <v>4</v>
      </c>
      <c r="HF37" s="8">
        <v>1</v>
      </c>
      <c r="HG37" s="8">
        <v>4</v>
      </c>
      <c r="HH37" s="8">
        <v>7</v>
      </c>
      <c r="HI37" s="8">
        <v>1</v>
      </c>
      <c r="HJ37" s="9">
        <f t="shared" ref="HJ37:HJ47" si="238">HF37+HI37</f>
        <v>2</v>
      </c>
      <c r="HK37" s="10">
        <f t="shared" ref="HK37:HK47" si="239">IF(HE37=0,"",HH37/HE37)</f>
        <v>1.75</v>
      </c>
      <c r="HL37" s="8">
        <v>12</v>
      </c>
      <c r="HM37" s="8">
        <v>3</v>
      </c>
      <c r="HN37" s="11">
        <f t="shared" ref="HN37:HN47" si="240">IF(HL37=0,"",HM37/HL37)</f>
        <v>0.25</v>
      </c>
    </row>
    <row r="38" spans="1:222" x14ac:dyDescent="0.3">
      <c r="A38" s="12" t="s">
        <v>255</v>
      </c>
      <c r="B38" s="12" t="s">
        <v>274</v>
      </c>
      <c r="C38" s="13" t="s">
        <v>257</v>
      </c>
      <c r="D38" s="13">
        <v>2026</v>
      </c>
      <c r="E38" s="13">
        <v>3</v>
      </c>
      <c r="F38" s="13" t="s">
        <v>273</v>
      </c>
      <c r="G38" s="13" t="s">
        <v>271</v>
      </c>
      <c r="H38" s="14">
        <v>2085</v>
      </c>
      <c r="I38" s="14">
        <v>63</v>
      </c>
      <c r="J38" s="14">
        <v>0</v>
      </c>
      <c r="K38" s="14">
        <v>10</v>
      </c>
      <c r="L38" s="14">
        <v>0</v>
      </c>
      <c r="M38" s="15">
        <f t="shared" si="122"/>
        <v>73</v>
      </c>
      <c r="N38" s="14">
        <v>1242</v>
      </c>
      <c r="O38" s="14">
        <v>0</v>
      </c>
      <c r="P38" s="14">
        <v>131</v>
      </c>
      <c r="Q38" s="14">
        <v>35</v>
      </c>
      <c r="R38" s="15">
        <f t="shared" si="123"/>
        <v>1408</v>
      </c>
      <c r="S38" s="15">
        <f t="shared" si="124"/>
        <v>1481</v>
      </c>
      <c r="T38" s="14">
        <v>604</v>
      </c>
      <c r="U38" s="16">
        <f t="shared" si="183"/>
        <v>0.2896882494004796</v>
      </c>
      <c r="V38" s="14">
        <v>10</v>
      </c>
      <c r="W38" s="17">
        <f t="shared" si="184"/>
        <v>4.7961630695443642E-3</v>
      </c>
      <c r="X38" s="14">
        <v>0</v>
      </c>
      <c r="Y38" s="17">
        <f t="shared" si="185"/>
        <v>0</v>
      </c>
      <c r="Z38" s="14">
        <v>0</v>
      </c>
      <c r="AA38" s="17">
        <f t="shared" si="186"/>
        <v>0</v>
      </c>
      <c r="AB38" s="14">
        <v>0</v>
      </c>
      <c r="AC38" s="17">
        <f t="shared" si="187"/>
        <v>0</v>
      </c>
      <c r="AD38" s="14">
        <v>0</v>
      </c>
      <c r="AE38" s="17">
        <f t="shared" si="188"/>
        <v>0</v>
      </c>
      <c r="AF38" s="14">
        <v>0</v>
      </c>
      <c r="AG38" s="17">
        <f t="shared" si="189"/>
        <v>0</v>
      </c>
      <c r="AH38" s="14">
        <v>35252.9</v>
      </c>
      <c r="AI38" s="15">
        <f t="shared" si="190"/>
        <v>16.907865707434052</v>
      </c>
      <c r="AJ38" s="14">
        <v>4900</v>
      </c>
      <c r="AK38" s="17">
        <f t="shared" si="191"/>
        <v>2.3501199040767387</v>
      </c>
      <c r="AL38" s="14">
        <v>19339</v>
      </c>
      <c r="AM38" s="15">
        <f t="shared" si="192"/>
        <v>9.2752997601918459</v>
      </c>
      <c r="AN38" s="14">
        <v>0</v>
      </c>
      <c r="AO38" s="14">
        <v>0</v>
      </c>
      <c r="AP38" s="14">
        <v>0</v>
      </c>
      <c r="AQ38" s="14">
        <v>0</v>
      </c>
      <c r="AR38" s="14">
        <v>712768.63</v>
      </c>
      <c r="AS38" s="14">
        <v>0</v>
      </c>
      <c r="AT38" s="14">
        <v>0</v>
      </c>
      <c r="AU38" s="15">
        <f t="shared" si="193"/>
        <v>767360.53</v>
      </c>
      <c r="AV38" s="15">
        <f t="shared" si="194"/>
        <v>368.03862350119903</v>
      </c>
      <c r="AW38" s="15">
        <f t="shared" si="195"/>
        <v>518.13675219446327</v>
      </c>
      <c r="AX38" s="14">
        <v>3</v>
      </c>
      <c r="AY38" s="15">
        <f t="shared" si="196"/>
        <v>17.266187050359715</v>
      </c>
      <c r="AZ38" s="14">
        <v>8</v>
      </c>
      <c r="BA38" s="14">
        <v>4</v>
      </c>
      <c r="BB38" s="14">
        <v>4</v>
      </c>
      <c r="BC38" s="14">
        <v>4</v>
      </c>
      <c r="BD38" s="14">
        <v>0</v>
      </c>
      <c r="BE38" s="15">
        <f t="shared" si="197"/>
        <v>4</v>
      </c>
      <c r="BF38" s="15">
        <f t="shared" si="198"/>
        <v>4</v>
      </c>
      <c r="BG38" s="14">
        <v>0</v>
      </c>
      <c r="BH38" s="14">
        <v>0</v>
      </c>
      <c r="BI38" s="14">
        <v>0</v>
      </c>
      <c r="BJ38" s="14">
        <v>0</v>
      </c>
      <c r="BK38" s="15">
        <f t="shared" si="199"/>
        <v>0</v>
      </c>
      <c r="BL38" s="15">
        <f t="shared" si="200"/>
        <v>0</v>
      </c>
      <c r="BM38" s="14">
        <v>0</v>
      </c>
      <c r="BN38" s="14">
        <v>0</v>
      </c>
      <c r="BO38" s="14">
        <v>0</v>
      </c>
      <c r="BP38" s="14">
        <v>0</v>
      </c>
      <c r="BQ38" s="15">
        <f t="shared" si="201"/>
        <v>0</v>
      </c>
      <c r="BR38" s="15">
        <f t="shared" si="202"/>
        <v>0</v>
      </c>
      <c r="BS38" s="14">
        <v>0</v>
      </c>
      <c r="BT38" s="14">
        <v>0</v>
      </c>
      <c r="BU38" s="14">
        <v>0</v>
      </c>
      <c r="BV38" s="14">
        <v>0</v>
      </c>
      <c r="BW38" s="15">
        <f t="shared" si="203"/>
        <v>0</v>
      </c>
      <c r="BX38" s="15">
        <f t="shared" si="204"/>
        <v>0</v>
      </c>
      <c r="BY38" s="15">
        <f t="shared" si="205"/>
        <v>4</v>
      </c>
      <c r="BZ38" s="15">
        <f t="shared" si="206"/>
        <v>4</v>
      </c>
      <c r="CA38" s="15">
        <f t="shared" si="207"/>
        <v>4</v>
      </c>
      <c r="CB38" s="15">
        <f t="shared" si="208"/>
        <v>4</v>
      </c>
      <c r="CC38" s="14">
        <v>0</v>
      </c>
      <c r="CD38" s="14">
        <v>214</v>
      </c>
      <c r="CE38" s="14">
        <v>5</v>
      </c>
      <c r="CF38" s="14">
        <v>3</v>
      </c>
      <c r="CG38" s="14">
        <v>0</v>
      </c>
      <c r="CH38" s="15">
        <f t="shared" si="209"/>
        <v>222</v>
      </c>
      <c r="CI38" s="14">
        <v>17</v>
      </c>
      <c r="CJ38" s="14">
        <v>1</v>
      </c>
      <c r="CK38" s="14">
        <v>0</v>
      </c>
      <c r="CL38" s="14">
        <v>0</v>
      </c>
      <c r="CM38" s="15">
        <f t="shared" si="210"/>
        <v>18</v>
      </c>
      <c r="CN38" s="14">
        <v>347</v>
      </c>
      <c r="CO38" s="14">
        <v>14</v>
      </c>
      <c r="CP38" s="14">
        <v>27</v>
      </c>
      <c r="CQ38" s="14">
        <v>0</v>
      </c>
      <c r="CR38" s="15">
        <f t="shared" si="211"/>
        <v>388</v>
      </c>
      <c r="CS38" s="15">
        <f t="shared" si="212"/>
        <v>406</v>
      </c>
      <c r="CT38" s="14">
        <v>628</v>
      </c>
      <c r="CU38" s="14">
        <v>1537</v>
      </c>
      <c r="CV38" s="14">
        <v>1334</v>
      </c>
      <c r="CW38" s="16">
        <f t="shared" si="213"/>
        <v>0.86792452830188682</v>
      </c>
      <c r="CX38" s="14"/>
      <c r="CY38" s="14"/>
      <c r="CZ38" s="14"/>
      <c r="DA38" s="14"/>
      <c r="DB38" s="15">
        <f t="shared" si="214"/>
        <v>0</v>
      </c>
      <c r="DC38" s="14">
        <v>0</v>
      </c>
      <c r="DD38" s="14">
        <v>0</v>
      </c>
      <c r="DE38" s="14">
        <v>0</v>
      </c>
      <c r="DF38" s="14">
        <v>0</v>
      </c>
      <c r="DG38" s="15">
        <f t="shared" si="215"/>
        <v>0</v>
      </c>
      <c r="DH38" s="14">
        <v>0</v>
      </c>
      <c r="DI38" s="14">
        <v>0</v>
      </c>
      <c r="DJ38" s="14">
        <v>0</v>
      </c>
      <c r="DK38" s="14">
        <v>0</v>
      </c>
      <c r="DL38" s="15">
        <f t="shared" si="216"/>
        <v>0</v>
      </c>
      <c r="DM38" s="14">
        <v>0</v>
      </c>
      <c r="DN38" s="14">
        <v>0</v>
      </c>
      <c r="DO38" s="14">
        <v>0</v>
      </c>
      <c r="DP38" s="14">
        <v>0</v>
      </c>
      <c r="DQ38" s="15">
        <f t="shared" si="217"/>
        <v>0</v>
      </c>
      <c r="DR38" s="15">
        <f t="shared" si="218"/>
        <v>0</v>
      </c>
      <c r="DS38" s="15">
        <f t="shared" si="219"/>
        <v>0</v>
      </c>
      <c r="DT38" s="15">
        <f t="shared" si="220"/>
        <v>0</v>
      </c>
      <c r="DU38" s="15">
        <f t="shared" si="221"/>
        <v>0</v>
      </c>
      <c r="DV38" s="15">
        <f t="shared" si="222"/>
        <v>0</v>
      </c>
      <c r="DW38" s="14">
        <v>13</v>
      </c>
      <c r="DX38" s="14">
        <v>8</v>
      </c>
      <c r="DY38" s="14">
        <v>8</v>
      </c>
      <c r="DZ38" s="14">
        <v>3</v>
      </c>
      <c r="EA38" s="14">
        <v>2</v>
      </c>
      <c r="EB38" s="14">
        <v>4</v>
      </c>
      <c r="EC38" s="14">
        <v>0</v>
      </c>
      <c r="ED38" s="14">
        <v>2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5">
        <f t="shared" si="223"/>
        <v>40</v>
      </c>
      <c r="FH38" s="14">
        <v>1</v>
      </c>
      <c r="FI38" s="14">
        <v>0</v>
      </c>
      <c r="FJ38" s="14">
        <v>0</v>
      </c>
      <c r="FK38" s="14">
        <v>124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5">
        <f t="shared" si="224"/>
        <v>0</v>
      </c>
      <c r="FR38" s="14">
        <v>0</v>
      </c>
      <c r="FS38" s="14">
        <v>0</v>
      </c>
      <c r="FT38" s="14">
        <v>0</v>
      </c>
      <c r="FU38" s="14">
        <v>0</v>
      </c>
      <c r="FV38" s="15">
        <f t="shared" si="225"/>
        <v>0</v>
      </c>
      <c r="FW38" s="14">
        <v>1615206</v>
      </c>
      <c r="FX38" s="14">
        <v>0</v>
      </c>
      <c r="FY38" s="14">
        <v>168200</v>
      </c>
      <c r="FZ38" s="14">
        <v>398500</v>
      </c>
      <c r="GA38" s="15">
        <f t="shared" si="226"/>
        <v>2181906</v>
      </c>
      <c r="GB38" s="15">
        <f t="shared" si="227"/>
        <v>2181906</v>
      </c>
      <c r="GC38" s="14">
        <v>97855.46</v>
      </c>
      <c r="GD38" s="14">
        <v>0</v>
      </c>
      <c r="GE38" s="14">
        <v>24383.95</v>
      </c>
      <c r="GF38" s="14">
        <v>0</v>
      </c>
      <c r="GG38" s="15">
        <f t="shared" si="228"/>
        <v>122239.41</v>
      </c>
      <c r="GH38" s="14">
        <v>1548148.02</v>
      </c>
      <c r="GI38" s="14">
        <v>0</v>
      </c>
      <c r="GJ38" s="14">
        <v>398500</v>
      </c>
      <c r="GK38" s="14">
        <v>168200</v>
      </c>
      <c r="GL38" s="15">
        <f t="shared" si="229"/>
        <v>2114848.02</v>
      </c>
      <c r="GM38" s="15">
        <f t="shared" si="230"/>
        <v>2237087.4300000002</v>
      </c>
      <c r="GN38" s="14">
        <v>7747.33</v>
      </c>
      <c r="GO38" s="14">
        <v>0</v>
      </c>
      <c r="GP38" s="14">
        <v>3393.64</v>
      </c>
      <c r="GQ38" s="14">
        <v>0</v>
      </c>
      <c r="GR38" s="15">
        <f t="shared" si="231"/>
        <v>11140.97</v>
      </c>
      <c r="GS38" s="14">
        <v>15181</v>
      </c>
      <c r="GT38" s="14">
        <v>0</v>
      </c>
      <c r="GU38" s="14">
        <v>893</v>
      </c>
      <c r="GV38" s="14">
        <v>0</v>
      </c>
      <c r="GW38" s="15">
        <f t="shared" si="232"/>
        <v>16074</v>
      </c>
      <c r="GX38" s="15">
        <f t="shared" si="233"/>
        <v>2264302.4000000004</v>
      </c>
      <c r="GY38" s="14">
        <v>11621972.09</v>
      </c>
      <c r="GZ38" s="14">
        <v>313246.89</v>
      </c>
      <c r="HA38" s="15">
        <f t="shared" si="234"/>
        <v>11935218.98</v>
      </c>
      <c r="HB38" s="15">
        <f t="shared" si="235"/>
        <v>0.338894897607316</v>
      </c>
      <c r="HC38" s="16">
        <f t="shared" si="236"/>
        <v>0.15712680903515683</v>
      </c>
      <c r="HD38" s="15">
        <f t="shared" si="237"/>
        <v>0.96361069086885198</v>
      </c>
      <c r="HE38" s="14">
        <v>4</v>
      </c>
      <c r="HF38" s="14">
        <v>1</v>
      </c>
      <c r="HG38" s="14">
        <v>4</v>
      </c>
      <c r="HH38" s="14">
        <v>4</v>
      </c>
      <c r="HI38" s="14">
        <v>1</v>
      </c>
      <c r="HJ38" s="15">
        <f t="shared" si="238"/>
        <v>2</v>
      </c>
      <c r="HK38" s="16">
        <f t="shared" si="239"/>
        <v>1</v>
      </c>
      <c r="HL38" s="14">
        <v>20</v>
      </c>
      <c r="HM38" s="14">
        <v>5</v>
      </c>
      <c r="HN38" s="17">
        <f t="shared" si="240"/>
        <v>0.25</v>
      </c>
    </row>
    <row r="39" spans="1:222" x14ac:dyDescent="0.3">
      <c r="A39" s="6" t="s">
        <v>255</v>
      </c>
      <c r="B39" s="6" t="s">
        <v>275</v>
      </c>
      <c r="C39" s="7" t="s">
        <v>257</v>
      </c>
      <c r="D39" s="7">
        <v>2025</v>
      </c>
      <c r="E39" s="7">
        <v>4</v>
      </c>
      <c r="F39" s="7" t="s">
        <v>258</v>
      </c>
      <c r="G39" s="7" t="s">
        <v>259</v>
      </c>
      <c r="H39" s="8">
        <v>3511</v>
      </c>
      <c r="I39" s="8">
        <v>10</v>
      </c>
      <c r="J39" s="8">
        <v>0</v>
      </c>
      <c r="K39" s="8">
        <v>3</v>
      </c>
      <c r="L39" s="8">
        <v>0</v>
      </c>
      <c r="M39" s="9">
        <f t="shared" si="122"/>
        <v>13</v>
      </c>
      <c r="N39" s="8">
        <v>3010.2</v>
      </c>
      <c r="O39" s="8">
        <v>143.5</v>
      </c>
      <c r="P39" s="8">
        <v>57.8</v>
      </c>
      <c r="Q39" s="8">
        <v>48.2</v>
      </c>
      <c r="R39" s="9">
        <f t="shared" si="123"/>
        <v>3259.7</v>
      </c>
      <c r="S39" s="9">
        <f t="shared" si="124"/>
        <v>3272.7</v>
      </c>
      <c r="T39" s="8">
        <v>238.300000000003</v>
      </c>
      <c r="U39" s="10">
        <f t="shared" si="183"/>
        <v>6.7872401025349763E-2</v>
      </c>
      <c r="V39" s="8">
        <v>14</v>
      </c>
      <c r="W39" s="11">
        <f t="shared" si="184"/>
        <v>3.9874679578467669E-3</v>
      </c>
      <c r="X39" s="8">
        <v>0</v>
      </c>
      <c r="Y39" s="11">
        <f t="shared" si="185"/>
        <v>0</v>
      </c>
      <c r="Z39" s="8">
        <v>0</v>
      </c>
      <c r="AA39" s="11">
        <f t="shared" si="186"/>
        <v>0</v>
      </c>
      <c r="AB39" s="8">
        <v>0</v>
      </c>
      <c r="AC39" s="11">
        <f t="shared" si="187"/>
        <v>0</v>
      </c>
      <c r="AD39" s="8">
        <v>0</v>
      </c>
      <c r="AE39" s="11">
        <f t="shared" si="188"/>
        <v>0</v>
      </c>
      <c r="AF39" s="8">
        <v>0</v>
      </c>
      <c r="AG39" s="11">
        <f t="shared" si="189"/>
        <v>0</v>
      </c>
      <c r="AH39" s="8">
        <v>49354.06</v>
      </c>
      <c r="AI39" s="9">
        <f t="shared" si="190"/>
        <v>14.056980917117629</v>
      </c>
      <c r="AJ39" s="8">
        <v>4910</v>
      </c>
      <c r="AK39" s="11">
        <f t="shared" si="191"/>
        <v>1.3984619766448305</v>
      </c>
      <c r="AL39" s="8">
        <v>840180.52500000002</v>
      </c>
      <c r="AM39" s="9">
        <f t="shared" si="192"/>
        <v>239.29949444602678</v>
      </c>
      <c r="AN39" s="8">
        <v>0</v>
      </c>
      <c r="AO39" s="8">
        <v>0</v>
      </c>
      <c r="AP39" s="8">
        <v>0</v>
      </c>
      <c r="AQ39" s="8">
        <v>0</v>
      </c>
      <c r="AR39" s="8">
        <v>2606300.2000000002</v>
      </c>
      <c r="AS39" s="8">
        <v>432692.5</v>
      </c>
      <c r="AT39" s="8">
        <v>25000</v>
      </c>
      <c r="AU39" s="9">
        <f t="shared" si="193"/>
        <v>3953527.2850000001</v>
      </c>
      <c r="AV39" s="9">
        <f t="shared" si="194"/>
        <v>1126.0402406721732</v>
      </c>
      <c r="AW39" s="9">
        <f t="shared" si="195"/>
        <v>1208.0322929079966</v>
      </c>
      <c r="AX39" s="8">
        <v>6</v>
      </c>
      <c r="AY39" s="9">
        <f t="shared" si="196"/>
        <v>20.50697806892623</v>
      </c>
      <c r="AZ39" s="8">
        <v>5</v>
      </c>
      <c r="BA39" s="8">
        <v>23</v>
      </c>
      <c r="BB39" s="8">
        <v>8</v>
      </c>
      <c r="BC39" s="8">
        <v>0</v>
      </c>
      <c r="BD39" s="8">
        <v>10</v>
      </c>
      <c r="BE39" s="9">
        <f t="shared" si="197"/>
        <v>10</v>
      </c>
      <c r="BF39" s="9">
        <f t="shared" si="198"/>
        <v>21</v>
      </c>
      <c r="BG39" s="8">
        <v>0</v>
      </c>
      <c r="BH39" s="8">
        <v>1</v>
      </c>
      <c r="BI39" s="8">
        <v>0</v>
      </c>
      <c r="BJ39" s="8">
        <v>1</v>
      </c>
      <c r="BK39" s="9">
        <f t="shared" si="199"/>
        <v>1</v>
      </c>
      <c r="BL39" s="9">
        <f t="shared" si="200"/>
        <v>0</v>
      </c>
      <c r="BM39" s="8">
        <v>0</v>
      </c>
      <c r="BN39" s="8">
        <v>0</v>
      </c>
      <c r="BO39" s="8">
        <v>0</v>
      </c>
      <c r="BP39" s="8">
        <v>0</v>
      </c>
      <c r="BQ39" s="9">
        <f t="shared" si="201"/>
        <v>0</v>
      </c>
      <c r="BR39" s="9">
        <f t="shared" si="202"/>
        <v>0</v>
      </c>
      <c r="BS39" s="8">
        <v>0</v>
      </c>
      <c r="BT39" s="8">
        <v>0</v>
      </c>
      <c r="BU39" s="8">
        <v>0</v>
      </c>
      <c r="BV39" s="8">
        <v>0</v>
      </c>
      <c r="BW39" s="9">
        <f t="shared" si="203"/>
        <v>0</v>
      </c>
      <c r="BX39" s="9">
        <f t="shared" si="204"/>
        <v>0</v>
      </c>
      <c r="BY39" s="9">
        <f t="shared" si="205"/>
        <v>23</v>
      </c>
      <c r="BZ39" s="9">
        <f t="shared" si="206"/>
        <v>9</v>
      </c>
      <c r="CA39" s="9">
        <f t="shared" si="207"/>
        <v>11</v>
      </c>
      <c r="CB39" s="9">
        <f t="shared" si="208"/>
        <v>21</v>
      </c>
      <c r="CC39" s="8">
        <v>11</v>
      </c>
      <c r="CD39" s="8">
        <v>2</v>
      </c>
      <c r="CE39" s="8">
        <v>1</v>
      </c>
      <c r="CF39" s="8">
        <v>2</v>
      </c>
      <c r="CG39" s="8">
        <v>0</v>
      </c>
      <c r="CH39" s="9">
        <f t="shared" si="209"/>
        <v>5</v>
      </c>
      <c r="CI39" s="8">
        <v>2</v>
      </c>
      <c r="CJ39" s="8">
        <v>1</v>
      </c>
      <c r="CK39" s="8">
        <v>0</v>
      </c>
      <c r="CL39" s="8">
        <v>0</v>
      </c>
      <c r="CM39" s="9">
        <f t="shared" si="210"/>
        <v>3</v>
      </c>
      <c r="CN39" s="8">
        <v>534</v>
      </c>
      <c r="CO39" s="8">
        <v>20</v>
      </c>
      <c r="CP39" s="8">
        <v>16</v>
      </c>
      <c r="CQ39" s="8">
        <v>3</v>
      </c>
      <c r="CR39" s="9">
        <f t="shared" si="211"/>
        <v>573</v>
      </c>
      <c r="CS39" s="9">
        <f t="shared" si="212"/>
        <v>576</v>
      </c>
      <c r="CT39" s="8">
        <v>581</v>
      </c>
      <c r="CU39" s="8">
        <v>4200</v>
      </c>
      <c r="CV39" s="8">
        <v>2940</v>
      </c>
      <c r="CW39" s="10">
        <f t="shared" si="213"/>
        <v>0.7</v>
      </c>
      <c r="CX39" s="8"/>
      <c r="CY39" s="8"/>
      <c r="CZ39" s="8"/>
      <c r="DA39" s="8"/>
      <c r="DB39" s="9">
        <f t="shared" si="214"/>
        <v>0</v>
      </c>
      <c r="DC39" s="8">
        <v>0</v>
      </c>
      <c r="DD39" s="8">
        <v>0</v>
      </c>
      <c r="DE39" s="8">
        <v>0</v>
      </c>
      <c r="DF39" s="8">
        <v>0</v>
      </c>
      <c r="DG39" s="9">
        <f t="shared" si="215"/>
        <v>0</v>
      </c>
      <c r="DH39" s="8">
        <v>0</v>
      </c>
      <c r="DI39" s="8">
        <v>0</v>
      </c>
      <c r="DJ39" s="8">
        <v>0</v>
      </c>
      <c r="DK39" s="8">
        <v>0</v>
      </c>
      <c r="DL39" s="9">
        <f t="shared" si="216"/>
        <v>0</v>
      </c>
      <c r="DM39" s="8">
        <v>0</v>
      </c>
      <c r="DN39" s="8">
        <v>8</v>
      </c>
      <c r="DO39" s="8">
        <v>8</v>
      </c>
      <c r="DP39" s="8">
        <v>0</v>
      </c>
      <c r="DQ39" s="9">
        <f t="shared" si="217"/>
        <v>0</v>
      </c>
      <c r="DR39" s="9">
        <f t="shared" si="218"/>
        <v>0</v>
      </c>
      <c r="DS39" s="9">
        <f t="shared" si="219"/>
        <v>8</v>
      </c>
      <c r="DT39" s="9">
        <f t="shared" si="220"/>
        <v>8</v>
      </c>
      <c r="DU39" s="9">
        <f t="shared" si="221"/>
        <v>0</v>
      </c>
      <c r="DV39" s="9">
        <f t="shared" si="222"/>
        <v>0</v>
      </c>
      <c r="DW39" s="8">
        <v>105</v>
      </c>
      <c r="DX39" s="8">
        <v>13</v>
      </c>
      <c r="DY39" s="8">
        <v>15</v>
      </c>
      <c r="DZ39" s="8">
        <v>0</v>
      </c>
      <c r="EA39" s="8">
        <v>3</v>
      </c>
      <c r="EB39" s="8">
        <v>3</v>
      </c>
      <c r="EC39" s="8">
        <v>0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3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9">
        <f t="shared" si="223"/>
        <v>142</v>
      </c>
      <c r="FH39" s="8">
        <v>1</v>
      </c>
      <c r="FI39" s="8">
        <v>168</v>
      </c>
      <c r="FJ39" s="8">
        <v>720</v>
      </c>
      <c r="FK39" s="8">
        <v>98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9">
        <f t="shared" si="224"/>
        <v>0</v>
      </c>
      <c r="FR39" s="8">
        <v>0</v>
      </c>
      <c r="FS39" s="8">
        <v>0</v>
      </c>
      <c r="FT39" s="8">
        <v>0</v>
      </c>
      <c r="FU39" s="8">
        <v>0</v>
      </c>
      <c r="FV39" s="9">
        <f t="shared" si="225"/>
        <v>0</v>
      </c>
      <c r="FW39" s="8">
        <v>4030427.910000002</v>
      </c>
      <c r="FX39" s="8">
        <v>30500</v>
      </c>
      <c r="FY39" s="8">
        <v>247664.04</v>
      </c>
      <c r="FZ39" s="8">
        <v>176153.94</v>
      </c>
      <c r="GA39" s="9">
        <f t="shared" si="226"/>
        <v>4484745.8900000025</v>
      </c>
      <c r="GB39" s="9">
        <f t="shared" si="227"/>
        <v>4484745.8900000025</v>
      </c>
      <c r="GC39" s="8">
        <v>9319.6200000000008</v>
      </c>
      <c r="GD39" s="8">
        <v>0</v>
      </c>
      <c r="GE39" s="8">
        <v>8410.99</v>
      </c>
      <c r="GF39" s="8">
        <v>0</v>
      </c>
      <c r="GG39" s="9">
        <f t="shared" si="228"/>
        <v>17730.61</v>
      </c>
      <c r="GH39" s="8">
        <v>3750514.6</v>
      </c>
      <c r="GI39" s="8">
        <v>30500</v>
      </c>
      <c r="GJ39" s="8">
        <v>175553.94</v>
      </c>
      <c r="GK39" s="8">
        <v>228482.38</v>
      </c>
      <c r="GL39" s="9">
        <f t="shared" si="229"/>
        <v>4185050.92</v>
      </c>
      <c r="GM39" s="9">
        <f t="shared" si="230"/>
        <v>4202781.53</v>
      </c>
      <c r="GN39" s="8">
        <v>1089.8599999999999</v>
      </c>
      <c r="GO39" s="8">
        <v>0</v>
      </c>
      <c r="GP39" s="8">
        <v>3393.64</v>
      </c>
      <c r="GQ39" s="8">
        <v>0</v>
      </c>
      <c r="GR39" s="9">
        <f t="shared" si="231"/>
        <v>4483.5</v>
      </c>
      <c r="GS39" s="8">
        <v>1786</v>
      </c>
      <c r="GT39" s="8">
        <v>0</v>
      </c>
      <c r="GU39" s="8">
        <v>893</v>
      </c>
      <c r="GV39" s="8">
        <v>0</v>
      </c>
      <c r="GW39" s="9">
        <f t="shared" si="232"/>
        <v>2679</v>
      </c>
      <c r="GX39" s="9">
        <f t="shared" si="233"/>
        <v>4209944.03</v>
      </c>
      <c r="GY39" s="8">
        <v>0</v>
      </c>
      <c r="GZ39" s="8">
        <v>0</v>
      </c>
      <c r="HA39" s="9">
        <f t="shared" si="234"/>
        <v>0</v>
      </c>
      <c r="HB39" s="9">
        <f t="shared" si="235"/>
        <v>0.93909260000304562</v>
      </c>
      <c r="HC39" s="10">
        <f t="shared" si="236"/>
        <v>1.0652744687439473</v>
      </c>
      <c r="HD39" s="9">
        <f t="shared" si="237"/>
        <v>1.0652744687439473</v>
      </c>
      <c r="HE39" s="8">
        <v>8</v>
      </c>
      <c r="HF39" s="8">
        <v>2</v>
      </c>
      <c r="HG39" s="8">
        <v>21</v>
      </c>
      <c r="HH39" s="8">
        <v>9</v>
      </c>
      <c r="HI39" s="8">
        <v>30</v>
      </c>
      <c r="HJ39" s="9">
        <f t="shared" si="238"/>
        <v>32</v>
      </c>
      <c r="HK39" s="10">
        <f t="shared" si="239"/>
        <v>1.125</v>
      </c>
      <c r="HL39" s="8">
        <v>8</v>
      </c>
      <c r="HM39" s="8">
        <v>2</v>
      </c>
      <c r="HN39" s="11">
        <f t="shared" si="240"/>
        <v>0.25</v>
      </c>
    </row>
    <row r="40" spans="1:222" x14ac:dyDescent="0.3">
      <c r="A40" s="12" t="s">
        <v>255</v>
      </c>
      <c r="B40" s="12" t="s">
        <v>275</v>
      </c>
      <c r="C40" s="13" t="s">
        <v>257</v>
      </c>
      <c r="D40" s="13">
        <v>2025</v>
      </c>
      <c r="E40" s="13">
        <v>5</v>
      </c>
      <c r="F40" s="13" t="s">
        <v>260</v>
      </c>
      <c r="G40" s="13" t="s">
        <v>259</v>
      </c>
      <c r="H40" s="14">
        <v>3880</v>
      </c>
      <c r="I40" s="14">
        <v>7</v>
      </c>
      <c r="J40" s="14">
        <v>0</v>
      </c>
      <c r="K40" s="14">
        <v>6</v>
      </c>
      <c r="L40" s="14">
        <v>0</v>
      </c>
      <c r="M40" s="15">
        <f t="shared" si="122"/>
        <v>13</v>
      </c>
      <c r="N40" s="14">
        <v>3323.6</v>
      </c>
      <c r="O40" s="14">
        <v>163.30000000000001</v>
      </c>
      <c r="P40" s="14">
        <v>45</v>
      </c>
      <c r="Q40" s="14">
        <v>68.7</v>
      </c>
      <c r="R40" s="15">
        <f t="shared" si="123"/>
        <v>3600.6</v>
      </c>
      <c r="S40" s="15">
        <f t="shared" si="124"/>
        <v>3613.6</v>
      </c>
      <c r="T40" s="14">
        <v>266.39999999999998</v>
      </c>
      <c r="U40" s="16">
        <f t="shared" si="183"/>
        <v>6.865979381443299E-2</v>
      </c>
      <c r="V40" s="14">
        <v>9</v>
      </c>
      <c r="W40" s="17">
        <f t="shared" si="184"/>
        <v>2.3195876288659794E-3</v>
      </c>
      <c r="X40" s="14">
        <v>0</v>
      </c>
      <c r="Y40" s="17">
        <f t="shared" si="185"/>
        <v>0</v>
      </c>
      <c r="Z40" s="14">
        <v>0</v>
      </c>
      <c r="AA40" s="17">
        <f t="shared" si="186"/>
        <v>0</v>
      </c>
      <c r="AB40" s="14">
        <v>0</v>
      </c>
      <c r="AC40" s="17">
        <f t="shared" si="187"/>
        <v>0</v>
      </c>
      <c r="AD40" s="14">
        <v>0</v>
      </c>
      <c r="AE40" s="17">
        <f t="shared" si="188"/>
        <v>0</v>
      </c>
      <c r="AF40" s="14">
        <v>0</v>
      </c>
      <c r="AG40" s="17">
        <f t="shared" si="189"/>
        <v>0</v>
      </c>
      <c r="AH40" s="14">
        <v>31727.61</v>
      </c>
      <c r="AI40" s="15">
        <f t="shared" si="190"/>
        <v>8.1772190721649487</v>
      </c>
      <c r="AJ40" s="14">
        <v>4431</v>
      </c>
      <c r="AK40" s="17">
        <f t="shared" si="191"/>
        <v>1.1420103092783505</v>
      </c>
      <c r="AL40" s="14">
        <v>760102.50249999994</v>
      </c>
      <c r="AM40" s="15">
        <f t="shared" si="192"/>
        <v>195.90270682989689</v>
      </c>
      <c r="AN40" s="14">
        <v>0</v>
      </c>
      <c r="AO40" s="14">
        <v>0</v>
      </c>
      <c r="AP40" s="14">
        <v>0</v>
      </c>
      <c r="AQ40" s="14">
        <v>0</v>
      </c>
      <c r="AR40" s="14">
        <v>2766432.42</v>
      </c>
      <c r="AS40" s="14">
        <v>429230.96</v>
      </c>
      <c r="AT40" s="14">
        <v>0</v>
      </c>
      <c r="AU40" s="15">
        <f t="shared" si="193"/>
        <v>3987493.4924999997</v>
      </c>
      <c r="AV40" s="15">
        <f t="shared" si="194"/>
        <v>1027.7045083762887</v>
      </c>
      <c r="AW40" s="15">
        <f t="shared" si="195"/>
        <v>1103.4684227640025</v>
      </c>
      <c r="AX40" s="14">
        <v>6</v>
      </c>
      <c r="AY40" s="15">
        <f t="shared" si="196"/>
        <v>18.556701030927837</v>
      </c>
      <c r="AZ40" s="14">
        <v>5</v>
      </c>
      <c r="BA40" s="14">
        <v>21</v>
      </c>
      <c r="BB40" s="14">
        <v>11</v>
      </c>
      <c r="BC40" s="14">
        <v>0</v>
      </c>
      <c r="BD40" s="14">
        <v>12</v>
      </c>
      <c r="BE40" s="15">
        <f t="shared" si="197"/>
        <v>12</v>
      </c>
      <c r="BF40" s="15">
        <f t="shared" si="198"/>
        <v>20</v>
      </c>
      <c r="BG40" s="14">
        <v>0</v>
      </c>
      <c r="BH40" s="14">
        <v>0</v>
      </c>
      <c r="BI40" s="14">
        <v>0</v>
      </c>
      <c r="BJ40" s="14">
        <v>0</v>
      </c>
      <c r="BK40" s="15">
        <f t="shared" si="199"/>
        <v>0</v>
      </c>
      <c r="BL40" s="15">
        <f t="shared" si="200"/>
        <v>0</v>
      </c>
      <c r="BM40" s="14">
        <v>0</v>
      </c>
      <c r="BN40" s="14">
        <v>0</v>
      </c>
      <c r="BO40" s="14">
        <v>0</v>
      </c>
      <c r="BP40" s="14">
        <v>0</v>
      </c>
      <c r="BQ40" s="15">
        <f t="shared" si="201"/>
        <v>0</v>
      </c>
      <c r="BR40" s="15">
        <f t="shared" si="202"/>
        <v>0</v>
      </c>
      <c r="BS40" s="14">
        <v>0</v>
      </c>
      <c r="BT40" s="14">
        <v>0</v>
      </c>
      <c r="BU40" s="14">
        <v>0</v>
      </c>
      <c r="BV40" s="14">
        <v>0</v>
      </c>
      <c r="BW40" s="15">
        <f t="shared" si="203"/>
        <v>0</v>
      </c>
      <c r="BX40" s="15">
        <f t="shared" si="204"/>
        <v>0</v>
      </c>
      <c r="BY40" s="15">
        <f t="shared" si="205"/>
        <v>21</v>
      </c>
      <c r="BZ40" s="15">
        <f t="shared" si="206"/>
        <v>11</v>
      </c>
      <c r="CA40" s="15">
        <f t="shared" si="207"/>
        <v>12</v>
      </c>
      <c r="CB40" s="15">
        <f t="shared" si="208"/>
        <v>20</v>
      </c>
      <c r="CC40" s="14">
        <v>12</v>
      </c>
      <c r="CD40" s="14">
        <v>1</v>
      </c>
      <c r="CE40" s="14">
        <v>1</v>
      </c>
      <c r="CF40" s="14">
        <v>2</v>
      </c>
      <c r="CG40" s="14">
        <v>0</v>
      </c>
      <c r="CH40" s="15">
        <f t="shared" si="209"/>
        <v>4</v>
      </c>
      <c r="CI40" s="14">
        <v>2</v>
      </c>
      <c r="CJ40" s="14">
        <v>1</v>
      </c>
      <c r="CK40" s="14">
        <v>0</v>
      </c>
      <c r="CL40" s="14">
        <v>0</v>
      </c>
      <c r="CM40" s="15">
        <f t="shared" si="210"/>
        <v>3</v>
      </c>
      <c r="CN40" s="14">
        <v>547</v>
      </c>
      <c r="CO40" s="14">
        <v>20</v>
      </c>
      <c r="CP40" s="14">
        <v>15</v>
      </c>
      <c r="CQ40" s="14">
        <v>3</v>
      </c>
      <c r="CR40" s="15">
        <f t="shared" si="211"/>
        <v>585</v>
      </c>
      <c r="CS40" s="15">
        <f t="shared" si="212"/>
        <v>588</v>
      </c>
      <c r="CT40" s="14">
        <v>592</v>
      </c>
      <c r="CU40" s="14">
        <v>4200</v>
      </c>
      <c r="CV40" s="14">
        <v>2940</v>
      </c>
      <c r="CW40" s="16">
        <f t="shared" si="213"/>
        <v>0.7</v>
      </c>
      <c r="CX40" s="14"/>
      <c r="CY40" s="14"/>
      <c r="CZ40" s="14"/>
      <c r="DA40" s="14"/>
      <c r="DB40" s="15">
        <f t="shared" si="214"/>
        <v>0</v>
      </c>
      <c r="DC40" s="14">
        <v>0</v>
      </c>
      <c r="DD40" s="14">
        <v>0</v>
      </c>
      <c r="DE40" s="14">
        <v>0</v>
      </c>
      <c r="DF40" s="14">
        <v>0</v>
      </c>
      <c r="DG40" s="15">
        <f t="shared" si="215"/>
        <v>0</v>
      </c>
      <c r="DH40" s="14">
        <v>0</v>
      </c>
      <c r="DI40" s="14">
        <v>0</v>
      </c>
      <c r="DJ40" s="14">
        <v>0</v>
      </c>
      <c r="DK40" s="14">
        <v>0</v>
      </c>
      <c r="DL40" s="15">
        <f t="shared" si="216"/>
        <v>0</v>
      </c>
      <c r="DM40" s="14">
        <v>0</v>
      </c>
      <c r="DN40" s="14">
        <v>4</v>
      </c>
      <c r="DO40" s="14">
        <v>2</v>
      </c>
      <c r="DP40" s="14">
        <v>2</v>
      </c>
      <c r="DQ40" s="15">
        <f t="shared" si="217"/>
        <v>0</v>
      </c>
      <c r="DR40" s="15">
        <f t="shared" si="218"/>
        <v>0</v>
      </c>
      <c r="DS40" s="15">
        <f t="shared" si="219"/>
        <v>4</v>
      </c>
      <c r="DT40" s="15">
        <f t="shared" si="220"/>
        <v>2</v>
      </c>
      <c r="DU40" s="15">
        <f t="shared" si="221"/>
        <v>2</v>
      </c>
      <c r="DV40" s="15">
        <f t="shared" si="222"/>
        <v>0</v>
      </c>
      <c r="DW40" s="14">
        <v>113</v>
      </c>
      <c r="DX40" s="14">
        <v>10</v>
      </c>
      <c r="DY40" s="14">
        <v>6</v>
      </c>
      <c r="DZ40" s="14">
        <v>1</v>
      </c>
      <c r="EA40" s="14">
        <v>2</v>
      </c>
      <c r="EB40" s="14">
        <v>1</v>
      </c>
      <c r="EC40" s="14">
        <v>0</v>
      </c>
      <c r="ED40" s="14">
        <v>0</v>
      </c>
      <c r="EE40" s="14">
        <v>0</v>
      </c>
      <c r="EF40" s="14">
        <v>1</v>
      </c>
      <c r="EG40" s="14">
        <v>0</v>
      </c>
      <c r="EH40" s="14">
        <v>0</v>
      </c>
      <c r="EI40" s="14">
        <v>0</v>
      </c>
      <c r="EJ40" s="14">
        <v>1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5">
        <f t="shared" si="223"/>
        <v>135</v>
      </c>
      <c r="FH40" s="14">
        <v>0</v>
      </c>
      <c r="FI40" s="14">
        <v>0</v>
      </c>
      <c r="FJ40" s="14">
        <v>464</v>
      </c>
      <c r="FK40" s="14">
        <v>121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5">
        <f t="shared" si="224"/>
        <v>0</v>
      </c>
      <c r="FR40" s="14">
        <v>0</v>
      </c>
      <c r="FS40" s="14">
        <v>0</v>
      </c>
      <c r="FT40" s="14">
        <v>0</v>
      </c>
      <c r="FU40" s="14">
        <v>0</v>
      </c>
      <c r="FV40" s="15">
        <f t="shared" si="225"/>
        <v>0</v>
      </c>
      <c r="FW40" s="14">
        <v>4359874.28</v>
      </c>
      <c r="FX40" s="14">
        <v>34700</v>
      </c>
      <c r="FY40" s="14">
        <v>366177</v>
      </c>
      <c r="FZ40" s="14">
        <v>137300</v>
      </c>
      <c r="GA40" s="15">
        <f t="shared" si="226"/>
        <v>4898051.28</v>
      </c>
      <c r="GB40" s="15">
        <f t="shared" si="227"/>
        <v>4898051.28</v>
      </c>
      <c r="GC40" s="14">
        <v>6680.52</v>
      </c>
      <c r="GD40" s="14">
        <v>0</v>
      </c>
      <c r="GE40" s="14">
        <v>13735.31</v>
      </c>
      <c r="GF40" s="14">
        <v>0</v>
      </c>
      <c r="GG40" s="15">
        <f t="shared" si="228"/>
        <v>20415.830000000002</v>
      </c>
      <c r="GH40" s="14">
        <v>4190697.22</v>
      </c>
      <c r="GI40" s="14">
        <v>34700</v>
      </c>
      <c r="GJ40" s="14">
        <v>136700</v>
      </c>
      <c r="GK40" s="14">
        <v>326378.46000000002</v>
      </c>
      <c r="GL40" s="15">
        <f t="shared" si="229"/>
        <v>4688475.6800000006</v>
      </c>
      <c r="GM40" s="15">
        <f t="shared" si="230"/>
        <v>4708891.5100000007</v>
      </c>
      <c r="GN40" s="14">
        <v>1089.8599999999999</v>
      </c>
      <c r="GO40" s="14">
        <v>0</v>
      </c>
      <c r="GP40" s="14">
        <v>3393.64</v>
      </c>
      <c r="GQ40" s="14">
        <v>0</v>
      </c>
      <c r="GR40" s="15">
        <f t="shared" si="231"/>
        <v>4483.5</v>
      </c>
      <c r="GS40" s="14">
        <v>1786</v>
      </c>
      <c r="GT40" s="14">
        <v>0</v>
      </c>
      <c r="GU40" s="14">
        <v>893</v>
      </c>
      <c r="GV40" s="14">
        <v>0</v>
      </c>
      <c r="GW40" s="15">
        <f t="shared" si="232"/>
        <v>2679</v>
      </c>
      <c r="GX40" s="15">
        <f t="shared" si="233"/>
        <v>4716054.0100000007</v>
      </c>
      <c r="GY40" s="14">
        <v>0</v>
      </c>
      <c r="GZ40" s="14">
        <v>0</v>
      </c>
      <c r="HA40" s="15">
        <f t="shared" si="234"/>
        <v>0</v>
      </c>
      <c r="HB40" s="15">
        <f t="shared" si="235"/>
        <v>0.84551480624370523</v>
      </c>
      <c r="HC40" s="16">
        <f t="shared" si="236"/>
        <v>1.0385910062976569</v>
      </c>
      <c r="HD40" s="15">
        <f t="shared" si="237"/>
        <v>1.0385910062976569</v>
      </c>
      <c r="HE40" s="14">
        <v>19</v>
      </c>
      <c r="HF40" s="14">
        <v>3</v>
      </c>
      <c r="HG40" s="14">
        <v>20</v>
      </c>
      <c r="HH40" s="14">
        <v>11</v>
      </c>
      <c r="HI40" s="14">
        <v>30</v>
      </c>
      <c r="HJ40" s="15">
        <f t="shared" si="238"/>
        <v>33</v>
      </c>
      <c r="HK40" s="16">
        <f t="shared" si="239"/>
        <v>0.57894736842105265</v>
      </c>
      <c r="HL40" s="14">
        <v>12</v>
      </c>
      <c r="HM40" s="14">
        <v>2</v>
      </c>
      <c r="HN40" s="17">
        <f t="shared" si="240"/>
        <v>0.16666666666666666</v>
      </c>
    </row>
    <row r="41" spans="1:222" x14ac:dyDescent="0.3">
      <c r="A41" s="6" t="s">
        <v>255</v>
      </c>
      <c r="B41" s="6" t="s">
        <v>275</v>
      </c>
      <c r="C41" s="7" t="s">
        <v>257</v>
      </c>
      <c r="D41" s="7">
        <v>2025</v>
      </c>
      <c r="E41" s="7">
        <v>6</v>
      </c>
      <c r="F41" s="7" t="s">
        <v>261</v>
      </c>
      <c r="G41" s="7" t="s">
        <v>259</v>
      </c>
      <c r="H41" s="8">
        <v>4209</v>
      </c>
      <c r="I41" s="8">
        <v>10</v>
      </c>
      <c r="J41" s="8">
        <v>0</v>
      </c>
      <c r="K41" s="8">
        <v>8</v>
      </c>
      <c r="L41" s="8">
        <v>0</v>
      </c>
      <c r="M41" s="9">
        <f t="shared" si="122"/>
        <v>18</v>
      </c>
      <c r="N41" s="8">
        <v>3568.5</v>
      </c>
      <c r="O41" s="8">
        <v>200</v>
      </c>
      <c r="P41" s="8">
        <v>38.6</v>
      </c>
      <c r="Q41" s="8">
        <v>40.6</v>
      </c>
      <c r="R41" s="9">
        <f t="shared" si="123"/>
        <v>3847.7</v>
      </c>
      <c r="S41" s="9">
        <f t="shared" si="124"/>
        <v>3865.7</v>
      </c>
      <c r="T41" s="8">
        <v>343.3</v>
      </c>
      <c r="U41" s="10">
        <f t="shared" si="183"/>
        <v>8.1563316702304586E-2</v>
      </c>
      <c r="V41" s="8">
        <v>9</v>
      </c>
      <c r="W41" s="11">
        <f t="shared" si="184"/>
        <v>2.1382751247327157E-3</v>
      </c>
      <c r="X41" s="8">
        <v>0</v>
      </c>
      <c r="Y41" s="11">
        <f t="shared" si="185"/>
        <v>0</v>
      </c>
      <c r="Z41" s="8">
        <v>0</v>
      </c>
      <c r="AA41" s="11">
        <f t="shared" si="186"/>
        <v>0</v>
      </c>
      <c r="AB41" s="8">
        <v>0</v>
      </c>
      <c r="AC41" s="11">
        <f t="shared" si="187"/>
        <v>0</v>
      </c>
      <c r="AD41" s="8">
        <v>0</v>
      </c>
      <c r="AE41" s="11">
        <f t="shared" si="188"/>
        <v>0</v>
      </c>
      <c r="AF41" s="8">
        <v>0</v>
      </c>
      <c r="AG41" s="11">
        <f t="shared" si="189"/>
        <v>0</v>
      </c>
      <c r="AH41" s="8">
        <v>31727.61</v>
      </c>
      <c r="AI41" s="9">
        <f t="shared" si="190"/>
        <v>7.5380399144689951</v>
      </c>
      <c r="AJ41" s="8">
        <v>4511</v>
      </c>
      <c r="AK41" s="11">
        <f t="shared" si="191"/>
        <v>1.0717510097410312</v>
      </c>
      <c r="AL41" s="8">
        <v>773476.70250000001</v>
      </c>
      <c r="AM41" s="9">
        <f t="shared" si="192"/>
        <v>183.76733250178191</v>
      </c>
      <c r="AN41" s="8">
        <v>0</v>
      </c>
      <c r="AO41" s="8">
        <v>0</v>
      </c>
      <c r="AP41" s="8">
        <v>0</v>
      </c>
      <c r="AQ41" s="8">
        <v>0</v>
      </c>
      <c r="AR41" s="8">
        <v>24996337.219999999</v>
      </c>
      <c r="AS41" s="8">
        <v>615462.31999999995</v>
      </c>
      <c r="AT41" s="8">
        <v>0</v>
      </c>
      <c r="AU41" s="9">
        <f t="shared" si="193"/>
        <v>26417003.852499999</v>
      </c>
      <c r="AV41" s="9">
        <f t="shared" si="194"/>
        <v>6276.3135786410076</v>
      </c>
      <c r="AW41" s="9">
        <f t="shared" si="195"/>
        <v>6833.6921780013972</v>
      </c>
      <c r="AX41" s="8">
        <v>6</v>
      </c>
      <c r="AY41" s="9">
        <f t="shared" si="196"/>
        <v>17.106200997861727</v>
      </c>
      <c r="AZ41" s="8">
        <v>5</v>
      </c>
      <c r="BA41" s="8">
        <v>20</v>
      </c>
      <c r="BB41" s="8">
        <v>45</v>
      </c>
      <c r="BC41" s="8">
        <v>0</v>
      </c>
      <c r="BD41" s="8">
        <v>0</v>
      </c>
      <c r="BE41" s="9">
        <f t="shared" si="197"/>
        <v>0</v>
      </c>
      <c r="BF41" s="9">
        <f t="shared" si="198"/>
        <v>65</v>
      </c>
      <c r="BG41" s="8">
        <v>0</v>
      </c>
      <c r="BH41" s="8">
        <v>0</v>
      </c>
      <c r="BI41" s="8">
        <v>0</v>
      </c>
      <c r="BJ41" s="8">
        <v>0</v>
      </c>
      <c r="BK41" s="9">
        <f t="shared" si="199"/>
        <v>0</v>
      </c>
      <c r="BL41" s="9">
        <f t="shared" si="200"/>
        <v>0</v>
      </c>
      <c r="BM41" s="8">
        <v>0</v>
      </c>
      <c r="BN41" s="8">
        <v>0</v>
      </c>
      <c r="BO41" s="8">
        <v>0</v>
      </c>
      <c r="BP41" s="8">
        <v>0</v>
      </c>
      <c r="BQ41" s="9">
        <f t="shared" si="201"/>
        <v>0</v>
      </c>
      <c r="BR41" s="9">
        <f t="shared" si="202"/>
        <v>0</v>
      </c>
      <c r="BS41" s="8">
        <v>0</v>
      </c>
      <c r="BT41" s="8">
        <v>0</v>
      </c>
      <c r="BU41" s="8">
        <v>0</v>
      </c>
      <c r="BV41" s="8">
        <v>0</v>
      </c>
      <c r="BW41" s="9">
        <f t="shared" si="203"/>
        <v>0</v>
      </c>
      <c r="BX41" s="9">
        <f t="shared" si="204"/>
        <v>0</v>
      </c>
      <c r="BY41" s="9">
        <f t="shared" si="205"/>
        <v>20</v>
      </c>
      <c r="BZ41" s="9">
        <f t="shared" si="206"/>
        <v>45</v>
      </c>
      <c r="CA41" s="9">
        <f t="shared" si="207"/>
        <v>0</v>
      </c>
      <c r="CB41" s="9">
        <f t="shared" si="208"/>
        <v>65</v>
      </c>
      <c r="CC41" s="8">
        <v>0</v>
      </c>
      <c r="CD41" s="8">
        <v>1</v>
      </c>
      <c r="CE41" s="8">
        <v>1</v>
      </c>
      <c r="CF41" s="8">
        <v>2</v>
      </c>
      <c r="CG41" s="8">
        <v>0</v>
      </c>
      <c r="CH41" s="9">
        <f t="shared" si="209"/>
        <v>4</v>
      </c>
      <c r="CI41" s="8">
        <v>1</v>
      </c>
      <c r="CJ41" s="8">
        <v>2</v>
      </c>
      <c r="CK41" s="8">
        <v>0</v>
      </c>
      <c r="CL41" s="8">
        <v>0</v>
      </c>
      <c r="CM41" s="9">
        <f t="shared" si="210"/>
        <v>3</v>
      </c>
      <c r="CN41" s="8">
        <v>567</v>
      </c>
      <c r="CO41" s="8">
        <v>20</v>
      </c>
      <c r="CP41" s="8">
        <v>15</v>
      </c>
      <c r="CQ41" s="8">
        <v>3</v>
      </c>
      <c r="CR41" s="9">
        <f t="shared" si="211"/>
        <v>605</v>
      </c>
      <c r="CS41" s="9">
        <f t="shared" si="212"/>
        <v>608</v>
      </c>
      <c r="CT41" s="8">
        <v>612</v>
      </c>
      <c r="CU41" s="8">
        <v>4200</v>
      </c>
      <c r="CV41" s="8">
        <v>2940</v>
      </c>
      <c r="CW41" s="10">
        <f t="shared" si="213"/>
        <v>0.7</v>
      </c>
      <c r="CX41" s="8"/>
      <c r="CY41" s="8"/>
      <c r="CZ41" s="8"/>
      <c r="DA41" s="8"/>
      <c r="DB41" s="9">
        <f t="shared" si="214"/>
        <v>0</v>
      </c>
      <c r="DC41" s="8">
        <v>0</v>
      </c>
      <c r="DD41" s="8">
        <v>0</v>
      </c>
      <c r="DE41" s="8">
        <v>0</v>
      </c>
      <c r="DF41" s="8">
        <v>0</v>
      </c>
      <c r="DG41" s="9">
        <f t="shared" si="215"/>
        <v>0</v>
      </c>
      <c r="DH41" s="8">
        <v>0</v>
      </c>
      <c r="DI41" s="8">
        <v>0</v>
      </c>
      <c r="DJ41" s="8">
        <v>0</v>
      </c>
      <c r="DK41" s="8">
        <v>0</v>
      </c>
      <c r="DL41" s="9">
        <f t="shared" si="216"/>
        <v>0</v>
      </c>
      <c r="DM41" s="8">
        <v>0</v>
      </c>
      <c r="DN41" s="8">
        <v>6</v>
      </c>
      <c r="DO41" s="8">
        <v>5</v>
      </c>
      <c r="DP41" s="8">
        <v>1</v>
      </c>
      <c r="DQ41" s="9">
        <f t="shared" si="217"/>
        <v>0</v>
      </c>
      <c r="DR41" s="9">
        <f t="shared" si="218"/>
        <v>0</v>
      </c>
      <c r="DS41" s="9">
        <f t="shared" si="219"/>
        <v>6</v>
      </c>
      <c r="DT41" s="9">
        <f t="shared" si="220"/>
        <v>5</v>
      </c>
      <c r="DU41" s="9">
        <f t="shared" si="221"/>
        <v>1</v>
      </c>
      <c r="DV41" s="9">
        <f t="shared" si="222"/>
        <v>0</v>
      </c>
      <c r="DW41" s="8">
        <v>77</v>
      </c>
      <c r="DX41" s="8">
        <v>15</v>
      </c>
      <c r="DY41" s="8">
        <v>9</v>
      </c>
      <c r="DZ41" s="8">
        <v>0</v>
      </c>
      <c r="EA41" s="8">
        <v>3</v>
      </c>
      <c r="EB41" s="8">
        <v>0</v>
      </c>
      <c r="EC41" s="8">
        <v>0</v>
      </c>
      <c r="ED41" s="8">
        <v>1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9">
        <f t="shared" si="223"/>
        <v>105</v>
      </c>
      <c r="FH41" s="8">
        <v>0</v>
      </c>
      <c r="FI41" s="8">
        <v>0</v>
      </c>
      <c r="FJ41" s="8">
        <v>720</v>
      </c>
      <c r="FK41" s="8">
        <v>148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9">
        <f t="shared" si="224"/>
        <v>0</v>
      </c>
      <c r="FR41" s="8">
        <v>0</v>
      </c>
      <c r="FS41" s="8">
        <v>0</v>
      </c>
      <c r="FT41" s="8">
        <v>0</v>
      </c>
      <c r="FU41" s="8">
        <v>0</v>
      </c>
      <c r="FV41" s="9">
        <f t="shared" si="225"/>
        <v>0</v>
      </c>
      <c r="FW41" s="8">
        <v>4669512.16</v>
      </c>
      <c r="FX41" s="8">
        <v>42500</v>
      </c>
      <c r="FY41" s="8">
        <v>191200</v>
      </c>
      <c r="FZ41" s="8">
        <v>118415</v>
      </c>
      <c r="GA41" s="9">
        <f t="shared" si="226"/>
        <v>5021627.16</v>
      </c>
      <c r="GB41" s="9">
        <f t="shared" si="227"/>
        <v>5021627.16</v>
      </c>
      <c r="GC41" s="8">
        <v>11079.02</v>
      </c>
      <c r="GD41" s="8">
        <v>0</v>
      </c>
      <c r="GE41" s="8">
        <v>19059.63</v>
      </c>
      <c r="GF41" s="8">
        <v>0</v>
      </c>
      <c r="GG41" s="9">
        <f t="shared" si="228"/>
        <v>30138.65</v>
      </c>
      <c r="GH41" s="8">
        <v>4521318.3699999955</v>
      </c>
      <c r="GI41" s="8">
        <v>42500</v>
      </c>
      <c r="GJ41" s="8">
        <v>117215</v>
      </c>
      <c r="GK41" s="8">
        <v>191200</v>
      </c>
      <c r="GL41" s="9">
        <f t="shared" si="229"/>
        <v>4872233.3699999955</v>
      </c>
      <c r="GM41" s="9">
        <f t="shared" si="230"/>
        <v>4902372.0199999958</v>
      </c>
      <c r="GN41" s="8">
        <v>1089.8599999999999</v>
      </c>
      <c r="GO41" s="8">
        <v>0</v>
      </c>
      <c r="GP41" s="8">
        <v>3393.64</v>
      </c>
      <c r="GQ41" s="8">
        <v>0</v>
      </c>
      <c r="GR41" s="9">
        <f t="shared" si="231"/>
        <v>4483.5</v>
      </c>
      <c r="GS41" s="8">
        <v>1786</v>
      </c>
      <c r="GT41" s="8">
        <v>0</v>
      </c>
      <c r="GU41" s="8">
        <v>893</v>
      </c>
      <c r="GV41" s="8">
        <v>0</v>
      </c>
      <c r="GW41" s="9">
        <f t="shared" si="232"/>
        <v>2679</v>
      </c>
      <c r="GX41" s="9">
        <f t="shared" si="233"/>
        <v>4909534.5199999958</v>
      </c>
      <c r="GY41" s="8">
        <v>593245.55000000005</v>
      </c>
      <c r="GZ41" s="8">
        <v>0</v>
      </c>
      <c r="HA41" s="9">
        <f t="shared" si="234"/>
        <v>593245.55000000005</v>
      </c>
      <c r="HB41" s="9">
        <f t="shared" si="235"/>
        <v>5.3807552925608153</v>
      </c>
      <c r="HC41" s="10">
        <f t="shared" si="236"/>
        <v>0.91256184985056188</v>
      </c>
      <c r="HD41" s="9">
        <f t="shared" si="237"/>
        <v>1.0228316227421097</v>
      </c>
      <c r="HE41" s="8">
        <v>61</v>
      </c>
      <c r="HF41" s="8">
        <v>3</v>
      </c>
      <c r="HG41" s="8">
        <v>65</v>
      </c>
      <c r="HH41" s="8">
        <v>45</v>
      </c>
      <c r="HI41" s="8">
        <v>0</v>
      </c>
      <c r="HJ41" s="9">
        <f t="shared" si="238"/>
        <v>3</v>
      </c>
      <c r="HK41" s="10">
        <f t="shared" si="239"/>
        <v>0.73770491803278693</v>
      </c>
      <c r="HL41" s="8">
        <v>28</v>
      </c>
      <c r="HM41" s="8">
        <v>5</v>
      </c>
      <c r="HN41" s="11">
        <f t="shared" si="240"/>
        <v>0.17857142857142858</v>
      </c>
    </row>
    <row r="42" spans="1:222" x14ac:dyDescent="0.3">
      <c r="A42" s="12" t="s">
        <v>255</v>
      </c>
      <c r="B42" s="12" t="s">
        <v>275</v>
      </c>
      <c r="C42" s="13" t="s">
        <v>257</v>
      </c>
      <c r="D42" s="13">
        <v>2025</v>
      </c>
      <c r="E42" s="13">
        <v>7</v>
      </c>
      <c r="F42" s="13" t="s">
        <v>262</v>
      </c>
      <c r="G42" s="13" t="s">
        <v>263</v>
      </c>
      <c r="H42" s="14">
        <v>3827</v>
      </c>
      <c r="I42" s="14">
        <v>15</v>
      </c>
      <c r="J42" s="14">
        <v>0</v>
      </c>
      <c r="K42" s="14">
        <v>3</v>
      </c>
      <c r="L42" s="14">
        <v>0</v>
      </c>
      <c r="M42" s="15">
        <f t="shared" si="122"/>
        <v>18</v>
      </c>
      <c r="N42" s="14">
        <v>3235.4</v>
      </c>
      <c r="O42" s="14">
        <v>80.5</v>
      </c>
      <c r="P42" s="14">
        <v>44.2</v>
      </c>
      <c r="Q42" s="14">
        <v>50.4</v>
      </c>
      <c r="R42" s="15">
        <f t="shared" si="123"/>
        <v>3410.5</v>
      </c>
      <c r="S42" s="15">
        <f t="shared" si="124"/>
        <v>3428.5</v>
      </c>
      <c r="T42" s="14">
        <v>398.5</v>
      </c>
      <c r="U42" s="16">
        <f t="shared" si="183"/>
        <v>0.10412856022994513</v>
      </c>
      <c r="V42" s="14">
        <v>9</v>
      </c>
      <c r="W42" s="17">
        <f t="shared" si="184"/>
        <v>2.3517115233864646E-3</v>
      </c>
      <c r="X42" s="14">
        <v>0</v>
      </c>
      <c r="Y42" s="17">
        <f t="shared" si="185"/>
        <v>0</v>
      </c>
      <c r="Z42" s="14">
        <v>0</v>
      </c>
      <c r="AA42" s="17">
        <f t="shared" si="186"/>
        <v>0</v>
      </c>
      <c r="AB42" s="14">
        <v>0</v>
      </c>
      <c r="AC42" s="17">
        <f t="shared" si="187"/>
        <v>0</v>
      </c>
      <c r="AD42" s="14">
        <v>0</v>
      </c>
      <c r="AE42" s="17">
        <f t="shared" si="188"/>
        <v>0</v>
      </c>
      <c r="AF42" s="14">
        <v>0</v>
      </c>
      <c r="AG42" s="17">
        <f t="shared" si="189"/>
        <v>0</v>
      </c>
      <c r="AH42" s="14">
        <v>31727.61</v>
      </c>
      <c r="AI42" s="15">
        <f t="shared" si="190"/>
        <v>8.2904651162790692</v>
      </c>
      <c r="AJ42" s="14">
        <v>4400</v>
      </c>
      <c r="AK42" s="17">
        <f t="shared" si="191"/>
        <v>1.149725633655605</v>
      </c>
      <c r="AL42" s="14">
        <v>754920</v>
      </c>
      <c r="AM42" s="15">
        <f t="shared" si="192"/>
        <v>197.26156258165665</v>
      </c>
      <c r="AN42" s="14">
        <v>0</v>
      </c>
      <c r="AO42" s="14">
        <v>0</v>
      </c>
      <c r="AP42" s="14">
        <v>0</v>
      </c>
      <c r="AQ42" s="14">
        <v>0</v>
      </c>
      <c r="AR42" s="14">
        <v>2496337.2200000002</v>
      </c>
      <c r="AS42" s="14">
        <v>630000.80000000005</v>
      </c>
      <c r="AT42" s="14">
        <v>0</v>
      </c>
      <c r="AU42" s="15">
        <f t="shared" si="193"/>
        <v>3912985.63</v>
      </c>
      <c r="AV42" s="15">
        <f t="shared" si="194"/>
        <v>1022.4681552129605</v>
      </c>
      <c r="AW42" s="15">
        <f t="shared" si="195"/>
        <v>1141.3112527344319</v>
      </c>
      <c r="AX42" s="14">
        <v>6</v>
      </c>
      <c r="AY42" s="15">
        <f t="shared" si="196"/>
        <v>18.813692187091714</v>
      </c>
      <c r="AZ42" s="14">
        <v>5</v>
      </c>
      <c r="BA42" s="14">
        <v>45</v>
      </c>
      <c r="BB42" s="14">
        <v>22</v>
      </c>
      <c r="BC42" s="14">
        <v>0</v>
      </c>
      <c r="BD42" s="14">
        <v>25</v>
      </c>
      <c r="BE42" s="15">
        <f t="shared" si="197"/>
        <v>25</v>
      </c>
      <c r="BF42" s="15">
        <f t="shared" si="198"/>
        <v>42</v>
      </c>
      <c r="BG42" s="14">
        <v>3</v>
      </c>
      <c r="BH42" s="14">
        <v>0</v>
      </c>
      <c r="BI42" s="14">
        <v>0</v>
      </c>
      <c r="BJ42" s="14">
        <v>0</v>
      </c>
      <c r="BK42" s="15">
        <f t="shared" si="199"/>
        <v>0</v>
      </c>
      <c r="BL42" s="15">
        <f t="shared" si="200"/>
        <v>3</v>
      </c>
      <c r="BM42" s="14">
        <v>0</v>
      </c>
      <c r="BN42" s="14">
        <v>1</v>
      </c>
      <c r="BO42" s="14">
        <v>0</v>
      </c>
      <c r="BP42" s="14">
        <v>1</v>
      </c>
      <c r="BQ42" s="15">
        <f t="shared" si="201"/>
        <v>1</v>
      </c>
      <c r="BR42" s="15">
        <f t="shared" si="202"/>
        <v>0</v>
      </c>
      <c r="BS42" s="14">
        <v>0</v>
      </c>
      <c r="BT42" s="14">
        <v>0</v>
      </c>
      <c r="BU42" s="14">
        <v>0</v>
      </c>
      <c r="BV42" s="14">
        <v>0</v>
      </c>
      <c r="BW42" s="15">
        <f t="shared" si="203"/>
        <v>0</v>
      </c>
      <c r="BX42" s="15">
        <f t="shared" si="204"/>
        <v>0</v>
      </c>
      <c r="BY42" s="15">
        <f t="shared" si="205"/>
        <v>48</v>
      </c>
      <c r="BZ42" s="15">
        <f t="shared" si="206"/>
        <v>23</v>
      </c>
      <c r="CA42" s="15">
        <f t="shared" si="207"/>
        <v>26</v>
      </c>
      <c r="CB42" s="15">
        <f t="shared" si="208"/>
        <v>45</v>
      </c>
      <c r="CC42" s="14">
        <v>28</v>
      </c>
      <c r="CD42" s="14">
        <v>1</v>
      </c>
      <c r="CE42" s="14">
        <v>1</v>
      </c>
      <c r="CF42" s="14">
        <v>2</v>
      </c>
      <c r="CG42" s="14">
        <v>0</v>
      </c>
      <c r="CH42" s="15">
        <f t="shared" si="209"/>
        <v>4</v>
      </c>
      <c r="CI42" s="14">
        <v>1</v>
      </c>
      <c r="CJ42" s="14">
        <v>2</v>
      </c>
      <c r="CK42" s="14">
        <v>0</v>
      </c>
      <c r="CL42" s="14">
        <v>0</v>
      </c>
      <c r="CM42" s="15">
        <f t="shared" si="210"/>
        <v>3</v>
      </c>
      <c r="CN42" s="14">
        <v>592</v>
      </c>
      <c r="CO42" s="14">
        <v>20</v>
      </c>
      <c r="CP42" s="14">
        <v>16</v>
      </c>
      <c r="CQ42" s="14">
        <v>3</v>
      </c>
      <c r="CR42" s="15">
        <f t="shared" si="211"/>
        <v>631</v>
      </c>
      <c r="CS42" s="15">
        <f t="shared" si="212"/>
        <v>634</v>
      </c>
      <c r="CT42" s="14">
        <v>638</v>
      </c>
      <c r="CU42" s="14">
        <v>4220</v>
      </c>
      <c r="CV42" s="14">
        <v>2940</v>
      </c>
      <c r="CW42" s="16">
        <f t="shared" si="213"/>
        <v>0.69668246445497628</v>
      </c>
      <c r="CX42" s="14"/>
      <c r="CY42" s="14"/>
      <c r="CZ42" s="14"/>
      <c r="DA42" s="14"/>
      <c r="DB42" s="15">
        <f t="shared" si="214"/>
        <v>0</v>
      </c>
      <c r="DC42" s="14">
        <v>0</v>
      </c>
      <c r="DD42" s="14">
        <v>0</v>
      </c>
      <c r="DE42" s="14">
        <v>0</v>
      </c>
      <c r="DF42" s="14">
        <v>0</v>
      </c>
      <c r="DG42" s="15">
        <f t="shared" si="215"/>
        <v>0</v>
      </c>
      <c r="DH42" s="14">
        <v>0</v>
      </c>
      <c r="DI42" s="14">
        <v>0</v>
      </c>
      <c r="DJ42" s="14">
        <v>0</v>
      </c>
      <c r="DK42" s="14">
        <v>0</v>
      </c>
      <c r="DL42" s="15">
        <f t="shared" si="216"/>
        <v>0</v>
      </c>
      <c r="DM42" s="14">
        <v>0</v>
      </c>
      <c r="DN42" s="14">
        <v>4</v>
      </c>
      <c r="DO42" s="14">
        <v>1</v>
      </c>
      <c r="DP42" s="14">
        <v>3</v>
      </c>
      <c r="DQ42" s="15">
        <f t="shared" si="217"/>
        <v>0</v>
      </c>
      <c r="DR42" s="15">
        <f t="shared" si="218"/>
        <v>0</v>
      </c>
      <c r="DS42" s="15">
        <f t="shared" si="219"/>
        <v>4</v>
      </c>
      <c r="DT42" s="15">
        <f t="shared" si="220"/>
        <v>1</v>
      </c>
      <c r="DU42" s="15">
        <f t="shared" si="221"/>
        <v>3</v>
      </c>
      <c r="DV42" s="15">
        <f t="shared" si="222"/>
        <v>0</v>
      </c>
      <c r="DW42" s="14">
        <v>58</v>
      </c>
      <c r="DX42" s="14">
        <v>5</v>
      </c>
      <c r="DY42" s="14">
        <v>3</v>
      </c>
      <c r="DZ42" s="14">
        <v>0</v>
      </c>
      <c r="EA42" s="14">
        <v>0</v>
      </c>
      <c r="EB42" s="14">
        <v>0</v>
      </c>
      <c r="EC42" s="14">
        <v>0</v>
      </c>
      <c r="ED42" s="14">
        <v>1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5">
        <f t="shared" si="223"/>
        <v>67</v>
      </c>
      <c r="FH42" s="14">
        <v>0</v>
      </c>
      <c r="FI42" s="14">
        <v>0</v>
      </c>
      <c r="FJ42" s="14">
        <v>720</v>
      </c>
      <c r="FK42" s="14">
        <v>158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5">
        <f t="shared" si="224"/>
        <v>0</v>
      </c>
      <c r="FR42" s="14">
        <v>0</v>
      </c>
      <c r="FS42" s="14">
        <v>0</v>
      </c>
      <c r="FT42" s="14">
        <v>0</v>
      </c>
      <c r="FU42" s="14">
        <v>0</v>
      </c>
      <c r="FV42" s="15">
        <f t="shared" si="225"/>
        <v>0</v>
      </c>
      <c r="FW42" s="14">
        <v>4182405.16</v>
      </c>
      <c r="FX42" s="14">
        <v>17100</v>
      </c>
      <c r="FY42" s="14">
        <v>237024.64000000001</v>
      </c>
      <c r="FZ42" s="14">
        <v>133400</v>
      </c>
      <c r="GA42" s="15">
        <f t="shared" si="226"/>
        <v>4569929.8</v>
      </c>
      <c r="GB42" s="15">
        <f t="shared" si="227"/>
        <v>4569929.8</v>
      </c>
      <c r="GC42" s="14">
        <v>12873.6</v>
      </c>
      <c r="GD42" s="14">
        <v>0</v>
      </c>
      <c r="GE42" s="14">
        <v>8410.99</v>
      </c>
      <c r="GF42" s="14">
        <v>0</v>
      </c>
      <c r="GG42" s="15">
        <f t="shared" si="228"/>
        <v>21284.59</v>
      </c>
      <c r="GH42" s="14">
        <v>4083798.870000002</v>
      </c>
      <c r="GI42" s="14">
        <v>17100</v>
      </c>
      <c r="GJ42" s="14">
        <v>133400</v>
      </c>
      <c r="GK42" s="14">
        <v>237024.64000000001</v>
      </c>
      <c r="GL42" s="15">
        <f t="shared" si="229"/>
        <v>4471323.5100000016</v>
      </c>
      <c r="GM42" s="15">
        <f t="shared" si="230"/>
        <v>4492608.1000000015</v>
      </c>
      <c r="GN42" s="14">
        <v>1089.8599999999999</v>
      </c>
      <c r="GO42" s="14">
        <v>0</v>
      </c>
      <c r="GP42" s="14">
        <v>3393.64</v>
      </c>
      <c r="GQ42" s="14">
        <v>0</v>
      </c>
      <c r="GR42" s="15">
        <f t="shared" si="231"/>
        <v>4483.5</v>
      </c>
      <c r="GS42" s="14">
        <v>1786</v>
      </c>
      <c r="GT42" s="14">
        <v>0</v>
      </c>
      <c r="GU42" s="14">
        <v>893</v>
      </c>
      <c r="GV42" s="14">
        <v>0</v>
      </c>
      <c r="GW42" s="15">
        <f t="shared" si="232"/>
        <v>2679</v>
      </c>
      <c r="GX42" s="15">
        <f t="shared" si="233"/>
        <v>4499770.6000000015</v>
      </c>
      <c r="GY42" s="14">
        <v>621692.64</v>
      </c>
      <c r="GZ42" s="14">
        <v>0</v>
      </c>
      <c r="HA42" s="15">
        <f t="shared" si="234"/>
        <v>621692.64</v>
      </c>
      <c r="HB42" s="15">
        <f t="shared" si="235"/>
        <v>0.8695966923291597</v>
      </c>
      <c r="HC42" s="16">
        <f t="shared" si="236"/>
        <v>0.89230940179510077</v>
      </c>
      <c r="HD42" s="15">
        <f t="shared" si="237"/>
        <v>1.0155917281649864</v>
      </c>
      <c r="HE42" s="14">
        <v>30</v>
      </c>
      <c r="HF42" s="14">
        <v>3</v>
      </c>
      <c r="HG42" s="14">
        <v>45</v>
      </c>
      <c r="HH42" s="14">
        <v>23</v>
      </c>
      <c r="HI42" s="14">
        <v>30</v>
      </c>
      <c r="HJ42" s="15">
        <f t="shared" si="238"/>
        <v>33</v>
      </c>
      <c r="HK42" s="16">
        <f t="shared" si="239"/>
        <v>0.76666666666666672</v>
      </c>
      <c r="HL42" s="14">
        <v>22</v>
      </c>
      <c r="HM42" s="14">
        <v>5</v>
      </c>
      <c r="HN42" s="17">
        <f t="shared" si="240"/>
        <v>0.22727272727272727</v>
      </c>
    </row>
    <row r="43" spans="1:222" x14ac:dyDescent="0.3">
      <c r="A43" s="6" t="s">
        <v>255</v>
      </c>
      <c r="B43" s="6" t="s">
        <v>275</v>
      </c>
      <c r="C43" s="7" t="s">
        <v>257</v>
      </c>
      <c r="D43" s="7">
        <v>2025</v>
      </c>
      <c r="E43" s="7">
        <v>8</v>
      </c>
      <c r="F43" s="7" t="s">
        <v>264</v>
      </c>
      <c r="G43" s="7" t="s">
        <v>263</v>
      </c>
      <c r="H43" s="8">
        <v>3820</v>
      </c>
      <c r="I43" s="8">
        <v>17</v>
      </c>
      <c r="J43" s="8">
        <v>0</v>
      </c>
      <c r="K43" s="8">
        <v>3</v>
      </c>
      <c r="L43" s="8">
        <v>0</v>
      </c>
      <c r="M43" s="9">
        <f t="shared" si="122"/>
        <v>20</v>
      </c>
      <c r="N43" s="8">
        <v>3300.9</v>
      </c>
      <c r="O43" s="8">
        <v>92.7</v>
      </c>
      <c r="P43" s="8">
        <v>35.6</v>
      </c>
      <c r="Q43" s="8">
        <v>32.5</v>
      </c>
      <c r="R43" s="9">
        <f t="shared" si="123"/>
        <v>3461.7</v>
      </c>
      <c r="S43" s="9">
        <f t="shared" si="124"/>
        <v>3481.7</v>
      </c>
      <c r="T43" s="8">
        <v>338.3</v>
      </c>
      <c r="U43" s="10">
        <f t="shared" si="183"/>
        <v>8.8560209424083769E-2</v>
      </c>
      <c r="V43" s="8">
        <v>9</v>
      </c>
      <c r="W43" s="11">
        <f t="shared" si="184"/>
        <v>2.3560209424083769E-3</v>
      </c>
      <c r="X43" s="8">
        <v>0</v>
      </c>
      <c r="Y43" s="11">
        <f t="shared" si="185"/>
        <v>0</v>
      </c>
      <c r="Z43" s="8">
        <v>0</v>
      </c>
      <c r="AA43" s="11">
        <f t="shared" si="186"/>
        <v>0</v>
      </c>
      <c r="AB43" s="8">
        <v>0</v>
      </c>
      <c r="AC43" s="11">
        <f t="shared" si="187"/>
        <v>0</v>
      </c>
      <c r="AD43" s="8">
        <v>0</v>
      </c>
      <c r="AE43" s="11">
        <f t="shared" si="188"/>
        <v>0</v>
      </c>
      <c r="AF43" s="8">
        <v>0</v>
      </c>
      <c r="AG43" s="11">
        <f t="shared" si="189"/>
        <v>0</v>
      </c>
      <c r="AH43" s="8">
        <v>31727.61</v>
      </c>
      <c r="AI43" s="9">
        <f t="shared" si="190"/>
        <v>8.3056570680628266</v>
      </c>
      <c r="AJ43" s="8">
        <v>3912</v>
      </c>
      <c r="AK43" s="11">
        <f t="shared" si="191"/>
        <v>1.0240837696335079</v>
      </c>
      <c r="AL43" s="8">
        <v>673337.38</v>
      </c>
      <c r="AM43" s="9">
        <f t="shared" si="192"/>
        <v>176.26632984293195</v>
      </c>
      <c r="AN43" s="8">
        <v>0</v>
      </c>
      <c r="AO43" s="8">
        <v>0</v>
      </c>
      <c r="AP43" s="8">
        <v>0</v>
      </c>
      <c r="AQ43" s="8">
        <v>0</v>
      </c>
      <c r="AR43" s="8">
        <v>2552411.7200000002</v>
      </c>
      <c r="AS43" s="8">
        <v>625154.64</v>
      </c>
      <c r="AT43" s="8">
        <v>0</v>
      </c>
      <c r="AU43" s="9">
        <f t="shared" si="193"/>
        <v>3882631.35</v>
      </c>
      <c r="AV43" s="9">
        <f t="shared" si="194"/>
        <v>1016.3956413612566</v>
      </c>
      <c r="AW43" s="9">
        <f t="shared" si="195"/>
        <v>1115.1539047017263</v>
      </c>
      <c r="AX43" s="8">
        <v>6</v>
      </c>
      <c r="AY43" s="9">
        <f t="shared" si="196"/>
        <v>18.848167539267017</v>
      </c>
      <c r="AZ43" s="8">
        <v>5</v>
      </c>
      <c r="BA43" s="8">
        <v>42</v>
      </c>
      <c r="BB43" s="8">
        <v>18</v>
      </c>
      <c r="BC43" s="8">
        <v>0</v>
      </c>
      <c r="BD43" s="8">
        <v>30</v>
      </c>
      <c r="BE43" s="9">
        <f t="shared" si="197"/>
        <v>30</v>
      </c>
      <c r="BF43" s="9">
        <f t="shared" si="198"/>
        <v>30</v>
      </c>
      <c r="BG43" s="8">
        <v>3</v>
      </c>
      <c r="BH43" s="8">
        <v>0</v>
      </c>
      <c r="BI43" s="8">
        <v>0</v>
      </c>
      <c r="BJ43" s="8">
        <v>0</v>
      </c>
      <c r="BK43" s="9">
        <f t="shared" si="199"/>
        <v>0</v>
      </c>
      <c r="BL43" s="9">
        <f t="shared" si="200"/>
        <v>3</v>
      </c>
      <c r="BM43" s="8">
        <v>0</v>
      </c>
      <c r="BN43" s="8">
        <v>0</v>
      </c>
      <c r="BO43" s="8">
        <v>0</v>
      </c>
      <c r="BP43" s="8">
        <v>0</v>
      </c>
      <c r="BQ43" s="9">
        <f t="shared" si="201"/>
        <v>0</v>
      </c>
      <c r="BR43" s="9">
        <f t="shared" si="202"/>
        <v>0</v>
      </c>
      <c r="BS43" s="8">
        <v>0</v>
      </c>
      <c r="BT43" s="8">
        <v>0</v>
      </c>
      <c r="BU43" s="8">
        <v>0</v>
      </c>
      <c r="BV43" s="8">
        <v>0</v>
      </c>
      <c r="BW43" s="9">
        <f t="shared" si="203"/>
        <v>0</v>
      </c>
      <c r="BX43" s="9">
        <f t="shared" si="204"/>
        <v>0</v>
      </c>
      <c r="BY43" s="9">
        <f t="shared" si="205"/>
        <v>45</v>
      </c>
      <c r="BZ43" s="9">
        <f t="shared" si="206"/>
        <v>18</v>
      </c>
      <c r="CA43" s="9">
        <f t="shared" si="207"/>
        <v>30</v>
      </c>
      <c r="CB43" s="9">
        <f t="shared" si="208"/>
        <v>33</v>
      </c>
      <c r="CC43" s="8">
        <v>30</v>
      </c>
      <c r="CD43" s="8">
        <v>0</v>
      </c>
      <c r="CE43" s="8">
        <v>0</v>
      </c>
      <c r="CF43" s="8">
        <v>2</v>
      </c>
      <c r="CG43" s="8">
        <v>0</v>
      </c>
      <c r="CH43" s="9">
        <f t="shared" si="209"/>
        <v>2</v>
      </c>
      <c r="CI43" s="8">
        <v>1</v>
      </c>
      <c r="CJ43" s="8">
        <v>2</v>
      </c>
      <c r="CK43" s="8">
        <v>0</v>
      </c>
      <c r="CL43" s="8">
        <v>0</v>
      </c>
      <c r="CM43" s="9">
        <f t="shared" si="210"/>
        <v>3</v>
      </c>
      <c r="CN43" s="8">
        <v>623</v>
      </c>
      <c r="CO43" s="8">
        <v>21</v>
      </c>
      <c r="CP43" s="8">
        <v>17</v>
      </c>
      <c r="CQ43" s="8">
        <v>3</v>
      </c>
      <c r="CR43" s="9">
        <f t="shared" si="211"/>
        <v>664</v>
      </c>
      <c r="CS43" s="9">
        <f t="shared" si="212"/>
        <v>667</v>
      </c>
      <c r="CT43" s="8">
        <v>669</v>
      </c>
      <c r="CU43" s="8">
        <v>4220</v>
      </c>
      <c r="CV43" s="8">
        <v>2955</v>
      </c>
      <c r="CW43" s="10">
        <f t="shared" si="213"/>
        <v>0.70023696682464454</v>
      </c>
      <c r="CX43" s="8"/>
      <c r="CY43" s="8"/>
      <c r="CZ43" s="8"/>
      <c r="DA43" s="8"/>
      <c r="DB43" s="9">
        <f t="shared" si="214"/>
        <v>0</v>
      </c>
      <c r="DC43" s="8">
        <v>0</v>
      </c>
      <c r="DD43" s="8">
        <v>1</v>
      </c>
      <c r="DE43" s="8">
        <v>0</v>
      </c>
      <c r="DF43" s="8">
        <v>1</v>
      </c>
      <c r="DG43" s="9">
        <f t="shared" si="215"/>
        <v>0</v>
      </c>
      <c r="DH43" s="8">
        <v>0</v>
      </c>
      <c r="DI43" s="8">
        <v>0</v>
      </c>
      <c r="DJ43" s="8">
        <v>0</v>
      </c>
      <c r="DK43" s="8">
        <v>0</v>
      </c>
      <c r="DL43" s="9">
        <f t="shared" si="216"/>
        <v>0</v>
      </c>
      <c r="DM43" s="8">
        <v>0</v>
      </c>
      <c r="DN43" s="8">
        <v>4</v>
      </c>
      <c r="DO43" s="8">
        <v>2</v>
      </c>
      <c r="DP43" s="8">
        <v>2</v>
      </c>
      <c r="DQ43" s="9">
        <f t="shared" si="217"/>
        <v>0</v>
      </c>
      <c r="DR43" s="9">
        <f t="shared" si="218"/>
        <v>0</v>
      </c>
      <c r="DS43" s="9">
        <f t="shared" si="219"/>
        <v>5</v>
      </c>
      <c r="DT43" s="9">
        <f t="shared" si="220"/>
        <v>2</v>
      </c>
      <c r="DU43" s="9">
        <f t="shared" si="221"/>
        <v>3</v>
      </c>
      <c r="DV43" s="9">
        <f t="shared" si="222"/>
        <v>0</v>
      </c>
      <c r="DW43" s="8">
        <v>35</v>
      </c>
      <c r="DX43" s="8">
        <v>4</v>
      </c>
      <c r="DY43" s="8">
        <v>6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9">
        <f t="shared" si="223"/>
        <v>45</v>
      </c>
      <c r="FH43" s="8">
        <v>0</v>
      </c>
      <c r="FI43" s="8">
        <v>0</v>
      </c>
      <c r="FJ43" s="8">
        <v>288</v>
      </c>
      <c r="FK43" s="8">
        <v>149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9">
        <f t="shared" si="224"/>
        <v>0</v>
      </c>
      <c r="FR43" s="8">
        <v>0</v>
      </c>
      <c r="FS43" s="8">
        <v>0</v>
      </c>
      <c r="FT43" s="8">
        <v>0</v>
      </c>
      <c r="FU43" s="8">
        <v>0</v>
      </c>
      <c r="FV43" s="9">
        <f t="shared" si="225"/>
        <v>0</v>
      </c>
      <c r="FW43" s="8">
        <v>4225893.76</v>
      </c>
      <c r="FX43" s="8">
        <v>19700</v>
      </c>
      <c r="FY43" s="8">
        <v>155318.43</v>
      </c>
      <c r="FZ43" s="8">
        <v>115900</v>
      </c>
      <c r="GA43" s="9">
        <f t="shared" si="226"/>
        <v>4516812.1899999995</v>
      </c>
      <c r="GB43" s="9">
        <f t="shared" si="227"/>
        <v>4516812.1899999995</v>
      </c>
      <c r="GC43" s="8">
        <v>15618.24</v>
      </c>
      <c r="GD43" s="8">
        <v>0</v>
      </c>
      <c r="GE43" s="8">
        <v>8410.99</v>
      </c>
      <c r="GF43" s="8">
        <v>0</v>
      </c>
      <c r="GG43" s="9">
        <f t="shared" si="228"/>
        <v>24029.23</v>
      </c>
      <c r="GH43" s="8">
        <v>4141173.760000004</v>
      </c>
      <c r="GI43" s="8">
        <v>19700</v>
      </c>
      <c r="GJ43" s="8">
        <v>108100</v>
      </c>
      <c r="GK43" s="8">
        <v>155318.43</v>
      </c>
      <c r="GL43" s="9">
        <f t="shared" si="229"/>
        <v>4424292.1900000032</v>
      </c>
      <c r="GM43" s="9">
        <f t="shared" si="230"/>
        <v>4448321.4200000037</v>
      </c>
      <c r="GN43" s="8">
        <v>1089.8599999999999</v>
      </c>
      <c r="GO43" s="8">
        <v>0</v>
      </c>
      <c r="GP43" s="8">
        <v>3393.64</v>
      </c>
      <c r="GQ43" s="8">
        <v>0</v>
      </c>
      <c r="GR43" s="9">
        <f t="shared" si="231"/>
        <v>4483.5</v>
      </c>
      <c r="GS43" s="8">
        <v>1786</v>
      </c>
      <c r="GT43" s="8">
        <v>0</v>
      </c>
      <c r="GU43" s="8">
        <v>893</v>
      </c>
      <c r="GV43" s="8">
        <v>0</v>
      </c>
      <c r="GW43" s="9">
        <f t="shared" si="232"/>
        <v>2679</v>
      </c>
      <c r="GX43" s="9">
        <f t="shared" si="233"/>
        <v>4455483.9200000037</v>
      </c>
      <c r="GY43" s="8">
        <v>408488.65</v>
      </c>
      <c r="GZ43" s="8">
        <v>244395.72</v>
      </c>
      <c r="HA43" s="9">
        <f t="shared" si="234"/>
        <v>652884.37</v>
      </c>
      <c r="HB43" s="9">
        <f t="shared" si="235"/>
        <v>0.87142753059245626</v>
      </c>
      <c r="HC43" s="10">
        <f t="shared" si="236"/>
        <v>0.92862616410684151</v>
      </c>
      <c r="HD43" s="9">
        <f t="shared" si="237"/>
        <v>1.0137646709316361</v>
      </c>
      <c r="HE43" s="8">
        <v>28</v>
      </c>
      <c r="HF43" s="8">
        <v>1</v>
      </c>
      <c r="HG43" s="8">
        <v>33</v>
      </c>
      <c r="HH43" s="8">
        <v>18</v>
      </c>
      <c r="HI43" s="8">
        <v>14</v>
      </c>
      <c r="HJ43" s="9">
        <f t="shared" si="238"/>
        <v>15</v>
      </c>
      <c r="HK43" s="10">
        <f t="shared" si="239"/>
        <v>0.6428571428571429</v>
      </c>
      <c r="HL43" s="8">
        <v>10</v>
      </c>
      <c r="HM43" s="8">
        <v>2</v>
      </c>
      <c r="HN43" s="11">
        <f t="shared" si="240"/>
        <v>0.2</v>
      </c>
    </row>
    <row r="44" spans="1:222" x14ac:dyDescent="0.3">
      <c r="A44" s="12" t="s">
        <v>255</v>
      </c>
      <c r="B44" s="12" t="s">
        <v>275</v>
      </c>
      <c r="C44" s="13" t="s">
        <v>257</v>
      </c>
      <c r="D44" s="13">
        <v>2025</v>
      </c>
      <c r="E44" s="13">
        <v>9</v>
      </c>
      <c r="F44" s="13" t="s">
        <v>265</v>
      </c>
      <c r="G44" s="13" t="s">
        <v>263</v>
      </c>
      <c r="H44" s="14">
        <v>3400</v>
      </c>
      <c r="I44" s="14">
        <v>13</v>
      </c>
      <c r="J44" s="14">
        <v>0</v>
      </c>
      <c r="K44" s="14">
        <v>2</v>
      </c>
      <c r="L44" s="14">
        <v>0</v>
      </c>
      <c r="M44" s="15">
        <f t="shared" si="122"/>
        <v>15</v>
      </c>
      <c r="N44" s="14">
        <v>3078.2</v>
      </c>
      <c r="O44" s="14">
        <v>54.1</v>
      </c>
      <c r="P44" s="14">
        <v>86.4</v>
      </c>
      <c r="Q44" s="14">
        <v>61.2</v>
      </c>
      <c r="R44" s="15">
        <f t="shared" si="123"/>
        <v>3279.8999999999996</v>
      </c>
      <c r="S44" s="15">
        <f t="shared" si="124"/>
        <v>3294.8999999999996</v>
      </c>
      <c r="T44" s="14">
        <v>105.1</v>
      </c>
      <c r="U44" s="16">
        <f t="shared" si="183"/>
        <v>3.091176470588235E-2</v>
      </c>
      <c r="V44" s="14">
        <v>9</v>
      </c>
      <c r="W44" s="17">
        <f t="shared" si="184"/>
        <v>2.6470588235294116E-3</v>
      </c>
      <c r="X44" s="14">
        <v>0</v>
      </c>
      <c r="Y44" s="17">
        <f t="shared" si="185"/>
        <v>0</v>
      </c>
      <c r="Z44" s="14">
        <v>0</v>
      </c>
      <c r="AA44" s="17">
        <f t="shared" si="186"/>
        <v>0</v>
      </c>
      <c r="AB44" s="14">
        <v>0</v>
      </c>
      <c r="AC44" s="17">
        <f t="shared" si="187"/>
        <v>0</v>
      </c>
      <c r="AD44" s="14">
        <v>0</v>
      </c>
      <c r="AE44" s="17">
        <f t="shared" si="188"/>
        <v>0</v>
      </c>
      <c r="AF44" s="14">
        <v>0</v>
      </c>
      <c r="AG44" s="17">
        <f t="shared" si="189"/>
        <v>0</v>
      </c>
      <c r="AH44" s="14">
        <v>31727.61</v>
      </c>
      <c r="AI44" s="15">
        <f t="shared" si="190"/>
        <v>9.3316499999999998</v>
      </c>
      <c r="AJ44" s="14">
        <v>3634</v>
      </c>
      <c r="AK44" s="17">
        <f t="shared" si="191"/>
        <v>1.0688235294117647</v>
      </c>
      <c r="AL44" s="14">
        <v>626862.03500000003</v>
      </c>
      <c r="AM44" s="15">
        <f t="shared" si="192"/>
        <v>184.3711867647059</v>
      </c>
      <c r="AN44" s="14">
        <v>0</v>
      </c>
      <c r="AO44" s="14">
        <v>0</v>
      </c>
      <c r="AP44" s="14">
        <v>0</v>
      </c>
      <c r="AQ44" s="14">
        <v>0</v>
      </c>
      <c r="AR44" s="14">
        <v>2702468.52</v>
      </c>
      <c r="AS44" s="14">
        <v>615462.31999999995</v>
      </c>
      <c r="AT44" s="14">
        <v>0</v>
      </c>
      <c r="AU44" s="15">
        <f t="shared" si="193"/>
        <v>3976520.4849999999</v>
      </c>
      <c r="AV44" s="15">
        <f t="shared" si="194"/>
        <v>1169.5648485294116</v>
      </c>
      <c r="AW44" s="15">
        <f t="shared" si="195"/>
        <v>1206.8713724240495</v>
      </c>
      <c r="AX44" s="14">
        <v>6</v>
      </c>
      <c r="AY44" s="15">
        <f t="shared" si="196"/>
        <v>21.176470588235293</v>
      </c>
      <c r="AZ44" s="14">
        <v>5</v>
      </c>
      <c r="BA44" s="14">
        <v>30</v>
      </c>
      <c r="BB44" s="14">
        <v>11</v>
      </c>
      <c r="BC44" s="14">
        <v>0</v>
      </c>
      <c r="BD44" s="14">
        <v>14</v>
      </c>
      <c r="BE44" s="15">
        <f t="shared" si="197"/>
        <v>14</v>
      </c>
      <c r="BF44" s="15">
        <f t="shared" si="198"/>
        <v>27</v>
      </c>
      <c r="BG44" s="14">
        <v>3</v>
      </c>
      <c r="BH44" s="14">
        <v>0</v>
      </c>
      <c r="BI44" s="14">
        <v>0</v>
      </c>
      <c r="BJ44" s="14">
        <v>0</v>
      </c>
      <c r="BK44" s="15">
        <f t="shared" si="199"/>
        <v>0</v>
      </c>
      <c r="BL44" s="15">
        <f t="shared" si="200"/>
        <v>3</v>
      </c>
      <c r="BM44" s="14">
        <v>0</v>
      </c>
      <c r="BN44" s="14">
        <v>0</v>
      </c>
      <c r="BO44" s="14">
        <v>0</v>
      </c>
      <c r="BP44" s="14">
        <v>0</v>
      </c>
      <c r="BQ44" s="15">
        <f t="shared" si="201"/>
        <v>0</v>
      </c>
      <c r="BR44" s="15">
        <f t="shared" si="202"/>
        <v>0</v>
      </c>
      <c r="BS44" s="14">
        <v>0</v>
      </c>
      <c r="BT44" s="14">
        <v>0</v>
      </c>
      <c r="BU44" s="14">
        <v>0</v>
      </c>
      <c r="BV44" s="14">
        <v>0</v>
      </c>
      <c r="BW44" s="15">
        <f t="shared" si="203"/>
        <v>0</v>
      </c>
      <c r="BX44" s="15">
        <f t="shared" si="204"/>
        <v>0</v>
      </c>
      <c r="BY44" s="15">
        <f t="shared" si="205"/>
        <v>33</v>
      </c>
      <c r="BZ44" s="15">
        <f t="shared" si="206"/>
        <v>11</v>
      </c>
      <c r="CA44" s="15">
        <f t="shared" si="207"/>
        <v>14</v>
      </c>
      <c r="CB44" s="15">
        <f t="shared" si="208"/>
        <v>30</v>
      </c>
      <c r="CC44" s="14">
        <v>14</v>
      </c>
      <c r="CD44" s="14">
        <v>0</v>
      </c>
      <c r="CE44" s="14">
        <v>0</v>
      </c>
      <c r="CF44" s="14">
        <v>2</v>
      </c>
      <c r="CG44" s="14">
        <v>0</v>
      </c>
      <c r="CH44" s="15">
        <f t="shared" si="209"/>
        <v>2</v>
      </c>
      <c r="CI44" s="14">
        <v>1</v>
      </c>
      <c r="CJ44" s="14">
        <v>2</v>
      </c>
      <c r="CK44" s="14">
        <v>0</v>
      </c>
      <c r="CL44" s="14">
        <v>0</v>
      </c>
      <c r="CM44" s="15">
        <f t="shared" si="210"/>
        <v>3</v>
      </c>
      <c r="CN44" s="14">
        <v>637</v>
      </c>
      <c r="CO44" s="14">
        <v>21</v>
      </c>
      <c r="CP44" s="14">
        <v>17</v>
      </c>
      <c r="CQ44" s="14">
        <v>3</v>
      </c>
      <c r="CR44" s="15">
        <f t="shared" si="211"/>
        <v>678</v>
      </c>
      <c r="CS44" s="15">
        <f t="shared" si="212"/>
        <v>681</v>
      </c>
      <c r="CT44" s="14">
        <v>683</v>
      </c>
      <c r="CU44" s="14">
        <v>4220</v>
      </c>
      <c r="CV44" s="14">
        <v>2807.25</v>
      </c>
      <c r="CW44" s="16">
        <f t="shared" si="213"/>
        <v>0.66522511848341237</v>
      </c>
      <c r="CX44" s="14"/>
      <c r="CY44" s="14"/>
      <c r="CZ44" s="14"/>
      <c r="DA44" s="14"/>
      <c r="DB44" s="15">
        <f t="shared" si="214"/>
        <v>0</v>
      </c>
      <c r="DC44" s="14">
        <v>0</v>
      </c>
      <c r="DD44" s="14">
        <v>0</v>
      </c>
      <c r="DE44" s="14">
        <v>0</v>
      </c>
      <c r="DF44" s="14">
        <v>0</v>
      </c>
      <c r="DG44" s="15">
        <f t="shared" si="215"/>
        <v>0</v>
      </c>
      <c r="DH44" s="14">
        <v>0</v>
      </c>
      <c r="DI44" s="14">
        <v>0</v>
      </c>
      <c r="DJ44" s="14">
        <v>0</v>
      </c>
      <c r="DK44" s="14">
        <v>0</v>
      </c>
      <c r="DL44" s="15">
        <f t="shared" si="216"/>
        <v>0</v>
      </c>
      <c r="DM44" s="14">
        <v>0</v>
      </c>
      <c r="DN44" s="14">
        <v>1</v>
      </c>
      <c r="DO44" s="14">
        <v>0</v>
      </c>
      <c r="DP44" s="14">
        <v>1</v>
      </c>
      <c r="DQ44" s="15">
        <f t="shared" si="217"/>
        <v>0</v>
      </c>
      <c r="DR44" s="15">
        <f t="shared" si="218"/>
        <v>0</v>
      </c>
      <c r="DS44" s="15">
        <f t="shared" si="219"/>
        <v>1</v>
      </c>
      <c r="DT44" s="15">
        <f t="shared" si="220"/>
        <v>0</v>
      </c>
      <c r="DU44" s="15">
        <f t="shared" si="221"/>
        <v>1</v>
      </c>
      <c r="DV44" s="15">
        <f t="shared" si="222"/>
        <v>0</v>
      </c>
      <c r="DW44" s="14">
        <v>36</v>
      </c>
      <c r="DX44" s="14">
        <v>5</v>
      </c>
      <c r="DY44" s="14">
        <v>7</v>
      </c>
      <c r="DZ44" s="14">
        <v>0</v>
      </c>
      <c r="EA44" s="14">
        <v>0</v>
      </c>
      <c r="EB44" s="14">
        <v>1</v>
      </c>
      <c r="EC44" s="14">
        <v>1</v>
      </c>
      <c r="ED44" s="14">
        <v>0</v>
      </c>
      <c r="EE44" s="14">
        <v>0</v>
      </c>
      <c r="EF44" s="14">
        <v>1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5">
        <f t="shared" si="223"/>
        <v>51</v>
      </c>
      <c r="FH44" s="14">
        <v>0</v>
      </c>
      <c r="FI44" s="14">
        <v>0</v>
      </c>
      <c r="FJ44" s="14">
        <v>720</v>
      </c>
      <c r="FK44" s="14">
        <v>170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5">
        <f t="shared" si="224"/>
        <v>0</v>
      </c>
      <c r="FR44" s="14">
        <v>0</v>
      </c>
      <c r="FS44" s="14">
        <v>0</v>
      </c>
      <c r="FT44" s="14">
        <v>0</v>
      </c>
      <c r="FU44" s="14">
        <v>0</v>
      </c>
      <c r="FV44" s="15">
        <f t="shared" si="225"/>
        <v>0</v>
      </c>
      <c r="FW44" s="14">
        <v>3912616.88</v>
      </c>
      <c r="FX44" s="14">
        <v>11500</v>
      </c>
      <c r="FY44" s="14">
        <v>292200</v>
      </c>
      <c r="FZ44" s="14">
        <v>263439.40000000002</v>
      </c>
      <c r="GA44" s="15">
        <f t="shared" si="226"/>
        <v>4479756.28</v>
      </c>
      <c r="GB44" s="15">
        <f t="shared" si="227"/>
        <v>4479756.28</v>
      </c>
      <c r="GC44" s="14">
        <v>13788.48</v>
      </c>
      <c r="GD44" s="14">
        <v>0</v>
      </c>
      <c r="GE44" s="14">
        <v>8410.99</v>
      </c>
      <c r="GF44" s="14">
        <v>0</v>
      </c>
      <c r="GG44" s="15">
        <f t="shared" si="228"/>
        <v>22199.47</v>
      </c>
      <c r="GH44" s="14">
        <v>3832541.7600000021</v>
      </c>
      <c r="GI44" s="14">
        <v>11500</v>
      </c>
      <c r="GJ44" s="14">
        <v>262839.40000000002</v>
      </c>
      <c r="GK44" s="14">
        <v>292200</v>
      </c>
      <c r="GL44" s="15">
        <f t="shared" si="229"/>
        <v>4399081.160000002</v>
      </c>
      <c r="GM44" s="15">
        <f t="shared" si="230"/>
        <v>4421280.6300000018</v>
      </c>
      <c r="GN44" s="14">
        <v>1089.8599999999999</v>
      </c>
      <c r="GO44" s="14">
        <v>0</v>
      </c>
      <c r="GP44" s="14">
        <v>3393.64</v>
      </c>
      <c r="GQ44" s="14">
        <v>0</v>
      </c>
      <c r="GR44" s="15">
        <f t="shared" si="231"/>
        <v>4483.5</v>
      </c>
      <c r="GS44" s="14">
        <v>1786</v>
      </c>
      <c r="GT44" s="14">
        <v>0</v>
      </c>
      <c r="GU44" s="14">
        <v>893</v>
      </c>
      <c r="GV44" s="14">
        <v>0</v>
      </c>
      <c r="GW44" s="15">
        <f t="shared" si="232"/>
        <v>2679</v>
      </c>
      <c r="GX44" s="15">
        <f t="shared" si="233"/>
        <v>4428443.1300000018</v>
      </c>
      <c r="GY44" s="14">
        <v>408488.65</v>
      </c>
      <c r="GZ44" s="14">
        <v>244395.72</v>
      </c>
      <c r="HA44" s="15">
        <f t="shared" si="234"/>
        <v>652884.37</v>
      </c>
      <c r="HB44" s="15">
        <f t="shared" si="235"/>
        <v>0.89794999467453884</v>
      </c>
      <c r="HC44" s="16">
        <f t="shared" si="236"/>
        <v>0.92615659756110891</v>
      </c>
      <c r="HD44" s="15">
        <f t="shared" si="237"/>
        <v>1.0115871760105448</v>
      </c>
      <c r="HE44" s="14">
        <v>20</v>
      </c>
      <c r="HF44" s="14">
        <v>1</v>
      </c>
      <c r="HG44" s="14">
        <v>30</v>
      </c>
      <c r="HH44" s="14">
        <v>11</v>
      </c>
      <c r="HI44" s="14">
        <v>14</v>
      </c>
      <c r="HJ44" s="15">
        <f t="shared" si="238"/>
        <v>15</v>
      </c>
      <c r="HK44" s="16">
        <f t="shared" si="239"/>
        <v>0.55000000000000004</v>
      </c>
      <c r="HL44" s="14">
        <v>28</v>
      </c>
      <c r="HM44" s="14">
        <v>2</v>
      </c>
      <c r="HN44" s="17">
        <f t="shared" si="240"/>
        <v>7.1428571428571425E-2</v>
      </c>
    </row>
    <row r="45" spans="1:222" x14ac:dyDescent="0.3">
      <c r="A45" s="6" t="s">
        <v>255</v>
      </c>
      <c r="B45" s="6" t="s">
        <v>275</v>
      </c>
      <c r="C45" s="7" t="s">
        <v>257</v>
      </c>
      <c r="D45" s="7">
        <v>2025</v>
      </c>
      <c r="E45" s="7">
        <v>10</v>
      </c>
      <c r="F45" s="7" t="s">
        <v>266</v>
      </c>
      <c r="G45" s="7" t="s">
        <v>267</v>
      </c>
      <c r="H45" s="8">
        <v>2850</v>
      </c>
      <c r="I45" s="8">
        <v>4</v>
      </c>
      <c r="J45" s="8">
        <v>0</v>
      </c>
      <c r="K45" s="8">
        <v>1</v>
      </c>
      <c r="L45" s="8">
        <v>0</v>
      </c>
      <c r="M45" s="9">
        <f t="shared" si="122"/>
        <v>5</v>
      </c>
      <c r="N45" s="8">
        <v>2527.3000000000002</v>
      </c>
      <c r="O45" s="8">
        <v>40</v>
      </c>
      <c r="P45" s="8">
        <v>73.8</v>
      </c>
      <c r="Q45" s="8">
        <v>42.7</v>
      </c>
      <c r="R45" s="9">
        <f t="shared" si="123"/>
        <v>2683.8</v>
      </c>
      <c r="S45" s="9">
        <f t="shared" si="124"/>
        <v>2688.8</v>
      </c>
      <c r="T45" s="8">
        <v>161.19999999999999</v>
      </c>
      <c r="U45" s="10">
        <f t="shared" si="183"/>
        <v>5.6561403508771924E-2</v>
      </c>
      <c r="V45" s="8">
        <v>6</v>
      </c>
      <c r="W45" s="11">
        <f t="shared" si="184"/>
        <v>2.1052631578947368E-3</v>
      </c>
      <c r="X45" s="8">
        <v>0</v>
      </c>
      <c r="Y45" s="11">
        <f t="shared" si="185"/>
        <v>0</v>
      </c>
      <c r="Z45" s="8">
        <v>0</v>
      </c>
      <c r="AA45" s="11">
        <f t="shared" si="186"/>
        <v>0</v>
      </c>
      <c r="AB45" s="8">
        <v>0</v>
      </c>
      <c r="AC45" s="11">
        <f t="shared" si="187"/>
        <v>0</v>
      </c>
      <c r="AD45" s="8">
        <v>0</v>
      </c>
      <c r="AE45" s="11">
        <f t="shared" si="188"/>
        <v>0</v>
      </c>
      <c r="AF45" s="8">
        <v>0</v>
      </c>
      <c r="AG45" s="11">
        <f t="shared" si="189"/>
        <v>0</v>
      </c>
      <c r="AH45" s="8">
        <v>21151.74</v>
      </c>
      <c r="AI45" s="9">
        <f t="shared" si="190"/>
        <v>7.421663157894737</v>
      </c>
      <c r="AJ45" s="8">
        <v>2627</v>
      </c>
      <c r="AK45" s="11">
        <f t="shared" si="191"/>
        <v>0.92175438596491233</v>
      </c>
      <c r="AL45" s="8">
        <v>458514.29249999998</v>
      </c>
      <c r="AM45" s="9">
        <f t="shared" si="192"/>
        <v>160.88220789473684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625154.64</v>
      </c>
      <c r="AT45" s="8">
        <v>110000</v>
      </c>
      <c r="AU45" s="9">
        <f t="shared" si="193"/>
        <v>1214820.6724999999</v>
      </c>
      <c r="AV45" s="9">
        <f t="shared" si="194"/>
        <v>426.25286754385962</v>
      </c>
      <c r="AW45" s="9">
        <f t="shared" si="195"/>
        <v>451.80774788009512</v>
      </c>
      <c r="AX45" s="8">
        <v>6</v>
      </c>
      <c r="AY45" s="9">
        <f t="shared" si="196"/>
        <v>25.263157894736839</v>
      </c>
      <c r="AZ45" s="8">
        <v>5</v>
      </c>
      <c r="BA45" s="8">
        <v>27</v>
      </c>
      <c r="BB45" s="8">
        <v>10</v>
      </c>
      <c r="BC45" s="8">
        <v>0</v>
      </c>
      <c r="BD45" s="8">
        <v>16</v>
      </c>
      <c r="BE45" s="9">
        <f t="shared" si="197"/>
        <v>16</v>
      </c>
      <c r="BF45" s="9">
        <f t="shared" si="198"/>
        <v>21</v>
      </c>
      <c r="BG45" s="8">
        <v>3</v>
      </c>
      <c r="BH45" s="8">
        <v>0</v>
      </c>
      <c r="BI45" s="8">
        <v>0</v>
      </c>
      <c r="BJ45" s="8">
        <v>0</v>
      </c>
      <c r="BK45" s="9">
        <f t="shared" si="199"/>
        <v>0</v>
      </c>
      <c r="BL45" s="9">
        <f t="shared" si="200"/>
        <v>3</v>
      </c>
      <c r="BM45" s="8">
        <v>0</v>
      </c>
      <c r="BN45" s="8">
        <v>0</v>
      </c>
      <c r="BO45" s="8">
        <v>0</v>
      </c>
      <c r="BP45" s="8">
        <v>0</v>
      </c>
      <c r="BQ45" s="9">
        <f t="shared" si="201"/>
        <v>0</v>
      </c>
      <c r="BR45" s="9">
        <f t="shared" si="202"/>
        <v>0</v>
      </c>
      <c r="BS45" s="8">
        <v>0</v>
      </c>
      <c r="BT45" s="8">
        <v>0</v>
      </c>
      <c r="BU45" s="8">
        <v>0</v>
      </c>
      <c r="BV45" s="8">
        <v>0</v>
      </c>
      <c r="BW45" s="9">
        <f t="shared" si="203"/>
        <v>0</v>
      </c>
      <c r="BX45" s="9">
        <f t="shared" si="204"/>
        <v>0</v>
      </c>
      <c r="BY45" s="9">
        <f t="shared" si="205"/>
        <v>30</v>
      </c>
      <c r="BZ45" s="9">
        <f t="shared" si="206"/>
        <v>10</v>
      </c>
      <c r="CA45" s="9">
        <f t="shared" si="207"/>
        <v>16</v>
      </c>
      <c r="CB45" s="9">
        <f t="shared" si="208"/>
        <v>24</v>
      </c>
      <c r="CC45" s="8">
        <v>16</v>
      </c>
      <c r="CD45" s="8">
        <v>0</v>
      </c>
      <c r="CE45" s="8">
        <v>0</v>
      </c>
      <c r="CF45" s="8">
        <v>2</v>
      </c>
      <c r="CG45" s="8">
        <v>0</v>
      </c>
      <c r="CH45" s="9">
        <f t="shared" si="209"/>
        <v>2</v>
      </c>
      <c r="CI45" s="8">
        <v>1</v>
      </c>
      <c r="CJ45" s="8">
        <v>2</v>
      </c>
      <c r="CK45" s="8">
        <v>0</v>
      </c>
      <c r="CL45" s="8">
        <v>0</v>
      </c>
      <c r="CM45" s="9">
        <f t="shared" si="210"/>
        <v>3</v>
      </c>
      <c r="CN45" s="8">
        <v>653</v>
      </c>
      <c r="CO45" s="8">
        <v>21</v>
      </c>
      <c r="CP45" s="8">
        <v>17</v>
      </c>
      <c r="CQ45" s="8">
        <v>3</v>
      </c>
      <c r="CR45" s="9">
        <f t="shared" si="211"/>
        <v>694</v>
      </c>
      <c r="CS45" s="9">
        <f t="shared" si="212"/>
        <v>697</v>
      </c>
      <c r="CT45" s="8">
        <v>699</v>
      </c>
      <c r="CU45" s="8">
        <v>4241.1000000000004</v>
      </c>
      <c r="CV45" s="8">
        <v>2821.04</v>
      </c>
      <c r="CW45" s="10">
        <f t="shared" si="213"/>
        <v>0.66516705571667722</v>
      </c>
      <c r="CX45" s="8"/>
      <c r="CY45" s="8"/>
      <c r="CZ45" s="8"/>
      <c r="DA45" s="8"/>
      <c r="DB45" s="9">
        <f t="shared" si="214"/>
        <v>0</v>
      </c>
      <c r="DC45" s="8">
        <v>0</v>
      </c>
      <c r="DD45" s="8">
        <v>0</v>
      </c>
      <c r="DE45" s="8">
        <v>0</v>
      </c>
      <c r="DF45" s="8">
        <v>0</v>
      </c>
      <c r="DG45" s="9">
        <f t="shared" si="215"/>
        <v>0</v>
      </c>
      <c r="DH45" s="8">
        <v>0</v>
      </c>
      <c r="DI45" s="8">
        <v>0</v>
      </c>
      <c r="DJ45" s="8">
        <v>0</v>
      </c>
      <c r="DK45" s="8">
        <v>0</v>
      </c>
      <c r="DL45" s="9">
        <f t="shared" si="216"/>
        <v>0</v>
      </c>
      <c r="DM45" s="8">
        <v>0</v>
      </c>
      <c r="DN45" s="8">
        <v>4</v>
      </c>
      <c r="DO45" s="8">
        <v>3</v>
      </c>
      <c r="DP45" s="8">
        <v>1</v>
      </c>
      <c r="DQ45" s="9">
        <f t="shared" si="217"/>
        <v>0</v>
      </c>
      <c r="DR45" s="9">
        <f t="shared" si="218"/>
        <v>0</v>
      </c>
      <c r="DS45" s="9">
        <f t="shared" si="219"/>
        <v>4</v>
      </c>
      <c r="DT45" s="9">
        <f t="shared" si="220"/>
        <v>3</v>
      </c>
      <c r="DU45" s="9">
        <f t="shared" si="221"/>
        <v>1</v>
      </c>
      <c r="DV45" s="9">
        <f t="shared" si="222"/>
        <v>0</v>
      </c>
      <c r="DW45" s="8">
        <v>18</v>
      </c>
      <c r="DX45" s="8">
        <v>6</v>
      </c>
      <c r="DY45" s="8">
        <v>4</v>
      </c>
      <c r="DZ45" s="8">
        <v>0</v>
      </c>
      <c r="EA45" s="8">
        <v>2</v>
      </c>
      <c r="EB45" s="8">
        <v>0</v>
      </c>
      <c r="EC45" s="8">
        <v>0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9">
        <f t="shared" si="223"/>
        <v>30</v>
      </c>
      <c r="FH45" s="8">
        <v>1</v>
      </c>
      <c r="FI45" s="8">
        <v>264</v>
      </c>
      <c r="FJ45" s="8">
        <v>720</v>
      </c>
      <c r="FK45" s="8">
        <v>192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9">
        <f t="shared" si="224"/>
        <v>0</v>
      </c>
      <c r="FR45" s="8">
        <v>3000</v>
      </c>
      <c r="FS45" s="8">
        <v>0</v>
      </c>
      <c r="FT45" s="8">
        <v>0</v>
      </c>
      <c r="FU45" s="8">
        <v>0</v>
      </c>
      <c r="FV45" s="9">
        <f t="shared" si="225"/>
        <v>3000</v>
      </c>
      <c r="FW45" s="8">
        <v>3166862.16</v>
      </c>
      <c r="FX45" s="8">
        <v>8500</v>
      </c>
      <c r="FY45" s="8">
        <v>201800</v>
      </c>
      <c r="FZ45" s="8">
        <v>224200</v>
      </c>
      <c r="GA45" s="9">
        <f t="shared" si="226"/>
        <v>3601362.16</v>
      </c>
      <c r="GB45" s="9">
        <f t="shared" si="227"/>
        <v>3604362.16</v>
      </c>
      <c r="GC45" s="8">
        <v>6680.52</v>
      </c>
      <c r="GD45" s="8">
        <v>0</v>
      </c>
      <c r="GE45" s="8">
        <v>8410.99</v>
      </c>
      <c r="GF45" s="8">
        <v>0</v>
      </c>
      <c r="GG45" s="9">
        <f t="shared" si="228"/>
        <v>15091.51</v>
      </c>
      <c r="GH45" s="8">
        <v>3147072.5700000022</v>
      </c>
      <c r="GI45" s="8">
        <v>8500</v>
      </c>
      <c r="GJ45" s="8">
        <v>224200</v>
      </c>
      <c r="GK45" s="8">
        <v>201800</v>
      </c>
      <c r="GL45" s="9">
        <f t="shared" si="229"/>
        <v>3581572.5700000022</v>
      </c>
      <c r="GM45" s="9">
        <f t="shared" si="230"/>
        <v>3596664.0800000019</v>
      </c>
      <c r="GN45" s="8">
        <v>1089.8599999999999</v>
      </c>
      <c r="GO45" s="8">
        <v>0</v>
      </c>
      <c r="GP45" s="8">
        <v>3393.64</v>
      </c>
      <c r="GQ45" s="8">
        <v>0</v>
      </c>
      <c r="GR45" s="9">
        <f t="shared" si="231"/>
        <v>4483.5</v>
      </c>
      <c r="GS45" s="8">
        <v>1786</v>
      </c>
      <c r="GT45" s="8">
        <v>0</v>
      </c>
      <c r="GU45" s="8">
        <v>893</v>
      </c>
      <c r="GV45" s="8">
        <v>0</v>
      </c>
      <c r="GW45" s="9">
        <f t="shared" si="232"/>
        <v>2679</v>
      </c>
      <c r="GX45" s="9">
        <f t="shared" si="233"/>
        <v>3603826.5800000019</v>
      </c>
      <c r="GY45" s="8">
        <v>405448.65</v>
      </c>
      <c r="GZ45" s="8">
        <v>296011.7</v>
      </c>
      <c r="HA45" s="9">
        <f t="shared" si="234"/>
        <v>701460.35000000009</v>
      </c>
      <c r="HB45" s="9">
        <f t="shared" si="235"/>
        <v>0.33709187873851554</v>
      </c>
      <c r="HC45" s="10">
        <f t="shared" si="236"/>
        <v>0.89900591833402232</v>
      </c>
      <c r="HD45" s="9">
        <f t="shared" si="237"/>
        <v>1.0001486142543514</v>
      </c>
      <c r="HE45" s="8">
        <v>18</v>
      </c>
      <c r="HF45" s="8">
        <v>1</v>
      </c>
      <c r="HG45" s="8">
        <v>24</v>
      </c>
      <c r="HH45" s="8">
        <v>10</v>
      </c>
      <c r="HI45" s="8">
        <v>14</v>
      </c>
      <c r="HJ45" s="9">
        <f t="shared" si="238"/>
        <v>15</v>
      </c>
      <c r="HK45" s="10">
        <f t="shared" si="239"/>
        <v>0.55555555555555558</v>
      </c>
      <c r="HL45" s="8">
        <v>60</v>
      </c>
      <c r="HM45" s="8">
        <v>6</v>
      </c>
      <c r="HN45" s="11">
        <f t="shared" si="240"/>
        <v>0.1</v>
      </c>
    </row>
    <row r="46" spans="1:222" x14ac:dyDescent="0.3">
      <c r="A46" s="12" t="s">
        <v>255</v>
      </c>
      <c r="B46" s="12" t="s">
        <v>275</v>
      </c>
      <c r="C46" s="13" t="s">
        <v>257</v>
      </c>
      <c r="D46" s="13">
        <v>2025</v>
      </c>
      <c r="E46" s="13">
        <v>11</v>
      </c>
      <c r="F46" s="13" t="s">
        <v>268</v>
      </c>
      <c r="G46" s="13" t="s">
        <v>267</v>
      </c>
      <c r="H46" s="14">
        <v>2810</v>
      </c>
      <c r="I46" s="14">
        <v>6</v>
      </c>
      <c r="J46" s="14">
        <v>0</v>
      </c>
      <c r="K46" s="14">
        <v>2</v>
      </c>
      <c r="L46" s="14">
        <v>0</v>
      </c>
      <c r="M46" s="15">
        <f t="shared" si="122"/>
        <v>8</v>
      </c>
      <c r="N46" s="14">
        <v>2304.5</v>
      </c>
      <c r="O46" s="14">
        <v>53.2</v>
      </c>
      <c r="P46" s="14">
        <v>23.1</v>
      </c>
      <c r="Q46" s="14">
        <v>15</v>
      </c>
      <c r="R46" s="15">
        <f t="shared" si="123"/>
        <v>2395.7999999999997</v>
      </c>
      <c r="S46" s="15">
        <f t="shared" si="124"/>
        <v>2403.7999999999997</v>
      </c>
      <c r="T46" s="14">
        <v>406.2</v>
      </c>
      <c r="U46" s="16">
        <f t="shared" si="183"/>
        <v>0.14455516014234876</v>
      </c>
      <c r="V46" s="14">
        <v>6</v>
      </c>
      <c r="W46" s="17">
        <f t="shared" si="184"/>
        <v>2.1352313167259788E-3</v>
      </c>
      <c r="X46" s="14">
        <v>0</v>
      </c>
      <c r="Y46" s="17">
        <f t="shared" si="185"/>
        <v>0</v>
      </c>
      <c r="Z46" s="14">
        <v>0</v>
      </c>
      <c r="AA46" s="17">
        <f t="shared" si="186"/>
        <v>0</v>
      </c>
      <c r="AB46" s="14">
        <v>0</v>
      </c>
      <c r="AC46" s="17">
        <f t="shared" si="187"/>
        <v>0</v>
      </c>
      <c r="AD46" s="14">
        <v>0</v>
      </c>
      <c r="AE46" s="17">
        <f t="shared" si="188"/>
        <v>0</v>
      </c>
      <c r="AF46" s="14">
        <v>0</v>
      </c>
      <c r="AG46" s="17">
        <f t="shared" si="189"/>
        <v>0</v>
      </c>
      <c r="AH46" s="14">
        <v>21151.74</v>
      </c>
      <c r="AI46" s="15">
        <f t="shared" si="190"/>
        <v>7.5273096085409259</v>
      </c>
      <c r="AJ46" s="14">
        <v>2726</v>
      </c>
      <c r="AK46" s="17">
        <f t="shared" si="191"/>
        <v>0.97010676156583631</v>
      </c>
      <c r="AL46" s="14">
        <v>475064.86499999999</v>
      </c>
      <c r="AM46" s="15">
        <f t="shared" si="192"/>
        <v>169.06222953736653</v>
      </c>
      <c r="AN46" s="14">
        <v>0</v>
      </c>
      <c r="AO46" s="14">
        <v>0</v>
      </c>
      <c r="AP46" s="14">
        <v>0</v>
      </c>
      <c r="AQ46" s="14">
        <v>0</v>
      </c>
      <c r="AR46" s="14">
        <v>2536578.92</v>
      </c>
      <c r="AS46" s="14">
        <v>625154.64</v>
      </c>
      <c r="AT46" s="14">
        <v>0</v>
      </c>
      <c r="AU46" s="15">
        <f t="shared" si="193"/>
        <v>3657950.165</v>
      </c>
      <c r="AV46" s="15">
        <f t="shared" si="194"/>
        <v>1301.7616245551601</v>
      </c>
      <c r="AW46" s="15">
        <f t="shared" si="195"/>
        <v>1521.7364859805309</v>
      </c>
      <c r="AX46" s="14">
        <v>6</v>
      </c>
      <c r="AY46" s="15">
        <f t="shared" si="196"/>
        <v>25.622775800711743</v>
      </c>
      <c r="AZ46" s="14">
        <v>5</v>
      </c>
      <c r="BA46" s="14">
        <v>21</v>
      </c>
      <c r="BB46" s="14">
        <v>2</v>
      </c>
      <c r="BC46" s="14">
        <v>0</v>
      </c>
      <c r="BD46" s="14">
        <v>6</v>
      </c>
      <c r="BE46" s="15">
        <f t="shared" si="197"/>
        <v>6</v>
      </c>
      <c r="BF46" s="15">
        <f t="shared" si="198"/>
        <v>17</v>
      </c>
      <c r="BG46" s="14">
        <v>3</v>
      </c>
      <c r="BH46" s="14">
        <v>0</v>
      </c>
      <c r="BI46" s="14">
        <v>0</v>
      </c>
      <c r="BJ46" s="14">
        <v>0</v>
      </c>
      <c r="BK46" s="15">
        <f t="shared" si="199"/>
        <v>0</v>
      </c>
      <c r="BL46" s="15">
        <f t="shared" si="200"/>
        <v>3</v>
      </c>
      <c r="BM46" s="14">
        <v>0</v>
      </c>
      <c r="BN46" s="14">
        <v>0</v>
      </c>
      <c r="BO46" s="14">
        <v>0</v>
      </c>
      <c r="BP46" s="14">
        <v>0</v>
      </c>
      <c r="BQ46" s="15">
        <f t="shared" si="201"/>
        <v>0</v>
      </c>
      <c r="BR46" s="15">
        <f t="shared" si="202"/>
        <v>0</v>
      </c>
      <c r="BS46" s="14">
        <v>0</v>
      </c>
      <c r="BT46" s="14">
        <v>0</v>
      </c>
      <c r="BU46" s="14">
        <v>0</v>
      </c>
      <c r="BV46" s="14">
        <v>0</v>
      </c>
      <c r="BW46" s="15">
        <f t="shared" si="203"/>
        <v>0</v>
      </c>
      <c r="BX46" s="15">
        <f t="shared" si="204"/>
        <v>0</v>
      </c>
      <c r="BY46" s="15">
        <f t="shared" si="205"/>
        <v>24</v>
      </c>
      <c r="BZ46" s="15">
        <f t="shared" si="206"/>
        <v>2</v>
      </c>
      <c r="CA46" s="15">
        <f t="shared" si="207"/>
        <v>6</v>
      </c>
      <c r="CB46" s="15">
        <f t="shared" si="208"/>
        <v>20</v>
      </c>
      <c r="CC46" s="14">
        <v>6</v>
      </c>
      <c r="CD46" s="14">
        <v>0</v>
      </c>
      <c r="CE46" s="14">
        <v>0</v>
      </c>
      <c r="CF46" s="14">
        <v>2</v>
      </c>
      <c r="CG46" s="14">
        <v>0</v>
      </c>
      <c r="CH46" s="15">
        <f t="shared" si="209"/>
        <v>2</v>
      </c>
      <c r="CI46" s="14">
        <v>1</v>
      </c>
      <c r="CJ46" s="14">
        <v>2</v>
      </c>
      <c r="CK46" s="14">
        <v>0</v>
      </c>
      <c r="CL46" s="14">
        <v>0</v>
      </c>
      <c r="CM46" s="15">
        <f t="shared" si="210"/>
        <v>3</v>
      </c>
      <c r="CN46" s="14">
        <v>659</v>
      </c>
      <c r="CO46" s="14">
        <v>21</v>
      </c>
      <c r="CP46" s="14">
        <v>17</v>
      </c>
      <c r="CQ46" s="14">
        <v>3</v>
      </c>
      <c r="CR46" s="15">
        <f t="shared" si="211"/>
        <v>700</v>
      </c>
      <c r="CS46" s="15">
        <f t="shared" si="212"/>
        <v>703</v>
      </c>
      <c r="CT46" s="14">
        <v>705</v>
      </c>
      <c r="CU46" s="14">
        <v>4283.5110000000004</v>
      </c>
      <c r="CV46" s="14">
        <v>2849.2503999999999</v>
      </c>
      <c r="CW46" s="16">
        <f t="shared" si="213"/>
        <v>0.66516705571667722</v>
      </c>
      <c r="CX46" s="14"/>
      <c r="CY46" s="14"/>
      <c r="CZ46" s="14"/>
      <c r="DA46" s="14"/>
      <c r="DB46" s="15">
        <f t="shared" si="214"/>
        <v>0</v>
      </c>
      <c r="DC46" s="14">
        <v>0</v>
      </c>
      <c r="DD46" s="14">
        <v>0</v>
      </c>
      <c r="DE46" s="14">
        <v>0</v>
      </c>
      <c r="DF46" s="14">
        <v>0</v>
      </c>
      <c r="DG46" s="15">
        <f t="shared" si="215"/>
        <v>0</v>
      </c>
      <c r="DH46" s="14">
        <v>0</v>
      </c>
      <c r="DI46" s="14">
        <v>0</v>
      </c>
      <c r="DJ46" s="14">
        <v>0</v>
      </c>
      <c r="DK46" s="14">
        <v>0</v>
      </c>
      <c r="DL46" s="15">
        <f t="shared" si="216"/>
        <v>0</v>
      </c>
      <c r="DM46" s="14">
        <v>0</v>
      </c>
      <c r="DN46" s="14">
        <v>2</v>
      </c>
      <c r="DO46" s="14">
        <v>0</v>
      </c>
      <c r="DP46" s="14">
        <v>2</v>
      </c>
      <c r="DQ46" s="15">
        <f t="shared" si="217"/>
        <v>0</v>
      </c>
      <c r="DR46" s="15">
        <f t="shared" si="218"/>
        <v>0</v>
      </c>
      <c r="DS46" s="15">
        <f t="shared" si="219"/>
        <v>2</v>
      </c>
      <c r="DT46" s="15">
        <f t="shared" si="220"/>
        <v>0</v>
      </c>
      <c r="DU46" s="15">
        <f t="shared" si="221"/>
        <v>2</v>
      </c>
      <c r="DV46" s="15">
        <f t="shared" si="222"/>
        <v>0</v>
      </c>
      <c r="DW46" s="14">
        <v>23</v>
      </c>
      <c r="DX46" s="14">
        <v>3</v>
      </c>
      <c r="DY46" s="14">
        <v>1</v>
      </c>
      <c r="DZ46" s="14">
        <v>0</v>
      </c>
      <c r="EA46" s="14">
        <v>3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5">
        <f t="shared" si="223"/>
        <v>30</v>
      </c>
      <c r="FH46" s="14">
        <v>0</v>
      </c>
      <c r="FI46" s="14">
        <v>0</v>
      </c>
      <c r="FJ46" s="14">
        <v>720</v>
      </c>
      <c r="FK46" s="14">
        <v>151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5">
        <f t="shared" si="224"/>
        <v>0</v>
      </c>
      <c r="FR46" s="14">
        <v>3000</v>
      </c>
      <c r="FS46" s="14">
        <v>0</v>
      </c>
      <c r="FT46" s="14">
        <v>0</v>
      </c>
      <c r="FU46" s="14">
        <v>0</v>
      </c>
      <c r="FV46" s="15">
        <f t="shared" si="225"/>
        <v>3000</v>
      </c>
      <c r="FW46" s="14">
        <v>2918232.85</v>
      </c>
      <c r="FX46" s="14">
        <v>11300</v>
      </c>
      <c r="FY46" s="14">
        <v>72000</v>
      </c>
      <c r="FZ46" s="14">
        <v>70200</v>
      </c>
      <c r="GA46" s="15">
        <f t="shared" si="226"/>
        <v>3071732.85</v>
      </c>
      <c r="GB46" s="15">
        <f t="shared" si="227"/>
        <v>3074732.85</v>
      </c>
      <c r="GC46" s="14">
        <v>8439.92</v>
      </c>
      <c r="GD46" s="14">
        <v>0</v>
      </c>
      <c r="GE46" s="14">
        <v>8410.99</v>
      </c>
      <c r="GF46" s="14">
        <v>0</v>
      </c>
      <c r="GG46" s="15">
        <f t="shared" si="228"/>
        <v>16850.91</v>
      </c>
      <c r="GH46" s="14">
        <v>2884808.07</v>
      </c>
      <c r="GI46" s="14">
        <v>11300</v>
      </c>
      <c r="GJ46" s="14">
        <v>70200</v>
      </c>
      <c r="GK46" s="14">
        <v>72000</v>
      </c>
      <c r="GL46" s="15">
        <f t="shared" si="229"/>
        <v>3038308.07</v>
      </c>
      <c r="GM46" s="15">
        <f t="shared" si="230"/>
        <v>3055158.98</v>
      </c>
      <c r="GN46" s="14">
        <v>1089.8599999999999</v>
      </c>
      <c r="GO46" s="14">
        <v>0</v>
      </c>
      <c r="GP46" s="14">
        <v>3393.64</v>
      </c>
      <c r="GQ46" s="14">
        <v>0</v>
      </c>
      <c r="GR46" s="15">
        <f t="shared" si="231"/>
        <v>4483.5</v>
      </c>
      <c r="GS46" s="14">
        <v>1786</v>
      </c>
      <c r="GT46" s="14">
        <v>0</v>
      </c>
      <c r="GU46" s="14">
        <v>893</v>
      </c>
      <c r="GV46" s="14">
        <v>0</v>
      </c>
      <c r="GW46" s="15">
        <f t="shared" si="232"/>
        <v>2679</v>
      </c>
      <c r="GX46" s="15">
        <f t="shared" si="233"/>
        <v>3062321.48</v>
      </c>
      <c r="GY46" s="14">
        <v>448876.44</v>
      </c>
      <c r="GZ46" s="14">
        <v>320025.11</v>
      </c>
      <c r="HA46" s="15">
        <f t="shared" si="234"/>
        <v>768901.55</v>
      </c>
      <c r="HB46" s="15">
        <f t="shared" si="235"/>
        <v>1.1945023371615446</v>
      </c>
      <c r="HC46" s="16">
        <f t="shared" si="236"/>
        <v>0.87569340152719166</v>
      </c>
      <c r="HD46" s="15">
        <f t="shared" si="237"/>
        <v>1.0040529284991986</v>
      </c>
      <c r="HE46" s="14">
        <v>6</v>
      </c>
      <c r="HF46" s="14">
        <v>1</v>
      </c>
      <c r="HG46" s="14">
        <v>20</v>
      </c>
      <c r="HH46" s="14">
        <v>2</v>
      </c>
      <c r="HI46" s="14">
        <v>14</v>
      </c>
      <c r="HJ46" s="15">
        <f t="shared" si="238"/>
        <v>15</v>
      </c>
      <c r="HK46" s="16">
        <f t="shared" si="239"/>
        <v>0.33333333333333331</v>
      </c>
      <c r="HL46" s="14">
        <v>60</v>
      </c>
      <c r="HM46" s="14">
        <v>6</v>
      </c>
      <c r="HN46" s="17">
        <f t="shared" si="240"/>
        <v>0.1</v>
      </c>
    </row>
    <row r="47" spans="1:222" x14ac:dyDescent="0.3">
      <c r="A47" s="6" t="s">
        <v>255</v>
      </c>
      <c r="B47" s="6" t="s">
        <v>275</v>
      </c>
      <c r="C47" s="7" t="s">
        <v>257</v>
      </c>
      <c r="D47" s="7">
        <v>2025</v>
      </c>
      <c r="E47" s="7">
        <v>12</v>
      </c>
      <c r="F47" s="7" t="s">
        <v>269</v>
      </c>
      <c r="G47" s="7" t="s">
        <v>267</v>
      </c>
      <c r="H47" s="8">
        <v>2580</v>
      </c>
      <c r="I47" s="8">
        <v>4</v>
      </c>
      <c r="J47" s="8">
        <v>3</v>
      </c>
      <c r="K47" s="8">
        <v>0</v>
      </c>
      <c r="L47" s="8">
        <v>0</v>
      </c>
      <c r="M47" s="9">
        <f t="shared" si="122"/>
        <v>7</v>
      </c>
      <c r="N47" s="8">
        <v>2320.5</v>
      </c>
      <c r="O47" s="8">
        <v>9.5</v>
      </c>
      <c r="P47" s="8">
        <v>0</v>
      </c>
      <c r="Q47" s="8">
        <v>0</v>
      </c>
      <c r="R47" s="9">
        <f t="shared" si="123"/>
        <v>2330</v>
      </c>
      <c r="S47" s="9">
        <f t="shared" si="124"/>
        <v>2337</v>
      </c>
      <c r="T47" s="8">
        <v>243</v>
      </c>
      <c r="U47" s="10">
        <f t="shared" si="183"/>
        <v>9.4186046511627902E-2</v>
      </c>
      <c r="V47" s="8">
        <v>6</v>
      </c>
      <c r="W47" s="11">
        <f t="shared" si="184"/>
        <v>2.3255813953488372E-3</v>
      </c>
      <c r="X47" s="8">
        <v>0</v>
      </c>
      <c r="Y47" s="11">
        <f t="shared" si="185"/>
        <v>0</v>
      </c>
      <c r="Z47" s="8">
        <v>0</v>
      </c>
      <c r="AA47" s="11">
        <f t="shared" si="186"/>
        <v>0</v>
      </c>
      <c r="AB47" s="8">
        <v>0</v>
      </c>
      <c r="AC47" s="11">
        <f t="shared" si="187"/>
        <v>0</v>
      </c>
      <c r="AD47" s="8">
        <v>0</v>
      </c>
      <c r="AE47" s="11">
        <f t="shared" si="188"/>
        <v>0</v>
      </c>
      <c r="AF47" s="8">
        <v>0</v>
      </c>
      <c r="AG47" s="11">
        <f t="shared" si="189"/>
        <v>0</v>
      </c>
      <c r="AH47" s="8">
        <v>21151.74</v>
      </c>
      <c r="AI47" s="9">
        <f t="shared" si="190"/>
        <v>8.1983488372093021</v>
      </c>
      <c r="AJ47" s="8">
        <v>3720</v>
      </c>
      <c r="AK47" s="11">
        <f t="shared" si="191"/>
        <v>1.441860465116279</v>
      </c>
      <c r="AL47" s="8">
        <v>641239.30000000005</v>
      </c>
      <c r="AM47" s="9">
        <f t="shared" si="192"/>
        <v>248.54236434108529</v>
      </c>
      <c r="AN47" s="8">
        <v>0</v>
      </c>
      <c r="AO47" s="8">
        <v>0</v>
      </c>
      <c r="AP47" s="8">
        <v>0</v>
      </c>
      <c r="AQ47" s="8">
        <v>0</v>
      </c>
      <c r="AR47" s="8">
        <v>2888042.22</v>
      </c>
      <c r="AS47" s="8">
        <v>504000.64</v>
      </c>
      <c r="AT47" s="8">
        <v>0</v>
      </c>
      <c r="AU47" s="9">
        <f t="shared" si="193"/>
        <v>4054433.9000000004</v>
      </c>
      <c r="AV47" s="9">
        <f t="shared" si="194"/>
        <v>1571.4860077519381</v>
      </c>
      <c r="AW47" s="9">
        <f t="shared" si="195"/>
        <v>1734.8882755669663</v>
      </c>
      <c r="AX47" s="8">
        <v>6</v>
      </c>
      <c r="AY47" s="9">
        <f t="shared" si="196"/>
        <v>27.906976744186046</v>
      </c>
      <c r="AZ47" s="8">
        <v>5</v>
      </c>
      <c r="BA47" s="8">
        <v>17</v>
      </c>
      <c r="BB47" s="8">
        <v>1</v>
      </c>
      <c r="BC47" s="8">
        <v>0</v>
      </c>
      <c r="BD47" s="8">
        <v>3</v>
      </c>
      <c r="BE47" s="9">
        <f t="shared" si="197"/>
        <v>3</v>
      </c>
      <c r="BF47" s="9">
        <f t="shared" si="198"/>
        <v>15</v>
      </c>
      <c r="BG47" s="8">
        <v>3</v>
      </c>
      <c r="BH47" s="8">
        <v>0</v>
      </c>
      <c r="BI47" s="8">
        <v>0</v>
      </c>
      <c r="BJ47" s="8">
        <v>0</v>
      </c>
      <c r="BK47" s="9">
        <f t="shared" si="199"/>
        <v>0</v>
      </c>
      <c r="BL47" s="9">
        <f t="shared" si="200"/>
        <v>3</v>
      </c>
      <c r="BM47" s="8">
        <v>0</v>
      </c>
      <c r="BN47" s="8">
        <v>0</v>
      </c>
      <c r="BO47" s="8">
        <v>0</v>
      </c>
      <c r="BP47" s="8">
        <v>0</v>
      </c>
      <c r="BQ47" s="9">
        <f t="shared" si="201"/>
        <v>0</v>
      </c>
      <c r="BR47" s="9">
        <f t="shared" si="202"/>
        <v>0</v>
      </c>
      <c r="BS47" s="8">
        <v>0</v>
      </c>
      <c r="BT47" s="8">
        <v>0</v>
      </c>
      <c r="BU47" s="8">
        <v>0</v>
      </c>
      <c r="BV47" s="8">
        <v>0</v>
      </c>
      <c r="BW47" s="9">
        <f t="shared" si="203"/>
        <v>0</v>
      </c>
      <c r="BX47" s="9">
        <f t="shared" si="204"/>
        <v>0</v>
      </c>
      <c r="BY47" s="9">
        <f t="shared" si="205"/>
        <v>20</v>
      </c>
      <c r="BZ47" s="9">
        <f t="shared" si="206"/>
        <v>1</v>
      </c>
      <c r="CA47" s="9">
        <f t="shared" si="207"/>
        <v>3</v>
      </c>
      <c r="CB47" s="9">
        <f t="shared" si="208"/>
        <v>18</v>
      </c>
      <c r="CC47" s="8">
        <v>3</v>
      </c>
      <c r="CD47" s="8">
        <v>0</v>
      </c>
      <c r="CE47" s="8">
        <v>0</v>
      </c>
      <c r="CF47" s="8">
        <v>3</v>
      </c>
      <c r="CG47" s="8">
        <v>0</v>
      </c>
      <c r="CH47" s="9">
        <f t="shared" si="209"/>
        <v>3</v>
      </c>
      <c r="CI47" s="8">
        <v>1</v>
      </c>
      <c r="CJ47" s="8">
        <v>2</v>
      </c>
      <c r="CK47" s="8">
        <v>0</v>
      </c>
      <c r="CL47" s="8">
        <v>0</v>
      </c>
      <c r="CM47" s="9">
        <f t="shared" si="210"/>
        <v>3</v>
      </c>
      <c r="CN47" s="8">
        <v>662</v>
      </c>
      <c r="CO47" s="8">
        <v>21</v>
      </c>
      <c r="CP47" s="8">
        <v>17</v>
      </c>
      <c r="CQ47" s="8">
        <v>3</v>
      </c>
      <c r="CR47" s="9">
        <f t="shared" si="211"/>
        <v>703</v>
      </c>
      <c r="CS47" s="9">
        <f t="shared" si="212"/>
        <v>706</v>
      </c>
      <c r="CT47" s="8">
        <v>709</v>
      </c>
      <c r="CU47" s="8">
        <v>4326.84</v>
      </c>
      <c r="CV47" s="8">
        <v>2877.49</v>
      </c>
      <c r="CW47" s="10">
        <f t="shared" si="213"/>
        <v>0.66503267973856206</v>
      </c>
      <c r="CX47" s="8"/>
      <c r="CY47" s="8"/>
      <c r="CZ47" s="8"/>
      <c r="DA47" s="8"/>
      <c r="DB47" s="9">
        <f t="shared" si="214"/>
        <v>0</v>
      </c>
      <c r="DC47" s="8">
        <v>0</v>
      </c>
      <c r="DD47" s="8">
        <v>0</v>
      </c>
      <c r="DE47" s="8">
        <v>0</v>
      </c>
      <c r="DF47" s="8">
        <v>0</v>
      </c>
      <c r="DG47" s="9">
        <f t="shared" si="215"/>
        <v>0</v>
      </c>
      <c r="DH47" s="8">
        <v>0</v>
      </c>
      <c r="DI47" s="8">
        <v>0</v>
      </c>
      <c r="DJ47" s="8">
        <v>0</v>
      </c>
      <c r="DK47" s="8">
        <v>0</v>
      </c>
      <c r="DL47" s="9">
        <f t="shared" si="216"/>
        <v>0</v>
      </c>
      <c r="DM47" s="8">
        <v>0</v>
      </c>
      <c r="DN47" s="8">
        <v>3</v>
      </c>
      <c r="DO47" s="8">
        <v>2</v>
      </c>
      <c r="DP47" s="8">
        <v>1</v>
      </c>
      <c r="DQ47" s="9">
        <f t="shared" si="217"/>
        <v>0</v>
      </c>
      <c r="DR47" s="9">
        <f t="shared" si="218"/>
        <v>0</v>
      </c>
      <c r="DS47" s="9">
        <f t="shared" si="219"/>
        <v>3</v>
      </c>
      <c r="DT47" s="9">
        <f t="shared" si="220"/>
        <v>2</v>
      </c>
      <c r="DU47" s="9">
        <f t="shared" si="221"/>
        <v>1</v>
      </c>
      <c r="DV47" s="9">
        <f t="shared" si="222"/>
        <v>0</v>
      </c>
      <c r="DW47" s="8">
        <v>56</v>
      </c>
      <c r="DX47" s="8">
        <v>6</v>
      </c>
      <c r="DY47" s="8">
        <v>5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9">
        <f t="shared" si="223"/>
        <v>67</v>
      </c>
      <c r="FH47" s="8">
        <v>1</v>
      </c>
      <c r="FI47" s="8">
        <v>312</v>
      </c>
      <c r="FJ47" s="8">
        <v>720</v>
      </c>
      <c r="FK47" s="8">
        <v>179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9">
        <f t="shared" si="224"/>
        <v>0</v>
      </c>
      <c r="FR47" s="8">
        <v>0</v>
      </c>
      <c r="FS47" s="8">
        <v>0</v>
      </c>
      <c r="FT47" s="8">
        <v>0</v>
      </c>
      <c r="FU47" s="8">
        <v>0</v>
      </c>
      <c r="FV47" s="9">
        <f t="shared" si="225"/>
        <v>0</v>
      </c>
      <c r="FW47" s="8">
        <v>3146565.9</v>
      </c>
      <c r="FX47" s="8">
        <v>2000</v>
      </c>
      <c r="FY47" s="8">
        <v>97400</v>
      </c>
      <c r="FZ47" s="8">
        <v>25500</v>
      </c>
      <c r="GA47" s="9">
        <f t="shared" si="226"/>
        <v>3271465.9</v>
      </c>
      <c r="GB47" s="9">
        <f t="shared" si="227"/>
        <v>3271465.9</v>
      </c>
      <c r="GC47" s="8">
        <v>6680.52</v>
      </c>
      <c r="GD47" s="8">
        <v>0</v>
      </c>
      <c r="GE47" s="8">
        <v>8410.99</v>
      </c>
      <c r="GF47" s="8">
        <v>0</v>
      </c>
      <c r="GG47" s="9">
        <f t="shared" si="228"/>
        <v>15091.51</v>
      </c>
      <c r="GH47" s="8">
        <v>2905065.9</v>
      </c>
      <c r="GI47" s="8">
        <v>2000</v>
      </c>
      <c r="GJ47" s="8">
        <v>25500</v>
      </c>
      <c r="GK47" s="8">
        <v>97400</v>
      </c>
      <c r="GL47" s="9">
        <f t="shared" si="229"/>
        <v>3029965.9</v>
      </c>
      <c r="GM47" s="9">
        <f t="shared" si="230"/>
        <v>3045057.4099999997</v>
      </c>
      <c r="GN47" s="8">
        <v>1089.8599999999999</v>
      </c>
      <c r="GO47" s="8">
        <v>0</v>
      </c>
      <c r="GP47" s="8">
        <v>3393.64</v>
      </c>
      <c r="GQ47" s="8">
        <v>0</v>
      </c>
      <c r="GR47" s="9">
        <f t="shared" si="231"/>
        <v>4483.5</v>
      </c>
      <c r="GS47" s="8">
        <v>1786</v>
      </c>
      <c r="GT47" s="8">
        <v>0</v>
      </c>
      <c r="GU47" s="8">
        <v>893</v>
      </c>
      <c r="GV47" s="8">
        <v>0</v>
      </c>
      <c r="GW47" s="9">
        <f t="shared" si="232"/>
        <v>2679</v>
      </c>
      <c r="GX47" s="9">
        <f t="shared" si="233"/>
        <v>3052219.9099999997</v>
      </c>
      <c r="GY47" s="8">
        <v>444876.44</v>
      </c>
      <c r="GZ47" s="8">
        <v>342279.12</v>
      </c>
      <c r="HA47" s="9">
        <f t="shared" si="234"/>
        <v>787155.56</v>
      </c>
      <c r="HB47" s="9">
        <f t="shared" si="235"/>
        <v>1.3283557605782084</v>
      </c>
      <c r="HC47" s="10">
        <f t="shared" si="236"/>
        <v>0.93548063095259026</v>
      </c>
      <c r="HD47" s="9">
        <f t="shared" si="237"/>
        <v>1.0718316492470559</v>
      </c>
      <c r="HE47" s="8">
        <v>3</v>
      </c>
      <c r="HF47" s="8">
        <v>1</v>
      </c>
      <c r="HG47" s="8">
        <v>18</v>
      </c>
      <c r="HH47" s="8">
        <v>1</v>
      </c>
      <c r="HI47" s="8">
        <v>0</v>
      </c>
      <c r="HJ47" s="9">
        <f t="shared" si="238"/>
        <v>1</v>
      </c>
      <c r="HK47" s="10">
        <f t="shared" si="239"/>
        <v>0.33333333333333331</v>
      </c>
      <c r="HL47" s="8">
        <v>28</v>
      </c>
      <c r="HM47" s="8">
        <v>4</v>
      </c>
      <c r="HN47" s="11">
        <f t="shared" si="240"/>
        <v>0.14285714285714285</v>
      </c>
    </row>
    <row r="48" spans="1:222" x14ac:dyDescent="0.3">
      <c r="A48" s="12" t="s">
        <v>255</v>
      </c>
      <c r="B48" s="12" t="s">
        <v>275</v>
      </c>
      <c r="C48" s="13" t="s">
        <v>257</v>
      </c>
      <c r="D48" s="13">
        <v>2026</v>
      </c>
      <c r="E48" s="13">
        <v>1</v>
      </c>
      <c r="F48" s="13" t="s">
        <v>270</v>
      </c>
      <c r="G48" s="13" t="s">
        <v>271</v>
      </c>
      <c r="H48" s="14">
        <v>3204</v>
      </c>
      <c r="I48" s="14">
        <v>5</v>
      </c>
      <c r="J48" s="14">
        <v>0</v>
      </c>
      <c r="K48" s="14">
        <v>1</v>
      </c>
      <c r="L48" s="14">
        <v>0</v>
      </c>
      <c r="M48" s="15">
        <v>6</v>
      </c>
      <c r="N48" s="14">
        <v>2770.9</v>
      </c>
      <c r="O48" s="14">
        <v>87.1</v>
      </c>
      <c r="P48" s="14">
        <v>61.5</v>
      </c>
      <c r="Q48" s="14">
        <v>24.5</v>
      </c>
      <c r="R48" s="15">
        <v>2944</v>
      </c>
      <c r="S48" s="15">
        <v>2950</v>
      </c>
      <c r="T48" s="14">
        <v>254</v>
      </c>
      <c r="U48" s="16">
        <v>7.9275905118601747E-2</v>
      </c>
      <c r="V48" s="14">
        <v>8</v>
      </c>
      <c r="W48" s="17">
        <v>2.4968789013732828</v>
      </c>
      <c r="X48" s="14">
        <v>0</v>
      </c>
      <c r="Y48" s="17">
        <v>0</v>
      </c>
      <c r="Z48" s="14">
        <v>0</v>
      </c>
      <c r="AA48" s="17">
        <v>0</v>
      </c>
      <c r="AB48" s="14">
        <v>0</v>
      </c>
      <c r="AC48" s="17">
        <v>0</v>
      </c>
      <c r="AD48" s="14">
        <v>0</v>
      </c>
      <c r="AE48" s="17">
        <v>0</v>
      </c>
      <c r="AF48" s="14">
        <v>0</v>
      </c>
      <c r="AG48" s="17">
        <v>0</v>
      </c>
      <c r="AH48" s="14">
        <v>28202.32</v>
      </c>
      <c r="AI48" s="15">
        <v>8.8022222222222215</v>
      </c>
      <c r="AJ48" s="14">
        <v>4301</v>
      </c>
      <c r="AK48" s="17">
        <v>1.342384519350811</v>
      </c>
      <c r="AL48" s="14">
        <v>738369.42749999999</v>
      </c>
      <c r="AM48" s="15">
        <v>230.4523806179775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494308.32</v>
      </c>
      <c r="AT48" s="14">
        <v>0</v>
      </c>
      <c r="AU48" s="15">
        <v>1260880.0674999999</v>
      </c>
      <c r="AV48" s="15">
        <v>393.53310471285891</v>
      </c>
      <c r="AW48" s="15">
        <v>427.41697203389828</v>
      </c>
      <c r="AX48" s="14">
        <v>6</v>
      </c>
      <c r="AY48" s="15">
        <v>58.052434456928843</v>
      </c>
      <c r="AZ48" s="14">
        <v>4</v>
      </c>
      <c r="BA48" s="14">
        <v>15</v>
      </c>
      <c r="BB48" s="14">
        <v>0</v>
      </c>
      <c r="BC48" s="14">
        <v>0</v>
      </c>
      <c r="BD48" s="14">
        <v>2</v>
      </c>
      <c r="BE48" s="15">
        <v>2</v>
      </c>
      <c r="BF48" s="15">
        <v>13</v>
      </c>
      <c r="BG48" s="14">
        <v>3</v>
      </c>
      <c r="BH48" s="14">
        <v>0</v>
      </c>
      <c r="BI48" s="14">
        <v>0</v>
      </c>
      <c r="BJ48" s="14">
        <v>0</v>
      </c>
      <c r="BK48" s="15">
        <v>0</v>
      </c>
      <c r="BL48" s="15">
        <v>3</v>
      </c>
      <c r="BM48" s="14">
        <v>0</v>
      </c>
      <c r="BN48" s="14">
        <v>0</v>
      </c>
      <c r="BO48" s="14">
        <v>0</v>
      </c>
      <c r="BP48" s="14">
        <v>0</v>
      </c>
      <c r="BQ48" s="15">
        <v>0</v>
      </c>
      <c r="BR48" s="15">
        <v>0</v>
      </c>
      <c r="BS48" s="14">
        <v>0</v>
      </c>
      <c r="BT48" s="14">
        <v>0</v>
      </c>
      <c r="BU48" s="14">
        <v>0</v>
      </c>
      <c r="BV48" s="14">
        <v>0</v>
      </c>
      <c r="BW48" s="15">
        <v>0</v>
      </c>
      <c r="BX48" s="15">
        <v>0</v>
      </c>
      <c r="BY48" s="15">
        <v>18</v>
      </c>
      <c r="BZ48" s="15">
        <v>0</v>
      </c>
      <c r="CA48" s="15">
        <v>2</v>
      </c>
      <c r="CB48" s="15">
        <v>16</v>
      </c>
      <c r="CC48" s="14">
        <v>2</v>
      </c>
      <c r="CD48" s="14">
        <v>0</v>
      </c>
      <c r="CE48" s="14">
        <v>0</v>
      </c>
      <c r="CF48" s="14">
        <v>3</v>
      </c>
      <c r="CG48" s="14">
        <v>0</v>
      </c>
      <c r="CH48" s="15">
        <v>3</v>
      </c>
      <c r="CI48" s="14">
        <v>1</v>
      </c>
      <c r="CJ48" s="14">
        <v>2</v>
      </c>
      <c r="CK48" s="14">
        <v>0</v>
      </c>
      <c r="CL48" s="14">
        <v>0</v>
      </c>
      <c r="CM48" s="15">
        <v>3</v>
      </c>
      <c r="CN48" s="14">
        <v>664</v>
      </c>
      <c r="CO48" s="14">
        <v>21</v>
      </c>
      <c r="CP48" s="14">
        <v>17</v>
      </c>
      <c r="CQ48" s="14">
        <v>3</v>
      </c>
      <c r="CR48" s="15">
        <v>705</v>
      </c>
      <c r="CS48" s="15">
        <v>708</v>
      </c>
      <c r="CT48" s="14">
        <v>711</v>
      </c>
      <c r="CU48" s="14">
        <v>4348</v>
      </c>
      <c r="CV48" s="14">
        <v>2891</v>
      </c>
      <c r="CW48" s="16">
        <v>0.6649034038638455</v>
      </c>
      <c r="CX48" s="14">
        <v>0</v>
      </c>
      <c r="CY48" s="14">
        <v>0</v>
      </c>
      <c r="CZ48" s="14">
        <v>0</v>
      </c>
      <c r="DA48" s="14">
        <v>0</v>
      </c>
      <c r="DB48" s="15">
        <v>0</v>
      </c>
      <c r="DC48" s="14">
        <v>0</v>
      </c>
      <c r="DD48" s="14">
        <v>0</v>
      </c>
      <c r="DE48" s="14">
        <v>0</v>
      </c>
      <c r="DF48" s="14">
        <v>0</v>
      </c>
      <c r="DG48" s="15">
        <v>0</v>
      </c>
      <c r="DH48" s="14">
        <v>0</v>
      </c>
      <c r="DI48" s="14">
        <v>0</v>
      </c>
      <c r="DJ48" s="14">
        <v>0</v>
      </c>
      <c r="DK48" s="14">
        <v>0</v>
      </c>
      <c r="DL48" s="15">
        <v>0</v>
      </c>
      <c r="DM48" s="14">
        <v>0</v>
      </c>
      <c r="DN48" s="14">
        <v>0</v>
      </c>
      <c r="DO48" s="14">
        <v>0</v>
      </c>
      <c r="DP48" s="14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4">
        <v>63</v>
      </c>
      <c r="DX48" s="14">
        <v>6</v>
      </c>
      <c r="DY48" s="14">
        <v>4</v>
      </c>
      <c r="DZ48" s="14">
        <v>2</v>
      </c>
      <c r="EA48" s="14">
        <v>4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5">
        <v>79</v>
      </c>
      <c r="FH48" s="14">
        <v>1</v>
      </c>
      <c r="FI48" s="14">
        <v>720</v>
      </c>
      <c r="FJ48" s="14">
        <v>720</v>
      </c>
      <c r="FK48" s="14">
        <v>96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5">
        <v>0</v>
      </c>
      <c r="FR48" s="14">
        <v>0</v>
      </c>
      <c r="FS48" s="14">
        <v>0</v>
      </c>
      <c r="FT48" s="14">
        <v>0</v>
      </c>
      <c r="FU48" s="14">
        <v>0</v>
      </c>
      <c r="FV48" s="15">
        <v>0</v>
      </c>
      <c r="FW48" s="14">
        <v>3495380</v>
      </c>
      <c r="FX48" s="14">
        <v>18500</v>
      </c>
      <c r="FY48" s="14">
        <v>116700</v>
      </c>
      <c r="FZ48" s="14">
        <v>186400</v>
      </c>
      <c r="GA48" s="15">
        <v>3816980</v>
      </c>
      <c r="GB48" s="15">
        <v>3816980</v>
      </c>
      <c r="GC48" s="14">
        <v>7560.22</v>
      </c>
      <c r="GD48" s="14">
        <v>0</v>
      </c>
      <c r="GE48" s="14">
        <v>8410.99</v>
      </c>
      <c r="GF48" s="14">
        <v>0</v>
      </c>
      <c r="GG48" s="15">
        <v>15971.21</v>
      </c>
      <c r="GH48" s="14">
        <v>3452567.41</v>
      </c>
      <c r="GI48" s="14">
        <v>18500</v>
      </c>
      <c r="GJ48" s="14">
        <v>186366.07999999999</v>
      </c>
      <c r="GK48" s="14">
        <v>116700</v>
      </c>
      <c r="GL48" s="15">
        <v>3774133.49</v>
      </c>
      <c r="GM48" s="15">
        <v>3790104.7</v>
      </c>
      <c r="GN48" s="14">
        <v>1089.8599999999999</v>
      </c>
      <c r="GO48" s="14">
        <v>0</v>
      </c>
      <c r="GP48" s="14">
        <v>3393.64</v>
      </c>
      <c r="GQ48" s="14">
        <v>0</v>
      </c>
      <c r="GR48" s="15">
        <v>4483.5</v>
      </c>
      <c r="GS48" s="14">
        <v>1786</v>
      </c>
      <c r="GT48" s="14">
        <v>0</v>
      </c>
      <c r="GU48" s="14">
        <v>893</v>
      </c>
      <c r="GV48" s="14">
        <v>0</v>
      </c>
      <c r="GW48" s="15">
        <v>2679</v>
      </c>
      <c r="GX48" s="15">
        <v>3797267.2</v>
      </c>
      <c r="GY48" s="14">
        <v>444876.44</v>
      </c>
      <c r="GZ48" s="14">
        <v>232433.45</v>
      </c>
      <c r="HA48" s="15">
        <v>677309.89</v>
      </c>
      <c r="HB48" s="15">
        <v>3797267.2</v>
      </c>
      <c r="HC48" s="16">
        <v>444876.44</v>
      </c>
      <c r="HD48" s="15">
        <v>232433.45</v>
      </c>
      <c r="HE48" s="14">
        <v>11</v>
      </c>
      <c r="HF48" s="14">
        <v>1</v>
      </c>
      <c r="HG48" s="14">
        <v>16</v>
      </c>
      <c r="HH48" s="14">
        <v>0</v>
      </c>
      <c r="HI48" s="14">
        <v>0</v>
      </c>
      <c r="HJ48" s="15"/>
      <c r="HK48" s="16">
        <v>0</v>
      </c>
      <c r="HL48" s="14">
        <v>30</v>
      </c>
      <c r="HM48" s="14">
        <v>3</v>
      </c>
      <c r="HN48" s="17">
        <v>10</v>
      </c>
    </row>
    <row r="49" spans="1:222" x14ac:dyDescent="0.3">
      <c r="A49" s="6" t="s">
        <v>255</v>
      </c>
      <c r="B49" s="6" t="s">
        <v>275</v>
      </c>
      <c r="C49" s="7" t="s">
        <v>257</v>
      </c>
      <c r="D49" s="7">
        <v>2026</v>
      </c>
      <c r="E49" s="7">
        <v>2</v>
      </c>
      <c r="F49" s="7" t="s">
        <v>272</v>
      </c>
      <c r="G49" s="7" t="s">
        <v>271</v>
      </c>
      <c r="H49" s="8">
        <v>3033</v>
      </c>
      <c r="I49" s="8">
        <v>6</v>
      </c>
      <c r="J49" s="8">
        <v>0</v>
      </c>
      <c r="K49" s="8">
        <v>4</v>
      </c>
      <c r="L49" s="8">
        <v>0</v>
      </c>
      <c r="M49" s="9">
        <f t="shared" ref="M49:M59" si="241">SUM(I49,J49,K49,L49)</f>
        <v>10</v>
      </c>
      <c r="N49" s="8">
        <v>2517.3000000000002</v>
      </c>
      <c r="O49" s="8">
        <v>131.80000000000001</v>
      </c>
      <c r="P49" s="8">
        <v>57.7</v>
      </c>
      <c r="Q49" s="8">
        <v>39.4</v>
      </c>
      <c r="R49" s="9">
        <f t="shared" ref="R49:R59" si="242">SUM(N49,O49,P49,Q49)</f>
        <v>2746.2000000000003</v>
      </c>
      <c r="S49" s="9">
        <f t="shared" ref="S49:S59" si="243">M49+R49</f>
        <v>2756.2000000000003</v>
      </c>
      <c r="T49" s="8">
        <v>276.79999999999973</v>
      </c>
      <c r="U49" s="10">
        <f t="shared" ref="U49:U59" si="244">IF(H49=0,"",T49/H49)</f>
        <v>9.1262776129244882E-2</v>
      </c>
      <c r="V49" s="8">
        <v>8</v>
      </c>
      <c r="W49" s="11">
        <f t="shared" ref="W49:W59" si="245">IF(H49=0,"",V49/H49)</f>
        <v>2.6376524892845368E-3</v>
      </c>
      <c r="X49" s="8">
        <v>0</v>
      </c>
      <c r="Y49" s="11">
        <f t="shared" ref="Y49:Y59" si="246">IF(H49=0,"",X49/H49)</f>
        <v>0</v>
      </c>
      <c r="Z49" s="8">
        <v>0</v>
      </c>
      <c r="AA49" s="11">
        <f t="shared" ref="AA49:AA59" si="247">IF(H49=0,"",Z49/H49)</f>
        <v>0</v>
      </c>
      <c r="AB49" s="8">
        <v>0</v>
      </c>
      <c r="AC49" s="11">
        <f t="shared" ref="AC49:AC59" si="248">IF(H49=0,"",AB49/H49)</f>
        <v>0</v>
      </c>
      <c r="AD49" s="8">
        <v>0</v>
      </c>
      <c r="AE49" s="11">
        <f t="shared" ref="AE49:AE59" si="249">IF(H49=0,"",AD49/H49)</f>
        <v>0</v>
      </c>
      <c r="AF49" s="8">
        <v>0</v>
      </c>
      <c r="AG49" s="11">
        <f t="shared" ref="AG49:AG59" si="250">IF(H49=0,"",AF49/H49)</f>
        <v>0</v>
      </c>
      <c r="AH49" s="8">
        <v>28202.32</v>
      </c>
      <c r="AI49" s="9">
        <f t="shared" ref="AI49:AI59" si="251">IF(H49=0,"",AH49/H49)</f>
        <v>9.2984899439498854</v>
      </c>
      <c r="AJ49" s="8">
        <v>2884</v>
      </c>
      <c r="AK49" s="11">
        <f t="shared" ref="AK49:AK59" si="252">IF(H49=0,"",AJ49/H49)</f>
        <v>0.95087372238707546</v>
      </c>
      <c r="AL49" s="8">
        <v>501478.91</v>
      </c>
      <c r="AM49" s="9">
        <f t="shared" ref="AM49:AM59" si="253">IF(H49=0,"",AL49/H49)</f>
        <v>165.34088691064952</v>
      </c>
      <c r="AN49" s="8">
        <v>0</v>
      </c>
      <c r="AO49" s="8">
        <v>0</v>
      </c>
      <c r="AP49" s="8">
        <v>0</v>
      </c>
      <c r="AQ49" s="8">
        <v>0</v>
      </c>
      <c r="AR49" s="8">
        <v>2570883.3199999998</v>
      </c>
      <c r="AS49" s="8">
        <v>0</v>
      </c>
      <c r="AT49" s="8">
        <v>0</v>
      </c>
      <c r="AU49" s="9">
        <f t="shared" ref="AU49:AU59" si="254">AH49+AL49+AP49+AQ49+AR49+AS49+AT49</f>
        <v>3100564.55</v>
      </c>
      <c r="AV49" s="9">
        <f t="shared" ref="AV49:AV59" si="255">IF(H49=0,"",AU49/H49)</f>
        <v>1022.2764754368611</v>
      </c>
      <c r="AW49" s="9">
        <f t="shared" ref="AW49:AW59" si="256">IF(S49=0,"",AU49/S49)</f>
        <v>1124.9417857920323</v>
      </c>
      <c r="AX49" s="8">
        <v>5</v>
      </c>
      <c r="AY49" s="9">
        <f t="shared" ref="AY49:AY59" si="257">IF(H49=0,"",AX49/(H49/1000/12))</f>
        <v>19.782393669634029</v>
      </c>
      <c r="AZ49" s="8">
        <v>5</v>
      </c>
      <c r="BA49" s="8">
        <v>13</v>
      </c>
      <c r="BB49" s="8">
        <v>2</v>
      </c>
      <c r="BC49" s="8">
        <v>0</v>
      </c>
      <c r="BD49" s="8">
        <v>0</v>
      </c>
      <c r="BE49" s="9">
        <f t="shared" ref="BE49:BE59" si="258">BC49+BD49</f>
        <v>0</v>
      </c>
      <c r="BF49" s="9">
        <f t="shared" ref="BF49:BF59" si="259">BA49+BB49-BE49</f>
        <v>15</v>
      </c>
      <c r="BG49" s="8">
        <v>3</v>
      </c>
      <c r="BH49" s="8">
        <v>0</v>
      </c>
      <c r="BI49" s="8">
        <v>0</v>
      </c>
      <c r="BJ49" s="8">
        <v>0</v>
      </c>
      <c r="BK49" s="9">
        <f t="shared" ref="BK49:BK59" si="260">BI49+BJ49</f>
        <v>0</v>
      </c>
      <c r="BL49" s="9">
        <f t="shared" ref="BL49:BL59" si="261">BG49+BH49-BK49</f>
        <v>3</v>
      </c>
      <c r="BM49" s="8">
        <v>0</v>
      </c>
      <c r="BN49" s="8">
        <v>0</v>
      </c>
      <c r="BO49" s="8">
        <v>0</v>
      </c>
      <c r="BP49" s="8">
        <v>0</v>
      </c>
      <c r="BQ49" s="9">
        <f t="shared" ref="BQ49:BQ59" si="262">BO49+BP49</f>
        <v>0</v>
      </c>
      <c r="BR49" s="9">
        <f t="shared" ref="BR49:BR59" si="263">BM49+BN49-BQ49</f>
        <v>0</v>
      </c>
      <c r="BS49" s="8">
        <v>0</v>
      </c>
      <c r="BT49" s="8">
        <v>0</v>
      </c>
      <c r="BU49" s="8">
        <v>0</v>
      </c>
      <c r="BV49" s="8">
        <v>0</v>
      </c>
      <c r="BW49" s="9">
        <f t="shared" ref="BW49:BW59" si="264">BU49+BV49</f>
        <v>0</v>
      </c>
      <c r="BX49" s="9">
        <f t="shared" ref="BX49:BX59" si="265">BS49+BT49-BW49</f>
        <v>0</v>
      </c>
      <c r="BY49" s="9">
        <f t="shared" ref="BY49:BY59" si="266">BA49+BG49+BM49+BS49</f>
        <v>16</v>
      </c>
      <c r="BZ49" s="9">
        <f t="shared" ref="BZ49:BZ59" si="267">BB49+BH49+BN49+BT49</f>
        <v>2</v>
      </c>
      <c r="CA49" s="9">
        <f t="shared" ref="CA49:CA59" si="268">BE49+BK49+BQ49+BW49</f>
        <v>0</v>
      </c>
      <c r="CB49" s="9">
        <f t="shared" ref="CB49:CB59" si="269">BF49+BL49+BR49+BX49</f>
        <v>18</v>
      </c>
      <c r="CC49" s="8">
        <v>0</v>
      </c>
      <c r="CD49" s="8">
        <v>0</v>
      </c>
      <c r="CE49" s="8">
        <v>0</v>
      </c>
      <c r="CF49" s="8">
        <v>3</v>
      </c>
      <c r="CG49" s="8">
        <v>0</v>
      </c>
      <c r="CH49" s="9">
        <f t="shared" ref="CH49:CH59" si="270">CD49+CE49+CF49+CG49</f>
        <v>3</v>
      </c>
      <c r="CI49" s="8">
        <v>1</v>
      </c>
      <c r="CJ49" s="8">
        <v>2</v>
      </c>
      <c r="CK49" s="8">
        <v>0</v>
      </c>
      <c r="CL49" s="8">
        <v>0</v>
      </c>
      <c r="CM49" s="9">
        <f t="shared" ref="CM49:CM59" si="271">CI49+CJ49+CK49+CL49</f>
        <v>3</v>
      </c>
      <c r="CN49" s="8">
        <v>664</v>
      </c>
      <c r="CO49" s="8">
        <v>21</v>
      </c>
      <c r="CP49" s="8">
        <v>17</v>
      </c>
      <c r="CQ49" s="8">
        <v>3</v>
      </c>
      <c r="CR49" s="9">
        <f t="shared" ref="CR49:CR59" si="272">CN49+CO49+CP49+CQ49</f>
        <v>705</v>
      </c>
      <c r="CS49" s="9">
        <f t="shared" ref="CS49:CS59" si="273">CM49+CR49</f>
        <v>708</v>
      </c>
      <c r="CT49" s="8">
        <v>711</v>
      </c>
      <c r="CU49" s="8">
        <v>4261</v>
      </c>
      <c r="CV49" s="8">
        <v>2833</v>
      </c>
      <c r="CW49" s="10">
        <f t="shared" ref="CW49:CW59" si="274">IF(CU49=0,"",CV49/CU49)</f>
        <v>0.66486740201830552</v>
      </c>
      <c r="CX49" s="8"/>
      <c r="CY49" s="8"/>
      <c r="CZ49" s="8"/>
      <c r="DA49" s="8"/>
      <c r="DB49" s="9">
        <f t="shared" ref="DB49:DB59" si="275">CX49+CY49-CZ49-DA49</f>
        <v>0</v>
      </c>
      <c r="DC49" s="8">
        <v>0</v>
      </c>
      <c r="DD49" s="8">
        <v>0</v>
      </c>
      <c r="DE49" s="8">
        <v>0</v>
      </c>
      <c r="DF49" s="8">
        <v>0</v>
      </c>
      <c r="DG49" s="9">
        <f t="shared" ref="DG49:DG59" si="276">DC49+DD49-DE49-DF49</f>
        <v>0</v>
      </c>
      <c r="DH49" s="8">
        <v>0</v>
      </c>
      <c r="DI49" s="8">
        <v>0</v>
      </c>
      <c r="DJ49" s="8">
        <v>0</v>
      </c>
      <c r="DK49" s="8">
        <v>0</v>
      </c>
      <c r="DL49" s="9">
        <f t="shared" ref="DL49:DL59" si="277">DH49+DI49-DJ49-DK49</f>
        <v>0</v>
      </c>
      <c r="DM49" s="8">
        <v>0</v>
      </c>
      <c r="DN49" s="8">
        <v>0</v>
      </c>
      <c r="DO49" s="8">
        <v>0</v>
      </c>
      <c r="DP49" s="8">
        <v>0</v>
      </c>
      <c r="DQ49" s="9">
        <f t="shared" ref="DQ49:DQ59" si="278">DM49+DN49-DO49-DP49</f>
        <v>0</v>
      </c>
      <c r="DR49" s="9">
        <f t="shared" ref="DR49:DR59" si="279">CX49+DC49+DH49+DM49</f>
        <v>0</v>
      </c>
      <c r="DS49" s="9">
        <f t="shared" ref="DS49:DS59" si="280">CY49+DD49+DI49+DN49</f>
        <v>0</v>
      </c>
      <c r="DT49" s="9">
        <f t="shared" ref="DT49:DT59" si="281">CZ49+DE49+DJ49+DO49</f>
        <v>0</v>
      </c>
      <c r="DU49" s="9">
        <f t="shared" ref="DU49:DU59" si="282">DA49+DF49+DK49+DP49</f>
        <v>0</v>
      </c>
      <c r="DV49" s="9">
        <f t="shared" ref="DV49:DV59" si="283">DB49+DG49+DL49+DQ49</f>
        <v>0</v>
      </c>
      <c r="DW49" s="8">
        <v>51</v>
      </c>
      <c r="DX49" s="8">
        <v>6</v>
      </c>
      <c r="DY49" s="8">
        <v>3</v>
      </c>
      <c r="DZ49" s="8">
        <v>2</v>
      </c>
      <c r="EA49" s="8">
        <v>1</v>
      </c>
      <c r="EB49" s="8">
        <v>0</v>
      </c>
      <c r="EC49" s="8">
        <v>0</v>
      </c>
      <c r="ED49" s="8">
        <v>1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9">
        <f t="shared" ref="FG49:FG59" si="284">SUM(DW49,DX49,DY49,DZ49,EA49,EB49,EC49,ED49,EE49,EF49,EG49,EH49,EI49,EJ49,EK49,EL49,EM49,EN49,EO49,EP49,EQ49,ER49,ES49,ET49,EU49,EV49,EW49,EX49,EY49,EZ49,FA49,FB49,FC49,FD49,FE49,FF49)</f>
        <v>64</v>
      </c>
      <c r="FH49" s="8">
        <v>1</v>
      </c>
      <c r="FI49" s="8">
        <v>600</v>
      </c>
      <c r="FJ49" s="8">
        <v>720</v>
      </c>
      <c r="FK49" s="8">
        <v>56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9">
        <f t="shared" ref="FQ49:FQ59" si="285">FL49+FM49+FN49+FO49+FP49</f>
        <v>0</v>
      </c>
      <c r="FR49" s="8">
        <v>0</v>
      </c>
      <c r="FS49" s="8">
        <v>0</v>
      </c>
      <c r="FT49" s="8">
        <v>0</v>
      </c>
      <c r="FU49" s="8">
        <v>0</v>
      </c>
      <c r="FV49" s="9">
        <f t="shared" ref="FV49:FV59" si="286">FR49+FS49+FT49+FU49</f>
        <v>0</v>
      </c>
      <c r="FW49" s="8">
        <v>3159978.8</v>
      </c>
      <c r="FX49" s="8">
        <v>28000</v>
      </c>
      <c r="FY49" s="8">
        <v>186600</v>
      </c>
      <c r="FZ49" s="8">
        <v>176100</v>
      </c>
      <c r="GA49" s="9">
        <f t="shared" ref="GA49:GA59" si="287">FW49+FX49+FY49+FZ49</f>
        <v>3550678.8</v>
      </c>
      <c r="GB49" s="9">
        <f t="shared" ref="GB49:GB59" si="288">FV49+GA49</f>
        <v>3550678.8</v>
      </c>
      <c r="GC49" s="8">
        <v>7560.22</v>
      </c>
      <c r="GD49" s="8">
        <v>0</v>
      </c>
      <c r="GE49" s="8">
        <v>8410.99</v>
      </c>
      <c r="GF49" s="8">
        <v>0</v>
      </c>
      <c r="GG49" s="9">
        <f t="shared" ref="GG49:GG59" si="289">GC49+GD49+GE49+GF49</f>
        <v>15971.21</v>
      </c>
      <c r="GH49" s="8">
        <v>3135558.8000000021</v>
      </c>
      <c r="GI49" s="8">
        <v>28000</v>
      </c>
      <c r="GJ49" s="8">
        <v>175500</v>
      </c>
      <c r="GK49" s="8">
        <v>186600</v>
      </c>
      <c r="GL49" s="9">
        <f t="shared" ref="GL49:GL59" si="290">GH49+GI49+GJ49+GK49</f>
        <v>3525658.8000000021</v>
      </c>
      <c r="GM49" s="9">
        <f t="shared" ref="GM49:GM59" si="291">GG49+GL49</f>
        <v>3541630.0100000021</v>
      </c>
      <c r="GN49" s="8">
        <v>1089.8599999999999</v>
      </c>
      <c r="GO49" s="8">
        <v>0</v>
      </c>
      <c r="GP49" s="8">
        <v>3393.64</v>
      </c>
      <c r="GQ49" s="8">
        <v>0</v>
      </c>
      <c r="GR49" s="9">
        <f t="shared" ref="GR49:GR59" si="292">GN49+GO49+GP49+GQ49</f>
        <v>4483.5</v>
      </c>
      <c r="GS49" s="8">
        <v>1786</v>
      </c>
      <c r="GT49" s="8">
        <v>0</v>
      </c>
      <c r="GU49" s="8">
        <v>893</v>
      </c>
      <c r="GV49" s="8">
        <v>0</v>
      </c>
      <c r="GW49" s="9">
        <f t="shared" ref="GW49:GW59" si="293">GS49+GT49+GU49+GV49</f>
        <v>2679</v>
      </c>
      <c r="GX49" s="9">
        <f t="shared" ref="GX49:GX59" si="294">GM49+GR49+GW49</f>
        <v>3548792.5100000021</v>
      </c>
      <c r="GY49" s="8">
        <v>444876.44</v>
      </c>
      <c r="GZ49" s="8">
        <v>255567.16</v>
      </c>
      <c r="HA49" s="9">
        <f t="shared" ref="HA49:HA59" si="295">GY49+GZ49</f>
        <v>700443.6</v>
      </c>
      <c r="HB49" s="9">
        <f t="shared" ref="HB49:HB59" si="296">IF(GX49=0,"",AU49/GX49)</f>
        <v>0.8736956419015881</v>
      </c>
      <c r="HC49" s="10">
        <f t="shared" ref="HC49:HC59" si="297">IF((GX49+GY49)=0,"",GB49/(GX49+GY49))</f>
        <v>0.88907689757309449</v>
      </c>
      <c r="HD49" s="9">
        <f t="shared" ref="HD49:HD59" si="298">IF(GX49=0,"",GB49/GX49)</f>
        <v>1.0005315300893705</v>
      </c>
      <c r="HE49" s="8">
        <v>2</v>
      </c>
      <c r="HF49" s="8">
        <v>1</v>
      </c>
      <c r="HG49" s="8">
        <v>18</v>
      </c>
      <c r="HH49" s="8">
        <v>2</v>
      </c>
      <c r="HI49" s="8">
        <v>0</v>
      </c>
      <c r="HJ49" s="9">
        <f t="shared" ref="HJ49:HJ59" si="299">HF49+HI49</f>
        <v>1</v>
      </c>
      <c r="HK49" s="10">
        <f t="shared" ref="HK49:HK59" si="300">IF(HE49=0,"",HH49/HE49)</f>
        <v>1</v>
      </c>
      <c r="HL49" s="8">
        <v>19</v>
      </c>
      <c r="HM49" s="8">
        <v>3</v>
      </c>
      <c r="HN49" s="11">
        <f t="shared" ref="HN49:HN59" si="301">IF(HL49=0,"",HM49/HL49)</f>
        <v>0.15789473684210525</v>
      </c>
    </row>
    <row r="50" spans="1:222" x14ac:dyDescent="0.3">
      <c r="A50" s="12" t="s">
        <v>255</v>
      </c>
      <c r="B50" s="12" t="s">
        <v>275</v>
      </c>
      <c r="C50" s="13" t="s">
        <v>257</v>
      </c>
      <c r="D50" s="13">
        <v>2026</v>
      </c>
      <c r="E50" s="13">
        <v>3</v>
      </c>
      <c r="F50" s="13" t="s">
        <v>273</v>
      </c>
      <c r="G50" s="13" t="s">
        <v>271</v>
      </c>
      <c r="H50" s="14">
        <v>2612</v>
      </c>
      <c r="I50" s="14">
        <v>4</v>
      </c>
      <c r="J50" s="14">
        <v>0</v>
      </c>
      <c r="K50" s="14">
        <v>1</v>
      </c>
      <c r="L50" s="14">
        <v>0</v>
      </c>
      <c r="M50" s="15">
        <f t="shared" si="241"/>
        <v>5</v>
      </c>
      <c r="N50" s="14">
        <v>2214.5</v>
      </c>
      <c r="O50" s="14">
        <v>9.4</v>
      </c>
      <c r="P50" s="14">
        <v>67.900000000000006</v>
      </c>
      <c r="Q50" s="14">
        <v>56.2</v>
      </c>
      <c r="R50" s="15">
        <f t="shared" si="242"/>
        <v>2348</v>
      </c>
      <c r="S50" s="15">
        <f t="shared" si="243"/>
        <v>2353</v>
      </c>
      <c r="T50" s="14">
        <v>259</v>
      </c>
      <c r="U50" s="16">
        <f t="shared" si="244"/>
        <v>9.9157733537519138E-2</v>
      </c>
      <c r="V50" s="14">
        <v>8</v>
      </c>
      <c r="W50" s="17">
        <f t="shared" si="245"/>
        <v>3.0627871362940277E-3</v>
      </c>
      <c r="X50" s="14">
        <v>0</v>
      </c>
      <c r="Y50" s="17">
        <f t="shared" si="246"/>
        <v>0</v>
      </c>
      <c r="Z50" s="14">
        <v>0</v>
      </c>
      <c r="AA50" s="17">
        <f t="shared" si="247"/>
        <v>0</v>
      </c>
      <c r="AB50" s="14">
        <v>0</v>
      </c>
      <c r="AC50" s="17">
        <f t="shared" si="248"/>
        <v>0</v>
      </c>
      <c r="AD50" s="14">
        <v>0</v>
      </c>
      <c r="AE50" s="17">
        <f t="shared" si="249"/>
        <v>0</v>
      </c>
      <c r="AF50" s="14">
        <v>0</v>
      </c>
      <c r="AG50" s="17">
        <f t="shared" si="250"/>
        <v>0</v>
      </c>
      <c r="AH50" s="14">
        <v>28202.32</v>
      </c>
      <c r="AI50" s="15">
        <f t="shared" si="251"/>
        <v>10.797212863705973</v>
      </c>
      <c r="AJ50" s="14">
        <v>3390</v>
      </c>
      <c r="AK50" s="17">
        <f t="shared" si="252"/>
        <v>1.2978560490045943</v>
      </c>
      <c r="AL50" s="14">
        <v>19339</v>
      </c>
      <c r="AM50" s="15">
        <f t="shared" si="253"/>
        <v>7.4039050535987752</v>
      </c>
      <c r="AN50" s="14">
        <v>0</v>
      </c>
      <c r="AO50" s="14">
        <v>0</v>
      </c>
      <c r="AP50" s="14">
        <v>0</v>
      </c>
      <c r="AQ50" s="14">
        <v>0</v>
      </c>
      <c r="AR50" s="14">
        <v>2512829.7200000002</v>
      </c>
      <c r="AS50" s="14">
        <v>0</v>
      </c>
      <c r="AT50" s="14">
        <v>0</v>
      </c>
      <c r="AU50" s="15">
        <f t="shared" si="254"/>
        <v>2560371.04</v>
      </c>
      <c r="AV50" s="15">
        <f t="shared" si="255"/>
        <v>980.23393568147014</v>
      </c>
      <c r="AW50" s="15">
        <f t="shared" si="256"/>
        <v>1088.1304887377817</v>
      </c>
      <c r="AX50" s="14">
        <v>5</v>
      </c>
      <c r="AY50" s="15">
        <f t="shared" si="257"/>
        <v>22.970903522205205</v>
      </c>
      <c r="AZ50" s="14">
        <v>5</v>
      </c>
      <c r="BA50" s="14">
        <v>15</v>
      </c>
      <c r="BB50" s="14">
        <v>3</v>
      </c>
      <c r="BC50" s="14">
        <v>0</v>
      </c>
      <c r="BD50" s="14">
        <v>3</v>
      </c>
      <c r="BE50" s="15">
        <f t="shared" si="258"/>
        <v>3</v>
      </c>
      <c r="BF50" s="15">
        <f t="shared" si="259"/>
        <v>15</v>
      </c>
      <c r="BG50" s="14">
        <v>3</v>
      </c>
      <c r="BH50" s="14">
        <v>0</v>
      </c>
      <c r="BI50" s="14">
        <v>0</v>
      </c>
      <c r="BJ50" s="14">
        <v>0</v>
      </c>
      <c r="BK50" s="15">
        <f t="shared" si="260"/>
        <v>0</v>
      </c>
      <c r="BL50" s="15">
        <f t="shared" si="261"/>
        <v>3</v>
      </c>
      <c r="BM50" s="14">
        <v>0</v>
      </c>
      <c r="BN50" s="14">
        <v>0</v>
      </c>
      <c r="BO50" s="14">
        <v>0</v>
      </c>
      <c r="BP50" s="14">
        <v>0</v>
      </c>
      <c r="BQ50" s="15">
        <f t="shared" si="262"/>
        <v>0</v>
      </c>
      <c r="BR50" s="15">
        <f t="shared" si="263"/>
        <v>0</v>
      </c>
      <c r="BS50" s="14">
        <v>0</v>
      </c>
      <c r="BT50" s="14">
        <v>0</v>
      </c>
      <c r="BU50" s="14">
        <v>0</v>
      </c>
      <c r="BV50" s="14">
        <v>0</v>
      </c>
      <c r="BW50" s="15">
        <f t="shared" si="264"/>
        <v>0</v>
      </c>
      <c r="BX50" s="15">
        <f t="shared" si="265"/>
        <v>0</v>
      </c>
      <c r="BY50" s="15">
        <f t="shared" si="266"/>
        <v>18</v>
      </c>
      <c r="BZ50" s="15">
        <f t="shared" si="267"/>
        <v>3</v>
      </c>
      <c r="CA50" s="15">
        <f t="shared" si="268"/>
        <v>3</v>
      </c>
      <c r="CB50" s="15">
        <f t="shared" si="269"/>
        <v>18</v>
      </c>
      <c r="CC50" s="14">
        <v>0</v>
      </c>
      <c r="CD50" s="14">
        <v>0</v>
      </c>
      <c r="CE50" s="14">
        <v>0</v>
      </c>
      <c r="CF50" s="14">
        <v>3</v>
      </c>
      <c r="CG50" s="14">
        <v>0</v>
      </c>
      <c r="CH50" s="15">
        <f t="shared" si="270"/>
        <v>3</v>
      </c>
      <c r="CI50" s="14">
        <v>1</v>
      </c>
      <c r="CJ50" s="14">
        <v>2</v>
      </c>
      <c r="CK50" s="14">
        <v>0</v>
      </c>
      <c r="CL50" s="14">
        <v>0</v>
      </c>
      <c r="CM50" s="15">
        <f t="shared" si="271"/>
        <v>3</v>
      </c>
      <c r="CN50" s="14">
        <v>667</v>
      </c>
      <c r="CO50" s="14">
        <v>21</v>
      </c>
      <c r="CP50" s="14">
        <v>17</v>
      </c>
      <c r="CQ50" s="14">
        <v>3</v>
      </c>
      <c r="CR50" s="15">
        <f t="shared" si="272"/>
        <v>708</v>
      </c>
      <c r="CS50" s="15">
        <f t="shared" si="273"/>
        <v>711</v>
      </c>
      <c r="CT50" s="14">
        <v>714</v>
      </c>
      <c r="CU50" s="14">
        <v>4303</v>
      </c>
      <c r="CV50" s="14">
        <v>2861</v>
      </c>
      <c r="CW50" s="16">
        <f t="shared" si="274"/>
        <v>0.66488496397861951</v>
      </c>
      <c r="CX50" s="14"/>
      <c r="CY50" s="14"/>
      <c r="CZ50" s="14"/>
      <c r="DA50" s="14"/>
      <c r="DB50" s="15">
        <f t="shared" si="275"/>
        <v>0</v>
      </c>
      <c r="DC50" s="14">
        <v>0</v>
      </c>
      <c r="DD50" s="14">
        <v>0</v>
      </c>
      <c r="DE50" s="14">
        <v>0</v>
      </c>
      <c r="DF50" s="14">
        <v>0</v>
      </c>
      <c r="DG50" s="15">
        <f t="shared" si="276"/>
        <v>0</v>
      </c>
      <c r="DH50" s="14">
        <v>0</v>
      </c>
      <c r="DI50" s="14">
        <v>0</v>
      </c>
      <c r="DJ50" s="14">
        <v>0</v>
      </c>
      <c r="DK50" s="14">
        <v>0</v>
      </c>
      <c r="DL50" s="15">
        <f t="shared" si="277"/>
        <v>0</v>
      </c>
      <c r="DM50" s="14">
        <v>0</v>
      </c>
      <c r="DN50" s="14">
        <v>0</v>
      </c>
      <c r="DO50" s="14">
        <v>0</v>
      </c>
      <c r="DP50" s="14">
        <v>0</v>
      </c>
      <c r="DQ50" s="15">
        <f t="shared" si="278"/>
        <v>0</v>
      </c>
      <c r="DR50" s="15">
        <f t="shared" si="279"/>
        <v>0</v>
      </c>
      <c r="DS50" s="15">
        <f t="shared" si="280"/>
        <v>0</v>
      </c>
      <c r="DT50" s="15">
        <f t="shared" si="281"/>
        <v>0</v>
      </c>
      <c r="DU50" s="15">
        <f t="shared" si="282"/>
        <v>0</v>
      </c>
      <c r="DV50" s="15">
        <f t="shared" si="283"/>
        <v>0</v>
      </c>
      <c r="DW50" s="14">
        <v>55</v>
      </c>
      <c r="DX50" s="14">
        <v>11</v>
      </c>
      <c r="DY50" s="14">
        <v>3</v>
      </c>
      <c r="DZ50" s="14">
        <v>2</v>
      </c>
      <c r="EA50" s="14">
        <v>2</v>
      </c>
      <c r="EB50" s="14">
        <v>0</v>
      </c>
      <c r="EC50" s="14">
        <v>0</v>
      </c>
      <c r="ED50" s="14">
        <v>1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5">
        <f t="shared" si="284"/>
        <v>74</v>
      </c>
      <c r="FH50" s="14">
        <v>0</v>
      </c>
      <c r="FI50" s="14">
        <v>0</v>
      </c>
      <c r="FJ50" s="14">
        <v>720</v>
      </c>
      <c r="FK50" s="14">
        <v>119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5">
        <f t="shared" si="285"/>
        <v>0</v>
      </c>
      <c r="FR50" s="14">
        <v>0</v>
      </c>
      <c r="FS50" s="14">
        <v>0</v>
      </c>
      <c r="FT50" s="14">
        <v>0</v>
      </c>
      <c r="FU50" s="14">
        <v>0</v>
      </c>
      <c r="FV50" s="15">
        <f t="shared" si="286"/>
        <v>0</v>
      </c>
      <c r="FW50" s="14">
        <v>2785030</v>
      </c>
      <c r="FX50" s="14">
        <v>2000</v>
      </c>
      <c r="FY50" s="14">
        <v>265500</v>
      </c>
      <c r="FZ50" s="14">
        <v>206600</v>
      </c>
      <c r="GA50" s="15">
        <f t="shared" si="287"/>
        <v>3259130</v>
      </c>
      <c r="GB50" s="15">
        <f t="shared" si="288"/>
        <v>3259130</v>
      </c>
      <c r="GC50" s="14">
        <v>2759255.87</v>
      </c>
      <c r="GD50" s="14">
        <v>0</v>
      </c>
      <c r="GE50" s="14">
        <v>206600</v>
      </c>
      <c r="GF50" s="14">
        <v>265500</v>
      </c>
      <c r="GG50" s="15">
        <f t="shared" si="289"/>
        <v>3231355.87</v>
      </c>
      <c r="GH50" s="14">
        <v>2759255.87</v>
      </c>
      <c r="GI50" s="14">
        <v>2000</v>
      </c>
      <c r="GJ50" s="14">
        <v>206600</v>
      </c>
      <c r="GK50" s="14">
        <v>265500</v>
      </c>
      <c r="GL50" s="15">
        <f t="shared" si="290"/>
        <v>3233355.87</v>
      </c>
      <c r="GM50" s="15">
        <f t="shared" si="291"/>
        <v>6464711.7400000002</v>
      </c>
      <c r="GN50" s="14">
        <v>1089.8599999999999</v>
      </c>
      <c r="GO50" s="14">
        <v>0</v>
      </c>
      <c r="GP50" s="14">
        <v>3393.64</v>
      </c>
      <c r="GQ50" s="14">
        <v>0</v>
      </c>
      <c r="GR50" s="15">
        <f t="shared" si="292"/>
        <v>4483.5</v>
      </c>
      <c r="GS50" s="14">
        <v>1786</v>
      </c>
      <c r="GT50" s="14">
        <v>0</v>
      </c>
      <c r="GU50" s="14">
        <v>893</v>
      </c>
      <c r="GV50" s="14">
        <v>0</v>
      </c>
      <c r="GW50" s="15">
        <f t="shared" si="293"/>
        <v>2679</v>
      </c>
      <c r="GX50" s="15">
        <f t="shared" si="294"/>
        <v>6471874.2400000002</v>
      </c>
      <c r="GY50" s="14">
        <v>670270.15</v>
      </c>
      <c r="GZ50" s="14">
        <v>17475.82</v>
      </c>
      <c r="HA50" s="15">
        <f t="shared" si="295"/>
        <v>687745.97</v>
      </c>
      <c r="HB50" s="15">
        <f t="shared" si="296"/>
        <v>0.39561507919535838</v>
      </c>
      <c r="HC50" s="16">
        <f t="shared" si="297"/>
        <v>0.4563237344463712</v>
      </c>
      <c r="HD50" s="15">
        <f t="shared" si="298"/>
        <v>0.50358364194666427</v>
      </c>
      <c r="HE50" s="14">
        <v>10</v>
      </c>
      <c r="HF50" s="14">
        <v>1</v>
      </c>
      <c r="HG50" s="14">
        <v>18</v>
      </c>
      <c r="HH50" s="14">
        <v>3</v>
      </c>
      <c r="HI50" s="14">
        <v>14</v>
      </c>
      <c r="HJ50" s="15">
        <f t="shared" si="299"/>
        <v>15</v>
      </c>
      <c r="HK50" s="16">
        <f t="shared" si="300"/>
        <v>0.3</v>
      </c>
      <c r="HL50" s="14">
        <v>23</v>
      </c>
      <c r="HM50" s="14">
        <v>3</v>
      </c>
      <c r="HN50" s="17">
        <f t="shared" si="301"/>
        <v>0.13043478260869565</v>
      </c>
    </row>
    <row r="51" spans="1:222" x14ac:dyDescent="0.3">
      <c r="A51" s="6" t="s">
        <v>276</v>
      </c>
      <c r="B51" s="6" t="s">
        <v>276</v>
      </c>
      <c r="C51" s="7" t="s">
        <v>257</v>
      </c>
      <c r="D51" s="7">
        <v>2025</v>
      </c>
      <c r="E51" s="7">
        <v>4</v>
      </c>
      <c r="F51" s="7" t="s">
        <v>258</v>
      </c>
      <c r="G51" s="7" t="s">
        <v>259</v>
      </c>
      <c r="H51" s="8">
        <v>121625</v>
      </c>
      <c r="I51" s="8">
        <v>50468</v>
      </c>
      <c r="J51" s="8">
        <v>0</v>
      </c>
      <c r="K51" s="8">
        <v>193</v>
      </c>
      <c r="L51" s="8">
        <v>0</v>
      </c>
      <c r="M51" s="9">
        <f t="shared" si="241"/>
        <v>50661</v>
      </c>
      <c r="N51" s="8">
        <v>17179.5</v>
      </c>
      <c r="O51" s="8">
        <v>3825.4</v>
      </c>
      <c r="P51" s="8">
        <v>7141.5</v>
      </c>
      <c r="Q51" s="8">
        <v>2594</v>
      </c>
      <c r="R51" s="9">
        <f t="shared" si="242"/>
        <v>30740.400000000001</v>
      </c>
      <c r="S51" s="9">
        <f t="shared" si="243"/>
        <v>81401.399999999994</v>
      </c>
      <c r="T51" s="8">
        <v>40223.599999999999</v>
      </c>
      <c r="U51" s="10">
        <f t="shared" si="244"/>
        <v>0.33071819116135659</v>
      </c>
      <c r="V51" s="8">
        <v>350</v>
      </c>
      <c r="W51" s="11">
        <f t="shared" si="245"/>
        <v>2.8776978417266188E-3</v>
      </c>
      <c r="X51" s="8">
        <v>0</v>
      </c>
      <c r="Y51" s="11">
        <f t="shared" si="246"/>
        <v>0</v>
      </c>
      <c r="Z51" s="8">
        <v>0</v>
      </c>
      <c r="AA51" s="11">
        <f t="shared" si="247"/>
        <v>0</v>
      </c>
      <c r="AB51" s="8">
        <v>0</v>
      </c>
      <c r="AC51" s="11">
        <f t="shared" si="248"/>
        <v>0</v>
      </c>
      <c r="AD51" s="8">
        <v>0</v>
      </c>
      <c r="AE51" s="11">
        <f t="shared" si="249"/>
        <v>0</v>
      </c>
      <c r="AF51" s="8">
        <v>0</v>
      </c>
      <c r="AG51" s="11">
        <f t="shared" si="250"/>
        <v>0</v>
      </c>
      <c r="AH51" s="8">
        <v>8375185</v>
      </c>
      <c r="AI51" s="9">
        <f t="shared" si="251"/>
        <v>68.860719424460427</v>
      </c>
      <c r="AJ51" s="8">
        <v>42853.11</v>
      </c>
      <c r="AK51" s="11">
        <f t="shared" si="252"/>
        <v>0.35233800616649535</v>
      </c>
      <c r="AL51" s="8">
        <v>7183414.7970249997</v>
      </c>
      <c r="AM51" s="9">
        <f t="shared" si="253"/>
        <v>59.061992164645424</v>
      </c>
      <c r="AN51" s="8">
        <v>7060</v>
      </c>
      <c r="AO51" s="8">
        <v>625.91</v>
      </c>
      <c r="AP51" s="8">
        <v>1711237.94</v>
      </c>
      <c r="AQ51" s="8">
        <v>0</v>
      </c>
      <c r="AR51" s="8">
        <v>30379529.59</v>
      </c>
      <c r="AS51" s="8">
        <v>3518439.06</v>
      </c>
      <c r="AT51" s="8">
        <v>2246300</v>
      </c>
      <c r="AU51" s="9">
        <f t="shared" si="254"/>
        <v>53414106.387024999</v>
      </c>
      <c r="AV51" s="9">
        <f t="shared" si="255"/>
        <v>439.17045333627954</v>
      </c>
      <c r="AW51" s="9">
        <f t="shared" si="256"/>
        <v>656.1816674777707</v>
      </c>
      <c r="AX51" s="8">
        <v>25</v>
      </c>
      <c r="AY51" s="9">
        <f t="shared" si="257"/>
        <v>2.4665981500513876</v>
      </c>
      <c r="AZ51" s="8">
        <v>29</v>
      </c>
      <c r="BA51" s="8">
        <v>1515</v>
      </c>
      <c r="BB51" s="8">
        <v>144</v>
      </c>
      <c r="BC51" s="8">
        <v>0</v>
      </c>
      <c r="BD51" s="8">
        <v>77</v>
      </c>
      <c r="BE51" s="9">
        <f t="shared" si="258"/>
        <v>77</v>
      </c>
      <c r="BF51" s="9">
        <f t="shared" si="259"/>
        <v>1582</v>
      </c>
      <c r="BG51" s="8">
        <v>4</v>
      </c>
      <c r="BH51" s="8">
        <v>0</v>
      </c>
      <c r="BI51" s="8">
        <v>0</v>
      </c>
      <c r="BJ51" s="8">
        <v>0</v>
      </c>
      <c r="BK51" s="9">
        <f t="shared" si="260"/>
        <v>0</v>
      </c>
      <c r="BL51" s="9">
        <f t="shared" si="261"/>
        <v>4</v>
      </c>
      <c r="BM51" s="8">
        <v>16</v>
      </c>
      <c r="BN51" s="8">
        <v>2</v>
      </c>
      <c r="BO51" s="8">
        <v>0</v>
      </c>
      <c r="BP51" s="8">
        <v>4</v>
      </c>
      <c r="BQ51" s="9">
        <f t="shared" si="262"/>
        <v>4</v>
      </c>
      <c r="BR51" s="9">
        <f t="shared" si="263"/>
        <v>14</v>
      </c>
      <c r="BS51" s="8">
        <v>0</v>
      </c>
      <c r="BT51" s="8">
        <v>0</v>
      </c>
      <c r="BU51" s="8">
        <v>0</v>
      </c>
      <c r="BV51" s="8">
        <v>0</v>
      </c>
      <c r="BW51" s="9">
        <f t="shared" si="264"/>
        <v>0</v>
      </c>
      <c r="BX51" s="9">
        <f t="shared" si="265"/>
        <v>0</v>
      </c>
      <c r="BY51" s="9">
        <f t="shared" si="266"/>
        <v>1535</v>
      </c>
      <c r="BZ51" s="9">
        <f t="shared" si="267"/>
        <v>146</v>
      </c>
      <c r="CA51" s="9">
        <f t="shared" si="268"/>
        <v>81</v>
      </c>
      <c r="CB51" s="9">
        <f t="shared" si="269"/>
        <v>1600</v>
      </c>
      <c r="CC51" s="8">
        <v>77</v>
      </c>
      <c r="CD51" s="8">
        <v>2329</v>
      </c>
      <c r="CE51" s="8">
        <v>3</v>
      </c>
      <c r="CF51" s="8">
        <v>203</v>
      </c>
      <c r="CG51" s="8">
        <v>10</v>
      </c>
      <c r="CH51" s="9">
        <f t="shared" si="270"/>
        <v>2545</v>
      </c>
      <c r="CI51" s="8">
        <v>4079</v>
      </c>
      <c r="CJ51" s="8">
        <v>4</v>
      </c>
      <c r="CK51" s="8">
        <v>0</v>
      </c>
      <c r="CL51" s="8">
        <v>0</v>
      </c>
      <c r="CM51" s="9">
        <f t="shared" si="271"/>
        <v>4083</v>
      </c>
      <c r="CN51" s="8">
        <v>2997</v>
      </c>
      <c r="CO51" s="8">
        <v>148</v>
      </c>
      <c r="CP51" s="8">
        <v>402</v>
      </c>
      <c r="CQ51" s="8">
        <v>68</v>
      </c>
      <c r="CR51" s="9">
        <f t="shared" si="272"/>
        <v>3615</v>
      </c>
      <c r="CS51" s="9">
        <f t="shared" si="273"/>
        <v>7698</v>
      </c>
      <c r="CT51" s="8">
        <v>10243</v>
      </c>
      <c r="CU51" s="8">
        <v>51306</v>
      </c>
      <c r="CV51" s="8">
        <v>47099</v>
      </c>
      <c r="CW51" s="10">
        <f t="shared" si="274"/>
        <v>0.91800179316259312</v>
      </c>
      <c r="CX51" s="8"/>
      <c r="CY51" s="8"/>
      <c r="CZ51" s="8"/>
      <c r="DA51" s="8"/>
      <c r="DB51" s="9">
        <f t="shared" si="275"/>
        <v>0</v>
      </c>
      <c r="DC51" s="8">
        <v>0</v>
      </c>
      <c r="DD51" s="8">
        <v>0</v>
      </c>
      <c r="DE51" s="8">
        <v>0</v>
      </c>
      <c r="DF51" s="8">
        <v>0</v>
      </c>
      <c r="DG51" s="9">
        <f t="shared" si="276"/>
        <v>0</v>
      </c>
      <c r="DH51" s="8">
        <v>0</v>
      </c>
      <c r="DI51" s="8">
        <v>0</v>
      </c>
      <c r="DJ51" s="8">
        <v>0</v>
      </c>
      <c r="DK51" s="8">
        <v>0</v>
      </c>
      <c r="DL51" s="9">
        <f t="shared" si="277"/>
        <v>0</v>
      </c>
      <c r="DM51" s="8">
        <v>151</v>
      </c>
      <c r="DN51" s="8">
        <v>7</v>
      </c>
      <c r="DO51" s="8">
        <v>0</v>
      </c>
      <c r="DP51" s="8">
        <v>0</v>
      </c>
      <c r="DQ51" s="9">
        <f t="shared" si="278"/>
        <v>158</v>
      </c>
      <c r="DR51" s="9">
        <f t="shared" si="279"/>
        <v>151</v>
      </c>
      <c r="DS51" s="9">
        <f t="shared" si="280"/>
        <v>7</v>
      </c>
      <c r="DT51" s="9">
        <f t="shared" si="281"/>
        <v>0</v>
      </c>
      <c r="DU51" s="9">
        <f t="shared" si="282"/>
        <v>0</v>
      </c>
      <c r="DV51" s="9">
        <f t="shared" si="283"/>
        <v>158</v>
      </c>
      <c r="DW51" s="8">
        <v>83</v>
      </c>
      <c r="DX51" s="8">
        <v>42</v>
      </c>
      <c r="DY51" s="8">
        <v>18</v>
      </c>
      <c r="DZ51" s="8">
        <v>11</v>
      </c>
      <c r="EA51" s="8">
        <v>8</v>
      </c>
      <c r="EB51" s="8">
        <v>5</v>
      </c>
      <c r="EC51" s="8">
        <v>2</v>
      </c>
      <c r="ED51" s="8">
        <v>1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9</v>
      </c>
      <c r="EK51" s="8">
        <v>6</v>
      </c>
      <c r="EL51" s="8">
        <v>1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9">
        <f t="shared" si="284"/>
        <v>186</v>
      </c>
      <c r="FH51" s="8">
        <v>7</v>
      </c>
      <c r="FI51" s="8">
        <v>563</v>
      </c>
      <c r="FJ51" s="8">
        <v>0</v>
      </c>
      <c r="FK51" s="8">
        <v>108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9">
        <f t="shared" si="285"/>
        <v>0</v>
      </c>
      <c r="FR51" s="8">
        <v>46196454.640000001</v>
      </c>
      <c r="FS51" s="8">
        <v>0</v>
      </c>
      <c r="FT51" s="8">
        <v>0</v>
      </c>
      <c r="FU51" s="8">
        <v>0</v>
      </c>
      <c r="FV51" s="9">
        <f t="shared" si="286"/>
        <v>46196454.640000001</v>
      </c>
      <c r="FW51" s="8">
        <v>21896688</v>
      </c>
      <c r="FX51" s="8">
        <v>817055</v>
      </c>
      <c r="FY51" s="8">
        <v>12566345.800000001</v>
      </c>
      <c r="FZ51" s="8">
        <v>21722776</v>
      </c>
      <c r="GA51" s="9">
        <f t="shared" si="287"/>
        <v>57002864.799999997</v>
      </c>
      <c r="GB51" s="9">
        <f t="shared" si="288"/>
        <v>103199319.44</v>
      </c>
      <c r="GC51" s="8">
        <v>45911688</v>
      </c>
      <c r="GD51" s="8">
        <v>0</v>
      </c>
      <c r="GE51" s="8">
        <v>631769.21</v>
      </c>
      <c r="GF51" s="8">
        <v>0</v>
      </c>
      <c r="GG51" s="9">
        <f t="shared" si="289"/>
        <v>46543457.210000001</v>
      </c>
      <c r="GH51" s="8">
        <v>21842010.109999999</v>
      </c>
      <c r="GI51" s="8">
        <v>813155</v>
      </c>
      <c r="GJ51" s="8">
        <v>21697776</v>
      </c>
      <c r="GK51" s="8">
        <v>12162733.720000001</v>
      </c>
      <c r="GL51" s="9">
        <f t="shared" si="290"/>
        <v>56515674.829999998</v>
      </c>
      <c r="GM51" s="9">
        <f t="shared" si="291"/>
        <v>103059132.03999999</v>
      </c>
      <c r="GN51" s="8">
        <v>2215377</v>
      </c>
      <c r="GO51" s="8">
        <v>0</v>
      </c>
      <c r="GP51" s="8">
        <v>13574.56</v>
      </c>
      <c r="GQ51" s="8">
        <v>0</v>
      </c>
      <c r="GR51" s="9">
        <f t="shared" si="292"/>
        <v>2228951.56</v>
      </c>
      <c r="GS51" s="8">
        <v>3642547</v>
      </c>
      <c r="GT51" s="8">
        <v>0</v>
      </c>
      <c r="GU51" s="8">
        <v>3572</v>
      </c>
      <c r="GV51" s="8">
        <v>0</v>
      </c>
      <c r="GW51" s="9">
        <f t="shared" si="293"/>
        <v>3646119</v>
      </c>
      <c r="GX51" s="9">
        <f t="shared" si="294"/>
        <v>108934202.59999999</v>
      </c>
      <c r="GY51" s="8">
        <v>185350244.31999919</v>
      </c>
      <c r="GZ51" s="8">
        <v>443183956.81999958</v>
      </c>
      <c r="HA51" s="9">
        <f t="shared" si="295"/>
        <v>628534201.13999879</v>
      </c>
      <c r="HB51" s="9">
        <f t="shared" si="296"/>
        <v>0.49033366116570815</v>
      </c>
      <c r="HC51" s="10">
        <f t="shared" si="297"/>
        <v>0.35067880929519385</v>
      </c>
      <c r="HD51" s="9">
        <f t="shared" si="298"/>
        <v>0.9473546138575214</v>
      </c>
      <c r="HE51" s="8">
        <v>0</v>
      </c>
      <c r="HF51" s="8">
        <v>1</v>
      </c>
      <c r="HG51" s="8">
        <v>1600</v>
      </c>
      <c r="HH51" s="8">
        <v>146</v>
      </c>
      <c r="HI51" s="8">
        <v>11364</v>
      </c>
      <c r="HJ51" s="9">
        <f t="shared" si="299"/>
        <v>11365</v>
      </c>
      <c r="HK51" s="10" t="str">
        <f t="shared" si="300"/>
        <v/>
      </c>
      <c r="HL51" s="8">
        <v>19</v>
      </c>
      <c r="HM51" s="8">
        <v>0</v>
      </c>
      <c r="HN51" s="11">
        <f t="shared" si="301"/>
        <v>0</v>
      </c>
    </row>
    <row r="52" spans="1:222" x14ac:dyDescent="0.3">
      <c r="A52" s="12" t="s">
        <v>276</v>
      </c>
      <c r="B52" s="12" t="s">
        <v>276</v>
      </c>
      <c r="C52" s="13" t="s">
        <v>257</v>
      </c>
      <c r="D52" s="13">
        <v>2025</v>
      </c>
      <c r="E52" s="13">
        <v>5</v>
      </c>
      <c r="F52" s="13" t="s">
        <v>260</v>
      </c>
      <c r="G52" s="13" t="s">
        <v>259</v>
      </c>
      <c r="H52" s="14">
        <v>129093</v>
      </c>
      <c r="I52" s="14">
        <v>59315</v>
      </c>
      <c r="J52" s="14">
        <v>0</v>
      </c>
      <c r="K52" s="14">
        <v>130</v>
      </c>
      <c r="L52" s="14">
        <v>0</v>
      </c>
      <c r="M52" s="15">
        <f t="shared" si="241"/>
        <v>59445</v>
      </c>
      <c r="N52" s="14">
        <v>18803.900000000001</v>
      </c>
      <c r="O52" s="14">
        <v>4278.2</v>
      </c>
      <c r="P52" s="14">
        <v>4180.1000000000004</v>
      </c>
      <c r="Q52" s="14">
        <v>1790.1</v>
      </c>
      <c r="R52" s="15">
        <f t="shared" si="242"/>
        <v>29052.300000000003</v>
      </c>
      <c r="S52" s="15">
        <f t="shared" si="243"/>
        <v>88497.3</v>
      </c>
      <c r="T52" s="14">
        <v>40595.699999999997</v>
      </c>
      <c r="U52" s="16">
        <f t="shared" si="244"/>
        <v>0.31446863888824333</v>
      </c>
      <c r="V52" s="14">
        <v>350</v>
      </c>
      <c r="W52" s="17">
        <f t="shared" si="245"/>
        <v>2.711223691447251E-3</v>
      </c>
      <c r="X52" s="14">
        <v>0</v>
      </c>
      <c r="Y52" s="17">
        <f t="shared" si="246"/>
        <v>0</v>
      </c>
      <c r="Z52" s="14">
        <v>0</v>
      </c>
      <c r="AA52" s="17">
        <f t="shared" si="247"/>
        <v>0</v>
      </c>
      <c r="AB52" s="14">
        <v>0</v>
      </c>
      <c r="AC52" s="17">
        <f t="shared" si="248"/>
        <v>0</v>
      </c>
      <c r="AD52" s="14">
        <v>0</v>
      </c>
      <c r="AE52" s="17">
        <f t="shared" si="249"/>
        <v>0</v>
      </c>
      <c r="AF52" s="14">
        <v>0</v>
      </c>
      <c r="AG52" s="17">
        <f t="shared" si="250"/>
        <v>0</v>
      </c>
      <c r="AH52" s="14">
        <v>8375185</v>
      </c>
      <c r="AI52" s="15">
        <f t="shared" si="251"/>
        <v>64.877142835010417</v>
      </c>
      <c r="AJ52" s="14">
        <v>47291.89</v>
      </c>
      <c r="AK52" s="17">
        <f t="shared" si="252"/>
        <v>0.36633969308947811</v>
      </c>
      <c r="AL52" s="14">
        <v>7925478.9404750001</v>
      </c>
      <c r="AM52" s="15">
        <f t="shared" si="253"/>
        <v>61.393560769948799</v>
      </c>
      <c r="AN52" s="14">
        <v>4691</v>
      </c>
      <c r="AO52" s="14">
        <v>324.66000000000003</v>
      </c>
      <c r="AP52" s="14">
        <v>888550</v>
      </c>
      <c r="AQ52" s="14">
        <v>0</v>
      </c>
      <c r="AR52" s="14">
        <v>31556135.649999999</v>
      </c>
      <c r="AS52" s="14">
        <v>3612116.99</v>
      </c>
      <c r="AT52" s="14">
        <v>2253550</v>
      </c>
      <c r="AU52" s="15">
        <f t="shared" si="254"/>
        <v>54611016.580475003</v>
      </c>
      <c r="AV52" s="15">
        <f t="shared" si="255"/>
        <v>423.03623419143565</v>
      </c>
      <c r="AW52" s="15">
        <f t="shared" si="256"/>
        <v>617.0924602273177</v>
      </c>
      <c r="AX52" s="14">
        <v>25</v>
      </c>
      <c r="AY52" s="15">
        <f t="shared" si="257"/>
        <v>2.3239060212405009</v>
      </c>
      <c r="AZ52" s="14">
        <v>29</v>
      </c>
      <c r="BA52" s="14">
        <v>1582</v>
      </c>
      <c r="BB52" s="14">
        <v>146</v>
      </c>
      <c r="BC52" s="14">
        <v>0</v>
      </c>
      <c r="BD52" s="14">
        <v>88</v>
      </c>
      <c r="BE52" s="15">
        <f t="shared" si="258"/>
        <v>88</v>
      </c>
      <c r="BF52" s="15">
        <f t="shared" si="259"/>
        <v>1640</v>
      </c>
      <c r="BG52" s="14">
        <v>4</v>
      </c>
      <c r="BH52" s="14">
        <v>0</v>
      </c>
      <c r="BI52" s="14">
        <v>0</v>
      </c>
      <c r="BJ52" s="14">
        <v>0</v>
      </c>
      <c r="BK52" s="15">
        <f t="shared" si="260"/>
        <v>0</v>
      </c>
      <c r="BL52" s="15">
        <f t="shared" si="261"/>
        <v>4</v>
      </c>
      <c r="BM52" s="14">
        <v>18</v>
      </c>
      <c r="BN52" s="14">
        <v>5</v>
      </c>
      <c r="BO52" s="14">
        <v>0</v>
      </c>
      <c r="BP52" s="14">
        <v>1</v>
      </c>
      <c r="BQ52" s="15">
        <f t="shared" si="262"/>
        <v>1</v>
      </c>
      <c r="BR52" s="15">
        <f t="shared" si="263"/>
        <v>22</v>
      </c>
      <c r="BS52" s="14">
        <v>0</v>
      </c>
      <c r="BT52" s="14">
        <v>0</v>
      </c>
      <c r="BU52" s="14">
        <v>0</v>
      </c>
      <c r="BV52" s="14">
        <v>0</v>
      </c>
      <c r="BW52" s="15">
        <f t="shared" si="264"/>
        <v>0</v>
      </c>
      <c r="BX52" s="15">
        <f t="shared" si="265"/>
        <v>0</v>
      </c>
      <c r="BY52" s="15">
        <f t="shared" si="266"/>
        <v>1604</v>
      </c>
      <c r="BZ52" s="15">
        <f t="shared" si="267"/>
        <v>151</v>
      </c>
      <c r="CA52" s="15">
        <f t="shared" si="268"/>
        <v>89</v>
      </c>
      <c r="CB52" s="15">
        <f t="shared" si="269"/>
        <v>1666</v>
      </c>
      <c r="CC52" s="14">
        <v>89</v>
      </c>
      <c r="CD52" s="14">
        <v>2316</v>
      </c>
      <c r="CE52" s="14">
        <v>58</v>
      </c>
      <c r="CF52" s="14">
        <v>124</v>
      </c>
      <c r="CG52" s="14">
        <v>10</v>
      </c>
      <c r="CH52" s="15">
        <f t="shared" si="270"/>
        <v>2508</v>
      </c>
      <c r="CI52" s="14">
        <v>4110</v>
      </c>
      <c r="CJ52" s="14">
        <v>4</v>
      </c>
      <c r="CK52" s="14">
        <v>0</v>
      </c>
      <c r="CL52" s="14">
        <v>0</v>
      </c>
      <c r="CM52" s="15">
        <f t="shared" si="271"/>
        <v>4114</v>
      </c>
      <c r="CN52" s="14">
        <v>3075</v>
      </c>
      <c r="CO52" s="14">
        <v>148</v>
      </c>
      <c r="CP52" s="14">
        <v>403</v>
      </c>
      <c r="CQ52" s="14">
        <v>68</v>
      </c>
      <c r="CR52" s="15">
        <f t="shared" si="272"/>
        <v>3694</v>
      </c>
      <c r="CS52" s="15">
        <f t="shared" si="273"/>
        <v>7808</v>
      </c>
      <c r="CT52" s="14">
        <v>10316</v>
      </c>
      <c r="CU52" s="14">
        <v>51381</v>
      </c>
      <c r="CV52" s="14">
        <v>47524</v>
      </c>
      <c r="CW52" s="16">
        <f t="shared" si="274"/>
        <v>0.92493334111831227</v>
      </c>
      <c r="CX52" s="14"/>
      <c r="CY52" s="14"/>
      <c r="CZ52" s="14"/>
      <c r="DA52" s="14"/>
      <c r="DB52" s="15">
        <f t="shared" si="275"/>
        <v>0</v>
      </c>
      <c r="DC52" s="14">
        <v>0</v>
      </c>
      <c r="DD52" s="14">
        <v>0</v>
      </c>
      <c r="DE52" s="14">
        <v>0</v>
      </c>
      <c r="DF52" s="14">
        <v>0</v>
      </c>
      <c r="DG52" s="15">
        <f t="shared" si="276"/>
        <v>0</v>
      </c>
      <c r="DH52" s="14">
        <v>0</v>
      </c>
      <c r="DI52" s="14">
        <v>0</v>
      </c>
      <c r="DJ52" s="14">
        <v>0</v>
      </c>
      <c r="DK52" s="14">
        <v>0</v>
      </c>
      <c r="DL52" s="15">
        <f t="shared" si="277"/>
        <v>0</v>
      </c>
      <c r="DM52" s="14">
        <v>158</v>
      </c>
      <c r="DN52" s="14">
        <v>7</v>
      </c>
      <c r="DO52" s="14">
        <v>0</v>
      </c>
      <c r="DP52" s="14">
        <v>0</v>
      </c>
      <c r="DQ52" s="15">
        <f t="shared" si="278"/>
        <v>165</v>
      </c>
      <c r="DR52" s="15">
        <f t="shared" si="279"/>
        <v>158</v>
      </c>
      <c r="DS52" s="15">
        <f t="shared" si="280"/>
        <v>7</v>
      </c>
      <c r="DT52" s="15">
        <f t="shared" si="281"/>
        <v>0</v>
      </c>
      <c r="DU52" s="15">
        <f t="shared" si="282"/>
        <v>0</v>
      </c>
      <c r="DV52" s="15">
        <f t="shared" si="283"/>
        <v>165</v>
      </c>
      <c r="DW52" s="14">
        <v>86</v>
      </c>
      <c r="DX52" s="14">
        <v>53</v>
      </c>
      <c r="DY52" s="14">
        <v>20</v>
      </c>
      <c r="DZ52" s="14">
        <v>14</v>
      </c>
      <c r="EA52" s="14">
        <v>13</v>
      </c>
      <c r="EB52" s="14">
        <v>4</v>
      </c>
      <c r="EC52" s="14">
        <v>0</v>
      </c>
      <c r="ED52" s="14">
        <v>3</v>
      </c>
      <c r="EE52" s="14">
        <v>0</v>
      </c>
      <c r="EF52" s="14">
        <v>3</v>
      </c>
      <c r="EG52" s="14">
        <v>0</v>
      </c>
      <c r="EH52" s="14">
        <v>0</v>
      </c>
      <c r="EI52" s="14">
        <v>0</v>
      </c>
      <c r="EJ52" s="14">
        <v>12</v>
      </c>
      <c r="EK52" s="14">
        <v>7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1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5">
        <f t="shared" si="284"/>
        <v>216</v>
      </c>
      <c r="FH52" s="14">
        <v>6</v>
      </c>
      <c r="FI52" s="14">
        <v>662</v>
      </c>
      <c r="FJ52" s="14">
        <v>22</v>
      </c>
      <c r="FK52" s="14">
        <v>64.75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5">
        <f t="shared" si="285"/>
        <v>0</v>
      </c>
      <c r="FR52" s="14">
        <v>64335797</v>
      </c>
      <c r="FS52" s="14">
        <v>193901.66</v>
      </c>
      <c r="FT52" s="14">
        <v>18567.22</v>
      </c>
      <c r="FU52" s="14">
        <v>0</v>
      </c>
      <c r="FV52" s="15">
        <f t="shared" si="286"/>
        <v>64548265.879999995</v>
      </c>
      <c r="FW52" s="14">
        <v>25322673</v>
      </c>
      <c r="FX52" s="14">
        <v>916350</v>
      </c>
      <c r="FY52" s="14">
        <v>8683750</v>
      </c>
      <c r="FZ52" s="14">
        <v>12700421</v>
      </c>
      <c r="GA52" s="15">
        <f t="shared" si="287"/>
        <v>47623194</v>
      </c>
      <c r="GB52" s="15">
        <f t="shared" si="288"/>
        <v>112171459.88</v>
      </c>
      <c r="GC52" s="14">
        <v>44918275</v>
      </c>
      <c r="GD52" s="14">
        <v>0</v>
      </c>
      <c r="GE52" s="14">
        <v>406903.66</v>
      </c>
      <c r="GF52" s="14">
        <v>0</v>
      </c>
      <c r="GG52" s="15">
        <f t="shared" si="289"/>
        <v>45325178.659999996</v>
      </c>
      <c r="GH52" s="14">
        <v>25280853.050000001</v>
      </c>
      <c r="GI52" s="14">
        <v>909385.32</v>
      </c>
      <c r="GJ52" s="14">
        <v>12700421</v>
      </c>
      <c r="GK52" s="14">
        <v>8391748.870000001</v>
      </c>
      <c r="GL52" s="15">
        <f t="shared" si="290"/>
        <v>47282408.24000001</v>
      </c>
      <c r="GM52" s="15">
        <f t="shared" si="291"/>
        <v>92607586.900000006</v>
      </c>
      <c r="GN52" s="14">
        <v>2232800</v>
      </c>
      <c r="GO52" s="14">
        <v>0</v>
      </c>
      <c r="GP52" s="14">
        <v>13574.56</v>
      </c>
      <c r="GQ52" s="14">
        <v>0</v>
      </c>
      <c r="GR52" s="15">
        <f t="shared" si="292"/>
        <v>2246374.56</v>
      </c>
      <c r="GS52" s="14">
        <v>3670230</v>
      </c>
      <c r="GT52" s="14">
        <v>0</v>
      </c>
      <c r="GU52" s="14">
        <v>3572</v>
      </c>
      <c r="GV52" s="14">
        <v>0</v>
      </c>
      <c r="GW52" s="15">
        <f t="shared" si="293"/>
        <v>3673802</v>
      </c>
      <c r="GX52" s="15">
        <f t="shared" si="294"/>
        <v>98527763.460000008</v>
      </c>
      <c r="GY52" s="14">
        <v>180619710.14000049</v>
      </c>
      <c r="GZ52" s="14">
        <v>434611581.27999991</v>
      </c>
      <c r="HA52" s="15">
        <f t="shared" si="295"/>
        <v>615231291.42000043</v>
      </c>
      <c r="HB52" s="15">
        <f t="shared" si="296"/>
        <v>0.55427033622503585</v>
      </c>
      <c r="HC52" s="16">
        <f t="shared" si="297"/>
        <v>0.40183584122539517</v>
      </c>
      <c r="HD52" s="15">
        <f t="shared" si="298"/>
        <v>1.1384756533678857</v>
      </c>
      <c r="HE52" s="14">
        <v>1666</v>
      </c>
      <c r="HF52" s="14">
        <v>1</v>
      </c>
      <c r="HG52" s="14">
        <v>1666</v>
      </c>
      <c r="HH52" s="14">
        <v>151</v>
      </c>
      <c r="HI52" s="14">
        <v>14777</v>
      </c>
      <c r="HJ52" s="15">
        <f t="shared" si="299"/>
        <v>14778</v>
      </c>
      <c r="HK52" s="16">
        <f t="shared" si="300"/>
        <v>9.0636254501800725E-2</v>
      </c>
      <c r="HL52" s="14">
        <v>38</v>
      </c>
      <c r="HM52" s="14">
        <v>3</v>
      </c>
      <c r="HN52" s="17">
        <f t="shared" si="301"/>
        <v>7.8947368421052627E-2</v>
      </c>
    </row>
    <row r="53" spans="1:222" x14ac:dyDescent="0.3">
      <c r="A53" s="6" t="s">
        <v>276</v>
      </c>
      <c r="B53" s="6" t="s">
        <v>276</v>
      </c>
      <c r="C53" s="7" t="s">
        <v>257</v>
      </c>
      <c r="D53" s="7">
        <v>2025</v>
      </c>
      <c r="E53" s="7">
        <v>6</v>
      </c>
      <c r="F53" s="7" t="s">
        <v>261</v>
      </c>
      <c r="G53" s="7" t="s">
        <v>259</v>
      </c>
      <c r="H53" s="8">
        <v>163707</v>
      </c>
      <c r="I53" s="8">
        <v>75001</v>
      </c>
      <c r="J53" s="8">
        <v>0</v>
      </c>
      <c r="K53" s="8">
        <v>254</v>
      </c>
      <c r="L53" s="8">
        <v>0</v>
      </c>
      <c r="M53" s="9">
        <f t="shared" si="241"/>
        <v>75255</v>
      </c>
      <c r="N53" s="8">
        <v>18415.2</v>
      </c>
      <c r="O53" s="8">
        <v>4947.5</v>
      </c>
      <c r="P53" s="8">
        <v>2750</v>
      </c>
      <c r="Q53" s="8">
        <v>2308.6999999999998</v>
      </c>
      <c r="R53" s="9">
        <f t="shared" si="242"/>
        <v>28421.4</v>
      </c>
      <c r="S53" s="9">
        <f t="shared" si="243"/>
        <v>103676.4</v>
      </c>
      <c r="T53" s="8">
        <v>60030.6</v>
      </c>
      <c r="U53" s="10">
        <f t="shared" si="244"/>
        <v>0.36669537649581263</v>
      </c>
      <c r="V53" s="8">
        <v>270</v>
      </c>
      <c r="W53" s="11">
        <f t="shared" si="245"/>
        <v>1.6492880573219227E-3</v>
      </c>
      <c r="X53" s="8">
        <v>0</v>
      </c>
      <c r="Y53" s="11">
        <f t="shared" si="246"/>
        <v>0</v>
      </c>
      <c r="Z53" s="8">
        <v>0</v>
      </c>
      <c r="AA53" s="11">
        <f t="shared" si="247"/>
        <v>0</v>
      </c>
      <c r="AB53" s="8">
        <v>0</v>
      </c>
      <c r="AC53" s="11">
        <f t="shared" si="248"/>
        <v>0</v>
      </c>
      <c r="AD53" s="8">
        <v>0</v>
      </c>
      <c r="AE53" s="11">
        <f t="shared" si="249"/>
        <v>0</v>
      </c>
      <c r="AF53" s="8">
        <v>0</v>
      </c>
      <c r="AG53" s="11">
        <f t="shared" si="250"/>
        <v>0</v>
      </c>
      <c r="AH53" s="8">
        <v>6460857</v>
      </c>
      <c r="AI53" s="9">
        <f t="shared" si="251"/>
        <v>39.465978852462023</v>
      </c>
      <c r="AJ53" s="8">
        <v>49898.34</v>
      </c>
      <c r="AK53" s="11">
        <f t="shared" si="252"/>
        <v>0.30480272682292142</v>
      </c>
      <c r="AL53" s="8">
        <v>8361218.7353499997</v>
      </c>
      <c r="AM53" s="9">
        <f t="shared" si="253"/>
        <v>51.0742896476632</v>
      </c>
      <c r="AN53" s="8">
        <v>386</v>
      </c>
      <c r="AO53" s="8">
        <v>291.20999999999998</v>
      </c>
      <c r="AP53" s="8">
        <v>796168.02</v>
      </c>
      <c r="AQ53" s="8">
        <v>0</v>
      </c>
      <c r="AR53" s="8">
        <v>29055452.399999999</v>
      </c>
      <c r="AS53" s="8">
        <v>4268319.4400000004</v>
      </c>
      <c r="AT53" s="8">
        <v>2245900</v>
      </c>
      <c r="AU53" s="9">
        <f t="shared" si="254"/>
        <v>51187915.595349997</v>
      </c>
      <c r="AV53" s="9">
        <f t="shared" si="255"/>
        <v>312.68006618745682</v>
      </c>
      <c r="AW53" s="9">
        <f t="shared" si="256"/>
        <v>493.72774898964468</v>
      </c>
      <c r="AX53" s="8">
        <v>24</v>
      </c>
      <c r="AY53" s="9">
        <f t="shared" si="257"/>
        <v>1.7592405944767178</v>
      </c>
      <c r="AZ53" s="8">
        <v>29</v>
      </c>
      <c r="BA53" s="8">
        <v>1640</v>
      </c>
      <c r="BB53" s="8">
        <v>144</v>
      </c>
      <c r="BC53" s="8">
        <v>0</v>
      </c>
      <c r="BD53" s="8">
        <v>57</v>
      </c>
      <c r="BE53" s="9">
        <f t="shared" si="258"/>
        <v>57</v>
      </c>
      <c r="BF53" s="9">
        <f t="shared" si="259"/>
        <v>1727</v>
      </c>
      <c r="BG53" s="8">
        <v>4</v>
      </c>
      <c r="BH53" s="8">
        <v>0</v>
      </c>
      <c r="BI53" s="8">
        <v>0</v>
      </c>
      <c r="BJ53" s="8">
        <v>0</v>
      </c>
      <c r="BK53" s="9">
        <f t="shared" si="260"/>
        <v>0</v>
      </c>
      <c r="BL53" s="9">
        <f t="shared" si="261"/>
        <v>4</v>
      </c>
      <c r="BM53" s="8">
        <v>22</v>
      </c>
      <c r="BN53" s="8">
        <v>0</v>
      </c>
      <c r="BO53" s="8">
        <v>0</v>
      </c>
      <c r="BP53" s="8">
        <v>8</v>
      </c>
      <c r="BQ53" s="9">
        <f t="shared" si="262"/>
        <v>8</v>
      </c>
      <c r="BR53" s="9">
        <f t="shared" si="263"/>
        <v>14</v>
      </c>
      <c r="BS53" s="8">
        <v>0</v>
      </c>
      <c r="BT53" s="8">
        <v>0</v>
      </c>
      <c r="BU53" s="8">
        <v>0</v>
      </c>
      <c r="BV53" s="8">
        <v>0</v>
      </c>
      <c r="BW53" s="9">
        <f t="shared" si="264"/>
        <v>0</v>
      </c>
      <c r="BX53" s="9">
        <f t="shared" si="265"/>
        <v>0</v>
      </c>
      <c r="BY53" s="9">
        <f t="shared" si="266"/>
        <v>1666</v>
      </c>
      <c r="BZ53" s="9">
        <f t="shared" si="267"/>
        <v>144</v>
      </c>
      <c r="CA53" s="9">
        <f t="shared" si="268"/>
        <v>65</v>
      </c>
      <c r="CB53" s="9">
        <f t="shared" si="269"/>
        <v>1745</v>
      </c>
      <c r="CC53" s="8">
        <v>65</v>
      </c>
      <c r="CD53" s="8">
        <v>2257</v>
      </c>
      <c r="CE53" s="8">
        <v>57</v>
      </c>
      <c r="CF53" s="8">
        <v>124</v>
      </c>
      <c r="CG53" s="8">
        <v>9</v>
      </c>
      <c r="CH53" s="9">
        <f t="shared" si="270"/>
        <v>2447</v>
      </c>
      <c r="CI53" s="8">
        <v>4299</v>
      </c>
      <c r="CJ53" s="8">
        <v>4</v>
      </c>
      <c r="CK53" s="8">
        <v>0</v>
      </c>
      <c r="CL53" s="8">
        <v>0</v>
      </c>
      <c r="CM53" s="9">
        <f t="shared" si="271"/>
        <v>4303</v>
      </c>
      <c r="CN53" s="8">
        <v>3132</v>
      </c>
      <c r="CO53" s="8">
        <v>148</v>
      </c>
      <c r="CP53" s="8">
        <v>411</v>
      </c>
      <c r="CQ53" s="8">
        <v>68</v>
      </c>
      <c r="CR53" s="9">
        <f t="shared" si="272"/>
        <v>3759</v>
      </c>
      <c r="CS53" s="9">
        <f t="shared" si="273"/>
        <v>8062</v>
      </c>
      <c r="CT53" s="8">
        <v>10509</v>
      </c>
      <c r="CU53" s="8">
        <v>51456</v>
      </c>
      <c r="CV53" s="8">
        <v>47809</v>
      </c>
      <c r="CW53" s="10">
        <f t="shared" si="274"/>
        <v>0.92912391169154229</v>
      </c>
      <c r="CX53" s="8"/>
      <c r="CY53" s="8"/>
      <c r="CZ53" s="8"/>
      <c r="DA53" s="8"/>
      <c r="DB53" s="9">
        <f t="shared" si="275"/>
        <v>0</v>
      </c>
      <c r="DC53" s="8">
        <v>0</v>
      </c>
      <c r="DD53" s="8">
        <v>0</v>
      </c>
      <c r="DE53" s="8">
        <v>0</v>
      </c>
      <c r="DF53" s="8">
        <v>0</v>
      </c>
      <c r="DG53" s="9">
        <f t="shared" si="276"/>
        <v>0</v>
      </c>
      <c r="DH53" s="8">
        <v>0</v>
      </c>
      <c r="DI53" s="8">
        <v>0</v>
      </c>
      <c r="DJ53" s="8">
        <v>0</v>
      </c>
      <c r="DK53" s="8">
        <v>0</v>
      </c>
      <c r="DL53" s="9">
        <f t="shared" si="277"/>
        <v>0</v>
      </c>
      <c r="DM53" s="8">
        <v>165</v>
      </c>
      <c r="DN53" s="8">
        <v>6</v>
      </c>
      <c r="DO53" s="8">
        <v>0</v>
      </c>
      <c r="DP53" s="8">
        <v>0</v>
      </c>
      <c r="DQ53" s="9">
        <f t="shared" si="278"/>
        <v>171</v>
      </c>
      <c r="DR53" s="9">
        <f t="shared" si="279"/>
        <v>165</v>
      </c>
      <c r="DS53" s="9">
        <f t="shared" si="280"/>
        <v>6</v>
      </c>
      <c r="DT53" s="9">
        <f t="shared" si="281"/>
        <v>0</v>
      </c>
      <c r="DU53" s="9">
        <f t="shared" si="282"/>
        <v>0</v>
      </c>
      <c r="DV53" s="9">
        <f t="shared" si="283"/>
        <v>171</v>
      </c>
      <c r="DW53" s="8">
        <v>90</v>
      </c>
      <c r="DX53" s="8">
        <v>52</v>
      </c>
      <c r="DY53" s="8">
        <v>24</v>
      </c>
      <c r="DZ53" s="8">
        <v>12</v>
      </c>
      <c r="EA53" s="8">
        <v>8</v>
      </c>
      <c r="EB53" s="8">
        <v>5</v>
      </c>
      <c r="EC53" s="8">
        <v>2</v>
      </c>
      <c r="ED53" s="8">
        <v>1</v>
      </c>
      <c r="EE53" s="8">
        <v>0</v>
      </c>
      <c r="EF53" s="8">
        <v>1</v>
      </c>
      <c r="EG53" s="8">
        <v>1</v>
      </c>
      <c r="EH53" s="8">
        <v>0</v>
      </c>
      <c r="EI53" s="8">
        <v>0</v>
      </c>
      <c r="EJ53" s="8">
        <v>10</v>
      </c>
      <c r="EK53" s="8">
        <v>6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0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9">
        <f t="shared" si="284"/>
        <v>212</v>
      </c>
      <c r="FH53" s="8">
        <v>6</v>
      </c>
      <c r="FI53" s="8">
        <v>637.25</v>
      </c>
      <c r="FJ53" s="8">
        <v>0</v>
      </c>
      <c r="FK53" s="8">
        <v>17.25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9">
        <f t="shared" si="285"/>
        <v>0</v>
      </c>
      <c r="FR53" s="8">
        <v>182367865</v>
      </c>
      <c r="FS53" s="8">
        <v>294867.21999999997</v>
      </c>
      <c r="FT53" s="8">
        <v>0</v>
      </c>
      <c r="FU53" s="8">
        <v>70200</v>
      </c>
      <c r="FV53" s="9">
        <f t="shared" si="286"/>
        <v>182732932.22</v>
      </c>
      <c r="FW53" s="8">
        <v>22961055</v>
      </c>
      <c r="FX53" s="8">
        <v>1051600</v>
      </c>
      <c r="FY53" s="8">
        <v>10934502</v>
      </c>
      <c r="FZ53" s="8">
        <v>8310100</v>
      </c>
      <c r="GA53" s="9">
        <f t="shared" si="287"/>
        <v>43257257</v>
      </c>
      <c r="GB53" s="9">
        <f t="shared" si="288"/>
        <v>225990189.22</v>
      </c>
      <c r="GC53" s="8">
        <v>34522633</v>
      </c>
      <c r="GD53" s="8">
        <v>0</v>
      </c>
      <c r="GE53" s="8">
        <v>823308.52</v>
      </c>
      <c r="GF53" s="8">
        <v>0</v>
      </c>
      <c r="GG53" s="9">
        <f t="shared" si="289"/>
        <v>35345941.520000003</v>
      </c>
      <c r="GH53" s="8">
        <v>22966459.98</v>
      </c>
      <c r="GI53" s="8">
        <v>1051600</v>
      </c>
      <c r="GJ53" s="8">
        <v>8310100</v>
      </c>
      <c r="GK53" s="8">
        <v>10791664.109999999</v>
      </c>
      <c r="GL53" s="9">
        <f t="shared" si="290"/>
        <v>43119824.090000004</v>
      </c>
      <c r="GM53" s="9">
        <f t="shared" si="291"/>
        <v>78465765.610000014</v>
      </c>
      <c r="GN53" s="8">
        <v>2040081</v>
      </c>
      <c r="GO53" s="8">
        <v>0</v>
      </c>
      <c r="GP53" s="8">
        <v>20361.84</v>
      </c>
      <c r="GQ53" s="8">
        <v>0</v>
      </c>
      <c r="GR53" s="9">
        <f t="shared" si="292"/>
        <v>2060442.84</v>
      </c>
      <c r="GS53" s="8">
        <v>3355001</v>
      </c>
      <c r="GT53" s="8">
        <v>0</v>
      </c>
      <c r="GU53" s="8">
        <v>5358</v>
      </c>
      <c r="GV53" s="8">
        <v>0</v>
      </c>
      <c r="GW53" s="9">
        <f t="shared" si="293"/>
        <v>3360359</v>
      </c>
      <c r="GX53" s="9">
        <f t="shared" si="294"/>
        <v>83886567.450000018</v>
      </c>
      <c r="GY53" s="8">
        <v>72844644.220000565</v>
      </c>
      <c r="GZ53" s="8">
        <v>420536441.1499998</v>
      </c>
      <c r="HA53" s="9">
        <f t="shared" si="295"/>
        <v>493381085.37000036</v>
      </c>
      <c r="HB53" s="9">
        <f t="shared" si="296"/>
        <v>0.61020395936286442</v>
      </c>
      <c r="HC53" s="10">
        <f t="shared" si="297"/>
        <v>1.4418965234303491</v>
      </c>
      <c r="HD53" s="9">
        <f t="shared" si="298"/>
        <v>2.6939973358034921</v>
      </c>
      <c r="HE53" s="8">
        <v>1753</v>
      </c>
      <c r="HF53" s="8">
        <v>1</v>
      </c>
      <c r="HG53" s="8">
        <v>1745</v>
      </c>
      <c r="HH53" s="8">
        <v>144</v>
      </c>
      <c r="HI53" s="8">
        <v>11792</v>
      </c>
      <c r="HJ53" s="9">
        <f t="shared" si="299"/>
        <v>11793</v>
      </c>
      <c r="HK53" s="10">
        <f t="shared" si="300"/>
        <v>8.2144894466628635E-2</v>
      </c>
      <c r="HL53" s="8">
        <v>38</v>
      </c>
      <c r="HM53" s="8">
        <v>6</v>
      </c>
      <c r="HN53" s="11">
        <f t="shared" si="301"/>
        <v>0.15789473684210525</v>
      </c>
    </row>
    <row r="54" spans="1:222" x14ac:dyDescent="0.3">
      <c r="A54" s="12" t="s">
        <v>276</v>
      </c>
      <c r="B54" s="12" t="s">
        <v>276</v>
      </c>
      <c r="C54" s="13" t="s">
        <v>257</v>
      </c>
      <c r="D54" s="13">
        <v>2025</v>
      </c>
      <c r="E54" s="13">
        <v>7</v>
      </c>
      <c r="F54" s="13" t="s">
        <v>262</v>
      </c>
      <c r="G54" s="13" t="s">
        <v>263</v>
      </c>
      <c r="H54" s="14">
        <v>164857</v>
      </c>
      <c r="I54" s="14">
        <v>64837</v>
      </c>
      <c r="J54" s="14">
        <v>0</v>
      </c>
      <c r="K54" s="14">
        <v>221</v>
      </c>
      <c r="L54" s="14">
        <v>0</v>
      </c>
      <c r="M54" s="15">
        <f t="shared" si="241"/>
        <v>65058</v>
      </c>
      <c r="N54" s="14">
        <v>30127</v>
      </c>
      <c r="O54" s="14">
        <v>5305.6</v>
      </c>
      <c r="P54" s="14">
        <v>4390.5</v>
      </c>
      <c r="Q54" s="14">
        <v>3451</v>
      </c>
      <c r="R54" s="15">
        <f t="shared" si="242"/>
        <v>43274.1</v>
      </c>
      <c r="S54" s="15">
        <f t="shared" si="243"/>
        <v>108332.1</v>
      </c>
      <c r="T54" s="14">
        <v>56524.9</v>
      </c>
      <c r="U54" s="16">
        <f t="shared" si="244"/>
        <v>0.34287230751499786</v>
      </c>
      <c r="V54" s="14">
        <v>252</v>
      </c>
      <c r="W54" s="17">
        <f t="shared" si="245"/>
        <v>1.5285975117829392E-3</v>
      </c>
      <c r="X54" s="14">
        <v>0</v>
      </c>
      <c r="Y54" s="17">
        <f t="shared" si="246"/>
        <v>0</v>
      </c>
      <c r="Z54" s="14">
        <v>0</v>
      </c>
      <c r="AA54" s="17">
        <f t="shared" si="247"/>
        <v>0</v>
      </c>
      <c r="AB54" s="14">
        <v>0</v>
      </c>
      <c r="AC54" s="17">
        <f t="shared" si="248"/>
        <v>0</v>
      </c>
      <c r="AD54" s="14">
        <v>0</v>
      </c>
      <c r="AE54" s="17">
        <f t="shared" si="249"/>
        <v>0</v>
      </c>
      <c r="AF54" s="14">
        <v>0</v>
      </c>
      <c r="AG54" s="17">
        <f t="shared" si="250"/>
        <v>0</v>
      </c>
      <c r="AH54" s="14">
        <v>6030133.2000000002</v>
      </c>
      <c r="AI54" s="15">
        <f t="shared" si="251"/>
        <v>36.577962719205132</v>
      </c>
      <c r="AJ54" s="14">
        <v>46701.2</v>
      </c>
      <c r="AK54" s="17">
        <f t="shared" si="252"/>
        <v>0.28328308776697381</v>
      </c>
      <c r="AL54" s="14">
        <v>7826728.8629999999</v>
      </c>
      <c r="AM54" s="15">
        <f t="shared" si="253"/>
        <v>47.475866132466315</v>
      </c>
      <c r="AN54" s="14">
        <v>1324</v>
      </c>
      <c r="AO54" s="14">
        <v>101</v>
      </c>
      <c r="AP54" s="14">
        <v>490807.68</v>
      </c>
      <c r="AQ54" s="14">
        <v>0</v>
      </c>
      <c r="AR54" s="14">
        <v>29055752.399999999</v>
      </c>
      <c r="AS54" s="14">
        <v>4386683.46</v>
      </c>
      <c r="AT54" s="14">
        <v>2822180</v>
      </c>
      <c r="AU54" s="15">
        <f t="shared" si="254"/>
        <v>50612285.603</v>
      </c>
      <c r="AV54" s="15">
        <f t="shared" si="255"/>
        <v>307.00719777140188</v>
      </c>
      <c r="AW54" s="15">
        <f t="shared" si="256"/>
        <v>467.19564748583286</v>
      </c>
      <c r="AX54" s="14">
        <v>24</v>
      </c>
      <c r="AY54" s="15">
        <f t="shared" si="257"/>
        <v>1.7469685848947876</v>
      </c>
      <c r="AZ54" s="14">
        <v>28</v>
      </c>
      <c r="BA54" s="14">
        <v>1727</v>
      </c>
      <c r="BB54" s="14">
        <v>151</v>
      </c>
      <c r="BC54" s="14">
        <v>0</v>
      </c>
      <c r="BD54" s="14">
        <v>49</v>
      </c>
      <c r="BE54" s="15">
        <f t="shared" si="258"/>
        <v>49</v>
      </c>
      <c r="BF54" s="15">
        <f t="shared" si="259"/>
        <v>1829</v>
      </c>
      <c r="BG54" s="14">
        <v>4</v>
      </c>
      <c r="BH54" s="14">
        <v>2</v>
      </c>
      <c r="BI54" s="14">
        <v>0</v>
      </c>
      <c r="BJ54" s="14">
        <v>1</v>
      </c>
      <c r="BK54" s="15">
        <f t="shared" si="260"/>
        <v>1</v>
      </c>
      <c r="BL54" s="15">
        <f t="shared" si="261"/>
        <v>5</v>
      </c>
      <c r="BM54" s="14">
        <v>14</v>
      </c>
      <c r="BN54" s="14">
        <v>6</v>
      </c>
      <c r="BO54" s="14">
        <v>0</v>
      </c>
      <c r="BP54" s="14">
        <v>0</v>
      </c>
      <c r="BQ54" s="15">
        <f t="shared" si="262"/>
        <v>0</v>
      </c>
      <c r="BR54" s="15">
        <f t="shared" si="263"/>
        <v>20</v>
      </c>
      <c r="BS54" s="14">
        <v>0</v>
      </c>
      <c r="BT54" s="14">
        <v>0</v>
      </c>
      <c r="BU54" s="14">
        <v>0</v>
      </c>
      <c r="BV54" s="14">
        <v>0</v>
      </c>
      <c r="BW54" s="15">
        <f t="shared" si="264"/>
        <v>0</v>
      </c>
      <c r="BX54" s="15">
        <f t="shared" si="265"/>
        <v>0</v>
      </c>
      <c r="BY54" s="15">
        <f t="shared" si="266"/>
        <v>1745</v>
      </c>
      <c r="BZ54" s="15">
        <f t="shared" si="267"/>
        <v>159</v>
      </c>
      <c r="CA54" s="15">
        <f t="shared" si="268"/>
        <v>50</v>
      </c>
      <c r="CB54" s="15">
        <f t="shared" si="269"/>
        <v>1854</v>
      </c>
      <c r="CC54" s="14">
        <v>50</v>
      </c>
      <c r="CD54" s="14">
        <v>2490</v>
      </c>
      <c r="CE54" s="14">
        <v>58</v>
      </c>
      <c r="CF54" s="14">
        <v>124</v>
      </c>
      <c r="CG54" s="14">
        <v>10</v>
      </c>
      <c r="CH54" s="15">
        <f t="shared" si="270"/>
        <v>2682</v>
      </c>
      <c r="CI54" s="14">
        <v>4063</v>
      </c>
      <c r="CJ54" s="14">
        <v>5</v>
      </c>
      <c r="CK54" s="14">
        <v>0</v>
      </c>
      <c r="CL54" s="14">
        <v>0</v>
      </c>
      <c r="CM54" s="15">
        <f t="shared" si="271"/>
        <v>4068</v>
      </c>
      <c r="CN54" s="14">
        <v>3194</v>
      </c>
      <c r="CO54" s="14">
        <v>155</v>
      </c>
      <c r="CP54" s="14">
        <v>418</v>
      </c>
      <c r="CQ54" s="14">
        <v>72</v>
      </c>
      <c r="CR54" s="15">
        <f t="shared" si="272"/>
        <v>3839</v>
      </c>
      <c r="CS54" s="15">
        <f t="shared" si="273"/>
        <v>7907</v>
      </c>
      <c r="CT54" s="14">
        <v>10589</v>
      </c>
      <c r="CU54" s="14">
        <v>51531</v>
      </c>
      <c r="CV54" s="14">
        <v>48099</v>
      </c>
      <c r="CW54" s="16">
        <f t="shared" si="274"/>
        <v>0.93339931303487222</v>
      </c>
      <c r="CX54" s="14"/>
      <c r="CY54" s="14"/>
      <c r="CZ54" s="14"/>
      <c r="DA54" s="14"/>
      <c r="DB54" s="15">
        <f t="shared" si="275"/>
        <v>0</v>
      </c>
      <c r="DC54" s="14">
        <v>0</v>
      </c>
      <c r="DD54" s="14">
        <v>0</v>
      </c>
      <c r="DE54" s="14">
        <v>0</v>
      </c>
      <c r="DF54" s="14">
        <v>0</v>
      </c>
      <c r="DG54" s="15">
        <f t="shared" si="276"/>
        <v>0</v>
      </c>
      <c r="DH54" s="14">
        <v>0</v>
      </c>
      <c r="DI54" s="14">
        <v>0</v>
      </c>
      <c r="DJ54" s="14">
        <v>0</v>
      </c>
      <c r="DK54" s="14">
        <v>0</v>
      </c>
      <c r="DL54" s="15">
        <f t="shared" si="277"/>
        <v>0</v>
      </c>
      <c r="DM54" s="14">
        <v>171</v>
      </c>
      <c r="DN54" s="14">
        <v>21</v>
      </c>
      <c r="DO54" s="14">
        <v>0</v>
      </c>
      <c r="DP54" s="14">
        <v>0</v>
      </c>
      <c r="DQ54" s="15">
        <f t="shared" si="278"/>
        <v>192</v>
      </c>
      <c r="DR54" s="15">
        <f t="shared" si="279"/>
        <v>171</v>
      </c>
      <c r="DS54" s="15">
        <f t="shared" si="280"/>
        <v>21</v>
      </c>
      <c r="DT54" s="15">
        <f t="shared" si="281"/>
        <v>0</v>
      </c>
      <c r="DU54" s="15">
        <f t="shared" si="282"/>
        <v>0</v>
      </c>
      <c r="DV54" s="15">
        <f t="shared" si="283"/>
        <v>192</v>
      </c>
      <c r="DW54" s="14">
        <v>86</v>
      </c>
      <c r="DX54" s="14">
        <v>55</v>
      </c>
      <c r="DY54" s="14">
        <v>24</v>
      </c>
      <c r="DZ54" s="14">
        <v>17</v>
      </c>
      <c r="EA54" s="14">
        <v>9</v>
      </c>
      <c r="EB54" s="14">
        <v>7</v>
      </c>
      <c r="EC54" s="14">
        <v>2</v>
      </c>
      <c r="ED54" s="14">
        <v>3</v>
      </c>
      <c r="EE54" s="14">
        <v>1</v>
      </c>
      <c r="EF54" s="14">
        <v>0</v>
      </c>
      <c r="EG54" s="14">
        <v>0</v>
      </c>
      <c r="EH54" s="14">
        <v>0</v>
      </c>
      <c r="EI54" s="14">
        <v>0</v>
      </c>
      <c r="EJ54" s="14">
        <v>12</v>
      </c>
      <c r="EK54" s="14">
        <v>9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5">
        <f t="shared" si="284"/>
        <v>225</v>
      </c>
      <c r="FH54" s="14">
        <v>6</v>
      </c>
      <c r="FI54" s="14">
        <v>592</v>
      </c>
      <c r="FJ54" s="14">
        <v>22</v>
      </c>
      <c r="FK54" s="14">
        <v>28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5">
        <f t="shared" si="285"/>
        <v>0</v>
      </c>
      <c r="FR54" s="14">
        <v>33221593.100000001</v>
      </c>
      <c r="FS54" s="14">
        <v>169417.22</v>
      </c>
      <c r="FT54" s="14">
        <v>47867.22</v>
      </c>
      <c r="FU54" s="14">
        <v>0</v>
      </c>
      <c r="FV54" s="15">
        <f t="shared" si="286"/>
        <v>33438877.539999999</v>
      </c>
      <c r="FW54" s="14">
        <v>27882560</v>
      </c>
      <c r="FX54" s="14">
        <v>1127400</v>
      </c>
      <c r="FY54" s="14">
        <v>17398511.600000001</v>
      </c>
      <c r="FZ54" s="14">
        <v>13266883</v>
      </c>
      <c r="GA54" s="15">
        <f t="shared" si="287"/>
        <v>59675354.600000001</v>
      </c>
      <c r="GB54" s="15">
        <f t="shared" si="288"/>
        <v>93114232.140000001</v>
      </c>
      <c r="GC54" s="14">
        <v>59220569.780000001</v>
      </c>
      <c r="GD54" s="14">
        <v>0</v>
      </c>
      <c r="GE54" s="14">
        <v>716167.52</v>
      </c>
      <c r="GF54" s="14">
        <v>0</v>
      </c>
      <c r="GG54" s="15">
        <f t="shared" si="289"/>
        <v>59936737.300000004</v>
      </c>
      <c r="GH54" s="14">
        <v>27922798.600000001</v>
      </c>
      <c r="GI54" s="14">
        <v>1127400</v>
      </c>
      <c r="GJ54" s="14">
        <v>13266883</v>
      </c>
      <c r="GK54" s="14">
        <v>17268311.600000001</v>
      </c>
      <c r="GL54" s="15">
        <f t="shared" si="290"/>
        <v>59585393.200000003</v>
      </c>
      <c r="GM54" s="15">
        <f t="shared" si="291"/>
        <v>119522130.5</v>
      </c>
      <c r="GN54" s="14">
        <v>2207885.6800000002</v>
      </c>
      <c r="GO54" s="14">
        <v>0</v>
      </c>
      <c r="GP54" s="14">
        <v>16968.2</v>
      </c>
      <c r="GQ54" s="14">
        <v>0</v>
      </c>
      <c r="GR54" s="15">
        <f t="shared" si="292"/>
        <v>2224853.8800000004</v>
      </c>
      <c r="GS54" s="14">
        <v>3628259</v>
      </c>
      <c r="GT54" s="14">
        <v>0</v>
      </c>
      <c r="GU54" s="14">
        <v>4465</v>
      </c>
      <c r="GV54" s="14">
        <v>0</v>
      </c>
      <c r="GW54" s="15">
        <f t="shared" si="293"/>
        <v>3632724</v>
      </c>
      <c r="GX54" s="15">
        <f t="shared" si="294"/>
        <v>125379708.38</v>
      </c>
      <c r="GY54" s="14">
        <v>90783230.480000824</v>
      </c>
      <c r="GZ54" s="14">
        <v>435240815.34999979</v>
      </c>
      <c r="HA54" s="15">
        <f t="shared" si="295"/>
        <v>526024045.83000064</v>
      </c>
      <c r="HB54" s="15">
        <f t="shared" si="296"/>
        <v>0.40367206350173201</v>
      </c>
      <c r="HC54" s="16">
        <f t="shared" si="297"/>
        <v>0.43075946612803029</v>
      </c>
      <c r="HD54" s="15">
        <f t="shared" si="298"/>
        <v>0.74265790966581291</v>
      </c>
      <c r="HE54" s="14">
        <v>1854</v>
      </c>
      <c r="HF54" s="14">
        <v>1</v>
      </c>
      <c r="HG54" s="14">
        <v>1854</v>
      </c>
      <c r="HH54" s="14">
        <v>159</v>
      </c>
      <c r="HI54" s="14">
        <v>8235</v>
      </c>
      <c r="HJ54" s="15">
        <f t="shared" si="299"/>
        <v>8236</v>
      </c>
      <c r="HK54" s="16">
        <f t="shared" si="300"/>
        <v>8.5760517799352745E-2</v>
      </c>
      <c r="HL54" s="14">
        <v>47</v>
      </c>
      <c r="HM54" s="14">
        <v>7</v>
      </c>
      <c r="HN54" s="17">
        <f t="shared" si="301"/>
        <v>0.14893617021276595</v>
      </c>
    </row>
    <row r="55" spans="1:222" x14ac:dyDescent="0.3">
      <c r="A55" s="6" t="s">
        <v>276</v>
      </c>
      <c r="B55" s="6" t="s">
        <v>276</v>
      </c>
      <c r="C55" s="7" t="s">
        <v>257</v>
      </c>
      <c r="D55" s="7">
        <v>2025</v>
      </c>
      <c r="E55" s="7">
        <v>8</v>
      </c>
      <c r="F55" s="7" t="s">
        <v>264</v>
      </c>
      <c r="G55" s="7" t="s">
        <v>263</v>
      </c>
      <c r="H55" s="8">
        <v>163955</v>
      </c>
      <c r="I55" s="8">
        <v>47290</v>
      </c>
      <c r="J55" s="8">
        <v>76</v>
      </c>
      <c r="K55" s="8">
        <v>259</v>
      </c>
      <c r="L55" s="8">
        <v>15</v>
      </c>
      <c r="M55" s="9">
        <f t="shared" si="241"/>
        <v>47640</v>
      </c>
      <c r="N55" s="8">
        <v>42238.5</v>
      </c>
      <c r="O55" s="8">
        <v>5573.2</v>
      </c>
      <c r="P55" s="8">
        <v>3212.8</v>
      </c>
      <c r="Q55" s="8">
        <v>2154.3000000000002</v>
      </c>
      <c r="R55" s="9">
        <f t="shared" si="242"/>
        <v>53178.8</v>
      </c>
      <c r="S55" s="9">
        <f t="shared" si="243"/>
        <v>100818.8</v>
      </c>
      <c r="T55" s="8">
        <v>63136.2</v>
      </c>
      <c r="U55" s="10">
        <f t="shared" si="244"/>
        <v>0.3850824921472355</v>
      </c>
      <c r="V55" s="8">
        <v>300</v>
      </c>
      <c r="W55" s="11">
        <f t="shared" si="245"/>
        <v>1.8297703638193406E-3</v>
      </c>
      <c r="X55" s="8">
        <v>0</v>
      </c>
      <c r="Y55" s="11">
        <f t="shared" si="246"/>
        <v>0</v>
      </c>
      <c r="Z55" s="8">
        <v>0</v>
      </c>
      <c r="AA55" s="11">
        <f t="shared" si="247"/>
        <v>0</v>
      </c>
      <c r="AB55" s="8">
        <v>0</v>
      </c>
      <c r="AC55" s="11">
        <f t="shared" si="248"/>
        <v>0</v>
      </c>
      <c r="AD55" s="8">
        <v>0</v>
      </c>
      <c r="AE55" s="11">
        <f t="shared" si="249"/>
        <v>0</v>
      </c>
      <c r="AF55" s="8">
        <v>0</v>
      </c>
      <c r="AG55" s="11">
        <f t="shared" si="250"/>
        <v>0</v>
      </c>
      <c r="AH55" s="8">
        <v>7178730</v>
      </c>
      <c r="AI55" s="9">
        <f t="shared" si="251"/>
        <v>43.784758012869382</v>
      </c>
      <c r="AJ55" s="8">
        <v>50035.01</v>
      </c>
      <c r="AK55" s="11">
        <f t="shared" si="252"/>
        <v>0.30517526150468116</v>
      </c>
      <c r="AL55" s="8">
        <v>8384066.8842749996</v>
      </c>
      <c r="AM55" s="9">
        <f t="shared" si="253"/>
        <v>51.136390377085171</v>
      </c>
      <c r="AN55" s="8">
        <v>1579</v>
      </c>
      <c r="AO55" s="8">
        <v>108.64</v>
      </c>
      <c r="AP55" s="8">
        <v>413606</v>
      </c>
      <c r="AQ55" s="8">
        <v>0</v>
      </c>
      <c r="AR55" s="8">
        <v>31521700.23</v>
      </c>
      <c r="AS55" s="8">
        <v>4559327.91</v>
      </c>
      <c r="AT55" s="8">
        <v>3108080</v>
      </c>
      <c r="AU55" s="9">
        <f t="shared" si="254"/>
        <v>55165511.024275005</v>
      </c>
      <c r="AV55" s="9">
        <f t="shared" si="255"/>
        <v>336.46739059055841</v>
      </c>
      <c r="AW55" s="9">
        <f t="shared" si="256"/>
        <v>547.17484263128506</v>
      </c>
      <c r="AX55" s="8">
        <v>23</v>
      </c>
      <c r="AY55" s="9">
        <f t="shared" si="257"/>
        <v>1.6833887347137932</v>
      </c>
      <c r="AZ55" s="8">
        <v>27</v>
      </c>
      <c r="BA55" s="8">
        <v>1829</v>
      </c>
      <c r="BB55" s="8">
        <v>178</v>
      </c>
      <c r="BC55" s="8">
        <v>0</v>
      </c>
      <c r="BD55" s="8">
        <v>84</v>
      </c>
      <c r="BE55" s="9">
        <f t="shared" si="258"/>
        <v>84</v>
      </c>
      <c r="BF55" s="9">
        <f t="shared" si="259"/>
        <v>1923</v>
      </c>
      <c r="BG55" s="8">
        <v>5</v>
      </c>
      <c r="BH55" s="8">
        <v>0</v>
      </c>
      <c r="BI55" s="8">
        <v>0</v>
      </c>
      <c r="BJ55" s="8">
        <v>1</v>
      </c>
      <c r="BK55" s="9">
        <f t="shared" si="260"/>
        <v>1</v>
      </c>
      <c r="BL55" s="9">
        <f t="shared" si="261"/>
        <v>4</v>
      </c>
      <c r="BM55" s="8">
        <v>20</v>
      </c>
      <c r="BN55" s="8">
        <v>1</v>
      </c>
      <c r="BO55" s="8">
        <v>0</v>
      </c>
      <c r="BP55" s="8">
        <v>4</v>
      </c>
      <c r="BQ55" s="9">
        <f t="shared" si="262"/>
        <v>4</v>
      </c>
      <c r="BR55" s="9">
        <f t="shared" si="263"/>
        <v>17</v>
      </c>
      <c r="BS55" s="8">
        <v>0</v>
      </c>
      <c r="BT55" s="8">
        <v>0</v>
      </c>
      <c r="BU55" s="8">
        <v>0</v>
      </c>
      <c r="BV55" s="8">
        <v>0</v>
      </c>
      <c r="BW55" s="9">
        <f t="shared" si="264"/>
        <v>0</v>
      </c>
      <c r="BX55" s="9">
        <f t="shared" si="265"/>
        <v>0</v>
      </c>
      <c r="BY55" s="9">
        <f t="shared" si="266"/>
        <v>1854</v>
      </c>
      <c r="BZ55" s="9">
        <f t="shared" si="267"/>
        <v>179</v>
      </c>
      <c r="CA55" s="9">
        <f t="shared" si="268"/>
        <v>89</v>
      </c>
      <c r="CB55" s="9">
        <f t="shared" si="269"/>
        <v>1944</v>
      </c>
      <c r="CC55" s="8">
        <v>89</v>
      </c>
      <c r="CD55" s="8">
        <v>2419</v>
      </c>
      <c r="CE55" s="8">
        <v>56</v>
      </c>
      <c r="CF55" s="8">
        <v>121</v>
      </c>
      <c r="CG55" s="8">
        <v>8</v>
      </c>
      <c r="CH55" s="9">
        <f t="shared" si="270"/>
        <v>2604</v>
      </c>
      <c r="CI55" s="8">
        <v>4138</v>
      </c>
      <c r="CJ55" s="8">
        <v>5</v>
      </c>
      <c r="CK55" s="8">
        <v>2</v>
      </c>
      <c r="CL55" s="8">
        <v>1</v>
      </c>
      <c r="CM55" s="9">
        <f t="shared" si="271"/>
        <v>4146</v>
      </c>
      <c r="CN55" s="8">
        <v>3278</v>
      </c>
      <c r="CO55" s="8">
        <v>156</v>
      </c>
      <c r="CP55" s="8">
        <v>422</v>
      </c>
      <c r="CQ55" s="8">
        <v>72</v>
      </c>
      <c r="CR55" s="9">
        <f t="shared" si="272"/>
        <v>3928</v>
      </c>
      <c r="CS55" s="9">
        <f t="shared" si="273"/>
        <v>8074</v>
      </c>
      <c r="CT55" s="8">
        <v>10678</v>
      </c>
      <c r="CU55" s="8">
        <v>51606</v>
      </c>
      <c r="CV55" s="8">
        <v>48544</v>
      </c>
      <c r="CW55" s="10">
        <f t="shared" si="274"/>
        <v>0.9406658140526295</v>
      </c>
      <c r="CX55" s="8"/>
      <c r="CY55" s="8"/>
      <c r="CZ55" s="8"/>
      <c r="DA55" s="8"/>
      <c r="DB55" s="9">
        <f t="shared" si="275"/>
        <v>0</v>
      </c>
      <c r="DC55" s="8">
        <v>1</v>
      </c>
      <c r="DD55" s="8">
        <v>0</v>
      </c>
      <c r="DE55" s="8">
        <v>0</v>
      </c>
      <c r="DF55" s="8">
        <v>0</v>
      </c>
      <c r="DG55" s="9">
        <f t="shared" si="276"/>
        <v>1</v>
      </c>
      <c r="DH55" s="8">
        <v>0</v>
      </c>
      <c r="DI55" s="8">
        <v>0</v>
      </c>
      <c r="DJ55" s="8">
        <v>0</v>
      </c>
      <c r="DK55" s="8">
        <v>0</v>
      </c>
      <c r="DL55" s="9">
        <f t="shared" si="277"/>
        <v>0</v>
      </c>
      <c r="DM55" s="8">
        <v>192</v>
      </c>
      <c r="DN55" s="8">
        <v>40</v>
      </c>
      <c r="DO55" s="8">
        <v>7</v>
      </c>
      <c r="DP55" s="8">
        <v>6</v>
      </c>
      <c r="DQ55" s="9">
        <f t="shared" si="278"/>
        <v>219</v>
      </c>
      <c r="DR55" s="9">
        <f t="shared" si="279"/>
        <v>193</v>
      </c>
      <c r="DS55" s="9">
        <f t="shared" si="280"/>
        <v>40</v>
      </c>
      <c r="DT55" s="9">
        <f t="shared" si="281"/>
        <v>7</v>
      </c>
      <c r="DU55" s="9">
        <f t="shared" si="282"/>
        <v>6</v>
      </c>
      <c r="DV55" s="9">
        <f t="shared" si="283"/>
        <v>220</v>
      </c>
      <c r="DW55" s="8">
        <v>70</v>
      </c>
      <c r="DX55" s="8">
        <v>44</v>
      </c>
      <c r="DY55" s="8">
        <v>18</v>
      </c>
      <c r="DZ55" s="8">
        <v>11</v>
      </c>
      <c r="EA55" s="8">
        <v>8</v>
      </c>
      <c r="EB55" s="8">
        <v>3</v>
      </c>
      <c r="EC55" s="8">
        <v>2</v>
      </c>
      <c r="ED55" s="8">
        <v>3</v>
      </c>
      <c r="EE55" s="8">
        <v>0</v>
      </c>
      <c r="EF55" s="8">
        <v>2</v>
      </c>
      <c r="EG55" s="8">
        <v>0</v>
      </c>
      <c r="EH55" s="8">
        <v>0</v>
      </c>
      <c r="EI55" s="8">
        <v>0</v>
      </c>
      <c r="EJ55" s="8">
        <v>8</v>
      </c>
      <c r="EK55" s="8">
        <v>6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9">
        <f t="shared" si="284"/>
        <v>175</v>
      </c>
      <c r="FH55" s="8">
        <v>6</v>
      </c>
      <c r="FI55" s="8">
        <v>598</v>
      </c>
      <c r="FJ55" s="8">
        <v>0</v>
      </c>
      <c r="FK55" s="8">
        <v>41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9">
        <f t="shared" si="285"/>
        <v>0</v>
      </c>
      <c r="FR55" s="8">
        <v>61486183</v>
      </c>
      <c r="FS55" s="8">
        <v>0</v>
      </c>
      <c r="FT55" s="8">
        <v>42000</v>
      </c>
      <c r="FU55" s="8">
        <v>94867.22</v>
      </c>
      <c r="FV55" s="9">
        <f t="shared" si="286"/>
        <v>61623050.219999999</v>
      </c>
      <c r="FW55" s="8">
        <v>28922823</v>
      </c>
      <c r="FX55" s="8">
        <v>1184359</v>
      </c>
      <c r="FY55" s="8">
        <v>10306280</v>
      </c>
      <c r="FZ55" s="8">
        <v>9731100</v>
      </c>
      <c r="GA55" s="9">
        <f t="shared" si="287"/>
        <v>50144562</v>
      </c>
      <c r="GB55" s="9">
        <f t="shared" si="288"/>
        <v>111767612.22</v>
      </c>
      <c r="GC55" s="8">
        <v>42922261</v>
      </c>
      <c r="GD55" s="8">
        <v>14537.28</v>
      </c>
      <c r="GE55" s="8">
        <v>851086.85</v>
      </c>
      <c r="GF55" s="8">
        <v>41232.44</v>
      </c>
      <c r="GG55" s="9">
        <f t="shared" si="289"/>
        <v>43829117.57</v>
      </c>
      <c r="GH55" s="8">
        <v>28969017.52</v>
      </c>
      <c r="GI55" s="8">
        <v>1184359</v>
      </c>
      <c r="GJ55" s="8">
        <v>9688740</v>
      </c>
      <c r="GK55" s="8">
        <v>10090880</v>
      </c>
      <c r="GL55" s="9">
        <f t="shared" si="290"/>
        <v>49932996.519999996</v>
      </c>
      <c r="GM55" s="9">
        <f t="shared" si="291"/>
        <v>93762114.090000004</v>
      </c>
      <c r="GN55" s="8">
        <v>2248836</v>
      </c>
      <c r="GO55" s="8">
        <v>191.28</v>
      </c>
      <c r="GP55" s="8">
        <v>16968.2</v>
      </c>
      <c r="GQ55" s="8">
        <v>9274.68</v>
      </c>
      <c r="GR55" s="9">
        <f t="shared" si="292"/>
        <v>2275270.16</v>
      </c>
      <c r="GS55" s="8">
        <v>3695234</v>
      </c>
      <c r="GT55" s="8">
        <v>893</v>
      </c>
      <c r="GU55" s="8">
        <v>4465</v>
      </c>
      <c r="GV55" s="8">
        <v>1786</v>
      </c>
      <c r="GW55" s="9">
        <f t="shared" si="293"/>
        <v>3702378</v>
      </c>
      <c r="GX55" s="9">
        <f t="shared" si="294"/>
        <v>99739762.25</v>
      </c>
      <c r="GY55" s="8">
        <v>79021487.10000056</v>
      </c>
      <c r="GZ55" s="8">
        <v>422497661.79000008</v>
      </c>
      <c r="HA55" s="9">
        <f t="shared" si="295"/>
        <v>501519148.89000064</v>
      </c>
      <c r="HB55" s="9">
        <f t="shared" si="296"/>
        <v>0.55309447084906205</v>
      </c>
      <c r="HC55" s="10">
        <f t="shared" si="297"/>
        <v>0.62523400695845299</v>
      </c>
      <c r="HD55" s="9">
        <f t="shared" si="298"/>
        <v>1.1205923264570445</v>
      </c>
      <c r="HE55" s="8">
        <v>0</v>
      </c>
      <c r="HF55" s="8">
        <v>7</v>
      </c>
      <c r="HG55" s="8">
        <v>1944</v>
      </c>
      <c r="HH55" s="8">
        <v>179</v>
      </c>
      <c r="HI55" s="8">
        <v>14883</v>
      </c>
      <c r="HJ55" s="9">
        <f t="shared" si="299"/>
        <v>14890</v>
      </c>
      <c r="HK55" s="10" t="str">
        <f t="shared" si="300"/>
        <v/>
      </c>
      <c r="HL55" s="8">
        <v>36</v>
      </c>
      <c r="HM55" s="8">
        <v>6</v>
      </c>
      <c r="HN55" s="11">
        <f t="shared" si="301"/>
        <v>0.16666666666666666</v>
      </c>
    </row>
    <row r="56" spans="1:222" x14ac:dyDescent="0.3">
      <c r="A56" s="12" t="s">
        <v>276</v>
      </c>
      <c r="B56" s="12" t="s">
        <v>276</v>
      </c>
      <c r="C56" s="13" t="s">
        <v>257</v>
      </c>
      <c r="D56" s="13">
        <v>2025</v>
      </c>
      <c r="E56" s="13">
        <v>9</v>
      </c>
      <c r="F56" s="13" t="s">
        <v>265</v>
      </c>
      <c r="G56" s="13" t="s">
        <v>263</v>
      </c>
      <c r="H56" s="14">
        <v>160930.5</v>
      </c>
      <c r="I56" s="14">
        <v>54470</v>
      </c>
      <c r="J56" s="14">
        <v>40</v>
      </c>
      <c r="K56" s="14">
        <v>238</v>
      </c>
      <c r="L56" s="14">
        <v>8</v>
      </c>
      <c r="M56" s="15">
        <f t="shared" si="241"/>
        <v>54756</v>
      </c>
      <c r="N56" s="14">
        <v>24541.4</v>
      </c>
      <c r="O56" s="14">
        <v>5760.6</v>
      </c>
      <c r="P56" s="14">
        <v>4458.8999999999996</v>
      </c>
      <c r="Q56" s="14">
        <v>2781</v>
      </c>
      <c r="R56" s="15">
        <f t="shared" si="242"/>
        <v>37541.9</v>
      </c>
      <c r="S56" s="15">
        <f t="shared" si="243"/>
        <v>92297.9</v>
      </c>
      <c r="T56" s="14">
        <v>68632.600000000093</v>
      </c>
      <c r="U56" s="16">
        <f t="shared" si="244"/>
        <v>0.42647353981998498</v>
      </c>
      <c r="V56" s="14">
        <v>418</v>
      </c>
      <c r="W56" s="17">
        <f t="shared" si="245"/>
        <v>2.5973945274512912E-3</v>
      </c>
      <c r="X56" s="14">
        <v>0</v>
      </c>
      <c r="Y56" s="17">
        <f t="shared" si="246"/>
        <v>0</v>
      </c>
      <c r="Z56" s="14">
        <v>0</v>
      </c>
      <c r="AA56" s="17">
        <f t="shared" si="247"/>
        <v>0</v>
      </c>
      <c r="AB56" s="14">
        <v>0</v>
      </c>
      <c r="AC56" s="17">
        <f t="shared" si="248"/>
        <v>0</v>
      </c>
      <c r="AD56" s="14">
        <v>0</v>
      </c>
      <c r="AE56" s="17">
        <f t="shared" si="249"/>
        <v>0</v>
      </c>
      <c r="AF56" s="14">
        <v>0</v>
      </c>
      <c r="AG56" s="17">
        <f t="shared" si="250"/>
        <v>0</v>
      </c>
      <c r="AH56" s="14">
        <v>10002363.800000001</v>
      </c>
      <c r="AI56" s="15">
        <f t="shared" si="251"/>
        <v>62.153313386834697</v>
      </c>
      <c r="AJ56" s="14">
        <v>44399.6</v>
      </c>
      <c r="AK56" s="17">
        <f t="shared" si="252"/>
        <v>0.275893009715374</v>
      </c>
      <c r="AL56" s="14">
        <v>7441953.1289999997</v>
      </c>
      <c r="AM56" s="15">
        <f t="shared" si="253"/>
        <v>46.243273518692853</v>
      </c>
      <c r="AN56" s="14">
        <v>4175</v>
      </c>
      <c r="AO56" s="14">
        <v>433.66</v>
      </c>
      <c r="AP56" s="14">
        <v>1186556</v>
      </c>
      <c r="AQ56" s="14">
        <v>0</v>
      </c>
      <c r="AR56" s="14">
        <v>30076339.5</v>
      </c>
      <c r="AS56" s="14">
        <v>4519195.6399999997</v>
      </c>
      <c r="AT56" s="14">
        <v>3206170</v>
      </c>
      <c r="AU56" s="15">
        <f t="shared" si="254"/>
        <v>56432578.069000006</v>
      </c>
      <c r="AV56" s="15">
        <f t="shared" si="255"/>
        <v>350.66428097222098</v>
      </c>
      <c r="AW56" s="15">
        <f t="shared" si="256"/>
        <v>611.41779031808971</v>
      </c>
      <c r="AX56" s="14">
        <v>24</v>
      </c>
      <c r="AY56" s="15">
        <f t="shared" si="257"/>
        <v>1.789592401688928</v>
      </c>
      <c r="AZ56" s="14">
        <v>27</v>
      </c>
      <c r="BA56" s="14">
        <v>1923</v>
      </c>
      <c r="BB56" s="14">
        <v>104</v>
      </c>
      <c r="BC56" s="14">
        <v>0</v>
      </c>
      <c r="BD56" s="14">
        <v>96</v>
      </c>
      <c r="BE56" s="15">
        <f t="shared" si="258"/>
        <v>96</v>
      </c>
      <c r="BF56" s="15">
        <f t="shared" si="259"/>
        <v>1931</v>
      </c>
      <c r="BG56" s="14">
        <v>4</v>
      </c>
      <c r="BH56" s="14">
        <v>0</v>
      </c>
      <c r="BI56" s="14">
        <v>0</v>
      </c>
      <c r="BJ56" s="14">
        <v>1</v>
      </c>
      <c r="BK56" s="15">
        <f t="shared" si="260"/>
        <v>1</v>
      </c>
      <c r="BL56" s="15">
        <f t="shared" si="261"/>
        <v>3</v>
      </c>
      <c r="BM56" s="14">
        <v>17</v>
      </c>
      <c r="BN56" s="14">
        <v>1</v>
      </c>
      <c r="BO56" s="14">
        <v>0</v>
      </c>
      <c r="BP56" s="14">
        <v>5</v>
      </c>
      <c r="BQ56" s="15">
        <f t="shared" si="262"/>
        <v>5</v>
      </c>
      <c r="BR56" s="15">
        <f t="shared" si="263"/>
        <v>13</v>
      </c>
      <c r="BS56" s="14">
        <v>0</v>
      </c>
      <c r="BT56" s="14">
        <v>0</v>
      </c>
      <c r="BU56" s="14">
        <v>0</v>
      </c>
      <c r="BV56" s="14">
        <v>0</v>
      </c>
      <c r="BW56" s="15">
        <f t="shared" si="264"/>
        <v>0</v>
      </c>
      <c r="BX56" s="15">
        <f t="shared" si="265"/>
        <v>0</v>
      </c>
      <c r="BY56" s="15">
        <f t="shared" si="266"/>
        <v>1944</v>
      </c>
      <c r="BZ56" s="15">
        <f t="shared" si="267"/>
        <v>105</v>
      </c>
      <c r="CA56" s="15">
        <f t="shared" si="268"/>
        <v>102</v>
      </c>
      <c r="CB56" s="15">
        <f t="shared" si="269"/>
        <v>1947</v>
      </c>
      <c r="CC56" s="14">
        <v>102</v>
      </c>
      <c r="CD56" s="14">
        <v>2358</v>
      </c>
      <c r="CE56" s="14">
        <v>56</v>
      </c>
      <c r="CF56" s="14">
        <v>121</v>
      </c>
      <c r="CG56" s="14">
        <v>8</v>
      </c>
      <c r="CH56" s="15">
        <f t="shared" si="270"/>
        <v>2543</v>
      </c>
      <c r="CI56" s="14">
        <v>4199</v>
      </c>
      <c r="CJ56" s="14">
        <v>5</v>
      </c>
      <c r="CK56" s="14">
        <v>2</v>
      </c>
      <c r="CL56" s="14">
        <v>1</v>
      </c>
      <c r="CM56" s="15">
        <f t="shared" si="271"/>
        <v>4207</v>
      </c>
      <c r="CN56" s="14">
        <v>3374</v>
      </c>
      <c r="CO56" s="14">
        <v>157</v>
      </c>
      <c r="CP56" s="14">
        <v>427</v>
      </c>
      <c r="CQ56" s="14">
        <v>72</v>
      </c>
      <c r="CR56" s="15">
        <f t="shared" si="272"/>
        <v>4030</v>
      </c>
      <c r="CS56" s="15">
        <f t="shared" si="273"/>
        <v>8237</v>
      </c>
      <c r="CT56" s="14">
        <v>10780</v>
      </c>
      <c r="CU56" s="14">
        <v>50781</v>
      </c>
      <c r="CV56" s="14">
        <v>47854</v>
      </c>
      <c r="CW56" s="16">
        <f t="shared" si="274"/>
        <v>0.94236033162009414</v>
      </c>
      <c r="CX56" s="14"/>
      <c r="CY56" s="14"/>
      <c r="CZ56" s="14"/>
      <c r="DA56" s="14"/>
      <c r="DB56" s="15">
        <f t="shared" si="275"/>
        <v>0</v>
      </c>
      <c r="DC56" s="14">
        <v>0</v>
      </c>
      <c r="DD56" s="14">
        <v>0</v>
      </c>
      <c r="DE56" s="14">
        <v>0</v>
      </c>
      <c r="DF56" s="14">
        <v>0</v>
      </c>
      <c r="DG56" s="15">
        <f t="shared" si="276"/>
        <v>0</v>
      </c>
      <c r="DH56" s="14">
        <v>0</v>
      </c>
      <c r="DI56" s="14">
        <v>0</v>
      </c>
      <c r="DJ56" s="14">
        <v>0</v>
      </c>
      <c r="DK56" s="14">
        <v>0</v>
      </c>
      <c r="DL56" s="15">
        <f t="shared" si="277"/>
        <v>0</v>
      </c>
      <c r="DM56" s="14">
        <v>219</v>
      </c>
      <c r="DN56" s="14">
        <v>31</v>
      </c>
      <c r="DO56" s="14">
        <v>0</v>
      </c>
      <c r="DP56" s="14">
        <v>11</v>
      </c>
      <c r="DQ56" s="15">
        <f t="shared" si="278"/>
        <v>239</v>
      </c>
      <c r="DR56" s="15">
        <f t="shared" si="279"/>
        <v>219</v>
      </c>
      <c r="DS56" s="15">
        <f t="shared" si="280"/>
        <v>31</v>
      </c>
      <c r="DT56" s="15">
        <f t="shared" si="281"/>
        <v>0</v>
      </c>
      <c r="DU56" s="15">
        <f t="shared" si="282"/>
        <v>11</v>
      </c>
      <c r="DV56" s="15">
        <f t="shared" si="283"/>
        <v>239</v>
      </c>
      <c r="DW56" s="14">
        <v>73</v>
      </c>
      <c r="DX56" s="14">
        <v>48</v>
      </c>
      <c r="DY56" s="14">
        <v>21</v>
      </c>
      <c r="DZ56" s="14">
        <v>13</v>
      </c>
      <c r="EA56" s="14">
        <v>7</v>
      </c>
      <c r="EB56" s="14">
        <v>2</v>
      </c>
      <c r="EC56" s="14">
        <v>0</v>
      </c>
      <c r="ED56" s="14">
        <v>2</v>
      </c>
      <c r="EE56" s="14">
        <v>0</v>
      </c>
      <c r="EF56" s="14">
        <v>2</v>
      </c>
      <c r="EG56" s="14">
        <v>0</v>
      </c>
      <c r="EH56" s="14">
        <v>0</v>
      </c>
      <c r="EI56" s="14">
        <v>0</v>
      </c>
      <c r="EJ56" s="14">
        <v>11</v>
      </c>
      <c r="EK56" s="14">
        <v>7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5">
        <f t="shared" si="284"/>
        <v>186</v>
      </c>
      <c r="FH56" s="14">
        <v>6</v>
      </c>
      <c r="FI56" s="14">
        <v>649.5</v>
      </c>
      <c r="FJ56" s="14">
        <v>0</v>
      </c>
      <c r="FK56" s="14">
        <v>42.5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5">
        <f t="shared" si="285"/>
        <v>0</v>
      </c>
      <c r="FR56" s="14">
        <v>47934800</v>
      </c>
      <c r="FS56" s="14">
        <v>0</v>
      </c>
      <c r="FT56" s="14">
        <v>10600</v>
      </c>
      <c r="FU56" s="14">
        <v>0</v>
      </c>
      <c r="FV56" s="15">
        <f t="shared" si="286"/>
        <v>47945400</v>
      </c>
      <c r="FW56" s="14">
        <v>30516324.559999999</v>
      </c>
      <c r="FX56" s="14">
        <v>1224217</v>
      </c>
      <c r="FY56" s="14">
        <v>13352858.800000001</v>
      </c>
      <c r="FZ56" s="14">
        <v>13791732</v>
      </c>
      <c r="GA56" s="15">
        <f t="shared" si="287"/>
        <v>58885132.359999999</v>
      </c>
      <c r="GB56" s="15">
        <f t="shared" si="288"/>
        <v>106830532.36</v>
      </c>
      <c r="GC56" s="14">
        <v>49572975</v>
      </c>
      <c r="GD56" s="14">
        <v>7651.2</v>
      </c>
      <c r="GE56" s="14">
        <v>771519.04</v>
      </c>
      <c r="GF56" s="14">
        <v>20207.62</v>
      </c>
      <c r="GG56" s="15">
        <f t="shared" si="289"/>
        <v>50372352.859999999</v>
      </c>
      <c r="GH56" s="14">
        <v>30602644.559999999</v>
      </c>
      <c r="GI56" s="14">
        <v>1224217</v>
      </c>
      <c r="GJ56" s="14">
        <v>13545732</v>
      </c>
      <c r="GK56" s="14">
        <v>13142738.800000001</v>
      </c>
      <c r="GL56" s="15">
        <f t="shared" si="290"/>
        <v>58515332.359999999</v>
      </c>
      <c r="GM56" s="15">
        <f t="shared" si="291"/>
        <v>108887685.22</v>
      </c>
      <c r="GN56" s="14">
        <v>2282381</v>
      </c>
      <c r="GO56" s="14">
        <v>191.28</v>
      </c>
      <c r="GP56" s="14">
        <v>16968.2</v>
      </c>
      <c r="GQ56" s="14">
        <v>9274.68</v>
      </c>
      <c r="GR56" s="15">
        <f t="shared" si="292"/>
        <v>2308815.16</v>
      </c>
      <c r="GS56" s="14">
        <v>3749707</v>
      </c>
      <c r="GT56" s="14">
        <v>893</v>
      </c>
      <c r="GU56" s="14">
        <v>4465</v>
      </c>
      <c r="GV56" s="14">
        <v>1786</v>
      </c>
      <c r="GW56" s="15">
        <f t="shared" si="293"/>
        <v>3756851</v>
      </c>
      <c r="GX56" s="15">
        <f t="shared" si="294"/>
        <v>114953351.38</v>
      </c>
      <c r="GY56" s="14">
        <v>93013527.319999322</v>
      </c>
      <c r="GZ56" s="14">
        <v>417089869.02999991</v>
      </c>
      <c r="HA56" s="15">
        <f t="shared" si="295"/>
        <v>510103396.34999925</v>
      </c>
      <c r="HB56" s="15">
        <f t="shared" si="296"/>
        <v>0.49091720590599808</v>
      </c>
      <c r="HC56" s="16">
        <f t="shared" si="297"/>
        <v>0.5136901271385016</v>
      </c>
      <c r="HD56" s="15">
        <f t="shared" si="298"/>
        <v>0.9293381278363213</v>
      </c>
      <c r="HE56" s="14">
        <v>1947</v>
      </c>
      <c r="HF56" s="14">
        <v>1</v>
      </c>
      <c r="HG56" s="14">
        <v>1947</v>
      </c>
      <c r="HH56" s="14">
        <v>105</v>
      </c>
      <c r="HI56" s="14">
        <v>19708</v>
      </c>
      <c r="HJ56" s="15">
        <f t="shared" si="299"/>
        <v>19709</v>
      </c>
      <c r="HK56" s="16">
        <f t="shared" si="300"/>
        <v>5.3929121725731895E-2</v>
      </c>
      <c r="HL56" s="14">
        <v>46</v>
      </c>
      <c r="HM56" s="14">
        <v>6</v>
      </c>
      <c r="HN56" s="17">
        <f t="shared" si="301"/>
        <v>0.13043478260869565</v>
      </c>
    </row>
    <row r="57" spans="1:222" x14ac:dyDescent="0.3">
      <c r="A57" s="6" t="s">
        <v>276</v>
      </c>
      <c r="B57" s="6" t="s">
        <v>276</v>
      </c>
      <c r="C57" s="7" t="s">
        <v>257</v>
      </c>
      <c r="D57" s="7">
        <v>2025</v>
      </c>
      <c r="E57" s="7">
        <v>10</v>
      </c>
      <c r="F57" s="7" t="s">
        <v>266</v>
      </c>
      <c r="G57" s="7" t="s">
        <v>267</v>
      </c>
      <c r="H57" s="8">
        <v>158713</v>
      </c>
      <c r="I57" s="8">
        <v>57193</v>
      </c>
      <c r="J57" s="8">
        <v>40</v>
      </c>
      <c r="K57" s="8">
        <v>348</v>
      </c>
      <c r="L57" s="8">
        <v>8</v>
      </c>
      <c r="M57" s="9">
        <f t="shared" si="241"/>
        <v>57589</v>
      </c>
      <c r="N57" s="8">
        <v>25856.799999999999</v>
      </c>
      <c r="O57" s="8">
        <v>5480</v>
      </c>
      <c r="P57" s="8">
        <v>3648.3</v>
      </c>
      <c r="Q57" s="8">
        <v>2497.8000000000002</v>
      </c>
      <c r="R57" s="9">
        <f t="shared" si="242"/>
        <v>37482.9</v>
      </c>
      <c r="S57" s="9">
        <f t="shared" si="243"/>
        <v>95071.9</v>
      </c>
      <c r="T57" s="8">
        <v>63641.1</v>
      </c>
      <c r="U57" s="10">
        <f t="shared" si="244"/>
        <v>0.40098227618405546</v>
      </c>
      <c r="V57" s="8">
        <v>375.5</v>
      </c>
      <c r="W57" s="11">
        <f t="shared" si="245"/>
        <v>2.3659057544120521E-3</v>
      </c>
      <c r="X57" s="8">
        <v>0</v>
      </c>
      <c r="Y57" s="11">
        <f t="shared" si="246"/>
        <v>0</v>
      </c>
      <c r="Z57" s="8">
        <v>0</v>
      </c>
      <c r="AA57" s="11">
        <f t="shared" si="247"/>
        <v>0</v>
      </c>
      <c r="AB57" s="8">
        <v>0</v>
      </c>
      <c r="AC57" s="11">
        <f t="shared" si="248"/>
        <v>0</v>
      </c>
      <c r="AD57" s="8">
        <v>0</v>
      </c>
      <c r="AE57" s="11">
        <f t="shared" si="249"/>
        <v>0</v>
      </c>
      <c r="AF57" s="8">
        <v>0</v>
      </c>
      <c r="AG57" s="11">
        <f t="shared" si="250"/>
        <v>0</v>
      </c>
      <c r="AH57" s="8">
        <v>8985377.0499999989</v>
      </c>
      <c r="AI57" s="9">
        <f t="shared" si="251"/>
        <v>56.613995387901426</v>
      </c>
      <c r="AJ57" s="8">
        <v>42562.69</v>
      </c>
      <c r="AK57" s="11">
        <f t="shared" si="252"/>
        <v>0.26817393660254674</v>
      </c>
      <c r="AL57" s="8">
        <v>7134863.1074750004</v>
      </c>
      <c r="AM57" s="9">
        <f t="shared" si="253"/>
        <v>44.954497158235306</v>
      </c>
      <c r="AN57" s="8">
        <v>4446</v>
      </c>
      <c r="AO57" s="8">
        <v>368.84</v>
      </c>
      <c r="AP57" s="8">
        <v>1290930</v>
      </c>
      <c r="AQ57" s="8">
        <v>0</v>
      </c>
      <c r="AR57" s="8">
        <v>30076339.5</v>
      </c>
      <c r="AS57" s="8">
        <v>4530099.5</v>
      </c>
      <c r="AT57" s="8">
        <v>3437980</v>
      </c>
      <c r="AU57" s="9">
        <f t="shared" si="254"/>
        <v>55455589.157474995</v>
      </c>
      <c r="AV57" s="9">
        <f t="shared" si="255"/>
        <v>349.40798269502181</v>
      </c>
      <c r="AW57" s="9">
        <f t="shared" si="256"/>
        <v>583.30157656968038</v>
      </c>
      <c r="AX57" s="8">
        <v>24</v>
      </c>
      <c r="AY57" s="9">
        <f t="shared" si="257"/>
        <v>1.814596157844663</v>
      </c>
      <c r="AZ57" s="8">
        <v>29</v>
      </c>
      <c r="BA57" s="8">
        <v>1931</v>
      </c>
      <c r="BB57" s="8">
        <v>120</v>
      </c>
      <c r="BC57" s="8">
        <v>0</v>
      </c>
      <c r="BD57" s="8">
        <v>93</v>
      </c>
      <c r="BE57" s="9">
        <f t="shared" si="258"/>
        <v>93</v>
      </c>
      <c r="BF57" s="9">
        <f t="shared" si="259"/>
        <v>1958</v>
      </c>
      <c r="BG57" s="8">
        <v>3</v>
      </c>
      <c r="BH57" s="8">
        <v>0</v>
      </c>
      <c r="BI57" s="8">
        <v>0</v>
      </c>
      <c r="BJ57" s="8">
        <v>0</v>
      </c>
      <c r="BK57" s="9">
        <f t="shared" si="260"/>
        <v>0</v>
      </c>
      <c r="BL57" s="9">
        <f t="shared" si="261"/>
        <v>3</v>
      </c>
      <c r="BM57" s="8">
        <v>13</v>
      </c>
      <c r="BN57" s="8">
        <v>0</v>
      </c>
      <c r="BO57" s="8">
        <v>0</v>
      </c>
      <c r="BP57" s="8">
        <v>0</v>
      </c>
      <c r="BQ57" s="9">
        <f t="shared" si="262"/>
        <v>0</v>
      </c>
      <c r="BR57" s="9">
        <f t="shared" si="263"/>
        <v>13</v>
      </c>
      <c r="BS57" s="8">
        <v>0</v>
      </c>
      <c r="BT57" s="8">
        <v>0</v>
      </c>
      <c r="BU57" s="8">
        <v>0</v>
      </c>
      <c r="BV57" s="8">
        <v>0</v>
      </c>
      <c r="BW57" s="9">
        <f t="shared" si="264"/>
        <v>0</v>
      </c>
      <c r="BX57" s="9">
        <f t="shared" si="265"/>
        <v>0</v>
      </c>
      <c r="BY57" s="9">
        <f t="shared" si="266"/>
        <v>1947</v>
      </c>
      <c r="BZ57" s="9">
        <f t="shared" si="267"/>
        <v>120</v>
      </c>
      <c r="CA57" s="9">
        <f t="shared" si="268"/>
        <v>93</v>
      </c>
      <c r="CB57" s="9">
        <f t="shared" si="269"/>
        <v>1974</v>
      </c>
      <c r="CC57" s="8">
        <v>93</v>
      </c>
      <c r="CD57" s="8">
        <v>2285</v>
      </c>
      <c r="CE57" s="8">
        <v>57</v>
      </c>
      <c r="CF57" s="8">
        <v>121</v>
      </c>
      <c r="CG57" s="8">
        <v>8</v>
      </c>
      <c r="CH57" s="9">
        <f t="shared" si="270"/>
        <v>2471</v>
      </c>
      <c r="CI57" s="8">
        <v>4272</v>
      </c>
      <c r="CJ57" s="8">
        <v>4</v>
      </c>
      <c r="CK57" s="8">
        <v>2</v>
      </c>
      <c r="CL57" s="8">
        <v>1</v>
      </c>
      <c r="CM57" s="9">
        <f t="shared" si="271"/>
        <v>4279</v>
      </c>
      <c r="CN57" s="8">
        <v>3449</v>
      </c>
      <c r="CO57" s="8">
        <v>157</v>
      </c>
      <c r="CP57" s="8">
        <v>427</v>
      </c>
      <c r="CQ57" s="8">
        <v>72</v>
      </c>
      <c r="CR57" s="9">
        <f t="shared" si="272"/>
        <v>4105</v>
      </c>
      <c r="CS57" s="9">
        <f t="shared" si="273"/>
        <v>8384</v>
      </c>
      <c r="CT57" s="8">
        <v>10855</v>
      </c>
      <c r="CU57" s="8">
        <v>50856</v>
      </c>
      <c r="CV57" s="8">
        <v>48459</v>
      </c>
      <c r="CW57" s="10">
        <f t="shared" si="274"/>
        <v>0.95286691835771586</v>
      </c>
      <c r="CX57" s="8"/>
      <c r="CY57" s="8">
        <v>1</v>
      </c>
      <c r="CZ57" s="8"/>
      <c r="DA57" s="8"/>
      <c r="DB57" s="9">
        <f t="shared" si="275"/>
        <v>1</v>
      </c>
      <c r="DC57" s="8">
        <v>0</v>
      </c>
      <c r="DD57" s="8">
        <v>0</v>
      </c>
      <c r="DE57" s="8">
        <v>0</v>
      </c>
      <c r="DF57" s="8">
        <v>0</v>
      </c>
      <c r="DG57" s="9">
        <f t="shared" si="276"/>
        <v>0</v>
      </c>
      <c r="DH57" s="8">
        <v>0</v>
      </c>
      <c r="DI57" s="8">
        <v>0</v>
      </c>
      <c r="DJ57" s="8">
        <v>0</v>
      </c>
      <c r="DK57" s="8">
        <v>0</v>
      </c>
      <c r="DL57" s="9">
        <f t="shared" si="277"/>
        <v>0</v>
      </c>
      <c r="DM57" s="8">
        <v>239</v>
      </c>
      <c r="DN57" s="8">
        <v>37</v>
      </c>
      <c r="DO57" s="8">
        <v>0</v>
      </c>
      <c r="DP57" s="8">
        <v>5</v>
      </c>
      <c r="DQ57" s="9">
        <f t="shared" si="278"/>
        <v>271</v>
      </c>
      <c r="DR57" s="9">
        <f t="shared" si="279"/>
        <v>239</v>
      </c>
      <c r="DS57" s="9">
        <f t="shared" si="280"/>
        <v>38</v>
      </c>
      <c r="DT57" s="9">
        <f t="shared" si="281"/>
        <v>0</v>
      </c>
      <c r="DU57" s="9">
        <f t="shared" si="282"/>
        <v>5</v>
      </c>
      <c r="DV57" s="9">
        <f t="shared" si="283"/>
        <v>272</v>
      </c>
      <c r="DW57" s="8">
        <v>79</v>
      </c>
      <c r="DX57" s="8">
        <v>49</v>
      </c>
      <c r="DY57" s="8">
        <v>15</v>
      </c>
      <c r="DZ57" s="8">
        <v>14</v>
      </c>
      <c r="EA57" s="8">
        <v>5</v>
      </c>
      <c r="EB57" s="8">
        <v>3</v>
      </c>
      <c r="EC57" s="8">
        <v>1</v>
      </c>
      <c r="ED57" s="8">
        <v>0</v>
      </c>
      <c r="EE57" s="8">
        <v>1</v>
      </c>
      <c r="EF57" s="8">
        <v>1</v>
      </c>
      <c r="EG57" s="8">
        <v>0</v>
      </c>
      <c r="EH57" s="8">
        <v>0</v>
      </c>
      <c r="EI57" s="8">
        <v>0</v>
      </c>
      <c r="EJ57" s="8">
        <v>13</v>
      </c>
      <c r="EK57" s="8">
        <v>7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9">
        <f t="shared" si="284"/>
        <v>188</v>
      </c>
      <c r="FH57" s="8">
        <v>6</v>
      </c>
      <c r="FI57" s="8">
        <v>544</v>
      </c>
      <c r="FJ57" s="8">
        <v>20</v>
      </c>
      <c r="FK57" s="8">
        <v>64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9">
        <f t="shared" si="285"/>
        <v>0</v>
      </c>
      <c r="FR57" s="8">
        <v>104557360</v>
      </c>
      <c r="FS57" s="8">
        <v>0</v>
      </c>
      <c r="FT57" s="8">
        <v>31050</v>
      </c>
      <c r="FU57" s="8">
        <v>10000</v>
      </c>
      <c r="FV57" s="9">
        <f t="shared" si="286"/>
        <v>104598410</v>
      </c>
      <c r="FW57" s="8">
        <v>32296796</v>
      </c>
      <c r="FX57" s="8">
        <v>1164511</v>
      </c>
      <c r="FY57" s="8">
        <v>11802181</v>
      </c>
      <c r="FZ57" s="8">
        <v>12233300</v>
      </c>
      <c r="GA57" s="9">
        <f t="shared" si="287"/>
        <v>57496788</v>
      </c>
      <c r="GB57" s="9">
        <f t="shared" si="288"/>
        <v>162095198</v>
      </c>
      <c r="GC57" s="8">
        <v>51908998</v>
      </c>
      <c r="GD57" s="8">
        <v>7651.2</v>
      </c>
      <c r="GE57" s="8">
        <v>1155833.04</v>
      </c>
      <c r="GF57" s="8">
        <v>16821.98</v>
      </c>
      <c r="GG57" s="9">
        <f t="shared" si="289"/>
        <v>53089304.219999999</v>
      </c>
      <c r="GH57" s="8">
        <v>32238297.690000001</v>
      </c>
      <c r="GI57" s="8">
        <v>1164511</v>
      </c>
      <c r="GJ57" s="8">
        <v>11027300</v>
      </c>
      <c r="GK57" s="8">
        <v>11720977.609999999</v>
      </c>
      <c r="GL57" s="9">
        <f t="shared" si="290"/>
        <v>56151086.299999997</v>
      </c>
      <c r="GM57" s="9">
        <f t="shared" si="291"/>
        <v>109240390.52</v>
      </c>
      <c r="GN57" s="8">
        <v>2320687</v>
      </c>
      <c r="GO57" s="8">
        <v>191.28</v>
      </c>
      <c r="GP57" s="8">
        <v>13574.56</v>
      </c>
      <c r="GQ57" s="8">
        <v>9274.68</v>
      </c>
      <c r="GR57" s="9">
        <f t="shared" si="292"/>
        <v>2343727.52</v>
      </c>
      <c r="GS57" s="8">
        <v>3814896</v>
      </c>
      <c r="GT57" s="8">
        <v>893</v>
      </c>
      <c r="GU57" s="8">
        <v>3572</v>
      </c>
      <c r="GV57" s="8">
        <v>1786</v>
      </c>
      <c r="GW57" s="9">
        <f t="shared" si="293"/>
        <v>3821147</v>
      </c>
      <c r="GX57" s="9">
        <f t="shared" si="294"/>
        <v>115405265.03999999</v>
      </c>
      <c r="GY57" s="8">
        <v>54118266.960000552</v>
      </c>
      <c r="GZ57" s="8">
        <v>407932190.77999967</v>
      </c>
      <c r="HA57" s="9">
        <f t="shared" si="295"/>
        <v>462050457.74000025</v>
      </c>
      <c r="HB57" s="9">
        <f t="shared" si="296"/>
        <v>0.48052910877379673</v>
      </c>
      <c r="HC57" s="10">
        <f t="shared" si="297"/>
        <v>0.95618110410771462</v>
      </c>
      <c r="HD57" s="9">
        <f t="shared" si="298"/>
        <v>1.4045736816584327</v>
      </c>
      <c r="HE57" s="8">
        <v>1974</v>
      </c>
      <c r="HF57" s="8">
        <v>1</v>
      </c>
      <c r="HG57" s="8">
        <v>1974</v>
      </c>
      <c r="HH57" s="8">
        <v>120</v>
      </c>
      <c r="HI57" s="8">
        <v>18331</v>
      </c>
      <c r="HJ57" s="9">
        <f t="shared" si="299"/>
        <v>18332</v>
      </c>
      <c r="HK57" s="10">
        <f t="shared" si="300"/>
        <v>6.0790273556231005E-2</v>
      </c>
      <c r="HL57" s="8">
        <v>58</v>
      </c>
      <c r="HM57" s="8">
        <v>7</v>
      </c>
      <c r="HN57" s="11">
        <f t="shared" si="301"/>
        <v>0.1206896551724138</v>
      </c>
    </row>
    <row r="58" spans="1:222" x14ac:dyDescent="0.3">
      <c r="A58" s="12" t="s">
        <v>276</v>
      </c>
      <c r="B58" s="12" t="s">
        <v>276</v>
      </c>
      <c r="C58" s="13" t="s">
        <v>257</v>
      </c>
      <c r="D58" s="13">
        <v>2025</v>
      </c>
      <c r="E58" s="13">
        <v>11</v>
      </c>
      <c r="F58" s="13" t="s">
        <v>268</v>
      </c>
      <c r="G58" s="13" t="s">
        <v>267</v>
      </c>
      <c r="H58" s="14">
        <v>168199.5</v>
      </c>
      <c r="I58" s="14">
        <v>71230</v>
      </c>
      <c r="J58" s="14">
        <v>0</v>
      </c>
      <c r="K58" s="14">
        <v>164</v>
      </c>
      <c r="L58" s="14">
        <v>8</v>
      </c>
      <c r="M58" s="15">
        <f t="shared" si="241"/>
        <v>71402</v>
      </c>
      <c r="N58" s="14">
        <v>25884</v>
      </c>
      <c r="O58" s="14">
        <v>5617</v>
      </c>
      <c r="P58" s="14">
        <v>7135</v>
      </c>
      <c r="Q58" s="14">
        <v>2937</v>
      </c>
      <c r="R58" s="15">
        <f t="shared" si="242"/>
        <v>41573</v>
      </c>
      <c r="S58" s="15">
        <f t="shared" si="243"/>
        <v>112975</v>
      </c>
      <c r="T58" s="14">
        <v>55224.5</v>
      </c>
      <c r="U58" s="16">
        <f t="shared" si="244"/>
        <v>0.32832737314914728</v>
      </c>
      <c r="V58" s="14">
        <v>508</v>
      </c>
      <c r="W58" s="17">
        <f t="shared" si="245"/>
        <v>3.0202230089863527E-3</v>
      </c>
      <c r="X58" s="14">
        <v>0</v>
      </c>
      <c r="Y58" s="17">
        <f t="shared" si="246"/>
        <v>0</v>
      </c>
      <c r="Z58" s="14">
        <v>0</v>
      </c>
      <c r="AA58" s="17">
        <f t="shared" si="247"/>
        <v>0</v>
      </c>
      <c r="AB58" s="14">
        <v>0</v>
      </c>
      <c r="AC58" s="17">
        <f t="shared" si="248"/>
        <v>0</v>
      </c>
      <c r="AD58" s="14">
        <v>0</v>
      </c>
      <c r="AE58" s="17">
        <f t="shared" si="249"/>
        <v>0</v>
      </c>
      <c r="AF58" s="14">
        <v>0</v>
      </c>
      <c r="AG58" s="17">
        <f t="shared" si="250"/>
        <v>0</v>
      </c>
      <c r="AH58" s="14">
        <v>12155982.800000001</v>
      </c>
      <c r="AI58" s="15">
        <f t="shared" si="251"/>
        <v>72.271218404335329</v>
      </c>
      <c r="AJ58" s="14">
        <v>51139.49</v>
      </c>
      <c r="AK58" s="17">
        <f t="shared" si="252"/>
        <v>0.30404067788548716</v>
      </c>
      <c r="AL58" s="14">
        <v>8568711.0894750003</v>
      </c>
      <c r="AM58" s="15">
        <f t="shared" si="253"/>
        <v>50.943736987773448</v>
      </c>
      <c r="AN58" s="14">
        <v>2679</v>
      </c>
      <c r="AO58" s="14">
        <v>0</v>
      </c>
      <c r="AP58" s="14">
        <v>3157785</v>
      </c>
      <c r="AQ58" s="14">
        <v>0</v>
      </c>
      <c r="AR58" s="14">
        <v>30493728.050000001</v>
      </c>
      <c r="AS58" s="14">
        <v>4555693.29</v>
      </c>
      <c r="AT58" s="14">
        <v>3439670</v>
      </c>
      <c r="AU58" s="15">
        <f t="shared" si="254"/>
        <v>62371570.229474999</v>
      </c>
      <c r="AV58" s="15">
        <f t="shared" si="255"/>
        <v>370.8189990426547</v>
      </c>
      <c r="AW58" s="15">
        <f t="shared" si="256"/>
        <v>552.0829407344545</v>
      </c>
      <c r="AX58" s="14">
        <v>24</v>
      </c>
      <c r="AY58" s="15">
        <f t="shared" si="257"/>
        <v>1.7122524145434441</v>
      </c>
      <c r="AZ58" s="14">
        <v>29</v>
      </c>
      <c r="BA58" s="14">
        <v>1958</v>
      </c>
      <c r="BB58" s="14">
        <v>101</v>
      </c>
      <c r="BC58" s="14">
        <v>0</v>
      </c>
      <c r="BD58" s="14">
        <v>138</v>
      </c>
      <c r="BE58" s="15">
        <f t="shared" si="258"/>
        <v>138</v>
      </c>
      <c r="BF58" s="15">
        <f t="shared" si="259"/>
        <v>1921</v>
      </c>
      <c r="BG58" s="14">
        <v>3</v>
      </c>
      <c r="BH58" s="14">
        <v>0</v>
      </c>
      <c r="BI58" s="14">
        <v>0</v>
      </c>
      <c r="BJ58" s="14">
        <v>1</v>
      </c>
      <c r="BK58" s="15">
        <f t="shared" si="260"/>
        <v>1</v>
      </c>
      <c r="BL58" s="15">
        <f t="shared" si="261"/>
        <v>2</v>
      </c>
      <c r="BM58" s="14">
        <v>13</v>
      </c>
      <c r="BN58" s="14">
        <v>0</v>
      </c>
      <c r="BO58" s="14">
        <v>0</v>
      </c>
      <c r="BP58" s="14">
        <v>1</v>
      </c>
      <c r="BQ58" s="15">
        <f t="shared" si="262"/>
        <v>1</v>
      </c>
      <c r="BR58" s="15">
        <f t="shared" si="263"/>
        <v>12</v>
      </c>
      <c r="BS58" s="14">
        <v>0</v>
      </c>
      <c r="BT58" s="14">
        <v>0</v>
      </c>
      <c r="BU58" s="14">
        <v>0</v>
      </c>
      <c r="BV58" s="14">
        <v>0</v>
      </c>
      <c r="BW58" s="15">
        <f t="shared" si="264"/>
        <v>0</v>
      </c>
      <c r="BX58" s="15">
        <f t="shared" si="265"/>
        <v>0</v>
      </c>
      <c r="BY58" s="15">
        <f t="shared" si="266"/>
        <v>1974</v>
      </c>
      <c r="BZ58" s="15">
        <f t="shared" si="267"/>
        <v>101</v>
      </c>
      <c r="CA58" s="15">
        <f t="shared" si="268"/>
        <v>140</v>
      </c>
      <c r="CB58" s="15">
        <f t="shared" si="269"/>
        <v>1935</v>
      </c>
      <c r="CC58" s="14">
        <v>140</v>
      </c>
      <c r="CD58" s="14">
        <v>2279</v>
      </c>
      <c r="CE58" s="14">
        <v>57</v>
      </c>
      <c r="CF58" s="14">
        <v>121</v>
      </c>
      <c r="CG58" s="14">
        <v>8</v>
      </c>
      <c r="CH58" s="15">
        <f t="shared" si="270"/>
        <v>2465</v>
      </c>
      <c r="CI58" s="14">
        <v>4279</v>
      </c>
      <c r="CJ58" s="14">
        <v>4</v>
      </c>
      <c r="CK58" s="14">
        <v>2</v>
      </c>
      <c r="CL58" s="14">
        <v>0</v>
      </c>
      <c r="CM58" s="15">
        <f t="shared" si="271"/>
        <v>4285</v>
      </c>
      <c r="CN58" s="14">
        <v>3587</v>
      </c>
      <c r="CO58" s="14">
        <v>158</v>
      </c>
      <c r="CP58" s="14">
        <v>428</v>
      </c>
      <c r="CQ58" s="14">
        <v>72</v>
      </c>
      <c r="CR58" s="15">
        <f t="shared" si="272"/>
        <v>4245</v>
      </c>
      <c r="CS58" s="15">
        <f t="shared" si="273"/>
        <v>8530</v>
      </c>
      <c r="CT58" s="14">
        <v>10995</v>
      </c>
      <c r="CU58" s="14">
        <v>50931</v>
      </c>
      <c r="CV58" s="14">
        <v>48769</v>
      </c>
      <c r="CW58" s="16">
        <f t="shared" si="274"/>
        <v>0.95755041134083363</v>
      </c>
      <c r="CX58" s="14">
        <v>1</v>
      </c>
      <c r="CY58" s="14"/>
      <c r="CZ58" s="14"/>
      <c r="DA58" s="14"/>
      <c r="DB58" s="15">
        <f t="shared" si="275"/>
        <v>1</v>
      </c>
      <c r="DC58" s="14">
        <v>0</v>
      </c>
      <c r="DD58" s="14">
        <v>0</v>
      </c>
      <c r="DE58" s="14">
        <v>0</v>
      </c>
      <c r="DF58" s="14">
        <v>0</v>
      </c>
      <c r="DG58" s="15">
        <f t="shared" si="276"/>
        <v>0</v>
      </c>
      <c r="DH58" s="14">
        <v>0</v>
      </c>
      <c r="DI58" s="14">
        <v>0</v>
      </c>
      <c r="DJ58" s="14">
        <v>0</v>
      </c>
      <c r="DK58" s="14">
        <v>0</v>
      </c>
      <c r="DL58" s="15">
        <f t="shared" si="277"/>
        <v>0</v>
      </c>
      <c r="DM58" s="14">
        <v>271</v>
      </c>
      <c r="DN58" s="14">
        <v>0</v>
      </c>
      <c r="DO58" s="14">
        <v>0</v>
      </c>
      <c r="DP58" s="14">
        <v>0</v>
      </c>
      <c r="DQ58" s="15">
        <f t="shared" si="278"/>
        <v>271</v>
      </c>
      <c r="DR58" s="15">
        <f t="shared" si="279"/>
        <v>272</v>
      </c>
      <c r="DS58" s="15">
        <f t="shared" si="280"/>
        <v>0</v>
      </c>
      <c r="DT58" s="15">
        <f t="shared" si="281"/>
        <v>0</v>
      </c>
      <c r="DU58" s="15">
        <f t="shared" si="282"/>
        <v>0</v>
      </c>
      <c r="DV58" s="15">
        <f t="shared" si="283"/>
        <v>272</v>
      </c>
      <c r="DW58" s="14">
        <v>73</v>
      </c>
      <c r="DX58" s="14">
        <v>58</v>
      </c>
      <c r="DY58" s="14">
        <v>17</v>
      </c>
      <c r="DZ58" s="14">
        <v>8</v>
      </c>
      <c r="EA58" s="14">
        <v>4</v>
      </c>
      <c r="EB58" s="14">
        <v>3</v>
      </c>
      <c r="EC58" s="14">
        <v>2</v>
      </c>
      <c r="ED58" s="14">
        <v>0</v>
      </c>
      <c r="EE58" s="14">
        <v>1</v>
      </c>
      <c r="EF58" s="14">
        <v>3</v>
      </c>
      <c r="EG58" s="14">
        <v>1</v>
      </c>
      <c r="EH58" s="14">
        <v>0</v>
      </c>
      <c r="EI58" s="14">
        <v>0</v>
      </c>
      <c r="EJ58" s="14">
        <v>9</v>
      </c>
      <c r="EK58" s="14">
        <v>9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5">
        <f t="shared" si="284"/>
        <v>188</v>
      </c>
      <c r="FH58" s="14">
        <v>7</v>
      </c>
      <c r="FI58" s="14">
        <v>709</v>
      </c>
      <c r="FJ58" s="14">
        <v>0</v>
      </c>
      <c r="FK58" s="14">
        <v>39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5">
        <f t="shared" si="285"/>
        <v>0</v>
      </c>
      <c r="FR58" s="14">
        <v>34311582.130000003</v>
      </c>
      <c r="FS58" s="14">
        <v>0</v>
      </c>
      <c r="FT58" s="14">
        <v>0</v>
      </c>
      <c r="FU58" s="14">
        <v>0</v>
      </c>
      <c r="FV58" s="15">
        <f t="shared" si="286"/>
        <v>34311582.130000003</v>
      </c>
      <c r="FW58" s="14">
        <v>33249247</v>
      </c>
      <c r="FX58" s="14">
        <v>1211050</v>
      </c>
      <c r="FY58" s="14">
        <v>13865544</v>
      </c>
      <c r="FZ58" s="14">
        <v>22787686</v>
      </c>
      <c r="GA58" s="15">
        <f t="shared" si="287"/>
        <v>71113527</v>
      </c>
      <c r="GB58" s="15">
        <f t="shared" si="288"/>
        <v>105425109.13</v>
      </c>
      <c r="GC58" s="14">
        <v>65200312.950000003</v>
      </c>
      <c r="GD58" s="14">
        <v>0</v>
      </c>
      <c r="GE58" s="14">
        <v>524525.64</v>
      </c>
      <c r="GF58" s="14">
        <v>20207.62</v>
      </c>
      <c r="GG58" s="15">
        <f t="shared" si="289"/>
        <v>65745046.210000001</v>
      </c>
      <c r="GH58" s="14">
        <v>33154405.109999999</v>
      </c>
      <c r="GI58" s="14">
        <v>1193530</v>
      </c>
      <c r="GJ58" s="14">
        <v>21587686</v>
      </c>
      <c r="GK58" s="14">
        <v>13804944</v>
      </c>
      <c r="GL58" s="15">
        <f t="shared" si="290"/>
        <v>69740565.109999999</v>
      </c>
      <c r="GM58" s="15">
        <f t="shared" si="291"/>
        <v>135485611.31999999</v>
      </c>
      <c r="GN58" s="14">
        <v>2324440.14</v>
      </c>
      <c r="GO58" s="14">
        <v>0</v>
      </c>
      <c r="GP58" s="14">
        <v>13574.56</v>
      </c>
      <c r="GQ58" s="14">
        <v>9274.68</v>
      </c>
      <c r="GR58" s="15">
        <f t="shared" si="292"/>
        <v>2347289.3800000004</v>
      </c>
      <c r="GS58" s="14">
        <v>3821147</v>
      </c>
      <c r="GT58" s="14">
        <v>0</v>
      </c>
      <c r="GU58" s="14">
        <v>3572</v>
      </c>
      <c r="GV58" s="14">
        <v>1786</v>
      </c>
      <c r="GW58" s="15">
        <f t="shared" si="293"/>
        <v>3826505</v>
      </c>
      <c r="GX58" s="15">
        <f t="shared" si="294"/>
        <v>141659405.69999999</v>
      </c>
      <c r="GY58" s="14">
        <v>65359838.599999867</v>
      </c>
      <c r="GZ58" s="14">
        <v>331847540.39000028</v>
      </c>
      <c r="HA58" s="15">
        <f t="shared" si="295"/>
        <v>397207378.99000013</v>
      </c>
      <c r="HB58" s="15">
        <f t="shared" si="296"/>
        <v>0.4402924742008501</v>
      </c>
      <c r="HC58" s="16">
        <f t="shared" si="297"/>
        <v>0.50925270008823076</v>
      </c>
      <c r="HD58" s="15">
        <f t="shared" si="298"/>
        <v>0.74421538484542715</v>
      </c>
      <c r="HE58" s="14">
        <v>0</v>
      </c>
      <c r="HF58" s="14">
        <v>1</v>
      </c>
      <c r="HG58" s="14">
        <v>1935</v>
      </c>
      <c r="HH58" s="14">
        <v>101</v>
      </c>
      <c r="HI58" s="14">
        <v>2075</v>
      </c>
      <c r="HJ58" s="15">
        <f t="shared" si="299"/>
        <v>2076</v>
      </c>
      <c r="HK58" s="16" t="str">
        <f t="shared" si="300"/>
        <v/>
      </c>
      <c r="HL58" s="14">
        <v>34</v>
      </c>
      <c r="HM58" s="14">
        <v>4</v>
      </c>
      <c r="HN58" s="17">
        <f t="shared" si="301"/>
        <v>0.11764705882352941</v>
      </c>
    </row>
    <row r="59" spans="1:222" x14ac:dyDescent="0.3">
      <c r="A59" s="6" t="s">
        <v>276</v>
      </c>
      <c r="B59" s="6" t="s">
        <v>276</v>
      </c>
      <c r="C59" s="7" t="s">
        <v>257</v>
      </c>
      <c r="D59" s="7">
        <v>2025</v>
      </c>
      <c r="E59" s="7">
        <v>12</v>
      </c>
      <c r="F59" s="7" t="s">
        <v>269</v>
      </c>
      <c r="G59" s="7" t="s">
        <v>267</v>
      </c>
      <c r="H59" s="8">
        <v>141761</v>
      </c>
      <c r="I59" s="8">
        <v>55185</v>
      </c>
      <c r="J59" s="8">
        <v>0</v>
      </c>
      <c r="K59" s="8">
        <v>124</v>
      </c>
      <c r="L59" s="8">
        <v>64</v>
      </c>
      <c r="M59" s="9">
        <f t="shared" si="241"/>
        <v>55373</v>
      </c>
      <c r="N59" s="8">
        <v>22638.799999999999</v>
      </c>
      <c r="O59" s="8">
        <v>5104.8999999999996</v>
      </c>
      <c r="P59" s="8">
        <v>5442.9</v>
      </c>
      <c r="Q59" s="8">
        <v>3167.6</v>
      </c>
      <c r="R59" s="9">
        <f t="shared" si="242"/>
        <v>36354.199999999997</v>
      </c>
      <c r="S59" s="9">
        <f t="shared" si="243"/>
        <v>91727.2</v>
      </c>
      <c r="T59" s="8">
        <v>50033.8</v>
      </c>
      <c r="U59" s="10">
        <f t="shared" si="244"/>
        <v>0.35294474502860451</v>
      </c>
      <c r="V59" s="8">
        <v>224</v>
      </c>
      <c r="W59" s="11">
        <f t="shared" si="245"/>
        <v>1.580124293705603E-3</v>
      </c>
      <c r="X59" s="8">
        <v>100</v>
      </c>
      <c r="Y59" s="11">
        <f t="shared" si="246"/>
        <v>7.0541263111857286E-4</v>
      </c>
      <c r="Z59" s="8">
        <v>0</v>
      </c>
      <c r="AA59" s="11">
        <f t="shared" si="247"/>
        <v>0</v>
      </c>
      <c r="AB59" s="8">
        <v>0</v>
      </c>
      <c r="AC59" s="11">
        <f t="shared" si="248"/>
        <v>0</v>
      </c>
      <c r="AD59" s="8">
        <v>0</v>
      </c>
      <c r="AE59" s="11">
        <f t="shared" si="249"/>
        <v>0</v>
      </c>
      <c r="AF59" s="8">
        <v>0</v>
      </c>
      <c r="AG59" s="11">
        <f t="shared" si="250"/>
        <v>0</v>
      </c>
      <c r="AH59" s="8">
        <v>5469158.4000000004</v>
      </c>
      <c r="AI59" s="9">
        <f t="shared" si="251"/>
        <v>38.580134169482442</v>
      </c>
      <c r="AJ59" s="8">
        <v>36822</v>
      </c>
      <c r="AK59" s="11">
        <f t="shared" si="252"/>
        <v>0.25974703903048085</v>
      </c>
      <c r="AL59" s="8">
        <v>6175148.9050000003</v>
      </c>
      <c r="AM59" s="9">
        <f t="shared" si="253"/>
        <v>43.56028036625024</v>
      </c>
      <c r="AN59" s="8">
        <v>3393</v>
      </c>
      <c r="AO59" s="8">
        <v>1012.76</v>
      </c>
      <c r="AP59" s="8">
        <v>3217460</v>
      </c>
      <c r="AQ59" s="8">
        <v>0</v>
      </c>
      <c r="AR59" s="8">
        <v>29895375.460000001</v>
      </c>
      <c r="AS59" s="8">
        <v>4339584.84</v>
      </c>
      <c r="AT59" s="8">
        <v>3270860</v>
      </c>
      <c r="AU59" s="9">
        <f t="shared" si="254"/>
        <v>52367587.605000004</v>
      </c>
      <c r="AV59" s="9">
        <f t="shared" si="255"/>
        <v>369.40757757775413</v>
      </c>
      <c r="AW59" s="9">
        <f t="shared" si="256"/>
        <v>570.90576846344379</v>
      </c>
      <c r="AX59" s="8">
        <v>24</v>
      </c>
      <c r="AY59" s="9">
        <f t="shared" si="257"/>
        <v>2.0315883776214898</v>
      </c>
      <c r="AZ59" s="8">
        <v>29</v>
      </c>
      <c r="BA59" s="8">
        <v>1921</v>
      </c>
      <c r="BB59" s="8">
        <v>105</v>
      </c>
      <c r="BC59" s="8">
        <v>0</v>
      </c>
      <c r="BD59" s="8">
        <v>108</v>
      </c>
      <c r="BE59" s="9">
        <f t="shared" si="258"/>
        <v>108</v>
      </c>
      <c r="BF59" s="9">
        <f t="shared" si="259"/>
        <v>1918</v>
      </c>
      <c r="BG59" s="8">
        <v>2</v>
      </c>
      <c r="BH59" s="8">
        <v>0</v>
      </c>
      <c r="BI59" s="8">
        <v>0</v>
      </c>
      <c r="BJ59" s="8">
        <v>0</v>
      </c>
      <c r="BK59" s="9">
        <f t="shared" si="260"/>
        <v>0</v>
      </c>
      <c r="BL59" s="9">
        <f t="shared" si="261"/>
        <v>2</v>
      </c>
      <c r="BM59" s="8">
        <v>12</v>
      </c>
      <c r="BN59" s="8">
        <v>0</v>
      </c>
      <c r="BO59" s="8">
        <v>0</v>
      </c>
      <c r="BP59" s="8">
        <v>1</v>
      </c>
      <c r="BQ59" s="9">
        <f t="shared" si="262"/>
        <v>1</v>
      </c>
      <c r="BR59" s="9">
        <f t="shared" si="263"/>
        <v>11</v>
      </c>
      <c r="BS59" s="8">
        <v>0</v>
      </c>
      <c r="BT59" s="8">
        <v>0</v>
      </c>
      <c r="BU59" s="8">
        <v>0</v>
      </c>
      <c r="BV59" s="8">
        <v>0</v>
      </c>
      <c r="BW59" s="9">
        <f t="shared" si="264"/>
        <v>0</v>
      </c>
      <c r="BX59" s="9">
        <f t="shared" si="265"/>
        <v>0</v>
      </c>
      <c r="BY59" s="9">
        <f t="shared" si="266"/>
        <v>1935</v>
      </c>
      <c r="BZ59" s="9">
        <f t="shared" si="267"/>
        <v>105</v>
      </c>
      <c r="CA59" s="9">
        <f t="shared" si="268"/>
        <v>109</v>
      </c>
      <c r="CB59" s="9">
        <f t="shared" si="269"/>
        <v>1931</v>
      </c>
      <c r="CC59" s="8">
        <v>109</v>
      </c>
      <c r="CD59" s="8">
        <v>2223</v>
      </c>
      <c r="CE59" s="8">
        <v>57</v>
      </c>
      <c r="CF59" s="8">
        <v>120</v>
      </c>
      <c r="CG59" s="8">
        <v>8</v>
      </c>
      <c r="CH59" s="9">
        <f t="shared" si="270"/>
        <v>2408</v>
      </c>
      <c r="CI59" s="8">
        <v>4335</v>
      </c>
      <c r="CJ59" s="8">
        <v>4</v>
      </c>
      <c r="CK59" s="8">
        <v>3</v>
      </c>
      <c r="CL59" s="8">
        <v>0</v>
      </c>
      <c r="CM59" s="9">
        <f t="shared" si="271"/>
        <v>4342</v>
      </c>
      <c r="CN59" s="8">
        <v>3695</v>
      </c>
      <c r="CO59" s="8">
        <v>158</v>
      </c>
      <c r="CP59" s="8">
        <v>429</v>
      </c>
      <c r="CQ59" s="8">
        <v>72</v>
      </c>
      <c r="CR59" s="9">
        <f t="shared" si="272"/>
        <v>4354</v>
      </c>
      <c r="CS59" s="9">
        <f t="shared" si="273"/>
        <v>8696</v>
      </c>
      <c r="CT59" s="8">
        <v>11104</v>
      </c>
      <c r="CU59" s="8">
        <v>51006</v>
      </c>
      <c r="CV59" s="8">
        <v>49314</v>
      </c>
      <c r="CW59" s="10">
        <f t="shared" si="274"/>
        <v>0.96682743206681565</v>
      </c>
      <c r="CX59" s="8">
        <v>1</v>
      </c>
      <c r="CY59" s="8"/>
      <c r="CZ59" s="8"/>
      <c r="DA59" s="8"/>
      <c r="DB59" s="9">
        <f t="shared" si="275"/>
        <v>1</v>
      </c>
      <c r="DC59" s="8">
        <v>0</v>
      </c>
      <c r="DD59" s="8">
        <v>0</v>
      </c>
      <c r="DE59" s="8">
        <v>0</v>
      </c>
      <c r="DF59" s="8">
        <v>0</v>
      </c>
      <c r="DG59" s="9">
        <f t="shared" si="276"/>
        <v>0</v>
      </c>
      <c r="DH59" s="8">
        <v>0</v>
      </c>
      <c r="DI59" s="8">
        <v>0</v>
      </c>
      <c r="DJ59" s="8">
        <v>0</v>
      </c>
      <c r="DK59" s="8">
        <v>0</v>
      </c>
      <c r="DL59" s="9">
        <f t="shared" si="277"/>
        <v>0</v>
      </c>
      <c r="DM59" s="8">
        <v>247</v>
      </c>
      <c r="DN59" s="8">
        <v>126</v>
      </c>
      <c r="DO59" s="8">
        <v>0</v>
      </c>
      <c r="DP59" s="8">
        <v>27</v>
      </c>
      <c r="DQ59" s="9">
        <f t="shared" si="278"/>
        <v>346</v>
      </c>
      <c r="DR59" s="9">
        <f t="shared" si="279"/>
        <v>248</v>
      </c>
      <c r="DS59" s="9">
        <f t="shared" si="280"/>
        <v>126</v>
      </c>
      <c r="DT59" s="9">
        <f t="shared" si="281"/>
        <v>0</v>
      </c>
      <c r="DU59" s="9">
        <f t="shared" si="282"/>
        <v>27</v>
      </c>
      <c r="DV59" s="9">
        <f t="shared" si="283"/>
        <v>347</v>
      </c>
      <c r="DW59" s="8">
        <v>96</v>
      </c>
      <c r="DX59" s="8">
        <v>36</v>
      </c>
      <c r="DY59" s="8">
        <v>14</v>
      </c>
      <c r="DZ59" s="8">
        <v>6</v>
      </c>
      <c r="EA59" s="8">
        <v>5</v>
      </c>
      <c r="EB59" s="8">
        <v>2</v>
      </c>
      <c r="EC59" s="8">
        <v>1</v>
      </c>
      <c r="ED59" s="8">
        <v>0</v>
      </c>
      <c r="EE59" s="8">
        <v>1</v>
      </c>
      <c r="EF59" s="8">
        <v>1</v>
      </c>
      <c r="EG59" s="8">
        <v>0</v>
      </c>
      <c r="EH59" s="8">
        <v>0</v>
      </c>
      <c r="EI59" s="8">
        <v>0</v>
      </c>
      <c r="EJ59" s="8">
        <v>11</v>
      </c>
      <c r="EK59" s="8">
        <v>7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0</v>
      </c>
      <c r="ET59" s="8">
        <v>0</v>
      </c>
      <c r="EU59" s="8">
        <v>0</v>
      </c>
      <c r="EV59" s="8">
        <v>0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9">
        <f t="shared" si="284"/>
        <v>180</v>
      </c>
      <c r="FH59" s="8">
        <v>7</v>
      </c>
      <c r="FI59" s="8">
        <v>572</v>
      </c>
      <c r="FJ59" s="8">
        <v>0</v>
      </c>
      <c r="FK59" s="8">
        <v>114.25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9">
        <f t="shared" si="285"/>
        <v>0</v>
      </c>
      <c r="FR59" s="8">
        <v>77760558</v>
      </c>
      <c r="FS59" s="8">
        <v>0</v>
      </c>
      <c r="FT59" s="8">
        <v>23250</v>
      </c>
      <c r="FU59" s="8">
        <v>0</v>
      </c>
      <c r="FV59" s="9">
        <f t="shared" si="286"/>
        <v>77783808</v>
      </c>
      <c r="FW59" s="8">
        <v>29434985</v>
      </c>
      <c r="FX59" s="8">
        <v>1117350</v>
      </c>
      <c r="FY59" s="8">
        <v>14899984.800000001</v>
      </c>
      <c r="FZ59" s="8">
        <v>17725626</v>
      </c>
      <c r="GA59" s="9">
        <f t="shared" si="287"/>
        <v>63177945.799999997</v>
      </c>
      <c r="GB59" s="9">
        <f t="shared" si="288"/>
        <v>140961753.80000001</v>
      </c>
      <c r="GC59" s="8">
        <v>50269331</v>
      </c>
      <c r="GD59" s="8">
        <v>0</v>
      </c>
      <c r="GE59" s="8">
        <v>386146.84</v>
      </c>
      <c r="GF59" s="8">
        <v>280938.75</v>
      </c>
      <c r="GG59" s="9">
        <f t="shared" si="289"/>
        <v>50936416.590000004</v>
      </c>
      <c r="GH59" s="8">
        <v>29275925</v>
      </c>
      <c r="GI59" s="8">
        <v>1084950</v>
      </c>
      <c r="GJ59" s="8">
        <v>16466783</v>
      </c>
      <c r="GK59" s="8">
        <v>14865664.800000001</v>
      </c>
      <c r="GL59" s="9">
        <f t="shared" si="290"/>
        <v>61693322.799999997</v>
      </c>
      <c r="GM59" s="9">
        <f t="shared" si="291"/>
        <v>112629739.39</v>
      </c>
      <c r="GN59" s="8">
        <v>2355692</v>
      </c>
      <c r="GO59" s="8">
        <v>0</v>
      </c>
      <c r="GP59" s="8">
        <v>13574.56</v>
      </c>
      <c r="GQ59" s="8">
        <v>13912.02</v>
      </c>
      <c r="GR59" s="9">
        <f t="shared" si="292"/>
        <v>2383178.58</v>
      </c>
      <c r="GS59" s="8">
        <v>3871155</v>
      </c>
      <c r="GT59" s="8">
        <v>0</v>
      </c>
      <c r="GU59" s="8">
        <v>3572</v>
      </c>
      <c r="GV59" s="8">
        <v>2679</v>
      </c>
      <c r="GW59" s="9">
        <f t="shared" si="293"/>
        <v>3877406</v>
      </c>
      <c r="GX59" s="9">
        <f t="shared" si="294"/>
        <v>118890323.97</v>
      </c>
      <c r="GY59" s="8">
        <v>52803562.320001341</v>
      </c>
      <c r="GZ59" s="8">
        <v>321390030.84000009</v>
      </c>
      <c r="HA59" s="9">
        <f t="shared" si="295"/>
        <v>374193593.16000146</v>
      </c>
      <c r="HB59" s="9">
        <f t="shared" si="296"/>
        <v>0.44046971911872407</v>
      </c>
      <c r="HC59" s="10">
        <f t="shared" si="297"/>
        <v>0.82100625040257469</v>
      </c>
      <c r="HD59" s="9">
        <f t="shared" si="298"/>
        <v>1.1856452997433953</v>
      </c>
      <c r="HE59" s="8">
        <v>1931</v>
      </c>
      <c r="HF59" s="8">
        <v>1</v>
      </c>
      <c r="HG59" s="8">
        <v>1931</v>
      </c>
      <c r="HH59" s="8">
        <v>105</v>
      </c>
      <c r="HI59" s="8">
        <v>0</v>
      </c>
      <c r="HJ59" s="9">
        <f t="shared" si="299"/>
        <v>1</v>
      </c>
      <c r="HK59" s="10">
        <f t="shared" si="300"/>
        <v>5.4375970999482132E-2</v>
      </c>
      <c r="HL59" s="8">
        <v>34</v>
      </c>
      <c r="HM59" s="8">
        <v>6</v>
      </c>
      <c r="HN59" s="11">
        <f t="shared" si="301"/>
        <v>0.17647058823529413</v>
      </c>
    </row>
    <row r="60" spans="1:222" x14ac:dyDescent="0.3">
      <c r="A60" s="12" t="s">
        <v>276</v>
      </c>
      <c r="B60" s="12" t="s">
        <v>276</v>
      </c>
      <c r="C60" s="13" t="s">
        <v>257</v>
      </c>
      <c r="D60" s="13">
        <v>2026</v>
      </c>
      <c r="E60" s="13">
        <v>1</v>
      </c>
      <c r="F60" s="13" t="s">
        <v>270</v>
      </c>
      <c r="G60" s="13" t="s">
        <v>271</v>
      </c>
      <c r="H60" s="14">
        <v>156904.5</v>
      </c>
      <c r="I60" s="14">
        <v>58685</v>
      </c>
      <c r="J60" s="14">
        <v>0</v>
      </c>
      <c r="K60" s="14">
        <v>147</v>
      </c>
      <c r="L60" s="14">
        <v>73</v>
      </c>
      <c r="M60" s="15">
        <v>58905</v>
      </c>
      <c r="N60" s="14">
        <v>25194.600000000031</v>
      </c>
      <c r="O60" s="14">
        <v>4746.4000000000005</v>
      </c>
      <c r="P60" s="14">
        <v>5178.6000000000004</v>
      </c>
      <c r="Q60" s="14">
        <v>2072.5</v>
      </c>
      <c r="R60" s="15">
        <v>37192.100000000028</v>
      </c>
      <c r="S60" s="15">
        <v>96097.100000000035</v>
      </c>
      <c r="T60" s="14">
        <v>60807.399999999972</v>
      </c>
      <c r="U60" s="16">
        <v>0.38754401562733998</v>
      </c>
      <c r="V60" s="14">
        <v>198</v>
      </c>
      <c r="W60" s="17">
        <v>1.261914094242039</v>
      </c>
      <c r="X60" s="14">
        <v>150</v>
      </c>
      <c r="Y60" s="17">
        <v>0.95599552594093851</v>
      </c>
      <c r="Z60" s="14">
        <v>0</v>
      </c>
      <c r="AA60" s="17">
        <v>0</v>
      </c>
      <c r="AB60" s="14">
        <v>0</v>
      </c>
      <c r="AC60" s="17">
        <v>0</v>
      </c>
      <c r="AD60" s="14">
        <v>0</v>
      </c>
      <c r="AE60" s="17">
        <v>0</v>
      </c>
      <c r="AF60" s="14">
        <v>0</v>
      </c>
      <c r="AG60" s="17">
        <v>0</v>
      </c>
      <c r="AH60" s="14">
        <v>4901521.8</v>
      </c>
      <c r="AI60" s="15">
        <v>31.23888607401317</v>
      </c>
      <c r="AJ60" s="14">
        <v>39714</v>
      </c>
      <c r="AK60" s="17">
        <v>0.2531093754481229</v>
      </c>
      <c r="AL60" s="14">
        <v>6658626.2350000003</v>
      </c>
      <c r="AM60" s="15">
        <v>42.437445930486383</v>
      </c>
      <c r="AN60" s="14">
        <v>5499</v>
      </c>
      <c r="AO60" s="14">
        <v>883.27</v>
      </c>
      <c r="AP60" s="14">
        <v>4208437.0999999996</v>
      </c>
      <c r="AQ60" s="14">
        <v>0</v>
      </c>
      <c r="AR60" s="14">
        <v>29895375.460000001</v>
      </c>
      <c r="AS60" s="14">
        <v>4889775.4400000004</v>
      </c>
      <c r="AT60" s="14">
        <v>3469480</v>
      </c>
      <c r="AU60" s="15">
        <v>54023216.034999996</v>
      </c>
      <c r="AV60" s="15">
        <v>344.30635217600508</v>
      </c>
      <c r="AW60" s="15">
        <v>562.17321891087215</v>
      </c>
      <c r="AX60" s="14">
        <v>24</v>
      </c>
      <c r="AY60" s="15">
        <v>4.7417378086670556</v>
      </c>
      <c r="AZ60" s="14">
        <v>29</v>
      </c>
      <c r="BA60" s="14">
        <v>1918</v>
      </c>
      <c r="BB60" s="14">
        <v>83</v>
      </c>
      <c r="BC60" s="14">
        <v>0</v>
      </c>
      <c r="BD60" s="14">
        <v>101</v>
      </c>
      <c r="BE60" s="15">
        <v>101</v>
      </c>
      <c r="BF60" s="15">
        <v>1900</v>
      </c>
      <c r="BG60" s="14">
        <v>2</v>
      </c>
      <c r="BH60" s="14">
        <v>0</v>
      </c>
      <c r="BI60" s="14">
        <v>0</v>
      </c>
      <c r="BJ60" s="14">
        <v>0</v>
      </c>
      <c r="BK60" s="15">
        <v>0</v>
      </c>
      <c r="BL60" s="15">
        <v>2</v>
      </c>
      <c r="BM60" s="14">
        <v>11</v>
      </c>
      <c r="BN60" s="14">
        <v>0</v>
      </c>
      <c r="BO60" s="14">
        <v>0</v>
      </c>
      <c r="BP60" s="14">
        <v>2</v>
      </c>
      <c r="BQ60" s="15">
        <v>2</v>
      </c>
      <c r="BR60" s="15">
        <v>9</v>
      </c>
      <c r="BS60" s="14">
        <v>0</v>
      </c>
      <c r="BT60" s="14">
        <v>0</v>
      </c>
      <c r="BU60" s="14">
        <v>0</v>
      </c>
      <c r="BV60" s="14">
        <v>0</v>
      </c>
      <c r="BW60" s="15">
        <v>0</v>
      </c>
      <c r="BX60" s="15">
        <v>0</v>
      </c>
      <c r="BY60" s="15">
        <v>1931</v>
      </c>
      <c r="BZ60" s="15">
        <v>83</v>
      </c>
      <c r="CA60" s="15">
        <v>103</v>
      </c>
      <c r="CB60" s="15">
        <v>1911</v>
      </c>
      <c r="CC60" s="14">
        <v>103</v>
      </c>
      <c r="CD60" s="14">
        <v>2161</v>
      </c>
      <c r="CE60" s="14">
        <v>57</v>
      </c>
      <c r="CF60" s="14">
        <v>121</v>
      </c>
      <c r="CG60" s="14">
        <v>8</v>
      </c>
      <c r="CH60" s="15">
        <v>2347</v>
      </c>
      <c r="CI60" s="14">
        <v>4397</v>
      </c>
      <c r="CJ60" s="14">
        <v>4</v>
      </c>
      <c r="CK60" s="14">
        <v>2</v>
      </c>
      <c r="CL60" s="14">
        <v>0</v>
      </c>
      <c r="CM60" s="15">
        <v>4403</v>
      </c>
      <c r="CN60" s="14">
        <v>3796</v>
      </c>
      <c r="CO60" s="14">
        <v>158</v>
      </c>
      <c r="CP60" s="14">
        <v>431</v>
      </c>
      <c r="CQ60" s="14">
        <v>72</v>
      </c>
      <c r="CR60" s="15">
        <v>4457</v>
      </c>
      <c r="CS60" s="15">
        <v>8860</v>
      </c>
      <c r="CT60" s="14">
        <v>11207</v>
      </c>
      <c r="CU60" s="14">
        <v>51081</v>
      </c>
      <c r="CV60" s="14">
        <v>49829</v>
      </c>
      <c r="CW60" s="16">
        <v>0.97548990818503944</v>
      </c>
      <c r="CX60" s="14">
        <v>1</v>
      </c>
      <c r="CY60" s="14">
        <v>0</v>
      </c>
      <c r="CZ60" s="14">
        <v>0</v>
      </c>
      <c r="DA60" s="14">
        <v>0</v>
      </c>
      <c r="DB60" s="15">
        <v>1</v>
      </c>
      <c r="DC60" s="14">
        <v>0</v>
      </c>
      <c r="DD60" s="14">
        <v>0</v>
      </c>
      <c r="DE60" s="14">
        <v>0</v>
      </c>
      <c r="DF60" s="14">
        <v>0</v>
      </c>
      <c r="DG60" s="15">
        <v>0</v>
      </c>
      <c r="DH60" s="14">
        <v>0</v>
      </c>
      <c r="DI60" s="14">
        <v>0</v>
      </c>
      <c r="DJ60" s="14">
        <v>0</v>
      </c>
      <c r="DK60" s="14">
        <v>0</v>
      </c>
      <c r="DL60" s="15">
        <v>0</v>
      </c>
      <c r="DM60" s="14">
        <v>346</v>
      </c>
      <c r="DN60" s="14">
        <v>20</v>
      </c>
      <c r="DO60" s="14">
        <v>0</v>
      </c>
      <c r="DP60" s="14">
        <v>4</v>
      </c>
      <c r="DQ60" s="15">
        <v>362</v>
      </c>
      <c r="DR60" s="15">
        <v>347</v>
      </c>
      <c r="DS60" s="15">
        <v>20</v>
      </c>
      <c r="DT60" s="15">
        <v>0</v>
      </c>
      <c r="DU60" s="15">
        <v>4</v>
      </c>
      <c r="DV60" s="15">
        <v>363</v>
      </c>
      <c r="DW60" s="14">
        <v>105</v>
      </c>
      <c r="DX60" s="14">
        <v>62</v>
      </c>
      <c r="DY60" s="14">
        <v>14</v>
      </c>
      <c r="DZ60" s="14">
        <v>16</v>
      </c>
      <c r="EA60" s="14">
        <v>6</v>
      </c>
      <c r="EB60" s="14">
        <v>3</v>
      </c>
      <c r="EC60" s="14">
        <v>0</v>
      </c>
      <c r="ED60" s="14">
        <v>0</v>
      </c>
      <c r="EE60" s="14">
        <v>1</v>
      </c>
      <c r="EF60" s="14">
        <v>0</v>
      </c>
      <c r="EG60" s="14">
        <v>0</v>
      </c>
      <c r="EH60" s="14">
        <v>0</v>
      </c>
      <c r="EI60" s="14">
        <v>0</v>
      </c>
      <c r="EJ60" s="14">
        <v>11</v>
      </c>
      <c r="EK60" s="14">
        <v>4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5">
        <v>222</v>
      </c>
      <c r="FH60" s="14">
        <v>7</v>
      </c>
      <c r="FI60" s="14">
        <v>684</v>
      </c>
      <c r="FJ60" s="14">
        <v>0</v>
      </c>
      <c r="FK60" s="14">
        <v>40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5">
        <v>0</v>
      </c>
      <c r="FR60" s="14">
        <v>54873300</v>
      </c>
      <c r="FS60" s="14">
        <v>0</v>
      </c>
      <c r="FT60" s="14">
        <v>23000</v>
      </c>
      <c r="FU60" s="14">
        <v>0</v>
      </c>
      <c r="FV60" s="15">
        <v>54896300</v>
      </c>
      <c r="FW60" s="14">
        <v>31530893.34</v>
      </c>
      <c r="FX60" s="14">
        <v>1014700</v>
      </c>
      <c r="FY60" s="14">
        <v>9712100</v>
      </c>
      <c r="FZ60" s="14">
        <v>15736981</v>
      </c>
      <c r="GA60" s="15">
        <v>57994674.340000004</v>
      </c>
      <c r="GB60" s="15">
        <v>112890974.34</v>
      </c>
      <c r="GC60" s="14">
        <v>53550688</v>
      </c>
      <c r="GD60" s="14">
        <v>0</v>
      </c>
      <c r="GE60" s="14">
        <v>465714.65</v>
      </c>
      <c r="GF60" s="14">
        <v>325892.2</v>
      </c>
      <c r="GG60" s="15">
        <v>54342294.850000001</v>
      </c>
      <c r="GH60" s="14">
        <v>31409574.469999999</v>
      </c>
      <c r="GI60" s="14">
        <v>1008728.63</v>
      </c>
      <c r="GJ60" s="14">
        <v>15736981</v>
      </c>
      <c r="GK60" s="14">
        <v>9799400</v>
      </c>
      <c r="GL60" s="15">
        <v>57954684.099999987</v>
      </c>
      <c r="GM60" s="15">
        <v>112296978.95</v>
      </c>
      <c r="GN60" s="14">
        <v>2388616</v>
      </c>
      <c r="GO60" s="14">
        <v>0</v>
      </c>
      <c r="GP60" s="14">
        <v>13574.56</v>
      </c>
      <c r="GQ60" s="14">
        <v>9274.68</v>
      </c>
      <c r="GR60" s="15">
        <v>2411465.2400000002</v>
      </c>
      <c r="GS60" s="14">
        <v>3926521</v>
      </c>
      <c r="GT60" s="14">
        <v>0</v>
      </c>
      <c r="GU60" s="14">
        <v>3572</v>
      </c>
      <c r="GV60" s="14">
        <v>1786</v>
      </c>
      <c r="GW60" s="15">
        <v>3931879</v>
      </c>
      <c r="GX60" s="15">
        <v>118640323.19</v>
      </c>
      <c r="GY60" s="14">
        <v>67867551.550001442</v>
      </c>
      <c r="GZ60" s="14">
        <v>312133849.81000018</v>
      </c>
      <c r="HA60" s="15">
        <v>380001401.36000162</v>
      </c>
      <c r="HB60" s="15">
        <v>118640323.19</v>
      </c>
      <c r="HC60" s="16">
        <v>67867551.550001442</v>
      </c>
      <c r="HD60" s="15">
        <v>312133849.81000018</v>
      </c>
      <c r="HE60" s="14">
        <v>1911</v>
      </c>
      <c r="HF60" s="14">
        <v>1</v>
      </c>
      <c r="HG60" s="14">
        <v>1911</v>
      </c>
      <c r="HH60" s="14">
        <v>83</v>
      </c>
      <c r="HI60" s="14">
        <v>0</v>
      </c>
      <c r="HJ60" s="15">
        <v>0</v>
      </c>
      <c r="HK60" s="16">
        <v>0</v>
      </c>
      <c r="HL60" s="14">
        <v>33</v>
      </c>
      <c r="HM60" s="14">
        <v>8</v>
      </c>
      <c r="HN60" s="17">
        <v>4.125</v>
      </c>
    </row>
    <row r="61" spans="1:222" x14ac:dyDescent="0.3">
      <c r="A61" s="6" t="s">
        <v>276</v>
      </c>
      <c r="B61" s="6" t="s">
        <v>276</v>
      </c>
      <c r="C61" s="7" t="s">
        <v>257</v>
      </c>
      <c r="D61" s="7">
        <v>2026</v>
      </c>
      <c r="E61" s="7">
        <v>2</v>
      </c>
      <c r="F61" s="7" t="s">
        <v>272</v>
      </c>
      <c r="G61" s="7" t="s">
        <v>271</v>
      </c>
      <c r="H61" s="8">
        <v>145108</v>
      </c>
      <c r="I61" s="8">
        <v>62397</v>
      </c>
      <c r="J61" s="8">
        <v>60</v>
      </c>
      <c r="K61" s="8">
        <v>157</v>
      </c>
      <c r="L61" s="8">
        <v>60</v>
      </c>
      <c r="M61" s="9">
        <f t="shared" ref="M61:M71" si="302">SUM(I61,J61,K61,L61)</f>
        <v>62674</v>
      </c>
      <c r="N61" s="8">
        <v>22740.99999999992</v>
      </c>
      <c r="O61" s="8">
        <v>4471.3000000000011</v>
      </c>
      <c r="P61" s="8">
        <v>4410.6999999999989</v>
      </c>
      <c r="Q61" s="8">
        <v>2806.2999999999988</v>
      </c>
      <c r="R61" s="9">
        <f t="shared" ref="R61:R71" si="303">SUM(N61,O61,P61,Q61)</f>
        <v>34429.299999999916</v>
      </c>
      <c r="S61" s="9">
        <f t="shared" ref="S61:S71" si="304">M61+R61</f>
        <v>97103.299999999916</v>
      </c>
      <c r="T61" s="8">
        <v>48004.700000000077</v>
      </c>
      <c r="U61" s="10">
        <f t="shared" ref="U61:U71" si="305">IF(H61=0,"",T61/H61)</f>
        <v>0.33082049232295996</v>
      </c>
      <c r="V61" s="8">
        <v>400.95</v>
      </c>
      <c r="W61" s="11">
        <f t="shared" ref="W61:W71" si="306">IF(H61=0,"",V61/H61)</f>
        <v>2.7631143699864929E-3</v>
      </c>
      <c r="X61" s="8">
        <v>100</v>
      </c>
      <c r="Y61" s="11">
        <f t="shared" ref="Y61:Y71" si="307">IF(H61=0,"",X61/H61)</f>
        <v>6.8914188053036357E-4</v>
      </c>
      <c r="Z61" s="8">
        <v>0</v>
      </c>
      <c r="AA61" s="11">
        <f t="shared" ref="AA61:AA71" si="308">IF(H61=0,"",Z61/H61)</f>
        <v>0</v>
      </c>
      <c r="AB61" s="8">
        <v>0</v>
      </c>
      <c r="AC61" s="11">
        <f t="shared" ref="AC61:AC71" si="309">IF(H61=0,"",AB61/H61)</f>
        <v>0</v>
      </c>
      <c r="AD61" s="8">
        <v>0</v>
      </c>
      <c r="AE61" s="11">
        <f t="shared" ref="AE61:AE71" si="310">IF(H61=0,"",AD61/H61)</f>
        <v>0</v>
      </c>
      <c r="AF61" s="8">
        <v>0</v>
      </c>
      <c r="AG61" s="11">
        <f t="shared" ref="AG61:AG71" si="311">IF(H61=0,"",AF61/H61)</f>
        <v>0</v>
      </c>
      <c r="AH61" s="8">
        <v>9703412.6449999996</v>
      </c>
      <c r="AI61" s="9">
        <f t="shared" ref="AI61:AI71" si="312">IF(H61=0,"",AH61/H61)</f>
        <v>66.870280377374087</v>
      </c>
      <c r="AJ61" s="8">
        <v>39714</v>
      </c>
      <c r="AK61" s="11">
        <f t="shared" ref="AK61:AK71" si="313">IF(H61=0,"",AJ61/H61)</f>
        <v>0.27368580643382862</v>
      </c>
      <c r="AL61" s="8">
        <v>6658626.2350000003</v>
      </c>
      <c r="AM61" s="9">
        <f t="shared" ref="AM61:AM71" si="314">IF(H61=0,"",AL61/H61)</f>
        <v>45.887382053367148</v>
      </c>
      <c r="AN61" s="8">
        <v>3841</v>
      </c>
      <c r="AO61" s="8">
        <v>564.16</v>
      </c>
      <c r="AP61" s="8">
        <v>5675903.25</v>
      </c>
      <c r="AQ61" s="8">
        <v>0</v>
      </c>
      <c r="AR61" s="8">
        <v>29895375.460000001</v>
      </c>
      <c r="AS61" s="8">
        <v>4211161.5974999992</v>
      </c>
      <c r="AT61" s="8">
        <v>3486980</v>
      </c>
      <c r="AU61" s="9">
        <f t="shared" ref="AU61:AU71" si="315">AH61+AL61+AP61+AQ61+AR61+AS61+AT61</f>
        <v>59631459.1875</v>
      </c>
      <c r="AV61" s="9">
        <f t="shared" ref="AV61:AV71" si="316">IF(H61=0,"",AU61/H61)</f>
        <v>410.94535923243376</v>
      </c>
      <c r="AW61" s="9">
        <f t="shared" ref="AW61:AW71" si="317">IF(S61=0,"",AU61/S61)</f>
        <v>614.10332282734009</v>
      </c>
      <c r="AX61" s="8">
        <v>24</v>
      </c>
      <c r="AY61" s="9">
        <f t="shared" ref="AY61:AY71" si="318">IF(H61=0,"",AX61/(H61/1000/12))</f>
        <v>1.9847286159274471</v>
      </c>
      <c r="AZ61" s="8">
        <v>29</v>
      </c>
      <c r="BA61" s="8">
        <v>1900</v>
      </c>
      <c r="BB61" s="8">
        <v>116</v>
      </c>
      <c r="BC61" s="8">
        <v>0</v>
      </c>
      <c r="BD61" s="8">
        <v>57</v>
      </c>
      <c r="BE61" s="9">
        <f t="shared" ref="BE61:BE71" si="319">BC61+BD61</f>
        <v>57</v>
      </c>
      <c r="BF61" s="9">
        <f t="shared" ref="BF61:BF71" si="320">BA61+BB61-BE61</f>
        <v>1959</v>
      </c>
      <c r="BG61" s="8">
        <v>2</v>
      </c>
      <c r="BH61" s="8">
        <v>0</v>
      </c>
      <c r="BI61" s="8">
        <v>0</v>
      </c>
      <c r="BJ61" s="8">
        <v>0</v>
      </c>
      <c r="BK61" s="9">
        <f t="shared" ref="BK61:BK71" si="321">BI61+BJ61</f>
        <v>0</v>
      </c>
      <c r="BL61" s="9">
        <f t="shared" ref="BL61:BL71" si="322">BG61+BH61-BK61</f>
        <v>2</v>
      </c>
      <c r="BM61" s="8">
        <v>9</v>
      </c>
      <c r="BN61" s="8">
        <v>0</v>
      </c>
      <c r="BO61" s="8">
        <v>0</v>
      </c>
      <c r="BP61" s="8">
        <v>0</v>
      </c>
      <c r="BQ61" s="9">
        <f t="shared" ref="BQ61:BQ71" si="323">BO61+BP61</f>
        <v>0</v>
      </c>
      <c r="BR61" s="9">
        <f t="shared" ref="BR61:BR71" si="324">BM61+BN61-BQ61</f>
        <v>9</v>
      </c>
      <c r="BS61" s="8">
        <v>0</v>
      </c>
      <c r="BT61" s="8">
        <v>0</v>
      </c>
      <c r="BU61" s="8">
        <v>0</v>
      </c>
      <c r="BV61" s="8">
        <v>0</v>
      </c>
      <c r="BW61" s="9">
        <f t="shared" ref="BW61:BW71" si="325">BU61+BV61</f>
        <v>0</v>
      </c>
      <c r="BX61" s="9">
        <f t="shared" ref="BX61:BX71" si="326">BS61+BT61-BW61</f>
        <v>0</v>
      </c>
      <c r="BY61" s="9">
        <f t="shared" ref="BY61:BY71" si="327">BA61+BG61+BM61+BS61</f>
        <v>1911</v>
      </c>
      <c r="BZ61" s="9">
        <f t="shared" ref="BZ61:BZ71" si="328">BB61+BH61+BN61+BT61</f>
        <v>116</v>
      </c>
      <c r="CA61" s="9">
        <f t="shared" ref="CA61:CA71" si="329">BE61+BK61+BQ61+BW61</f>
        <v>57</v>
      </c>
      <c r="CB61" s="9">
        <f t="shared" ref="CB61:CB71" si="330">BF61+BL61+BR61+BX61</f>
        <v>1970</v>
      </c>
      <c r="CC61" s="8">
        <v>57</v>
      </c>
      <c r="CD61" s="8">
        <v>2094</v>
      </c>
      <c r="CE61" s="8">
        <v>57</v>
      </c>
      <c r="CF61" s="8">
        <v>121</v>
      </c>
      <c r="CG61" s="8">
        <v>7</v>
      </c>
      <c r="CH61" s="9">
        <f t="shared" ref="CH61:CH71" si="331">CD61+CE61+CF61+CG61</f>
        <v>2279</v>
      </c>
      <c r="CI61" s="8">
        <v>4464</v>
      </c>
      <c r="CJ61" s="8">
        <v>4</v>
      </c>
      <c r="CK61" s="8">
        <v>2</v>
      </c>
      <c r="CL61" s="8">
        <v>1</v>
      </c>
      <c r="CM61" s="9">
        <f t="shared" ref="CM61:CM71" si="332">CI61+CJ61+CK61+CL61</f>
        <v>4471</v>
      </c>
      <c r="CN61" s="8">
        <v>3853</v>
      </c>
      <c r="CO61" s="8">
        <v>158</v>
      </c>
      <c r="CP61" s="8">
        <v>431</v>
      </c>
      <c r="CQ61" s="8">
        <v>72</v>
      </c>
      <c r="CR61" s="9">
        <f t="shared" ref="CR61:CR71" si="333">CN61+CO61+CP61+CQ61</f>
        <v>4514</v>
      </c>
      <c r="CS61" s="9">
        <f t="shared" ref="CS61:CS71" si="334">CM61+CR61</f>
        <v>8985</v>
      </c>
      <c r="CT61" s="8">
        <v>11264</v>
      </c>
      <c r="CU61" s="8">
        <v>51156</v>
      </c>
      <c r="CV61" s="8">
        <v>46694</v>
      </c>
      <c r="CW61" s="10">
        <f t="shared" ref="CW61:CW71" si="335">IF(CU61=0,"",CV61/CU61)</f>
        <v>0.91277660489483148</v>
      </c>
      <c r="CX61" s="8">
        <v>1</v>
      </c>
      <c r="CY61" s="8"/>
      <c r="CZ61" s="8"/>
      <c r="DA61" s="8"/>
      <c r="DB61" s="9">
        <f t="shared" ref="DB61:DB71" si="336">CX61+CY61-CZ61-DA61</f>
        <v>1</v>
      </c>
      <c r="DC61" s="8">
        <v>0</v>
      </c>
      <c r="DD61" s="8">
        <v>0</v>
      </c>
      <c r="DE61" s="8">
        <v>0</v>
      </c>
      <c r="DF61" s="8">
        <v>0</v>
      </c>
      <c r="DG61" s="9">
        <f t="shared" ref="DG61:DG71" si="337">DC61+DD61-DE61-DF61</f>
        <v>0</v>
      </c>
      <c r="DH61" s="8">
        <v>0</v>
      </c>
      <c r="DI61" s="8">
        <v>0</v>
      </c>
      <c r="DJ61" s="8">
        <v>0</v>
      </c>
      <c r="DK61" s="8">
        <v>0</v>
      </c>
      <c r="DL61" s="9">
        <f t="shared" ref="DL61:DL71" si="338">DH61+DI61-DJ61-DK61</f>
        <v>0</v>
      </c>
      <c r="DM61" s="8">
        <v>362</v>
      </c>
      <c r="DN61" s="8">
        <v>285</v>
      </c>
      <c r="DO61" s="8">
        <v>0</v>
      </c>
      <c r="DP61" s="8">
        <v>0</v>
      </c>
      <c r="DQ61" s="9">
        <f t="shared" ref="DQ61:DQ71" si="339">DM61+DN61-DO61-DP61</f>
        <v>647</v>
      </c>
      <c r="DR61" s="9">
        <f t="shared" ref="DR61:DR71" si="340">CX61+DC61+DH61+DM61</f>
        <v>363</v>
      </c>
      <c r="DS61" s="9">
        <f t="shared" ref="DS61:DS71" si="341">CY61+DD61+DI61+DN61</f>
        <v>285</v>
      </c>
      <c r="DT61" s="9">
        <f t="shared" ref="DT61:DT71" si="342">CZ61+DE61+DJ61+DO61</f>
        <v>0</v>
      </c>
      <c r="DU61" s="9">
        <f t="shared" ref="DU61:DU71" si="343">DA61+DF61+DK61+DP61</f>
        <v>0</v>
      </c>
      <c r="DV61" s="9">
        <f t="shared" ref="DV61:DV71" si="344">DB61+DG61+DL61+DQ61</f>
        <v>648</v>
      </c>
      <c r="DW61" s="8">
        <v>91</v>
      </c>
      <c r="DX61" s="8">
        <v>56</v>
      </c>
      <c r="DY61" s="8">
        <v>13</v>
      </c>
      <c r="DZ61" s="8">
        <v>13</v>
      </c>
      <c r="EA61" s="8">
        <v>8</v>
      </c>
      <c r="EB61" s="8">
        <v>1</v>
      </c>
      <c r="EC61" s="8">
        <v>0</v>
      </c>
      <c r="ED61" s="8">
        <v>0</v>
      </c>
      <c r="EE61" s="8">
        <v>1</v>
      </c>
      <c r="EF61" s="8">
        <v>0</v>
      </c>
      <c r="EG61" s="8">
        <v>0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9">
        <f t="shared" ref="FG61:FG71" si="345">SUM(DW61,DX61,DY61,DZ61,EA61,EB61,EC61,ED61,EE61,EF61,EG61,EH61,EI61,EJ61,EK61,EL61,EM61,EN61,EO61,EP61,EQ61,ER61,ES61,ET61,EU61,EV61,EW61,EX61,EY61,EZ61,FA61,FB61,FC61,FD61,FE61,FF61)</f>
        <v>183</v>
      </c>
      <c r="FH61" s="8">
        <v>7</v>
      </c>
      <c r="FI61" s="8">
        <v>509</v>
      </c>
      <c r="FJ61" s="8">
        <v>0</v>
      </c>
      <c r="FK61" s="8">
        <v>61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9">
        <f t="shared" ref="FQ61:FQ71" si="346">FL61+FM61+FN61+FO61+FP61</f>
        <v>0</v>
      </c>
      <c r="FR61" s="8">
        <v>66379044</v>
      </c>
      <c r="FS61" s="8">
        <v>0</v>
      </c>
      <c r="FT61" s="8">
        <v>808300</v>
      </c>
      <c r="FU61" s="8">
        <v>0</v>
      </c>
      <c r="FV61" s="9">
        <f t="shared" ref="FV61:FV71" si="347">FR61+FS61+FT61+FU61</f>
        <v>67187344</v>
      </c>
      <c r="FW61" s="8">
        <v>28770454</v>
      </c>
      <c r="FX61" s="8">
        <v>950100</v>
      </c>
      <c r="FY61" s="8">
        <v>13164652.4</v>
      </c>
      <c r="FZ61" s="8">
        <v>13179058</v>
      </c>
      <c r="GA61" s="9">
        <f t="shared" ref="GA61:GA71" si="348">FW61+FX61+FY61+FZ61</f>
        <v>56064264.399999999</v>
      </c>
      <c r="GB61" s="9">
        <f t="shared" ref="GB61:GB71" si="349">FV61+GA61</f>
        <v>123251608.40000001</v>
      </c>
      <c r="GC61" s="8">
        <v>56798704</v>
      </c>
      <c r="GD61" s="8">
        <v>11476.8</v>
      </c>
      <c r="GE61" s="8">
        <v>499512.04</v>
      </c>
      <c r="GF61" s="8">
        <v>260919.76</v>
      </c>
      <c r="GG61" s="9">
        <f t="shared" ref="GG61:GG71" si="350">GC61+GD61+GE61+GF61</f>
        <v>57570612.599999994</v>
      </c>
      <c r="GH61" s="8">
        <v>28726113.920000002</v>
      </c>
      <c r="GI61" s="8">
        <v>950100</v>
      </c>
      <c r="GJ61" s="8">
        <v>13289148</v>
      </c>
      <c r="GK61" s="8">
        <v>13134752.4</v>
      </c>
      <c r="GL61" s="9">
        <f t="shared" ref="GL61:GL71" si="351">GH61+GI61+GJ61+GK61</f>
        <v>56100114.32</v>
      </c>
      <c r="GM61" s="9">
        <f t="shared" ref="GM61:GM71" si="352">GG61+GL61</f>
        <v>113670726.91999999</v>
      </c>
      <c r="GN61" s="8">
        <v>2425862</v>
      </c>
      <c r="GO61" s="8">
        <v>191.28</v>
      </c>
      <c r="GP61" s="8">
        <v>13574.56</v>
      </c>
      <c r="GQ61" s="8">
        <v>9274.68</v>
      </c>
      <c r="GR61" s="9">
        <f t="shared" ref="GR61:GR71" si="353">GN61+GO61+GP61+GQ61</f>
        <v>2448902.52</v>
      </c>
      <c r="GS61" s="8">
        <v>3986352</v>
      </c>
      <c r="GT61" s="8">
        <v>893</v>
      </c>
      <c r="GU61" s="8">
        <v>3572</v>
      </c>
      <c r="GV61" s="8">
        <v>1786</v>
      </c>
      <c r="GW61" s="9">
        <f t="shared" ref="GW61:GW71" si="354">GS61+GT61+GU61+GV61</f>
        <v>3992603</v>
      </c>
      <c r="GX61" s="9">
        <f t="shared" ref="GX61:GX71" si="355">GM61+GR61+GW61</f>
        <v>120112232.43999998</v>
      </c>
      <c r="GY61" s="8">
        <v>71204532.740001187</v>
      </c>
      <c r="GZ61" s="8">
        <v>305077837.5800001</v>
      </c>
      <c r="HA61" s="9">
        <f t="shared" ref="HA61:HA71" si="356">GY61+GZ61</f>
        <v>376282370.3200013</v>
      </c>
      <c r="HB61" s="9">
        <f t="shared" ref="HB61:HB71" si="357">IF(GX61=0,"",AU61/GX61)</f>
        <v>0.49646449804592452</v>
      </c>
      <c r="HC61" s="10">
        <f t="shared" ref="HC61:HC71" si="358">IF((GX61+GY61)=0,"",GB61/(GX61+GY61))</f>
        <v>0.64422795505683061</v>
      </c>
      <c r="HD61" s="9">
        <f t="shared" ref="HD61:HD71" si="359">IF(GX61=0,"",GB61/GX61)</f>
        <v>1.0261370211528476</v>
      </c>
      <c r="HE61" s="8">
        <v>0</v>
      </c>
      <c r="HF61" s="8">
        <v>1</v>
      </c>
      <c r="HG61" s="8">
        <v>1970</v>
      </c>
      <c r="HH61" s="8">
        <v>116</v>
      </c>
      <c r="HI61" s="8">
        <v>8820</v>
      </c>
      <c r="HJ61" s="9">
        <f t="shared" ref="HJ61:HJ71" si="360">HF61+HI61</f>
        <v>8821</v>
      </c>
      <c r="HK61" s="10" t="str">
        <f t="shared" ref="HK61:HK71" si="361">IF(HE61=0,"",HH61/HE61)</f>
        <v/>
      </c>
      <c r="HL61" s="8">
        <v>24</v>
      </c>
      <c r="HM61" s="8">
        <v>4</v>
      </c>
      <c r="HN61" s="11">
        <f t="shared" ref="HN61:HN71" si="362">IF(HL61=0,"",HM61/HL61)</f>
        <v>0.16666666666666666</v>
      </c>
    </row>
    <row r="62" spans="1:222" x14ac:dyDescent="0.3">
      <c r="A62" s="12" t="s">
        <v>276</v>
      </c>
      <c r="B62" s="12" t="s">
        <v>276</v>
      </c>
      <c r="C62" s="13" t="s">
        <v>257</v>
      </c>
      <c r="D62" s="13">
        <v>2026</v>
      </c>
      <c r="E62" s="13">
        <v>3</v>
      </c>
      <c r="F62" s="13" t="s">
        <v>273</v>
      </c>
      <c r="G62" s="13" t="s">
        <v>271</v>
      </c>
      <c r="H62" s="14">
        <v>147804</v>
      </c>
      <c r="I62" s="14">
        <v>49730</v>
      </c>
      <c r="J62" s="14">
        <v>0</v>
      </c>
      <c r="K62" s="14">
        <v>118</v>
      </c>
      <c r="L62" s="14">
        <v>61</v>
      </c>
      <c r="M62" s="15">
        <f t="shared" si="302"/>
        <v>49909</v>
      </c>
      <c r="N62" s="14">
        <v>42977</v>
      </c>
      <c r="O62" s="14">
        <v>4495.2999999999993</v>
      </c>
      <c r="P62" s="14">
        <v>4223.6999999999989</v>
      </c>
      <c r="Q62" s="14">
        <v>2550.699999999998</v>
      </c>
      <c r="R62" s="15">
        <f t="shared" si="303"/>
        <v>54246.7</v>
      </c>
      <c r="S62" s="15">
        <f t="shared" si="304"/>
        <v>104155.7</v>
      </c>
      <c r="T62" s="14">
        <v>43648.3</v>
      </c>
      <c r="U62" s="16">
        <f t="shared" si="305"/>
        <v>0.29531203485697277</v>
      </c>
      <c r="V62" s="14">
        <v>388.4</v>
      </c>
      <c r="W62" s="17">
        <f t="shared" si="306"/>
        <v>2.627804389597034E-3</v>
      </c>
      <c r="X62" s="14">
        <v>425</v>
      </c>
      <c r="Y62" s="17">
        <f t="shared" si="307"/>
        <v>2.8754296230142622E-3</v>
      </c>
      <c r="Z62" s="14">
        <v>0</v>
      </c>
      <c r="AA62" s="17">
        <f t="shared" si="308"/>
        <v>0</v>
      </c>
      <c r="AB62" s="14">
        <v>0</v>
      </c>
      <c r="AC62" s="17">
        <f t="shared" si="309"/>
        <v>0</v>
      </c>
      <c r="AD62" s="14">
        <v>0</v>
      </c>
      <c r="AE62" s="17">
        <f t="shared" si="310"/>
        <v>0</v>
      </c>
      <c r="AF62" s="14">
        <v>0</v>
      </c>
      <c r="AG62" s="17">
        <f t="shared" si="311"/>
        <v>0</v>
      </c>
      <c r="AH62" s="14">
        <v>9757482.4399999995</v>
      </c>
      <c r="AI62" s="15">
        <f t="shared" si="312"/>
        <v>66.016362480041138</v>
      </c>
      <c r="AJ62" s="14">
        <v>272296.57</v>
      </c>
      <c r="AK62" s="17">
        <f t="shared" si="313"/>
        <v>1.8422814673486509</v>
      </c>
      <c r="AL62" s="14">
        <v>19339</v>
      </c>
      <c r="AM62" s="15">
        <f t="shared" si="314"/>
        <v>0.13084219642228898</v>
      </c>
      <c r="AN62" s="14">
        <v>4077</v>
      </c>
      <c r="AO62" s="14">
        <v>911.92</v>
      </c>
      <c r="AP62" s="14">
        <v>4535769.3</v>
      </c>
      <c r="AQ62" s="14">
        <v>0</v>
      </c>
      <c r="AR62" s="14">
        <v>30076906.43</v>
      </c>
      <c r="AS62" s="14">
        <v>4196471.68</v>
      </c>
      <c r="AT62" s="14">
        <v>3719470</v>
      </c>
      <c r="AU62" s="15">
        <f t="shared" si="315"/>
        <v>52305438.850000001</v>
      </c>
      <c r="AV62" s="15">
        <f t="shared" si="316"/>
        <v>353.88378426835538</v>
      </c>
      <c r="AW62" s="15">
        <f t="shared" si="317"/>
        <v>502.18508300553884</v>
      </c>
      <c r="AX62" s="14">
        <v>24</v>
      </c>
      <c r="AY62" s="15">
        <f t="shared" si="318"/>
        <v>1.9485264268896647</v>
      </c>
      <c r="AZ62" s="14">
        <v>29</v>
      </c>
      <c r="BA62" s="14">
        <v>1959</v>
      </c>
      <c r="BB62" s="14">
        <v>98</v>
      </c>
      <c r="BC62" s="14">
        <v>0</v>
      </c>
      <c r="BD62" s="14">
        <v>79</v>
      </c>
      <c r="BE62" s="15">
        <f t="shared" si="319"/>
        <v>79</v>
      </c>
      <c r="BF62" s="15">
        <f t="shared" si="320"/>
        <v>1978</v>
      </c>
      <c r="BG62" s="14">
        <v>2</v>
      </c>
      <c r="BH62" s="14">
        <v>0</v>
      </c>
      <c r="BI62" s="14">
        <v>0</v>
      </c>
      <c r="BJ62" s="14">
        <v>0</v>
      </c>
      <c r="BK62" s="15">
        <f t="shared" si="321"/>
        <v>0</v>
      </c>
      <c r="BL62" s="15">
        <f t="shared" si="322"/>
        <v>2</v>
      </c>
      <c r="BM62" s="14">
        <v>9</v>
      </c>
      <c r="BN62" s="14">
        <v>1</v>
      </c>
      <c r="BO62" s="14">
        <v>0</v>
      </c>
      <c r="BP62" s="14">
        <v>0</v>
      </c>
      <c r="BQ62" s="15">
        <f t="shared" si="323"/>
        <v>0</v>
      </c>
      <c r="BR62" s="15">
        <f t="shared" si="324"/>
        <v>10</v>
      </c>
      <c r="BS62" s="14">
        <v>0</v>
      </c>
      <c r="BT62" s="14">
        <v>0</v>
      </c>
      <c r="BU62" s="14">
        <v>0</v>
      </c>
      <c r="BV62" s="14">
        <v>0</v>
      </c>
      <c r="BW62" s="15">
        <f t="shared" si="325"/>
        <v>0</v>
      </c>
      <c r="BX62" s="15">
        <f t="shared" si="326"/>
        <v>0</v>
      </c>
      <c r="BY62" s="15">
        <f t="shared" si="327"/>
        <v>1970</v>
      </c>
      <c r="BZ62" s="15">
        <f t="shared" si="328"/>
        <v>99</v>
      </c>
      <c r="CA62" s="15">
        <f t="shared" si="329"/>
        <v>79</v>
      </c>
      <c r="CB62" s="15">
        <f t="shared" si="330"/>
        <v>1990</v>
      </c>
      <c r="CC62" s="14">
        <v>79</v>
      </c>
      <c r="CD62" s="14">
        <v>2126</v>
      </c>
      <c r="CE62" s="14">
        <v>57</v>
      </c>
      <c r="CF62" s="14">
        <v>121</v>
      </c>
      <c r="CG62" s="14">
        <v>0</v>
      </c>
      <c r="CH62" s="15">
        <f t="shared" si="331"/>
        <v>2304</v>
      </c>
      <c r="CI62" s="14">
        <v>4440</v>
      </c>
      <c r="CJ62" s="14">
        <v>4</v>
      </c>
      <c r="CK62" s="14">
        <v>2</v>
      </c>
      <c r="CL62" s="14">
        <v>0</v>
      </c>
      <c r="CM62" s="15">
        <f t="shared" si="332"/>
        <v>4446</v>
      </c>
      <c r="CN62" s="14">
        <v>3932</v>
      </c>
      <c r="CO62" s="14">
        <v>158</v>
      </c>
      <c r="CP62" s="14">
        <v>431</v>
      </c>
      <c r="CQ62" s="14">
        <v>73</v>
      </c>
      <c r="CR62" s="15">
        <f t="shared" si="333"/>
        <v>4594</v>
      </c>
      <c r="CS62" s="15">
        <f t="shared" si="334"/>
        <v>9040</v>
      </c>
      <c r="CT62" s="14">
        <v>11344</v>
      </c>
      <c r="CU62" s="14">
        <v>51231</v>
      </c>
      <c r="CV62" s="14">
        <v>47089</v>
      </c>
      <c r="CW62" s="16">
        <f t="shared" si="335"/>
        <v>0.91915051433702255</v>
      </c>
      <c r="CX62" s="14">
        <v>1</v>
      </c>
      <c r="CY62" s="14"/>
      <c r="CZ62" s="14"/>
      <c r="DA62" s="14"/>
      <c r="DB62" s="15">
        <f t="shared" si="336"/>
        <v>1</v>
      </c>
      <c r="DC62" s="14">
        <v>0</v>
      </c>
      <c r="DD62" s="14">
        <v>0</v>
      </c>
      <c r="DE62" s="14">
        <v>0</v>
      </c>
      <c r="DF62" s="14">
        <v>0</v>
      </c>
      <c r="DG62" s="15">
        <f t="shared" si="337"/>
        <v>0</v>
      </c>
      <c r="DH62" s="14">
        <v>0</v>
      </c>
      <c r="DI62" s="14">
        <v>0</v>
      </c>
      <c r="DJ62" s="14">
        <v>0</v>
      </c>
      <c r="DK62" s="14">
        <v>0</v>
      </c>
      <c r="DL62" s="15">
        <f t="shared" si="338"/>
        <v>0</v>
      </c>
      <c r="DM62" s="14">
        <v>647</v>
      </c>
      <c r="DN62" s="14">
        <v>0</v>
      </c>
      <c r="DO62" s="14">
        <v>227</v>
      </c>
      <c r="DP62" s="14">
        <v>0</v>
      </c>
      <c r="DQ62" s="15">
        <f t="shared" si="339"/>
        <v>420</v>
      </c>
      <c r="DR62" s="15">
        <f t="shared" si="340"/>
        <v>648</v>
      </c>
      <c r="DS62" s="15">
        <f t="shared" si="341"/>
        <v>0</v>
      </c>
      <c r="DT62" s="15">
        <f t="shared" si="342"/>
        <v>227</v>
      </c>
      <c r="DU62" s="15">
        <f t="shared" si="343"/>
        <v>0</v>
      </c>
      <c r="DV62" s="15">
        <f t="shared" si="344"/>
        <v>421</v>
      </c>
      <c r="DW62" s="14">
        <v>98</v>
      </c>
      <c r="DX62" s="14">
        <v>59</v>
      </c>
      <c r="DY62" s="14">
        <v>21</v>
      </c>
      <c r="DZ62" s="14">
        <v>14</v>
      </c>
      <c r="EA62" s="14">
        <v>6</v>
      </c>
      <c r="EB62" s="14">
        <v>4</v>
      </c>
      <c r="EC62" s="14">
        <v>2</v>
      </c>
      <c r="ED62" s="14">
        <v>0</v>
      </c>
      <c r="EE62" s="14">
        <v>1</v>
      </c>
      <c r="EF62" s="14">
        <v>2</v>
      </c>
      <c r="EG62" s="14">
        <v>0</v>
      </c>
      <c r="EH62" s="14">
        <v>0</v>
      </c>
      <c r="EI62" s="14">
        <v>0</v>
      </c>
      <c r="EJ62" s="14">
        <v>10</v>
      </c>
      <c r="EK62" s="14">
        <v>7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5">
        <f t="shared" si="345"/>
        <v>224</v>
      </c>
      <c r="FH62" s="14">
        <v>7</v>
      </c>
      <c r="FI62" s="14">
        <v>532</v>
      </c>
      <c r="FJ62" s="14">
        <v>0</v>
      </c>
      <c r="FK62" s="14">
        <v>120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5">
        <f t="shared" si="346"/>
        <v>0</v>
      </c>
      <c r="FR62" s="14">
        <v>45289867</v>
      </c>
      <c r="FS62" s="14">
        <v>0</v>
      </c>
      <c r="FT62" s="14">
        <v>17300</v>
      </c>
      <c r="FU62" s="14">
        <v>0</v>
      </c>
      <c r="FV62" s="15">
        <f t="shared" si="347"/>
        <v>45307167</v>
      </c>
      <c r="FW62" s="14">
        <v>28687404</v>
      </c>
      <c r="FX62" s="14">
        <v>957100</v>
      </c>
      <c r="FY62" s="14">
        <v>11968614</v>
      </c>
      <c r="FZ62" s="14">
        <v>12688674</v>
      </c>
      <c r="GA62" s="15">
        <f t="shared" si="348"/>
        <v>54301792</v>
      </c>
      <c r="GB62" s="15">
        <f t="shared" si="349"/>
        <v>99608959</v>
      </c>
      <c r="GC62" s="14">
        <v>45254007</v>
      </c>
      <c r="GD62" s="14">
        <v>0</v>
      </c>
      <c r="GE62" s="14">
        <v>372308.96</v>
      </c>
      <c r="GF62" s="14">
        <v>282523.52000000002</v>
      </c>
      <c r="GG62" s="15">
        <f t="shared" si="350"/>
        <v>45908839.480000004</v>
      </c>
      <c r="GH62" s="14">
        <v>28653054</v>
      </c>
      <c r="GI62" s="14">
        <v>957100</v>
      </c>
      <c r="GJ62" s="14">
        <v>12739774</v>
      </c>
      <c r="GK62" s="14">
        <v>11889714</v>
      </c>
      <c r="GL62" s="15">
        <f t="shared" si="351"/>
        <v>54239642</v>
      </c>
      <c r="GM62" s="15">
        <f t="shared" si="352"/>
        <v>100148481.48</v>
      </c>
      <c r="GN62" s="14">
        <v>2411126</v>
      </c>
      <c r="GO62" s="14">
        <v>0</v>
      </c>
      <c r="GP62" s="14">
        <v>13574.56</v>
      </c>
      <c r="GQ62" s="14">
        <v>9274.68</v>
      </c>
      <c r="GR62" s="15">
        <f t="shared" si="353"/>
        <v>2433975.2400000002</v>
      </c>
      <c r="GS62" s="14">
        <v>3964920</v>
      </c>
      <c r="GT62" s="14">
        <v>0</v>
      </c>
      <c r="GU62" s="14">
        <v>3572</v>
      </c>
      <c r="GV62" s="14">
        <v>1786</v>
      </c>
      <c r="GW62" s="15">
        <f t="shared" si="354"/>
        <v>3970278</v>
      </c>
      <c r="GX62" s="15">
        <f t="shared" si="355"/>
        <v>106552734.72</v>
      </c>
      <c r="GY62" s="14">
        <v>76536906.940001056</v>
      </c>
      <c r="GZ62" s="14">
        <v>304714545.9600001</v>
      </c>
      <c r="HA62" s="15">
        <f t="shared" si="356"/>
        <v>381251452.90000117</v>
      </c>
      <c r="HB62" s="15">
        <f t="shared" si="357"/>
        <v>0.49088781238180879</v>
      </c>
      <c r="HC62" s="16">
        <f t="shared" si="358"/>
        <v>0.54404475368942307</v>
      </c>
      <c r="HD62" s="15">
        <f t="shared" si="359"/>
        <v>0.93483249643242949</v>
      </c>
      <c r="HE62" s="14">
        <v>1990</v>
      </c>
      <c r="HF62" s="14">
        <v>1</v>
      </c>
      <c r="HG62" s="14">
        <v>1990</v>
      </c>
      <c r="HH62" s="14">
        <v>99</v>
      </c>
      <c r="HI62" s="14">
        <v>16340</v>
      </c>
      <c r="HJ62" s="15">
        <f t="shared" si="360"/>
        <v>16341</v>
      </c>
      <c r="HK62" s="16">
        <f t="shared" si="361"/>
        <v>4.9748743718592968E-2</v>
      </c>
      <c r="HL62" s="14">
        <v>22</v>
      </c>
      <c r="HM62" s="14">
        <v>7</v>
      </c>
      <c r="HN62" s="17">
        <f t="shared" si="362"/>
        <v>0.31818181818181818</v>
      </c>
    </row>
    <row r="63" spans="1:222" x14ac:dyDescent="0.3">
      <c r="A63" s="6" t="s">
        <v>276</v>
      </c>
      <c r="B63" s="6" t="s">
        <v>277</v>
      </c>
      <c r="C63" s="7" t="s">
        <v>257</v>
      </c>
      <c r="D63" s="7">
        <v>2025</v>
      </c>
      <c r="E63" s="7">
        <v>4</v>
      </c>
      <c r="F63" s="7" t="s">
        <v>258</v>
      </c>
      <c r="G63" s="7" t="s">
        <v>259</v>
      </c>
      <c r="H63" s="8">
        <v>65777</v>
      </c>
      <c r="I63" s="8">
        <v>22497</v>
      </c>
      <c r="J63" s="8">
        <v>0</v>
      </c>
      <c r="K63" s="8">
        <v>24782</v>
      </c>
      <c r="L63" s="8">
        <v>0</v>
      </c>
      <c r="M63" s="9">
        <f t="shared" si="302"/>
        <v>47279</v>
      </c>
      <c r="N63" s="8">
        <v>4384.5</v>
      </c>
      <c r="O63" s="8">
        <v>1105.5999999999999</v>
      </c>
      <c r="P63" s="8">
        <v>2045.4</v>
      </c>
      <c r="Q63" s="8">
        <v>737.1</v>
      </c>
      <c r="R63" s="9">
        <f t="shared" si="303"/>
        <v>8272.6</v>
      </c>
      <c r="S63" s="9">
        <f t="shared" si="304"/>
        <v>55551.6</v>
      </c>
      <c r="T63" s="8">
        <v>10225.4</v>
      </c>
      <c r="U63" s="10">
        <f t="shared" si="305"/>
        <v>0.15545555437310912</v>
      </c>
      <c r="V63" s="8">
        <v>155</v>
      </c>
      <c r="W63" s="11">
        <f t="shared" si="306"/>
        <v>2.3564467823099259E-3</v>
      </c>
      <c r="X63" s="8">
        <v>0</v>
      </c>
      <c r="Y63" s="11">
        <f t="shared" si="307"/>
        <v>0</v>
      </c>
      <c r="Z63" s="8">
        <v>0</v>
      </c>
      <c r="AA63" s="11">
        <f t="shared" si="308"/>
        <v>0</v>
      </c>
      <c r="AB63" s="8">
        <v>0</v>
      </c>
      <c r="AC63" s="11">
        <f t="shared" si="309"/>
        <v>0</v>
      </c>
      <c r="AD63" s="8">
        <v>0</v>
      </c>
      <c r="AE63" s="11">
        <f t="shared" si="310"/>
        <v>0</v>
      </c>
      <c r="AF63" s="8">
        <v>0</v>
      </c>
      <c r="AG63" s="11">
        <f t="shared" si="311"/>
        <v>0</v>
      </c>
      <c r="AH63" s="8">
        <v>3709010.5</v>
      </c>
      <c r="AI63" s="9">
        <f t="shared" si="312"/>
        <v>56.38765069857245</v>
      </c>
      <c r="AJ63" s="8">
        <v>30825</v>
      </c>
      <c r="AK63" s="11">
        <f t="shared" si="313"/>
        <v>0.46862885203034493</v>
      </c>
      <c r="AL63" s="8">
        <v>5172585.4375</v>
      </c>
      <c r="AM63" s="9">
        <f t="shared" si="314"/>
        <v>78.638208454322935</v>
      </c>
      <c r="AN63" s="8">
        <v>3342</v>
      </c>
      <c r="AO63" s="8">
        <v>372</v>
      </c>
      <c r="AP63" s="8">
        <v>1017048</v>
      </c>
      <c r="AQ63" s="8">
        <v>0</v>
      </c>
      <c r="AR63" s="8">
        <v>5631606.9299999997</v>
      </c>
      <c r="AS63" s="8">
        <v>1135817.81</v>
      </c>
      <c r="AT63" s="8">
        <v>656750</v>
      </c>
      <c r="AU63" s="9">
        <f t="shared" si="315"/>
        <v>17322818.677500002</v>
      </c>
      <c r="AV63" s="9">
        <f t="shared" si="316"/>
        <v>263.3567763427946</v>
      </c>
      <c r="AW63" s="9">
        <f t="shared" si="317"/>
        <v>311.8329387002355</v>
      </c>
      <c r="AX63" s="8">
        <v>6</v>
      </c>
      <c r="AY63" s="9">
        <f t="shared" si="318"/>
        <v>1.0946075375891269</v>
      </c>
      <c r="AZ63" s="8">
        <v>11</v>
      </c>
      <c r="BA63" s="8">
        <v>172</v>
      </c>
      <c r="BB63" s="8">
        <v>27</v>
      </c>
      <c r="BC63" s="8">
        <v>2</v>
      </c>
      <c r="BD63" s="8">
        <v>26</v>
      </c>
      <c r="BE63" s="9">
        <f t="shared" si="319"/>
        <v>28</v>
      </c>
      <c r="BF63" s="9">
        <f t="shared" si="320"/>
        <v>171</v>
      </c>
      <c r="BG63" s="8">
        <v>0</v>
      </c>
      <c r="BH63" s="8">
        <v>0</v>
      </c>
      <c r="BI63" s="8">
        <v>0</v>
      </c>
      <c r="BJ63" s="8">
        <v>0</v>
      </c>
      <c r="BK63" s="9">
        <f t="shared" si="321"/>
        <v>0</v>
      </c>
      <c r="BL63" s="9">
        <f t="shared" si="322"/>
        <v>0</v>
      </c>
      <c r="BM63" s="8">
        <v>3</v>
      </c>
      <c r="BN63" s="8">
        <v>5</v>
      </c>
      <c r="BO63" s="8">
        <v>0</v>
      </c>
      <c r="BP63" s="8">
        <v>1</v>
      </c>
      <c r="BQ63" s="9">
        <f t="shared" si="323"/>
        <v>1</v>
      </c>
      <c r="BR63" s="9">
        <f t="shared" si="324"/>
        <v>7</v>
      </c>
      <c r="BS63" s="8">
        <v>0</v>
      </c>
      <c r="BT63" s="8">
        <v>0</v>
      </c>
      <c r="BU63" s="8">
        <v>0</v>
      </c>
      <c r="BV63" s="8">
        <v>0</v>
      </c>
      <c r="BW63" s="9">
        <f t="shared" si="325"/>
        <v>0</v>
      </c>
      <c r="BX63" s="9">
        <f t="shared" si="326"/>
        <v>0</v>
      </c>
      <c r="BY63" s="9">
        <f t="shared" si="327"/>
        <v>175</v>
      </c>
      <c r="BZ63" s="9">
        <f t="shared" si="328"/>
        <v>32</v>
      </c>
      <c r="CA63" s="9">
        <f t="shared" si="329"/>
        <v>29</v>
      </c>
      <c r="CB63" s="9">
        <f t="shared" si="330"/>
        <v>178</v>
      </c>
      <c r="CC63" s="8">
        <v>28</v>
      </c>
      <c r="CD63" s="8">
        <v>347</v>
      </c>
      <c r="CE63" s="8">
        <v>17</v>
      </c>
      <c r="CF63" s="8">
        <v>22</v>
      </c>
      <c r="CG63" s="8">
        <v>3</v>
      </c>
      <c r="CH63" s="9">
        <f t="shared" si="331"/>
        <v>389</v>
      </c>
      <c r="CI63" s="8">
        <v>1520</v>
      </c>
      <c r="CJ63" s="8">
        <v>11</v>
      </c>
      <c r="CK63" s="8">
        <v>0</v>
      </c>
      <c r="CL63" s="8">
        <v>0</v>
      </c>
      <c r="CM63" s="9">
        <f t="shared" si="332"/>
        <v>1531</v>
      </c>
      <c r="CN63" s="8">
        <v>595</v>
      </c>
      <c r="CO63" s="8">
        <v>43</v>
      </c>
      <c r="CP63" s="8">
        <v>85</v>
      </c>
      <c r="CQ63" s="8">
        <v>21</v>
      </c>
      <c r="CR63" s="9">
        <f t="shared" si="333"/>
        <v>744</v>
      </c>
      <c r="CS63" s="9">
        <f t="shared" si="334"/>
        <v>2275</v>
      </c>
      <c r="CT63" s="8">
        <v>2664</v>
      </c>
      <c r="CU63" s="8">
        <v>21363</v>
      </c>
      <c r="CV63" s="8">
        <v>19787</v>
      </c>
      <c r="CW63" s="10">
        <f t="shared" si="335"/>
        <v>0.9262275897579928</v>
      </c>
      <c r="CX63" s="8"/>
      <c r="CY63" s="8"/>
      <c r="CZ63" s="8"/>
      <c r="DA63" s="8"/>
      <c r="DB63" s="9">
        <f t="shared" si="336"/>
        <v>0</v>
      </c>
      <c r="DC63" s="8">
        <v>0</v>
      </c>
      <c r="DD63" s="8">
        <v>0</v>
      </c>
      <c r="DE63" s="8">
        <v>0</v>
      </c>
      <c r="DF63" s="8">
        <v>0</v>
      </c>
      <c r="DG63" s="9">
        <f t="shared" si="337"/>
        <v>0</v>
      </c>
      <c r="DH63" s="8">
        <v>0</v>
      </c>
      <c r="DI63" s="8">
        <v>0</v>
      </c>
      <c r="DJ63" s="8">
        <v>0</v>
      </c>
      <c r="DK63" s="8">
        <v>0</v>
      </c>
      <c r="DL63" s="9">
        <f t="shared" si="338"/>
        <v>0</v>
      </c>
      <c r="DM63" s="8">
        <v>29</v>
      </c>
      <c r="DN63" s="8">
        <v>18</v>
      </c>
      <c r="DO63" s="8">
        <v>2</v>
      </c>
      <c r="DP63" s="8">
        <v>30</v>
      </c>
      <c r="DQ63" s="9">
        <f t="shared" si="339"/>
        <v>15</v>
      </c>
      <c r="DR63" s="9">
        <f t="shared" si="340"/>
        <v>29</v>
      </c>
      <c r="DS63" s="9">
        <f t="shared" si="341"/>
        <v>18</v>
      </c>
      <c r="DT63" s="9">
        <f t="shared" si="342"/>
        <v>2</v>
      </c>
      <c r="DU63" s="9">
        <f t="shared" si="343"/>
        <v>30</v>
      </c>
      <c r="DV63" s="9">
        <f t="shared" si="344"/>
        <v>15</v>
      </c>
      <c r="DW63" s="8">
        <v>18</v>
      </c>
      <c r="DX63" s="8">
        <v>8</v>
      </c>
      <c r="DY63" s="8">
        <v>4</v>
      </c>
      <c r="DZ63" s="8">
        <v>1</v>
      </c>
      <c r="EA63" s="8">
        <v>1</v>
      </c>
      <c r="EB63" s="8">
        <v>2</v>
      </c>
      <c r="EC63" s="8">
        <v>0</v>
      </c>
      <c r="ED63" s="8">
        <v>1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2</v>
      </c>
      <c r="EK63" s="8">
        <v>1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9">
        <f t="shared" si="345"/>
        <v>38</v>
      </c>
      <c r="FH63" s="8">
        <v>6</v>
      </c>
      <c r="FI63" s="8">
        <v>634</v>
      </c>
      <c r="FJ63" s="8">
        <v>24</v>
      </c>
      <c r="FK63" s="8">
        <v>106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9">
        <f t="shared" si="346"/>
        <v>0</v>
      </c>
      <c r="FR63" s="8">
        <v>13209404</v>
      </c>
      <c r="FS63" s="8">
        <v>0</v>
      </c>
      <c r="FT63" s="8">
        <v>0</v>
      </c>
      <c r="FU63" s="8">
        <v>0</v>
      </c>
      <c r="FV63" s="9">
        <f t="shared" si="347"/>
        <v>13209404</v>
      </c>
      <c r="FW63" s="8">
        <v>5492715</v>
      </c>
      <c r="FX63" s="8">
        <v>235000</v>
      </c>
      <c r="FY63" s="8">
        <v>3622810.69</v>
      </c>
      <c r="FZ63" s="8">
        <v>6305691</v>
      </c>
      <c r="GA63" s="9">
        <f t="shared" si="348"/>
        <v>15656216.689999999</v>
      </c>
      <c r="GB63" s="9">
        <f t="shared" si="349"/>
        <v>28865620.689999998</v>
      </c>
      <c r="GC63" s="8">
        <v>20804056</v>
      </c>
      <c r="GD63" s="8">
        <v>0</v>
      </c>
      <c r="GE63" s="8">
        <v>85612868.560000002</v>
      </c>
      <c r="GF63" s="8">
        <v>0</v>
      </c>
      <c r="GG63" s="9">
        <f t="shared" si="350"/>
        <v>106416924.56</v>
      </c>
      <c r="GH63" s="8">
        <v>5466515</v>
      </c>
      <c r="GI63" s="8">
        <v>235000</v>
      </c>
      <c r="GJ63" s="8">
        <v>6216917.9699999997</v>
      </c>
      <c r="GK63" s="8">
        <v>3490194.27</v>
      </c>
      <c r="GL63" s="9">
        <f t="shared" si="351"/>
        <v>15408627.239999998</v>
      </c>
      <c r="GM63" s="9">
        <f t="shared" si="352"/>
        <v>121825551.8</v>
      </c>
      <c r="GN63" s="8">
        <v>770530</v>
      </c>
      <c r="GO63" s="8">
        <v>0</v>
      </c>
      <c r="GP63" s="8">
        <v>37330.04</v>
      </c>
      <c r="GQ63" s="8">
        <v>0</v>
      </c>
      <c r="GR63" s="9">
        <f t="shared" si="353"/>
        <v>807860.04</v>
      </c>
      <c r="GS63" s="8">
        <v>1357360</v>
      </c>
      <c r="GT63" s="8">
        <v>0</v>
      </c>
      <c r="GU63" s="8">
        <v>9823</v>
      </c>
      <c r="GV63" s="8">
        <v>0</v>
      </c>
      <c r="GW63" s="9">
        <f t="shared" si="354"/>
        <v>1367183</v>
      </c>
      <c r="GX63" s="9">
        <f t="shared" si="355"/>
        <v>124000594.84</v>
      </c>
      <c r="GY63" s="8">
        <v>63609285.760000236</v>
      </c>
      <c r="GZ63" s="8">
        <v>248038089.46000001</v>
      </c>
      <c r="HA63" s="9">
        <f t="shared" si="356"/>
        <v>311647375.22000027</v>
      </c>
      <c r="HB63" s="9">
        <f t="shared" si="357"/>
        <v>0.13969948047307287</v>
      </c>
      <c r="HC63" s="10">
        <f t="shared" si="358"/>
        <v>0.15385981056905998</v>
      </c>
      <c r="HD63" s="9">
        <f t="shared" si="359"/>
        <v>0.23278614693135771</v>
      </c>
      <c r="HE63" s="8">
        <v>39</v>
      </c>
      <c r="HF63" s="8">
        <v>1</v>
      </c>
      <c r="HG63" s="8">
        <v>178</v>
      </c>
      <c r="HH63" s="8">
        <v>32</v>
      </c>
      <c r="HI63" s="8">
        <v>24</v>
      </c>
      <c r="HJ63" s="9">
        <f t="shared" si="360"/>
        <v>25</v>
      </c>
      <c r="HK63" s="10">
        <f t="shared" si="361"/>
        <v>0.82051282051282048</v>
      </c>
      <c r="HL63" s="8">
        <v>62</v>
      </c>
      <c r="HM63" s="8">
        <v>1</v>
      </c>
      <c r="HN63" s="11">
        <f t="shared" si="362"/>
        <v>1.6129032258064516E-2</v>
      </c>
    </row>
    <row r="64" spans="1:222" x14ac:dyDescent="0.3">
      <c r="A64" s="12" t="s">
        <v>276</v>
      </c>
      <c r="B64" s="12" t="s">
        <v>277</v>
      </c>
      <c r="C64" s="13" t="s">
        <v>257</v>
      </c>
      <c r="D64" s="13">
        <v>2025</v>
      </c>
      <c r="E64" s="13">
        <v>5</v>
      </c>
      <c r="F64" s="13" t="s">
        <v>260</v>
      </c>
      <c r="G64" s="13" t="s">
        <v>259</v>
      </c>
      <c r="H64" s="14">
        <v>81273</v>
      </c>
      <c r="I64" s="14">
        <v>31149</v>
      </c>
      <c r="J64" s="14">
        <v>0</v>
      </c>
      <c r="K64" s="14">
        <v>22651</v>
      </c>
      <c r="L64" s="14">
        <v>0</v>
      </c>
      <c r="M64" s="15">
        <f t="shared" si="302"/>
        <v>53800</v>
      </c>
      <c r="N64" s="14">
        <v>4531.5</v>
      </c>
      <c r="O64" s="14">
        <v>1440.4</v>
      </c>
      <c r="P64" s="14">
        <v>3548.1</v>
      </c>
      <c r="Q64" s="14">
        <v>816.6</v>
      </c>
      <c r="R64" s="15">
        <f t="shared" si="303"/>
        <v>10336.6</v>
      </c>
      <c r="S64" s="15">
        <f t="shared" si="304"/>
        <v>64136.6</v>
      </c>
      <c r="T64" s="14">
        <v>17136.400000000001</v>
      </c>
      <c r="U64" s="16">
        <f t="shared" si="305"/>
        <v>0.21084985173427831</v>
      </c>
      <c r="V64" s="14">
        <v>155</v>
      </c>
      <c r="W64" s="17">
        <f t="shared" si="306"/>
        <v>1.9071524368486459E-3</v>
      </c>
      <c r="X64" s="14">
        <v>0</v>
      </c>
      <c r="Y64" s="17">
        <f t="shared" si="307"/>
        <v>0</v>
      </c>
      <c r="Z64" s="14">
        <v>0</v>
      </c>
      <c r="AA64" s="17">
        <f t="shared" si="308"/>
        <v>0</v>
      </c>
      <c r="AB64" s="14">
        <v>0</v>
      </c>
      <c r="AC64" s="17">
        <f t="shared" si="309"/>
        <v>0</v>
      </c>
      <c r="AD64" s="14">
        <v>0</v>
      </c>
      <c r="AE64" s="17">
        <f t="shared" si="310"/>
        <v>0</v>
      </c>
      <c r="AF64" s="14">
        <v>0</v>
      </c>
      <c r="AG64" s="17">
        <f t="shared" si="311"/>
        <v>0</v>
      </c>
      <c r="AH64" s="14">
        <v>3709010.5</v>
      </c>
      <c r="AI64" s="15">
        <f t="shared" si="312"/>
        <v>45.636441376594931</v>
      </c>
      <c r="AJ64" s="14">
        <v>33173</v>
      </c>
      <c r="AK64" s="17">
        <f t="shared" si="313"/>
        <v>0.40816753411342022</v>
      </c>
      <c r="AL64" s="14">
        <v>5565118.2074999996</v>
      </c>
      <c r="AM64" s="15">
        <f t="shared" si="314"/>
        <v>68.474379037318656</v>
      </c>
      <c r="AN64" s="14">
        <v>3566</v>
      </c>
      <c r="AO64" s="14">
        <v>290</v>
      </c>
      <c r="AP64" s="14">
        <v>1886460</v>
      </c>
      <c r="AQ64" s="14">
        <v>0</v>
      </c>
      <c r="AR64" s="14">
        <v>5782850</v>
      </c>
      <c r="AS64" s="14">
        <v>1240096.71</v>
      </c>
      <c r="AT64" s="14">
        <v>664750</v>
      </c>
      <c r="AU64" s="15">
        <f t="shared" si="315"/>
        <v>18848285.4175</v>
      </c>
      <c r="AV64" s="15">
        <f t="shared" si="316"/>
        <v>231.91324815744466</v>
      </c>
      <c r="AW64" s="15">
        <f t="shared" si="317"/>
        <v>293.87721546667581</v>
      </c>
      <c r="AX64" s="14">
        <v>6</v>
      </c>
      <c r="AY64" s="15">
        <f t="shared" si="318"/>
        <v>0.88590306743937108</v>
      </c>
      <c r="AZ64" s="14">
        <v>11</v>
      </c>
      <c r="BA64" s="14">
        <v>171</v>
      </c>
      <c r="BB64" s="14">
        <v>35</v>
      </c>
      <c r="BC64" s="14">
        <v>0</v>
      </c>
      <c r="BD64" s="14">
        <v>19</v>
      </c>
      <c r="BE64" s="15">
        <f t="shared" si="319"/>
        <v>19</v>
      </c>
      <c r="BF64" s="15">
        <f t="shared" si="320"/>
        <v>187</v>
      </c>
      <c r="BG64" s="14">
        <v>0</v>
      </c>
      <c r="BH64" s="14">
        <v>0</v>
      </c>
      <c r="BI64" s="14">
        <v>0</v>
      </c>
      <c r="BJ64" s="14">
        <v>0</v>
      </c>
      <c r="BK64" s="15">
        <f t="shared" si="321"/>
        <v>0</v>
      </c>
      <c r="BL64" s="15">
        <f t="shared" si="322"/>
        <v>0</v>
      </c>
      <c r="BM64" s="14">
        <v>7</v>
      </c>
      <c r="BN64" s="14">
        <v>2</v>
      </c>
      <c r="BO64" s="14">
        <v>0</v>
      </c>
      <c r="BP64" s="14">
        <v>0</v>
      </c>
      <c r="BQ64" s="15">
        <f t="shared" si="323"/>
        <v>0</v>
      </c>
      <c r="BR64" s="15">
        <f t="shared" si="324"/>
        <v>9</v>
      </c>
      <c r="BS64" s="14">
        <v>0</v>
      </c>
      <c r="BT64" s="14">
        <v>0</v>
      </c>
      <c r="BU64" s="14">
        <v>0</v>
      </c>
      <c r="BV64" s="14">
        <v>0</v>
      </c>
      <c r="BW64" s="15">
        <f t="shared" si="325"/>
        <v>0</v>
      </c>
      <c r="BX64" s="15">
        <f t="shared" si="326"/>
        <v>0</v>
      </c>
      <c r="BY64" s="15">
        <f t="shared" si="327"/>
        <v>178</v>
      </c>
      <c r="BZ64" s="15">
        <f t="shared" si="328"/>
        <v>37</v>
      </c>
      <c r="CA64" s="15">
        <f t="shared" si="329"/>
        <v>19</v>
      </c>
      <c r="CB64" s="15">
        <f t="shared" si="330"/>
        <v>196</v>
      </c>
      <c r="CC64" s="14">
        <v>19</v>
      </c>
      <c r="CD64" s="14">
        <v>352</v>
      </c>
      <c r="CE64" s="14">
        <v>17</v>
      </c>
      <c r="CF64" s="14">
        <v>22</v>
      </c>
      <c r="CG64" s="14">
        <v>3</v>
      </c>
      <c r="CH64" s="15">
        <f t="shared" si="331"/>
        <v>394</v>
      </c>
      <c r="CI64" s="14">
        <v>1516</v>
      </c>
      <c r="CJ64" s="14">
        <v>11</v>
      </c>
      <c r="CK64" s="14">
        <v>0</v>
      </c>
      <c r="CL64" s="14">
        <v>0</v>
      </c>
      <c r="CM64" s="15">
        <f t="shared" si="332"/>
        <v>1527</v>
      </c>
      <c r="CN64" s="14">
        <v>614</v>
      </c>
      <c r="CO64" s="14">
        <v>43</v>
      </c>
      <c r="CP64" s="14">
        <v>85</v>
      </c>
      <c r="CQ64" s="14">
        <v>21</v>
      </c>
      <c r="CR64" s="15">
        <f t="shared" si="333"/>
        <v>763</v>
      </c>
      <c r="CS64" s="15">
        <f t="shared" si="334"/>
        <v>2290</v>
      </c>
      <c r="CT64" s="14">
        <v>2684</v>
      </c>
      <c r="CU64" s="14">
        <v>21398</v>
      </c>
      <c r="CV64" s="14">
        <v>19882</v>
      </c>
      <c r="CW64" s="16">
        <f t="shared" si="335"/>
        <v>0.92915225722030093</v>
      </c>
      <c r="CX64" s="14"/>
      <c r="CY64" s="14"/>
      <c r="CZ64" s="14"/>
      <c r="DA64" s="14"/>
      <c r="DB64" s="15">
        <f t="shared" si="336"/>
        <v>0</v>
      </c>
      <c r="DC64" s="14">
        <v>0</v>
      </c>
      <c r="DD64" s="14">
        <v>0</v>
      </c>
      <c r="DE64" s="14">
        <v>0</v>
      </c>
      <c r="DF64" s="14">
        <v>0</v>
      </c>
      <c r="DG64" s="15">
        <f t="shared" si="337"/>
        <v>0</v>
      </c>
      <c r="DH64" s="14">
        <v>0</v>
      </c>
      <c r="DI64" s="14">
        <v>0</v>
      </c>
      <c r="DJ64" s="14">
        <v>0</v>
      </c>
      <c r="DK64" s="14">
        <v>0</v>
      </c>
      <c r="DL64" s="15">
        <f t="shared" si="338"/>
        <v>0</v>
      </c>
      <c r="DM64" s="14">
        <v>15</v>
      </c>
      <c r="DN64" s="14">
        <v>21</v>
      </c>
      <c r="DO64" s="14">
        <v>2</v>
      </c>
      <c r="DP64" s="14">
        <v>9</v>
      </c>
      <c r="DQ64" s="15">
        <f t="shared" si="339"/>
        <v>25</v>
      </c>
      <c r="DR64" s="15">
        <f t="shared" si="340"/>
        <v>15</v>
      </c>
      <c r="DS64" s="15">
        <f t="shared" si="341"/>
        <v>21</v>
      </c>
      <c r="DT64" s="15">
        <f t="shared" si="342"/>
        <v>2</v>
      </c>
      <c r="DU64" s="15">
        <f t="shared" si="343"/>
        <v>9</v>
      </c>
      <c r="DV64" s="15">
        <f t="shared" si="344"/>
        <v>25</v>
      </c>
      <c r="DW64" s="14">
        <v>21</v>
      </c>
      <c r="DX64" s="14">
        <v>14</v>
      </c>
      <c r="DY64" s="14">
        <v>2</v>
      </c>
      <c r="DZ64" s="14">
        <v>0</v>
      </c>
      <c r="EA64" s="14">
        <v>0</v>
      </c>
      <c r="EB64" s="14">
        <v>2</v>
      </c>
      <c r="EC64" s="14">
        <v>0</v>
      </c>
      <c r="ED64" s="14">
        <v>3</v>
      </c>
      <c r="EE64" s="14">
        <v>1</v>
      </c>
      <c r="EF64" s="14">
        <v>0</v>
      </c>
      <c r="EG64" s="14">
        <v>0</v>
      </c>
      <c r="EH64" s="14">
        <v>0</v>
      </c>
      <c r="EI64" s="14">
        <v>0</v>
      </c>
      <c r="EJ64" s="14">
        <v>1</v>
      </c>
      <c r="EK64" s="14">
        <v>2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5">
        <f t="shared" si="345"/>
        <v>46</v>
      </c>
      <c r="FH64" s="14">
        <v>6</v>
      </c>
      <c r="FI64" s="14">
        <v>634</v>
      </c>
      <c r="FJ64" s="14">
        <v>24</v>
      </c>
      <c r="FK64" s="14">
        <v>140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5">
        <f t="shared" si="346"/>
        <v>0</v>
      </c>
      <c r="FR64" s="14">
        <v>16733169.35</v>
      </c>
      <c r="FS64" s="14">
        <v>0</v>
      </c>
      <c r="FT64" s="14">
        <v>0</v>
      </c>
      <c r="FU64" s="14">
        <v>0</v>
      </c>
      <c r="FV64" s="15">
        <f t="shared" si="347"/>
        <v>16733169.35</v>
      </c>
      <c r="FW64" s="14">
        <v>5792677</v>
      </c>
      <c r="FX64" s="14">
        <v>307350</v>
      </c>
      <c r="FY64" s="14">
        <v>3811318</v>
      </c>
      <c r="FZ64" s="14">
        <v>10808023</v>
      </c>
      <c r="GA64" s="15">
        <f t="shared" si="348"/>
        <v>20719368</v>
      </c>
      <c r="GB64" s="15">
        <f t="shared" si="349"/>
        <v>37452537.350000001</v>
      </c>
      <c r="GC64" s="14">
        <v>19537304</v>
      </c>
      <c r="GD64" s="14">
        <v>0</v>
      </c>
      <c r="GE64" s="14">
        <v>78240737.989999995</v>
      </c>
      <c r="GF64" s="14">
        <v>0</v>
      </c>
      <c r="GG64" s="15">
        <f t="shared" si="350"/>
        <v>97778041.989999995</v>
      </c>
      <c r="GH64" s="14">
        <v>5652005.8099999996</v>
      </c>
      <c r="GI64" s="14">
        <v>306000</v>
      </c>
      <c r="GJ64" s="14">
        <v>10784623</v>
      </c>
      <c r="GK64" s="14">
        <v>3734518</v>
      </c>
      <c r="GL64" s="15">
        <f t="shared" si="351"/>
        <v>20477146.809999999</v>
      </c>
      <c r="GM64" s="15">
        <f t="shared" si="352"/>
        <v>118255188.8</v>
      </c>
      <c r="GN64" s="14">
        <v>768411</v>
      </c>
      <c r="GO64" s="14">
        <v>0</v>
      </c>
      <c r="GP64" s="14">
        <v>37330.04</v>
      </c>
      <c r="GQ64" s="14">
        <v>0</v>
      </c>
      <c r="GR64" s="15">
        <f t="shared" si="353"/>
        <v>805741.04</v>
      </c>
      <c r="GS64" s="14">
        <v>1353788</v>
      </c>
      <c r="GT64" s="14">
        <v>0</v>
      </c>
      <c r="GU64" s="14">
        <v>9823</v>
      </c>
      <c r="GV64" s="14">
        <v>0</v>
      </c>
      <c r="GW64" s="15">
        <f t="shared" si="354"/>
        <v>1363611</v>
      </c>
      <c r="GX64" s="15">
        <f t="shared" si="355"/>
        <v>120424540.84</v>
      </c>
      <c r="GY64" s="14">
        <v>69715270.749999106</v>
      </c>
      <c r="GZ64" s="14">
        <v>325146328.88000011</v>
      </c>
      <c r="HA64" s="15">
        <f t="shared" si="356"/>
        <v>394861599.62999922</v>
      </c>
      <c r="HB64" s="15">
        <f t="shared" si="357"/>
        <v>0.15651531893771098</v>
      </c>
      <c r="HC64" s="16">
        <f t="shared" si="358"/>
        <v>0.19697367445992522</v>
      </c>
      <c r="HD64" s="15">
        <f t="shared" si="359"/>
        <v>0.31100419473270546</v>
      </c>
      <c r="HE64" s="14">
        <v>41</v>
      </c>
      <c r="HF64" s="14">
        <v>1</v>
      </c>
      <c r="HG64" s="14">
        <v>196</v>
      </c>
      <c r="HH64" s="14">
        <v>37</v>
      </c>
      <c r="HI64" s="14">
        <v>24</v>
      </c>
      <c r="HJ64" s="15">
        <f t="shared" si="360"/>
        <v>25</v>
      </c>
      <c r="HK64" s="16">
        <f t="shared" si="361"/>
        <v>0.90243902439024393</v>
      </c>
      <c r="HL64" s="14">
        <v>57</v>
      </c>
      <c r="HM64" s="14">
        <v>24</v>
      </c>
      <c r="HN64" s="17">
        <f t="shared" si="362"/>
        <v>0.42105263157894735</v>
      </c>
    </row>
    <row r="65" spans="1:222" x14ac:dyDescent="0.3">
      <c r="A65" s="6" t="s">
        <v>276</v>
      </c>
      <c r="B65" s="6" t="s">
        <v>277</v>
      </c>
      <c r="C65" s="7" t="s">
        <v>257</v>
      </c>
      <c r="D65" s="7">
        <v>2025</v>
      </c>
      <c r="E65" s="7">
        <v>6</v>
      </c>
      <c r="F65" s="7" t="s">
        <v>261</v>
      </c>
      <c r="G65" s="7" t="s">
        <v>259</v>
      </c>
      <c r="H65" s="8">
        <v>67977</v>
      </c>
      <c r="I65" s="8">
        <v>29513</v>
      </c>
      <c r="J65" s="8">
        <v>0</v>
      </c>
      <c r="K65" s="8">
        <v>17388</v>
      </c>
      <c r="L65" s="8">
        <v>0</v>
      </c>
      <c r="M65" s="9">
        <f t="shared" si="302"/>
        <v>46901</v>
      </c>
      <c r="N65" s="8">
        <v>4446</v>
      </c>
      <c r="O65" s="8">
        <v>1244.3</v>
      </c>
      <c r="P65" s="8">
        <v>5409.2</v>
      </c>
      <c r="Q65" s="8">
        <v>717.2</v>
      </c>
      <c r="R65" s="9">
        <f t="shared" si="303"/>
        <v>11816.7</v>
      </c>
      <c r="S65" s="9">
        <f t="shared" si="304"/>
        <v>58717.7</v>
      </c>
      <c r="T65" s="8">
        <v>9259.2999999999993</v>
      </c>
      <c r="U65" s="10">
        <f t="shared" si="305"/>
        <v>0.13621224826044101</v>
      </c>
      <c r="V65" s="8">
        <v>150</v>
      </c>
      <c r="W65" s="11">
        <f t="shared" si="306"/>
        <v>2.2066287126528091E-3</v>
      </c>
      <c r="X65" s="8">
        <v>0</v>
      </c>
      <c r="Y65" s="11">
        <f t="shared" si="307"/>
        <v>0</v>
      </c>
      <c r="Z65" s="8">
        <v>0</v>
      </c>
      <c r="AA65" s="11">
        <f t="shared" si="308"/>
        <v>0</v>
      </c>
      <c r="AB65" s="8">
        <v>0</v>
      </c>
      <c r="AC65" s="11">
        <f t="shared" si="309"/>
        <v>0</v>
      </c>
      <c r="AD65" s="8">
        <v>0</v>
      </c>
      <c r="AE65" s="11">
        <f t="shared" si="310"/>
        <v>0</v>
      </c>
      <c r="AF65" s="8">
        <v>0</v>
      </c>
      <c r="AG65" s="11">
        <f t="shared" si="311"/>
        <v>0</v>
      </c>
      <c r="AH65" s="8">
        <v>3589365</v>
      </c>
      <c r="AI65" s="9">
        <f t="shared" si="312"/>
        <v>52.802639127940331</v>
      </c>
      <c r="AJ65" s="8">
        <v>32941</v>
      </c>
      <c r="AK65" s="11">
        <f t="shared" si="313"/>
        <v>0.48459037615664119</v>
      </c>
      <c r="AL65" s="8">
        <v>5526333.0274999999</v>
      </c>
      <c r="AM65" s="9">
        <f t="shared" si="314"/>
        <v>81.297100894420169</v>
      </c>
      <c r="AN65" s="8">
        <v>3015</v>
      </c>
      <c r="AO65" s="8">
        <v>146</v>
      </c>
      <c r="AP65" s="8">
        <v>399164</v>
      </c>
      <c r="AQ65" s="8">
        <v>0</v>
      </c>
      <c r="AR65" s="8">
        <v>5483779.7300000004</v>
      </c>
      <c r="AS65" s="8">
        <v>1503802.05</v>
      </c>
      <c r="AT65" s="8">
        <v>640200</v>
      </c>
      <c r="AU65" s="9">
        <f t="shared" si="315"/>
        <v>17142643.807500001</v>
      </c>
      <c r="AV65" s="9">
        <f t="shared" si="316"/>
        <v>252.18300024272918</v>
      </c>
      <c r="AW65" s="9">
        <f t="shared" si="317"/>
        <v>291.95019231850023</v>
      </c>
      <c r="AX65" s="8">
        <v>6</v>
      </c>
      <c r="AY65" s="9">
        <f t="shared" si="318"/>
        <v>1.0591817820733482</v>
      </c>
      <c r="AZ65" s="8">
        <v>11</v>
      </c>
      <c r="BA65" s="8">
        <v>187</v>
      </c>
      <c r="BB65" s="8">
        <v>19</v>
      </c>
      <c r="BC65" s="8">
        <v>13</v>
      </c>
      <c r="BD65" s="8">
        <v>11</v>
      </c>
      <c r="BE65" s="9">
        <f t="shared" si="319"/>
        <v>24</v>
      </c>
      <c r="BF65" s="9">
        <f t="shared" si="320"/>
        <v>182</v>
      </c>
      <c r="BG65" s="8">
        <v>0</v>
      </c>
      <c r="BH65" s="8">
        <v>0</v>
      </c>
      <c r="BI65" s="8">
        <v>0</v>
      </c>
      <c r="BJ65" s="8">
        <v>0</v>
      </c>
      <c r="BK65" s="9">
        <f t="shared" si="321"/>
        <v>0</v>
      </c>
      <c r="BL65" s="9">
        <f t="shared" si="322"/>
        <v>0</v>
      </c>
      <c r="BM65" s="8">
        <v>9</v>
      </c>
      <c r="BN65" s="8">
        <v>0</v>
      </c>
      <c r="BO65" s="8">
        <v>0</v>
      </c>
      <c r="BP65" s="8">
        <v>0</v>
      </c>
      <c r="BQ65" s="9">
        <f t="shared" si="323"/>
        <v>0</v>
      </c>
      <c r="BR65" s="9">
        <f t="shared" si="324"/>
        <v>9</v>
      </c>
      <c r="BS65" s="8">
        <v>0</v>
      </c>
      <c r="BT65" s="8">
        <v>0</v>
      </c>
      <c r="BU65" s="8">
        <v>0</v>
      </c>
      <c r="BV65" s="8">
        <v>0</v>
      </c>
      <c r="BW65" s="9">
        <f t="shared" si="325"/>
        <v>0</v>
      </c>
      <c r="BX65" s="9">
        <f t="shared" si="326"/>
        <v>0</v>
      </c>
      <c r="BY65" s="9">
        <f t="shared" si="327"/>
        <v>196</v>
      </c>
      <c r="BZ65" s="9">
        <f t="shared" si="328"/>
        <v>19</v>
      </c>
      <c r="CA65" s="9">
        <f t="shared" si="329"/>
        <v>24</v>
      </c>
      <c r="CB65" s="9">
        <f t="shared" si="330"/>
        <v>191</v>
      </c>
      <c r="CC65" s="8">
        <v>11</v>
      </c>
      <c r="CD65" s="8">
        <v>342</v>
      </c>
      <c r="CE65" s="8">
        <v>17</v>
      </c>
      <c r="CF65" s="8">
        <v>22</v>
      </c>
      <c r="CG65" s="8">
        <v>3</v>
      </c>
      <c r="CH65" s="9">
        <f t="shared" si="331"/>
        <v>384</v>
      </c>
      <c r="CI65" s="8">
        <v>1522</v>
      </c>
      <c r="CJ65" s="8">
        <v>11</v>
      </c>
      <c r="CK65" s="8">
        <v>0</v>
      </c>
      <c r="CL65" s="8">
        <v>0</v>
      </c>
      <c r="CM65" s="9">
        <f t="shared" si="332"/>
        <v>1533</v>
      </c>
      <c r="CN65" s="8">
        <v>544</v>
      </c>
      <c r="CO65" s="8">
        <v>44</v>
      </c>
      <c r="CP65" s="8">
        <v>82</v>
      </c>
      <c r="CQ65" s="8">
        <v>21</v>
      </c>
      <c r="CR65" s="9">
        <f t="shared" si="333"/>
        <v>691</v>
      </c>
      <c r="CS65" s="9">
        <f t="shared" si="334"/>
        <v>2224</v>
      </c>
      <c r="CT65" s="8">
        <v>2608</v>
      </c>
      <c r="CU65" s="8">
        <v>21433</v>
      </c>
      <c r="CV65" s="8">
        <v>20002</v>
      </c>
      <c r="CW65" s="10">
        <f t="shared" si="335"/>
        <v>0.9332337983483413</v>
      </c>
      <c r="CX65" s="8"/>
      <c r="CY65" s="8"/>
      <c r="CZ65" s="8"/>
      <c r="DA65" s="8"/>
      <c r="DB65" s="9">
        <f t="shared" si="336"/>
        <v>0</v>
      </c>
      <c r="DC65" s="8">
        <v>0</v>
      </c>
      <c r="DD65" s="8">
        <v>0</v>
      </c>
      <c r="DE65" s="8">
        <v>0</v>
      </c>
      <c r="DF65" s="8">
        <v>0</v>
      </c>
      <c r="DG65" s="9">
        <f t="shared" si="337"/>
        <v>0</v>
      </c>
      <c r="DH65" s="8">
        <v>0</v>
      </c>
      <c r="DI65" s="8">
        <v>0</v>
      </c>
      <c r="DJ65" s="8">
        <v>0</v>
      </c>
      <c r="DK65" s="8">
        <v>0</v>
      </c>
      <c r="DL65" s="9">
        <f t="shared" si="338"/>
        <v>0</v>
      </c>
      <c r="DM65" s="8">
        <v>25</v>
      </c>
      <c r="DN65" s="8">
        <v>17</v>
      </c>
      <c r="DO65" s="8">
        <v>4</v>
      </c>
      <c r="DP65" s="8">
        <v>1</v>
      </c>
      <c r="DQ65" s="9">
        <f t="shared" si="339"/>
        <v>37</v>
      </c>
      <c r="DR65" s="9">
        <f t="shared" si="340"/>
        <v>25</v>
      </c>
      <c r="DS65" s="9">
        <f t="shared" si="341"/>
        <v>17</v>
      </c>
      <c r="DT65" s="9">
        <f t="shared" si="342"/>
        <v>4</v>
      </c>
      <c r="DU65" s="9">
        <f t="shared" si="343"/>
        <v>1</v>
      </c>
      <c r="DV65" s="9">
        <f t="shared" si="344"/>
        <v>37</v>
      </c>
      <c r="DW65" s="8">
        <v>18</v>
      </c>
      <c r="DX65" s="8">
        <v>11</v>
      </c>
      <c r="DY65" s="8">
        <v>2</v>
      </c>
      <c r="DZ65" s="8">
        <v>0</v>
      </c>
      <c r="EA65" s="8">
        <v>0</v>
      </c>
      <c r="EB65" s="8">
        <v>2</v>
      </c>
      <c r="EC65" s="8">
        <v>0</v>
      </c>
      <c r="ED65" s="8">
        <v>4</v>
      </c>
      <c r="EE65" s="8">
        <v>1</v>
      </c>
      <c r="EF65" s="8">
        <v>0</v>
      </c>
      <c r="EG65" s="8">
        <v>0</v>
      </c>
      <c r="EH65" s="8">
        <v>0</v>
      </c>
      <c r="EI65" s="8">
        <v>0</v>
      </c>
      <c r="EJ65" s="8">
        <v>1</v>
      </c>
      <c r="EK65" s="8">
        <v>2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0</v>
      </c>
      <c r="EV65" s="8">
        <v>0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9">
        <f t="shared" si="345"/>
        <v>41</v>
      </c>
      <c r="FH65" s="8">
        <v>6</v>
      </c>
      <c r="FI65" s="8">
        <v>608</v>
      </c>
      <c r="FJ65" s="8">
        <v>24</v>
      </c>
      <c r="FK65" s="8">
        <v>112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9">
        <f t="shared" si="346"/>
        <v>0</v>
      </c>
      <c r="FR65" s="8">
        <v>59507876</v>
      </c>
      <c r="FS65" s="8">
        <v>0</v>
      </c>
      <c r="FT65" s="8">
        <v>0</v>
      </c>
      <c r="FU65" s="8">
        <v>90000000</v>
      </c>
      <c r="FV65" s="9">
        <f t="shared" si="347"/>
        <v>149507876</v>
      </c>
      <c r="FW65" s="8">
        <v>5869935</v>
      </c>
      <c r="FX65" s="8">
        <v>265800</v>
      </c>
      <c r="FY65" s="8">
        <v>3335150</v>
      </c>
      <c r="FZ65" s="8">
        <v>16541389</v>
      </c>
      <c r="GA65" s="9">
        <f t="shared" si="348"/>
        <v>26012274</v>
      </c>
      <c r="GB65" s="9">
        <f t="shared" si="349"/>
        <v>175520150</v>
      </c>
      <c r="GC65" s="8">
        <v>20818132</v>
      </c>
      <c r="GD65" s="8">
        <v>0</v>
      </c>
      <c r="GE65" s="8">
        <v>60030087.909999996</v>
      </c>
      <c r="GF65" s="8">
        <v>0</v>
      </c>
      <c r="GG65" s="9">
        <f t="shared" si="350"/>
        <v>80848219.909999996</v>
      </c>
      <c r="GH65" s="8">
        <v>5546247.79</v>
      </c>
      <c r="GI65" s="8">
        <v>264450.23</v>
      </c>
      <c r="GJ65" s="8">
        <v>16441771.85</v>
      </c>
      <c r="GK65" s="8">
        <v>3306344.59</v>
      </c>
      <c r="GL65" s="9">
        <f t="shared" si="351"/>
        <v>25558814.459999997</v>
      </c>
      <c r="GM65" s="9">
        <f t="shared" si="352"/>
        <v>106407034.36999999</v>
      </c>
      <c r="GN65" s="8">
        <v>641479</v>
      </c>
      <c r="GO65" s="8">
        <v>0</v>
      </c>
      <c r="GP65" s="8">
        <v>37330.04</v>
      </c>
      <c r="GQ65" s="8">
        <v>0</v>
      </c>
      <c r="GR65" s="9">
        <f t="shared" si="353"/>
        <v>678809.04</v>
      </c>
      <c r="GS65" s="8">
        <v>1121608</v>
      </c>
      <c r="GT65" s="8">
        <v>0</v>
      </c>
      <c r="GU65" s="8">
        <v>9823</v>
      </c>
      <c r="GV65" s="8">
        <v>0</v>
      </c>
      <c r="GW65" s="9">
        <f t="shared" si="354"/>
        <v>1131431</v>
      </c>
      <c r="GX65" s="9">
        <f t="shared" si="355"/>
        <v>108217274.41</v>
      </c>
      <c r="GY65" s="8">
        <v>40975547.909999549</v>
      </c>
      <c r="GZ65" s="8">
        <v>293099773.97000003</v>
      </c>
      <c r="HA65" s="9">
        <f t="shared" si="356"/>
        <v>334075321.87999958</v>
      </c>
      <c r="HB65" s="9">
        <f t="shared" si="357"/>
        <v>0.15840949516573583</v>
      </c>
      <c r="HC65" s="10">
        <f t="shared" si="358"/>
        <v>1.1764651091828782</v>
      </c>
      <c r="HD65" s="9">
        <f t="shared" si="359"/>
        <v>1.621923588049458</v>
      </c>
      <c r="HE65" s="8">
        <v>25</v>
      </c>
      <c r="HF65" s="8">
        <v>1</v>
      </c>
      <c r="HG65" s="8">
        <v>191</v>
      </c>
      <c r="HH65" s="8">
        <v>19</v>
      </c>
      <c r="HI65" s="8">
        <v>24</v>
      </c>
      <c r="HJ65" s="9">
        <f t="shared" si="360"/>
        <v>25</v>
      </c>
      <c r="HK65" s="10">
        <f t="shared" si="361"/>
        <v>0.76</v>
      </c>
      <c r="HL65" s="8">
        <v>120</v>
      </c>
      <c r="HM65" s="8">
        <v>24</v>
      </c>
      <c r="HN65" s="11">
        <f t="shared" si="362"/>
        <v>0.2</v>
      </c>
    </row>
    <row r="66" spans="1:222" x14ac:dyDescent="0.3">
      <c r="A66" s="12" t="s">
        <v>276</v>
      </c>
      <c r="B66" s="12" t="s">
        <v>277</v>
      </c>
      <c r="C66" s="13" t="s">
        <v>257</v>
      </c>
      <c r="D66" s="13">
        <v>2025</v>
      </c>
      <c r="E66" s="13">
        <v>7</v>
      </c>
      <c r="F66" s="13" t="s">
        <v>262</v>
      </c>
      <c r="G66" s="13" t="s">
        <v>263</v>
      </c>
      <c r="H66" s="14">
        <v>67451</v>
      </c>
      <c r="I66" s="14">
        <v>17025</v>
      </c>
      <c r="J66" s="14">
        <v>0</v>
      </c>
      <c r="K66" s="14">
        <v>22133</v>
      </c>
      <c r="L66" s="14">
        <v>0</v>
      </c>
      <c r="M66" s="15">
        <f t="shared" si="302"/>
        <v>39158</v>
      </c>
      <c r="N66" s="14">
        <v>5145.3999999999996</v>
      </c>
      <c r="O66" s="14">
        <v>1366.1</v>
      </c>
      <c r="P66" s="14">
        <v>3006.7</v>
      </c>
      <c r="Q66" s="14">
        <v>740.7</v>
      </c>
      <c r="R66" s="15">
        <f t="shared" si="303"/>
        <v>10258.900000000001</v>
      </c>
      <c r="S66" s="15">
        <f t="shared" si="304"/>
        <v>49416.9</v>
      </c>
      <c r="T66" s="14">
        <v>18034.099999999999</v>
      </c>
      <c r="U66" s="16">
        <f t="shared" si="305"/>
        <v>0.26736593971920353</v>
      </c>
      <c r="V66" s="14">
        <v>155</v>
      </c>
      <c r="W66" s="17">
        <f t="shared" si="306"/>
        <v>2.2979644482661486E-3</v>
      </c>
      <c r="X66" s="14">
        <v>0</v>
      </c>
      <c r="Y66" s="17">
        <f t="shared" si="307"/>
        <v>0</v>
      </c>
      <c r="Z66" s="14">
        <v>0</v>
      </c>
      <c r="AA66" s="17">
        <f t="shared" si="308"/>
        <v>0</v>
      </c>
      <c r="AB66" s="14">
        <v>0</v>
      </c>
      <c r="AC66" s="17">
        <f t="shared" si="309"/>
        <v>0</v>
      </c>
      <c r="AD66" s="14">
        <v>0</v>
      </c>
      <c r="AE66" s="17">
        <f t="shared" si="310"/>
        <v>0</v>
      </c>
      <c r="AF66" s="14">
        <v>0</v>
      </c>
      <c r="AG66" s="17">
        <f t="shared" si="311"/>
        <v>0</v>
      </c>
      <c r="AH66" s="14">
        <v>3709010.5</v>
      </c>
      <c r="AI66" s="15">
        <f t="shared" si="312"/>
        <v>54.988221079005498</v>
      </c>
      <c r="AJ66" s="14">
        <v>32554</v>
      </c>
      <c r="AK66" s="17">
        <f t="shared" si="313"/>
        <v>0.48263183644423358</v>
      </c>
      <c r="AL66" s="14">
        <v>5461635.335</v>
      </c>
      <c r="AM66" s="15">
        <f t="shared" si="314"/>
        <v>80.97189567241405</v>
      </c>
      <c r="AN66" s="14">
        <v>5256</v>
      </c>
      <c r="AO66" s="14">
        <v>186</v>
      </c>
      <c r="AP66" s="14">
        <v>507977.2</v>
      </c>
      <c r="AQ66" s="14">
        <v>0</v>
      </c>
      <c r="AR66" s="14">
        <v>5483779.7300000004</v>
      </c>
      <c r="AS66" s="14">
        <v>1587117.4</v>
      </c>
      <c r="AT66" s="14">
        <v>805130</v>
      </c>
      <c r="AU66" s="15">
        <f t="shared" si="315"/>
        <v>17554650.164999999</v>
      </c>
      <c r="AV66" s="15">
        <f t="shared" si="316"/>
        <v>260.25781923173861</v>
      </c>
      <c r="AW66" s="15">
        <f t="shared" si="317"/>
        <v>355.23576276536971</v>
      </c>
      <c r="AX66" s="14">
        <v>6</v>
      </c>
      <c r="AY66" s="15">
        <f t="shared" si="318"/>
        <v>1.0674415501623402</v>
      </c>
      <c r="AZ66" s="14">
        <v>11</v>
      </c>
      <c r="BA66" s="14">
        <v>182</v>
      </c>
      <c r="BB66" s="14">
        <v>24</v>
      </c>
      <c r="BC66" s="14">
        <v>18</v>
      </c>
      <c r="BD66" s="14">
        <v>2</v>
      </c>
      <c r="BE66" s="15">
        <f t="shared" si="319"/>
        <v>20</v>
      </c>
      <c r="BF66" s="15">
        <f t="shared" si="320"/>
        <v>186</v>
      </c>
      <c r="BG66" s="14">
        <v>0</v>
      </c>
      <c r="BH66" s="14">
        <v>0</v>
      </c>
      <c r="BI66" s="14">
        <v>0</v>
      </c>
      <c r="BJ66" s="14">
        <v>0</v>
      </c>
      <c r="BK66" s="15">
        <f t="shared" si="321"/>
        <v>0</v>
      </c>
      <c r="BL66" s="15">
        <f t="shared" si="322"/>
        <v>0</v>
      </c>
      <c r="BM66" s="14">
        <v>9</v>
      </c>
      <c r="BN66" s="14">
        <v>0</v>
      </c>
      <c r="BO66" s="14">
        <v>0</v>
      </c>
      <c r="BP66" s="14">
        <v>0</v>
      </c>
      <c r="BQ66" s="15">
        <f t="shared" si="323"/>
        <v>0</v>
      </c>
      <c r="BR66" s="15">
        <f t="shared" si="324"/>
        <v>9</v>
      </c>
      <c r="BS66" s="14">
        <v>0</v>
      </c>
      <c r="BT66" s="14">
        <v>0</v>
      </c>
      <c r="BU66" s="14">
        <v>0</v>
      </c>
      <c r="BV66" s="14">
        <v>0</v>
      </c>
      <c r="BW66" s="15">
        <f t="shared" si="325"/>
        <v>0</v>
      </c>
      <c r="BX66" s="15">
        <f t="shared" si="326"/>
        <v>0</v>
      </c>
      <c r="BY66" s="15">
        <f t="shared" si="327"/>
        <v>191</v>
      </c>
      <c r="BZ66" s="15">
        <f t="shared" si="328"/>
        <v>24</v>
      </c>
      <c r="CA66" s="15">
        <f t="shared" si="329"/>
        <v>20</v>
      </c>
      <c r="CB66" s="15">
        <f t="shared" si="330"/>
        <v>195</v>
      </c>
      <c r="CC66" s="14">
        <v>2</v>
      </c>
      <c r="CD66" s="14">
        <v>460</v>
      </c>
      <c r="CE66" s="14">
        <v>17</v>
      </c>
      <c r="CF66" s="14">
        <v>22</v>
      </c>
      <c r="CG66" s="14">
        <v>3</v>
      </c>
      <c r="CH66" s="15">
        <f t="shared" si="331"/>
        <v>502</v>
      </c>
      <c r="CI66" s="14">
        <v>1412</v>
      </c>
      <c r="CJ66" s="14">
        <v>11</v>
      </c>
      <c r="CK66" s="14">
        <v>0</v>
      </c>
      <c r="CL66" s="14">
        <v>0</v>
      </c>
      <c r="CM66" s="15">
        <f t="shared" si="332"/>
        <v>1423</v>
      </c>
      <c r="CN66" s="14">
        <v>549</v>
      </c>
      <c r="CO66" s="14">
        <v>44</v>
      </c>
      <c r="CP66" s="14">
        <v>82</v>
      </c>
      <c r="CQ66" s="14">
        <v>21</v>
      </c>
      <c r="CR66" s="15">
        <f t="shared" si="333"/>
        <v>696</v>
      </c>
      <c r="CS66" s="15">
        <f t="shared" si="334"/>
        <v>2119</v>
      </c>
      <c r="CT66" s="14">
        <v>2621</v>
      </c>
      <c r="CU66" s="14">
        <v>21468</v>
      </c>
      <c r="CV66" s="14">
        <v>20102</v>
      </c>
      <c r="CW66" s="16">
        <f t="shared" si="335"/>
        <v>0.93637041177566616</v>
      </c>
      <c r="CX66" s="14"/>
      <c r="CY66" s="14"/>
      <c r="CZ66" s="14"/>
      <c r="DA66" s="14"/>
      <c r="DB66" s="15">
        <f t="shared" si="336"/>
        <v>0</v>
      </c>
      <c r="DC66" s="14">
        <v>0</v>
      </c>
      <c r="DD66" s="14">
        <v>0</v>
      </c>
      <c r="DE66" s="14">
        <v>0</v>
      </c>
      <c r="DF66" s="14">
        <v>0</v>
      </c>
      <c r="DG66" s="15">
        <f t="shared" si="337"/>
        <v>0</v>
      </c>
      <c r="DH66" s="14">
        <v>0</v>
      </c>
      <c r="DI66" s="14">
        <v>0</v>
      </c>
      <c r="DJ66" s="14">
        <v>0</v>
      </c>
      <c r="DK66" s="14">
        <v>0</v>
      </c>
      <c r="DL66" s="15">
        <f t="shared" si="338"/>
        <v>0</v>
      </c>
      <c r="DM66" s="14">
        <v>37</v>
      </c>
      <c r="DN66" s="14">
        <v>11</v>
      </c>
      <c r="DO66" s="14">
        <v>1</v>
      </c>
      <c r="DP66" s="14">
        <v>2</v>
      </c>
      <c r="DQ66" s="15">
        <f t="shared" si="339"/>
        <v>45</v>
      </c>
      <c r="DR66" s="15">
        <f t="shared" si="340"/>
        <v>37</v>
      </c>
      <c r="DS66" s="15">
        <f t="shared" si="341"/>
        <v>11</v>
      </c>
      <c r="DT66" s="15">
        <f t="shared" si="342"/>
        <v>1</v>
      </c>
      <c r="DU66" s="15">
        <f t="shared" si="343"/>
        <v>2</v>
      </c>
      <c r="DV66" s="15">
        <f t="shared" si="344"/>
        <v>45</v>
      </c>
      <c r="DW66" s="14">
        <v>6</v>
      </c>
      <c r="DX66" s="14">
        <v>2</v>
      </c>
      <c r="DY66" s="14">
        <v>2</v>
      </c>
      <c r="DZ66" s="14">
        <v>3</v>
      </c>
      <c r="EA66" s="14">
        <v>2</v>
      </c>
      <c r="EB66" s="14">
        <v>6</v>
      </c>
      <c r="EC66" s="14">
        <v>1</v>
      </c>
      <c r="ED66" s="14">
        <v>1</v>
      </c>
      <c r="EE66" s="14">
        <v>3</v>
      </c>
      <c r="EF66" s="14">
        <v>0</v>
      </c>
      <c r="EG66" s="14">
        <v>0</v>
      </c>
      <c r="EH66" s="14">
        <v>0</v>
      </c>
      <c r="EI66" s="14">
        <v>0</v>
      </c>
      <c r="EJ66" s="14">
        <v>3</v>
      </c>
      <c r="EK66" s="14">
        <v>1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5">
        <f t="shared" si="345"/>
        <v>30</v>
      </c>
      <c r="FH66" s="14">
        <v>0</v>
      </c>
      <c r="FI66" s="14">
        <v>609</v>
      </c>
      <c r="FJ66" s="14">
        <v>24</v>
      </c>
      <c r="FK66" s="14">
        <v>135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5">
        <f t="shared" si="346"/>
        <v>0</v>
      </c>
      <c r="FR66" s="14">
        <v>10532229</v>
      </c>
      <c r="FS66" s="14">
        <v>0</v>
      </c>
      <c r="FT66" s="14">
        <v>20000</v>
      </c>
      <c r="FU66" s="14">
        <v>0</v>
      </c>
      <c r="FV66" s="15">
        <f t="shared" si="347"/>
        <v>10552229</v>
      </c>
      <c r="FW66" s="14">
        <v>6617121</v>
      </c>
      <c r="FX66" s="14">
        <v>290200</v>
      </c>
      <c r="FY66" s="14">
        <v>3533680</v>
      </c>
      <c r="FZ66" s="14">
        <v>9143523</v>
      </c>
      <c r="GA66" s="15">
        <f t="shared" si="348"/>
        <v>19584524</v>
      </c>
      <c r="GB66" s="15">
        <f t="shared" si="349"/>
        <v>30136753</v>
      </c>
      <c r="GC66" s="14">
        <v>15920098.82</v>
      </c>
      <c r="GD66" s="14">
        <v>0</v>
      </c>
      <c r="GE66" s="14">
        <v>76445273.060000002</v>
      </c>
      <c r="GF66" s="14">
        <v>0</v>
      </c>
      <c r="GG66" s="15">
        <f t="shared" si="350"/>
        <v>92365371.879999995</v>
      </c>
      <c r="GH66" s="14">
        <v>6438598.8600000003</v>
      </c>
      <c r="GI66" s="14">
        <v>290200</v>
      </c>
      <c r="GJ66" s="14">
        <v>9137523</v>
      </c>
      <c r="GK66" s="14">
        <v>3498280</v>
      </c>
      <c r="GL66" s="15">
        <f t="shared" si="351"/>
        <v>19364601.859999999</v>
      </c>
      <c r="GM66" s="15">
        <f t="shared" si="352"/>
        <v>111729973.73999999</v>
      </c>
      <c r="GN66" s="14">
        <v>718825.58</v>
      </c>
      <c r="GO66" s="14">
        <v>0</v>
      </c>
      <c r="GP66" s="14">
        <v>37330.04</v>
      </c>
      <c r="GQ66" s="14">
        <v>0</v>
      </c>
      <c r="GR66" s="15">
        <f t="shared" si="353"/>
        <v>756155.62</v>
      </c>
      <c r="GS66" s="14">
        <v>1260916</v>
      </c>
      <c r="GT66" s="14">
        <v>0</v>
      </c>
      <c r="GU66" s="14">
        <v>9823</v>
      </c>
      <c r="GV66" s="14">
        <v>0</v>
      </c>
      <c r="GW66" s="15">
        <f t="shared" si="354"/>
        <v>1270739</v>
      </c>
      <c r="GX66" s="15">
        <f t="shared" si="355"/>
        <v>113756868.36</v>
      </c>
      <c r="GY66" s="14">
        <v>35727162.870000899</v>
      </c>
      <c r="GZ66" s="14">
        <v>382702710.62000012</v>
      </c>
      <c r="HA66" s="15">
        <f t="shared" si="356"/>
        <v>418429873.49000102</v>
      </c>
      <c r="HB66" s="15">
        <f t="shared" si="357"/>
        <v>0.154317276996812</v>
      </c>
      <c r="HC66" s="16">
        <f t="shared" si="358"/>
        <v>0.20160516646510976</v>
      </c>
      <c r="HD66" s="15">
        <f t="shared" si="359"/>
        <v>0.26492249157763292</v>
      </c>
      <c r="HE66" s="14">
        <v>24</v>
      </c>
      <c r="HF66" s="14">
        <v>1</v>
      </c>
      <c r="HG66" s="14">
        <v>195</v>
      </c>
      <c r="HH66" s="14">
        <v>24</v>
      </c>
      <c r="HI66" s="14">
        <v>24</v>
      </c>
      <c r="HJ66" s="15">
        <f t="shared" si="360"/>
        <v>25</v>
      </c>
      <c r="HK66" s="16">
        <f t="shared" si="361"/>
        <v>1</v>
      </c>
      <c r="HL66" s="14">
        <v>109</v>
      </c>
      <c r="HM66" s="14">
        <v>24</v>
      </c>
      <c r="HN66" s="17">
        <f t="shared" si="362"/>
        <v>0.22018348623853212</v>
      </c>
    </row>
    <row r="67" spans="1:222" x14ac:dyDescent="0.3">
      <c r="A67" s="6" t="s">
        <v>276</v>
      </c>
      <c r="B67" s="6" t="s">
        <v>277</v>
      </c>
      <c r="C67" s="7" t="s">
        <v>257</v>
      </c>
      <c r="D67" s="7">
        <v>2025</v>
      </c>
      <c r="E67" s="7">
        <v>8</v>
      </c>
      <c r="F67" s="7" t="s">
        <v>264</v>
      </c>
      <c r="G67" s="7" t="s">
        <v>263</v>
      </c>
      <c r="H67" s="8">
        <v>64760</v>
      </c>
      <c r="I67" s="8">
        <v>21424</v>
      </c>
      <c r="J67" s="8">
        <v>0</v>
      </c>
      <c r="K67" s="8">
        <v>22803</v>
      </c>
      <c r="L67" s="8">
        <v>0</v>
      </c>
      <c r="M67" s="9">
        <f t="shared" si="302"/>
        <v>44227</v>
      </c>
      <c r="N67" s="8">
        <v>4878.2</v>
      </c>
      <c r="O67" s="8">
        <v>1005</v>
      </c>
      <c r="P67" s="8">
        <v>7384.4</v>
      </c>
      <c r="Q67" s="8">
        <v>720</v>
      </c>
      <c r="R67" s="9">
        <f t="shared" si="303"/>
        <v>13987.599999999999</v>
      </c>
      <c r="S67" s="9">
        <f t="shared" si="304"/>
        <v>58214.6</v>
      </c>
      <c r="T67" s="8">
        <v>6545.4</v>
      </c>
      <c r="U67" s="10">
        <f t="shared" si="305"/>
        <v>0.10107164916615194</v>
      </c>
      <c r="V67" s="8">
        <v>155</v>
      </c>
      <c r="W67" s="11">
        <f t="shared" si="306"/>
        <v>2.3934527486102531E-3</v>
      </c>
      <c r="X67" s="8">
        <v>0</v>
      </c>
      <c r="Y67" s="11">
        <f t="shared" si="307"/>
        <v>0</v>
      </c>
      <c r="Z67" s="8">
        <v>0</v>
      </c>
      <c r="AA67" s="11">
        <f t="shared" si="308"/>
        <v>0</v>
      </c>
      <c r="AB67" s="8">
        <v>0</v>
      </c>
      <c r="AC67" s="11">
        <f t="shared" si="309"/>
        <v>0</v>
      </c>
      <c r="AD67" s="8">
        <v>0</v>
      </c>
      <c r="AE67" s="11">
        <f t="shared" si="310"/>
        <v>0</v>
      </c>
      <c r="AF67" s="8">
        <v>0</v>
      </c>
      <c r="AG67" s="11">
        <f t="shared" si="311"/>
        <v>0</v>
      </c>
      <c r="AH67" s="8">
        <v>3709010.5</v>
      </c>
      <c r="AI67" s="9">
        <f t="shared" si="312"/>
        <v>57.27317016676961</v>
      </c>
      <c r="AJ67" s="8">
        <v>31229</v>
      </c>
      <c r="AK67" s="11">
        <f t="shared" si="313"/>
        <v>0.48222668313773936</v>
      </c>
      <c r="AL67" s="8">
        <v>5240125.1475</v>
      </c>
      <c r="AM67" s="9">
        <f t="shared" si="314"/>
        <v>80.916077015132799</v>
      </c>
      <c r="AN67" s="8">
        <v>3708</v>
      </c>
      <c r="AO67" s="8">
        <v>271</v>
      </c>
      <c r="AP67" s="8">
        <v>740640.6</v>
      </c>
      <c r="AQ67" s="8">
        <v>0</v>
      </c>
      <c r="AR67" s="8">
        <v>5575587.7599999998</v>
      </c>
      <c r="AS67" s="8">
        <v>1539564.46</v>
      </c>
      <c r="AT67" s="8">
        <v>820240</v>
      </c>
      <c r="AU67" s="9">
        <f t="shared" si="315"/>
        <v>17625168.467500001</v>
      </c>
      <c r="AV67" s="9">
        <f t="shared" si="316"/>
        <v>272.1613413758493</v>
      </c>
      <c r="AW67" s="9">
        <f t="shared" si="317"/>
        <v>302.76199557327544</v>
      </c>
      <c r="AX67" s="8">
        <v>6</v>
      </c>
      <c r="AY67" s="9">
        <f t="shared" si="318"/>
        <v>1.1117974058060529</v>
      </c>
      <c r="AZ67" s="8">
        <v>11</v>
      </c>
      <c r="BA67" s="8">
        <v>186</v>
      </c>
      <c r="BB67" s="8">
        <v>35</v>
      </c>
      <c r="BC67" s="8">
        <v>15</v>
      </c>
      <c r="BD67" s="8">
        <v>38</v>
      </c>
      <c r="BE67" s="9">
        <f t="shared" si="319"/>
        <v>53</v>
      </c>
      <c r="BF67" s="9">
        <f t="shared" si="320"/>
        <v>168</v>
      </c>
      <c r="BG67" s="8">
        <v>0</v>
      </c>
      <c r="BH67" s="8">
        <v>0</v>
      </c>
      <c r="BI67" s="8">
        <v>0</v>
      </c>
      <c r="BJ67" s="8">
        <v>0</v>
      </c>
      <c r="BK67" s="9">
        <f t="shared" si="321"/>
        <v>0</v>
      </c>
      <c r="BL67" s="9">
        <f t="shared" si="322"/>
        <v>0</v>
      </c>
      <c r="BM67" s="8">
        <v>9</v>
      </c>
      <c r="BN67" s="8">
        <v>0</v>
      </c>
      <c r="BO67" s="8">
        <v>0</v>
      </c>
      <c r="BP67" s="8">
        <v>2</v>
      </c>
      <c r="BQ67" s="9">
        <f t="shared" si="323"/>
        <v>2</v>
      </c>
      <c r="BR67" s="9">
        <f t="shared" si="324"/>
        <v>7</v>
      </c>
      <c r="BS67" s="8">
        <v>0</v>
      </c>
      <c r="BT67" s="8">
        <v>0</v>
      </c>
      <c r="BU67" s="8">
        <v>0</v>
      </c>
      <c r="BV67" s="8">
        <v>0</v>
      </c>
      <c r="BW67" s="9">
        <f t="shared" si="325"/>
        <v>0</v>
      </c>
      <c r="BX67" s="9">
        <f t="shared" si="326"/>
        <v>0</v>
      </c>
      <c r="BY67" s="9">
        <f t="shared" si="327"/>
        <v>195</v>
      </c>
      <c r="BZ67" s="9">
        <f t="shared" si="328"/>
        <v>35</v>
      </c>
      <c r="CA67" s="9">
        <f t="shared" si="329"/>
        <v>55</v>
      </c>
      <c r="CB67" s="9">
        <f t="shared" si="330"/>
        <v>175</v>
      </c>
      <c r="CC67" s="8">
        <v>40</v>
      </c>
      <c r="CD67" s="8">
        <v>433</v>
      </c>
      <c r="CE67" s="8">
        <v>17</v>
      </c>
      <c r="CF67" s="8">
        <v>22</v>
      </c>
      <c r="CG67" s="8">
        <v>3</v>
      </c>
      <c r="CH67" s="9">
        <f t="shared" si="331"/>
        <v>475</v>
      </c>
      <c r="CI67" s="8">
        <v>1454</v>
      </c>
      <c r="CJ67" s="8">
        <v>11</v>
      </c>
      <c r="CK67" s="8">
        <v>0</v>
      </c>
      <c r="CL67" s="8">
        <v>0</v>
      </c>
      <c r="CM67" s="9">
        <f t="shared" si="332"/>
        <v>1465</v>
      </c>
      <c r="CN67" s="8">
        <v>587</v>
      </c>
      <c r="CO67" s="8">
        <v>44</v>
      </c>
      <c r="CP67" s="8">
        <v>84</v>
      </c>
      <c r="CQ67" s="8">
        <v>21</v>
      </c>
      <c r="CR67" s="9">
        <f t="shared" si="333"/>
        <v>736</v>
      </c>
      <c r="CS67" s="9">
        <f t="shared" si="334"/>
        <v>2201</v>
      </c>
      <c r="CT67" s="8">
        <v>2676</v>
      </c>
      <c r="CU67" s="8">
        <v>21503</v>
      </c>
      <c r="CV67" s="8">
        <v>20377</v>
      </c>
      <c r="CW67" s="10">
        <f t="shared" si="335"/>
        <v>0.94763521369111292</v>
      </c>
      <c r="CX67" s="8"/>
      <c r="CY67" s="8"/>
      <c r="CZ67" s="8"/>
      <c r="DA67" s="8"/>
      <c r="DB67" s="9">
        <f t="shared" si="336"/>
        <v>0</v>
      </c>
      <c r="DC67" s="8">
        <v>0</v>
      </c>
      <c r="DD67" s="8">
        <v>0</v>
      </c>
      <c r="DE67" s="8">
        <v>0</v>
      </c>
      <c r="DF67" s="8">
        <v>0</v>
      </c>
      <c r="DG67" s="9">
        <f t="shared" si="337"/>
        <v>0</v>
      </c>
      <c r="DH67" s="8">
        <v>0</v>
      </c>
      <c r="DI67" s="8">
        <v>0</v>
      </c>
      <c r="DJ67" s="8">
        <v>0</v>
      </c>
      <c r="DK67" s="8">
        <v>0</v>
      </c>
      <c r="DL67" s="9">
        <f t="shared" si="338"/>
        <v>0</v>
      </c>
      <c r="DM67" s="8">
        <v>45</v>
      </c>
      <c r="DN67" s="8">
        <v>2</v>
      </c>
      <c r="DO67" s="8">
        <v>0</v>
      </c>
      <c r="DP67" s="8">
        <v>10</v>
      </c>
      <c r="DQ67" s="9">
        <f t="shared" si="339"/>
        <v>37</v>
      </c>
      <c r="DR67" s="9">
        <f t="shared" si="340"/>
        <v>45</v>
      </c>
      <c r="DS67" s="9">
        <f t="shared" si="341"/>
        <v>2</v>
      </c>
      <c r="DT67" s="9">
        <f t="shared" si="342"/>
        <v>0</v>
      </c>
      <c r="DU67" s="9">
        <f t="shared" si="343"/>
        <v>10</v>
      </c>
      <c r="DV67" s="9">
        <f t="shared" si="344"/>
        <v>37</v>
      </c>
      <c r="DW67" s="8">
        <v>17</v>
      </c>
      <c r="DX67" s="8">
        <v>6</v>
      </c>
      <c r="DY67" s="8">
        <v>5</v>
      </c>
      <c r="DZ67" s="8">
        <v>2</v>
      </c>
      <c r="EA67" s="8">
        <v>0</v>
      </c>
      <c r="EB67" s="8">
        <v>6</v>
      </c>
      <c r="EC67" s="8">
        <v>0</v>
      </c>
      <c r="ED67" s="8">
        <v>0</v>
      </c>
      <c r="EE67" s="8">
        <v>1</v>
      </c>
      <c r="EF67" s="8">
        <v>0</v>
      </c>
      <c r="EG67" s="8">
        <v>0</v>
      </c>
      <c r="EH67" s="8">
        <v>0</v>
      </c>
      <c r="EI67" s="8">
        <v>0</v>
      </c>
      <c r="EJ67" s="8">
        <v>1</v>
      </c>
      <c r="EK67" s="8">
        <v>2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9">
        <f t="shared" si="345"/>
        <v>40</v>
      </c>
      <c r="FH67" s="8">
        <v>6</v>
      </c>
      <c r="FI67" s="8">
        <v>624</v>
      </c>
      <c r="FJ67" s="8">
        <v>24</v>
      </c>
      <c r="FK67" s="8">
        <v>120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9">
        <f t="shared" si="346"/>
        <v>0</v>
      </c>
      <c r="FR67" s="8">
        <v>16038730.07</v>
      </c>
      <c r="FS67" s="8">
        <v>0</v>
      </c>
      <c r="FT67" s="8">
        <v>0</v>
      </c>
      <c r="FU67" s="8">
        <v>0</v>
      </c>
      <c r="FV67" s="9">
        <f t="shared" si="347"/>
        <v>16038730.07</v>
      </c>
      <c r="FW67" s="8">
        <v>6221549</v>
      </c>
      <c r="FX67" s="8">
        <v>213500</v>
      </c>
      <c r="FY67" s="8">
        <v>3419436</v>
      </c>
      <c r="FZ67" s="8">
        <v>22464000</v>
      </c>
      <c r="GA67" s="9">
        <f t="shared" si="348"/>
        <v>32318485</v>
      </c>
      <c r="GB67" s="9">
        <f t="shared" si="349"/>
        <v>48357215.07</v>
      </c>
      <c r="GC67" s="8">
        <v>19803198</v>
      </c>
      <c r="GD67" s="8">
        <v>0</v>
      </c>
      <c r="GE67" s="8">
        <v>78766577.430000007</v>
      </c>
      <c r="GF67" s="8">
        <v>0</v>
      </c>
      <c r="GG67" s="9">
        <f t="shared" si="350"/>
        <v>98569775.430000007</v>
      </c>
      <c r="GH67" s="8">
        <v>6093886.7999999998</v>
      </c>
      <c r="GI67" s="8">
        <v>213500</v>
      </c>
      <c r="GJ67" s="8">
        <v>22445027.050000001</v>
      </c>
      <c r="GK67" s="8">
        <v>3399036</v>
      </c>
      <c r="GL67" s="9">
        <f t="shared" si="351"/>
        <v>32151449.850000001</v>
      </c>
      <c r="GM67" s="9">
        <f t="shared" si="352"/>
        <v>130721225.28</v>
      </c>
      <c r="GN67" s="8">
        <v>740463</v>
      </c>
      <c r="GO67" s="8">
        <v>0</v>
      </c>
      <c r="GP67" s="8">
        <v>37330.04</v>
      </c>
      <c r="GQ67" s="8">
        <v>0</v>
      </c>
      <c r="GR67" s="9">
        <f t="shared" si="353"/>
        <v>777793.04</v>
      </c>
      <c r="GS67" s="8">
        <v>1298422</v>
      </c>
      <c r="GT67" s="8">
        <v>0</v>
      </c>
      <c r="GU67" s="8">
        <v>9823</v>
      </c>
      <c r="GV67" s="8">
        <v>0</v>
      </c>
      <c r="GW67" s="9">
        <f t="shared" si="354"/>
        <v>1308245</v>
      </c>
      <c r="GX67" s="9">
        <f t="shared" si="355"/>
        <v>132807263.32000001</v>
      </c>
      <c r="GY67" s="8">
        <v>42928750.569999419</v>
      </c>
      <c r="GZ67" s="8">
        <v>457119479.8900001</v>
      </c>
      <c r="HA67" s="9">
        <f t="shared" si="356"/>
        <v>500048230.4599995</v>
      </c>
      <c r="HB67" s="9">
        <f t="shared" si="357"/>
        <v>0.13271238354661399</v>
      </c>
      <c r="HC67" s="10">
        <f t="shared" si="358"/>
        <v>0.275169636545124</v>
      </c>
      <c r="HD67" s="9">
        <f t="shared" si="359"/>
        <v>0.36411574081970927</v>
      </c>
      <c r="HE67" s="8">
        <v>38</v>
      </c>
      <c r="HF67" s="8">
        <v>1</v>
      </c>
      <c r="HG67" s="8">
        <v>175</v>
      </c>
      <c r="HH67" s="8">
        <v>35</v>
      </c>
      <c r="HI67" s="8">
        <v>30</v>
      </c>
      <c r="HJ67" s="9">
        <f t="shared" si="360"/>
        <v>31</v>
      </c>
      <c r="HK67" s="10">
        <f t="shared" si="361"/>
        <v>0.92105263157894735</v>
      </c>
      <c r="HL67" s="8">
        <v>30</v>
      </c>
      <c r="HM67" s="8">
        <v>1</v>
      </c>
      <c r="HN67" s="11">
        <f t="shared" si="362"/>
        <v>3.3333333333333333E-2</v>
      </c>
    </row>
    <row r="68" spans="1:222" x14ac:dyDescent="0.3">
      <c r="A68" s="12" t="s">
        <v>276</v>
      </c>
      <c r="B68" s="12" t="s">
        <v>277</v>
      </c>
      <c r="C68" s="13" t="s">
        <v>257</v>
      </c>
      <c r="D68" s="13">
        <v>2025</v>
      </c>
      <c r="E68" s="13">
        <v>9</v>
      </c>
      <c r="F68" s="13" t="s">
        <v>265</v>
      </c>
      <c r="G68" s="13" t="s">
        <v>263</v>
      </c>
      <c r="H68" s="14">
        <v>68308</v>
      </c>
      <c r="I68" s="14">
        <v>23173</v>
      </c>
      <c r="J68" s="14">
        <v>0</v>
      </c>
      <c r="K68" s="14">
        <v>20082</v>
      </c>
      <c r="L68" s="14">
        <v>0</v>
      </c>
      <c r="M68" s="15">
        <f t="shared" si="302"/>
        <v>43255</v>
      </c>
      <c r="N68" s="14">
        <v>5677.3</v>
      </c>
      <c r="O68" s="14">
        <v>1095.2</v>
      </c>
      <c r="P68" s="14">
        <v>1566.2</v>
      </c>
      <c r="Q68" s="14">
        <v>742.6</v>
      </c>
      <c r="R68" s="15">
        <f t="shared" si="303"/>
        <v>9081.3000000000011</v>
      </c>
      <c r="S68" s="15">
        <f t="shared" si="304"/>
        <v>52336.3</v>
      </c>
      <c r="T68" s="14">
        <v>15971.7</v>
      </c>
      <c r="U68" s="16">
        <f t="shared" si="305"/>
        <v>0.23381887919423788</v>
      </c>
      <c r="V68" s="14">
        <v>150</v>
      </c>
      <c r="W68" s="17">
        <f t="shared" si="306"/>
        <v>2.1959360543420976E-3</v>
      </c>
      <c r="X68" s="14">
        <v>0</v>
      </c>
      <c r="Y68" s="17">
        <f t="shared" si="307"/>
        <v>0</v>
      </c>
      <c r="Z68" s="14">
        <v>0</v>
      </c>
      <c r="AA68" s="17">
        <f t="shared" si="308"/>
        <v>0</v>
      </c>
      <c r="AB68" s="14">
        <v>0</v>
      </c>
      <c r="AC68" s="17">
        <f t="shared" si="309"/>
        <v>0</v>
      </c>
      <c r="AD68" s="14">
        <v>0</v>
      </c>
      <c r="AE68" s="17">
        <f t="shared" si="310"/>
        <v>0</v>
      </c>
      <c r="AF68" s="14">
        <v>0</v>
      </c>
      <c r="AG68" s="17">
        <f t="shared" si="311"/>
        <v>0</v>
      </c>
      <c r="AH68" s="14">
        <v>3589365</v>
      </c>
      <c r="AI68" s="15">
        <f t="shared" si="312"/>
        <v>52.546773437957484</v>
      </c>
      <c r="AJ68" s="14">
        <v>35063</v>
      </c>
      <c r="AK68" s="17">
        <f t="shared" si="313"/>
        <v>0.51330737248931313</v>
      </c>
      <c r="AL68" s="14">
        <v>5881083.6825000001</v>
      </c>
      <c r="AM68" s="15">
        <f t="shared" si="314"/>
        <v>86.096557980031619</v>
      </c>
      <c r="AN68" s="14">
        <v>0</v>
      </c>
      <c r="AO68" s="14">
        <v>0</v>
      </c>
      <c r="AP68" s="14">
        <v>0</v>
      </c>
      <c r="AQ68" s="14">
        <v>0</v>
      </c>
      <c r="AR68" s="14">
        <v>5557667.7999999998</v>
      </c>
      <c r="AS68" s="14">
        <v>1416441.7</v>
      </c>
      <c r="AT68" s="14">
        <v>834720</v>
      </c>
      <c r="AU68" s="15">
        <f t="shared" si="315"/>
        <v>17279278.182500001</v>
      </c>
      <c r="AV68" s="15">
        <f t="shared" si="316"/>
        <v>252.96126635972362</v>
      </c>
      <c r="AW68" s="15">
        <f t="shared" si="317"/>
        <v>330.15857411586222</v>
      </c>
      <c r="AX68" s="14">
        <v>6</v>
      </c>
      <c r="AY68" s="15">
        <f t="shared" si="318"/>
        <v>1.0540493060842067</v>
      </c>
      <c r="AZ68" s="14">
        <v>11</v>
      </c>
      <c r="BA68" s="14">
        <v>168</v>
      </c>
      <c r="BB68" s="14">
        <v>36</v>
      </c>
      <c r="BC68" s="14">
        <v>10</v>
      </c>
      <c r="BD68" s="14">
        <v>0</v>
      </c>
      <c r="BE68" s="15">
        <f t="shared" si="319"/>
        <v>10</v>
      </c>
      <c r="BF68" s="15">
        <f t="shared" si="320"/>
        <v>194</v>
      </c>
      <c r="BG68" s="14">
        <v>0</v>
      </c>
      <c r="BH68" s="14">
        <v>0</v>
      </c>
      <c r="BI68" s="14">
        <v>0</v>
      </c>
      <c r="BJ68" s="14">
        <v>0</v>
      </c>
      <c r="BK68" s="15">
        <f t="shared" si="321"/>
        <v>0</v>
      </c>
      <c r="BL68" s="15">
        <f t="shared" si="322"/>
        <v>0</v>
      </c>
      <c r="BM68" s="14">
        <v>7</v>
      </c>
      <c r="BN68" s="14">
        <v>0</v>
      </c>
      <c r="BO68" s="14">
        <v>0</v>
      </c>
      <c r="BP68" s="14">
        <v>0</v>
      </c>
      <c r="BQ68" s="15">
        <f t="shared" si="323"/>
        <v>0</v>
      </c>
      <c r="BR68" s="15">
        <f t="shared" si="324"/>
        <v>7</v>
      </c>
      <c r="BS68" s="14">
        <v>0</v>
      </c>
      <c r="BT68" s="14">
        <v>0</v>
      </c>
      <c r="BU68" s="14">
        <v>0</v>
      </c>
      <c r="BV68" s="14">
        <v>0</v>
      </c>
      <c r="BW68" s="15">
        <f t="shared" si="325"/>
        <v>0</v>
      </c>
      <c r="BX68" s="15">
        <f t="shared" si="326"/>
        <v>0</v>
      </c>
      <c r="BY68" s="15">
        <f t="shared" si="327"/>
        <v>175</v>
      </c>
      <c r="BZ68" s="15">
        <f t="shared" si="328"/>
        <v>36</v>
      </c>
      <c r="CA68" s="15">
        <f t="shared" si="329"/>
        <v>10</v>
      </c>
      <c r="CB68" s="15">
        <f t="shared" si="330"/>
        <v>201</v>
      </c>
      <c r="CC68" s="14">
        <v>0</v>
      </c>
      <c r="CD68" s="14">
        <v>403</v>
      </c>
      <c r="CE68" s="14">
        <v>17</v>
      </c>
      <c r="CF68" s="14">
        <v>22</v>
      </c>
      <c r="CG68" s="14">
        <v>3</v>
      </c>
      <c r="CH68" s="15">
        <f t="shared" si="331"/>
        <v>445</v>
      </c>
      <c r="CI68" s="14">
        <v>1494</v>
      </c>
      <c r="CJ68" s="14">
        <v>11</v>
      </c>
      <c r="CK68" s="14">
        <v>0</v>
      </c>
      <c r="CL68" s="14">
        <v>0</v>
      </c>
      <c r="CM68" s="15">
        <f t="shared" si="332"/>
        <v>1505</v>
      </c>
      <c r="CN68" s="14">
        <v>594</v>
      </c>
      <c r="CO68" s="14">
        <v>44</v>
      </c>
      <c r="CP68" s="14">
        <v>84</v>
      </c>
      <c r="CQ68" s="14">
        <v>21</v>
      </c>
      <c r="CR68" s="15">
        <f t="shared" si="333"/>
        <v>743</v>
      </c>
      <c r="CS68" s="15">
        <f t="shared" si="334"/>
        <v>2248</v>
      </c>
      <c r="CT68" s="14">
        <v>2693</v>
      </c>
      <c r="CU68" s="14">
        <v>21538</v>
      </c>
      <c r="CV68" s="14">
        <v>17672</v>
      </c>
      <c r="CW68" s="16">
        <f t="shared" si="335"/>
        <v>0.82050329649921072</v>
      </c>
      <c r="CX68" s="14"/>
      <c r="CY68" s="14"/>
      <c r="CZ68" s="14"/>
      <c r="DA68" s="14"/>
      <c r="DB68" s="15">
        <f t="shared" si="336"/>
        <v>0</v>
      </c>
      <c r="DC68" s="14">
        <v>0</v>
      </c>
      <c r="DD68" s="14">
        <v>0</v>
      </c>
      <c r="DE68" s="14">
        <v>0</v>
      </c>
      <c r="DF68" s="14">
        <v>0</v>
      </c>
      <c r="DG68" s="15">
        <f t="shared" si="337"/>
        <v>0</v>
      </c>
      <c r="DH68" s="14">
        <v>0</v>
      </c>
      <c r="DI68" s="14">
        <v>0</v>
      </c>
      <c r="DJ68" s="14">
        <v>0</v>
      </c>
      <c r="DK68" s="14">
        <v>0</v>
      </c>
      <c r="DL68" s="15">
        <f t="shared" si="338"/>
        <v>0</v>
      </c>
      <c r="DM68" s="14">
        <v>37</v>
      </c>
      <c r="DN68" s="14">
        <v>9</v>
      </c>
      <c r="DO68" s="14">
        <v>0</v>
      </c>
      <c r="DP68" s="14">
        <v>0</v>
      </c>
      <c r="DQ68" s="15">
        <f t="shared" si="339"/>
        <v>46</v>
      </c>
      <c r="DR68" s="15">
        <f t="shared" si="340"/>
        <v>37</v>
      </c>
      <c r="DS68" s="15">
        <f t="shared" si="341"/>
        <v>9</v>
      </c>
      <c r="DT68" s="15">
        <f t="shared" si="342"/>
        <v>0</v>
      </c>
      <c r="DU68" s="15">
        <f t="shared" si="343"/>
        <v>0</v>
      </c>
      <c r="DV68" s="15">
        <f t="shared" si="344"/>
        <v>46</v>
      </c>
      <c r="DW68" s="14">
        <v>16</v>
      </c>
      <c r="DX68" s="14">
        <v>9</v>
      </c>
      <c r="DY68" s="14">
        <v>4</v>
      </c>
      <c r="DZ68" s="14">
        <v>1</v>
      </c>
      <c r="EA68" s="14">
        <v>0</v>
      </c>
      <c r="EB68" s="14">
        <v>5</v>
      </c>
      <c r="EC68" s="14">
        <v>1</v>
      </c>
      <c r="ED68" s="14">
        <v>0</v>
      </c>
      <c r="EE68" s="14">
        <v>1</v>
      </c>
      <c r="EF68" s="14">
        <v>0</v>
      </c>
      <c r="EG68" s="14">
        <v>0</v>
      </c>
      <c r="EH68" s="14">
        <v>0</v>
      </c>
      <c r="EI68" s="14">
        <v>0</v>
      </c>
      <c r="EJ68" s="14">
        <v>2</v>
      </c>
      <c r="EK68" s="14">
        <v>2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5">
        <f t="shared" si="345"/>
        <v>41</v>
      </c>
      <c r="FH68" s="14">
        <v>6</v>
      </c>
      <c r="FI68" s="14">
        <v>609</v>
      </c>
      <c r="FJ68" s="14">
        <v>24</v>
      </c>
      <c r="FK68" s="14">
        <v>111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5">
        <f t="shared" si="346"/>
        <v>0</v>
      </c>
      <c r="FR68" s="14">
        <v>27214761</v>
      </c>
      <c r="FS68" s="14">
        <v>0</v>
      </c>
      <c r="FT68" s="14">
        <v>0</v>
      </c>
      <c r="FU68" s="14">
        <v>187846123.06</v>
      </c>
      <c r="FV68" s="15">
        <f t="shared" si="347"/>
        <v>215060884.06</v>
      </c>
      <c r="FW68" s="14">
        <v>7175803</v>
      </c>
      <c r="FX68" s="14">
        <v>232700</v>
      </c>
      <c r="FY68" s="14">
        <v>3564900</v>
      </c>
      <c r="FZ68" s="14">
        <v>4783800</v>
      </c>
      <c r="GA68" s="15">
        <f t="shared" si="348"/>
        <v>15757203</v>
      </c>
      <c r="GB68" s="15">
        <f t="shared" si="349"/>
        <v>230818087.06</v>
      </c>
      <c r="GC68" s="14">
        <v>21376700</v>
      </c>
      <c r="GD68" s="14">
        <v>0</v>
      </c>
      <c r="GE68" s="14">
        <v>69346440.620000005</v>
      </c>
      <c r="GF68" s="14">
        <v>0</v>
      </c>
      <c r="GG68" s="15">
        <f t="shared" si="350"/>
        <v>90723140.620000005</v>
      </c>
      <c r="GH68" s="14">
        <v>7082323</v>
      </c>
      <c r="GI68" s="14">
        <v>232700</v>
      </c>
      <c r="GJ68" s="14">
        <v>4761049.83</v>
      </c>
      <c r="GK68" s="14">
        <v>3513660</v>
      </c>
      <c r="GL68" s="15">
        <f t="shared" si="351"/>
        <v>15589732.83</v>
      </c>
      <c r="GM68" s="15">
        <f t="shared" si="352"/>
        <v>106312873.45</v>
      </c>
      <c r="GN68" s="14">
        <v>760683</v>
      </c>
      <c r="GO68" s="14">
        <v>0</v>
      </c>
      <c r="GP68" s="14">
        <v>37330.04</v>
      </c>
      <c r="GQ68" s="14">
        <v>0</v>
      </c>
      <c r="GR68" s="15">
        <f t="shared" si="353"/>
        <v>798013.04</v>
      </c>
      <c r="GS68" s="14">
        <v>1334142</v>
      </c>
      <c r="GT68" s="14">
        <v>0</v>
      </c>
      <c r="GU68" s="14">
        <v>9823</v>
      </c>
      <c r="GV68" s="14">
        <v>0</v>
      </c>
      <c r="GW68" s="15">
        <f t="shared" si="354"/>
        <v>1343965</v>
      </c>
      <c r="GX68" s="15">
        <f t="shared" si="355"/>
        <v>108454851.49000001</v>
      </c>
      <c r="GY68" s="14">
        <v>25102186.739999529</v>
      </c>
      <c r="GZ68" s="14">
        <v>352786918.1400001</v>
      </c>
      <c r="HA68" s="15">
        <f t="shared" si="356"/>
        <v>377889104.87999964</v>
      </c>
      <c r="HB68" s="15">
        <f t="shared" si="357"/>
        <v>0.15932231656868961</v>
      </c>
      <c r="HC68" s="16">
        <f t="shared" si="358"/>
        <v>1.7282360414619744</v>
      </c>
      <c r="HD68" s="15">
        <f t="shared" si="359"/>
        <v>2.1282412348449196</v>
      </c>
      <c r="HE68" s="14">
        <v>40</v>
      </c>
      <c r="HF68" s="14">
        <v>1</v>
      </c>
      <c r="HG68" s="14">
        <v>201</v>
      </c>
      <c r="HH68" s="14">
        <v>36</v>
      </c>
      <c r="HI68" s="14">
        <v>30</v>
      </c>
      <c r="HJ68" s="15">
        <f t="shared" si="360"/>
        <v>31</v>
      </c>
      <c r="HK68" s="16">
        <f t="shared" si="361"/>
        <v>0.9</v>
      </c>
      <c r="HL68" s="14">
        <v>84</v>
      </c>
      <c r="HM68" s="14">
        <v>24</v>
      </c>
      <c r="HN68" s="17">
        <f t="shared" si="362"/>
        <v>0.2857142857142857</v>
      </c>
    </row>
    <row r="69" spans="1:222" x14ac:dyDescent="0.3">
      <c r="A69" s="6" t="s">
        <v>276</v>
      </c>
      <c r="B69" s="6" t="s">
        <v>277</v>
      </c>
      <c r="C69" s="7" t="s">
        <v>257</v>
      </c>
      <c r="D69" s="7">
        <v>2025</v>
      </c>
      <c r="E69" s="7">
        <v>10</v>
      </c>
      <c r="F69" s="7" t="s">
        <v>266</v>
      </c>
      <c r="G69" s="7" t="s">
        <v>267</v>
      </c>
      <c r="H69" s="8">
        <v>70350</v>
      </c>
      <c r="I69" s="8">
        <v>22915</v>
      </c>
      <c r="J69" s="8">
        <v>0</v>
      </c>
      <c r="K69" s="8">
        <v>19286</v>
      </c>
      <c r="L69" s="8">
        <v>0</v>
      </c>
      <c r="M69" s="9">
        <f t="shared" si="302"/>
        <v>42201</v>
      </c>
      <c r="N69" s="8">
        <v>6160.4</v>
      </c>
      <c r="O69" s="8">
        <v>1477.8</v>
      </c>
      <c r="P69" s="8">
        <v>3129.5</v>
      </c>
      <c r="Q69" s="8">
        <v>936.3</v>
      </c>
      <c r="R69" s="9">
        <f t="shared" si="303"/>
        <v>11704</v>
      </c>
      <c r="S69" s="9">
        <f t="shared" si="304"/>
        <v>53905</v>
      </c>
      <c r="T69" s="8">
        <v>16445</v>
      </c>
      <c r="U69" s="10">
        <f t="shared" si="305"/>
        <v>0.23375977256574271</v>
      </c>
      <c r="V69" s="8">
        <v>155</v>
      </c>
      <c r="W69" s="11">
        <f t="shared" si="306"/>
        <v>2.2032693674484717E-3</v>
      </c>
      <c r="X69" s="8">
        <v>0</v>
      </c>
      <c r="Y69" s="11">
        <f t="shared" si="307"/>
        <v>0</v>
      </c>
      <c r="Z69" s="8">
        <v>0</v>
      </c>
      <c r="AA69" s="11">
        <f t="shared" si="308"/>
        <v>0</v>
      </c>
      <c r="AB69" s="8">
        <v>0</v>
      </c>
      <c r="AC69" s="11">
        <f t="shared" si="309"/>
        <v>0</v>
      </c>
      <c r="AD69" s="8">
        <v>0</v>
      </c>
      <c r="AE69" s="11">
        <f t="shared" si="310"/>
        <v>0</v>
      </c>
      <c r="AF69" s="8">
        <v>0</v>
      </c>
      <c r="AG69" s="11">
        <f t="shared" si="311"/>
        <v>0</v>
      </c>
      <c r="AH69" s="8">
        <v>3709010.5</v>
      </c>
      <c r="AI69" s="9">
        <f t="shared" si="312"/>
        <v>52.722253020611227</v>
      </c>
      <c r="AJ69" s="8">
        <v>35129</v>
      </c>
      <c r="AK69" s="11">
        <f t="shared" si="313"/>
        <v>0.49934612651030563</v>
      </c>
      <c r="AL69" s="8">
        <v>5892117.3975</v>
      </c>
      <c r="AM69" s="9">
        <f t="shared" si="314"/>
        <v>83.754334008528787</v>
      </c>
      <c r="AN69" s="8">
        <v>0</v>
      </c>
      <c r="AO69" s="8">
        <v>0</v>
      </c>
      <c r="AP69" s="8">
        <v>0</v>
      </c>
      <c r="AQ69" s="8">
        <v>0</v>
      </c>
      <c r="AR69" s="8">
        <v>5557667.7999999998</v>
      </c>
      <c r="AS69" s="8">
        <v>1466417.73</v>
      </c>
      <c r="AT69" s="8">
        <v>816700</v>
      </c>
      <c r="AU69" s="9">
        <f t="shared" si="315"/>
        <v>17441913.427500002</v>
      </c>
      <c r="AV69" s="9">
        <f t="shared" si="316"/>
        <v>247.93053912579961</v>
      </c>
      <c r="AW69" s="9">
        <f t="shared" si="317"/>
        <v>323.56763616547636</v>
      </c>
      <c r="AX69" s="8">
        <v>6</v>
      </c>
      <c r="AY69" s="9">
        <f t="shared" si="318"/>
        <v>1.023454157782516</v>
      </c>
      <c r="AZ69" s="8">
        <v>11</v>
      </c>
      <c r="BA69" s="8">
        <v>194</v>
      </c>
      <c r="BB69" s="8">
        <v>34</v>
      </c>
      <c r="BC69" s="8">
        <v>21</v>
      </c>
      <c r="BD69" s="8">
        <v>7</v>
      </c>
      <c r="BE69" s="9">
        <f t="shared" si="319"/>
        <v>28</v>
      </c>
      <c r="BF69" s="9">
        <f t="shared" si="320"/>
        <v>200</v>
      </c>
      <c r="BG69" s="8">
        <v>0</v>
      </c>
      <c r="BH69" s="8">
        <v>0</v>
      </c>
      <c r="BI69" s="8">
        <v>0</v>
      </c>
      <c r="BJ69" s="8">
        <v>0</v>
      </c>
      <c r="BK69" s="9">
        <f t="shared" si="321"/>
        <v>0</v>
      </c>
      <c r="BL69" s="9">
        <f t="shared" si="322"/>
        <v>0</v>
      </c>
      <c r="BM69" s="8">
        <v>7</v>
      </c>
      <c r="BN69" s="8">
        <v>0</v>
      </c>
      <c r="BO69" s="8">
        <v>0</v>
      </c>
      <c r="BP69" s="8">
        <v>0</v>
      </c>
      <c r="BQ69" s="9">
        <f t="shared" si="323"/>
        <v>0</v>
      </c>
      <c r="BR69" s="9">
        <f t="shared" si="324"/>
        <v>7</v>
      </c>
      <c r="BS69" s="8">
        <v>0</v>
      </c>
      <c r="BT69" s="8">
        <v>0</v>
      </c>
      <c r="BU69" s="8">
        <v>0</v>
      </c>
      <c r="BV69" s="8">
        <v>0</v>
      </c>
      <c r="BW69" s="9">
        <f t="shared" si="325"/>
        <v>0</v>
      </c>
      <c r="BX69" s="9">
        <f t="shared" si="326"/>
        <v>0</v>
      </c>
      <c r="BY69" s="9">
        <f t="shared" si="327"/>
        <v>201</v>
      </c>
      <c r="BZ69" s="9">
        <f t="shared" si="328"/>
        <v>34</v>
      </c>
      <c r="CA69" s="9">
        <f t="shared" si="329"/>
        <v>28</v>
      </c>
      <c r="CB69" s="9">
        <f t="shared" si="330"/>
        <v>207</v>
      </c>
      <c r="CC69" s="8">
        <v>7</v>
      </c>
      <c r="CD69" s="8">
        <v>423</v>
      </c>
      <c r="CE69" s="8">
        <v>17</v>
      </c>
      <c r="CF69" s="8">
        <v>22</v>
      </c>
      <c r="CG69" s="8">
        <v>3</v>
      </c>
      <c r="CH69" s="9">
        <f t="shared" si="331"/>
        <v>465</v>
      </c>
      <c r="CI69" s="8">
        <v>1474</v>
      </c>
      <c r="CJ69" s="8">
        <v>11</v>
      </c>
      <c r="CK69" s="8">
        <v>0</v>
      </c>
      <c r="CL69" s="8">
        <v>0</v>
      </c>
      <c r="CM69" s="9">
        <f t="shared" si="332"/>
        <v>1485</v>
      </c>
      <c r="CN69" s="8">
        <v>636</v>
      </c>
      <c r="CO69" s="8">
        <v>44</v>
      </c>
      <c r="CP69" s="8">
        <v>84</v>
      </c>
      <c r="CQ69" s="8">
        <v>21</v>
      </c>
      <c r="CR69" s="9">
        <f t="shared" si="333"/>
        <v>785</v>
      </c>
      <c r="CS69" s="9">
        <f t="shared" si="334"/>
        <v>2270</v>
      </c>
      <c r="CT69" s="8">
        <v>2735</v>
      </c>
      <c r="CU69" s="8">
        <v>50891</v>
      </c>
      <c r="CV69" s="8">
        <v>17822</v>
      </c>
      <c r="CW69" s="10">
        <f t="shared" si="335"/>
        <v>0.35019944587451612</v>
      </c>
      <c r="CX69" s="8"/>
      <c r="CY69" s="8"/>
      <c r="CZ69" s="8"/>
      <c r="DA69" s="8"/>
      <c r="DB69" s="9">
        <f t="shared" si="336"/>
        <v>0</v>
      </c>
      <c r="DC69" s="8">
        <v>0</v>
      </c>
      <c r="DD69" s="8">
        <v>0</v>
      </c>
      <c r="DE69" s="8">
        <v>0</v>
      </c>
      <c r="DF69" s="8">
        <v>0</v>
      </c>
      <c r="DG69" s="9">
        <f t="shared" si="337"/>
        <v>0</v>
      </c>
      <c r="DH69" s="8">
        <v>0</v>
      </c>
      <c r="DI69" s="8">
        <v>0</v>
      </c>
      <c r="DJ69" s="8">
        <v>0</v>
      </c>
      <c r="DK69" s="8">
        <v>0</v>
      </c>
      <c r="DL69" s="9">
        <f t="shared" si="338"/>
        <v>0</v>
      </c>
      <c r="DM69" s="8">
        <v>46</v>
      </c>
      <c r="DN69" s="8">
        <v>11</v>
      </c>
      <c r="DO69" s="8">
        <v>5</v>
      </c>
      <c r="DP69" s="8">
        <v>1</v>
      </c>
      <c r="DQ69" s="9">
        <f t="shared" si="339"/>
        <v>51</v>
      </c>
      <c r="DR69" s="9">
        <f t="shared" si="340"/>
        <v>46</v>
      </c>
      <c r="DS69" s="9">
        <f t="shared" si="341"/>
        <v>11</v>
      </c>
      <c r="DT69" s="9">
        <f t="shared" si="342"/>
        <v>5</v>
      </c>
      <c r="DU69" s="9">
        <f t="shared" si="343"/>
        <v>1</v>
      </c>
      <c r="DV69" s="9">
        <f t="shared" si="344"/>
        <v>51</v>
      </c>
      <c r="DW69" s="8">
        <v>25</v>
      </c>
      <c r="DX69" s="8">
        <v>6</v>
      </c>
      <c r="DY69" s="8">
        <v>6</v>
      </c>
      <c r="DZ69" s="8">
        <v>3</v>
      </c>
      <c r="EA69" s="8">
        <v>0</v>
      </c>
      <c r="EB69" s="8">
        <v>3</v>
      </c>
      <c r="EC69" s="8">
        <v>1</v>
      </c>
      <c r="ED69" s="8">
        <v>2</v>
      </c>
      <c r="EE69" s="8">
        <v>1</v>
      </c>
      <c r="EF69" s="8">
        <v>0</v>
      </c>
      <c r="EG69" s="8">
        <v>0</v>
      </c>
      <c r="EH69" s="8">
        <v>0</v>
      </c>
      <c r="EI69" s="8">
        <v>0</v>
      </c>
      <c r="EJ69" s="8">
        <v>2</v>
      </c>
      <c r="EK69" s="8">
        <v>1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0</v>
      </c>
      <c r="EV69" s="8">
        <v>0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9">
        <f t="shared" si="345"/>
        <v>50</v>
      </c>
      <c r="FH69" s="8">
        <v>6</v>
      </c>
      <c r="FI69" s="8">
        <v>640</v>
      </c>
      <c r="FJ69" s="8">
        <v>24</v>
      </c>
      <c r="FK69" s="8">
        <v>104</v>
      </c>
      <c r="FL69" s="8">
        <v>0</v>
      </c>
      <c r="FM69" s="8">
        <v>0</v>
      </c>
      <c r="FN69" s="8">
        <v>0</v>
      </c>
      <c r="FO69" s="8">
        <v>0</v>
      </c>
      <c r="FP69" s="8">
        <v>0</v>
      </c>
      <c r="FQ69" s="9">
        <f t="shared" si="346"/>
        <v>0</v>
      </c>
      <c r="FR69" s="8">
        <v>30605204</v>
      </c>
      <c r="FS69" s="8">
        <v>0</v>
      </c>
      <c r="FT69" s="8">
        <v>0</v>
      </c>
      <c r="FU69" s="8">
        <v>72000</v>
      </c>
      <c r="FV69" s="9">
        <f t="shared" si="347"/>
        <v>30677204</v>
      </c>
      <c r="FW69" s="8">
        <v>7892850</v>
      </c>
      <c r="FX69" s="8">
        <v>314020</v>
      </c>
      <c r="FY69" s="8">
        <v>4488450</v>
      </c>
      <c r="FZ69" s="8">
        <v>12529020</v>
      </c>
      <c r="GA69" s="9">
        <f t="shared" si="348"/>
        <v>25224340</v>
      </c>
      <c r="GB69" s="9">
        <f t="shared" si="349"/>
        <v>55901544</v>
      </c>
      <c r="GC69" s="8">
        <v>21008600</v>
      </c>
      <c r="GD69" s="8">
        <v>0</v>
      </c>
      <c r="GE69" s="8">
        <v>66589799.380000003</v>
      </c>
      <c r="GF69" s="8">
        <v>0</v>
      </c>
      <c r="GG69" s="9">
        <f t="shared" si="350"/>
        <v>87598399.379999995</v>
      </c>
      <c r="GH69" s="8">
        <v>7697963.5499999998</v>
      </c>
      <c r="GI69" s="8">
        <v>314020</v>
      </c>
      <c r="GJ69" s="8">
        <v>9514131.8499999996</v>
      </c>
      <c r="GK69" s="8">
        <v>4386210</v>
      </c>
      <c r="GL69" s="9">
        <f t="shared" si="351"/>
        <v>21912325.399999999</v>
      </c>
      <c r="GM69" s="9">
        <f t="shared" si="352"/>
        <v>109510724.78</v>
      </c>
      <c r="GN69" s="8">
        <v>750439</v>
      </c>
      <c r="GO69" s="8">
        <v>0</v>
      </c>
      <c r="GP69" s="8">
        <v>37330.04</v>
      </c>
      <c r="GQ69" s="8">
        <v>0</v>
      </c>
      <c r="GR69" s="9">
        <f t="shared" si="353"/>
        <v>787769.04</v>
      </c>
      <c r="GS69" s="8">
        <v>1316282</v>
      </c>
      <c r="GT69" s="8">
        <v>0</v>
      </c>
      <c r="GU69" s="8">
        <v>9823</v>
      </c>
      <c r="GV69" s="8">
        <v>0</v>
      </c>
      <c r="GW69" s="9">
        <f t="shared" si="354"/>
        <v>1326105</v>
      </c>
      <c r="GX69" s="9">
        <f t="shared" si="355"/>
        <v>111624598.82000001</v>
      </c>
      <c r="GY69" s="8">
        <v>14729676.03000004</v>
      </c>
      <c r="GZ69" s="8">
        <v>421433204.43000013</v>
      </c>
      <c r="HA69" s="9">
        <f t="shared" si="356"/>
        <v>436162880.46000016</v>
      </c>
      <c r="HB69" s="9">
        <f t="shared" si="357"/>
        <v>0.15625510516392466</v>
      </c>
      <c r="HC69" s="10">
        <f t="shared" si="358"/>
        <v>0.44241909556572456</v>
      </c>
      <c r="HD69" s="9">
        <f t="shared" si="359"/>
        <v>0.50079950647924754</v>
      </c>
      <c r="HE69" s="8">
        <v>41</v>
      </c>
      <c r="HF69" s="8">
        <v>1</v>
      </c>
      <c r="HG69" s="8">
        <v>207</v>
      </c>
      <c r="HH69" s="8">
        <v>34</v>
      </c>
      <c r="HI69" s="8">
        <v>30</v>
      </c>
      <c r="HJ69" s="9">
        <f t="shared" si="360"/>
        <v>31</v>
      </c>
      <c r="HK69" s="10">
        <f t="shared" si="361"/>
        <v>0.82926829268292679</v>
      </c>
      <c r="HL69" s="8">
        <v>91</v>
      </c>
      <c r="HM69" s="8">
        <v>24</v>
      </c>
      <c r="HN69" s="11">
        <f t="shared" si="362"/>
        <v>0.26373626373626374</v>
      </c>
    </row>
    <row r="70" spans="1:222" x14ac:dyDescent="0.3">
      <c r="A70" s="12" t="s">
        <v>276</v>
      </c>
      <c r="B70" s="12" t="s">
        <v>277</v>
      </c>
      <c r="C70" s="13" t="s">
        <v>257</v>
      </c>
      <c r="D70" s="13">
        <v>2025</v>
      </c>
      <c r="E70" s="13">
        <v>11</v>
      </c>
      <c r="F70" s="13" t="s">
        <v>268</v>
      </c>
      <c r="G70" s="13" t="s">
        <v>267</v>
      </c>
      <c r="H70" s="14">
        <v>64812</v>
      </c>
      <c r="I70" s="14">
        <v>22245</v>
      </c>
      <c r="J70" s="14">
        <v>0</v>
      </c>
      <c r="K70" s="14">
        <v>15448</v>
      </c>
      <c r="L70" s="14">
        <v>0</v>
      </c>
      <c r="M70" s="15">
        <f t="shared" si="302"/>
        <v>37693</v>
      </c>
      <c r="N70" s="14">
        <v>5788</v>
      </c>
      <c r="O70" s="14">
        <v>1139</v>
      </c>
      <c r="P70" s="14">
        <v>3614</v>
      </c>
      <c r="Q70" s="14">
        <v>880</v>
      </c>
      <c r="R70" s="15">
        <f t="shared" si="303"/>
        <v>11421</v>
      </c>
      <c r="S70" s="15">
        <f t="shared" si="304"/>
        <v>49114</v>
      </c>
      <c r="T70" s="14">
        <v>15698</v>
      </c>
      <c r="U70" s="16">
        <f t="shared" si="305"/>
        <v>0.24220823304326358</v>
      </c>
      <c r="V70" s="14">
        <v>155</v>
      </c>
      <c r="W70" s="17">
        <f t="shared" si="306"/>
        <v>2.39153243226563E-3</v>
      </c>
      <c r="X70" s="14">
        <v>0</v>
      </c>
      <c r="Y70" s="17">
        <f t="shared" si="307"/>
        <v>0</v>
      </c>
      <c r="Z70" s="14">
        <v>0</v>
      </c>
      <c r="AA70" s="17">
        <f t="shared" si="308"/>
        <v>0</v>
      </c>
      <c r="AB70" s="14">
        <v>0</v>
      </c>
      <c r="AC70" s="17">
        <f t="shared" si="309"/>
        <v>0</v>
      </c>
      <c r="AD70" s="14">
        <v>0</v>
      </c>
      <c r="AE70" s="17">
        <f t="shared" si="310"/>
        <v>0</v>
      </c>
      <c r="AF70" s="14">
        <v>0</v>
      </c>
      <c r="AG70" s="17">
        <f t="shared" si="311"/>
        <v>0</v>
      </c>
      <c r="AH70" s="14">
        <v>3709010.5</v>
      </c>
      <c r="AI70" s="15">
        <f t="shared" si="312"/>
        <v>57.227218724927482</v>
      </c>
      <c r="AJ70" s="14">
        <v>35526</v>
      </c>
      <c r="AK70" s="17">
        <f t="shared" si="313"/>
        <v>0.54813923347528237</v>
      </c>
      <c r="AL70" s="14">
        <v>5958486.8650000002</v>
      </c>
      <c r="AM70" s="15">
        <f t="shared" si="314"/>
        <v>91.934932805653276</v>
      </c>
      <c r="AN70" s="14">
        <v>1130</v>
      </c>
      <c r="AO70" s="14">
        <v>126</v>
      </c>
      <c r="AP70" s="14">
        <v>442400</v>
      </c>
      <c r="AQ70" s="14">
        <v>0</v>
      </c>
      <c r="AR70" s="14">
        <v>5617</v>
      </c>
      <c r="AS70" s="14">
        <v>1497614.88</v>
      </c>
      <c r="AT70" s="14">
        <v>825420</v>
      </c>
      <c r="AU70" s="15">
        <f t="shared" si="315"/>
        <v>12438549.245000001</v>
      </c>
      <c r="AV70" s="15">
        <f t="shared" si="316"/>
        <v>191.91738019193977</v>
      </c>
      <c r="AW70" s="15">
        <f t="shared" si="317"/>
        <v>253.25872958830479</v>
      </c>
      <c r="AX70" s="14">
        <v>6</v>
      </c>
      <c r="AY70" s="15">
        <f t="shared" si="318"/>
        <v>1.1109053878911312</v>
      </c>
      <c r="AZ70" s="14">
        <v>11</v>
      </c>
      <c r="BA70" s="14">
        <v>200</v>
      </c>
      <c r="BB70" s="14">
        <v>30</v>
      </c>
      <c r="BC70" s="14">
        <v>3</v>
      </c>
      <c r="BD70" s="14">
        <v>0</v>
      </c>
      <c r="BE70" s="15">
        <f t="shared" si="319"/>
        <v>3</v>
      </c>
      <c r="BF70" s="15">
        <f t="shared" si="320"/>
        <v>227</v>
      </c>
      <c r="BG70" s="14">
        <v>0</v>
      </c>
      <c r="BH70" s="14">
        <v>0</v>
      </c>
      <c r="BI70" s="14">
        <v>0</v>
      </c>
      <c r="BJ70" s="14">
        <v>0</v>
      </c>
      <c r="BK70" s="15">
        <f t="shared" si="321"/>
        <v>0</v>
      </c>
      <c r="BL70" s="15">
        <f t="shared" si="322"/>
        <v>0</v>
      </c>
      <c r="BM70" s="14">
        <v>7</v>
      </c>
      <c r="BN70" s="14">
        <v>0</v>
      </c>
      <c r="BO70" s="14">
        <v>0</v>
      </c>
      <c r="BP70" s="14">
        <v>0</v>
      </c>
      <c r="BQ70" s="15">
        <f t="shared" si="323"/>
        <v>0</v>
      </c>
      <c r="BR70" s="15">
        <f t="shared" si="324"/>
        <v>7</v>
      </c>
      <c r="BS70" s="14">
        <v>0</v>
      </c>
      <c r="BT70" s="14">
        <v>0</v>
      </c>
      <c r="BU70" s="14">
        <v>0</v>
      </c>
      <c r="BV70" s="14">
        <v>0</v>
      </c>
      <c r="BW70" s="15">
        <f t="shared" si="325"/>
        <v>0</v>
      </c>
      <c r="BX70" s="15">
        <f t="shared" si="326"/>
        <v>0</v>
      </c>
      <c r="BY70" s="15">
        <f t="shared" si="327"/>
        <v>207</v>
      </c>
      <c r="BZ70" s="15">
        <f t="shared" si="328"/>
        <v>30</v>
      </c>
      <c r="CA70" s="15">
        <f t="shared" si="329"/>
        <v>3</v>
      </c>
      <c r="CB70" s="15">
        <f t="shared" si="330"/>
        <v>234</v>
      </c>
      <c r="CC70" s="14">
        <v>11</v>
      </c>
      <c r="CD70" s="14">
        <v>441</v>
      </c>
      <c r="CE70" s="14">
        <v>17</v>
      </c>
      <c r="CF70" s="14">
        <v>22</v>
      </c>
      <c r="CG70" s="14">
        <v>3</v>
      </c>
      <c r="CH70" s="15">
        <f t="shared" si="331"/>
        <v>483</v>
      </c>
      <c r="CI70" s="14">
        <v>1456</v>
      </c>
      <c r="CJ70" s="14">
        <v>11</v>
      </c>
      <c r="CK70" s="14">
        <v>0</v>
      </c>
      <c r="CL70" s="14">
        <v>0</v>
      </c>
      <c r="CM70" s="15">
        <f t="shared" si="332"/>
        <v>1467</v>
      </c>
      <c r="CN70" s="14">
        <v>647</v>
      </c>
      <c r="CO70" s="14">
        <v>44</v>
      </c>
      <c r="CP70" s="14">
        <v>84</v>
      </c>
      <c r="CQ70" s="14">
        <v>21</v>
      </c>
      <c r="CR70" s="15">
        <f t="shared" si="333"/>
        <v>796</v>
      </c>
      <c r="CS70" s="15">
        <f t="shared" si="334"/>
        <v>2263</v>
      </c>
      <c r="CT70" s="14">
        <v>2746</v>
      </c>
      <c r="CU70" s="14">
        <v>21608</v>
      </c>
      <c r="CV70" s="14">
        <v>17877</v>
      </c>
      <c r="CW70" s="16">
        <f t="shared" si="335"/>
        <v>0.82733246945575711</v>
      </c>
      <c r="CX70" s="14"/>
      <c r="CY70" s="14"/>
      <c r="CZ70" s="14"/>
      <c r="DA70" s="14"/>
      <c r="DB70" s="15">
        <f t="shared" si="336"/>
        <v>0</v>
      </c>
      <c r="DC70" s="14">
        <v>0</v>
      </c>
      <c r="DD70" s="14">
        <v>0</v>
      </c>
      <c r="DE70" s="14">
        <v>0</v>
      </c>
      <c r="DF70" s="14">
        <v>0</v>
      </c>
      <c r="DG70" s="15">
        <f t="shared" si="337"/>
        <v>0</v>
      </c>
      <c r="DH70" s="14">
        <v>0</v>
      </c>
      <c r="DI70" s="14">
        <v>0</v>
      </c>
      <c r="DJ70" s="14">
        <v>0</v>
      </c>
      <c r="DK70" s="14">
        <v>0</v>
      </c>
      <c r="DL70" s="15">
        <f t="shared" si="338"/>
        <v>0</v>
      </c>
      <c r="DM70" s="14">
        <v>51</v>
      </c>
      <c r="DN70" s="14">
        <v>1</v>
      </c>
      <c r="DO70" s="14">
        <v>0</v>
      </c>
      <c r="DP70" s="14">
        <v>10</v>
      </c>
      <c r="DQ70" s="15">
        <f t="shared" si="339"/>
        <v>42</v>
      </c>
      <c r="DR70" s="15">
        <f t="shared" si="340"/>
        <v>51</v>
      </c>
      <c r="DS70" s="15">
        <f t="shared" si="341"/>
        <v>1</v>
      </c>
      <c r="DT70" s="15">
        <f t="shared" si="342"/>
        <v>0</v>
      </c>
      <c r="DU70" s="15">
        <f t="shared" si="343"/>
        <v>10</v>
      </c>
      <c r="DV70" s="15">
        <f t="shared" si="344"/>
        <v>42</v>
      </c>
      <c r="DW70" s="14">
        <v>19</v>
      </c>
      <c r="DX70" s="14">
        <v>3</v>
      </c>
      <c r="DY70" s="14">
        <v>5</v>
      </c>
      <c r="DZ70" s="14">
        <v>4</v>
      </c>
      <c r="EA70" s="14">
        <v>2</v>
      </c>
      <c r="EB70" s="14">
        <v>3</v>
      </c>
      <c r="EC70" s="14">
        <v>2</v>
      </c>
      <c r="ED70" s="14">
        <v>0</v>
      </c>
      <c r="EE70" s="14">
        <v>1</v>
      </c>
      <c r="EF70" s="14">
        <v>0</v>
      </c>
      <c r="EG70" s="14">
        <v>0</v>
      </c>
      <c r="EH70" s="14">
        <v>0</v>
      </c>
      <c r="EI70" s="14">
        <v>0</v>
      </c>
      <c r="EJ70" s="14">
        <v>3</v>
      </c>
      <c r="EK70" s="14">
        <v>1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5">
        <f t="shared" si="345"/>
        <v>43</v>
      </c>
      <c r="FH70" s="14">
        <v>6</v>
      </c>
      <c r="FI70" s="14">
        <v>609</v>
      </c>
      <c r="FJ70" s="14">
        <v>24</v>
      </c>
      <c r="FK70" s="14">
        <v>113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5">
        <f t="shared" si="346"/>
        <v>0</v>
      </c>
      <c r="FR70" s="14">
        <v>17308156.199999999</v>
      </c>
      <c r="FS70" s="14">
        <v>0</v>
      </c>
      <c r="FT70" s="14">
        <v>0</v>
      </c>
      <c r="FU70" s="14">
        <v>0</v>
      </c>
      <c r="FV70" s="15">
        <f t="shared" si="347"/>
        <v>17308156.199999999</v>
      </c>
      <c r="FW70" s="14">
        <v>8366591</v>
      </c>
      <c r="FX70" s="14">
        <v>241900</v>
      </c>
      <c r="FY70" s="14">
        <v>4285900</v>
      </c>
      <c r="FZ70" s="14">
        <v>10990920</v>
      </c>
      <c r="GA70" s="15">
        <f t="shared" si="348"/>
        <v>23885311</v>
      </c>
      <c r="GB70" s="15">
        <f t="shared" si="349"/>
        <v>41193467.200000003</v>
      </c>
      <c r="GC70" s="14">
        <v>20495556.93</v>
      </c>
      <c r="GD70" s="14">
        <v>0</v>
      </c>
      <c r="GE70" s="14">
        <v>53332675.009999998</v>
      </c>
      <c r="GF70" s="14">
        <v>0</v>
      </c>
      <c r="GG70" s="15">
        <f t="shared" si="350"/>
        <v>73828231.939999998</v>
      </c>
      <c r="GH70" s="14">
        <v>7241739.7699999996</v>
      </c>
      <c r="GI70" s="14">
        <v>241900</v>
      </c>
      <c r="GJ70" s="14">
        <v>10984920</v>
      </c>
      <c r="GK70" s="14">
        <v>4068087.61</v>
      </c>
      <c r="GL70" s="15">
        <f t="shared" si="351"/>
        <v>22536647.379999999</v>
      </c>
      <c r="GM70" s="15">
        <f t="shared" si="352"/>
        <v>96364879.319999993</v>
      </c>
      <c r="GN70" s="14">
        <v>741450</v>
      </c>
      <c r="GO70" s="14">
        <v>0</v>
      </c>
      <c r="GP70" s="14">
        <v>37330</v>
      </c>
      <c r="GQ70" s="14">
        <v>0</v>
      </c>
      <c r="GR70" s="15">
        <f t="shared" si="353"/>
        <v>778780</v>
      </c>
      <c r="GS70" s="14">
        <v>1300208</v>
      </c>
      <c r="GT70" s="14">
        <v>0</v>
      </c>
      <c r="GU70" s="14">
        <v>9823</v>
      </c>
      <c r="GV70" s="14">
        <v>0</v>
      </c>
      <c r="GW70" s="15">
        <f t="shared" si="354"/>
        <v>1310031</v>
      </c>
      <c r="GX70" s="15">
        <f t="shared" si="355"/>
        <v>98453690.319999993</v>
      </c>
      <c r="GY70" s="14">
        <v>10060075.00000063</v>
      </c>
      <c r="GZ70" s="14">
        <v>472502097.29000032</v>
      </c>
      <c r="HA70" s="15">
        <f t="shared" si="356"/>
        <v>482562172.29000098</v>
      </c>
      <c r="HB70" s="15">
        <f t="shared" si="357"/>
        <v>0.12633908596591448</v>
      </c>
      <c r="HC70" s="16">
        <f t="shared" si="358"/>
        <v>0.37961513065667685</v>
      </c>
      <c r="HD70" s="15">
        <f t="shared" si="359"/>
        <v>0.41840450130523871</v>
      </c>
      <c r="HE70" s="14">
        <v>39</v>
      </c>
      <c r="HF70" s="14">
        <v>1</v>
      </c>
      <c r="HG70" s="14">
        <v>234</v>
      </c>
      <c r="HH70" s="14">
        <v>30</v>
      </c>
      <c r="HI70" s="14">
        <v>30</v>
      </c>
      <c r="HJ70" s="15">
        <f t="shared" si="360"/>
        <v>31</v>
      </c>
      <c r="HK70" s="16">
        <f t="shared" si="361"/>
        <v>0.76923076923076927</v>
      </c>
      <c r="HL70" s="14">
        <v>93</v>
      </c>
      <c r="HM70" s="14">
        <v>24</v>
      </c>
      <c r="HN70" s="17">
        <f t="shared" si="362"/>
        <v>0.25806451612903225</v>
      </c>
    </row>
    <row r="71" spans="1:222" x14ac:dyDescent="0.3">
      <c r="A71" s="6" t="s">
        <v>276</v>
      </c>
      <c r="B71" s="6" t="s">
        <v>277</v>
      </c>
      <c r="C71" s="7" t="s">
        <v>257</v>
      </c>
      <c r="D71" s="7">
        <v>2025</v>
      </c>
      <c r="E71" s="7">
        <v>12</v>
      </c>
      <c r="F71" s="7" t="s">
        <v>269</v>
      </c>
      <c r="G71" s="7" t="s">
        <v>267</v>
      </c>
      <c r="H71" s="8">
        <v>59173</v>
      </c>
      <c r="I71" s="8">
        <v>19708</v>
      </c>
      <c r="J71" s="8">
        <v>0</v>
      </c>
      <c r="K71" s="8">
        <v>23469</v>
      </c>
      <c r="L71" s="8">
        <v>0</v>
      </c>
      <c r="M71" s="9">
        <f t="shared" si="302"/>
        <v>43177</v>
      </c>
      <c r="N71" s="8">
        <v>5927.7</v>
      </c>
      <c r="O71" s="8">
        <v>1199.5</v>
      </c>
      <c r="P71" s="8">
        <v>1990.2</v>
      </c>
      <c r="Q71" s="8">
        <v>501</v>
      </c>
      <c r="R71" s="9">
        <f t="shared" si="303"/>
        <v>9618.4</v>
      </c>
      <c r="S71" s="9">
        <f t="shared" si="304"/>
        <v>52795.4</v>
      </c>
      <c r="T71" s="8">
        <v>6377.6</v>
      </c>
      <c r="U71" s="10">
        <f t="shared" si="305"/>
        <v>0.10777888564041033</v>
      </c>
      <c r="V71" s="8">
        <v>155</v>
      </c>
      <c r="W71" s="11">
        <f t="shared" si="306"/>
        <v>2.6194379193213123E-3</v>
      </c>
      <c r="X71" s="8">
        <v>0</v>
      </c>
      <c r="Y71" s="11">
        <f t="shared" si="307"/>
        <v>0</v>
      </c>
      <c r="Z71" s="8">
        <v>0</v>
      </c>
      <c r="AA71" s="11">
        <f t="shared" si="308"/>
        <v>0</v>
      </c>
      <c r="AB71" s="8">
        <v>0</v>
      </c>
      <c r="AC71" s="11">
        <f t="shared" si="309"/>
        <v>0</v>
      </c>
      <c r="AD71" s="8">
        <v>0</v>
      </c>
      <c r="AE71" s="11">
        <f t="shared" si="310"/>
        <v>0</v>
      </c>
      <c r="AF71" s="8">
        <v>0</v>
      </c>
      <c r="AG71" s="11">
        <f t="shared" si="311"/>
        <v>0</v>
      </c>
      <c r="AH71" s="8">
        <v>3709010.5</v>
      </c>
      <c r="AI71" s="9">
        <f t="shared" si="312"/>
        <v>62.680791915231609</v>
      </c>
      <c r="AJ71" s="8">
        <v>30451</v>
      </c>
      <c r="AK71" s="11">
        <f t="shared" si="313"/>
        <v>0.51460970375002113</v>
      </c>
      <c r="AL71" s="8">
        <v>5110061.0525000002</v>
      </c>
      <c r="AM71" s="9">
        <f t="shared" si="314"/>
        <v>86.35798510300306</v>
      </c>
      <c r="AN71" s="8">
        <v>3453</v>
      </c>
      <c r="AO71" s="8">
        <v>323.27999999999997</v>
      </c>
      <c r="AP71" s="8">
        <v>1130500</v>
      </c>
      <c r="AQ71" s="8">
        <v>0</v>
      </c>
      <c r="AR71" s="8">
        <v>3970346.15</v>
      </c>
      <c r="AS71" s="8">
        <v>1407809.48</v>
      </c>
      <c r="AT71" s="8">
        <v>826530</v>
      </c>
      <c r="AU71" s="9">
        <f t="shared" si="315"/>
        <v>16154257.182500001</v>
      </c>
      <c r="AV71" s="9">
        <f t="shared" si="316"/>
        <v>273.00047627296237</v>
      </c>
      <c r="AW71" s="9">
        <f t="shared" si="317"/>
        <v>305.97849779526246</v>
      </c>
      <c r="AX71" s="8">
        <v>4</v>
      </c>
      <c r="AY71" s="9">
        <f t="shared" si="318"/>
        <v>0.81118077501563213</v>
      </c>
      <c r="AZ71" s="8">
        <v>11</v>
      </c>
      <c r="BA71" s="8">
        <v>227</v>
      </c>
      <c r="BB71" s="8">
        <v>13</v>
      </c>
      <c r="BC71" s="8">
        <v>3</v>
      </c>
      <c r="BD71" s="8">
        <v>0</v>
      </c>
      <c r="BE71" s="9">
        <f t="shared" si="319"/>
        <v>3</v>
      </c>
      <c r="BF71" s="9">
        <f t="shared" si="320"/>
        <v>237</v>
      </c>
      <c r="BG71" s="8">
        <v>0</v>
      </c>
      <c r="BH71" s="8">
        <v>0</v>
      </c>
      <c r="BI71" s="8">
        <v>0</v>
      </c>
      <c r="BJ71" s="8">
        <v>0</v>
      </c>
      <c r="BK71" s="9">
        <f t="shared" si="321"/>
        <v>0</v>
      </c>
      <c r="BL71" s="9">
        <f t="shared" si="322"/>
        <v>0</v>
      </c>
      <c r="BM71" s="8">
        <v>7</v>
      </c>
      <c r="BN71" s="8">
        <v>0</v>
      </c>
      <c r="BO71" s="8">
        <v>0</v>
      </c>
      <c r="BP71" s="8">
        <v>0</v>
      </c>
      <c r="BQ71" s="9">
        <f t="shared" si="323"/>
        <v>0</v>
      </c>
      <c r="BR71" s="9">
        <f t="shared" si="324"/>
        <v>7</v>
      </c>
      <c r="BS71" s="8">
        <v>0</v>
      </c>
      <c r="BT71" s="8">
        <v>0</v>
      </c>
      <c r="BU71" s="8">
        <v>0</v>
      </c>
      <c r="BV71" s="8">
        <v>0</v>
      </c>
      <c r="BW71" s="9">
        <f t="shared" si="325"/>
        <v>0</v>
      </c>
      <c r="BX71" s="9">
        <f t="shared" si="326"/>
        <v>0</v>
      </c>
      <c r="BY71" s="9">
        <f t="shared" si="327"/>
        <v>234</v>
      </c>
      <c r="BZ71" s="9">
        <f t="shared" si="328"/>
        <v>13</v>
      </c>
      <c r="CA71" s="9">
        <f t="shared" si="329"/>
        <v>3</v>
      </c>
      <c r="CB71" s="9">
        <f t="shared" si="330"/>
        <v>244</v>
      </c>
      <c r="CC71" s="8">
        <v>3</v>
      </c>
      <c r="CD71" s="8">
        <v>432</v>
      </c>
      <c r="CE71" s="8">
        <v>17</v>
      </c>
      <c r="CF71" s="8">
        <v>22</v>
      </c>
      <c r="CG71" s="8">
        <v>3</v>
      </c>
      <c r="CH71" s="9">
        <f t="shared" si="331"/>
        <v>474</v>
      </c>
      <c r="CI71" s="8">
        <v>1465</v>
      </c>
      <c r="CJ71" s="8">
        <v>11</v>
      </c>
      <c r="CK71" s="8">
        <v>0</v>
      </c>
      <c r="CL71" s="8">
        <v>0</v>
      </c>
      <c r="CM71" s="9">
        <f t="shared" si="332"/>
        <v>1476</v>
      </c>
      <c r="CN71" s="8">
        <v>647</v>
      </c>
      <c r="CO71" s="8">
        <v>44</v>
      </c>
      <c r="CP71" s="8">
        <v>84</v>
      </c>
      <c r="CQ71" s="8">
        <v>21</v>
      </c>
      <c r="CR71" s="9">
        <f t="shared" si="333"/>
        <v>796</v>
      </c>
      <c r="CS71" s="9">
        <f t="shared" si="334"/>
        <v>2272</v>
      </c>
      <c r="CT71" s="8">
        <v>2746</v>
      </c>
      <c r="CU71" s="8">
        <v>21643</v>
      </c>
      <c r="CV71" s="8">
        <v>17892</v>
      </c>
      <c r="CW71" s="10">
        <f t="shared" si="335"/>
        <v>0.82668761262301904</v>
      </c>
      <c r="CX71" s="8"/>
      <c r="CY71" s="8"/>
      <c r="CZ71" s="8"/>
      <c r="DA71" s="8"/>
      <c r="DB71" s="9">
        <f t="shared" si="336"/>
        <v>0</v>
      </c>
      <c r="DC71" s="8">
        <v>0</v>
      </c>
      <c r="DD71" s="8">
        <v>0</v>
      </c>
      <c r="DE71" s="8">
        <v>0</v>
      </c>
      <c r="DF71" s="8">
        <v>0</v>
      </c>
      <c r="DG71" s="9">
        <f t="shared" si="337"/>
        <v>0</v>
      </c>
      <c r="DH71" s="8">
        <v>0</v>
      </c>
      <c r="DI71" s="8">
        <v>0</v>
      </c>
      <c r="DJ71" s="8">
        <v>0</v>
      </c>
      <c r="DK71" s="8">
        <v>0</v>
      </c>
      <c r="DL71" s="9">
        <f t="shared" si="338"/>
        <v>0</v>
      </c>
      <c r="DM71" s="8">
        <v>42</v>
      </c>
      <c r="DN71" s="8">
        <v>1</v>
      </c>
      <c r="DO71" s="8">
        <v>29</v>
      </c>
      <c r="DP71" s="8">
        <v>0</v>
      </c>
      <c r="DQ71" s="9">
        <f t="shared" si="339"/>
        <v>14</v>
      </c>
      <c r="DR71" s="9">
        <f t="shared" si="340"/>
        <v>42</v>
      </c>
      <c r="DS71" s="9">
        <f t="shared" si="341"/>
        <v>1</v>
      </c>
      <c r="DT71" s="9">
        <f t="shared" si="342"/>
        <v>29</v>
      </c>
      <c r="DU71" s="9">
        <f t="shared" si="343"/>
        <v>0</v>
      </c>
      <c r="DV71" s="9">
        <f t="shared" si="344"/>
        <v>14</v>
      </c>
      <c r="DW71" s="8">
        <v>28</v>
      </c>
      <c r="DX71" s="8">
        <v>8</v>
      </c>
      <c r="DY71" s="8">
        <v>12</v>
      </c>
      <c r="DZ71" s="8">
        <v>0</v>
      </c>
      <c r="EA71" s="8">
        <v>0</v>
      </c>
      <c r="EB71" s="8">
        <v>4</v>
      </c>
      <c r="EC71" s="8">
        <v>0</v>
      </c>
      <c r="ED71" s="8">
        <v>0</v>
      </c>
      <c r="EE71" s="8">
        <v>1</v>
      </c>
      <c r="EF71" s="8">
        <v>0</v>
      </c>
      <c r="EG71" s="8">
        <v>0</v>
      </c>
      <c r="EH71" s="8">
        <v>0</v>
      </c>
      <c r="EI71" s="8">
        <v>0</v>
      </c>
      <c r="EJ71" s="8">
        <v>6</v>
      </c>
      <c r="EK71" s="8">
        <v>1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9">
        <f t="shared" si="345"/>
        <v>60</v>
      </c>
      <c r="FH71" s="8">
        <v>6</v>
      </c>
      <c r="FI71" s="8">
        <v>609</v>
      </c>
      <c r="FJ71" s="8">
        <v>24</v>
      </c>
      <c r="FK71" s="8">
        <v>111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9">
        <f t="shared" si="346"/>
        <v>0</v>
      </c>
      <c r="FR71" s="8">
        <v>48405179</v>
      </c>
      <c r="FS71" s="8">
        <v>0</v>
      </c>
      <c r="FT71" s="8">
        <v>0</v>
      </c>
      <c r="FU71" s="8">
        <v>288057735.88999999</v>
      </c>
      <c r="FV71" s="9">
        <f t="shared" si="347"/>
        <v>336462914.88999999</v>
      </c>
      <c r="FW71" s="8">
        <v>8332253</v>
      </c>
      <c r="FX71" s="8">
        <v>254906.22</v>
      </c>
      <c r="FY71" s="8">
        <v>2498300</v>
      </c>
      <c r="FZ71" s="8">
        <v>6403700</v>
      </c>
      <c r="GA71" s="9">
        <f t="shared" si="348"/>
        <v>17489159.219999999</v>
      </c>
      <c r="GB71" s="9">
        <f t="shared" si="349"/>
        <v>353952074.11000001</v>
      </c>
      <c r="GC71" s="8">
        <v>18064594</v>
      </c>
      <c r="GD71" s="8">
        <v>0</v>
      </c>
      <c r="GE71" s="8">
        <v>81063665.510000005</v>
      </c>
      <c r="GF71" s="8">
        <v>0</v>
      </c>
      <c r="GG71" s="9">
        <f t="shared" si="350"/>
        <v>99128259.510000005</v>
      </c>
      <c r="GH71" s="8">
        <v>7420852.6699999999</v>
      </c>
      <c r="GI71" s="8">
        <v>254842.49</v>
      </c>
      <c r="GJ71" s="8">
        <v>6048100</v>
      </c>
      <c r="GK71" s="8">
        <v>2363706.48</v>
      </c>
      <c r="GL71" s="9">
        <f t="shared" si="351"/>
        <v>16087501.640000001</v>
      </c>
      <c r="GM71" s="9">
        <f t="shared" si="352"/>
        <v>115215761.15000001</v>
      </c>
      <c r="GN71" s="8">
        <v>745371</v>
      </c>
      <c r="GO71" s="8">
        <v>0</v>
      </c>
      <c r="GP71" s="8">
        <v>37330.04</v>
      </c>
      <c r="GQ71" s="8">
        <v>0</v>
      </c>
      <c r="GR71" s="9">
        <f t="shared" si="353"/>
        <v>782701.04</v>
      </c>
      <c r="GS71" s="8">
        <v>1308245</v>
      </c>
      <c r="GT71" s="8">
        <v>0</v>
      </c>
      <c r="GU71" s="8">
        <v>9823</v>
      </c>
      <c r="GV71" s="8">
        <v>0</v>
      </c>
      <c r="GW71" s="9">
        <f t="shared" si="354"/>
        <v>1318068</v>
      </c>
      <c r="GX71" s="9">
        <f t="shared" si="355"/>
        <v>117316530.19000001</v>
      </c>
      <c r="GY71" s="8">
        <v>5952501.3699994683</v>
      </c>
      <c r="GZ71" s="8">
        <v>240186294.24000001</v>
      </c>
      <c r="HA71" s="9">
        <f t="shared" si="356"/>
        <v>246138795.60999948</v>
      </c>
      <c r="HB71" s="9">
        <f t="shared" si="357"/>
        <v>0.13769804780568748</v>
      </c>
      <c r="HC71" s="10">
        <f t="shared" si="358"/>
        <v>2.8713787204348953</v>
      </c>
      <c r="HD71" s="9">
        <f t="shared" si="359"/>
        <v>3.0170690655166568</v>
      </c>
      <c r="HE71" s="8">
        <v>39</v>
      </c>
      <c r="HF71" s="8">
        <v>1</v>
      </c>
      <c r="HG71" s="8">
        <v>244</v>
      </c>
      <c r="HH71" s="8">
        <v>13</v>
      </c>
      <c r="HI71" s="8">
        <v>30</v>
      </c>
      <c r="HJ71" s="9">
        <f t="shared" si="360"/>
        <v>31</v>
      </c>
      <c r="HK71" s="10">
        <f t="shared" si="361"/>
        <v>0.33333333333333331</v>
      </c>
      <c r="HL71" s="8">
        <v>81</v>
      </c>
      <c r="HM71" s="8">
        <v>24</v>
      </c>
      <c r="HN71" s="11">
        <f t="shared" si="362"/>
        <v>0.29629629629629628</v>
      </c>
    </row>
    <row r="72" spans="1:222" x14ac:dyDescent="0.3">
      <c r="A72" s="12" t="s">
        <v>276</v>
      </c>
      <c r="B72" s="12" t="s">
        <v>277</v>
      </c>
      <c r="C72" s="13" t="s">
        <v>257</v>
      </c>
      <c r="D72" s="13">
        <v>2026</v>
      </c>
      <c r="E72" s="13">
        <v>1</v>
      </c>
      <c r="F72" s="13" t="s">
        <v>270</v>
      </c>
      <c r="G72" s="13" t="s">
        <v>271</v>
      </c>
      <c r="H72" s="14">
        <v>60173</v>
      </c>
      <c r="I72" s="14">
        <v>18450</v>
      </c>
      <c r="J72" s="14">
        <v>0</v>
      </c>
      <c r="K72" s="14">
        <v>13763</v>
      </c>
      <c r="L72" s="14">
        <v>0</v>
      </c>
      <c r="M72" s="15">
        <v>32213</v>
      </c>
      <c r="N72" s="14">
        <v>6210.3000000000393</v>
      </c>
      <c r="O72" s="14">
        <v>1368.4</v>
      </c>
      <c r="P72" s="14">
        <v>4904.6999999999989</v>
      </c>
      <c r="Q72" s="14">
        <v>561.09999999999991</v>
      </c>
      <c r="R72" s="15">
        <v>13044.50000000004</v>
      </c>
      <c r="S72" s="15">
        <v>45257.500000000036</v>
      </c>
      <c r="T72" s="14">
        <v>14915.49999999996</v>
      </c>
      <c r="U72" s="16">
        <v>0.2478769547803826</v>
      </c>
      <c r="V72" s="14">
        <v>105</v>
      </c>
      <c r="W72" s="17">
        <v>1.74496867365762</v>
      </c>
      <c r="X72" s="14">
        <v>0</v>
      </c>
      <c r="Y72" s="17">
        <v>0</v>
      </c>
      <c r="Z72" s="14">
        <v>0</v>
      </c>
      <c r="AA72" s="17">
        <v>0</v>
      </c>
      <c r="AB72" s="14">
        <v>0</v>
      </c>
      <c r="AC72" s="17">
        <v>0</v>
      </c>
      <c r="AD72" s="14">
        <v>0</v>
      </c>
      <c r="AE72" s="17">
        <v>0</v>
      </c>
      <c r="AF72" s="14">
        <v>0</v>
      </c>
      <c r="AG72" s="17">
        <v>0</v>
      </c>
      <c r="AH72" s="14">
        <v>2512555.5</v>
      </c>
      <c r="AI72" s="15">
        <v>41.755529888820568</v>
      </c>
      <c r="AJ72" s="14">
        <v>31190</v>
      </c>
      <c r="AK72" s="17">
        <v>0.51833878982267789</v>
      </c>
      <c r="AL72" s="14">
        <v>5233605.2250000006</v>
      </c>
      <c r="AM72" s="15">
        <v>86.975973027769939</v>
      </c>
      <c r="AN72" s="14">
        <v>1074</v>
      </c>
      <c r="AO72" s="14">
        <v>79</v>
      </c>
      <c r="AP72" s="14">
        <v>395000</v>
      </c>
      <c r="AQ72" s="14">
        <v>0</v>
      </c>
      <c r="AR72" s="14">
        <v>3970346.15</v>
      </c>
      <c r="AS72" s="14">
        <v>1558646.21</v>
      </c>
      <c r="AT72" s="14">
        <v>835260</v>
      </c>
      <c r="AU72" s="15">
        <v>14505413.085000001</v>
      </c>
      <c r="AV72" s="15">
        <v>241.061823159889</v>
      </c>
      <c r="AW72" s="15">
        <v>320.50849218361572</v>
      </c>
      <c r="AX72" s="14">
        <v>4</v>
      </c>
      <c r="AY72" s="15">
        <v>2.0607249098432852</v>
      </c>
      <c r="AZ72" s="14">
        <v>13</v>
      </c>
      <c r="BA72" s="14">
        <v>237</v>
      </c>
      <c r="BB72" s="14">
        <v>107</v>
      </c>
      <c r="BC72" s="14">
        <v>0</v>
      </c>
      <c r="BD72" s="14">
        <v>174</v>
      </c>
      <c r="BE72" s="15">
        <v>174</v>
      </c>
      <c r="BF72" s="15">
        <v>170</v>
      </c>
      <c r="BG72" s="14">
        <v>0</v>
      </c>
      <c r="BH72" s="14">
        <v>2</v>
      </c>
      <c r="BI72" s="14">
        <v>0</v>
      </c>
      <c r="BJ72" s="14">
        <v>2</v>
      </c>
      <c r="BK72" s="15">
        <v>2</v>
      </c>
      <c r="BL72" s="15">
        <v>0</v>
      </c>
      <c r="BM72" s="14">
        <v>7</v>
      </c>
      <c r="BN72" s="14">
        <v>0</v>
      </c>
      <c r="BO72" s="14">
        <v>0</v>
      </c>
      <c r="BP72" s="14">
        <v>0</v>
      </c>
      <c r="BQ72" s="15">
        <v>0</v>
      </c>
      <c r="BR72" s="15">
        <v>7</v>
      </c>
      <c r="BS72" s="14">
        <v>0</v>
      </c>
      <c r="BT72" s="14">
        <v>0</v>
      </c>
      <c r="BU72" s="14">
        <v>0</v>
      </c>
      <c r="BV72" s="14">
        <v>0</v>
      </c>
      <c r="BW72" s="15">
        <v>0</v>
      </c>
      <c r="BX72" s="15">
        <v>0</v>
      </c>
      <c r="BY72" s="15">
        <v>244</v>
      </c>
      <c r="BZ72" s="15">
        <v>109</v>
      </c>
      <c r="CA72" s="15">
        <v>176</v>
      </c>
      <c r="CB72" s="15">
        <v>177</v>
      </c>
      <c r="CC72" s="14">
        <v>176</v>
      </c>
      <c r="CD72" s="14">
        <v>429</v>
      </c>
      <c r="CE72" s="14">
        <v>17</v>
      </c>
      <c r="CF72" s="14">
        <v>22</v>
      </c>
      <c r="CG72" s="14">
        <v>3</v>
      </c>
      <c r="CH72" s="15">
        <v>471</v>
      </c>
      <c r="CI72" s="14">
        <v>1468</v>
      </c>
      <c r="CJ72" s="14">
        <v>11</v>
      </c>
      <c r="CK72" s="14">
        <v>0</v>
      </c>
      <c r="CL72" s="14">
        <v>0</v>
      </c>
      <c r="CM72" s="15">
        <v>1479</v>
      </c>
      <c r="CN72" s="14">
        <v>767</v>
      </c>
      <c r="CO72" s="14">
        <v>46</v>
      </c>
      <c r="CP72" s="14">
        <v>83</v>
      </c>
      <c r="CQ72" s="14">
        <v>21</v>
      </c>
      <c r="CR72" s="15">
        <v>917</v>
      </c>
      <c r="CS72" s="15">
        <v>2396</v>
      </c>
      <c r="CT72" s="14">
        <v>2867</v>
      </c>
      <c r="CU72" s="14">
        <v>21678</v>
      </c>
      <c r="CV72" s="14">
        <v>18772</v>
      </c>
      <c r="CW72" s="16">
        <v>0.86594704308515547</v>
      </c>
      <c r="CX72" s="14">
        <v>0</v>
      </c>
      <c r="CY72" s="14">
        <v>0</v>
      </c>
      <c r="CZ72" s="14">
        <v>0</v>
      </c>
      <c r="DA72" s="14">
        <v>0</v>
      </c>
      <c r="DB72" s="15">
        <v>0</v>
      </c>
      <c r="DC72" s="14">
        <v>0</v>
      </c>
      <c r="DD72" s="14">
        <v>0</v>
      </c>
      <c r="DE72" s="14">
        <v>0</v>
      </c>
      <c r="DF72" s="14">
        <v>0</v>
      </c>
      <c r="DG72" s="15">
        <v>0</v>
      </c>
      <c r="DH72" s="14">
        <v>0</v>
      </c>
      <c r="DI72" s="14">
        <v>0</v>
      </c>
      <c r="DJ72" s="14">
        <v>0</v>
      </c>
      <c r="DK72" s="14">
        <v>0</v>
      </c>
      <c r="DL72" s="15">
        <v>0</v>
      </c>
      <c r="DM72" s="14">
        <v>14</v>
      </c>
      <c r="DN72" s="14">
        <v>5</v>
      </c>
      <c r="DO72" s="14">
        <v>0</v>
      </c>
      <c r="DP72" s="14">
        <v>0</v>
      </c>
      <c r="DQ72" s="15">
        <v>19</v>
      </c>
      <c r="DR72" s="15">
        <v>14</v>
      </c>
      <c r="DS72" s="15">
        <v>5</v>
      </c>
      <c r="DT72" s="15">
        <v>0</v>
      </c>
      <c r="DU72" s="15">
        <v>0</v>
      </c>
      <c r="DV72" s="15">
        <v>19</v>
      </c>
      <c r="DW72" s="14">
        <v>36</v>
      </c>
      <c r="DX72" s="14">
        <v>9</v>
      </c>
      <c r="DY72" s="14">
        <v>7</v>
      </c>
      <c r="DZ72" s="14">
        <v>1</v>
      </c>
      <c r="EA72" s="14">
        <v>2</v>
      </c>
      <c r="EB72" s="14">
        <v>5</v>
      </c>
      <c r="EC72" s="14">
        <v>1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4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5">
        <v>65</v>
      </c>
      <c r="FH72" s="14">
        <v>6</v>
      </c>
      <c r="FI72" s="14">
        <v>608</v>
      </c>
      <c r="FJ72" s="14">
        <v>24</v>
      </c>
      <c r="FK72" s="14">
        <v>113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5">
        <v>0</v>
      </c>
      <c r="FR72" s="14">
        <v>12974558.279999999</v>
      </c>
      <c r="FS72" s="14">
        <v>0</v>
      </c>
      <c r="FT72" s="14">
        <v>0</v>
      </c>
      <c r="FU72" s="14">
        <v>0</v>
      </c>
      <c r="FV72" s="15">
        <v>12974558.279999999</v>
      </c>
      <c r="FW72" s="14">
        <v>8021361.2399999686</v>
      </c>
      <c r="FX72" s="14">
        <v>290770</v>
      </c>
      <c r="FY72" s="14">
        <v>2750416.1799999438</v>
      </c>
      <c r="FZ72" s="14">
        <v>14912828.800000001</v>
      </c>
      <c r="GA72" s="15">
        <v>25975376.219999909</v>
      </c>
      <c r="GB72" s="15">
        <v>38949934.499999911</v>
      </c>
      <c r="GC72" s="14">
        <v>17107262</v>
      </c>
      <c r="GD72" s="14">
        <v>0</v>
      </c>
      <c r="GE72" s="14">
        <v>47489509.159999996</v>
      </c>
      <c r="GF72" s="14">
        <v>0</v>
      </c>
      <c r="GG72" s="15">
        <v>64596771.159999996</v>
      </c>
      <c r="GH72" s="14">
        <v>7744215.2199999699</v>
      </c>
      <c r="GI72" s="14">
        <v>290770</v>
      </c>
      <c r="GJ72" s="14">
        <v>14908328.800000001</v>
      </c>
      <c r="GK72" s="14">
        <v>2650884.89</v>
      </c>
      <c r="GL72" s="15">
        <v>25594198.90999997</v>
      </c>
      <c r="GM72" s="15">
        <v>90190970.069999963</v>
      </c>
      <c r="GN72" s="14">
        <v>747109</v>
      </c>
      <c r="GO72" s="14">
        <v>0</v>
      </c>
      <c r="GP72" s="14">
        <v>37330.04</v>
      </c>
      <c r="GQ72" s="14">
        <v>0</v>
      </c>
      <c r="GR72" s="15">
        <v>784439.04</v>
      </c>
      <c r="GS72" s="14">
        <v>1310924</v>
      </c>
      <c r="GT72" s="14">
        <v>0</v>
      </c>
      <c r="GU72" s="14">
        <v>9823</v>
      </c>
      <c r="GV72" s="14">
        <v>0</v>
      </c>
      <c r="GW72" s="15">
        <v>1320747</v>
      </c>
      <c r="GX72" s="15">
        <v>92296156.10999997</v>
      </c>
      <c r="GY72" s="14">
        <v>10398672.9400001</v>
      </c>
      <c r="GZ72" s="14">
        <v>289448857.23000002</v>
      </c>
      <c r="HA72" s="15">
        <v>299847530.17000008</v>
      </c>
      <c r="HB72" s="15">
        <v>92296156.10999997</v>
      </c>
      <c r="HC72" s="16">
        <v>10398672.9400001</v>
      </c>
      <c r="HD72" s="15">
        <v>289448857.23000002</v>
      </c>
      <c r="HE72" s="14">
        <v>107</v>
      </c>
      <c r="HF72" s="14">
        <v>1</v>
      </c>
      <c r="HG72" s="14">
        <v>177</v>
      </c>
      <c r="HH72" s="14">
        <v>109</v>
      </c>
      <c r="HI72" s="14">
        <v>30</v>
      </c>
      <c r="HJ72" s="15">
        <v>0.27522935779816521</v>
      </c>
      <c r="HK72" s="16">
        <v>0</v>
      </c>
      <c r="HL72" s="14">
        <v>66</v>
      </c>
      <c r="HM72" s="14">
        <v>24</v>
      </c>
      <c r="HN72" s="17">
        <v>2.75</v>
      </c>
    </row>
    <row r="73" spans="1:222" x14ac:dyDescent="0.3">
      <c r="A73" s="6" t="s">
        <v>276</v>
      </c>
      <c r="B73" s="6" t="s">
        <v>277</v>
      </c>
      <c r="C73" s="7" t="s">
        <v>257</v>
      </c>
      <c r="D73" s="7">
        <v>2026</v>
      </c>
      <c r="E73" s="7">
        <v>2</v>
      </c>
      <c r="F73" s="7" t="s">
        <v>272</v>
      </c>
      <c r="G73" s="7" t="s">
        <v>271</v>
      </c>
      <c r="H73" s="8">
        <v>50649</v>
      </c>
      <c r="I73" s="8">
        <v>17968</v>
      </c>
      <c r="J73" s="8">
        <v>0</v>
      </c>
      <c r="K73" s="8">
        <v>6138</v>
      </c>
      <c r="L73" s="8">
        <v>0</v>
      </c>
      <c r="M73" s="9">
        <f t="shared" ref="M73:M83" si="363">SUM(I73,J73,K73,L73)</f>
        <v>24106</v>
      </c>
      <c r="N73" s="8">
        <v>6402.8</v>
      </c>
      <c r="O73" s="8">
        <v>1003.4</v>
      </c>
      <c r="P73" s="8">
        <v>2080</v>
      </c>
      <c r="Q73" s="8">
        <v>685.39999999999986</v>
      </c>
      <c r="R73" s="9">
        <f t="shared" ref="R73:R83" si="364">SUM(N73,O73,P73,Q73)</f>
        <v>10171.6</v>
      </c>
      <c r="S73" s="9">
        <f t="shared" ref="S73:S83" si="365">M73+R73</f>
        <v>34277.599999999999</v>
      </c>
      <c r="T73" s="8">
        <v>16371.4</v>
      </c>
      <c r="U73" s="10">
        <f t="shared" ref="U73:U83" si="366">IF(H73=0,"",T73/H73)</f>
        <v>0.32323244289127129</v>
      </c>
      <c r="V73" s="8">
        <v>80</v>
      </c>
      <c r="W73" s="11">
        <f t="shared" ref="W73:W83" si="367">IF(H73=0,"",V73/H73)</f>
        <v>1.5794981144741259E-3</v>
      </c>
      <c r="X73" s="8">
        <v>0</v>
      </c>
      <c r="Y73" s="11">
        <f t="shared" ref="Y73:Y83" si="368">IF(H73=0,"",X73/H73)</f>
        <v>0</v>
      </c>
      <c r="Z73" s="8">
        <v>0</v>
      </c>
      <c r="AA73" s="11">
        <f t="shared" ref="AA73:AA83" si="369">IF(H73=0,"",Z73/H73)</f>
        <v>0</v>
      </c>
      <c r="AB73" s="8">
        <v>0</v>
      </c>
      <c r="AC73" s="11">
        <f t="shared" ref="AC73:AC83" si="370">IF(H73=0,"",AB73/H73)</f>
        <v>0</v>
      </c>
      <c r="AD73" s="8">
        <v>0</v>
      </c>
      <c r="AE73" s="11">
        <f t="shared" ref="AE73:AE83" si="371">IF(H73=0,"",AD73/H73)</f>
        <v>0</v>
      </c>
      <c r="AF73" s="8">
        <v>0</v>
      </c>
      <c r="AG73" s="11">
        <f t="shared" ref="AG73:AG83" si="372">IF(H73=0,"",AF73/H73)</f>
        <v>0</v>
      </c>
      <c r="AH73" s="8">
        <v>1914328</v>
      </c>
      <c r="AI73" s="9">
        <f t="shared" ref="AI73:AI83" si="373">IF(H73=0,"",AH73/H73)</f>
        <v>37.795968331062802</v>
      </c>
      <c r="AJ73" s="8">
        <v>34433</v>
      </c>
      <c r="AK73" s="11">
        <f t="shared" ref="AK73:AK83" si="374">IF(H73=0,"",AJ73/H73)</f>
        <v>0.67983573219609472</v>
      </c>
      <c r="AL73" s="8">
        <v>5775761.8574999999</v>
      </c>
      <c r="AM73" s="9">
        <f t="shared" ref="AM73:AM83" si="375">IF(H73=0,"",AL73/H73)</f>
        <v>114.03506204466031</v>
      </c>
      <c r="AN73" s="8">
        <v>0</v>
      </c>
      <c r="AO73" s="8">
        <v>0</v>
      </c>
      <c r="AP73" s="8">
        <v>0</v>
      </c>
      <c r="AQ73" s="8">
        <v>0</v>
      </c>
      <c r="AR73" s="8">
        <v>3970346.15</v>
      </c>
      <c r="AS73" s="8">
        <v>1503369.6975</v>
      </c>
      <c r="AT73" s="8">
        <v>832760</v>
      </c>
      <c r="AU73" s="9">
        <f t="shared" ref="AU73:AU83" si="376">AH73+AL73+AP73+AQ73+AR73+AS73+AT73</f>
        <v>13996565.705</v>
      </c>
      <c r="AV73" s="9">
        <f t="shared" ref="AV73:AV83" si="377">IF(H73=0,"",AU73/H73)</f>
        <v>276.34436425200892</v>
      </c>
      <c r="AW73" s="9">
        <f t="shared" ref="AW73:AW83" si="378">IF(S73=0,"",AU73/S73)</f>
        <v>408.32980444955308</v>
      </c>
      <c r="AX73" s="8">
        <v>4</v>
      </c>
      <c r="AY73" s="9">
        <f t="shared" ref="AY73:AY83" si="379">IF(H73=0,"",AX73/(H73/1000/12))</f>
        <v>0.9476988686844755</v>
      </c>
      <c r="AZ73" s="8">
        <v>13</v>
      </c>
      <c r="BA73" s="8">
        <v>170</v>
      </c>
      <c r="BB73" s="8">
        <v>11</v>
      </c>
      <c r="BC73" s="8">
        <v>0</v>
      </c>
      <c r="BD73" s="8">
        <v>60</v>
      </c>
      <c r="BE73" s="9">
        <f t="shared" ref="BE73:BE83" si="380">BC73+BD73</f>
        <v>60</v>
      </c>
      <c r="BF73" s="9">
        <f t="shared" ref="BF73:BF83" si="381">BA73+BB73-BE73</f>
        <v>121</v>
      </c>
      <c r="BG73" s="8">
        <v>0</v>
      </c>
      <c r="BH73" s="8">
        <v>0</v>
      </c>
      <c r="BI73" s="8">
        <v>0</v>
      </c>
      <c r="BJ73" s="8">
        <v>0</v>
      </c>
      <c r="BK73" s="9">
        <f t="shared" ref="BK73:BK83" si="382">BI73+BJ73</f>
        <v>0</v>
      </c>
      <c r="BL73" s="9">
        <f t="shared" ref="BL73:BL83" si="383">BG73+BH73-BK73</f>
        <v>0</v>
      </c>
      <c r="BM73" s="8">
        <v>7</v>
      </c>
      <c r="BN73" s="8">
        <v>0</v>
      </c>
      <c r="BO73" s="8">
        <v>0</v>
      </c>
      <c r="BP73" s="8">
        <v>0</v>
      </c>
      <c r="BQ73" s="9">
        <f t="shared" ref="BQ73:BQ83" si="384">BO73+BP73</f>
        <v>0</v>
      </c>
      <c r="BR73" s="9">
        <f t="shared" ref="BR73:BR83" si="385">BM73+BN73-BQ73</f>
        <v>7</v>
      </c>
      <c r="BS73" s="8">
        <v>0</v>
      </c>
      <c r="BT73" s="8">
        <v>0</v>
      </c>
      <c r="BU73" s="8">
        <v>0</v>
      </c>
      <c r="BV73" s="8">
        <v>0</v>
      </c>
      <c r="BW73" s="9">
        <f t="shared" ref="BW73:BW83" si="386">BU73+BV73</f>
        <v>0</v>
      </c>
      <c r="BX73" s="9">
        <f t="shared" ref="BX73:BX83" si="387">BS73+BT73-BW73</f>
        <v>0</v>
      </c>
      <c r="BY73" s="9">
        <f t="shared" ref="BY73:BY83" si="388">BA73+BG73+BM73+BS73</f>
        <v>177</v>
      </c>
      <c r="BZ73" s="9">
        <f t="shared" ref="BZ73:BZ83" si="389">BB73+BH73+BN73+BT73</f>
        <v>11</v>
      </c>
      <c r="CA73" s="9">
        <f t="shared" ref="CA73:CA83" si="390">BE73+BK73+BQ73+BW73</f>
        <v>60</v>
      </c>
      <c r="CB73" s="9">
        <f t="shared" ref="CB73:CB83" si="391">BF73+BL73+BR73+BX73</f>
        <v>128</v>
      </c>
      <c r="CC73" s="8">
        <v>60</v>
      </c>
      <c r="CD73" s="8">
        <v>433</v>
      </c>
      <c r="CE73" s="8">
        <v>18</v>
      </c>
      <c r="CF73" s="8">
        <v>22</v>
      </c>
      <c r="CG73" s="8">
        <v>3</v>
      </c>
      <c r="CH73" s="9">
        <f t="shared" ref="CH73:CH83" si="392">CD73+CE73+CF73+CG73</f>
        <v>476</v>
      </c>
      <c r="CI73" s="8">
        <v>1464</v>
      </c>
      <c r="CJ73" s="8">
        <v>10</v>
      </c>
      <c r="CK73" s="8">
        <v>0</v>
      </c>
      <c r="CL73" s="8">
        <v>0</v>
      </c>
      <c r="CM73" s="9">
        <f t="shared" ref="CM73:CM83" si="393">CI73+CJ73+CK73+CL73</f>
        <v>1474</v>
      </c>
      <c r="CN73" s="8">
        <v>827</v>
      </c>
      <c r="CO73" s="8">
        <v>46</v>
      </c>
      <c r="CP73" s="8">
        <v>83</v>
      </c>
      <c r="CQ73" s="8">
        <v>21</v>
      </c>
      <c r="CR73" s="9">
        <f t="shared" ref="CR73:CR83" si="394">CN73+CO73+CP73+CQ73</f>
        <v>977</v>
      </c>
      <c r="CS73" s="9">
        <f t="shared" ref="CS73:CS83" si="395">CM73+CR73</f>
        <v>2451</v>
      </c>
      <c r="CT73" s="8">
        <v>2927</v>
      </c>
      <c r="CU73" s="8">
        <v>21713</v>
      </c>
      <c r="CV73" s="8">
        <v>19072</v>
      </c>
      <c r="CW73" s="10">
        <f t="shared" ref="CW73:CW83" si="396">IF(CU73=0,"",CV73/CU73)</f>
        <v>0.87836779809330812</v>
      </c>
      <c r="CX73" s="8"/>
      <c r="CY73" s="8"/>
      <c r="CZ73" s="8"/>
      <c r="DA73" s="8"/>
      <c r="DB73" s="9">
        <f t="shared" ref="DB73:DB83" si="397">CX73+CY73-CZ73-DA73</f>
        <v>0</v>
      </c>
      <c r="DC73" s="8">
        <v>0</v>
      </c>
      <c r="DD73" s="8">
        <v>0</v>
      </c>
      <c r="DE73" s="8">
        <v>0</v>
      </c>
      <c r="DF73" s="8">
        <v>0</v>
      </c>
      <c r="DG73" s="9">
        <f t="shared" ref="DG73:DG83" si="398">DC73+DD73-DE73-DF73</f>
        <v>0</v>
      </c>
      <c r="DH73" s="8">
        <v>0</v>
      </c>
      <c r="DI73" s="8">
        <v>0</v>
      </c>
      <c r="DJ73" s="8">
        <v>0</v>
      </c>
      <c r="DK73" s="8">
        <v>0</v>
      </c>
      <c r="DL73" s="9">
        <f t="shared" ref="DL73:DL83" si="399">DH73+DI73-DJ73-DK73</f>
        <v>0</v>
      </c>
      <c r="DM73" s="8">
        <v>19</v>
      </c>
      <c r="DN73" s="8">
        <v>0</v>
      </c>
      <c r="DO73" s="8">
        <v>0</v>
      </c>
      <c r="DP73" s="8">
        <v>0</v>
      </c>
      <c r="DQ73" s="9">
        <f t="shared" ref="DQ73:DQ83" si="400">DM73+DN73-DO73-DP73</f>
        <v>19</v>
      </c>
      <c r="DR73" s="9">
        <f t="shared" ref="DR73:DR83" si="401">CX73+DC73+DH73+DM73</f>
        <v>19</v>
      </c>
      <c r="DS73" s="9">
        <f t="shared" ref="DS73:DS83" si="402">CY73+DD73+DI73+DN73</f>
        <v>0</v>
      </c>
      <c r="DT73" s="9">
        <f t="shared" ref="DT73:DT83" si="403">CZ73+DE73+DJ73+DO73</f>
        <v>0</v>
      </c>
      <c r="DU73" s="9">
        <f t="shared" ref="DU73:DU83" si="404">DA73+DF73+DK73+DP73</f>
        <v>0</v>
      </c>
      <c r="DV73" s="9">
        <f t="shared" ref="DV73:DV83" si="405">DB73+DG73+DL73+DQ73</f>
        <v>19</v>
      </c>
      <c r="DW73" s="8">
        <v>33</v>
      </c>
      <c r="DX73" s="8">
        <v>8</v>
      </c>
      <c r="DY73" s="8">
        <v>10</v>
      </c>
      <c r="DZ73" s="8">
        <v>2</v>
      </c>
      <c r="EA73" s="8">
        <v>2</v>
      </c>
      <c r="EB73" s="8">
        <v>2</v>
      </c>
      <c r="EC73" s="8">
        <v>2</v>
      </c>
      <c r="ED73" s="8">
        <v>0</v>
      </c>
      <c r="EE73" s="8">
        <v>0</v>
      </c>
      <c r="EF73" s="8">
        <v>0</v>
      </c>
      <c r="EG73" s="8">
        <v>0</v>
      </c>
      <c r="EH73" s="8">
        <v>0</v>
      </c>
      <c r="EI73" s="8">
        <v>0</v>
      </c>
      <c r="EJ73" s="8">
        <v>4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0</v>
      </c>
      <c r="EV73" s="8">
        <v>0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9">
        <f t="shared" ref="FG73:FG83" si="406">SUM(DW73,DX73,DY73,DZ73,EA73,EB73,EC73,ED73,EE73,EF73,EG73,EH73,EI73,EJ73,EK73,EL73,EM73,EN73,EO73,EP73,EQ73,ER73,ES73,ET73,EU73,EV73,EW73,EX73,EY73,EZ73,FA73,FB73,FC73,FD73,FE73,FF73)</f>
        <v>63</v>
      </c>
      <c r="FH73" s="8">
        <v>6</v>
      </c>
      <c r="FI73" s="8">
        <v>601</v>
      </c>
      <c r="FJ73" s="8">
        <v>24</v>
      </c>
      <c r="FK73" s="8">
        <v>120</v>
      </c>
      <c r="FL73" s="8">
        <v>0</v>
      </c>
      <c r="FM73" s="8">
        <v>0</v>
      </c>
      <c r="FN73" s="8">
        <v>0</v>
      </c>
      <c r="FO73" s="8">
        <v>0</v>
      </c>
      <c r="FP73" s="8">
        <v>0</v>
      </c>
      <c r="FQ73" s="9">
        <f t="shared" ref="FQ73:FQ83" si="407">FL73+FM73+FN73+FO73+FP73</f>
        <v>0</v>
      </c>
      <c r="FR73" s="8">
        <v>20468251</v>
      </c>
      <c r="FS73" s="8">
        <v>0</v>
      </c>
      <c r="FT73" s="8">
        <v>0</v>
      </c>
      <c r="FU73" s="8">
        <v>31000</v>
      </c>
      <c r="FV73" s="9">
        <f t="shared" ref="FV73:FV83" si="408">FR73+FS73+FT73+FU73</f>
        <v>20499251</v>
      </c>
      <c r="FW73" s="8">
        <v>8091629.1599999983</v>
      </c>
      <c r="FX73" s="8">
        <v>213180</v>
      </c>
      <c r="FY73" s="8">
        <v>3295908.09</v>
      </c>
      <c r="FZ73" s="8">
        <v>6270450</v>
      </c>
      <c r="GA73" s="9">
        <f t="shared" ref="GA73:GA83" si="409">FW73+FX73+FY73+FZ73</f>
        <v>17871167.25</v>
      </c>
      <c r="GB73" s="9">
        <f t="shared" ref="GB73:GB83" si="410">FV73+GA73</f>
        <v>38370418.25</v>
      </c>
      <c r="GC73" s="8">
        <v>16559012</v>
      </c>
      <c r="GD73" s="8">
        <v>0</v>
      </c>
      <c r="GE73" s="8">
        <v>21124870.920000002</v>
      </c>
      <c r="GF73" s="8">
        <v>0</v>
      </c>
      <c r="GG73" s="9">
        <f t="shared" ref="GG73:GG83" si="411">GC73+GD73+GE73+GF73</f>
        <v>37683882.920000002</v>
      </c>
      <c r="GH73" s="8">
        <v>8005329.089999998</v>
      </c>
      <c r="GI73" s="8">
        <v>213180</v>
      </c>
      <c r="GJ73" s="8">
        <v>6322450</v>
      </c>
      <c r="GK73" s="8">
        <v>3241721.43</v>
      </c>
      <c r="GL73" s="9">
        <f t="shared" ref="GL73:GL83" si="412">GH73+GI73+GJ73+GK73</f>
        <v>17782680.52</v>
      </c>
      <c r="GM73" s="9">
        <f t="shared" ref="GM73:GM83" si="413">GG73+GL73</f>
        <v>55466563.439999998</v>
      </c>
      <c r="GN73" s="8">
        <v>741964</v>
      </c>
      <c r="GO73" s="8">
        <v>0</v>
      </c>
      <c r="GP73" s="8">
        <v>33936.400000000001</v>
      </c>
      <c r="GQ73" s="8">
        <v>0</v>
      </c>
      <c r="GR73" s="9">
        <f t="shared" ref="GR73:GR83" si="414">GN73+GO73+GP73+GQ73</f>
        <v>775900.4</v>
      </c>
      <c r="GS73" s="8">
        <v>1307352</v>
      </c>
      <c r="GT73" s="8">
        <v>0</v>
      </c>
      <c r="GU73" s="8">
        <v>8930</v>
      </c>
      <c r="GV73" s="8">
        <v>0</v>
      </c>
      <c r="GW73" s="9">
        <f t="shared" ref="GW73:GW83" si="415">GS73+GT73+GU73+GV73</f>
        <v>1316282</v>
      </c>
      <c r="GX73" s="9">
        <f t="shared" ref="GX73:GX83" si="416">GM73+GR73+GW73</f>
        <v>57558745.839999996</v>
      </c>
      <c r="GY73" s="8">
        <v>5201357.7000000374</v>
      </c>
      <c r="GZ73" s="8">
        <v>314131737.19999993</v>
      </c>
      <c r="HA73" s="9">
        <f t="shared" ref="HA73:HA83" si="417">GY73+GZ73</f>
        <v>319333094.89999998</v>
      </c>
      <c r="HB73" s="9">
        <f t="shared" ref="HB73:HB83" si="418">IF(GX73=0,"",AU73/GX73)</f>
        <v>0.24317009519121935</v>
      </c>
      <c r="HC73" s="10">
        <f t="shared" ref="HC73:HC83" si="419">IF((GX73+GY73)=0,"",GB73/(GX73+GY73))</f>
        <v>0.61138232867230191</v>
      </c>
      <c r="HD73" s="9">
        <f t="shared" ref="HD73:HD83" si="420">IF(GX73=0,"",GB73/GX73)</f>
        <v>0.66663054745252603</v>
      </c>
      <c r="HE73" s="8">
        <v>11</v>
      </c>
      <c r="HF73" s="8">
        <v>1</v>
      </c>
      <c r="HG73" s="8">
        <v>128</v>
      </c>
      <c r="HH73" s="8">
        <v>11</v>
      </c>
      <c r="HI73" s="8">
        <v>30</v>
      </c>
      <c r="HJ73" s="9">
        <f t="shared" ref="HJ73:HJ83" si="421">HF73+HI73</f>
        <v>31</v>
      </c>
      <c r="HK73" s="10">
        <f t="shared" ref="HK73:HK83" si="422">IF(HE73=0,"",HH73/HE73)</f>
        <v>1</v>
      </c>
      <c r="HL73" s="8">
        <v>54</v>
      </c>
      <c r="HM73" s="8">
        <v>24</v>
      </c>
      <c r="HN73" s="11">
        <f t="shared" ref="HN73:HN83" si="423">IF(HL73=0,"",HM73/HL73)</f>
        <v>0.44444444444444442</v>
      </c>
    </row>
    <row r="74" spans="1:222" x14ac:dyDescent="0.3">
      <c r="A74" s="12" t="s">
        <v>276</v>
      </c>
      <c r="B74" s="12" t="s">
        <v>277</v>
      </c>
      <c r="C74" s="13" t="s">
        <v>257</v>
      </c>
      <c r="D74" s="13">
        <v>2026</v>
      </c>
      <c r="E74" s="13">
        <v>3</v>
      </c>
      <c r="F74" s="13" t="s">
        <v>273</v>
      </c>
      <c r="G74" s="13" t="s">
        <v>271</v>
      </c>
      <c r="H74" s="14">
        <v>56754</v>
      </c>
      <c r="I74" s="14">
        <v>17483</v>
      </c>
      <c r="J74" s="14">
        <v>0</v>
      </c>
      <c r="K74" s="14">
        <v>2683</v>
      </c>
      <c r="L74" s="14">
        <v>0</v>
      </c>
      <c r="M74" s="15">
        <f t="shared" si="363"/>
        <v>20166</v>
      </c>
      <c r="N74" s="14">
        <v>18073.099999999999</v>
      </c>
      <c r="O74" s="14">
        <v>1048.7</v>
      </c>
      <c r="P74" s="14">
        <v>2553.9</v>
      </c>
      <c r="Q74" s="14">
        <v>547.20000000000005</v>
      </c>
      <c r="R74" s="15">
        <f t="shared" si="364"/>
        <v>22222.9</v>
      </c>
      <c r="S74" s="15">
        <f t="shared" si="365"/>
        <v>42388.9</v>
      </c>
      <c r="T74" s="14">
        <v>14365.1</v>
      </c>
      <c r="U74" s="16">
        <f t="shared" si="366"/>
        <v>0.25311167494802128</v>
      </c>
      <c r="V74" s="14">
        <v>100</v>
      </c>
      <c r="W74" s="17">
        <f t="shared" si="367"/>
        <v>1.7619903442929134E-3</v>
      </c>
      <c r="X74" s="14">
        <v>0</v>
      </c>
      <c r="Y74" s="17">
        <f t="shared" si="368"/>
        <v>0</v>
      </c>
      <c r="Z74" s="14">
        <v>0</v>
      </c>
      <c r="AA74" s="17">
        <f t="shared" si="369"/>
        <v>0</v>
      </c>
      <c r="AB74" s="14">
        <v>0</v>
      </c>
      <c r="AC74" s="17">
        <f t="shared" si="370"/>
        <v>0</v>
      </c>
      <c r="AD74" s="14">
        <v>0</v>
      </c>
      <c r="AE74" s="17">
        <f t="shared" si="371"/>
        <v>0</v>
      </c>
      <c r="AF74" s="14">
        <v>0</v>
      </c>
      <c r="AG74" s="17">
        <f t="shared" si="372"/>
        <v>0</v>
      </c>
      <c r="AH74" s="14">
        <v>2392910</v>
      </c>
      <c r="AI74" s="15">
        <f t="shared" si="373"/>
        <v>42.162843147619554</v>
      </c>
      <c r="AJ74" s="14">
        <v>25457</v>
      </c>
      <c r="AK74" s="17">
        <f t="shared" si="374"/>
        <v>0.44854988194664691</v>
      </c>
      <c r="AL74" s="14">
        <v>19339</v>
      </c>
      <c r="AM74" s="15">
        <f t="shared" si="375"/>
        <v>0.34075131268280651</v>
      </c>
      <c r="AN74" s="14">
        <v>0</v>
      </c>
      <c r="AO74" s="14">
        <v>0</v>
      </c>
      <c r="AP74" s="14">
        <v>0</v>
      </c>
      <c r="AQ74" s="14">
        <v>0</v>
      </c>
      <c r="AR74" s="14">
        <v>3502433.13</v>
      </c>
      <c r="AS74" s="14">
        <v>1335117.08</v>
      </c>
      <c r="AT74" s="14">
        <v>1075770</v>
      </c>
      <c r="AU74" s="15">
        <f t="shared" si="376"/>
        <v>8325569.21</v>
      </c>
      <c r="AV74" s="15">
        <f t="shared" si="377"/>
        <v>146.69572558762377</v>
      </c>
      <c r="AW74" s="15">
        <f t="shared" si="378"/>
        <v>196.40918282852348</v>
      </c>
      <c r="AX74" s="14">
        <v>4</v>
      </c>
      <c r="AY74" s="15">
        <f t="shared" si="379"/>
        <v>0.84575536526059836</v>
      </c>
      <c r="AZ74" s="14">
        <v>13</v>
      </c>
      <c r="BA74" s="14">
        <v>121</v>
      </c>
      <c r="BB74" s="14">
        <v>16</v>
      </c>
      <c r="BC74" s="14">
        <v>0</v>
      </c>
      <c r="BD74" s="14">
        <v>58</v>
      </c>
      <c r="BE74" s="15">
        <f t="shared" si="380"/>
        <v>58</v>
      </c>
      <c r="BF74" s="15">
        <f t="shared" si="381"/>
        <v>79</v>
      </c>
      <c r="BG74" s="14">
        <v>0</v>
      </c>
      <c r="BH74" s="14">
        <v>0</v>
      </c>
      <c r="BI74" s="14">
        <v>0</v>
      </c>
      <c r="BJ74" s="14">
        <v>0</v>
      </c>
      <c r="BK74" s="15">
        <f t="shared" si="382"/>
        <v>0</v>
      </c>
      <c r="BL74" s="15">
        <f t="shared" si="383"/>
        <v>0</v>
      </c>
      <c r="BM74" s="14">
        <v>7</v>
      </c>
      <c r="BN74" s="14">
        <v>0</v>
      </c>
      <c r="BO74" s="14">
        <v>0</v>
      </c>
      <c r="BP74" s="14">
        <v>0</v>
      </c>
      <c r="BQ74" s="15">
        <f t="shared" si="384"/>
        <v>0</v>
      </c>
      <c r="BR74" s="15">
        <f t="shared" si="385"/>
        <v>7</v>
      </c>
      <c r="BS74" s="14">
        <v>0</v>
      </c>
      <c r="BT74" s="14">
        <v>0</v>
      </c>
      <c r="BU74" s="14">
        <v>0</v>
      </c>
      <c r="BV74" s="14">
        <v>0</v>
      </c>
      <c r="BW74" s="15">
        <f t="shared" si="386"/>
        <v>0</v>
      </c>
      <c r="BX74" s="15">
        <f t="shared" si="387"/>
        <v>0</v>
      </c>
      <c r="BY74" s="15">
        <f t="shared" si="388"/>
        <v>128</v>
      </c>
      <c r="BZ74" s="15">
        <f t="shared" si="389"/>
        <v>16</v>
      </c>
      <c r="CA74" s="15">
        <f t="shared" si="390"/>
        <v>58</v>
      </c>
      <c r="CB74" s="15">
        <f t="shared" si="391"/>
        <v>86</v>
      </c>
      <c r="CC74" s="14">
        <v>58</v>
      </c>
      <c r="CD74" s="14">
        <v>417</v>
      </c>
      <c r="CE74" s="14">
        <v>18</v>
      </c>
      <c r="CF74" s="14">
        <v>22</v>
      </c>
      <c r="CG74" s="14">
        <v>3</v>
      </c>
      <c r="CH74" s="15">
        <f t="shared" si="392"/>
        <v>460</v>
      </c>
      <c r="CI74" s="14">
        <v>1480</v>
      </c>
      <c r="CJ74" s="14">
        <v>10</v>
      </c>
      <c r="CK74" s="14">
        <v>0</v>
      </c>
      <c r="CL74" s="14">
        <v>0</v>
      </c>
      <c r="CM74" s="15">
        <f t="shared" si="393"/>
        <v>1490</v>
      </c>
      <c r="CN74" s="14">
        <v>885</v>
      </c>
      <c r="CO74" s="14">
        <v>46</v>
      </c>
      <c r="CP74" s="14">
        <v>83</v>
      </c>
      <c r="CQ74" s="14">
        <v>21</v>
      </c>
      <c r="CR74" s="15">
        <f t="shared" si="394"/>
        <v>1035</v>
      </c>
      <c r="CS74" s="15">
        <f t="shared" si="395"/>
        <v>2525</v>
      </c>
      <c r="CT74" s="14">
        <v>2985</v>
      </c>
      <c r="CU74" s="14">
        <v>21748</v>
      </c>
      <c r="CV74" s="14">
        <v>19362</v>
      </c>
      <c r="CW74" s="16">
        <f t="shared" si="396"/>
        <v>0.8902887621850285</v>
      </c>
      <c r="CX74" s="14"/>
      <c r="CY74" s="14"/>
      <c r="CZ74" s="14"/>
      <c r="DA74" s="14"/>
      <c r="DB74" s="15">
        <f t="shared" si="397"/>
        <v>0</v>
      </c>
      <c r="DC74" s="14">
        <v>0</v>
      </c>
      <c r="DD74" s="14">
        <v>0</v>
      </c>
      <c r="DE74" s="14">
        <v>0</v>
      </c>
      <c r="DF74" s="14">
        <v>0</v>
      </c>
      <c r="DG74" s="15">
        <f t="shared" si="398"/>
        <v>0</v>
      </c>
      <c r="DH74" s="14">
        <v>0</v>
      </c>
      <c r="DI74" s="14">
        <v>0</v>
      </c>
      <c r="DJ74" s="14">
        <v>0</v>
      </c>
      <c r="DK74" s="14">
        <v>0</v>
      </c>
      <c r="DL74" s="15">
        <f t="shared" si="399"/>
        <v>0</v>
      </c>
      <c r="DM74" s="14">
        <v>19</v>
      </c>
      <c r="DN74" s="14">
        <v>7</v>
      </c>
      <c r="DO74" s="14">
        <v>0</v>
      </c>
      <c r="DP74" s="14">
        <v>18</v>
      </c>
      <c r="DQ74" s="15">
        <f t="shared" si="400"/>
        <v>8</v>
      </c>
      <c r="DR74" s="15">
        <f t="shared" si="401"/>
        <v>19</v>
      </c>
      <c r="DS74" s="15">
        <f t="shared" si="402"/>
        <v>7</v>
      </c>
      <c r="DT74" s="15">
        <f t="shared" si="403"/>
        <v>0</v>
      </c>
      <c r="DU74" s="15">
        <f t="shared" si="404"/>
        <v>18</v>
      </c>
      <c r="DV74" s="15">
        <f t="shared" si="405"/>
        <v>8</v>
      </c>
      <c r="DW74" s="14">
        <v>39</v>
      </c>
      <c r="DX74" s="14">
        <v>13</v>
      </c>
      <c r="DY74" s="14">
        <v>11</v>
      </c>
      <c r="DZ74" s="14">
        <v>1</v>
      </c>
      <c r="EA74" s="14">
        <v>2</v>
      </c>
      <c r="EB74" s="14">
        <v>7</v>
      </c>
      <c r="EC74" s="14">
        <v>1</v>
      </c>
      <c r="ED74" s="14">
        <v>0</v>
      </c>
      <c r="EE74" s="14">
        <v>2</v>
      </c>
      <c r="EF74" s="14">
        <v>0</v>
      </c>
      <c r="EG74" s="14">
        <v>0</v>
      </c>
      <c r="EH74" s="14">
        <v>0</v>
      </c>
      <c r="EI74" s="14">
        <v>0</v>
      </c>
      <c r="EJ74" s="14">
        <v>5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5">
        <f t="shared" si="406"/>
        <v>81</v>
      </c>
      <c r="FH74" s="14">
        <v>6</v>
      </c>
      <c r="FI74" s="14">
        <v>591</v>
      </c>
      <c r="FJ74" s="14">
        <v>24</v>
      </c>
      <c r="FK74" s="14">
        <v>130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5">
        <f t="shared" si="407"/>
        <v>0</v>
      </c>
      <c r="FR74" s="14">
        <v>10905291.43</v>
      </c>
      <c r="FS74" s="14">
        <v>0</v>
      </c>
      <c r="FT74" s="14">
        <v>0</v>
      </c>
      <c r="FU74" s="14">
        <v>0</v>
      </c>
      <c r="FV74" s="15">
        <f t="shared" si="408"/>
        <v>10905291.43</v>
      </c>
      <c r="FW74" s="14">
        <v>10142888</v>
      </c>
      <c r="FX74" s="14">
        <v>222760</v>
      </c>
      <c r="FY74" s="14">
        <v>2547390</v>
      </c>
      <c r="FZ74" s="14">
        <v>7696487.1699999999</v>
      </c>
      <c r="GA74" s="15">
        <f t="shared" si="409"/>
        <v>20609525.170000002</v>
      </c>
      <c r="GB74" s="15">
        <f t="shared" si="410"/>
        <v>31514816.600000001</v>
      </c>
      <c r="GC74" s="14">
        <v>16040828</v>
      </c>
      <c r="GD74" s="14">
        <v>0</v>
      </c>
      <c r="GE74" s="14">
        <v>9185007.3100000005</v>
      </c>
      <c r="GF74" s="14">
        <v>0</v>
      </c>
      <c r="GG74" s="15">
        <f t="shared" si="411"/>
        <v>25225835.310000002</v>
      </c>
      <c r="GH74" s="14">
        <v>10095968</v>
      </c>
      <c r="GI74" s="14">
        <v>222760</v>
      </c>
      <c r="GJ74" s="14">
        <v>7762987.1699999999</v>
      </c>
      <c r="GK74" s="14">
        <v>2504911.98</v>
      </c>
      <c r="GL74" s="15">
        <f t="shared" si="412"/>
        <v>20586627.150000002</v>
      </c>
      <c r="GM74" s="15">
        <f t="shared" si="413"/>
        <v>45812462.460000008</v>
      </c>
      <c r="GN74" s="14">
        <v>749761</v>
      </c>
      <c r="GO74" s="14">
        <v>0</v>
      </c>
      <c r="GP74" s="14">
        <v>33936.400000000001</v>
      </c>
      <c r="GQ74" s="14">
        <v>0</v>
      </c>
      <c r="GR74" s="15">
        <f t="shared" si="414"/>
        <v>783697.4</v>
      </c>
      <c r="GS74" s="14">
        <v>1321640</v>
      </c>
      <c r="GT74" s="14">
        <v>0</v>
      </c>
      <c r="GU74" s="14">
        <v>8930</v>
      </c>
      <c r="GV74" s="14">
        <v>0</v>
      </c>
      <c r="GW74" s="15">
        <f t="shared" si="415"/>
        <v>1330570</v>
      </c>
      <c r="GX74" s="15">
        <f t="shared" si="416"/>
        <v>47926729.860000007</v>
      </c>
      <c r="GY74" s="14">
        <v>12396364.470000429</v>
      </c>
      <c r="GZ74" s="14">
        <v>320697681.05999988</v>
      </c>
      <c r="HA74" s="15">
        <f t="shared" si="417"/>
        <v>333094045.53000033</v>
      </c>
      <c r="HB74" s="15">
        <f t="shared" si="418"/>
        <v>0.1737145270357488</v>
      </c>
      <c r="HC74" s="16">
        <f t="shared" si="419"/>
        <v>0.52243368729721751</v>
      </c>
      <c r="HD74" s="15">
        <f t="shared" si="420"/>
        <v>0.65756242272441157</v>
      </c>
      <c r="HE74" s="14">
        <v>16</v>
      </c>
      <c r="HF74" s="14">
        <v>1</v>
      </c>
      <c r="HG74" s="14">
        <v>86</v>
      </c>
      <c r="HH74" s="14">
        <v>16</v>
      </c>
      <c r="HI74" s="14">
        <v>30</v>
      </c>
      <c r="HJ74" s="15">
        <f t="shared" si="421"/>
        <v>31</v>
      </c>
      <c r="HK74" s="16">
        <f t="shared" si="422"/>
        <v>1</v>
      </c>
      <c r="HL74" s="14">
        <v>56</v>
      </c>
      <c r="HM74" s="14">
        <v>24</v>
      </c>
      <c r="HN74" s="17">
        <f t="shared" si="423"/>
        <v>0.42857142857142855</v>
      </c>
    </row>
    <row r="75" spans="1:222" x14ac:dyDescent="0.3">
      <c r="A75" s="6" t="s">
        <v>276</v>
      </c>
      <c r="B75" s="6" t="s">
        <v>278</v>
      </c>
      <c r="C75" s="7" t="s">
        <v>257</v>
      </c>
      <c r="D75" s="7">
        <v>2025</v>
      </c>
      <c r="E75" s="7">
        <v>4</v>
      </c>
      <c r="F75" s="7" t="s">
        <v>258</v>
      </c>
      <c r="G75" s="7" t="s">
        <v>259</v>
      </c>
      <c r="H75" s="8">
        <v>1757</v>
      </c>
      <c r="I75" s="8">
        <v>7</v>
      </c>
      <c r="J75" s="8">
        <v>0</v>
      </c>
      <c r="K75" s="8">
        <v>1</v>
      </c>
      <c r="L75" s="8">
        <v>0</v>
      </c>
      <c r="M75" s="9">
        <f t="shared" si="363"/>
        <v>8</v>
      </c>
      <c r="N75" s="8">
        <v>1199</v>
      </c>
      <c r="O75" s="8">
        <v>0</v>
      </c>
      <c r="P75" s="8">
        <v>109</v>
      </c>
      <c r="Q75" s="8">
        <v>28</v>
      </c>
      <c r="R75" s="9">
        <f t="shared" si="364"/>
        <v>1336</v>
      </c>
      <c r="S75" s="9">
        <f t="shared" si="365"/>
        <v>1344</v>
      </c>
      <c r="T75" s="8">
        <v>413</v>
      </c>
      <c r="U75" s="10">
        <f t="shared" si="366"/>
        <v>0.23505976095617531</v>
      </c>
      <c r="V75" s="8">
        <v>4</v>
      </c>
      <c r="W75" s="11">
        <f t="shared" si="367"/>
        <v>2.2766078542970974E-3</v>
      </c>
      <c r="X75" s="8">
        <v>0</v>
      </c>
      <c r="Y75" s="11">
        <f t="shared" si="368"/>
        <v>0</v>
      </c>
      <c r="Z75" s="8">
        <v>0</v>
      </c>
      <c r="AA75" s="11">
        <f t="shared" si="369"/>
        <v>0</v>
      </c>
      <c r="AB75" s="8">
        <v>0</v>
      </c>
      <c r="AC75" s="11">
        <f t="shared" si="370"/>
        <v>0</v>
      </c>
      <c r="AD75" s="8">
        <v>0</v>
      </c>
      <c r="AE75" s="11">
        <f t="shared" si="371"/>
        <v>0</v>
      </c>
      <c r="AF75" s="8">
        <v>0</v>
      </c>
      <c r="AG75" s="11">
        <f t="shared" si="372"/>
        <v>0</v>
      </c>
      <c r="AH75" s="8">
        <v>95716.4</v>
      </c>
      <c r="AI75" s="9">
        <f t="shared" si="373"/>
        <v>54.477177006260668</v>
      </c>
      <c r="AJ75" s="8">
        <v>3302</v>
      </c>
      <c r="AK75" s="11">
        <f t="shared" si="374"/>
        <v>1.8793397837222539</v>
      </c>
      <c r="AL75" s="8">
        <v>571359.10499999998</v>
      </c>
      <c r="AM75" s="9">
        <f t="shared" si="375"/>
        <v>325.19015651678995</v>
      </c>
      <c r="AN75" s="8">
        <v>0</v>
      </c>
      <c r="AO75" s="8">
        <v>0</v>
      </c>
      <c r="AP75" s="8">
        <v>0</v>
      </c>
      <c r="AQ75" s="8">
        <v>0</v>
      </c>
      <c r="AR75" s="8">
        <v>3854468.73</v>
      </c>
      <c r="AS75" s="8">
        <v>666562.80000000005</v>
      </c>
      <c r="AT75" s="8">
        <v>180000</v>
      </c>
      <c r="AU75" s="9">
        <f t="shared" si="376"/>
        <v>5368107.0350000001</v>
      </c>
      <c r="AV75" s="9">
        <f t="shared" si="377"/>
        <v>3055.2686596471258</v>
      </c>
      <c r="AW75" s="9">
        <f t="shared" si="378"/>
        <v>3994.1272581845237</v>
      </c>
      <c r="AX75" s="8">
        <v>3</v>
      </c>
      <c r="AY75" s="9">
        <f t="shared" si="379"/>
        <v>20.489470688673876</v>
      </c>
      <c r="AZ75" s="8">
        <v>5</v>
      </c>
      <c r="BA75" s="8">
        <v>103</v>
      </c>
      <c r="BB75" s="8">
        <v>3</v>
      </c>
      <c r="BC75" s="8">
        <v>0</v>
      </c>
      <c r="BD75" s="8">
        <v>3</v>
      </c>
      <c r="BE75" s="9">
        <f t="shared" si="380"/>
        <v>3</v>
      </c>
      <c r="BF75" s="9">
        <f t="shared" si="381"/>
        <v>103</v>
      </c>
      <c r="BG75" s="8">
        <v>0</v>
      </c>
      <c r="BH75" s="8">
        <v>0</v>
      </c>
      <c r="BI75" s="8">
        <v>0</v>
      </c>
      <c r="BJ75" s="8">
        <v>0</v>
      </c>
      <c r="BK75" s="9">
        <f t="shared" si="382"/>
        <v>0</v>
      </c>
      <c r="BL75" s="9">
        <f t="shared" si="383"/>
        <v>0</v>
      </c>
      <c r="BM75" s="8">
        <v>0</v>
      </c>
      <c r="BN75" s="8">
        <v>0</v>
      </c>
      <c r="BO75" s="8">
        <v>0</v>
      </c>
      <c r="BP75" s="8">
        <v>0</v>
      </c>
      <c r="BQ75" s="9">
        <f t="shared" si="384"/>
        <v>0</v>
      </c>
      <c r="BR75" s="9">
        <f t="shared" si="385"/>
        <v>0</v>
      </c>
      <c r="BS75" s="8">
        <v>0</v>
      </c>
      <c r="BT75" s="8">
        <v>0</v>
      </c>
      <c r="BU75" s="8">
        <v>0</v>
      </c>
      <c r="BV75" s="8">
        <v>0</v>
      </c>
      <c r="BW75" s="9">
        <f t="shared" si="386"/>
        <v>0</v>
      </c>
      <c r="BX75" s="9">
        <f t="shared" si="387"/>
        <v>0</v>
      </c>
      <c r="BY75" s="9">
        <f t="shared" si="388"/>
        <v>103</v>
      </c>
      <c r="BZ75" s="9">
        <f t="shared" si="389"/>
        <v>3</v>
      </c>
      <c r="CA75" s="9">
        <f t="shared" si="390"/>
        <v>3</v>
      </c>
      <c r="CB75" s="9">
        <f t="shared" si="391"/>
        <v>103</v>
      </c>
      <c r="CC75" s="8">
        <v>3</v>
      </c>
      <c r="CD75" s="8">
        <v>248</v>
      </c>
      <c r="CE75" s="8">
        <v>0</v>
      </c>
      <c r="CF75" s="8">
        <v>0</v>
      </c>
      <c r="CG75" s="8">
        <v>0</v>
      </c>
      <c r="CH75" s="9">
        <f t="shared" si="392"/>
        <v>248</v>
      </c>
      <c r="CI75" s="8">
        <v>3</v>
      </c>
      <c r="CJ75" s="8">
        <v>1</v>
      </c>
      <c r="CK75" s="8">
        <v>0</v>
      </c>
      <c r="CL75" s="8">
        <v>0</v>
      </c>
      <c r="CM75" s="9">
        <f t="shared" si="393"/>
        <v>4</v>
      </c>
      <c r="CN75" s="8">
        <v>667</v>
      </c>
      <c r="CO75" s="8">
        <v>26</v>
      </c>
      <c r="CP75" s="8">
        <v>9</v>
      </c>
      <c r="CQ75" s="8">
        <v>3</v>
      </c>
      <c r="CR75" s="9">
        <f t="shared" si="394"/>
        <v>705</v>
      </c>
      <c r="CS75" s="9">
        <f t="shared" si="395"/>
        <v>709</v>
      </c>
      <c r="CT75" s="8">
        <v>957</v>
      </c>
      <c r="CU75" s="8">
        <v>9143</v>
      </c>
      <c r="CV75" s="8">
        <v>6421</v>
      </c>
      <c r="CW75" s="10">
        <f t="shared" si="396"/>
        <v>0.70228590178278461</v>
      </c>
      <c r="CX75" s="8"/>
      <c r="CY75" s="8"/>
      <c r="CZ75" s="8"/>
      <c r="DA75" s="8"/>
      <c r="DB75" s="9">
        <f t="shared" si="397"/>
        <v>0</v>
      </c>
      <c r="DC75" s="8">
        <v>0</v>
      </c>
      <c r="DD75" s="8">
        <v>0</v>
      </c>
      <c r="DE75" s="8">
        <v>0</v>
      </c>
      <c r="DF75" s="8">
        <v>0</v>
      </c>
      <c r="DG75" s="9">
        <f t="shared" si="398"/>
        <v>0</v>
      </c>
      <c r="DH75" s="8">
        <v>0</v>
      </c>
      <c r="DI75" s="8">
        <v>0</v>
      </c>
      <c r="DJ75" s="8">
        <v>0</v>
      </c>
      <c r="DK75" s="8">
        <v>0</v>
      </c>
      <c r="DL75" s="9">
        <f t="shared" si="399"/>
        <v>0</v>
      </c>
      <c r="DM75" s="8">
        <v>0</v>
      </c>
      <c r="DN75" s="8">
        <v>0</v>
      </c>
      <c r="DO75" s="8">
        <v>0</v>
      </c>
      <c r="DP75" s="8">
        <v>0</v>
      </c>
      <c r="DQ75" s="9">
        <f t="shared" si="400"/>
        <v>0</v>
      </c>
      <c r="DR75" s="9">
        <f t="shared" si="401"/>
        <v>0</v>
      </c>
      <c r="DS75" s="9">
        <f t="shared" si="402"/>
        <v>0</v>
      </c>
      <c r="DT75" s="9">
        <f t="shared" si="403"/>
        <v>0</v>
      </c>
      <c r="DU75" s="9">
        <f t="shared" si="404"/>
        <v>0</v>
      </c>
      <c r="DV75" s="9">
        <f t="shared" si="405"/>
        <v>0</v>
      </c>
      <c r="DW75" s="8">
        <v>14</v>
      </c>
      <c r="DX75" s="8">
        <v>8</v>
      </c>
      <c r="DY75" s="8">
        <v>4</v>
      </c>
      <c r="DZ75" s="8">
        <v>0</v>
      </c>
      <c r="EA75" s="8">
        <v>1</v>
      </c>
      <c r="EB75" s="8">
        <v>2</v>
      </c>
      <c r="EC75" s="8">
        <v>0</v>
      </c>
      <c r="ED75" s="8">
        <v>0</v>
      </c>
      <c r="EE75" s="8">
        <v>0</v>
      </c>
      <c r="EF75" s="8">
        <v>0</v>
      </c>
      <c r="EG75" s="8">
        <v>0</v>
      </c>
      <c r="EH75" s="8">
        <v>0</v>
      </c>
      <c r="EI75" s="8">
        <v>0</v>
      </c>
      <c r="EJ75" s="8">
        <v>0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0</v>
      </c>
      <c r="ET75" s="8">
        <v>0</v>
      </c>
      <c r="EU75" s="8">
        <v>0</v>
      </c>
      <c r="EV75" s="8">
        <v>0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9">
        <f t="shared" si="406"/>
        <v>29</v>
      </c>
      <c r="FH75" s="8">
        <v>1</v>
      </c>
      <c r="FI75" s="8">
        <v>528</v>
      </c>
      <c r="FJ75" s="8">
        <v>24</v>
      </c>
      <c r="FK75" s="8">
        <v>192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9">
        <f t="shared" si="407"/>
        <v>0</v>
      </c>
      <c r="FR75" s="8">
        <v>249968</v>
      </c>
      <c r="FS75" s="8">
        <v>0</v>
      </c>
      <c r="FT75" s="8">
        <v>0</v>
      </c>
      <c r="FU75" s="8">
        <v>0</v>
      </c>
      <c r="FV75" s="9">
        <f t="shared" si="408"/>
        <v>249968</v>
      </c>
      <c r="FW75" s="8">
        <v>4068723</v>
      </c>
      <c r="FX75" s="8">
        <v>0</v>
      </c>
      <c r="FY75" s="8">
        <v>92200</v>
      </c>
      <c r="FZ75" s="8">
        <v>1596500</v>
      </c>
      <c r="GA75" s="9">
        <f t="shared" si="409"/>
        <v>5757423</v>
      </c>
      <c r="GB75" s="9">
        <f t="shared" si="410"/>
        <v>6007391</v>
      </c>
      <c r="GC75" s="8">
        <v>6680.5</v>
      </c>
      <c r="GD75" s="8">
        <v>0</v>
      </c>
      <c r="GE75" s="8">
        <v>8410.99</v>
      </c>
      <c r="GF75" s="8">
        <v>0</v>
      </c>
      <c r="GG75" s="9">
        <f t="shared" si="411"/>
        <v>15091.49</v>
      </c>
      <c r="GH75" s="8">
        <v>2533859</v>
      </c>
      <c r="GI75" s="8">
        <v>0</v>
      </c>
      <c r="GJ75" s="8">
        <v>1596500</v>
      </c>
      <c r="GK75" s="8">
        <v>92200</v>
      </c>
      <c r="GL75" s="9">
        <f t="shared" si="412"/>
        <v>4222559</v>
      </c>
      <c r="GM75" s="9">
        <f t="shared" si="413"/>
        <v>4237650.49</v>
      </c>
      <c r="GN75" s="8">
        <v>1315</v>
      </c>
      <c r="GO75" s="8">
        <v>0</v>
      </c>
      <c r="GP75" s="8">
        <v>3393.64</v>
      </c>
      <c r="GQ75" s="8">
        <v>0</v>
      </c>
      <c r="GR75" s="9">
        <f t="shared" si="414"/>
        <v>4708.6399999999994</v>
      </c>
      <c r="GS75" s="8">
        <v>1786</v>
      </c>
      <c r="GT75" s="8">
        <v>0</v>
      </c>
      <c r="GU75" s="8">
        <v>893</v>
      </c>
      <c r="GV75" s="8">
        <v>0</v>
      </c>
      <c r="GW75" s="9">
        <f t="shared" si="415"/>
        <v>2679</v>
      </c>
      <c r="GX75" s="9">
        <f t="shared" si="416"/>
        <v>4245038.13</v>
      </c>
      <c r="GY75" s="8">
        <v>-1190666.7199999981</v>
      </c>
      <c r="GZ75" s="8">
        <v>68247421.820000067</v>
      </c>
      <c r="HA75" s="9">
        <f t="shared" si="417"/>
        <v>67056755.100000069</v>
      </c>
      <c r="HB75" s="9">
        <f t="shared" si="418"/>
        <v>1.2645603809923847</v>
      </c>
      <c r="HC75" s="10">
        <f t="shared" si="419"/>
        <v>1.9668174539389092</v>
      </c>
      <c r="HD75" s="9">
        <f t="shared" si="420"/>
        <v>1.4151559576215162</v>
      </c>
      <c r="HE75" s="8">
        <v>2</v>
      </c>
      <c r="HF75" s="8">
        <v>1</v>
      </c>
      <c r="HG75" s="8">
        <v>103</v>
      </c>
      <c r="HH75" s="8">
        <v>3</v>
      </c>
      <c r="HI75" s="8">
        <v>0</v>
      </c>
      <c r="HJ75" s="9">
        <f t="shared" si="421"/>
        <v>1</v>
      </c>
      <c r="HK75" s="10">
        <f t="shared" si="422"/>
        <v>1.5</v>
      </c>
      <c r="HL75" s="8">
        <v>10</v>
      </c>
      <c r="HM75" s="8">
        <v>1</v>
      </c>
      <c r="HN75" s="11">
        <f t="shared" si="423"/>
        <v>0.1</v>
      </c>
    </row>
    <row r="76" spans="1:222" x14ac:dyDescent="0.3">
      <c r="A76" s="12" t="s">
        <v>276</v>
      </c>
      <c r="B76" s="12" t="s">
        <v>278</v>
      </c>
      <c r="C76" s="13" t="s">
        <v>257</v>
      </c>
      <c r="D76" s="13">
        <v>2025</v>
      </c>
      <c r="E76" s="13">
        <v>5</v>
      </c>
      <c r="F76" s="13" t="s">
        <v>260</v>
      </c>
      <c r="G76" s="13" t="s">
        <v>259</v>
      </c>
      <c r="H76" s="14">
        <v>3564</v>
      </c>
      <c r="I76" s="14">
        <v>11</v>
      </c>
      <c r="J76" s="14">
        <v>0</v>
      </c>
      <c r="K76" s="14">
        <v>1</v>
      </c>
      <c r="L76" s="14">
        <v>0</v>
      </c>
      <c r="M76" s="15">
        <f t="shared" si="363"/>
        <v>12</v>
      </c>
      <c r="N76" s="14">
        <v>2934</v>
      </c>
      <c r="O76" s="14">
        <v>0</v>
      </c>
      <c r="P76" s="14">
        <v>275</v>
      </c>
      <c r="Q76" s="14">
        <v>72</v>
      </c>
      <c r="R76" s="15">
        <f t="shared" si="364"/>
        <v>3281</v>
      </c>
      <c r="S76" s="15">
        <f t="shared" si="365"/>
        <v>3293</v>
      </c>
      <c r="T76" s="14">
        <v>271</v>
      </c>
      <c r="U76" s="16">
        <f t="shared" si="366"/>
        <v>7.6038159371492706E-2</v>
      </c>
      <c r="V76" s="14">
        <v>4</v>
      </c>
      <c r="W76" s="17">
        <f t="shared" si="367"/>
        <v>1.1223344556677891E-3</v>
      </c>
      <c r="X76" s="14">
        <v>0</v>
      </c>
      <c r="Y76" s="17">
        <f t="shared" si="368"/>
        <v>0</v>
      </c>
      <c r="Z76" s="14">
        <v>0</v>
      </c>
      <c r="AA76" s="17">
        <f t="shared" si="369"/>
        <v>0</v>
      </c>
      <c r="AB76" s="14">
        <v>0</v>
      </c>
      <c r="AC76" s="17">
        <f t="shared" si="370"/>
        <v>0</v>
      </c>
      <c r="AD76" s="14">
        <v>0</v>
      </c>
      <c r="AE76" s="17">
        <f t="shared" si="371"/>
        <v>0</v>
      </c>
      <c r="AF76" s="14">
        <v>0</v>
      </c>
      <c r="AG76" s="17">
        <f t="shared" si="372"/>
        <v>0</v>
      </c>
      <c r="AH76" s="14">
        <v>95716.4</v>
      </c>
      <c r="AI76" s="15">
        <f t="shared" si="373"/>
        <v>26.856453423120087</v>
      </c>
      <c r="AJ76" s="14">
        <v>3606</v>
      </c>
      <c r="AK76" s="17">
        <f t="shared" si="374"/>
        <v>1.0117845117845117</v>
      </c>
      <c r="AL76" s="14">
        <v>622181.06499999994</v>
      </c>
      <c r="AM76" s="15">
        <f t="shared" si="375"/>
        <v>174.57381172839504</v>
      </c>
      <c r="AN76" s="14">
        <v>0</v>
      </c>
      <c r="AO76" s="14">
        <v>0</v>
      </c>
      <c r="AP76" s="14">
        <v>0</v>
      </c>
      <c r="AQ76" s="14">
        <v>0</v>
      </c>
      <c r="AR76" s="14">
        <v>3756202.85</v>
      </c>
      <c r="AS76" s="14">
        <v>554279.09</v>
      </c>
      <c r="AT76" s="14">
        <v>183100</v>
      </c>
      <c r="AU76" s="15">
        <f t="shared" si="376"/>
        <v>5211479.4050000003</v>
      </c>
      <c r="AV76" s="15">
        <f t="shared" si="377"/>
        <v>1462.255725308642</v>
      </c>
      <c r="AW76" s="15">
        <f t="shared" si="378"/>
        <v>1582.5931992104465</v>
      </c>
      <c r="AX76" s="14">
        <v>3</v>
      </c>
      <c r="AY76" s="15">
        <f t="shared" si="379"/>
        <v>10.101010101010102</v>
      </c>
      <c r="AZ76" s="14">
        <v>5</v>
      </c>
      <c r="BA76" s="14">
        <v>103</v>
      </c>
      <c r="BB76" s="14">
        <v>4</v>
      </c>
      <c r="BC76" s="14">
        <v>1</v>
      </c>
      <c r="BD76" s="14">
        <v>10</v>
      </c>
      <c r="BE76" s="15">
        <f t="shared" si="380"/>
        <v>11</v>
      </c>
      <c r="BF76" s="15">
        <f t="shared" si="381"/>
        <v>96</v>
      </c>
      <c r="BG76" s="14">
        <v>0</v>
      </c>
      <c r="BH76" s="14">
        <v>0</v>
      </c>
      <c r="BI76" s="14">
        <v>0</v>
      </c>
      <c r="BJ76" s="14">
        <v>0</v>
      </c>
      <c r="BK76" s="15">
        <f t="shared" si="382"/>
        <v>0</v>
      </c>
      <c r="BL76" s="15">
        <f t="shared" si="383"/>
        <v>0</v>
      </c>
      <c r="BM76" s="14">
        <v>0</v>
      </c>
      <c r="BN76" s="14">
        <v>0</v>
      </c>
      <c r="BO76" s="14">
        <v>0</v>
      </c>
      <c r="BP76" s="14">
        <v>0</v>
      </c>
      <c r="BQ76" s="15">
        <f t="shared" si="384"/>
        <v>0</v>
      </c>
      <c r="BR76" s="15">
        <f t="shared" si="385"/>
        <v>0</v>
      </c>
      <c r="BS76" s="14">
        <v>0</v>
      </c>
      <c r="BT76" s="14">
        <v>0</v>
      </c>
      <c r="BU76" s="14">
        <v>0</v>
      </c>
      <c r="BV76" s="14">
        <v>0</v>
      </c>
      <c r="BW76" s="15">
        <f t="shared" si="386"/>
        <v>0</v>
      </c>
      <c r="BX76" s="15">
        <f t="shared" si="387"/>
        <v>0</v>
      </c>
      <c r="BY76" s="15">
        <f t="shared" si="388"/>
        <v>103</v>
      </c>
      <c r="BZ76" s="15">
        <f t="shared" si="389"/>
        <v>4</v>
      </c>
      <c r="CA76" s="15">
        <f t="shared" si="390"/>
        <v>11</v>
      </c>
      <c r="CB76" s="15">
        <f t="shared" si="391"/>
        <v>96</v>
      </c>
      <c r="CC76" s="14">
        <v>15</v>
      </c>
      <c r="CD76" s="14">
        <v>248</v>
      </c>
      <c r="CE76" s="14">
        <v>0</v>
      </c>
      <c r="CF76" s="14">
        <v>0</v>
      </c>
      <c r="CG76" s="14">
        <v>0</v>
      </c>
      <c r="CH76" s="15">
        <f t="shared" si="392"/>
        <v>248</v>
      </c>
      <c r="CI76" s="14">
        <v>3</v>
      </c>
      <c r="CJ76" s="14">
        <v>1</v>
      </c>
      <c r="CK76" s="14">
        <v>0</v>
      </c>
      <c r="CL76" s="14">
        <v>0</v>
      </c>
      <c r="CM76" s="15">
        <f t="shared" si="393"/>
        <v>4</v>
      </c>
      <c r="CN76" s="14">
        <v>679</v>
      </c>
      <c r="CO76" s="14">
        <v>26</v>
      </c>
      <c r="CP76" s="14">
        <v>9</v>
      </c>
      <c r="CQ76" s="14">
        <v>2</v>
      </c>
      <c r="CR76" s="15">
        <f t="shared" si="394"/>
        <v>716</v>
      </c>
      <c r="CS76" s="15">
        <f t="shared" si="395"/>
        <v>720</v>
      </c>
      <c r="CT76" s="14">
        <v>968</v>
      </c>
      <c r="CU76" s="14">
        <v>9158</v>
      </c>
      <c r="CV76" s="14">
        <v>6476</v>
      </c>
      <c r="CW76" s="16">
        <f t="shared" si="396"/>
        <v>0.70714129722646868</v>
      </c>
      <c r="CX76" s="14"/>
      <c r="CY76" s="14"/>
      <c r="CZ76" s="14"/>
      <c r="DA76" s="14"/>
      <c r="DB76" s="15">
        <f t="shared" si="397"/>
        <v>0</v>
      </c>
      <c r="DC76" s="14">
        <v>0</v>
      </c>
      <c r="DD76" s="14">
        <v>0</v>
      </c>
      <c r="DE76" s="14">
        <v>0</v>
      </c>
      <c r="DF76" s="14">
        <v>0</v>
      </c>
      <c r="DG76" s="15">
        <f t="shared" si="398"/>
        <v>0</v>
      </c>
      <c r="DH76" s="14">
        <v>0</v>
      </c>
      <c r="DI76" s="14">
        <v>0</v>
      </c>
      <c r="DJ76" s="14">
        <v>0</v>
      </c>
      <c r="DK76" s="14">
        <v>0</v>
      </c>
      <c r="DL76" s="15">
        <f t="shared" si="399"/>
        <v>0</v>
      </c>
      <c r="DM76" s="14">
        <v>0</v>
      </c>
      <c r="DN76" s="14">
        <v>0</v>
      </c>
      <c r="DO76" s="14">
        <v>0</v>
      </c>
      <c r="DP76" s="14">
        <v>0</v>
      </c>
      <c r="DQ76" s="15">
        <f t="shared" si="400"/>
        <v>0</v>
      </c>
      <c r="DR76" s="15">
        <f t="shared" si="401"/>
        <v>0</v>
      </c>
      <c r="DS76" s="15">
        <f t="shared" si="402"/>
        <v>0</v>
      </c>
      <c r="DT76" s="15">
        <f t="shared" si="403"/>
        <v>0</v>
      </c>
      <c r="DU76" s="15">
        <f t="shared" si="404"/>
        <v>0</v>
      </c>
      <c r="DV76" s="15">
        <f t="shared" si="405"/>
        <v>0</v>
      </c>
      <c r="DW76" s="14">
        <v>21</v>
      </c>
      <c r="DX76" s="14">
        <v>18</v>
      </c>
      <c r="DY76" s="14">
        <v>5</v>
      </c>
      <c r="DZ76" s="14">
        <v>0</v>
      </c>
      <c r="EA76" s="14">
        <v>3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5">
        <f t="shared" si="406"/>
        <v>47</v>
      </c>
      <c r="FH76" s="14">
        <v>1</v>
      </c>
      <c r="FI76" s="14">
        <v>600</v>
      </c>
      <c r="FJ76" s="14">
        <v>24</v>
      </c>
      <c r="FK76" s="14">
        <v>144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5">
        <f t="shared" si="407"/>
        <v>0</v>
      </c>
      <c r="FR76" s="14">
        <v>211684.44</v>
      </c>
      <c r="FS76" s="14">
        <v>0</v>
      </c>
      <c r="FT76" s="14">
        <v>0</v>
      </c>
      <c r="FU76" s="14">
        <v>0</v>
      </c>
      <c r="FV76" s="15">
        <f t="shared" si="408"/>
        <v>211684.44</v>
      </c>
      <c r="FW76" s="14">
        <v>4662955</v>
      </c>
      <c r="FX76" s="14">
        <v>0</v>
      </c>
      <c r="FY76" s="14">
        <v>71400</v>
      </c>
      <c r="FZ76" s="14">
        <v>2002000</v>
      </c>
      <c r="GA76" s="15">
        <f t="shared" si="409"/>
        <v>6736355</v>
      </c>
      <c r="GB76" s="15">
        <f t="shared" si="410"/>
        <v>6948039.4400000004</v>
      </c>
      <c r="GC76" s="14">
        <v>10900.48</v>
      </c>
      <c r="GD76" s="14">
        <v>0</v>
      </c>
      <c r="GE76" s="14">
        <v>8410.99</v>
      </c>
      <c r="GF76" s="14">
        <v>0</v>
      </c>
      <c r="GG76" s="15">
        <f t="shared" si="411"/>
        <v>19311.47</v>
      </c>
      <c r="GH76" s="14">
        <v>3127303.42</v>
      </c>
      <c r="GI76" s="14">
        <v>0</v>
      </c>
      <c r="GJ76" s="14">
        <v>2002000</v>
      </c>
      <c r="GK76" s="14">
        <v>71400</v>
      </c>
      <c r="GL76" s="15">
        <f t="shared" si="412"/>
        <v>5200703.42</v>
      </c>
      <c r="GM76" s="15">
        <f t="shared" si="413"/>
        <v>5220014.8899999997</v>
      </c>
      <c r="GN76" s="14">
        <v>1860</v>
      </c>
      <c r="GO76" s="14">
        <v>0</v>
      </c>
      <c r="GP76" s="14">
        <v>3393.64</v>
      </c>
      <c r="GQ76" s="14">
        <v>0</v>
      </c>
      <c r="GR76" s="15">
        <f t="shared" si="414"/>
        <v>5253.6399999999994</v>
      </c>
      <c r="GS76" s="14">
        <v>2679</v>
      </c>
      <c r="GT76" s="14">
        <v>0</v>
      </c>
      <c r="GU76" s="14">
        <v>893</v>
      </c>
      <c r="GV76" s="14">
        <v>0</v>
      </c>
      <c r="GW76" s="15">
        <f t="shared" si="415"/>
        <v>3572</v>
      </c>
      <c r="GX76" s="15">
        <f t="shared" si="416"/>
        <v>5228840.5299999993</v>
      </c>
      <c r="GY76" s="14">
        <v>-1185902.9599999629</v>
      </c>
      <c r="GZ76" s="14">
        <v>68059110.38000004</v>
      </c>
      <c r="HA76" s="15">
        <f t="shared" si="417"/>
        <v>66873207.420000076</v>
      </c>
      <c r="HB76" s="15">
        <f t="shared" si="418"/>
        <v>0.99667973714241409</v>
      </c>
      <c r="HC76" s="16">
        <f t="shared" si="419"/>
        <v>1.7185621394593875</v>
      </c>
      <c r="HD76" s="15">
        <f t="shared" si="420"/>
        <v>1.3287916126216228</v>
      </c>
      <c r="HE76" s="14">
        <v>4</v>
      </c>
      <c r="HF76" s="14">
        <v>1</v>
      </c>
      <c r="HG76" s="14">
        <v>96</v>
      </c>
      <c r="HH76" s="14">
        <v>4</v>
      </c>
      <c r="HI76" s="14">
        <v>0</v>
      </c>
      <c r="HJ76" s="15">
        <f t="shared" si="421"/>
        <v>1</v>
      </c>
      <c r="HK76" s="16">
        <f t="shared" si="422"/>
        <v>1</v>
      </c>
      <c r="HL76" s="14">
        <v>11</v>
      </c>
      <c r="HM76" s="14">
        <v>11</v>
      </c>
      <c r="HN76" s="17">
        <f t="shared" si="423"/>
        <v>1</v>
      </c>
    </row>
    <row r="77" spans="1:222" x14ac:dyDescent="0.3">
      <c r="A77" s="6" t="s">
        <v>276</v>
      </c>
      <c r="B77" s="6" t="s">
        <v>278</v>
      </c>
      <c r="C77" s="7" t="s">
        <v>257</v>
      </c>
      <c r="D77" s="7">
        <v>2025</v>
      </c>
      <c r="E77" s="7">
        <v>6</v>
      </c>
      <c r="F77" s="7" t="s">
        <v>261</v>
      </c>
      <c r="G77" s="7" t="s">
        <v>259</v>
      </c>
      <c r="H77" s="8">
        <v>3763</v>
      </c>
      <c r="I77" s="8">
        <v>8</v>
      </c>
      <c r="J77" s="8">
        <v>0</v>
      </c>
      <c r="K77" s="8">
        <v>5</v>
      </c>
      <c r="L77" s="8">
        <v>0</v>
      </c>
      <c r="M77" s="9">
        <f t="shared" si="363"/>
        <v>13</v>
      </c>
      <c r="N77" s="8">
        <v>2445.3000000000002</v>
      </c>
      <c r="O77" s="8">
        <v>0</v>
      </c>
      <c r="P77" s="8">
        <v>67.2</v>
      </c>
      <c r="Q77" s="8">
        <v>14.5</v>
      </c>
      <c r="R77" s="9">
        <f t="shared" si="364"/>
        <v>2527</v>
      </c>
      <c r="S77" s="9">
        <f t="shared" si="365"/>
        <v>2540</v>
      </c>
      <c r="T77" s="8">
        <v>1223</v>
      </c>
      <c r="U77" s="10">
        <f t="shared" si="366"/>
        <v>0.32500664363539727</v>
      </c>
      <c r="V77" s="8">
        <v>4</v>
      </c>
      <c r="W77" s="11">
        <f t="shared" si="367"/>
        <v>1.0629816635663034E-3</v>
      </c>
      <c r="X77" s="8">
        <v>0</v>
      </c>
      <c r="Y77" s="11">
        <f t="shared" si="368"/>
        <v>0</v>
      </c>
      <c r="Z77" s="8">
        <v>0</v>
      </c>
      <c r="AA77" s="11">
        <f t="shared" si="369"/>
        <v>0</v>
      </c>
      <c r="AB77" s="8">
        <v>0</v>
      </c>
      <c r="AC77" s="11">
        <f t="shared" si="370"/>
        <v>0</v>
      </c>
      <c r="AD77" s="8">
        <v>0</v>
      </c>
      <c r="AE77" s="11">
        <f t="shared" si="371"/>
        <v>0</v>
      </c>
      <c r="AF77" s="8">
        <v>0</v>
      </c>
      <c r="AG77" s="11">
        <f t="shared" si="372"/>
        <v>0</v>
      </c>
      <c r="AH77" s="8">
        <v>95716.4</v>
      </c>
      <c r="AI77" s="9">
        <f t="shared" si="373"/>
        <v>25.436194525644432</v>
      </c>
      <c r="AJ77" s="8">
        <v>3758</v>
      </c>
      <c r="AK77" s="11">
        <f t="shared" si="374"/>
        <v>0.99867127292054214</v>
      </c>
      <c r="AL77" s="8">
        <v>647592.04500000004</v>
      </c>
      <c r="AM77" s="9">
        <f t="shared" si="375"/>
        <v>172.09461732660114</v>
      </c>
      <c r="AN77" s="8">
        <v>0</v>
      </c>
      <c r="AO77" s="8">
        <v>0</v>
      </c>
      <c r="AP77" s="8">
        <v>0</v>
      </c>
      <c r="AQ77" s="8">
        <v>0</v>
      </c>
      <c r="AR77" s="8">
        <v>3925452.71</v>
      </c>
      <c r="AS77" s="8">
        <v>707019.98</v>
      </c>
      <c r="AT77" s="8">
        <v>183650</v>
      </c>
      <c r="AU77" s="9">
        <f t="shared" si="376"/>
        <v>5559431.1349999998</v>
      </c>
      <c r="AV77" s="9">
        <f t="shared" si="377"/>
        <v>1477.3933390911507</v>
      </c>
      <c r="AW77" s="9">
        <f t="shared" si="378"/>
        <v>2188.7524153543304</v>
      </c>
      <c r="AX77" s="8">
        <v>3</v>
      </c>
      <c r="AY77" s="9">
        <f t="shared" si="379"/>
        <v>9.5668349720967321</v>
      </c>
      <c r="AZ77" s="8">
        <v>6</v>
      </c>
      <c r="BA77" s="8">
        <v>96</v>
      </c>
      <c r="BB77" s="8">
        <v>9</v>
      </c>
      <c r="BC77" s="8">
        <v>0</v>
      </c>
      <c r="BD77" s="8">
        <v>1</v>
      </c>
      <c r="BE77" s="9">
        <f t="shared" si="380"/>
        <v>1</v>
      </c>
      <c r="BF77" s="9">
        <f t="shared" si="381"/>
        <v>104</v>
      </c>
      <c r="BG77" s="8">
        <v>0</v>
      </c>
      <c r="BH77" s="8">
        <v>0</v>
      </c>
      <c r="BI77" s="8">
        <v>0</v>
      </c>
      <c r="BJ77" s="8">
        <v>0</v>
      </c>
      <c r="BK77" s="9">
        <f t="shared" si="382"/>
        <v>0</v>
      </c>
      <c r="BL77" s="9">
        <f t="shared" si="383"/>
        <v>0</v>
      </c>
      <c r="BM77" s="8">
        <v>0</v>
      </c>
      <c r="BN77" s="8">
        <v>0</v>
      </c>
      <c r="BO77" s="8">
        <v>0</v>
      </c>
      <c r="BP77" s="8">
        <v>0</v>
      </c>
      <c r="BQ77" s="9">
        <f t="shared" si="384"/>
        <v>0</v>
      </c>
      <c r="BR77" s="9">
        <f t="shared" si="385"/>
        <v>0</v>
      </c>
      <c r="BS77" s="8">
        <v>0</v>
      </c>
      <c r="BT77" s="8">
        <v>0</v>
      </c>
      <c r="BU77" s="8">
        <v>0</v>
      </c>
      <c r="BV77" s="8">
        <v>0</v>
      </c>
      <c r="BW77" s="9">
        <f t="shared" si="386"/>
        <v>0</v>
      </c>
      <c r="BX77" s="9">
        <f t="shared" si="387"/>
        <v>0</v>
      </c>
      <c r="BY77" s="9">
        <f t="shared" si="388"/>
        <v>96</v>
      </c>
      <c r="BZ77" s="9">
        <f t="shared" si="389"/>
        <v>9</v>
      </c>
      <c r="CA77" s="9">
        <f t="shared" si="390"/>
        <v>1</v>
      </c>
      <c r="CB77" s="9">
        <f t="shared" si="391"/>
        <v>104</v>
      </c>
      <c r="CC77" s="8">
        <v>4</v>
      </c>
      <c r="CD77" s="8">
        <v>245</v>
      </c>
      <c r="CE77" s="8">
        <v>0</v>
      </c>
      <c r="CF77" s="8">
        <v>0</v>
      </c>
      <c r="CG77" s="8">
        <v>0</v>
      </c>
      <c r="CH77" s="9">
        <f t="shared" si="392"/>
        <v>245</v>
      </c>
      <c r="CI77" s="8">
        <v>3</v>
      </c>
      <c r="CJ77" s="8">
        <v>1</v>
      </c>
      <c r="CK77" s="8">
        <v>0</v>
      </c>
      <c r="CL77" s="8">
        <v>0</v>
      </c>
      <c r="CM77" s="9">
        <f t="shared" si="393"/>
        <v>4</v>
      </c>
      <c r="CN77" s="8">
        <v>683</v>
      </c>
      <c r="CO77" s="8">
        <v>26</v>
      </c>
      <c r="CP77" s="8">
        <v>9</v>
      </c>
      <c r="CQ77" s="8">
        <v>2</v>
      </c>
      <c r="CR77" s="9">
        <f t="shared" si="394"/>
        <v>720</v>
      </c>
      <c r="CS77" s="9">
        <f t="shared" si="395"/>
        <v>724</v>
      </c>
      <c r="CT77" s="8">
        <v>969</v>
      </c>
      <c r="CU77" s="8">
        <v>9173</v>
      </c>
      <c r="CV77" s="8">
        <v>6481</v>
      </c>
      <c r="CW77" s="10">
        <f t="shared" si="396"/>
        <v>0.7065300337948327</v>
      </c>
      <c r="CX77" s="8"/>
      <c r="CY77" s="8"/>
      <c r="CZ77" s="8"/>
      <c r="DA77" s="8"/>
      <c r="DB77" s="9">
        <f t="shared" si="397"/>
        <v>0</v>
      </c>
      <c r="DC77" s="8">
        <v>0</v>
      </c>
      <c r="DD77" s="8">
        <v>0</v>
      </c>
      <c r="DE77" s="8">
        <v>0</v>
      </c>
      <c r="DF77" s="8">
        <v>0</v>
      </c>
      <c r="DG77" s="9">
        <f t="shared" si="398"/>
        <v>0</v>
      </c>
      <c r="DH77" s="8">
        <v>0</v>
      </c>
      <c r="DI77" s="8">
        <v>0</v>
      </c>
      <c r="DJ77" s="8">
        <v>0</v>
      </c>
      <c r="DK77" s="8">
        <v>0</v>
      </c>
      <c r="DL77" s="9">
        <f t="shared" si="399"/>
        <v>0</v>
      </c>
      <c r="DM77" s="8">
        <v>0</v>
      </c>
      <c r="DN77" s="8">
        <v>10</v>
      </c>
      <c r="DO77" s="8">
        <v>6</v>
      </c>
      <c r="DP77" s="8">
        <v>0</v>
      </c>
      <c r="DQ77" s="9">
        <f t="shared" si="400"/>
        <v>4</v>
      </c>
      <c r="DR77" s="9">
        <f t="shared" si="401"/>
        <v>0</v>
      </c>
      <c r="DS77" s="9">
        <f t="shared" si="402"/>
        <v>10</v>
      </c>
      <c r="DT77" s="9">
        <f t="shared" si="403"/>
        <v>6</v>
      </c>
      <c r="DU77" s="9">
        <f t="shared" si="404"/>
        <v>0</v>
      </c>
      <c r="DV77" s="9">
        <f t="shared" si="405"/>
        <v>4</v>
      </c>
      <c r="DW77" s="8">
        <v>15</v>
      </c>
      <c r="DX77" s="8">
        <v>12</v>
      </c>
      <c r="DY77" s="8">
        <v>3</v>
      </c>
      <c r="DZ77" s="8">
        <v>2</v>
      </c>
      <c r="EA77" s="8">
        <v>1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8">
        <v>0</v>
      </c>
      <c r="ES77" s="8">
        <v>0</v>
      </c>
      <c r="ET77" s="8">
        <v>0</v>
      </c>
      <c r="EU77" s="8">
        <v>0</v>
      </c>
      <c r="EV77" s="8">
        <v>0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9">
        <f t="shared" si="406"/>
        <v>33</v>
      </c>
      <c r="FH77" s="8">
        <v>1</v>
      </c>
      <c r="FI77" s="8">
        <v>624</v>
      </c>
      <c r="FJ77" s="8">
        <v>0</v>
      </c>
      <c r="FK77" s="8">
        <v>96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9">
        <f t="shared" si="407"/>
        <v>0</v>
      </c>
      <c r="FR77" s="8">
        <v>585203.31999999995</v>
      </c>
      <c r="FS77" s="8">
        <v>0</v>
      </c>
      <c r="FT77" s="8">
        <v>0</v>
      </c>
      <c r="FU77" s="8">
        <v>0</v>
      </c>
      <c r="FV77" s="9">
        <f t="shared" si="408"/>
        <v>585203.31999999995</v>
      </c>
      <c r="FW77" s="8">
        <v>4616548</v>
      </c>
      <c r="FX77" s="8">
        <v>0</v>
      </c>
      <c r="FY77" s="8">
        <v>68200</v>
      </c>
      <c r="FZ77" s="8">
        <v>236000</v>
      </c>
      <c r="GA77" s="9">
        <f t="shared" si="409"/>
        <v>4920748</v>
      </c>
      <c r="GB77" s="9">
        <f t="shared" si="410"/>
        <v>5505951.3200000003</v>
      </c>
      <c r="GC77" s="8">
        <v>3340.26</v>
      </c>
      <c r="GD77" s="8">
        <v>0</v>
      </c>
      <c r="GE77" s="8">
        <v>0</v>
      </c>
      <c r="GF77" s="8">
        <v>0</v>
      </c>
      <c r="GG77" s="9">
        <f t="shared" si="411"/>
        <v>3340.26</v>
      </c>
      <c r="GH77" s="8">
        <v>3053233.71</v>
      </c>
      <c r="GI77" s="8">
        <v>0</v>
      </c>
      <c r="GJ77" s="8">
        <v>204056.93</v>
      </c>
      <c r="GK77" s="8">
        <v>68200</v>
      </c>
      <c r="GL77" s="9">
        <f t="shared" si="412"/>
        <v>3325490.64</v>
      </c>
      <c r="GM77" s="9">
        <f t="shared" si="413"/>
        <v>3328830.9</v>
      </c>
      <c r="GN77" s="8">
        <v>544.92999999999995</v>
      </c>
      <c r="GO77" s="8">
        <v>0</v>
      </c>
      <c r="GP77" s="8">
        <v>0</v>
      </c>
      <c r="GQ77" s="8">
        <v>0</v>
      </c>
      <c r="GR77" s="9">
        <f t="shared" si="414"/>
        <v>544.92999999999995</v>
      </c>
      <c r="GS77" s="8">
        <v>893</v>
      </c>
      <c r="GT77" s="8">
        <v>0</v>
      </c>
      <c r="GU77" s="8">
        <v>0</v>
      </c>
      <c r="GV77" s="8">
        <v>0</v>
      </c>
      <c r="GW77" s="9">
        <f t="shared" si="415"/>
        <v>893</v>
      </c>
      <c r="GX77" s="9">
        <f t="shared" si="416"/>
        <v>3330268.83</v>
      </c>
      <c r="GY77" s="8">
        <v>-1057210.269999993</v>
      </c>
      <c r="GZ77" s="8">
        <v>67304155.120000079</v>
      </c>
      <c r="HA77" s="9">
        <f t="shared" si="417"/>
        <v>66246944.850000083</v>
      </c>
      <c r="HB77" s="9">
        <f t="shared" si="418"/>
        <v>1.6693640720289837</v>
      </c>
      <c r="HC77" s="10">
        <f t="shared" si="419"/>
        <v>2.4222654958788143</v>
      </c>
      <c r="HD77" s="9">
        <f t="shared" si="420"/>
        <v>1.6533053639396433</v>
      </c>
      <c r="HE77" s="8">
        <v>8</v>
      </c>
      <c r="HF77" s="8">
        <v>1</v>
      </c>
      <c r="HG77" s="8">
        <v>104</v>
      </c>
      <c r="HH77" s="8">
        <v>9</v>
      </c>
      <c r="HI77" s="8">
        <v>0</v>
      </c>
      <c r="HJ77" s="9">
        <f t="shared" si="421"/>
        <v>1</v>
      </c>
      <c r="HK77" s="10">
        <f t="shared" si="422"/>
        <v>1.125</v>
      </c>
      <c r="HL77" s="8">
        <v>7</v>
      </c>
      <c r="HM77" s="8">
        <v>7</v>
      </c>
      <c r="HN77" s="11">
        <f t="shared" si="423"/>
        <v>1</v>
      </c>
    </row>
    <row r="78" spans="1:222" x14ac:dyDescent="0.3">
      <c r="A78" s="12" t="s">
        <v>276</v>
      </c>
      <c r="B78" s="12" t="s">
        <v>278</v>
      </c>
      <c r="C78" s="13" t="s">
        <v>257</v>
      </c>
      <c r="D78" s="13">
        <v>2025</v>
      </c>
      <c r="E78" s="13">
        <v>7</v>
      </c>
      <c r="F78" s="13" t="s">
        <v>262</v>
      </c>
      <c r="G78" s="13" t="s">
        <v>263</v>
      </c>
      <c r="H78" s="14">
        <v>5763</v>
      </c>
      <c r="I78" s="14">
        <v>11</v>
      </c>
      <c r="J78" s="14">
        <v>0</v>
      </c>
      <c r="K78" s="14">
        <v>3</v>
      </c>
      <c r="L78" s="14">
        <v>0</v>
      </c>
      <c r="M78" s="15">
        <f t="shared" si="363"/>
        <v>14</v>
      </c>
      <c r="N78" s="14">
        <v>5263</v>
      </c>
      <c r="O78" s="14">
        <v>0</v>
      </c>
      <c r="P78" s="14">
        <v>149</v>
      </c>
      <c r="Q78" s="14">
        <v>23.6</v>
      </c>
      <c r="R78" s="15">
        <f t="shared" si="364"/>
        <v>5435.6</v>
      </c>
      <c r="S78" s="15">
        <f t="shared" si="365"/>
        <v>5449.6</v>
      </c>
      <c r="T78" s="14">
        <v>313.39999999999998</v>
      </c>
      <c r="U78" s="16">
        <f t="shared" si="366"/>
        <v>5.4381398577129966E-2</v>
      </c>
      <c r="V78" s="14">
        <v>11</v>
      </c>
      <c r="W78" s="17">
        <f t="shared" si="367"/>
        <v>1.9087280930071143E-3</v>
      </c>
      <c r="X78" s="14">
        <v>0</v>
      </c>
      <c r="Y78" s="17">
        <f t="shared" si="368"/>
        <v>0</v>
      </c>
      <c r="Z78" s="14">
        <v>0</v>
      </c>
      <c r="AA78" s="17">
        <f t="shared" si="369"/>
        <v>0</v>
      </c>
      <c r="AB78" s="14">
        <v>0</v>
      </c>
      <c r="AC78" s="17">
        <f t="shared" si="370"/>
        <v>0</v>
      </c>
      <c r="AD78" s="14">
        <v>0</v>
      </c>
      <c r="AE78" s="17">
        <f t="shared" si="371"/>
        <v>0</v>
      </c>
      <c r="AF78" s="14">
        <v>0</v>
      </c>
      <c r="AG78" s="17">
        <f t="shared" si="372"/>
        <v>0</v>
      </c>
      <c r="AH78" s="14">
        <v>263220.09999999998</v>
      </c>
      <c r="AI78" s="15">
        <f t="shared" si="373"/>
        <v>45.674145410376539</v>
      </c>
      <c r="AJ78" s="14">
        <v>4498</v>
      </c>
      <c r="AK78" s="17">
        <f t="shared" si="374"/>
        <v>0.78049626930418181</v>
      </c>
      <c r="AL78" s="14">
        <v>771303.39500000002</v>
      </c>
      <c r="AM78" s="15">
        <f t="shared" si="375"/>
        <v>133.83713256984211</v>
      </c>
      <c r="AN78" s="14">
        <v>0</v>
      </c>
      <c r="AO78" s="14">
        <v>0</v>
      </c>
      <c r="AP78" s="14">
        <v>0</v>
      </c>
      <c r="AQ78" s="14">
        <v>0</v>
      </c>
      <c r="AR78" s="14">
        <v>3925452.71</v>
      </c>
      <c r="AS78" s="14">
        <v>912895.39</v>
      </c>
      <c r="AT78" s="14">
        <v>229930</v>
      </c>
      <c r="AU78" s="15">
        <f t="shared" si="376"/>
        <v>6102801.5949999997</v>
      </c>
      <c r="AV78" s="15">
        <f t="shared" si="377"/>
        <v>1058.9626227659205</v>
      </c>
      <c r="AW78" s="15">
        <f t="shared" si="378"/>
        <v>1119.8623009028183</v>
      </c>
      <c r="AX78" s="14">
        <v>3</v>
      </c>
      <c r="AY78" s="15">
        <f t="shared" si="379"/>
        <v>6.246746486205101</v>
      </c>
      <c r="AZ78" s="14">
        <v>6</v>
      </c>
      <c r="BA78" s="14">
        <v>104</v>
      </c>
      <c r="BB78" s="14">
        <v>10</v>
      </c>
      <c r="BC78" s="14">
        <v>0</v>
      </c>
      <c r="BD78" s="14">
        <v>0</v>
      </c>
      <c r="BE78" s="15">
        <f t="shared" si="380"/>
        <v>0</v>
      </c>
      <c r="BF78" s="15">
        <f t="shared" si="381"/>
        <v>114</v>
      </c>
      <c r="BG78" s="14">
        <v>0</v>
      </c>
      <c r="BH78" s="14">
        <v>0</v>
      </c>
      <c r="BI78" s="14">
        <v>0</v>
      </c>
      <c r="BJ78" s="14">
        <v>0</v>
      </c>
      <c r="BK78" s="15">
        <f t="shared" si="382"/>
        <v>0</v>
      </c>
      <c r="BL78" s="15">
        <f t="shared" si="383"/>
        <v>0</v>
      </c>
      <c r="BM78" s="14">
        <v>0</v>
      </c>
      <c r="BN78" s="14">
        <v>0</v>
      </c>
      <c r="BO78" s="14">
        <v>0</v>
      </c>
      <c r="BP78" s="14">
        <v>0</v>
      </c>
      <c r="BQ78" s="15">
        <f t="shared" si="384"/>
        <v>0</v>
      </c>
      <c r="BR78" s="15">
        <f t="shared" si="385"/>
        <v>0</v>
      </c>
      <c r="BS78" s="14">
        <v>0</v>
      </c>
      <c r="BT78" s="14">
        <v>0</v>
      </c>
      <c r="BU78" s="14">
        <v>0</v>
      </c>
      <c r="BV78" s="14">
        <v>0</v>
      </c>
      <c r="BW78" s="15">
        <f t="shared" si="386"/>
        <v>0</v>
      </c>
      <c r="BX78" s="15">
        <f t="shared" si="387"/>
        <v>0</v>
      </c>
      <c r="BY78" s="15">
        <f t="shared" si="388"/>
        <v>104</v>
      </c>
      <c r="BZ78" s="15">
        <f t="shared" si="389"/>
        <v>10</v>
      </c>
      <c r="CA78" s="15">
        <f t="shared" si="390"/>
        <v>0</v>
      </c>
      <c r="CB78" s="15">
        <f t="shared" si="391"/>
        <v>114</v>
      </c>
      <c r="CC78" s="14">
        <v>0</v>
      </c>
      <c r="CD78" s="14">
        <v>245</v>
      </c>
      <c r="CE78" s="14">
        <v>0</v>
      </c>
      <c r="CF78" s="14">
        <v>0</v>
      </c>
      <c r="CG78" s="14">
        <v>0</v>
      </c>
      <c r="CH78" s="15">
        <f t="shared" si="392"/>
        <v>245</v>
      </c>
      <c r="CI78" s="14">
        <v>3</v>
      </c>
      <c r="CJ78" s="14">
        <v>1</v>
      </c>
      <c r="CK78" s="14">
        <v>0</v>
      </c>
      <c r="CL78" s="14">
        <v>0</v>
      </c>
      <c r="CM78" s="15">
        <f t="shared" si="393"/>
        <v>4</v>
      </c>
      <c r="CN78" s="14">
        <v>682</v>
      </c>
      <c r="CO78" s="14">
        <v>26</v>
      </c>
      <c r="CP78" s="14">
        <v>9</v>
      </c>
      <c r="CQ78" s="14">
        <v>2</v>
      </c>
      <c r="CR78" s="15">
        <f t="shared" si="394"/>
        <v>719</v>
      </c>
      <c r="CS78" s="15">
        <f t="shared" si="395"/>
        <v>723</v>
      </c>
      <c r="CT78" s="14">
        <v>968</v>
      </c>
      <c r="CU78" s="14">
        <v>9188</v>
      </c>
      <c r="CV78" s="14">
        <v>6481</v>
      </c>
      <c r="CW78" s="16">
        <f t="shared" si="396"/>
        <v>0.70537657814540711</v>
      </c>
      <c r="CX78" s="14"/>
      <c r="CY78" s="14"/>
      <c r="CZ78" s="14"/>
      <c r="DA78" s="14"/>
      <c r="DB78" s="15">
        <f t="shared" si="397"/>
        <v>0</v>
      </c>
      <c r="DC78" s="14">
        <v>0</v>
      </c>
      <c r="DD78" s="14">
        <v>0</v>
      </c>
      <c r="DE78" s="14">
        <v>0</v>
      </c>
      <c r="DF78" s="14">
        <v>0</v>
      </c>
      <c r="DG78" s="15">
        <f t="shared" si="398"/>
        <v>0</v>
      </c>
      <c r="DH78" s="14">
        <v>0</v>
      </c>
      <c r="DI78" s="14">
        <v>0</v>
      </c>
      <c r="DJ78" s="14">
        <v>0</v>
      </c>
      <c r="DK78" s="14">
        <v>0</v>
      </c>
      <c r="DL78" s="15">
        <f t="shared" si="399"/>
        <v>0</v>
      </c>
      <c r="DM78" s="14">
        <v>11</v>
      </c>
      <c r="DN78" s="14">
        <v>5</v>
      </c>
      <c r="DO78" s="14">
        <v>6</v>
      </c>
      <c r="DP78" s="14">
        <v>0</v>
      </c>
      <c r="DQ78" s="15">
        <f t="shared" si="400"/>
        <v>10</v>
      </c>
      <c r="DR78" s="15">
        <f t="shared" si="401"/>
        <v>11</v>
      </c>
      <c r="DS78" s="15">
        <f t="shared" si="402"/>
        <v>5</v>
      </c>
      <c r="DT78" s="15">
        <f t="shared" si="403"/>
        <v>6</v>
      </c>
      <c r="DU78" s="15">
        <f t="shared" si="404"/>
        <v>0</v>
      </c>
      <c r="DV78" s="15">
        <f t="shared" si="405"/>
        <v>10</v>
      </c>
      <c r="DW78" s="14">
        <v>41</v>
      </c>
      <c r="DX78" s="14">
        <v>15</v>
      </c>
      <c r="DY78" s="14">
        <v>3</v>
      </c>
      <c r="DZ78" s="14">
        <v>0</v>
      </c>
      <c r="EA78" s="14">
        <v>2</v>
      </c>
      <c r="EB78" s="14">
        <v>5</v>
      </c>
      <c r="EC78" s="14">
        <v>0</v>
      </c>
      <c r="ED78" s="14">
        <v>0</v>
      </c>
      <c r="EE78" s="14">
        <v>3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5">
        <f t="shared" si="406"/>
        <v>69</v>
      </c>
      <c r="FH78" s="14">
        <v>2</v>
      </c>
      <c r="FI78" s="14">
        <v>600</v>
      </c>
      <c r="FJ78" s="14">
        <v>24</v>
      </c>
      <c r="FK78" s="14">
        <v>144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5">
        <f t="shared" si="407"/>
        <v>0</v>
      </c>
      <c r="FR78" s="14">
        <v>340357.98</v>
      </c>
      <c r="FS78" s="14">
        <v>0</v>
      </c>
      <c r="FT78" s="14">
        <v>0</v>
      </c>
      <c r="FU78" s="14">
        <v>0</v>
      </c>
      <c r="FV78" s="15">
        <f t="shared" si="408"/>
        <v>340357.98</v>
      </c>
      <c r="FW78" s="14">
        <v>5241963</v>
      </c>
      <c r="FX78" s="14">
        <v>0</v>
      </c>
      <c r="FY78" s="14">
        <v>111900</v>
      </c>
      <c r="FZ78" s="14">
        <v>1328000</v>
      </c>
      <c r="GA78" s="15">
        <f t="shared" si="409"/>
        <v>6681863</v>
      </c>
      <c r="GB78" s="15">
        <f t="shared" si="410"/>
        <v>7022220.9800000004</v>
      </c>
      <c r="GC78" s="14">
        <v>13539.58</v>
      </c>
      <c r="GD78" s="14">
        <v>0</v>
      </c>
      <c r="GE78" s="14">
        <v>8410.99</v>
      </c>
      <c r="GF78" s="14">
        <v>0</v>
      </c>
      <c r="GG78" s="15">
        <f t="shared" si="411"/>
        <v>21950.57</v>
      </c>
      <c r="GH78" s="14">
        <v>3624176.32</v>
      </c>
      <c r="GI78" s="14">
        <v>0</v>
      </c>
      <c r="GJ78" s="14">
        <v>1325600</v>
      </c>
      <c r="GK78" s="14">
        <v>111900</v>
      </c>
      <c r="GL78" s="15">
        <f t="shared" si="412"/>
        <v>5061676.32</v>
      </c>
      <c r="GM78" s="15">
        <f t="shared" si="413"/>
        <v>5083626.8900000006</v>
      </c>
      <c r="GN78" s="14">
        <v>1859.65</v>
      </c>
      <c r="GO78" s="14">
        <v>0</v>
      </c>
      <c r="GP78" s="14">
        <v>3393.64</v>
      </c>
      <c r="GQ78" s="14">
        <v>0</v>
      </c>
      <c r="GR78" s="15">
        <f t="shared" si="414"/>
        <v>5253.29</v>
      </c>
      <c r="GS78" s="14">
        <v>2679</v>
      </c>
      <c r="GT78" s="14">
        <v>0</v>
      </c>
      <c r="GU78" s="14">
        <v>893</v>
      </c>
      <c r="GV78" s="14">
        <v>0</v>
      </c>
      <c r="GW78" s="15">
        <f t="shared" si="415"/>
        <v>3572</v>
      </c>
      <c r="GX78" s="15">
        <f t="shared" si="416"/>
        <v>5092452.1800000006</v>
      </c>
      <c r="GY78" s="14">
        <v>-1177493.9799999469</v>
      </c>
      <c r="GZ78" s="14">
        <v>67114856.710000023</v>
      </c>
      <c r="HA78" s="15">
        <f t="shared" si="417"/>
        <v>65937362.730000079</v>
      </c>
      <c r="HB78" s="15">
        <f t="shared" si="418"/>
        <v>1.1984013554350155</v>
      </c>
      <c r="HC78" s="16">
        <f t="shared" si="419"/>
        <v>1.7936898994221455</v>
      </c>
      <c r="HD78" s="15">
        <f t="shared" si="420"/>
        <v>1.3789468672045537</v>
      </c>
      <c r="HE78" s="14">
        <v>9</v>
      </c>
      <c r="HF78" s="14">
        <v>1</v>
      </c>
      <c r="HG78" s="14">
        <v>114</v>
      </c>
      <c r="HH78" s="14">
        <v>10</v>
      </c>
      <c r="HI78" s="14">
        <v>0</v>
      </c>
      <c r="HJ78" s="15">
        <f t="shared" si="421"/>
        <v>1</v>
      </c>
      <c r="HK78" s="16">
        <f t="shared" si="422"/>
        <v>1.1111111111111112</v>
      </c>
      <c r="HL78" s="14">
        <v>36</v>
      </c>
      <c r="HM78" s="14">
        <v>5</v>
      </c>
      <c r="HN78" s="17">
        <f t="shared" si="423"/>
        <v>0.1388888888888889</v>
      </c>
    </row>
    <row r="79" spans="1:222" x14ac:dyDescent="0.3">
      <c r="A79" s="6" t="s">
        <v>276</v>
      </c>
      <c r="B79" s="6" t="s">
        <v>278</v>
      </c>
      <c r="C79" s="7" t="s">
        <v>257</v>
      </c>
      <c r="D79" s="7">
        <v>2025</v>
      </c>
      <c r="E79" s="7">
        <v>8</v>
      </c>
      <c r="F79" s="7" t="s">
        <v>264</v>
      </c>
      <c r="G79" s="7" t="s">
        <v>263</v>
      </c>
      <c r="H79" s="8">
        <v>5657</v>
      </c>
      <c r="I79" s="8">
        <v>9</v>
      </c>
      <c r="J79" s="8">
        <v>0</v>
      </c>
      <c r="K79" s="8">
        <v>3</v>
      </c>
      <c r="L79" s="8">
        <v>0</v>
      </c>
      <c r="M79" s="9">
        <f t="shared" si="363"/>
        <v>12</v>
      </c>
      <c r="N79" s="8">
        <v>4707</v>
      </c>
      <c r="O79" s="8">
        <v>0</v>
      </c>
      <c r="P79" s="8">
        <v>139.4</v>
      </c>
      <c r="Q79" s="8">
        <v>18.899999999999999</v>
      </c>
      <c r="R79" s="9">
        <f t="shared" si="364"/>
        <v>4865.2999999999993</v>
      </c>
      <c r="S79" s="9">
        <f t="shared" si="365"/>
        <v>4877.2999999999993</v>
      </c>
      <c r="T79" s="8">
        <v>779.70000000000095</v>
      </c>
      <c r="U79" s="10">
        <f t="shared" si="366"/>
        <v>0.1378292381120737</v>
      </c>
      <c r="V79" s="8">
        <v>9</v>
      </c>
      <c r="W79" s="11">
        <f t="shared" si="367"/>
        <v>1.590949266395616E-3</v>
      </c>
      <c r="X79" s="8">
        <v>0</v>
      </c>
      <c r="Y79" s="11">
        <f t="shared" si="368"/>
        <v>0</v>
      </c>
      <c r="Z79" s="8">
        <v>0</v>
      </c>
      <c r="AA79" s="11">
        <f t="shared" si="369"/>
        <v>0</v>
      </c>
      <c r="AB79" s="8">
        <v>0</v>
      </c>
      <c r="AC79" s="11">
        <f t="shared" si="370"/>
        <v>0</v>
      </c>
      <c r="AD79" s="8">
        <v>0</v>
      </c>
      <c r="AE79" s="11">
        <f t="shared" si="371"/>
        <v>0</v>
      </c>
      <c r="AF79" s="8">
        <v>0</v>
      </c>
      <c r="AG79" s="11">
        <f t="shared" si="372"/>
        <v>0</v>
      </c>
      <c r="AH79" s="8">
        <v>215361.9</v>
      </c>
      <c r="AI79" s="9">
        <f t="shared" si="373"/>
        <v>38.069984090507333</v>
      </c>
      <c r="AJ79" s="8">
        <v>4320</v>
      </c>
      <c r="AK79" s="11">
        <f t="shared" si="374"/>
        <v>0.7636556478698957</v>
      </c>
      <c r="AL79" s="8">
        <v>741545.8</v>
      </c>
      <c r="AM79" s="9">
        <f t="shared" si="375"/>
        <v>131.08463850097226</v>
      </c>
      <c r="AN79" s="8">
        <v>0</v>
      </c>
      <c r="AO79" s="8">
        <v>0</v>
      </c>
      <c r="AP79" s="8">
        <v>0</v>
      </c>
      <c r="AQ79" s="8">
        <v>0</v>
      </c>
      <c r="AR79" s="8">
        <v>3952365.04</v>
      </c>
      <c r="AS79" s="8">
        <v>936217.54</v>
      </c>
      <c r="AT79" s="8">
        <v>230650</v>
      </c>
      <c r="AU79" s="9">
        <f t="shared" si="376"/>
        <v>6076140.2800000003</v>
      </c>
      <c r="AV79" s="9">
        <f t="shared" si="377"/>
        <v>1074.0923245536503</v>
      </c>
      <c r="AW79" s="9">
        <f t="shared" si="378"/>
        <v>1245.7999876981119</v>
      </c>
      <c r="AX79" s="8">
        <v>3</v>
      </c>
      <c r="AY79" s="9">
        <f t="shared" si="379"/>
        <v>6.3637970655824647</v>
      </c>
      <c r="AZ79" s="8">
        <v>6</v>
      </c>
      <c r="BA79" s="8">
        <v>114</v>
      </c>
      <c r="BB79" s="8">
        <v>6</v>
      </c>
      <c r="BC79" s="8">
        <v>0</v>
      </c>
      <c r="BD79" s="8">
        <v>28</v>
      </c>
      <c r="BE79" s="9">
        <f t="shared" si="380"/>
        <v>28</v>
      </c>
      <c r="BF79" s="9">
        <f t="shared" si="381"/>
        <v>92</v>
      </c>
      <c r="BG79" s="8">
        <v>0</v>
      </c>
      <c r="BH79" s="8">
        <v>0</v>
      </c>
      <c r="BI79" s="8">
        <v>0</v>
      </c>
      <c r="BJ79" s="8">
        <v>0</v>
      </c>
      <c r="BK79" s="9">
        <f t="shared" si="382"/>
        <v>0</v>
      </c>
      <c r="BL79" s="9">
        <f t="shared" si="383"/>
        <v>0</v>
      </c>
      <c r="BM79" s="8">
        <v>0</v>
      </c>
      <c r="BN79" s="8">
        <v>0</v>
      </c>
      <c r="BO79" s="8">
        <v>0</v>
      </c>
      <c r="BP79" s="8">
        <v>0</v>
      </c>
      <c r="BQ79" s="9">
        <f t="shared" si="384"/>
        <v>0</v>
      </c>
      <c r="BR79" s="9">
        <f t="shared" si="385"/>
        <v>0</v>
      </c>
      <c r="BS79" s="8">
        <v>0</v>
      </c>
      <c r="BT79" s="8">
        <v>0</v>
      </c>
      <c r="BU79" s="8">
        <v>0</v>
      </c>
      <c r="BV79" s="8">
        <v>0</v>
      </c>
      <c r="BW79" s="9">
        <f t="shared" si="386"/>
        <v>0</v>
      </c>
      <c r="BX79" s="9">
        <f t="shared" si="387"/>
        <v>0</v>
      </c>
      <c r="BY79" s="9">
        <f t="shared" si="388"/>
        <v>114</v>
      </c>
      <c r="BZ79" s="9">
        <f t="shared" si="389"/>
        <v>6</v>
      </c>
      <c r="CA79" s="9">
        <f t="shared" si="390"/>
        <v>28</v>
      </c>
      <c r="CB79" s="9">
        <f t="shared" si="391"/>
        <v>92</v>
      </c>
      <c r="CC79" s="8">
        <v>42</v>
      </c>
      <c r="CD79" s="8">
        <v>231</v>
      </c>
      <c r="CE79" s="8">
        <v>0</v>
      </c>
      <c r="CF79" s="8">
        <v>0</v>
      </c>
      <c r="CG79" s="8">
        <v>0</v>
      </c>
      <c r="CH79" s="9">
        <f t="shared" si="392"/>
        <v>231</v>
      </c>
      <c r="CI79" s="8">
        <v>3</v>
      </c>
      <c r="CJ79" s="8">
        <v>1</v>
      </c>
      <c r="CK79" s="8">
        <v>0</v>
      </c>
      <c r="CL79" s="8">
        <v>0</v>
      </c>
      <c r="CM79" s="9">
        <f t="shared" si="393"/>
        <v>4</v>
      </c>
      <c r="CN79" s="8">
        <v>724</v>
      </c>
      <c r="CO79" s="8">
        <v>26</v>
      </c>
      <c r="CP79" s="8">
        <v>9</v>
      </c>
      <c r="CQ79" s="8">
        <v>2</v>
      </c>
      <c r="CR79" s="9">
        <f t="shared" si="394"/>
        <v>761</v>
      </c>
      <c r="CS79" s="9">
        <f t="shared" si="395"/>
        <v>765</v>
      </c>
      <c r="CT79" s="8">
        <v>996</v>
      </c>
      <c r="CU79" s="8">
        <v>9203</v>
      </c>
      <c r="CV79" s="8">
        <v>6621</v>
      </c>
      <c r="CW79" s="10">
        <f t="shared" si="396"/>
        <v>0.71943931326741284</v>
      </c>
      <c r="CX79" s="8"/>
      <c r="CY79" s="8"/>
      <c r="CZ79" s="8"/>
      <c r="DA79" s="8"/>
      <c r="DB79" s="9">
        <f t="shared" si="397"/>
        <v>0</v>
      </c>
      <c r="DC79" s="8">
        <v>0</v>
      </c>
      <c r="DD79" s="8">
        <v>0</v>
      </c>
      <c r="DE79" s="8">
        <v>0</v>
      </c>
      <c r="DF79" s="8">
        <v>0</v>
      </c>
      <c r="DG79" s="9">
        <f t="shared" si="398"/>
        <v>0</v>
      </c>
      <c r="DH79" s="8">
        <v>0</v>
      </c>
      <c r="DI79" s="8">
        <v>0</v>
      </c>
      <c r="DJ79" s="8">
        <v>0</v>
      </c>
      <c r="DK79" s="8">
        <v>0</v>
      </c>
      <c r="DL79" s="9">
        <f t="shared" si="399"/>
        <v>0</v>
      </c>
      <c r="DM79" s="8">
        <v>3</v>
      </c>
      <c r="DN79" s="8">
        <v>2</v>
      </c>
      <c r="DO79" s="8">
        <v>1</v>
      </c>
      <c r="DP79" s="8">
        <v>2</v>
      </c>
      <c r="DQ79" s="9">
        <f t="shared" si="400"/>
        <v>2</v>
      </c>
      <c r="DR79" s="9">
        <f t="shared" si="401"/>
        <v>3</v>
      </c>
      <c r="DS79" s="9">
        <f t="shared" si="402"/>
        <v>2</v>
      </c>
      <c r="DT79" s="9">
        <f t="shared" si="403"/>
        <v>1</v>
      </c>
      <c r="DU79" s="9">
        <f t="shared" si="404"/>
        <v>2</v>
      </c>
      <c r="DV79" s="9">
        <f t="shared" si="405"/>
        <v>2</v>
      </c>
      <c r="DW79" s="8">
        <v>23</v>
      </c>
      <c r="DX79" s="8">
        <v>10</v>
      </c>
      <c r="DY79" s="8">
        <v>1</v>
      </c>
      <c r="DZ79" s="8">
        <v>0</v>
      </c>
      <c r="EA79" s="8">
        <v>1</v>
      </c>
      <c r="EB79" s="8">
        <v>2</v>
      </c>
      <c r="EC79" s="8">
        <v>0</v>
      </c>
      <c r="ED79" s="8">
        <v>0</v>
      </c>
      <c r="EE79" s="8">
        <v>1</v>
      </c>
      <c r="EF79" s="8">
        <v>0</v>
      </c>
      <c r="EG79" s="8">
        <v>0</v>
      </c>
      <c r="EH79" s="8">
        <v>0</v>
      </c>
      <c r="EI79" s="8">
        <v>0</v>
      </c>
      <c r="EJ79" s="8">
        <v>0</v>
      </c>
      <c r="EK79" s="8">
        <v>0</v>
      </c>
      <c r="EL79" s="8">
        <v>0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8">
        <v>0</v>
      </c>
      <c r="ES79" s="8">
        <v>0</v>
      </c>
      <c r="ET79" s="8">
        <v>0</v>
      </c>
      <c r="EU79" s="8">
        <v>0</v>
      </c>
      <c r="EV79" s="8">
        <v>0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9">
        <f t="shared" si="406"/>
        <v>38</v>
      </c>
      <c r="FH79" s="8">
        <v>2</v>
      </c>
      <c r="FI79" s="8">
        <v>624</v>
      </c>
      <c r="FJ79" s="8">
        <v>0</v>
      </c>
      <c r="FK79" s="8">
        <v>120</v>
      </c>
      <c r="FL79" s="8">
        <v>0</v>
      </c>
      <c r="FM79" s="8">
        <v>0</v>
      </c>
      <c r="FN79" s="8">
        <v>0</v>
      </c>
      <c r="FO79" s="8">
        <v>0</v>
      </c>
      <c r="FP79" s="8">
        <v>0</v>
      </c>
      <c r="FQ79" s="9">
        <f t="shared" si="407"/>
        <v>0</v>
      </c>
      <c r="FR79" s="8">
        <v>534670.54</v>
      </c>
      <c r="FS79" s="8">
        <v>0</v>
      </c>
      <c r="FT79" s="8">
        <v>0</v>
      </c>
      <c r="FU79" s="8">
        <v>0</v>
      </c>
      <c r="FV79" s="9">
        <f t="shared" si="408"/>
        <v>534670.54</v>
      </c>
      <c r="FW79" s="8">
        <v>5875935</v>
      </c>
      <c r="FX79" s="8">
        <v>0</v>
      </c>
      <c r="FY79" s="8">
        <v>88700</v>
      </c>
      <c r="FZ79" s="8">
        <v>423500</v>
      </c>
      <c r="GA79" s="9">
        <f t="shared" si="409"/>
        <v>6388135</v>
      </c>
      <c r="GB79" s="9">
        <f t="shared" si="410"/>
        <v>6922805.54</v>
      </c>
      <c r="GC79" s="8">
        <v>10900.48</v>
      </c>
      <c r="GD79" s="8">
        <v>0</v>
      </c>
      <c r="GE79" s="8">
        <v>8410.99</v>
      </c>
      <c r="GF79" s="8">
        <v>0</v>
      </c>
      <c r="GG79" s="9">
        <f t="shared" si="411"/>
        <v>19311.47</v>
      </c>
      <c r="GH79" s="8">
        <v>4130053.75</v>
      </c>
      <c r="GI79" s="8">
        <v>0</v>
      </c>
      <c r="GJ79" s="8">
        <v>423500</v>
      </c>
      <c r="GK79" s="8">
        <v>88700</v>
      </c>
      <c r="GL79" s="9">
        <f t="shared" si="412"/>
        <v>4642253.75</v>
      </c>
      <c r="GM79" s="9">
        <f t="shared" si="413"/>
        <v>4661565.22</v>
      </c>
      <c r="GN79" s="8">
        <v>1860</v>
      </c>
      <c r="GO79" s="8">
        <v>0</v>
      </c>
      <c r="GP79" s="8">
        <v>3393.64</v>
      </c>
      <c r="GQ79" s="8">
        <v>0</v>
      </c>
      <c r="GR79" s="9">
        <f t="shared" si="414"/>
        <v>5253.6399999999994</v>
      </c>
      <c r="GS79" s="8">
        <v>2679</v>
      </c>
      <c r="GT79" s="8">
        <v>0</v>
      </c>
      <c r="GU79" s="8">
        <v>893</v>
      </c>
      <c r="GV79" s="8">
        <v>0</v>
      </c>
      <c r="GW79" s="9">
        <f t="shared" si="415"/>
        <v>3572</v>
      </c>
      <c r="GX79" s="9">
        <f t="shared" si="416"/>
        <v>4670390.8599999994</v>
      </c>
      <c r="GY79" s="8">
        <v>-1182830.339999954</v>
      </c>
      <c r="GZ79" s="8">
        <v>66613659.290000007</v>
      </c>
      <c r="HA79" s="9">
        <f t="shared" si="417"/>
        <v>65430828.950000055</v>
      </c>
      <c r="HB79" s="9">
        <f t="shared" si="418"/>
        <v>1.3009918146336903</v>
      </c>
      <c r="HC79" s="10">
        <f t="shared" si="419"/>
        <v>1.9849994000964062</v>
      </c>
      <c r="HD79" s="9">
        <f t="shared" si="420"/>
        <v>1.4822754128120235</v>
      </c>
      <c r="HE79" s="8">
        <v>6</v>
      </c>
      <c r="HF79" s="8">
        <v>1</v>
      </c>
      <c r="HG79" s="8">
        <v>92</v>
      </c>
      <c r="HH79" s="8">
        <v>6</v>
      </c>
      <c r="HI79" s="8">
        <v>0</v>
      </c>
      <c r="HJ79" s="9">
        <f t="shared" si="421"/>
        <v>1</v>
      </c>
      <c r="HK79" s="10">
        <f t="shared" si="422"/>
        <v>1</v>
      </c>
      <c r="HL79" s="8">
        <v>10</v>
      </c>
      <c r="HM79" s="8">
        <v>2</v>
      </c>
      <c r="HN79" s="11">
        <f t="shared" si="423"/>
        <v>0.2</v>
      </c>
    </row>
    <row r="80" spans="1:222" x14ac:dyDescent="0.3">
      <c r="A80" s="12" t="s">
        <v>276</v>
      </c>
      <c r="B80" s="12" t="s">
        <v>278</v>
      </c>
      <c r="C80" s="13" t="s">
        <v>257</v>
      </c>
      <c r="D80" s="13">
        <v>2025</v>
      </c>
      <c r="E80" s="13">
        <v>9</v>
      </c>
      <c r="F80" s="13" t="s">
        <v>265</v>
      </c>
      <c r="G80" s="13" t="s">
        <v>263</v>
      </c>
      <c r="H80" s="14">
        <v>5420</v>
      </c>
      <c r="I80" s="14">
        <v>8</v>
      </c>
      <c r="J80" s="14">
        <v>0</v>
      </c>
      <c r="K80" s="14">
        <v>2</v>
      </c>
      <c r="L80" s="14">
        <v>0</v>
      </c>
      <c r="M80" s="15">
        <f t="shared" si="363"/>
        <v>10</v>
      </c>
      <c r="N80" s="14">
        <v>3950</v>
      </c>
      <c r="O80" s="14">
        <v>0</v>
      </c>
      <c r="P80" s="14">
        <v>674.1</v>
      </c>
      <c r="Q80" s="14">
        <v>31.2</v>
      </c>
      <c r="R80" s="15">
        <f t="shared" si="364"/>
        <v>4655.3</v>
      </c>
      <c r="S80" s="15">
        <f t="shared" si="365"/>
        <v>4665.3</v>
      </c>
      <c r="T80" s="14">
        <v>754.7</v>
      </c>
      <c r="U80" s="16">
        <f t="shared" si="366"/>
        <v>0.13924354243542436</v>
      </c>
      <c r="V80" s="14">
        <v>4</v>
      </c>
      <c r="W80" s="17">
        <f t="shared" si="367"/>
        <v>7.3800738007380072E-4</v>
      </c>
      <c r="X80" s="14">
        <v>0</v>
      </c>
      <c r="Y80" s="17">
        <f t="shared" si="368"/>
        <v>0</v>
      </c>
      <c r="Z80" s="14">
        <v>0</v>
      </c>
      <c r="AA80" s="17">
        <f t="shared" si="369"/>
        <v>0</v>
      </c>
      <c r="AB80" s="14">
        <v>0</v>
      </c>
      <c r="AC80" s="17">
        <f t="shared" si="370"/>
        <v>0</v>
      </c>
      <c r="AD80" s="14">
        <v>0</v>
      </c>
      <c r="AE80" s="17">
        <f t="shared" si="371"/>
        <v>0</v>
      </c>
      <c r="AF80" s="14">
        <v>0</v>
      </c>
      <c r="AG80" s="17">
        <f t="shared" si="372"/>
        <v>0</v>
      </c>
      <c r="AH80" s="14">
        <v>95716.4</v>
      </c>
      <c r="AI80" s="15">
        <f t="shared" si="373"/>
        <v>17.659852398523984</v>
      </c>
      <c r="AJ80" s="14">
        <v>4069</v>
      </c>
      <c r="AK80" s="17">
        <f t="shared" si="374"/>
        <v>0.75073800738007379</v>
      </c>
      <c r="AL80" s="14">
        <v>699584.24750000006</v>
      </c>
      <c r="AM80" s="15">
        <f t="shared" si="375"/>
        <v>129.07458440959411</v>
      </c>
      <c r="AN80" s="14">
        <v>0</v>
      </c>
      <c r="AO80" s="14">
        <v>0</v>
      </c>
      <c r="AP80" s="14">
        <v>0</v>
      </c>
      <c r="AQ80" s="14">
        <v>0</v>
      </c>
      <c r="AR80" s="14">
        <v>3960101.52</v>
      </c>
      <c r="AS80" s="14">
        <v>954996.4</v>
      </c>
      <c r="AT80" s="14">
        <v>241020</v>
      </c>
      <c r="AU80" s="15">
        <f t="shared" si="376"/>
        <v>5951418.5675000008</v>
      </c>
      <c r="AV80" s="15">
        <f t="shared" si="377"/>
        <v>1098.0477061808119</v>
      </c>
      <c r="AW80" s="15">
        <f t="shared" si="378"/>
        <v>1275.6775700383685</v>
      </c>
      <c r="AX80" s="14">
        <v>3</v>
      </c>
      <c r="AY80" s="15">
        <f t="shared" si="379"/>
        <v>6.6420664206642064</v>
      </c>
      <c r="AZ80" s="14">
        <v>6</v>
      </c>
      <c r="BA80" s="14">
        <v>92</v>
      </c>
      <c r="BB80" s="14">
        <v>12</v>
      </c>
      <c r="BC80" s="14">
        <v>0</v>
      </c>
      <c r="BD80" s="14">
        <v>14</v>
      </c>
      <c r="BE80" s="15">
        <f t="shared" si="380"/>
        <v>14</v>
      </c>
      <c r="BF80" s="15">
        <f t="shared" si="381"/>
        <v>90</v>
      </c>
      <c r="BG80" s="14">
        <v>0</v>
      </c>
      <c r="BH80" s="14">
        <v>0</v>
      </c>
      <c r="BI80" s="14">
        <v>0</v>
      </c>
      <c r="BJ80" s="14">
        <v>0</v>
      </c>
      <c r="BK80" s="15">
        <f t="shared" si="382"/>
        <v>0</v>
      </c>
      <c r="BL80" s="15">
        <f t="shared" si="383"/>
        <v>0</v>
      </c>
      <c r="BM80" s="14">
        <v>0</v>
      </c>
      <c r="BN80" s="14">
        <v>0</v>
      </c>
      <c r="BO80" s="14">
        <v>0</v>
      </c>
      <c r="BP80" s="14">
        <v>0</v>
      </c>
      <c r="BQ80" s="15">
        <f t="shared" si="384"/>
        <v>0</v>
      </c>
      <c r="BR80" s="15">
        <f t="shared" si="385"/>
        <v>0</v>
      </c>
      <c r="BS80" s="14">
        <v>0</v>
      </c>
      <c r="BT80" s="14">
        <v>0</v>
      </c>
      <c r="BU80" s="14">
        <v>0</v>
      </c>
      <c r="BV80" s="14">
        <v>0</v>
      </c>
      <c r="BW80" s="15">
        <f t="shared" si="386"/>
        <v>0</v>
      </c>
      <c r="BX80" s="15">
        <f t="shared" si="387"/>
        <v>0</v>
      </c>
      <c r="BY80" s="15">
        <f t="shared" si="388"/>
        <v>92</v>
      </c>
      <c r="BZ80" s="15">
        <f t="shared" si="389"/>
        <v>12</v>
      </c>
      <c r="CA80" s="15">
        <f t="shared" si="390"/>
        <v>14</v>
      </c>
      <c r="CB80" s="15">
        <f t="shared" si="391"/>
        <v>90</v>
      </c>
      <c r="CC80" s="14">
        <v>22</v>
      </c>
      <c r="CD80" s="14">
        <v>233</v>
      </c>
      <c r="CE80" s="14">
        <v>0</v>
      </c>
      <c r="CF80" s="14">
        <v>0</v>
      </c>
      <c r="CG80" s="14">
        <v>0</v>
      </c>
      <c r="CH80" s="15">
        <f t="shared" si="392"/>
        <v>233</v>
      </c>
      <c r="CI80" s="14">
        <v>3</v>
      </c>
      <c r="CJ80" s="14">
        <v>1</v>
      </c>
      <c r="CK80" s="14">
        <v>0</v>
      </c>
      <c r="CL80" s="14">
        <v>0</v>
      </c>
      <c r="CM80" s="15">
        <f t="shared" si="393"/>
        <v>4</v>
      </c>
      <c r="CN80" s="14">
        <v>744</v>
      </c>
      <c r="CO80" s="14">
        <v>26</v>
      </c>
      <c r="CP80" s="14">
        <v>9</v>
      </c>
      <c r="CQ80" s="14">
        <v>0</v>
      </c>
      <c r="CR80" s="15">
        <f t="shared" si="394"/>
        <v>779</v>
      </c>
      <c r="CS80" s="15">
        <f t="shared" si="395"/>
        <v>783</v>
      </c>
      <c r="CT80" s="14">
        <v>1016</v>
      </c>
      <c r="CU80" s="14">
        <v>9038</v>
      </c>
      <c r="CV80" s="14">
        <v>6606</v>
      </c>
      <c r="CW80" s="16">
        <f t="shared" si="396"/>
        <v>0.73091391900863023</v>
      </c>
      <c r="CX80" s="14"/>
      <c r="CY80" s="14"/>
      <c r="CZ80" s="14"/>
      <c r="DA80" s="14"/>
      <c r="DB80" s="15">
        <f t="shared" si="397"/>
        <v>0</v>
      </c>
      <c r="DC80" s="14">
        <v>0</v>
      </c>
      <c r="DD80" s="14">
        <v>0</v>
      </c>
      <c r="DE80" s="14">
        <v>0</v>
      </c>
      <c r="DF80" s="14">
        <v>0</v>
      </c>
      <c r="DG80" s="15">
        <f t="shared" si="398"/>
        <v>0</v>
      </c>
      <c r="DH80" s="14">
        <v>0</v>
      </c>
      <c r="DI80" s="14">
        <v>0</v>
      </c>
      <c r="DJ80" s="14">
        <v>0</v>
      </c>
      <c r="DK80" s="14">
        <v>0</v>
      </c>
      <c r="DL80" s="15">
        <f t="shared" si="399"/>
        <v>0</v>
      </c>
      <c r="DM80" s="14">
        <v>2</v>
      </c>
      <c r="DN80" s="14">
        <v>1</v>
      </c>
      <c r="DO80" s="14">
        <v>3</v>
      </c>
      <c r="DP80" s="14">
        <v>0</v>
      </c>
      <c r="DQ80" s="15">
        <f t="shared" si="400"/>
        <v>0</v>
      </c>
      <c r="DR80" s="15">
        <f t="shared" si="401"/>
        <v>2</v>
      </c>
      <c r="DS80" s="15">
        <f t="shared" si="402"/>
        <v>1</v>
      </c>
      <c r="DT80" s="15">
        <f t="shared" si="403"/>
        <v>3</v>
      </c>
      <c r="DU80" s="15">
        <f t="shared" si="404"/>
        <v>0</v>
      </c>
      <c r="DV80" s="15">
        <f t="shared" si="405"/>
        <v>0</v>
      </c>
      <c r="DW80" s="14">
        <v>21</v>
      </c>
      <c r="DX80" s="14">
        <v>11</v>
      </c>
      <c r="DY80" s="14">
        <v>1</v>
      </c>
      <c r="DZ80" s="14">
        <v>2</v>
      </c>
      <c r="EA80" s="14">
        <v>0</v>
      </c>
      <c r="EB80" s="14">
        <v>2</v>
      </c>
      <c r="EC80" s="14">
        <v>0</v>
      </c>
      <c r="ED80" s="14">
        <v>1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5">
        <f t="shared" si="406"/>
        <v>38</v>
      </c>
      <c r="FH80" s="14">
        <v>1</v>
      </c>
      <c r="FI80" s="14">
        <v>648</v>
      </c>
      <c r="FJ80" s="14">
        <v>0</v>
      </c>
      <c r="FK80" s="14">
        <v>72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5">
        <f t="shared" si="407"/>
        <v>0</v>
      </c>
      <c r="FR80" s="14">
        <v>181201.66</v>
      </c>
      <c r="FS80" s="14">
        <v>0</v>
      </c>
      <c r="FT80" s="14">
        <v>0</v>
      </c>
      <c r="FU80" s="14">
        <v>0</v>
      </c>
      <c r="FV80" s="15">
        <f t="shared" si="408"/>
        <v>181201.66</v>
      </c>
      <c r="FW80" s="14">
        <v>5284066</v>
      </c>
      <c r="FX80" s="14">
        <v>0</v>
      </c>
      <c r="FY80" s="14">
        <v>146400</v>
      </c>
      <c r="FZ80" s="14">
        <v>2053300</v>
      </c>
      <c r="GA80" s="15">
        <f t="shared" si="409"/>
        <v>7483766</v>
      </c>
      <c r="GB80" s="15">
        <f t="shared" si="410"/>
        <v>7664967.6600000001</v>
      </c>
      <c r="GC80" s="14">
        <v>10020.780000000001</v>
      </c>
      <c r="GD80" s="14">
        <v>0</v>
      </c>
      <c r="GE80" s="14">
        <v>8410.99</v>
      </c>
      <c r="GF80" s="14">
        <v>0</v>
      </c>
      <c r="GG80" s="15">
        <f t="shared" si="411"/>
        <v>18431.77</v>
      </c>
      <c r="GH80" s="14">
        <v>3938484.8</v>
      </c>
      <c r="GI80" s="14">
        <v>0</v>
      </c>
      <c r="GJ80" s="14">
        <v>2047920.44</v>
      </c>
      <c r="GK80" s="14">
        <v>146400</v>
      </c>
      <c r="GL80" s="15">
        <f t="shared" si="412"/>
        <v>6132805.2400000002</v>
      </c>
      <c r="GM80" s="15">
        <f t="shared" si="413"/>
        <v>6151237.0099999998</v>
      </c>
      <c r="GN80" s="14">
        <v>1860</v>
      </c>
      <c r="GO80" s="14">
        <v>0</v>
      </c>
      <c r="GP80" s="14">
        <v>3393.64</v>
      </c>
      <c r="GQ80" s="14">
        <v>0</v>
      </c>
      <c r="GR80" s="15">
        <f t="shared" si="414"/>
        <v>5253.6399999999994</v>
      </c>
      <c r="GS80" s="14">
        <v>2679</v>
      </c>
      <c r="GT80" s="14">
        <v>0</v>
      </c>
      <c r="GU80" s="14">
        <v>893</v>
      </c>
      <c r="GV80" s="14">
        <v>0</v>
      </c>
      <c r="GW80" s="15">
        <f t="shared" si="415"/>
        <v>3572</v>
      </c>
      <c r="GX80" s="15">
        <f t="shared" si="416"/>
        <v>6160062.6499999994</v>
      </c>
      <c r="GY80" s="14">
        <v>-1180333.2299999569</v>
      </c>
      <c r="GZ80" s="14">
        <v>66457217.580000013</v>
      </c>
      <c r="HA80" s="15">
        <f t="shared" si="417"/>
        <v>65276884.350000054</v>
      </c>
      <c r="HB80" s="15">
        <f t="shared" si="418"/>
        <v>0.96612955186421701</v>
      </c>
      <c r="HC80" s="16">
        <f t="shared" si="419"/>
        <v>1.5392337642312972</v>
      </c>
      <c r="HD80" s="15">
        <f t="shared" si="420"/>
        <v>1.2443002767187767</v>
      </c>
      <c r="HE80" s="14">
        <v>104</v>
      </c>
      <c r="HF80" s="14">
        <v>1</v>
      </c>
      <c r="HG80" s="14">
        <v>90</v>
      </c>
      <c r="HH80" s="14">
        <v>12</v>
      </c>
      <c r="HI80" s="14">
        <v>104</v>
      </c>
      <c r="HJ80" s="15">
        <f t="shared" si="421"/>
        <v>105</v>
      </c>
      <c r="HK80" s="16">
        <f t="shared" si="422"/>
        <v>0.11538461538461539</v>
      </c>
      <c r="HL80" s="14">
        <v>10</v>
      </c>
      <c r="HM80" s="14">
        <v>10</v>
      </c>
      <c r="HN80" s="17">
        <f t="shared" si="423"/>
        <v>1</v>
      </c>
    </row>
    <row r="81" spans="1:222" x14ac:dyDescent="0.3">
      <c r="A81" s="6" t="s">
        <v>276</v>
      </c>
      <c r="B81" s="6" t="s">
        <v>278</v>
      </c>
      <c r="C81" s="7" t="s">
        <v>257</v>
      </c>
      <c r="D81" s="7">
        <v>2025</v>
      </c>
      <c r="E81" s="7">
        <v>10</v>
      </c>
      <c r="F81" s="7" t="s">
        <v>266</v>
      </c>
      <c r="G81" s="7" t="s">
        <v>267</v>
      </c>
      <c r="H81" s="8">
        <v>5246</v>
      </c>
      <c r="I81" s="8">
        <v>9</v>
      </c>
      <c r="J81" s="8">
        <v>0</v>
      </c>
      <c r="K81" s="8">
        <v>4</v>
      </c>
      <c r="L81" s="8">
        <v>0</v>
      </c>
      <c r="M81" s="9">
        <f t="shared" si="363"/>
        <v>13</v>
      </c>
      <c r="N81" s="8">
        <v>4755</v>
      </c>
      <c r="O81" s="8">
        <v>0</v>
      </c>
      <c r="P81" s="8">
        <v>58</v>
      </c>
      <c r="Q81" s="8">
        <v>27</v>
      </c>
      <c r="R81" s="9">
        <f t="shared" si="364"/>
        <v>4840</v>
      </c>
      <c r="S81" s="9">
        <f t="shared" si="365"/>
        <v>4853</v>
      </c>
      <c r="T81" s="8">
        <v>393</v>
      </c>
      <c r="U81" s="10">
        <f t="shared" si="366"/>
        <v>7.4914220358368283E-2</v>
      </c>
      <c r="V81" s="8">
        <v>4</v>
      </c>
      <c r="W81" s="11">
        <f t="shared" si="367"/>
        <v>7.6248570339306138E-4</v>
      </c>
      <c r="X81" s="8">
        <v>0</v>
      </c>
      <c r="Y81" s="11">
        <f t="shared" si="368"/>
        <v>0</v>
      </c>
      <c r="Z81" s="8">
        <v>0</v>
      </c>
      <c r="AA81" s="11">
        <f t="shared" si="369"/>
        <v>0</v>
      </c>
      <c r="AB81" s="8">
        <v>0</v>
      </c>
      <c r="AC81" s="11">
        <f t="shared" si="370"/>
        <v>0</v>
      </c>
      <c r="AD81" s="8">
        <v>0</v>
      </c>
      <c r="AE81" s="11">
        <f t="shared" si="371"/>
        <v>0</v>
      </c>
      <c r="AF81" s="8">
        <v>0</v>
      </c>
      <c r="AG81" s="11">
        <f t="shared" si="372"/>
        <v>0</v>
      </c>
      <c r="AH81" s="8">
        <v>95716.4</v>
      </c>
      <c r="AI81" s="9">
        <f t="shared" si="373"/>
        <v>18.245596645062903</v>
      </c>
      <c r="AJ81" s="8">
        <v>2934</v>
      </c>
      <c r="AK81" s="11">
        <f t="shared" si="374"/>
        <v>0.55928326343881052</v>
      </c>
      <c r="AL81" s="8">
        <v>509837.78499999997</v>
      </c>
      <c r="AM81" s="9">
        <f t="shared" si="375"/>
        <v>97.18600552802134</v>
      </c>
      <c r="AN81" s="8">
        <v>0</v>
      </c>
      <c r="AO81" s="8">
        <v>0</v>
      </c>
      <c r="AP81" s="8">
        <v>0</v>
      </c>
      <c r="AQ81" s="8">
        <v>0</v>
      </c>
      <c r="AR81" s="8">
        <v>3960101.52</v>
      </c>
      <c r="AS81" s="8">
        <v>947727.17</v>
      </c>
      <c r="AT81" s="8">
        <v>245250</v>
      </c>
      <c r="AU81" s="9">
        <f t="shared" si="376"/>
        <v>5758632.875</v>
      </c>
      <c r="AV81" s="9">
        <f t="shared" si="377"/>
        <v>1097.7188095691956</v>
      </c>
      <c r="AW81" s="9">
        <f t="shared" si="378"/>
        <v>1186.6129971151865</v>
      </c>
      <c r="AX81" s="8">
        <v>3</v>
      </c>
      <c r="AY81" s="9">
        <f t="shared" si="379"/>
        <v>6.8623713305375516</v>
      </c>
      <c r="AZ81" s="8">
        <v>6</v>
      </c>
      <c r="BA81" s="8">
        <v>90</v>
      </c>
      <c r="BB81" s="8">
        <v>15</v>
      </c>
      <c r="BC81" s="8">
        <v>0</v>
      </c>
      <c r="BD81" s="8">
        <v>14</v>
      </c>
      <c r="BE81" s="9">
        <f t="shared" si="380"/>
        <v>14</v>
      </c>
      <c r="BF81" s="9">
        <f t="shared" si="381"/>
        <v>91</v>
      </c>
      <c r="BG81" s="8">
        <v>0</v>
      </c>
      <c r="BH81" s="8">
        <v>0</v>
      </c>
      <c r="BI81" s="8">
        <v>0</v>
      </c>
      <c r="BJ81" s="8">
        <v>0</v>
      </c>
      <c r="BK81" s="9">
        <f t="shared" si="382"/>
        <v>0</v>
      </c>
      <c r="BL81" s="9">
        <f t="shared" si="383"/>
        <v>0</v>
      </c>
      <c r="BM81" s="8">
        <v>0</v>
      </c>
      <c r="BN81" s="8">
        <v>0</v>
      </c>
      <c r="BO81" s="8">
        <v>0</v>
      </c>
      <c r="BP81" s="8">
        <v>0</v>
      </c>
      <c r="BQ81" s="9">
        <f t="shared" si="384"/>
        <v>0</v>
      </c>
      <c r="BR81" s="9">
        <f t="shared" si="385"/>
        <v>0</v>
      </c>
      <c r="BS81" s="8">
        <v>0</v>
      </c>
      <c r="BT81" s="8">
        <v>0</v>
      </c>
      <c r="BU81" s="8">
        <v>0</v>
      </c>
      <c r="BV81" s="8">
        <v>0</v>
      </c>
      <c r="BW81" s="9">
        <f t="shared" si="386"/>
        <v>0</v>
      </c>
      <c r="BX81" s="9">
        <f t="shared" si="387"/>
        <v>0</v>
      </c>
      <c r="BY81" s="9">
        <f t="shared" si="388"/>
        <v>90</v>
      </c>
      <c r="BZ81" s="9">
        <f t="shared" si="389"/>
        <v>15</v>
      </c>
      <c r="CA81" s="9">
        <f t="shared" si="390"/>
        <v>14</v>
      </c>
      <c r="CB81" s="9">
        <f t="shared" si="391"/>
        <v>91</v>
      </c>
      <c r="CC81" s="8">
        <v>16</v>
      </c>
      <c r="CD81" s="8">
        <v>221</v>
      </c>
      <c r="CE81" s="8">
        <v>0</v>
      </c>
      <c r="CF81" s="8">
        <v>0</v>
      </c>
      <c r="CG81" s="8">
        <v>0</v>
      </c>
      <c r="CH81" s="9">
        <f t="shared" si="392"/>
        <v>221</v>
      </c>
      <c r="CI81" s="8">
        <v>3</v>
      </c>
      <c r="CJ81" s="8">
        <v>1</v>
      </c>
      <c r="CK81" s="8">
        <v>0</v>
      </c>
      <c r="CL81" s="8">
        <v>0</v>
      </c>
      <c r="CM81" s="9">
        <f t="shared" si="393"/>
        <v>4</v>
      </c>
      <c r="CN81" s="8">
        <v>760</v>
      </c>
      <c r="CO81" s="8">
        <v>26</v>
      </c>
      <c r="CP81" s="8">
        <v>9</v>
      </c>
      <c r="CQ81" s="8">
        <v>0</v>
      </c>
      <c r="CR81" s="9">
        <f t="shared" si="394"/>
        <v>795</v>
      </c>
      <c r="CS81" s="9">
        <f t="shared" si="395"/>
        <v>799</v>
      </c>
      <c r="CT81" s="8">
        <v>1020</v>
      </c>
      <c r="CU81" s="8">
        <v>9053</v>
      </c>
      <c r="CV81" s="8">
        <v>6636</v>
      </c>
      <c r="CW81" s="10">
        <f t="shared" si="396"/>
        <v>0.73301667955373906</v>
      </c>
      <c r="CX81" s="8"/>
      <c r="CY81" s="8"/>
      <c r="CZ81" s="8"/>
      <c r="DA81" s="8"/>
      <c r="DB81" s="9">
        <f t="shared" si="397"/>
        <v>0</v>
      </c>
      <c r="DC81" s="8">
        <v>0</v>
      </c>
      <c r="DD81" s="8">
        <v>0</v>
      </c>
      <c r="DE81" s="8">
        <v>0</v>
      </c>
      <c r="DF81" s="8">
        <v>0</v>
      </c>
      <c r="DG81" s="9">
        <f t="shared" si="398"/>
        <v>0</v>
      </c>
      <c r="DH81" s="8">
        <v>0</v>
      </c>
      <c r="DI81" s="8">
        <v>0</v>
      </c>
      <c r="DJ81" s="8">
        <v>0</v>
      </c>
      <c r="DK81" s="8">
        <v>0</v>
      </c>
      <c r="DL81" s="9">
        <f t="shared" si="399"/>
        <v>0</v>
      </c>
      <c r="DM81" s="8">
        <v>0</v>
      </c>
      <c r="DN81" s="8">
        <v>4</v>
      </c>
      <c r="DO81" s="8">
        <v>3</v>
      </c>
      <c r="DP81" s="8">
        <v>0</v>
      </c>
      <c r="DQ81" s="9">
        <f t="shared" si="400"/>
        <v>1</v>
      </c>
      <c r="DR81" s="9">
        <f t="shared" si="401"/>
        <v>0</v>
      </c>
      <c r="DS81" s="9">
        <f t="shared" si="402"/>
        <v>4</v>
      </c>
      <c r="DT81" s="9">
        <f t="shared" si="403"/>
        <v>3</v>
      </c>
      <c r="DU81" s="9">
        <f t="shared" si="404"/>
        <v>0</v>
      </c>
      <c r="DV81" s="9">
        <f t="shared" si="405"/>
        <v>1</v>
      </c>
      <c r="DW81" s="8">
        <v>12</v>
      </c>
      <c r="DX81" s="8">
        <v>5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1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9">
        <f t="shared" si="406"/>
        <v>18</v>
      </c>
      <c r="FH81" s="8">
        <v>1</v>
      </c>
      <c r="FI81" s="8">
        <v>480</v>
      </c>
      <c r="FJ81" s="8">
        <v>23</v>
      </c>
      <c r="FK81" s="8">
        <v>264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9">
        <f t="shared" si="407"/>
        <v>0</v>
      </c>
      <c r="FR81" s="8">
        <v>97567.22</v>
      </c>
      <c r="FS81" s="8">
        <v>0</v>
      </c>
      <c r="FT81" s="8">
        <v>0</v>
      </c>
      <c r="FU81" s="8">
        <v>0</v>
      </c>
      <c r="FV81" s="9">
        <f t="shared" si="408"/>
        <v>97567.22</v>
      </c>
      <c r="FW81" s="8">
        <v>3789904</v>
      </c>
      <c r="FX81" s="8">
        <v>0</v>
      </c>
      <c r="FY81" s="8">
        <v>87400</v>
      </c>
      <c r="FZ81" s="8">
        <v>227500</v>
      </c>
      <c r="GA81" s="9">
        <f t="shared" si="409"/>
        <v>4104804</v>
      </c>
      <c r="GB81" s="9">
        <f t="shared" si="410"/>
        <v>4202371.22</v>
      </c>
      <c r="GC81" s="8">
        <v>10900.48</v>
      </c>
      <c r="GD81" s="8">
        <v>0</v>
      </c>
      <c r="GE81" s="8">
        <v>8410.99</v>
      </c>
      <c r="GF81" s="8">
        <v>0</v>
      </c>
      <c r="GG81" s="9">
        <f t="shared" si="411"/>
        <v>19311.47</v>
      </c>
      <c r="GH81" s="8">
        <v>2924016.64</v>
      </c>
      <c r="GI81" s="8">
        <v>0</v>
      </c>
      <c r="GJ81" s="8">
        <v>227500</v>
      </c>
      <c r="GK81" s="8">
        <v>87400</v>
      </c>
      <c r="GL81" s="9">
        <f t="shared" si="412"/>
        <v>3238916.64</v>
      </c>
      <c r="GM81" s="9">
        <f t="shared" si="413"/>
        <v>3258228.1100000003</v>
      </c>
      <c r="GN81" s="8">
        <v>1860</v>
      </c>
      <c r="GO81" s="8">
        <v>0</v>
      </c>
      <c r="GP81" s="8">
        <v>3393.64</v>
      </c>
      <c r="GQ81" s="8">
        <v>0</v>
      </c>
      <c r="GR81" s="9">
        <f t="shared" si="414"/>
        <v>5253.6399999999994</v>
      </c>
      <c r="GS81" s="8">
        <v>2679</v>
      </c>
      <c r="GT81" s="8">
        <v>0</v>
      </c>
      <c r="GU81" s="8">
        <v>893</v>
      </c>
      <c r="GV81" s="8">
        <v>0</v>
      </c>
      <c r="GW81" s="9">
        <f t="shared" si="415"/>
        <v>3572</v>
      </c>
      <c r="GX81" s="9">
        <f t="shared" si="416"/>
        <v>3267053.7500000005</v>
      </c>
      <c r="GY81" s="8">
        <v>-1180333.2299999569</v>
      </c>
      <c r="GZ81" s="8">
        <v>66281254.600000009</v>
      </c>
      <c r="HA81" s="9">
        <f t="shared" si="417"/>
        <v>65100921.370000049</v>
      </c>
      <c r="HB81" s="9">
        <f t="shared" si="418"/>
        <v>1.7626379348671564</v>
      </c>
      <c r="HC81" s="10">
        <f t="shared" si="419"/>
        <v>2.0138639457093719</v>
      </c>
      <c r="HD81" s="9">
        <f t="shared" si="420"/>
        <v>1.2862877508519714</v>
      </c>
      <c r="HE81" s="8">
        <v>91</v>
      </c>
      <c r="HF81" s="8">
        <v>2</v>
      </c>
      <c r="HG81" s="8">
        <v>91</v>
      </c>
      <c r="HH81" s="8">
        <v>15</v>
      </c>
      <c r="HI81" s="8">
        <v>14</v>
      </c>
      <c r="HJ81" s="9">
        <f t="shared" si="421"/>
        <v>16</v>
      </c>
      <c r="HK81" s="10">
        <f t="shared" si="422"/>
        <v>0.16483516483516483</v>
      </c>
      <c r="HL81" s="8">
        <v>15</v>
      </c>
      <c r="HM81" s="8">
        <v>15</v>
      </c>
      <c r="HN81" s="11">
        <f t="shared" si="423"/>
        <v>1</v>
      </c>
    </row>
    <row r="82" spans="1:222" x14ac:dyDescent="0.3">
      <c r="A82" s="12" t="s">
        <v>276</v>
      </c>
      <c r="B82" s="12" t="s">
        <v>278</v>
      </c>
      <c r="C82" s="13" t="s">
        <v>257</v>
      </c>
      <c r="D82" s="13">
        <v>2025</v>
      </c>
      <c r="E82" s="13">
        <v>11</v>
      </c>
      <c r="F82" s="13" t="s">
        <v>268</v>
      </c>
      <c r="G82" s="13" t="s">
        <v>267</v>
      </c>
      <c r="H82" s="14">
        <v>2693</v>
      </c>
      <c r="I82" s="14">
        <v>14</v>
      </c>
      <c r="J82" s="14">
        <v>0</v>
      </c>
      <c r="K82" s="14">
        <v>1</v>
      </c>
      <c r="L82" s="14">
        <v>0</v>
      </c>
      <c r="M82" s="15">
        <f t="shared" si="363"/>
        <v>15</v>
      </c>
      <c r="N82" s="14">
        <v>1849</v>
      </c>
      <c r="O82" s="14">
        <v>0</v>
      </c>
      <c r="P82" s="14">
        <v>266</v>
      </c>
      <c r="Q82" s="14">
        <v>12</v>
      </c>
      <c r="R82" s="15">
        <f t="shared" si="364"/>
        <v>2127</v>
      </c>
      <c r="S82" s="15">
        <f t="shared" si="365"/>
        <v>2142</v>
      </c>
      <c r="T82" s="14">
        <v>551</v>
      </c>
      <c r="U82" s="16">
        <f t="shared" si="366"/>
        <v>0.2046045302636465</v>
      </c>
      <c r="V82" s="14">
        <v>2</v>
      </c>
      <c r="W82" s="17">
        <f t="shared" si="367"/>
        <v>7.4266617155588561E-4</v>
      </c>
      <c r="X82" s="14">
        <v>0</v>
      </c>
      <c r="Y82" s="17">
        <f t="shared" si="368"/>
        <v>0</v>
      </c>
      <c r="Z82" s="14">
        <v>0</v>
      </c>
      <c r="AA82" s="17">
        <f t="shared" si="369"/>
        <v>0</v>
      </c>
      <c r="AB82" s="14">
        <v>0</v>
      </c>
      <c r="AC82" s="17">
        <f t="shared" si="370"/>
        <v>0</v>
      </c>
      <c r="AD82" s="14">
        <v>0</v>
      </c>
      <c r="AE82" s="17">
        <f t="shared" si="371"/>
        <v>0</v>
      </c>
      <c r="AF82" s="14">
        <v>0</v>
      </c>
      <c r="AG82" s="17">
        <f t="shared" si="372"/>
        <v>0</v>
      </c>
      <c r="AH82" s="14">
        <v>47858.2</v>
      </c>
      <c r="AI82" s="15">
        <f t="shared" si="373"/>
        <v>17.771333085777943</v>
      </c>
      <c r="AJ82" s="14">
        <v>2478</v>
      </c>
      <c r="AK82" s="17">
        <f t="shared" si="374"/>
        <v>0.92016338655774232</v>
      </c>
      <c r="AL82" s="14">
        <v>433604.84499999997</v>
      </c>
      <c r="AM82" s="15">
        <f t="shared" si="375"/>
        <v>161.01182510211657</v>
      </c>
      <c r="AN82" s="14">
        <v>0</v>
      </c>
      <c r="AO82" s="14">
        <v>0</v>
      </c>
      <c r="AP82" s="14">
        <v>0</v>
      </c>
      <c r="AQ82" s="14">
        <v>0</v>
      </c>
      <c r="AR82" s="14">
        <v>4396237.75</v>
      </c>
      <c r="AS82" s="14">
        <v>948635.82</v>
      </c>
      <c r="AT82" s="14">
        <v>250250</v>
      </c>
      <c r="AU82" s="15">
        <f t="shared" si="376"/>
        <v>6076586.6150000002</v>
      </c>
      <c r="AV82" s="15">
        <f t="shared" si="377"/>
        <v>2256.4376587448942</v>
      </c>
      <c r="AW82" s="15">
        <f t="shared" si="378"/>
        <v>2836.875170401494</v>
      </c>
      <c r="AX82" s="14">
        <v>3</v>
      </c>
      <c r="AY82" s="15">
        <f t="shared" si="379"/>
        <v>13.36799108800594</v>
      </c>
      <c r="AZ82" s="14">
        <v>6</v>
      </c>
      <c r="BA82" s="14">
        <v>91</v>
      </c>
      <c r="BB82" s="14">
        <v>6</v>
      </c>
      <c r="BC82" s="14">
        <v>0</v>
      </c>
      <c r="BD82" s="14">
        <v>19</v>
      </c>
      <c r="BE82" s="15">
        <f t="shared" si="380"/>
        <v>19</v>
      </c>
      <c r="BF82" s="15">
        <f t="shared" si="381"/>
        <v>78</v>
      </c>
      <c r="BG82" s="14">
        <v>0</v>
      </c>
      <c r="BH82" s="14">
        <v>0</v>
      </c>
      <c r="BI82" s="14">
        <v>0</v>
      </c>
      <c r="BJ82" s="14">
        <v>0</v>
      </c>
      <c r="BK82" s="15">
        <f t="shared" si="382"/>
        <v>0</v>
      </c>
      <c r="BL82" s="15">
        <f t="shared" si="383"/>
        <v>0</v>
      </c>
      <c r="BM82" s="14">
        <v>0</v>
      </c>
      <c r="BN82" s="14">
        <v>0</v>
      </c>
      <c r="BO82" s="14">
        <v>0</v>
      </c>
      <c r="BP82" s="14">
        <v>0</v>
      </c>
      <c r="BQ82" s="15">
        <f t="shared" si="384"/>
        <v>0</v>
      </c>
      <c r="BR82" s="15">
        <f t="shared" si="385"/>
        <v>0</v>
      </c>
      <c r="BS82" s="14">
        <v>0</v>
      </c>
      <c r="BT82" s="14">
        <v>0</v>
      </c>
      <c r="BU82" s="14">
        <v>0</v>
      </c>
      <c r="BV82" s="14">
        <v>0</v>
      </c>
      <c r="BW82" s="15">
        <f t="shared" si="386"/>
        <v>0</v>
      </c>
      <c r="BX82" s="15">
        <f t="shared" si="387"/>
        <v>0</v>
      </c>
      <c r="BY82" s="15">
        <f t="shared" si="388"/>
        <v>91</v>
      </c>
      <c r="BZ82" s="15">
        <f t="shared" si="389"/>
        <v>6</v>
      </c>
      <c r="CA82" s="15">
        <f t="shared" si="390"/>
        <v>19</v>
      </c>
      <c r="CB82" s="15">
        <f t="shared" si="391"/>
        <v>78</v>
      </c>
      <c r="CC82" s="14">
        <v>20</v>
      </c>
      <c r="CD82" s="14">
        <v>220</v>
      </c>
      <c r="CE82" s="14">
        <v>0</v>
      </c>
      <c r="CF82" s="14">
        <v>0</v>
      </c>
      <c r="CG82" s="14">
        <v>0</v>
      </c>
      <c r="CH82" s="15">
        <f t="shared" si="392"/>
        <v>220</v>
      </c>
      <c r="CI82" s="14">
        <v>3</v>
      </c>
      <c r="CJ82" s="14">
        <v>1</v>
      </c>
      <c r="CK82" s="14">
        <v>0</v>
      </c>
      <c r="CL82" s="14">
        <v>0</v>
      </c>
      <c r="CM82" s="15">
        <f t="shared" si="393"/>
        <v>4</v>
      </c>
      <c r="CN82" s="14">
        <v>780</v>
      </c>
      <c r="CO82" s="14">
        <v>26</v>
      </c>
      <c r="CP82" s="14">
        <v>9</v>
      </c>
      <c r="CQ82" s="14">
        <v>1</v>
      </c>
      <c r="CR82" s="15">
        <f t="shared" si="394"/>
        <v>816</v>
      </c>
      <c r="CS82" s="15">
        <f t="shared" si="395"/>
        <v>820</v>
      </c>
      <c r="CT82" s="14">
        <v>1040</v>
      </c>
      <c r="CU82" s="14">
        <v>9068</v>
      </c>
      <c r="CV82" s="14">
        <v>6686</v>
      </c>
      <c r="CW82" s="16">
        <f t="shared" si="396"/>
        <v>0.73731804146449054</v>
      </c>
      <c r="CX82" s="14"/>
      <c r="CY82" s="14"/>
      <c r="CZ82" s="14"/>
      <c r="DA82" s="14"/>
      <c r="DB82" s="15">
        <f t="shared" si="397"/>
        <v>0</v>
      </c>
      <c r="DC82" s="14">
        <v>0</v>
      </c>
      <c r="DD82" s="14">
        <v>0</v>
      </c>
      <c r="DE82" s="14">
        <v>0</v>
      </c>
      <c r="DF82" s="14">
        <v>0</v>
      </c>
      <c r="DG82" s="15">
        <f t="shared" si="398"/>
        <v>0</v>
      </c>
      <c r="DH82" s="14">
        <v>0</v>
      </c>
      <c r="DI82" s="14">
        <v>0</v>
      </c>
      <c r="DJ82" s="14">
        <v>0</v>
      </c>
      <c r="DK82" s="14">
        <v>0</v>
      </c>
      <c r="DL82" s="15">
        <f t="shared" si="399"/>
        <v>0</v>
      </c>
      <c r="DM82" s="14">
        <v>1</v>
      </c>
      <c r="DN82" s="14">
        <v>3</v>
      </c>
      <c r="DO82" s="14">
        <v>4</v>
      </c>
      <c r="DP82" s="14">
        <v>0</v>
      </c>
      <c r="DQ82" s="15">
        <f t="shared" si="400"/>
        <v>0</v>
      </c>
      <c r="DR82" s="15">
        <f t="shared" si="401"/>
        <v>1</v>
      </c>
      <c r="DS82" s="15">
        <f t="shared" si="402"/>
        <v>3</v>
      </c>
      <c r="DT82" s="15">
        <f t="shared" si="403"/>
        <v>4</v>
      </c>
      <c r="DU82" s="15">
        <f t="shared" si="404"/>
        <v>0</v>
      </c>
      <c r="DV82" s="15">
        <f t="shared" si="405"/>
        <v>0</v>
      </c>
      <c r="DW82" s="14">
        <v>12</v>
      </c>
      <c r="DX82" s="14">
        <v>11</v>
      </c>
      <c r="DY82" s="14">
        <v>2</v>
      </c>
      <c r="DZ82" s="14">
        <v>0</v>
      </c>
      <c r="EA82" s="14">
        <v>2</v>
      </c>
      <c r="EB82" s="14">
        <v>0</v>
      </c>
      <c r="EC82" s="14">
        <v>3</v>
      </c>
      <c r="ED82" s="14">
        <v>1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5">
        <f t="shared" si="406"/>
        <v>31</v>
      </c>
      <c r="FH82" s="14">
        <v>2</v>
      </c>
      <c r="FI82" s="14">
        <v>288</v>
      </c>
      <c r="FJ82" s="14">
        <v>0</v>
      </c>
      <c r="FK82" s="14">
        <v>432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5">
        <f t="shared" si="407"/>
        <v>0</v>
      </c>
      <c r="FR82" s="14">
        <v>0</v>
      </c>
      <c r="FS82" s="14">
        <v>0</v>
      </c>
      <c r="FT82" s="14">
        <v>0</v>
      </c>
      <c r="FU82" s="14">
        <v>0</v>
      </c>
      <c r="FV82" s="15">
        <f t="shared" si="408"/>
        <v>0</v>
      </c>
      <c r="FW82" s="14">
        <v>2947644</v>
      </c>
      <c r="FX82" s="14">
        <v>0</v>
      </c>
      <c r="FY82" s="14">
        <v>55400</v>
      </c>
      <c r="FZ82" s="14">
        <v>809500</v>
      </c>
      <c r="GA82" s="15">
        <f t="shared" si="409"/>
        <v>3812544</v>
      </c>
      <c r="GB82" s="15">
        <f t="shared" si="410"/>
        <v>3812544</v>
      </c>
      <c r="GC82" s="14">
        <v>13539.58</v>
      </c>
      <c r="GD82" s="14">
        <v>0</v>
      </c>
      <c r="GE82" s="14">
        <v>8410.99</v>
      </c>
      <c r="GF82" s="14">
        <v>0</v>
      </c>
      <c r="GG82" s="15">
        <f t="shared" si="411"/>
        <v>21950.57</v>
      </c>
      <c r="GH82" s="14">
        <v>2308176.7000000002</v>
      </c>
      <c r="GI82" s="14">
        <v>0</v>
      </c>
      <c r="GJ82" s="14">
        <v>809500</v>
      </c>
      <c r="GK82" s="14">
        <v>55400</v>
      </c>
      <c r="GL82" s="15">
        <f t="shared" si="412"/>
        <v>3173076.7</v>
      </c>
      <c r="GM82" s="15">
        <f t="shared" si="413"/>
        <v>3195027.27</v>
      </c>
      <c r="GN82" s="14">
        <v>1859.65</v>
      </c>
      <c r="GO82" s="14">
        <v>0</v>
      </c>
      <c r="GP82" s="14">
        <v>3393.64</v>
      </c>
      <c r="GQ82" s="14">
        <v>0</v>
      </c>
      <c r="GR82" s="15">
        <f t="shared" si="414"/>
        <v>5253.29</v>
      </c>
      <c r="GS82" s="14">
        <v>2679</v>
      </c>
      <c r="GT82" s="14">
        <v>0</v>
      </c>
      <c r="GU82" s="14">
        <v>893</v>
      </c>
      <c r="GV82" s="14">
        <v>0</v>
      </c>
      <c r="GW82" s="15">
        <f t="shared" si="415"/>
        <v>3572</v>
      </c>
      <c r="GX82" s="15">
        <f t="shared" si="416"/>
        <v>3203852.56</v>
      </c>
      <c r="GY82" s="14">
        <v>-3393132.6299999761</v>
      </c>
      <c r="GZ82" s="14">
        <v>56512812.220000014</v>
      </c>
      <c r="HA82" s="15">
        <f t="shared" si="417"/>
        <v>53119679.590000041</v>
      </c>
      <c r="HB82" s="15">
        <f t="shared" si="418"/>
        <v>1.8966498929651121</v>
      </c>
      <c r="HC82" s="16">
        <f t="shared" si="419"/>
        <v>-20.142342508645953</v>
      </c>
      <c r="HD82" s="15">
        <f t="shared" si="420"/>
        <v>1.1899873444862894</v>
      </c>
      <c r="HE82" s="14">
        <v>6</v>
      </c>
      <c r="HF82" s="14">
        <v>1</v>
      </c>
      <c r="HG82" s="14">
        <v>78</v>
      </c>
      <c r="HH82" s="14">
        <v>6</v>
      </c>
      <c r="HI82" s="14">
        <v>78</v>
      </c>
      <c r="HJ82" s="15">
        <f t="shared" si="421"/>
        <v>79</v>
      </c>
      <c r="HK82" s="16">
        <f t="shared" si="422"/>
        <v>1</v>
      </c>
      <c r="HL82" s="14">
        <v>31</v>
      </c>
      <c r="HM82" s="14">
        <v>14</v>
      </c>
      <c r="HN82" s="17">
        <f t="shared" si="423"/>
        <v>0.45161290322580644</v>
      </c>
    </row>
    <row r="83" spans="1:222" x14ac:dyDescent="0.3">
      <c r="A83" s="6" t="s">
        <v>276</v>
      </c>
      <c r="B83" s="6" t="s">
        <v>278</v>
      </c>
      <c r="C83" s="7" t="s">
        <v>257</v>
      </c>
      <c r="D83" s="7">
        <v>2025</v>
      </c>
      <c r="E83" s="7">
        <v>12</v>
      </c>
      <c r="F83" s="7" t="s">
        <v>269</v>
      </c>
      <c r="G83" s="7" t="s">
        <v>267</v>
      </c>
      <c r="H83" s="8">
        <v>3372</v>
      </c>
      <c r="I83" s="8">
        <v>8</v>
      </c>
      <c r="J83" s="8">
        <v>0</v>
      </c>
      <c r="K83" s="8">
        <v>2</v>
      </c>
      <c r="L83" s="8">
        <v>0</v>
      </c>
      <c r="M83" s="9">
        <f t="shared" si="363"/>
        <v>10</v>
      </c>
      <c r="N83" s="8">
        <v>2587.5</v>
      </c>
      <c r="O83" s="8">
        <v>0</v>
      </c>
      <c r="P83" s="8">
        <v>139.69999999999999</v>
      </c>
      <c r="Q83" s="8">
        <v>14.6</v>
      </c>
      <c r="R83" s="9">
        <f t="shared" si="364"/>
        <v>2741.7999999999997</v>
      </c>
      <c r="S83" s="9">
        <f t="shared" si="365"/>
        <v>2751.7999999999997</v>
      </c>
      <c r="T83" s="8">
        <v>620.20000000000005</v>
      </c>
      <c r="U83" s="10">
        <f t="shared" si="366"/>
        <v>0.18392645314353501</v>
      </c>
      <c r="V83" s="8">
        <v>3</v>
      </c>
      <c r="W83" s="11">
        <f t="shared" si="367"/>
        <v>8.8967971530249106E-4</v>
      </c>
      <c r="X83" s="8">
        <v>0</v>
      </c>
      <c r="Y83" s="11">
        <f t="shared" si="368"/>
        <v>0</v>
      </c>
      <c r="Z83" s="8">
        <v>0</v>
      </c>
      <c r="AA83" s="11">
        <f t="shared" si="369"/>
        <v>0</v>
      </c>
      <c r="AB83" s="8">
        <v>0</v>
      </c>
      <c r="AC83" s="11">
        <f t="shared" si="370"/>
        <v>0</v>
      </c>
      <c r="AD83" s="8">
        <v>0</v>
      </c>
      <c r="AE83" s="11">
        <f t="shared" si="371"/>
        <v>0</v>
      </c>
      <c r="AF83" s="8">
        <v>0</v>
      </c>
      <c r="AG83" s="11">
        <f t="shared" si="372"/>
        <v>0</v>
      </c>
      <c r="AH83" s="8">
        <v>71787.3</v>
      </c>
      <c r="AI83" s="9">
        <f t="shared" si="373"/>
        <v>21.289234875444841</v>
      </c>
      <c r="AJ83" s="8">
        <v>4607</v>
      </c>
      <c r="AK83" s="11">
        <f t="shared" si="374"/>
        <v>1.3662514827995256</v>
      </c>
      <c r="AL83" s="8">
        <v>789525.74250000005</v>
      </c>
      <c r="AM83" s="9">
        <f t="shared" si="375"/>
        <v>234.14167927046265</v>
      </c>
      <c r="AN83" s="8">
        <v>0</v>
      </c>
      <c r="AO83" s="8">
        <v>50</v>
      </c>
      <c r="AP83" s="8">
        <v>175000</v>
      </c>
      <c r="AQ83" s="8">
        <v>0</v>
      </c>
      <c r="AR83" s="8">
        <v>3848820.96</v>
      </c>
      <c r="AS83" s="8">
        <v>938034.85</v>
      </c>
      <c r="AT83" s="8">
        <v>251190</v>
      </c>
      <c r="AU83" s="9">
        <f t="shared" si="376"/>
        <v>6074358.8525</v>
      </c>
      <c r="AV83" s="9">
        <f t="shared" si="377"/>
        <v>1801.4112848457889</v>
      </c>
      <c r="AW83" s="9">
        <f t="shared" si="378"/>
        <v>2207.412912457301</v>
      </c>
      <c r="AX83" s="8">
        <v>3</v>
      </c>
      <c r="AY83" s="9">
        <f t="shared" si="379"/>
        <v>10.676156583629894</v>
      </c>
      <c r="AZ83" s="8">
        <v>6</v>
      </c>
      <c r="BA83" s="8">
        <v>78</v>
      </c>
      <c r="BB83" s="8">
        <v>12</v>
      </c>
      <c r="BC83" s="8">
        <v>0</v>
      </c>
      <c r="BD83" s="8">
        <v>5</v>
      </c>
      <c r="BE83" s="9">
        <f t="shared" si="380"/>
        <v>5</v>
      </c>
      <c r="BF83" s="9">
        <f t="shared" si="381"/>
        <v>85</v>
      </c>
      <c r="BG83" s="8">
        <v>0</v>
      </c>
      <c r="BH83" s="8">
        <v>0</v>
      </c>
      <c r="BI83" s="8">
        <v>0</v>
      </c>
      <c r="BJ83" s="8">
        <v>0</v>
      </c>
      <c r="BK83" s="9">
        <f t="shared" si="382"/>
        <v>0</v>
      </c>
      <c r="BL83" s="9">
        <f t="shared" si="383"/>
        <v>0</v>
      </c>
      <c r="BM83" s="8">
        <v>0</v>
      </c>
      <c r="BN83" s="8">
        <v>0</v>
      </c>
      <c r="BO83" s="8">
        <v>0</v>
      </c>
      <c r="BP83" s="8">
        <v>0</v>
      </c>
      <c r="BQ83" s="9">
        <f t="shared" si="384"/>
        <v>0</v>
      </c>
      <c r="BR83" s="9">
        <f t="shared" si="385"/>
        <v>0</v>
      </c>
      <c r="BS83" s="8">
        <v>0</v>
      </c>
      <c r="BT83" s="8">
        <v>0</v>
      </c>
      <c r="BU83" s="8">
        <v>0</v>
      </c>
      <c r="BV83" s="8">
        <v>0</v>
      </c>
      <c r="BW83" s="9">
        <f t="shared" si="386"/>
        <v>0</v>
      </c>
      <c r="BX83" s="9">
        <f t="shared" si="387"/>
        <v>0</v>
      </c>
      <c r="BY83" s="9">
        <f t="shared" si="388"/>
        <v>78</v>
      </c>
      <c r="BZ83" s="9">
        <f t="shared" si="389"/>
        <v>12</v>
      </c>
      <c r="CA83" s="9">
        <f t="shared" si="390"/>
        <v>5</v>
      </c>
      <c r="CB83" s="9">
        <f t="shared" si="391"/>
        <v>85</v>
      </c>
      <c r="CC83" s="8">
        <v>6</v>
      </c>
      <c r="CD83" s="8">
        <v>219</v>
      </c>
      <c r="CE83" s="8">
        <v>0</v>
      </c>
      <c r="CF83" s="8">
        <v>0</v>
      </c>
      <c r="CG83" s="8">
        <v>0</v>
      </c>
      <c r="CH83" s="9">
        <f t="shared" si="392"/>
        <v>219</v>
      </c>
      <c r="CI83" s="8">
        <v>3</v>
      </c>
      <c r="CJ83" s="8">
        <v>1</v>
      </c>
      <c r="CK83" s="8">
        <v>0</v>
      </c>
      <c r="CL83" s="8">
        <v>0</v>
      </c>
      <c r="CM83" s="9">
        <f t="shared" si="393"/>
        <v>4</v>
      </c>
      <c r="CN83" s="8">
        <v>786</v>
      </c>
      <c r="CO83" s="8">
        <v>26</v>
      </c>
      <c r="CP83" s="8">
        <v>9</v>
      </c>
      <c r="CQ83" s="8">
        <v>1</v>
      </c>
      <c r="CR83" s="9">
        <f t="shared" si="394"/>
        <v>822</v>
      </c>
      <c r="CS83" s="9">
        <f t="shared" si="395"/>
        <v>826</v>
      </c>
      <c r="CT83" s="8">
        <v>1045</v>
      </c>
      <c r="CU83" s="8">
        <v>9083</v>
      </c>
      <c r="CV83" s="8">
        <v>6711</v>
      </c>
      <c r="CW83" s="10">
        <f t="shared" si="396"/>
        <v>0.73885280193768577</v>
      </c>
      <c r="CX83" s="8"/>
      <c r="CY83" s="8"/>
      <c r="CZ83" s="8"/>
      <c r="DA83" s="8"/>
      <c r="DB83" s="9">
        <f t="shared" si="397"/>
        <v>0</v>
      </c>
      <c r="DC83" s="8">
        <v>0</v>
      </c>
      <c r="DD83" s="8">
        <v>0</v>
      </c>
      <c r="DE83" s="8">
        <v>0</v>
      </c>
      <c r="DF83" s="8">
        <v>0</v>
      </c>
      <c r="DG83" s="9">
        <f t="shared" si="398"/>
        <v>0</v>
      </c>
      <c r="DH83" s="8">
        <v>0</v>
      </c>
      <c r="DI83" s="8">
        <v>0</v>
      </c>
      <c r="DJ83" s="8">
        <v>0</v>
      </c>
      <c r="DK83" s="8">
        <v>0</v>
      </c>
      <c r="DL83" s="9">
        <f t="shared" si="399"/>
        <v>0</v>
      </c>
      <c r="DM83" s="8">
        <v>0</v>
      </c>
      <c r="DN83" s="8">
        <v>2</v>
      </c>
      <c r="DO83" s="8">
        <v>2</v>
      </c>
      <c r="DP83" s="8">
        <v>0</v>
      </c>
      <c r="DQ83" s="9">
        <f t="shared" si="400"/>
        <v>0</v>
      </c>
      <c r="DR83" s="9">
        <f t="shared" si="401"/>
        <v>0</v>
      </c>
      <c r="DS83" s="9">
        <f t="shared" si="402"/>
        <v>2</v>
      </c>
      <c r="DT83" s="9">
        <f t="shared" si="403"/>
        <v>2</v>
      </c>
      <c r="DU83" s="9">
        <f t="shared" si="404"/>
        <v>0</v>
      </c>
      <c r="DV83" s="9">
        <f t="shared" si="405"/>
        <v>0</v>
      </c>
      <c r="DW83" s="8">
        <v>27</v>
      </c>
      <c r="DX83" s="8">
        <v>18</v>
      </c>
      <c r="DY83" s="8">
        <v>6</v>
      </c>
      <c r="DZ83" s="8">
        <v>1</v>
      </c>
      <c r="EA83" s="8">
        <v>1</v>
      </c>
      <c r="EB83" s="8">
        <v>1</v>
      </c>
      <c r="EC83" s="8">
        <v>0</v>
      </c>
      <c r="ED83" s="8">
        <v>0</v>
      </c>
      <c r="EE83" s="8">
        <v>1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9">
        <f t="shared" si="406"/>
        <v>55</v>
      </c>
      <c r="FH83" s="8">
        <v>2</v>
      </c>
      <c r="FI83" s="8">
        <v>504</v>
      </c>
      <c r="FJ83" s="8">
        <v>0</v>
      </c>
      <c r="FK83" s="8">
        <v>240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9">
        <f t="shared" si="407"/>
        <v>0</v>
      </c>
      <c r="FR83" s="8">
        <v>164734.22</v>
      </c>
      <c r="FS83" s="8">
        <v>0</v>
      </c>
      <c r="FT83" s="8">
        <v>0</v>
      </c>
      <c r="FU83" s="8">
        <v>0</v>
      </c>
      <c r="FV83" s="9">
        <f t="shared" si="408"/>
        <v>164734.22</v>
      </c>
      <c r="FW83" s="8">
        <v>4272295</v>
      </c>
      <c r="FX83" s="8">
        <v>0</v>
      </c>
      <c r="FY83" s="8">
        <v>69400</v>
      </c>
      <c r="FZ83" s="8">
        <v>410000</v>
      </c>
      <c r="GA83" s="9">
        <f t="shared" si="409"/>
        <v>4751695</v>
      </c>
      <c r="GB83" s="9">
        <f t="shared" si="410"/>
        <v>4916429.22</v>
      </c>
      <c r="GC83" s="8">
        <v>10020.780000000001</v>
      </c>
      <c r="GD83" s="8">
        <v>0</v>
      </c>
      <c r="GE83" s="8">
        <v>8410.99</v>
      </c>
      <c r="GF83" s="8">
        <v>0</v>
      </c>
      <c r="GG83" s="9">
        <f t="shared" si="411"/>
        <v>18431.77</v>
      </c>
      <c r="GH83" s="8">
        <v>3230401.5</v>
      </c>
      <c r="GI83" s="8">
        <v>0</v>
      </c>
      <c r="GJ83" s="8">
        <v>410000</v>
      </c>
      <c r="GK83" s="8">
        <v>69400</v>
      </c>
      <c r="GL83" s="9">
        <f t="shared" si="412"/>
        <v>3709801.5</v>
      </c>
      <c r="GM83" s="9">
        <f t="shared" si="413"/>
        <v>3728233.27</v>
      </c>
      <c r="GN83" s="8">
        <v>1860</v>
      </c>
      <c r="GO83" s="8">
        <v>0</v>
      </c>
      <c r="GP83" s="8">
        <v>3393.64</v>
      </c>
      <c r="GQ83" s="8">
        <v>0</v>
      </c>
      <c r="GR83" s="9">
        <f t="shared" si="414"/>
        <v>5253.6399999999994</v>
      </c>
      <c r="GS83" s="8">
        <v>2679</v>
      </c>
      <c r="GT83" s="8">
        <v>0</v>
      </c>
      <c r="GU83" s="8">
        <v>893</v>
      </c>
      <c r="GV83" s="8">
        <v>0</v>
      </c>
      <c r="GW83" s="9">
        <f t="shared" si="415"/>
        <v>3572</v>
      </c>
      <c r="GX83" s="9">
        <f t="shared" si="416"/>
        <v>3737058.91</v>
      </c>
      <c r="GY83" s="8">
        <v>-3388354.4399999762</v>
      </c>
      <c r="GZ83" s="8">
        <v>56321200.630000018</v>
      </c>
      <c r="HA83" s="9">
        <f t="shared" si="417"/>
        <v>52932846.190000042</v>
      </c>
      <c r="HB83" s="9">
        <f t="shared" si="418"/>
        <v>1.6254383457123505</v>
      </c>
      <c r="HC83" s="10">
        <f t="shared" si="419"/>
        <v>14.099128755073492</v>
      </c>
      <c r="HD83" s="9">
        <f t="shared" si="420"/>
        <v>1.3155878294677457</v>
      </c>
      <c r="HE83" s="8">
        <v>85</v>
      </c>
      <c r="HF83" s="8">
        <v>1</v>
      </c>
      <c r="HG83" s="8">
        <v>85</v>
      </c>
      <c r="HH83" s="8">
        <v>12</v>
      </c>
      <c r="HI83" s="8">
        <v>90</v>
      </c>
      <c r="HJ83" s="9">
        <f t="shared" si="421"/>
        <v>91</v>
      </c>
      <c r="HK83" s="10">
        <f t="shared" si="422"/>
        <v>0.14117647058823529</v>
      </c>
      <c r="HL83" s="8">
        <v>14</v>
      </c>
      <c r="HM83" s="8">
        <v>14</v>
      </c>
      <c r="HN83" s="11">
        <f t="shared" si="423"/>
        <v>1</v>
      </c>
    </row>
    <row r="84" spans="1:222" x14ac:dyDescent="0.3">
      <c r="A84" s="12" t="s">
        <v>276</v>
      </c>
      <c r="B84" s="12" t="s">
        <v>278</v>
      </c>
      <c r="C84" s="13" t="s">
        <v>257</v>
      </c>
      <c r="D84" s="13">
        <v>2026</v>
      </c>
      <c r="E84" s="13">
        <v>1</v>
      </c>
      <c r="F84" s="13" t="s">
        <v>270</v>
      </c>
      <c r="G84" s="13" t="s">
        <v>271</v>
      </c>
      <c r="H84" s="14">
        <v>4283</v>
      </c>
      <c r="I84" s="14">
        <v>6</v>
      </c>
      <c r="J84" s="14">
        <v>0</v>
      </c>
      <c r="K84" s="14">
        <v>9</v>
      </c>
      <c r="L84" s="14">
        <v>0</v>
      </c>
      <c r="M84" s="15">
        <v>15</v>
      </c>
      <c r="N84" s="14">
        <v>2626.7000000000012</v>
      </c>
      <c r="O84" s="14">
        <v>0</v>
      </c>
      <c r="P84" s="14">
        <v>406</v>
      </c>
      <c r="Q84" s="14">
        <v>10.6</v>
      </c>
      <c r="R84" s="15">
        <v>3043.3000000000011</v>
      </c>
      <c r="S84" s="15">
        <v>3058.3000000000011</v>
      </c>
      <c r="T84" s="14">
        <v>1224.6999999999989</v>
      </c>
      <c r="U84" s="16">
        <v>0.28594443147326609</v>
      </c>
      <c r="V84" s="14">
        <v>4</v>
      </c>
      <c r="W84" s="17">
        <v>0.93392481905206626</v>
      </c>
      <c r="X84" s="14">
        <v>0</v>
      </c>
      <c r="Y84" s="17">
        <v>0</v>
      </c>
      <c r="Z84" s="14">
        <v>0</v>
      </c>
      <c r="AA84" s="17">
        <v>0</v>
      </c>
      <c r="AB84" s="14">
        <v>0</v>
      </c>
      <c r="AC84" s="17">
        <v>0</v>
      </c>
      <c r="AD84" s="14">
        <v>0</v>
      </c>
      <c r="AE84" s="17">
        <v>0</v>
      </c>
      <c r="AF84" s="14">
        <v>0</v>
      </c>
      <c r="AG84" s="17">
        <v>0</v>
      </c>
      <c r="AH84" s="14">
        <v>95716.4</v>
      </c>
      <c r="AI84" s="15">
        <v>22.347980387578801</v>
      </c>
      <c r="AJ84" s="14">
        <v>4831</v>
      </c>
      <c r="AK84" s="17">
        <v>1.127947700210133</v>
      </c>
      <c r="AL84" s="14">
        <v>826973.50250000006</v>
      </c>
      <c r="AM84" s="15">
        <v>193.08276967079149</v>
      </c>
      <c r="AN84" s="14">
        <v>0</v>
      </c>
      <c r="AO84" s="14">
        <v>0</v>
      </c>
      <c r="AP84" s="14">
        <v>0</v>
      </c>
      <c r="AQ84" s="14">
        <v>0</v>
      </c>
      <c r="AR84" s="14">
        <v>3848820.96</v>
      </c>
      <c r="AS84" s="14">
        <v>1066155.2</v>
      </c>
      <c r="AT84" s="14">
        <v>253050</v>
      </c>
      <c r="AU84" s="15">
        <v>6090716.0625</v>
      </c>
      <c r="AV84" s="15">
        <v>1422.0677241419569</v>
      </c>
      <c r="AW84" s="15">
        <v>1991.536494948173</v>
      </c>
      <c r="AX84" s="14">
        <v>3</v>
      </c>
      <c r="AY84" s="15">
        <v>21.71375204296054</v>
      </c>
      <c r="AZ84" s="14">
        <v>6</v>
      </c>
      <c r="BA84" s="14">
        <v>85</v>
      </c>
      <c r="BB84" s="14">
        <v>5</v>
      </c>
      <c r="BC84" s="14">
        <v>0</v>
      </c>
      <c r="BD84" s="14">
        <v>11</v>
      </c>
      <c r="BE84" s="15">
        <v>11</v>
      </c>
      <c r="BF84" s="15">
        <v>79</v>
      </c>
      <c r="BG84" s="14">
        <v>0</v>
      </c>
      <c r="BH84" s="14">
        <v>0</v>
      </c>
      <c r="BI84" s="14">
        <v>0</v>
      </c>
      <c r="BJ84" s="14">
        <v>0</v>
      </c>
      <c r="BK84" s="15">
        <v>0</v>
      </c>
      <c r="BL84" s="15">
        <v>0</v>
      </c>
      <c r="BM84" s="14">
        <v>0</v>
      </c>
      <c r="BN84" s="14">
        <v>0</v>
      </c>
      <c r="BO84" s="14">
        <v>0</v>
      </c>
      <c r="BP84" s="14">
        <v>0</v>
      </c>
      <c r="BQ84" s="15">
        <v>0</v>
      </c>
      <c r="BR84" s="15">
        <v>0</v>
      </c>
      <c r="BS84" s="14">
        <v>0</v>
      </c>
      <c r="BT84" s="14">
        <v>0</v>
      </c>
      <c r="BU84" s="14">
        <v>0</v>
      </c>
      <c r="BV84" s="14">
        <v>0</v>
      </c>
      <c r="BW84" s="15">
        <v>0</v>
      </c>
      <c r="BX84" s="15">
        <v>0</v>
      </c>
      <c r="BY84" s="15">
        <v>85</v>
      </c>
      <c r="BZ84" s="15">
        <v>5</v>
      </c>
      <c r="CA84" s="15">
        <v>11</v>
      </c>
      <c r="CB84" s="15">
        <v>79</v>
      </c>
      <c r="CC84" s="14">
        <v>12</v>
      </c>
      <c r="CD84" s="14">
        <v>219</v>
      </c>
      <c r="CE84" s="14">
        <v>0</v>
      </c>
      <c r="CF84" s="14">
        <v>0</v>
      </c>
      <c r="CG84" s="14">
        <v>0</v>
      </c>
      <c r="CH84" s="15">
        <v>219</v>
      </c>
      <c r="CI84" s="14">
        <v>3</v>
      </c>
      <c r="CJ84" s="14">
        <v>1</v>
      </c>
      <c r="CK84" s="14">
        <v>0</v>
      </c>
      <c r="CL84" s="14">
        <v>0</v>
      </c>
      <c r="CM84" s="15">
        <v>4</v>
      </c>
      <c r="CN84" s="14">
        <v>797</v>
      </c>
      <c r="CO84" s="14">
        <v>26</v>
      </c>
      <c r="CP84" s="14">
        <v>9</v>
      </c>
      <c r="CQ84" s="14">
        <v>1</v>
      </c>
      <c r="CR84" s="15">
        <v>833</v>
      </c>
      <c r="CS84" s="15">
        <v>837</v>
      </c>
      <c r="CT84" s="14">
        <v>1056</v>
      </c>
      <c r="CU84" s="14">
        <v>9098</v>
      </c>
      <c r="CV84" s="14">
        <v>6766</v>
      </c>
      <c r="CW84" s="16">
        <v>0.74367992965486918</v>
      </c>
      <c r="CX84" s="14">
        <v>0</v>
      </c>
      <c r="CY84" s="14">
        <v>0</v>
      </c>
      <c r="CZ84" s="14">
        <v>0</v>
      </c>
      <c r="DA84" s="14">
        <v>0</v>
      </c>
      <c r="DB84" s="15">
        <v>0</v>
      </c>
      <c r="DC84" s="14">
        <v>0</v>
      </c>
      <c r="DD84" s="14">
        <v>0</v>
      </c>
      <c r="DE84" s="14">
        <v>0</v>
      </c>
      <c r="DF84" s="14">
        <v>0</v>
      </c>
      <c r="DG84" s="15">
        <v>0</v>
      </c>
      <c r="DH84" s="14">
        <v>0</v>
      </c>
      <c r="DI84" s="14">
        <v>0</v>
      </c>
      <c r="DJ84" s="14">
        <v>0</v>
      </c>
      <c r="DK84" s="14">
        <v>0</v>
      </c>
      <c r="DL84" s="15">
        <v>0</v>
      </c>
      <c r="DM84" s="14">
        <v>0</v>
      </c>
      <c r="DN84" s="14">
        <v>0</v>
      </c>
      <c r="DO84" s="14">
        <v>0</v>
      </c>
      <c r="DP84" s="14">
        <v>0</v>
      </c>
      <c r="DQ84" s="15">
        <v>0</v>
      </c>
      <c r="DR84" s="15">
        <v>0</v>
      </c>
      <c r="DS84" s="15">
        <v>0</v>
      </c>
      <c r="DT84" s="15">
        <v>0</v>
      </c>
      <c r="DU84" s="15">
        <v>0</v>
      </c>
      <c r="DV84" s="15">
        <v>0</v>
      </c>
      <c r="DW84" s="14">
        <v>25</v>
      </c>
      <c r="DX84" s="14">
        <v>13</v>
      </c>
      <c r="DY84" s="14">
        <v>2</v>
      </c>
      <c r="DZ84" s="14">
        <v>0</v>
      </c>
      <c r="EA84" s="14">
        <v>1</v>
      </c>
      <c r="EB84" s="14">
        <v>1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1</v>
      </c>
      <c r="EL84" s="14">
        <v>2</v>
      </c>
      <c r="EM84" s="14">
        <v>0</v>
      </c>
      <c r="EN84" s="14">
        <v>0</v>
      </c>
      <c r="EO84" s="14">
        <v>1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5">
        <v>46</v>
      </c>
      <c r="FH84" s="14">
        <v>2</v>
      </c>
      <c r="FI84" s="14">
        <v>696</v>
      </c>
      <c r="FJ84" s="14">
        <v>0</v>
      </c>
      <c r="FK84" s="14">
        <v>48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5">
        <v>0</v>
      </c>
      <c r="FR84" s="14">
        <v>0</v>
      </c>
      <c r="FS84" s="14">
        <v>0</v>
      </c>
      <c r="FT84" s="14">
        <v>0</v>
      </c>
      <c r="FU84" s="14">
        <v>0</v>
      </c>
      <c r="FV84" s="15">
        <v>0</v>
      </c>
      <c r="FW84" s="14">
        <v>4102714</v>
      </c>
      <c r="FX84" s="14">
        <v>0</v>
      </c>
      <c r="FY84" s="14">
        <v>50000</v>
      </c>
      <c r="FZ84" s="14">
        <v>1233700</v>
      </c>
      <c r="GA84" s="15">
        <v>5386414</v>
      </c>
      <c r="GB84" s="15">
        <v>5386414</v>
      </c>
      <c r="GC84" s="14">
        <v>10020.780000000001</v>
      </c>
      <c r="GD84" s="14">
        <v>0</v>
      </c>
      <c r="GE84" s="14">
        <v>21721.79</v>
      </c>
      <c r="GF84" s="14">
        <v>0</v>
      </c>
      <c r="GG84" s="15">
        <v>31742.57</v>
      </c>
      <c r="GH84" s="14">
        <v>3276417.77</v>
      </c>
      <c r="GI84" s="14">
        <v>0</v>
      </c>
      <c r="GJ84" s="14">
        <v>1233700</v>
      </c>
      <c r="GK84" s="14">
        <v>50000</v>
      </c>
      <c r="GL84" s="15">
        <v>4560117.7699999996</v>
      </c>
      <c r="GM84" s="15">
        <v>4591860.34</v>
      </c>
      <c r="GN84" s="14">
        <v>1860</v>
      </c>
      <c r="GO84" s="14">
        <v>0</v>
      </c>
      <c r="GP84" s="14">
        <v>3393.64</v>
      </c>
      <c r="GQ84" s="14">
        <v>0</v>
      </c>
      <c r="GR84" s="15">
        <v>5253.6399999999994</v>
      </c>
      <c r="GS84" s="14">
        <v>2679</v>
      </c>
      <c r="GT84" s="14">
        <v>0</v>
      </c>
      <c r="GU84" s="14">
        <v>893</v>
      </c>
      <c r="GV84" s="14">
        <v>0</v>
      </c>
      <c r="GW84" s="15">
        <v>3572</v>
      </c>
      <c r="GX84" s="15">
        <v>4600685.9800000004</v>
      </c>
      <c r="GY84" s="14">
        <v>-3383576.2499999842</v>
      </c>
      <c r="GZ84" s="14">
        <v>56356990.300000019</v>
      </c>
      <c r="HA84" s="15">
        <v>52973414.050000027</v>
      </c>
      <c r="HB84" s="15">
        <v>4600685.9800000004</v>
      </c>
      <c r="HC84" s="16">
        <v>-3383576.2499999842</v>
      </c>
      <c r="HD84" s="15">
        <v>56356990.300000019</v>
      </c>
      <c r="HE84" s="14">
        <v>90</v>
      </c>
      <c r="HF84" s="14">
        <v>1</v>
      </c>
      <c r="HG84" s="14">
        <v>79</v>
      </c>
      <c r="HH84" s="14">
        <v>5</v>
      </c>
      <c r="HI84" s="14">
        <v>11</v>
      </c>
      <c r="HJ84" s="15">
        <v>2.2000000000000002</v>
      </c>
      <c r="HK84" s="16">
        <v>0</v>
      </c>
      <c r="HL84" s="14">
        <v>18</v>
      </c>
      <c r="HM84" s="14">
        <v>18</v>
      </c>
      <c r="HN84" s="17">
        <v>1</v>
      </c>
    </row>
    <row r="85" spans="1:222" x14ac:dyDescent="0.3">
      <c r="A85" s="6" t="s">
        <v>276</v>
      </c>
      <c r="B85" s="6" t="s">
        <v>278</v>
      </c>
      <c r="C85" s="7" t="s">
        <v>257</v>
      </c>
      <c r="D85" s="7">
        <v>2026</v>
      </c>
      <c r="E85" s="7">
        <v>2</v>
      </c>
      <c r="F85" s="7" t="s">
        <v>272</v>
      </c>
      <c r="G85" s="7" t="s">
        <v>271</v>
      </c>
      <c r="H85" s="8">
        <v>3702</v>
      </c>
      <c r="I85" s="8">
        <v>7</v>
      </c>
      <c r="J85" s="8">
        <v>0</v>
      </c>
      <c r="K85" s="8">
        <v>2</v>
      </c>
      <c r="L85" s="8">
        <v>0</v>
      </c>
      <c r="M85" s="9">
        <f t="shared" ref="M85:M95" si="424">SUM(I85,J85,K85,L85)</f>
        <v>9</v>
      </c>
      <c r="N85" s="8">
        <v>2770.4</v>
      </c>
      <c r="O85" s="8">
        <v>0</v>
      </c>
      <c r="P85" s="8">
        <v>178.7</v>
      </c>
      <c r="Q85" s="8">
        <v>18</v>
      </c>
      <c r="R85" s="9">
        <f t="shared" ref="R85:R95" si="425">SUM(N85,O85,P85,Q85)</f>
        <v>2967.1</v>
      </c>
      <c r="S85" s="9">
        <f t="shared" ref="S85:S95" si="426">M85+R85</f>
        <v>2976.1</v>
      </c>
      <c r="T85" s="8">
        <v>725.90000000000055</v>
      </c>
      <c r="U85" s="10">
        <f t="shared" ref="U85:U95" si="427">IF(H85=0,"",T85/H85)</f>
        <v>0.19608319827120491</v>
      </c>
      <c r="V85" s="8">
        <v>4</v>
      </c>
      <c r="W85" s="11">
        <f t="shared" ref="W85:W95" si="428">IF(H85=0,"",V85/H85)</f>
        <v>1.0804970286331713E-3</v>
      </c>
      <c r="X85" s="8">
        <v>0</v>
      </c>
      <c r="Y85" s="11">
        <f t="shared" ref="Y85:Y95" si="429">IF(H85=0,"",X85/H85)</f>
        <v>0</v>
      </c>
      <c r="Z85" s="8">
        <v>0</v>
      </c>
      <c r="AA85" s="11">
        <f t="shared" ref="AA85:AA95" si="430">IF(H85=0,"",Z85/H85)</f>
        <v>0</v>
      </c>
      <c r="AB85" s="8">
        <v>0</v>
      </c>
      <c r="AC85" s="11">
        <f t="shared" ref="AC85:AC95" si="431">IF(H85=0,"",AB85/H85)</f>
        <v>0</v>
      </c>
      <c r="AD85" s="8">
        <v>0</v>
      </c>
      <c r="AE85" s="11">
        <f t="shared" ref="AE85:AE95" si="432">IF(H85=0,"",AD85/H85)</f>
        <v>0</v>
      </c>
      <c r="AF85" s="8">
        <v>0</v>
      </c>
      <c r="AG85" s="11">
        <f t="shared" ref="AG85:AG95" si="433">IF(H85=0,"",AF85/H85)</f>
        <v>0</v>
      </c>
      <c r="AH85" s="8">
        <v>95716.4</v>
      </c>
      <c r="AI85" s="9">
        <f t="shared" ref="AI85:AI95" si="434">IF(H85=0,"",AH85/H85)</f>
        <v>25.855321447866018</v>
      </c>
      <c r="AJ85" s="8">
        <v>2898</v>
      </c>
      <c r="AK85" s="11">
        <f t="shared" ref="AK85:AK95" si="435">IF(H85=0,"",AJ85/H85)</f>
        <v>0.78282009724473256</v>
      </c>
      <c r="AL85" s="8">
        <v>503819.39500000002</v>
      </c>
      <c r="AM85" s="9">
        <f t="shared" ref="AM85:AM95" si="436">IF(H85=0,"",AL85/H85)</f>
        <v>136.09383981631552</v>
      </c>
      <c r="AN85" s="8">
        <v>0</v>
      </c>
      <c r="AO85" s="8">
        <v>0</v>
      </c>
      <c r="AP85" s="8">
        <v>0</v>
      </c>
      <c r="AQ85" s="8">
        <v>0</v>
      </c>
      <c r="AR85" s="8">
        <v>3848820.96</v>
      </c>
      <c r="AS85" s="8">
        <v>955905.05999999994</v>
      </c>
      <c r="AT85" s="8">
        <v>255490</v>
      </c>
      <c r="AU85" s="9">
        <f t="shared" ref="AU85:AU95" si="437">AH85+AL85+AP85+AQ85+AR85+AS85+AT85</f>
        <v>5659751.8149999995</v>
      </c>
      <c r="AV85" s="9">
        <f t="shared" ref="AV85:AV95" si="438">IF(H85=0,"",AU85/H85)</f>
        <v>1528.8362547271743</v>
      </c>
      <c r="AW85" s="9">
        <f t="shared" ref="AW85:AW95" si="439">IF(S85=0,"",AU85/S85)</f>
        <v>1901.7344225664458</v>
      </c>
      <c r="AX85" s="8">
        <v>3</v>
      </c>
      <c r="AY85" s="9">
        <f t="shared" ref="AY85:AY95" si="440">IF(H85=0,"",AX85/(H85/1000/12))</f>
        <v>9.7244732576985413</v>
      </c>
      <c r="AZ85" s="8">
        <v>6</v>
      </c>
      <c r="BA85" s="8">
        <v>79</v>
      </c>
      <c r="BB85" s="8">
        <v>5</v>
      </c>
      <c r="BC85" s="8">
        <v>0</v>
      </c>
      <c r="BD85" s="8">
        <v>10</v>
      </c>
      <c r="BE85" s="9">
        <f t="shared" ref="BE85:BE95" si="441">BC85+BD85</f>
        <v>10</v>
      </c>
      <c r="BF85" s="9">
        <f t="shared" ref="BF85:BF95" si="442">BA85+BB85-BE85</f>
        <v>74</v>
      </c>
      <c r="BG85" s="8">
        <v>0</v>
      </c>
      <c r="BH85" s="8">
        <v>0</v>
      </c>
      <c r="BI85" s="8">
        <v>0</v>
      </c>
      <c r="BJ85" s="8">
        <v>0</v>
      </c>
      <c r="BK85" s="9">
        <f t="shared" ref="BK85:BK95" si="443">BI85+BJ85</f>
        <v>0</v>
      </c>
      <c r="BL85" s="9">
        <f t="shared" ref="BL85:BL95" si="444">BG85+BH85-BK85</f>
        <v>0</v>
      </c>
      <c r="BM85" s="8">
        <v>0</v>
      </c>
      <c r="BN85" s="8">
        <v>0</v>
      </c>
      <c r="BO85" s="8">
        <v>0</v>
      </c>
      <c r="BP85" s="8">
        <v>0</v>
      </c>
      <c r="BQ85" s="9">
        <f t="shared" ref="BQ85:BQ95" si="445">BO85+BP85</f>
        <v>0</v>
      </c>
      <c r="BR85" s="9">
        <f t="shared" ref="BR85:BR95" si="446">BM85+BN85-BQ85</f>
        <v>0</v>
      </c>
      <c r="BS85" s="8">
        <v>0</v>
      </c>
      <c r="BT85" s="8">
        <v>0</v>
      </c>
      <c r="BU85" s="8">
        <v>0</v>
      </c>
      <c r="BV85" s="8">
        <v>0</v>
      </c>
      <c r="BW85" s="9">
        <f t="shared" ref="BW85:BW95" si="447">BU85+BV85</f>
        <v>0</v>
      </c>
      <c r="BX85" s="9">
        <f t="shared" ref="BX85:BX95" si="448">BS85+BT85-BW85</f>
        <v>0</v>
      </c>
      <c r="BY85" s="9">
        <f t="shared" ref="BY85:BY95" si="449">BA85+BG85+BM85+BS85</f>
        <v>79</v>
      </c>
      <c r="BZ85" s="9">
        <f t="shared" ref="BZ85:BZ95" si="450">BB85+BH85+BN85+BT85</f>
        <v>5</v>
      </c>
      <c r="CA85" s="9">
        <f t="shared" ref="CA85:CA95" si="451">BE85+BK85+BQ85+BW85</f>
        <v>10</v>
      </c>
      <c r="CB85" s="9">
        <f t="shared" ref="CB85:CB95" si="452">BF85+BL85+BR85+BX85</f>
        <v>74</v>
      </c>
      <c r="CC85" s="8">
        <v>11</v>
      </c>
      <c r="CD85" s="8">
        <v>218</v>
      </c>
      <c r="CE85" s="8">
        <v>0</v>
      </c>
      <c r="CF85" s="8">
        <v>0</v>
      </c>
      <c r="CG85" s="8">
        <v>0</v>
      </c>
      <c r="CH85" s="9">
        <f t="shared" ref="CH85:CH95" si="453">CD85+CE85+CF85+CG85</f>
        <v>218</v>
      </c>
      <c r="CI85" s="8">
        <v>3</v>
      </c>
      <c r="CJ85" s="8">
        <v>1</v>
      </c>
      <c r="CK85" s="8">
        <v>0</v>
      </c>
      <c r="CL85" s="8">
        <v>0</v>
      </c>
      <c r="CM85" s="9">
        <f t="shared" ref="CM85:CM95" si="454">CI85+CJ85+CK85+CL85</f>
        <v>4</v>
      </c>
      <c r="CN85" s="8">
        <v>808</v>
      </c>
      <c r="CO85" s="8">
        <v>26</v>
      </c>
      <c r="CP85" s="8">
        <v>9</v>
      </c>
      <c r="CQ85" s="8">
        <v>1</v>
      </c>
      <c r="CR85" s="9">
        <f t="shared" ref="CR85:CR95" si="455">CN85+CO85+CP85+CQ85</f>
        <v>844</v>
      </c>
      <c r="CS85" s="9">
        <f t="shared" ref="CS85:CS95" si="456">CM85+CR85</f>
        <v>848</v>
      </c>
      <c r="CT85" s="8">
        <v>1066</v>
      </c>
      <c r="CU85" s="8">
        <v>9113</v>
      </c>
      <c r="CV85" s="8">
        <v>6816</v>
      </c>
      <c r="CW85" s="10">
        <f t="shared" ref="CW85:CW95" si="457">IF(CU85=0,"",CV85/CU85)</f>
        <v>0.74794249972566662</v>
      </c>
      <c r="CX85" s="8"/>
      <c r="CY85" s="8"/>
      <c r="CZ85" s="8"/>
      <c r="DA85" s="8"/>
      <c r="DB85" s="9">
        <f t="shared" ref="DB85:DB95" si="458">CX85+CY85-CZ85-DA85</f>
        <v>0</v>
      </c>
      <c r="DC85" s="8">
        <v>0</v>
      </c>
      <c r="DD85" s="8">
        <v>0</v>
      </c>
      <c r="DE85" s="8">
        <v>0</v>
      </c>
      <c r="DF85" s="8">
        <v>0</v>
      </c>
      <c r="DG85" s="9">
        <f t="shared" ref="DG85:DG95" si="459">DC85+DD85-DE85-DF85</f>
        <v>0</v>
      </c>
      <c r="DH85" s="8">
        <v>0</v>
      </c>
      <c r="DI85" s="8">
        <v>0</v>
      </c>
      <c r="DJ85" s="8">
        <v>0</v>
      </c>
      <c r="DK85" s="8">
        <v>0</v>
      </c>
      <c r="DL85" s="9">
        <f t="shared" ref="DL85:DL95" si="460">DH85+DI85-DJ85-DK85</f>
        <v>0</v>
      </c>
      <c r="DM85" s="8">
        <v>0</v>
      </c>
      <c r="DN85" s="8">
        <v>16</v>
      </c>
      <c r="DO85" s="8">
        <v>10</v>
      </c>
      <c r="DP85" s="8">
        <v>0</v>
      </c>
      <c r="DQ85" s="9">
        <f t="shared" ref="DQ85:DQ95" si="461">DM85+DN85-DO85-DP85</f>
        <v>6</v>
      </c>
      <c r="DR85" s="9">
        <f t="shared" ref="DR85:DR95" si="462">CX85+DC85+DH85+DM85</f>
        <v>0</v>
      </c>
      <c r="DS85" s="9">
        <f t="shared" ref="DS85:DS95" si="463">CY85+DD85+DI85+DN85</f>
        <v>16</v>
      </c>
      <c r="DT85" s="9">
        <f t="shared" ref="DT85:DT95" si="464">CZ85+DE85+DJ85+DO85</f>
        <v>10</v>
      </c>
      <c r="DU85" s="9">
        <f t="shared" ref="DU85:DU95" si="465">DA85+DF85+DK85+DP85</f>
        <v>0</v>
      </c>
      <c r="DV85" s="9">
        <f t="shared" ref="DV85:DV95" si="466">DB85+DG85+DL85+DQ85</f>
        <v>6</v>
      </c>
      <c r="DW85" s="8">
        <v>20</v>
      </c>
      <c r="DX85" s="8">
        <v>4</v>
      </c>
      <c r="DY85" s="8">
        <v>7</v>
      </c>
      <c r="DZ85" s="8">
        <v>0</v>
      </c>
      <c r="EA85" s="8">
        <v>2</v>
      </c>
      <c r="EB85" s="8">
        <v>2</v>
      </c>
      <c r="EC85" s="8">
        <v>0</v>
      </c>
      <c r="ED85" s="8">
        <v>0</v>
      </c>
      <c r="EE85" s="8">
        <v>0</v>
      </c>
      <c r="EF85" s="8">
        <v>0</v>
      </c>
      <c r="EG85" s="8">
        <v>0</v>
      </c>
      <c r="EH85" s="8">
        <v>0</v>
      </c>
      <c r="EI85" s="8">
        <v>0</v>
      </c>
      <c r="EJ85" s="8">
        <v>0</v>
      </c>
      <c r="EK85" s="8">
        <v>2</v>
      </c>
      <c r="EL85" s="8">
        <v>1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8">
        <v>0</v>
      </c>
      <c r="ES85" s="8">
        <v>0</v>
      </c>
      <c r="ET85" s="8">
        <v>0</v>
      </c>
      <c r="EU85" s="8">
        <v>0</v>
      </c>
      <c r="EV85" s="8">
        <v>0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9">
        <f t="shared" ref="FG85:FG95" si="467">SUM(DW85,DX85,DY85,DZ85,EA85,EB85,EC85,ED85,EE85,EF85,EG85,EH85,EI85,EJ85,EK85,EL85,EM85,EN85,EO85,EP85,EQ85,ER85,ES85,ET85,EU85,EV85,EW85,EX85,EY85,EZ85,FA85,FB85,FC85,FD85,FE85,FF85)</f>
        <v>38</v>
      </c>
      <c r="FH85" s="8">
        <v>2</v>
      </c>
      <c r="FI85" s="8">
        <v>360</v>
      </c>
      <c r="FJ85" s="8">
        <v>0</v>
      </c>
      <c r="FK85" s="8">
        <v>312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9">
        <f t="shared" ref="FQ85:FQ95" si="468">FL85+FM85+FN85+FO85+FP85</f>
        <v>0</v>
      </c>
      <c r="FR85" s="8">
        <v>0</v>
      </c>
      <c r="FS85" s="8">
        <v>0</v>
      </c>
      <c r="FT85" s="8">
        <v>0</v>
      </c>
      <c r="FU85" s="8">
        <v>0</v>
      </c>
      <c r="FV85" s="9">
        <f t="shared" ref="FV85:FV95" si="469">FR85+FS85+FT85+FU85</f>
        <v>0</v>
      </c>
      <c r="FW85" s="8">
        <v>4298603</v>
      </c>
      <c r="FX85" s="8">
        <v>0</v>
      </c>
      <c r="FY85" s="8">
        <v>95600</v>
      </c>
      <c r="FZ85" s="8">
        <v>531200</v>
      </c>
      <c r="GA85" s="9">
        <f t="shared" ref="GA85:GA95" si="470">FW85+FX85+FY85+FZ85</f>
        <v>4925403</v>
      </c>
      <c r="GB85" s="9">
        <f t="shared" ref="GB85:GB95" si="471">FV85+GA85</f>
        <v>4925403</v>
      </c>
      <c r="GC85" s="8">
        <v>10020.780000000001</v>
      </c>
      <c r="GD85" s="8">
        <v>0</v>
      </c>
      <c r="GE85" s="8">
        <v>8410.99</v>
      </c>
      <c r="GF85" s="8">
        <v>0</v>
      </c>
      <c r="GG85" s="9">
        <f t="shared" ref="GG85:GG95" si="472">GC85+GD85+GE85+GF85</f>
        <v>18431.77</v>
      </c>
      <c r="GH85" s="8">
        <v>3454204.6</v>
      </c>
      <c r="GI85" s="8">
        <v>0</v>
      </c>
      <c r="GJ85" s="8">
        <v>531200</v>
      </c>
      <c r="GK85" s="8">
        <v>85600</v>
      </c>
      <c r="GL85" s="9">
        <f t="shared" ref="GL85:GL95" si="473">GH85+GI85+GJ85+GK85</f>
        <v>4071004.6</v>
      </c>
      <c r="GM85" s="9">
        <f t="shared" ref="GM85:GM95" si="474">GG85+GL85</f>
        <v>4089436.37</v>
      </c>
      <c r="GN85" s="8">
        <v>1860</v>
      </c>
      <c r="GO85" s="8">
        <v>0</v>
      </c>
      <c r="GP85" s="8">
        <v>3393.64</v>
      </c>
      <c r="GQ85" s="8">
        <v>0</v>
      </c>
      <c r="GR85" s="9">
        <f t="shared" ref="GR85:GR95" si="475">GN85+GO85+GP85+GQ85</f>
        <v>5253.6399999999994</v>
      </c>
      <c r="GS85" s="8">
        <v>2679</v>
      </c>
      <c r="GT85" s="8">
        <v>0</v>
      </c>
      <c r="GU85" s="8">
        <v>893</v>
      </c>
      <c r="GV85" s="8">
        <v>0</v>
      </c>
      <c r="GW85" s="9">
        <f t="shared" ref="GW85:GW95" si="476">GS85+GT85+GU85+GV85</f>
        <v>3572</v>
      </c>
      <c r="GX85" s="9">
        <f t="shared" ref="GX85:GX95" si="477">GM85+GR85+GW85</f>
        <v>4098262.0100000002</v>
      </c>
      <c r="GY85" s="8">
        <v>-3123538.3399999649</v>
      </c>
      <c r="GZ85" s="8">
        <v>56090762.119999997</v>
      </c>
      <c r="HA85" s="9">
        <f t="shared" ref="HA85:HA95" si="478">GY85+GZ85</f>
        <v>52967223.780000031</v>
      </c>
      <c r="HB85" s="9">
        <f t="shared" ref="HB85:HB95" si="479">IF(GX85=0,"",AU85/GX85)</f>
        <v>1.3810126832276395</v>
      </c>
      <c r="HC85" s="10">
        <f t="shared" ref="HC85:HC95" si="480">IF((GX85+GY85)=0,"",GB85/(GX85+GY85))</f>
        <v>5.0531275186944233</v>
      </c>
      <c r="HD85" s="9">
        <f t="shared" ref="HD85:HD95" si="481">IF(GX85=0,"",GB85/GX85)</f>
        <v>1.201827259453331</v>
      </c>
      <c r="HE85" s="8">
        <v>5</v>
      </c>
      <c r="HF85" s="8">
        <v>1</v>
      </c>
      <c r="HG85" s="8">
        <v>74</v>
      </c>
      <c r="HH85" s="8">
        <v>5</v>
      </c>
      <c r="HI85" s="8">
        <v>74</v>
      </c>
      <c r="HJ85" s="9">
        <f t="shared" ref="HJ85:HJ95" si="482">HF85+HI85</f>
        <v>75</v>
      </c>
      <c r="HK85" s="10">
        <f t="shared" ref="HK85:HK95" si="483">IF(HE85=0,"",HH85/HE85)</f>
        <v>1</v>
      </c>
      <c r="HL85" s="8">
        <v>25</v>
      </c>
      <c r="HM85" s="8">
        <v>25</v>
      </c>
      <c r="HN85" s="11">
        <f t="shared" ref="HN85:HN95" si="484">IF(HL85=0,"",HM85/HL85)</f>
        <v>1</v>
      </c>
    </row>
    <row r="86" spans="1:222" x14ac:dyDescent="0.3">
      <c r="A86" s="12" t="s">
        <v>276</v>
      </c>
      <c r="B86" s="12" t="s">
        <v>278</v>
      </c>
      <c r="C86" s="13" t="s">
        <v>257</v>
      </c>
      <c r="D86" s="13">
        <v>2026</v>
      </c>
      <c r="E86" s="13">
        <v>3</v>
      </c>
      <c r="F86" s="13" t="s">
        <v>273</v>
      </c>
      <c r="G86" s="13" t="s">
        <v>271</v>
      </c>
      <c r="H86" s="14">
        <v>2203</v>
      </c>
      <c r="I86" s="14">
        <v>7</v>
      </c>
      <c r="J86" s="14">
        <v>2</v>
      </c>
      <c r="K86" s="14">
        <v>0</v>
      </c>
      <c r="L86" s="14">
        <v>0</v>
      </c>
      <c r="M86" s="15">
        <f t="shared" si="424"/>
        <v>9</v>
      </c>
      <c r="N86" s="14">
        <v>1909.7999999999979</v>
      </c>
      <c r="O86" s="14">
        <v>0</v>
      </c>
      <c r="P86" s="14">
        <v>75.899999999999991</v>
      </c>
      <c r="Q86" s="14">
        <v>10.8</v>
      </c>
      <c r="R86" s="15">
        <f t="shared" si="425"/>
        <v>1996.499999999998</v>
      </c>
      <c r="S86" s="15">
        <f t="shared" si="426"/>
        <v>2005.499999999998</v>
      </c>
      <c r="T86" s="14">
        <v>197.50000000000159</v>
      </c>
      <c r="U86" s="16">
        <f t="shared" si="427"/>
        <v>8.9650476622787828E-2</v>
      </c>
      <c r="V86" s="14">
        <v>3</v>
      </c>
      <c r="W86" s="17">
        <f t="shared" si="428"/>
        <v>1.3617793917385383E-3</v>
      </c>
      <c r="X86" s="14">
        <v>0</v>
      </c>
      <c r="Y86" s="17">
        <f t="shared" si="429"/>
        <v>0</v>
      </c>
      <c r="Z86" s="14">
        <v>0</v>
      </c>
      <c r="AA86" s="17">
        <f t="shared" si="430"/>
        <v>0</v>
      </c>
      <c r="AB86" s="14">
        <v>0</v>
      </c>
      <c r="AC86" s="17">
        <f t="shared" si="431"/>
        <v>0</v>
      </c>
      <c r="AD86" s="14">
        <v>0</v>
      </c>
      <c r="AE86" s="17">
        <f t="shared" si="432"/>
        <v>0</v>
      </c>
      <c r="AF86" s="14">
        <v>0</v>
      </c>
      <c r="AG86" s="17">
        <f t="shared" si="433"/>
        <v>0</v>
      </c>
      <c r="AH86" s="14">
        <v>71787.299999999988</v>
      </c>
      <c r="AI86" s="15">
        <f t="shared" si="434"/>
        <v>32.586155242850651</v>
      </c>
      <c r="AJ86" s="14">
        <v>2213</v>
      </c>
      <c r="AK86" s="17">
        <f t="shared" si="435"/>
        <v>1.0045392646391285</v>
      </c>
      <c r="AL86" s="14">
        <v>19339</v>
      </c>
      <c r="AM86" s="15">
        <f t="shared" si="436"/>
        <v>8.7784838856105303</v>
      </c>
      <c r="AN86" s="14">
        <v>0</v>
      </c>
      <c r="AO86" s="14">
        <v>0</v>
      </c>
      <c r="AP86" s="14">
        <v>0</v>
      </c>
      <c r="AQ86" s="14">
        <v>0</v>
      </c>
      <c r="AR86" s="14">
        <v>3872540.32</v>
      </c>
      <c r="AS86" s="14">
        <v>824323.19</v>
      </c>
      <c r="AT86" s="14">
        <v>255490</v>
      </c>
      <c r="AU86" s="15">
        <f t="shared" si="437"/>
        <v>5043479.8099999996</v>
      </c>
      <c r="AV86" s="15">
        <f t="shared" si="438"/>
        <v>2289.3689559691329</v>
      </c>
      <c r="AW86" s="15">
        <f t="shared" si="439"/>
        <v>2514.8241386188006</v>
      </c>
      <c r="AX86" s="14">
        <v>3</v>
      </c>
      <c r="AY86" s="15">
        <f t="shared" si="440"/>
        <v>16.341352700862462</v>
      </c>
      <c r="AZ86" s="14">
        <v>6</v>
      </c>
      <c r="BA86" s="14">
        <v>74</v>
      </c>
      <c r="BB86" s="14">
        <v>3</v>
      </c>
      <c r="BC86" s="14">
        <v>0</v>
      </c>
      <c r="BD86" s="14">
        <v>1</v>
      </c>
      <c r="BE86" s="15">
        <f t="shared" si="441"/>
        <v>1</v>
      </c>
      <c r="BF86" s="15">
        <f t="shared" si="442"/>
        <v>76</v>
      </c>
      <c r="BG86" s="14">
        <v>0</v>
      </c>
      <c r="BH86" s="14">
        <v>0</v>
      </c>
      <c r="BI86" s="14">
        <v>0</v>
      </c>
      <c r="BJ86" s="14">
        <v>0</v>
      </c>
      <c r="BK86" s="15">
        <f t="shared" si="443"/>
        <v>0</v>
      </c>
      <c r="BL86" s="15">
        <f t="shared" si="444"/>
        <v>0</v>
      </c>
      <c r="BM86" s="14">
        <v>0</v>
      </c>
      <c r="BN86" s="14">
        <v>0</v>
      </c>
      <c r="BO86" s="14">
        <v>0</v>
      </c>
      <c r="BP86" s="14">
        <v>0</v>
      </c>
      <c r="BQ86" s="15">
        <f t="shared" si="445"/>
        <v>0</v>
      </c>
      <c r="BR86" s="15">
        <f t="shared" si="446"/>
        <v>0</v>
      </c>
      <c r="BS86" s="14">
        <v>0</v>
      </c>
      <c r="BT86" s="14">
        <v>0</v>
      </c>
      <c r="BU86" s="14">
        <v>0</v>
      </c>
      <c r="BV86" s="14">
        <v>0</v>
      </c>
      <c r="BW86" s="15">
        <f t="shared" si="447"/>
        <v>0</v>
      </c>
      <c r="BX86" s="15">
        <f t="shared" si="448"/>
        <v>0</v>
      </c>
      <c r="BY86" s="15">
        <f t="shared" si="449"/>
        <v>74</v>
      </c>
      <c r="BZ86" s="15">
        <f t="shared" si="450"/>
        <v>3</v>
      </c>
      <c r="CA86" s="15">
        <f t="shared" si="451"/>
        <v>1</v>
      </c>
      <c r="CB86" s="15">
        <f t="shared" si="452"/>
        <v>76</v>
      </c>
      <c r="CC86" s="14">
        <v>2</v>
      </c>
      <c r="CD86" s="14">
        <v>217</v>
      </c>
      <c r="CE86" s="14">
        <v>0</v>
      </c>
      <c r="CF86" s="14">
        <v>0</v>
      </c>
      <c r="CG86" s="14">
        <v>0</v>
      </c>
      <c r="CH86" s="15">
        <f t="shared" si="453"/>
        <v>217</v>
      </c>
      <c r="CI86" s="14">
        <v>3</v>
      </c>
      <c r="CJ86" s="14">
        <v>1</v>
      </c>
      <c r="CK86" s="14">
        <v>0</v>
      </c>
      <c r="CL86" s="14">
        <v>0</v>
      </c>
      <c r="CM86" s="15">
        <f t="shared" si="454"/>
        <v>4</v>
      </c>
      <c r="CN86" s="14">
        <v>811</v>
      </c>
      <c r="CO86" s="14">
        <v>26</v>
      </c>
      <c r="CP86" s="14">
        <v>9</v>
      </c>
      <c r="CQ86" s="14">
        <v>0</v>
      </c>
      <c r="CR86" s="15">
        <f t="shared" si="455"/>
        <v>846</v>
      </c>
      <c r="CS86" s="15">
        <f t="shared" si="456"/>
        <v>850</v>
      </c>
      <c r="CT86" s="14">
        <v>1067</v>
      </c>
      <c r="CU86" s="14">
        <v>9128</v>
      </c>
      <c r="CV86" s="14">
        <v>6821</v>
      </c>
      <c r="CW86" s="16">
        <f t="shared" si="457"/>
        <v>0.74726117440841366</v>
      </c>
      <c r="CX86" s="14"/>
      <c r="CY86" s="14"/>
      <c r="CZ86" s="14"/>
      <c r="DA86" s="14"/>
      <c r="DB86" s="15">
        <f t="shared" si="458"/>
        <v>0</v>
      </c>
      <c r="DC86" s="14">
        <v>0</v>
      </c>
      <c r="DD86" s="14">
        <v>0</v>
      </c>
      <c r="DE86" s="14">
        <v>0</v>
      </c>
      <c r="DF86" s="14">
        <v>0</v>
      </c>
      <c r="DG86" s="15">
        <f t="shared" si="459"/>
        <v>0</v>
      </c>
      <c r="DH86" s="14">
        <v>0</v>
      </c>
      <c r="DI86" s="14">
        <v>0</v>
      </c>
      <c r="DJ86" s="14">
        <v>0</v>
      </c>
      <c r="DK86" s="14">
        <v>0</v>
      </c>
      <c r="DL86" s="15">
        <f t="shared" si="460"/>
        <v>0</v>
      </c>
      <c r="DM86" s="14">
        <v>36</v>
      </c>
      <c r="DN86" s="14">
        <v>14</v>
      </c>
      <c r="DO86" s="14">
        <v>15</v>
      </c>
      <c r="DP86" s="14">
        <v>0</v>
      </c>
      <c r="DQ86" s="15">
        <f t="shared" si="461"/>
        <v>35</v>
      </c>
      <c r="DR86" s="15">
        <f t="shared" si="462"/>
        <v>36</v>
      </c>
      <c r="DS86" s="15">
        <f t="shared" si="463"/>
        <v>14</v>
      </c>
      <c r="DT86" s="15">
        <f t="shared" si="464"/>
        <v>15</v>
      </c>
      <c r="DU86" s="15">
        <f t="shared" si="465"/>
        <v>0</v>
      </c>
      <c r="DV86" s="15">
        <f t="shared" si="466"/>
        <v>35</v>
      </c>
      <c r="DW86" s="14">
        <v>16</v>
      </c>
      <c r="DX86" s="14">
        <v>6</v>
      </c>
      <c r="DY86" s="14">
        <v>2</v>
      </c>
      <c r="DZ86" s="14">
        <v>1</v>
      </c>
      <c r="EA86" s="14">
        <v>1</v>
      </c>
      <c r="EB86" s="14">
        <v>1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5">
        <f t="shared" si="467"/>
        <v>27</v>
      </c>
      <c r="FH86" s="14">
        <v>1</v>
      </c>
      <c r="FI86" s="14">
        <v>432</v>
      </c>
      <c r="FJ86" s="14">
        <v>0</v>
      </c>
      <c r="FK86" s="14">
        <v>312</v>
      </c>
      <c r="FL86" s="14">
        <v>0</v>
      </c>
      <c r="FM86" s="14">
        <v>0</v>
      </c>
      <c r="FN86" s="14">
        <v>0</v>
      </c>
      <c r="FO86" s="14">
        <v>150</v>
      </c>
      <c r="FP86" s="14">
        <v>0</v>
      </c>
      <c r="FQ86" s="15">
        <f t="shared" si="468"/>
        <v>150</v>
      </c>
      <c r="FR86" s="14">
        <v>26867.22</v>
      </c>
      <c r="FS86" s="14">
        <v>0</v>
      </c>
      <c r="FT86" s="14">
        <v>0</v>
      </c>
      <c r="FU86" s="14">
        <v>0</v>
      </c>
      <c r="FV86" s="15">
        <f t="shared" si="469"/>
        <v>26867.22</v>
      </c>
      <c r="FW86" s="14">
        <v>2922551</v>
      </c>
      <c r="FX86" s="14">
        <v>0</v>
      </c>
      <c r="FY86" s="14">
        <v>51400</v>
      </c>
      <c r="FZ86" s="14">
        <v>228400</v>
      </c>
      <c r="GA86" s="15">
        <f t="shared" si="470"/>
        <v>3202351</v>
      </c>
      <c r="GB86" s="15">
        <f t="shared" si="471"/>
        <v>3229218.22</v>
      </c>
      <c r="GC86" s="14">
        <v>10020.780000000001</v>
      </c>
      <c r="GD86" s="14">
        <v>0</v>
      </c>
      <c r="GE86" s="14">
        <v>8410.99</v>
      </c>
      <c r="GF86" s="14">
        <v>0</v>
      </c>
      <c r="GG86" s="15">
        <f t="shared" si="472"/>
        <v>18431.77</v>
      </c>
      <c r="GH86" s="14">
        <v>2382482.4700000002</v>
      </c>
      <c r="GI86" s="14">
        <v>0</v>
      </c>
      <c r="GJ86" s="14">
        <v>223400</v>
      </c>
      <c r="GK86" s="14">
        <v>51400</v>
      </c>
      <c r="GL86" s="15">
        <f t="shared" si="473"/>
        <v>2657282.4700000002</v>
      </c>
      <c r="GM86" s="15">
        <f t="shared" si="474"/>
        <v>2675714.2400000002</v>
      </c>
      <c r="GN86" s="14">
        <v>1860</v>
      </c>
      <c r="GO86" s="14">
        <v>0</v>
      </c>
      <c r="GP86" s="14">
        <v>3393.64</v>
      </c>
      <c r="GQ86" s="14">
        <v>0</v>
      </c>
      <c r="GR86" s="15">
        <f t="shared" si="475"/>
        <v>5253.6399999999994</v>
      </c>
      <c r="GS86" s="14">
        <v>2679</v>
      </c>
      <c r="GT86" s="14">
        <v>0</v>
      </c>
      <c r="GU86" s="14">
        <v>893</v>
      </c>
      <c r="GV86" s="14">
        <v>0</v>
      </c>
      <c r="GW86" s="15">
        <f t="shared" si="476"/>
        <v>3572</v>
      </c>
      <c r="GX86" s="15">
        <f t="shared" si="477"/>
        <v>2684539.8800000004</v>
      </c>
      <c r="GY86" s="14">
        <v>-3090091.0099999672</v>
      </c>
      <c r="GZ86" s="14">
        <v>56000168.470000014</v>
      </c>
      <c r="HA86" s="15">
        <f t="shared" si="478"/>
        <v>52910077.460000046</v>
      </c>
      <c r="HB86" s="15">
        <f t="shared" si="479"/>
        <v>1.8787129398129854</v>
      </c>
      <c r="HC86" s="16">
        <f t="shared" si="480"/>
        <v>-7.9625427748167397</v>
      </c>
      <c r="HD86" s="15">
        <f t="shared" si="481"/>
        <v>1.2028944863355875</v>
      </c>
      <c r="HE86" s="14">
        <v>3</v>
      </c>
      <c r="HF86" s="14">
        <v>1</v>
      </c>
      <c r="HG86" s="14">
        <v>76</v>
      </c>
      <c r="HH86" s="14">
        <v>3</v>
      </c>
      <c r="HI86" s="14">
        <v>76</v>
      </c>
      <c r="HJ86" s="15">
        <f t="shared" si="482"/>
        <v>77</v>
      </c>
      <c r="HK86" s="16">
        <f t="shared" si="483"/>
        <v>1</v>
      </c>
      <c r="HL86" s="14">
        <v>25</v>
      </c>
      <c r="HM86" s="14">
        <v>24</v>
      </c>
      <c r="HN86" s="17">
        <f t="shared" si="484"/>
        <v>0.96</v>
      </c>
    </row>
    <row r="87" spans="1:222" x14ac:dyDescent="0.3">
      <c r="A87" s="6" t="s">
        <v>276</v>
      </c>
      <c r="B87" s="6" t="s">
        <v>279</v>
      </c>
      <c r="C87" s="7" t="s">
        <v>257</v>
      </c>
      <c r="D87" s="7">
        <v>2025</v>
      </c>
      <c r="E87" s="7">
        <v>4</v>
      </c>
      <c r="F87" s="7" t="s">
        <v>258</v>
      </c>
      <c r="G87" s="7" t="s">
        <v>259</v>
      </c>
      <c r="H87" s="8">
        <v>18256</v>
      </c>
      <c r="I87" s="8">
        <v>77</v>
      </c>
      <c r="J87" s="8">
        <v>0</v>
      </c>
      <c r="K87" s="8">
        <v>413</v>
      </c>
      <c r="L87" s="8">
        <v>1</v>
      </c>
      <c r="M87" s="9">
        <f t="shared" si="424"/>
        <v>491</v>
      </c>
      <c r="N87" s="8">
        <v>14252.2</v>
      </c>
      <c r="O87" s="8">
        <v>791.9</v>
      </c>
      <c r="P87" s="8">
        <v>189.4</v>
      </c>
      <c r="Q87" s="8">
        <v>1266.3</v>
      </c>
      <c r="R87" s="9">
        <f t="shared" si="425"/>
        <v>16499.8</v>
      </c>
      <c r="S87" s="9">
        <f t="shared" si="426"/>
        <v>16990.8</v>
      </c>
      <c r="T87" s="8">
        <v>1265.19999999997</v>
      </c>
      <c r="U87" s="10">
        <f t="shared" si="427"/>
        <v>6.9303242769498799E-2</v>
      </c>
      <c r="V87" s="8">
        <v>150</v>
      </c>
      <c r="W87" s="11">
        <f t="shared" si="428"/>
        <v>8.216476774758983E-3</v>
      </c>
      <c r="X87" s="8">
        <v>0</v>
      </c>
      <c r="Y87" s="11">
        <f t="shared" si="429"/>
        <v>0</v>
      </c>
      <c r="Z87" s="8">
        <v>0</v>
      </c>
      <c r="AA87" s="11">
        <f t="shared" si="430"/>
        <v>0</v>
      </c>
      <c r="AB87" s="8">
        <v>0</v>
      </c>
      <c r="AC87" s="11">
        <f t="shared" si="431"/>
        <v>0</v>
      </c>
      <c r="AD87" s="8">
        <v>0</v>
      </c>
      <c r="AE87" s="11">
        <f t="shared" si="432"/>
        <v>0</v>
      </c>
      <c r="AF87" s="8">
        <v>0</v>
      </c>
      <c r="AG87" s="11">
        <f t="shared" si="433"/>
        <v>0</v>
      </c>
      <c r="AH87" s="8">
        <v>3589365</v>
      </c>
      <c r="AI87" s="9">
        <f t="shared" si="434"/>
        <v>196.6128943908852</v>
      </c>
      <c r="AJ87" s="8">
        <v>55692</v>
      </c>
      <c r="AK87" s="11">
        <f t="shared" si="435"/>
        <v>3.0506134969325154</v>
      </c>
      <c r="AL87" s="8">
        <v>9329788.3300000001</v>
      </c>
      <c r="AM87" s="9">
        <f t="shared" si="436"/>
        <v>511.05326084574932</v>
      </c>
      <c r="AN87" s="8">
        <v>0</v>
      </c>
      <c r="AO87" s="8">
        <v>0</v>
      </c>
      <c r="AP87" s="8">
        <v>0</v>
      </c>
      <c r="AQ87" s="8">
        <v>0</v>
      </c>
      <c r="AR87" s="8">
        <v>13832999.359999999</v>
      </c>
      <c r="AS87" s="8">
        <v>4831985.3099999996</v>
      </c>
      <c r="AT87" s="8">
        <v>690150</v>
      </c>
      <c r="AU87" s="9">
        <f t="shared" si="437"/>
        <v>32274287.999999996</v>
      </c>
      <c r="AV87" s="9">
        <f t="shared" si="438"/>
        <v>1767.8729184925503</v>
      </c>
      <c r="AW87" s="9">
        <f t="shared" si="439"/>
        <v>1899.515502507239</v>
      </c>
      <c r="AX87" s="8">
        <v>14</v>
      </c>
      <c r="AY87" s="9">
        <f t="shared" si="440"/>
        <v>9.2024539877300615</v>
      </c>
      <c r="AZ87" s="8">
        <v>48</v>
      </c>
      <c r="BA87" s="8">
        <v>2349</v>
      </c>
      <c r="BB87" s="8">
        <v>8</v>
      </c>
      <c r="BC87" s="8">
        <v>0</v>
      </c>
      <c r="BD87" s="8">
        <v>39</v>
      </c>
      <c r="BE87" s="9">
        <f t="shared" si="441"/>
        <v>39</v>
      </c>
      <c r="BF87" s="9">
        <f t="shared" si="442"/>
        <v>2318</v>
      </c>
      <c r="BG87" s="8">
        <v>0</v>
      </c>
      <c r="BH87" s="8">
        <v>0</v>
      </c>
      <c r="BI87" s="8">
        <v>0</v>
      </c>
      <c r="BJ87" s="8">
        <v>0</v>
      </c>
      <c r="BK87" s="9">
        <f t="shared" si="443"/>
        <v>0</v>
      </c>
      <c r="BL87" s="9">
        <f t="shared" si="444"/>
        <v>0</v>
      </c>
      <c r="BM87" s="8">
        <v>0</v>
      </c>
      <c r="BN87" s="8">
        <v>0</v>
      </c>
      <c r="BO87" s="8">
        <v>0</v>
      </c>
      <c r="BP87" s="8">
        <v>0</v>
      </c>
      <c r="BQ87" s="9">
        <f t="shared" si="445"/>
        <v>0</v>
      </c>
      <c r="BR87" s="9">
        <f t="shared" si="446"/>
        <v>0</v>
      </c>
      <c r="BS87" s="8">
        <v>0</v>
      </c>
      <c r="BT87" s="8">
        <v>0</v>
      </c>
      <c r="BU87" s="8">
        <v>0</v>
      </c>
      <c r="BV87" s="8">
        <v>0</v>
      </c>
      <c r="BW87" s="9">
        <f t="shared" si="447"/>
        <v>0</v>
      </c>
      <c r="BX87" s="9">
        <f t="shared" si="448"/>
        <v>0</v>
      </c>
      <c r="BY87" s="9">
        <f t="shared" si="449"/>
        <v>2349</v>
      </c>
      <c r="BZ87" s="9">
        <f t="shared" si="450"/>
        <v>8</v>
      </c>
      <c r="CA87" s="9">
        <f t="shared" si="451"/>
        <v>39</v>
      </c>
      <c r="CB87" s="9">
        <f t="shared" si="452"/>
        <v>2318</v>
      </c>
      <c r="CC87" s="8">
        <v>39</v>
      </c>
      <c r="CD87" s="8">
        <v>0</v>
      </c>
      <c r="CE87" s="8">
        <v>0</v>
      </c>
      <c r="CF87" s="8">
        <v>0</v>
      </c>
      <c r="CG87" s="8">
        <v>0</v>
      </c>
      <c r="CH87" s="9">
        <f t="shared" si="453"/>
        <v>0</v>
      </c>
      <c r="CI87" s="8">
        <v>6</v>
      </c>
      <c r="CJ87" s="8">
        <v>4</v>
      </c>
      <c r="CK87" s="8">
        <v>1</v>
      </c>
      <c r="CL87" s="8">
        <v>0</v>
      </c>
      <c r="CM87" s="9">
        <f t="shared" si="454"/>
        <v>11</v>
      </c>
      <c r="CN87" s="8">
        <v>3834</v>
      </c>
      <c r="CO87" s="8">
        <v>54</v>
      </c>
      <c r="CP87" s="8">
        <v>112</v>
      </c>
      <c r="CQ87" s="8">
        <v>15</v>
      </c>
      <c r="CR87" s="9">
        <f t="shared" si="455"/>
        <v>4015</v>
      </c>
      <c r="CS87" s="9">
        <f t="shared" si="456"/>
        <v>4026</v>
      </c>
      <c r="CT87" s="8">
        <v>4026</v>
      </c>
      <c r="CU87" s="8">
        <v>93100</v>
      </c>
      <c r="CV87" s="8">
        <v>35250</v>
      </c>
      <c r="CW87" s="10">
        <f t="shared" si="457"/>
        <v>0.378625134264232</v>
      </c>
      <c r="CX87" s="8"/>
      <c r="CY87" s="8"/>
      <c r="CZ87" s="8"/>
      <c r="DA87" s="8"/>
      <c r="DB87" s="9">
        <f t="shared" si="458"/>
        <v>0</v>
      </c>
      <c r="DC87" s="8">
        <v>0</v>
      </c>
      <c r="DD87" s="8">
        <v>0</v>
      </c>
      <c r="DE87" s="8">
        <v>0</v>
      </c>
      <c r="DF87" s="8">
        <v>0</v>
      </c>
      <c r="DG87" s="9">
        <f t="shared" si="459"/>
        <v>0</v>
      </c>
      <c r="DH87" s="8">
        <v>0</v>
      </c>
      <c r="DI87" s="8">
        <v>0</v>
      </c>
      <c r="DJ87" s="8">
        <v>0</v>
      </c>
      <c r="DK87" s="8">
        <v>0</v>
      </c>
      <c r="DL87" s="9">
        <f t="shared" si="460"/>
        <v>0</v>
      </c>
      <c r="DM87" s="8">
        <v>8</v>
      </c>
      <c r="DN87" s="8">
        <v>14</v>
      </c>
      <c r="DO87" s="8">
        <v>1</v>
      </c>
      <c r="DP87" s="8">
        <v>6</v>
      </c>
      <c r="DQ87" s="9">
        <f t="shared" si="461"/>
        <v>15</v>
      </c>
      <c r="DR87" s="9">
        <f t="shared" si="462"/>
        <v>8</v>
      </c>
      <c r="DS87" s="9">
        <f t="shared" si="463"/>
        <v>14</v>
      </c>
      <c r="DT87" s="9">
        <f t="shared" si="464"/>
        <v>1</v>
      </c>
      <c r="DU87" s="9">
        <f t="shared" si="465"/>
        <v>6</v>
      </c>
      <c r="DV87" s="9">
        <f t="shared" si="466"/>
        <v>15</v>
      </c>
      <c r="DW87" s="8">
        <v>39</v>
      </c>
      <c r="DX87" s="8">
        <v>23</v>
      </c>
      <c r="DY87" s="8">
        <v>11</v>
      </c>
      <c r="DZ87" s="8">
        <v>3</v>
      </c>
      <c r="EA87" s="8">
        <v>3</v>
      </c>
      <c r="EB87" s="8">
        <v>2</v>
      </c>
      <c r="EC87" s="8">
        <v>0</v>
      </c>
      <c r="ED87" s="8">
        <v>1</v>
      </c>
      <c r="EE87" s="8">
        <v>1</v>
      </c>
      <c r="EF87" s="8">
        <v>0</v>
      </c>
      <c r="EG87" s="8">
        <v>1</v>
      </c>
      <c r="EH87" s="8">
        <v>0</v>
      </c>
      <c r="EI87" s="8">
        <v>0</v>
      </c>
      <c r="EJ87" s="8">
        <v>4</v>
      </c>
      <c r="EK87" s="8">
        <v>2</v>
      </c>
      <c r="EL87" s="8">
        <v>1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0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9">
        <f t="shared" si="467"/>
        <v>91</v>
      </c>
      <c r="FH87" s="8">
        <v>8</v>
      </c>
      <c r="FI87" s="8">
        <v>199</v>
      </c>
      <c r="FJ87" s="8">
        <v>24</v>
      </c>
      <c r="FK87" s="8">
        <v>57.5</v>
      </c>
      <c r="FL87" s="8">
        <v>0</v>
      </c>
      <c r="FM87" s="8">
        <v>0</v>
      </c>
      <c r="FN87" s="8">
        <v>0</v>
      </c>
      <c r="FO87" s="8">
        <v>0</v>
      </c>
      <c r="FP87" s="8">
        <v>66</v>
      </c>
      <c r="FQ87" s="9">
        <f t="shared" si="468"/>
        <v>66</v>
      </c>
      <c r="FR87" s="8">
        <v>0</v>
      </c>
      <c r="FS87" s="8">
        <v>0</v>
      </c>
      <c r="FT87" s="8">
        <v>0</v>
      </c>
      <c r="FU87" s="8">
        <v>0</v>
      </c>
      <c r="FV87" s="9">
        <f t="shared" si="469"/>
        <v>0</v>
      </c>
      <c r="FW87" s="8">
        <v>17727756</v>
      </c>
      <c r="FX87" s="8">
        <v>176000</v>
      </c>
      <c r="FY87" s="8">
        <v>5918400</v>
      </c>
      <c r="FZ87" s="8">
        <v>574800</v>
      </c>
      <c r="GA87" s="9">
        <f t="shared" si="470"/>
        <v>24396956</v>
      </c>
      <c r="GB87" s="9">
        <f t="shared" si="471"/>
        <v>24396956</v>
      </c>
      <c r="GC87" s="8">
        <v>72537.91</v>
      </c>
      <c r="GD87" s="8">
        <v>0</v>
      </c>
      <c r="GE87" s="8">
        <v>1410270.98</v>
      </c>
      <c r="GF87" s="8">
        <v>8410.99</v>
      </c>
      <c r="GG87" s="9">
        <f t="shared" si="472"/>
        <v>1491219.88</v>
      </c>
      <c r="GH87" s="8">
        <v>17625314.550000001</v>
      </c>
      <c r="GI87" s="8">
        <v>176000</v>
      </c>
      <c r="GJ87" s="8">
        <v>574800</v>
      </c>
      <c r="GK87" s="8">
        <v>5918400</v>
      </c>
      <c r="GL87" s="9">
        <f t="shared" si="473"/>
        <v>24294514.550000001</v>
      </c>
      <c r="GM87" s="9">
        <f t="shared" si="474"/>
        <v>25785734.43</v>
      </c>
      <c r="GN87" s="8">
        <v>3269.58</v>
      </c>
      <c r="GO87" s="8">
        <v>0</v>
      </c>
      <c r="GP87" s="8">
        <v>13574.56</v>
      </c>
      <c r="GQ87" s="8">
        <v>4637.34</v>
      </c>
      <c r="GR87" s="9">
        <f t="shared" si="475"/>
        <v>21481.48</v>
      </c>
      <c r="GS87" s="8">
        <v>5358</v>
      </c>
      <c r="GT87" s="8">
        <v>0</v>
      </c>
      <c r="GU87" s="8">
        <v>3572</v>
      </c>
      <c r="GV87" s="8">
        <v>893</v>
      </c>
      <c r="GW87" s="9">
        <f t="shared" si="476"/>
        <v>9823</v>
      </c>
      <c r="GX87" s="9">
        <f t="shared" si="477"/>
        <v>25817038.91</v>
      </c>
      <c r="GY87" s="8">
        <v>69706.649999999907</v>
      </c>
      <c r="GZ87" s="8">
        <v>2010845.89</v>
      </c>
      <c r="HA87" s="9">
        <f t="shared" si="478"/>
        <v>2080552.5399999998</v>
      </c>
      <c r="HB87" s="9">
        <f t="shared" si="479"/>
        <v>1.2501157902930082</v>
      </c>
      <c r="HC87" s="10">
        <f t="shared" si="480"/>
        <v>0.94244971595417504</v>
      </c>
      <c r="HD87" s="9">
        <f t="shared" si="481"/>
        <v>0.94499435373086327</v>
      </c>
      <c r="HE87" s="8">
        <v>8</v>
      </c>
      <c r="HF87" s="8">
        <v>2</v>
      </c>
      <c r="HG87" s="8">
        <v>2318</v>
      </c>
      <c r="HH87" s="8">
        <v>8</v>
      </c>
      <c r="HI87" s="8">
        <v>30</v>
      </c>
      <c r="HJ87" s="9">
        <f t="shared" si="482"/>
        <v>32</v>
      </c>
      <c r="HK87" s="10">
        <f t="shared" si="483"/>
        <v>1</v>
      </c>
      <c r="HL87" s="8">
        <v>5</v>
      </c>
      <c r="HM87" s="8">
        <v>1</v>
      </c>
      <c r="HN87" s="11">
        <f t="shared" si="484"/>
        <v>0.2</v>
      </c>
    </row>
    <row r="88" spans="1:222" x14ac:dyDescent="0.3">
      <c r="A88" s="12" t="s">
        <v>276</v>
      </c>
      <c r="B88" s="12" t="s">
        <v>279</v>
      </c>
      <c r="C88" s="13" t="s">
        <v>257</v>
      </c>
      <c r="D88" s="13">
        <v>2025</v>
      </c>
      <c r="E88" s="13">
        <v>5</v>
      </c>
      <c r="F88" s="13" t="s">
        <v>260</v>
      </c>
      <c r="G88" s="13" t="s">
        <v>259</v>
      </c>
      <c r="H88" s="14">
        <v>21853</v>
      </c>
      <c r="I88" s="14">
        <v>44</v>
      </c>
      <c r="J88" s="14">
        <v>0</v>
      </c>
      <c r="K88" s="14">
        <v>974</v>
      </c>
      <c r="L88" s="14">
        <v>1</v>
      </c>
      <c r="M88" s="15">
        <f t="shared" si="424"/>
        <v>1019</v>
      </c>
      <c r="N88" s="14">
        <v>15629.6</v>
      </c>
      <c r="O88" s="14">
        <v>633</v>
      </c>
      <c r="P88" s="14">
        <v>186.1</v>
      </c>
      <c r="Q88" s="14">
        <v>1639.5</v>
      </c>
      <c r="R88" s="15">
        <f t="shared" si="425"/>
        <v>18088.2</v>
      </c>
      <c r="S88" s="15">
        <f t="shared" si="426"/>
        <v>19107.2</v>
      </c>
      <c r="T88" s="14">
        <v>2745.7999999999602</v>
      </c>
      <c r="U88" s="16">
        <f t="shared" si="427"/>
        <v>0.12564865235894204</v>
      </c>
      <c r="V88" s="14">
        <v>150</v>
      </c>
      <c r="W88" s="17">
        <f t="shared" si="428"/>
        <v>6.8640461263899692E-3</v>
      </c>
      <c r="X88" s="14">
        <v>0</v>
      </c>
      <c r="Y88" s="17">
        <f t="shared" si="429"/>
        <v>0</v>
      </c>
      <c r="Z88" s="14">
        <v>0</v>
      </c>
      <c r="AA88" s="17">
        <f t="shared" si="430"/>
        <v>0</v>
      </c>
      <c r="AB88" s="14">
        <v>0</v>
      </c>
      <c r="AC88" s="17">
        <f t="shared" si="431"/>
        <v>0</v>
      </c>
      <c r="AD88" s="14">
        <v>0</v>
      </c>
      <c r="AE88" s="17">
        <f t="shared" si="432"/>
        <v>0</v>
      </c>
      <c r="AF88" s="14">
        <v>0</v>
      </c>
      <c r="AG88" s="17">
        <f t="shared" si="433"/>
        <v>0</v>
      </c>
      <c r="AH88" s="14">
        <v>3589365</v>
      </c>
      <c r="AI88" s="15">
        <f t="shared" si="434"/>
        <v>164.2504461629982</v>
      </c>
      <c r="AJ88" s="14">
        <v>58397</v>
      </c>
      <c r="AK88" s="17">
        <f t="shared" si="435"/>
        <v>2.6722646776186334</v>
      </c>
      <c r="AL88" s="14">
        <v>9782003.4675000012</v>
      </c>
      <c r="AM88" s="15">
        <f t="shared" si="436"/>
        <v>447.62748672951085</v>
      </c>
      <c r="AN88" s="14">
        <v>0</v>
      </c>
      <c r="AO88" s="14">
        <v>0</v>
      </c>
      <c r="AP88" s="14">
        <v>0</v>
      </c>
      <c r="AQ88" s="14">
        <v>0</v>
      </c>
      <c r="AR88" s="14">
        <v>13727316.75</v>
      </c>
      <c r="AS88" s="14">
        <v>4549761.6399999997</v>
      </c>
      <c r="AT88" s="14">
        <v>789750</v>
      </c>
      <c r="AU88" s="15">
        <f t="shared" si="437"/>
        <v>32438196.857500002</v>
      </c>
      <c r="AV88" s="15">
        <f t="shared" si="438"/>
        <v>1484.381863245321</v>
      </c>
      <c r="AW88" s="15">
        <f t="shared" si="439"/>
        <v>1697.6949452300703</v>
      </c>
      <c r="AX88" s="14">
        <v>14</v>
      </c>
      <c r="AY88" s="15">
        <f t="shared" si="440"/>
        <v>7.6877316615567652</v>
      </c>
      <c r="AZ88" s="14">
        <v>44</v>
      </c>
      <c r="BA88" s="14">
        <v>2318</v>
      </c>
      <c r="BB88" s="14">
        <v>35</v>
      </c>
      <c r="BC88" s="14">
        <v>0</v>
      </c>
      <c r="BD88" s="14">
        <v>49</v>
      </c>
      <c r="BE88" s="15">
        <f t="shared" si="441"/>
        <v>49</v>
      </c>
      <c r="BF88" s="15">
        <f t="shared" si="442"/>
        <v>2304</v>
      </c>
      <c r="BG88" s="14">
        <v>0</v>
      </c>
      <c r="BH88" s="14">
        <v>0</v>
      </c>
      <c r="BI88" s="14">
        <v>0</v>
      </c>
      <c r="BJ88" s="14">
        <v>0</v>
      </c>
      <c r="BK88" s="15">
        <f t="shared" si="443"/>
        <v>0</v>
      </c>
      <c r="BL88" s="15">
        <f t="shared" si="444"/>
        <v>0</v>
      </c>
      <c r="BM88" s="14">
        <v>0</v>
      </c>
      <c r="BN88" s="14">
        <v>0</v>
      </c>
      <c r="BO88" s="14">
        <v>0</v>
      </c>
      <c r="BP88" s="14">
        <v>0</v>
      </c>
      <c r="BQ88" s="15">
        <f t="shared" si="445"/>
        <v>0</v>
      </c>
      <c r="BR88" s="15">
        <f t="shared" si="446"/>
        <v>0</v>
      </c>
      <c r="BS88" s="14">
        <v>0</v>
      </c>
      <c r="BT88" s="14">
        <v>0</v>
      </c>
      <c r="BU88" s="14">
        <v>0</v>
      </c>
      <c r="BV88" s="14">
        <v>0</v>
      </c>
      <c r="BW88" s="15">
        <f t="shared" si="447"/>
        <v>0</v>
      </c>
      <c r="BX88" s="15">
        <f t="shared" si="448"/>
        <v>0</v>
      </c>
      <c r="BY88" s="15">
        <f t="shared" si="449"/>
        <v>2318</v>
      </c>
      <c r="BZ88" s="15">
        <f t="shared" si="450"/>
        <v>35</v>
      </c>
      <c r="CA88" s="15">
        <f t="shared" si="451"/>
        <v>49</v>
      </c>
      <c r="CB88" s="15">
        <f t="shared" si="452"/>
        <v>2304</v>
      </c>
      <c r="CC88" s="14">
        <v>49</v>
      </c>
      <c r="CD88" s="14">
        <v>0</v>
      </c>
      <c r="CE88" s="14">
        <v>0</v>
      </c>
      <c r="CF88" s="14">
        <v>0</v>
      </c>
      <c r="CG88" s="14">
        <v>0</v>
      </c>
      <c r="CH88" s="15">
        <f t="shared" si="453"/>
        <v>0</v>
      </c>
      <c r="CI88" s="14">
        <v>6</v>
      </c>
      <c r="CJ88" s="14">
        <v>4</v>
      </c>
      <c r="CK88" s="14">
        <v>1</v>
      </c>
      <c r="CL88" s="14">
        <v>0</v>
      </c>
      <c r="CM88" s="15">
        <f t="shared" si="454"/>
        <v>11</v>
      </c>
      <c r="CN88" s="14">
        <v>3882</v>
      </c>
      <c r="CO88" s="14">
        <v>54</v>
      </c>
      <c r="CP88" s="14">
        <v>112</v>
      </c>
      <c r="CQ88" s="14">
        <v>15</v>
      </c>
      <c r="CR88" s="15">
        <f t="shared" si="455"/>
        <v>4063</v>
      </c>
      <c r="CS88" s="15">
        <f t="shared" si="456"/>
        <v>4074</v>
      </c>
      <c r="CT88" s="14">
        <v>4074</v>
      </c>
      <c r="CU88" s="14">
        <v>0</v>
      </c>
      <c r="CV88" s="14">
        <v>0</v>
      </c>
      <c r="CW88" s="16" t="str">
        <f t="shared" si="457"/>
        <v/>
      </c>
      <c r="CX88" s="14"/>
      <c r="CY88" s="14"/>
      <c r="CZ88" s="14"/>
      <c r="DA88" s="14"/>
      <c r="DB88" s="15">
        <f t="shared" si="458"/>
        <v>0</v>
      </c>
      <c r="DC88" s="14">
        <v>0</v>
      </c>
      <c r="DD88" s="14">
        <v>0</v>
      </c>
      <c r="DE88" s="14">
        <v>0</v>
      </c>
      <c r="DF88" s="14">
        <v>0</v>
      </c>
      <c r="DG88" s="15">
        <f t="shared" si="459"/>
        <v>0</v>
      </c>
      <c r="DH88" s="14">
        <v>0</v>
      </c>
      <c r="DI88" s="14">
        <v>0</v>
      </c>
      <c r="DJ88" s="14">
        <v>0</v>
      </c>
      <c r="DK88" s="14">
        <v>0</v>
      </c>
      <c r="DL88" s="15">
        <f t="shared" si="460"/>
        <v>0</v>
      </c>
      <c r="DM88" s="14">
        <v>15</v>
      </c>
      <c r="DN88" s="14">
        <v>1</v>
      </c>
      <c r="DO88" s="14">
        <v>5</v>
      </c>
      <c r="DP88" s="14">
        <v>0</v>
      </c>
      <c r="DQ88" s="15">
        <f t="shared" si="461"/>
        <v>11</v>
      </c>
      <c r="DR88" s="15">
        <f t="shared" si="462"/>
        <v>15</v>
      </c>
      <c r="DS88" s="15">
        <f t="shared" si="463"/>
        <v>1</v>
      </c>
      <c r="DT88" s="15">
        <f t="shared" si="464"/>
        <v>5</v>
      </c>
      <c r="DU88" s="15">
        <f t="shared" si="465"/>
        <v>0</v>
      </c>
      <c r="DV88" s="15">
        <f t="shared" si="466"/>
        <v>11</v>
      </c>
      <c r="DW88" s="14">
        <v>58</v>
      </c>
      <c r="DX88" s="14">
        <v>16</v>
      </c>
      <c r="DY88" s="14">
        <v>10</v>
      </c>
      <c r="DZ88" s="14">
        <v>3</v>
      </c>
      <c r="EA88" s="14">
        <v>0</v>
      </c>
      <c r="EB88" s="14">
        <v>1</v>
      </c>
      <c r="EC88" s="14">
        <v>2</v>
      </c>
      <c r="ED88" s="14">
        <v>1</v>
      </c>
      <c r="EE88" s="14">
        <v>0</v>
      </c>
      <c r="EF88" s="14">
        <v>0</v>
      </c>
      <c r="EG88" s="14">
        <v>1</v>
      </c>
      <c r="EH88" s="14">
        <v>0</v>
      </c>
      <c r="EI88" s="14">
        <v>1</v>
      </c>
      <c r="EJ88" s="14">
        <v>4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5">
        <f t="shared" si="467"/>
        <v>97</v>
      </c>
      <c r="FH88" s="14">
        <v>8</v>
      </c>
      <c r="FI88" s="14">
        <v>194.29</v>
      </c>
      <c r="FJ88" s="14">
        <v>24</v>
      </c>
      <c r="FK88" s="14">
        <v>13.5</v>
      </c>
      <c r="FL88" s="14">
        <v>0</v>
      </c>
      <c r="FM88" s="14">
        <v>96</v>
      </c>
      <c r="FN88" s="14">
        <v>12</v>
      </c>
      <c r="FO88" s="14">
        <v>0</v>
      </c>
      <c r="FP88" s="14">
        <v>114</v>
      </c>
      <c r="FQ88" s="15">
        <f t="shared" si="468"/>
        <v>222</v>
      </c>
      <c r="FR88" s="14">
        <v>0</v>
      </c>
      <c r="FS88" s="14">
        <v>0</v>
      </c>
      <c r="FT88" s="14">
        <v>0</v>
      </c>
      <c r="FU88" s="14">
        <v>0</v>
      </c>
      <c r="FV88" s="15">
        <f t="shared" si="469"/>
        <v>0</v>
      </c>
      <c r="FW88" s="14">
        <v>19464269</v>
      </c>
      <c r="FX88" s="14">
        <v>138800</v>
      </c>
      <c r="FY88" s="14">
        <v>7620700</v>
      </c>
      <c r="FZ88" s="14">
        <v>565400</v>
      </c>
      <c r="GA88" s="15">
        <f t="shared" si="470"/>
        <v>27789169</v>
      </c>
      <c r="GB88" s="15">
        <f t="shared" si="471"/>
        <v>27789169</v>
      </c>
      <c r="GC88" s="14">
        <v>43332.39</v>
      </c>
      <c r="GD88" s="14">
        <v>0</v>
      </c>
      <c r="GE88" s="14">
        <v>3329749.75</v>
      </c>
      <c r="GF88" s="14">
        <v>8410.99</v>
      </c>
      <c r="GG88" s="15">
        <f t="shared" si="472"/>
        <v>3381493.1300000004</v>
      </c>
      <c r="GH88" s="14">
        <v>19334136.359999999</v>
      </c>
      <c r="GI88" s="14">
        <v>138800</v>
      </c>
      <c r="GJ88" s="14">
        <v>565400</v>
      </c>
      <c r="GK88" s="14">
        <v>7620700</v>
      </c>
      <c r="GL88" s="15">
        <f t="shared" si="473"/>
        <v>27659036.359999999</v>
      </c>
      <c r="GM88" s="15">
        <f t="shared" si="474"/>
        <v>31040529.489999998</v>
      </c>
      <c r="GN88" s="14">
        <v>3269.58</v>
      </c>
      <c r="GO88" s="14">
        <v>0</v>
      </c>
      <c r="GP88" s="14">
        <v>13574.56</v>
      </c>
      <c r="GQ88" s="14">
        <v>4637.34</v>
      </c>
      <c r="GR88" s="15">
        <f t="shared" si="475"/>
        <v>21481.48</v>
      </c>
      <c r="GS88" s="14">
        <v>5358</v>
      </c>
      <c r="GT88" s="14">
        <v>0</v>
      </c>
      <c r="GU88" s="14">
        <v>3572</v>
      </c>
      <c r="GV88" s="14">
        <v>893</v>
      </c>
      <c r="GW88" s="15">
        <f t="shared" si="476"/>
        <v>9823</v>
      </c>
      <c r="GX88" s="15">
        <f t="shared" si="477"/>
        <v>31071833.969999999</v>
      </c>
      <c r="GY88" s="14">
        <v>83647.980000000505</v>
      </c>
      <c r="GZ88" s="14">
        <v>5409702.1699999999</v>
      </c>
      <c r="HA88" s="15">
        <f t="shared" si="478"/>
        <v>5493350.1500000004</v>
      </c>
      <c r="HB88" s="15">
        <f t="shared" si="479"/>
        <v>1.0439743237820862</v>
      </c>
      <c r="HC88" s="16">
        <f t="shared" si="480"/>
        <v>0.89195118357011971</v>
      </c>
      <c r="HD88" s="15">
        <f t="shared" si="481"/>
        <v>0.89435239087691354</v>
      </c>
      <c r="HE88" s="14">
        <v>35</v>
      </c>
      <c r="HF88" s="14">
        <v>1</v>
      </c>
      <c r="HG88" s="14">
        <v>2304</v>
      </c>
      <c r="HH88" s="14">
        <v>35</v>
      </c>
      <c r="HI88" s="14">
        <v>0</v>
      </c>
      <c r="HJ88" s="15">
        <f t="shared" si="482"/>
        <v>1</v>
      </c>
      <c r="HK88" s="16">
        <f t="shared" si="483"/>
        <v>1</v>
      </c>
      <c r="HL88" s="14">
        <v>10</v>
      </c>
      <c r="HM88" s="14">
        <v>2</v>
      </c>
      <c r="HN88" s="17">
        <f t="shared" si="484"/>
        <v>0.2</v>
      </c>
    </row>
    <row r="89" spans="1:222" x14ac:dyDescent="0.3">
      <c r="A89" s="6" t="s">
        <v>276</v>
      </c>
      <c r="B89" s="6" t="s">
        <v>279</v>
      </c>
      <c r="C89" s="7" t="s">
        <v>257</v>
      </c>
      <c r="D89" s="7">
        <v>2025</v>
      </c>
      <c r="E89" s="7">
        <v>6</v>
      </c>
      <c r="F89" s="7" t="s">
        <v>261</v>
      </c>
      <c r="G89" s="7" t="s">
        <v>259</v>
      </c>
      <c r="H89" s="8">
        <v>22529</v>
      </c>
      <c r="I89" s="8">
        <v>435</v>
      </c>
      <c r="J89" s="8">
        <v>0</v>
      </c>
      <c r="K89" s="8">
        <v>373</v>
      </c>
      <c r="L89" s="8">
        <v>1</v>
      </c>
      <c r="M89" s="9">
        <f t="shared" si="424"/>
        <v>809</v>
      </c>
      <c r="N89" s="8">
        <v>16097</v>
      </c>
      <c r="O89" s="8">
        <v>564</v>
      </c>
      <c r="P89" s="8">
        <v>184</v>
      </c>
      <c r="Q89" s="8">
        <v>1090</v>
      </c>
      <c r="R89" s="9">
        <f t="shared" si="425"/>
        <v>17935</v>
      </c>
      <c r="S89" s="9">
        <f t="shared" si="426"/>
        <v>18744</v>
      </c>
      <c r="T89" s="8">
        <v>3785</v>
      </c>
      <c r="U89" s="10">
        <f t="shared" si="427"/>
        <v>0.16800568156598161</v>
      </c>
      <c r="V89" s="8">
        <v>150</v>
      </c>
      <c r="W89" s="11">
        <f t="shared" si="428"/>
        <v>6.6580851347152557E-3</v>
      </c>
      <c r="X89" s="8">
        <v>0</v>
      </c>
      <c r="Y89" s="11">
        <f t="shared" si="429"/>
        <v>0</v>
      </c>
      <c r="Z89" s="8">
        <v>0</v>
      </c>
      <c r="AA89" s="11">
        <f t="shared" si="430"/>
        <v>0</v>
      </c>
      <c r="AB89" s="8">
        <v>0</v>
      </c>
      <c r="AC89" s="11">
        <f t="shared" si="431"/>
        <v>0</v>
      </c>
      <c r="AD89" s="8">
        <v>0</v>
      </c>
      <c r="AE89" s="11">
        <f t="shared" si="432"/>
        <v>0</v>
      </c>
      <c r="AF89" s="8">
        <v>0</v>
      </c>
      <c r="AG89" s="11">
        <f t="shared" si="433"/>
        <v>0</v>
      </c>
      <c r="AH89" s="8">
        <v>3589365</v>
      </c>
      <c r="AI89" s="9">
        <f t="shared" si="434"/>
        <v>159.32198499711484</v>
      </c>
      <c r="AJ89" s="8">
        <v>63873.4</v>
      </c>
      <c r="AK89" s="11">
        <f t="shared" si="435"/>
        <v>2.8351635669581428</v>
      </c>
      <c r="AL89" s="8">
        <v>10697534.328500001</v>
      </c>
      <c r="AM89" s="9">
        <f t="shared" si="436"/>
        <v>474.8339619379467</v>
      </c>
      <c r="AN89" s="8">
        <v>0</v>
      </c>
      <c r="AO89" s="8">
        <v>0</v>
      </c>
      <c r="AP89" s="8">
        <v>0</v>
      </c>
      <c r="AQ89" s="8">
        <v>0</v>
      </c>
      <c r="AR89" s="8">
        <v>8542515.5</v>
      </c>
      <c r="AS89" s="8">
        <v>5951537.3700000001</v>
      </c>
      <c r="AT89" s="8">
        <v>829150</v>
      </c>
      <c r="AU89" s="9">
        <f t="shared" si="437"/>
        <v>29610102.198500004</v>
      </c>
      <c r="AV89" s="9">
        <f t="shared" si="438"/>
        <v>1314.3105419015492</v>
      </c>
      <c r="AW89" s="9">
        <f t="shared" si="439"/>
        <v>1579.7109580932567</v>
      </c>
      <c r="AX89" s="8">
        <v>14</v>
      </c>
      <c r="AY89" s="9">
        <f t="shared" si="440"/>
        <v>7.4570553508810864</v>
      </c>
      <c r="AZ89" s="8">
        <v>44</v>
      </c>
      <c r="BA89" s="8">
        <v>2304</v>
      </c>
      <c r="BB89" s="8">
        <v>15</v>
      </c>
      <c r="BC89" s="8">
        <v>0</v>
      </c>
      <c r="BD89" s="8">
        <v>47</v>
      </c>
      <c r="BE89" s="9">
        <f t="shared" si="441"/>
        <v>47</v>
      </c>
      <c r="BF89" s="9">
        <f t="shared" si="442"/>
        <v>2272</v>
      </c>
      <c r="BG89" s="8">
        <v>0</v>
      </c>
      <c r="BH89" s="8">
        <v>0</v>
      </c>
      <c r="BI89" s="8">
        <v>0</v>
      </c>
      <c r="BJ89" s="8">
        <v>0</v>
      </c>
      <c r="BK89" s="9">
        <f t="shared" si="443"/>
        <v>0</v>
      </c>
      <c r="BL89" s="9">
        <f t="shared" si="444"/>
        <v>0</v>
      </c>
      <c r="BM89" s="8">
        <v>0</v>
      </c>
      <c r="BN89" s="8">
        <v>0</v>
      </c>
      <c r="BO89" s="8">
        <v>0</v>
      </c>
      <c r="BP89" s="8">
        <v>0</v>
      </c>
      <c r="BQ89" s="9">
        <f t="shared" si="445"/>
        <v>0</v>
      </c>
      <c r="BR89" s="9">
        <f t="shared" si="446"/>
        <v>0</v>
      </c>
      <c r="BS89" s="8">
        <v>0</v>
      </c>
      <c r="BT89" s="8">
        <v>0</v>
      </c>
      <c r="BU89" s="8">
        <v>0</v>
      </c>
      <c r="BV89" s="8">
        <v>0</v>
      </c>
      <c r="BW89" s="9">
        <f t="shared" si="447"/>
        <v>0</v>
      </c>
      <c r="BX89" s="9">
        <f t="shared" si="448"/>
        <v>0</v>
      </c>
      <c r="BY89" s="9">
        <f t="shared" si="449"/>
        <v>2304</v>
      </c>
      <c r="BZ89" s="9">
        <f t="shared" si="450"/>
        <v>15</v>
      </c>
      <c r="CA89" s="9">
        <f t="shared" si="451"/>
        <v>47</v>
      </c>
      <c r="CB89" s="9">
        <f t="shared" si="452"/>
        <v>2272</v>
      </c>
      <c r="CC89" s="8">
        <v>47</v>
      </c>
      <c r="CD89" s="8">
        <v>0</v>
      </c>
      <c r="CE89" s="8">
        <v>0</v>
      </c>
      <c r="CF89" s="8">
        <v>0</v>
      </c>
      <c r="CG89" s="8">
        <v>0</v>
      </c>
      <c r="CH89" s="9">
        <f t="shared" si="453"/>
        <v>0</v>
      </c>
      <c r="CI89" s="8">
        <v>6</v>
      </c>
      <c r="CJ89" s="8">
        <v>4</v>
      </c>
      <c r="CK89" s="8">
        <v>1</v>
      </c>
      <c r="CL89" s="8">
        <v>0</v>
      </c>
      <c r="CM89" s="9">
        <f t="shared" si="454"/>
        <v>11</v>
      </c>
      <c r="CN89" s="8">
        <v>3882</v>
      </c>
      <c r="CO89" s="8">
        <v>57</v>
      </c>
      <c r="CP89" s="8">
        <v>112</v>
      </c>
      <c r="CQ89" s="8">
        <v>15</v>
      </c>
      <c r="CR89" s="9">
        <f t="shared" si="455"/>
        <v>4066</v>
      </c>
      <c r="CS89" s="9">
        <f t="shared" si="456"/>
        <v>4077</v>
      </c>
      <c r="CT89" s="8">
        <v>4077</v>
      </c>
      <c r="CU89" s="8">
        <v>0</v>
      </c>
      <c r="CV89" s="8">
        <v>0</v>
      </c>
      <c r="CW89" s="10" t="str">
        <f t="shared" si="457"/>
        <v/>
      </c>
      <c r="CX89" s="8"/>
      <c r="CY89" s="8"/>
      <c r="CZ89" s="8"/>
      <c r="DA89" s="8"/>
      <c r="DB89" s="9">
        <f t="shared" si="458"/>
        <v>0</v>
      </c>
      <c r="DC89" s="8">
        <v>0</v>
      </c>
      <c r="DD89" s="8">
        <v>0</v>
      </c>
      <c r="DE89" s="8">
        <v>0</v>
      </c>
      <c r="DF89" s="8">
        <v>0</v>
      </c>
      <c r="DG89" s="9">
        <f t="shared" si="459"/>
        <v>0</v>
      </c>
      <c r="DH89" s="8">
        <v>0</v>
      </c>
      <c r="DI89" s="8">
        <v>0</v>
      </c>
      <c r="DJ89" s="8">
        <v>0</v>
      </c>
      <c r="DK89" s="8">
        <v>0</v>
      </c>
      <c r="DL89" s="9">
        <f t="shared" si="460"/>
        <v>0</v>
      </c>
      <c r="DM89" s="8">
        <v>11</v>
      </c>
      <c r="DN89" s="8">
        <v>7</v>
      </c>
      <c r="DO89" s="8">
        <v>0</v>
      </c>
      <c r="DP89" s="8">
        <v>18</v>
      </c>
      <c r="DQ89" s="9">
        <f t="shared" si="461"/>
        <v>0</v>
      </c>
      <c r="DR89" s="9">
        <f t="shared" si="462"/>
        <v>11</v>
      </c>
      <c r="DS89" s="9">
        <f t="shared" si="463"/>
        <v>7</v>
      </c>
      <c r="DT89" s="9">
        <f t="shared" si="464"/>
        <v>0</v>
      </c>
      <c r="DU89" s="9">
        <f t="shared" si="465"/>
        <v>18</v>
      </c>
      <c r="DV89" s="9">
        <f t="shared" si="466"/>
        <v>0</v>
      </c>
      <c r="DW89" s="8">
        <v>37</v>
      </c>
      <c r="DX89" s="8">
        <v>23</v>
      </c>
      <c r="DY89" s="8">
        <v>10</v>
      </c>
      <c r="DZ89" s="8">
        <v>2</v>
      </c>
      <c r="EA89" s="8">
        <v>2</v>
      </c>
      <c r="EB89" s="8">
        <v>4</v>
      </c>
      <c r="EC89" s="8">
        <v>2</v>
      </c>
      <c r="ED89" s="8">
        <v>0</v>
      </c>
      <c r="EE89" s="8">
        <v>1</v>
      </c>
      <c r="EF89" s="8">
        <v>0</v>
      </c>
      <c r="EG89" s="8">
        <v>0</v>
      </c>
      <c r="EH89" s="8">
        <v>0</v>
      </c>
      <c r="EI89" s="8">
        <v>1</v>
      </c>
      <c r="EJ89" s="8">
        <v>2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9">
        <f t="shared" si="467"/>
        <v>84</v>
      </c>
      <c r="FH89" s="8">
        <v>8</v>
      </c>
      <c r="FI89" s="8">
        <v>450</v>
      </c>
      <c r="FJ89" s="8">
        <v>24</v>
      </c>
      <c r="FK89" s="8">
        <v>39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9">
        <f t="shared" si="468"/>
        <v>0</v>
      </c>
      <c r="FR89" s="8">
        <v>0</v>
      </c>
      <c r="FS89" s="8">
        <v>0</v>
      </c>
      <c r="FT89" s="8">
        <v>0</v>
      </c>
      <c r="FU89" s="8">
        <v>0</v>
      </c>
      <c r="FV89" s="9">
        <f t="shared" si="469"/>
        <v>0</v>
      </c>
      <c r="FW89" s="8">
        <v>20019848</v>
      </c>
      <c r="FX89" s="8">
        <v>126294</v>
      </c>
      <c r="FY89" s="8">
        <v>5094000</v>
      </c>
      <c r="FZ89" s="8">
        <v>557400</v>
      </c>
      <c r="GA89" s="9">
        <f t="shared" si="470"/>
        <v>25797542</v>
      </c>
      <c r="GB89" s="9">
        <f t="shared" si="471"/>
        <v>25797542</v>
      </c>
      <c r="GC89" s="8">
        <v>413612.11</v>
      </c>
      <c r="GD89" s="8">
        <v>0</v>
      </c>
      <c r="GE89" s="8">
        <v>1266534.6000000001</v>
      </c>
      <c r="GF89" s="8">
        <v>8410.99</v>
      </c>
      <c r="GG89" s="9">
        <f t="shared" si="472"/>
        <v>1688557.7</v>
      </c>
      <c r="GH89" s="8">
        <v>19900502.699999999</v>
      </c>
      <c r="GI89" s="8">
        <v>126294</v>
      </c>
      <c r="GJ89" s="8">
        <v>557400</v>
      </c>
      <c r="GK89" s="8">
        <v>5094000</v>
      </c>
      <c r="GL89" s="9">
        <f t="shared" si="473"/>
        <v>25678196.699999999</v>
      </c>
      <c r="GM89" s="9">
        <f t="shared" si="474"/>
        <v>27366754.399999999</v>
      </c>
      <c r="GN89" s="8">
        <v>3814.51</v>
      </c>
      <c r="GO89" s="8">
        <v>0</v>
      </c>
      <c r="GP89" s="8">
        <v>10180.92</v>
      </c>
      <c r="GQ89" s="8">
        <v>4637.34</v>
      </c>
      <c r="GR89" s="9">
        <f t="shared" si="475"/>
        <v>18632.77</v>
      </c>
      <c r="GS89" s="8">
        <v>6251</v>
      </c>
      <c r="GT89" s="8">
        <v>0</v>
      </c>
      <c r="GU89" s="8">
        <v>2679</v>
      </c>
      <c r="GV89" s="8">
        <v>893</v>
      </c>
      <c r="GW89" s="9">
        <f t="shared" si="476"/>
        <v>9823</v>
      </c>
      <c r="GX89" s="9">
        <f t="shared" si="477"/>
        <v>27395210.169999998</v>
      </c>
      <c r="GY89" s="8">
        <v>97589.3100000001</v>
      </c>
      <c r="GZ89" s="8">
        <v>2228586.5499999998</v>
      </c>
      <c r="HA89" s="9">
        <f t="shared" si="478"/>
        <v>2326175.86</v>
      </c>
      <c r="HB89" s="9">
        <f t="shared" si="479"/>
        <v>1.0808496089190618</v>
      </c>
      <c r="HC89" s="10">
        <f t="shared" si="480"/>
        <v>0.93833812808938444</v>
      </c>
      <c r="HD89" s="9">
        <f t="shared" si="481"/>
        <v>0.94168074783563527</v>
      </c>
      <c r="HE89" s="8">
        <v>2272</v>
      </c>
      <c r="HF89" s="8">
        <v>7</v>
      </c>
      <c r="HG89" s="8">
        <v>2272</v>
      </c>
      <c r="HH89" s="8">
        <v>15</v>
      </c>
      <c r="HI89" s="8">
        <v>7</v>
      </c>
      <c r="HJ89" s="9">
        <f t="shared" si="482"/>
        <v>14</v>
      </c>
      <c r="HK89" s="10">
        <f t="shared" si="483"/>
        <v>6.6021126760563379E-3</v>
      </c>
      <c r="HL89" s="8">
        <v>1</v>
      </c>
      <c r="HM89" s="8">
        <v>48</v>
      </c>
      <c r="HN89" s="11">
        <f t="shared" si="484"/>
        <v>48</v>
      </c>
    </row>
    <row r="90" spans="1:222" x14ac:dyDescent="0.3">
      <c r="A90" s="12" t="s">
        <v>276</v>
      </c>
      <c r="B90" s="12" t="s">
        <v>279</v>
      </c>
      <c r="C90" s="13" t="s">
        <v>257</v>
      </c>
      <c r="D90" s="13">
        <v>2025</v>
      </c>
      <c r="E90" s="13">
        <v>7</v>
      </c>
      <c r="F90" s="13" t="s">
        <v>262</v>
      </c>
      <c r="G90" s="13" t="s">
        <v>263</v>
      </c>
      <c r="H90" s="14">
        <v>25444</v>
      </c>
      <c r="I90" s="14">
        <v>273</v>
      </c>
      <c r="J90" s="14">
        <v>0</v>
      </c>
      <c r="K90" s="14">
        <v>802</v>
      </c>
      <c r="L90" s="14">
        <v>1</v>
      </c>
      <c r="M90" s="15">
        <f t="shared" si="424"/>
        <v>1076</v>
      </c>
      <c r="N90" s="14">
        <v>17887</v>
      </c>
      <c r="O90" s="14">
        <v>637</v>
      </c>
      <c r="P90" s="14">
        <v>264</v>
      </c>
      <c r="Q90" s="14">
        <v>1394</v>
      </c>
      <c r="R90" s="15">
        <f t="shared" si="425"/>
        <v>20182</v>
      </c>
      <c r="S90" s="15">
        <f t="shared" si="426"/>
        <v>21258</v>
      </c>
      <c r="T90" s="14">
        <v>4186</v>
      </c>
      <c r="U90" s="16">
        <f t="shared" si="427"/>
        <v>0.16451815752240215</v>
      </c>
      <c r="V90" s="14">
        <v>150</v>
      </c>
      <c r="W90" s="17">
        <f t="shared" si="428"/>
        <v>5.8952994812136459E-3</v>
      </c>
      <c r="X90" s="14">
        <v>0</v>
      </c>
      <c r="Y90" s="17">
        <f t="shared" si="429"/>
        <v>0</v>
      </c>
      <c r="Z90" s="14">
        <v>0</v>
      </c>
      <c r="AA90" s="17">
        <f t="shared" si="430"/>
        <v>0</v>
      </c>
      <c r="AB90" s="14">
        <v>0</v>
      </c>
      <c r="AC90" s="17">
        <f t="shared" si="431"/>
        <v>0</v>
      </c>
      <c r="AD90" s="14">
        <v>0</v>
      </c>
      <c r="AE90" s="17">
        <f t="shared" si="432"/>
        <v>0</v>
      </c>
      <c r="AF90" s="14">
        <v>0</v>
      </c>
      <c r="AG90" s="17">
        <f t="shared" si="433"/>
        <v>0</v>
      </c>
      <c r="AH90" s="14">
        <v>3589365</v>
      </c>
      <c r="AI90" s="15">
        <f t="shared" si="434"/>
        <v>141.06921081590946</v>
      </c>
      <c r="AJ90" s="14">
        <v>65051</v>
      </c>
      <c r="AK90" s="17">
        <f t="shared" si="435"/>
        <v>2.5566341770161922</v>
      </c>
      <c r="AL90" s="14">
        <v>10894402.5525</v>
      </c>
      <c r="AM90" s="15">
        <f t="shared" si="436"/>
        <v>428.17177143923914</v>
      </c>
      <c r="AN90" s="14">
        <v>0</v>
      </c>
      <c r="AO90" s="14">
        <v>0</v>
      </c>
      <c r="AP90" s="14">
        <v>0</v>
      </c>
      <c r="AQ90" s="14">
        <v>0</v>
      </c>
      <c r="AR90" s="14">
        <v>8542515.5</v>
      </c>
      <c r="AS90" s="14">
        <v>6375426.3700000001</v>
      </c>
      <c r="AT90" s="14">
        <v>1046970</v>
      </c>
      <c r="AU90" s="15">
        <f t="shared" si="437"/>
        <v>30448679.422500003</v>
      </c>
      <c r="AV90" s="15">
        <f t="shared" si="438"/>
        <v>1196.6938933540325</v>
      </c>
      <c r="AW90" s="15">
        <f t="shared" si="439"/>
        <v>1432.3397978408129</v>
      </c>
      <c r="AX90" s="14">
        <v>11</v>
      </c>
      <c r="AY90" s="15">
        <f t="shared" si="440"/>
        <v>5.1878635434680076</v>
      </c>
      <c r="AZ90" s="14">
        <v>44</v>
      </c>
      <c r="BA90" s="14">
        <v>2272</v>
      </c>
      <c r="BB90" s="14">
        <v>20</v>
      </c>
      <c r="BC90" s="14">
        <v>0</v>
      </c>
      <c r="BD90" s="14">
        <v>93</v>
      </c>
      <c r="BE90" s="15">
        <f t="shared" si="441"/>
        <v>93</v>
      </c>
      <c r="BF90" s="15">
        <f t="shared" si="442"/>
        <v>2199</v>
      </c>
      <c r="BG90" s="14">
        <v>0</v>
      </c>
      <c r="BH90" s="14">
        <v>0</v>
      </c>
      <c r="BI90" s="14">
        <v>0</v>
      </c>
      <c r="BJ90" s="14">
        <v>0</v>
      </c>
      <c r="BK90" s="15">
        <f t="shared" si="443"/>
        <v>0</v>
      </c>
      <c r="BL90" s="15">
        <f t="shared" si="444"/>
        <v>0</v>
      </c>
      <c r="BM90" s="14">
        <v>0</v>
      </c>
      <c r="BN90" s="14">
        <v>0</v>
      </c>
      <c r="BO90" s="14">
        <v>0</v>
      </c>
      <c r="BP90" s="14">
        <v>0</v>
      </c>
      <c r="BQ90" s="15">
        <f t="shared" si="445"/>
        <v>0</v>
      </c>
      <c r="BR90" s="15">
        <f t="shared" si="446"/>
        <v>0</v>
      </c>
      <c r="BS90" s="14">
        <v>0</v>
      </c>
      <c r="BT90" s="14">
        <v>0</v>
      </c>
      <c r="BU90" s="14">
        <v>0</v>
      </c>
      <c r="BV90" s="14">
        <v>0</v>
      </c>
      <c r="BW90" s="15">
        <f t="shared" si="447"/>
        <v>0</v>
      </c>
      <c r="BX90" s="15">
        <f t="shared" si="448"/>
        <v>0</v>
      </c>
      <c r="BY90" s="15">
        <f t="shared" si="449"/>
        <v>2272</v>
      </c>
      <c r="BZ90" s="15">
        <f t="shared" si="450"/>
        <v>20</v>
      </c>
      <c r="CA90" s="15">
        <f t="shared" si="451"/>
        <v>93</v>
      </c>
      <c r="CB90" s="15">
        <f t="shared" si="452"/>
        <v>2199</v>
      </c>
      <c r="CC90" s="14">
        <v>93</v>
      </c>
      <c r="CD90" s="14">
        <v>0</v>
      </c>
      <c r="CE90" s="14">
        <v>0</v>
      </c>
      <c r="CF90" s="14">
        <v>0</v>
      </c>
      <c r="CG90" s="14">
        <v>0</v>
      </c>
      <c r="CH90" s="15">
        <f t="shared" si="453"/>
        <v>0</v>
      </c>
      <c r="CI90" s="14">
        <v>7</v>
      </c>
      <c r="CJ90" s="14">
        <v>3</v>
      </c>
      <c r="CK90" s="14">
        <v>1</v>
      </c>
      <c r="CL90" s="14">
        <v>0</v>
      </c>
      <c r="CM90" s="15">
        <f t="shared" si="454"/>
        <v>11</v>
      </c>
      <c r="CN90" s="14">
        <v>3740</v>
      </c>
      <c r="CO90" s="14">
        <v>61</v>
      </c>
      <c r="CP90" s="14">
        <v>83</v>
      </c>
      <c r="CQ90" s="14">
        <v>15</v>
      </c>
      <c r="CR90" s="15">
        <f t="shared" si="455"/>
        <v>3899</v>
      </c>
      <c r="CS90" s="15">
        <f t="shared" si="456"/>
        <v>3910</v>
      </c>
      <c r="CT90" s="14">
        <v>3910</v>
      </c>
      <c r="CU90" s="14">
        <v>0</v>
      </c>
      <c r="CV90" s="14">
        <v>0</v>
      </c>
      <c r="CW90" s="16" t="str">
        <f t="shared" si="457"/>
        <v/>
      </c>
      <c r="CX90" s="14"/>
      <c r="CY90" s="14"/>
      <c r="CZ90" s="14"/>
      <c r="DA90" s="14"/>
      <c r="DB90" s="15">
        <f t="shared" si="458"/>
        <v>0</v>
      </c>
      <c r="DC90" s="14">
        <v>0</v>
      </c>
      <c r="DD90" s="14">
        <v>0</v>
      </c>
      <c r="DE90" s="14">
        <v>0</v>
      </c>
      <c r="DF90" s="14">
        <v>0</v>
      </c>
      <c r="DG90" s="15">
        <f t="shared" si="459"/>
        <v>0</v>
      </c>
      <c r="DH90" s="14">
        <v>0</v>
      </c>
      <c r="DI90" s="14">
        <v>0</v>
      </c>
      <c r="DJ90" s="14">
        <v>0</v>
      </c>
      <c r="DK90" s="14">
        <v>0</v>
      </c>
      <c r="DL90" s="15">
        <f t="shared" si="460"/>
        <v>0</v>
      </c>
      <c r="DM90" s="14">
        <v>0</v>
      </c>
      <c r="DN90" s="14">
        <v>16</v>
      </c>
      <c r="DO90" s="14">
        <v>0</v>
      </c>
      <c r="DP90" s="14">
        <v>5</v>
      </c>
      <c r="DQ90" s="15">
        <f t="shared" si="461"/>
        <v>11</v>
      </c>
      <c r="DR90" s="15">
        <f t="shared" si="462"/>
        <v>0</v>
      </c>
      <c r="DS90" s="15">
        <f t="shared" si="463"/>
        <v>16</v>
      </c>
      <c r="DT90" s="15">
        <f t="shared" si="464"/>
        <v>0</v>
      </c>
      <c r="DU90" s="15">
        <f t="shared" si="465"/>
        <v>5</v>
      </c>
      <c r="DV90" s="15">
        <f t="shared" si="466"/>
        <v>11</v>
      </c>
      <c r="DW90" s="14">
        <v>27</v>
      </c>
      <c r="DX90" s="14">
        <v>26</v>
      </c>
      <c r="DY90" s="14">
        <v>5</v>
      </c>
      <c r="DZ90" s="14">
        <v>6</v>
      </c>
      <c r="EA90" s="14">
        <v>5</v>
      </c>
      <c r="EB90" s="14">
        <v>9</v>
      </c>
      <c r="EC90" s="14">
        <v>1</v>
      </c>
      <c r="ED90" s="14">
        <v>1</v>
      </c>
      <c r="EE90" s="14">
        <v>0</v>
      </c>
      <c r="EF90" s="14">
        <v>0</v>
      </c>
      <c r="EG90" s="14">
        <v>1</v>
      </c>
      <c r="EH90" s="14">
        <v>2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5">
        <f t="shared" si="467"/>
        <v>83</v>
      </c>
      <c r="FH90" s="14">
        <v>8</v>
      </c>
      <c r="FI90" s="14">
        <v>208</v>
      </c>
      <c r="FJ90" s="14">
        <v>24</v>
      </c>
      <c r="FK90" s="14">
        <v>26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5">
        <f t="shared" si="468"/>
        <v>0</v>
      </c>
      <c r="FR90" s="14">
        <v>0</v>
      </c>
      <c r="FS90" s="14">
        <v>0</v>
      </c>
      <c r="FT90" s="14">
        <v>0</v>
      </c>
      <c r="FU90" s="14">
        <v>0</v>
      </c>
      <c r="FV90" s="15">
        <f t="shared" si="469"/>
        <v>0</v>
      </c>
      <c r="FW90" s="14">
        <v>23648080</v>
      </c>
      <c r="FX90" s="14">
        <v>140900</v>
      </c>
      <c r="FY90" s="14">
        <v>3896300</v>
      </c>
      <c r="FZ90" s="14">
        <v>1133982</v>
      </c>
      <c r="GA90" s="15">
        <f t="shared" si="470"/>
        <v>28819262</v>
      </c>
      <c r="GB90" s="15">
        <f t="shared" si="471"/>
        <v>28819262</v>
      </c>
      <c r="GC90" s="14">
        <v>261452.04</v>
      </c>
      <c r="GD90" s="14">
        <v>0</v>
      </c>
      <c r="GE90" s="14">
        <v>2750377</v>
      </c>
      <c r="GF90" s="14">
        <v>8410.99</v>
      </c>
      <c r="GG90" s="15">
        <f t="shared" si="472"/>
        <v>3020240.0300000003</v>
      </c>
      <c r="GH90" s="14">
        <v>23507810</v>
      </c>
      <c r="GI90" s="14">
        <v>140900</v>
      </c>
      <c r="GJ90" s="14">
        <v>1133982</v>
      </c>
      <c r="GK90" s="14">
        <v>3896300</v>
      </c>
      <c r="GL90" s="15">
        <f t="shared" si="473"/>
        <v>28678992</v>
      </c>
      <c r="GM90" s="15">
        <f t="shared" si="474"/>
        <v>31699232.030000001</v>
      </c>
      <c r="GN90" s="14">
        <v>3814.51</v>
      </c>
      <c r="GO90" s="14">
        <v>0</v>
      </c>
      <c r="GP90" s="14">
        <v>10180.92</v>
      </c>
      <c r="GQ90" s="14">
        <v>4637.34</v>
      </c>
      <c r="GR90" s="15">
        <f t="shared" si="475"/>
        <v>18632.77</v>
      </c>
      <c r="GS90" s="14">
        <v>6251</v>
      </c>
      <c r="GT90" s="14">
        <v>0</v>
      </c>
      <c r="GU90" s="14">
        <v>2679</v>
      </c>
      <c r="GV90" s="14">
        <v>893</v>
      </c>
      <c r="GW90" s="15">
        <f t="shared" si="476"/>
        <v>9823</v>
      </c>
      <c r="GX90" s="15">
        <f t="shared" si="477"/>
        <v>31727687.800000001</v>
      </c>
      <c r="GY90" s="14">
        <v>111530.64</v>
      </c>
      <c r="GZ90" s="14">
        <v>5263341.0199999996</v>
      </c>
      <c r="HA90" s="15">
        <f t="shared" si="478"/>
        <v>5374871.6599999992</v>
      </c>
      <c r="HB90" s="15">
        <f t="shared" si="479"/>
        <v>0.95968794241917632</v>
      </c>
      <c r="HC90" s="16">
        <f t="shared" si="480"/>
        <v>0.90514979362037373</v>
      </c>
      <c r="HD90" s="15">
        <f t="shared" si="481"/>
        <v>0.90833161816475005</v>
      </c>
      <c r="HE90" s="14">
        <v>93</v>
      </c>
      <c r="HF90" s="14">
        <v>1</v>
      </c>
      <c r="HG90" s="14">
        <v>2199</v>
      </c>
      <c r="HH90" s="14">
        <v>20</v>
      </c>
      <c r="HI90" s="14">
        <v>7</v>
      </c>
      <c r="HJ90" s="15">
        <f t="shared" si="482"/>
        <v>8</v>
      </c>
      <c r="HK90" s="16">
        <f t="shared" si="483"/>
        <v>0.21505376344086022</v>
      </c>
      <c r="HL90" s="14">
        <v>2</v>
      </c>
      <c r="HM90" s="14">
        <v>48</v>
      </c>
      <c r="HN90" s="17">
        <f t="shared" si="484"/>
        <v>24</v>
      </c>
    </row>
    <row r="91" spans="1:222" x14ac:dyDescent="0.3">
      <c r="A91" s="6" t="s">
        <v>276</v>
      </c>
      <c r="B91" s="6" t="s">
        <v>279</v>
      </c>
      <c r="C91" s="7" t="s">
        <v>257</v>
      </c>
      <c r="D91" s="7">
        <v>2025</v>
      </c>
      <c r="E91" s="7">
        <v>8</v>
      </c>
      <c r="F91" s="7" t="s">
        <v>264</v>
      </c>
      <c r="G91" s="7" t="s">
        <v>263</v>
      </c>
      <c r="H91" s="8">
        <v>35765</v>
      </c>
      <c r="I91" s="8">
        <v>610</v>
      </c>
      <c r="J91" s="8">
        <v>0</v>
      </c>
      <c r="K91" s="8">
        <v>441</v>
      </c>
      <c r="L91" s="8">
        <v>1</v>
      </c>
      <c r="M91" s="9">
        <f t="shared" si="424"/>
        <v>1052</v>
      </c>
      <c r="N91" s="8">
        <v>20344.400000000001</v>
      </c>
      <c r="O91" s="8">
        <v>732.4</v>
      </c>
      <c r="P91" s="8">
        <v>179.1</v>
      </c>
      <c r="Q91" s="8">
        <v>3135.7</v>
      </c>
      <c r="R91" s="9">
        <f t="shared" si="425"/>
        <v>24391.600000000002</v>
      </c>
      <c r="S91" s="9">
        <f t="shared" si="426"/>
        <v>25443.600000000002</v>
      </c>
      <c r="T91" s="8">
        <v>10321.4</v>
      </c>
      <c r="U91" s="10">
        <f t="shared" si="427"/>
        <v>0.28858940304767228</v>
      </c>
      <c r="V91" s="8">
        <v>125</v>
      </c>
      <c r="W91" s="11">
        <f t="shared" si="428"/>
        <v>3.4950370473927025E-3</v>
      </c>
      <c r="X91" s="8">
        <v>0</v>
      </c>
      <c r="Y91" s="11">
        <f t="shared" si="429"/>
        <v>0</v>
      </c>
      <c r="Z91" s="8">
        <v>0</v>
      </c>
      <c r="AA91" s="11">
        <f t="shared" si="430"/>
        <v>0</v>
      </c>
      <c r="AB91" s="8">
        <v>0</v>
      </c>
      <c r="AC91" s="11">
        <f t="shared" si="431"/>
        <v>0</v>
      </c>
      <c r="AD91" s="8">
        <v>0</v>
      </c>
      <c r="AE91" s="11">
        <f t="shared" si="432"/>
        <v>0</v>
      </c>
      <c r="AF91" s="8">
        <v>0</v>
      </c>
      <c r="AG91" s="11">
        <f t="shared" si="433"/>
        <v>0</v>
      </c>
      <c r="AH91" s="8">
        <v>2991137.5</v>
      </c>
      <c r="AI91" s="9">
        <f t="shared" si="434"/>
        <v>83.633091010764716</v>
      </c>
      <c r="AJ91" s="8">
        <v>61122.78</v>
      </c>
      <c r="AK91" s="11">
        <f t="shared" si="435"/>
        <v>1.7090110443170696</v>
      </c>
      <c r="AL91" s="8">
        <v>10237692.55345</v>
      </c>
      <c r="AM91" s="9">
        <f t="shared" si="436"/>
        <v>286.24891803299312</v>
      </c>
      <c r="AN91" s="8">
        <v>0</v>
      </c>
      <c r="AO91" s="8">
        <v>0</v>
      </c>
      <c r="AP91" s="8">
        <v>0</v>
      </c>
      <c r="AQ91" s="8">
        <v>0</v>
      </c>
      <c r="AR91" s="8">
        <v>8937423.2300000004</v>
      </c>
      <c r="AS91" s="8">
        <v>6392085.04</v>
      </c>
      <c r="AT91" s="8">
        <v>1055220</v>
      </c>
      <c r="AU91" s="9">
        <f t="shared" si="437"/>
        <v>29613558.323449999</v>
      </c>
      <c r="AV91" s="9">
        <f t="shared" si="438"/>
        <v>828.00386756465821</v>
      </c>
      <c r="AW91" s="9">
        <f t="shared" si="439"/>
        <v>1163.8902640919523</v>
      </c>
      <c r="AX91" s="8">
        <v>11</v>
      </c>
      <c r="AY91" s="9">
        <f t="shared" si="440"/>
        <v>3.6907591220466935</v>
      </c>
      <c r="AZ91" s="8">
        <v>44</v>
      </c>
      <c r="BA91" s="8">
        <v>2199</v>
      </c>
      <c r="BB91" s="8">
        <v>15</v>
      </c>
      <c r="BC91" s="8">
        <v>0</v>
      </c>
      <c r="BD91" s="8">
        <v>77</v>
      </c>
      <c r="BE91" s="9">
        <f t="shared" si="441"/>
        <v>77</v>
      </c>
      <c r="BF91" s="9">
        <f t="shared" si="442"/>
        <v>2137</v>
      </c>
      <c r="BG91" s="8">
        <v>0</v>
      </c>
      <c r="BH91" s="8">
        <v>0</v>
      </c>
      <c r="BI91" s="8">
        <v>0</v>
      </c>
      <c r="BJ91" s="8">
        <v>0</v>
      </c>
      <c r="BK91" s="9">
        <f t="shared" si="443"/>
        <v>0</v>
      </c>
      <c r="BL91" s="9">
        <f t="shared" si="444"/>
        <v>0</v>
      </c>
      <c r="BM91" s="8">
        <v>0</v>
      </c>
      <c r="BN91" s="8">
        <v>0</v>
      </c>
      <c r="BO91" s="8">
        <v>0</v>
      </c>
      <c r="BP91" s="8">
        <v>0</v>
      </c>
      <c r="BQ91" s="9">
        <f t="shared" si="445"/>
        <v>0</v>
      </c>
      <c r="BR91" s="9">
        <f t="shared" si="446"/>
        <v>0</v>
      </c>
      <c r="BS91" s="8">
        <v>0</v>
      </c>
      <c r="BT91" s="8">
        <v>0</v>
      </c>
      <c r="BU91" s="8">
        <v>0</v>
      </c>
      <c r="BV91" s="8">
        <v>0</v>
      </c>
      <c r="BW91" s="9">
        <f t="shared" si="447"/>
        <v>0</v>
      </c>
      <c r="BX91" s="9">
        <f t="shared" si="448"/>
        <v>0</v>
      </c>
      <c r="BY91" s="9">
        <f t="shared" si="449"/>
        <v>2199</v>
      </c>
      <c r="BZ91" s="9">
        <f t="shared" si="450"/>
        <v>15</v>
      </c>
      <c r="CA91" s="9">
        <f t="shared" si="451"/>
        <v>77</v>
      </c>
      <c r="CB91" s="9">
        <f t="shared" si="452"/>
        <v>2137</v>
      </c>
      <c r="CC91" s="8">
        <v>77</v>
      </c>
      <c r="CD91" s="8">
        <v>0</v>
      </c>
      <c r="CE91" s="8">
        <v>0</v>
      </c>
      <c r="CF91" s="8">
        <v>0</v>
      </c>
      <c r="CG91" s="8">
        <v>0</v>
      </c>
      <c r="CH91" s="9">
        <f t="shared" si="453"/>
        <v>0</v>
      </c>
      <c r="CI91" s="8">
        <v>7</v>
      </c>
      <c r="CJ91" s="8">
        <v>3</v>
      </c>
      <c r="CK91" s="8">
        <v>1</v>
      </c>
      <c r="CL91" s="8">
        <v>0</v>
      </c>
      <c r="CM91" s="9">
        <f t="shared" si="454"/>
        <v>11</v>
      </c>
      <c r="CN91" s="8">
        <v>3817</v>
      </c>
      <c r="CO91" s="8">
        <v>61</v>
      </c>
      <c r="CP91" s="8">
        <v>83</v>
      </c>
      <c r="CQ91" s="8">
        <v>15</v>
      </c>
      <c r="CR91" s="9">
        <f t="shared" si="455"/>
        <v>3976</v>
      </c>
      <c r="CS91" s="9">
        <f t="shared" si="456"/>
        <v>3987</v>
      </c>
      <c r="CT91" s="8">
        <v>3987</v>
      </c>
      <c r="CU91" s="8">
        <v>0</v>
      </c>
      <c r="CV91" s="8">
        <v>0</v>
      </c>
      <c r="CW91" s="10" t="str">
        <f t="shared" si="457"/>
        <v/>
      </c>
      <c r="CX91" s="8"/>
      <c r="CY91" s="8"/>
      <c r="CZ91" s="8"/>
      <c r="DA91" s="8"/>
      <c r="DB91" s="9">
        <f t="shared" si="458"/>
        <v>0</v>
      </c>
      <c r="DC91" s="8">
        <v>0</v>
      </c>
      <c r="DD91" s="8">
        <v>0</v>
      </c>
      <c r="DE91" s="8">
        <v>0</v>
      </c>
      <c r="DF91" s="8">
        <v>0</v>
      </c>
      <c r="DG91" s="9">
        <f t="shared" si="459"/>
        <v>0</v>
      </c>
      <c r="DH91" s="8">
        <v>0</v>
      </c>
      <c r="DI91" s="8">
        <v>0</v>
      </c>
      <c r="DJ91" s="8">
        <v>0</v>
      </c>
      <c r="DK91" s="8">
        <v>0</v>
      </c>
      <c r="DL91" s="9">
        <f t="shared" si="460"/>
        <v>0</v>
      </c>
      <c r="DM91" s="8">
        <v>11</v>
      </c>
      <c r="DN91" s="8">
        <v>12</v>
      </c>
      <c r="DO91" s="8">
        <v>0</v>
      </c>
      <c r="DP91" s="8">
        <v>18</v>
      </c>
      <c r="DQ91" s="9">
        <f t="shared" si="461"/>
        <v>5</v>
      </c>
      <c r="DR91" s="9">
        <f t="shared" si="462"/>
        <v>11</v>
      </c>
      <c r="DS91" s="9">
        <f t="shared" si="463"/>
        <v>12</v>
      </c>
      <c r="DT91" s="9">
        <f t="shared" si="464"/>
        <v>0</v>
      </c>
      <c r="DU91" s="9">
        <f t="shared" si="465"/>
        <v>18</v>
      </c>
      <c r="DV91" s="9">
        <f t="shared" si="466"/>
        <v>5</v>
      </c>
      <c r="DW91" s="8">
        <v>28</v>
      </c>
      <c r="DX91" s="8">
        <v>19</v>
      </c>
      <c r="DY91" s="8">
        <v>4</v>
      </c>
      <c r="DZ91" s="8">
        <v>3</v>
      </c>
      <c r="EA91" s="8">
        <v>1</v>
      </c>
      <c r="EB91" s="8">
        <v>2</v>
      </c>
      <c r="EC91" s="8">
        <v>3</v>
      </c>
      <c r="ED91" s="8">
        <v>0</v>
      </c>
      <c r="EE91" s="8">
        <v>2</v>
      </c>
      <c r="EF91" s="8">
        <v>1</v>
      </c>
      <c r="EG91" s="8">
        <v>5</v>
      </c>
      <c r="EH91" s="8">
        <v>0</v>
      </c>
      <c r="EI91" s="8">
        <v>1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9">
        <f t="shared" si="467"/>
        <v>69</v>
      </c>
      <c r="FH91" s="8">
        <v>8</v>
      </c>
      <c r="FI91" s="8">
        <v>0</v>
      </c>
      <c r="FJ91" s="8">
        <v>24</v>
      </c>
      <c r="FK91" s="8">
        <v>38</v>
      </c>
      <c r="FL91" s="8">
        <v>4</v>
      </c>
      <c r="FM91" s="8">
        <v>0</v>
      </c>
      <c r="FN91" s="8">
        <v>35</v>
      </c>
      <c r="FO91" s="8">
        <v>0</v>
      </c>
      <c r="FP91" s="8">
        <v>70</v>
      </c>
      <c r="FQ91" s="9">
        <f t="shared" si="468"/>
        <v>109</v>
      </c>
      <c r="FR91" s="8">
        <v>0</v>
      </c>
      <c r="FS91" s="8">
        <v>0</v>
      </c>
      <c r="FT91" s="8">
        <v>0</v>
      </c>
      <c r="FU91" s="8">
        <v>0</v>
      </c>
      <c r="FV91" s="9">
        <f t="shared" si="469"/>
        <v>0</v>
      </c>
      <c r="FW91" s="8">
        <v>25296710</v>
      </c>
      <c r="FX91" s="8">
        <v>167200</v>
      </c>
      <c r="FY91" s="8">
        <v>14603700</v>
      </c>
      <c r="FZ91" s="8">
        <v>544900</v>
      </c>
      <c r="GA91" s="9">
        <f t="shared" si="470"/>
        <v>40612510</v>
      </c>
      <c r="GB91" s="9">
        <f t="shared" si="471"/>
        <v>40612510</v>
      </c>
      <c r="GC91" s="8">
        <v>581405.53</v>
      </c>
      <c r="GD91" s="8">
        <v>0</v>
      </c>
      <c r="GE91" s="8">
        <v>1498319.09</v>
      </c>
      <c r="GF91" s="8">
        <v>8410.99</v>
      </c>
      <c r="GG91" s="9">
        <f t="shared" si="472"/>
        <v>2088135.61</v>
      </c>
      <c r="GH91" s="8">
        <v>25173930</v>
      </c>
      <c r="GI91" s="8">
        <v>167200</v>
      </c>
      <c r="GJ91" s="8">
        <v>544900</v>
      </c>
      <c r="GK91" s="8">
        <v>14603700</v>
      </c>
      <c r="GL91" s="9">
        <f t="shared" si="473"/>
        <v>40489730</v>
      </c>
      <c r="GM91" s="9">
        <f t="shared" si="474"/>
        <v>42577865.609999999</v>
      </c>
      <c r="GN91" s="8">
        <v>3814.51</v>
      </c>
      <c r="GO91" s="8">
        <v>0</v>
      </c>
      <c r="GP91" s="8">
        <v>10180.92</v>
      </c>
      <c r="GQ91" s="8">
        <v>4637.34</v>
      </c>
      <c r="GR91" s="9">
        <f t="shared" si="475"/>
        <v>18632.77</v>
      </c>
      <c r="GS91" s="8">
        <v>6251</v>
      </c>
      <c r="GT91" s="8">
        <v>0</v>
      </c>
      <c r="GU91" s="8">
        <v>2679</v>
      </c>
      <c r="GV91" s="8">
        <v>893</v>
      </c>
      <c r="GW91" s="9">
        <f t="shared" si="476"/>
        <v>9823</v>
      </c>
      <c r="GX91" s="9">
        <f t="shared" si="477"/>
        <v>42606321.380000003</v>
      </c>
      <c r="GY91" s="8">
        <v>125471.97</v>
      </c>
      <c r="GZ91" s="8">
        <v>7365991.0700000003</v>
      </c>
      <c r="HA91" s="9">
        <f t="shared" si="478"/>
        <v>7491463.04</v>
      </c>
      <c r="HB91" s="9">
        <f t="shared" si="479"/>
        <v>0.69505081321925655</v>
      </c>
      <c r="HC91" s="10">
        <f t="shared" si="480"/>
        <v>0.95040499862381733</v>
      </c>
      <c r="HD91" s="9">
        <f t="shared" si="481"/>
        <v>0.95320386000430624</v>
      </c>
      <c r="HE91" s="8">
        <v>77</v>
      </c>
      <c r="HF91" s="8">
        <v>1</v>
      </c>
      <c r="HG91" s="8">
        <v>2137</v>
      </c>
      <c r="HH91" s="8">
        <v>15</v>
      </c>
      <c r="HI91" s="8">
        <v>7</v>
      </c>
      <c r="HJ91" s="9">
        <f t="shared" si="482"/>
        <v>8</v>
      </c>
      <c r="HK91" s="10">
        <f t="shared" si="483"/>
        <v>0.19480519480519481</v>
      </c>
      <c r="HL91" s="8">
        <v>1</v>
      </c>
      <c r="HM91" s="8">
        <v>24</v>
      </c>
      <c r="HN91" s="11">
        <f t="shared" si="484"/>
        <v>24</v>
      </c>
    </row>
    <row r="92" spans="1:222" x14ac:dyDescent="0.3">
      <c r="A92" s="12" t="s">
        <v>276</v>
      </c>
      <c r="B92" s="12" t="s">
        <v>279</v>
      </c>
      <c r="C92" s="13" t="s">
        <v>257</v>
      </c>
      <c r="D92" s="13">
        <v>2025</v>
      </c>
      <c r="E92" s="13">
        <v>9</v>
      </c>
      <c r="F92" s="13" t="s">
        <v>265</v>
      </c>
      <c r="G92" s="13" t="s">
        <v>263</v>
      </c>
      <c r="H92" s="14">
        <v>28966.5</v>
      </c>
      <c r="I92" s="14">
        <v>575</v>
      </c>
      <c r="J92" s="14">
        <v>0</v>
      </c>
      <c r="K92" s="14">
        <v>629</v>
      </c>
      <c r="L92" s="14">
        <v>1</v>
      </c>
      <c r="M92" s="15">
        <f t="shared" si="424"/>
        <v>1205</v>
      </c>
      <c r="N92" s="14">
        <v>22629.1</v>
      </c>
      <c r="O92" s="14">
        <v>621.4</v>
      </c>
      <c r="P92" s="14">
        <v>311.5</v>
      </c>
      <c r="Q92" s="14">
        <v>1039.8</v>
      </c>
      <c r="R92" s="15">
        <f t="shared" si="425"/>
        <v>24601.8</v>
      </c>
      <c r="S92" s="15">
        <f t="shared" si="426"/>
        <v>25806.799999999999</v>
      </c>
      <c r="T92" s="14">
        <v>3159.6999999999898</v>
      </c>
      <c r="U92" s="16">
        <f t="shared" si="427"/>
        <v>0.10908117998377401</v>
      </c>
      <c r="V92" s="14">
        <v>50</v>
      </c>
      <c r="W92" s="17">
        <f t="shared" si="428"/>
        <v>1.7261319110006387E-3</v>
      </c>
      <c r="X92" s="14">
        <v>0</v>
      </c>
      <c r="Y92" s="17">
        <f t="shared" si="429"/>
        <v>0</v>
      </c>
      <c r="Z92" s="14">
        <v>0</v>
      </c>
      <c r="AA92" s="17">
        <f t="shared" si="430"/>
        <v>0</v>
      </c>
      <c r="AB92" s="14">
        <v>0</v>
      </c>
      <c r="AC92" s="17">
        <f t="shared" si="431"/>
        <v>0</v>
      </c>
      <c r="AD92" s="14">
        <v>0</v>
      </c>
      <c r="AE92" s="17">
        <f t="shared" si="432"/>
        <v>0</v>
      </c>
      <c r="AF92" s="14">
        <v>0</v>
      </c>
      <c r="AG92" s="17">
        <f t="shared" si="433"/>
        <v>0</v>
      </c>
      <c r="AH92" s="14">
        <v>1196455</v>
      </c>
      <c r="AI92" s="15">
        <f t="shared" si="434"/>
        <v>41.304783111525381</v>
      </c>
      <c r="AJ92" s="14">
        <v>68656.479999999996</v>
      </c>
      <c r="AK92" s="17">
        <f t="shared" si="435"/>
        <v>2.3702028204995425</v>
      </c>
      <c r="AL92" s="14">
        <v>11497157.6852</v>
      </c>
      <c r="AM92" s="15">
        <f t="shared" si="436"/>
        <v>396.91221532459912</v>
      </c>
      <c r="AN92" s="14">
        <v>0</v>
      </c>
      <c r="AO92" s="14">
        <v>0</v>
      </c>
      <c r="AP92" s="14">
        <v>0</v>
      </c>
      <c r="AQ92" s="14">
        <v>0</v>
      </c>
      <c r="AR92" s="14">
        <v>8526652.7100000009</v>
      </c>
      <c r="AS92" s="14">
        <v>6377546.5599999996</v>
      </c>
      <c r="AT92" s="14">
        <v>1070720</v>
      </c>
      <c r="AU92" s="15">
        <f t="shared" si="437"/>
        <v>28668531.955199998</v>
      </c>
      <c r="AV92" s="15">
        <f t="shared" si="438"/>
        <v>989.71335698824498</v>
      </c>
      <c r="AW92" s="15">
        <f t="shared" si="439"/>
        <v>1110.8906162406806</v>
      </c>
      <c r="AX92" s="14">
        <v>10</v>
      </c>
      <c r="AY92" s="15">
        <f t="shared" si="440"/>
        <v>4.1427165864015327</v>
      </c>
      <c r="AZ92" s="14">
        <v>44</v>
      </c>
      <c r="BA92" s="14">
        <v>2137</v>
      </c>
      <c r="BB92" s="14">
        <v>577</v>
      </c>
      <c r="BC92" s="14">
        <v>0</v>
      </c>
      <c r="BD92" s="14">
        <v>76</v>
      </c>
      <c r="BE92" s="15">
        <f t="shared" si="441"/>
        <v>76</v>
      </c>
      <c r="BF92" s="15">
        <f t="shared" si="442"/>
        <v>2638</v>
      </c>
      <c r="BG92" s="14">
        <v>0</v>
      </c>
      <c r="BH92" s="14">
        <v>9</v>
      </c>
      <c r="BI92" s="14">
        <v>0</v>
      </c>
      <c r="BJ92" s="14">
        <v>0</v>
      </c>
      <c r="BK92" s="15">
        <f t="shared" si="443"/>
        <v>0</v>
      </c>
      <c r="BL92" s="15">
        <f t="shared" si="444"/>
        <v>9</v>
      </c>
      <c r="BM92" s="14">
        <v>0</v>
      </c>
      <c r="BN92" s="14">
        <v>16</v>
      </c>
      <c r="BO92" s="14">
        <v>0</v>
      </c>
      <c r="BP92" s="14">
        <v>0</v>
      </c>
      <c r="BQ92" s="15">
        <f t="shared" si="445"/>
        <v>0</v>
      </c>
      <c r="BR92" s="15">
        <f t="shared" si="446"/>
        <v>16</v>
      </c>
      <c r="BS92" s="14">
        <v>0</v>
      </c>
      <c r="BT92" s="14">
        <v>0</v>
      </c>
      <c r="BU92" s="14">
        <v>0</v>
      </c>
      <c r="BV92" s="14">
        <v>0</v>
      </c>
      <c r="BW92" s="15">
        <f t="shared" si="447"/>
        <v>0</v>
      </c>
      <c r="BX92" s="15">
        <f t="shared" si="448"/>
        <v>0</v>
      </c>
      <c r="BY92" s="15">
        <f t="shared" si="449"/>
        <v>2137</v>
      </c>
      <c r="BZ92" s="15">
        <f t="shared" si="450"/>
        <v>602</v>
      </c>
      <c r="CA92" s="15">
        <f t="shared" si="451"/>
        <v>76</v>
      </c>
      <c r="CB92" s="15">
        <f t="shared" si="452"/>
        <v>2663</v>
      </c>
      <c r="CC92" s="14">
        <v>76</v>
      </c>
      <c r="CD92" s="14">
        <v>2</v>
      </c>
      <c r="CE92" s="14">
        <v>0</v>
      </c>
      <c r="CF92" s="14">
        <v>0</v>
      </c>
      <c r="CG92" s="14">
        <v>0</v>
      </c>
      <c r="CH92" s="15">
        <f t="shared" si="453"/>
        <v>2</v>
      </c>
      <c r="CI92" s="14">
        <v>7</v>
      </c>
      <c r="CJ92" s="14">
        <v>3</v>
      </c>
      <c r="CK92" s="14">
        <v>1</v>
      </c>
      <c r="CL92" s="14">
        <v>0</v>
      </c>
      <c r="CM92" s="15">
        <f t="shared" si="454"/>
        <v>11</v>
      </c>
      <c r="CN92" s="14">
        <v>3893</v>
      </c>
      <c r="CO92" s="14">
        <v>61</v>
      </c>
      <c r="CP92" s="14">
        <v>83</v>
      </c>
      <c r="CQ92" s="14">
        <v>15</v>
      </c>
      <c r="CR92" s="15">
        <f t="shared" si="455"/>
        <v>4052</v>
      </c>
      <c r="CS92" s="15">
        <f t="shared" si="456"/>
        <v>4063</v>
      </c>
      <c r="CT92" s="14">
        <v>4065</v>
      </c>
      <c r="CU92" s="14">
        <v>0</v>
      </c>
      <c r="CV92" s="14">
        <v>0</v>
      </c>
      <c r="CW92" s="16" t="str">
        <f t="shared" si="457"/>
        <v/>
      </c>
      <c r="CX92" s="14"/>
      <c r="CY92" s="14"/>
      <c r="CZ92" s="14"/>
      <c r="DA92" s="14"/>
      <c r="DB92" s="15">
        <f t="shared" si="458"/>
        <v>0</v>
      </c>
      <c r="DC92" s="14">
        <v>0</v>
      </c>
      <c r="DD92" s="14">
        <v>0</v>
      </c>
      <c r="DE92" s="14">
        <v>0</v>
      </c>
      <c r="DF92" s="14">
        <v>0</v>
      </c>
      <c r="DG92" s="15">
        <f t="shared" si="459"/>
        <v>0</v>
      </c>
      <c r="DH92" s="14">
        <v>0</v>
      </c>
      <c r="DI92" s="14">
        <v>0</v>
      </c>
      <c r="DJ92" s="14">
        <v>0</v>
      </c>
      <c r="DK92" s="14">
        <v>0</v>
      </c>
      <c r="DL92" s="15">
        <f t="shared" si="460"/>
        <v>0</v>
      </c>
      <c r="DM92" s="14">
        <v>5</v>
      </c>
      <c r="DN92" s="14">
        <v>10</v>
      </c>
      <c r="DO92" s="14">
        <v>0</v>
      </c>
      <c r="DP92" s="14">
        <v>7</v>
      </c>
      <c r="DQ92" s="15">
        <f t="shared" si="461"/>
        <v>8</v>
      </c>
      <c r="DR92" s="15">
        <f t="shared" si="462"/>
        <v>5</v>
      </c>
      <c r="DS92" s="15">
        <f t="shared" si="463"/>
        <v>10</v>
      </c>
      <c r="DT92" s="15">
        <f t="shared" si="464"/>
        <v>0</v>
      </c>
      <c r="DU92" s="15">
        <f t="shared" si="465"/>
        <v>7</v>
      </c>
      <c r="DV92" s="15">
        <f t="shared" si="466"/>
        <v>8</v>
      </c>
      <c r="DW92" s="14">
        <v>34</v>
      </c>
      <c r="DX92" s="14">
        <v>36</v>
      </c>
      <c r="DY92" s="14">
        <v>4</v>
      </c>
      <c r="DZ92" s="14">
        <v>4</v>
      </c>
      <c r="EA92" s="14">
        <v>0</v>
      </c>
      <c r="EB92" s="14">
        <v>0</v>
      </c>
      <c r="EC92" s="14">
        <v>0</v>
      </c>
      <c r="ED92" s="14">
        <v>0</v>
      </c>
      <c r="EE92" s="14">
        <v>1</v>
      </c>
      <c r="EF92" s="14">
        <v>0</v>
      </c>
      <c r="EG92" s="14">
        <v>1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5">
        <f t="shared" si="467"/>
        <v>80</v>
      </c>
      <c r="FH92" s="14">
        <v>8</v>
      </c>
      <c r="FI92" s="14">
        <v>205</v>
      </c>
      <c r="FJ92" s="14">
        <v>24</v>
      </c>
      <c r="FK92" s="14">
        <v>22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5">
        <f t="shared" si="468"/>
        <v>0</v>
      </c>
      <c r="FR92" s="14">
        <v>0</v>
      </c>
      <c r="FS92" s="14">
        <v>0</v>
      </c>
      <c r="FT92" s="14">
        <v>0</v>
      </c>
      <c r="FU92" s="14">
        <v>0</v>
      </c>
      <c r="FV92" s="15">
        <f t="shared" si="469"/>
        <v>0</v>
      </c>
      <c r="FW92" s="14">
        <v>28207864</v>
      </c>
      <c r="FX92" s="14">
        <v>132000</v>
      </c>
      <c r="FY92" s="14">
        <v>4912509</v>
      </c>
      <c r="FZ92" s="14">
        <v>948000</v>
      </c>
      <c r="GA92" s="15">
        <f t="shared" si="470"/>
        <v>34200373</v>
      </c>
      <c r="GB92" s="15">
        <f t="shared" si="471"/>
        <v>34200373</v>
      </c>
      <c r="GC92" s="14">
        <v>546763.76</v>
      </c>
      <c r="GD92" s="14">
        <v>0</v>
      </c>
      <c r="GE92" s="14">
        <v>2144953.86</v>
      </c>
      <c r="GF92" s="14">
        <v>8410.99</v>
      </c>
      <c r="GG92" s="15">
        <f t="shared" si="472"/>
        <v>2700128.6100000003</v>
      </c>
      <c r="GH92" s="14">
        <v>28066033.199999999</v>
      </c>
      <c r="GI92" s="14">
        <v>132000</v>
      </c>
      <c r="GJ92" s="14">
        <v>948000</v>
      </c>
      <c r="GK92" s="14">
        <v>4912509</v>
      </c>
      <c r="GL92" s="15">
        <f t="shared" si="473"/>
        <v>34058542.200000003</v>
      </c>
      <c r="GM92" s="15">
        <f t="shared" si="474"/>
        <v>36758670.810000002</v>
      </c>
      <c r="GN92" s="14">
        <v>3814.51</v>
      </c>
      <c r="GO92" s="14">
        <v>0</v>
      </c>
      <c r="GP92" s="14">
        <v>10180.92</v>
      </c>
      <c r="GQ92" s="14">
        <v>4637.34</v>
      </c>
      <c r="GR92" s="15">
        <f t="shared" si="475"/>
        <v>18632.77</v>
      </c>
      <c r="GS92" s="14">
        <v>6251</v>
      </c>
      <c r="GT92" s="14">
        <v>0</v>
      </c>
      <c r="GU92" s="14">
        <v>2679</v>
      </c>
      <c r="GV92" s="14">
        <v>893</v>
      </c>
      <c r="GW92" s="15">
        <f t="shared" si="476"/>
        <v>9823</v>
      </c>
      <c r="GX92" s="15">
        <f t="shared" si="477"/>
        <v>36787126.580000006</v>
      </c>
      <c r="GY92" s="14">
        <v>139413.299999999</v>
      </c>
      <c r="GZ92" s="14">
        <v>10080634.119999999</v>
      </c>
      <c r="HA92" s="15">
        <f t="shared" si="478"/>
        <v>10220047.419999998</v>
      </c>
      <c r="HB92" s="15">
        <f t="shared" si="479"/>
        <v>0.77930881317558975</v>
      </c>
      <c r="HC92" s="16">
        <f t="shared" si="480"/>
        <v>0.92617323776180449</v>
      </c>
      <c r="HD92" s="15">
        <f t="shared" si="481"/>
        <v>0.92968318483981993</v>
      </c>
      <c r="HE92" s="14">
        <v>391</v>
      </c>
      <c r="HF92" s="14">
        <v>7</v>
      </c>
      <c r="HG92" s="14">
        <v>2663</v>
      </c>
      <c r="HH92" s="14">
        <v>602</v>
      </c>
      <c r="HI92" s="14">
        <v>7</v>
      </c>
      <c r="HJ92" s="15">
        <f t="shared" si="482"/>
        <v>14</v>
      </c>
      <c r="HK92" s="16">
        <f t="shared" si="483"/>
        <v>1.5396419437340154</v>
      </c>
      <c r="HL92" s="14">
        <v>10</v>
      </c>
      <c r="HM92" s="14">
        <v>24</v>
      </c>
      <c r="HN92" s="17">
        <f t="shared" si="484"/>
        <v>2.4</v>
      </c>
    </row>
    <row r="93" spans="1:222" x14ac:dyDescent="0.3">
      <c r="A93" s="6" t="s">
        <v>276</v>
      </c>
      <c r="B93" s="6" t="s">
        <v>279</v>
      </c>
      <c r="C93" s="7" t="s">
        <v>257</v>
      </c>
      <c r="D93" s="7">
        <v>2025</v>
      </c>
      <c r="E93" s="7">
        <v>10</v>
      </c>
      <c r="F93" s="7" t="s">
        <v>266</v>
      </c>
      <c r="G93" s="7" t="s">
        <v>267</v>
      </c>
      <c r="H93" s="8">
        <v>33579</v>
      </c>
      <c r="I93" s="8">
        <v>499</v>
      </c>
      <c r="J93" s="8">
        <v>0</v>
      </c>
      <c r="K93" s="8">
        <v>674</v>
      </c>
      <c r="L93" s="8">
        <v>1</v>
      </c>
      <c r="M93" s="9">
        <f t="shared" si="424"/>
        <v>1174</v>
      </c>
      <c r="N93" s="8">
        <v>25137.7</v>
      </c>
      <c r="O93" s="8">
        <v>720</v>
      </c>
      <c r="P93" s="8">
        <v>581</v>
      </c>
      <c r="Q93" s="8">
        <v>2420</v>
      </c>
      <c r="R93" s="9">
        <f t="shared" si="425"/>
        <v>28858.7</v>
      </c>
      <c r="S93" s="9">
        <f t="shared" si="426"/>
        <v>30032.7</v>
      </c>
      <c r="T93" s="8">
        <v>3546.2999999999902</v>
      </c>
      <c r="U93" s="10">
        <f t="shared" si="427"/>
        <v>0.10561064951308824</v>
      </c>
      <c r="V93" s="8">
        <v>52.5</v>
      </c>
      <c r="W93" s="11">
        <f t="shared" si="428"/>
        <v>1.5634771732332708E-3</v>
      </c>
      <c r="X93" s="8">
        <v>0</v>
      </c>
      <c r="Y93" s="11">
        <f t="shared" si="429"/>
        <v>0</v>
      </c>
      <c r="Z93" s="8">
        <v>0</v>
      </c>
      <c r="AA93" s="11">
        <f t="shared" si="430"/>
        <v>0</v>
      </c>
      <c r="AB93" s="8">
        <v>0</v>
      </c>
      <c r="AC93" s="11">
        <f t="shared" si="431"/>
        <v>0</v>
      </c>
      <c r="AD93" s="8">
        <v>0</v>
      </c>
      <c r="AE93" s="11">
        <f t="shared" si="432"/>
        <v>0</v>
      </c>
      <c r="AF93" s="8">
        <v>0</v>
      </c>
      <c r="AG93" s="11">
        <f t="shared" si="433"/>
        <v>0</v>
      </c>
      <c r="AH93" s="8">
        <v>1256277.75</v>
      </c>
      <c r="AI93" s="9">
        <f t="shared" si="434"/>
        <v>37.412601626016261</v>
      </c>
      <c r="AJ93" s="8">
        <v>68656</v>
      </c>
      <c r="AK93" s="11">
        <f t="shared" si="435"/>
        <v>2.0446112153429228</v>
      </c>
      <c r="AL93" s="8">
        <v>11497077.439999999</v>
      </c>
      <c r="AM93" s="9">
        <f t="shared" si="436"/>
        <v>342.38891688257542</v>
      </c>
      <c r="AN93" s="8">
        <v>0</v>
      </c>
      <c r="AO93" s="8">
        <v>0</v>
      </c>
      <c r="AP93" s="8">
        <v>0</v>
      </c>
      <c r="AQ93" s="8">
        <v>0</v>
      </c>
      <c r="AR93" s="8">
        <v>8526652.7100000009</v>
      </c>
      <c r="AS93" s="8">
        <v>6176128.0300000003</v>
      </c>
      <c r="AT93" s="8">
        <v>1070220</v>
      </c>
      <c r="AU93" s="9">
        <f t="shared" si="437"/>
        <v>28526355.93</v>
      </c>
      <c r="AV93" s="9">
        <f t="shared" si="438"/>
        <v>849.52964442062</v>
      </c>
      <c r="AW93" s="9">
        <f t="shared" si="439"/>
        <v>949.84320190991821</v>
      </c>
      <c r="AX93" s="8">
        <v>10</v>
      </c>
      <c r="AY93" s="9">
        <f t="shared" si="440"/>
        <v>3.5736621102474762</v>
      </c>
      <c r="AZ93" s="8">
        <v>44</v>
      </c>
      <c r="BA93" s="8">
        <v>2638</v>
      </c>
      <c r="BB93" s="8">
        <v>461</v>
      </c>
      <c r="BC93" s="8">
        <v>0</v>
      </c>
      <c r="BD93" s="8">
        <v>74</v>
      </c>
      <c r="BE93" s="9">
        <f t="shared" si="441"/>
        <v>74</v>
      </c>
      <c r="BF93" s="9">
        <f t="shared" si="442"/>
        <v>3025</v>
      </c>
      <c r="BG93" s="8">
        <v>9</v>
      </c>
      <c r="BH93" s="8">
        <v>0</v>
      </c>
      <c r="BI93" s="8">
        <v>0</v>
      </c>
      <c r="BJ93" s="8">
        <v>0</v>
      </c>
      <c r="BK93" s="9">
        <f t="shared" si="443"/>
        <v>0</v>
      </c>
      <c r="BL93" s="9">
        <f t="shared" si="444"/>
        <v>9</v>
      </c>
      <c r="BM93" s="8">
        <v>16</v>
      </c>
      <c r="BN93" s="8">
        <v>0</v>
      </c>
      <c r="BO93" s="8">
        <v>0</v>
      </c>
      <c r="BP93" s="8">
        <v>0</v>
      </c>
      <c r="BQ93" s="9">
        <f t="shared" si="445"/>
        <v>0</v>
      </c>
      <c r="BR93" s="9">
        <f t="shared" si="446"/>
        <v>16</v>
      </c>
      <c r="BS93" s="8">
        <v>0</v>
      </c>
      <c r="BT93" s="8">
        <v>0</v>
      </c>
      <c r="BU93" s="8">
        <v>0</v>
      </c>
      <c r="BV93" s="8">
        <v>0</v>
      </c>
      <c r="BW93" s="9">
        <f t="shared" si="447"/>
        <v>0</v>
      </c>
      <c r="BX93" s="9">
        <f t="shared" si="448"/>
        <v>0</v>
      </c>
      <c r="BY93" s="9">
        <f t="shared" si="449"/>
        <v>2663</v>
      </c>
      <c r="BZ93" s="9">
        <f t="shared" si="450"/>
        <v>461</v>
      </c>
      <c r="CA93" s="9">
        <f t="shared" si="451"/>
        <v>74</v>
      </c>
      <c r="CB93" s="9">
        <f t="shared" si="452"/>
        <v>3050</v>
      </c>
      <c r="CC93" s="8">
        <v>74</v>
      </c>
      <c r="CD93" s="8">
        <v>0</v>
      </c>
      <c r="CE93" s="8">
        <v>0</v>
      </c>
      <c r="CF93" s="8">
        <v>0</v>
      </c>
      <c r="CG93" s="8">
        <v>0</v>
      </c>
      <c r="CH93" s="9">
        <f t="shared" si="453"/>
        <v>0</v>
      </c>
      <c r="CI93" s="8">
        <v>7</v>
      </c>
      <c r="CJ93" s="8">
        <v>3</v>
      </c>
      <c r="CK93" s="8">
        <v>1</v>
      </c>
      <c r="CL93" s="8">
        <v>0</v>
      </c>
      <c r="CM93" s="9">
        <f t="shared" si="454"/>
        <v>11</v>
      </c>
      <c r="CN93" s="8">
        <v>4269</v>
      </c>
      <c r="CO93" s="8">
        <v>61</v>
      </c>
      <c r="CP93" s="8">
        <v>83</v>
      </c>
      <c r="CQ93" s="8">
        <v>15</v>
      </c>
      <c r="CR93" s="9">
        <f t="shared" si="455"/>
        <v>4428</v>
      </c>
      <c r="CS93" s="9">
        <f t="shared" si="456"/>
        <v>4439</v>
      </c>
      <c r="CT93" s="8">
        <v>4439</v>
      </c>
      <c r="CU93" s="8">
        <v>0</v>
      </c>
      <c r="CV93" s="8">
        <v>0</v>
      </c>
      <c r="CW93" s="10" t="str">
        <f t="shared" si="457"/>
        <v/>
      </c>
      <c r="CX93" s="8"/>
      <c r="CY93" s="8"/>
      <c r="CZ93" s="8"/>
      <c r="DA93" s="8"/>
      <c r="DB93" s="9">
        <f t="shared" si="458"/>
        <v>0</v>
      </c>
      <c r="DC93" s="8">
        <v>0</v>
      </c>
      <c r="DD93" s="8">
        <v>0</v>
      </c>
      <c r="DE93" s="8">
        <v>0</v>
      </c>
      <c r="DF93" s="8">
        <v>0</v>
      </c>
      <c r="DG93" s="9">
        <f t="shared" si="459"/>
        <v>0</v>
      </c>
      <c r="DH93" s="8">
        <v>0</v>
      </c>
      <c r="DI93" s="8">
        <v>0</v>
      </c>
      <c r="DJ93" s="8">
        <v>0</v>
      </c>
      <c r="DK93" s="8">
        <v>0</v>
      </c>
      <c r="DL93" s="9">
        <f t="shared" si="460"/>
        <v>0</v>
      </c>
      <c r="DM93" s="8">
        <v>51</v>
      </c>
      <c r="DN93" s="8">
        <v>12</v>
      </c>
      <c r="DO93" s="8">
        <v>0</v>
      </c>
      <c r="DP93" s="8">
        <v>3</v>
      </c>
      <c r="DQ93" s="9">
        <f t="shared" si="461"/>
        <v>60</v>
      </c>
      <c r="DR93" s="9">
        <f t="shared" si="462"/>
        <v>51</v>
      </c>
      <c r="DS93" s="9">
        <f t="shared" si="463"/>
        <v>12</v>
      </c>
      <c r="DT93" s="9">
        <f t="shared" si="464"/>
        <v>0</v>
      </c>
      <c r="DU93" s="9">
        <f t="shared" si="465"/>
        <v>3</v>
      </c>
      <c r="DV93" s="9">
        <f t="shared" si="466"/>
        <v>60</v>
      </c>
      <c r="DW93" s="8">
        <v>46</v>
      </c>
      <c r="DX93" s="8">
        <v>34</v>
      </c>
      <c r="DY93" s="8">
        <v>6</v>
      </c>
      <c r="DZ93" s="8">
        <v>4</v>
      </c>
      <c r="EA93" s="8">
        <v>1</v>
      </c>
      <c r="EB93" s="8">
        <v>0</v>
      </c>
      <c r="EC93" s="8">
        <v>3</v>
      </c>
      <c r="ED93" s="8">
        <v>0</v>
      </c>
      <c r="EE93" s="8">
        <v>1</v>
      </c>
      <c r="EF93" s="8">
        <v>0</v>
      </c>
      <c r="EG93" s="8">
        <v>1</v>
      </c>
      <c r="EH93" s="8">
        <v>0</v>
      </c>
      <c r="EI93" s="8">
        <v>1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9">
        <f t="shared" si="467"/>
        <v>97</v>
      </c>
      <c r="FH93" s="8">
        <v>8</v>
      </c>
      <c r="FI93" s="8">
        <v>398</v>
      </c>
      <c r="FJ93" s="8">
        <v>24</v>
      </c>
      <c r="FK93" s="8">
        <v>24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9">
        <f t="shared" si="468"/>
        <v>0</v>
      </c>
      <c r="FR93" s="8">
        <v>0</v>
      </c>
      <c r="FS93" s="8">
        <v>0</v>
      </c>
      <c r="FT93" s="8">
        <v>0</v>
      </c>
      <c r="FU93" s="8">
        <v>0</v>
      </c>
      <c r="FV93" s="9">
        <f t="shared" si="469"/>
        <v>0</v>
      </c>
      <c r="FW93" s="8">
        <v>31178789</v>
      </c>
      <c r="FX93" s="8">
        <v>152900</v>
      </c>
      <c r="FY93" s="8">
        <v>11340500</v>
      </c>
      <c r="FZ93" s="8">
        <v>1765254</v>
      </c>
      <c r="GA93" s="9">
        <f t="shared" si="470"/>
        <v>44437443</v>
      </c>
      <c r="GB93" s="9">
        <f t="shared" si="471"/>
        <v>44437443</v>
      </c>
      <c r="GC93" s="8">
        <v>474002.53</v>
      </c>
      <c r="GD93" s="8">
        <v>0</v>
      </c>
      <c r="GE93" s="8">
        <v>2305172.91</v>
      </c>
      <c r="GF93" s="8">
        <v>8410.99</v>
      </c>
      <c r="GG93" s="9">
        <f t="shared" si="472"/>
        <v>2787586.4300000006</v>
      </c>
      <c r="GH93" s="8">
        <v>31170934.600000001</v>
      </c>
      <c r="GI93" s="8">
        <v>152900</v>
      </c>
      <c r="GJ93" s="8">
        <v>1765254</v>
      </c>
      <c r="GK93" s="8">
        <v>11340500</v>
      </c>
      <c r="GL93" s="9">
        <f t="shared" si="473"/>
        <v>44429588.600000001</v>
      </c>
      <c r="GM93" s="9">
        <f t="shared" si="474"/>
        <v>47217175.030000001</v>
      </c>
      <c r="GN93" s="8">
        <v>3269.58</v>
      </c>
      <c r="GO93" s="8">
        <v>0</v>
      </c>
      <c r="GP93" s="8">
        <v>10180.92</v>
      </c>
      <c r="GQ93" s="8">
        <v>4637.34</v>
      </c>
      <c r="GR93" s="9">
        <f t="shared" si="475"/>
        <v>18087.84</v>
      </c>
      <c r="GS93" s="8">
        <v>5358</v>
      </c>
      <c r="GT93" s="8">
        <v>0</v>
      </c>
      <c r="GU93" s="8">
        <v>2679</v>
      </c>
      <c r="GV93" s="8">
        <v>893</v>
      </c>
      <c r="GW93" s="9">
        <f t="shared" si="476"/>
        <v>8930</v>
      </c>
      <c r="GX93" s="9">
        <f t="shared" si="477"/>
        <v>47244192.870000005</v>
      </c>
      <c r="GY93" s="8">
        <v>153354.63</v>
      </c>
      <c r="GZ93" s="8">
        <v>3378493.43</v>
      </c>
      <c r="HA93" s="9">
        <f t="shared" si="478"/>
        <v>3531848.06</v>
      </c>
      <c r="HB93" s="9">
        <f t="shared" si="479"/>
        <v>0.60380660980905854</v>
      </c>
      <c r="HC93" s="10">
        <f t="shared" si="480"/>
        <v>0.9375473066407074</v>
      </c>
      <c r="HD93" s="9">
        <f t="shared" si="481"/>
        <v>0.94059058480005731</v>
      </c>
      <c r="HE93" s="8">
        <v>3050</v>
      </c>
      <c r="HF93" s="8">
        <v>1</v>
      </c>
      <c r="HG93" s="8">
        <v>3050</v>
      </c>
      <c r="HH93" s="8">
        <v>461</v>
      </c>
      <c r="HI93" s="8">
        <v>0</v>
      </c>
      <c r="HJ93" s="9">
        <f t="shared" si="482"/>
        <v>1</v>
      </c>
      <c r="HK93" s="10">
        <f t="shared" si="483"/>
        <v>0.15114754098360655</v>
      </c>
      <c r="HL93" s="8">
        <v>20</v>
      </c>
      <c r="HM93" s="8">
        <v>24</v>
      </c>
      <c r="HN93" s="11">
        <f t="shared" si="484"/>
        <v>1.2</v>
      </c>
    </row>
    <row r="94" spans="1:222" x14ac:dyDescent="0.3">
      <c r="A94" s="12" t="s">
        <v>276</v>
      </c>
      <c r="B94" s="12" t="s">
        <v>279</v>
      </c>
      <c r="C94" s="13" t="s">
        <v>257</v>
      </c>
      <c r="D94" s="13">
        <v>2025</v>
      </c>
      <c r="E94" s="13">
        <v>11</v>
      </c>
      <c r="F94" s="13" t="s">
        <v>268</v>
      </c>
      <c r="G94" s="13" t="s">
        <v>267</v>
      </c>
      <c r="H94" s="14">
        <v>35834.5</v>
      </c>
      <c r="I94" s="14">
        <v>466</v>
      </c>
      <c r="J94" s="14">
        <v>0</v>
      </c>
      <c r="K94" s="14">
        <v>661</v>
      </c>
      <c r="L94" s="14">
        <v>1</v>
      </c>
      <c r="M94" s="15">
        <f t="shared" si="424"/>
        <v>1128</v>
      </c>
      <c r="N94" s="14">
        <v>21435</v>
      </c>
      <c r="O94" s="14">
        <v>658</v>
      </c>
      <c r="P94" s="14">
        <v>265</v>
      </c>
      <c r="Q94" s="14">
        <v>1156</v>
      </c>
      <c r="R94" s="15">
        <f t="shared" si="425"/>
        <v>23514</v>
      </c>
      <c r="S94" s="15">
        <f t="shared" si="426"/>
        <v>24642</v>
      </c>
      <c r="T94" s="14">
        <v>11192.5</v>
      </c>
      <c r="U94" s="16">
        <f t="shared" si="427"/>
        <v>0.31233866804336602</v>
      </c>
      <c r="V94" s="14">
        <v>67</v>
      </c>
      <c r="W94" s="17">
        <f t="shared" si="428"/>
        <v>1.8697065676931449E-3</v>
      </c>
      <c r="X94" s="14">
        <v>0</v>
      </c>
      <c r="Y94" s="17">
        <f t="shared" si="429"/>
        <v>0</v>
      </c>
      <c r="Z94" s="14">
        <v>0</v>
      </c>
      <c r="AA94" s="17">
        <f t="shared" si="430"/>
        <v>0</v>
      </c>
      <c r="AB94" s="14">
        <v>0</v>
      </c>
      <c r="AC94" s="17">
        <f t="shared" si="431"/>
        <v>0</v>
      </c>
      <c r="AD94" s="14">
        <v>0</v>
      </c>
      <c r="AE94" s="17">
        <f t="shared" si="432"/>
        <v>0</v>
      </c>
      <c r="AF94" s="14">
        <v>0</v>
      </c>
      <c r="AG94" s="17">
        <f t="shared" si="433"/>
        <v>0</v>
      </c>
      <c r="AH94" s="14">
        <v>1603249.7</v>
      </c>
      <c r="AI94" s="15">
        <f t="shared" si="434"/>
        <v>44.740395428986034</v>
      </c>
      <c r="AJ94" s="14">
        <v>71623</v>
      </c>
      <c r="AK94" s="17">
        <f t="shared" si="435"/>
        <v>1.9987163208639718</v>
      </c>
      <c r="AL94" s="14">
        <v>11993093.0825</v>
      </c>
      <c r="AM94" s="15">
        <f t="shared" si="436"/>
        <v>334.68007318366375</v>
      </c>
      <c r="AN94" s="14">
        <v>0</v>
      </c>
      <c r="AO94" s="14">
        <v>0</v>
      </c>
      <c r="AP94" s="14">
        <v>0</v>
      </c>
      <c r="AQ94" s="14">
        <v>0</v>
      </c>
      <c r="AR94" s="14">
        <v>8154385.96</v>
      </c>
      <c r="AS94" s="14">
        <v>6176128.0300000003</v>
      </c>
      <c r="AT94" s="14">
        <v>1095220</v>
      </c>
      <c r="AU94" s="15">
        <f t="shared" si="437"/>
        <v>29022076.772500001</v>
      </c>
      <c r="AV94" s="15">
        <f t="shared" si="438"/>
        <v>809.89205297967044</v>
      </c>
      <c r="AW94" s="15">
        <f t="shared" si="439"/>
        <v>1177.7484283946108</v>
      </c>
      <c r="AX94" s="14">
        <v>9</v>
      </c>
      <c r="AY94" s="15">
        <f t="shared" si="440"/>
        <v>3.0138553628486515</v>
      </c>
      <c r="AZ94" s="14">
        <v>44</v>
      </c>
      <c r="BA94" s="14">
        <v>3025</v>
      </c>
      <c r="BB94" s="14">
        <v>19</v>
      </c>
      <c r="BC94" s="14">
        <v>0</v>
      </c>
      <c r="BD94" s="14">
        <v>40</v>
      </c>
      <c r="BE94" s="15">
        <f t="shared" si="441"/>
        <v>40</v>
      </c>
      <c r="BF94" s="15">
        <f t="shared" si="442"/>
        <v>3004</v>
      </c>
      <c r="BG94" s="14">
        <v>9</v>
      </c>
      <c r="BH94" s="14">
        <v>0</v>
      </c>
      <c r="BI94" s="14">
        <v>0</v>
      </c>
      <c r="BJ94" s="14">
        <v>0</v>
      </c>
      <c r="BK94" s="15">
        <f t="shared" si="443"/>
        <v>0</v>
      </c>
      <c r="BL94" s="15">
        <f t="shared" si="444"/>
        <v>9</v>
      </c>
      <c r="BM94" s="14">
        <v>16</v>
      </c>
      <c r="BN94" s="14">
        <v>0</v>
      </c>
      <c r="BO94" s="14">
        <v>0</v>
      </c>
      <c r="BP94" s="14">
        <v>1</v>
      </c>
      <c r="BQ94" s="15">
        <f t="shared" si="445"/>
        <v>1</v>
      </c>
      <c r="BR94" s="15">
        <f t="shared" si="446"/>
        <v>15</v>
      </c>
      <c r="BS94" s="14">
        <v>0</v>
      </c>
      <c r="BT94" s="14">
        <v>0</v>
      </c>
      <c r="BU94" s="14">
        <v>0</v>
      </c>
      <c r="BV94" s="14">
        <v>0</v>
      </c>
      <c r="BW94" s="15">
        <f t="shared" si="447"/>
        <v>0</v>
      </c>
      <c r="BX94" s="15">
        <f t="shared" si="448"/>
        <v>0</v>
      </c>
      <c r="BY94" s="15">
        <f t="shared" si="449"/>
        <v>3050</v>
      </c>
      <c r="BZ94" s="15">
        <f t="shared" si="450"/>
        <v>19</v>
      </c>
      <c r="CA94" s="15">
        <f t="shared" si="451"/>
        <v>41</v>
      </c>
      <c r="CB94" s="15">
        <f t="shared" si="452"/>
        <v>3028</v>
      </c>
      <c r="CC94" s="14">
        <v>41</v>
      </c>
      <c r="CD94" s="14">
        <v>0</v>
      </c>
      <c r="CE94" s="14">
        <v>0</v>
      </c>
      <c r="CF94" s="14">
        <v>0</v>
      </c>
      <c r="CG94" s="14">
        <v>0</v>
      </c>
      <c r="CH94" s="15">
        <f t="shared" si="453"/>
        <v>0</v>
      </c>
      <c r="CI94" s="14">
        <v>7</v>
      </c>
      <c r="CJ94" s="14">
        <v>3</v>
      </c>
      <c r="CK94" s="14">
        <v>1</v>
      </c>
      <c r="CL94" s="14">
        <v>0</v>
      </c>
      <c r="CM94" s="15">
        <f t="shared" si="454"/>
        <v>11</v>
      </c>
      <c r="CN94" s="14">
        <v>4309</v>
      </c>
      <c r="CO94" s="14">
        <v>61</v>
      </c>
      <c r="CP94" s="14">
        <v>84</v>
      </c>
      <c r="CQ94" s="14">
        <v>15</v>
      </c>
      <c r="CR94" s="15">
        <f t="shared" si="455"/>
        <v>4469</v>
      </c>
      <c r="CS94" s="15">
        <f t="shared" si="456"/>
        <v>4480</v>
      </c>
      <c r="CT94" s="14">
        <v>4480</v>
      </c>
      <c r="CU94" s="14">
        <v>0</v>
      </c>
      <c r="CV94" s="14">
        <v>0</v>
      </c>
      <c r="CW94" s="16" t="str">
        <f t="shared" si="457"/>
        <v/>
      </c>
      <c r="CX94" s="14"/>
      <c r="CY94" s="14"/>
      <c r="CZ94" s="14"/>
      <c r="DA94" s="14"/>
      <c r="DB94" s="15">
        <f t="shared" si="458"/>
        <v>0</v>
      </c>
      <c r="DC94" s="14">
        <v>0</v>
      </c>
      <c r="DD94" s="14">
        <v>0</v>
      </c>
      <c r="DE94" s="14">
        <v>0</v>
      </c>
      <c r="DF94" s="14">
        <v>0</v>
      </c>
      <c r="DG94" s="15">
        <f t="shared" si="459"/>
        <v>0</v>
      </c>
      <c r="DH94" s="14">
        <v>0</v>
      </c>
      <c r="DI94" s="14">
        <v>0</v>
      </c>
      <c r="DJ94" s="14">
        <v>0</v>
      </c>
      <c r="DK94" s="14">
        <v>0</v>
      </c>
      <c r="DL94" s="15">
        <f t="shared" si="460"/>
        <v>0</v>
      </c>
      <c r="DM94" s="14">
        <v>17</v>
      </c>
      <c r="DN94" s="14">
        <v>7</v>
      </c>
      <c r="DO94" s="14">
        <v>0</v>
      </c>
      <c r="DP94" s="14">
        <v>6</v>
      </c>
      <c r="DQ94" s="15">
        <f t="shared" si="461"/>
        <v>18</v>
      </c>
      <c r="DR94" s="15">
        <f t="shared" si="462"/>
        <v>17</v>
      </c>
      <c r="DS94" s="15">
        <f t="shared" si="463"/>
        <v>7</v>
      </c>
      <c r="DT94" s="15">
        <f t="shared" si="464"/>
        <v>0</v>
      </c>
      <c r="DU94" s="15">
        <f t="shared" si="465"/>
        <v>6</v>
      </c>
      <c r="DV94" s="15">
        <f t="shared" si="466"/>
        <v>18</v>
      </c>
      <c r="DW94" s="14">
        <v>34</v>
      </c>
      <c r="DX94" s="14">
        <v>29</v>
      </c>
      <c r="DY94" s="14">
        <v>10</v>
      </c>
      <c r="DZ94" s="14">
        <v>6</v>
      </c>
      <c r="EA94" s="14">
        <v>0</v>
      </c>
      <c r="EB94" s="14">
        <v>1</v>
      </c>
      <c r="EC94" s="14">
        <v>0</v>
      </c>
      <c r="ED94" s="14">
        <v>2</v>
      </c>
      <c r="EE94" s="14">
        <v>0</v>
      </c>
      <c r="EF94" s="14">
        <v>0</v>
      </c>
      <c r="EG94" s="14">
        <v>1</v>
      </c>
      <c r="EH94" s="14">
        <v>0</v>
      </c>
      <c r="EI94" s="14">
        <v>0</v>
      </c>
      <c r="EJ94" s="14">
        <v>2</v>
      </c>
      <c r="EK94" s="14">
        <v>0</v>
      </c>
      <c r="EL94" s="14">
        <v>0</v>
      </c>
      <c r="EM94" s="14">
        <v>0</v>
      </c>
      <c r="EN94" s="14">
        <v>0</v>
      </c>
      <c r="EO94" s="14">
        <v>0</v>
      </c>
      <c r="EP94" s="14">
        <v>0</v>
      </c>
      <c r="EQ94" s="14">
        <v>0</v>
      </c>
      <c r="ER94" s="14">
        <v>0</v>
      </c>
      <c r="ES94" s="14">
        <v>0</v>
      </c>
      <c r="ET94" s="14">
        <v>0</v>
      </c>
      <c r="EU94" s="14">
        <v>0</v>
      </c>
      <c r="EV94" s="14">
        <v>0</v>
      </c>
      <c r="EW94" s="14">
        <v>0</v>
      </c>
      <c r="EX94" s="14">
        <v>0</v>
      </c>
      <c r="EY94" s="14">
        <v>0</v>
      </c>
      <c r="EZ94" s="14">
        <v>0</v>
      </c>
      <c r="FA94" s="14">
        <v>0</v>
      </c>
      <c r="FB94" s="14">
        <v>0</v>
      </c>
      <c r="FC94" s="14">
        <v>0</v>
      </c>
      <c r="FD94" s="14">
        <v>0</v>
      </c>
      <c r="FE94" s="14">
        <v>0</v>
      </c>
      <c r="FF94" s="14">
        <v>0</v>
      </c>
      <c r="FG94" s="15">
        <f t="shared" si="467"/>
        <v>85</v>
      </c>
      <c r="FH94" s="14">
        <v>8</v>
      </c>
      <c r="FI94" s="14">
        <v>210</v>
      </c>
      <c r="FJ94" s="14">
        <v>24</v>
      </c>
      <c r="FK94" s="14">
        <v>22</v>
      </c>
      <c r="FL94" s="14">
        <v>0</v>
      </c>
      <c r="FM94" s="14">
        <v>0</v>
      </c>
      <c r="FN94" s="14">
        <v>0</v>
      </c>
      <c r="FO94" s="14">
        <v>0</v>
      </c>
      <c r="FP94" s="14">
        <v>0</v>
      </c>
      <c r="FQ94" s="15">
        <f t="shared" si="468"/>
        <v>0</v>
      </c>
      <c r="FR94" s="14">
        <v>0</v>
      </c>
      <c r="FS94" s="14">
        <v>0</v>
      </c>
      <c r="FT94" s="14">
        <v>0</v>
      </c>
      <c r="FU94" s="14">
        <v>0</v>
      </c>
      <c r="FV94" s="15">
        <f t="shared" si="469"/>
        <v>0</v>
      </c>
      <c r="FW94" s="14">
        <v>26724625.600000001</v>
      </c>
      <c r="FX94" s="14">
        <v>147250</v>
      </c>
      <c r="FY94" s="14">
        <v>4996358.8</v>
      </c>
      <c r="FZ94" s="14">
        <v>1007817.6</v>
      </c>
      <c r="GA94" s="15">
        <f t="shared" si="470"/>
        <v>32876052.000000004</v>
      </c>
      <c r="GB94" s="15">
        <f t="shared" si="471"/>
        <v>32876052.000000004</v>
      </c>
      <c r="GC94" s="14">
        <v>441208.37</v>
      </c>
      <c r="GD94" s="14">
        <v>0</v>
      </c>
      <c r="GE94" s="14">
        <v>2254754.46</v>
      </c>
      <c r="GF94" s="14">
        <v>8410.99</v>
      </c>
      <c r="GG94" s="15">
        <f t="shared" si="472"/>
        <v>2704373.8200000003</v>
      </c>
      <c r="GH94" s="14">
        <v>26517228</v>
      </c>
      <c r="GI94" s="14">
        <v>147250</v>
      </c>
      <c r="GJ94" s="14">
        <v>806600</v>
      </c>
      <c r="GK94" s="14">
        <v>4895750</v>
      </c>
      <c r="GL94" s="15">
        <f t="shared" si="473"/>
        <v>32366828</v>
      </c>
      <c r="GM94" s="15">
        <f t="shared" si="474"/>
        <v>35071201.82</v>
      </c>
      <c r="GN94" s="14">
        <v>3269.58</v>
      </c>
      <c r="GO94" s="14">
        <v>0</v>
      </c>
      <c r="GP94" s="14">
        <v>10180.92</v>
      </c>
      <c r="GQ94" s="14">
        <v>4637.34</v>
      </c>
      <c r="GR94" s="15">
        <f t="shared" si="475"/>
        <v>18087.84</v>
      </c>
      <c r="GS94" s="14">
        <v>5358</v>
      </c>
      <c r="GT94" s="14">
        <v>0</v>
      </c>
      <c r="GU94" s="14">
        <v>2679</v>
      </c>
      <c r="GV94" s="14">
        <v>893</v>
      </c>
      <c r="GW94" s="15">
        <f t="shared" si="476"/>
        <v>8930</v>
      </c>
      <c r="GX94" s="15">
        <f t="shared" si="477"/>
        <v>35098219.660000004</v>
      </c>
      <c r="GY94" s="14">
        <v>167295.959999999</v>
      </c>
      <c r="GZ94" s="14">
        <v>6095943.7599999998</v>
      </c>
      <c r="HA94" s="15">
        <f t="shared" si="478"/>
        <v>6263239.7199999988</v>
      </c>
      <c r="HB94" s="15">
        <f t="shared" si="479"/>
        <v>0.82688173513186103</v>
      </c>
      <c r="HC94" s="16">
        <f t="shared" si="480"/>
        <v>0.93224362162324736</v>
      </c>
      <c r="HD94" s="15">
        <f t="shared" si="481"/>
        <v>0.93668716870751956</v>
      </c>
      <c r="HE94" s="14">
        <v>19</v>
      </c>
      <c r="HF94" s="14">
        <v>2</v>
      </c>
      <c r="HG94" s="14">
        <v>3028</v>
      </c>
      <c r="HH94" s="14">
        <v>19</v>
      </c>
      <c r="HI94" s="14">
        <v>0</v>
      </c>
      <c r="HJ94" s="15">
        <f t="shared" si="482"/>
        <v>2</v>
      </c>
      <c r="HK94" s="16">
        <f t="shared" si="483"/>
        <v>1</v>
      </c>
      <c r="HL94" s="14">
        <v>15</v>
      </c>
      <c r="HM94" s="14">
        <v>24</v>
      </c>
      <c r="HN94" s="17">
        <f t="shared" si="484"/>
        <v>1.6</v>
      </c>
    </row>
    <row r="95" spans="1:222" x14ac:dyDescent="0.3">
      <c r="A95" s="6" t="s">
        <v>276</v>
      </c>
      <c r="B95" s="6" t="s">
        <v>279</v>
      </c>
      <c r="C95" s="7" t="s">
        <v>257</v>
      </c>
      <c r="D95" s="7">
        <v>2025</v>
      </c>
      <c r="E95" s="7">
        <v>12</v>
      </c>
      <c r="F95" s="7" t="s">
        <v>269</v>
      </c>
      <c r="G95" s="7" t="s">
        <v>267</v>
      </c>
      <c r="H95" s="8">
        <v>27749</v>
      </c>
      <c r="I95" s="8">
        <v>197</v>
      </c>
      <c r="J95" s="8">
        <v>0</v>
      </c>
      <c r="K95" s="8">
        <v>124</v>
      </c>
      <c r="L95" s="8">
        <v>1</v>
      </c>
      <c r="M95" s="9">
        <f t="shared" si="424"/>
        <v>322</v>
      </c>
      <c r="N95" s="8">
        <v>19367.400000000001</v>
      </c>
      <c r="O95" s="8">
        <v>601.9</v>
      </c>
      <c r="P95" s="8">
        <v>366</v>
      </c>
      <c r="Q95" s="8">
        <v>3123.5</v>
      </c>
      <c r="R95" s="9">
        <f t="shared" si="425"/>
        <v>23458.800000000003</v>
      </c>
      <c r="S95" s="9">
        <f t="shared" si="426"/>
        <v>23780.800000000003</v>
      </c>
      <c r="T95" s="8">
        <v>3968.2</v>
      </c>
      <c r="U95" s="10">
        <f t="shared" si="427"/>
        <v>0.14300335147212512</v>
      </c>
      <c r="V95" s="8">
        <v>63</v>
      </c>
      <c r="W95" s="11">
        <f t="shared" si="428"/>
        <v>2.2703520847598114E-3</v>
      </c>
      <c r="X95" s="8">
        <v>0</v>
      </c>
      <c r="Y95" s="11">
        <f t="shared" si="429"/>
        <v>0</v>
      </c>
      <c r="Z95" s="8">
        <v>0</v>
      </c>
      <c r="AA95" s="11">
        <f t="shared" si="430"/>
        <v>0</v>
      </c>
      <c r="AB95" s="8">
        <v>0</v>
      </c>
      <c r="AC95" s="11">
        <f t="shared" si="431"/>
        <v>0</v>
      </c>
      <c r="AD95" s="8">
        <v>0</v>
      </c>
      <c r="AE95" s="11">
        <f t="shared" si="432"/>
        <v>0</v>
      </c>
      <c r="AF95" s="8">
        <v>0</v>
      </c>
      <c r="AG95" s="11">
        <f t="shared" si="433"/>
        <v>0</v>
      </c>
      <c r="AH95" s="8">
        <v>1507533.3</v>
      </c>
      <c r="AI95" s="9">
        <f t="shared" si="434"/>
        <v>54.327482071425997</v>
      </c>
      <c r="AJ95" s="8">
        <v>59372</v>
      </c>
      <c r="AK95" s="11">
        <f t="shared" si="435"/>
        <v>2.1396086345453891</v>
      </c>
      <c r="AL95" s="8">
        <v>9945001.5300000012</v>
      </c>
      <c r="AM95" s="9">
        <f t="shared" si="436"/>
        <v>358.3913485170637</v>
      </c>
      <c r="AN95" s="8">
        <v>0</v>
      </c>
      <c r="AO95" s="8">
        <v>0</v>
      </c>
      <c r="AP95" s="8">
        <v>0</v>
      </c>
      <c r="AQ95" s="8">
        <v>0</v>
      </c>
      <c r="AR95" s="8">
        <v>8235680.3300000001</v>
      </c>
      <c r="AS95" s="8">
        <v>6216108.8600000003</v>
      </c>
      <c r="AT95" s="8">
        <v>1105470</v>
      </c>
      <c r="AU95" s="9">
        <f t="shared" si="437"/>
        <v>27009794.020000003</v>
      </c>
      <c r="AV95" s="9">
        <f t="shared" si="438"/>
        <v>973.36098670222361</v>
      </c>
      <c r="AW95" s="9">
        <f t="shared" si="439"/>
        <v>1135.781555708807</v>
      </c>
      <c r="AX95" s="8">
        <v>9</v>
      </c>
      <c r="AY95" s="9">
        <f t="shared" si="440"/>
        <v>3.8920321453025335</v>
      </c>
      <c r="AZ95" s="8">
        <v>42</v>
      </c>
      <c r="BA95" s="8">
        <v>3004</v>
      </c>
      <c r="BB95" s="8">
        <v>10</v>
      </c>
      <c r="BC95" s="8">
        <v>0</v>
      </c>
      <c r="BD95" s="8">
        <v>41</v>
      </c>
      <c r="BE95" s="9">
        <f t="shared" si="441"/>
        <v>41</v>
      </c>
      <c r="BF95" s="9">
        <f t="shared" si="442"/>
        <v>2973</v>
      </c>
      <c r="BG95" s="8">
        <v>9</v>
      </c>
      <c r="BH95" s="8">
        <v>0</v>
      </c>
      <c r="BI95" s="8">
        <v>0</v>
      </c>
      <c r="BJ95" s="8">
        <v>0</v>
      </c>
      <c r="BK95" s="9">
        <f t="shared" si="443"/>
        <v>0</v>
      </c>
      <c r="BL95" s="9">
        <f t="shared" si="444"/>
        <v>9</v>
      </c>
      <c r="BM95" s="8">
        <v>15</v>
      </c>
      <c r="BN95" s="8">
        <v>0</v>
      </c>
      <c r="BO95" s="8">
        <v>0</v>
      </c>
      <c r="BP95" s="8">
        <v>0</v>
      </c>
      <c r="BQ95" s="9">
        <f t="shared" si="445"/>
        <v>0</v>
      </c>
      <c r="BR95" s="9">
        <f t="shared" si="446"/>
        <v>15</v>
      </c>
      <c r="BS95" s="8">
        <v>0</v>
      </c>
      <c r="BT95" s="8">
        <v>0</v>
      </c>
      <c r="BU95" s="8">
        <v>0</v>
      </c>
      <c r="BV95" s="8">
        <v>0</v>
      </c>
      <c r="BW95" s="9">
        <f t="shared" si="447"/>
        <v>0</v>
      </c>
      <c r="BX95" s="9">
        <f t="shared" si="448"/>
        <v>0</v>
      </c>
      <c r="BY95" s="9">
        <f t="shared" si="449"/>
        <v>3028</v>
      </c>
      <c r="BZ95" s="9">
        <f t="shared" si="450"/>
        <v>10</v>
      </c>
      <c r="CA95" s="9">
        <f t="shared" si="451"/>
        <v>41</v>
      </c>
      <c r="CB95" s="9">
        <f t="shared" si="452"/>
        <v>2997</v>
      </c>
      <c r="CC95" s="8">
        <v>41</v>
      </c>
      <c r="CD95" s="8">
        <v>0</v>
      </c>
      <c r="CE95" s="8">
        <v>0</v>
      </c>
      <c r="CF95" s="8">
        <v>0</v>
      </c>
      <c r="CG95" s="8">
        <v>0</v>
      </c>
      <c r="CH95" s="9">
        <f t="shared" si="453"/>
        <v>0</v>
      </c>
      <c r="CI95" s="8">
        <v>6</v>
      </c>
      <c r="CJ95" s="8">
        <v>3</v>
      </c>
      <c r="CK95" s="8">
        <v>1</v>
      </c>
      <c r="CL95" s="8">
        <v>0</v>
      </c>
      <c r="CM95" s="9">
        <f t="shared" si="454"/>
        <v>10</v>
      </c>
      <c r="CN95" s="8">
        <v>4350</v>
      </c>
      <c r="CO95" s="8">
        <v>61</v>
      </c>
      <c r="CP95" s="8">
        <v>84</v>
      </c>
      <c r="CQ95" s="8">
        <v>15</v>
      </c>
      <c r="CR95" s="9">
        <f t="shared" si="455"/>
        <v>4510</v>
      </c>
      <c r="CS95" s="9">
        <f t="shared" si="456"/>
        <v>4520</v>
      </c>
      <c r="CT95" s="8">
        <v>4520</v>
      </c>
      <c r="CU95" s="8">
        <v>0</v>
      </c>
      <c r="CV95" s="8">
        <v>0</v>
      </c>
      <c r="CW95" s="10" t="str">
        <f t="shared" si="457"/>
        <v/>
      </c>
      <c r="CX95" s="8"/>
      <c r="CY95" s="8"/>
      <c r="CZ95" s="8"/>
      <c r="DA95" s="8"/>
      <c r="DB95" s="9">
        <f t="shared" si="458"/>
        <v>0</v>
      </c>
      <c r="DC95" s="8">
        <v>0</v>
      </c>
      <c r="DD95" s="8">
        <v>0</v>
      </c>
      <c r="DE95" s="8">
        <v>0</v>
      </c>
      <c r="DF95" s="8">
        <v>0</v>
      </c>
      <c r="DG95" s="9">
        <f t="shared" si="459"/>
        <v>0</v>
      </c>
      <c r="DH95" s="8">
        <v>0</v>
      </c>
      <c r="DI95" s="8">
        <v>0</v>
      </c>
      <c r="DJ95" s="8">
        <v>0</v>
      </c>
      <c r="DK95" s="8">
        <v>0</v>
      </c>
      <c r="DL95" s="9">
        <f t="shared" si="460"/>
        <v>0</v>
      </c>
      <c r="DM95" s="8">
        <v>18</v>
      </c>
      <c r="DN95" s="8">
        <v>7</v>
      </c>
      <c r="DO95" s="8">
        <v>0</v>
      </c>
      <c r="DP95" s="8">
        <v>0</v>
      </c>
      <c r="DQ95" s="9">
        <f t="shared" si="461"/>
        <v>25</v>
      </c>
      <c r="DR95" s="9">
        <f t="shared" si="462"/>
        <v>18</v>
      </c>
      <c r="DS95" s="9">
        <f t="shared" si="463"/>
        <v>7</v>
      </c>
      <c r="DT95" s="9">
        <f t="shared" si="464"/>
        <v>0</v>
      </c>
      <c r="DU95" s="9">
        <f t="shared" si="465"/>
        <v>0</v>
      </c>
      <c r="DV95" s="9">
        <f t="shared" si="466"/>
        <v>25</v>
      </c>
      <c r="DW95" s="8">
        <v>28</v>
      </c>
      <c r="DX95" s="8">
        <v>22</v>
      </c>
      <c r="DY95" s="8">
        <v>2</v>
      </c>
      <c r="DZ95" s="8">
        <v>11</v>
      </c>
      <c r="EA95" s="8">
        <v>0</v>
      </c>
      <c r="EB95" s="8">
        <v>3</v>
      </c>
      <c r="EC95" s="8">
        <v>0</v>
      </c>
      <c r="ED95" s="8">
        <v>1</v>
      </c>
      <c r="EE95" s="8">
        <v>2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9">
        <f t="shared" si="467"/>
        <v>69</v>
      </c>
      <c r="FH95" s="8">
        <v>8</v>
      </c>
      <c r="FI95" s="8">
        <v>172</v>
      </c>
      <c r="FJ95" s="8">
        <v>24</v>
      </c>
      <c r="FK95" s="8">
        <v>31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9">
        <f t="shared" si="468"/>
        <v>0</v>
      </c>
      <c r="FR95" s="8">
        <v>0</v>
      </c>
      <c r="FS95" s="8">
        <v>0</v>
      </c>
      <c r="FT95" s="8">
        <v>0</v>
      </c>
      <c r="FU95" s="8">
        <v>0</v>
      </c>
      <c r="FV95" s="9">
        <f t="shared" si="469"/>
        <v>0</v>
      </c>
      <c r="FW95" s="8">
        <v>23985301</v>
      </c>
      <c r="FX95" s="8">
        <v>139700</v>
      </c>
      <c r="FY95" s="8">
        <v>13863991</v>
      </c>
      <c r="FZ95" s="8">
        <v>1112900</v>
      </c>
      <c r="GA95" s="9">
        <f t="shared" si="470"/>
        <v>39101892</v>
      </c>
      <c r="GB95" s="9">
        <f t="shared" si="471"/>
        <v>39101892</v>
      </c>
      <c r="GC95" s="8">
        <v>186445.95</v>
      </c>
      <c r="GD95" s="8">
        <v>0</v>
      </c>
      <c r="GE95" s="8">
        <v>402464.41</v>
      </c>
      <c r="GF95" s="8">
        <v>8410.99</v>
      </c>
      <c r="GG95" s="9">
        <f t="shared" si="472"/>
        <v>597321.35</v>
      </c>
      <c r="GH95" s="8">
        <v>23973028.600000001</v>
      </c>
      <c r="GI95" s="8">
        <v>139700</v>
      </c>
      <c r="GJ95" s="8">
        <v>1112900</v>
      </c>
      <c r="GK95" s="8">
        <v>13107050</v>
      </c>
      <c r="GL95" s="9">
        <f t="shared" si="473"/>
        <v>38332678.600000001</v>
      </c>
      <c r="GM95" s="9">
        <f t="shared" si="474"/>
        <v>38929999.950000003</v>
      </c>
      <c r="GN95" s="8">
        <v>3269.58</v>
      </c>
      <c r="GO95" s="8">
        <v>0</v>
      </c>
      <c r="GP95" s="8">
        <v>10180.92</v>
      </c>
      <c r="GQ95" s="8">
        <v>4637.34</v>
      </c>
      <c r="GR95" s="9">
        <f t="shared" si="475"/>
        <v>18087.84</v>
      </c>
      <c r="GS95" s="8">
        <v>5358</v>
      </c>
      <c r="GT95" s="8">
        <v>0</v>
      </c>
      <c r="GU95" s="8">
        <v>2679</v>
      </c>
      <c r="GV95" s="8">
        <v>893</v>
      </c>
      <c r="GW95" s="9">
        <f t="shared" si="476"/>
        <v>8930</v>
      </c>
      <c r="GX95" s="9">
        <f t="shared" si="477"/>
        <v>38957017.790000007</v>
      </c>
      <c r="GY95" s="8">
        <v>181237.29</v>
      </c>
      <c r="GZ95" s="8">
        <v>1203063.01</v>
      </c>
      <c r="HA95" s="9">
        <f t="shared" si="478"/>
        <v>1384300.3</v>
      </c>
      <c r="HB95" s="9">
        <f t="shared" si="479"/>
        <v>0.69332293774635978</v>
      </c>
      <c r="HC95" s="10">
        <f t="shared" si="480"/>
        <v>0.99907090697003031</v>
      </c>
      <c r="HD95" s="9">
        <f t="shared" si="481"/>
        <v>1.0037188218764832</v>
      </c>
      <c r="HE95" s="8">
        <v>10</v>
      </c>
      <c r="HF95" s="8">
        <v>2</v>
      </c>
      <c r="HG95" s="8">
        <v>2997</v>
      </c>
      <c r="HH95" s="8">
        <v>10</v>
      </c>
      <c r="HI95" s="8">
        <v>7</v>
      </c>
      <c r="HJ95" s="9">
        <f t="shared" si="482"/>
        <v>9</v>
      </c>
      <c r="HK95" s="10">
        <f t="shared" si="483"/>
        <v>1</v>
      </c>
      <c r="HL95" s="8">
        <v>7</v>
      </c>
      <c r="HM95" s="8">
        <v>1</v>
      </c>
      <c r="HN95" s="11">
        <f t="shared" si="484"/>
        <v>0.14285714285714285</v>
      </c>
    </row>
    <row r="96" spans="1:222" x14ac:dyDescent="0.3">
      <c r="A96" s="12" t="s">
        <v>276</v>
      </c>
      <c r="B96" s="12" t="s">
        <v>279</v>
      </c>
      <c r="C96" s="13" t="s">
        <v>257</v>
      </c>
      <c r="D96" s="13">
        <v>2026</v>
      </c>
      <c r="E96" s="13">
        <v>1</v>
      </c>
      <c r="F96" s="13" t="s">
        <v>270</v>
      </c>
      <c r="G96" s="13" t="s">
        <v>271</v>
      </c>
      <c r="H96" s="14">
        <v>36427.5</v>
      </c>
      <c r="I96" s="14">
        <v>93</v>
      </c>
      <c r="J96" s="14">
        <v>0</v>
      </c>
      <c r="K96" s="14">
        <v>53</v>
      </c>
      <c r="L96" s="14">
        <v>1</v>
      </c>
      <c r="M96" s="15">
        <v>147</v>
      </c>
      <c r="N96" s="14">
        <v>19832.09999999998</v>
      </c>
      <c r="O96" s="14">
        <v>688.00000000000011</v>
      </c>
      <c r="P96" s="14">
        <v>250.7</v>
      </c>
      <c r="Q96" s="14">
        <v>1141.0999999999999</v>
      </c>
      <c r="R96" s="15">
        <v>21911.89999999998</v>
      </c>
      <c r="S96" s="15">
        <v>22058.89999999998</v>
      </c>
      <c r="T96" s="14">
        <v>14368.60000000002</v>
      </c>
      <c r="U96" s="16">
        <v>0.39444375814975002</v>
      </c>
      <c r="V96" s="14">
        <v>150</v>
      </c>
      <c r="W96" s="17">
        <v>4.1177681696520487</v>
      </c>
      <c r="X96" s="14">
        <v>0</v>
      </c>
      <c r="Y96" s="17">
        <v>0</v>
      </c>
      <c r="Z96" s="14">
        <v>0</v>
      </c>
      <c r="AA96" s="17">
        <v>0</v>
      </c>
      <c r="AB96" s="14">
        <v>0</v>
      </c>
      <c r="AC96" s="17">
        <v>0</v>
      </c>
      <c r="AD96" s="14">
        <v>0</v>
      </c>
      <c r="AE96" s="17">
        <v>0</v>
      </c>
      <c r="AF96" s="14">
        <v>0</v>
      </c>
      <c r="AG96" s="17">
        <v>0</v>
      </c>
      <c r="AH96" s="14">
        <v>3589365</v>
      </c>
      <c r="AI96" s="15">
        <v>98.534486308420838</v>
      </c>
      <c r="AJ96" s="14">
        <v>69481</v>
      </c>
      <c r="AK96" s="17">
        <v>1.9073776679706269</v>
      </c>
      <c r="AL96" s="14">
        <v>11634998.877499999</v>
      </c>
      <c r="AM96" s="15">
        <v>319.40152021137868</v>
      </c>
      <c r="AN96" s="14">
        <v>0</v>
      </c>
      <c r="AO96" s="14">
        <v>0</v>
      </c>
      <c r="AP96" s="14">
        <v>0</v>
      </c>
      <c r="AQ96" s="14">
        <v>0</v>
      </c>
      <c r="AR96" s="14">
        <v>8235680.3300000001</v>
      </c>
      <c r="AS96" s="14">
        <v>5830081.9000000004</v>
      </c>
      <c r="AT96" s="14">
        <v>1177820</v>
      </c>
      <c r="AU96" s="15">
        <v>30467946.107500002</v>
      </c>
      <c r="AV96" s="15">
        <v>836.3995911742503</v>
      </c>
      <c r="AW96" s="15">
        <v>1381.2087686829359</v>
      </c>
      <c r="AX96" s="14">
        <v>9</v>
      </c>
      <c r="AY96" s="15">
        <v>7.6590487955528106</v>
      </c>
      <c r="AZ96" s="14">
        <v>42</v>
      </c>
      <c r="BA96" s="14">
        <v>2973</v>
      </c>
      <c r="BB96" s="14">
        <v>12</v>
      </c>
      <c r="BC96" s="14">
        <v>0</v>
      </c>
      <c r="BD96" s="14">
        <v>20</v>
      </c>
      <c r="BE96" s="15">
        <v>20</v>
      </c>
      <c r="BF96" s="15">
        <v>2965</v>
      </c>
      <c r="BG96" s="14">
        <v>9</v>
      </c>
      <c r="BH96" s="14">
        <v>0</v>
      </c>
      <c r="BI96" s="14">
        <v>0</v>
      </c>
      <c r="BJ96" s="14">
        <v>0</v>
      </c>
      <c r="BK96" s="15">
        <v>0</v>
      </c>
      <c r="BL96" s="15">
        <v>9</v>
      </c>
      <c r="BM96" s="14">
        <v>15</v>
      </c>
      <c r="BN96" s="14">
        <v>0</v>
      </c>
      <c r="BO96" s="14">
        <v>0</v>
      </c>
      <c r="BP96" s="14">
        <v>0</v>
      </c>
      <c r="BQ96" s="15">
        <v>0</v>
      </c>
      <c r="BR96" s="15">
        <v>15</v>
      </c>
      <c r="BS96" s="14">
        <v>0</v>
      </c>
      <c r="BT96" s="14">
        <v>0</v>
      </c>
      <c r="BU96" s="14">
        <v>0</v>
      </c>
      <c r="BV96" s="14">
        <v>0</v>
      </c>
      <c r="BW96" s="15">
        <v>0</v>
      </c>
      <c r="BX96" s="15">
        <v>0</v>
      </c>
      <c r="BY96" s="15">
        <v>2997</v>
      </c>
      <c r="BZ96" s="15">
        <v>12</v>
      </c>
      <c r="CA96" s="15">
        <v>20</v>
      </c>
      <c r="CB96" s="15">
        <v>2989</v>
      </c>
      <c r="CC96" s="14">
        <v>20</v>
      </c>
      <c r="CD96" s="14">
        <v>0</v>
      </c>
      <c r="CE96" s="14">
        <v>0</v>
      </c>
      <c r="CF96" s="14">
        <v>0</v>
      </c>
      <c r="CG96" s="14">
        <v>0</v>
      </c>
      <c r="CH96" s="15">
        <v>0</v>
      </c>
      <c r="CI96" s="14">
        <v>6</v>
      </c>
      <c r="CJ96" s="14">
        <v>3</v>
      </c>
      <c r="CK96" s="14">
        <v>1</v>
      </c>
      <c r="CL96" s="14">
        <v>0</v>
      </c>
      <c r="CM96" s="15">
        <v>10</v>
      </c>
      <c r="CN96" s="14">
        <v>4370</v>
      </c>
      <c r="CO96" s="14">
        <v>61</v>
      </c>
      <c r="CP96" s="14">
        <v>84</v>
      </c>
      <c r="CQ96" s="14">
        <v>15</v>
      </c>
      <c r="CR96" s="15">
        <v>4530</v>
      </c>
      <c r="CS96" s="15">
        <v>4540</v>
      </c>
      <c r="CT96" s="14">
        <v>4540</v>
      </c>
      <c r="CU96" s="14">
        <v>0</v>
      </c>
      <c r="CV96" s="14">
        <v>0</v>
      </c>
      <c r="CW96" s="16"/>
      <c r="CX96" s="14">
        <v>0</v>
      </c>
      <c r="CY96" s="14">
        <v>0</v>
      </c>
      <c r="CZ96" s="14">
        <v>0</v>
      </c>
      <c r="DA96" s="14">
        <v>0</v>
      </c>
      <c r="DB96" s="15">
        <v>0</v>
      </c>
      <c r="DC96" s="14">
        <v>0</v>
      </c>
      <c r="DD96" s="14">
        <v>0</v>
      </c>
      <c r="DE96" s="14">
        <v>0</v>
      </c>
      <c r="DF96" s="14">
        <v>0</v>
      </c>
      <c r="DG96" s="15">
        <v>0</v>
      </c>
      <c r="DH96" s="14">
        <v>0</v>
      </c>
      <c r="DI96" s="14">
        <v>0</v>
      </c>
      <c r="DJ96" s="14">
        <v>0</v>
      </c>
      <c r="DK96" s="14">
        <v>0</v>
      </c>
      <c r="DL96" s="15">
        <v>0</v>
      </c>
      <c r="DM96" s="14">
        <v>25</v>
      </c>
      <c r="DN96" s="14">
        <v>16</v>
      </c>
      <c r="DO96" s="14">
        <v>0</v>
      </c>
      <c r="DP96" s="14">
        <v>10</v>
      </c>
      <c r="DQ96" s="15">
        <v>31</v>
      </c>
      <c r="DR96" s="15">
        <v>25</v>
      </c>
      <c r="DS96" s="15">
        <v>16</v>
      </c>
      <c r="DT96" s="15">
        <v>0</v>
      </c>
      <c r="DU96" s="15">
        <v>10</v>
      </c>
      <c r="DV96" s="15">
        <v>31</v>
      </c>
      <c r="DW96" s="14">
        <v>3</v>
      </c>
      <c r="DX96" s="14">
        <v>25</v>
      </c>
      <c r="DY96" s="14">
        <v>8</v>
      </c>
      <c r="DZ96" s="14">
        <v>5</v>
      </c>
      <c r="EA96" s="14">
        <v>0</v>
      </c>
      <c r="EB96" s="14">
        <v>0</v>
      </c>
      <c r="EC96" s="14">
        <v>0</v>
      </c>
      <c r="ED96" s="14">
        <v>0</v>
      </c>
      <c r="EE96" s="14">
        <v>3</v>
      </c>
      <c r="EF96" s="14">
        <v>0</v>
      </c>
      <c r="EG96" s="14">
        <v>0</v>
      </c>
      <c r="EH96" s="14">
        <v>0</v>
      </c>
      <c r="EI96" s="14">
        <v>0</v>
      </c>
      <c r="EJ96" s="14">
        <v>0</v>
      </c>
      <c r="EK96" s="14">
        <v>0</v>
      </c>
      <c r="EL96" s="14">
        <v>0</v>
      </c>
      <c r="EM96" s="14">
        <v>0</v>
      </c>
      <c r="EN96" s="14">
        <v>0</v>
      </c>
      <c r="EO96" s="14">
        <v>0</v>
      </c>
      <c r="EP96" s="14">
        <v>0</v>
      </c>
      <c r="EQ96" s="14">
        <v>0</v>
      </c>
      <c r="ER96" s="14">
        <v>0</v>
      </c>
      <c r="ES96" s="14">
        <v>0</v>
      </c>
      <c r="ET96" s="14">
        <v>0</v>
      </c>
      <c r="EU96" s="14">
        <v>0</v>
      </c>
      <c r="EV96" s="14">
        <v>0</v>
      </c>
      <c r="EW96" s="14">
        <v>1</v>
      </c>
      <c r="EX96" s="14">
        <v>0</v>
      </c>
      <c r="EY96" s="14">
        <v>0</v>
      </c>
      <c r="EZ96" s="14">
        <v>0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5">
        <v>45</v>
      </c>
      <c r="FH96" s="14">
        <v>8</v>
      </c>
      <c r="FI96" s="14">
        <v>216</v>
      </c>
      <c r="FJ96" s="14">
        <v>24</v>
      </c>
      <c r="FK96" s="14">
        <v>36</v>
      </c>
      <c r="FL96" s="14">
        <v>0</v>
      </c>
      <c r="FM96" s="14">
        <v>0</v>
      </c>
      <c r="FN96" s="14">
        <v>0</v>
      </c>
      <c r="FO96" s="14">
        <v>0</v>
      </c>
      <c r="FP96" s="14">
        <v>0</v>
      </c>
      <c r="FQ96" s="15">
        <v>0</v>
      </c>
      <c r="FR96" s="14">
        <v>0</v>
      </c>
      <c r="FS96" s="14">
        <v>0</v>
      </c>
      <c r="FT96" s="14">
        <v>0</v>
      </c>
      <c r="FU96" s="14">
        <v>0</v>
      </c>
      <c r="FV96" s="15">
        <v>0</v>
      </c>
      <c r="FW96" s="14">
        <v>24549202</v>
      </c>
      <c r="FX96" s="14">
        <v>146190</v>
      </c>
      <c r="FY96" s="14">
        <v>5568530</v>
      </c>
      <c r="FZ96" s="14">
        <v>762000</v>
      </c>
      <c r="GA96" s="15">
        <v>31025922</v>
      </c>
      <c r="GB96" s="15">
        <v>31025922</v>
      </c>
      <c r="GC96" s="14">
        <v>88949.19</v>
      </c>
      <c r="GD96" s="14">
        <v>0</v>
      </c>
      <c r="GE96" s="14">
        <v>166950.22</v>
      </c>
      <c r="GF96" s="14">
        <v>8410.99</v>
      </c>
      <c r="GG96" s="15">
        <v>264310.40000000002</v>
      </c>
      <c r="GH96" s="14">
        <v>24541222</v>
      </c>
      <c r="GI96" s="14">
        <v>146190</v>
      </c>
      <c r="GJ96" s="14">
        <v>762000</v>
      </c>
      <c r="GK96" s="14">
        <v>5399880</v>
      </c>
      <c r="GL96" s="15">
        <v>30849292</v>
      </c>
      <c r="GM96" s="15">
        <v>31113602.399999999</v>
      </c>
      <c r="GN96" s="14">
        <v>3269.58</v>
      </c>
      <c r="GO96" s="14">
        <v>0</v>
      </c>
      <c r="GP96" s="14">
        <v>10180.92</v>
      </c>
      <c r="GQ96" s="14">
        <v>4637.34</v>
      </c>
      <c r="GR96" s="15">
        <v>18087.84</v>
      </c>
      <c r="GS96" s="14">
        <v>5358</v>
      </c>
      <c r="GT96" s="14">
        <v>0</v>
      </c>
      <c r="GU96" s="14">
        <v>2679</v>
      </c>
      <c r="GV96" s="14">
        <v>893</v>
      </c>
      <c r="GW96" s="15">
        <v>8930</v>
      </c>
      <c r="GX96" s="15">
        <v>31140620.239999998</v>
      </c>
      <c r="GY96" s="14">
        <v>195178.62000000011</v>
      </c>
      <c r="GZ96" s="14">
        <v>1480449.92</v>
      </c>
      <c r="HA96" s="15">
        <v>1675628.54</v>
      </c>
      <c r="HB96" s="15">
        <v>31140620.239999998</v>
      </c>
      <c r="HC96" s="16">
        <v>195178.62000000011</v>
      </c>
      <c r="HD96" s="15">
        <v>1480449.92</v>
      </c>
      <c r="HE96" s="14">
        <v>12</v>
      </c>
      <c r="HF96" s="14">
        <v>1</v>
      </c>
      <c r="HG96" s="14">
        <v>2989</v>
      </c>
      <c r="HH96" s="14">
        <v>12</v>
      </c>
      <c r="HI96" s="14">
        <v>7</v>
      </c>
      <c r="HJ96" s="15">
        <v>0.58333333333333337</v>
      </c>
      <c r="HK96" s="16">
        <v>0</v>
      </c>
      <c r="HL96" s="14">
        <v>7</v>
      </c>
      <c r="HM96" s="14">
        <v>24</v>
      </c>
      <c r="HN96" s="17">
        <v>0.29166666666666669</v>
      </c>
    </row>
    <row r="97" spans="1:222" x14ac:dyDescent="0.3">
      <c r="A97" s="6" t="s">
        <v>276</v>
      </c>
      <c r="B97" s="6" t="s">
        <v>279</v>
      </c>
      <c r="C97" s="7" t="s">
        <v>257</v>
      </c>
      <c r="D97" s="7">
        <v>2026</v>
      </c>
      <c r="E97" s="7">
        <v>2</v>
      </c>
      <c r="F97" s="7" t="s">
        <v>272</v>
      </c>
      <c r="G97" s="7" t="s">
        <v>271</v>
      </c>
      <c r="H97" s="8">
        <v>26836</v>
      </c>
      <c r="I97" s="8">
        <v>72</v>
      </c>
      <c r="J97" s="8">
        <v>0</v>
      </c>
      <c r="K97" s="8">
        <v>71</v>
      </c>
      <c r="L97" s="8">
        <v>1</v>
      </c>
      <c r="M97" s="9">
        <f t="shared" ref="M97:M107" si="485">SUM(I97,J97,K97,L97)</f>
        <v>144</v>
      </c>
      <c r="N97" s="8">
        <v>18008.99999999996</v>
      </c>
      <c r="O97" s="8">
        <v>654.70000000000005</v>
      </c>
      <c r="P97" s="8">
        <v>222.2</v>
      </c>
      <c r="Q97" s="8">
        <v>844.30000000000018</v>
      </c>
      <c r="R97" s="9">
        <f t="shared" ref="R97:R107" si="486">SUM(N97,O97,P97,Q97)</f>
        <v>19730.199999999961</v>
      </c>
      <c r="S97" s="9">
        <f t="shared" ref="S97:S107" si="487">M97+R97</f>
        <v>19874.199999999961</v>
      </c>
      <c r="T97" s="8">
        <v>6961.8000000000393</v>
      </c>
      <c r="U97" s="10">
        <f t="shared" ref="U97:U107" si="488">IF(H97=0,"",T97/H97)</f>
        <v>0.25942018184528393</v>
      </c>
      <c r="V97" s="8">
        <v>49.05</v>
      </c>
      <c r="W97" s="11">
        <f t="shared" ref="W97:W107" si="489">IF(H97=0,"",V97/H97)</f>
        <v>1.8277686689521537E-3</v>
      </c>
      <c r="X97" s="8">
        <v>0</v>
      </c>
      <c r="Y97" s="11">
        <f t="shared" ref="Y97:Y107" si="490">IF(H97=0,"",X97/H97)</f>
        <v>0</v>
      </c>
      <c r="Z97" s="8">
        <v>0</v>
      </c>
      <c r="AA97" s="11">
        <f t="shared" ref="AA97:AA107" si="491">IF(H97=0,"",Z97/H97)</f>
        <v>0</v>
      </c>
      <c r="AB97" s="8">
        <v>0</v>
      </c>
      <c r="AC97" s="11">
        <f t="shared" ref="AC97:AC107" si="492">IF(H97=0,"",AB97/H97)</f>
        <v>0</v>
      </c>
      <c r="AD97" s="8">
        <v>0</v>
      </c>
      <c r="AE97" s="11">
        <f t="shared" ref="AE97:AE107" si="493">IF(H97=0,"",AD97/H97)</f>
        <v>0</v>
      </c>
      <c r="AF97" s="8">
        <v>0</v>
      </c>
      <c r="AG97" s="11">
        <f t="shared" ref="AG97:AG107" si="494">IF(H97=0,"",AF97/H97)</f>
        <v>0</v>
      </c>
      <c r="AH97" s="8">
        <v>1173722.355</v>
      </c>
      <c r="AI97" s="9">
        <f t="shared" ref="AI97:AI107" si="495">IF(H97=0,"",AH97/H97)</f>
        <v>43.736859256222985</v>
      </c>
      <c r="AJ97" s="8">
        <v>47520</v>
      </c>
      <c r="AK97" s="11">
        <f t="shared" ref="AK97:AK107" si="496">IF(H97=0,"",AJ97/H97)</f>
        <v>1.7707557012967656</v>
      </c>
      <c r="AL97" s="8">
        <v>7963613.7999999998</v>
      </c>
      <c r="AM97" s="9">
        <f t="shared" ref="AM97:AM107" si="497">IF(H97=0,"",AL97/H97)</f>
        <v>296.75114771202863</v>
      </c>
      <c r="AN97" s="8">
        <v>0</v>
      </c>
      <c r="AO97" s="8">
        <v>0</v>
      </c>
      <c r="AP97" s="8">
        <v>0</v>
      </c>
      <c r="AQ97" s="8">
        <v>0</v>
      </c>
      <c r="AR97" s="8">
        <v>8235680.3300000001</v>
      </c>
      <c r="AS97" s="8">
        <v>6347409.5</v>
      </c>
      <c r="AT97" s="8">
        <v>1181400</v>
      </c>
      <c r="AU97" s="9">
        <f t="shared" ref="AU97:AU107" si="498">AH97+AL97+AP97+AQ97+AR97+AS97+AT97</f>
        <v>24901825.984999999</v>
      </c>
      <c r="AV97" s="9">
        <f t="shared" ref="AV97:AV107" si="499">IF(H97=0,"",AU97/H97)</f>
        <v>927.92614342674017</v>
      </c>
      <c r="AW97" s="9">
        <f t="shared" ref="AW97:AW107" si="500">IF(S97=0,"",AU97/S97)</f>
        <v>1252.972496251424</v>
      </c>
      <c r="AX97" s="8">
        <v>9</v>
      </c>
      <c r="AY97" s="9">
        <f t="shared" ref="AY97:AY107" si="501">IF(H97=0,"",AX97/(H97/1000/12))</f>
        <v>4.0244447756744677</v>
      </c>
      <c r="AZ97" s="8">
        <v>42</v>
      </c>
      <c r="BA97" s="8">
        <v>2965</v>
      </c>
      <c r="BB97" s="8">
        <v>14</v>
      </c>
      <c r="BC97" s="8">
        <v>0</v>
      </c>
      <c r="BD97" s="8">
        <v>43</v>
      </c>
      <c r="BE97" s="9">
        <f t="shared" ref="BE97:BE107" si="502">BC97+BD97</f>
        <v>43</v>
      </c>
      <c r="BF97" s="9">
        <f t="shared" ref="BF97:BF107" si="503">BA97+BB97-BE97</f>
        <v>2936</v>
      </c>
      <c r="BG97" s="8">
        <v>9</v>
      </c>
      <c r="BH97" s="8">
        <v>0</v>
      </c>
      <c r="BI97" s="8">
        <v>0</v>
      </c>
      <c r="BJ97" s="8">
        <v>0</v>
      </c>
      <c r="BK97" s="9">
        <f t="shared" ref="BK97:BK107" si="504">BI97+BJ97</f>
        <v>0</v>
      </c>
      <c r="BL97" s="9">
        <f t="shared" ref="BL97:BL107" si="505">BG97+BH97-BK97</f>
        <v>9</v>
      </c>
      <c r="BM97" s="8">
        <v>15</v>
      </c>
      <c r="BN97" s="8">
        <v>0</v>
      </c>
      <c r="BO97" s="8">
        <v>0</v>
      </c>
      <c r="BP97" s="8">
        <v>0</v>
      </c>
      <c r="BQ97" s="9">
        <f t="shared" ref="BQ97:BQ107" si="506">BO97+BP97</f>
        <v>0</v>
      </c>
      <c r="BR97" s="9">
        <f t="shared" ref="BR97:BR107" si="507">BM97+BN97-BQ97</f>
        <v>15</v>
      </c>
      <c r="BS97" s="8">
        <v>0</v>
      </c>
      <c r="BT97" s="8">
        <v>0</v>
      </c>
      <c r="BU97" s="8">
        <v>0</v>
      </c>
      <c r="BV97" s="8">
        <v>0</v>
      </c>
      <c r="BW97" s="9">
        <f t="shared" ref="BW97:BW107" si="508">BU97+BV97</f>
        <v>0</v>
      </c>
      <c r="BX97" s="9">
        <f t="shared" ref="BX97:BX107" si="509">BS97+BT97-BW97</f>
        <v>0</v>
      </c>
      <c r="BY97" s="9">
        <f t="shared" ref="BY97:BY107" si="510">BA97+BG97+BM97+BS97</f>
        <v>2989</v>
      </c>
      <c r="BZ97" s="9">
        <f t="shared" ref="BZ97:BZ107" si="511">BB97+BH97+BN97+BT97</f>
        <v>14</v>
      </c>
      <c r="CA97" s="9">
        <f t="shared" ref="CA97:CA107" si="512">BE97+BK97+BQ97+BW97</f>
        <v>43</v>
      </c>
      <c r="CB97" s="9">
        <f t="shared" ref="CB97:CB107" si="513">BF97+BL97+BR97+BX97</f>
        <v>2960</v>
      </c>
      <c r="CC97" s="8">
        <v>43</v>
      </c>
      <c r="CD97" s="8">
        <v>0</v>
      </c>
      <c r="CE97" s="8">
        <v>0</v>
      </c>
      <c r="CF97" s="8">
        <v>0</v>
      </c>
      <c r="CG97" s="8">
        <v>0</v>
      </c>
      <c r="CH97" s="9">
        <f t="shared" ref="CH97:CH107" si="514">CD97+CE97+CF97+CG97</f>
        <v>0</v>
      </c>
      <c r="CI97" s="8">
        <v>6</v>
      </c>
      <c r="CJ97" s="8">
        <v>3</v>
      </c>
      <c r="CK97" s="8">
        <v>1</v>
      </c>
      <c r="CL97" s="8">
        <v>0</v>
      </c>
      <c r="CM97" s="9">
        <f t="shared" ref="CM97:CM107" si="515">CI97+CJ97+CK97+CL97</f>
        <v>10</v>
      </c>
      <c r="CN97" s="8">
        <v>4413</v>
      </c>
      <c r="CO97" s="8">
        <v>61</v>
      </c>
      <c r="CP97" s="8">
        <v>84</v>
      </c>
      <c r="CQ97" s="8">
        <v>15</v>
      </c>
      <c r="CR97" s="9">
        <f t="shared" ref="CR97:CR107" si="516">CN97+CO97+CP97+CQ97</f>
        <v>4573</v>
      </c>
      <c r="CS97" s="9">
        <f t="shared" ref="CS97:CS107" si="517">CM97+CR97</f>
        <v>4583</v>
      </c>
      <c r="CT97" s="8">
        <v>4583</v>
      </c>
      <c r="CU97" s="8">
        <v>0</v>
      </c>
      <c r="CV97" s="8">
        <v>0</v>
      </c>
      <c r="CW97" s="10" t="str">
        <f t="shared" ref="CW97:CW107" si="518">IF(CU97=0,"",CV97/CU97)</f>
        <v/>
      </c>
      <c r="CX97" s="8"/>
      <c r="CY97" s="8"/>
      <c r="CZ97" s="8"/>
      <c r="DA97" s="8"/>
      <c r="DB97" s="9">
        <f t="shared" ref="DB97:DB107" si="519">CX97+CY97-CZ97-DA97</f>
        <v>0</v>
      </c>
      <c r="DC97" s="8">
        <v>0</v>
      </c>
      <c r="DD97" s="8">
        <v>0</v>
      </c>
      <c r="DE97" s="8">
        <v>0</v>
      </c>
      <c r="DF97" s="8">
        <v>0</v>
      </c>
      <c r="DG97" s="9">
        <f t="shared" ref="DG97:DG107" si="520">DC97+DD97-DE97-DF97</f>
        <v>0</v>
      </c>
      <c r="DH97" s="8">
        <v>0</v>
      </c>
      <c r="DI97" s="8">
        <v>0</v>
      </c>
      <c r="DJ97" s="8">
        <v>0</v>
      </c>
      <c r="DK97" s="8">
        <v>0</v>
      </c>
      <c r="DL97" s="9">
        <f t="shared" ref="DL97:DL107" si="521">DH97+DI97-DJ97-DK97</f>
        <v>0</v>
      </c>
      <c r="DM97" s="8">
        <v>31</v>
      </c>
      <c r="DN97" s="8">
        <v>0</v>
      </c>
      <c r="DO97" s="8">
        <v>8</v>
      </c>
      <c r="DP97" s="8">
        <v>5</v>
      </c>
      <c r="DQ97" s="9">
        <f t="shared" ref="DQ97:DQ107" si="522">DM97+DN97-DO97-DP97</f>
        <v>18</v>
      </c>
      <c r="DR97" s="9">
        <f t="shared" ref="DR97:DR107" si="523">CX97+DC97+DH97+DM97</f>
        <v>31</v>
      </c>
      <c r="DS97" s="9">
        <f t="shared" ref="DS97:DS107" si="524">CY97+DD97+DI97+DN97</f>
        <v>0</v>
      </c>
      <c r="DT97" s="9">
        <f t="shared" ref="DT97:DT107" si="525">CZ97+DE97+DJ97+DO97</f>
        <v>8</v>
      </c>
      <c r="DU97" s="9">
        <f t="shared" ref="DU97:DU107" si="526">DA97+DF97+DK97+DP97</f>
        <v>5</v>
      </c>
      <c r="DV97" s="9">
        <f t="shared" ref="DV97:DV107" si="527">DB97+DG97+DL97+DQ97</f>
        <v>18</v>
      </c>
      <c r="DW97" s="8">
        <v>54</v>
      </c>
      <c r="DX97" s="8">
        <v>31</v>
      </c>
      <c r="DY97" s="8">
        <v>21</v>
      </c>
      <c r="DZ97" s="8">
        <v>5</v>
      </c>
      <c r="EA97" s="8">
        <v>0</v>
      </c>
      <c r="EB97" s="8">
        <v>1</v>
      </c>
      <c r="EC97" s="8">
        <v>1</v>
      </c>
      <c r="ED97" s="8">
        <v>2</v>
      </c>
      <c r="EE97" s="8">
        <v>2</v>
      </c>
      <c r="EF97" s="8">
        <v>0</v>
      </c>
      <c r="EG97" s="8">
        <v>0</v>
      </c>
      <c r="EH97" s="8">
        <v>0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9">
        <f t="shared" ref="FG97:FG107" si="528">SUM(DW97,DX97,DY97,DZ97,EA97,EB97,EC97,ED97,EE97,EF97,EG97,EH97,EI97,EJ97,EK97,EL97,EM97,EN97,EO97,EP97,EQ97,ER97,ES97,ET97,EU97,EV97,EW97,EX97,EY97,EZ97,FA97,FB97,FC97,FD97,FE97,FF97)</f>
        <v>117</v>
      </c>
      <c r="FH97" s="8">
        <v>8</v>
      </c>
      <c r="FI97" s="8">
        <v>188</v>
      </c>
      <c r="FJ97" s="8">
        <v>22</v>
      </c>
      <c r="FK97" s="8">
        <v>81</v>
      </c>
      <c r="FL97" s="8">
        <v>0</v>
      </c>
      <c r="FM97" s="8">
        <v>0</v>
      </c>
      <c r="FN97" s="8">
        <v>0</v>
      </c>
      <c r="FO97" s="8">
        <v>0</v>
      </c>
      <c r="FP97" s="8">
        <v>78</v>
      </c>
      <c r="FQ97" s="9">
        <f t="shared" ref="FQ97:FQ107" si="529">FL97+FM97+FN97+FO97+FP97</f>
        <v>78</v>
      </c>
      <c r="FR97" s="8">
        <v>0</v>
      </c>
      <c r="FS97" s="8">
        <v>0</v>
      </c>
      <c r="FT97" s="8">
        <v>0</v>
      </c>
      <c r="FU97" s="8">
        <v>0</v>
      </c>
      <c r="FV97" s="9">
        <f t="shared" ref="FV97:FV107" si="530">FR97+FS97+FT97+FU97</f>
        <v>0</v>
      </c>
      <c r="FW97" s="8">
        <v>22313759</v>
      </c>
      <c r="FX97" s="8">
        <v>145900</v>
      </c>
      <c r="FY97" s="8">
        <v>3601140</v>
      </c>
      <c r="FZ97" s="8">
        <v>674350</v>
      </c>
      <c r="GA97" s="9">
        <f t="shared" ref="GA97:GA107" si="531">FW97+FX97+FY97+FZ97</f>
        <v>26735149</v>
      </c>
      <c r="GB97" s="9">
        <f t="shared" ref="GB97:GB107" si="532">FV97+GA97</f>
        <v>26735149</v>
      </c>
      <c r="GC97" s="8">
        <v>68487.92</v>
      </c>
      <c r="GD97" s="8">
        <v>0</v>
      </c>
      <c r="GE97" s="8">
        <v>236139.62</v>
      </c>
      <c r="GF97" s="8">
        <v>8410.99</v>
      </c>
      <c r="GG97" s="9">
        <f t="shared" ref="GG97:GG107" si="533">GC97+GD97+GE97+GF97</f>
        <v>313038.52999999997</v>
      </c>
      <c r="GH97" s="8">
        <v>22306889</v>
      </c>
      <c r="GI97" s="8">
        <v>145900</v>
      </c>
      <c r="GJ97" s="8">
        <v>674350</v>
      </c>
      <c r="GK97" s="8">
        <v>3443050</v>
      </c>
      <c r="GL97" s="9">
        <f t="shared" ref="GL97:GL107" si="534">GH97+GI97+GJ97+GK97</f>
        <v>26570189</v>
      </c>
      <c r="GM97" s="9">
        <f t="shared" ref="GM97:GM107" si="535">GG97+GL97</f>
        <v>26883227.530000001</v>
      </c>
      <c r="GN97" s="8">
        <v>3269.58</v>
      </c>
      <c r="GO97" s="8">
        <v>0</v>
      </c>
      <c r="GP97" s="8">
        <v>10180.92</v>
      </c>
      <c r="GQ97" s="8">
        <v>4637.34</v>
      </c>
      <c r="GR97" s="9">
        <f t="shared" ref="GR97:GR107" si="536">GN97+GO97+GP97+GQ97</f>
        <v>18087.84</v>
      </c>
      <c r="GS97" s="8">
        <v>5358</v>
      </c>
      <c r="GT97" s="8">
        <v>0</v>
      </c>
      <c r="GU97" s="8">
        <v>2679</v>
      </c>
      <c r="GV97" s="8">
        <v>893</v>
      </c>
      <c r="GW97" s="9">
        <f t="shared" ref="GW97:GW107" si="537">GS97+GT97+GU97+GV97</f>
        <v>8930</v>
      </c>
      <c r="GX97" s="9">
        <f t="shared" ref="GX97:GX107" si="538">GM97+GR97+GW97</f>
        <v>26910245.370000001</v>
      </c>
      <c r="GY97" s="8">
        <v>231435.61999999991</v>
      </c>
      <c r="GZ97" s="8">
        <v>1784249.29</v>
      </c>
      <c r="HA97" s="9">
        <f t="shared" ref="HA97:HA107" si="539">GY97+GZ97</f>
        <v>2015684.91</v>
      </c>
      <c r="HB97" s="9">
        <f t="shared" ref="HB97:HB107" si="540">IF(GX97=0,"",AU97/GX97)</f>
        <v>0.92536599509274553</v>
      </c>
      <c r="HC97" s="10">
        <f t="shared" ref="HC97:HC107" si="541">IF((GX97+GY97)=0,"",GB97/(GX97+GY97))</f>
        <v>0.9850218565994574</v>
      </c>
      <c r="HD97" s="9">
        <f t="shared" ref="HD97:HD107" si="542">IF(GX97=0,"",GB97/GX97)</f>
        <v>0.99349331945537733</v>
      </c>
      <c r="HE97" s="8">
        <v>14</v>
      </c>
      <c r="HF97" s="8">
        <v>1</v>
      </c>
      <c r="HG97" s="8">
        <v>2960</v>
      </c>
      <c r="HH97" s="8">
        <v>14</v>
      </c>
      <c r="HI97" s="8">
        <v>7</v>
      </c>
      <c r="HJ97" s="9">
        <f t="shared" ref="HJ97:HJ107" si="543">HF97+HI97</f>
        <v>8</v>
      </c>
      <c r="HK97" s="10">
        <f t="shared" ref="HK97:HK107" si="544">IF(HE97=0,"",HH97/HE97)</f>
        <v>1</v>
      </c>
      <c r="HL97" s="8">
        <v>7</v>
      </c>
      <c r="HM97" s="8">
        <v>1</v>
      </c>
      <c r="HN97" s="11">
        <f t="shared" ref="HN97:HN107" si="545">IF(HL97=0,"",HM97/HL97)</f>
        <v>0.14285714285714285</v>
      </c>
    </row>
    <row r="98" spans="1:222" x14ac:dyDescent="0.3">
      <c r="A98" s="12" t="s">
        <v>276</v>
      </c>
      <c r="B98" s="12" t="s">
        <v>279</v>
      </c>
      <c r="C98" s="13" t="s">
        <v>257</v>
      </c>
      <c r="D98" s="13">
        <v>2026</v>
      </c>
      <c r="E98" s="13">
        <v>3</v>
      </c>
      <c r="F98" s="13" t="s">
        <v>273</v>
      </c>
      <c r="G98" s="13" t="s">
        <v>271</v>
      </c>
      <c r="H98" s="14">
        <v>34074</v>
      </c>
      <c r="I98" s="14">
        <v>85</v>
      </c>
      <c r="J98" s="14">
        <v>0</v>
      </c>
      <c r="K98" s="14">
        <v>47</v>
      </c>
      <c r="L98" s="14">
        <v>1</v>
      </c>
      <c r="M98" s="15">
        <f t="shared" si="485"/>
        <v>133</v>
      </c>
      <c r="N98" s="14">
        <v>23533.1</v>
      </c>
      <c r="O98" s="14">
        <v>669.80000000000007</v>
      </c>
      <c r="P98" s="14">
        <v>368.3</v>
      </c>
      <c r="Q98" s="14">
        <v>1887.200000000001</v>
      </c>
      <c r="R98" s="15">
        <f t="shared" si="486"/>
        <v>26458.399999999998</v>
      </c>
      <c r="S98" s="15">
        <f t="shared" si="487"/>
        <v>26591.399999999998</v>
      </c>
      <c r="T98" s="14">
        <v>7482.6000000000022</v>
      </c>
      <c r="U98" s="16">
        <f t="shared" si="488"/>
        <v>0.21959852086634976</v>
      </c>
      <c r="V98" s="14">
        <v>61.599999999999987</v>
      </c>
      <c r="W98" s="17">
        <f t="shared" si="489"/>
        <v>1.8078300170217758E-3</v>
      </c>
      <c r="X98" s="14">
        <v>0</v>
      </c>
      <c r="Y98" s="17">
        <f t="shared" si="490"/>
        <v>0</v>
      </c>
      <c r="Z98" s="14">
        <v>0</v>
      </c>
      <c r="AA98" s="17">
        <f t="shared" si="491"/>
        <v>0</v>
      </c>
      <c r="AB98" s="14">
        <v>0</v>
      </c>
      <c r="AC98" s="17">
        <f t="shared" si="492"/>
        <v>0</v>
      </c>
      <c r="AD98" s="14">
        <v>0</v>
      </c>
      <c r="AE98" s="17">
        <f t="shared" si="493"/>
        <v>0</v>
      </c>
      <c r="AF98" s="14">
        <v>0</v>
      </c>
      <c r="AG98" s="17">
        <f t="shared" si="494"/>
        <v>0</v>
      </c>
      <c r="AH98" s="14">
        <v>1474032.56</v>
      </c>
      <c r="AI98" s="15">
        <f t="shared" si="495"/>
        <v>43.259745260315782</v>
      </c>
      <c r="AJ98" s="14">
        <v>80097</v>
      </c>
      <c r="AK98" s="17">
        <f t="shared" si="496"/>
        <v>2.3506779362563832</v>
      </c>
      <c r="AL98" s="14">
        <v>19339</v>
      </c>
      <c r="AM98" s="15">
        <f t="shared" si="497"/>
        <v>0.56755884251922284</v>
      </c>
      <c r="AN98" s="14">
        <v>0</v>
      </c>
      <c r="AO98" s="14">
        <v>0</v>
      </c>
      <c r="AP98" s="14">
        <v>0</v>
      </c>
      <c r="AQ98" s="14">
        <v>0</v>
      </c>
      <c r="AR98" s="14">
        <v>8483421.8399999999</v>
      </c>
      <c r="AS98" s="14">
        <v>5779651.5700000003</v>
      </c>
      <c r="AT98" s="14">
        <v>1220570</v>
      </c>
      <c r="AU98" s="15">
        <f t="shared" si="498"/>
        <v>16977014.969999999</v>
      </c>
      <c r="AV98" s="15">
        <f t="shared" si="499"/>
        <v>498.23956594470854</v>
      </c>
      <c r="AW98" s="15">
        <f t="shared" si="500"/>
        <v>638.44005843994671</v>
      </c>
      <c r="AX98" s="14">
        <v>9</v>
      </c>
      <c r="AY98" s="15">
        <f t="shared" si="501"/>
        <v>3.1695721077654522</v>
      </c>
      <c r="AZ98" s="14">
        <v>42</v>
      </c>
      <c r="BA98" s="14">
        <v>2936</v>
      </c>
      <c r="BB98" s="14">
        <v>13</v>
      </c>
      <c r="BC98" s="14">
        <v>0</v>
      </c>
      <c r="BD98" s="14">
        <v>15</v>
      </c>
      <c r="BE98" s="15">
        <f t="shared" si="502"/>
        <v>15</v>
      </c>
      <c r="BF98" s="15">
        <f t="shared" si="503"/>
        <v>2934</v>
      </c>
      <c r="BG98" s="14">
        <v>9</v>
      </c>
      <c r="BH98" s="14">
        <v>2</v>
      </c>
      <c r="BI98" s="14">
        <v>0</v>
      </c>
      <c r="BJ98" s="14">
        <v>1</v>
      </c>
      <c r="BK98" s="15">
        <f t="shared" si="504"/>
        <v>1</v>
      </c>
      <c r="BL98" s="15">
        <f t="shared" si="505"/>
        <v>10</v>
      </c>
      <c r="BM98" s="14">
        <v>15</v>
      </c>
      <c r="BN98" s="14">
        <v>0</v>
      </c>
      <c r="BO98" s="14">
        <v>0</v>
      </c>
      <c r="BP98" s="14">
        <v>0</v>
      </c>
      <c r="BQ98" s="15">
        <f t="shared" si="506"/>
        <v>0</v>
      </c>
      <c r="BR98" s="15">
        <f t="shared" si="507"/>
        <v>15</v>
      </c>
      <c r="BS98" s="14">
        <v>0</v>
      </c>
      <c r="BT98" s="14">
        <v>0</v>
      </c>
      <c r="BU98" s="14">
        <v>0</v>
      </c>
      <c r="BV98" s="14">
        <v>0</v>
      </c>
      <c r="BW98" s="15">
        <f t="shared" si="508"/>
        <v>0</v>
      </c>
      <c r="BX98" s="15">
        <f t="shared" si="509"/>
        <v>0</v>
      </c>
      <c r="BY98" s="15">
        <f t="shared" si="510"/>
        <v>2960</v>
      </c>
      <c r="BZ98" s="15">
        <f t="shared" si="511"/>
        <v>15</v>
      </c>
      <c r="CA98" s="15">
        <f t="shared" si="512"/>
        <v>16</v>
      </c>
      <c r="CB98" s="15">
        <f t="shared" si="513"/>
        <v>2959</v>
      </c>
      <c r="CC98" s="14">
        <v>16</v>
      </c>
      <c r="CD98" s="14">
        <v>0</v>
      </c>
      <c r="CE98" s="14">
        <v>0</v>
      </c>
      <c r="CF98" s="14">
        <v>0</v>
      </c>
      <c r="CG98" s="14">
        <v>0</v>
      </c>
      <c r="CH98" s="15">
        <f t="shared" si="514"/>
        <v>0</v>
      </c>
      <c r="CI98" s="14">
        <v>6</v>
      </c>
      <c r="CJ98" s="14">
        <v>3</v>
      </c>
      <c r="CK98" s="14">
        <v>1</v>
      </c>
      <c r="CL98" s="14">
        <v>0</v>
      </c>
      <c r="CM98" s="15">
        <f t="shared" si="515"/>
        <v>10</v>
      </c>
      <c r="CN98" s="14">
        <v>4428</v>
      </c>
      <c r="CO98" s="14">
        <v>62</v>
      </c>
      <c r="CP98" s="14">
        <v>84</v>
      </c>
      <c r="CQ98" s="14">
        <v>15</v>
      </c>
      <c r="CR98" s="15">
        <f t="shared" si="516"/>
        <v>4589</v>
      </c>
      <c r="CS98" s="15">
        <f t="shared" si="517"/>
        <v>4599</v>
      </c>
      <c r="CT98" s="14">
        <v>4599</v>
      </c>
      <c r="CU98" s="14">
        <v>0</v>
      </c>
      <c r="CV98" s="14">
        <v>0</v>
      </c>
      <c r="CW98" s="16" t="str">
        <f t="shared" si="518"/>
        <v/>
      </c>
      <c r="CX98" s="14"/>
      <c r="CY98" s="14"/>
      <c r="CZ98" s="14"/>
      <c r="DA98" s="14"/>
      <c r="DB98" s="15">
        <f t="shared" si="519"/>
        <v>0</v>
      </c>
      <c r="DC98" s="14">
        <v>0</v>
      </c>
      <c r="DD98" s="14">
        <v>0</v>
      </c>
      <c r="DE98" s="14">
        <v>0</v>
      </c>
      <c r="DF98" s="14">
        <v>0</v>
      </c>
      <c r="DG98" s="15">
        <f t="shared" si="520"/>
        <v>0</v>
      </c>
      <c r="DH98" s="14">
        <v>0</v>
      </c>
      <c r="DI98" s="14">
        <v>0</v>
      </c>
      <c r="DJ98" s="14">
        <v>0</v>
      </c>
      <c r="DK98" s="14">
        <v>0</v>
      </c>
      <c r="DL98" s="15">
        <f t="shared" si="521"/>
        <v>0</v>
      </c>
      <c r="DM98" s="14">
        <v>18</v>
      </c>
      <c r="DN98" s="14">
        <v>19</v>
      </c>
      <c r="DO98" s="14">
        <v>0</v>
      </c>
      <c r="DP98" s="14">
        <v>1</v>
      </c>
      <c r="DQ98" s="15">
        <f t="shared" si="522"/>
        <v>36</v>
      </c>
      <c r="DR98" s="15">
        <f t="shared" si="523"/>
        <v>18</v>
      </c>
      <c r="DS98" s="15">
        <f t="shared" si="524"/>
        <v>19</v>
      </c>
      <c r="DT98" s="15">
        <f t="shared" si="525"/>
        <v>0</v>
      </c>
      <c r="DU98" s="15">
        <f t="shared" si="526"/>
        <v>1</v>
      </c>
      <c r="DV98" s="15">
        <f t="shared" si="527"/>
        <v>36</v>
      </c>
      <c r="DW98" s="14">
        <v>34</v>
      </c>
      <c r="DX98" s="14">
        <v>25</v>
      </c>
      <c r="DY98" s="14">
        <v>11</v>
      </c>
      <c r="DZ98" s="14">
        <v>4</v>
      </c>
      <c r="EA98" s="14">
        <v>0</v>
      </c>
      <c r="EB98" s="14">
        <v>2</v>
      </c>
      <c r="EC98" s="14">
        <v>2</v>
      </c>
      <c r="ED98" s="14">
        <v>1</v>
      </c>
      <c r="EE98" s="14">
        <v>1</v>
      </c>
      <c r="EF98" s="14">
        <v>0</v>
      </c>
      <c r="EG98" s="14">
        <v>0</v>
      </c>
      <c r="EH98" s="14">
        <v>1</v>
      </c>
      <c r="EI98" s="14">
        <v>0</v>
      </c>
      <c r="EJ98" s="14">
        <v>0</v>
      </c>
      <c r="EK98" s="14">
        <v>0</v>
      </c>
      <c r="EL98" s="14">
        <v>0</v>
      </c>
      <c r="EM98" s="14">
        <v>0</v>
      </c>
      <c r="EN98" s="14">
        <v>0</v>
      </c>
      <c r="EO98" s="14">
        <v>0</v>
      </c>
      <c r="EP98" s="14">
        <v>0</v>
      </c>
      <c r="EQ98" s="14">
        <v>0</v>
      </c>
      <c r="ER98" s="14">
        <v>0</v>
      </c>
      <c r="ES98" s="14">
        <v>0</v>
      </c>
      <c r="ET98" s="14">
        <v>0</v>
      </c>
      <c r="EU98" s="14">
        <v>0</v>
      </c>
      <c r="EV98" s="14">
        <v>0</v>
      </c>
      <c r="EW98" s="14">
        <v>0</v>
      </c>
      <c r="EX98" s="14">
        <v>0</v>
      </c>
      <c r="EY98" s="14">
        <v>0</v>
      </c>
      <c r="EZ98" s="14">
        <v>0</v>
      </c>
      <c r="FA98" s="14">
        <v>0</v>
      </c>
      <c r="FB98" s="14">
        <v>0</v>
      </c>
      <c r="FC98" s="14">
        <v>0</v>
      </c>
      <c r="FD98" s="14">
        <v>0</v>
      </c>
      <c r="FE98" s="14">
        <v>0</v>
      </c>
      <c r="FF98" s="14">
        <v>0</v>
      </c>
      <c r="FG98" s="15">
        <f t="shared" si="528"/>
        <v>81</v>
      </c>
      <c r="FH98" s="14">
        <v>8</v>
      </c>
      <c r="FI98" s="14">
        <v>241</v>
      </c>
      <c r="FJ98" s="14">
        <v>24</v>
      </c>
      <c r="FK98" s="14">
        <v>72</v>
      </c>
      <c r="FL98" s="14">
        <v>0</v>
      </c>
      <c r="FM98" s="14">
        <v>0</v>
      </c>
      <c r="FN98" s="14">
        <v>0</v>
      </c>
      <c r="FO98" s="14">
        <v>1752</v>
      </c>
      <c r="FP98" s="14">
        <v>204</v>
      </c>
      <c r="FQ98" s="15">
        <f t="shared" si="529"/>
        <v>1956</v>
      </c>
      <c r="FR98" s="14">
        <v>0</v>
      </c>
      <c r="FS98" s="14">
        <v>0</v>
      </c>
      <c r="FT98" s="14">
        <v>0</v>
      </c>
      <c r="FU98" s="14">
        <v>0</v>
      </c>
      <c r="FV98" s="15">
        <f t="shared" si="530"/>
        <v>0</v>
      </c>
      <c r="FW98" s="14">
        <v>24221692</v>
      </c>
      <c r="FX98" s="14">
        <v>148200</v>
      </c>
      <c r="FY98" s="14">
        <v>8743150</v>
      </c>
      <c r="FZ98" s="14">
        <v>1119630</v>
      </c>
      <c r="GA98" s="15">
        <f t="shared" si="531"/>
        <v>34232672</v>
      </c>
      <c r="GB98" s="15">
        <f t="shared" si="532"/>
        <v>34232672</v>
      </c>
      <c r="GC98" s="14">
        <v>82407.839999999997</v>
      </c>
      <c r="GD98" s="14">
        <v>0</v>
      </c>
      <c r="GE98" s="14">
        <v>136882.53</v>
      </c>
      <c r="GF98" s="14">
        <v>8410.99</v>
      </c>
      <c r="GG98" s="15">
        <f t="shared" si="533"/>
        <v>227701.36</v>
      </c>
      <c r="GH98" s="14">
        <v>24214972</v>
      </c>
      <c r="GI98" s="14">
        <v>148200</v>
      </c>
      <c r="GJ98" s="14">
        <v>1119630</v>
      </c>
      <c r="GK98" s="14">
        <v>8571750</v>
      </c>
      <c r="GL98" s="15">
        <f t="shared" si="534"/>
        <v>34054552</v>
      </c>
      <c r="GM98" s="15">
        <f t="shared" si="535"/>
        <v>34282253.359999999</v>
      </c>
      <c r="GN98" s="14">
        <v>3269.58</v>
      </c>
      <c r="GO98" s="14">
        <v>0</v>
      </c>
      <c r="GP98" s="14">
        <v>10180.92</v>
      </c>
      <c r="GQ98" s="14">
        <v>4637.34</v>
      </c>
      <c r="GR98" s="15">
        <f t="shared" si="536"/>
        <v>18087.84</v>
      </c>
      <c r="GS98" s="14">
        <v>5358</v>
      </c>
      <c r="GT98" s="14">
        <v>0</v>
      </c>
      <c r="GU98" s="14">
        <v>2679</v>
      </c>
      <c r="GV98" s="14">
        <v>893</v>
      </c>
      <c r="GW98" s="15">
        <f t="shared" si="537"/>
        <v>8930</v>
      </c>
      <c r="GX98" s="15">
        <f t="shared" si="538"/>
        <v>34309271.200000003</v>
      </c>
      <c r="GY98" s="14">
        <v>223061.28</v>
      </c>
      <c r="GZ98" s="14">
        <v>706456.80999999994</v>
      </c>
      <c r="HA98" s="15">
        <f t="shared" si="539"/>
        <v>929518.09</v>
      </c>
      <c r="HB98" s="15">
        <f t="shared" si="540"/>
        <v>0.4948229553182697</v>
      </c>
      <c r="HC98" s="16">
        <f t="shared" si="541"/>
        <v>0.99132232147441657</v>
      </c>
      <c r="HD98" s="15">
        <f t="shared" si="542"/>
        <v>0.99776739064046327</v>
      </c>
      <c r="HE98" s="14">
        <v>0</v>
      </c>
      <c r="HF98" s="14">
        <v>1</v>
      </c>
      <c r="HG98" s="14">
        <v>2959</v>
      </c>
      <c r="HH98" s="14">
        <v>15</v>
      </c>
      <c r="HI98" s="14">
        <v>0</v>
      </c>
      <c r="HJ98" s="15">
        <f t="shared" si="543"/>
        <v>1</v>
      </c>
      <c r="HK98" s="16" t="str">
        <f t="shared" si="544"/>
        <v/>
      </c>
      <c r="HL98" s="14">
        <v>4</v>
      </c>
      <c r="HM98" s="14">
        <v>24</v>
      </c>
      <c r="HN98" s="17">
        <f t="shared" si="545"/>
        <v>6</v>
      </c>
    </row>
    <row r="99" spans="1:222" x14ac:dyDescent="0.3">
      <c r="A99" s="6" t="s">
        <v>280</v>
      </c>
      <c r="B99" s="6" t="s">
        <v>281</v>
      </c>
      <c r="C99" s="7" t="s">
        <v>257</v>
      </c>
      <c r="D99" s="7">
        <v>2025</v>
      </c>
      <c r="E99" s="7">
        <v>4</v>
      </c>
      <c r="F99" s="7" t="s">
        <v>258</v>
      </c>
      <c r="G99" s="7" t="s">
        <v>259</v>
      </c>
      <c r="H99" s="8">
        <v>16102</v>
      </c>
      <c r="I99" s="8">
        <v>8072</v>
      </c>
      <c r="J99" s="8">
        <v>16</v>
      </c>
      <c r="K99" s="8">
        <v>16</v>
      </c>
      <c r="L99" s="8">
        <v>48</v>
      </c>
      <c r="M99" s="9">
        <f t="shared" si="485"/>
        <v>8152</v>
      </c>
      <c r="N99" s="8">
        <v>2886</v>
      </c>
      <c r="O99" s="8">
        <v>170</v>
      </c>
      <c r="P99" s="8">
        <v>73</v>
      </c>
      <c r="Q99" s="8">
        <v>426</v>
      </c>
      <c r="R99" s="9">
        <f t="shared" si="486"/>
        <v>3555</v>
      </c>
      <c r="S99" s="9">
        <f t="shared" si="487"/>
        <v>11707</v>
      </c>
      <c r="T99" s="8">
        <v>4395</v>
      </c>
      <c r="U99" s="10">
        <f t="shared" si="488"/>
        <v>0.27294745994286423</v>
      </c>
      <c r="V99" s="8">
        <v>48</v>
      </c>
      <c r="W99" s="11">
        <f t="shared" si="489"/>
        <v>2.9809961495466403E-3</v>
      </c>
      <c r="X99" s="8">
        <v>0</v>
      </c>
      <c r="Y99" s="11">
        <f t="shared" si="490"/>
        <v>0</v>
      </c>
      <c r="Z99" s="8">
        <v>0</v>
      </c>
      <c r="AA99" s="11">
        <f t="shared" si="491"/>
        <v>0</v>
      </c>
      <c r="AB99" s="8">
        <v>0</v>
      </c>
      <c r="AC99" s="11">
        <f t="shared" si="492"/>
        <v>0</v>
      </c>
      <c r="AD99" s="8">
        <v>0</v>
      </c>
      <c r="AE99" s="11">
        <f t="shared" si="493"/>
        <v>0</v>
      </c>
      <c r="AF99" s="8">
        <v>0</v>
      </c>
      <c r="AG99" s="11">
        <f t="shared" si="494"/>
        <v>0</v>
      </c>
      <c r="AH99" s="8">
        <v>245360.16</v>
      </c>
      <c r="AI99" s="9">
        <f t="shared" si="495"/>
        <v>15.237868587753074</v>
      </c>
      <c r="AJ99" s="8">
        <v>7311</v>
      </c>
      <c r="AK99" s="11">
        <f t="shared" si="496"/>
        <v>0.45404297602782262</v>
      </c>
      <c r="AL99" s="8">
        <v>1030838.7165</v>
      </c>
      <c r="AM99" s="9">
        <f t="shared" si="497"/>
        <v>64.019296764377088</v>
      </c>
      <c r="AN99" s="8">
        <v>0</v>
      </c>
      <c r="AO99" s="8">
        <v>160</v>
      </c>
      <c r="AP99" s="8">
        <v>437440</v>
      </c>
      <c r="AQ99" s="8">
        <v>0</v>
      </c>
      <c r="AR99" s="8">
        <v>8633601.9000000004</v>
      </c>
      <c r="AS99" s="8">
        <v>2318170.02</v>
      </c>
      <c r="AT99" s="8">
        <v>2886656</v>
      </c>
      <c r="AU99" s="9">
        <f t="shared" si="498"/>
        <v>15552066.796499999</v>
      </c>
      <c r="AV99" s="9">
        <f t="shared" si="499"/>
        <v>965.84690078872188</v>
      </c>
      <c r="AW99" s="9">
        <f t="shared" si="500"/>
        <v>1328.441684163321</v>
      </c>
      <c r="AX99" s="8">
        <v>8</v>
      </c>
      <c r="AY99" s="9">
        <f t="shared" si="501"/>
        <v>5.9619922990932803</v>
      </c>
      <c r="AZ99" s="8">
        <v>13</v>
      </c>
      <c r="BA99" s="8">
        <v>47</v>
      </c>
      <c r="BB99" s="8">
        <v>18</v>
      </c>
      <c r="BC99" s="8">
        <v>0</v>
      </c>
      <c r="BD99" s="8">
        <v>22</v>
      </c>
      <c r="BE99" s="9">
        <f t="shared" si="502"/>
        <v>22</v>
      </c>
      <c r="BF99" s="9">
        <f t="shared" si="503"/>
        <v>43</v>
      </c>
      <c r="BG99" s="8">
        <v>0</v>
      </c>
      <c r="BH99" s="8">
        <v>0</v>
      </c>
      <c r="BI99" s="8">
        <v>0</v>
      </c>
      <c r="BJ99" s="8">
        <v>0</v>
      </c>
      <c r="BK99" s="9">
        <f t="shared" si="504"/>
        <v>0</v>
      </c>
      <c r="BL99" s="9">
        <f t="shared" si="505"/>
        <v>0</v>
      </c>
      <c r="BM99" s="8">
        <v>0</v>
      </c>
      <c r="BN99" s="8">
        <v>0</v>
      </c>
      <c r="BO99" s="8">
        <v>0</v>
      </c>
      <c r="BP99" s="8">
        <v>0</v>
      </c>
      <c r="BQ99" s="9">
        <f t="shared" si="506"/>
        <v>0</v>
      </c>
      <c r="BR99" s="9">
        <f t="shared" si="507"/>
        <v>0</v>
      </c>
      <c r="BS99" s="8">
        <v>0</v>
      </c>
      <c r="BT99" s="8">
        <v>0</v>
      </c>
      <c r="BU99" s="8">
        <v>0</v>
      </c>
      <c r="BV99" s="8">
        <v>0</v>
      </c>
      <c r="BW99" s="9">
        <f t="shared" si="508"/>
        <v>0</v>
      </c>
      <c r="BX99" s="9">
        <f t="shared" si="509"/>
        <v>0</v>
      </c>
      <c r="BY99" s="9">
        <f t="shared" si="510"/>
        <v>47</v>
      </c>
      <c r="BZ99" s="9">
        <f t="shared" si="511"/>
        <v>18</v>
      </c>
      <c r="CA99" s="9">
        <f t="shared" si="512"/>
        <v>22</v>
      </c>
      <c r="CB99" s="9">
        <f t="shared" si="513"/>
        <v>43</v>
      </c>
      <c r="CC99" s="8">
        <v>22</v>
      </c>
      <c r="CD99" s="8">
        <v>938</v>
      </c>
      <c r="CE99" s="8">
        <v>5</v>
      </c>
      <c r="CF99" s="8">
        <v>22</v>
      </c>
      <c r="CG99" s="8">
        <v>20</v>
      </c>
      <c r="CH99" s="9">
        <f t="shared" si="514"/>
        <v>985</v>
      </c>
      <c r="CI99" s="8">
        <v>962</v>
      </c>
      <c r="CJ99" s="8">
        <v>1</v>
      </c>
      <c r="CK99" s="8">
        <v>6</v>
      </c>
      <c r="CL99" s="8">
        <v>2</v>
      </c>
      <c r="CM99" s="9">
        <f t="shared" si="515"/>
        <v>971</v>
      </c>
      <c r="CN99" s="8">
        <v>648</v>
      </c>
      <c r="CO99" s="8">
        <v>37</v>
      </c>
      <c r="CP99" s="8">
        <v>107</v>
      </c>
      <c r="CQ99" s="8">
        <v>6</v>
      </c>
      <c r="CR99" s="9">
        <f t="shared" si="516"/>
        <v>798</v>
      </c>
      <c r="CS99" s="9">
        <f t="shared" si="517"/>
        <v>1769</v>
      </c>
      <c r="CT99" s="8">
        <v>2754</v>
      </c>
      <c r="CU99" s="8">
        <v>18200</v>
      </c>
      <c r="CV99" s="8">
        <v>16435</v>
      </c>
      <c r="CW99" s="10">
        <f t="shared" si="518"/>
        <v>0.90302197802197803</v>
      </c>
      <c r="CX99" s="8">
        <v>0</v>
      </c>
      <c r="CY99" s="8">
        <v>0</v>
      </c>
      <c r="CZ99" s="8">
        <v>0</v>
      </c>
      <c r="DA99" s="8">
        <v>0</v>
      </c>
      <c r="DB99" s="9">
        <f t="shared" si="519"/>
        <v>0</v>
      </c>
      <c r="DC99" s="8">
        <v>0</v>
      </c>
      <c r="DD99" s="8">
        <v>0</v>
      </c>
      <c r="DE99" s="8">
        <v>0</v>
      </c>
      <c r="DF99" s="8">
        <v>0</v>
      </c>
      <c r="DG99" s="9">
        <f t="shared" si="520"/>
        <v>0</v>
      </c>
      <c r="DH99" s="8">
        <v>0</v>
      </c>
      <c r="DI99" s="8">
        <v>0</v>
      </c>
      <c r="DJ99" s="8">
        <v>0</v>
      </c>
      <c r="DK99" s="8">
        <v>0</v>
      </c>
      <c r="DL99" s="9">
        <f t="shared" si="521"/>
        <v>0</v>
      </c>
      <c r="DM99" s="8">
        <v>16</v>
      </c>
      <c r="DN99" s="8">
        <v>3</v>
      </c>
      <c r="DO99" s="8">
        <v>0</v>
      </c>
      <c r="DP99" s="8">
        <v>3</v>
      </c>
      <c r="DQ99" s="9">
        <f t="shared" si="522"/>
        <v>16</v>
      </c>
      <c r="DR99" s="9">
        <f t="shared" si="523"/>
        <v>16</v>
      </c>
      <c r="DS99" s="9">
        <f t="shared" si="524"/>
        <v>3</v>
      </c>
      <c r="DT99" s="9">
        <f t="shared" si="525"/>
        <v>0</v>
      </c>
      <c r="DU99" s="9">
        <f t="shared" si="526"/>
        <v>3</v>
      </c>
      <c r="DV99" s="9">
        <f t="shared" si="527"/>
        <v>16</v>
      </c>
      <c r="DW99" s="8">
        <v>76</v>
      </c>
      <c r="DX99" s="8">
        <v>44</v>
      </c>
      <c r="DY99" s="8">
        <v>15</v>
      </c>
      <c r="DZ99" s="8">
        <v>15</v>
      </c>
      <c r="EA99" s="8">
        <v>6</v>
      </c>
      <c r="EB99" s="8">
        <v>8</v>
      </c>
      <c r="EC99" s="8">
        <v>8</v>
      </c>
      <c r="ED99" s="8">
        <v>2</v>
      </c>
      <c r="EE99" s="8">
        <v>1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0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0</v>
      </c>
      <c r="FA99" s="8">
        <v>0</v>
      </c>
      <c r="FB99" s="8">
        <v>0</v>
      </c>
      <c r="FC99" s="8">
        <v>0</v>
      </c>
      <c r="FD99" s="8">
        <v>0</v>
      </c>
      <c r="FE99" s="8">
        <v>0</v>
      </c>
      <c r="FF99" s="8">
        <v>0</v>
      </c>
      <c r="FG99" s="9">
        <f t="shared" si="528"/>
        <v>175</v>
      </c>
      <c r="FH99" s="8">
        <v>0</v>
      </c>
      <c r="FI99" s="8">
        <v>0</v>
      </c>
      <c r="FJ99" s="8">
        <v>24</v>
      </c>
      <c r="FK99" s="8">
        <v>72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9">
        <f t="shared" si="529"/>
        <v>0</v>
      </c>
      <c r="FR99" s="8">
        <v>7896998</v>
      </c>
      <c r="FS99" s="8">
        <v>4000</v>
      </c>
      <c r="FT99" s="8">
        <v>25000</v>
      </c>
      <c r="FU99" s="8">
        <v>104000</v>
      </c>
      <c r="FV99" s="9">
        <f t="shared" si="530"/>
        <v>8029998</v>
      </c>
      <c r="FW99" s="8">
        <v>4534691</v>
      </c>
      <c r="FX99" s="8">
        <v>36185</v>
      </c>
      <c r="FY99" s="8">
        <v>2080948</v>
      </c>
      <c r="FZ99" s="8">
        <v>243468</v>
      </c>
      <c r="GA99" s="9">
        <f t="shared" si="531"/>
        <v>6895292</v>
      </c>
      <c r="GB99" s="9">
        <f t="shared" si="532"/>
        <v>14925290</v>
      </c>
      <c r="GC99" s="8">
        <v>7060843.6399999997</v>
      </c>
      <c r="GD99" s="8">
        <v>3060.48</v>
      </c>
      <c r="GE99" s="8">
        <v>42884.67</v>
      </c>
      <c r="GF99" s="8">
        <v>135987.18</v>
      </c>
      <c r="GG99" s="9">
        <f t="shared" si="533"/>
        <v>7242775.9699999997</v>
      </c>
      <c r="GH99" s="8">
        <v>0</v>
      </c>
      <c r="GI99" s="8">
        <v>0</v>
      </c>
      <c r="GJ99" s="8">
        <v>0</v>
      </c>
      <c r="GK99" s="8">
        <v>0</v>
      </c>
      <c r="GL99" s="9">
        <f t="shared" si="534"/>
        <v>0</v>
      </c>
      <c r="GM99" s="9">
        <f t="shared" si="535"/>
        <v>7242775.9699999997</v>
      </c>
      <c r="GN99" s="8">
        <v>538040.31999999995</v>
      </c>
      <c r="GO99" s="8">
        <v>382.56</v>
      </c>
      <c r="GP99" s="8">
        <v>3393.64</v>
      </c>
      <c r="GQ99" s="8">
        <v>27824.04</v>
      </c>
      <c r="GR99" s="9">
        <f t="shared" si="536"/>
        <v>569640.56000000006</v>
      </c>
      <c r="GS99" s="8">
        <v>859066</v>
      </c>
      <c r="GT99" s="8">
        <v>1786</v>
      </c>
      <c r="GU99" s="8">
        <v>893</v>
      </c>
      <c r="GV99" s="8">
        <v>5358</v>
      </c>
      <c r="GW99" s="9">
        <f t="shared" si="537"/>
        <v>867103</v>
      </c>
      <c r="GX99" s="9">
        <f t="shared" si="538"/>
        <v>8679519.5299999993</v>
      </c>
      <c r="GY99" s="8">
        <v>94714255.629999995</v>
      </c>
      <c r="GZ99" s="8">
        <v>123273620.77</v>
      </c>
      <c r="HA99" s="9">
        <f t="shared" si="539"/>
        <v>217987876.39999998</v>
      </c>
      <c r="HB99" s="9">
        <f t="shared" si="540"/>
        <v>1.7918119479708112</v>
      </c>
      <c r="HC99" s="10">
        <f t="shared" si="541"/>
        <v>0.14435385473548465</v>
      </c>
      <c r="HD99" s="9">
        <f t="shared" si="542"/>
        <v>1.7195986423455862</v>
      </c>
      <c r="HE99" s="8">
        <v>18</v>
      </c>
      <c r="HF99" s="8">
        <v>1</v>
      </c>
      <c r="HG99" s="8">
        <v>43</v>
      </c>
      <c r="HH99" s="8">
        <v>18</v>
      </c>
      <c r="HI99" s="8">
        <v>7</v>
      </c>
      <c r="HJ99" s="9">
        <f t="shared" si="543"/>
        <v>8</v>
      </c>
      <c r="HK99" s="10">
        <f t="shared" si="544"/>
        <v>1</v>
      </c>
      <c r="HL99" s="8">
        <v>35</v>
      </c>
      <c r="HM99" s="8">
        <v>30</v>
      </c>
      <c r="HN99" s="11">
        <f t="shared" si="545"/>
        <v>0.8571428571428571</v>
      </c>
    </row>
    <row r="100" spans="1:222" x14ac:dyDescent="0.3">
      <c r="A100" s="12" t="s">
        <v>280</v>
      </c>
      <c r="B100" s="12" t="s">
        <v>281</v>
      </c>
      <c r="C100" s="13" t="s">
        <v>257</v>
      </c>
      <c r="D100" s="13">
        <v>2025</v>
      </c>
      <c r="E100" s="13">
        <v>5</v>
      </c>
      <c r="F100" s="13" t="s">
        <v>260</v>
      </c>
      <c r="G100" s="13" t="s">
        <v>259</v>
      </c>
      <c r="H100" s="14">
        <v>14034</v>
      </c>
      <c r="I100" s="14">
        <v>6746</v>
      </c>
      <c r="J100" s="14">
        <v>11</v>
      </c>
      <c r="K100" s="14">
        <v>15</v>
      </c>
      <c r="L100" s="14">
        <v>43</v>
      </c>
      <c r="M100" s="15">
        <f t="shared" si="485"/>
        <v>6815</v>
      </c>
      <c r="N100" s="14">
        <v>2645</v>
      </c>
      <c r="O100" s="14">
        <v>114</v>
      </c>
      <c r="P100" s="14">
        <v>65</v>
      </c>
      <c r="Q100" s="14">
        <v>267</v>
      </c>
      <c r="R100" s="15">
        <f t="shared" si="486"/>
        <v>3091</v>
      </c>
      <c r="S100" s="15">
        <f t="shared" si="487"/>
        <v>9906</v>
      </c>
      <c r="T100" s="14">
        <v>4128</v>
      </c>
      <c r="U100" s="16">
        <f t="shared" si="488"/>
        <v>0.29414279606669519</v>
      </c>
      <c r="V100" s="14">
        <v>40</v>
      </c>
      <c r="W100" s="17">
        <f t="shared" si="489"/>
        <v>2.8502208921191391E-3</v>
      </c>
      <c r="X100" s="14">
        <v>0</v>
      </c>
      <c r="Y100" s="17">
        <f t="shared" si="490"/>
        <v>0</v>
      </c>
      <c r="Z100" s="14">
        <v>0</v>
      </c>
      <c r="AA100" s="17">
        <f t="shared" si="491"/>
        <v>0</v>
      </c>
      <c r="AB100" s="14">
        <v>0</v>
      </c>
      <c r="AC100" s="17">
        <f t="shared" si="492"/>
        <v>0</v>
      </c>
      <c r="AD100" s="14">
        <v>0</v>
      </c>
      <c r="AE100" s="17">
        <f t="shared" si="493"/>
        <v>0</v>
      </c>
      <c r="AF100" s="14">
        <v>0</v>
      </c>
      <c r="AG100" s="17">
        <f t="shared" si="494"/>
        <v>0</v>
      </c>
      <c r="AH100" s="14">
        <v>204466.8</v>
      </c>
      <c r="AI100" s="15">
        <f t="shared" si="495"/>
        <v>14.56938862761864</v>
      </c>
      <c r="AJ100" s="14">
        <v>7539</v>
      </c>
      <c r="AK100" s="17">
        <f t="shared" si="496"/>
        <v>0.53719538264215472</v>
      </c>
      <c r="AL100" s="14">
        <v>1062474.0585</v>
      </c>
      <c r="AM100" s="15">
        <f t="shared" si="497"/>
        <v>75.707143971782813</v>
      </c>
      <c r="AN100" s="14">
        <v>0</v>
      </c>
      <c r="AO100" s="14">
        <v>235</v>
      </c>
      <c r="AP100" s="14">
        <v>642490</v>
      </c>
      <c r="AQ100" s="14">
        <v>0</v>
      </c>
      <c r="AR100" s="14">
        <v>8965500.4199999999</v>
      </c>
      <c r="AS100" s="14">
        <v>2748385.42</v>
      </c>
      <c r="AT100" s="14">
        <v>0</v>
      </c>
      <c r="AU100" s="15">
        <f t="shared" si="498"/>
        <v>13623316.6985</v>
      </c>
      <c r="AV100" s="15">
        <f t="shared" si="499"/>
        <v>970.73654685050587</v>
      </c>
      <c r="AW100" s="15">
        <f t="shared" si="500"/>
        <v>1375.2591054411469</v>
      </c>
      <c r="AX100" s="14">
        <v>8</v>
      </c>
      <c r="AY100" s="15">
        <f t="shared" si="501"/>
        <v>6.8405301410859343</v>
      </c>
      <c r="AZ100" s="14">
        <v>13</v>
      </c>
      <c r="BA100" s="14">
        <v>43</v>
      </c>
      <c r="BB100" s="14">
        <v>13</v>
      </c>
      <c r="BC100" s="14">
        <v>0</v>
      </c>
      <c r="BD100" s="14">
        <v>18</v>
      </c>
      <c r="BE100" s="15">
        <f t="shared" si="502"/>
        <v>18</v>
      </c>
      <c r="BF100" s="15">
        <f t="shared" si="503"/>
        <v>38</v>
      </c>
      <c r="BG100" s="14">
        <v>0</v>
      </c>
      <c r="BH100" s="14">
        <v>0</v>
      </c>
      <c r="BI100" s="14">
        <v>0</v>
      </c>
      <c r="BJ100" s="14">
        <v>0</v>
      </c>
      <c r="BK100" s="15">
        <f t="shared" si="504"/>
        <v>0</v>
      </c>
      <c r="BL100" s="15">
        <f t="shared" si="505"/>
        <v>0</v>
      </c>
      <c r="BM100" s="14">
        <v>0</v>
      </c>
      <c r="BN100" s="14">
        <v>0</v>
      </c>
      <c r="BO100" s="14">
        <v>0</v>
      </c>
      <c r="BP100" s="14">
        <v>0</v>
      </c>
      <c r="BQ100" s="15">
        <f t="shared" si="506"/>
        <v>0</v>
      </c>
      <c r="BR100" s="15">
        <f t="shared" si="507"/>
        <v>0</v>
      </c>
      <c r="BS100" s="14">
        <v>0</v>
      </c>
      <c r="BT100" s="14">
        <v>0</v>
      </c>
      <c r="BU100" s="14">
        <v>0</v>
      </c>
      <c r="BV100" s="14">
        <v>0</v>
      </c>
      <c r="BW100" s="15">
        <f t="shared" si="508"/>
        <v>0</v>
      </c>
      <c r="BX100" s="15">
        <f t="shared" si="509"/>
        <v>0</v>
      </c>
      <c r="BY100" s="15">
        <f t="shared" si="510"/>
        <v>43</v>
      </c>
      <c r="BZ100" s="15">
        <f t="shared" si="511"/>
        <v>13</v>
      </c>
      <c r="CA100" s="15">
        <f t="shared" si="512"/>
        <v>18</v>
      </c>
      <c r="CB100" s="15">
        <f t="shared" si="513"/>
        <v>38</v>
      </c>
      <c r="CC100" s="14">
        <v>18</v>
      </c>
      <c r="CD100" s="14">
        <v>904</v>
      </c>
      <c r="CE100" s="14">
        <v>5</v>
      </c>
      <c r="CF100" s="14">
        <v>22</v>
      </c>
      <c r="CG100" s="14">
        <v>20</v>
      </c>
      <c r="CH100" s="15">
        <f t="shared" si="514"/>
        <v>951</v>
      </c>
      <c r="CI100" s="14">
        <v>975</v>
      </c>
      <c r="CJ100" s="14">
        <v>1</v>
      </c>
      <c r="CK100" s="14">
        <v>6</v>
      </c>
      <c r="CL100" s="14">
        <v>2</v>
      </c>
      <c r="CM100" s="15">
        <f t="shared" si="515"/>
        <v>984</v>
      </c>
      <c r="CN100" s="14">
        <v>678</v>
      </c>
      <c r="CO100" s="14">
        <v>38</v>
      </c>
      <c r="CP100" s="14">
        <v>112</v>
      </c>
      <c r="CQ100" s="14">
        <v>7</v>
      </c>
      <c r="CR100" s="15">
        <f t="shared" si="516"/>
        <v>835</v>
      </c>
      <c r="CS100" s="15">
        <f t="shared" si="517"/>
        <v>1819</v>
      </c>
      <c r="CT100" s="14">
        <v>2770</v>
      </c>
      <c r="CU100" s="14">
        <v>18200</v>
      </c>
      <c r="CV100" s="14">
        <v>16445</v>
      </c>
      <c r="CW100" s="16">
        <f t="shared" si="518"/>
        <v>0.90357142857142858</v>
      </c>
      <c r="CX100" s="14">
        <v>0</v>
      </c>
      <c r="CY100" s="14">
        <v>0</v>
      </c>
      <c r="CZ100" s="14">
        <v>0</v>
      </c>
      <c r="DA100" s="14">
        <v>0</v>
      </c>
      <c r="DB100" s="15">
        <f t="shared" si="519"/>
        <v>0</v>
      </c>
      <c r="DC100" s="14">
        <v>0</v>
      </c>
      <c r="DD100" s="14">
        <v>0</v>
      </c>
      <c r="DE100" s="14">
        <v>0</v>
      </c>
      <c r="DF100" s="14">
        <v>0</v>
      </c>
      <c r="DG100" s="15">
        <f t="shared" si="520"/>
        <v>0</v>
      </c>
      <c r="DH100" s="14">
        <v>0</v>
      </c>
      <c r="DI100" s="14">
        <v>0</v>
      </c>
      <c r="DJ100" s="14">
        <v>0</v>
      </c>
      <c r="DK100" s="14">
        <v>0</v>
      </c>
      <c r="DL100" s="15">
        <f t="shared" si="521"/>
        <v>0</v>
      </c>
      <c r="DM100" s="14">
        <v>16</v>
      </c>
      <c r="DN100" s="14">
        <v>0</v>
      </c>
      <c r="DO100" s="14">
        <v>0</v>
      </c>
      <c r="DP100" s="14">
        <v>0</v>
      </c>
      <c r="DQ100" s="15">
        <f t="shared" si="522"/>
        <v>16</v>
      </c>
      <c r="DR100" s="15">
        <f t="shared" si="523"/>
        <v>16</v>
      </c>
      <c r="DS100" s="15">
        <f t="shared" si="524"/>
        <v>0</v>
      </c>
      <c r="DT100" s="15">
        <f t="shared" si="525"/>
        <v>0</v>
      </c>
      <c r="DU100" s="15">
        <f t="shared" si="526"/>
        <v>0</v>
      </c>
      <c r="DV100" s="15">
        <f t="shared" si="527"/>
        <v>16</v>
      </c>
      <c r="DW100" s="14">
        <v>77</v>
      </c>
      <c r="DX100" s="14">
        <v>46</v>
      </c>
      <c r="DY100" s="14">
        <v>10</v>
      </c>
      <c r="DZ100" s="14">
        <v>2</v>
      </c>
      <c r="EA100" s="14">
        <v>8</v>
      </c>
      <c r="EB100" s="14">
        <v>6</v>
      </c>
      <c r="EC100" s="14">
        <v>6</v>
      </c>
      <c r="ED100" s="14">
        <v>3</v>
      </c>
      <c r="EE100" s="14">
        <v>3</v>
      </c>
      <c r="EF100" s="14">
        <v>0</v>
      </c>
      <c r="EG100" s="14">
        <v>0</v>
      </c>
      <c r="EH100" s="14">
        <v>0</v>
      </c>
      <c r="EI100" s="14">
        <v>0</v>
      </c>
      <c r="EJ100" s="14">
        <v>0</v>
      </c>
      <c r="EK100" s="14">
        <v>0</v>
      </c>
      <c r="EL100" s="14">
        <v>0</v>
      </c>
      <c r="EM100" s="14">
        <v>0</v>
      </c>
      <c r="EN100" s="14">
        <v>0</v>
      </c>
      <c r="EO100" s="14">
        <v>0</v>
      </c>
      <c r="EP100" s="14">
        <v>0</v>
      </c>
      <c r="EQ100" s="14">
        <v>0</v>
      </c>
      <c r="ER100" s="14">
        <v>0</v>
      </c>
      <c r="ES100" s="14">
        <v>0</v>
      </c>
      <c r="ET100" s="14">
        <v>0</v>
      </c>
      <c r="EU100" s="14">
        <v>0</v>
      </c>
      <c r="EV100" s="14">
        <v>0</v>
      </c>
      <c r="EW100" s="14">
        <v>0</v>
      </c>
      <c r="EX100" s="14">
        <v>0</v>
      </c>
      <c r="EY100" s="14">
        <v>0</v>
      </c>
      <c r="EZ100" s="14">
        <v>0</v>
      </c>
      <c r="FA100" s="14">
        <v>0</v>
      </c>
      <c r="FB100" s="14">
        <v>0</v>
      </c>
      <c r="FC100" s="14">
        <v>0</v>
      </c>
      <c r="FD100" s="14">
        <v>0</v>
      </c>
      <c r="FE100" s="14">
        <v>2</v>
      </c>
      <c r="FF100" s="14">
        <v>2</v>
      </c>
      <c r="FG100" s="15">
        <f t="shared" si="528"/>
        <v>165</v>
      </c>
      <c r="FH100" s="14">
        <v>0</v>
      </c>
      <c r="FI100" s="14">
        <v>0</v>
      </c>
      <c r="FJ100" s="14">
        <v>18</v>
      </c>
      <c r="FK100" s="14">
        <v>48</v>
      </c>
      <c r="FL100" s="14">
        <v>0</v>
      </c>
      <c r="FM100" s="14">
        <v>0</v>
      </c>
      <c r="FN100" s="14">
        <v>0</v>
      </c>
      <c r="FO100" s="14">
        <v>0</v>
      </c>
      <c r="FP100" s="14">
        <v>0</v>
      </c>
      <c r="FQ100" s="15">
        <f t="shared" si="529"/>
        <v>0</v>
      </c>
      <c r="FR100" s="14">
        <v>7610043.21</v>
      </c>
      <c r="FS100" s="14">
        <v>115867.22</v>
      </c>
      <c r="FT100" s="14">
        <v>262867.21999999997</v>
      </c>
      <c r="FU100" s="14">
        <v>0</v>
      </c>
      <c r="FV100" s="15">
        <f t="shared" si="530"/>
        <v>7988777.6499999994</v>
      </c>
      <c r="FW100" s="14">
        <v>3920844.59</v>
      </c>
      <c r="FX100" s="14">
        <v>24300</v>
      </c>
      <c r="FY100" s="14">
        <v>1293341.19</v>
      </c>
      <c r="FZ100" s="14">
        <v>215950</v>
      </c>
      <c r="GA100" s="15">
        <f t="shared" si="531"/>
        <v>5454435.7799999993</v>
      </c>
      <c r="GB100" s="15">
        <f t="shared" si="532"/>
        <v>13443213.43</v>
      </c>
      <c r="GC100" s="14">
        <v>5968504.3700000001</v>
      </c>
      <c r="GD100" s="14">
        <v>2104.08</v>
      </c>
      <c r="GE100" s="14">
        <v>39425.199999999997</v>
      </c>
      <c r="GF100" s="14">
        <v>123697.32</v>
      </c>
      <c r="GG100" s="15">
        <f t="shared" si="533"/>
        <v>6133730.9700000007</v>
      </c>
      <c r="GH100" s="14">
        <v>0</v>
      </c>
      <c r="GI100" s="14">
        <v>0</v>
      </c>
      <c r="GJ100" s="14">
        <v>0</v>
      </c>
      <c r="GK100" s="14">
        <v>0</v>
      </c>
      <c r="GL100" s="15">
        <f t="shared" si="534"/>
        <v>0</v>
      </c>
      <c r="GM100" s="15">
        <f t="shared" si="535"/>
        <v>6133730.9700000007</v>
      </c>
      <c r="GN100" s="14">
        <v>545021.56999999995</v>
      </c>
      <c r="GO100" s="14">
        <v>382.56</v>
      </c>
      <c r="GP100" s="14">
        <v>3393.64</v>
      </c>
      <c r="GQ100" s="14">
        <v>27824.04</v>
      </c>
      <c r="GR100" s="15">
        <f t="shared" si="536"/>
        <v>576621.81000000006</v>
      </c>
      <c r="GS100" s="14">
        <v>870675</v>
      </c>
      <c r="GT100" s="14">
        <v>1786</v>
      </c>
      <c r="GU100" s="14">
        <v>893</v>
      </c>
      <c r="GV100" s="14">
        <v>5358</v>
      </c>
      <c r="GW100" s="15">
        <f t="shared" si="537"/>
        <v>878712</v>
      </c>
      <c r="GX100" s="15">
        <f t="shared" si="538"/>
        <v>7589064.7800000012</v>
      </c>
      <c r="GY100" s="14">
        <v>94314542.760000005</v>
      </c>
      <c r="GZ100" s="14">
        <v>123273620.77</v>
      </c>
      <c r="HA100" s="15">
        <f t="shared" si="539"/>
        <v>217588163.53</v>
      </c>
      <c r="HB100" s="15">
        <f t="shared" si="540"/>
        <v>1.7951245764039976</v>
      </c>
      <c r="HC100" s="16">
        <f t="shared" si="541"/>
        <v>0.13192087850985221</v>
      </c>
      <c r="HD100" s="15">
        <f t="shared" si="542"/>
        <v>1.7713926313328949</v>
      </c>
      <c r="HE100" s="14">
        <v>13</v>
      </c>
      <c r="HF100" s="14">
        <v>1</v>
      </c>
      <c r="HG100" s="14">
        <v>38</v>
      </c>
      <c r="HH100" s="14">
        <v>13</v>
      </c>
      <c r="HI100" s="14">
        <v>7</v>
      </c>
      <c r="HJ100" s="15">
        <f t="shared" si="543"/>
        <v>8</v>
      </c>
      <c r="HK100" s="16">
        <f t="shared" si="544"/>
        <v>1</v>
      </c>
      <c r="HL100" s="14">
        <v>60</v>
      </c>
      <c r="HM100" s="14">
        <v>30</v>
      </c>
      <c r="HN100" s="17">
        <f t="shared" si="545"/>
        <v>0.5</v>
      </c>
    </row>
    <row r="101" spans="1:222" x14ac:dyDescent="0.3">
      <c r="A101" s="6" t="s">
        <v>280</v>
      </c>
      <c r="B101" s="6" t="s">
        <v>281</v>
      </c>
      <c r="C101" s="7" t="s">
        <v>257</v>
      </c>
      <c r="D101" s="7">
        <v>2025</v>
      </c>
      <c r="E101" s="7">
        <v>6</v>
      </c>
      <c r="F101" s="7" t="s">
        <v>261</v>
      </c>
      <c r="G101" s="7" t="s">
        <v>259</v>
      </c>
      <c r="H101" s="8">
        <v>12889</v>
      </c>
      <c r="I101" s="8">
        <v>5629</v>
      </c>
      <c r="J101" s="8">
        <v>10</v>
      </c>
      <c r="K101" s="8">
        <v>10</v>
      </c>
      <c r="L101" s="8">
        <v>28</v>
      </c>
      <c r="M101" s="9">
        <f t="shared" si="485"/>
        <v>5677</v>
      </c>
      <c r="N101" s="8">
        <v>2521.3000000000002</v>
      </c>
      <c r="O101" s="8">
        <v>112</v>
      </c>
      <c r="P101" s="8">
        <v>507</v>
      </c>
      <c r="Q101" s="8">
        <v>198</v>
      </c>
      <c r="R101" s="9">
        <f t="shared" si="486"/>
        <v>3338.3</v>
      </c>
      <c r="S101" s="9">
        <f t="shared" si="487"/>
        <v>9015.2999999999993</v>
      </c>
      <c r="T101" s="8">
        <v>3873.7</v>
      </c>
      <c r="U101" s="10">
        <f t="shared" si="488"/>
        <v>0.3005430987663899</v>
      </c>
      <c r="V101" s="8">
        <v>38</v>
      </c>
      <c r="W101" s="11">
        <f t="shared" si="489"/>
        <v>2.9482504461168439E-3</v>
      </c>
      <c r="X101" s="8">
        <v>0</v>
      </c>
      <c r="Y101" s="11">
        <f t="shared" si="490"/>
        <v>0</v>
      </c>
      <c r="Z101" s="8">
        <v>0</v>
      </c>
      <c r="AA101" s="11">
        <f t="shared" si="491"/>
        <v>0</v>
      </c>
      <c r="AB101" s="8">
        <v>0</v>
      </c>
      <c r="AC101" s="11">
        <f t="shared" si="492"/>
        <v>0</v>
      </c>
      <c r="AD101" s="8">
        <v>0</v>
      </c>
      <c r="AE101" s="11">
        <f t="shared" si="493"/>
        <v>0</v>
      </c>
      <c r="AF101" s="8">
        <v>0</v>
      </c>
      <c r="AG101" s="11">
        <f t="shared" si="494"/>
        <v>0</v>
      </c>
      <c r="AH101" s="8">
        <v>194243.46</v>
      </c>
      <c r="AI101" s="9">
        <f t="shared" si="495"/>
        <v>15.070483357902086</v>
      </c>
      <c r="AJ101" s="8">
        <v>5415</v>
      </c>
      <c r="AK101" s="11">
        <f t="shared" si="496"/>
        <v>0.42012568857165022</v>
      </c>
      <c r="AL101" s="8">
        <v>767765.87250000006</v>
      </c>
      <c r="AM101" s="9">
        <f t="shared" si="497"/>
        <v>59.567528318721394</v>
      </c>
      <c r="AN101" s="8">
        <v>0</v>
      </c>
      <c r="AO101" s="8">
        <v>150</v>
      </c>
      <c r="AP101" s="8">
        <v>410100</v>
      </c>
      <c r="AQ101" s="8">
        <v>0</v>
      </c>
      <c r="AR101" s="8">
        <v>8946575.5800000001</v>
      </c>
      <c r="AS101" s="8">
        <v>3145315.64</v>
      </c>
      <c r="AT101" s="8">
        <v>0</v>
      </c>
      <c r="AU101" s="9">
        <f t="shared" si="498"/>
        <v>13464000.5525</v>
      </c>
      <c r="AV101" s="9">
        <f t="shared" si="499"/>
        <v>1044.611727248041</v>
      </c>
      <c r="AW101" s="9">
        <f t="shared" si="500"/>
        <v>1493.4611773873305</v>
      </c>
      <c r="AX101" s="8">
        <v>8</v>
      </c>
      <c r="AY101" s="9">
        <f t="shared" si="501"/>
        <v>7.4482116533478164</v>
      </c>
      <c r="AZ101" s="8">
        <v>13</v>
      </c>
      <c r="BA101" s="8">
        <v>38</v>
      </c>
      <c r="BB101" s="8">
        <v>8</v>
      </c>
      <c r="BC101" s="8">
        <v>0</v>
      </c>
      <c r="BD101" s="8">
        <v>0</v>
      </c>
      <c r="BE101" s="9">
        <f t="shared" si="502"/>
        <v>0</v>
      </c>
      <c r="BF101" s="9">
        <f t="shared" si="503"/>
        <v>46</v>
      </c>
      <c r="BG101" s="8">
        <v>0</v>
      </c>
      <c r="BH101" s="8">
        <v>0</v>
      </c>
      <c r="BI101" s="8">
        <v>0</v>
      </c>
      <c r="BJ101" s="8">
        <v>0</v>
      </c>
      <c r="BK101" s="9">
        <f t="shared" si="504"/>
        <v>0</v>
      </c>
      <c r="BL101" s="9">
        <f t="shared" si="505"/>
        <v>0</v>
      </c>
      <c r="BM101" s="8">
        <v>0</v>
      </c>
      <c r="BN101" s="8">
        <v>0</v>
      </c>
      <c r="BO101" s="8">
        <v>0</v>
      </c>
      <c r="BP101" s="8">
        <v>0</v>
      </c>
      <c r="BQ101" s="9">
        <f t="shared" si="506"/>
        <v>0</v>
      </c>
      <c r="BR101" s="9">
        <f t="shared" si="507"/>
        <v>0</v>
      </c>
      <c r="BS101" s="8">
        <v>0</v>
      </c>
      <c r="BT101" s="8">
        <v>0</v>
      </c>
      <c r="BU101" s="8">
        <v>0</v>
      </c>
      <c r="BV101" s="8">
        <v>0</v>
      </c>
      <c r="BW101" s="9">
        <f t="shared" si="508"/>
        <v>0</v>
      </c>
      <c r="BX101" s="9">
        <f t="shared" si="509"/>
        <v>0</v>
      </c>
      <c r="BY101" s="9">
        <f t="shared" si="510"/>
        <v>38</v>
      </c>
      <c r="BZ101" s="9">
        <f t="shared" si="511"/>
        <v>8</v>
      </c>
      <c r="CA101" s="9">
        <f t="shared" si="512"/>
        <v>0</v>
      </c>
      <c r="CB101" s="9">
        <f t="shared" si="513"/>
        <v>46</v>
      </c>
      <c r="CC101" s="8">
        <v>0</v>
      </c>
      <c r="CD101" s="8">
        <v>922</v>
      </c>
      <c r="CE101" s="8">
        <v>5</v>
      </c>
      <c r="CF101" s="8">
        <v>22</v>
      </c>
      <c r="CG101" s="8">
        <v>20</v>
      </c>
      <c r="CH101" s="9">
        <f t="shared" si="514"/>
        <v>969</v>
      </c>
      <c r="CI101" s="8">
        <v>964</v>
      </c>
      <c r="CJ101" s="8">
        <v>1</v>
      </c>
      <c r="CK101" s="8">
        <v>6</v>
      </c>
      <c r="CL101" s="8">
        <v>2</v>
      </c>
      <c r="CM101" s="9">
        <f t="shared" si="515"/>
        <v>973</v>
      </c>
      <c r="CN101" s="8">
        <v>682</v>
      </c>
      <c r="CO101" s="8">
        <v>38</v>
      </c>
      <c r="CP101" s="8">
        <v>107</v>
      </c>
      <c r="CQ101" s="8">
        <v>8</v>
      </c>
      <c r="CR101" s="9">
        <f t="shared" si="516"/>
        <v>835</v>
      </c>
      <c r="CS101" s="9">
        <f t="shared" si="517"/>
        <v>1808</v>
      </c>
      <c r="CT101" s="8">
        <v>2777</v>
      </c>
      <c r="CU101" s="8">
        <v>18200</v>
      </c>
      <c r="CV101" s="8">
        <v>16445</v>
      </c>
      <c r="CW101" s="10">
        <f t="shared" si="518"/>
        <v>0.90357142857142858</v>
      </c>
      <c r="CX101" s="8">
        <v>0</v>
      </c>
      <c r="CY101" s="8">
        <v>0</v>
      </c>
      <c r="CZ101" s="8">
        <v>0</v>
      </c>
      <c r="DA101" s="8">
        <v>0</v>
      </c>
      <c r="DB101" s="9">
        <f t="shared" si="519"/>
        <v>0</v>
      </c>
      <c r="DC101" s="8">
        <v>0</v>
      </c>
      <c r="DD101" s="8">
        <v>0</v>
      </c>
      <c r="DE101" s="8">
        <v>0</v>
      </c>
      <c r="DF101" s="8">
        <v>0</v>
      </c>
      <c r="DG101" s="9">
        <f t="shared" si="520"/>
        <v>0</v>
      </c>
      <c r="DH101" s="8">
        <v>0</v>
      </c>
      <c r="DI101" s="8">
        <v>0</v>
      </c>
      <c r="DJ101" s="8">
        <v>0</v>
      </c>
      <c r="DK101" s="8">
        <v>0</v>
      </c>
      <c r="DL101" s="9">
        <f t="shared" si="521"/>
        <v>0</v>
      </c>
      <c r="DM101" s="8">
        <v>16</v>
      </c>
      <c r="DN101" s="8">
        <v>0</v>
      </c>
      <c r="DO101" s="8">
        <v>0</v>
      </c>
      <c r="DP101" s="8">
        <v>0</v>
      </c>
      <c r="DQ101" s="9">
        <f t="shared" si="522"/>
        <v>16</v>
      </c>
      <c r="DR101" s="9">
        <f t="shared" si="523"/>
        <v>16</v>
      </c>
      <c r="DS101" s="9">
        <f t="shared" si="524"/>
        <v>0</v>
      </c>
      <c r="DT101" s="9">
        <f t="shared" si="525"/>
        <v>0</v>
      </c>
      <c r="DU101" s="9">
        <f t="shared" si="526"/>
        <v>0</v>
      </c>
      <c r="DV101" s="9">
        <f t="shared" si="527"/>
        <v>16</v>
      </c>
      <c r="DW101" s="8">
        <v>45</v>
      </c>
      <c r="DX101" s="8">
        <v>30</v>
      </c>
      <c r="DY101" s="8">
        <v>8</v>
      </c>
      <c r="DZ101" s="8">
        <v>1</v>
      </c>
      <c r="EA101" s="8">
        <v>5</v>
      </c>
      <c r="EB101" s="8">
        <v>5</v>
      </c>
      <c r="EC101" s="8">
        <v>0</v>
      </c>
      <c r="ED101" s="8">
        <v>2</v>
      </c>
      <c r="EE101" s="8">
        <v>3</v>
      </c>
      <c r="EF101" s="8">
        <v>2</v>
      </c>
      <c r="EG101" s="8">
        <v>2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0</v>
      </c>
      <c r="EV101" s="8">
        <v>0</v>
      </c>
      <c r="EW101" s="8">
        <v>0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9">
        <f t="shared" si="528"/>
        <v>103</v>
      </c>
      <c r="FH101" s="8">
        <v>0</v>
      </c>
      <c r="FI101" s="8">
        <v>0</v>
      </c>
      <c r="FJ101" s="8">
        <v>18</v>
      </c>
      <c r="FK101" s="8">
        <v>41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9">
        <f t="shared" si="529"/>
        <v>0</v>
      </c>
      <c r="FR101" s="8">
        <v>8930976.2599999998</v>
      </c>
      <c r="FS101" s="8">
        <v>5200</v>
      </c>
      <c r="FT101" s="8">
        <v>5200</v>
      </c>
      <c r="FU101" s="8">
        <v>79000</v>
      </c>
      <c r="FV101" s="9">
        <f t="shared" si="530"/>
        <v>9020376.2599999998</v>
      </c>
      <c r="FW101" s="8">
        <v>3686022.3700000048</v>
      </c>
      <c r="FX101" s="8">
        <v>23706.22</v>
      </c>
      <c r="FY101" s="8">
        <v>959795.35999999987</v>
      </c>
      <c r="FZ101" s="8">
        <v>1566500</v>
      </c>
      <c r="GA101" s="9">
        <f t="shared" si="531"/>
        <v>6236023.9500000048</v>
      </c>
      <c r="GB101" s="9">
        <f t="shared" si="532"/>
        <v>15256400.210000005</v>
      </c>
      <c r="GC101" s="8">
        <v>4995513.0999999996</v>
      </c>
      <c r="GD101" s="8">
        <v>1912.8</v>
      </c>
      <c r="GE101" s="8">
        <v>24383.95</v>
      </c>
      <c r="GF101" s="8">
        <v>70779.78</v>
      </c>
      <c r="GG101" s="9">
        <f t="shared" si="533"/>
        <v>5092589.63</v>
      </c>
      <c r="GH101" s="8">
        <v>0</v>
      </c>
      <c r="GI101" s="8">
        <v>0</v>
      </c>
      <c r="GJ101" s="8">
        <v>0</v>
      </c>
      <c r="GK101" s="8">
        <v>0</v>
      </c>
      <c r="GL101" s="9">
        <f t="shared" si="534"/>
        <v>0</v>
      </c>
      <c r="GM101" s="9">
        <f t="shared" si="535"/>
        <v>5092589.63</v>
      </c>
      <c r="GN101" s="8">
        <v>539069.17000000004</v>
      </c>
      <c r="GO101" s="8">
        <v>382.56</v>
      </c>
      <c r="GP101" s="8">
        <v>3393.64</v>
      </c>
      <c r="GQ101" s="8">
        <v>27824.04</v>
      </c>
      <c r="GR101" s="9">
        <f t="shared" si="536"/>
        <v>570669.41000000015</v>
      </c>
      <c r="GS101" s="8">
        <v>860852</v>
      </c>
      <c r="GT101" s="8">
        <v>1786</v>
      </c>
      <c r="GU101" s="8">
        <v>893</v>
      </c>
      <c r="GV101" s="8">
        <v>5358</v>
      </c>
      <c r="GW101" s="9">
        <f t="shared" si="537"/>
        <v>868889</v>
      </c>
      <c r="GX101" s="9">
        <f t="shared" si="538"/>
        <v>6532148.04</v>
      </c>
      <c r="GY101" s="8">
        <v>90241321.219999999</v>
      </c>
      <c r="GZ101" s="8">
        <v>123273620.77</v>
      </c>
      <c r="HA101" s="9">
        <f t="shared" si="539"/>
        <v>213514941.99000001</v>
      </c>
      <c r="HB101" s="9">
        <f t="shared" si="540"/>
        <v>2.0611903572993731</v>
      </c>
      <c r="HC101" s="10">
        <f t="shared" si="541"/>
        <v>0.15765064874351911</v>
      </c>
      <c r="HD101" s="9">
        <f t="shared" si="542"/>
        <v>2.3355870253669275</v>
      </c>
      <c r="HE101" s="8">
        <v>8</v>
      </c>
      <c r="HF101" s="8">
        <v>1</v>
      </c>
      <c r="HG101" s="8">
        <v>46</v>
      </c>
      <c r="HH101" s="8">
        <v>8</v>
      </c>
      <c r="HI101" s="8">
        <v>7</v>
      </c>
      <c r="HJ101" s="9">
        <f t="shared" si="543"/>
        <v>8</v>
      </c>
      <c r="HK101" s="10">
        <f t="shared" si="544"/>
        <v>1</v>
      </c>
      <c r="HL101" s="8">
        <v>25</v>
      </c>
      <c r="HM101" s="8">
        <v>30</v>
      </c>
      <c r="HN101" s="11">
        <f t="shared" si="545"/>
        <v>1.2</v>
      </c>
    </row>
    <row r="102" spans="1:222" x14ac:dyDescent="0.3">
      <c r="A102" s="12" t="s">
        <v>280</v>
      </c>
      <c r="B102" s="12" t="s">
        <v>281</v>
      </c>
      <c r="C102" s="13" t="s">
        <v>257</v>
      </c>
      <c r="D102" s="13">
        <v>2025</v>
      </c>
      <c r="E102" s="13">
        <v>7</v>
      </c>
      <c r="F102" s="13" t="s">
        <v>262</v>
      </c>
      <c r="G102" s="13" t="s">
        <v>263</v>
      </c>
      <c r="H102" s="14">
        <v>17470</v>
      </c>
      <c r="I102" s="14">
        <v>7000</v>
      </c>
      <c r="J102" s="14">
        <v>11</v>
      </c>
      <c r="K102" s="14">
        <v>23</v>
      </c>
      <c r="L102" s="14">
        <v>20</v>
      </c>
      <c r="M102" s="15">
        <f t="shared" si="485"/>
        <v>7054</v>
      </c>
      <c r="N102" s="14">
        <v>3893.6</v>
      </c>
      <c r="O102" s="14">
        <v>179</v>
      </c>
      <c r="P102" s="14">
        <v>860.3</v>
      </c>
      <c r="Q102" s="14">
        <v>322.7</v>
      </c>
      <c r="R102" s="15">
        <f t="shared" si="486"/>
        <v>5255.5999999999995</v>
      </c>
      <c r="S102" s="15">
        <f t="shared" si="487"/>
        <v>12309.599999999999</v>
      </c>
      <c r="T102" s="14">
        <v>5160.3999999999996</v>
      </c>
      <c r="U102" s="16">
        <f t="shared" si="488"/>
        <v>0.29538637664567829</v>
      </c>
      <c r="V102" s="14">
        <v>42</v>
      </c>
      <c r="W102" s="17">
        <f t="shared" si="489"/>
        <v>2.4041213508872354E-3</v>
      </c>
      <c r="X102" s="14">
        <v>0</v>
      </c>
      <c r="Y102" s="17">
        <f t="shared" si="490"/>
        <v>0</v>
      </c>
      <c r="Z102" s="14">
        <v>0</v>
      </c>
      <c r="AA102" s="17">
        <f t="shared" si="491"/>
        <v>0</v>
      </c>
      <c r="AB102" s="14">
        <v>0</v>
      </c>
      <c r="AC102" s="17">
        <f t="shared" si="492"/>
        <v>0</v>
      </c>
      <c r="AD102" s="14">
        <v>0</v>
      </c>
      <c r="AE102" s="17">
        <f t="shared" si="493"/>
        <v>0</v>
      </c>
      <c r="AF102" s="14">
        <v>0</v>
      </c>
      <c r="AG102" s="17">
        <f t="shared" si="494"/>
        <v>0</v>
      </c>
      <c r="AH102" s="14">
        <v>214690.14</v>
      </c>
      <c r="AI102" s="15">
        <f t="shared" si="495"/>
        <v>12.289074985689755</v>
      </c>
      <c r="AJ102" s="14">
        <v>8000</v>
      </c>
      <c r="AK102" s="17">
        <f t="shared" si="496"/>
        <v>0.45792787635947341</v>
      </c>
      <c r="AL102" s="14">
        <v>1126438.5</v>
      </c>
      <c r="AM102" s="15">
        <f t="shared" si="497"/>
        <v>64.478448769318831</v>
      </c>
      <c r="AN102" s="14">
        <v>0</v>
      </c>
      <c r="AO102" s="14">
        <v>159</v>
      </c>
      <c r="AP102" s="14">
        <v>434706</v>
      </c>
      <c r="AQ102" s="14">
        <v>0</v>
      </c>
      <c r="AR102" s="14">
        <v>8321808.7699999996</v>
      </c>
      <c r="AS102" s="14">
        <v>3121060.88</v>
      </c>
      <c r="AT102" s="14">
        <v>2803520.16</v>
      </c>
      <c r="AU102" s="15">
        <f t="shared" si="498"/>
        <v>16022224.449999999</v>
      </c>
      <c r="AV102" s="15">
        <f t="shared" si="499"/>
        <v>917.12790211791639</v>
      </c>
      <c r="AW102" s="15">
        <f t="shared" si="500"/>
        <v>1301.6039879443688</v>
      </c>
      <c r="AX102" s="14">
        <v>8</v>
      </c>
      <c r="AY102" s="15">
        <f t="shared" si="501"/>
        <v>5.4951345163136809</v>
      </c>
      <c r="AZ102" s="14">
        <v>21</v>
      </c>
      <c r="BA102" s="14">
        <v>46</v>
      </c>
      <c r="BB102" s="14">
        <v>22</v>
      </c>
      <c r="BC102" s="14">
        <v>0</v>
      </c>
      <c r="BD102" s="14">
        <v>13</v>
      </c>
      <c r="BE102" s="15">
        <f t="shared" si="502"/>
        <v>13</v>
      </c>
      <c r="BF102" s="15">
        <f t="shared" si="503"/>
        <v>55</v>
      </c>
      <c r="BG102" s="14">
        <v>0</v>
      </c>
      <c r="BH102" s="14">
        <v>0</v>
      </c>
      <c r="BI102" s="14">
        <v>0</v>
      </c>
      <c r="BJ102" s="14">
        <v>0</v>
      </c>
      <c r="BK102" s="15">
        <f t="shared" si="504"/>
        <v>0</v>
      </c>
      <c r="BL102" s="15">
        <f t="shared" si="505"/>
        <v>0</v>
      </c>
      <c r="BM102" s="14">
        <v>0</v>
      </c>
      <c r="BN102" s="14">
        <v>0</v>
      </c>
      <c r="BO102" s="14">
        <v>0</v>
      </c>
      <c r="BP102" s="14">
        <v>0</v>
      </c>
      <c r="BQ102" s="15">
        <f t="shared" si="506"/>
        <v>0</v>
      </c>
      <c r="BR102" s="15">
        <f t="shared" si="507"/>
        <v>0</v>
      </c>
      <c r="BS102" s="14">
        <v>0</v>
      </c>
      <c r="BT102" s="14">
        <v>0</v>
      </c>
      <c r="BU102" s="14">
        <v>0</v>
      </c>
      <c r="BV102" s="14">
        <v>0</v>
      </c>
      <c r="BW102" s="15">
        <f t="shared" si="508"/>
        <v>0</v>
      </c>
      <c r="BX102" s="15">
        <f t="shared" si="509"/>
        <v>0</v>
      </c>
      <c r="BY102" s="15">
        <f t="shared" si="510"/>
        <v>46</v>
      </c>
      <c r="BZ102" s="15">
        <f t="shared" si="511"/>
        <v>22</v>
      </c>
      <c r="CA102" s="15">
        <f t="shared" si="512"/>
        <v>13</v>
      </c>
      <c r="CB102" s="15">
        <f t="shared" si="513"/>
        <v>55</v>
      </c>
      <c r="CC102" s="14">
        <v>13</v>
      </c>
      <c r="CD102" s="14">
        <v>922</v>
      </c>
      <c r="CE102" s="14">
        <v>5</v>
      </c>
      <c r="CF102" s="14">
        <v>22</v>
      </c>
      <c r="CG102" s="14">
        <v>20</v>
      </c>
      <c r="CH102" s="15">
        <f t="shared" si="514"/>
        <v>969</v>
      </c>
      <c r="CI102" s="14">
        <v>931</v>
      </c>
      <c r="CJ102" s="14">
        <v>2</v>
      </c>
      <c r="CK102" s="14">
        <v>5</v>
      </c>
      <c r="CL102" s="14">
        <v>2</v>
      </c>
      <c r="CM102" s="15">
        <f t="shared" si="515"/>
        <v>940</v>
      </c>
      <c r="CN102" s="14">
        <v>683</v>
      </c>
      <c r="CO102" s="14">
        <v>38</v>
      </c>
      <c r="CP102" s="14">
        <v>108</v>
      </c>
      <c r="CQ102" s="14">
        <v>8</v>
      </c>
      <c r="CR102" s="15">
        <f t="shared" si="516"/>
        <v>837</v>
      </c>
      <c r="CS102" s="15">
        <f t="shared" si="517"/>
        <v>1777</v>
      </c>
      <c r="CT102" s="14">
        <v>2746</v>
      </c>
      <c r="CU102" s="14">
        <v>18200</v>
      </c>
      <c r="CV102" s="14">
        <v>16460</v>
      </c>
      <c r="CW102" s="16">
        <f t="shared" si="518"/>
        <v>0.9043956043956044</v>
      </c>
      <c r="CX102" s="14">
        <v>0</v>
      </c>
      <c r="CY102" s="14">
        <v>0</v>
      </c>
      <c r="CZ102" s="14">
        <v>0</v>
      </c>
      <c r="DA102" s="14">
        <v>0</v>
      </c>
      <c r="DB102" s="15">
        <f t="shared" si="519"/>
        <v>0</v>
      </c>
      <c r="DC102" s="14">
        <v>0</v>
      </c>
      <c r="DD102" s="14">
        <v>0</v>
      </c>
      <c r="DE102" s="14">
        <v>0</v>
      </c>
      <c r="DF102" s="14">
        <v>0</v>
      </c>
      <c r="DG102" s="15">
        <f t="shared" si="520"/>
        <v>0</v>
      </c>
      <c r="DH102" s="14">
        <v>0</v>
      </c>
      <c r="DI102" s="14">
        <v>0</v>
      </c>
      <c r="DJ102" s="14">
        <v>0</v>
      </c>
      <c r="DK102" s="14">
        <v>0</v>
      </c>
      <c r="DL102" s="15">
        <f t="shared" si="521"/>
        <v>0</v>
      </c>
      <c r="DM102" s="14">
        <v>16</v>
      </c>
      <c r="DN102" s="14">
        <v>16</v>
      </c>
      <c r="DO102" s="14">
        <v>0</v>
      </c>
      <c r="DP102" s="14">
        <v>0</v>
      </c>
      <c r="DQ102" s="15">
        <f t="shared" si="522"/>
        <v>32</v>
      </c>
      <c r="DR102" s="15">
        <f t="shared" si="523"/>
        <v>16</v>
      </c>
      <c r="DS102" s="15">
        <f t="shared" si="524"/>
        <v>16</v>
      </c>
      <c r="DT102" s="15">
        <f t="shared" si="525"/>
        <v>0</v>
      </c>
      <c r="DU102" s="15">
        <f t="shared" si="526"/>
        <v>0</v>
      </c>
      <c r="DV102" s="15">
        <f t="shared" si="527"/>
        <v>32</v>
      </c>
      <c r="DW102" s="14">
        <v>60</v>
      </c>
      <c r="DX102" s="14">
        <v>25</v>
      </c>
      <c r="DY102" s="14">
        <v>7</v>
      </c>
      <c r="DZ102" s="14">
        <v>7</v>
      </c>
      <c r="EA102" s="14">
        <v>2</v>
      </c>
      <c r="EB102" s="14">
        <v>2</v>
      </c>
      <c r="EC102" s="14">
        <v>2</v>
      </c>
      <c r="ED102" s="14">
        <v>1</v>
      </c>
      <c r="EE102" s="14">
        <v>1</v>
      </c>
      <c r="EF102" s="14">
        <v>3</v>
      </c>
      <c r="EG102" s="14">
        <v>0</v>
      </c>
      <c r="EH102" s="14">
        <v>0</v>
      </c>
      <c r="EI102" s="14">
        <v>0</v>
      </c>
      <c r="EJ102" s="14">
        <v>0</v>
      </c>
      <c r="EK102" s="14">
        <v>0</v>
      </c>
      <c r="EL102" s="14">
        <v>0</v>
      </c>
      <c r="EM102" s="14">
        <v>0</v>
      </c>
      <c r="EN102" s="14">
        <v>0</v>
      </c>
      <c r="EO102" s="14">
        <v>0</v>
      </c>
      <c r="EP102" s="14">
        <v>0</v>
      </c>
      <c r="EQ102" s="14">
        <v>0</v>
      </c>
      <c r="ER102" s="14">
        <v>0</v>
      </c>
      <c r="ES102" s="14">
        <v>0</v>
      </c>
      <c r="ET102" s="14">
        <v>0</v>
      </c>
      <c r="EU102" s="14">
        <v>0</v>
      </c>
      <c r="EV102" s="14">
        <v>0</v>
      </c>
      <c r="EW102" s="14">
        <v>0</v>
      </c>
      <c r="EX102" s="14">
        <v>0</v>
      </c>
      <c r="EY102" s="14">
        <v>0</v>
      </c>
      <c r="EZ102" s="14">
        <v>0</v>
      </c>
      <c r="FA102" s="14">
        <v>0</v>
      </c>
      <c r="FB102" s="14">
        <v>0</v>
      </c>
      <c r="FC102" s="14">
        <v>0</v>
      </c>
      <c r="FD102" s="14">
        <v>0</v>
      </c>
      <c r="FE102" s="14">
        <v>1</v>
      </c>
      <c r="FF102" s="14">
        <v>1</v>
      </c>
      <c r="FG102" s="15">
        <f t="shared" si="528"/>
        <v>112</v>
      </c>
      <c r="FH102" s="14">
        <v>0</v>
      </c>
      <c r="FI102" s="14">
        <v>0</v>
      </c>
      <c r="FJ102" s="14">
        <v>13</v>
      </c>
      <c r="FK102" s="14">
        <v>54</v>
      </c>
      <c r="FL102" s="14">
        <v>0</v>
      </c>
      <c r="FM102" s="14">
        <v>0</v>
      </c>
      <c r="FN102" s="14">
        <v>0</v>
      </c>
      <c r="FO102" s="14">
        <v>0</v>
      </c>
      <c r="FP102" s="14">
        <v>0</v>
      </c>
      <c r="FQ102" s="15">
        <f t="shared" si="529"/>
        <v>0</v>
      </c>
      <c r="FR102" s="14">
        <v>13629122.15</v>
      </c>
      <c r="FS102" s="14">
        <v>72300</v>
      </c>
      <c r="FT102" s="14">
        <v>39000</v>
      </c>
      <c r="FU102" s="14">
        <v>7000</v>
      </c>
      <c r="FV102" s="15">
        <f t="shared" si="530"/>
        <v>13747422.15</v>
      </c>
      <c r="FW102" s="14">
        <v>5305373.18</v>
      </c>
      <c r="FX102" s="14">
        <v>38000</v>
      </c>
      <c r="FY102" s="14">
        <v>1529374</v>
      </c>
      <c r="FZ102" s="14">
        <v>2647850</v>
      </c>
      <c r="GA102" s="15">
        <f t="shared" si="531"/>
        <v>9520597.1799999997</v>
      </c>
      <c r="GB102" s="15">
        <f t="shared" si="532"/>
        <v>23268019.329999998</v>
      </c>
      <c r="GC102" s="14">
        <v>6181584.0800000001</v>
      </c>
      <c r="GD102" s="14">
        <v>2104.08</v>
      </c>
      <c r="GE102" s="14">
        <v>58983.15</v>
      </c>
      <c r="GF102" s="14">
        <v>60876.76</v>
      </c>
      <c r="GG102" s="15">
        <f t="shared" si="533"/>
        <v>6303548.0700000003</v>
      </c>
      <c r="GH102" s="14">
        <v>6303548.0700000003</v>
      </c>
      <c r="GI102" s="14">
        <v>0</v>
      </c>
      <c r="GJ102" s="14">
        <v>0</v>
      </c>
      <c r="GK102" s="14">
        <v>0</v>
      </c>
      <c r="GL102" s="15">
        <f t="shared" si="534"/>
        <v>6303548.0700000003</v>
      </c>
      <c r="GM102" s="15">
        <f t="shared" si="535"/>
        <v>12607096.140000001</v>
      </c>
      <c r="GN102" s="14">
        <v>520842.44</v>
      </c>
      <c r="GO102" s="14">
        <v>382.56</v>
      </c>
      <c r="GP102" s="14">
        <v>6787.28</v>
      </c>
      <c r="GQ102" s="14">
        <v>23186.7</v>
      </c>
      <c r="GR102" s="15">
        <f t="shared" si="536"/>
        <v>551198.98</v>
      </c>
      <c r="GS102" s="14">
        <v>831383</v>
      </c>
      <c r="GT102" s="14">
        <v>1786</v>
      </c>
      <c r="GU102" s="14">
        <v>1786</v>
      </c>
      <c r="GV102" s="14">
        <v>4465</v>
      </c>
      <c r="GW102" s="15">
        <f t="shared" si="537"/>
        <v>839420</v>
      </c>
      <c r="GX102" s="15">
        <f t="shared" si="538"/>
        <v>13997715.120000001</v>
      </c>
      <c r="GY102" s="14">
        <v>83464864.159999996</v>
      </c>
      <c r="GZ102" s="14">
        <v>123273620.77</v>
      </c>
      <c r="HA102" s="15">
        <f t="shared" si="539"/>
        <v>206738484.93000001</v>
      </c>
      <c r="HB102" s="15">
        <f t="shared" si="540"/>
        <v>1.1446314139589375</v>
      </c>
      <c r="HC102" s="16">
        <f t="shared" si="541"/>
        <v>0.23873798027808563</v>
      </c>
      <c r="HD102" s="15">
        <f t="shared" si="542"/>
        <v>1.6622726731132385</v>
      </c>
      <c r="HE102" s="14">
        <v>22</v>
      </c>
      <c r="HF102" s="14">
        <v>1</v>
      </c>
      <c r="HG102" s="14">
        <v>55</v>
      </c>
      <c r="HH102" s="14">
        <v>22</v>
      </c>
      <c r="HI102" s="14">
        <v>7</v>
      </c>
      <c r="HJ102" s="15">
        <f t="shared" si="543"/>
        <v>8</v>
      </c>
      <c r="HK102" s="16">
        <f t="shared" si="544"/>
        <v>1</v>
      </c>
      <c r="HL102" s="14">
        <v>60</v>
      </c>
      <c r="HM102" s="14">
        <v>30</v>
      </c>
      <c r="HN102" s="17">
        <f t="shared" si="545"/>
        <v>0.5</v>
      </c>
    </row>
    <row r="103" spans="1:222" x14ac:dyDescent="0.3">
      <c r="A103" s="6" t="s">
        <v>280</v>
      </c>
      <c r="B103" s="6" t="s">
        <v>281</v>
      </c>
      <c r="C103" s="7" t="s">
        <v>257</v>
      </c>
      <c r="D103" s="7">
        <v>2025</v>
      </c>
      <c r="E103" s="7">
        <v>8</v>
      </c>
      <c r="F103" s="7" t="s">
        <v>264</v>
      </c>
      <c r="G103" s="7" t="s">
        <v>263</v>
      </c>
      <c r="H103" s="8">
        <v>11833</v>
      </c>
      <c r="I103" s="8">
        <v>5174</v>
      </c>
      <c r="J103" s="8">
        <v>11</v>
      </c>
      <c r="K103" s="8">
        <v>8</v>
      </c>
      <c r="L103" s="8">
        <v>22</v>
      </c>
      <c r="M103" s="9">
        <f t="shared" si="485"/>
        <v>5215</v>
      </c>
      <c r="N103" s="8">
        <v>2592</v>
      </c>
      <c r="O103" s="8">
        <v>117</v>
      </c>
      <c r="P103" s="8">
        <v>18</v>
      </c>
      <c r="Q103" s="8">
        <v>292</v>
      </c>
      <c r="R103" s="9">
        <f t="shared" si="486"/>
        <v>3019</v>
      </c>
      <c r="S103" s="9">
        <f t="shared" si="487"/>
        <v>8234</v>
      </c>
      <c r="T103" s="8">
        <v>3599</v>
      </c>
      <c r="U103" s="10">
        <f t="shared" si="488"/>
        <v>0.30414941265951151</v>
      </c>
      <c r="V103" s="8">
        <v>30</v>
      </c>
      <c r="W103" s="11">
        <f t="shared" si="489"/>
        <v>2.5352826840192681E-3</v>
      </c>
      <c r="X103" s="8">
        <v>0</v>
      </c>
      <c r="Y103" s="11">
        <f t="shared" si="490"/>
        <v>0</v>
      </c>
      <c r="Z103" s="8">
        <v>0</v>
      </c>
      <c r="AA103" s="11">
        <f t="shared" si="491"/>
        <v>0</v>
      </c>
      <c r="AB103" s="8">
        <v>0</v>
      </c>
      <c r="AC103" s="11">
        <f t="shared" si="492"/>
        <v>0</v>
      </c>
      <c r="AD103" s="8">
        <v>0</v>
      </c>
      <c r="AE103" s="11">
        <f t="shared" si="493"/>
        <v>0</v>
      </c>
      <c r="AF103" s="8">
        <v>0</v>
      </c>
      <c r="AG103" s="11">
        <f t="shared" si="494"/>
        <v>0</v>
      </c>
      <c r="AH103" s="8">
        <v>153350.1</v>
      </c>
      <c r="AI103" s="9">
        <f t="shared" si="495"/>
        <v>12.959528437420772</v>
      </c>
      <c r="AJ103" s="8">
        <v>11175</v>
      </c>
      <c r="AK103" s="11">
        <f t="shared" si="496"/>
        <v>0.94439279979717738</v>
      </c>
      <c r="AL103" s="8">
        <v>1566974.5125</v>
      </c>
      <c r="AM103" s="9">
        <f t="shared" si="497"/>
        <v>132.42411159469282</v>
      </c>
      <c r="AN103" s="8">
        <v>0</v>
      </c>
      <c r="AO103" s="8">
        <v>100</v>
      </c>
      <c r="AP103" s="8">
        <v>273400</v>
      </c>
      <c r="AQ103" s="8">
        <v>0</v>
      </c>
      <c r="AR103" s="8">
        <v>8684456.25</v>
      </c>
      <c r="AS103" s="8">
        <v>4015677.36</v>
      </c>
      <c r="AT103" s="8">
        <v>4093403.05</v>
      </c>
      <c r="AU103" s="9">
        <f t="shared" si="498"/>
        <v>18787261.272500001</v>
      </c>
      <c r="AV103" s="9">
        <f t="shared" si="499"/>
        <v>1587.7006061438351</v>
      </c>
      <c r="AW103" s="9">
        <f t="shared" si="500"/>
        <v>2281.66884533641</v>
      </c>
      <c r="AX103" s="8">
        <v>8</v>
      </c>
      <c r="AY103" s="9">
        <f t="shared" si="501"/>
        <v>8.1129045888616584</v>
      </c>
      <c r="AZ103" s="8">
        <v>25</v>
      </c>
      <c r="BA103" s="8">
        <v>55</v>
      </c>
      <c r="BB103" s="8">
        <v>6</v>
      </c>
      <c r="BC103" s="8">
        <v>0</v>
      </c>
      <c r="BD103" s="8">
        <v>14</v>
      </c>
      <c r="BE103" s="9">
        <f t="shared" si="502"/>
        <v>14</v>
      </c>
      <c r="BF103" s="9">
        <f t="shared" si="503"/>
        <v>47</v>
      </c>
      <c r="BG103" s="8">
        <v>0</v>
      </c>
      <c r="BH103" s="8">
        <v>0</v>
      </c>
      <c r="BI103" s="8">
        <v>0</v>
      </c>
      <c r="BJ103" s="8">
        <v>0</v>
      </c>
      <c r="BK103" s="9">
        <f t="shared" si="504"/>
        <v>0</v>
      </c>
      <c r="BL103" s="9">
        <f t="shared" si="505"/>
        <v>0</v>
      </c>
      <c r="BM103" s="8">
        <v>0</v>
      </c>
      <c r="BN103" s="8">
        <v>0</v>
      </c>
      <c r="BO103" s="8">
        <v>0</v>
      </c>
      <c r="BP103" s="8">
        <v>0</v>
      </c>
      <c r="BQ103" s="9">
        <f t="shared" si="506"/>
        <v>0</v>
      </c>
      <c r="BR103" s="9">
        <f t="shared" si="507"/>
        <v>0</v>
      </c>
      <c r="BS103" s="8">
        <v>0</v>
      </c>
      <c r="BT103" s="8">
        <v>0</v>
      </c>
      <c r="BU103" s="8">
        <v>0</v>
      </c>
      <c r="BV103" s="8">
        <v>0</v>
      </c>
      <c r="BW103" s="9">
        <f t="shared" si="508"/>
        <v>0</v>
      </c>
      <c r="BX103" s="9">
        <f t="shared" si="509"/>
        <v>0</v>
      </c>
      <c r="BY103" s="9">
        <f t="shared" si="510"/>
        <v>55</v>
      </c>
      <c r="BZ103" s="9">
        <f t="shared" si="511"/>
        <v>6</v>
      </c>
      <c r="CA103" s="9">
        <f t="shared" si="512"/>
        <v>14</v>
      </c>
      <c r="CB103" s="9">
        <f t="shared" si="513"/>
        <v>47</v>
      </c>
      <c r="CC103" s="8">
        <v>14</v>
      </c>
      <c r="CD103" s="8">
        <v>982</v>
      </c>
      <c r="CE103" s="8">
        <v>5</v>
      </c>
      <c r="CF103" s="8">
        <v>22</v>
      </c>
      <c r="CG103" s="8">
        <v>20</v>
      </c>
      <c r="CH103" s="9">
        <f t="shared" si="514"/>
        <v>1029</v>
      </c>
      <c r="CI103" s="8">
        <v>905</v>
      </c>
      <c r="CJ103" s="8">
        <v>0</v>
      </c>
      <c r="CK103" s="8">
        <v>6</v>
      </c>
      <c r="CL103" s="8">
        <v>2</v>
      </c>
      <c r="CM103" s="9">
        <f t="shared" si="515"/>
        <v>913</v>
      </c>
      <c r="CN103" s="8">
        <v>710</v>
      </c>
      <c r="CO103" s="8">
        <v>39</v>
      </c>
      <c r="CP103" s="8">
        <v>108</v>
      </c>
      <c r="CQ103" s="8">
        <v>5</v>
      </c>
      <c r="CR103" s="9">
        <f t="shared" si="516"/>
        <v>862</v>
      </c>
      <c r="CS103" s="9">
        <f t="shared" si="517"/>
        <v>1775</v>
      </c>
      <c r="CT103" s="8">
        <v>2804</v>
      </c>
      <c r="CU103" s="8">
        <v>18200</v>
      </c>
      <c r="CV103" s="8">
        <v>16470</v>
      </c>
      <c r="CW103" s="10">
        <f t="shared" si="518"/>
        <v>0.90494505494505495</v>
      </c>
      <c r="CX103" s="8">
        <v>0</v>
      </c>
      <c r="CY103" s="8">
        <v>0</v>
      </c>
      <c r="CZ103" s="8">
        <v>0</v>
      </c>
      <c r="DA103" s="8">
        <v>0</v>
      </c>
      <c r="DB103" s="9">
        <f t="shared" si="519"/>
        <v>0</v>
      </c>
      <c r="DC103" s="8">
        <v>0</v>
      </c>
      <c r="DD103" s="8">
        <v>0</v>
      </c>
      <c r="DE103" s="8">
        <v>0</v>
      </c>
      <c r="DF103" s="8">
        <v>0</v>
      </c>
      <c r="DG103" s="9">
        <f t="shared" si="520"/>
        <v>0</v>
      </c>
      <c r="DH103" s="8">
        <v>0</v>
      </c>
      <c r="DI103" s="8">
        <v>0</v>
      </c>
      <c r="DJ103" s="8">
        <v>0</v>
      </c>
      <c r="DK103" s="8">
        <v>0</v>
      </c>
      <c r="DL103" s="9">
        <f t="shared" si="521"/>
        <v>0</v>
      </c>
      <c r="DM103" s="8">
        <v>32</v>
      </c>
      <c r="DN103" s="8">
        <v>35</v>
      </c>
      <c r="DO103" s="8">
        <v>21</v>
      </c>
      <c r="DP103" s="8">
        <v>0</v>
      </c>
      <c r="DQ103" s="9">
        <f t="shared" si="522"/>
        <v>46</v>
      </c>
      <c r="DR103" s="9">
        <f t="shared" si="523"/>
        <v>32</v>
      </c>
      <c r="DS103" s="9">
        <f t="shared" si="524"/>
        <v>35</v>
      </c>
      <c r="DT103" s="9">
        <f t="shared" si="525"/>
        <v>21</v>
      </c>
      <c r="DU103" s="9">
        <f t="shared" si="526"/>
        <v>0</v>
      </c>
      <c r="DV103" s="9">
        <f t="shared" si="527"/>
        <v>46</v>
      </c>
      <c r="DW103" s="8">
        <v>57</v>
      </c>
      <c r="DX103" s="8">
        <v>20</v>
      </c>
      <c r="DY103" s="8">
        <v>8</v>
      </c>
      <c r="DZ103" s="8">
        <v>8</v>
      </c>
      <c r="EA103" s="8">
        <v>3</v>
      </c>
      <c r="EB103" s="8">
        <v>1</v>
      </c>
      <c r="EC103" s="8">
        <v>1</v>
      </c>
      <c r="ED103" s="8">
        <v>0</v>
      </c>
      <c r="EE103" s="8">
        <v>0</v>
      </c>
      <c r="EF103" s="8">
        <v>2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9">
        <f t="shared" si="528"/>
        <v>100</v>
      </c>
      <c r="FH103" s="8">
        <v>0</v>
      </c>
      <c r="FI103" s="8">
        <v>0</v>
      </c>
      <c r="FJ103" s="8">
        <v>13</v>
      </c>
      <c r="FK103" s="8">
        <v>48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9">
        <f t="shared" si="529"/>
        <v>0</v>
      </c>
      <c r="FR103" s="8">
        <v>4310931.66</v>
      </c>
      <c r="FS103" s="8">
        <v>270273.56</v>
      </c>
      <c r="FT103" s="8">
        <v>6500</v>
      </c>
      <c r="FU103" s="8">
        <v>72000</v>
      </c>
      <c r="FV103" s="9">
        <f t="shared" si="530"/>
        <v>4659705.22</v>
      </c>
      <c r="FW103" s="8">
        <v>3549367.470000003</v>
      </c>
      <c r="FX103" s="8">
        <v>32671.77</v>
      </c>
      <c r="FY103" s="8">
        <v>1417720.23</v>
      </c>
      <c r="FZ103" s="8">
        <v>73789.399999999994</v>
      </c>
      <c r="GA103" s="9">
        <f t="shared" si="531"/>
        <v>5073548.8700000029</v>
      </c>
      <c r="GB103" s="9">
        <f t="shared" si="532"/>
        <v>9733254.0900000036</v>
      </c>
      <c r="GC103" s="8">
        <v>4568787.24</v>
      </c>
      <c r="GD103" s="8">
        <v>2104.08</v>
      </c>
      <c r="GE103" s="8">
        <v>19059.63</v>
      </c>
      <c r="GF103" s="8">
        <v>64008.5</v>
      </c>
      <c r="GG103" s="9">
        <f t="shared" si="533"/>
        <v>4653959.45</v>
      </c>
      <c r="GH103" s="8">
        <v>4653959.45</v>
      </c>
      <c r="GI103" s="8">
        <v>0</v>
      </c>
      <c r="GJ103" s="8">
        <v>0</v>
      </c>
      <c r="GK103" s="8">
        <v>0</v>
      </c>
      <c r="GL103" s="9">
        <f t="shared" si="534"/>
        <v>4653959.45</v>
      </c>
      <c r="GM103" s="9">
        <f t="shared" si="535"/>
        <v>9307918.9000000004</v>
      </c>
      <c r="GN103" s="8">
        <v>505843.46</v>
      </c>
      <c r="GO103" s="8">
        <v>382.56</v>
      </c>
      <c r="GP103" s="8">
        <v>3393.64</v>
      </c>
      <c r="GQ103" s="8">
        <v>27824.04</v>
      </c>
      <c r="GR103" s="9">
        <f t="shared" si="536"/>
        <v>537443.70000000007</v>
      </c>
      <c r="GS103" s="8">
        <v>807272</v>
      </c>
      <c r="GT103" s="8">
        <v>1786</v>
      </c>
      <c r="GU103" s="8">
        <v>893</v>
      </c>
      <c r="GV103" s="8">
        <v>5358</v>
      </c>
      <c r="GW103" s="9">
        <f t="shared" si="537"/>
        <v>815309</v>
      </c>
      <c r="GX103" s="9">
        <f t="shared" si="538"/>
        <v>10660671.6</v>
      </c>
      <c r="GY103" s="8">
        <v>84752402.469999999</v>
      </c>
      <c r="GZ103" s="8">
        <v>123273620.77</v>
      </c>
      <c r="HA103" s="9">
        <f t="shared" si="539"/>
        <v>208026023.24000001</v>
      </c>
      <c r="HB103" s="9">
        <f t="shared" si="540"/>
        <v>1.7622962208591062</v>
      </c>
      <c r="HC103" s="10">
        <f t="shared" si="541"/>
        <v>0.10201174403896873</v>
      </c>
      <c r="HD103" s="9">
        <f t="shared" si="542"/>
        <v>0.91300571438669997</v>
      </c>
      <c r="HE103" s="8">
        <v>6</v>
      </c>
      <c r="HF103" s="8">
        <v>1</v>
      </c>
      <c r="HG103" s="8">
        <v>47</v>
      </c>
      <c r="HH103" s="8">
        <v>6</v>
      </c>
      <c r="HI103" s="8">
        <v>7</v>
      </c>
      <c r="HJ103" s="9">
        <f t="shared" si="543"/>
        <v>8</v>
      </c>
      <c r="HK103" s="10">
        <f t="shared" si="544"/>
        <v>1</v>
      </c>
      <c r="HL103" s="8">
        <v>14</v>
      </c>
      <c r="HM103" s="8">
        <v>30</v>
      </c>
      <c r="HN103" s="11">
        <f t="shared" si="545"/>
        <v>2.1428571428571428</v>
      </c>
    </row>
    <row r="104" spans="1:222" x14ac:dyDescent="0.3">
      <c r="A104" s="12" t="s">
        <v>280</v>
      </c>
      <c r="B104" s="12" t="s">
        <v>281</v>
      </c>
      <c r="C104" s="13" t="s">
        <v>257</v>
      </c>
      <c r="D104" s="13">
        <v>2025</v>
      </c>
      <c r="E104" s="13">
        <v>9</v>
      </c>
      <c r="F104" s="13" t="s">
        <v>265</v>
      </c>
      <c r="G104" s="13" t="s">
        <v>263</v>
      </c>
      <c r="H104" s="14">
        <v>12402</v>
      </c>
      <c r="I104" s="14">
        <v>5393</v>
      </c>
      <c r="J104" s="14">
        <v>8</v>
      </c>
      <c r="K104" s="14">
        <v>10</v>
      </c>
      <c r="L104" s="14">
        <v>28</v>
      </c>
      <c r="M104" s="15">
        <f t="shared" si="485"/>
        <v>5439</v>
      </c>
      <c r="N104" s="14">
        <v>2944</v>
      </c>
      <c r="O104" s="14">
        <v>201</v>
      </c>
      <c r="P104" s="14">
        <v>376</v>
      </c>
      <c r="Q104" s="14">
        <v>324</v>
      </c>
      <c r="R104" s="15">
        <f t="shared" si="486"/>
        <v>3845</v>
      </c>
      <c r="S104" s="15">
        <f t="shared" si="487"/>
        <v>9284</v>
      </c>
      <c r="T104" s="14">
        <v>3118</v>
      </c>
      <c r="U104" s="16">
        <f t="shared" si="488"/>
        <v>0.25141106273181746</v>
      </c>
      <c r="V104" s="14">
        <v>35</v>
      </c>
      <c r="W104" s="17">
        <f t="shared" si="489"/>
        <v>2.8221254636348974E-3</v>
      </c>
      <c r="X104" s="14">
        <v>0</v>
      </c>
      <c r="Y104" s="17">
        <f t="shared" si="490"/>
        <v>0</v>
      </c>
      <c r="Z104" s="14">
        <v>0</v>
      </c>
      <c r="AA104" s="17">
        <f t="shared" si="491"/>
        <v>0</v>
      </c>
      <c r="AB104" s="14">
        <v>0</v>
      </c>
      <c r="AC104" s="17">
        <f t="shared" si="492"/>
        <v>0</v>
      </c>
      <c r="AD104" s="14">
        <v>0</v>
      </c>
      <c r="AE104" s="17">
        <f t="shared" si="493"/>
        <v>0</v>
      </c>
      <c r="AF104" s="14">
        <v>0</v>
      </c>
      <c r="AG104" s="17">
        <f t="shared" si="494"/>
        <v>0</v>
      </c>
      <c r="AH104" s="14">
        <v>178908.45</v>
      </c>
      <c r="AI104" s="15">
        <f t="shared" si="495"/>
        <v>14.425774068698598</v>
      </c>
      <c r="AJ104" s="14">
        <v>6694</v>
      </c>
      <c r="AK104" s="17">
        <f t="shared" si="496"/>
        <v>0.53975165295920013</v>
      </c>
      <c r="AL104" s="14">
        <v>945229.04099999997</v>
      </c>
      <c r="AM104" s="15">
        <f t="shared" si="497"/>
        <v>76.21585558780842</v>
      </c>
      <c r="AN104" s="14">
        <v>0</v>
      </c>
      <c r="AO104" s="14">
        <v>0</v>
      </c>
      <c r="AP104" s="14">
        <v>0</v>
      </c>
      <c r="AQ104" s="14">
        <v>0</v>
      </c>
      <c r="AR104" s="14">
        <v>8880982.8200000003</v>
      </c>
      <c r="AS104" s="14">
        <v>2884104.56</v>
      </c>
      <c r="AT104" s="14">
        <v>902500</v>
      </c>
      <c r="AU104" s="15">
        <f t="shared" si="498"/>
        <v>13791724.871000001</v>
      </c>
      <c r="AV104" s="15">
        <f t="shared" si="499"/>
        <v>1112.0565127398809</v>
      </c>
      <c r="AW104" s="15">
        <f t="shared" si="500"/>
        <v>1485.5369313873332</v>
      </c>
      <c r="AX104" s="14">
        <v>7</v>
      </c>
      <c r="AY104" s="15">
        <f t="shared" si="501"/>
        <v>6.7731011127237553</v>
      </c>
      <c r="AZ104" s="14">
        <v>21</v>
      </c>
      <c r="BA104" s="14">
        <v>47</v>
      </c>
      <c r="BB104" s="14">
        <v>37</v>
      </c>
      <c r="BC104" s="14">
        <v>3</v>
      </c>
      <c r="BD104" s="14">
        <v>27</v>
      </c>
      <c r="BE104" s="15">
        <f t="shared" si="502"/>
        <v>30</v>
      </c>
      <c r="BF104" s="15">
        <f t="shared" si="503"/>
        <v>54</v>
      </c>
      <c r="BG104" s="14">
        <v>0</v>
      </c>
      <c r="BH104" s="14">
        <v>0</v>
      </c>
      <c r="BI104" s="14">
        <v>0</v>
      </c>
      <c r="BJ104" s="14">
        <v>0</v>
      </c>
      <c r="BK104" s="15">
        <f t="shared" si="504"/>
        <v>0</v>
      </c>
      <c r="BL104" s="15">
        <f t="shared" si="505"/>
        <v>0</v>
      </c>
      <c r="BM104" s="14">
        <v>0</v>
      </c>
      <c r="BN104" s="14">
        <v>0</v>
      </c>
      <c r="BO104" s="14">
        <v>0</v>
      </c>
      <c r="BP104" s="14">
        <v>0</v>
      </c>
      <c r="BQ104" s="15">
        <f t="shared" si="506"/>
        <v>0</v>
      </c>
      <c r="BR104" s="15">
        <f t="shared" si="507"/>
        <v>0</v>
      </c>
      <c r="BS104" s="14">
        <v>0</v>
      </c>
      <c r="BT104" s="14">
        <v>0</v>
      </c>
      <c r="BU104" s="14">
        <v>0</v>
      </c>
      <c r="BV104" s="14">
        <v>0</v>
      </c>
      <c r="BW104" s="15">
        <f t="shared" si="508"/>
        <v>0</v>
      </c>
      <c r="BX104" s="15">
        <f t="shared" si="509"/>
        <v>0</v>
      </c>
      <c r="BY104" s="15">
        <f t="shared" si="510"/>
        <v>47</v>
      </c>
      <c r="BZ104" s="15">
        <f t="shared" si="511"/>
        <v>37</v>
      </c>
      <c r="CA104" s="15">
        <f t="shared" si="512"/>
        <v>30</v>
      </c>
      <c r="CB104" s="15">
        <f t="shared" si="513"/>
        <v>54</v>
      </c>
      <c r="CC104" s="14">
        <v>52</v>
      </c>
      <c r="CD104" s="14">
        <v>900</v>
      </c>
      <c r="CE104" s="14">
        <v>9</v>
      </c>
      <c r="CF104" s="14">
        <v>20</v>
      </c>
      <c r="CG104" s="14">
        <v>23</v>
      </c>
      <c r="CH104" s="15">
        <f t="shared" si="514"/>
        <v>952</v>
      </c>
      <c r="CI104" s="14">
        <v>900</v>
      </c>
      <c r="CJ104" s="14">
        <v>1</v>
      </c>
      <c r="CK104" s="14">
        <v>6</v>
      </c>
      <c r="CL104" s="14">
        <v>2</v>
      </c>
      <c r="CM104" s="15">
        <f t="shared" si="515"/>
        <v>909</v>
      </c>
      <c r="CN104" s="14">
        <v>814</v>
      </c>
      <c r="CO104" s="14">
        <v>39</v>
      </c>
      <c r="CP104" s="14">
        <v>109</v>
      </c>
      <c r="CQ104" s="14">
        <v>9</v>
      </c>
      <c r="CR104" s="15">
        <f t="shared" si="516"/>
        <v>971</v>
      </c>
      <c r="CS104" s="15">
        <f t="shared" si="517"/>
        <v>1880</v>
      </c>
      <c r="CT104" s="14">
        <v>2832</v>
      </c>
      <c r="CU104" s="14">
        <v>18200</v>
      </c>
      <c r="CV104" s="14">
        <v>16470</v>
      </c>
      <c r="CW104" s="16">
        <f t="shared" si="518"/>
        <v>0.90494505494505495</v>
      </c>
      <c r="CX104" s="14"/>
      <c r="CY104" s="14"/>
      <c r="CZ104" s="14"/>
      <c r="DA104" s="14"/>
      <c r="DB104" s="15">
        <f t="shared" si="519"/>
        <v>0</v>
      </c>
      <c r="DC104" s="14">
        <v>0</v>
      </c>
      <c r="DD104" s="14">
        <v>0</v>
      </c>
      <c r="DE104" s="14">
        <v>0</v>
      </c>
      <c r="DF104" s="14">
        <v>0</v>
      </c>
      <c r="DG104" s="15">
        <f t="shared" si="520"/>
        <v>0</v>
      </c>
      <c r="DH104" s="14">
        <v>0</v>
      </c>
      <c r="DI104" s="14">
        <v>0</v>
      </c>
      <c r="DJ104" s="14">
        <v>0</v>
      </c>
      <c r="DK104" s="14">
        <v>0</v>
      </c>
      <c r="DL104" s="15">
        <f t="shared" si="521"/>
        <v>0</v>
      </c>
      <c r="DM104" s="14">
        <v>46</v>
      </c>
      <c r="DN104" s="14">
        <v>5</v>
      </c>
      <c r="DO104" s="14">
        <v>28</v>
      </c>
      <c r="DP104" s="14">
        <v>3</v>
      </c>
      <c r="DQ104" s="15">
        <f t="shared" si="522"/>
        <v>20</v>
      </c>
      <c r="DR104" s="15">
        <f t="shared" si="523"/>
        <v>46</v>
      </c>
      <c r="DS104" s="15">
        <f t="shared" si="524"/>
        <v>5</v>
      </c>
      <c r="DT104" s="15">
        <f t="shared" si="525"/>
        <v>28</v>
      </c>
      <c r="DU104" s="15">
        <f t="shared" si="526"/>
        <v>3</v>
      </c>
      <c r="DV104" s="15">
        <f t="shared" si="527"/>
        <v>20</v>
      </c>
      <c r="DW104" s="14">
        <v>43</v>
      </c>
      <c r="DX104" s="14">
        <v>16</v>
      </c>
      <c r="DY104" s="14">
        <v>10</v>
      </c>
      <c r="DZ104" s="14">
        <v>10</v>
      </c>
      <c r="EA104" s="14">
        <v>11</v>
      </c>
      <c r="EB104" s="14">
        <v>4</v>
      </c>
      <c r="EC104" s="14">
        <v>4</v>
      </c>
      <c r="ED104" s="14">
        <v>2</v>
      </c>
      <c r="EE104" s="14">
        <v>2</v>
      </c>
      <c r="EF104" s="14">
        <v>3</v>
      </c>
      <c r="EG104" s="14">
        <v>0</v>
      </c>
      <c r="EH104" s="14">
        <v>0</v>
      </c>
      <c r="EI104" s="14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5">
        <f t="shared" si="528"/>
        <v>105</v>
      </c>
      <c r="FH104" s="14">
        <v>89</v>
      </c>
      <c r="FI104" s="14">
        <v>0</v>
      </c>
      <c r="FJ104" s="14">
        <v>13</v>
      </c>
      <c r="FK104" s="14">
        <v>41</v>
      </c>
      <c r="FL104" s="14">
        <v>41</v>
      </c>
      <c r="FM104" s="14">
        <v>0</v>
      </c>
      <c r="FN104" s="14">
        <v>0</v>
      </c>
      <c r="FO104" s="14">
        <v>0</v>
      </c>
      <c r="FP104" s="14">
        <v>0</v>
      </c>
      <c r="FQ104" s="15">
        <f t="shared" si="529"/>
        <v>41</v>
      </c>
      <c r="FR104" s="14">
        <v>5587723.6500000004</v>
      </c>
      <c r="FS104" s="14">
        <v>5000</v>
      </c>
      <c r="FT104" s="14">
        <v>57000</v>
      </c>
      <c r="FU104" s="14">
        <v>0</v>
      </c>
      <c r="FV104" s="15">
        <f t="shared" si="530"/>
        <v>5649723.6500000004</v>
      </c>
      <c r="FW104" s="14">
        <v>4148130.510000017</v>
      </c>
      <c r="FX104" s="14">
        <v>42624.88</v>
      </c>
      <c r="FY104" s="14">
        <v>1636076.41</v>
      </c>
      <c r="FZ104" s="14">
        <v>1165400</v>
      </c>
      <c r="GA104" s="15">
        <f t="shared" si="531"/>
        <v>6992231.8000000166</v>
      </c>
      <c r="GB104" s="15">
        <f t="shared" si="532"/>
        <v>12641955.450000018</v>
      </c>
      <c r="GC104" s="14">
        <v>4879398.5</v>
      </c>
      <c r="GD104" s="14">
        <v>1530.24</v>
      </c>
      <c r="GE104" s="14">
        <v>24383.95</v>
      </c>
      <c r="GF104" s="14">
        <v>67394.14</v>
      </c>
      <c r="GG104" s="15">
        <f t="shared" si="533"/>
        <v>4972706.83</v>
      </c>
      <c r="GH104" s="14">
        <v>4972706.83</v>
      </c>
      <c r="GI104" s="14">
        <v>0</v>
      </c>
      <c r="GJ104" s="14">
        <v>0</v>
      </c>
      <c r="GK104" s="14">
        <v>0</v>
      </c>
      <c r="GL104" s="15">
        <f t="shared" si="534"/>
        <v>4972706.83</v>
      </c>
      <c r="GM104" s="15">
        <f t="shared" si="535"/>
        <v>9945413.6600000001</v>
      </c>
      <c r="GN104" s="14">
        <v>503602.73</v>
      </c>
      <c r="GO104" s="14">
        <v>382.56</v>
      </c>
      <c r="GP104" s="14">
        <v>3393.64</v>
      </c>
      <c r="GQ104" s="14">
        <v>27824.04</v>
      </c>
      <c r="GR104" s="15">
        <f t="shared" si="536"/>
        <v>535202.97</v>
      </c>
      <c r="GS104" s="14">
        <v>803700</v>
      </c>
      <c r="GT104" s="14">
        <v>1786</v>
      </c>
      <c r="GU104" s="14">
        <v>893</v>
      </c>
      <c r="GV104" s="14">
        <v>5358</v>
      </c>
      <c r="GW104" s="15">
        <f t="shared" si="537"/>
        <v>811737</v>
      </c>
      <c r="GX104" s="15">
        <f t="shared" si="538"/>
        <v>11292353.630000001</v>
      </c>
      <c r="GY104" s="14">
        <v>84752402.469999999</v>
      </c>
      <c r="GZ104" s="14">
        <v>123273620.77</v>
      </c>
      <c r="HA104" s="15">
        <f t="shared" si="539"/>
        <v>208026023.24000001</v>
      </c>
      <c r="HB104" s="15">
        <f t="shared" si="540"/>
        <v>1.2213330650892837</v>
      </c>
      <c r="HC104" s="16">
        <f t="shared" si="541"/>
        <v>0.13162567081577523</v>
      </c>
      <c r="HD104" s="15">
        <f t="shared" si="542"/>
        <v>1.1195146613558555</v>
      </c>
      <c r="HE104" s="14">
        <v>37</v>
      </c>
      <c r="HF104" s="14">
        <v>1</v>
      </c>
      <c r="HG104" s="14">
        <v>54</v>
      </c>
      <c r="HH104" s="14">
        <v>37</v>
      </c>
      <c r="HI104" s="14">
        <v>7</v>
      </c>
      <c r="HJ104" s="15">
        <f t="shared" si="543"/>
        <v>8</v>
      </c>
      <c r="HK104" s="16">
        <f t="shared" si="544"/>
        <v>1</v>
      </c>
      <c r="HL104" s="14">
        <v>25</v>
      </c>
      <c r="HM104" s="14">
        <v>30</v>
      </c>
      <c r="HN104" s="17">
        <f t="shared" si="545"/>
        <v>1.2</v>
      </c>
    </row>
    <row r="105" spans="1:222" x14ac:dyDescent="0.3">
      <c r="A105" s="6" t="s">
        <v>280</v>
      </c>
      <c r="B105" s="6" t="s">
        <v>281</v>
      </c>
      <c r="C105" s="7" t="s">
        <v>257</v>
      </c>
      <c r="D105" s="7">
        <v>2025</v>
      </c>
      <c r="E105" s="7">
        <v>10</v>
      </c>
      <c r="F105" s="7" t="s">
        <v>266</v>
      </c>
      <c r="G105" s="7" t="s">
        <v>267</v>
      </c>
      <c r="H105" s="8">
        <v>14620</v>
      </c>
      <c r="I105" s="8">
        <v>5084</v>
      </c>
      <c r="J105" s="8">
        <v>8</v>
      </c>
      <c r="K105" s="8">
        <v>8</v>
      </c>
      <c r="L105" s="8">
        <v>22</v>
      </c>
      <c r="M105" s="9">
        <f t="shared" si="485"/>
        <v>5122</v>
      </c>
      <c r="N105" s="8">
        <v>4523</v>
      </c>
      <c r="O105" s="8">
        <v>102</v>
      </c>
      <c r="P105" s="8">
        <v>816</v>
      </c>
      <c r="Q105" s="8">
        <v>365</v>
      </c>
      <c r="R105" s="9">
        <f t="shared" si="486"/>
        <v>5806</v>
      </c>
      <c r="S105" s="9">
        <f t="shared" si="487"/>
        <v>10928</v>
      </c>
      <c r="T105" s="8">
        <v>3692</v>
      </c>
      <c r="U105" s="10">
        <f t="shared" si="488"/>
        <v>0.25253077975376198</v>
      </c>
      <c r="V105" s="8">
        <v>40</v>
      </c>
      <c r="W105" s="11">
        <f t="shared" si="489"/>
        <v>2.7359781121751026E-3</v>
      </c>
      <c r="X105" s="8">
        <v>0</v>
      </c>
      <c r="Y105" s="11">
        <f t="shared" si="490"/>
        <v>0</v>
      </c>
      <c r="Z105" s="8">
        <v>0</v>
      </c>
      <c r="AA105" s="11">
        <f t="shared" si="491"/>
        <v>0</v>
      </c>
      <c r="AB105" s="8">
        <v>0</v>
      </c>
      <c r="AC105" s="11">
        <f t="shared" si="492"/>
        <v>0</v>
      </c>
      <c r="AD105" s="8">
        <v>0</v>
      </c>
      <c r="AE105" s="11">
        <f t="shared" si="493"/>
        <v>0</v>
      </c>
      <c r="AF105" s="8">
        <v>0</v>
      </c>
      <c r="AG105" s="11">
        <f t="shared" si="494"/>
        <v>0</v>
      </c>
      <c r="AH105" s="8">
        <v>204466.8</v>
      </c>
      <c r="AI105" s="9">
        <f t="shared" si="495"/>
        <v>13.985417236662107</v>
      </c>
      <c r="AJ105" s="8">
        <v>6521</v>
      </c>
      <c r="AK105" s="11">
        <f t="shared" si="496"/>
        <v>0.44603283173734609</v>
      </c>
      <c r="AL105" s="8">
        <v>921225.03150000004</v>
      </c>
      <c r="AM105" s="9">
        <f t="shared" si="497"/>
        <v>63.011288064295485</v>
      </c>
      <c r="AN105" s="8">
        <v>0</v>
      </c>
      <c r="AO105" s="8">
        <v>0</v>
      </c>
      <c r="AP105" s="8">
        <v>0</v>
      </c>
      <c r="AQ105" s="8">
        <v>0</v>
      </c>
      <c r="AR105" s="8">
        <v>8857604.3350000009</v>
      </c>
      <c r="AS105" s="8">
        <v>0</v>
      </c>
      <c r="AT105" s="8">
        <v>0</v>
      </c>
      <c r="AU105" s="9">
        <f t="shared" si="498"/>
        <v>9983296.1665000003</v>
      </c>
      <c r="AV105" s="9">
        <f t="shared" si="499"/>
        <v>682.85199497264023</v>
      </c>
      <c r="AW105" s="9">
        <f t="shared" si="500"/>
        <v>913.55199181002934</v>
      </c>
      <c r="AX105" s="8">
        <v>7</v>
      </c>
      <c r="AY105" s="9">
        <f t="shared" si="501"/>
        <v>5.7455540355677162</v>
      </c>
      <c r="AZ105" s="8">
        <v>21</v>
      </c>
      <c r="BA105" s="8">
        <v>54</v>
      </c>
      <c r="BB105" s="8">
        <v>17</v>
      </c>
      <c r="BC105" s="8">
        <v>0</v>
      </c>
      <c r="BD105" s="8">
        <v>17</v>
      </c>
      <c r="BE105" s="9">
        <f t="shared" si="502"/>
        <v>17</v>
      </c>
      <c r="BF105" s="9">
        <f t="shared" si="503"/>
        <v>54</v>
      </c>
      <c r="BG105" s="8">
        <v>0</v>
      </c>
      <c r="BH105" s="8">
        <v>0</v>
      </c>
      <c r="BI105" s="8">
        <v>0</v>
      </c>
      <c r="BJ105" s="8">
        <v>0</v>
      </c>
      <c r="BK105" s="9">
        <f t="shared" si="504"/>
        <v>0</v>
      </c>
      <c r="BL105" s="9">
        <f t="shared" si="505"/>
        <v>0</v>
      </c>
      <c r="BM105" s="8">
        <v>0</v>
      </c>
      <c r="BN105" s="8">
        <v>0</v>
      </c>
      <c r="BO105" s="8">
        <v>0</v>
      </c>
      <c r="BP105" s="8">
        <v>0</v>
      </c>
      <c r="BQ105" s="9">
        <f t="shared" si="506"/>
        <v>0</v>
      </c>
      <c r="BR105" s="9">
        <f t="shared" si="507"/>
        <v>0</v>
      </c>
      <c r="BS105" s="8">
        <v>0</v>
      </c>
      <c r="BT105" s="8">
        <v>0</v>
      </c>
      <c r="BU105" s="8">
        <v>0</v>
      </c>
      <c r="BV105" s="8">
        <v>0</v>
      </c>
      <c r="BW105" s="9">
        <f t="shared" si="508"/>
        <v>0</v>
      </c>
      <c r="BX105" s="9">
        <f t="shared" si="509"/>
        <v>0</v>
      </c>
      <c r="BY105" s="9">
        <f t="shared" si="510"/>
        <v>54</v>
      </c>
      <c r="BZ105" s="9">
        <f t="shared" si="511"/>
        <v>17</v>
      </c>
      <c r="CA105" s="9">
        <f t="shared" si="512"/>
        <v>17</v>
      </c>
      <c r="CB105" s="9">
        <f t="shared" si="513"/>
        <v>54</v>
      </c>
      <c r="CC105" s="8">
        <v>70</v>
      </c>
      <c r="CD105" s="8">
        <v>876</v>
      </c>
      <c r="CE105" s="8">
        <v>9</v>
      </c>
      <c r="CF105" s="8">
        <v>20</v>
      </c>
      <c r="CG105" s="8">
        <v>23</v>
      </c>
      <c r="CH105" s="9">
        <f t="shared" si="514"/>
        <v>928</v>
      </c>
      <c r="CI105" s="8">
        <v>867</v>
      </c>
      <c r="CJ105" s="8">
        <v>2</v>
      </c>
      <c r="CK105" s="8">
        <v>1</v>
      </c>
      <c r="CL105" s="8">
        <v>6</v>
      </c>
      <c r="CM105" s="9">
        <f t="shared" si="515"/>
        <v>876</v>
      </c>
      <c r="CN105" s="8">
        <v>891</v>
      </c>
      <c r="CO105" s="8">
        <v>39</v>
      </c>
      <c r="CP105" s="8">
        <v>109</v>
      </c>
      <c r="CQ105" s="8">
        <v>9</v>
      </c>
      <c r="CR105" s="9">
        <f t="shared" si="516"/>
        <v>1048</v>
      </c>
      <c r="CS105" s="9">
        <f t="shared" si="517"/>
        <v>1924</v>
      </c>
      <c r="CT105" s="8">
        <v>2852</v>
      </c>
      <c r="CU105" s="8">
        <v>18200</v>
      </c>
      <c r="CV105" s="8">
        <v>16485</v>
      </c>
      <c r="CW105" s="10">
        <f t="shared" si="518"/>
        <v>0.90576923076923077</v>
      </c>
      <c r="CX105" s="8"/>
      <c r="CY105" s="8"/>
      <c r="CZ105" s="8"/>
      <c r="DA105" s="8"/>
      <c r="DB105" s="9">
        <f t="shared" si="519"/>
        <v>0</v>
      </c>
      <c r="DC105" s="8">
        <v>0</v>
      </c>
      <c r="DD105" s="8">
        <v>0</v>
      </c>
      <c r="DE105" s="8">
        <v>0</v>
      </c>
      <c r="DF105" s="8">
        <v>0</v>
      </c>
      <c r="DG105" s="9">
        <f t="shared" si="520"/>
        <v>0</v>
      </c>
      <c r="DH105" s="8">
        <v>0</v>
      </c>
      <c r="DI105" s="8">
        <v>0</v>
      </c>
      <c r="DJ105" s="8">
        <v>0</v>
      </c>
      <c r="DK105" s="8">
        <v>0</v>
      </c>
      <c r="DL105" s="9">
        <f t="shared" si="521"/>
        <v>0</v>
      </c>
      <c r="DM105" s="8">
        <v>20</v>
      </c>
      <c r="DN105" s="8">
        <v>0</v>
      </c>
      <c r="DO105" s="8">
        <v>0</v>
      </c>
      <c r="DP105" s="8">
        <v>0</v>
      </c>
      <c r="DQ105" s="9">
        <f t="shared" si="522"/>
        <v>20</v>
      </c>
      <c r="DR105" s="9">
        <f t="shared" si="523"/>
        <v>20</v>
      </c>
      <c r="DS105" s="9">
        <f t="shared" si="524"/>
        <v>0</v>
      </c>
      <c r="DT105" s="9">
        <f t="shared" si="525"/>
        <v>0</v>
      </c>
      <c r="DU105" s="9">
        <f t="shared" si="526"/>
        <v>0</v>
      </c>
      <c r="DV105" s="9">
        <f t="shared" si="527"/>
        <v>20</v>
      </c>
      <c r="DW105" s="8">
        <v>43</v>
      </c>
      <c r="DX105" s="8">
        <v>16</v>
      </c>
      <c r="DY105" s="8">
        <v>10</v>
      </c>
      <c r="DZ105" s="8">
        <v>10</v>
      </c>
      <c r="EA105" s="8">
        <v>11</v>
      </c>
      <c r="EB105" s="8">
        <v>4</v>
      </c>
      <c r="EC105" s="8">
        <v>4</v>
      </c>
      <c r="ED105" s="8">
        <v>2</v>
      </c>
      <c r="EE105" s="8">
        <v>2</v>
      </c>
      <c r="EF105" s="8">
        <v>3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</v>
      </c>
      <c r="EX105" s="8">
        <v>0</v>
      </c>
      <c r="EY105" s="8">
        <v>0</v>
      </c>
      <c r="EZ105" s="8">
        <v>0</v>
      </c>
      <c r="FA105" s="8">
        <v>0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9">
        <f t="shared" si="528"/>
        <v>105</v>
      </c>
      <c r="FH105" s="8">
        <v>89</v>
      </c>
      <c r="FI105" s="8">
        <v>0</v>
      </c>
      <c r="FJ105" s="8">
        <v>13</v>
      </c>
      <c r="FK105" s="8">
        <v>13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9">
        <f t="shared" si="529"/>
        <v>0</v>
      </c>
      <c r="FR105" s="8">
        <v>7718528.8799999999</v>
      </c>
      <c r="FS105" s="8">
        <v>7718528.8799999999</v>
      </c>
      <c r="FT105" s="8">
        <v>40500</v>
      </c>
      <c r="FU105" s="8">
        <v>5000</v>
      </c>
      <c r="FV105" s="9">
        <f t="shared" si="530"/>
        <v>15482557.76</v>
      </c>
      <c r="FW105" s="8">
        <v>6033490.46</v>
      </c>
      <c r="FX105" s="8">
        <v>21600</v>
      </c>
      <c r="FY105" s="8">
        <v>1775328.09</v>
      </c>
      <c r="FZ105" s="8">
        <v>2501450</v>
      </c>
      <c r="GA105" s="9">
        <f t="shared" si="531"/>
        <v>10331868.550000001</v>
      </c>
      <c r="GB105" s="9">
        <f t="shared" si="532"/>
        <v>25814426.310000002</v>
      </c>
      <c r="GC105" s="8">
        <v>4534007.25</v>
      </c>
      <c r="GD105" s="8">
        <v>1530.24</v>
      </c>
      <c r="GE105" s="8">
        <v>19059.63</v>
      </c>
      <c r="GF105" s="8">
        <v>53851.58</v>
      </c>
      <c r="GG105" s="9">
        <f t="shared" si="533"/>
        <v>4608448.7</v>
      </c>
      <c r="GH105" s="8">
        <v>4608448.7</v>
      </c>
      <c r="GI105" s="8">
        <v>0</v>
      </c>
      <c r="GJ105" s="8">
        <v>0</v>
      </c>
      <c r="GK105" s="8">
        <v>0</v>
      </c>
      <c r="GL105" s="9">
        <f t="shared" si="534"/>
        <v>4608448.7</v>
      </c>
      <c r="GM105" s="9">
        <f t="shared" si="535"/>
        <v>9216897.4000000004</v>
      </c>
      <c r="GN105" s="8">
        <v>484884.45</v>
      </c>
      <c r="GO105" s="8">
        <v>382.56</v>
      </c>
      <c r="GP105" s="8">
        <v>3393.64</v>
      </c>
      <c r="GQ105" s="8">
        <v>27824.04</v>
      </c>
      <c r="GR105" s="9">
        <f t="shared" si="536"/>
        <v>516484.69</v>
      </c>
      <c r="GS105" s="8">
        <v>774231</v>
      </c>
      <c r="GT105" s="8">
        <v>1786</v>
      </c>
      <c r="GU105" s="8">
        <v>893</v>
      </c>
      <c r="GV105" s="8">
        <v>5358</v>
      </c>
      <c r="GW105" s="9">
        <f t="shared" si="537"/>
        <v>782268</v>
      </c>
      <c r="GX105" s="9">
        <f t="shared" si="538"/>
        <v>10515650.09</v>
      </c>
      <c r="GY105" s="8">
        <v>83256523.269999996</v>
      </c>
      <c r="GZ105" s="8">
        <v>123273620.77</v>
      </c>
      <c r="HA105" s="9">
        <f t="shared" si="539"/>
        <v>206530144.03999999</v>
      </c>
      <c r="HB105" s="9">
        <f t="shared" si="540"/>
        <v>0.94937508200218179</v>
      </c>
      <c r="HC105" s="10">
        <f t="shared" si="541"/>
        <v>0.27528877048520617</v>
      </c>
      <c r="HD105" s="9">
        <f t="shared" si="542"/>
        <v>2.4548578631908438</v>
      </c>
      <c r="HE105" s="8">
        <v>17</v>
      </c>
      <c r="HF105" s="8">
        <v>1</v>
      </c>
      <c r="HG105" s="8">
        <v>54</v>
      </c>
      <c r="HH105" s="8">
        <v>17</v>
      </c>
      <c r="HI105" s="8">
        <v>7</v>
      </c>
      <c r="HJ105" s="9">
        <f t="shared" si="543"/>
        <v>8</v>
      </c>
      <c r="HK105" s="10">
        <f t="shared" si="544"/>
        <v>1</v>
      </c>
      <c r="HL105" s="8">
        <v>16</v>
      </c>
      <c r="HM105" s="8">
        <v>30</v>
      </c>
      <c r="HN105" s="11">
        <f t="shared" si="545"/>
        <v>1.875</v>
      </c>
    </row>
    <row r="106" spans="1:222" x14ac:dyDescent="0.3">
      <c r="A106" s="12" t="s">
        <v>280</v>
      </c>
      <c r="B106" s="12" t="s">
        <v>281</v>
      </c>
      <c r="C106" s="13" t="s">
        <v>257</v>
      </c>
      <c r="D106" s="13">
        <v>2025</v>
      </c>
      <c r="E106" s="13">
        <v>11</v>
      </c>
      <c r="F106" s="13" t="s">
        <v>268</v>
      </c>
      <c r="G106" s="13" t="s">
        <v>267</v>
      </c>
      <c r="H106" s="14">
        <v>16570</v>
      </c>
      <c r="I106" s="14">
        <v>6090</v>
      </c>
      <c r="J106" s="14">
        <v>8</v>
      </c>
      <c r="K106" s="14">
        <v>13</v>
      </c>
      <c r="L106" s="14">
        <v>25</v>
      </c>
      <c r="M106" s="15">
        <f t="shared" si="485"/>
        <v>6136</v>
      </c>
      <c r="N106" s="14">
        <v>4392</v>
      </c>
      <c r="O106" s="14">
        <v>131</v>
      </c>
      <c r="P106" s="14">
        <v>1757</v>
      </c>
      <c r="Q106" s="14">
        <v>299</v>
      </c>
      <c r="R106" s="15">
        <f t="shared" si="486"/>
        <v>6579</v>
      </c>
      <c r="S106" s="15">
        <f t="shared" si="487"/>
        <v>12715</v>
      </c>
      <c r="T106" s="14">
        <v>3855</v>
      </c>
      <c r="U106" s="16">
        <f t="shared" si="488"/>
        <v>0.23264936632468317</v>
      </c>
      <c r="V106" s="14">
        <v>48</v>
      </c>
      <c r="W106" s="17">
        <f t="shared" si="489"/>
        <v>2.8968014484007242E-3</v>
      </c>
      <c r="X106" s="14">
        <v>0</v>
      </c>
      <c r="Y106" s="17">
        <f t="shared" si="490"/>
        <v>0</v>
      </c>
      <c r="Z106" s="14">
        <v>0</v>
      </c>
      <c r="AA106" s="17">
        <f t="shared" si="491"/>
        <v>0</v>
      </c>
      <c r="AB106" s="14">
        <v>0</v>
      </c>
      <c r="AC106" s="17">
        <f t="shared" si="492"/>
        <v>0</v>
      </c>
      <c r="AD106" s="14">
        <v>0</v>
      </c>
      <c r="AE106" s="17">
        <f t="shared" si="493"/>
        <v>0</v>
      </c>
      <c r="AF106" s="14">
        <v>0</v>
      </c>
      <c r="AG106" s="17">
        <f t="shared" si="494"/>
        <v>0</v>
      </c>
      <c r="AH106" s="14">
        <v>245360.16</v>
      </c>
      <c r="AI106" s="15">
        <f t="shared" si="495"/>
        <v>14.80749305974653</v>
      </c>
      <c r="AJ106" s="14">
        <v>6259</v>
      </c>
      <c r="AK106" s="17">
        <f t="shared" si="496"/>
        <v>0.37773083886541942</v>
      </c>
      <c r="AL106" s="14">
        <v>884872.1385</v>
      </c>
      <c r="AM106" s="15">
        <f t="shared" si="497"/>
        <v>53.402060259505127</v>
      </c>
      <c r="AN106" s="14">
        <v>0</v>
      </c>
      <c r="AO106" s="14">
        <v>0</v>
      </c>
      <c r="AP106" s="14">
        <v>0</v>
      </c>
      <c r="AQ106" s="14">
        <v>0</v>
      </c>
      <c r="AR106" s="14">
        <v>7469152.7699999996</v>
      </c>
      <c r="AS106" s="14">
        <v>0</v>
      </c>
      <c r="AT106" s="14">
        <v>0</v>
      </c>
      <c r="AU106" s="15">
        <f t="shared" si="498"/>
        <v>8599385.0684999991</v>
      </c>
      <c r="AV106" s="15">
        <f t="shared" si="499"/>
        <v>518.9731483705491</v>
      </c>
      <c r="AW106" s="15">
        <f t="shared" si="500"/>
        <v>676.31813358238298</v>
      </c>
      <c r="AX106" s="14">
        <v>7</v>
      </c>
      <c r="AY106" s="15">
        <f t="shared" si="501"/>
        <v>5.0694025347012674</v>
      </c>
      <c r="AZ106" s="14">
        <v>21</v>
      </c>
      <c r="BA106" s="14">
        <v>54</v>
      </c>
      <c r="BB106" s="14">
        <v>12</v>
      </c>
      <c r="BC106" s="14">
        <v>0</v>
      </c>
      <c r="BD106" s="14">
        <v>28</v>
      </c>
      <c r="BE106" s="15">
        <f t="shared" si="502"/>
        <v>28</v>
      </c>
      <c r="BF106" s="15">
        <f t="shared" si="503"/>
        <v>38</v>
      </c>
      <c r="BG106" s="14">
        <v>0</v>
      </c>
      <c r="BH106" s="14">
        <v>0</v>
      </c>
      <c r="BI106" s="14">
        <v>0</v>
      </c>
      <c r="BJ106" s="14">
        <v>0</v>
      </c>
      <c r="BK106" s="15">
        <f t="shared" si="504"/>
        <v>0</v>
      </c>
      <c r="BL106" s="15">
        <f t="shared" si="505"/>
        <v>0</v>
      </c>
      <c r="BM106" s="14">
        <v>0</v>
      </c>
      <c r="BN106" s="14">
        <v>0</v>
      </c>
      <c r="BO106" s="14">
        <v>0</v>
      </c>
      <c r="BP106" s="14">
        <v>0</v>
      </c>
      <c r="BQ106" s="15">
        <f t="shared" si="506"/>
        <v>0</v>
      </c>
      <c r="BR106" s="15">
        <f t="shared" si="507"/>
        <v>0</v>
      </c>
      <c r="BS106" s="14">
        <v>0</v>
      </c>
      <c r="BT106" s="14">
        <v>0</v>
      </c>
      <c r="BU106" s="14">
        <v>0</v>
      </c>
      <c r="BV106" s="14">
        <v>0</v>
      </c>
      <c r="BW106" s="15">
        <f t="shared" si="508"/>
        <v>0</v>
      </c>
      <c r="BX106" s="15">
        <f t="shared" si="509"/>
        <v>0</v>
      </c>
      <c r="BY106" s="15">
        <f t="shared" si="510"/>
        <v>54</v>
      </c>
      <c r="BZ106" s="15">
        <f t="shared" si="511"/>
        <v>12</v>
      </c>
      <c r="CA106" s="15">
        <f t="shared" si="512"/>
        <v>28</v>
      </c>
      <c r="CB106" s="15">
        <f t="shared" si="513"/>
        <v>38</v>
      </c>
      <c r="CC106" s="14">
        <v>28</v>
      </c>
      <c r="CD106" s="14">
        <v>902</v>
      </c>
      <c r="CE106" s="14">
        <v>9</v>
      </c>
      <c r="CF106" s="14">
        <v>20</v>
      </c>
      <c r="CG106" s="14">
        <v>23</v>
      </c>
      <c r="CH106" s="15">
        <f t="shared" si="514"/>
        <v>954</v>
      </c>
      <c r="CI106" s="14">
        <v>841</v>
      </c>
      <c r="CJ106" s="14">
        <v>1</v>
      </c>
      <c r="CK106" s="14">
        <v>5</v>
      </c>
      <c r="CL106" s="14">
        <v>2</v>
      </c>
      <c r="CM106" s="15">
        <f t="shared" si="515"/>
        <v>849</v>
      </c>
      <c r="CN106" s="14">
        <v>919</v>
      </c>
      <c r="CO106" s="14">
        <v>39</v>
      </c>
      <c r="CP106" s="14">
        <v>109</v>
      </c>
      <c r="CQ106" s="14">
        <v>9</v>
      </c>
      <c r="CR106" s="15">
        <f t="shared" si="516"/>
        <v>1076</v>
      </c>
      <c r="CS106" s="15">
        <f t="shared" si="517"/>
        <v>1925</v>
      </c>
      <c r="CT106" s="14">
        <v>2879</v>
      </c>
      <c r="CU106" s="14">
        <v>18200</v>
      </c>
      <c r="CV106" s="14">
        <v>16485</v>
      </c>
      <c r="CW106" s="16">
        <f t="shared" si="518"/>
        <v>0.90576923076923077</v>
      </c>
      <c r="CX106" s="14"/>
      <c r="CY106" s="14"/>
      <c r="CZ106" s="14"/>
      <c r="DA106" s="14"/>
      <c r="DB106" s="15">
        <f t="shared" si="519"/>
        <v>0</v>
      </c>
      <c r="DC106" s="14">
        <v>0</v>
      </c>
      <c r="DD106" s="14">
        <v>0</v>
      </c>
      <c r="DE106" s="14">
        <v>0</v>
      </c>
      <c r="DF106" s="14">
        <v>0</v>
      </c>
      <c r="DG106" s="15">
        <f t="shared" si="520"/>
        <v>0</v>
      </c>
      <c r="DH106" s="14">
        <v>0</v>
      </c>
      <c r="DI106" s="14">
        <v>0</v>
      </c>
      <c r="DJ106" s="14">
        <v>0</v>
      </c>
      <c r="DK106" s="14">
        <v>0</v>
      </c>
      <c r="DL106" s="15">
        <f t="shared" si="521"/>
        <v>0</v>
      </c>
      <c r="DM106" s="14">
        <v>20</v>
      </c>
      <c r="DN106" s="14">
        <v>15</v>
      </c>
      <c r="DO106" s="14">
        <v>19</v>
      </c>
      <c r="DP106" s="14">
        <v>1</v>
      </c>
      <c r="DQ106" s="15">
        <f t="shared" si="522"/>
        <v>15</v>
      </c>
      <c r="DR106" s="15">
        <f t="shared" si="523"/>
        <v>20</v>
      </c>
      <c r="DS106" s="15">
        <f t="shared" si="524"/>
        <v>15</v>
      </c>
      <c r="DT106" s="15">
        <f t="shared" si="525"/>
        <v>19</v>
      </c>
      <c r="DU106" s="15">
        <f t="shared" si="526"/>
        <v>1</v>
      </c>
      <c r="DV106" s="15">
        <f t="shared" si="527"/>
        <v>15</v>
      </c>
      <c r="DW106" s="14">
        <v>93</v>
      </c>
      <c r="DX106" s="14">
        <v>32</v>
      </c>
      <c r="DY106" s="14">
        <v>22</v>
      </c>
      <c r="DZ106" s="14">
        <v>5</v>
      </c>
      <c r="EA106" s="14">
        <v>11</v>
      </c>
      <c r="EB106" s="14">
        <v>6</v>
      </c>
      <c r="EC106" s="14">
        <v>6</v>
      </c>
      <c r="ED106" s="14">
        <v>2</v>
      </c>
      <c r="EE106" s="14">
        <v>6</v>
      </c>
      <c r="EF106" s="14">
        <v>1</v>
      </c>
      <c r="EG106" s="14">
        <v>0</v>
      </c>
      <c r="EH106" s="14">
        <v>0</v>
      </c>
      <c r="EI106" s="14">
        <v>0</v>
      </c>
      <c r="EJ106" s="14">
        <v>0</v>
      </c>
      <c r="EK106" s="14">
        <v>0</v>
      </c>
      <c r="EL106" s="14">
        <v>0</v>
      </c>
      <c r="EM106" s="14">
        <v>0</v>
      </c>
      <c r="EN106" s="14">
        <v>0</v>
      </c>
      <c r="EO106" s="14">
        <v>0</v>
      </c>
      <c r="EP106" s="14">
        <v>0</v>
      </c>
      <c r="EQ106" s="14">
        <v>0</v>
      </c>
      <c r="ER106" s="14">
        <v>0</v>
      </c>
      <c r="ES106" s="14">
        <v>0</v>
      </c>
      <c r="ET106" s="14">
        <v>0</v>
      </c>
      <c r="EU106" s="14">
        <v>0</v>
      </c>
      <c r="EV106" s="14">
        <v>0</v>
      </c>
      <c r="EW106" s="14">
        <v>0</v>
      </c>
      <c r="EX106" s="14">
        <v>0</v>
      </c>
      <c r="EY106" s="14">
        <v>0</v>
      </c>
      <c r="EZ106" s="14">
        <v>0</v>
      </c>
      <c r="FA106" s="14">
        <v>0</v>
      </c>
      <c r="FB106" s="14">
        <v>0</v>
      </c>
      <c r="FC106" s="14">
        <v>0</v>
      </c>
      <c r="FD106" s="14">
        <v>0</v>
      </c>
      <c r="FE106" s="14">
        <v>0</v>
      </c>
      <c r="FF106" s="14">
        <v>0</v>
      </c>
      <c r="FG106" s="15">
        <f t="shared" si="528"/>
        <v>184</v>
      </c>
      <c r="FH106" s="14">
        <v>178</v>
      </c>
      <c r="FI106" s="14">
        <v>0</v>
      </c>
      <c r="FJ106" s="14">
        <v>15</v>
      </c>
      <c r="FK106" s="14">
        <v>78</v>
      </c>
      <c r="FL106" s="14">
        <v>78</v>
      </c>
      <c r="FM106" s="14">
        <v>0</v>
      </c>
      <c r="FN106" s="14">
        <v>0</v>
      </c>
      <c r="FO106" s="14">
        <v>0</v>
      </c>
      <c r="FP106" s="14">
        <v>0</v>
      </c>
      <c r="FQ106" s="15">
        <f t="shared" si="529"/>
        <v>78</v>
      </c>
      <c r="FR106" s="14">
        <v>5180834.3</v>
      </c>
      <c r="FS106" s="14">
        <v>9000</v>
      </c>
      <c r="FT106" s="14">
        <v>47000</v>
      </c>
      <c r="FU106" s="14">
        <v>47000</v>
      </c>
      <c r="FV106" s="15">
        <f t="shared" si="530"/>
        <v>5283834.3</v>
      </c>
      <c r="FW106" s="14">
        <v>5784820</v>
      </c>
      <c r="FX106" s="14">
        <v>27900</v>
      </c>
      <c r="FY106" s="14">
        <v>1419200</v>
      </c>
      <c r="FZ106" s="14">
        <v>5342000</v>
      </c>
      <c r="GA106" s="15">
        <f t="shared" si="531"/>
        <v>12573920</v>
      </c>
      <c r="GB106" s="15">
        <f t="shared" si="532"/>
        <v>17857754.300000001</v>
      </c>
      <c r="GC106" s="14">
        <v>5633921.0800000001</v>
      </c>
      <c r="GD106" s="14">
        <v>1530.24</v>
      </c>
      <c r="GE106" s="14">
        <v>33408.699999999997</v>
      </c>
      <c r="GF106" s="14">
        <v>76622.33</v>
      </c>
      <c r="GG106" s="15">
        <f t="shared" si="533"/>
        <v>5745482.3500000006</v>
      </c>
      <c r="GH106" s="14">
        <v>5745482.3499999996</v>
      </c>
      <c r="GI106" s="14">
        <v>0</v>
      </c>
      <c r="GJ106" s="14">
        <v>0</v>
      </c>
      <c r="GK106" s="14">
        <v>0</v>
      </c>
      <c r="GL106" s="15">
        <f t="shared" si="534"/>
        <v>5745482.3499999996</v>
      </c>
      <c r="GM106" s="15">
        <f t="shared" si="535"/>
        <v>11490964.699999999</v>
      </c>
      <c r="GN106" s="14">
        <v>471207.86</v>
      </c>
      <c r="GO106" s="14">
        <v>382.56</v>
      </c>
      <c r="GP106" s="14">
        <v>3393.64</v>
      </c>
      <c r="GQ106" s="14">
        <v>23186.7</v>
      </c>
      <c r="GR106" s="15">
        <f t="shared" si="536"/>
        <v>498170.76</v>
      </c>
      <c r="GS106" s="14">
        <v>751013</v>
      </c>
      <c r="GT106" s="14">
        <v>1786</v>
      </c>
      <c r="GU106" s="14">
        <v>893</v>
      </c>
      <c r="GV106" s="14">
        <v>4465</v>
      </c>
      <c r="GW106" s="15">
        <f t="shared" si="537"/>
        <v>758157</v>
      </c>
      <c r="GX106" s="15">
        <f t="shared" si="538"/>
        <v>12747292.459999999</v>
      </c>
      <c r="GY106" s="14">
        <v>46677529.890000001</v>
      </c>
      <c r="GZ106" s="14">
        <v>123273620.77</v>
      </c>
      <c r="HA106" s="15">
        <f t="shared" si="539"/>
        <v>169951150.66</v>
      </c>
      <c r="HB106" s="15">
        <f t="shared" si="540"/>
        <v>0.67460483043628228</v>
      </c>
      <c r="HC106" s="16">
        <f t="shared" si="541"/>
        <v>0.30051001574428771</v>
      </c>
      <c r="HD106" s="15">
        <f t="shared" si="542"/>
        <v>1.4009056712267509</v>
      </c>
      <c r="HE106" s="14">
        <v>12</v>
      </c>
      <c r="HF106" s="14">
        <v>1</v>
      </c>
      <c r="HG106" s="14">
        <v>38</v>
      </c>
      <c r="HH106" s="14">
        <v>12</v>
      </c>
      <c r="HI106" s="14">
        <v>7</v>
      </c>
      <c r="HJ106" s="15">
        <f t="shared" si="543"/>
        <v>8</v>
      </c>
      <c r="HK106" s="16">
        <f t="shared" si="544"/>
        <v>1</v>
      </c>
      <c r="HL106" s="14">
        <v>12</v>
      </c>
      <c r="HM106" s="14">
        <v>30</v>
      </c>
      <c r="HN106" s="17">
        <f t="shared" si="545"/>
        <v>2.5</v>
      </c>
    </row>
    <row r="107" spans="1:222" x14ac:dyDescent="0.3">
      <c r="A107" s="6" t="s">
        <v>280</v>
      </c>
      <c r="B107" s="6" t="s">
        <v>281</v>
      </c>
      <c r="C107" s="7" t="s">
        <v>257</v>
      </c>
      <c r="D107" s="7">
        <v>2025</v>
      </c>
      <c r="E107" s="7">
        <v>12</v>
      </c>
      <c r="F107" s="7" t="s">
        <v>269</v>
      </c>
      <c r="G107" s="7" t="s">
        <v>267</v>
      </c>
      <c r="H107" s="8">
        <v>11460</v>
      </c>
      <c r="I107" s="8">
        <v>4519</v>
      </c>
      <c r="J107" s="8">
        <v>8</v>
      </c>
      <c r="K107" s="8">
        <v>10</v>
      </c>
      <c r="L107" s="8">
        <v>22</v>
      </c>
      <c r="M107" s="9">
        <f t="shared" si="485"/>
        <v>4559</v>
      </c>
      <c r="N107" s="8">
        <v>3252</v>
      </c>
      <c r="O107" s="8">
        <v>132</v>
      </c>
      <c r="P107" s="8">
        <v>131</v>
      </c>
      <c r="Q107" s="8">
        <v>218</v>
      </c>
      <c r="R107" s="9">
        <f t="shared" si="486"/>
        <v>3733</v>
      </c>
      <c r="S107" s="9">
        <f t="shared" si="487"/>
        <v>8292</v>
      </c>
      <c r="T107" s="8">
        <v>3168</v>
      </c>
      <c r="U107" s="10">
        <f t="shared" si="488"/>
        <v>0.27643979057591622</v>
      </c>
      <c r="V107" s="8">
        <v>32</v>
      </c>
      <c r="W107" s="11">
        <f t="shared" si="489"/>
        <v>2.7923211169284469E-3</v>
      </c>
      <c r="X107" s="8">
        <v>0</v>
      </c>
      <c r="Y107" s="11">
        <f t="shared" si="490"/>
        <v>0</v>
      </c>
      <c r="Z107" s="8">
        <v>0</v>
      </c>
      <c r="AA107" s="11">
        <f t="shared" si="491"/>
        <v>0</v>
      </c>
      <c r="AB107" s="8">
        <v>0</v>
      </c>
      <c r="AC107" s="11">
        <f t="shared" si="492"/>
        <v>0</v>
      </c>
      <c r="AD107" s="8">
        <v>0</v>
      </c>
      <c r="AE107" s="11">
        <f t="shared" si="493"/>
        <v>0</v>
      </c>
      <c r="AF107" s="8">
        <v>0</v>
      </c>
      <c r="AG107" s="11">
        <f t="shared" si="494"/>
        <v>0</v>
      </c>
      <c r="AH107" s="8">
        <v>163573.44</v>
      </c>
      <c r="AI107" s="9">
        <f t="shared" si="495"/>
        <v>14.273424083769633</v>
      </c>
      <c r="AJ107" s="8">
        <v>6269.74</v>
      </c>
      <c r="AK107" s="11">
        <f t="shared" si="496"/>
        <v>0.54709773123909244</v>
      </c>
      <c r="AL107" s="8">
        <v>886362.32961000002</v>
      </c>
      <c r="AM107" s="9">
        <f t="shared" si="497"/>
        <v>77.344007819371726</v>
      </c>
      <c r="AN107" s="8">
        <v>0</v>
      </c>
      <c r="AO107" s="8">
        <v>0</v>
      </c>
      <c r="AP107" s="8">
        <v>0</v>
      </c>
      <c r="AQ107" s="8">
        <v>0</v>
      </c>
      <c r="AR107" s="8">
        <v>8113117.9000000004</v>
      </c>
      <c r="AS107" s="8">
        <v>4123169.68</v>
      </c>
      <c r="AT107" s="8">
        <v>1551000</v>
      </c>
      <c r="AU107" s="9">
        <f t="shared" si="498"/>
        <v>14837223.349610001</v>
      </c>
      <c r="AV107" s="9">
        <f t="shared" si="499"/>
        <v>1294.6966273656196</v>
      </c>
      <c r="AW107" s="9">
        <f t="shared" si="500"/>
        <v>1789.341937965509</v>
      </c>
      <c r="AX107" s="8">
        <v>7</v>
      </c>
      <c r="AY107" s="9">
        <f t="shared" si="501"/>
        <v>7.3298429319371721</v>
      </c>
      <c r="AZ107" s="8">
        <v>21</v>
      </c>
      <c r="BA107" s="8">
        <v>38</v>
      </c>
      <c r="BB107" s="8">
        <v>16</v>
      </c>
      <c r="BC107" s="8">
        <v>0</v>
      </c>
      <c r="BD107" s="8">
        <v>16</v>
      </c>
      <c r="BE107" s="9">
        <f t="shared" si="502"/>
        <v>16</v>
      </c>
      <c r="BF107" s="9">
        <f t="shared" si="503"/>
        <v>38</v>
      </c>
      <c r="BG107" s="8">
        <v>0</v>
      </c>
      <c r="BH107" s="8">
        <v>0</v>
      </c>
      <c r="BI107" s="8">
        <v>0</v>
      </c>
      <c r="BJ107" s="8">
        <v>0</v>
      </c>
      <c r="BK107" s="9">
        <f t="shared" si="504"/>
        <v>0</v>
      </c>
      <c r="BL107" s="9">
        <f t="shared" si="505"/>
        <v>0</v>
      </c>
      <c r="BM107" s="8">
        <v>0</v>
      </c>
      <c r="BN107" s="8">
        <v>0</v>
      </c>
      <c r="BO107" s="8">
        <v>0</v>
      </c>
      <c r="BP107" s="8">
        <v>0</v>
      </c>
      <c r="BQ107" s="9">
        <f t="shared" si="506"/>
        <v>0</v>
      </c>
      <c r="BR107" s="9">
        <f t="shared" si="507"/>
        <v>0</v>
      </c>
      <c r="BS107" s="8">
        <v>0</v>
      </c>
      <c r="BT107" s="8">
        <v>0</v>
      </c>
      <c r="BU107" s="8">
        <v>0</v>
      </c>
      <c r="BV107" s="8">
        <v>0</v>
      </c>
      <c r="BW107" s="9">
        <f t="shared" si="508"/>
        <v>0</v>
      </c>
      <c r="BX107" s="9">
        <f t="shared" si="509"/>
        <v>0</v>
      </c>
      <c r="BY107" s="9">
        <f t="shared" si="510"/>
        <v>38</v>
      </c>
      <c r="BZ107" s="9">
        <f t="shared" si="511"/>
        <v>16</v>
      </c>
      <c r="CA107" s="9">
        <f t="shared" si="512"/>
        <v>16</v>
      </c>
      <c r="CB107" s="9">
        <f t="shared" si="513"/>
        <v>38</v>
      </c>
      <c r="CC107" s="8">
        <v>16</v>
      </c>
      <c r="CD107" s="8">
        <v>902</v>
      </c>
      <c r="CE107" s="8">
        <v>15</v>
      </c>
      <c r="CF107" s="8">
        <v>46</v>
      </c>
      <c r="CG107" s="8">
        <v>23</v>
      </c>
      <c r="CH107" s="9">
        <f t="shared" si="514"/>
        <v>986</v>
      </c>
      <c r="CI107" s="8">
        <v>821</v>
      </c>
      <c r="CJ107" s="8">
        <v>1</v>
      </c>
      <c r="CK107" s="8">
        <v>5</v>
      </c>
      <c r="CL107" s="8">
        <v>2</v>
      </c>
      <c r="CM107" s="9">
        <f t="shared" si="515"/>
        <v>829</v>
      </c>
      <c r="CN107" s="8">
        <v>966</v>
      </c>
      <c r="CO107" s="8">
        <v>33</v>
      </c>
      <c r="CP107" s="8">
        <v>72</v>
      </c>
      <c r="CQ107" s="8">
        <v>9</v>
      </c>
      <c r="CR107" s="9">
        <f t="shared" si="516"/>
        <v>1080</v>
      </c>
      <c r="CS107" s="9">
        <f t="shared" si="517"/>
        <v>1909</v>
      </c>
      <c r="CT107" s="8">
        <v>2895</v>
      </c>
      <c r="CU107" s="8">
        <v>18200</v>
      </c>
      <c r="CV107" s="8">
        <v>16500</v>
      </c>
      <c r="CW107" s="10">
        <f t="shared" si="518"/>
        <v>0.90659340659340659</v>
      </c>
      <c r="CX107" s="8">
        <v>0</v>
      </c>
      <c r="CY107" s="8">
        <v>0</v>
      </c>
      <c r="CZ107" s="8">
        <v>0</v>
      </c>
      <c r="DA107" s="8">
        <v>0</v>
      </c>
      <c r="DB107" s="9">
        <f t="shared" si="519"/>
        <v>0</v>
      </c>
      <c r="DC107" s="8">
        <v>0</v>
      </c>
      <c r="DD107" s="8">
        <v>0</v>
      </c>
      <c r="DE107" s="8">
        <v>0</v>
      </c>
      <c r="DF107" s="8">
        <v>0</v>
      </c>
      <c r="DG107" s="9">
        <f t="shared" si="520"/>
        <v>0</v>
      </c>
      <c r="DH107" s="8">
        <v>0</v>
      </c>
      <c r="DI107" s="8">
        <v>0</v>
      </c>
      <c r="DJ107" s="8">
        <v>0</v>
      </c>
      <c r="DK107" s="8">
        <v>0</v>
      </c>
      <c r="DL107" s="9">
        <f t="shared" si="521"/>
        <v>0</v>
      </c>
      <c r="DM107" s="8">
        <v>15</v>
      </c>
      <c r="DN107" s="8">
        <v>28</v>
      </c>
      <c r="DO107" s="8">
        <v>16</v>
      </c>
      <c r="DP107" s="8">
        <v>1</v>
      </c>
      <c r="DQ107" s="9">
        <f t="shared" si="522"/>
        <v>26</v>
      </c>
      <c r="DR107" s="9">
        <f t="shared" si="523"/>
        <v>15</v>
      </c>
      <c r="DS107" s="9">
        <f t="shared" si="524"/>
        <v>28</v>
      </c>
      <c r="DT107" s="9">
        <f t="shared" si="525"/>
        <v>16</v>
      </c>
      <c r="DU107" s="9">
        <f t="shared" si="526"/>
        <v>1</v>
      </c>
      <c r="DV107" s="9">
        <f t="shared" si="527"/>
        <v>26</v>
      </c>
      <c r="DW107" s="8">
        <v>91</v>
      </c>
      <c r="DX107" s="8">
        <v>29</v>
      </c>
      <c r="DY107" s="8">
        <v>17</v>
      </c>
      <c r="DZ107" s="8">
        <v>4</v>
      </c>
      <c r="EA107" s="8">
        <v>5</v>
      </c>
      <c r="EB107" s="8">
        <v>3</v>
      </c>
      <c r="EC107" s="8">
        <v>3</v>
      </c>
      <c r="ED107" s="8">
        <v>1</v>
      </c>
      <c r="EE107" s="8">
        <v>2</v>
      </c>
      <c r="EF107" s="8">
        <v>1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9">
        <f t="shared" si="528"/>
        <v>156</v>
      </c>
      <c r="FH107" s="8">
        <v>153</v>
      </c>
      <c r="FI107" s="8">
        <v>0</v>
      </c>
      <c r="FJ107" s="8">
        <v>16</v>
      </c>
      <c r="FK107" s="8">
        <v>42</v>
      </c>
      <c r="FL107" s="8">
        <v>42</v>
      </c>
      <c r="FM107" s="8">
        <v>0</v>
      </c>
      <c r="FN107" s="8">
        <v>0</v>
      </c>
      <c r="FO107" s="8">
        <v>0</v>
      </c>
      <c r="FP107" s="8">
        <v>0</v>
      </c>
      <c r="FQ107" s="9">
        <f t="shared" si="529"/>
        <v>42</v>
      </c>
      <c r="FR107" s="8">
        <v>7534222.9199999999</v>
      </c>
      <c r="FS107" s="8">
        <v>5000</v>
      </c>
      <c r="FT107" s="8">
        <v>47150</v>
      </c>
      <c r="FU107" s="8">
        <v>11799685</v>
      </c>
      <c r="FV107" s="9">
        <f t="shared" si="530"/>
        <v>19386057.920000002</v>
      </c>
      <c r="FW107" s="8">
        <v>4335608.18</v>
      </c>
      <c r="FX107" s="8">
        <v>28000</v>
      </c>
      <c r="FY107" s="8">
        <v>1029100</v>
      </c>
      <c r="FZ107" s="8">
        <v>401950</v>
      </c>
      <c r="GA107" s="9">
        <f t="shared" si="531"/>
        <v>5794658.1799999997</v>
      </c>
      <c r="GB107" s="9">
        <f t="shared" si="532"/>
        <v>25180716.100000001</v>
      </c>
      <c r="GC107" s="8">
        <v>4025843.16</v>
      </c>
      <c r="GD107" s="8">
        <v>1530.24</v>
      </c>
      <c r="GE107" s="8">
        <v>24383.95</v>
      </c>
      <c r="GF107" s="8">
        <v>52211.87</v>
      </c>
      <c r="GG107" s="9">
        <f t="shared" si="533"/>
        <v>4103969.2200000007</v>
      </c>
      <c r="GH107" s="8">
        <v>4103969.22</v>
      </c>
      <c r="GI107" s="8">
        <v>0</v>
      </c>
      <c r="GJ107" s="8">
        <v>0</v>
      </c>
      <c r="GK107" s="8">
        <v>0</v>
      </c>
      <c r="GL107" s="9">
        <f t="shared" si="534"/>
        <v>4103969.22</v>
      </c>
      <c r="GM107" s="9">
        <f t="shared" si="535"/>
        <v>8207938.4400000013</v>
      </c>
      <c r="GN107" s="8">
        <v>459348.77</v>
      </c>
      <c r="GO107" s="8">
        <v>382.56</v>
      </c>
      <c r="GP107" s="8">
        <v>3393.64</v>
      </c>
      <c r="GQ107" s="8">
        <v>23186.7</v>
      </c>
      <c r="GR107" s="9">
        <f t="shared" si="536"/>
        <v>486311.67000000004</v>
      </c>
      <c r="GS107" s="8">
        <v>733153</v>
      </c>
      <c r="GT107" s="8">
        <v>1786</v>
      </c>
      <c r="GU107" s="8">
        <v>893</v>
      </c>
      <c r="GV107" s="8">
        <v>4465</v>
      </c>
      <c r="GW107" s="9">
        <f t="shared" si="537"/>
        <v>740297</v>
      </c>
      <c r="GX107" s="9">
        <f t="shared" si="538"/>
        <v>9434547.1100000013</v>
      </c>
      <c r="GY107" s="8">
        <v>44219500.420000002</v>
      </c>
      <c r="GZ107" s="8">
        <v>111473935.77</v>
      </c>
      <c r="HA107" s="9">
        <f t="shared" si="539"/>
        <v>155693436.19</v>
      </c>
      <c r="HB107" s="9">
        <f t="shared" si="540"/>
        <v>1.5726481808420372</v>
      </c>
      <c r="HC107" s="10">
        <f t="shared" si="541"/>
        <v>0.46931624470494071</v>
      </c>
      <c r="HD107" s="9">
        <f t="shared" si="542"/>
        <v>2.6689904461137401</v>
      </c>
      <c r="HE107" s="8">
        <v>16</v>
      </c>
      <c r="HF107" s="8">
        <v>1</v>
      </c>
      <c r="HG107" s="8">
        <v>38</v>
      </c>
      <c r="HH107" s="8">
        <v>16</v>
      </c>
      <c r="HI107" s="8">
        <v>7</v>
      </c>
      <c r="HJ107" s="9">
        <f t="shared" si="543"/>
        <v>8</v>
      </c>
      <c r="HK107" s="10">
        <f t="shared" si="544"/>
        <v>1</v>
      </c>
      <c r="HL107" s="8">
        <v>10</v>
      </c>
      <c r="HM107" s="8">
        <v>15</v>
      </c>
      <c r="HN107" s="11">
        <f t="shared" si="545"/>
        <v>1.5</v>
      </c>
    </row>
    <row r="108" spans="1:222" x14ac:dyDescent="0.3">
      <c r="A108" s="12" t="s">
        <v>280</v>
      </c>
      <c r="B108" s="12" t="s">
        <v>281</v>
      </c>
      <c r="C108" s="13" t="s">
        <v>257</v>
      </c>
      <c r="D108" s="13">
        <v>2026</v>
      </c>
      <c r="E108" s="13">
        <v>1</v>
      </c>
      <c r="F108" s="13" t="s">
        <v>270</v>
      </c>
      <c r="G108" s="13" t="s">
        <v>271</v>
      </c>
      <c r="H108" s="14">
        <v>13800</v>
      </c>
      <c r="I108" s="14">
        <v>5476</v>
      </c>
      <c r="J108" s="14">
        <v>9</v>
      </c>
      <c r="K108" s="14">
        <v>11</v>
      </c>
      <c r="L108" s="14">
        <v>28</v>
      </c>
      <c r="M108" s="15">
        <v>5524</v>
      </c>
      <c r="N108" s="14">
        <v>4160</v>
      </c>
      <c r="O108" s="14">
        <v>184</v>
      </c>
      <c r="P108" s="14">
        <v>120</v>
      </c>
      <c r="Q108" s="14">
        <v>199</v>
      </c>
      <c r="R108" s="15">
        <v>4663</v>
      </c>
      <c r="S108" s="15">
        <v>10187</v>
      </c>
      <c r="T108" s="14">
        <v>3613</v>
      </c>
      <c r="U108" s="16">
        <v>0.26181159420289862</v>
      </c>
      <c r="V108" s="14">
        <v>30</v>
      </c>
      <c r="W108" s="17">
        <v>2.1739130434782612</v>
      </c>
      <c r="X108" s="14">
        <v>0</v>
      </c>
      <c r="Y108" s="17">
        <v>0</v>
      </c>
      <c r="Z108" s="14">
        <v>0</v>
      </c>
      <c r="AA108" s="17">
        <v>0</v>
      </c>
      <c r="AB108" s="14">
        <v>0</v>
      </c>
      <c r="AC108" s="17">
        <v>0</v>
      </c>
      <c r="AD108" s="14">
        <v>0</v>
      </c>
      <c r="AE108" s="17">
        <v>0</v>
      </c>
      <c r="AF108" s="14">
        <v>0</v>
      </c>
      <c r="AG108" s="17">
        <v>0</v>
      </c>
      <c r="AH108" s="14">
        <v>153350.1</v>
      </c>
      <c r="AI108" s="15">
        <v>11.11232608695652</v>
      </c>
      <c r="AJ108" s="14">
        <v>6955</v>
      </c>
      <c r="AK108" s="17">
        <v>0.50398550724637681</v>
      </c>
      <c r="AL108" s="14">
        <v>981443.1825</v>
      </c>
      <c r="AM108" s="15">
        <v>71.119071195652168</v>
      </c>
      <c r="AN108" s="14">
        <v>0</v>
      </c>
      <c r="AO108" s="14">
        <v>77</v>
      </c>
      <c r="AP108" s="14">
        <v>210518</v>
      </c>
      <c r="AQ108" s="14">
        <v>0</v>
      </c>
      <c r="AR108" s="14">
        <v>12597798.310000001</v>
      </c>
      <c r="AS108" s="14">
        <v>0</v>
      </c>
      <c r="AT108" s="14">
        <v>1920889.3</v>
      </c>
      <c r="AU108" s="15">
        <v>15863998.8925</v>
      </c>
      <c r="AV108" s="15">
        <v>1149.5651371376809</v>
      </c>
      <c r="AW108" s="15">
        <v>1557.278776136252</v>
      </c>
      <c r="AX108" s="14">
        <v>7</v>
      </c>
      <c r="AY108" s="15">
        <v>15.72463768115942</v>
      </c>
      <c r="AZ108" s="14">
        <v>16</v>
      </c>
      <c r="BA108" s="14">
        <v>38</v>
      </c>
      <c r="BB108" s="14">
        <v>11</v>
      </c>
      <c r="BC108" s="14">
        <v>0</v>
      </c>
      <c r="BD108" s="14">
        <v>10</v>
      </c>
      <c r="BE108" s="15">
        <v>10</v>
      </c>
      <c r="BF108" s="15">
        <v>39</v>
      </c>
      <c r="BG108" s="14">
        <v>0</v>
      </c>
      <c r="BH108" s="14">
        <v>0</v>
      </c>
      <c r="BI108" s="14">
        <v>0</v>
      </c>
      <c r="BJ108" s="14">
        <v>0</v>
      </c>
      <c r="BK108" s="15">
        <v>0</v>
      </c>
      <c r="BL108" s="15">
        <v>0</v>
      </c>
      <c r="BM108" s="14">
        <v>0</v>
      </c>
      <c r="BN108" s="14">
        <v>0</v>
      </c>
      <c r="BO108" s="14">
        <v>0</v>
      </c>
      <c r="BP108" s="14">
        <v>0</v>
      </c>
      <c r="BQ108" s="15">
        <v>0</v>
      </c>
      <c r="BR108" s="15">
        <v>0</v>
      </c>
      <c r="BS108" s="14">
        <v>0</v>
      </c>
      <c r="BT108" s="14">
        <v>0</v>
      </c>
      <c r="BU108" s="14">
        <v>0</v>
      </c>
      <c r="BV108" s="14">
        <v>0</v>
      </c>
      <c r="BW108" s="15">
        <v>0</v>
      </c>
      <c r="BX108" s="15">
        <v>0</v>
      </c>
      <c r="BY108" s="15">
        <v>38</v>
      </c>
      <c r="BZ108" s="15">
        <v>11</v>
      </c>
      <c r="CA108" s="15">
        <v>10</v>
      </c>
      <c r="CB108" s="15">
        <v>39</v>
      </c>
      <c r="CC108" s="14">
        <v>10</v>
      </c>
      <c r="CD108" s="14">
        <v>920</v>
      </c>
      <c r="CE108" s="14">
        <v>15</v>
      </c>
      <c r="CF108" s="14">
        <v>46</v>
      </c>
      <c r="CG108" s="14">
        <v>23</v>
      </c>
      <c r="CH108" s="15">
        <v>1004</v>
      </c>
      <c r="CI108" s="14">
        <v>795</v>
      </c>
      <c r="CJ108" s="14">
        <v>1</v>
      </c>
      <c r="CK108" s="14">
        <v>5</v>
      </c>
      <c r="CL108" s="14">
        <v>2</v>
      </c>
      <c r="CM108" s="15">
        <v>803</v>
      </c>
      <c r="CN108" s="14">
        <v>976</v>
      </c>
      <c r="CO108" s="14">
        <v>33</v>
      </c>
      <c r="CP108" s="14">
        <v>72</v>
      </c>
      <c r="CQ108" s="14">
        <v>9</v>
      </c>
      <c r="CR108" s="15">
        <v>1090</v>
      </c>
      <c r="CS108" s="15">
        <v>1893</v>
      </c>
      <c r="CT108" s="14">
        <v>2897</v>
      </c>
      <c r="CU108" s="14">
        <v>18200</v>
      </c>
      <c r="CV108" s="14">
        <v>16500</v>
      </c>
      <c r="CW108" s="16">
        <v>0.90659340659340659</v>
      </c>
      <c r="CX108" s="14">
        <v>0</v>
      </c>
      <c r="CY108" s="14">
        <v>0</v>
      </c>
      <c r="CZ108" s="14">
        <v>0</v>
      </c>
      <c r="DA108" s="14">
        <v>0</v>
      </c>
      <c r="DB108" s="15">
        <v>0</v>
      </c>
      <c r="DC108" s="14">
        <v>0</v>
      </c>
      <c r="DD108" s="14">
        <v>0</v>
      </c>
      <c r="DE108" s="14">
        <v>0</v>
      </c>
      <c r="DF108" s="14">
        <v>0</v>
      </c>
      <c r="DG108" s="15">
        <v>0</v>
      </c>
      <c r="DH108" s="14">
        <v>0</v>
      </c>
      <c r="DI108" s="14">
        <v>0</v>
      </c>
      <c r="DJ108" s="14">
        <v>0</v>
      </c>
      <c r="DK108" s="14">
        <v>0</v>
      </c>
      <c r="DL108" s="15">
        <v>0</v>
      </c>
      <c r="DM108" s="14">
        <v>26</v>
      </c>
      <c r="DN108" s="14">
        <v>0</v>
      </c>
      <c r="DO108" s="14">
        <v>0</v>
      </c>
      <c r="DP108" s="14">
        <v>0</v>
      </c>
      <c r="DQ108" s="15">
        <v>0</v>
      </c>
      <c r="DR108" s="15">
        <v>26</v>
      </c>
      <c r="DS108" s="15">
        <v>26</v>
      </c>
      <c r="DT108" s="15">
        <v>0</v>
      </c>
      <c r="DU108" s="15">
        <v>0</v>
      </c>
      <c r="DV108" s="15">
        <v>0</v>
      </c>
      <c r="DW108" s="14">
        <v>89</v>
      </c>
      <c r="DX108" s="14">
        <v>32</v>
      </c>
      <c r="DY108" s="14">
        <v>18</v>
      </c>
      <c r="DZ108" s="14">
        <v>5</v>
      </c>
      <c r="EA108" s="14">
        <v>6</v>
      </c>
      <c r="EB108" s="14">
        <v>2</v>
      </c>
      <c r="EC108" s="14">
        <v>2</v>
      </c>
      <c r="ED108" s="14">
        <v>2</v>
      </c>
      <c r="EE108" s="14">
        <v>1</v>
      </c>
      <c r="EF108" s="14">
        <v>3</v>
      </c>
      <c r="EG108" s="14">
        <v>0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0</v>
      </c>
      <c r="EU108" s="14">
        <v>0</v>
      </c>
      <c r="EV108" s="14">
        <v>0</v>
      </c>
      <c r="EW108" s="14">
        <v>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5">
        <v>0</v>
      </c>
      <c r="FH108" s="14">
        <v>158</v>
      </c>
      <c r="FI108" s="14">
        <v>0</v>
      </c>
      <c r="FJ108" s="14">
        <v>13</v>
      </c>
      <c r="FK108" s="14">
        <v>59</v>
      </c>
      <c r="FL108" s="14">
        <v>59</v>
      </c>
      <c r="FM108" s="14">
        <v>0</v>
      </c>
      <c r="FN108" s="14">
        <v>0</v>
      </c>
      <c r="FO108" s="14">
        <v>0</v>
      </c>
      <c r="FP108" s="14">
        <v>0</v>
      </c>
      <c r="FQ108" s="15">
        <v>0</v>
      </c>
      <c r="FR108" s="14">
        <v>4589971.42</v>
      </c>
      <c r="FS108" s="14">
        <v>16000</v>
      </c>
      <c r="FT108" s="14">
        <v>167967.22</v>
      </c>
      <c r="FU108" s="14">
        <v>0</v>
      </c>
      <c r="FV108" s="15">
        <v>0</v>
      </c>
      <c r="FW108" s="14">
        <v>5413854</v>
      </c>
      <c r="FX108" s="14">
        <v>39000</v>
      </c>
      <c r="FY108" s="14">
        <v>1023300</v>
      </c>
      <c r="FZ108" s="14">
        <v>371950</v>
      </c>
      <c r="GA108" s="15">
        <v>371950</v>
      </c>
      <c r="GB108" s="15">
        <v>6848104</v>
      </c>
      <c r="GC108" s="14">
        <v>4921195.55</v>
      </c>
      <c r="GD108" s="14">
        <v>1721.52</v>
      </c>
      <c r="GE108" s="14">
        <v>27392.2</v>
      </c>
      <c r="GF108" s="14">
        <v>84104.59</v>
      </c>
      <c r="GG108" s="15">
        <v>84104.59</v>
      </c>
      <c r="GH108" s="14">
        <v>5034413.8599999994</v>
      </c>
      <c r="GI108" s="14">
        <v>0</v>
      </c>
      <c r="GJ108" s="14">
        <v>0</v>
      </c>
      <c r="GK108" s="14">
        <v>0</v>
      </c>
      <c r="GL108" s="15">
        <v>0</v>
      </c>
      <c r="GM108" s="15">
        <v>6848104</v>
      </c>
      <c r="GN108" s="14">
        <v>444997.56</v>
      </c>
      <c r="GO108" s="14">
        <v>382.56</v>
      </c>
      <c r="GP108" s="14">
        <v>3393.64</v>
      </c>
      <c r="GQ108" s="14">
        <v>23186.7</v>
      </c>
      <c r="GR108" s="15">
        <v>23186.7</v>
      </c>
      <c r="GS108" s="14">
        <v>709935</v>
      </c>
      <c r="GT108" s="14">
        <v>1786</v>
      </c>
      <c r="GU108" s="14">
        <v>893</v>
      </c>
      <c r="GV108" s="14">
        <v>4465</v>
      </c>
      <c r="GW108" s="15">
        <v>4465</v>
      </c>
      <c r="GX108" s="15">
        <v>717079</v>
      </c>
      <c r="GY108" s="14">
        <v>55868547.619999997</v>
      </c>
      <c r="GZ108" s="14">
        <v>101473935.77</v>
      </c>
      <c r="HA108" s="15">
        <v>101473935.77</v>
      </c>
      <c r="HB108" s="15">
        <v>157342483.38999999</v>
      </c>
      <c r="HC108" s="16">
        <v>13071557.32</v>
      </c>
      <c r="HD108" s="15">
        <v>55868547.619999997</v>
      </c>
      <c r="HE108" s="14">
        <v>11</v>
      </c>
      <c r="HF108" s="14">
        <v>1</v>
      </c>
      <c r="HG108" s="14">
        <v>39</v>
      </c>
      <c r="HH108" s="14">
        <v>11</v>
      </c>
      <c r="HI108" s="14">
        <v>7</v>
      </c>
      <c r="HJ108" s="15">
        <v>7</v>
      </c>
      <c r="HK108" s="16">
        <v>0.63636363636363635</v>
      </c>
      <c r="HL108" s="14">
        <v>26</v>
      </c>
      <c r="HM108" s="14">
        <v>30</v>
      </c>
      <c r="HN108" s="17">
        <v>30</v>
      </c>
    </row>
    <row r="109" spans="1:222" x14ac:dyDescent="0.3">
      <c r="A109" s="6" t="s">
        <v>280</v>
      </c>
      <c r="B109" s="6" t="s">
        <v>281</v>
      </c>
      <c r="C109" s="7" t="s">
        <v>257</v>
      </c>
      <c r="D109" s="7">
        <v>2026</v>
      </c>
      <c r="E109" s="7">
        <v>2</v>
      </c>
      <c r="F109" s="7" t="s">
        <v>272</v>
      </c>
      <c r="G109" s="7" t="s">
        <v>271</v>
      </c>
      <c r="H109" s="8">
        <v>14000</v>
      </c>
      <c r="I109" s="8">
        <v>4967</v>
      </c>
      <c r="J109" s="8">
        <v>12</v>
      </c>
      <c r="K109" s="8">
        <v>10</v>
      </c>
      <c r="L109" s="8">
        <v>24</v>
      </c>
      <c r="M109" s="9">
        <f t="shared" ref="M109:M119" si="546">SUM(I109,J109,K109,L109)</f>
        <v>5013</v>
      </c>
      <c r="N109" s="8">
        <v>3815</v>
      </c>
      <c r="O109" s="8">
        <v>238</v>
      </c>
      <c r="P109" s="8">
        <v>803</v>
      </c>
      <c r="Q109" s="8">
        <v>267</v>
      </c>
      <c r="R109" s="9">
        <f t="shared" ref="R109:R119" si="547">SUM(N109,O109,P109,Q109)</f>
        <v>5123</v>
      </c>
      <c r="S109" s="9">
        <f t="shared" ref="S109:S119" si="548">M109+R109</f>
        <v>10136</v>
      </c>
      <c r="T109" s="8">
        <v>3864</v>
      </c>
      <c r="U109" s="10">
        <f t="shared" ref="U109:U119" si="549">IF(H109=0,"",T109/H109)</f>
        <v>0.27600000000000002</v>
      </c>
      <c r="V109" s="8">
        <v>37</v>
      </c>
      <c r="W109" s="11">
        <f t="shared" ref="W109:W119" si="550">IF(H109=0,"",V109/H109)</f>
        <v>2.642857142857143E-3</v>
      </c>
      <c r="X109" s="8">
        <v>0</v>
      </c>
      <c r="Y109" s="11">
        <f t="shared" ref="Y109:Y119" si="551">IF(H109=0,"",X109/H109)</f>
        <v>0</v>
      </c>
      <c r="Z109" s="8">
        <v>0</v>
      </c>
      <c r="AA109" s="11">
        <f t="shared" ref="AA109:AA119" si="552">IF(H109=0,"",Z109/H109)</f>
        <v>0</v>
      </c>
      <c r="AB109" s="8">
        <v>0</v>
      </c>
      <c r="AC109" s="11">
        <f t="shared" ref="AC109:AC119" si="553">IF(H109=0,"",AB109/H109)</f>
        <v>0</v>
      </c>
      <c r="AD109" s="8">
        <v>0</v>
      </c>
      <c r="AE109" s="11">
        <f t="shared" ref="AE109:AE119" si="554">IF(H109=0,"",AD109/H109)</f>
        <v>0</v>
      </c>
      <c r="AF109" s="8">
        <v>0</v>
      </c>
      <c r="AG109" s="11">
        <f t="shared" ref="AG109:AG119" si="555">IF(H109=0,"",AF109/H109)</f>
        <v>0</v>
      </c>
      <c r="AH109" s="8">
        <v>189131.79</v>
      </c>
      <c r="AI109" s="9">
        <f t="shared" ref="AI109:AI119" si="556">IF(H109=0,"",AH109/H109)</f>
        <v>13.509413571428572</v>
      </c>
      <c r="AJ109" s="8">
        <v>6659</v>
      </c>
      <c r="AK109" s="11">
        <f t="shared" ref="AK109:AK119" si="557">IF(H109=0,"",AJ109/H109)</f>
        <v>0.47564285714285715</v>
      </c>
      <c r="AL109" s="8">
        <v>940372.73849999998</v>
      </c>
      <c r="AM109" s="9">
        <f t="shared" ref="AM109:AM119" si="558">IF(H109=0,"",AL109/H109)</f>
        <v>67.169481321428563</v>
      </c>
      <c r="AN109" s="8">
        <v>0</v>
      </c>
      <c r="AO109" s="8">
        <v>0</v>
      </c>
      <c r="AP109" s="8">
        <v>0</v>
      </c>
      <c r="AQ109" s="8">
        <v>0</v>
      </c>
      <c r="AR109" s="8">
        <v>7299592.1400000006</v>
      </c>
      <c r="AS109" s="8">
        <v>2834464.9249999998</v>
      </c>
      <c r="AT109" s="8">
        <v>2666203</v>
      </c>
      <c r="AU109" s="9">
        <f t="shared" ref="AU109:AU119" si="559">AH109+AL109+AP109+AQ109+AR109+AS109+AT109</f>
        <v>13929764.593499999</v>
      </c>
      <c r="AV109" s="9">
        <f t="shared" ref="AV109:AV119" si="560">IF(H109=0,"",AU109/H109)</f>
        <v>994.98318525000002</v>
      </c>
      <c r="AW109" s="9">
        <f t="shared" ref="AW109:AW119" si="561">IF(S109=0,"",AU109/S109)</f>
        <v>1374.2861674723756</v>
      </c>
      <c r="AX109" s="8">
        <v>7</v>
      </c>
      <c r="AY109" s="9">
        <f t="shared" ref="AY109:AY119" si="562">IF(H109=0,"",AX109/(H109/1000/12))</f>
        <v>6</v>
      </c>
      <c r="AZ109" s="8">
        <v>15</v>
      </c>
      <c r="BA109" s="8">
        <v>39</v>
      </c>
      <c r="BB109" s="8">
        <v>13</v>
      </c>
      <c r="BC109" s="8">
        <v>0</v>
      </c>
      <c r="BD109" s="8">
        <v>22</v>
      </c>
      <c r="BE109" s="9">
        <f t="shared" ref="BE109:BE119" si="563">BC109+BD109</f>
        <v>22</v>
      </c>
      <c r="BF109" s="9">
        <f t="shared" ref="BF109:BF119" si="564">BA109+BB109-BE109</f>
        <v>30</v>
      </c>
      <c r="BG109" s="8">
        <v>0</v>
      </c>
      <c r="BH109" s="8">
        <v>0</v>
      </c>
      <c r="BI109" s="8">
        <v>0</v>
      </c>
      <c r="BJ109" s="8">
        <v>0</v>
      </c>
      <c r="BK109" s="9">
        <f t="shared" ref="BK109:BK119" si="565">BI109+BJ109</f>
        <v>0</v>
      </c>
      <c r="BL109" s="9">
        <f t="shared" ref="BL109:BL119" si="566">BG109+BH109-BK109</f>
        <v>0</v>
      </c>
      <c r="BM109" s="8">
        <v>0</v>
      </c>
      <c r="BN109" s="8">
        <v>0</v>
      </c>
      <c r="BO109" s="8">
        <v>0</v>
      </c>
      <c r="BP109" s="8">
        <v>0</v>
      </c>
      <c r="BQ109" s="9">
        <f t="shared" ref="BQ109:BQ119" si="567">BO109+BP109</f>
        <v>0</v>
      </c>
      <c r="BR109" s="9">
        <f t="shared" ref="BR109:BR119" si="568">BM109+BN109-BQ109</f>
        <v>0</v>
      </c>
      <c r="BS109" s="8">
        <v>0</v>
      </c>
      <c r="BT109" s="8">
        <v>0</v>
      </c>
      <c r="BU109" s="8">
        <v>0</v>
      </c>
      <c r="BV109" s="8">
        <v>0</v>
      </c>
      <c r="BW109" s="9">
        <f t="shared" ref="BW109:BW119" si="569">BU109+BV109</f>
        <v>0</v>
      </c>
      <c r="BX109" s="9">
        <f t="shared" ref="BX109:BX119" si="570">BS109+BT109-BW109</f>
        <v>0</v>
      </c>
      <c r="BY109" s="9">
        <f t="shared" ref="BY109:BY119" si="571">BA109+BG109+BM109+BS109</f>
        <v>39</v>
      </c>
      <c r="BZ109" s="9">
        <f t="shared" ref="BZ109:BZ119" si="572">BB109+BH109+BN109+BT109</f>
        <v>13</v>
      </c>
      <c r="CA109" s="9">
        <f t="shared" ref="CA109:CA119" si="573">BE109+BK109+BQ109+BW109</f>
        <v>22</v>
      </c>
      <c r="CB109" s="9">
        <f t="shared" ref="CB109:CB119" si="574">BF109+BL109+BR109+BX109</f>
        <v>30</v>
      </c>
      <c r="CC109" s="8">
        <v>22</v>
      </c>
      <c r="CD109" s="8">
        <v>893</v>
      </c>
      <c r="CE109" s="8">
        <v>11</v>
      </c>
      <c r="CF109" s="8">
        <v>17</v>
      </c>
      <c r="CG109" s="8">
        <v>23</v>
      </c>
      <c r="CH109" s="9">
        <f t="shared" ref="CH109:CH119" si="575">CD109+CE109+CF109+CG109</f>
        <v>944</v>
      </c>
      <c r="CI109" s="8">
        <v>787</v>
      </c>
      <c r="CJ109" s="8">
        <v>1</v>
      </c>
      <c r="CK109" s="8">
        <v>5</v>
      </c>
      <c r="CL109" s="8">
        <v>2</v>
      </c>
      <c r="CM109" s="9">
        <f t="shared" ref="CM109:CM119" si="576">CI109+CJ109+CK109+CL109</f>
        <v>795</v>
      </c>
      <c r="CN109" s="8">
        <v>1033</v>
      </c>
      <c r="CO109" s="8">
        <v>37</v>
      </c>
      <c r="CP109" s="8">
        <v>101</v>
      </c>
      <c r="CQ109" s="8">
        <v>9</v>
      </c>
      <c r="CR109" s="9">
        <f t="shared" ref="CR109:CR119" si="577">CN109+CO109+CP109+CQ109</f>
        <v>1180</v>
      </c>
      <c r="CS109" s="9">
        <f t="shared" ref="CS109:CS119" si="578">CM109+CR109</f>
        <v>1975</v>
      </c>
      <c r="CT109" s="8">
        <v>2919</v>
      </c>
      <c r="CU109" s="8">
        <v>18200</v>
      </c>
      <c r="CV109" s="8">
        <v>16550</v>
      </c>
      <c r="CW109" s="10">
        <f t="shared" ref="CW109:CW119" si="579">IF(CU109=0,"",CV109/CU109)</f>
        <v>0.90934065934065933</v>
      </c>
      <c r="CX109" s="8"/>
      <c r="CY109" s="8"/>
      <c r="CZ109" s="8"/>
      <c r="DA109" s="8"/>
      <c r="DB109" s="9">
        <f t="shared" ref="DB109:DB119" si="580">CX109+CY109-CZ109-DA109</f>
        <v>0</v>
      </c>
      <c r="DC109" s="8">
        <v>0</v>
      </c>
      <c r="DD109" s="8">
        <v>0</v>
      </c>
      <c r="DE109" s="8">
        <v>0</v>
      </c>
      <c r="DF109" s="8">
        <v>0</v>
      </c>
      <c r="DG109" s="9">
        <f t="shared" ref="DG109:DG119" si="581">DC109+DD109-DE109-DF109</f>
        <v>0</v>
      </c>
      <c r="DH109" s="8">
        <v>0</v>
      </c>
      <c r="DI109" s="8">
        <v>0</v>
      </c>
      <c r="DJ109" s="8">
        <v>0</v>
      </c>
      <c r="DK109" s="8">
        <v>0</v>
      </c>
      <c r="DL109" s="9">
        <f t="shared" ref="DL109:DL119" si="582">DH109+DI109-DJ109-DK109</f>
        <v>0</v>
      </c>
      <c r="DM109" s="8">
        <v>26</v>
      </c>
      <c r="DN109" s="8">
        <v>0</v>
      </c>
      <c r="DO109" s="8">
        <v>0</v>
      </c>
      <c r="DP109" s="8">
        <v>0</v>
      </c>
      <c r="DQ109" s="9">
        <f t="shared" ref="DQ109:DQ119" si="583">DM109+DN109-DO109-DP109</f>
        <v>26</v>
      </c>
      <c r="DR109" s="9">
        <f t="shared" ref="DR109:DR119" si="584">CX109+DC109+DH109+DM109</f>
        <v>26</v>
      </c>
      <c r="DS109" s="9">
        <f t="shared" ref="DS109:DS119" si="585">CY109+DD109+DI109+DN109</f>
        <v>0</v>
      </c>
      <c r="DT109" s="9">
        <f t="shared" ref="DT109:DT119" si="586">CZ109+DE109+DJ109+DO109</f>
        <v>0</v>
      </c>
      <c r="DU109" s="9">
        <f t="shared" ref="DU109:DU119" si="587">DA109+DF109+DK109+DP109</f>
        <v>0</v>
      </c>
      <c r="DV109" s="9">
        <f t="shared" ref="DV109:DV119" si="588">DB109+DG109+DL109+DQ109</f>
        <v>26</v>
      </c>
      <c r="DW109" s="8">
        <v>87</v>
      </c>
      <c r="DX109" s="8">
        <v>40</v>
      </c>
      <c r="DY109" s="8">
        <v>23</v>
      </c>
      <c r="DZ109" s="8">
        <v>6</v>
      </c>
      <c r="EA109" s="8">
        <v>4</v>
      </c>
      <c r="EB109" s="8">
        <v>3</v>
      </c>
      <c r="EC109" s="8">
        <v>0</v>
      </c>
      <c r="ED109" s="8">
        <v>3</v>
      </c>
      <c r="EE109" s="8">
        <v>3</v>
      </c>
      <c r="EF109" s="8">
        <v>2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9">
        <f t="shared" ref="FG109:FG119" si="589">SUM(DW109,DX109,DY109,DZ109,EA109,EB109,EC109,ED109,EE109,EF109,EG109,EH109,EI109,EJ109,EK109,EL109,EM109,EN109,EO109,EP109,EQ109,ER109,ES109,ET109,EU109,EV109,EW109,EX109,EY109,EZ109,FA109,FB109,FC109,FD109,FE109,FF109)</f>
        <v>171</v>
      </c>
      <c r="FH109" s="8">
        <v>0</v>
      </c>
      <c r="FI109" s="8">
        <v>0</v>
      </c>
      <c r="FJ109" s="8">
        <v>13</v>
      </c>
      <c r="FK109" s="8">
        <v>60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9">
        <f t="shared" ref="FQ109:FQ119" si="590">FL109+FM109+FN109+FO109+FP109</f>
        <v>0</v>
      </c>
      <c r="FR109" s="8">
        <v>5256413.37</v>
      </c>
      <c r="FS109" s="8">
        <v>4000</v>
      </c>
      <c r="FT109" s="8">
        <v>23000</v>
      </c>
      <c r="FU109" s="8">
        <v>0</v>
      </c>
      <c r="FV109" s="9">
        <f t="shared" ref="FV109:FV119" si="591">FR109+FS109+FT109+FU109</f>
        <v>5283413.37</v>
      </c>
      <c r="FW109" s="8">
        <v>5084953.8600000003</v>
      </c>
      <c r="FX109" s="8">
        <v>50650</v>
      </c>
      <c r="FY109" s="8">
        <v>1301570</v>
      </c>
      <c r="FZ109" s="8">
        <v>2442850</v>
      </c>
      <c r="GA109" s="9">
        <f t="shared" ref="GA109:GA119" si="592">FW109+FX109+FY109+FZ109</f>
        <v>8880023.8599999994</v>
      </c>
      <c r="GB109" s="9">
        <f t="shared" ref="GB109:GB119" si="593">FV109+GA109</f>
        <v>14163437.23</v>
      </c>
      <c r="GC109" s="8">
        <v>4397272.95</v>
      </c>
      <c r="GD109" s="8">
        <v>2295.36</v>
      </c>
      <c r="GE109" s="8">
        <v>24383.95</v>
      </c>
      <c r="GF109" s="8">
        <v>62368.79</v>
      </c>
      <c r="GG109" s="9">
        <f t="shared" ref="GG109:GG119" si="594">GC109+GD109+GE109+GF109</f>
        <v>4486321.0500000007</v>
      </c>
      <c r="GH109" s="8">
        <v>0</v>
      </c>
      <c r="GI109" s="8">
        <v>0</v>
      </c>
      <c r="GJ109" s="8">
        <v>0</v>
      </c>
      <c r="GK109" s="8">
        <v>0</v>
      </c>
      <c r="GL109" s="9">
        <f t="shared" ref="GL109:GL119" si="595">GH109+GI109+GJ109+GK109</f>
        <v>0</v>
      </c>
      <c r="GM109" s="9">
        <f t="shared" ref="GM109:GM119" si="596">GG109+GL109</f>
        <v>4486321.0500000007</v>
      </c>
      <c r="GN109" s="8">
        <v>441190.68</v>
      </c>
      <c r="GO109" s="8">
        <v>382.56</v>
      </c>
      <c r="GP109" s="8">
        <v>3393.64</v>
      </c>
      <c r="GQ109" s="8">
        <v>23186.7</v>
      </c>
      <c r="GR109" s="9">
        <f t="shared" ref="GR109:GR119" si="597">GN109+GO109+GP109+GQ109</f>
        <v>468153.58</v>
      </c>
      <c r="GS109" s="8">
        <v>702791</v>
      </c>
      <c r="GT109" s="8">
        <v>1786</v>
      </c>
      <c r="GU109" s="8">
        <v>893</v>
      </c>
      <c r="GV109" s="8">
        <v>4465</v>
      </c>
      <c r="GW109" s="9">
        <f t="shared" ref="GW109:GW119" si="598">GS109+GT109+GU109+GV109</f>
        <v>709935</v>
      </c>
      <c r="GX109" s="9">
        <f t="shared" ref="GX109:GX119" si="599">GM109+GR109+GW109</f>
        <v>5664409.6300000008</v>
      </c>
      <c r="GY109" s="8">
        <v>56256843.880000003</v>
      </c>
      <c r="GZ109" s="8">
        <v>101473935.77</v>
      </c>
      <c r="HA109" s="9">
        <f t="shared" ref="HA109:HA119" si="600">GY109+GZ109</f>
        <v>157730779.65000001</v>
      </c>
      <c r="HB109" s="9">
        <f t="shared" ref="HB109:HB119" si="601">IF(GX109=0,"",AU109/GX109)</f>
        <v>2.4591732419429557</v>
      </c>
      <c r="HC109" s="10">
        <f t="shared" ref="HC109:HC119" si="602">IF((GX109+GY109)=0,"",GB109/(GX109+GY109))</f>
        <v>0.22873305088555207</v>
      </c>
      <c r="HD109" s="9">
        <f t="shared" ref="HD109:HD119" si="603">IF(GX109=0,"",GB109/GX109)</f>
        <v>2.5004260205665951</v>
      </c>
      <c r="HE109" s="8">
        <v>13</v>
      </c>
      <c r="HF109" s="8">
        <v>1</v>
      </c>
      <c r="HG109" s="8">
        <v>30</v>
      </c>
      <c r="HH109" s="8">
        <v>13</v>
      </c>
      <c r="HI109" s="8">
        <v>7</v>
      </c>
      <c r="HJ109" s="9">
        <f t="shared" ref="HJ109:HJ119" si="604">HF109+HI109</f>
        <v>8</v>
      </c>
      <c r="HK109" s="10">
        <f t="shared" ref="HK109:HK119" si="605">IF(HE109=0,"",HH109/HE109)</f>
        <v>1</v>
      </c>
      <c r="HL109" s="8">
        <v>15</v>
      </c>
      <c r="HM109" s="8">
        <v>15</v>
      </c>
      <c r="HN109" s="11">
        <f t="shared" ref="HN109:HN119" si="606">IF(HL109=0,"",HM109/HL109)</f>
        <v>1</v>
      </c>
    </row>
    <row r="110" spans="1:222" x14ac:dyDescent="0.3">
      <c r="A110" s="12" t="s">
        <v>280</v>
      </c>
      <c r="B110" s="12" t="s">
        <v>281</v>
      </c>
      <c r="C110" s="13" t="s">
        <v>257</v>
      </c>
      <c r="D110" s="13">
        <v>2026</v>
      </c>
      <c r="E110" s="13">
        <v>3</v>
      </c>
      <c r="F110" s="13" t="s">
        <v>273</v>
      </c>
      <c r="G110" s="13" t="s">
        <v>271</v>
      </c>
      <c r="H110" s="14">
        <v>12850</v>
      </c>
      <c r="I110" s="14">
        <v>5385</v>
      </c>
      <c r="J110" s="14">
        <v>20</v>
      </c>
      <c r="K110" s="14">
        <v>10</v>
      </c>
      <c r="L110" s="14">
        <v>31</v>
      </c>
      <c r="M110" s="15">
        <f t="shared" si="546"/>
        <v>5446</v>
      </c>
      <c r="N110" s="14">
        <v>3540</v>
      </c>
      <c r="O110" s="14">
        <v>130</v>
      </c>
      <c r="P110" s="14">
        <v>117</v>
      </c>
      <c r="Q110" s="14">
        <v>150</v>
      </c>
      <c r="R110" s="15">
        <f t="shared" si="547"/>
        <v>3937</v>
      </c>
      <c r="S110" s="15">
        <f t="shared" si="548"/>
        <v>9383</v>
      </c>
      <c r="T110" s="14">
        <v>3467</v>
      </c>
      <c r="U110" s="16">
        <f t="shared" si="549"/>
        <v>0.26980544747081714</v>
      </c>
      <c r="V110" s="14">
        <v>30</v>
      </c>
      <c r="W110" s="17">
        <f t="shared" si="550"/>
        <v>2.3346303501945525E-3</v>
      </c>
      <c r="X110" s="14">
        <v>0</v>
      </c>
      <c r="Y110" s="17">
        <f t="shared" si="551"/>
        <v>0</v>
      </c>
      <c r="Z110" s="14">
        <v>0</v>
      </c>
      <c r="AA110" s="17">
        <f t="shared" si="552"/>
        <v>0</v>
      </c>
      <c r="AB110" s="14">
        <v>0</v>
      </c>
      <c r="AC110" s="17">
        <f t="shared" si="553"/>
        <v>0</v>
      </c>
      <c r="AD110" s="14">
        <v>0</v>
      </c>
      <c r="AE110" s="17">
        <f t="shared" si="554"/>
        <v>0</v>
      </c>
      <c r="AF110" s="14">
        <v>0</v>
      </c>
      <c r="AG110" s="17">
        <f t="shared" si="555"/>
        <v>0</v>
      </c>
      <c r="AH110" s="14">
        <v>153350.1</v>
      </c>
      <c r="AI110" s="15">
        <f t="shared" si="556"/>
        <v>11.933859922178989</v>
      </c>
      <c r="AJ110" s="14">
        <v>6670</v>
      </c>
      <c r="AK110" s="17">
        <f t="shared" si="557"/>
        <v>0.51906614785992222</v>
      </c>
      <c r="AL110" s="14">
        <v>16426.5</v>
      </c>
      <c r="AM110" s="15">
        <f t="shared" si="558"/>
        <v>1.2783268482490273</v>
      </c>
      <c r="AN110" s="14">
        <v>0</v>
      </c>
      <c r="AO110" s="14">
        <v>0</v>
      </c>
      <c r="AP110" s="14">
        <v>0</v>
      </c>
      <c r="AQ110" s="14">
        <v>0</v>
      </c>
      <c r="AR110" s="14">
        <v>8017685.2600000007</v>
      </c>
      <c r="AS110" s="14">
        <v>0</v>
      </c>
      <c r="AT110" s="14">
        <v>0</v>
      </c>
      <c r="AU110" s="15">
        <f t="shared" si="559"/>
        <v>8187461.8600000003</v>
      </c>
      <c r="AV110" s="15">
        <f t="shared" si="560"/>
        <v>637.15656498054477</v>
      </c>
      <c r="AW110" s="15">
        <f t="shared" si="561"/>
        <v>872.58465949056813</v>
      </c>
      <c r="AX110" s="14">
        <v>7</v>
      </c>
      <c r="AY110" s="15">
        <f t="shared" si="562"/>
        <v>6.536964980544747</v>
      </c>
      <c r="AZ110" s="14">
        <v>15</v>
      </c>
      <c r="BA110" s="14">
        <v>38</v>
      </c>
      <c r="BB110" s="14">
        <v>4</v>
      </c>
      <c r="BC110" s="14">
        <v>0</v>
      </c>
      <c r="BD110" s="14">
        <v>20</v>
      </c>
      <c r="BE110" s="15">
        <f t="shared" si="563"/>
        <v>20</v>
      </c>
      <c r="BF110" s="15">
        <f t="shared" si="564"/>
        <v>22</v>
      </c>
      <c r="BG110" s="14">
        <v>0</v>
      </c>
      <c r="BH110" s="14">
        <v>0</v>
      </c>
      <c r="BI110" s="14">
        <v>0</v>
      </c>
      <c r="BJ110" s="14">
        <v>0</v>
      </c>
      <c r="BK110" s="15">
        <f t="shared" si="565"/>
        <v>0</v>
      </c>
      <c r="BL110" s="15">
        <f t="shared" si="566"/>
        <v>0</v>
      </c>
      <c r="BM110" s="14">
        <v>0</v>
      </c>
      <c r="BN110" s="14">
        <v>0</v>
      </c>
      <c r="BO110" s="14">
        <v>0</v>
      </c>
      <c r="BP110" s="14">
        <v>0</v>
      </c>
      <c r="BQ110" s="15">
        <f t="shared" si="567"/>
        <v>0</v>
      </c>
      <c r="BR110" s="15">
        <f t="shared" si="568"/>
        <v>0</v>
      </c>
      <c r="BS110" s="14">
        <v>0</v>
      </c>
      <c r="BT110" s="14">
        <v>0</v>
      </c>
      <c r="BU110" s="14">
        <v>0</v>
      </c>
      <c r="BV110" s="14">
        <v>0</v>
      </c>
      <c r="BW110" s="15">
        <f t="shared" si="569"/>
        <v>0</v>
      </c>
      <c r="BX110" s="15">
        <f t="shared" si="570"/>
        <v>0</v>
      </c>
      <c r="BY110" s="15">
        <f t="shared" si="571"/>
        <v>38</v>
      </c>
      <c r="BZ110" s="15">
        <f t="shared" si="572"/>
        <v>4</v>
      </c>
      <c r="CA110" s="15">
        <f t="shared" si="573"/>
        <v>20</v>
      </c>
      <c r="CB110" s="15">
        <f t="shared" si="574"/>
        <v>22</v>
      </c>
      <c r="CC110" s="14">
        <v>20</v>
      </c>
      <c r="CD110" s="14">
        <v>893</v>
      </c>
      <c r="CE110" s="14">
        <v>11</v>
      </c>
      <c r="CF110" s="14">
        <v>17</v>
      </c>
      <c r="CG110" s="14">
        <v>23</v>
      </c>
      <c r="CH110" s="15">
        <f t="shared" si="575"/>
        <v>944</v>
      </c>
      <c r="CI110" s="14">
        <v>783</v>
      </c>
      <c r="CJ110" s="14">
        <v>1</v>
      </c>
      <c r="CK110" s="14">
        <v>5</v>
      </c>
      <c r="CL110" s="14">
        <v>2</v>
      </c>
      <c r="CM110" s="15">
        <f t="shared" si="576"/>
        <v>791</v>
      </c>
      <c r="CN110" s="14">
        <v>1050</v>
      </c>
      <c r="CO110" s="14">
        <v>37</v>
      </c>
      <c r="CP110" s="14">
        <v>107</v>
      </c>
      <c r="CQ110" s="14">
        <v>10</v>
      </c>
      <c r="CR110" s="15">
        <f t="shared" si="577"/>
        <v>1204</v>
      </c>
      <c r="CS110" s="15">
        <f t="shared" si="578"/>
        <v>1995</v>
      </c>
      <c r="CT110" s="14">
        <v>2939</v>
      </c>
      <c r="CU110" s="14">
        <v>18200</v>
      </c>
      <c r="CV110" s="14">
        <v>16550</v>
      </c>
      <c r="CW110" s="16">
        <f t="shared" si="579"/>
        <v>0.90934065934065933</v>
      </c>
      <c r="CX110" s="14"/>
      <c r="CY110" s="14"/>
      <c r="CZ110" s="14"/>
      <c r="DA110" s="14"/>
      <c r="DB110" s="15">
        <f t="shared" si="580"/>
        <v>0</v>
      </c>
      <c r="DC110" s="14">
        <v>0</v>
      </c>
      <c r="DD110" s="14">
        <v>0</v>
      </c>
      <c r="DE110" s="14">
        <v>0</v>
      </c>
      <c r="DF110" s="14">
        <v>0</v>
      </c>
      <c r="DG110" s="15">
        <f t="shared" si="581"/>
        <v>0</v>
      </c>
      <c r="DH110" s="14">
        <v>0</v>
      </c>
      <c r="DI110" s="14">
        <v>0</v>
      </c>
      <c r="DJ110" s="14">
        <v>0</v>
      </c>
      <c r="DK110" s="14">
        <v>0</v>
      </c>
      <c r="DL110" s="15">
        <f t="shared" si="582"/>
        <v>0</v>
      </c>
      <c r="DM110" s="14">
        <v>26</v>
      </c>
      <c r="DN110" s="14">
        <v>34</v>
      </c>
      <c r="DO110" s="14">
        <v>20</v>
      </c>
      <c r="DP110" s="14">
        <v>0</v>
      </c>
      <c r="DQ110" s="15">
        <f t="shared" si="583"/>
        <v>40</v>
      </c>
      <c r="DR110" s="15">
        <f t="shared" si="584"/>
        <v>26</v>
      </c>
      <c r="DS110" s="15">
        <f t="shared" si="585"/>
        <v>34</v>
      </c>
      <c r="DT110" s="15">
        <f t="shared" si="586"/>
        <v>20</v>
      </c>
      <c r="DU110" s="15">
        <f t="shared" si="587"/>
        <v>0</v>
      </c>
      <c r="DV110" s="15">
        <f t="shared" si="588"/>
        <v>40</v>
      </c>
      <c r="DW110" s="14">
        <v>59</v>
      </c>
      <c r="DX110" s="14">
        <v>57</v>
      </c>
      <c r="DY110" s="14">
        <v>17</v>
      </c>
      <c r="DZ110" s="14">
        <v>5</v>
      </c>
      <c r="EA110" s="14">
        <v>9</v>
      </c>
      <c r="EB110" s="14">
        <v>4</v>
      </c>
      <c r="EC110" s="14">
        <v>0</v>
      </c>
      <c r="ED110" s="14">
        <v>0</v>
      </c>
      <c r="EE110" s="14">
        <v>1</v>
      </c>
      <c r="EF110" s="14">
        <v>1</v>
      </c>
      <c r="EG110" s="14">
        <v>0</v>
      </c>
      <c r="EH110" s="14">
        <v>0</v>
      </c>
      <c r="EI110" s="14">
        <v>0</v>
      </c>
      <c r="EJ110" s="14">
        <v>0</v>
      </c>
      <c r="EK110" s="14">
        <v>0</v>
      </c>
      <c r="EL110" s="14">
        <v>0</v>
      </c>
      <c r="EM110" s="14">
        <v>0</v>
      </c>
      <c r="EN110" s="14">
        <v>0</v>
      </c>
      <c r="EO110" s="14">
        <v>0</v>
      </c>
      <c r="EP110" s="14">
        <v>0</v>
      </c>
      <c r="EQ110" s="14">
        <v>0</v>
      </c>
      <c r="ER110" s="14">
        <v>0</v>
      </c>
      <c r="ES110" s="14">
        <v>0</v>
      </c>
      <c r="ET110" s="14">
        <v>0</v>
      </c>
      <c r="EU110" s="14">
        <v>0</v>
      </c>
      <c r="EV110" s="14">
        <v>0</v>
      </c>
      <c r="EW110" s="14">
        <v>0</v>
      </c>
      <c r="EX110" s="14">
        <v>0</v>
      </c>
      <c r="EY110" s="14">
        <v>0</v>
      </c>
      <c r="EZ110" s="14">
        <v>0</v>
      </c>
      <c r="FA110" s="14">
        <v>0</v>
      </c>
      <c r="FB110" s="14">
        <v>0</v>
      </c>
      <c r="FC110" s="14">
        <v>0</v>
      </c>
      <c r="FD110" s="14">
        <v>0</v>
      </c>
      <c r="FE110" s="14">
        <v>0</v>
      </c>
      <c r="FF110" s="14">
        <v>0</v>
      </c>
      <c r="FG110" s="15">
        <f t="shared" si="589"/>
        <v>153</v>
      </c>
      <c r="FH110" s="14">
        <v>0</v>
      </c>
      <c r="FI110" s="14">
        <v>0</v>
      </c>
      <c r="FJ110" s="14">
        <v>13</v>
      </c>
      <c r="FK110" s="14">
        <v>48</v>
      </c>
      <c r="FL110" s="14">
        <v>0</v>
      </c>
      <c r="FM110" s="14">
        <v>0</v>
      </c>
      <c r="FN110" s="14">
        <v>0</v>
      </c>
      <c r="FO110" s="14">
        <v>0</v>
      </c>
      <c r="FP110" s="14">
        <v>0</v>
      </c>
      <c r="FQ110" s="15">
        <f t="shared" si="590"/>
        <v>0</v>
      </c>
      <c r="FR110" s="14">
        <v>4371975.17</v>
      </c>
      <c r="FS110" s="14">
        <v>6000</v>
      </c>
      <c r="FT110" s="14">
        <v>31500</v>
      </c>
      <c r="FU110" s="14">
        <v>74373000</v>
      </c>
      <c r="FV110" s="15">
        <f t="shared" si="591"/>
        <v>78782475.170000002</v>
      </c>
      <c r="FW110" s="14">
        <v>4625881</v>
      </c>
      <c r="FX110" s="14">
        <v>27700</v>
      </c>
      <c r="FY110" s="14">
        <v>725300</v>
      </c>
      <c r="FZ110" s="14">
        <v>356450</v>
      </c>
      <c r="GA110" s="15">
        <f t="shared" si="592"/>
        <v>5735331</v>
      </c>
      <c r="GB110" s="15">
        <f t="shared" si="593"/>
        <v>84517806.170000002</v>
      </c>
      <c r="GC110" s="14">
        <v>4818809.09</v>
      </c>
      <c r="GD110" s="14">
        <v>3825.6</v>
      </c>
      <c r="GE110" s="14">
        <v>24383.95</v>
      </c>
      <c r="GF110" s="14">
        <v>84104.59</v>
      </c>
      <c r="GG110" s="15">
        <f t="shared" si="594"/>
        <v>4931123.2299999995</v>
      </c>
      <c r="GH110" s="14">
        <v>0</v>
      </c>
      <c r="GI110" s="14">
        <v>0</v>
      </c>
      <c r="GJ110" s="14">
        <v>0</v>
      </c>
      <c r="GK110" s="14">
        <v>0</v>
      </c>
      <c r="GL110" s="15">
        <f t="shared" si="595"/>
        <v>0</v>
      </c>
      <c r="GM110" s="15">
        <f t="shared" si="596"/>
        <v>4931123.2299999995</v>
      </c>
      <c r="GN110" s="14">
        <v>439010.96</v>
      </c>
      <c r="GO110" s="14">
        <v>382.56</v>
      </c>
      <c r="GP110" s="14">
        <v>3393.64</v>
      </c>
      <c r="GQ110" s="14">
        <v>23186.7</v>
      </c>
      <c r="GR110" s="15">
        <f t="shared" si="597"/>
        <v>465973.86000000004</v>
      </c>
      <c r="GS110" s="14">
        <v>701898</v>
      </c>
      <c r="GT110" s="14">
        <v>1786</v>
      </c>
      <c r="GU110" s="14">
        <v>893</v>
      </c>
      <c r="GV110" s="14">
        <v>4465</v>
      </c>
      <c r="GW110" s="15">
        <f t="shared" si="598"/>
        <v>709042</v>
      </c>
      <c r="GX110" s="15">
        <f t="shared" si="599"/>
        <v>6106139.0899999999</v>
      </c>
      <c r="GY110" s="14">
        <v>45433786.009999998</v>
      </c>
      <c r="GZ110" s="14">
        <v>27100935.77</v>
      </c>
      <c r="HA110" s="15">
        <f t="shared" si="600"/>
        <v>72534721.780000001</v>
      </c>
      <c r="HB110" s="15">
        <f t="shared" si="601"/>
        <v>1.3408574124046035</v>
      </c>
      <c r="HC110" s="16">
        <f t="shared" si="602"/>
        <v>1.6398511640444742</v>
      </c>
      <c r="HD110" s="15">
        <f t="shared" si="603"/>
        <v>13.841447914020577</v>
      </c>
      <c r="HE110" s="14">
        <v>4</v>
      </c>
      <c r="HF110" s="14">
        <v>4</v>
      </c>
      <c r="HG110" s="14">
        <v>14</v>
      </c>
      <c r="HH110" s="14">
        <v>38</v>
      </c>
      <c r="HI110" s="14">
        <v>7</v>
      </c>
      <c r="HJ110" s="15">
        <f t="shared" si="604"/>
        <v>11</v>
      </c>
      <c r="HK110" s="16">
        <f t="shared" si="605"/>
        <v>9.5</v>
      </c>
      <c r="HL110" s="14">
        <v>20</v>
      </c>
      <c r="HM110" s="14">
        <v>10</v>
      </c>
      <c r="HN110" s="17">
        <f t="shared" si="606"/>
        <v>0.5</v>
      </c>
    </row>
    <row r="111" spans="1:222" x14ac:dyDescent="0.3">
      <c r="A111" s="6" t="s">
        <v>280</v>
      </c>
      <c r="B111" s="6" t="s">
        <v>282</v>
      </c>
      <c r="C111" s="7" t="s">
        <v>257</v>
      </c>
      <c r="D111" s="7">
        <v>2025</v>
      </c>
      <c r="E111" s="7">
        <v>4</v>
      </c>
      <c r="F111" s="7" t="s">
        <v>258</v>
      </c>
      <c r="G111" s="7" t="s">
        <v>259</v>
      </c>
      <c r="H111" s="8">
        <v>19876</v>
      </c>
      <c r="I111" s="8">
        <v>461</v>
      </c>
      <c r="J111" s="8">
        <v>0</v>
      </c>
      <c r="K111" s="8">
        <v>15</v>
      </c>
      <c r="L111" s="8">
        <v>7</v>
      </c>
      <c r="M111" s="9">
        <f t="shared" si="546"/>
        <v>483</v>
      </c>
      <c r="N111" s="8">
        <v>1470</v>
      </c>
      <c r="O111" s="8">
        <v>0</v>
      </c>
      <c r="P111" s="8">
        <v>12034</v>
      </c>
      <c r="Q111" s="8">
        <v>1524</v>
      </c>
      <c r="R111" s="9">
        <f t="shared" si="547"/>
        <v>15028</v>
      </c>
      <c r="S111" s="9">
        <f t="shared" si="548"/>
        <v>15511</v>
      </c>
      <c r="T111" s="8">
        <v>4365</v>
      </c>
      <c r="U111" s="10">
        <f t="shared" si="549"/>
        <v>0.21961159186959148</v>
      </c>
      <c r="V111" s="8">
        <v>20</v>
      </c>
      <c r="W111" s="11">
        <f t="shared" si="550"/>
        <v>1.006238679814852E-3</v>
      </c>
      <c r="X111" s="8">
        <v>0</v>
      </c>
      <c r="Y111" s="11">
        <f t="shared" si="551"/>
        <v>0</v>
      </c>
      <c r="Z111" s="8">
        <v>0</v>
      </c>
      <c r="AA111" s="11">
        <f t="shared" si="552"/>
        <v>0</v>
      </c>
      <c r="AB111" s="8">
        <v>0</v>
      </c>
      <c r="AC111" s="11">
        <f t="shared" si="553"/>
        <v>0</v>
      </c>
      <c r="AD111" s="8">
        <v>0</v>
      </c>
      <c r="AE111" s="11">
        <f t="shared" si="554"/>
        <v>0</v>
      </c>
      <c r="AF111" s="8">
        <v>0</v>
      </c>
      <c r="AG111" s="11">
        <f t="shared" si="555"/>
        <v>0</v>
      </c>
      <c r="AH111" s="8">
        <v>102233.4</v>
      </c>
      <c r="AI111" s="9">
        <f t="shared" si="556"/>
        <v>5.1435600724491843</v>
      </c>
      <c r="AJ111" s="8">
        <v>14230</v>
      </c>
      <c r="AK111" s="11">
        <f t="shared" si="557"/>
        <v>0.71593882068826731</v>
      </c>
      <c r="AL111" s="8">
        <v>1990860.345</v>
      </c>
      <c r="AM111" s="9">
        <f t="shared" si="558"/>
        <v>100.16403426242705</v>
      </c>
      <c r="AN111" s="8">
        <v>0</v>
      </c>
      <c r="AO111" s="8">
        <v>0</v>
      </c>
      <c r="AP111" s="8">
        <v>0</v>
      </c>
      <c r="AQ111" s="8">
        <v>0</v>
      </c>
      <c r="AR111" s="8">
        <v>9374634.6899999995</v>
      </c>
      <c r="AS111" s="8">
        <v>678461.84</v>
      </c>
      <c r="AT111" s="8">
        <v>8284025</v>
      </c>
      <c r="AU111" s="9">
        <f t="shared" si="559"/>
        <v>20430215.274999999</v>
      </c>
      <c r="AV111" s="9">
        <f t="shared" si="560"/>
        <v>1027.8836423324612</v>
      </c>
      <c r="AW111" s="9">
        <f t="shared" si="561"/>
        <v>1317.1436577267746</v>
      </c>
      <c r="AX111" s="8">
        <v>4</v>
      </c>
      <c r="AY111" s="9">
        <f t="shared" si="562"/>
        <v>2.4149728315556449</v>
      </c>
      <c r="AZ111" s="8">
        <v>7</v>
      </c>
      <c r="BA111" s="8">
        <v>5</v>
      </c>
      <c r="BB111" s="8">
        <v>0</v>
      </c>
      <c r="BC111" s="8">
        <v>0</v>
      </c>
      <c r="BD111" s="8">
        <v>0</v>
      </c>
      <c r="BE111" s="9">
        <f t="shared" si="563"/>
        <v>0</v>
      </c>
      <c r="BF111" s="9">
        <f t="shared" si="564"/>
        <v>5</v>
      </c>
      <c r="BG111" s="8">
        <v>0</v>
      </c>
      <c r="BH111" s="8">
        <v>0</v>
      </c>
      <c r="BI111" s="8">
        <v>0</v>
      </c>
      <c r="BJ111" s="8">
        <v>0</v>
      </c>
      <c r="BK111" s="9">
        <f t="shared" si="565"/>
        <v>0</v>
      </c>
      <c r="BL111" s="9">
        <f t="shared" si="566"/>
        <v>0</v>
      </c>
      <c r="BM111" s="8">
        <v>0</v>
      </c>
      <c r="BN111" s="8">
        <v>0</v>
      </c>
      <c r="BO111" s="8">
        <v>0</v>
      </c>
      <c r="BP111" s="8">
        <v>0</v>
      </c>
      <c r="BQ111" s="9">
        <f t="shared" si="567"/>
        <v>0</v>
      </c>
      <c r="BR111" s="9">
        <f t="shared" si="568"/>
        <v>0</v>
      </c>
      <c r="BS111" s="8">
        <v>0</v>
      </c>
      <c r="BT111" s="8">
        <v>0</v>
      </c>
      <c r="BU111" s="8">
        <v>0</v>
      </c>
      <c r="BV111" s="8">
        <v>0</v>
      </c>
      <c r="BW111" s="9">
        <f t="shared" si="569"/>
        <v>0</v>
      </c>
      <c r="BX111" s="9">
        <f t="shared" si="570"/>
        <v>0</v>
      </c>
      <c r="BY111" s="9">
        <f t="shared" si="571"/>
        <v>5</v>
      </c>
      <c r="BZ111" s="9">
        <f t="shared" si="572"/>
        <v>0</v>
      </c>
      <c r="CA111" s="9">
        <f t="shared" si="573"/>
        <v>0</v>
      </c>
      <c r="CB111" s="9">
        <f t="shared" si="574"/>
        <v>5</v>
      </c>
      <c r="CC111" s="8">
        <v>23</v>
      </c>
      <c r="CD111" s="8">
        <v>3</v>
      </c>
      <c r="CE111" s="8">
        <v>0</v>
      </c>
      <c r="CF111" s="8">
        <v>0</v>
      </c>
      <c r="CG111" s="8">
        <v>0</v>
      </c>
      <c r="CH111" s="9">
        <f t="shared" si="575"/>
        <v>3</v>
      </c>
      <c r="CI111" s="8">
        <v>40</v>
      </c>
      <c r="CJ111" s="8">
        <v>2</v>
      </c>
      <c r="CK111" s="8">
        <v>1</v>
      </c>
      <c r="CL111" s="8">
        <v>0</v>
      </c>
      <c r="CM111" s="9">
        <f t="shared" si="576"/>
        <v>43</v>
      </c>
      <c r="CN111" s="8">
        <v>205</v>
      </c>
      <c r="CO111" s="8">
        <v>9</v>
      </c>
      <c r="CP111" s="8">
        <v>11</v>
      </c>
      <c r="CQ111" s="8">
        <v>0</v>
      </c>
      <c r="CR111" s="9">
        <f t="shared" si="577"/>
        <v>225</v>
      </c>
      <c r="CS111" s="9">
        <f t="shared" si="578"/>
        <v>268</v>
      </c>
      <c r="CT111" s="8">
        <v>271</v>
      </c>
      <c r="CU111" s="8">
        <v>4359</v>
      </c>
      <c r="CV111" s="8">
        <v>4095</v>
      </c>
      <c r="CW111" s="10">
        <f t="shared" si="579"/>
        <v>0.93943565037852717</v>
      </c>
      <c r="CX111" s="8">
        <v>0</v>
      </c>
      <c r="CY111" s="8">
        <v>0</v>
      </c>
      <c r="CZ111" s="8">
        <v>0</v>
      </c>
      <c r="DA111" s="8">
        <v>0</v>
      </c>
      <c r="DB111" s="9">
        <f t="shared" si="580"/>
        <v>0</v>
      </c>
      <c r="DC111" s="8">
        <v>0</v>
      </c>
      <c r="DD111" s="8">
        <v>0</v>
      </c>
      <c r="DE111" s="8">
        <v>0</v>
      </c>
      <c r="DF111" s="8">
        <v>0</v>
      </c>
      <c r="DG111" s="9">
        <f t="shared" si="581"/>
        <v>0</v>
      </c>
      <c r="DH111" s="8">
        <v>0</v>
      </c>
      <c r="DI111" s="8">
        <v>0</v>
      </c>
      <c r="DJ111" s="8">
        <v>0</v>
      </c>
      <c r="DK111" s="8">
        <v>0</v>
      </c>
      <c r="DL111" s="9">
        <f t="shared" si="582"/>
        <v>0</v>
      </c>
      <c r="DM111" s="8">
        <v>0</v>
      </c>
      <c r="DN111" s="8">
        <v>0</v>
      </c>
      <c r="DO111" s="8">
        <v>0</v>
      </c>
      <c r="DP111" s="8">
        <v>0</v>
      </c>
      <c r="DQ111" s="9">
        <f t="shared" si="583"/>
        <v>0</v>
      </c>
      <c r="DR111" s="9">
        <f t="shared" si="584"/>
        <v>0</v>
      </c>
      <c r="DS111" s="9">
        <f t="shared" si="585"/>
        <v>0</v>
      </c>
      <c r="DT111" s="9">
        <f t="shared" si="586"/>
        <v>0</v>
      </c>
      <c r="DU111" s="9">
        <f t="shared" si="587"/>
        <v>0</v>
      </c>
      <c r="DV111" s="9">
        <f t="shared" si="588"/>
        <v>0</v>
      </c>
      <c r="DW111" s="8">
        <v>7</v>
      </c>
      <c r="DX111" s="8">
        <v>7</v>
      </c>
      <c r="DY111" s="8">
        <v>2</v>
      </c>
      <c r="DZ111" s="8">
        <v>2</v>
      </c>
      <c r="EA111" s="8">
        <v>0</v>
      </c>
      <c r="EB111" s="8">
        <v>0</v>
      </c>
      <c r="EC111" s="8">
        <v>0</v>
      </c>
      <c r="ED111" s="8">
        <v>0</v>
      </c>
      <c r="EE111" s="8">
        <v>1</v>
      </c>
      <c r="EF111" s="8">
        <v>1</v>
      </c>
      <c r="EG111" s="8">
        <v>0</v>
      </c>
      <c r="EH111" s="8">
        <v>0</v>
      </c>
      <c r="EI111" s="8">
        <v>0</v>
      </c>
      <c r="EJ111" s="8">
        <v>0</v>
      </c>
      <c r="EK111" s="8">
        <v>0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</v>
      </c>
      <c r="ET111" s="8">
        <v>0</v>
      </c>
      <c r="EU111" s="8">
        <v>0</v>
      </c>
      <c r="EV111" s="8">
        <v>0</v>
      </c>
      <c r="EW111" s="8">
        <v>0</v>
      </c>
      <c r="EX111" s="8">
        <v>0</v>
      </c>
      <c r="EY111" s="8">
        <v>0</v>
      </c>
      <c r="EZ111" s="8">
        <v>0</v>
      </c>
      <c r="FA111" s="8">
        <v>0</v>
      </c>
      <c r="FB111" s="8">
        <v>0</v>
      </c>
      <c r="FC111" s="8">
        <v>0</v>
      </c>
      <c r="FD111" s="8">
        <v>0</v>
      </c>
      <c r="FE111" s="8">
        <v>0</v>
      </c>
      <c r="FF111" s="8">
        <v>0</v>
      </c>
      <c r="FG111" s="9">
        <f t="shared" si="589"/>
        <v>20</v>
      </c>
      <c r="FH111" s="8">
        <v>4</v>
      </c>
      <c r="FI111" s="8">
        <v>28</v>
      </c>
      <c r="FJ111" s="8">
        <v>24</v>
      </c>
      <c r="FK111" s="8">
        <v>4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9">
        <f t="shared" si="590"/>
        <v>0</v>
      </c>
      <c r="FR111" s="8">
        <v>107000</v>
      </c>
      <c r="FS111" s="8">
        <v>0</v>
      </c>
      <c r="FT111" s="8">
        <v>0</v>
      </c>
      <c r="FU111" s="8">
        <v>0</v>
      </c>
      <c r="FV111" s="9">
        <f t="shared" si="591"/>
        <v>107000</v>
      </c>
      <c r="FW111" s="8">
        <v>2179876</v>
      </c>
      <c r="FX111" s="8">
        <v>2179876</v>
      </c>
      <c r="FY111" s="8">
        <v>7204728.0899999999</v>
      </c>
      <c r="FZ111" s="8">
        <v>35046800</v>
      </c>
      <c r="GA111" s="9">
        <f t="shared" si="592"/>
        <v>46611280.090000004</v>
      </c>
      <c r="GB111" s="9">
        <f t="shared" si="593"/>
        <v>46718280.090000004</v>
      </c>
      <c r="GC111" s="8">
        <v>417417.08</v>
      </c>
      <c r="GD111" s="8">
        <v>417417.08</v>
      </c>
      <c r="GE111" s="8">
        <v>35803.19</v>
      </c>
      <c r="GF111" s="8">
        <v>18567.91</v>
      </c>
      <c r="GG111" s="9">
        <f t="shared" si="594"/>
        <v>889205.26000000013</v>
      </c>
      <c r="GH111" s="8">
        <v>0</v>
      </c>
      <c r="GI111" s="8">
        <v>0</v>
      </c>
      <c r="GJ111" s="8">
        <v>0</v>
      </c>
      <c r="GK111" s="8">
        <v>0</v>
      </c>
      <c r="GL111" s="9">
        <f t="shared" si="595"/>
        <v>0</v>
      </c>
      <c r="GM111" s="9">
        <f t="shared" si="596"/>
        <v>889205.26000000013</v>
      </c>
      <c r="GN111" s="8">
        <v>28336.36</v>
      </c>
      <c r="GO111" s="8">
        <v>28336.36</v>
      </c>
      <c r="GP111" s="8">
        <v>6787.28</v>
      </c>
      <c r="GQ111" s="8">
        <v>4637.34</v>
      </c>
      <c r="GR111" s="9">
        <f t="shared" si="597"/>
        <v>68097.34</v>
      </c>
      <c r="GS111" s="8">
        <v>46436</v>
      </c>
      <c r="GT111" s="8">
        <v>46436</v>
      </c>
      <c r="GU111" s="8">
        <v>1786</v>
      </c>
      <c r="GV111" s="8">
        <v>893</v>
      </c>
      <c r="GW111" s="9">
        <f t="shared" si="598"/>
        <v>95551</v>
      </c>
      <c r="GX111" s="9">
        <f t="shared" si="599"/>
        <v>1052853.6000000001</v>
      </c>
      <c r="GY111" s="8">
        <v>11649071.9</v>
      </c>
      <c r="GZ111" s="8">
        <v>-21498738.829999998</v>
      </c>
      <c r="HA111" s="9">
        <f t="shared" si="600"/>
        <v>-9849666.9299999978</v>
      </c>
      <c r="HB111" s="9">
        <f t="shared" si="601"/>
        <v>19.404611690552226</v>
      </c>
      <c r="HC111" s="10">
        <f t="shared" si="602"/>
        <v>3.6780470874278079</v>
      </c>
      <c r="HD111" s="9">
        <f t="shared" si="603"/>
        <v>44.373006930878141</v>
      </c>
      <c r="HE111" s="8">
        <v>0</v>
      </c>
      <c r="HF111" s="8">
        <v>1</v>
      </c>
      <c r="HG111" s="8">
        <v>5</v>
      </c>
      <c r="HH111" s="8">
        <v>0</v>
      </c>
      <c r="HI111" s="8">
        <v>5</v>
      </c>
      <c r="HJ111" s="9">
        <f t="shared" si="604"/>
        <v>6</v>
      </c>
      <c r="HK111" s="10" t="str">
        <f t="shared" si="605"/>
        <v/>
      </c>
      <c r="HL111" s="8">
        <v>5</v>
      </c>
      <c r="HM111" s="8">
        <v>2</v>
      </c>
      <c r="HN111" s="11">
        <f t="shared" si="606"/>
        <v>0.4</v>
      </c>
    </row>
    <row r="112" spans="1:222" x14ac:dyDescent="0.3">
      <c r="A112" s="12" t="s">
        <v>280</v>
      </c>
      <c r="B112" s="12" t="s">
        <v>282</v>
      </c>
      <c r="C112" s="13" t="s">
        <v>257</v>
      </c>
      <c r="D112" s="13">
        <v>2025</v>
      </c>
      <c r="E112" s="13">
        <v>5</v>
      </c>
      <c r="F112" s="13" t="s">
        <v>260</v>
      </c>
      <c r="G112" s="13" t="s">
        <v>259</v>
      </c>
      <c r="H112" s="14">
        <v>26744</v>
      </c>
      <c r="I112" s="14">
        <v>345</v>
      </c>
      <c r="J112" s="14">
        <v>0</v>
      </c>
      <c r="K112" s="14">
        <v>23</v>
      </c>
      <c r="L112" s="14">
        <v>0</v>
      </c>
      <c r="M112" s="15">
        <f t="shared" si="546"/>
        <v>368</v>
      </c>
      <c r="N112" s="14">
        <v>4255</v>
      </c>
      <c r="O112" s="14">
        <v>0</v>
      </c>
      <c r="P112" s="14">
        <v>16628</v>
      </c>
      <c r="Q112" s="14">
        <v>797</v>
      </c>
      <c r="R112" s="15">
        <f t="shared" si="547"/>
        <v>21680</v>
      </c>
      <c r="S112" s="15">
        <f t="shared" si="548"/>
        <v>22048</v>
      </c>
      <c r="T112" s="14">
        <v>4696</v>
      </c>
      <c r="U112" s="16">
        <f t="shared" si="549"/>
        <v>0.1755907867185163</v>
      </c>
      <c r="V112" s="14">
        <v>22</v>
      </c>
      <c r="W112" s="17">
        <f t="shared" si="550"/>
        <v>8.2261441818725701E-4</v>
      </c>
      <c r="X112" s="14">
        <v>0</v>
      </c>
      <c r="Y112" s="17">
        <f t="shared" si="551"/>
        <v>0</v>
      </c>
      <c r="Z112" s="14">
        <v>0</v>
      </c>
      <c r="AA112" s="17">
        <f t="shared" si="552"/>
        <v>0</v>
      </c>
      <c r="AB112" s="14">
        <v>0</v>
      </c>
      <c r="AC112" s="17">
        <f t="shared" si="553"/>
        <v>0</v>
      </c>
      <c r="AD112" s="14">
        <v>0</v>
      </c>
      <c r="AE112" s="17">
        <f t="shared" si="554"/>
        <v>0</v>
      </c>
      <c r="AF112" s="14">
        <v>0</v>
      </c>
      <c r="AG112" s="17">
        <f t="shared" si="555"/>
        <v>0</v>
      </c>
      <c r="AH112" s="14">
        <v>112456.74</v>
      </c>
      <c r="AI112" s="15">
        <f t="shared" si="556"/>
        <v>4.2049334430152561</v>
      </c>
      <c r="AJ112" s="14">
        <v>14230</v>
      </c>
      <c r="AK112" s="17">
        <f t="shared" si="557"/>
        <v>0.53208196230930305</v>
      </c>
      <c r="AL112" s="14">
        <v>1990860.345</v>
      </c>
      <c r="AM112" s="15">
        <f t="shared" si="558"/>
        <v>74.441382927011659</v>
      </c>
      <c r="AN112" s="14">
        <v>0</v>
      </c>
      <c r="AO112" s="14">
        <v>0</v>
      </c>
      <c r="AP112" s="14">
        <v>0</v>
      </c>
      <c r="AQ112" s="14">
        <v>0</v>
      </c>
      <c r="AR112" s="14">
        <v>9288175.9000000004</v>
      </c>
      <c r="AS112" s="14">
        <v>688846.46</v>
      </c>
      <c r="AT112" s="14">
        <v>2547370.02</v>
      </c>
      <c r="AU112" s="15">
        <f t="shared" si="559"/>
        <v>14627709.465</v>
      </c>
      <c r="AV112" s="15">
        <f t="shared" si="560"/>
        <v>546.95294140741851</v>
      </c>
      <c r="AW112" s="15">
        <f t="shared" si="561"/>
        <v>663.44836107583455</v>
      </c>
      <c r="AX112" s="14">
        <v>4</v>
      </c>
      <c r="AY112" s="15">
        <f t="shared" si="562"/>
        <v>1.7947950942267423</v>
      </c>
      <c r="AZ112" s="14">
        <v>7</v>
      </c>
      <c r="BA112" s="14">
        <v>6</v>
      </c>
      <c r="BB112" s="14">
        <v>1</v>
      </c>
      <c r="BC112" s="14">
        <v>0</v>
      </c>
      <c r="BD112" s="14">
        <v>0</v>
      </c>
      <c r="BE112" s="15">
        <f t="shared" si="563"/>
        <v>0</v>
      </c>
      <c r="BF112" s="15">
        <f t="shared" si="564"/>
        <v>7</v>
      </c>
      <c r="BG112" s="14">
        <v>0</v>
      </c>
      <c r="BH112" s="14">
        <v>0</v>
      </c>
      <c r="BI112" s="14">
        <v>0</v>
      </c>
      <c r="BJ112" s="14">
        <v>0</v>
      </c>
      <c r="BK112" s="15">
        <f t="shared" si="565"/>
        <v>0</v>
      </c>
      <c r="BL112" s="15">
        <f t="shared" si="566"/>
        <v>0</v>
      </c>
      <c r="BM112" s="14">
        <v>0</v>
      </c>
      <c r="BN112" s="14">
        <v>0</v>
      </c>
      <c r="BO112" s="14">
        <v>0</v>
      </c>
      <c r="BP112" s="14">
        <v>0</v>
      </c>
      <c r="BQ112" s="15">
        <f t="shared" si="567"/>
        <v>0</v>
      </c>
      <c r="BR112" s="15">
        <f t="shared" si="568"/>
        <v>0</v>
      </c>
      <c r="BS112" s="14">
        <v>0</v>
      </c>
      <c r="BT112" s="14">
        <v>0</v>
      </c>
      <c r="BU112" s="14">
        <v>0</v>
      </c>
      <c r="BV112" s="14">
        <v>0</v>
      </c>
      <c r="BW112" s="15">
        <f t="shared" si="569"/>
        <v>0</v>
      </c>
      <c r="BX112" s="15">
        <f t="shared" si="570"/>
        <v>0</v>
      </c>
      <c r="BY112" s="15">
        <f t="shared" si="571"/>
        <v>6</v>
      </c>
      <c r="BZ112" s="15">
        <f t="shared" si="572"/>
        <v>1</v>
      </c>
      <c r="CA112" s="15">
        <f t="shared" si="573"/>
        <v>0</v>
      </c>
      <c r="CB112" s="15">
        <f t="shared" si="574"/>
        <v>7</v>
      </c>
      <c r="CC112" s="14">
        <v>42</v>
      </c>
      <c r="CD112" s="14">
        <v>3</v>
      </c>
      <c r="CE112" s="14">
        <v>0</v>
      </c>
      <c r="CF112" s="14">
        <v>0</v>
      </c>
      <c r="CG112" s="14">
        <v>0</v>
      </c>
      <c r="CH112" s="15">
        <f t="shared" si="575"/>
        <v>3</v>
      </c>
      <c r="CI112" s="14">
        <v>19</v>
      </c>
      <c r="CJ112" s="14">
        <v>2</v>
      </c>
      <c r="CK112" s="14">
        <v>0</v>
      </c>
      <c r="CL112" s="14">
        <v>0</v>
      </c>
      <c r="CM112" s="15">
        <f t="shared" si="576"/>
        <v>21</v>
      </c>
      <c r="CN112" s="14">
        <v>227</v>
      </c>
      <c r="CO112" s="14">
        <v>9</v>
      </c>
      <c r="CP112" s="14">
        <v>11</v>
      </c>
      <c r="CQ112" s="14">
        <v>0</v>
      </c>
      <c r="CR112" s="15">
        <f t="shared" si="577"/>
        <v>247</v>
      </c>
      <c r="CS112" s="15">
        <f t="shared" si="578"/>
        <v>268</v>
      </c>
      <c r="CT112" s="14">
        <v>271</v>
      </c>
      <c r="CU112" s="14">
        <v>4359</v>
      </c>
      <c r="CV112" s="14">
        <v>4095</v>
      </c>
      <c r="CW112" s="16">
        <f t="shared" si="579"/>
        <v>0.93943565037852717</v>
      </c>
      <c r="CX112" s="14">
        <v>0</v>
      </c>
      <c r="CY112" s="14">
        <v>0</v>
      </c>
      <c r="CZ112" s="14">
        <v>0</v>
      </c>
      <c r="DA112" s="14">
        <v>0</v>
      </c>
      <c r="DB112" s="15">
        <f t="shared" si="580"/>
        <v>0</v>
      </c>
      <c r="DC112" s="14">
        <v>0</v>
      </c>
      <c r="DD112" s="14">
        <v>0</v>
      </c>
      <c r="DE112" s="14">
        <v>0</v>
      </c>
      <c r="DF112" s="14">
        <v>0</v>
      </c>
      <c r="DG112" s="15">
        <f t="shared" si="581"/>
        <v>0</v>
      </c>
      <c r="DH112" s="14">
        <v>0</v>
      </c>
      <c r="DI112" s="14">
        <v>0</v>
      </c>
      <c r="DJ112" s="14">
        <v>0</v>
      </c>
      <c r="DK112" s="14">
        <v>0</v>
      </c>
      <c r="DL112" s="15">
        <f t="shared" si="582"/>
        <v>0</v>
      </c>
      <c r="DM112" s="14">
        <v>0</v>
      </c>
      <c r="DN112" s="14">
        <v>0</v>
      </c>
      <c r="DO112" s="14">
        <v>0</v>
      </c>
      <c r="DP112" s="14">
        <v>0</v>
      </c>
      <c r="DQ112" s="15">
        <f t="shared" si="583"/>
        <v>0</v>
      </c>
      <c r="DR112" s="15">
        <f t="shared" si="584"/>
        <v>0</v>
      </c>
      <c r="DS112" s="15">
        <f t="shared" si="585"/>
        <v>0</v>
      </c>
      <c r="DT112" s="15">
        <f t="shared" si="586"/>
        <v>0</v>
      </c>
      <c r="DU112" s="15">
        <f t="shared" si="587"/>
        <v>0</v>
      </c>
      <c r="DV112" s="15">
        <f t="shared" si="588"/>
        <v>0</v>
      </c>
      <c r="DW112" s="14">
        <v>4</v>
      </c>
      <c r="DX112" s="14">
        <v>4</v>
      </c>
      <c r="DY112" s="14">
        <v>0</v>
      </c>
      <c r="DZ112" s="14">
        <v>0</v>
      </c>
      <c r="EA112" s="14">
        <v>0</v>
      </c>
      <c r="EB112" s="14">
        <v>2</v>
      </c>
      <c r="EC112" s="14">
        <v>2</v>
      </c>
      <c r="ED112" s="14">
        <v>0</v>
      </c>
      <c r="EE112" s="14">
        <v>0</v>
      </c>
      <c r="EF112" s="14">
        <v>0</v>
      </c>
      <c r="EG112" s="14">
        <v>1</v>
      </c>
      <c r="EH112" s="14">
        <v>1</v>
      </c>
      <c r="EI112" s="14">
        <v>0</v>
      </c>
      <c r="EJ112" s="14">
        <v>0</v>
      </c>
      <c r="EK112" s="14">
        <v>0</v>
      </c>
      <c r="EL112" s="14">
        <v>0</v>
      </c>
      <c r="EM112" s="14">
        <v>0</v>
      </c>
      <c r="EN112" s="14">
        <v>0</v>
      </c>
      <c r="EO112" s="14">
        <v>0</v>
      </c>
      <c r="EP112" s="14">
        <v>0</v>
      </c>
      <c r="EQ112" s="14">
        <v>0</v>
      </c>
      <c r="ER112" s="14">
        <v>0</v>
      </c>
      <c r="ES112" s="14">
        <v>0</v>
      </c>
      <c r="ET112" s="14">
        <v>0</v>
      </c>
      <c r="EU112" s="14">
        <v>0</v>
      </c>
      <c r="EV112" s="14">
        <v>0</v>
      </c>
      <c r="EW112" s="14">
        <v>0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5">
        <f t="shared" si="589"/>
        <v>14</v>
      </c>
      <c r="FH112" s="14">
        <v>7</v>
      </c>
      <c r="FI112" s="14">
        <v>5</v>
      </c>
      <c r="FJ112" s="14">
        <v>24</v>
      </c>
      <c r="FK112" s="14">
        <v>35</v>
      </c>
      <c r="FL112" s="14">
        <v>0</v>
      </c>
      <c r="FM112" s="14">
        <v>0</v>
      </c>
      <c r="FN112" s="14">
        <v>0</v>
      </c>
      <c r="FO112" s="14">
        <v>0</v>
      </c>
      <c r="FP112" s="14">
        <v>0</v>
      </c>
      <c r="FQ112" s="15">
        <f t="shared" si="590"/>
        <v>0</v>
      </c>
      <c r="FR112" s="14">
        <v>202500</v>
      </c>
      <c r="FS112" s="14">
        <v>0</v>
      </c>
      <c r="FT112" s="14">
        <v>0</v>
      </c>
      <c r="FU112" s="14">
        <v>0</v>
      </c>
      <c r="FV112" s="15">
        <f t="shared" si="591"/>
        <v>202500</v>
      </c>
      <c r="FW112" s="14">
        <v>6901280.2599999998</v>
      </c>
      <c r="FX112" s="14">
        <v>6901280.2599999998</v>
      </c>
      <c r="FY112" s="14">
        <v>3810020.23</v>
      </c>
      <c r="FZ112" s="14">
        <v>54165293.399999999</v>
      </c>
      <c r="GA112" s="15">
        <f t="shared" si="592"/>
        <v>71777874.150000006</v>
      </c>
      <c r="GB112" s="15">
        <f t="shared" si="593"/>
        <v>71980374.150000006</v>
      </c>
      <c r="GC112" s="14">
        <v>318872.63</v>
      </c>
      <c r="GD112" s="14">
        <v>318872.63</v>
      </c>
      <c r="GE112" s="14">
        <v>61674.07</v>
      </c>
      <c r="GF112" s="14">
        <v>61674.07</v>
      </c>
      <c r="GG112" s="15">
        <f t="shared" si="594"/>
        <v>761093.39999999991</v>
      </c>
      <c r="GH112" s="14">
        <v>0</v>
      </c>
      <c r="GI112" s="14">
        <v>0</v>
      </c>
      <c r="GJ112" s="14">
        <v>0</v>
      </c>
      <c r="GK112" s="14">
        <v>0</v>
      </c>
      <c r="GL112" s="15">
        <f t="shared" si="595"/>
        <v>0</v>
      </c>
      <c r="GM112" s="15">
        <f t="shared" si="596"/>
        <v>761093.39999999991</v>
      </c>
      <c r="GN112" s="14">
        <v>10353.67</v>
      </c>
      <c r="GO112" s="14">
        <v>10353.67</v>
      </c>
      <c r="GP112" s="14">
        <v>6787.28</v>
      </c>
      <c r="GQ112" s="14">
        <v>0</v>
      </c>
      <c r="GR112" s="15">
        <f t="shared" si="597"/>
        <v>27494.62</v>
      </c>
      <c r="GS112" s="14">
        <v>16967</v>
      </c>
      <c r="GT112" s="14">
        <v>16967</v>
      </c>
      <c r="GU112" s="14">
        <v>1786</v>
      </c>
      <c r="GV112" s="14">
        <v>0</v>
      </c>
      <c r="GW112" s="15">
        <f t="shared" si="598"/>
        <v>35720</v>
      </c>
      <c r="GX112" s="15">
        <f t="shared" si="599"/>
        <v>824308.0199999999</v>
      </c>
      <c r="GY112" s="14">
        <v>11631417.060000001</v>
      </c>
      <c r="GZ112" s="14">
        <v>-21498738.829999998</v>
      </c>
      <c r="HA112" s="15">
        <f t="shared" si="600"/>
        <v>-9867321.7699999977</v>
      </c>
      <c r="HB112" s="15">
        <f t="shared" si="601"/>
        <v>17.745441158027312</v>
      </c>
      <c r="HC112" s="16">
        <f t="shared" si="602"/>
        <v>5.7788987544031443</v>
      </c>
      <c r="HD112" s="15">
        <f t="shared" si="603"/>
        <v>87.322181033735447</v>
      </c>
      <c r="HE112" s="14">
        <v>1</v>
      </c>
      <c r="HF112" s="14">
        <v>1</v>
      </c>
      <c r="HG112" s="14">
        <v>7</v>
      </c>
      <c r="HH112" s="14">
        <v>1</v>
      </c>
      <c r="HI112" s="14">
        <v>5</v>
      </c>
      <c r="HJ112" s="15">
        <f t="shared" si="604"/>
        <v>6</v>
      </c>
      <c r="HK112" s="16">
        <f t="shared" si="605"/>
        <v>1</v>
      </c>
      <c r="HL112" s="14">
        <v>2</v>
      </c>
      <c r="HM112" s="14">
        <v>30</v>
      </c>
      <c r="HN112" s="17">
        <f t="shared" si="606"/>
        <v>15</v>
      </c>
    </row>
    <row r="113" spans="1:222" x14ac:dyDescent="0.3">
      <c r="A113" s="6" t="s">
        <v>280</v>
      </c>
      <c r="B113" s="6" t="s">
        <v>282</v>
      </c>
      <c r="C113" s="7" t="s">
        <v>257</v>
      </c>
      <c r="D113" s="7">
        <v>2025</v>
      </c>
      <c r="E113" s="7">
        <v>6</v>
      </c>
      <c r="F113" s="7" t="s">
        <v>261</v>
      </c>
      <c r="G113" s="7" t="s">
        <v>259</v>
      </c>
      <c r="H113" s="8">
        <v>19427</v>
      </c>
      <c r="I113" s="8">
        <v>154</v>
      </c>
      <c r="J113" s="8">
        <v>0</v>
      </c>
      <c r="K113" s="8">
        <v>20</v>
      </c>
      <c r="L113" s="8">
        <v>0</v>
      </c>
      <c r="M113" s="9">
        <f t="shared" si="546"/>
        <v>174</v>
      </c>
      <c r="N113" s="8">
        <v>1468</v>
      </c>
      <c r="O113" s="8">
        <v>0</v>
      </c>
      <c r="P113" s="8">
        <v>11820</v>
      </c>
      <c r="Q113" s="8">
        <v>1510</v>
      </c>
      <c r="R113" s="9">
        <f t="shared" si="547"/>
        <v>14798</v>
      </c>
      <c r="S113" s="9">
        <f t="shared" si="548"/>
        <v>14972</v>
      </c>
      <c r="T113" s="8">
        <v>4455</v>
      </c>
      <c r="U113" s="10">
        <f t="shared" si="549"/>
        <v>0.22932001853091058</v>
      </c>
      <c r="V113" s="8">
        <v>15</v>
      </c>
      <c r="W113" s="11">
        <f t="shared" si="550"/>
        <v>7.7212127451485048E-4</v>
      </c>
      <c r="X113" s="8">
        <v>0</v>
      </c>
      <c r="Y113" s="11">
        <f t="shared" si="551"/>
        <v>0</v>
      </c>
      <c r="Z113" s="8">
        <v>0</v>
      </c>
      <c r="AA113" s="11">
        <f t="shared" si="552"/>
        <v>0</v>
      </c>
      <c r="AB113" s="8">
        <v>0</v>
      </c>
      <c r="AC113" s="11">
        <f t="shared" si="553"/>
        <v>0</v>
      </c>
      <c r="AD113" s="8">
        <v>0</v>
      </c>
      <c r="AE113" s="11">
        <f t="shared" si="554"/>
        <v>0</v>
      </c>
      <c r="AF113" s="8">
        <v>0</v>
      </c>
      <c r="AG113" s="11">
        <f t="shared" si="555"/>
        <v>0</v>
      </c>
      <c r="AH113" s="8">
        <v>76675.05</v>
      </c>
      <c r="AI113" s="9">
        <f t="shared" si="556"/>
        <v>3.946829155299326</v>
      </c>
      <c r="AJ113" s="8">
        <v>14230</v>
      </c>
      <c r="AK113" s="11">
        <f t="shared" si="557"/>
        <v>0.73248571575642152</v>
      </c>
      <c r="AL113" s="8">
        <v>1990860.345</v>
      </c>
      <c r="AM113" s="9">
        <f t="shared" si="558"/>
        <v>102.47904179749833</v>
      </c>
      <c r="AN113" s="8">
        <v>0</v>
      </c>
      <c r="AO113" s="8">
        <v>0</v>
      </c>
      <c r="AP113" s="8">
        <v>0</v>
      </c>
      <c r="AQ113" s="8">
        <v>0</v>
      </c>
      <c r="AR113" s="8">
        <v>9183897.3399999999</v>
      </c>
      <c r="AS113" s="8">
        <v>1075847.52</v>
      </c>
      <c r="AT113" s="8">
        <v>0</v>
      </c>
      <c r="AU113" s="9">
        <f t="shared" si="559"/>
        <v>12327280.254999999</v>
      </c>
      <c r="AV113" s="9">
        <f t="shared" si="560"/>
        <v>634.54368945282329</v>
      </c>
      <c r="AW113" s="9">
        <f t="shared" si="561"/>
        <v>823.35561414640654</v>
      </c>
      <c r="AX113" s="8">
        <v>4</v>
      </c>
      <c r="AY113" s="9">
        <f t="shared" si="562"/>
        <v>2.4707880784475216</v>
      </c>
      <c r="AZ113" s="8">
        <v>7</v>
      </c>
      <c r="BA113" s="8">
        <v>5</v>
      </c>
      <c r="BB113" s="8">
        <v>0</v>
      </c>
      <c r="BC113" s="8">
        <v>0</v>
      </c>
      <c r="BD113" s="8">
        <v>0</v>
      </c>
      <c r="BE113" s="9">
        <f t="shared" si="563"/>
        <v>0</v>
      </c>
      <c r="BF113" s="9">
        <f t="shared" si="564"/>
        <v>5</v>
      </c>
      <c r="BG113" s="8">
        <v>0</v>
      </c>
      <c r="BH113" s="8">
        <v>0</v>
      </c>
      <c r="BI113" s="8">
        <v>0</v>
      </c>
      <c r="BJ113" s="8">
        <v>0</v>
      </c>
      <c r="BK113" s="9">
        <f t="shared" si="565"/>
        <v>0</v>
      </c>
      <c r="BL113" s="9">
        <f t="shared" si="566"/>
        <v>0</v>
      </c>
      <c r="BM113" s="8">
        <v>0</v>
      </c>
      <c r="BN113" s="8">
        <v>0</v>
      </c>
      <c r="BO113" s="8">
        <v>0</v>
      </c>
      <c r="BP113" s="8">
        <v>0</v>
      </c>
      <c r="BQ113" s="9">
        <f t="shared" si="567"/>
        <v>0</v>
      </c>
      <c r="BR113" s="9">
        <f t="shared" si="568"/>
        <v>0</v>
      </c>
      <c r="BS113" s="8">
        <v>0</v>
      </c>
      <c r="BT113" s="8">
        <v>0</v>
      </c>
      <c r="BU113" s="8">
        <v>0</v>
      </c>
      <c r="BV113" s="8">
        <v>0</v>
      </c>
      <c r="BW113" s="9">
        <f t="shared" si="569"/>
        <v>0</v>
      </c>
      <c r="BX113" s="9">
        <f t="shared" si="570"/>
        <v>0</v>
      </c>
      <c r="BY113" s="9">
        <f t="shared" si="571"/>
        <v>5</v>
      </c>
      <c r="BZ113" s="9">
        <f t="shared" si="572"/>
        <v>0</v>
      </c>
      <c r="CA113" s="9">
        <f t="shared" si="573"/>
        <v>0</v>
      </c>
      <c r="CB113" s="9">
        <f t="shared" si="574"/>
        <v>5</v>
      </c>
      <c r="CC113" s="8">
        <v>0</v>
      </c>
      <c r="CD113" s="8">
        <v>3</v>
      </c>
      <c r="CE113" s="8">
        <v>0</v>
      </c>
      <c r="CF113" s="8">
        <v>0</v>
      </c>
      <c r="CG113" s="8">
        <v>0</v>
      </c>
      <c r="CH113" s="9">
        <f t="shared" si="575"/>
        <v>3</v>
      </c>
      <c r="CI113" s="8">
        <v>11</v>
      </c>
      <c r="CJ113" s="8">
        <v>1</v>
      </c>
      <c r="CK113" s="8">
        <v>0</v>
      </c>
      <c r="CL113" s="8">
        <v>0</v>
      </c>
      <c r="CM113" s="9">
        <f t="shared" si="576"/>
        <v>12</v>
      </c>
      <c r="CN113" s="8">
        <v>235</v>
      </c>
      <c r="CO113" s="8">
        <v>10</v>
      </c>
      <c r="CP113" s="8">
        <v>11</v>
      </c>
      <c r="CQ113" s="8">
        <v>0</v>
      </c>
      <c r="CR113" s="9">
        <f t="shared" si="577"/>
        <v>256</v>
      </c>
      <c r="CS113" s="9">
        <f t="shared" si="578"/>
        <v>268</v>
      </c>
      <c r="CT113" s="8">
        <v>271</v>
      </c>
      <c r="CU113" s="8">
        <v>4359</v>
      </c>
      <c r="CV113" s="8">
        <v>4095</v>
      </c>
      <c r="CW113" s="10">
        <f t="shared" si="579"/>
        <v>0.93943565037852717</v>
      </c>
      <c r="CX113" s="8">
        <v>0</v>
      </c>
      <c r="CY113" s="8">
        <v>0</v>
      </c>
      <c r="CZ113" s="8">
        <v>0</v>
      </c>
      <c r="DA113" s="8">
        <v>0</v>
      </c>
      <c r="DB113" s="9">
        <f t="shared" si="580"/>
        <v>0</v>
      </c>
      <c r="DC113" s="8">
        <v>0</v>
      </c>
      <c r="DD113" s="8">
        <v>0</v>
      </c>
      <c r="DE113" s="8">
        <v>0</v>
      </c>
      <c r="DF113" s="8">
        <v>0</v>
      </c>
      <c r="DG113" s="9">
        <f t="shared" si="581"/>
        <v>0</v>
      </c>
      <c r="DH113" s="8">
        <v>0</v>
      </c>
      <c r="DI113" s="8">
        <v>0</v>
      </c>
      <c r="DJ113" s="8">
        <v>0</v>
      </c>
      <c r="DK113" s="8">
        <v>0</v>
      </c>
      <c r="DL113" s="9">
        <f t="shared" si="582"/>
        <v>0</v>
      </c>
      <c r="DM113" s="8">
        <v>0</v>
      </c>
      <c r="DN113" s="8">
        <v>0</v>
      </c>
      <c r="DO113" s="8">
        <v>0</v>
      </c>
      <c r="DP113" s="8">
        <v>0</v>
      </c>
      <c r="DQ113" s="9">
        <f t="shared" si="583"/>
        <v>0</v>
      </c>
      <c r="DR113" s="9">
        <f t="shared" si="584"/>
        <v>0</v>
      </c>
      <c r="DS113" s="9">
        <f t="shared" si="585"/>
        <v>0</v>
      </c>
      <c r="DT113" s="9">
        <f t="shared" si="586"/>
        <v>0</v>
      </c>
      <c r="DU113" s="9">
        <f t="shared" si="587"/>
        <v>0</v>
      </c>
      <c r="DV113" s="9">
        <f t="shared" si="588"/>
        <v>0</v>
      </c>
      <c r="DW113" s="8">
        <v>0</v>
      </c>
      <c r="DX113" s="8">
        <v>1</v>
      </c>
      <c r="DY113" s="8">
        <v>1</v>
      </c>
      <c r="DZ113" s="8">
        <v>1</v>
      </c>
      <c r="EA113" s="8">
        <v>0</v>
      </c>
      <c r="EB113" s="8">
        <v>0</v>
      </c>
      <c r="EC113" s="8">
        <v>0</v>
      </c>
      <c r="ED113" s="8">
        <v>0</v>
      </c>
      <c r="EE113" s="8">
        <v>1</v>
      </c>
      <c r="EF113" s="8">
        <v>1</v>
      </c>
      <c r="EG113" s="8">
        <v>0</v>
      </c>
      <c r="EH113" s="8">
        <v>0</v>
      </c>
      <c r="EI113" s="8">
        <v>0</v>
      </c>
      <c r="EJ113" s="8">
        <v>0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0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9">
        <f t="shared" si="589"/>
        <v>5</v>
      </c>
      <c r="FH113" s="8">
        <v>2</v>
      </c>
      <c r="FI113" s="8">
        <v>3</v>
      </c>
      <c r="FJ113" s="8">
        <v>24</v>
      </c>
      <c r="FK113" s="8">
        <v>6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9">
        <f t="shared" si="590"/>
        <v>0</v>
      </c>
      <c r="FR113" s="8">
        <v>49867.22</v>
      </c>
      <c r="FS113" s="8">
        <v>0</v>
      </c>
      <c r="FT113" s="8">
        <v>0</v>
      </c>
      <c r="FU113" s="8">
        <v>0</v>
      </c>
      <c r="FV113" s="9">
        <f t="shared" si="591"/>
        <v>49867.22</v>
      </c>
      <c r="FW113" s="8">
        <v>2689352</v>
      </c>
      <c r="FX113" s="8">
        <v>2689352</v>
      </c>
      <c r="FY113" s="8">
        <v>7142000</v>
      </c>
      <c r="FZ113" s="8">
        <v>20044500</v>
      </c>
      <c r="GA113" s="9">
        <f t="shared" si="592"/>
        <v>32565204</v>
      </c>
      <c r="GB113" s="9">
        <f t="shared" si="593"/>
        <v>32615071.219999999</v>
      </c>
      <c r="GC113" s="8">
        <v>138061.96</v>
      </c>
      <c r="GD113" s="8">
        <v>138061.96</v>
      </c>
      <c r="GE113" s="8">
        <v>56722.55</v>
      </c>
      <c r="GF113" s="8">
        <v>56722.55</v>
      </c>
      <c r="GG113" s="9">
        <f t="shared" si="594"/>
        <v>389569.01999999996</v>
      </c>
      <c r="GH113" s="8">
        <v>0</v>
      </c>
      <c r="GI113" s="8">
        <v>0</v>
      </c>
      <c r="GJ113" s="8">
        <v>0</v>
      </c>
      <c r="GK113" s="8">
        <v>0</v>
      </c>
      <c r="GL113" s="9">
        <f t="shared" si="595"/>
        <v>0</v>
      </c>
      <c r="GM113" s="9">
        <f t="shared" si="596"/>
        <v>389569.01999999996</v>
      </c>
      <c r="GN113" s="8">
        <v>5994.23</v>
      </c>
      <c r="GO113" s="8">
        <v>5994.23</v>
      </c>
      <c r="GP113" s="8">
        <v>3393.64</v>
      </c>
      <c r="GQ113" s="8">
        <v>3393.64</v>
      </c>
      <c r="GR113" s="9">
        <f t="shared" si="597"/>
        <v>18775.739999999998</v>
      </c>
      <c r="GS113" s="8">
        <v>9823</v>
      </c>
      <c r="GT113" s="8">
        <v>9823</v>
      </c>
      <c r="GU113" s="8">
        <v>893</v>
      </c>
      <c r="GV113" s="8">
        <v>0</v>
      </c>
      <c r="GW113" s="9">
        <f t="shared" si="598"/>
        <v>20539</v>
      </c>
      <c r="GX113" s="9">
        <f t="shared" si="599"/>
        <v>428883.75999999995</v>
      </c>
      <c r="GY113" s="8">
        <v>11796438.220000001</v>
      </c>
      <c r="GZ113" s="8">
        <v>-21498738.829999998</v>
      </c>
      <c r="HA113" s="9">
        <f t="shared" si="600"/>
        <v>-9702300.6099999975</v>
      </c>
      <c r="HB113" s="9">
        <f t="shared" si="601"/>
        <v>28.74270700993668</v>
      </c>
      <c r="HC113" s="10">
        <f t="shared" si="602"/>
        <v>2.6678292214598995</v>
      </c>
      <c r="HD113" s="9">
        <f t="shared" si="603"/>
        <v>76.046412249323694</v>
      </c>
      <c r="HE113" s="8">
        <v>0</v>
      </c>
      <c r="HF113" s="8">
        <v>0</v>
      </c>
      <c r="HG113" s="8">
        <v>5</v>
      </c>
      <c r="HH113" s="8">
        <v>0</v>
      </c>
      <c r="HI113" s="8">
        <v>0</v>
      </c>
      <c r="HJ113" s="9">
        <f t="shared" si="604"/>
        <v>0</v>
      </c>
      <c r="HK113" s="10" t="str">
        <f t="shared" si="605"/>
        <v/>
      </c>
      <c r="HL113" s="8">
        <v>1</v>
      </c>
      <c r="HM113" s="8">
        <v>1</v>
      </c>
      <c r="HN113" s="11">
        <f t="shared" si="606"/>
        <v>1</v>
      </c>
    </row>
    <row r="114" spans="1:222" x14ac:dyDescent="0.3">
      <c r="A114" s="12" t="s">
        <v>280</v>
      </c>
      <c r="B114" s="12" t="s">
        <v>282</v>
      </c>
      <c r="C114" s="13" t="s">
        <v>257</v>
      </c>
      <c r="D114" s="13">
        <v>2025</v>
      </c>
      <c r="E114" s="13">
        <v>7</v>
      </c>
      <c r="F114" s="13" t="s">
        <v>262</v>
      </c>
      <c r="G114" s="13" t="s">
        <v>263</v>
      </c>
      <c r="H114" s="14">
        <v>21788</v>
      </c>
      <c r="I114" s="14">
        <v>439</v>
      </c>
      <c r="J114" s="14">
        <v>0</v>
      </c>
      <c r="K114" s="14">
        <v>46</v>
      </c>
      <c r="L114" s="14">
        <v>0</v>
      </c>
      <c r="M114" s="15">
        <f t="shared" si="546"/>
        <v>485</v>
      </c>
      <c r="N114" s="14">
        <v>2344</v>
      </c>
      <c r="O114" s="14">
        <v>0</v>
      </c>
      <c r="P114" s="14">
        <v>12595</v>
      </c>
      <c r="Q114" s="14">
        <v>890</v>
      </c>
      <c r="R114" s="15">
        <f t="shared" si="547"/>
        <v>15829</v>
      </c>
      <c r="S114" s="15">
        <f t="shared" si="548"/>
        <v>16314</v>
      </c>
      <c r="T114" s="14">
        <v>5474</v>
      </c>
      <c r="U114" s="16">
        <f t="shared" si="549"/>
        <v>0.25123921424637413</v>
      </c>
      <c r="V114" s="14">
        <v>22</v>
      </c>
      <c r="W114" s="17">
        <f t="shared" si="550"/>
        <v>1.009730126675234E-3</v>
      </c>
      <c r="X114" s="14">
        <v>0</v>
      </c>
      <c r="Y114" s="17">
        <f t="shared" si="551"/>
        <v>0</v>
      </c>
      <c r="Z114" s="14">
        <v>0</v>
      </c>
      <c r="AA114" s="17">
        <f t="shared" si="552"/>
        <v>0</v>
      </c>
      <c r="AB114" s="14">
        <v>0</v>
      </c>
      <c r="AC114" s="17">
        <f t="shared" si="553"/>
        <v>0</v>
      </c>
      <c r="AD114" s="14">
        <v>0</v>
      </c>
      <c r="AE114" s="17">
        <f t="shared" si="554"/>
        <v>0</v>
      </c>
      <c r="AF114" s="14">
        <v>0</v>
      </c>
      <c r="AG114" s="17">
        <f t="shared" si="555"/>
        <v>0</v>
      </c>
      <c r="AH114" s="14">
        <v>112456.74</v>
      </c>
      <c r="AI114" s="15">
        <f t="shared" si="556"/>
        <v>5.1614071966219939</v>
      </c>
      <c r="AJ114" s="14">
        <v>14230</v>
      </c>
      <c r="AK114" s="17">
        <f t="shared" si="557"/>
        <v>0.65311180466311736</v>
      </c>
      <c r="AL114" s="14">
        <v>1990860.345</v>
      </c>
      <c r="AM114" s="15">
        <f t="shared" si="558"/>
        <v>91.374166743161368</v>
      </c>
      <c r="AN114" s="14">
        <v>0</v>
      </c>
      <c r="AO114" s="14">
        <v>0</v>
      </c>
      <c r="AP114" s="14">
        <v>0</v>
      </c>
      <c r="AQ114" s="14">
        <v>0</v>
      </c>
      <c r="AR114" s="14">
        <v>9469439.1500000004</v>
      </c>
      <c r="AS114" s="14">
        <v>877154.96</v>
      </c>
      <c r="AT114" s="14">
        <v>11627830.189999999</v>
      </c>
      <c r="AU114" s="15">
        <f t="shared" si="559"/>
        <v>24077741.384999998</v>
      </c>
      <c r="AV114" s="15">
        <f t="shared" si="560"/>
        <v>1105.0918572149806</v>
      </c>
      <c r="AW114" s="15">
        <f t="shared" si="561"/>
        <v>1475.8944087899963</v>
      </c>
      <c r="AX114" s="14">
        <v>4</v>
      </c>
      <c r="AY114" s="15">
        <f t="shared" si="562"/>
        <v>2.2030475491096015</v>
      </c>
      <c r="AZ114" s="14">
        <v>7</v>
      </c>
      <c r="BA114" s="14">
        <v>5</v>
      </c>
      <c r="BB114" s="14">
        <v>7</v>
      </c>
      <c r="BC114" s="14">
        <v>9</v>
      </c>
      <c r="BD114" s="14">
        <v>0</v>
      </c>
      <c r="BE114" s="15">
        <f t="shared" si="563"/>
        <v>9</v>
      </c>
      <c r="BF114" s="15">
        <f t="shared" si="564"/>
        <v>3</v>
      </c>
      <c r="BG114" s="14">
        <v>0</v>
      </c>
      <c r="BH114" s="14">
        <v>0</v>
      </c>
      <c r="BI114" s="14">
        <v>0</v>
      </c>
      <c r="BJ114" s="14">
        <v>0</v>
      </c>
      <c r="BK114" s="15">
        <f t="shared" si="565"/>
        <v>0</v>
      </c>
      <c r="BL114" s="15">
        <f t="shared" si="566"/>
        <v>0</v>
      </c>
      <c r="BM114" s="14">
        <v>0</v>
      </c>
      <c r="BN114" s="14">
        <v>0</v>
      </c>
      <c r="BO114" s="14">
        <v>0</v>
      </c>
      <c r="BP114" s="14">
        <v>0</v>
      </c>
      <c r="BQ114" s="15">
        <f t="shared" si="567"/>
        <v>0</v>
      </c>
      <c r="BR114" s="15">
        <f t="shared" si="568"/>
        <v>0</v>
      </c>
      <c r="BS114" s="14">
        <v>0</v>
      </c>
      <c r="BT114" s="14">
        <v>0</v>
      </c>
      <c r="BU114" s="14">
        <v>0</v>
      </c>
      <c r="BV114" s="14">
        <v>0</v>
      </c>
      <c r="BW114" s="15">
        <f t="shared" si="569"/>
        <v>0</v>
      </c>
      <c r="BX114" s="15">
        <f t="shared" si="570"/>
        <v>0</v>
      </c>
      <c r="BY114" s="15">
        <f t="shared" si="571"/>
        <v>5</v>
      </c>
      <c r="BZ114" s="15">
        <f t="shared" si="572"/>
        <v>7</v>
      </c>
      <c r="CA114" s="15">
        <f t="shared" si="573"/>
        <v>9</v>
      </c>
      <c r="CB114" s="15">
        <f t="shared" si="574"/>
        <v>3</v>
      </c>
      <c r="CC114" s="14">
        <v>0</v>
      </c>
      <c r="CD114" s="14">
        <v>3</v>
      </c>
      <c r="CE114" s="14">
        <v>0</v>
      </c>
      <c r="CF114" s="14">
        <v>0</v>
      </c>
      <c r="CG114" s="14">
        <v>0</v>
      </c>
      <c r="CH114" s="15">
        <f t="shared" si="575"/>
        <v>3</v>
      </c>
      <c r="CI114" s="14">
        <v>23</v>
      </c>
      <c r="CJ114" s="14">
        <v>2</v>
      </c>
      <c r="CK114" s="14">
        <v>0</v>
      </c>
      <c r="CL114" s="14">
        <v>0</v>
      </c>
      <c r="CM114" s="15">
        <f t="shared" si="576"/>
        <v>25</v>
      </c>
      <c r="CN114" s="14">
        <v>234</v>
      </c>
      <c r="CO114" s="14">
        <v>9</v>
      </c>
      <c r="CP114" s="14">
        <v>10</v>
      </c>
      <c r="CQ114" s="14">
        <v>0</v>
      </c>
      <c r="CR114" s="15">
        <f t="shared" si="577"/>
        <v>253</v>
      </c>
      <c r="CS114" s="15">
        <f t="shared" si="578"/>
        <v>278</v>
      </c>
      <c r="CT114" s="14">
        <v>281</v>
      </c>
      <c r="CU114" s="14">
        <v>4359</v>
      </c>
      <c r="CV114" s="14">
        <v>4095</v>
      </c>
      <c r="CW114" s="16">
        <f t="shared" si="579"/>
        <v>0.93943565037852717</v>
      </c>
      <c r="CX114" s="14">
        <v>0</v>
      </c>
      <c r="CY114" s="14">
        <v>0</v>
      </c>
      <c r="CZ114" s="14">
        <v>0</v>
      </c>
      <c r="DA114" s="14">
        <v>0</v>
      </c>
      <c r="DB114" s="15">
        <f t="shared" si="580"/>
        <v>0</v>
      </c>
      <c r="DC114" s="14">
        <v>0</v>
      </c>
      <c r="DD114" s="14">
        <v>0</v>
      </c>
      <c r="DE114" s="14">
        <v>0</v>
      </c>
      <c r="DF114" s="14">
        <v>0</v>
      </c>
      <c r="DG114" s="15">
        <f t="shared" si="581"/>
        <v>0</v>
      </c>
      <c r="DH114" s="14">
        <v>0</v>
      </c>
      <c r="DI114" s="14">
        <v>0</v>
      </c>
      <c r="DJ114" s="14">
        <v>0</v>
      </c>
      <c r="DK114" s="14">
        <v>0</v>
      </c>
      <c r="DL114" s="15">
        <f t="shared" si="582"/>
        <v>0</v>
      </c>
      <c r="DM114" s="14">
        <v>0</v>
      </c>
      <c r="DN114" s="14">
        <v>0</v>
      </c>
      <c r="DO114" s="14">
        <v>0</v>
      </c>
      <c r="DP114" s="14">
        <v>0</v>
      </c>
      <c r="DQ114" s="15">
        <f t="shared" si="583"/>
        <v>0</v>
      </c>
      <c r="DR114" s="15">
        <f t="shared" si="584"/>
        <v>0</v>
      </c>
      <c r="DS114" s="15">
        <f t="shared" si="585"/>
        <v>0</v>
      </c>
      <c r="DT114" s="15">
        <f t="shared" si="586"/>
        <v>0</v>
      </c>
      <c r="DU114" s="15">
        <f t="shared" si="587"/>
        <v>0</v>
      </c>
      <c r="DV114" s="15">
        <f t="shared" si="588"/>
        <v>0</v>
      </c>
      <c r="DW114" s="14">
        <v>6</v>
      </c>
      <c r="DX114" s="14">
        <v>2</v>
      </c>
      <c r="DY114" s="14">
        <v>2</v>
      </c>
      <c r="DZ114" s="14">
        <v>0</v>
      </c>
      <c r="EA114" s="14">
        <v>0</v>
      </c>
      <c r="EB114" s="14">
        <v>0</v>
      </c>
      <c r="EC114" s="14">
        <v>0</v>
      </c>
      <c r="ED114" s="14">
        <v>0</v>
      </c>
      <c r="EE114" s="14">
        <v>0</v>
      </c>
      <c r="EF114" s="14">
        <v>1</v>
      </c>
      <c r="EG114" s="14">
        <v>1</v>
      </c>
      <c r="EH114" s="14">
        <v>0</v>
      </c>
      <c r="EI114" s="14">
        <v>0</v>
      </c>
      <c r="EJ114" s="14">
        <v>0</v>
      </c>
      <c r="EK114" s="14">
        <v>0</v>
      </c>
      <c r="EL114" s="14">
        <v>0</v>
      </c>
      <c r="EM114" s="14">
        <v>0</v>
      </c>
      <c r="EN114" s="14">
        <v>0</v>
      </c>
      <c r="EO114" s="14">
        <v>0</v>
      </c>
      <c r="EP114" s="14">
        <v>0</v>
      </c>
      <c r="EQ114" s="14">
        <v>0</v>
      </c>
      <c r="ER114" s="14">
        <v>0</v>
      </c>
      <c r="ES114" s="14">
        <v>0</v>
      </c>
      <c r="ET114" s="14">
        <v>0</v>
      </c>
      <c r="EU114" s="14">
        <v>0</v>
      </c>
      <c r="EV114" s="14">
        <v>0</v>
      </c>
      <c r="EW114" s="14">
        <v>0</v>
      </c>
      <c r="EX114" s="14">
        <v>0</v>
      </c>
      <c r="EY114" s="14">
        <v>0</v>
      </c>
      <c r="EZ114" s="14">
        <v>0</v>
      </c>
      <c r="FA114" s="14">
        <v>0</v>
      </c>
      <c r="FB114" s="14">
        <v>0</v>
      </c>
      <c r="FC114" s="14">
        <v>0</v>
      </c>
      <c r="FD114" s="14">
        <v>0</v>
      </c>
      <c r="FE114" s="14">
        <v>0</v>
      </c>
      <c r="FF114" s="14">
        <v>0</v>
      </c>
      <c r="FG114" s="15">
        <f t="shared" si="589"/>
        <v>12</v>
      </c>
      <c r="FH114" s="14">
        <v>3</v>
      </c>
      <c r="FI114" s="14">
        <v>4</v>
      </c>
      <c r="FJ114" s="14">
        <v>24</v>
      </c>
      <c r="FK114" s="14">
        <v>12</v>
      </c>
      <c r="FL114" s="14">
        <v>0</v>
      </c>
      <c r="FM114" s="14">
        <v>0</v>
      </c>
      <c r="FN114" s="14">
        <v>0</v>
      </c>
      <c r="FO114" s="14">
        <v>0</v>
      </c>
      <c r="FP114" s="14">
        <v>0</v>
      </c>
      <c r="FQ114" s="15">
        <f t="shared" si="590"/>
        <v>0</v>
      </c>
      <c r="FR114" s="14">
        <v>462072</v>
      </c>
      <c r="FS114" s="14">
        <v>0</v>
      </c>
      <c r="FT114" s="14">
        <v>0</v>
      </c>
      <c r="FU114" s="14">
        <v>0</v>
      </c>
      <c r="FV114" s="15">
        <f t="shared" si="591"/>
        <v>462072</v>
      </c>
      <c r="FW114" s="14">
        <v>4393023</v>
      </c>
      <c r="FX114" s="14">
        <v>4393023</v>
      </c>
      <c r="FY114" s="14">
        <v>4212500</v>
      </c>
      <c r="FZ114" s="14">
        <v>44057950</v>
      </c>
      <c r="GA114" s="15">
        <f t="shared" si="592"/>
        <v>57056496</v>
      </c>
      <c r="GB114" s="15">
        <f t="shared" si="593"/>
        <v>57518568</v>
      </c>
      <c r="GC114" s="14">
        <v>400867.16</v>
      </c>
      <c r="GD114" s="14">
        <v>400867.16</v>
      </c>
      <c r="GE114" s="14">
        <v>134201.92000000001</v>
      </c>
      <c r="GF114" s="14">
        <v>0</v>
      </c>
      <c r="GG114" s="15">
        <f t="shared" si="594"/>
        <v>935936.24</v>
      </c>
      <c r="GH114" s="14">
        <v>535069.07999999996</v>
      </c>
      <c r="GI114" s="14">
        <v>0</v>
      </c>
      <c r="GJ114" s="14">
        <v>0</v>
      </c>
      <c r="GK114" s="14">
        <v>0</v>
      </c>
      <c r="GL114" s="15">
        <f t="shared" si="595"/>
        <v>535069.07999999996</v>
      </c>
      <c r="GM114" s="15">
        <f t="shared" si="596"/>
        <v>1471005.3199999998</v>
      </c>
      <c r="GN114" s="14">
        <v>12533.39</v>
      </c>
      <c r="GO114" s="14">
        <v>12533.39</v>
      </c>
      <c r="GP114" s="14">
        <v>6787.28</v>
      </c>
      <c r="GQ114" s="14">
        <v>0</v>
      </c>
      <c r="GR114" s="15">
        <f t="shared" si="597"/>
        <v>31854.059999999998</v>
      </c>
      <c r="GS114" s="14">
        <v>20539</v>
      </c>
      <c r="GT114" s="14">
        <v>20539</v>
      </c>
      <c r="GU114" s="14">
        <v>1786</v>
      </c>
      <c r="GV114" s="14">
        <v>0</v>
      </c>
      <c r="GW114" s="15">
        <f t="shared" si="598"/>
        <v>42864</v>
      </c>
      <c r="GX114" s="15">
        <f t="shared" si="599"/>
        <v>1545723.38</v>
      </c>
      <c r="GY114" s="14">
        <v>11911080.970000001</v>
      </c>
      <c r="GZ114" s="14">
        <v>-21498738.829999998</v>
      </c>
      <c r="HA114" s="15">
        <f t="shared" si="600"/>
        <v>-9587657.8599999975</v>
      </c>
      <c r="HB114" s="15">
        <f t="shared" si="601"/>
        <v>15.577005366251237</v>
      </c>
      <c r="HC114" s="16">
        <f t="shared" si="602"/>
        <v>4.2743110848602024</v>
      </c>
      <c r="HD114" s="15">
        <f t="shared" si="603"/>
        <v>37.211423948313445</v>
      </c>
      <c r="HE114" s="14">
        <v>7</v>
      </c>
      <c r="HF114" s="14">
        <v>5</v>
      </c>
      <c r="HG114" s="14">
        <v>3</v>
      </c>
      <c r="HH114" s="14">
        <v>7</v>
      </c>
      <c r="HI114" s="14">
        <v>5</v>
      </c>
      <c r="HJ114" s="15">
        <f t="shared" si="604"/>
        <v>10</v>
      </c>
      <c r="HK114" s="16">
        <f t="shared" si="605"/>
        <v>1</v>
      </c>
      <c r="HL114" s="14">
        <v>5</v>
      </c>
      <c r="HM114" s="14">
        <v>2</v>
      </c>
      <c r="HN114" s="17">
        <f t="shared" si="606"/>
        <v>0.4</v>
      </c>
    </row>
    <row r="115" spans="1:222" x14ac:dyDescent="0.3">
      <c r="A115" s="6" t="s">
        <v>280</v>
      </c>
      <c r="B115" s="6" t="s">
        <v>282</v>
      </c>
      <c r="C115" s="7" t="s">
        <v>257</v>
      </c>
      <c r="D115" s="7">
        <v>2025</v>
      </c>
      <c r="E115" s="7">
        <v>8</v>
      </c>
      <c r="F115" s="7" t="s">
        <v>264</v>
      </c>
      <c r="G115" s="7" t="s">
        <v>263</v>
      </c>
      <c r="H115" s="8">
        <v>27001</v>
      </c>
      <c r="I115" s="8">
        <v>940</v>
      </c>
      <c r="J115" s="8">
        <v>0</v>
      </c>
      <c r="K115" s="8">
        <v>58</v>
      </c>
      <c r="L115" s="8">
        <v>0</v>
      </c>
      <c r="M115" s="9">
        <f t="shared" si="546"/>
        <v>998</v>
      </c>
      <c r="N115" s="8">
        <v>2619</v>
      </c>
      <c r="O115" s="8">
        <v>0</v>
      </c>
      <c r="P115" s="8">
        <v>16008</v>
      </c>
      <c r="Q115" s="8">
        <v>834.8</v>
      </c>
      <c r="R115" s="9">
        <f t="shared" si="547"/>
        <v>19461.8</v>
      </c>
      <c r="S115" s="9">
        <f t="shared" si="548"/>
        <v>20459.8</v>
      </c>
      <c r="T115" s="8">
        <v>6541.2</v>
      </c>
      <c r="U115" s="10">
        <f t="shared" si="549"/>
        <v>0.24225769415947557</v>
      </c>
      <c r="V115" s="8">
        <v>24</v>
      </c>
      <c r="W115" s="11">
        <f t="shared" si="550"/>
        <v>8.8885596829747044E-4</v>
      </c>
      <c r="X115" s="8">
        <v>0</v>
      </c>
      <c r="Y115" s="11">
        <f t="shared" si="551"/>
        <v>0</v>
      </c>
      <c r="Z115" s="8">
        <v>0</v>
      </c>
      <c r="AA115" s="11">
        <f t="shared" si="552"/>
        <v>0</v>
      </c>
      <c r="AB115" s="8">
        <v>0</v>
      </c>
      <c r="AC115" s="11">
        <f t="shared" si="553"/>
        <v>0</v>
      </c>
      <c r="AD115" s="8">
        <v>0</v>
      </c>
      <c r="AE115" s="11">
        <f t="shared" si="554"/>
        <v>0</v>
      </c>
      <c r="AF115" s="8">
        <v>0</v>
      </c>
      <c r="AG115" s="11">
        <f t="shared" si="555"/>
        <v>0</v>
      </c>
      <c r="AH115" s="8">
        <v>122680.08</v>
      </c>
      <c r="AI115" s="9">
        <f t="shared" si="556"/>
        <v>4.5435383874671311</v>
      </c>
      <c r="AJ115" s="8">
        <v>14230</v>
      </c>
      <c r="AK115" s="11">
        <f t="shared" si="557"/>
        <v>0.52701751786970852</v>
      </c>
      <c r="AL115" s="8">
        <v>1990860.345</v>
      </c>
      <c r="AM115" s="9">
        <f t="shared" si="558"/>
        <v>73.732837487500461</v>
      </c>
      <c r="AN115" s="8">
        <v>0</v>
      </c>
      <c r="AO115" s="8">
        <v>0</v>
      </c>
      <c r="AP115" s="8">
        <v>0</v>
      </c>
      <c r="AQ115" s="8">
        <v>0</v>
      </c>
      <c r="AR115" s="8">
        <v>9639979.5600000005</v>
      </c>
      <c r="AS115" s="8">
        <v>992251.26</v>
      </c>
      <c r="AT115" s="8">
        <v>7411595</v>
      </c>
      <c r="AU115" s="9">
        <f t="shared" si="559"/>
        <v>20157366.244999997</v>
      </c>
      <c r="AV115" s="9">
        <f t="shared" si="560"/>
        <v>746.54147050109248</v>
      </c>
      <c r="AW115" s="9">
        <f t="shared" si="561"/>
        <v>985.2181470493357</v>
      </c>
      <c r="AX115" s="8">
        <v>4</v>
      </c>
      <c r="AY115" s="9">
        <f t="shared" si="562"/>
        <v>1.7777119365949408</v>
      </c>
      <c r="AZ115" s="8">
        <v>7</v>
      </c>
      <c r="BA115" s="8">
        <v>3</v>
      </c>
      <c r="BB115" s="8">
        <v>15</v>
      </c>
      <c r="BC115" s="8">
        <v>16</v>
      </c>
      <c r="BD115" s="8">
        <v>0</v>
      </c>
      <c r="BE115" s="9">
        <f t="shared" si="563"/>
        <v>16</v>
      </c>
      <c r="BF115" s="9">
        <f t="shared" si="564"/>
        <v>2</v>
      </c>
      <c r="BG115" s="8">
        <v>0</v>
      </c>
      <c r="BH115" s="8">
        <v>0</v>
      </c>
      <c r="BI115" s="8">
        <v>0</v>
      </c>
      <c r="BJ115" s="8">
        <v>0</v>
      </c>
      <c r="BK115" s="9">
        <f t="shared" si="565"/>
        <v>0</v>
      </c>
      <c r="BL115" s="9">
        <f t="shared" si="566"/>
        <v>0</v>
      </c>
      <c r="BM115" s="8">
        <v>0</v>
      </c>
      <c r="BN115" s="8">
        <v>0</v>
      </c>
      <c r="BO115" s="8">
        <v>0</v>
      </c>
      <c r="BP115" s="8">
        <v>0</v>
      </c>
      <c r="BQ115" s="9">
        <f t="shared" si="567"/>
        <v>0</v>
      </c>
      <c r="BR115" s="9">
        <f t="shared" si="568"/>
        <v>0</v>
      </c>
      <c r="BS115" s="8">
        <v>0</v>
      </c>
      <c r="BT115" s="8">
        <v>0</v>
      </c>
      <c r="BU115" s="8">
        <v>0</v>
      </c>
      <c r="BV115" s="8">
        <v>0</v>
      </c>
      <c r="BW115" s="9">
        <f t="shared" si="569"/>
        <v>0</v>
      </c>
      <c r="BX115" s="9">
        <f t="shared" si="570"/>
        <v>0</v>
      </c>
      <c r="BY115" s="9">
        <f t="shared" si="571"/>
        <v>3</v>
      </c>
      <c r="BZ115" s="9">
        <f t="shared" si="572"/>
        <v>15</v>
      </c>
      <c r="CA115" s="9">
        <f t="shared" si="573"/>
        <v>16</v>
      </c>
      <c r="CB115" s="9">
        <f t="shared" si="574"/>
        <v>2</v>
      </c>
      <c r="CC115" s="8">
        <v>0</v>
      </c>
      <c r="CD115" s="8">
        <v>3</v>
      </c>
      <c r="CE115" s="8">
        <v>0</v>
      </c>
      <c r="CF115" s="8">
        <v>0</v>
      </c>
      <c r="CG115" s="8">
        <v>0</v>
      </c>
      <c r="CH115" s="9">
        <f t="shared" si="575"/>
        <v>3</v>
      </c>
      <c r="CI115" s="8">
        <v>39</v>
      </c>
      <c r="CJ115" s="8">
        <v>2</v>
      </c>
      <c r="CK115" s="8">
        <v>0</v>
      </c>
      <c r="CL115" s="8">
        <v>0</v>
      </c>
      <c r="CM115" s="9">
        <f t="shared" si="576"/>
        <v>41</v>
      </c>
      <c r="CN115" s="8">
        <v>233</v>
      </c>
      <c r="CO115" s="8">
        <v>9</v>
      </c>
      <c r="CP115" s="8">
        <v>10</v>
      </c>
      <c r="CQ115" s="8">
        <v>0</v>
      </c>
      <c r="CR115" s="9">
        <f t="shared" si="577"/>
        <v>252</v>
      </c>
      <c r="CS115" s="9">
        <f t="shared" si="578"/>
        <v>293</v>
      </c>
      <c r="CT115" s="8">
        <v>296</v>
      </c>
      <c r="CU115" s="8">
        <v>4359</v>
      </c>
      <c r="CV115" s="8">
        <v>4105</v>
      </c>
      <c r="CW115" s="10">
        <f t="shared" si="579"/>
        <v>0.94172975453085572</v>
      </c>
      <c r="CX115" s="8">
        <v>0</v>
      </c>
      <c r="CY115" s="8">
        <v>0</v>
      </c>
      <c r="CZ115" s="8">
        <v>0</v>
      </c>
      <c r="DA115" s="8">
        <v>0</v>
      </c>
      <c r="DB115" s="9">
        <f t="shared" si="580"/>
        <v>0</v>
      </c>
      <c r="DC115" s="8">
        <v>0</v>
      </c>
      <c r="DD115" s="8">
        <v>0</v>
      </c>
      <c r="DE115" s="8">
        <v>0</v>
      </c>
      <c r="DF115" s="8">
        <v>0</v>
      </c>
      <c r="DG115" s="9">
        <f t="shared" si="581"/>
        <v>0</v>
      </c>
      <c r="DH115" s="8">
        <v>0</v>
      </c>
      <c r="DI115" s="8">
        <v>0</v>
      </c>
      <c r="DJ115" s="8">
        <v>0</v>
      </c>
      <c r="DK115" s="8">
        <v>0</v>
      </c>
      <c r="DL115" s="9">
        <f t="shared" si="582"/>
        <v>0</v>
      </c>
      <c r="DM115" s="8">
        <v>0</v>
      </c>
      <c r="DN115" s="8">
        <v>0</v>
      </c>
      <c r="DO115" s="8">
        <v>0</v>
      </c>
      <c r="DP115" s="8">
        <v>0</v>
      </c>
      <c r="DQ115" s="9">
        <f t="shared" si="583"/>
        <v>0</v>
      </c>
      <c r="DR115" s="9">
        <f t="shared" si="584"/>
        <v>0</v>
      </c>
      <c r="DS115" s="9">
        <f t="shared" si="585"/>
        <v>0</v>
      </c>
      <c r="DT115" s="9">
        <f t="shared" si="586"/>
        <v>0</v>
      </c>
      <c r="DU115" s="9">
        <f t="shared" si="587"/>
        <v>0</v>
      </c>
      <c r="DV115" s="9">
        <f t="shared" si="588"/>
        <v>0</v>
      </c>
      <c r="DW115" s="8">
        <v>3</v>
      </c>
      <c r="DX115" s="8">
        <v>3</v>
      </c>
      <c r="DY115" s="8">
        <v>0</v>
      </c>
      <c r="DZ115" s="8">
        <v>0</v>
      </c>
      <c r="EA115" s="8">
        <v>0</v>
      </c>
      <c r="EB115" s="8">
        <v>1</v>
      </c>
      <c r="EC115" s="8">
        <v>1</v>
      </c>
      <c r="ED115" s="8">
        <v>0</v>
      </c>
      <c r="EE115" s="8">
        <v>1</v>
      </c>
      <c r="EF115" s="8">
        <v>1</v>
      </c>
      <c r="EG115" s="8">
        <v>0</v>
      </c>
      <c r="EH115" s="8">
        <v>0</v>
      </c>
      <c r="EI115" s="8">
        <v>0</v>
      </c>
      <c r="EJ115" s="8">
        <v>0</v>
      </c>
      <c r="EK115" s="8">
        <v>0</v>
      </c>
      <c r="EL115" s="8">
        <v>0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8">
        <v>0</v>
      </c>
      <c r="ES115" s="8">
        <v>0</v>
      </c>
      <c r="ET115" s="8">
        <v>0</v>
      </c>
      <c r="EU115" s="8">
        <v>0</v>
      </c>
      <c r="EV115" s="8">
        <v>0</v>
      </c>
      <c r="EW115" s="8">
        <v>0</v>
      </c>
      <c r="EX115" s="8">
        <v>0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</v>
      </c>
      <c r="FE115" s="8">
        <v>0</v>
      </c>
      <c r="FF115" s="8">
        <v>0</v>
      </c>
      <c r="FG115" s="9">
        <f t="shared" si="589"/>
        <v>10</v>
      </c>
      <c r="FH115" s="8">
        <v>5</v>
      </c>
      <c r="FI115" s="8">
        <v>8</v>
      </c>
      <c r="FJ115" s="8">
        <v>24</v>
      </c>
      <c r="FK115" s="8">
        <v>40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9">
        <f t="shared" si="590"/>
        <v>0</v>
      </c>
      <c r="FR115" s="8">
        <v>72354.28</v>
      </c>
      <c r="FS115" s="8">
        <v>0</v>
      </c>
      <c r="FT115" s="8">
        <v>0</v>
      </c>
      <c r="FU115" s="8">
        <v>0</v>
      </c>
      <c r="FV115" s="9">
        <f t="shared" si="591"/>
        <v>72354.28</v>
      </c>
      <c r="FW115" s="8">
        <v>4081293</v>
      </c>
      <c r="FX115" s="8">
        <v>4081293</v>
      </c>
      <c r="FY115" s="8">
        <v>3950900</v>
      </c>
      <c r="FZ115" s="8">
        <v>60850000</v>
      </c>
      <c r="GA115" s="9">
        <f t="shared" si="592"/>
        <v>72963486</v>
      </c>
      <c r="GB115" s="9">
        <f t="shared" si="593"/>
        <v>73035840.280000001</v>
      </c>
      <c r="GC115" s="8">
        <v>902259.12</v>
      </c>
      <c r="GD115" s="8">
        <v>902259.12</v>
      </c>
      <c r="GE115" s="8">
        <v>175715.56</v>
      </c>
      <c r="GF115" s="8">
        <v>0</v>
      </c>
      <c r="GG115" s="9">
        <f t="shared" si="594"/>
        <v>1980233.8</v>
      </c>
      <c r="GH115" s="8">
        <v>1077974.68</v>
      </c>
      <c r="GI115" s="8">
        <v>0</v>
      </c>
      <c r="GJ115" s="8">
        <v>0</v>
      </c>
      <c r="GK115" s="8">
        <v>0</v>
      </c>
      <c r="GL115" s="9">
        <f t="shared" si="595"/>
        <v>1077974.68</v>
      </c>
      <c r="GM115" s="9">
        <f t="shared" si="596"/>
        <v>3058208.48</v>
      </c>
      <c r="GN115" s="8">
        <v>21252.27</v>
      </c>
      <c r="GO115" s="8">
        <v>21252.27</v>
      </c>
      <c r="GP115" s="8">
        <v>6787.28</v>
      </c>
      <c r="GQ115" s="8">
        <v>0</v>
      </c>
      <c r="GR115" s="9">
        <f t="shared" si="597"/>
        <v>49291.82</v>
      </c>
      <c r="GS115" s="8">
        <v>34827</v>
      </c>
      <c r="GT115" s="8">
        <v>34827</v>
      </c>
      <c r="GU115" s="8">
        <v>1786</v>
      </c>
      <c r="GV115" s="8">
        <v>0</v>
      </c>
      <c r="GW115" s="9">
        <f t="shared" si="598"/>
        <v>71440</v>
      </c>
      <c r="GX115" s="9">
        <f t="shared" si="599"/>
        <v>3178940.3</v>
      </c>
      <c r="GY115" s="8">
        <v>12981353.92</v>
      </c>
      <c r="GZ115" s="8">
        <v>-21498738.829999998</v>
      </c>
      <c r="HA115" s="9">
        <f t="shared" si="600"/>
        <v>-8517384.9099999983</v>
      </c>
      <c r="HB115" s="9">
        <f t="shared" si="601"/>
        <v>6.3409074542859454</v>
      </c>
      <c r="HC115" s="10">
        <f t="shared" si="602"/>
        <v>4.5194622873642212</v>
      </c>
      <c r="HD115" s="9">
        <f t="shared" si="603"/>
        <v>22.974901504127022</v>
      </c>
      <c r="HE115" s="8">
        <v>15</v>
      </c>
      <c r="HF115" s="8">
        <v>1</v>
      </c>
      <c r="HG115" s="8">
        <v>2</v>
      </c>
      <c r="HH115" s="8">
        <v>15</v>
      </c>
      <c r="HI115" s="8">
        <v>7</v>
      </c>
      <c r="HJ115" s="9">
        <f t="shared" si="604"/>
        <v>8</v>
      </c>
      <c r="HK115" s="10">
        <f t="shared" si="605"/>
        <v>1</v>
      </c>
      <c r="HL115" s="8">
        <v>2</v>
      </c>
      <c r="HM115" s="8">
        <v>2</v>
      </c>
      <c r="HN115" s="11">
        <f t="shared" si="606"/>
        <v>1</v>
      </c>
    </row>
    <row r="116" spans="1:222" x14ac:dyDescent="0.3">
      <c r="A116" s="12" t="s">
        <v>280</v>
      </c>
      <c r="B116" s="12" t="s">
        <v>282</v>
      </c>
      <c r="C116" s="13" t="s">
        <v>257</v>
      </c>
      <c r="D116" s="13">
        <v>2025</v>
      </c>
      <c r="E116" s="13">
        <v>9</v>
      </c>
      <c r="F116" s="13" t="s">
        <v>265</v>
      </c>
      <c r="G116" s="13" t="s">
        <v>263</v>
      </c>
      <c r="H116" s="14">
        <v>20243</v>
      </c>
      <c r="I116" s="14">
        <v>743</v>
      </c>
      <c r="J116" s="14">
        <v>0</v>
      </c>
      <c r="K116" s="14">
        <v>58</v>
      </c>
      <c r="L116" s="14">
        <v>0</v>
      </c>
      <c r="M116" s="15">
        <f t="shared" si="546"/>
        <v>801</v>
      </c>
      <c r="N116" s="14">
        <v>2705</v>
      </c>
      <c r="O116" s="14">
        <v>0</v>
      </c>
      <c r="P116" s="14">
        <v>13125</v>
      </c>
      <c r="Q116" s="14">
        <v>795.10000000000105</v>
      </c>
      <c r="R116" s="15">
        <f t="shared" si="547"/>
        <v>16625.100000000002</v>
      </c>
      <c r="S116" s="15">
        <f t="shared" si="548"/>
        <v>17426.100000000002</v>
      </c>
      <c r="T116" s="14">
        <v>2816.9</v>
      </c>
      <c r="U116" s="16">
        <f t="shared" si="549"/>
        <v>0.13915427555204268</v>
      </c>
      <c r="V116" s="14">
        <v>23</v>
      </c>
      <c r="W116" s="17">
        <f t="shared" si="550"/>
        <v>1.1361952279800424E-3</v>
      </c>
      <c r="X116" s="14">
        <v>0</v>
      </c>
      <c r="Y116" s="17">
        <f t="shared" si="551"/>
        <v>0</v>
      </c>
      <c r="Z116" s="14">
        <v>0</v>
      </c>
      <c r="AA116" s="17">
        <f t="shared" si="552"/>
        <v>0</v>
      </c>
      <c r="AB116" s="14">
        <v>0</v>
      </c>
      <c r="AC116" s="17">
        <f t="shared" si="553"/>
        <v>0</v>
      </c>
      <c r="AD116" s="14">
        <v>0</v>
      </c>
      <c r="AE116" s="17">
        <f t="shared" si="554"/>
        <v>0</v>
      </c>
      <c r="AF116" s="14">
        <v>0</v>
      </c>
      <c r="AG116" s="17">
        <f t="shared" si="555"/>
        <v>0</v>
      </c>
      <c r="AH116" s="14">
        <v>117568.41</v>
      </c>
      <c r="AI116" s="15">
        <f t="shared" si="556"/>
        <v>5.8078550610087438</v>
      </c>
      <c r="AJ116" s="14">
        <v>14230</v>
      </c>
      <c r="AK116" s="17">
        <f t="shared" si="557"/>
        <v>0.70295904757200023</v>
      </c>
      <c r="AL116" s="14">
        <v>1990860.345</v>
      </c>
      <c r="AM116" s="15">
        <f t="shared" si="558"/>
        <v>98.348087981030474</v>
      </c>
      <c r="AN116" s="14">
        <v>0</v>
      </c>
      <c r="AO116" s="14">
        <v>0</v>
      </c>
      <c r="AP116" s="14">
        <v>0</v>
      </c>
      <c r="AQ116" s="14">
        <v>0</v>
      </c>
      <c r="AR116" s="14">
        <v>9267496.3399999999</v>
      </c>
      <c r="AS116" s="14">
        <v>954693.52</v>
      </c>
      <c r="AT116" s="14">
        <v>2686140.0649999999</v>
      </c>
      <c r="AU116" s="15">
        <f t="shared" si="559"/>
        <v>15016758.679999998</v>
      </c>
      <c r="AV116" s="15">
        <f t="shared" si="560"/>
        <v>741.82476312799474</v>
      </c>
      <c r="AW116" s="15">
        <f t="shared" si="561"/>
        <v>861.73949879778013</v>
      </c>
      <c r="AX116" s="14">
        <v>4</v>
      </c>
      <c r="AY116" s="15">
        <f t="shared" si="562"/>
        <v>2.3711900410018281</v>
      </c>
      <c r="AZ116" s="14">
        <v>7</v>
      </c>
      <c r="BA116" s="14">
        <v>2</v>
      </c>
      <c r="BB116" s="14">
        <v>13</v>
      </c>
      <c r="BC116" s="14">
        <v>14</v>
      </c>
      <c r="BD116" s="14">
        <v>0</v>
      </c>
      <c r="BE116" s="15">
        <f t="shared" si="563"/>
        <v>14</v>
      </c>
      <c r="BF116" s="15">
        <f t="shared" si="564"/>
        <v>1</v>
      </c>
      <c r="BG116" s="14">
        <v>0</v>
      </c>
      <c r="BH116" s="14">
        <v>0</v>
      </c>
      <c r="BI116" s="14">
        <v>0</v>
      </c>
      <c r="BJ116" s="14">
        <v>0</v>
      </c>
      <c r="BK116" s="15">
        <f t="shared" si="565"/>
        <v>0</v>
      </c>
      <c r="BL116" s="15">
        <f t="shared" si="566"/>
        <v>0</v>
      </c>
      <c r="BM116" s="14">
        <v>0</v>
      </c>
      <c r="BN116" s="14">
        <v>0</v>
      </c>
      <c r="BO116" s="14">
        <v>0</v>
      </c>
      <c r="BP116" s="14">
        <v>0</v>
      </c>
      <c r="BQ116" s="15">
        <f t="shared" si="567"/>
        <v>0</v>
      </c>
      <c r="BR116" s="15">
        <f t="shared" si="568"/>
        <v>0</v>
      </c>
      <c r="BS116" s="14">
        <v>0</v>
      </c>
      <c r="BT116" s="14">
        <v>0</v>
      </c>
      <c r="BU116" s="14">
        <v>0</v>
      </c>
      <c r="BV116" s="14">
        <v>0</v>
      </c>
      <c r="BW116" s="15">
        <f t="shared" si="569"/>
        <v>0</v>
      </c>
      <c r="BX116" s="15">
        <f t="shared" si="570"/>
        <v>0</v>
      </c>
      <c r="BY116" s="15">
        <f t="shared" si="571"/>
        <v>2</v>
      </c>
      <c r="BZ116" s="15">
        <f t="shared" si="572"/>
        <v>13</v>
      </c>
      <c r="CA116" s="15">
        <f t="shared" si="573"/>
        <v>14</v>
      </c>
      <c r="CB116" s="15">
        <f t="shared" si="574"/>
        <v>1</v>
      </c>
      <c r="CC116" s="14">
        <v>0</v>
      </c>
      <c r="CD116" s="14">
        <v>3</v>
      </c>
      <c r="CE116" s="14">
        <v>0</v>
      </c>
      <c r="CF116" s="14">
        <v>0</v>
      </c>
      <c r="CG116" s="14">
        <v>0</v>
      </c>
      <c r="CH116" s="15">
        <f t="shared" si="575"/>
        <v>3</v>
      </c>
      <c r="CI116" s="14">
        <v>53</v>
      </c>
      <c r="CJ116" s="14">
        <v>2</v>
      </c>
      <c r="CK116" s="14">
        <v>0</v>
      </c>
      <c r="CL116" s="14">
        <v>0</v>
      </c>
      <c r="CM116" s="15">
        <f t="shared" si="576"/>
        <v>55</v>
      </c>
      <c r="CN116" s="14">
        <v>219</v>
      </c>
      <c r="CO116" s="14">
        <v>9</v>
      </c>
      <c r="CP116" s="14">
        <v>10</v>
      </c>
      <c r="CQ116" s="14">
        <v>0</v>
      </c>
      <c r="CR116" s="15">
        <f t="shared" si="577"/>
        <v>238</v>
      </c>
      <c r="CS116" s="15">
        <f t="shared" si="578"/>
        <v>293</v>
      </c>
      <c r="CT116" s="14">
        <v>296</v>
      </c>
      <c r="CU116" s="14">
        <v>4359</v>
      </c>
      <c r="CV116" s="14">
        <v>4105</v>
      </c>
      <c r="CW116" s="16">
        <f t="shared" si="579"/>
        <v>0.94172975453085572</v>
      </c>
      <c r="CX116" s="14"/>
      <c r="CY116" s="14"/>
      <c r="CZ116" s="14"/>
      <c r="DA116" s="14"/>
      <c r="DB116" s="15">
        <f t="shared" si="580"/>
        <v>0</v>
      </c>
      <c r="DC116" s="14">
        <v>0</v>
      </c>
      <c r="DD116" s="14">
        <v>0</v>
      </c>
      <c r="DE116" s="14">
        <v>0</v>
      </c>
      <c r="DF116" s="14">
        <v>0</v>
      </c>
      <c r="DG116" s="15">
        <f t="shared" si="581"/>
        <v>0</v>
      </c>
      <c r="DH116" s="14">
        <v>0</v>
      </c>
      <c r="DI116" s="14">
        <v>0</v>
      </c>
      <c r="DJ116" s="14">
        <v>0</v>
      </c>
      <c r="DK116" s="14">
        <v>0</v>
      </c>
      <c r="DL116" s="15">
        <f t="shared" si="582"/>
        <v>0</v>
      </c>
      <c r="DM116" s="14">
        <v>0</v>
      </c>
      <c r="DN116" s="14">
        <v>0</v>
      </c>
      <c r="DO116" s="14">
        <v>0</v>
      </c>
      <c r="DP116" s="14">
        <v>0</v>
      </c>
      <c r="DQ116" s="15">
        <f t="shared" si="583"/>
        <v>0</v>
      </c>
      <c r="DR116" s="15">
        <f t="shared" si="584"/>
        <v>0</v>
      </c>
      <c r="DS116" s="15">
        <f t="shared" si="585"/>
        <v>0</v>
      </c>
      <c r="DT116" s="15">
        <f t="shared" si="586"/>
        <v>0</v>
      </c>
      <c r="DU116" s="15">
        <f t="shared" si="587"/>
        <v>0</v>
      </c>
      <c r="DV116" s="15">
        <f t="shared" si="588"/>
        <v>0</v>
      </c>
      <c r="DW116" s="14">
        <v>5</v>
      </c>
      <c r="DX116" s="14">
        <v>3</v>
      </c>
      <c r="DY116" s="14">
        <v>1</v>
      </c>
      <c r="DZ116" s="14">
        <v>1</v>
      </c>
      <c r="EA116" s="14">
        <v>0</v>
      </c>
      <c r="EB116" s="14">
        <v>0</v>
      </c>
      <c r="EC116" s="14">
        <v>0</v>
      </c>
      <c r="ED116" s="14">
        <v>1</v>
      </c>
      <c r="EE116" s="14">
        <v>1</v>
      </c>
      <c r="EF116" s="14">
        <v>1</v>
      </c>
      <c r="EG116" s="14">
        <v>0</v>
      </c>
      <c r="EH116" s="14">
        <v>0</v>
      </c>
      <c r="EI116" s="14">
        <v>0</v>
      </c>
      <c r="EJ116" s="14">
        <v>0</v>
      </c>
      <c r="EK116" s="14">
        <v>0</v>
      </c>
      <c r="EL116" s="14">
        <v>0</v>
      </c>
      <c r="EM116" s="14">
        <v>0</v>
      </c>
      <c r="EN116" s="14">
        <v>0</v>
      </c>
      <c r="EO116" s="14">
        <v>0</v>
      </c>
      <c r="EP116" s="14">
        <v>0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5">
        <f t="shared" si="589"/>
        <v>13</v>
      </c>
      <c r="FH116" s="14">
        <v>3</v>
      </c>
      <c r="FI116" s="14">
        <v>12</v>
      </c>
      <c r="FJ116" s="14">
        <v>24</v>
      </c>
      <c r="FK116" s="14">
        <v>36</v>
      </c>
      <c r="FL116" s="14">
        <v>36</v>
      </c>
      <c r="FM116" s="14">
        <v>0</v>
      </c>
      <c r="FN116" s="14">
        <v>0</v>
      </c>
      <c r="FO116" s="14">
        <v>0</v>
      </c>
      <c r="FP116" s="14">
        <v>0</v>
      </c>
      <c r="FQ116" s="15">
        <f t="shared" si="590"/>
        <v>36</v>
      </c>
      <c r="FR116" s="14">
        <v>357053.44</v>
      </c>
      <c r="FS116" s="14">
        <v>0</v>
      </c>
      <c r="FT116" s="14">
        <v>0</v>
      </c>
      <c r="FU116" s="14">
        <v>0</v>
      </c>
      <c r="FV116" s="15">
        <f t="shared" si="591"/>
        <v>357053.44</v>
      </c>
      <c r="FW116" s="14">
        <v>3971263</v>
      </c>
      <c r="FX116" s="14">
        <v>3971263</v>
      </c>
      <c r="FY116" s="14">
        <v>3759900</v>
      </c>
      <c r="FZ116" s="14">
        <v>32029500</v>
      </c>
      <c r="GA116" s="15">
        <f t="shared" si="592"/>
        <v>43731926</v>
      </c>
      <c r="GB116" s="15">
        <f t="shared" si="593"/>
        <v>44088979.439999998</v>
      </c>
      <c r="GC116" s="14">
        <v>694710.58</v>
      </c>
      <c r="GD116" s="14">
        <v>694710.58</v>
      </c>
      <c r="GE116" s="14">
        <v>175715.56</v>
      </c>
      <c r="GF116" s="14">
        <v>0</v>
      </c>
      <c r="GG116" s="15">
        <f t="shared" si="594"/>
        <v>1565136.72</v>
      </c>
      <c r="GH116" s="14">
        <v>870426.14</v>
      </c>
      <c r="GI116" s="14">
        <v>0</v>
      </c>
      <c r="GJ116" s="14">
        <v>0</v>
      </c>
      <c r="GK116" s="14">
        <v>0</v>
      </c>
      <c r="GL116" s="15">
        <f t="shared" si="595"/>
        <v>870426.14</v>
      </c>
      <c r="GM116" s="15">
        <f t="shared" si="596"/>
        <v>2435562.86</v>
      </c>
      <c r="GN116" s="14">
        <v>28881.29</v>
      </c>
      <c r="GO116" s="14">
        <v>28881.29</v>
      </c>
      <c r="GP116" s="14">
        <v>6787.28</v>
      </c>
      <c r="GQ116" s="14">
        <v>0</v>
      </c>
      <c r="GR116" s="15">
        <f t="shared" si="597"/>
        <v>64549.86</v>
      </c>
      <c r="GS116" s="14">
        <v>47329</v>
      </c>
      <c r="GT116" s="14">
        <v>47329</v>
      </c>
      <c r="GU116" s="14">
        <v>1786</v>
      </c>
      <c r="GV116" s="14">
        <v>0</v>
      </c>
      <c r="GW116" s="15">
        <f t="shared" si="598"/>
        <v>96444</v>
      </c>
      <c r="GX116" s="15">
        <f t="shared" si="599"/>
        <v>2596556.7199999997</v>
      </c>
      <c r="GY116" s="14">
        <v>12981353.92</v>
      </c>
      <c r="GZ116" s="14">
        <v>-21498738.829999998</v>
      </c>
      <c r="HA116" s="15">
        <f t="shared" si="600"/>
        <v>-8517384.9099999983</v>
      </c>
      <c r="HB116" s="15">
        <f t="shared" si="601"/>
        <v>5.7833355090352114</v>
      </c>
      <c r="HC116" s="16">
        <f t="shared" si="602"/>
        <v>2.8302241846728169</v>
      </c>
      <c r="HD116" s="15">
        <f t="shared" si="603"/>
        <v>16.979786769302695</v>
      </c>
      <c r="HE116" s="14">
        <v>13</v>
      </c>
      <c r="HF116" s="14">
        <v>1</v>
      </c>
      <c r="HG116" s="14">
        <v>1</v>
      </c>
      <c r="HH116" s="14">
        <v>13</v>
      </c>
      <c r="HI116" s="14">
        <v>7</v>
      </c>
      <c r="HJ116" s="15">
        <f t="shared" si="604"/>
        <v>8</v>
      </c>
      <c r="HK116" s="16">
        <f t="shared" si="605"/>
        <v>1</v>
      </c>
      <c r="HL116" s="14">
        <v>4</v>
      </c>
      <c r="HM116" s="14">
        <v>2</v>
      </c>
      <c r="HN116" s="17">
        <f t="shared" si="606"/>
        <v>0.5</v>
      </c>
    </row>
    <row r="117" spans="1:222" x14ac:dyDescent="0.3">
      <c r="A117" s="6" t="s">
        <v>280</v>
      </c>
      <c r="B117" s="6" t="s">
        <v>282</v>
      </c>
      <c r="C117" s="7" t="s">
        <v>257</v>
      </c>
      <c r="D117" s="7">
        <v>2025</v>
      </c>
      <c r="E117" s="7">
        <v>10</v>
      </c>
      <c r="F117" s="7" t="s">
        <v>266</v>
      </c>
      <c r="G117" s="7" t="s">
        <v>267</v>
      </c>
      <c r="H117" s="8">
        <v>25918</v>
      </c>
      <c r="I117" s="8">
        <v>1221</v>
      </c>
      <c r="J117" s="8">
        <v>0</v>
      </c>
      <c r="K117" s="8">
        <v>67</v>
      </c>
      <c r="L117" s="8">
        <v>0</v>
      </c>
      <c r="M117" s="9">
        <f t="shared" si="546"/>
        <v>1288</v>
      </c>
      <c r="N117" s="8">
        <v>2884.4</v>
      </c>
      <c r="O117" s="8">
        <v>0</v>
      </c>
      <c r="P117" s="8">
        <v>14102</v>
      </c>
      <c r="Q117" s="8">
        <v>1619.3999999999901</v>
      </c>
      <c r="R117" s="9">
        <f t="shared" si="547"/>
        <v>18605.799999999992</v>
      </c>
      <c r="S117" s="9">
        <f t="shared" si="548"/>
        <v>19893.799999999992</v>
      </c>
      <c r="T117" s="8">
        <v>6024.2000000000098</v>
      </c>
      <c r="U117" s="10">
        <f t="shared" si="549"/>
        <v>0.23243305810633574</v>
      </c>
      <c r="V117" s="8">
        <v>25</v>
      </c>
      <c r="W117" s="11">
        <f t="shared" si="550"/>
        <v>9.6458060035496565E-4</v>
      </c>
      <c r="X117" s="8">
        <v>0</v>
      </c>
      <c r="Y117" s="11">
        <f t="shared" si="551"/>
        <v>0</v>
      </c>
      <c r="Z117" s="8">
        <v>0</v>
      </c>
      <c r="AA117" s="11">
        <f t="shared" si="552"/>
        <v>0</v>
      </c>
      <c r="AB117" s="8">
        <v>0</v>
      </c>
      <c r="AC117" s="11">
        <f t="shared" si="553"/>
        <v>0</v>
      </c>
      <c r="AD117" s="8">
        <v>0</v>
      </c>
      <c r="AE117" s="11">
        <f t="shared" si="554"/>
        <v>0</v>
      </c>
      <c r="AF117" s="8">
        <v>0</v>
      </c>
      <c r="AG117" s="11">
        <f t="shared" si="555"/>
        <v>0</v>
      </c>
      <c r="AH117" s="8">
        <v>127791.75</v>
      </c>
      <c r="AI117" s="9">
        <f t="shared" si="556"/>
        <v>4.9306177174164674</v>
      </c>
      <c r="AJ117" s="8">
        <v>14230</v>
      </c>
      <c r="AK117" s="11">
        <f t="shared" si="557"/>
        <v>0.54903927772204641</v>
      </c>
      <c r="AL117" s="8">
        <v>1990860.345</v>
      </c>
      <c r="AM117" s="9">
        <f t="shared" si="558"/>
        <v>76.813810672119757</v>
      </c>
      <c r="AN117" s="8">
        <v>0</v>
      </c>
      <c r="AO117" s="8">
        <v>15</v>
      </c>
      <c r="AP117" s="8">
        <v>52500</v>
      </c>
      <c r="AQ117" s="8">
        <v>0</v>
      </c>
      <c r="AR117" s="8">
        <v>11013009.41</v>
      </c>
      <c r="AS117" s="8">
        <v>0</v>
      </c>
      <c r="AT117" s="8">
        <v>2100000</v>
      </c>
      <c r="AU117" s="9">
        <f t="shared" si="559"/>
        <v>15284161.504999999</v>
      </c>
      <c r="AV117" s="9">
        <f t="shared" si="560"/>
        <v>589.71222721660615</v>
      </c>
      <c r="AW117" s="9">
        <f t="shared" si="561"/>
        <v>768.28768284591206</v>
      </c>
      <c r="AX117" s="8">
        <v>4</v>
      </c>
      <c r="AY117" s="9">
        <f t="shared" si="562"/>
        <v>1.8519947526815341</v>
      </c>
      <c r="AZ117" s="8">
        <v>9</v>
      </c>
      <c r="BA117" s="8">
        <v>1</v>
      </c>
      <c r="BB117" s="8">
        <v>8</v>
      </c>
      <c r="BC117" s="8">
        <v>7</v>
      </c>
      <c r="BD117" s="8">
        <v>0</v>
      </c>
      <c r="BE117" s="9">
        <f t="shared" si="563"/>
        <v>7</v>
      </c>
      <c r="BF117" s="9">
        <f t="shared" si="564"/>
        <v>2</v>
      </c>
      <c r="BG117" s="8">
        <v>0</v>
      </c>
      <c r="BH117" s="8">
        <v>0</v>
      </c>
      <c r="BI117" s="8">
        <v>0</v>
      </c>
      <c r="BJ117" s="8">
        <v>0</v>
      </c>
      <c r="BK117" s="9">
        <f t="shared" si="565"/>
        <v>0</v>
      </c>
      <c r="BL117" s="9">
        <f t="shared" si="566"/>
        <v>0</v>
      </c>
      <c r="BM117" s="8">
        <v>0</v>
      </c>
      <c r="BN117" s="8">
        <v>0</v>
      </c>
      <c r="BO117" s="8">
        <v>0</v>
      </c>
      <c r="BP117" s="8">
        <v>0</v>
      </c>
      <c r="BQ117" s="9">
        <f t="shared" si="567"/>
        <v>0</v>
      </c>
      <c r="BR117" s="9">
        <f t="shared" si="568"/>
        <v>0</v>
      </c>
      <c r="BS117" s="8">
        <v>0</v>
      </c>
      <c r="BT117" s="8">
        <v>0</v>
      </c>
      <c r="BU117" s="8">
        <v>0</v>
      </c>
      <c r="BV117" s="8">
        <v>0</v>
      </c>
      <c r="BW117" s="9">
        <f t="shared" si="569"/>
        <v>0</v>
      </c>
      <c r="BX117" s="9">
        <f t="shared" si="570"/>
        <v>0</v>
      </c>
      <c r="BY117" s="9">
        <f t="shared" si="571"/>
        <v>1</v>
      </c>
      <c r="BZ117" s="9">
        <f t="shared" si="572"/>
        <v>8</v>
      </c>
      <c r="CA117" s="9">
        <f t="shared" si="573"/>
        <v>7</v>
      </c>
      <c r="CB117" s="9">
        <f t="shared" si="574"/>
        <v>2</v>
      </c>
      <c r="CC117" s="8">
        <v>0</v>
      </c>
      <c r="CD117" s="8">
        <v>3</v>
      </c>
      <c r="CE117" s="8">
        <v>0</v>
      </c>
      <c r="CF117" s="8">
        <v>0</v>
      </c>
      <c r="CG117" s="8">
        <v>0</v>
      </c>
      <c r="CH117" s="9">
        <f t="shared" si="575"/>
        <v>3</v>
      </c>
      <c r="CI117" s="8">
        <v>60</v>
      </c>
      <c r="CJ117" s="8">
        <v>2</v>
      </c>
      <c r="CK117" s="8">
        <v>0</v>
      </c>
      <c r="CL117" s="8">
        <v>0</v>
      </c>
      <c r="CM117" s="9">
        <f t="shared" si="576"/>
        <v>62</v>
      </c>
      <c r="CN117" s="8">
        <v>212</v>
      </c>
      <c r="CO117" s="8">
        <v>9</v>
      </c>
      <c r="CP117" s="8">
        <v>10</v>
      </c>
      <c r="CQ117" s="8">
        <v>0</v>
      </c>
      <c r="CR117" s="9">
        <f t="shared" si="577"/>
        <v>231</v>
      </c>
      <c r="CS117" s="9">
        <f t="shared" si="578"/>
        <v>293</v>
      </c>
      <c r="CT117" s="8">
        <v>296</v>
      </c>
      <c r="CU117" s="8">
        <v>4359</v>
      </c>
      <c r="CV117" s="8">
        <v>4105</v>
      </c>
      <c r="CW117" s="10">
        <f t="shared" si="579"/>
        <v>0.94172975453085572</v>
      </c>
      <c r="CX117" s="8"/>
      <c r="CY117" s="8"/>
      <c r="CZ117" s="8"/>
      <c r="DA117" s="8"/>
      <c r="DB117" s="9">
        <f t="shared" si="580"/>
        <v>0</v>
      </c>
      <c r="DC117" s="8">
        <v>0</v>
      </c>
      <c r="DD117" s="8">
        <v>0</v>
      </c>
      <c r="DE117" s="8">
        <v>0</v>
      </c>
      <c r="DF117" s="8">
        <v>0</v>
      </c>
      <c r="DG117" s="9">
        <f t="shared" si="581"/>
        <v>0</v>
      </c>
      <c r="DH117" s="8">
        <v>0</v>
      </c>
      <c r="DI117" s="8">
        <v>0</v>
      </c>
      <c r="DJ117" s="8">
        <v>0</v>
      </c>
      <c r="DK117" s="8">
        <v>0</v>
      </c>
      <c r="DL117" s="9">
        <f t="shared" si="582"/>
        <v>0</v>
      </c>
      <c r="DM117" s="8">
        <v>0</v>
      </c>
      <c r="DN117" s="8">
        <v>0</v>
      </c>
      <c r="DO117" s="8">
        <v>0</v>
      </c>
      <c r="DP117" s="8">
        <v>0</v>
      </c>
      <c r="DQ117" s="9">
        <f t="shared" si="583"/>
        <v>0</v>
      </c>
      <c r="DR117" s="9">
        <f t="shared" si="584"/>
        <v>0</v>
      </c>
      <c r="DS117" s="9">
        <f t="shared" si="585"/>
        <v>0</v>
      </c>
      <c r="DT117" s="9">
        <f t="shared" si="586"/>
        <v>0</v>
      </c>
      <c r="DU117" s="9">
        <f t="shared" si="587"/>
        <v>0</v>
      </c>
      <c r="DV117" s="9">
        <f t="shared" si="588"/>
        <v>0</v>
      </c>
      <c r="DW117" s="8">
        <v>7</v>
      </c>
      <c r="DX117" s="8">
        <v>4</v>
      </c>
      <c r="DY117" s="8">
        <v>3</v>
      </c>
      <c r="DZ117" s="8">
        <v>3</v>
      </c>
      <c r="EA117" s="8">
        <v>0</v>
      </c>
      <c r="EB117" s="8">
        <v>0</v>
      </c>
      <c r="EC117" s="8">
        <v>0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9">
        <f t="shared" si="589"/>
        <v>17</v>
      </c>
      <c r="FH117" s="8">
        <v>4</v>
      </c>
      <c r="FI117" s="8">
        <v>8</v>
      </c>
      <c r="FJ117" s="8">
        <v>23</v>
      </c>
      <c r="FK117" s="8">
        <v>32</v>
      </c>
      <c r="FL117" s="8">
        <v>32</v>
      </c>
      <c r="FM117" s="8">
        <v>0</v>
      </c>
      <c r="FN117" s="8">
        <v>0</v>
      </c>
      <c r="FO117" s="8">
        <v>0</v>
      </c>
      <c r="FP117" s="8">
        <v>0</v>
      </c>
      <c r="FQ117" s="9">
        <f t="shared" si="590"/>
        <v>32</v>
      </c>
      <c r="FR117" s="8">
        <v>248329.99</v>
      </c>
      <c r="FS117" s="8">
        <v>0</v>
      </c>
      <c r="FT117" s="8">
        <v>0</v>
      </c>
      <c r="FU117" s="8">
        <v>0</v>
      </c>
      <c r="FV117" s="9">
        <f t="shared" si="591"/>
        <v>248329.99</v>
      </c>
      <c r="FW117" s="8">
        <v>3814438</v>
      </c>
      <c r="FX117" s="8">
        <v>3814438</v>
      </c>
      <c r="FY117" s="8">
        <v>7670300</v>
      </c>
      <c r="FZ117" s="8">
        <v>55019000</v>
      </c>
      <c r="GA117" s="9">
        <f t="shared" si="592"/>
        <v>70318176</v>
      </c>
      <c r="GB117" s="9">
        <f t="shared" si="593"/>
        <v>70566505.989999995</v>
      </c>
      <c r="GC117" s="8">
        <v>1126927.8400000001</v>
      </c>
      <c r="GD117" s="8">
        <v>1126927.8400000001</v>
      </c>
      <c r="GE117" s="8">
        <v>206850.79</v>
      </c>
      <c r="GF117" s="8">
        <v>0</v>
      </c>
      <c r="GG117" s="9">
        <f t="shared" si="594"/>
        <v>2460706.4700000002</v>
      </c>
      <c r="GH117" s="8">
        <v>1333778.6299999999</v>
      </c>
      <c r="GI117" s="8">
        <v>0</v>
      </c>
      <c r="GJ117" s="8">
        <v>0</v>
      </c>
      <c r="GK117" s="8">
        <v>0</v>
      </c>
      <c r="GL117" s="9">
        <f t="shared" si="595"/>
        <v>1333778.6299999999</v>
      </c>
      <c r="GM117" s="9">
        <f t="shared" si="596"/>
        <v>3794485.1</v>
      </c>
      <c r="GN117" s="8">
        <v>32695.8</v>
      </c>
      <c r="GO117" s="8">
        <v>32695.8</v>
      </c>
      <c r="GP117" s="8">
        <v>6787.28</v>
      </c>
      <c r="GQ117" s="8">
        <v>0</v>
      </c>
      <c r="GR117" s="9">
        <f t="shared" si="597"/>
        <v>72178.880000000005</v>
      </c>
      <c r="GS117" s="8">
        <v>53580</v>
      </c>
      <c r="GT117" s="8">
        <v>53580</v>
      </c>
      <c r="GU117" s="8">
        <v>1786</v>
      </c>
      <c r="GV117" s="8">
        <v>0</v>
      </c>
      <c r="GW117" s="9">
        <f t="shared" si="598"/>
        <v>108946</v>
      </c>
      <c r="GX117" s="9">
        <f t="shared" si="599"/>
        <v>3975609.98</v>
      </c>
      <c r="GY117" s="8">
        <v>12981353.92</v>
      </c>
      <c r="GZ117" s="8">
        <v>-21498738.829999998</v>
      </c>
      <c r="HA117" s="9">
        <f t="shared" si="600"/>
        <v>-8517384.9099999983</v>
      </c>
      <c r="HB117" s="9">
        <f t="shared" si="601"/>
        <v>3.8444821252310066</v>
      </c>
      <c r="HC117" s="10">
        <f t="shared" si="602"/>
        <v>4.1615059397513958</v>
      </c>
      <c r="HD117" s="9">
        <f t="shared" si="603"/>
        <v>17.74985633525349</v>
      </c>
      <c r="HE117" s="8">
        <v>8</v>
      </c>
      <c r="HF117" s="8">
        <v>1</v>
      </c>
      <c r="HG117" s="8">
        <v>2</v>
      </c>
      <c r="HH117" s="8">
        <v>8</v>
      </c>
      <c r="HI117" s="8">
        <v>7</v>
      </c>
      <c r="HJ117" s="9">
        <f t="shared" si="604"/>
        <v>8</v>
      </c>
      <c r="HK117" s="10">
        <f t="shared" si="605"/>
        <v>1</v>
      </c>
      <c r="HL117" s="8">
        <v>4</v>
      </c>
      <c r="HM117" s="8">
        <v>1</v>
      </c>
      <c r="HN117" s="11">
        <f t="shared" si="606"/>
        <v>0.25</v>
      </c>
    </row>
    <row r="118" spans="1:222" x14ac:dyDescent="0.3">
      <c r="A118" s="12" t="s">
        <v>280</v>
      </c>
      <c r="B118" s="12" t="s">
        <v>282</v>
      </c>
      <c r="C118" s="13" t="s">
        <v>257</v>
      </c>
      <c r="D118" s="13">
        <v>2025</v>
      </c>
      <c r="E118" s="13">
        <v>11</v>
      </c>
      <c r="F118" s="13" t="s">
        <v>268</v>
      </c>
      <c r="G118" s="13" t="s">
        <v>267</v>
      </c>
      <c r="H118" s="14">
        <v>10281</v>
      </c>
      <c r="I118" s="14">
        <v>780</v>
      </c>
      <c r="J118" s="14">
        <v>0</v>
      </c>
      <c r="K118" s="14">
        <v>45</v>
      </c>
      <c r="L118" s="14">
        <v>0</v>
      </c>
      <c r="M118" s="15">
        <f t="shared" si="546"/>
        <v>825</v>
      </c>
      <c r="N118" s="14">
        <v>1511</v>
      </c>
      <c r="O118" s="14">
        <v>0</v>
      </c>
      <c r="P118" s="14">
        <v>4270</v>
      </c>
      <c r="Q118" s="14">
        <v>752</v>
      </c>
      <c r="R118" s="15">
        <f t="shared" si="547"/>
        <v>6533</v>
      </c>
      <c r="S118" s="15">
        <f t="shared" si="548"/>
        <v>7358</v>
      </c>
      <c r="T118" s="14">
        <v>2923</v>
      </c>
      <c r="U118" s="16">
        <f t="shared" si="549"/>
        <v>0.28431086470187727</v>
      </c>
      <c r="V118" s="14">
        <v>18</v>
      </c>
      <c r="W118" s="17">
        <f t="shared" si="550"/>
        <v>1.7508024511234317E-3</v>
      </c>
      <c r="X118" s="14">
        <v>0</v>
      </c>
      <c r="Y118" s="17">
        <f t="shared" si="551"/>
        <v>0</v>
      </c>
      <c r="Z118" s="14">
        <v>0</v>
      </c>
      <c r="AA118" s="17">
        <f t="shared" si="552"/>
        <v>0</v>
      </c>
      <c r="AB118" s="14">
        <v>0</v>
      </c>
      <c r="AC118" s="17">
        <f t="shared" si="553"/>
        <v>0</v>
      </c>
      <c r="AD118" s="14">
        <v>0</v>
      </c>
      <c r="AE118" s="17">
        <f t="shared" si="554"/>
        <v>0</v>
      </c>
      <c r="AF118" s="14">
        <v>0</v>
      </c>
      <c r="AG118" s="17">
        <f t="shared" si="555"/>
        <v>0</v>
      </c>
      <c r="AH118" s="14">
        <v>92010.06</v>
      </c>
      <c r="AI118" s="15">
        <f t="shared" si="556"/>
        <v>8.9495243653341117</v>
      </c>
      <c r="AJ118" s="14">
        <v>12000</v>
      </c>
      <c r="AK118" s="17">
        <f t="shared" si="557"/>
        <v>1.1672016340822877</v>
      </c>
      <c r="AL118" s="14">
        <v>1681444.5</v>
      </c>
      <c r="AM118" s="15">
        <f t="shared" si="558"/>
        <v>163.54873066822293</v>
      </c>
      <c r="AN118" s="14">
        <v>0</v>
      </c>
      <c r="AO118" s="14">
        <v>0</v>
      </c>
      <c r="AP118" s="14">
        <v>0</v>
      </c>
      <c r="AQ118" s="14">
        <v>0</v>
      </c>
      <c r="AR118" s="14">
        <v>9187721.4000000004</v>
      </c>
      <c r="AS118" s="14">
        <v>0</v>
      </c>
      <c r="AT118" s="14">
        <v>0</v>
      </c>
      <c r="AU118" s="15">
        <f t="shared" si="559"/>
        <v>10961175.960000001</v>
      </c>
      <c r="AV118" s="15">
        <f t="shared" si="560"/>
        <v>1066.1585409979575</v>
      </c>
      <c r="AW118" s="15">
        <f t="shared" si="561"/>
        <v>1489.6950203859747</v>
      </c>
      <c r="AX118" s="14">
        <v>4</v>
      </c>
      <c r="AY118" s="15">
        <f t="shared" si="562"/>
        <v>4.6688065363291509</v>
      </c>
      <c r="AZ118" s="14">
        <v>9</v>
      </c>
      <c r="BA118" s="14">
        <v>2</v>
      </c>
      <c r="BB118" s="14">
        <v>0</v>
      </c>
      <c r="BC118" s="14">
        <v>0</v>
      </c>
      <c r="BD118" s="14">
        <v>0</v>
      </c>
      <c r="BE118" s="15">
        <f t="shared" si="563"/>
        <v>0</v>
      </c>
      <c r="BF118" s="15">
        <f t="shared" si="564"/>
        <v>2</v>
      </c>
      <c r="BG118" s="14">
        <v>0</v>
      </c>
      <c r="BH118" s="14">
        <v>0</v>
      </c>
      <c r="BI118" s="14">
        <v>0</v>
      </c>
      <c r="BJ118" s="14">
        <v>0</v>
      </c>
      <c r="BK118" s="15">
        <f t="shared" si="565"/>
        <v>0</v>
      </c>
      <c r="BL118" s="15">
        <f t="shared" si="566"/>
        <v>0</v>
      </c>
      <c r="BM118" s="14">
        <v>0</v>
      </c>
      <c r="BN118" s="14">
        <v>0</v>
      </c>
      <c r="BO118" s="14">
        <v>0</v>
      </c>
      <c r="BP118" s="14">
        <v>0</v>
      </c>
      <c r="BQ118" s="15">
        <f t="shared" si="567"/>
        <v>0</v>
      </c>
      <c r="BR118" s="15">
        <f t="shared" si="568"/>
        <v>0</v>
      </c>
      <c r="BS118" s="14">
        <v>0</v>
      </c>
      <c r="BT118" s="14">
        <v>0</v>
      </c>
      <c r="BU118" s="14">
        <v>0</v>
      </c>
      <c r="BV118" s="14">
        <v>0</v>
      </c>
      <c r="BW118" s="15">
        <f t="shared" si="569"/>
        <v>0</v>
      </c>
      <c r="BX118" s="15">
        <f t="shared" si="570"/>
        <v>0</v>
      </c>
      <c r="BY118" s="15">
        <f t="shared" si="571"/>
        <v>2</v>
      </c>
      <c r="BZ118" s="15">
        <f t="shared" si="572"/>
        <v>0</v>
      </c>
      <c r="CA118" s="15">
        <f t="shared" si="573"/>
        <v>0</v>
      </c>
      <c r="CB118" s="15">
        <f t="shared" si="574"/>
        <v>2</v>
      </c>
      <c r="CC118" s="14">
        <v>0</v>
      </c>
      <c r="CD118" s="14">
        <v>3</v>
      </c>
      <c r="CE118" s="14">
        <v>0</v>
      </c>
      <c r="CF118" s="14">
        <v>0</v>
      </c>
      <c r="CG118" s="14">
        <v>0</v>
      </c>
      <c r="CH118" s="15">
        <f t="shared" si="575"/>
        <v>3</v>
      </c>
      <c r="CI118" s="14">
        <v>60</v>
      </c>
      <c r="CJ118" s="14">
        <v>2</v>
      </c>
      <c r="CK118" s="14">
        <v>0</v>
      </c>
      <c r="CL118" s="14">
        <v>0</v>
      </c>
      <c r="CM118" s="15">
        <f t="shared" si="576"/>
        <v>62</v>
      </c>
      <c r="CN118" s="14">
        <v>212</v>
      </c>
      <c r="CO118" s="14">
        <v>9</v>
      </c>
      <c r="CP118" s="14">
        <v>10</v>
      </c>
      <c r="CQ118" s="14">
        <v>0</v>
      </c>
      <c r="CR118" s="15">
        <f t="shared" si="577"/>
        <v>231</v>
      </c>
      <c r="CS118" s="15">
        <f t="shared" si="578"/>
        <v>293</v>
      </c>
      <c r="CT118" s="14">
        <v>296</v>
      </c>
      <c r="CU118" s="14">
        <v>4359</v>
      </c>
      <c r="CV118" s="14">
        <v>4105</v>
      </c>
      <c r="CW118" s="16">
        <f t="shared" si="579"/>
        <v>0.94172975453085572</v>
      </c>
      <c r="CX118" s="14"/>
      <c r="CY118" s="14"/>
      <c r="CZ118" s="14"/>
      <c r="DA118" s="14"/>
      <c r="DB118" s="15">
        <f t="shared" si="580"/>
        <v>0</v>
      </c>
      <c r="DC118" s="14">
        <v>0</v>
      </c>
      <c r="DD118" s="14">
        <v>0</v>
      </c>
      <c r="DE118" s="14">
        <v>0</v>
      </c>
      <c r="DF118" s="14">
        <v>0</v>
      </c>
      <c r="DG118" s="15">
        <f t="shared" si="581"/>
        <v>0</v>
      </c>
      <c r="DH118" s="14">
        <v>0</v>
      </c>
      <c r="DI118" s="14">
        <v>0</v>
      </c>
      <c r="DJ118" s="14">
        <v>0</v>
      </c>
      <c r="DK118" s="14">
        <v>0</v>
      </c>
      <c r="DL118" s="15">
        <f t="shared" si="582"/>
        <v>0</v>
      </c>
      <c r="DM118" s="14">
        <v>0</v>
      </c>
      <c r="DN118" s="14">
        <v>0</v>
      </c>
      <c r="DO118" s="14">
        <v>0</v>
      </c>
      <c r="DP118" s="14">
        <v>0</v>
      </c>
      <c r="DQ118" s="15">
        <f t="shared" si="583"/>
        <v>0</v>
      </c>
      <c r="DR118" s="15">
        <f t="shared" si="584"/>
        <v>0</v>
      </c>
      <c r="DS118" s="15">
        <f t="shared" si="585"/>
        <v>0</v>
      </c>
      <c r="DT118" s="15">
        <f t="shared" si="586"/>
        <v>0</v>
      </c>
      <c r="DU118" s="15">
        <f t="shared" si="587"/>
        <v>0</v>
      </c>
      <c r="DV118" s="15">
        <f t="shared" si="588"/>
        <v>0</v>
      </c>
      <c r="DW118" s="14">
        <v>4</v>
      </c>
      <c r="DX118" s="14">
        <v>1</v>
      </c>
      <c r="DY118" s="14">
        <v>2</v>
      </c>
      <c r="DZ118" s="14">
        <v>2</v>
      </c>
      <c r="EA118" s="14">
        <v>0</v>
      </c>
      <c r="EB118" s="14">
        <v>0</v>
      </c>
      <c r="EC118" s="14">
        <v>0</v>
      </c>
      <c r="ED118" s="14">
        <v>1</v>
      </c>
      <c r="EE118" s="14">
        <v>1</v>
      </c>
      <c r="EF118" s="14">
        <v>1</v>
      </c>
      <c r="EG118" s="14">
        <v>0</v>
      </c>
      <c r="EH118" s="14">
        <v>0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0</v>
      </c>
      <c r="ES118" s="14">
        <v>0</v>
      </c>
      <c r="ET118" s="14">
        <v>0</v>
      </c>
      <c r="EU118" s="14">
        <v>0</v>
      </c>
      <c r="EV118" s="14">
        <v>0</v>
      </c>
      <c r="EW118" s="14">
        <v>0</v>
      </c>
      <c r="EX118" s="14">
        <v>0</v>
      </c>
      <c r="EY118" s="14">
        <v>0</v>
      </c>
      <c r="EZ118" s="14">
        <v>0</v>
      </c>
      <c r="FA118" s="14">
        <v>0</v>
      </c>
      <c r="FB118" s="14">
        <v>0</v>
      </c>
      <c r="FC118" s="14">
        <v>0</v>
      </c>
      <c r="FD118" s="14">
        <v>0</v>
      </c>
      <c r="FE118" s="14">
        <v>0</v>
      </c>
      <c r="FF118" s="14">
        <v>0</v>
      </c>
      <c r="FG118" s="15">
        <f t="shared" si="589"/>
        <v>12</v>
      </c>
      <c r="FH118" s="14">
        <v>0</v>
      </c>
      <c r="FI118" s="14">
        <v>0</v>
      </c>
      <c r="FJ118" s="14">
        <v>24</v>
      </c>
      <c r="FK118" s="14">
        <v>18</v>
      </c>
      <c r="FL118" s="14">
        <v>18</v>
      </c>
      <c r="FM118" s="14">
        <v>0</v>
      </c>
      <c r="FN118" s="14">
        <v>0</v>
      </c>
      <c r="FO118" s="14">
        <v>0</v>
      </c>
      <c r="FP118" s="14">
        <v>0</v>
      </c>
      <c r="FQ118" s="15">
        <f t="shared" si="590"/>
        <v>18</v>
      </c>
      <c r="FR118" s="14">
        <v>309449</v>
      </c>
      <c r="FS118" s="14">
        <v>0</v>
      </c>
      <c r="FT118" s="14">
        <v>0</v>
      </c>
      <c r="FU118" s="14">
        <v>0</v>
      </c>
      <c r="FV118" s="15">
        <f t="shared" si="591"/>
        <v>309449</v>
      </c>
      <c r="FW118" s="14">
        <v>2171150</v>
      </c>
      <c r="FX118" s="14">
        <v>2171150</v>
      </c>
      <c r="FY118" s="14">
        <v>3553500</v>
      </c>
      <c r="FZ118" s="14">
        <v>820000</v>
      </c>
      <c r="GA118" s="15">
        <f t="shared" si="592"/>
        <v>8715800</v>
      </c>
      <c r="GB118" s="15">
        <f t="shared" si="593"/>
        <v>9025249</v>
      </c>
      <c r="GC118" s="14">
        <v>706265.06</v>
      </c>
      <c r="GD118" s="14">
        <v>706265.06</v>
      </c>
      <c r="GE118" s="14">
        <v>706265.06</v>
      </c>
      <c r="GF118" s="14">
        <v>130742.45</v>
      </c>
      <c r="GG118" s="15">
        <f t="shared" si="594"/>
        <v>2249537.6300000004</v>
      </c>
      <c r="GH118" s="14">
        <v>1543272.57</v>
      </c>
      <c r="GI118" s="14">
        <v>0</v>
      </c>
      <c r="GJ118" s="14">
        <v>0</v>
      </c>
      <c r="GK118" s="14">
        <v>0</v>
      </c>
      <c r="GL118" s="15">
        <f t="shared" si="595"/>
        <v>1543272.57</v>
      </c>
      <c r="GM118" s="15">
        <f t="shared" si="596"/>
        <v>3792810.2</v>
      </c>
      <c r="GN118" s="14">
        <v>32695.8</v>
      </c>
      <c r="GO118" s="14">
        <v>32695.8</v>
      </c>
      <c r="GP118" s="14">
        <v>6787.28</v>
      </c>
      <c r="GQ118" s="14">
        <v>0</v>
      </c>
      <c r="GR118" s="15">
        <f t="shared" si="597"/>
        <v>72178.880000000005</v>
      </c>
      <c r="GS118" s="14">
        <v>53580</v>
      </c>
      <c r="GT118" s="14">
        <v>53580</v>
      </c>
      <c r="GU118" s="14">
        <v>1786</v>
      </c>
      <c r="GV118" s="14">
        <v>0</v>
      </c>
      <c r="GW118" s="15">
        <f t="shared" si="598"/>
        <v>108946</v>
      </c>
      <c r="GX118" s="15">
        <f t="shared" si="599"/>
        <v>3973935.08</v>
      </c>
      <c r="GY118" s="14">
        <v>12981353.92</v>
      </c>
      <c r="GZ118" s="14">
        <v>-21498738.829999998</v>
      </c>
      <c r="HA118" s="15">
        <f t="shared" si="600"/>
        <v>-8517384.9099999983</v>
      </c>
      <c r="HB118" s="15">
        <f t="shared" si="601"/>
        <v>2.7582674954015607</v>
      </c>
      <c r="HC118" s="16">
        <f t="shared" si="602"/>
        <v>0.53229697234886408</v>
      </c>
      <c r="HD118" s="15">
        <f t="shared" si="603"/>
        <v>2.2711113338066911</v>
      </c>
      <c r="HE118" s="14">
        <v>0</v>
      </c>
      <c r="HF118" s="14">
        <v>0</v>
      </c>
      <c r="HG118" s="14">
        <v>2</v>
      </c>
      <c r="HH118" s="14">
        <v>0</v>
      </c>
      <c r="HI118" s="14">
        <v>0</v>
      </c>
      <c r="HJ118" s="15">
        <f t="shared" si="604"/>
        <v>0</v>
      </c>
      <c r="HK118" s="16" t="str">
        <f t="shared" si="605"/>
        <v/>
      </c>
      <c r="HL118" s="14">
        <v>2</v>
      </c>
      <c r="HM118" s="14">
        <v>1</v>
      </c>
      <c r="HN118" s="17">
        <f t="shared" si="606"/>
        <v>0.5</v>
      </c>
    </row>
    <row r="119" spans="1:222" x14ac:dyDescent="0.3">
      <c r="A119" s="6" t="s">
        <v>280</v>
      </c>
      <c r="B119" s="6" t="s">
        <v>282</v>
      </c>
      <c r="C119" s="7" t="s">
        <v>257</v>
      </c>
      <c r="D119" s="7">
        <v>2025</v>
      </c>
      <c r="E119" s="7">
        <v>12</v>
      </c>
      <c r="F119" s="7" t="s">
        <v>269</v>
      </c>
      <c r="G119" s="7" t="s">
        <v>267</v>
      </c>
      <c r="H119" s="8">
        <v>12112</v>
      </c>
      <c r="I119" s="8">
        <v>527</v>
      </c>
      <c r="J119" s="8">
        <v>0</v>
      </c>
      <c r="K119" s="8">
        <v>27</v>
      </c>
      <c r="L119" s="8">
        <v>0</v>
      </c>
      <c r="M119" s="9">
        <f t="shared" si="546"/>
        <v>554</v>
      </c>
      <c r="N119" s="8">
        <v>1371</v>
      </c>
      <c r="O119" s="8">
        <v>0</v>
      </c>
      <c r="P119" s="8">
        <v>6258</v>
      </c>
      <c r="Q119" s="8">
        <v>781</v>
      </c>
      <c r="R119" s="9">
        <f t="shared" si="547"/>
        <v>8410</v>
      </c>
      <c r="S119" s="9">
        <f t="shared" si="548"/>
        <v>8964</v>
      </c>
      <c r="T119" s="8">
        <v>3148</v>
      </c>
      <c r="U119" s="10">
        <f t="shared" si="549"/>
        <v>0.25990752972258918</v>
      </c>
      <c r="V119" s="8">
        <v>19</v>
      </c>
      <c r="W119" s="11">
        <f t="shared" si="550"/>
        <v>1.5686922060766182E-3</v>
      </c>
      <c r="X119" s="8">
        <v>0</v>
      </c>
      <c r="Y119" s="11">
        <f t="shared" si="551"/>
        <v>0</v>
      </c>
      <c r="Z119" s="8">
        <v>0</v>
      </c>
      <c r="AA119" s="11">
        <f t="shared" si="552"/>
        <v>0</v>
      </c>
      <c r="AB119" s="8">
        <v>0</v>
      </c>
      <c r="AC119" s="11">
        <f t="shared" si="553"/>
        <v>0</v>
      </c>
      <c r="AD119" s="8">
        <v>0</v>
      </c>
      <c r="AE119" s="11">
        <f t="shared" si="554"/>
        <v>0</v>
      </c>
      <c r="AF119" s="8">
        <v>0</v>
      </c>
      <c r="AG119" s="11">
        <f t="shared" si="555"/>
        <v>0</v>
      </c>
      <c r="AH119" s="8">
        <v>97121.73</v>
      </c>
      <c r="AI119" s="9">
        <f t="shared" si="556"/>
        <v>8.0186368890356672</v>
      </c>
      <c r="AJ119" s="8">
        <v>5789</v>
      </c>
      <c r="AK119" s="11">
        <f t="shared" si="557"/>
        <v>0.47795574636723909</v>
      </c>
      <c r="AL119" s="8">
        <v>819658.93350000004</v>
      </c>
      <c r="AM119" s="9">
        <f t="shared" si="558"/>
        <v>67.673293716974911</v>
      </c>
      <c r="AN119" s="8">
        <v>0</v>
      </c>
      <c r="AO119" s="8">
        <v>0</v>
      </c>
      <c r="AP119" s="8">
        <v>0</v>
      </c>
      <c r="AQ119" s="8">
        <v>0</v>
      </c>
      <c r="AR119" s="8">
        <v>11313674.560000001</v>
      </c>
      <c r="AS119" s="8">
        <v>0</v>
      </c>
      <c r="AT119" s="8">
        <v>0</v>
      </c>
      <c r="AU119" s="9">
        <f t="shared" si="559"/>
        <v>12230455.2235</v>
      </c>
      <c r="AV119" s="9">
        <f t="shared" si="560"/>
        <v>1009.779988730185</v>
      </c>
      <c r="AW119" s="9">
        <f t="shared" si="561"/>
        <v>1364.397057507809</v>
      </c>
      <c r="AX119" s="8">
        <v>4</v>
      </c>
      <c r="AY119" s="9">
        <f t="shared" si="562"/>
        <v>3.9630118890356667</v>
      </c>
      <c r="AZ119" s="8">
        <v>8</v>
      </c>
      <c r="BA119" s="8">
        <v>2</v>
      </c>
      <c r="BB119" s="8">
        <v>0</v>
      </c>
      <c r="BC119" s="8">
        <v>0</v>
      </c>
      <c r="BD119" s="8">
        <v>0</v>
      </c>
      <c r="BE119" s="9">
        <f t="shared" si="563"/>
        <v>0</v>
      </c>
      <c r="BF119" s="9">
        <f t="shared" si="564"/>
        <v>2</v>
      </c>
      <c r="BG119" s="8">
        <v>0</v>
      </c>
      <c r="BH119" s="8">
        <v>0</v>
      </c>
      <c r="BI119" s="8">
        <v>0</v>
      </c>
      <c r="BJ119" s="8">
        <v>0</v>
      </c>
      <c r="BK119" s="9">
        <f t="shared" si="565"/>
        <v>0</v>
      </c>
      <c r="BL119" s="9">
        <f t="shared" si="566"/>
        <v>0</v>
      </c>
      <c r="BM119" s="8">
        <v>0</v>
      </c>
      <c r="BN119" s="8">
        <v>0</v>
      </c>
      <c r="BO119" s="8">
        <v>0</v>
      </c>
      <c r="BP119" s="8">
        <v>0</v>
      </c>
      <c r="BQ119" s="9">
        <f t="shared" si="567"/>
        <v>0</v>
      </c>
      <c r="BR119" s="9">
        <f t="shared" si="568"/>
        <v>0</v>
      </c>
      <c r="BS119" s="8">
        <v>0</v>
      </c>
      <c r="BT119" s="8">
        <v>0</v>
      </c>
      <c r="BU119" s="8">
        <v>0</v>
      </c>
      <c r="BV119" s="8">
        <v>0</v>
      </c>
      <c r="BW119" s="9">
        <f t="shared" si="569"/>
        <v>0</v>
      </c>
      <c r="BX119" s="9">
        <f t="shared" si="570"/>
        <v>0</v>
      </c>
      <c r="BY119" s="9">
        <f t="shared" si="571"/>
        <v>2</v>
      </c>
      <c r="BZ119" s="9">
        <f t="shared" si="572"/>
        <v>0</v>
      </c>
      <c r="CA119" s="9">
        <f t="shared" si="573"/>
        <v>0</v>
      </c>
      <c r="CB119" s="9">
        <f t="shared" si="574"/>
        <v>2</v>
      </c>
      <c r="CC119" s="8">
        <v>0</v>
      </c>
      <c r="CD119" s="8">
        <v>12</v>
      </c>
      <c r="CE119" s="8">
        <v>1</v>
      </c>
      <c r="CF119" s="8">
        <v>11</v>
      </c>
      <c r="CG119" s="8">
        <v>0</v>
      </c>
      <c r="CH119" s="9">
        <f t="shared" si="575"/>
        <v>24</v>
      </c>
      <c r="CI119" s="8">
        <v>65</v>
      </c>
      <c r="CJ119" s="8">
        <v>2</v>
      </c>
      <c r="CK119" s="8">
        <v>0</v>
      </c>
      <c r="CL119" s="8">
        <v>0</v>
      </c>
      <c r="CM119" s="9">
        <f t="shared" si="576"/>
        <v>67</v>
      </c>
      <c r="CN119" s="8">
        <v>212</v>
      </c>
      <c r="CO119" s="8">
        <v>9</v>
      </c>
      <c r="CP119" s="8">
        <v>10</v>
      </c>
      <c r="CQ119" s="8">
        <v>0</v>
      </c>
      <c r="CR119" s="9">
        <f t="shared" si="577"/>
        <v>231</v>
      </c>
      <c r="CS119" s="9">
        <f t="shared" si="578"/>
        <v>298</v>
      </c>
      <c r="CT119" s="8">
        <v>322</v>
      </c>
      <c r="CU119" s="8">
        <v>4359</v>
      </c>
      <c r="CV119" s="8">
        <v>4105</v>
      </c>
      <c r="CW119" s="10">
        <f t="shared" si="579"/>
        <v>0.94172975453085572</v>
      </c>
      <c r="CX119" s="8">
        <v>0</v>
      </c>
      <c r="CY119" s="8">
        <v>0</v>
      </c>
      <c r="CZ119" s="8">
        <v>0</v>
      </c>
      <c r="DA119" s="8">
        <v>0</v>
      </c>
      <c r="DB119" s="9">
        <f t="shared" si="580"/>
        <v>0</v>
      </c>
      <c r="DC119" s="8">
        <v>0</v>
      </c>
      <c r="DD119" s="8">
        <v>0</v>
      </c>
      <c r="DE119" s="8">
        <v>0</v>
      </c>
      <c r="DF119" s="8">
        <v>0</v>
      </c>
      <c r="DG119" s="9">
        <f t="shared" si="581"/>
        <v>0</v>
      </c>
      <c r="DH119" s="8">
        <v>0</v>
      </c>
      <c r="DI119" s="8">
        <v>0</v>
      </c>
      <c r="DJ119" s="8">
        <v>0</v>
      </c>
      <c r="DK119" s="8">
        <v>0</v>
      </c>
      <c r="DL119" s="9">
        <f t="shared" si="582"/>
        <v>0</v>
      </c>
      <c r="DM119" s="8">
        <v>0</v>
      </c>
      <c r="DN119" s="8">
        <v>0</v>
      </c>
      <c r="DO119" s="8">
        <v>0</v>
      </c>
      <c r="DP119" s="8">
        <v>0</v>
      </c>
      <c r="DQ119" s="9">
        <f t="shared" si="583"/>
        <v>0</v>
      </c>
      <c r="DR119" s="9">
        <f t="shared" si="584"/>
        <v>0</v>
      </c>
      <c r="DS119" s="9">
        <f t="shared" si="585"/>
        <v>0</v>
      </c>
      <c r="DT119" s="9">
        <f t="shared" si="586"/>
        <v>0</v>
      </c>
      <c r="DU119" s="9">
        <f t="shared" si="587"/>
        <v>0</v>
      </c>
      <c r="DV119" s="9">
        <f t="shared" si="588"/>
        <v>0</v>
      </c>
      <c r="DW119" s="8">
        <v>4</v>
      </c>
      <c r="DX119" s="8">
        <v>2</v>
      </c>
      <c r="DY119" s="8">
        <v>4</v>
      </c>
      <c r="DZ119" s="8">
        <v>4</v>
      </c>
      <c r="EA119" s="8">
        <v>0</v>
      </c>
      <c r="EB119" s="8">
        <v>0</v>
      </c>
      <c r="EC119" s="8">
        <v>0</v>
      </c>
      <c r="ED119" s="8">
        <v>0</v>
      </c>
      <c r="EE119" s="8">
        <v>0</v>
      </c>
      <c r="EF119" s="8">
        <v>0</v>
      </c>
      <c r="EG119" s="8">
        <v>0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9">
        <f t="shared" si="589"/>
        <v>14</v>
      </c>
      <c r="FH119" s="8">
        <v>8</v>
      </c>
      <c r="FI119" s="8">
        <v>11</v>
      </c>
      <c r="FJ119" s="8">
        <v>23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9">
        <f t="shared" si="590"/>
        <v>0</v>
      </c>
      <c r="FR119" s="8">
        <v>816332.3</v>
      </c>
      <c r="FS119" s="8">
        <v>0</v>
      </c>
      <c r="FT119" s="8">
        <v>0</v>
      </c>
      <c r="FU119" s="8">
        <v>0</v>
      </c>
      <c r="FV119" s="9">
        <f t="shared" si="591"/>
        <v>816332.3</v>
      </c>
      <c r="FW119" s="8">
        <v>2100600</v>
      </c>
      <c r="FX119" s="8">
        <v>2100600</v>
      </c>
      <c r="FY119" s="8">
        <v>3691970</v>
      </c>
      <c r="FZ119" s="8">
        <v>40000000</v>
      </c>
      <c r="GA119" s="9">
        <f t="shared" si="592"/>
        <v>47893170</v>
      </c>
      <c r="GB119" s="9">
        <f t="shared" si="593"/>
        <v>48709502.299999997</v>
      </c>
      <c r="GC119" s="8">
        <v>464535.64</v>
      </c>
      <c r="GD119" s="8">
        <v>464535.64</v>
      </c>
      <c r="GE119" s="8">
        <v>73120.02</v>
      </c>
      <c r="GF119" s="8">
        <v>73120.02</v>
      </c>
      <c r="GG119" s="9">
        <f t="shared" si="594"/>
        <v>1075311.32</v>
      </c>
      <c r="GH119" s="8">
        <v>537655.66</v>
      </c>
      <c r="GI119" s="8">
        <v>0</v>
      </c>
      <c r="GJ119" s="8">
        <v>0</v>
      </c>
      <c r="GK119" s="8">
        <v>0</v>
      </c>
      <c r="GL119" s="9">
        <f t="shared" si="595"/>
        <v>537655.66</v>
      </c>
      <c r="GM119" s="9">
        <f t="shared" si="596"/>
        <v>1612966.98</v>
      </c>
      <c r="GN119" s="8">
        <v>32695.8</v>
      </c>
      <c r="GO119" s="8">
        <v>32695.8</v>
      </c>
      <c r="GP119" s="8">
        <v>6787.28</v>
      </c>
      <c r="GQ119" s="8">
        <v>6787.28</v>
      </c>
      <c r="GR119" s="9">
        <f t="shared" si="597"/>
        <v>78966.16</v>
      </c>
      <c r="GS119" s="8">
        <v>58045</v>
      </c>
      <c r="GT119" s="8">
        <v>58045</v>
      </c>
      <c r="GU119" s="8">
        <v>1786</v>
      </c>
      <c r="GV119" s="8">
        <v>1786</v>
      </c>
      <c r="GW119" s="9">
        <f t="shared" si="598"/>
        <v>119662</v>
      </c>
      <c r="GX119" s="9">
        <f t="shared" si="599"/>
        <v>1811595.14</v>
      </c>
      <c r="GY119" s="8">
        <v>12981353.92</v>
      </c>
      <c r="GZ119" s="8">
        <v>-21498738.829999998</v>
      </c>
      <c r="HA119" s="9">
        <f t="shared" si="600"/>
        <v>-8517384.9099999983</v>
      </c>
      <c r="HB119" s="9">
        <f t="shared" si="601"/>
        <v>6.7512077911072348</v>
      </c>
      <c r="HC119" s="10">
        <f t="shared" si="602"/>
        <v>3.2927513035051303</v>
      </c>
      <c r="HD119" s="9">
        <f t="shared" si="603"/>
        <v>26.887631361166051</v>
      </c>
      <c r="HE119" s="8">
        <v>0</v>
      </c>
      <c r="HF119" s="8">
        <v>1</v>
      </c>
      <c r="HG119" s="8">
        <v>2</v>
      </c>
      <c r="HH119" s="8">
        <v>0</v>
      </c>
      <c r="HI119" s="8">
        <v>0</v>
      </c>
      <c r="HJ119" s="9">
        <f t="shared" si="604"/>
        <v>1</v>
      </c>
      <c r="HK119" s="10" t="str">
        <f t="shared" si="605"/>
        <v/>
      </c>
      <c r="HL119" s="8">
        <v>3</v>
      </c>
      <c r="HM119" s="8">
        <v>1</v>
      </c>
      <c r="HN119" s="11">
        <f t="shared" si="606"/>
        <v>0.33333333333333331</v>
      </c>
    </row>
    <row r="120" spans="1:222" x14ac:dyDescent="0.3">
      <c r="A120" s="12" t="s">
        <v>280</v>
      </c>
      <c r="B120" s="12" t="s">
        <v>282</v>
      </c>
      <c r="C120" s="13" t="s">
        <v>257</v>
      </c>
      <c r="D120" s="13">
        <v>2026</v>
      </c>
      <c r="E120" s="13">
        <v>1</v>
      </c>
      <c r="F120" s="13" t="s">
        <v>270</v>
      </c>
      <c r="G120" s="13" t="s">
        <v>271</v>
      </c>
      <c r="H120" s="14">
        <v>8503</v>
      </c>
      <c r="I120" s="14">
        <v>542</v>
      </c>
      <c r="J120" s="14">
        <v>0</v>
      </c>
      <c r="K120" s="14">
        <v>24</v>
      </c>
      <c r="L120" s="14">
        <v>0</v>
      </c>
      <c r="M120" s="15">
        <v>566</v>
      </c>
      <c r="N120" s="14">
        <v>1297</v>
      </c>
      <c r="O120" s="14">
        <v>0</v>
      </c>
      <c r="P120" s="14">
        <v>2980</v>
      </c>
      <c r="Q120" s="14">
        <v>1527</v>
      </c>
      <c r="R120" s="15">
        <v>5804</v>
      </c>
      <c r="S120" s="15">
        <v>6370</v>
      </c>
      <c r="T120" s="14">
        <v>2133</v>
      </c>
      <c r="U120" s="16">
        <v>0.25085264024461962</v>
      </c>
      <c r="V120" s="14">
        <v>17</v>
      </c>
      <c r="W120" s="17">
        <v>1.9992943666941081</v>
      </c>
      <c r="X120" s="14">
        <v>0</v>
      </c>
      <c r="Y120" s="17">
        <v>0</v>
      </c>
      <c r="Z120" s="14">
        <v>0</v>
      </c>
      <c r="AA120" s="17">
        <v>0</v>
      </c>
      <c r="AB120" s="14">
        <v>0</v>
      </c>
      <c r="AC120" s="17">
        <v>0</v>
      </c>
      <c r="AD120" s="14">
        <v>0</v>
      </c>
      <c r="AE120" s="17">
        <v>0</v>
      </c>
      <c r="AF120" s="14">
        <v>0</v>
      </c>
      <c r="AG120" s="17">
        <v>0</v>
      </c>
      <c r="AH120" s="14">
        <v>86898.39</v>
      </c>
      <c r="AI120" s="15">
        <v>10.219733035399271</v>
      </c>
      <c r="AJ120" s="14">
        <v>5970</v>
      </c>
      <c r="AK120" s="17">
        <v>0.7021051393625779</v>
      </c>
      <c r="AL120" s="14">
        <v>844772.95500000007</v>
      </c>
      <c r="AM120" s="15">
        <v>99.349988827472671</v>
      </c>
      <c r="AN120" s="14">
        <v>0</v>
      </c>
      <c r="AO120" s="14">
        <v>0</v>
      </c>
      <c r="AP120" s="14">
        <v>0</v>
      </c>
      <c r="AQ120" s="14">
        <v>0</v>
      </c>
      <c r="AR120" s="14">
        <v>14150088.67</v>
      </c>
      <c r="AS120" s="14">
        <v>0</v>
      </c>
      <c r="AT120" s="14">
        <v>0</v>
      </c>
      <c r="AU120" s="15">
        <v>15081760.015000001</v>
      </c>
      <c r="AV120" s="15">
        <v>1773.698696342467</v>
      </c>
      <c r="AW120" s="15">
        <v>2367.623236263737</v>
      </c>
      <c r="AX120" s="14">
        <v>4</v>
      </c>
      <c r="AY120" s="15">
        <v>14.583088321768789</v>
      </c>
      <c r="AZ120" s="14">
        <v>8</v>
      </c>
      <c r="BA120" s="14">
        <v>2</v>
      </c>
      <c r="BB120" s="14">
        <v>9</v>
      </c>
      <c r="BC120" s="14">
        <v>0</v>
      </c>
      <c r="BD120" s="14">
        <v>0</v>
      </c>
      <c r="BE120" s="15">
        <v>0</v>
      </c>
      <c r="BF120" s="15">
        <v>11</v>
      </c>
      <c r="BG120" s="14">
        <v>0</v>
      </c>
      <c r="BH120" s="14">
        <v>0</v>
      </c>
      <c r="BI120" s="14">
        <v>0</v>
      </c>
      <c r="BJ120" s="14">
        <v>0</v>
      </c>
      <c r="BK120" s="15">
        <v>0</v>
      </c>
      <c r="BL120" s="15">
        <v>0</v>
      </c>
      <c r="BM120" s="14">
        <v>0</v>
      </c>
      <c r="BN120" s="14">
        <v>0</v>
      </c>
      <c r="BO120" s="14">
        <v>0</v>
      </c>
      <c r="BP120" s="14">
        <v>0</v>
      </c>
      <c r="BQ120" s="15">
        <v>0</v>
      </c>
      <c r="BR120" s="15">
        <v>0</v>
      </c>
      <c r="BS120" s="14">
        <v>0</v>
      </c>
      <c r="BT120" s="14">
        <v>0</v>
      </c>
      <c r="BU120" s="14">
        <v>0</v>
      </c>
      <c r="BV120" s="14">
        <v>0</v>
      </c>
      <c r="BW120" s="15">
        <v>0</v>
      </c>
      <c r="BX120" s="15">
        <v>0</v>
      </c>
      <c r="BY120" s="15">
        <v>2</v>
      </c>
      <c r="BZ120" s="15">
        <v>9</v>
      </c>
      <c r="CA120" s="15">
        <v>0</v>
      </c>
      <c r="CB120" s="15">
        <v>11</v>
      </c>
      <c r="CC120" s="14">
        <v>0</v>
      </c>
      <c r="CD120" s="14">
        <v>12</v>
      </c>
      <c r="CE120" s="14">
        <v>1</v>
      </c>
      <c r="CF120" s="14">
        <v>11</v>
      </c>
      <c r="CG120" s="14">
        <v>0</v>
      </c>
      <c r="CH120" s="15">
        <v>24</v>
      </c>
      <c r="CI120" s="14">
        <v>65</v>
      </c>
      <c r="CJ120" s="14">
        <v>2</v>
      </c>
      <c r="CK120" s="14">
        <v>0</v>
      </c>
      <c r="CL120" s="14">
        <v>0</v>
      </c>
      <c r="CM120" s="15">
        <v>67</v>
      </c>
      <c r="CN120" s="14">
        <v>212</v>
      </c>
      <c r="CO120" s="14">
        <v>9</v>
      </c>
      <c r="CP120" s="14">
        <v>10</v>
      </c>
      <c r="CQ120" s="14">
        <v>0</v>
      </c>
      <c r="CR120" s="15">
        <v>231</v>
      </c>
      <c r="CS120" s="15">
        <v>298</v>
      </c>
      <c r="CT120" s="14">
        <v>322</v>
      </c>
      <c r="CU120" s="14">
        <v>4359</v>
      </c>
      <c r="CV120" s="14">
        <v>4105</v>
      </c>
      <c r="CW120" s="16">
        <v>0.94172975453085572</v>
      </c>
      <c r="CX120" s="14">
        <v>0</v>
      </c>
      <c r="CY120" s="14">
        <v>0</v>
      </c>
      <c r="CZ120" s="14">
        <v>0</v>
      </c>
      <c r="DA120" s="14">
        <v>0</v>
      </c>
      <c r="DB120" s="15">
        <v>0</v>
      </c>
      <c r="DC120" s="14">
        <v>0</v>
      </c>
      <c r="DD120" s="14">
        <v>0</v>
      </c>
      <c r="DE120" s="14">
        <v>0</v>
      </c>
      <c r="DF120" s="14">
        <v>0</v>
      </c>
      <c r="DG120" s="15">
        <v>0</v>
      </c>
      <c r="DH120" s="14">
        <v>0</v>
      </c>
      <c r="DI120" s="14">
        <v>0</v>
      </c>
      <c r="DJ120" s="14">
        <v>0</v>
      </c>
      <c r="DK120" s="14">
        <v>0</v>
      </c>
      <c r="DL120" s="15">
        <v>0</v>
      </c>
      <c r="DM120" s="14">
        <v>0</v>
      </c>
      <c r="DN120" s="14">
        <v>0</v>
      </c>
      <c r="DO120" s="14">
        <v>0</v>
      </c>
      <c r="DP120" s="14">
        <v>0</v>
      </c>
      <c r="DQ120" s="15">
        <v>0</v>
      </c>
      <c r="DR120" s="15">
        <v>0</v>
      </c>
      <c r="DS120" s="15">
        <v>0</v>
      </c>
      <c r="DT120" s="15">
        <v>0</v>
      </c>
      <c r="DU120" s="15">
        <v>0</v>
      </c>
      <c r="DV120" s="15">
        <v>0</v>
      </c>
      <c r="DW120" s="14">
        <v>3</v>
      </c>
      <c r="DX120" s="14">
        <v>3</v>
      </c>
      <c r="DY120" s="14">
        <v>3</v>
      </c>
      <c r="DZ120" s="14">
        <v>3</v>
      </c>
      <c r="EA120" s="14">
        <v>0</v>
      </c>
      <c r="EB120" s="14">
        <v>0</v>
      </c>
      <c r="EC120" s="14">
        <v>0</v>
      </c>
      <c r="ED120" s="14">
        <v>1</v>
      </c>
      <c r="EE120" s="14">
        <v>1</v>
      </c>
      <c r="EF120" s="14">
        <v>1</v>
      </c>
      <c r="EG120" s="14">
        <v>0</v>
      </c>
      <c r="EH120" s="14">
        <v>0</v>
      </c>
      <c r="EI120" s="14">
        <v>0</v>
      </c>
      <c r="EJ120" s="14">
        <v>0</v>
      </c>
      <c r="EK120" s="14">
        <v>0</v>
      </c>
      <c r="EL120" s="14">
        <v>0</v>
      </c>
      <c r="EM120" s="14">
        <v>0</v>
      </c>
      <c r="EN120" s="14">
        <v>0</v>
      </c>
      <c r="EO120" s="14">
        <v>0</v>
      </c>
      <c r="EP120" s="14">
        <v>0</v>
      </c>
      <c r="EQ120" s="14">
        <v>0</v>
      </c>
      <c r="ER120" s="14">
        <v>0</v>
      </c>
      <c r="ES120" s="14">
        <v>0</v>
      </c>
      <c r="ET120" s="14">
        <v>0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</v>
      </c>
      <c r="FA120" s="14">
        <v>0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5">
        <v>0</v>
      </c>
      <c r="FH120" s="14">
        <v>2</v>
      </c>
      <c r="FI120" s="14">
        <v>24</v>
      </c>
      <c r="FJ120" s="14">
        <v>23</v>
      </c>
      <c r="FK120" s="14">
        <v>48</v>
      </c>
      <c r="FL120" s="14">
        <v>48</v>
      </c>
      <c r="FM120" s="14">
        <v>0</v>
      </c>
      <c r="FN120" s="14">
        <v>0</v>
      </c>
      <c r="FO120" s="14">
        <v>0</v>
      </c>
      <c r="FP120" s="14">
        <v>0</v>
      </c>
      <c r="FQ120" s="15">
        <v>0</v>
      </c>
      <c r="FR120" s="14">
        <v>617153</v>
      </c>
      <c r="FS120" s="14">
        <v>0</v>
      </c>
      <c r="FT120" s="14">
        <v>0</v>
      </c>
      <c r="FU120" s="14">
        <v>0</v>
      </c>
      <c r="FV120" s="15">
        <v>0</v>
      </c>
      <c r="FW120" s="14">
        <v>1886440</v>
      </c>
      <c r="FX120" s="14">
        <v>1886440</v>
      </c>
      <c r="FY120" s="14">
        <v>6219500</v>
      </c>
      <c r="FZ120" s="14">
        <v>82500</v>
      </c>
      <c r="GA120" s="15">
        <v>82500</v>
      </c>
      <c r="GB120" s="15">
        <v>8188440</v>
      </c>
      <c r="GC120" s="14">
        <v>484109.91</v>
      </c>
      <c r="GD120" s="14">
        <v>484109.91</v>
      </c>
      <c r="GE120" s="14">
        <v>65133.54</v>
      </c>
      <c r="GF120" s="14">
        <v>0</v>
      </c>
      <c r="GG120" s="15">
        <v>0</v>
      </c>
      <c r="GH120" s="14">
        <v>549243.44999999995</v>
      </c>
      <c r="GI120" s="14">
        <v>0</v>
      </c>
      <c r="GJ120" s="14">
        <v>0</v>
      </c>
      <c r="GK120" s="14">
        <v>0</v>
      </c>
      <c r="GL120" s="15">
        <v>0</v>
      </c>
      <c r="GM120" s="15">
        <v>8188440</v>
      </c>
      <c r="GN120" s="14">
        <v>35420.449999999997</v>
      </c>
      <c r="GO120" s="14">
        <v>35420.449999999997</v>
      </c>
      <c r="GP120" s="14">
        <v>6787.28</v>
      </c>
      <c r="GQ120" s="14">
        <v>0</v>
      </c>
      <c r="GR120" s="15">
        <v>0</v>
      </c>
      <c r="GS120" s="14">
        <v>58045</v>
      </c>
      <c r="GT120" s="14">
        <v>58045</v>
      </c>
      <c r="GU120" s="14">
        <v>1786</v>
      </c>
      <c r="GV120" s="14">
        <v>0</v>
      </c>
      <c r="GW120" s="15">
        <v>0</v>
      </c>
      <c r="GX120" s="15">
        <v>59831</v>
      </c>
      <c r="GY120" s="14">
        <v>12981353.92</v>
      </c>
      <c r="GZ120" s="14">
        <v>-21498738.829999998</v>
      </c>
      <c r="HA120" s="15">
        <v>-21498738.829999998</v>
      </c>
      <c r="HB120" s="15">
        <v>-8517384.9099999983</v>
      </c>
      <c r="HC120" s="16">
        <v>8839722.1799999997</v>
      </c>
      <c r="HD120" s="15">
        <v>12981353.92</v>
      </c>
      <c r="HE120" s="14">
        <v>9</v>
      </c>
      <c r="HF120" s="14">
        <v>1</v>
      </c>
      <c r="HG120" s="14">
        <v>11</v>
      </c>
      <c r="HH120" s="14">
        <v>9</v>
      </c>
      <c r="HI120" s="14">
        <v>7</v>
      </c>
      <c r="HJ120" s="15">
        <v>0</v>
      </c>
      <c r="HK120" s="16">
        <v>0</v>
      </c>
      <c r="HL120" s="14">
        <v>2</v>
      </c>
      <c r="HM120" s="14">
        <v>1</v>
      </c>
      <c r="HN120" s="17">
        <v>1</v>
      </c>
    </row>
    <row r="121" spans="1:222" x14ac:dyDescent="0.3">
      <c r="A121" s="6" t="s">
        <v>280</v>
      </c>
      <c r="B121" s="6" t="s">
        <v>282</v>
      </c>
      <c r="C121" s="7" t="s">
        <v>257</v>
      </c>
      <c r="D121" s="7">
        <v>2026</v>
      </c>
      <c r="E121" s="7">
        <v>2</v>
      </c>
      <c r="F121" s="7" t="s">
        <v>272</v>
      </c>
      <c r="G121" s="7" t="s">
        <v>271</v>
      </c>
      <c r="H121" s="8">
        <v>25992</v>
      </c>
      <c r="I121" s="8">
        <v>683</v>
      </c>
      <c r="J121" s="8">
        <v>0</v>
      </c>
      <c r="K121" s="8">
        <v>19</v>
      </c>
      <c r="L121" s="8">
        <v>0</v>
      </c>
      <c r="M121" s="9">
        <f t="shared" ref="M121:M131" si="607">SUM(I121,J121,K121,L121)</f>
        <v>702</v>
      </c>
      <c r="N121" s="8">
        <v>1870</v>
      </c>
      <c r="O121" s="8">
        <v>0</v>
      </c>
      <c r="P121" s="8">
        <v>17750</v>
      </c>
      <c r="Q121" s="8">
        <v>832</v>
      </c>
      <c r="R121" s="9">
        <f t="shared" ref="R121:R131" si="608">SUM(N121,O121,P121,Q121)</f>
        <v>20452</v>
      </c>
      <c r="S121" s="9">
        <f t="shared" ref="S121:S131" si="609">M121+R121</f>
        <v>21154</v>
      </c>
      <c r="T121" s="8">
        <v>4838</v>
      </c>
      <c r="U121" s="10">
        <f t="shared" ref="U121:U131" si="610">IF(H121=0,"",T121/H121)</f>
        <v>0.18613419513696522</v>
      </c>
      <c r="V121" s="8">
        <v>20</v>
      </c>
      <c r="W121" s="11">
        <f t="shared" ref="W121:W131" si="611">IF(H121=0,"",V121/H121)</f>
        <v>7.6946752847029858E-4</v>
      </c>
      <c r="X121" s="8">
        <v>0</v>
      </c>
      <c r="Y121" s="11">
        <f t="shared" ref="Y121:Y131" si="612">IF(H121=0,"",X121/H121)</f>
        <v>0</v>
      </c>
      <c r="Z121" s="8">
        <v>0</v>
      </c>
      <c r="AA121" s="11">
        <f t="shared" ref="AA121:AA131" si="613">IF(H121=0,"",Z121/H121)</f>
        <v>0</v>
      </c>
      <c r="AB121" s="8">
        <v>0</v>
      </c>
      <c r="AC121" s="11">
        <f t="shared" ref="AC121:AC131" si="614">IF(H121=0,"",AB121/H121)</f>
        <v>0</v>
      </c>
      <c r="AD121" s="8">
        <v>0</v>
      </c>
      <c r="AE121" s="11">
        <f t="shared" ref="AE121:AE131" si="615">IF(H121=0,"",AD121/H121)</f>
        <v>0</v>
      </c>
      <c r="AF121" s="8">
        <v>0</v>
      </c>
      <c r="AG121" s="11">
        <f t="shared" ref="AG121:AG131" si="616">IF(H121=0,"",AF121/H121)</f>
        <v>0</v>
      </c>
      <c r="AH121" s="8">
        <v>102233.4</v>
      </c>
      <c r="AI121" s="9">
        <f t="shared" ref="AI121:AI131" si="617">IF(H121=0,"",AH121/H121)</f>
        <v>3.9332640812557709</v>
      </c>
      <c r="AJ121" s="8">
        <v>8241</v>
      </c>
      <c r="AK121" s="11">
        <f t="shared" ref="AK121:AK131" si="618">IF(H121=0,"",AJ121/H121)</f>
        <v>0.31705909510618652</v>
      </c>
      <c r="AL121" s="8">
        <v>1159877.6115000001</v>
      </c>
      <c r="AM121" s="9">
        <f t="shared" ref="AM121:AM131" si="619">IF(H121=0,"",AL121/H121)</f>
        <v>44.624407952446909</v>
      </c>
      <c r="AN121" s="8">
        <v>0</v>
      </c>
      <c r="AO121" s="8">
        <v>0</v>
      </c>
      <c r="AP121" s="8">
        <v>0</v>
      </c>
      <c r="AQ121" s="8">
        <v>0</v>
      </c>
      <c r="AR121" s="8">
        <v>9388177.4100000001</v>
      </c>
      <c r="AS121" s="8">
        <v>0</v>
      </c>
      <c r="AT121" s="8">
        <v>0</v>
      </c>
      <c r="AU121" s="9">
        <f t="shared" ref="AU121:AU131" si="620">AH121+AL121+AP121+AQ121+AR121+AS121+AT121</f>
        <v>10650288.421500001</v>
      </c>
      <c r="AV121" s="9">
        <f t="shared" ref="AV121:AV131" si="621">IF(H121=0,"",AU121/H121)</f>
        <v>409.75255545937216</v>
      </c>
      <c r="AW121" s="9">
        <f t="shared" ref="AW121:AW131" si="622">IF(S121=0,"",AU121/S121)</f>
        <v>503.46451836532106</v>
      </c>
      <c r="AX121" s="8">
        <v>4</v>
      </c>
      <c r="AY121" s="9">
        <f t="shared" ref="AY121:AY131" si="623">IF(H121=0,"",AX121/(H121/1000/12))</f>
        <v>1.8467220683287167</v>
      </c>
      <c r="AZ121" s="8">
        <v>8</v>
      </c>
      <c r="BA121" s="8">
        <v>11</v>
      </c>
      <c r="BB121" s="8">
        <v>0</v>
      </c>
      <c r="BC121" s="8">
        <v>9</v>
      </c>
      <c r="BD121" s="8">
        <v>0</v>
      </c>
      <c r="BE121" s="9">
        <f t="shared" ref="BE121:BE131" si="624">BC121+BD121</f>
        <v>9</v>
      </c>
      <c r="BF121" s="9">
        <f t="shared" ref="BF121:BF131" si="625">BA121+BB121-BE121</f>
        <v>2</v>
      </c>
      <c r="BG121" s="8">
        <v>0</v>
      </c>
      <c r="BH121" s="8">
        <v>0</v>
      </c>
      <c r="BI121" s="8">
        <v>0</v>
      </c>
      <c r="BJ121" s="8">
        <v>0</v>
      </c>
      <c r="BK121" s="9">
        <f t="shared" ref="BK121:BK131" si="626">BI121+BJ121</f>
        <v>0</v>
      </c>
      <c r="BL121" s="9">
        <f t="shared" ref="BL121:BL131" si="627">BG121+BH121-BK121</f>
        <v>0</v>
      </c>
      <c r="BM121" s="8">
        <v>0</v>
      </c>
      <c r="BN121" s="8">
        <v>0</v>
      </c>
      <c r="BO121" s="8">
        <v>0</v>
      </c>
      <c r="BP121" s="8">
        <v>0</v>
      </c>
      <c r="BQ121" s="9">
        <f t="shared" ref="BQ121:BQ131" si="628">BO121+BP121</f>
        <v>0</v>
      </c>
      <c r="BR121" s="9">
        <f t="shared" ref="BR121:BR131" si="629">BM121+BN121-BQ121</f>
        <v>0</v>
      </c>
      <c r="BS121" s="8">
        <v>0</v>
      </c>
      <c r="BT121" s="8">
        <v>0</v>
      </c>
      <c r="BU121" s="8">
        <v>0</v>
      </c>
      <c r="BV121" s="8">
        <v>0</v>
      </c>
      <c r="BW121" s="9">
        <f t="shared" ref="BW121:BW131" si="630">BU121+BV121</f>
        <v>0</v>
      </c>
      <c r="BX121" s="9">
        <f t="shared" ref="BX121:BX131" si="631">BS121+BT121-BW121</f>
        <v>0</v>
      </c>
      <c r="BY121" s="9">
        <f t="shared" ref="BY121:BY131" si="632">BA121+BG121+BM121+BS121</f>
        <v>11</v>
      </c>
      <c r="BZ121" s="9">
        <f t="shared" ref="BZ121:BZ131" si="633">BB121+BH121+BN121+BT121</f>
        <v>0</v>
      </c>
      <c r="CA121" s="9">
        <f t="shared" ref="CA121:CA131" si="634">BE121+BK121+BQ121+BW121</f>
        <v>9</v>
      </c>
      <c r="CB121" s="9">
        <f t="shared" ref="CB121:CB131" si="635">BF121+BL121+BR121+BX121</f>
        <v>2</v>
      </c>
      <c r="CC121" s="8">
        <v>0</v>
      </c>
      <c r="CD121" s="8">
        <v>12</v>
      </c>
      <c r="CE121" s="8">
        <v>1</v>
      </c>
      <c r="CF121" s="8">
        <v>11</v>
      </c>
      <c r="CG121" s="8">
        <v>0</v>
      </c>
      <c r="CH121" s="9">
        <f t="shared" ref="CH121:CH131" si="636">CD121+CE121+CF121+CG121</f>
        <v>24</v>
      </c>
      <c r="CI121" s="8">
        <v>63</v>
      </c>
      <c r="CJ121" s="8">
        <v>2</v>
      </c>
      <c r="CK121" s="8">
        <v>0</v>
      </c>
      <c r="CL121" s="8">
        <v>0</v>
      </c>
      <c r="CM121" s="9">
        <f t="shared" ref="CM121:CM131" si="637">CI121+CJ121+CK121+CL121</f>
        <v>65</v>
      </c>
      <c r="CN121" s="8">
        <v>219</v>
      </c>
      <c r="CO121" s="8">
        <v>9</v>
      </c>
      <c r="CP121" s="8">
        <v>10</v>
      </c>
      <c r="CQ121" s="8">
        <v>0</v>
      </c>
      <c r="CR121" s="9">
        <f t="shared" ref="CR121:CR131" si="638">CN121+CO121+CP121+CQ121</f>
        <v>238</v>
      </c>
      <c r="CS121" s="9">
        <f t="shared" ref="CS121:CS131" si="639">CM121+CR121</f>
        <v>303</v>
      </c>
      <c r="CT121" s="8">
        <v>327</v>
      </c>
      <c r="CU121" s="8">
        <v>4359</v>
      </c>
      <c r="CV121" s="8">
        <v>4105</v>
      </c>
      <c r="CW121" s="10">
        <f t="shared" ref="CW121:CW131" si="640">IF(CU121=0,"",CV121/CU121)</f>
        <v>0.94172975453085572</v>
      </c>
      <c r="CX121" s="8"/>
      <c r="CY121" s="8"/>
      <c r="CZ121" s="8"/>
      <c r="DA121" s="8"/>
      <c r="DB121" s="9">
        <f t="shared" ref="DB121:DB131" si="641">CX121+CY121-CZ121-DA121</f>
        <v>0</v>
      </c>
      <c r="DC121" s="8">
        <v>0</v>
      </c>
      <c r="DD121" s="8">
        <v>0</v>
      </c>
      <c r="DE121" s="8">
        <v>0</v>
      </c>
      <c r="DF121" s="8">
        <v>0</v>
      </c>
      <c r="DG121" s="9">
        <f t="shared" ref="DG121:DG131" si="642">DC121+DD121-DE121-DF121</f>
        <v>0</v>
      </c>
      <c r="DH121" s="8">
        <v>0</v>
      </c>
      <c r="DI121" s="8">
        <v>0</v>
      </c>
      <c r="DJ121" s="8">
        <v>0</v>
      </c>
      <c r="DK121" s="8">
        <v>0</v>
      </c>
      <c r="DL121" s="9">
        <f t="shared" ref="DL121:DL131" si="643">DH121+DI121-DJ121-DK121</f>
        <v>0</v>
      </c>
      <c r="DM121" s="8">
        <v>0</v>
      </c>
      <c r="DN121" s="8">
        <v>0</v>
      </c>
      <c r="DO121" s="8">
        <v>0</v>
      </c>
      <c r="DP121" s="8">
        <v>0</v>
      </c>
      <c r="DQ121" s="9">
        <f t="shared" ref="DQ121:DQ131" si="644">DM121+DN121-DO121-DP121</f>
        <v>0</v>
      </c>
      <c r="DR121" s="9">
        <f t="shared" ref="DR121:DR131" si="645">CX121+DC121+DH121+DM121</f>
        <v>0</v>
      </c>
      <c r="DS121" s="9">
        <f t="shared" ref="DS121:DS131" si="646">CY121+DD121+DI121+DN121</f>
        <v>0</v>
      </c>
      <c r="DT121" s="9">
        <f t="shared" ref="DT121:DT131" si="647">CZ121+DE121+DJ121+DO121</f>
        <v>0</v>
      </c>
      <c r="DU121" s="9">
        <f t="shared" ref="DU121:DU131" si="648">DA121+DF121+DK121+DP121</f>
        <v>0</v>
      </c>
      <c r="DV121" s="9">
        <f t="shared" ref="DV121:DV131" si="649">DB121+DG121+DL121+DQ121</f>
        <v>0</v>
      </c>
      <c r="DW121" s="8">
        <v>4</v>
      </c>
      <c r="DX121" s="8">
        <v>3</v>
      </c>
      <c r="DY121" s="8">
        <v>7</v>
      </c>
      <c r="DZ121" s="8">
        <v>1</v>
      </c>
      <c r="EA121" s="8">
        <v>0</v>
      </c>
      <c r="EB121" s="8">
        <v>0</v>
      </c>
      <c r="EC121" s="8">
        <v>0</v>
      </c>
      <c r="ED121" s="8">
        <v>0</v>
      </c>
      <c r="EE121" s="8">
        <v>0</v>
      </c>
      <c r="EF121" s="8">
        <v>0</v>
      </c>
      <c r="EG121" s="8">
        <v>0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0</v>
      </c>
      <c r="FF121" s="8">
        <v>0</v>
      </c>
      <c r="FG121" s="9">
        <f t="shared" ref="FG121:FG131" si="650">SUM(DW121,DX121,DY121,DZ121,EA121,EB121,EC121,ED121,EE121,EF121,EG121,EH121,EI121,EJ121,EK121,EL121,EM121,EN121,EO121,EP121,EQ121,ER121,ES121,ET121,EU121,EV121,EW121,EX121,EY121,EZ121,FA121,FB121,FC121,FD121,FE121,FF121)</f>
        <v>15</v>
      </c>
      <c r="FH121" s="8">
        <v>5</v>
      </c>
      <c r="FI121" s="8">
        <v>23</v>
      </c>
      <c r="FJ121" s="8">
        <v>23</v>
      </c>
      <c r="FK121" s="8">
        <v>115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9">
        <f t="shared" ref="FQ121:FQ131" si="651">FL121+FM121+FN121+FO121+FP121</f>
        <v>0</v>
      </c>
      <c r="FR121" s="8">
        <v>475946</v>
      </c>
      <c r="FS121" s="8">
        <v>0</v>
      </c>
      <c r="FT121" s="8">
        <v>0</v>
      </c>
      <c r="FU121" s="8">
        <v>0</v>
      </c>
      <c r="FV121" s="9">
        <f t="shared" ref="FV121:FV131" si="652">FR121+FS121+FT121+FU121</f>
        <v>475946</v>
      </c>
      <c r="FW121" s="8">
        <v>1359459</v>
      </c>
      <c r="FX121" s="8">
        <v>0</v>
      </c>
      <c r="FY121" s="8">
        <v>3937000</v>
      </c>
      <c r="FZ121" s="8">
        <v>60027500</v>
      </c>
      <c r="GA121" s="9">
        <f t="shared" ref="GA121:GA131" si="653">FW121+FX121+FY121+FZ121</f>
        <v>65323959</v>
      </c>
      <c r="GB121" s="9">
        <f t="shared" ref="GB121:GB131" si="654">FV121+GA121</f>
        <v>65799905</v>
      </c>
      <c r="GC121" s="8">
        <v>662854.85</v>
      </c>
      <c r="GD121" s="8">
        <v>0</v>
      </c>
      <c r="GE121" s="8">
        <v>0</v>
      </c>
      <c r="GF121" s="8">
        <v>0</v>
      </c>
      <c r="GG121" s="9">
        <f t="shared" ref="GG121:GG131" si="655">GC121+GD121+GE121+GF121</f>
        <v>662854.85</v>
      </c>
      <c r="GH121" s="8">
        <v>0</v>
      </c>
      <c r="GI121" s="8">
        <v>0</v>
      </c>
      <c r="GJ121" s="8">
        <v>0</v>
      </c>
      <c r="GK121" s="8">
        <v>0</v>
      </c>
      <c r="GL121" s="9">
        <f t="shared" ref="GL121:GL131" si="656">GH121+GI121+GJ121+GK121</f>
        <v>0</v>
      </c>
      <c r="GM121" s="9">
        <f t="shared" ref="GM121:GM131" si="657">GG121+GL121</f>
        <v>662854.85</v>
      </c>
      <c r="GN121" s="8">
        <v>41117.870000000003</v>
      </c>
      <c r="GO121" s="8">
        <v>0</v>
      </c>
      <c r="GP121" s="8">
        <v>6787.28</v>
      </c>
      <c r="GQ121" s="8">
        <v>0</v>
      </c>
      <c r="GR121" s="9">
        <f t="shared" ref="GR121:GR131" si="658">GN121+GO121+GP121+GQ121</f>
        <v>47905.15</v>
      </c>
      <c r="GS121" s="8">
        <v>58045</v>
      </c>
      <c r="GT121" s="8">
        <v>0</v>
      </c>
      <c r="GU121" s="8">
        <v>1786</v>
      </c>
      <c r="GV121" s="8">
        <v>0</v>
      </c>
      <c r="GW121" s="9">
        <f t="shared" ref="GW121:GW131" si="659">GS121+GT121+GU121+GV121</f>
        <v>59831</v>
      </c>
      <c r="GX121" s="9">
        <f t="shared" ref="GX121:GX131" si="660">GM121+GR121+GW121</f>
        <v>770591</v>
      </c>
      <c r="GY121" s="8">
        <v>12981353.92</v>
      </c>
      <c r="GZ121" s="8">
        <v>0</v>
      </c>
      <c r="HA121" s="9">
        <f t="shared" ref="HA121:HA131" si="661">GY121+GZ121</f>
        <v>12981353.92</v>
      </c>
      <c r="HB121" s="9">
        <f t="shared" ref="HB121:HB131" si="662">IF(GX121=0,"",AU121/GX121)</f>
        <v>13.820935387903571</v>
      </c>
      <c r="HC121" s="10">
        <f t="shared" ref="HC121:HC131" si="663">IF((GX121+GY121)=0,"",GB121/(GX121+GY121))</f>
        <v>4.7847708366185051</v>
      </c>
      <c r="HD121" s="9">
        <f t="shared" ref="HD121:HD131" si="664">IF(GX121=0,"",GB121/GX121)</f>
        <v>85.388883337594137</v>
      </c>
      <c r="HE121" s="8">
        <v>0</v>
      </c>
      <c r="HF121" s="8">
        <v>1</v>
      </c>
      <c r="HG121" s="8">
        <v>2</v>
      </c>
      <c r="HH121" s="8">
        <v>0</v>
      </c>
      <c r="HI121" s="8">
        <v>7</v>
      </c>
      <c r="HJ121" s="9">
        <f t="shared" ref="HJ121:HJ131" si="665">HF121+HI121</f>
        <v>8</v>
      </c>
      <c r="HK121" s="10" t="str">
        <f t="shared" ref="HK121:HK131" si="666">IF(HE121=0,"",HH121/HE121)</f>
        <v/>
      </c>
      <c r="HL121" s="8">
        <v>5</v>
      </c>
      <c r="HM121" s="8">
        <v>1</v>
      </c>
      <c r="HN121" s="11">
        <f t="shared" ref="HN121:HN131" si="667">IF(HL121=0,"",HM121/HL121)</f>
        <v>0.2</v>
      </c>
    </row>
    <row r="122" spans="1:222" x14ac:dyDescent="0.3">
      <c r="A122" s="12" t="s">
        <v>280</v>
      </c>
      <c r="B122" s="12" t="s">
        <v>282</v>
      </c>
      <c r="C122" s="13" t="s">
        <v>257</v>
      </c>
      <c r="D122" s="13">
        <v>2026</v>
      </c>
      <c r="E122" s="13">
        <v>3</v>
      </c>
      <c r="F122" s="13" t="s">
        <v>273</v>
      </c>
      <c r="G122" s="13" t="s">
        <v>271</v>
      </c>
      <c r="H122" s="14">
        <v>21590</v>
      </c>
      <c r="I122" s="14">
        <v>600</v>
      </c>
      <c r="J122" s="14">
        <v>0</v>
      </c>
      <c r="K122" s="14">
        <v>22</v>
      </c>
      <c r="L122" s="14">
        <v>0</v>
      </c>
      <c r="M122" s="15">
        <f t="shared" si="607"/>
        <v>622</v>
      </c>
      <c r="N122" s="14">
        <v>3046</v>
      </c>
      <c r="O122" s="14">
        <v>0</v>
      </c>
      <c r="P122" s="14">
        <v>14500</v>
      </c>
      <c r="Q122" s="14">
        <v>823</v>
      </c>
      <c r="R122" s="15">
        <f t="shared" si="608"/>
        <v>18369</v>
      </c>
      <c r="S122" s="15">
        <f t="shared" si="609"/>
        <v>18991</v>
      </c>
      <c r="T122" s="14">
        <v>2599</v>
      </c>
      <c r="U122" s="16">
        <f t="shared" si="610"/>
        <v>0.12037980546549329</v>
      </c>
      <c r="V122" s="14">
        <v>19</v>
      </c>
      <c r="W122" s="17">
        <f t="shared" si="611"/>
        <v>8.8003705419175543E-4</v>
      </c>
      <c r="X122" s="14">
        <v>0</v>
      </c>
      <c r="Y122" s="17">
        <f t="shared" si="612"/>
        <v>0</v>
      </c>
      <c r="Z122" s="14">
        <v>0</v>
      </c>
      <c r="AA122" s="17">
        <f t="shared" si="613"/>
        <v>0</v>
      </c>
      <c r="AB122" s="14">
        <v>0</v>
      </c>
      <c r="AC122" s="17">
        <f t="shared" si="614"/>
        <v>0</v>
      </c>
      <c r="AD122" s="14">
        <v>0</v>
      </c>
      <c r="AE122" s="17">
        <f t="shared" si="615"/>
        <v>0</v>
      </c>
      <c r="AF122" s="14">
        <v>0</v>
      </c>
      <c r="AG122" s="17">
        <f t="shared" si="616"/>
        <v>0</v>
      </c>
      <c r="AH122" s="14">
        <v>97121.73</v>
      </c>
      <c r="AI122" s="15">
        <f t="shared" si="617"/>
        <v>4.4984590088003706</v>
      </c>
      <c r="AJ122" s="14">
        <v>8026.62</v>
      </c>
      <c r="AK122" s="17">
        <f t="shared" si="618"/>
        <v>0.37177489578508566</v>
      </c>
      <c r="AL122" s="14">
        <v>16426.5</v>
      </c>
      <c r="AM122" s="15">
        <f t="shared" si="619"/>
        <v>0.76083835108846687</v>
      </c>
      <c r="AN122" s="14">
        <v>0</v>
      </c>
      <c r="AO122" s="14">
        <v>0</v>
      </c>
      <c r="AP122" s="14">
        <v>0</v>
      </c>
      <c r="AQ122" s="14">
        <v>0</v>
      </c>
      <c r="AR122" s="14">
        <v>9292243.0999999996</v>
      </c>
      <c r="AS122" s="14">
        <v>0</v>
      </c>
      <c r="AT122" s="14">
        <v>0</v>
      </c>
      <c r="AU122" s="15">
        <f t="shared" si="620"/>
        <v>9405791.3300000001</v>
      </c>
      <c r="AV122" s="15">
        <f t="shared" si="621"/>
        <v>435.65499444187122</v>
      </c>
      <c r="AW122" s="15">
        <f t="shared" si="622"/>
        <v>495.27625348849455</v>
      </c>
      <c r="AX122" s="14">
        <v>4</v>
      </c>
      <c r="AY122" s="15">
        <f t="shared" si="623"/>
        <v>2.22325150532654</v>
      </c>
      <c r="AZ122" s="14">
        <v>8</v>
      </c>
      <c r="BA122" s="14">
        <v>2</v>
      </c>
      <c r="BB122" s="14">
        <v>1</v>
      </c>
      <c r="BC122" s="14">
        <v>2</v>
      </c>
      <c r="BD122" s="14">
        <v>0</v>
      </c>
      <c r="BE122" s="15">
        <f t="shared" si="624"/>
        <v>2</v>
      </c>
      <c r="BF122" s="15">
        <f t="shared" si="625"/>
        <v>1</v>
      </c>
      <c r="BG122" s="14">
        <v>0</v>
      </c>
      <c r="BH122" s="14">
        <v>0</v>
      </c>
      <c r="BI122" s="14">
        <v>0</v>
      </c>
      <c r="BJ122" s="14">
        <v>0</v>
      </c>
      <c r="BK122" s="15">
        <f t="shared" si="626"/>
        <v>0</v>
      </c>
      <c r="BL122" s="15">
        <f t="shared" si="627"/>
        <v>0</v>
      </c>
      <c r="BM122" s="14">
        <v>0</v>
      </c>
      <c r="BN122" s="14">
        <v>0</v>
      </c>
      <c r="BO122" s="14">
        <v>0</v>
      </c>
      <c r="BP122" s="14">
        <v>0</v>
      </c>
      <c r="BQ122" s="15">
        <f t="shared" si="628"/>
        <v>0</v>
      </c>
      <c r="BR122" s="15">
        <f t="shared" si="629"/>
        <v>0</v>
      </c>
      <c r="BS122" s="14">
        <v>0</v>
      </c>
      <c r="BT122" s="14">
        <v>0</v>
      </c>
      <c r="BU122" s="14">
        <v>0</v>
      </c>
      <c r="BV122" s="14">
        <v>0</v>
      </c>
      <c r="BW122" s="15">
        <f t="shared" si="630"/>
        <v>0</v>
      </c>
      <c r="BX122" s="15">
        <f t="shared" si="631"/>
        <v>0</v>
      </c>
      <c r="BY122" s="15">
        <f t="shared" si="632"/>
        <v>2</v>
      </c>
      <c r="BZ122" s="15">
        <f t="shared" si="633"/>
        <v>1</v>
      </c>
      <c r="CA122" s="15">
        <f t="shared" si="634"/>
        <v>2</v>
      </c>
      <c r="CB122" s="15">
        <f t="shared" si="635"/>
        <v>1</v>
      </c>
      <c r="CC122" s="14">
        <v>0</v>
      </c>
      <c r="CD122" s="14">
        <v>12</v>
      </c>
      <c r="CE122" s="14">
        <v>1</v>
      </c>
      <c r="CF122" s="14">
        <v>11</v>
      </c>
      <c r="CG122" s="14">
        <v>0</v>
      </c>
      <c r="CH122" s="15">
        <f t="shared" si="636"/>
        <v>24</v>
      </c>
      <c r="CI122" s="14">
        <v>65</v>
      </c>
      <c r="CJ122" s="14">
        <v>2</v>
      </c>
      <c r="CK122" s="14">
        <v>0</v>
      </c>
      <c r="CL122" s="14">
        <v>0</v>
      </c>
      <c r="CM122" s="15">
        <f t="shared" si="637"/>
        <v>67</v>
      </c>
      <c r="CN122" s="14">
        <v>219</v>
      </c>
      <c r="CO122" s="14">
        <v>9</v>
      </c>
      <c r="CP122" s="14">
        <v>10</v>
      </c>
      <c r="CQ122" s="14">
        <v>0</v>
      </c>
      <c r="CR122" s="15">
        <f t="shared" si="638"/>
        <v>238</v>
      </c>
      <c r="CS122" s="15">
        <f t="shared" si="639"/>
        <v>305</v>
      </c>
      <c r="CT122" s="14">
        <v>329</v>
      </c>
      <c r="CU122" s="14">
        <v>4359</v>
      </c>
      <c r="CV122" s="14">
        <v>4105</v>
      </c>
      <c r="CW122" s="16">
        <f t="shared" si="640"/>
        <v>0.94172975453085572</v>
      </c>
      <c r="CX122" s="14"/>
      <c r="CY122" s="14"/>
      <c r="CZ122" s="14"/>
      <c r="DA122" s="14"/>
      <c r="DB122" s="15">
        <f t="shared" si="641"/>
        <v>0</v>
      </c>
      <c r="DC122" s="14">
        <v>0</v>
      </c>
      <c r="DD122" s="14">
        <v>0</v>
      </c>
      <c r="DE122" s="14">
        <v>0</v>
      </c>
      <c r="DF122" s="14">
        <v>0</v>
      </c>
      <c r="DG122" s="15">
        <f t="shared" si="642"/>
        <v>0</v>
      </c>
      <c r="DH122" s="14">
        <v>0</v>
      </c>
      <c r="DI122" s="14">
        <v>0</v>
      </c>
      <c r="DJ122" s="14">
        <v>0</v>
      </c>
      <c r="DK122" s="14">
        <v>0</v>
      </c>
      <c r="DL122" s="15">
        <f t="shared" si="643"/>
        <v>0</v>
      </c>
      <c r="DM122" s="14">
        <v>0</v>
      </c>
      <c r="DN122" s="14">
        <v>0</v>
      </c>
      <c r="DO122" s="14">
        <v>0</v>
      </c>
      <c r="DP122" s="14">
        <v>0</v>
      </c>
      <c r="DQ122" s="15">
        <f t="shared" si="644"/>
        <v>0</v>
      </c>
      <c r="DR122" s="15">
        <f t="shared" si="645"/>
        <v>0</v>
      </c>
      <c r="DS122" s="15">
        <f t="shared" si="646"/>
        <v>0</v>
      </c>
      <c r="DT122" s="15">
        <f t="shared" si="647"/>
        <v>0</v>
      </c>
      <c r="DU122" s="15">
        <f t="shared" si="648"/>
        <v>0</v>
      </c>
      <c r="DV122" s="15">
        <f t="shared" si="649"/>
        <v>0</v>
      </c>
      <c r="DW122" s="14">
        <v>2</v>
      </c>
      <c r="DX122" s="14">
        <v>4</v>
      </c>
      <c r="DY122" s="14">
        <v>3</v>
      </c>
      <c r="DZ122" s="14">
        <v>0</v>
      </c>
      <c r="EA122" s="14">
        <v>0</v>
      </c>
      <c r="EB122" s="14">
        <v>0</v>
      </c>
      <c r="EC122" s="14">
        <v>0</v>
      </c>
      <c r="ED122" s="14">
        <v>0</v>
      </c>
      <c r="EE122" s="14">
        <v>0</v>
      </c>
      <c r="EF122" s="14">
        <v>0</v>
      </c>
      <c r="EG122" s="14">
        <v>0</v>
      </c>
      <c r="EH122" s="14">
        <v>0</v>
      </c>
      <c r="EI122" s="14">
        <v>0</v>
      </c>
      <c r="EJ122" s="14">
        <v>0</v>
      </c>
      <c r="EK122" s="14">
        <v>0</v>
      </c>
      <c r="EL122" s="14">
        <v>0</v>
      </c>
      <c r="EM122" s="14">
        <v>0</v>
      </c>
      <c r="EN122" s="14">
        <v>0</v>
      </c>
      <c r="EO122" s="14">
        <v>0</v>
      </c>
      <c r="EP122" s="14">
        <v>0</v>
      </c>
      <c r="EQ122" s="14">
        <v>0</v>
      </c>
      <c r="ER122" s="14">
        <v>0</v>
      </c>
      <c r="ES122" s="14">
        <v>0</v>
      </c>
      <c r="ET122" s="14">
        <v>0</v>
      </c>
      <c r="EU122" s="14">
        <v>0</v>
      </c>
      <c r="EV122" s="14">
        <v>0</v>
      </c>
      <c r="EW122" s="14">
        <v>0</v>
      </c>
      <c r="EX122" s="14">
        <v>0</v>
      </c>
      <c r="EY122" s="14">
        <v>0</v>
      </c>
      <c r="EZ122" s="14">
        <v>0</v>
      </c>
      <c r="FA122" s="14">
        <v>0</v>
      </c>
      <c r="FB122" s="14">
        <v>0</v>
      </c>
      <c r="FC122" s="14">
        <v>0</v>
      </c>
      <c r="FD122" s="14">
        <v>0</v>
      </c>
      <c r="FE122" s="14">
        <v>0</v>
      </c>
      <c r="FF122" s="14">
        <v>0</v>
      </c>
      <c r="FG122" s="15">
        <f t="shared" si="650"/>
        <v>9</v>
      </c>
      <c r="FH122" s="14">
        <v>7</v>
      </c>
      <c r="FI122" s="14">
        <v>5</v>
      </c>
      <c r="FJ122" s="14">
        <v>24</v>
      </c>
      <c r="FK122" s="14">
        <v>35</v>
      </c>
      <c r="FL122" s="14">
        <v>0</v>
      </c>
      <c r="FM122" s="14">
        <v>0</v>
      </c>
      <c r="FN122" s="14">
        <v>0</v>
      </c>
      <c r="FO122" s="14">
        <v>0</v>
      </c>
      <c r="FP122" s="14">
        <v>0</v>
      </c>
      <c r="FQ122" s="15">
        <f t="shared" si="651"/>
        <v>0</v>
      </c>
      <c r="FR122" s="14">
        <v>236546</v>
      </c>
      <c r="FS122" s="14">
        <v>0</v>
      </c>
      <c r="FT122" s="14">
        <v>0</v>
      </c>
      <c r="FU122" s="14">
        <v>0</v>
      </c>
      <c r="FV122" s="15">
        <f t="shared" si="652"/>
        <v>236546</v>
      </c>
      <c r="FW122" s="14">
        <v>3800750</v>
      </c>
      <c r="FX122" s="14">
        <v>0</v>
      </c>
      <c r="FY122" s="14">
        <v>3891500</v>
      </c>
      <c r="FZ122" s="14">
        <v>43419000</v>
      </c>
      <c r="GA122" s="15">
        <f t="shared" si="653"/>
        <v>51111250</v>
      </c>
      <c r="GB122" s="15">
        <f t="shared" si="654"/>
        <v>51347796</v>
      </c>
      <c r="GC122" s="14">
        <v>540547.46</v>
      </c>
      <c r="GD122" s="14">
        <v>0</v>
      </c>
      <c r="GE122" s="14">
        <v>57417.29</v>
      </c>
      <c r="GF122" s="14">
        <v>0</v>
      </c>
      <c r="GG122" s="15">
        <f t="shared" si="655"/>
        <v>597964.75</v>
      </c>
      <c r="GH122" s="14">
        <v>0</v>
      </c>
      <c r="GI122" s="14">
        <v>0</v>
      </c>
      <c r="GJ122" s="14">
        <v>0</v>
      </c>
      <c r="GK122" s="14">
        <v>0</v>
      </c>
      <c r="GL122" s="15">
        <f t="shared" si="656"/>
        <v>0</v>
      </c>
      <c r="GM122" s="15">
        <f t="shared" si="657"/>
        <v>597964.75</v>
      </c>
      <c r="GN122" s="14">
        <v>35420.449999999997</v>
      </c>
      <c r="GO122" s="14">
        <v>0</v>
      </c>
      <c r="GP122" s="14">
        <v>6787.28</v>
      </c>
      <c r="GQ122" s="14">
        <v>0</v>
      </c>
      <c r="GR122" s="15">
        <f t="shared" si="658"/>
        <v>42207.729999999996</v>
      </c>
      <c r="GS122" s="14">
        <v>58045</v>
      </c>
      <c r="GT122" s="14">
        <v>0</v>
      </c>
      <c r="GU122" s="14">
        <v>1786</v>
      </c>
      <c r="GV122" s="14">
        <v>0</v>
      </c>
      <c r="GW122" s="15">
        <f t="shared" si="659"/>
        <v>59831</v>
      </c>
      <c r="GX122" s="15">
        <f t="shared" si="660"/>
        <v>700003.48</v>
      </c>
      <c r="GY122" s="14">
        <v>12981353.92</v>
      </c>
      <c r="GZ122" s="14">
        <v>0</v>
      </c>
      <c r="HA122" s="15">
        <f t="shared" si="661"/>
        <v>12981353.92</v>
      </c>
      <c r="HB122" s="15">
        <f t="shared" si="662"/>
        <v>13.436777957161013</v>
      </c>
      <c r="HC122" s="16">
        <f t="shared" si="663"/>
        <v>3.7531214556239862</v>
      </c>
      <c r="HD122" s="15">
        <f t="shared" si="664"/>
        <v>73.353629613384214</v>
      </c>
      <c r="HE122" s="14">
        <v>1</v>
      </c>
      <c r="HF122" s="14">
        <v>1</v>
      </c>
      <c r="HG122" s="14">
        <v>1</v>
      </c>
      <c r="HH122" s="14">
        <v>1</v>
      </c>
      <c r="HI122" s="14">
        <v>7</v>
      </c>
      <c r="HJ122" s="15">
        <f t="shared" si="665"/>
        <v>8</v>
      </c>
      <c r="HK122" s="16">
        <f t="shared" si="666"/>
        <v>1</v>
      </c>
      <c r="HL122" s="14">
        <v>3</v>
      </c>
      <c r="HM122" s="14">
        <v>1</v>
      </c>
      <c r="HN122" s="17">
        <f t="shared" si="667"/>
        <v>0.33333333333333331</v>
      </c>
    </row>
    <row r="123" spans="1:222" x14ac:dyDescent="0.3">
      <c r="A123" s="6" t="s">
        <v>280</v>
      </c>
      <c r="B123" s="6" t="s">
        <v>283</v>
      </c>
      <c r="C123" s="7" t="s">
        <v>257</v>
      </c>
      <c r="D123" s="7">
        <v>2025</v>
      </c>
      <c r="E123" s="7">
        <v>4</v>
      </c>
      <c r="F123" s="7" t="s">
        <v>258</v>
      </c>
      <c r="G123" s="7" t="s">
        <v>259</v>
      </c>
      <c r="H123" s="8">
        <v>753</v>
      </c>
      <c r="I123" s="8">
        <v>0</v>
      </c>
      <c r="J123" s="8">
        <v>0</v>
      </c>
      <c r="K123" s="8">
        <v>0</v>
      </c>
      <c r="L123" s="8">
        <v>0</v>
      </c>
      <c r="M123" s="9">
        <f t="shared" si="607"/>
        <v>0</v>
      </c>
      <c r="N123" s="8">
        <v>597</v>
      </c>
      <c r="O123" s="8">
        <v>0</v>
      </c>
      <c r="P123" s="8">
        <v>0</v>
      </c>
      <c r="Q123" s="8">
        <v>0</v>
      </c>
      <c r="R123" s="9">
        <f t="shared" si="608"/>
        <v>597</v>
      </c>
      <c r="S123" s="9">
        <f t="shared" si="609"/>
        <v>597</v>
      </c>
      <c r="T123" s="8">
        <v>156</v>
      </c>
      <c r="U123" s="10">
        <f t="shared" si="610"/>
        <v>0.20717131474103587</v>
      </c>
      <c r="V123" s="8">
        <v>1</v>
      </c>
      <c r="W123" s="11">
        <f t="shared" si="611"/>
        <v>1.3280212483399733E-3</v>
      </c>
      <c r="X123" s="8">
        <v>0</v>
      </c>
      <c r="Y123" s="11">
        <f t="shared" si="612"/>
        <v>0</v>
      </c>
      <c r="Z123" s="8">
        <v>0</v>
      </c>
      <c r="AA123" s="11">
        <f t="shared" si="613"/>
        <v>0</v>
      </c>
      <c r="AB123" s="8">
        <v>0</v>
      </c>
      <c r="AC123" s="11">
        <f t="shared" si="614"/>
        <v>0</v>
      </c>
      <c r="AD123" s="8">
        <v>0</v>
      </c>
      <c r="AE123" s="11">
        <f t="shared" si="615"/>
        <v>0</v>
      </c>
      <c r="AF123" s="8">
        <v>0</v>
      </c>
      <c r="AG123" s="11">
        <f t="shared" si="616"/>
        <v>0</v>
      </c>
      <c r="AH123" s="8">
        <v>5111.67</v>
      </c>
      <c r="AI123" s="9">
        <f t="shared" si="617"/>
        <v>6.7884063745019922</v>
      </c>
      <c r="AJ123" s="8">
        <v>1664</v>
      </c>
      <c r="AK123" s="11">
        <f t="shared" si="618"/>
        <v>2.2098273572377156</v>
      </c>
      <c r="AL123" s="8">
        <v>247308.99600000001</v>
      </c>
      <c r="AM123" s="9">
        <f t="shared" si="619"/>
        <v>328.43160159362554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9">
        <f t="shared" si="620"/>
        <v>252420.66600000003</v>
      </c>
      <c r="AV123" s="9">
        <f t="shared" si="621"/>
        <v>335.2200079681275</v>
      </c>
      <c r="AW123" s="9">
        <f t="shared" si="622"/>
        <v>422.81518592964829</v>
      </c>
      <c r="AX123" s="8">
        <v>0</v>
      </c>
      <c r="AY123" s="9">
        <f t="shared" si="623"/>
        <v>0</v>
      </c>
      <c r="AZ123" s="8">
        <v>2</v>
      </c>
      <c r="BA123" s="8">
        <v>0</v>
      </c>
      <c r="BB123" s="8">
        <v>0</v>
      </c>
      <c r="BC123" s="8">
        <v>0</v>
      </c>
      <c r="BD123" s="8">
        <v>0</v>
      </c>
      <c r="BE123" s="9">
        <f t="shared" si="624"/>
        <v>0</v>
      </c>
      <c r="BF123" s="9">
        <f t="shared" si="625"/>
        <v>0</v>
      </c>
      <c r="BG123" s="8">
        <v>0</v>
      </c>
      <c r="BH123" s="8">
        <v>0</v>
      </c>
      <c r="BI123" s="8">
        <v>0</v>
      </c>
      <c r="BJ123" s="8">
        <v>0</v>
      </c>
      <c r="BK123" s="9">
        <f t="shared" si="626"/>
        <v>0</v>
      </c>
      <c r="BL123" s="9">
        <f t="shared" si="627"/>
        <v>0</v>
      </c>
      <c r="BM123" s="8">
        <v>0</v>
      </c>
      <c r="BN123" s="8">
        <v>0</v>
      </c>
      <c r="BO123" s="8">
        <v>0</v>
      </c>
      <c r="BP123" s="8">
        <v>0</v>
      </c>
      <c r="BQ123" s="9">
        <f t="shared" si="628"/>
        <v>0</v>
      </c>
      <c r="BR123" s="9">
        <f t="shared" si="629"/>
        <v>0</v>
      </c>
      <c r="BS123" s="8">
        <v>0</v>
      </c>
      <c r="BT123" s="8">
        <v>0</v>
      </c>
      <c r="BU123" s="8">
        <v>0</v>
      </c>
      <c r="BV123" s="8">
        <v>0</v>
      </c>
      <c r="BW123" s="9">
        <f t="shared" si="630"/>
        <v>0</v>
      </c>
      <c r="BX123" s="9">
        <f t="shared" si="631"/>
        <v>0</v>
      </c>
      <c r="BY123" s="9">
        <f t="shared" si="632"/>
        <v>0</v>
      </c>
      <c r="BZ123" s="9">
        <f t="shared" si="633"/>
        <v>0</v>
      </c>
      <c r="CA123" s="9">
        <f t="shared" si="634"/>
        <v>0</v>
      </c>
      <c r="CB123" s="9">
        <f t="shared" si="635"/>
        <v>0</v>
      </c>
      <c r="CC123" s="8">
        <v>8</v>
      </c>
      <c r="CD123" s="8">
        <v>0</v>
      </c>
      <c r="CE123" s="8">
        <v>0</v>
      </c>
      <c r="CF123" s="8">
        <v>0</v>
      </c>
      <c r="CG123" s="8">
        <v>0</v>
      </c>
      <c r="CH123" s="9">
        <f t="shared" si="636"/>
        <v>0</v>
      </c>
      <c r="CI123" s="8">
        <v>0</v>
      </c>
      <c r="CJ123" s="8">
        <v>0</v>
      </c>
      <c r="CK123" s="8">
        <v>0</v>
      </c>
      <c r="CL123" s="8">
        <v>0</v>
      </c>
      <c r="CM123" s="9">
        <f t="shared" si="637"/>
        <v>0</v>
      </c>
      <c r="CN123" s="8">
        <v>75</v>
      </c>
      <c r="CO123" s="8">
        <v>1</v>
      </c>
      <c r="CP123" s="8">
        <v>0</v>
      </c>
      <c r="CQ123" s="8">
        <v>0</v>
      </c>
      <c r="CR123" s="9">
        <f t="shared" si="638"/>
        <v>76</v>
      </c>
      <c r="CS123" s="9">
        <f t="shared" si="639"/>
        <v>76</v>
      </c>
      <c r="CT123" s="8">
        <v>76</v>
      </c>
      <c r="CU123" s="8">
        <v>553</v>
      </c>
      <c r="CV123" s="8">
        <v>553</v>
      </c>
      <c r="CW123" s="10">
        <f t="shared" si="640"/>
        <v>1</v>
      </c>
      <c r="CX123" s="8">
        <v>0</v>
      </c>
      <c r="CY123" s="8">
        <v>0</v>
      </c>
      <c r="CZ123" s="8">
        <v>0</v>
      </c>
      <c r="DA123" s="8">
        <v>0</v>
      </c>
      <c r="DB123" s="9">
        <f t="shared" si="641"/>
        <v>0</v>
      </c>
      <c r="DC123" s="8">
        <v>0</v>
      </c>
      <c r="DD123" s="8">
        <v>0</v>
      </c>
      <c r="DE123" s="8">
        <v>0</v>
      </c>
      <c r="DF123" s="8">
        <v>0</v>
      </c>
      <c r="DG123" s="9">
        <f t="shared" si="642"/>
        <v>0</v>
      </c>
      <c r="DH123" s="8">
        <v>0</v>
      </c>
      <c r="DI123" s="8">
        <v>0</v>
      </c>
      <c r="DJ123" s="8">
        <v>0</v>
      </c>
      <c r="DK123" s="8">
        <v>0</v>
      </c>
      <c r="DL123" s="9">
        <f t="shared" si="643"/>
        <v>0</v>
      </c>
      <c r="DM123" s="8">
        <v>0</v>
      </c>
      <c r="DN123" s="8">
        <v>0</v>
      </c>
      <c r="DO123" s="8">
        <v>0</v>
      </c>
      <c r="DP123" s="8">
        <v>0</v>
      </c>
      <c r="DQ123" s="9">
        <f t="shared" si="644"/>
        <v>0</v>
      </c>
      <c r="DR123" s="9">
        <f t="shared" si="645"/>
        <v>0</v>
      </c>
      <c r="DS123" s="9">
        <f t="shared" si="646"/>
        <v>0</v>
      </c>
      <c r="DT123" s="9">
        <f t="shared" si="647"/>
        <v>0</v>
      </c>
      <c r="DU123" s="9">
        <f t="shared" si="648"/>
        <v>0</v>
      </c>
      <c r="DV123" s="9">
        <f t="shared" si="649"/>
        <v>0</v>
      </c>
      <c r="DW123" s="8">
        <v>0</v>
      </c>
      <c r="DX123" s="8">
        <v>0</v>
      </c>
      <c r="DY123" s="8">
        <v>0</v>
      </c>
      <c r="DZ123" s="8">
        <v>0</v>
      </c>
      <c r="EA123" s="8">
        <v>0</v>
      </c>
      <c r="EB123" s="8">
        <v>0</v>
      </c>
      <c r="EC123" s="8">
        <v>0</v>
      </c>
      <c r="ED123" s="8">
        <v>0</v>
      </c>
      <c r="EE123" s="8">
        <v>0</v>
      </c>
      <c r="EF123" s="8">
        <v>0</v>
      </c>
      <c r="EG123" s="8">
        <v>0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0</v>
      </c>
      <c r="EU123" s="8">
        <v>0</v>
      </c>
      <c r="EV123" s="8">
        <v>0</v>
      </c>
      <c r="EW123" s="8">
        <v>0</v>
      </c>
      <c r="EX123" s="8">
        <v>0</v>
      </c>
      <c r="EY123" s="8">
        <v>0</v>
      </c>
      <c r="EZ123" s="8">
        <v>0</v>
      </c>
      <c r="FA123" s="8">
        <v>0</v>
      </c>
      <c r="FB123" s="8">
        <v>0</v>
      </c>
      <c r="FC123" s="8">
        <v>0</v>
      </c>
      <c r="FD123" s="8">
        <v>0</v>
      </c>
      <c r="FE123" s="8">
        <v>0</v>
      </c>
      <c r="FF123" s="8">
        <v>0</v>
      </c>
      <c r="FG123" s="9">
        <f t="shared" si="650"/>
        <v>0</v>
      </c>
      <c r="FH123" s="8">
        <v>0</v>
      </c>
      <c r="FI123" s="8">
        <v>0</v>
      </c>
      <c r="FJ123" s="8">
        <v>18</v>
      </c>
      <c r="FK123" s="8">
        <v>72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9">
        <f t="shared" si="651"/>
        <v>0</v>
      </c>
      <c r="FR123" s="8">
        <v>0</v>
      </c>
      <c r="FS123" s="8">
        <v>0</v>
      </c>
      <c r="FT123" s="8">
        <v>0</v>
      </c>
      <c r="FU123" s="8">
        <v>0</v>
      </c>
      <c r="FV123" s="9">
        <f t="shared" si="652"/>
        <v>0</v>
      </c>
      <c r="FW123" s="8">
        <v>747609</v>
      </c>
      <c r="FX123" s="8">
        <v>747609</v>
      </c>
      <c r="FY123" s="8">
        <v>0</v>
      </c>
      <c r="FZ123" s="8">
        <v>0</v>
      </c>
      <c r="GA123" s="9">
        <f t="shared" si="653"/>
        <v>1495218</v>
      </c>
      <c r="GB123" s="9">
        <f t="shared" si="654"/>
        <v>1495218</v>
      </c>
      <c r="GC123" s="8">
        <v>0</v>
      </c>
      <c r="GD123" s="8">
        <v>0</v>
      </c>
      <c r="GE123" s="8">
        <v>0</v>
      </c>
      <c r="GF123" s="8">
        <v>0</v>
      </c>
      <c r="GG123" s="9">
        <f t="shared" si="655"/>
        <v>0</v>
      </c>
      <c r="GH123" s="8">
        <v>0</v>
      </c>
      <c r="GI123" s="8">
        <v>0</v>
      </c>
      <c r="GJ123" s="8">
        <v>0</v>
      </c>
      <c r="GK123" s="8">
        <v>0</v>
      </c>
      <c r="GL123" s="9">
        <f t="shared" si="656"/>
        <v>0</v>
      </c>
      <c r="GM123" s="9">
        <f t="shared" si="657"/>
        <v>0</v>
      </c>
      <c r="GN123" s="8">
        <v>0</v>
      </c>
      <c r="GO123" s="8">
        <v>0</v>
      </c>
      <c r="GP123" s="8">
        <v>0</v>
      </c>
      <c r="GQ123" s="8">
        <v>0</v>
      </c>
      <c r="GR123" s="9">
        <f t="shared" si="658"/>
        <v>0</v>
      </c>
      <c r="GS123" s="8">
        <v>0</v>
      </c>
      <c r="GT123" s="8">
        <v>0</v>
      </c>
      <c r="GU123" s="8">
        <v>0</v>
      </c>
      <c r="GV123" s="8">
        <v>0</v>
      </c>
      <c r="GW123" s="9">
        <f t="shared" si="659"/>
        <v>0</v>
      </c>
      <c r="GX123" s="9">
        <f t="shared" si="660"/>
        <v>0</v>
      </c>
      <c r="GY123" s="8">
        <v>0</v>
      </c>
      <c r="GZ123" s="8">
        <v>0</v>
      </c>
      <c r="HA123" s="9">
        <f t="shared" si="661"/>
        <v>0</v>
      </c>
      <c r="HB123" s="9" t="str">
        <f t="shared" si="662"/>
        <v/>
      </c>
      <c r="HC123" s="10" t="str">
        <f t="shared" si="663"/>
        <v/>
      </c>
      <c r="HD123" s="9" t="str">
        <f t="shared" si="664"/>
        <v/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9">
        <f t="shared" si="665"/>
        <v>0</v>
      </c>
      <c r="HK123" s="10" t="str">
        <f t="shared" si="666"/>
        <v/>
      </c>
      <c r="HL123" s="8">
        <v>4</v>
      </c>
      <c r="HM123" s="8">
        <v>2</v>
      </c>
      <c r="HN123" s="11">
        <f t="shared" si="667"/>
        <v>0.5</v>
      </c>
    </row>
    <row r="124" spans="1:222" x14ac:dyDescent="0.3">
      <c r="A124" s="12" t="s">
        <v>280</v>
      </c>
      <c r="B124" s="12" t="s">
        <v>283</v>
      </c>
      <c r="C124" s="13" t="s">
        <v>257</v>
      </c>
      <c r="D124" s="13">
        <v>2025</v>
      </c>
      <c r="E124" s="13">
        <v>5</v>
      </c>
      <c r="F124" s="13" t="s">
        <v>260</v>
      </c>
      <c r="G124" s="13" t="s">
        <v>259</v>
      </c>
      <c r="H124" s="14">
        <v>1051</v>
      </c>
      <c r="I124" s="14">
        <v>0</v>
      </c>
      <c r="J124" s="14">
        <v>0</v>
      </c>
      <c r="K124" s="14">
        <v>0</v>
      </c>
      <c r="L124" s="14">
        <v>0</v>
      </c>
      <c r="M124" s="15">
        <f t="shared" si="607"/>
        <v>0</v>
      </c>
      <c r="N124" s="14">
        <v>821</v>
      </c>
      <c r="O124" s="14">
        <v>0</v>
      </c>
      <c r="P124" s="14">
        <v>0</v>
      </c>
      <c r="Q124" s="14">
        <v>0</v>
      </c>
      <c r="R124" s="15">
        <f t="shared" si="608"/>
        <v>821</v>
      </c>
      <c r="S124" s="15">
        <f t="shared" si="609"/>
        <v>821</v>
      </c>
      <c r="T124" s="14">
        <v>230</v>
      </c>
      <c r="U124" s="16">
        <f t="shared" si="610"/>
        <v>0.21883920076117983</v>
      </c>
      <c r="V124" s="14">
        <v>1</v>
      </c>
      <c r="W124" s="17">
        <f t="shared" si="611"/>
        <v>9.5147478591817321E-4</v>
      </c>
      <c r="X124" s="14">
        <v>0</v>
      </c>
      <c r="Y124" s="17">
        <f t="shared" si="612"/>
        <v>0</v>
      </c>
      <c r="Z124" s="14">
        <v>0</v>
      </c>
      <c r="AA124" s="17">
        <f t="shared" si="613"/>
        <v>0</v>
      </c>
      <c r="AB124" s="14">
        <v>0</v>
      </c>
      <c r="AC124" s="17">
        <f t="shared" si="614"/>
        <v>0</v>
      </c>
      <c r="AD124" s="14">
        <v>0</v>
      </c>
      <c r="AE124" s="17">
        <f t="shared" si="615"/>
        <v>0</v>
      </c>
      <c r="AF124" s="14">
        <v>0</v>
      </c>
      <c r="AG124" s="17">
        <f t="shared" si="616"/>
        <v>0</v>
      </c>
      <c r="AH124" s="14">
        <v>5111.67</v>
      </c>
      <c r="AI124" s="15">
        <f t="shared" si="617"/>
        <v>4.8636251189343485</v>
      </c>
      <c r="AJ124" s="14">
        <v>400</v>
      </c>
      <c r="AK124" s="17">
        <f t="shared" si="618"/>
        <v>0.38058991436726924</v>
      </c>
      <c r="AL124" s="14">
        <v>71927.100000000006</v>
      </c>
      <c r="AM124" s="15">
        <f t="shared" si="619"/>
        <v>68.436822074215044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5">
        <f t="shared" si="620"/>
        <v>77038.77</v>
      </c>
      <c r="AV124" s="15">
        <f t="shared" si="621"/>
        <v>73.300447193149381</v>
      </c>
      <c r="AW124" s="15">
        <f t="shared" si="622"/>
        <v>93.835286236297208</v>
      </c>
      <c r="AX124" s="14">
        <v>0</v>
      </c>
      <c r="AY124" s="15">
        <f t="shared" si="623"/>
        <v>0</v>
      </c>
      <c r="AZ124" s="14">
        <v>2</v>
      </c>
      <c r="BA124" s="14">
        <v>0</v>
      </c>
      <c r="BB124" s="14">
        <v>0</v>
      </c>
      <c r="BC124" s="14">
        <v>0</v>
      </c>
      <c r="BD124" s="14">
        <v>0</v>
      </c>
      <c r="BE124" s="15">
        <f t="shared" si="624"/>
        <v>0</v>
      </c>
      <c r="BF124" s="15">
        <f t="shared" si="625"/>
        <v>0</v>
      </c>
      <c r="BG124" s="14">
        <v>0</v>
      </c>
      <c r="BH124" s="14">
        <v>0</v>
      </c>
      <c r="BI124" s="14">
        <v>0</v>
      </c>
      <c r="BJ124" s="14">
        <v>0</v>
      </c>
      <c r="BK124" s="15">
        <f t="shared" si="626"/>
        <v>0</v>
      </c>
      <c r="BL124" s="15">
        <f t="shared" si="627"/>
        <v>0</v>
      </c>
      <c r="BM124" s="14">
        <v>0</v>
      </c>
      <c r="BN124" s="14">
        <v>0</v>
      </c>
      <c r="BO124" s="14">
        <v>0</v>
      </c>
      <c r="BP124" s="14">
        <v>0</v>
      </c>
      <c r="BQ124" s="15">
        <f t="shared" si="628"/>
        <v>0</v>
      </c>
      <c r="BR124" s="15">
        <f t="shared" si="629"/>
        <v>0</v>
      </c>
      <c r="BS124" s="14">
        <v>0</v>
      </c>
      <c r="BT124" s="14">
        <v>0</v>
      </c>
      <c r="BU124" s="14">
        <v>0</v>
      </c>
      <c r="BV124" s="14">
        <v>0</v>
      </c>
      <c r="BW124" s="15">
        <f t="shared" si="630"/>
        <v>0</v>
      </c>
      <c r="BX124" s="15">
        <f t="shared" si="631"/>
        <v>0</v>
      </c>
      <c r="BY124" s="15">
        <f t="shared" si="632"/>
        <v>0</v>
      </c>
      <c r="BZ124" s="15">
        <f t="shared" si="633"/>
        <v>0</v>
      </c>
      <c r="CA124" s="15">
        <f t="shared" si="634"/>
        <v>0</v>
      </c>
      <c r="CB124" s="15">
        <f t="shared" si="635"/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5">
        <f t="shared" si="636"/>
        <v>0</v>
      </c>
      <c r="CI124" s="14">
        <v>0</v>
      </c>
      <c r="CJ124" s="14">
        <v>0</v>
      </c>
      <c r="CK124" s="14">
        <v>0</v>
      </c>
      <c r="CL124" s="14">
        <v>0</v>
      </c>
      <c r="CM124" s="15">
        <f t="shared" si="637"/>
        <v>0</v>
      </c>
      <c r="CN124" s="14">
        <v>75</v>
      </c>
      <c r="CO124" s="14">
        <v>1</v>
      </c>
      <c r="CP124" s="14">
        <v>0</v>
      </c>
      <c r="CQ124" s="14">
        <v>0</v>
      </c>
      <c r="CR124" s="15">
        <f t="shared" si="638"/>
        <v>76</v>
      </c>
      <c r="CS124" s="15">
        <f t="shared" si="639"/>
        <v>76</v>
      </c>
      <c r="CT124" s="14">
        <v>76</v>
      </c>
      <c r="CU124" s="14">
        <v>553</v>
      </c>
      <c r="CV124" s="14">
        <v>553</v>
      </c>
      <c r="CW124" s="16">
        <f t="shared" si="640"/>
        <v>1</v>
      </c>
      <c r="CX124" s="14">
        <v>0</v>
      </c>
      <c r="CY124" s="14">
        <v>0</v>
      </c>
      <c r="CZ124" s="14">
        <v>0</v>
      </c>
      <c r="DA124" s="14">
        <v>0</v>
      </c>
      <c r="DB124" s="15">
        <f t="shared" si="641"/>
        <v>0</v>
      </c>
      <c r="DC124" s="14">
        <v>0</v>
      </c>
      <c r="DD124" s="14">
        <v>0</v>
      </c>
      <c r="DE124" s="14">
        <v>0</v>
      </c>
      <c r="DF124" s="14">
        <v>0</v>
      </c>
      <c r="DG124" s="15">
        <f t="shared" si="642"/>
        <v>0</v>
      </c>
      <c r="DH124" s="14">
        <v>0</v>
      </c>
      <c r="DI124" s="14">
        <v>0</v>
      </c>
      <c r="DJ124" s="14">
        <v>0</v>
      </c>
      <c r="DK124" s="14">
        <v>0</v>
      </c>
      <c r="DL124" s="15">
        <f t="shared" si="643"/>
        <v>0</v>
      </c>
      <c r="DM124" s="14">
        <v>0</v>
      </c>
      <c r="DN124" s="14">
        <v>0</v>
      </c>
      <c r="DO124" s="14">
        <v>0</v>
      </c>
      <c r="DP124" s="14">
        <v>0</v>
      </c>
      <c r="DQ124" s="15">
        <f t="shared" si="644"/>
        <v>0</v>
      </c>
      <c r="DR124" s="15">
        <f t="shared" si="645"/>
        <v>0</v>
      </c>
      <c r="DS124" s="15">
        <f t="shared" si="646"/>
        <v>0</v>
      </c>
      <c r="DT124" s="15">
        <f t="shared" si="647"/>
        <v>0</v>
      </c>
      <c r="DU124" s="15">
        <f t="shared" si="648"/>
        <v>0</v>
      </c>
      <c r="DV124" s="15">
        <f t="shared" si="649"/>
        <v>0</v>
      </c>
      <c r="DW124" s="14">
        <v>0</v>
      </c>
      <c r="DX124" s="14">
        <v>0</v>
      </c>
      <c r="DY124" s="14">
        <v>0</v>
      </c>
      <c r="DZ124" s="14">
        <v>0</v>
      </c>
      <c r="EA124" s="14">
        <v>0</v>
      </c>
      <c r="EB124" s="14">
        <v>0</v>
      </c>
      <c r="EC124" s="14">
        <v>0</v>
      </c>
      <c r="ED124" s="14">
        <v>0</v>
      </c>
      <c r="EE124" s="14">
        <v>0</v>
      </c>
      <c r="EF124" s="14">
        <v>0</v>
      </c>
      <c r="EG124" s="14">
        <v>0</v>
      </c>
      <c r="EH124" s="14">
        <v>0</v>
      </c>
      <c r="EI124" s="14">
        <v>0</v>
      </c>
      <c r="EJ124" s="14">
        <v>0</v>
      </c>
      <c r="EK124" s="14">
        <v>0</v>
      </c>
      <c r="EL124" s="14">
        <v>0</v>
      </c>
      <c r="EM124" s="14">
        <v>0</v>
      </c>
      <c r="EN124" s="14">
        <v>0</v>
      </c>
      <c r="EO124" s="14">
        <v>0</v>
      </c>
      <c r="EP124" s="14">
        <v>0</v>
      </c>
      <c r="EQ124" s="14">
        <v>0</v>
      </c>
      <c r="ER124" s="14">
        <v>0</v>
      </c>
      <c r="ES124" s="14">
        <v>0</v>
      </c>
      <c r="ET124" s="14">
        <v>0</v>
      </c>
      <c r="EU124" s="14">
        <v>0</v>
      </c>
      <c r="EV124" s="14">
        <v>0</v>
      </c>
      <c r="EW124" s="14">
        <v>0</v>
      </c>
      <c r="EX124" s="14">
        <v>0</v>
      </c>
      <c r="EY124" s="14">
        <v>0</v>
      </c>
      <c r="EZ124" s="14">
        <v>0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5">
        <f t="shared" si="650"/>
        <v>0</v>
      </c>
      <c r="FH124" s="14">
        <v>0</v>
      </c>
      <c r="FI124" s="14">
        <v>0</v>
      </c>
      <c r="FJ124" s="14">
        <v>24</v>
      </c>
      <c r="FK124" s="14">
        <v>11</v>
      </c>
      <c r="FL124" s="14">
        <v>0</v>
      </c>
      <c r="FM124" s="14">
        <v>0</v>
      </c>
      <c r="FN124" s="14">
        <v>0</v>
      </c>
      <c r="FO124" s="14">
        <v>0</v>
      </c>
      <c r="FP124" s="14">
        <v>0</v>
      </c>
      <c r="FQ124" s="15">
        <f t="shared" si="651"/>
        <v>0</v>
      </c>
      <c r="FR124" s="14">
        <v>0</v>
      </c>
      <c r="FS124" s="14">
        <v>0</v>
      </c>
      <c r="FT124" s="14">
        <v>0</v>
      </c>
      <c r="FU124" s="14">
        <v>0</v>
      </c>
      <c r="FV124" s="15">
        <f t="shared" si="652"/>
        <v>0</v>
      </c>
      <c r="FW124" s="14">
        <v>1084750</v>
      </c>
      <c r="FX124" s="14">
        <v>0</v>
      </c>
      <c r="FY124" s="14">
        <v>0</v>
      </c>
      <c r="FZ124" s="14">
        <v>0</v>
      </c>
      <c r="GA124" s="15">
        <f t="shared" si="653"/>
        <v>1084750</v>
      </c>
      <c r="GB124" s="15">
        <f t="shared" si="654"/>
        <v>1084750</v>
      </c>
      <c r="GC124" s="14">
        <v>0</v>
      </c>
      <c r="GD124" s="14">
        <v>0</v>
      </c>
      <c r="GE124" s="14">
        <v>0</v>
      </c>
      <c r="GF124" s="14">
        <v>0</v>
      </c>
      <c r="GG124" s="15">
        <f t="shared" si="655"/>
        <v>0</v>
      </c>
      <c r="GH124" s="14">
        <v>0</v>
      </c>
      <c r="GI124" s="14">
        <v>0</v>
      </c>
      <c r="GJ124" s="14">
        <v>0</v>
      </c>
      <c r="GK124" s="14">
        <v>0</v>
      </c>
      <c r="GL124" s="15">
        <f t="shared" si="656"/>
        <v>0</v>
      </c>
      <c r="GM124" s="15">
        <f t="shared" si="657"/>
        <v>0</v>
      </c>
      <c r="GN124" s="14">
        <v>0</v>
      </c>
      <c r="GO124" s="14">
        <v>0</v>
      </c>
      <c r="GP124" s="14">
        <v>0</v>
      </c>
      <c r="GQ124" s="14">
        <v>0</v>
      </c>
      <c r="GR124" s="15">
        <f t="shared" si="658"/>
        <v>0</v>
      </c>
      <c r="GS124" s="14">
        <v>0</v>
      </c>
      <c r="GT124" s="14">
        <v>0</v>
      </c>
      <c r="GU124" s="14">
        <v>0</v>
      </c>
      <c r="GV124" s="14">
        <v>0</v>
      </c>
      <c r="GW124" s="15">
        <f t="shared" si="659"/>
        <v>0</v>
      </c>
      <c r="GX124" s="15">
        <f t="shared" si="660"/>
        <v>0</v>
      </c>
      <c r="GY124" s="14">
        <v>0</v>
      </c>
      <c r="GZ124" s="14">
        <v>0</v>
      </c>
      <c r="HA124" s="15">
        <f t="shared" si="661"/>
        <v>0</v>
      </c>
      <c r="HB124" s="15" t="str">
        <f t="shared" si="662"/>
        <v/>
      </c>
      <c r="HC124" s="16" t="str">
        <f t="shared" si="663"/>
        <v/>
      </c>
      <c r="HD124" s="15" t="str">
        <f t="shared" si="664"/>
        <v/>
      </c>
      <c r="HE124" s="14">
        <v>0</v>
      </c>
      <c r="HF124" s="14">
        <v>0</v>
      </c>
      <c r="HG124" s="14">
        <v>0</v>
      </c>
      <c r="HH124" s="14">
        <v>0</v>
      </c>
      <c r="HI124" s="14">
        <v>0</v>
      </c>
      <c r="HJ124" s="15">
        <f t="shared" si="665"/>
        <v>0</v>
      </c>
      <c r="HK124" s="16" t="str">
        <f t="shared" si="666"/>
        <v/>
      </c>
      <c r="HL124" s="14">
        <v>12</v>
      </c>
      <c r="HM124" s="14">
        <v>1</v>
      </c>
      <c r="HN124" s="17">
        <f t="shared" si="667"/>
        <v>8.3333333333333329E-2</v>
      </c>
    </row>
    <row r="125" spans="1:222" x14ac:dyDescent="0.3">
      <c r="A125" s="6" t="s">
        <v>280</v>
      </c>
      <c r="B125" s="6" t="s">
        <v>283</v>
      </c>
      <c r="C125" s="7" t="s">
        <v>257</v>
      </c>
      <c r="D125" s="7">
        <v>2025</v>
      </c>
      <c r="E125" s="7">
        <v>6</v>
      </c>
      <c r="F125" s="7" t="s">
        <v>261</v>
      </c>
      <c r="G125" s="7" t="s">
        <v>259</v>
      </c>
      <c r="H125" s="8">
        <v>845</v>
      </c>
      <c r="I125" s="8">
        <v>0</v>
      </c>
      <c r="J125" s="8">
        <v>0</v>
      </c>
      <c r="K125" s="8">
        <v>0</v>
      </c>
      <c r="L125" s="8">
        <v>0</v>
      </c>
      <c r="M125" s="9">
        <f t="shared" si="607"/>
        <v>0</v>
      </c>
      <c r="N125" s="8">
        <v>691</v>
      </c>
      <c r="O125" s="8">
        <v>0</v>
      </c>
      <c r="P125" s="8">
        <v>0</v>
      </c>
      <c r="Q125" s="8">
        <v>0</v>
      </c>
      <c r="R125" s="9">
        <f t="shared" si="608"/>
        <v>691</v>
      </c>
      <c r="S125" s="9">
        <f t="shared" si="609"/>
        <v>691</v>
      </c>
      <c r="T125" s="8">
        <v>154</v>
      </c>
      <c r="U125" s="10">
        <f t="shared" si="610"/>
        <v>0.18224852071005918</v>
      </c>
      <c r="V125" s="8">
        <v>1</v>
      </c>
      <c r="W125" s="11">
        <f t="shared" si="611"/>
        <v>1.1834319526627219E-3</v>
      </c>
      <c r="X125" s="8">
        <v>0</v>
      </c>
      <c r="Y125" s="11">
        <f t="shared" si="612"/>
        <v>0</v>
      </c>
      <c r="Z125" s="8">
        <v>0</v>
      </c>
      <c r="AA125" s="11">
        <f t="shared" si="613"/>
        <v>0</v>
      </c>
      <c r="AB125" s="8">
        <v>0</v>
      </c>
      <c r="AC125" s="11">
        <f t="shared" si="614"/>
        <v>0</v>
      </c>
      <c r="AD125" s="8">
        <v>0</v>
      </c>
      <c r="AE125" s="11">
        <f t="shared" si="615"/>
        <v>0</v>
      </c>
      <c r="AF125" s="8">
        <v>0</v>
      </c>
      <c r="AG125" s="11">
        <f t="shared" si="616"/>
        <v>0</v>
      </c>
      <c r="AH125" s="8">
        <v>5111.67</v>
      </c>
      <c r="AI125" s="9">
        <f t="shared" si="617"/>
        <v>6.0493136094674558</v>
      </c>
      <c r="AJ125" s="8">
        <v>346</v>
      </c>
      <c r="AK125" s="11">
        <f t="shared" si="618"/>
        <v>0.40946745562130177</v>
      </c>
      <c r="AL125" s="8">
        <v>64434.519</v>
      </c>
      <c r="AM125" s="9">
        <f t="shared" si="619"/>
        <v>76.253868639053252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9">
        <f t="shared" si="620"/>
        <v>69546.188999999998</v>
      </c>
      <c r="AV125" s="9">
        <f t="shared" si="621"/>
        <v>82.303182248520713</v>
      </c>
      <c r="AW125" s="9">
        <f t="shared" si="622"/>
        <v>100.64571490593343</v>
      </c>
      <c r="AX125" s="8">
        <v>0</v>
      </c>
      <c r="AY125" s="9">
        <f t="shared" si="623"/>
        <v>0</v>
      </c>
      <c r="AZ125" s="8">
        <v>2</v>
      </c>
      <c r="BA125" s="8">
        <v>0</v>
      </c>
      <c r="BB125" s="8">
        <v>0</v>
      </c>
      <c r="BC125" s="8">
        <v>0</v>
      </c>
      <c r="BD125" s="8">
        <v>0</v>
      </c>
      <c r="BE125" s="9">
        <f t="shared" si="624"/>
        <v>0</v>
      </c>
      <c r="BF125" s="9">
        <f t="shared" si="625"/>
        <v>0</v>
      </c>
      <c r="BG125" s="8">
        <v>0</v>
      </c>
      <c r="BH125" s="8">
        <v>0</v>
      </c>
      <c r="BI125" s="8">
        <v>0</v>
      </c>
      <c r="BJ125" s="8">
        <v>0</v>
      </c>
      <c r="BK125" s="9">
        <f t="shared" si="626"/>
        <v>0</v>
      </c>
      <c r="BL125" s="9">
        <f t="shared" si="627"/>
        <v>0</v>
      </c>
      <c r="BM125" s="8">
        <v>0</v>
      </c>
      <c r="BN125" s="8">
        <v>0</v>
      </c>
      <c r="BO125" s="8">
        <v>0</v>
      </c>
      <c r="BP125" s="8">
        <v>0</v>
      </c>
      <c r="BQ125" s="9">
        <f t="shared" si="628"/>
        <v>0</v>
      </c>
      <c r="BR125" s="9">
        <f t="shared" si="629"/>
        <v>0</v>
      </c>
      <c r="BS125" s="8">
        <v>0</v>
      </c>
      <c r="BT125" s="8">
        <v>0</v>
      </c>
      <c r="BU125" s="8">
        <v>0</v>
      </c>
      <c r="BV125" s="8">
        <v>0</v>
      </c>
      <c r="BW125" s="9">
        <f t="shared" si="630"/>
        <v>0</v>
      </c>
      <c r="BX125" s="9">
        <f t="shared" si="631"/>
        <v>0</v>
      </c>
      <c r="BY125" s="9">
        <f t="shared" si="632"/>
        <v>0</v>
      </c>
      <c r="BZ125" s="9">
        <f t="shared" si="633"/>
        <v>0</v>
      </c>
      <c r="CA125" s="9">
        <f t="shared" si="634"/>
        <v>0</v>
      </c>
      <c r="CB125" s="9">
        <f t="shared" si="635"/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9">
        <f t="shared" si="636"/>
        <v>0</v>
      </c>
      <c r="CI125" s="8">
        <v>0</v>
      </c>
      <c r="CJ125" s="8">
        <v>0</v>
      </c>
      <c r="CK125" s="8">
        <v>0</v>
      </c>
      <c r="CL125" s="8">
        <v>0</v>
      </c>
      <c r="CM125" s="9">
        <f t="shared" si="637"/>
        <v>0</v>
      </c>
      <c r="CN125" s="8">
        <v>75</v>
      </c>
      <c r="CO125" s="8">
        <v>1</v>
      </c>
      <c r="CP125" s="8">
        <v>0</v>
      </c>
      <c r="CQ125" s="8">
        <v>0</v>
      </c>
      <c r="CR125" s="9">
        <f t="shared" si="638"/>
        <v>76</v>
      </c>
      <c r="CS125" s="9">
        <f t="shared" si="639"/>
        <v>76</v>
      </c>
      <c r="CT125" s="8">
        <v>76</v>
      </c>
      <c r="CU125" s="8">
        <v>553</v>
      </c>
      <c r="CV125" s="8">
        <v>553</v>
      </c>
      <c r="CW125" s="10">
        <f t="shared" si="640"/>
        <v>1</v>
      </c>
      <c r="CX125" s="8">
        <v>0</v>
      </c>
      <c r="CY125" s="8">
        <v>0</v>
      </c>
      <c r="CZ125" s="8">
        <v>0</v>
      </c>
      <c r="DA125" s="8">
        <v>0</v>
      </c>
      <c r="DB125" s="9">
        <f t="shared" si="641"/>
        <v>0</v>
      </c>
      <c r="DC125" s="8">
        <v>0</v>
      </c>
      <c r="DD125" s="8">
        <v>0</v>
      </c>
      <c r="DE125" s="8">
        <v>0</v>
      </c>
      <c r="DF125" s="8">
        <v>0</v>
      </c>
      <c r="DG125" s="9">
        <f t="shared" si="642"/>
        <v>0</v>
      </c>
      <c r="DH125" s="8">
        <v>0</v>
      </c>
      <c r="DI125" s="8">
        <v>0</v>
      </c>
      <c r="DJ125" s="8">
        <v>0</v>
      </c>
      <c r="DK125" s="8">
        <v>0</v>
      </c>
      <c r="DL125" s="9">
        <f t="shared" si="643"/>
        <v>0</v>
      </c>
      <c r="DM125" s="8">
        <v>0</v>
      </c>
      <c r="DN125" s="8">
        <v>0</v>
      </c>
      <c r="DO125" s="8">
        <v>0</v>
      </c>
      <c r="DP125" s="8">
        <v>0</v>
      </c>
      <c r="DQ125" s="9">
        <f t="shared" si="644"/>
        <v>0</v>
      </c>
      <c r="DR125" s="9">
        <f t="shared" si="645"/>
        <v>0</v>
      </c>
      <c r="DS125" s="9">
        <f t="shared" si="646"/>
        <v>0</v>
      </c>
      <c r="DT125" s="9">
        <f t="shared" si="647"/>
        <v>0</v>
      </c>
      <c r="DU125" s="9">
        <f t="shared" si="648"/>
        <v>0</v>
      </c>
      <c r="DV125" s="9">
        <f t="shared" si="649"/>
        <v>0</v>
      </c>
      <c r="DW125" s="8">
        <v>0</v>
      </c>
      <c r="DX125" s="8">
        <v>0</v>
      </c>
      <c r="DY125" s="8">
        <v>0</v>
      </c>
      <c r="DZ125" s="8">
        <v>0</v>
      </c>
      <c r="EA125" s="8">
        <v>0</v>
      </c>
      <c r="EB125" s="8">
        <v>0</v>
      </c>
      <c r="EC125" s="8">
        <v>0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9">
        <f t="shared" si="650"/>
        <v>0</v>
      </c>
      <c r="FH125" s="8">
        <v>0</v>
      </c>
      <c r="FI125" s="8">
        <v>0</v>
      </c>
      <c r="FJ125" s="8">
        <v>24</v>
      </c>
      <c r="FK125" s="8">
        <v>21</v>
      </c>
      <c r="FL125" s="8">
        <v>0</v>
      </c>
      <c r="FM125" s="8">
        <v>0</v>
      </c>
      <c r="FN125" s="8">
        <v>0</v>
      </c>
      <c r="FO125" s="8">
        <v>0</v>
      </c>
      <c r="FP125" s="8">
        <v>0</v>
      </c>
      <c r="FQ125" s="9">
        <f t="shared" si="651"/>
        <v>0</v>
      </c>
      <c r="FR125" s="8">
        <v>0</v>
      </c>
      <c r="FS125" s="8">
        <v>0</v>
      </c>
      <c r="FT125" s="8">
        <v>0</v>
      </c>
      <c r="FU125" s="8">
        <v>0</v>
      </c>
      <c r="FV125" s="9">
        <f t="shared" si="652"/>
        <v>0</v>
      </c>
      <c r="FW125" s="8">
        <v>925700</v>
      </c>
      <c r="FX125" s="8">
        <v>0</v>
      </c>
      <c r="FY125" s="8">
        <v>0</v>
      </c>
      <c r="FZ125" s="8">
        <v>0</v>
      </c>
      <c r="GA125" s="9">
        <f t="shared" si="653"/>
        <v>925700</v>
      </c>
      <c r="GB125" s="9">
        <f t="shared" si="654"/>
        <v>925700</v>
      </c>
      <c r="GC125" s="8">
        <v>0</v>
      </c>
      <c r="GD125" s="8">
        <v>0</v>
      </c>
      <c r="GE125" s="8">
        <v>0</v>
      </c>
      <c r="GF125" s="8">
        <v>0</v>
      </c>
      <c r="GG125" s="9">
        <f t="shared" si="655"/>
        <v>0</v>
      </c>
      <c r="GH125" s="8">
        <v>0</v>
      </c>
      <c r="GI125" s="8">
        <v>0</v>
      </c>
      <c r="GJ125" s="8">
        <v>0</v>
      </c>
      <c r="GK125" s="8">
        <v>0</v>
      </c>
      <c r="GL125" s="9">
        <f t="shared" si="656"/>
        <v>0</v>
      </c>
      <c r="GM125" s="9">
        <f t="shared" si="657"/>
        <v>0</v>
      </c>
      <c r="GN125" s="8">
        <v>0</v>
      </c>
      <c r="GO125" s="8">
        <v>0</v>
      </c>
      <c r="GP125" s="8">
        <v>0</v>
      </c>
      <c r="GQ125" s="8">
        <v>0</v>
      </c>
      <c r="GR125" s="9">
        <f t="shared" si="658"/>
        <v>0</v>
      </c>
      <c r="GS125" s="8">
        <v>0</v>
      </c>
      <c r="GT125" s="8">
        <v>0</v>
      </c>
      <c r="GU125" s="8">
        <v>0</v>
      </c>
      <c r="GV125" s="8">
        <v>0</v>
      </c>
      <c r="GW125" s="9">
        <f t="shared" si="659"/>
        <v>0</v>
      </c>
      <c r="GX125" s="9">
        <f t="shared" si="660"/>
        <v>0</v>
      </c>
      <c r="GY125" s="8">
        <v>0</v>
      </c>
      <c r="GZ125" s="8">
        <v>0</v>
      </c>
      <c r="HA125" s="9">
        <f t="shared" si="661"/>
        <v>0</v>
      </c>
      <c r="HB125" s="9" t="str">
        <f t="shared" si="662"/>
        <v/>
      </c>
      <c r="HC125" s="10" t="str">
        <f t="shared" si="663"/>
        <v/>
      </c>
      <c r="HD125" s="9" t="str">
        <f t="shared" si="664"/>
        <v/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9">
        <f t="shared" si="665"/>
        <v>0</v>
      </c>
      <c r="HK125" s="10" t="str">
        <f t="shared" si="666"/>
        <v/>
      </c>
      <c r="HL125" s="8">
        <v>5</v>
      </c>
      <c r="HM125" s="8">
        <v>2</v>
      </c>
      <c r="HN125" s="11">
        <f t="shared" si="667"/>
        <v>0.4</v>
      </c>
    </row>
    <row r="126" spans="1:222" x14ac:dyDescent="0.3">
      <c r="A126" s="12" t="s">
        <v>280</v>
      </c>
      <c r="B126" s="12" t="s">
        <v>283</v>
      </c>
      <c r="C126" s="13" t="s">
        <v>257</v>
      </c>
      <c r="D126" s="13">
        <v>2025</v>
      </c>
      <c r="E126" s="13">
        <v>7</v>
      </c>
      <c r="F126" s="13" t="s">
        <v>262</v>
      </c>
      <c r="G126" s="13" t="s">
        <v>263</v>
      </c>
      <c r="H126" s="14">
        <v>925</v>
      </c>
      <c r="I126" s="14">
        <v>0</v>
      </c>
      <c r="J126" s="14">
        <v>0</v>
      </c>
      <c r="K126" s="14">
        <v>0</v>
      </c>
      <c r="L126" s="14">
        <v>0</v>
      </c>
      <c r="M126" s="15">
        <f t="shared" si="607"/>
        <v>0</v>
      </c>
      <c r="N126" s="14">
        <v>826</v>
      </c>
      <c r="O126" s="14">
        <v>0</v>
      </c>
      <c r="P126" s="14">
        <v>0</v>
      </c>
      <c r="Q126" s="14">
        <v>0</v>
      </c>
      <c r="R126" s="15">
        <f t="shared" si="608"/>
        <v>826</v>
      </c>
      <c r="S126" s="15">
        <f t="shared" si="609"/>
        <v>826</v>
      </c>
      <c r="T126" s="14">
        <v>99</v>
      </c>
      <c r="U126" s="16">
        <f t="shared" si="610"/>
        <v>0.10702702702702703</v>
      </c>
      <c r="V126" s="14">
        <v>1</v>
      </c>
      <c r="W126" s="17">
        <f t="shared" si="611"/>
        <v>1.0810810810810811E-3</v>
      </c>
      <c r="X126" s="14">
        <v>0</v>
      </c>
      <c r="Y126" s="17">
        <f t="shared" si="612"/>
        <v>0</v>
      </c>
      <c r="Z126" s="14">
        <v>0</v>
      </c>
      <c r="AA126" s="17">
        <f t="shared" si="613"/>
        <v>0</v>
      </c>
      <c r="AB126" s="14">
        <v>0</v>
      </c>
      <c r="AC126" s="17">
        <f t="shared" si="614"/>
        <v>0</v>
      </c>
      <c r="AD126" s="14">
        <v>0</v>
      </c>
      <c r="AE126" s="17">
        <f t="shared" si="615"/>
        <v>0</v>
      </c>
      <c r="AF126" s="14">
        <v>0</v>
      </c>
      <c r="AG126" s="17">
        <f t="shared" si="616"/>
        <v>0</v>
      </c>
      <c r="AH126" s="14">
        <v>5111.67</v>
      </c>
      <c r="AI126" s="15">
        <f t="shared" si="617"/>
        <v>5.52612972972973</v>
      </c>
      <c r="AJ126" s="14">
        <v>333</v>
      </c>
      <c r="AK126" s="17">
        <f t="shared" si="618"/>
        <v>0.36</v>
      </c>
      <c r="AL126" s="14">
        <v>62630.749499999998</v>
      </c>
      <c r="AM126" s="15">
        <f t="shared" si="619"/>
        <v>67.708918378378371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5">
        <f t="shared" si="620"/>
        <v>67742.419500000004</v>
      </c>
      <c r="AV126" s="15">
        <f t="shared" si="621"/>
        <v>73.235048108108117</v>
      </c>
      <c r="AW126" s="15">
        <f t="shared" si="622"/>
        <v>82.012614406779662</v>
      </c>
      <c r="AX126" s="14">
        <v>0</v>
      </c>
      <c r="AY126" s="15">
        <f t="shared" si="623"/>
        <v>0</v>
      </c>
      <c r="AZ126" s="14">
        <v>2</v>
      </c>
      <c r="BA126" s="14">
        <v>0</v>
      </c>
      <c r="BB126" s="14">
        <v>0</v>
      </c>
      <c r="BC126" s="14">
        <v>0</v>
      </c>
      <c r="BD126" s="14">
        <v>0</v>
      </c>
      <c r="BE126" s="15">
        <f t="shared" si="624"/>
        <v>0</v>
      </c>
      <c r="BF126" s="15">
        <f t="shared" si="625"/>
        <v>0</v>
      </c>
      <c r="BG126" s="14">
        <v>0</v>
      </c>
      <c r="BH126" s="14">
        <v>0</v>
      </c>
      <c r="BI126" s="14">
        <v>0</v>
      </c>
      <c r="BJ126" s="14">
        <v>0</v>
      </c>
      <c r="BK126" s="15">
        <f t="shared" si="626"/>
        <v>0</v>
      </c>
      <c r="BL126" s="15">
        <f t="shared" si="627"/>
        <v>0</v>
      </c>
      <c r="BM126" s="14">
        <v>0</v>
      </c>
      <c r="BN126" s="14">
        <v>0</v>
      </c>
      <c r="BO126" s="14">
        <v>0</v>
      </c>
      <c r="BP126" s="14">
        <v>0</v>
      </c>
      <c r="BQ126" s="15">
        <f t="shared" si="628"/>
        <v>0</v>
      </c>
      <c r="BR126" s="15">
        <f t="shared" si="629"/>
        <v>0</v>
      </c>
      <c r="BS126" s="14">
        <v>0</v>
      </c>
      <c r="BT126" s="14">
        <v>0</v>
      </c>
      <c r="BU126" s="14">
        <v>0</v>
      </c>
      <c r="BV126" s="14">
        <v>0</v>
      </c>
      <c r="BW126" s="15">
        <f t="shared" si="630"/>
        <v>0</v>
      </c>
      <c r="BX126" s="15">
        <f t="shared" si="631"/>
        <v>0</v>
      </c>
      <c r="BY126" s="15">
        <f t="shared" si="632"/>
        <v>0</v>
      </c>
      <c r="BZ126" s="15">
        <f t="shared" si="633"/>
        <v>0</v>
      </c>
      <c r="CA126" s="15">
        <f t="shared" si="634"/>
        <v>0</v>
      </c>
      <c r="CB126" s="15">
        <f t="shared" si="635"/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5">
        <f t="shared" si="636"/>
        <v>0</v>
      </c>
      <c r="CI126" s="14">
        <v>0</v>
      </c>
      <c r="CJ126" s="14">
        <v>0</v>
      </c>
      <c r="CK126" s="14">
        <v>0</v>
      </c>
      <c r="CL126" s="14">
        <v>0</v>
      </c>
      <c r="CM126" s="15">
        <f t="shared" si="637"/>
        <v>0</v>
      </c>
      <c r="CN126" s="14">
        <v>75</v>
      </c>
      <c r="CO126" s="14">
        <v>1</v>
      </c>
      <c r="CP126" s="14">
        <v>0</v>
      </c>
      <c r="CQ126" s="14">
        <v>0</v>
      </c>
      <c r="CR126" s="15">
        <f t="shared" si="638"/>
        <v>76</v>
      </c>
      <c r="CS126" s="15">
        <f t="shared" si="639"/>
        <v>76</v>
      </c>
      <c r="CT126" s="14">
        <v>76</v>
      </c>
      <c r="CU126" s="14">
        <v>553</v>
      </c>
      <c r="CV126" s="14">
        <v>553</v>
      </c>
      <c r="CW126" s="16">
        <f t="shared" si="640"/>
        <v>1</v>
      </c>
      <c r="CX126" s="14">
        <v>0</v>
      </c>
      <c r="CY126" s="14">
        <v>0</v>
      </c>
      <c r="CZ126" s="14">
        <v>0</v>
      </c>
      <c r="DA126" s="14">
        <v>0</v>
      </c>
      <c r="DB126" s="15">
        <f t="shared" si="641"/>
        <v>0</v>
      </c>
      <c r="DC126" s="14">
        <v>0</v>
      </c>
      <c r="DD126" s="14">
        <v>0</v>
      </c>
      <c r="DE126" s="14">
        <v>0</v>
      </c>
      <c r="DF126" s="14">
        <v>0</v>
      </c>
      <c r="DG126" s="15">
        <f t="shared" si="642"/>
        <v>0</v>
      </c>
      <c r="DH126" s="14">
        <v>0</v>
      </c>
      <c r="DI126" s="14">
        <v>0</v>
      </c>
      <c r="DJ126" s="14">
        <v>0</v>
      </c>
      <c r="DK126" s="14">
        <v>0</v>
      </c>
      <c r="DL126" s="15">
        <f t="shared" si="643"/>
        <v>0</v>
      </c>
      <c r="DM126" s="14">
        <v>0</v>
      </c>
      <c r="DN126" s="14">
        <v>0</v>
      </c>
      <c r="DO126" s="14">
        <v>0</v>
      </c>
      <c r="DP126" s="14">
        <v>0</v>
      </c>
      <c r="DQ126" s="15">
        <f t="shared" si="644"/>
        <v>0</v>
      </c>
      <c r="DR126" s="15">
        <f t="shared" si="645"/>
        <v>0</v>
      </c>
      <c r="DS126" s="15">
        <f t="shared" si="646"/>
        <v>0</v>
      </c>
      <c r="DT126" s="15">
        <f t="shared" si="647"/>
        <v>0</v>
      </c>
      <c r="DU126" s="15">
        <f t="shared" si="648"/>
        <v>0</v>
      </c>
      <c r="DV126" s="15">
        <f t="shared" si="649"/>
        <v>0</v>
      </c>
      <c r="DW126" s="14">
        <v>0</v>
      </c>
      <c r="DX126" s="14">
        <v>0</v>
      </c>
      <c r="DY126" s="14">
        <v>0</v>
      </c>
      <c r="DZ126" s="14">
        <v>0</v>
      </c>
      <c r="EA126" s="14">
        <v>0</v>
      </c>
      <c r="EB126" s="14">
        <v>0</v>
      </c>
      <c r="EC126" s="14">
        <v>0</v>
      </c>
      <c r="ED126" s="14">
        <v>0</v>
      </c>
      <c r="EE126" s="14">
        <v>0</v>
      </c>
      <c r="EF126" s="14">
        <v>0</v>
      </c>
      <c r="EG126" s="14">
        <v>0</v>
      </c>
      <c r="EH126" s="14">
        <v>0</v>
      </c>
      <c r="EI126" s="14">
        <v>0</v>
      </c>
      <c r="EJ126" s="14">
        <v>1</v>
      </c>
      <c r="EK126" s="14">
        <v>1</v>
      </c>
      <c r="EL126" s="14">
        <v>0</v>
      </c>
      <c r="EM126" s="14">
        <v>0</v>
      </c>
      <c r="EN126" s="14">
        <v>0</v>
      </c>
      <c r="EO126" s="14">
        <v>0</v>
      </c>
      <c r="EP126" s="14">
        <v>0</v>
      </c>
      <c r="EQ126" s="14">
        <v>0</v>
      </c>
      <c r="ER126" s="14">
        <v>0</v>
      </c>
      <c r="ES126" s="14">
        <v>0</v>
      </c>
      <c r="ET126" s="14">
        <v>0</v>
      </c>
      <c r="EU126" s="14">
        <v>0</v>
      </c>
      <c r="EV126" s="14">
        <v>0</v>
      </c>
      <c r="EW126" s="14">
        <v>0</v>
      </c>
      <c r="EX126" s="14">
        <v>0</v>
      </c>
      <c r="EY126" s="14">
        <v>0</v>
      </c>
      <c r="EZ126" s="14">
        <v>0</v>
      </c>
      <c r="FA126" s="14">
        <v>0</v>
      </c>
      <c r="FB126" s="14">
        <v>0</v>
      </c>
      <c r="FC126" s="14">
        <v>0</v>
      </c>
      <c r="FD126" s="14">
        <v>0</v>
      </c>
      <c r="FE126" s="14">
        <v>0</v>
      </c>
      <c r="FF126" s="14">
        <v>0</v>
      </c>
      <c r="FG126" s="15">
        <f t="shared" si="650"/>
        <v>2</v>
      </c>
      <c r="FH126" s="14">
        <v>0</v>
      </c>
      <c r="FI126" s="14">
        <v>0</v>
      </c>
      <c r="FJ126" s="14">
        <v>24</v>
      </c>
      <c r="FK126" s="14">
        <v>18</v>
      </c>
      <c r="FL126" s="14">
        <v>0</v>
      </c>
      <c r="FM126" s="14">
        <v>0</v>
      </c>
      <c r="FN126" s="14">
        <v>0</v>
      </c>
      <c r="FO126" s="14">
        <v>0</v>
      </c>
      <c r="FP126" s="14">
        <v>0</v>
      </c>
      <c r="FQ126" s="15">
        <f t="shared" si="651"/>
        <v>0</v>
      </c>
      <c r="FR126" s="14">
        <v>0</v>
      </c>
      <c r="FS126" s="14">
        <v>0</v>
      </c>
      <c r="FT126" s="14">
        <v>0</v>
      </c>
      <c r="FU126" s="14">
        <v>0</v>
      </c>
      <c r="FV126" s="15">
        <f t="shared" si="652"/>
        <v>0</v>
      </c>
      <c r="FW126" s="14">
        <v>1046502</v>
      </c>
      <c r="FX126" s="14">
        <v>0</v>
      </c>
      <c r="FY126" s="14">
        <v>0</v>
      </c>
      <c r="FZ126" s="14">
        <v>0</v>
      </c>
      <c r="GA126" s="15">
        <f t="shared" si="653"/>
        <v>1046502</v>
      </c>
      <c r="GB126" s="15">
        <f t="shared" si="654"/>
        <v>1046502</v>
      </c>
      <c r="GC126" s="14">
        <v>0</v>
      </c>
      <c r="GD126" s="14">
        <v>0</v>
      </c>
      <c r="GE126" s="14">
        <v>0</v>
      </c>
      <c r="GF126" s="14">
        <v>0</v>
      </c>
      <c r="GG126" s="15">
        <f t="shared" si="655"/>
        <v>0</v>
      </c>
      <c r="GH126" s="14">
        <v>0</v>
      </c>
      <c r="GI126" s="14">
        <v>0</v>
      </c>
      <c r="GJ126" s="14">
        <v>0</v>
      </c>
      <c r="GK126" s="14">
        <v>0</v>
      </c>
      <c r="GL126" s="15">
        <f t="shared" si="656"/>
        <v>0</v>
      </c>
      <c r="GM126" s="15">
        <f t="shared" si="657"/>
        <v>0</v>
      </c>
      <c r="GN126" s="14">
        <v>0</v>
      </c>
      <c r="GO126" s="14">
        <v>0</v>
      </c>
      <c r="GP126" s="14">
        <v>0</v>
      </c>
      <c r="GQ126" s="14">
        <v>0</v>
      </c>
      <c r="GR126" s="15">
        <f t="shared" si="658"/>
        <v>0</v>
      </c>
      <c r="GS126" s="14">
        <v>0</v>
      </c>
      <c r="GT126" s="14">
        <v>0</v>
      </c>
      <c r="GU126" s="14">
        <v>0</v>
      </c>
      <c r="GV126" s="14">
        <v>0</v>
      </c>
      <c r="GW126" s="15">
        <f t="shared" si="659"/>
        <v>0</v>
      </c>
      <c r="GX126" s="15">
        <f t="shared" si="660"/>
        <v>0</v>
      </c>
      <c r="GY126" s="14">
        <v>0</v>
      </c>
      <c r="GZ126" s="14">
        <v>0</v>
      </c>
      <c r="HA126" s="15">
        <f t="shared" si="661"/>
        <v>0</v>
      </c>
      <c r="HB126" s="15" t="str">
        <f t="shared" si="662"/>
        <v/>
      </c>
      <c r="HC126" s="16" t="str">
        <f t="shared" si="663"/>
        <v/>
      </c>
      <c r="HD126" s="15" t="str">
        <f t="shared" si="664"/>
        <v/>
      </c>
      <c r="HE126" s="14">
        <v>0</v>
      </c>
      <c r="HF126" s="14">
        <v>0</v>
      </c>
      <c r="HG126" s="14">
        <v>0</v>
      </c>
      <c r="HH126" s="14">
        <v>0</v>
      </c>
      <c r="HI126" s="14">
        <v>0</v>
      </c>
      <c r="HJ126" s="15">
        <f t="shared" si="665"/>
        <v>0</v>
      </c>
      <c r="HK126" s="16" t="str">
        <f t="shared" si="666"/>
        <v/>
      </c>
      <c r="HL126" s="14">
        <v>11</v>
      </c>
      <c r="HM126" s="14">
        <v>1</v>
      </c>
      <c r="HN126" s="17">
        <f t="shared" si="667"/>
        <v>9.0909090909090912E-2</v>
      </c>
    </row>
    <row r="127" spans="1:222" x14ac:dyDescent="0.3">
      <c r="A127" s="6" t="s">
        <v>280</v>
      </c>
      <c r="B127" s="6" t="s">
        <v>283</v>
      </c>
      <c r="C127" s="7" t="s">
        <v>257</v>
      </c>
      <c r="D127" s="7">
        <v>2025</v>
      </c>
      <c r="E127" s="7">
        <v>8</v>
      </c>
      <c r="F127" s="7" t="s">
        <v>264</v>
      </c>
      <c r="G127" s="7" t="s">
        <v>263</v>
      </c>
      <c r="H127" s="8">
        <v>1100</v>
      </c>
      <c r="I127" s="8">
        <v>0</v>
      </c>
      <c r="J127" s="8">
        <v>0</v>
      </c>
      <c r="K127" s="8">
        <v>0</v>
      </c>
      <c r="L127" s="8">
        <v>0</v>
      </c>
      <c r="M127" s="9">
        <f t="shared" si="607"/>
        <v>0</v>
      </c>
      <c r="N127" s="8">
        <v>549</v>
      </c>
      <c r="O127" s="8">
        <v>0</v>
      </c>
      <c r="P127" s="8">
        <v>358</v>
      </c>
      <c r="Q127" s="8">
        <v>0</v>
      </c>
      <c r="R127" s="9">
        <f t="shared" si="608"/>
        <v>907</v>
      </c>
      <c r="S127" s="9">
        <f t="shared" si="609"/>
        <v>907</v>
      </c>
      <c r="T127" s="8">
        <v>193</v>
      </c>
      <c r="U127" s="10">
        <f t="shared" si="610"/>
        <v>0.17545454545454545</v>
      </c>
      <c r="V127" s="8">
        <v>1</v>
      </c>
      <c r="W127" s="11">
        <f t="shared" si="611"/>
        <v>9.0909090909090909E-4</v>
      </c>
      <c r="X127" s="8">
        <v>0</v>
      </c>
      <c r="Y127" s="11">
        <f t="shared" si="612"/>
        <v>0</v>
      </c>
      <c r="Z127" s="8">
        <v>0</v>
      </c>
      <c r="AA127" s="11">
        <f t="shared" si="613"/>
        <v>0</v>
      </c>
      <c r="AB127" s="8">
        <v>0</v>
      </c>
      <c r="AC127" s="11">
        <f t="shared" si="614"/>
        <v>0</v>
      </c>
      <c r="AD127" s="8">
        <v>0</v>
      </c>
      <c r="AE127" s="11">
        <f t="shared" si="615"/>
        <v>0</v>
      </c>
      <c r="AF127" s="8">
        <v>0</v>
      </c>
      <c r="AG127" s="11">
        <f t="shared" si="616"/>
        <v>0</v>
      </c>
      <c r="AH127" s="8">
        <v>5111.67</v>
      </c>
      <c r="AI127" s="9">
        <f t="shared" si="617"/>
        <v>4.6469727272727273</v>
      </c>
      <c r="AJ127" s="8">
        <v>378</v>
      </c>
      <c r="AK127" s="11">
        <f t="shared" si="618"/>
        <v>0.34363636363636363</v>
      </c>
      <c r="AL127" s="8">
        <v>68874.566999999995</v>
      </c>
      <c r="AM127" s="9">
        <f t="shared" si="619"/>
        <v>62.61324272727272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9">
        <f t="shared" si="620"/>
        <v>73986.236999999994</v>
      </c>
      <c r="AV127" s="9">
        <f t="shared" si="621"/>
        <v>67.260215454545445</v>
      </c>
      <c r="AW127" s="9">
        <f t="shared" si="622"/>
        <v>81.572477398015423</v>
      </c>
      <c r="AX127" s="8">
        <v>0</v>
      </c>
      <c r="AY127" s="9">
        <f t="shared" si="623"/>
        <v>0</v>
      </c>
      <c r="AZ127" s="8">
        <v>2</v>
      </c>
      <c r="BA127" s="8">
        <v>0</v>
      </c>
      <c r="BB127" s="8">
        <v>0</v>
      </c>
      <c r="BC127" s="8">
        <v>0</v>
      </c>
      <c r="BD127" s="8">
        <v>0</v>
      </c>
      <c r="BE127" s="9">
        <f t="shared" si="624"/>
        <v>0</v>
      </c>
      <c r="BF127" s="9">
        <f t="shared" si="625"/>
        <v>0</v>
      </c>
      <c r="BG127" s="8">
        <v>0</v>
      </c>
      <c r="BH127" s="8">
        <v>0</v>
      </c>
      <c r="BI127" s="8">
        <v>0</v>
      </c>
      <c r="BJ127" s="8">
        <v>0</v>
      </c>
      <c r="BK127" s="9">
        <f t="shared" si="626"/>
        <v>0</v>
      </c>
      <c r="BL127" s="9">
        <f t="shared" si="627"/>
        <v>0</v>
      </c>
      <c r="BM127" s="8">
        <v>0</v>
      </c>
      <c r="BN127" s="8">
        <v>0</v>
      </c>
      <c r="BO127" s="8">
        <v>0</v>
      </c>
      <c r="BP127" s="8">
        <v>0</v>
      </c>
      <c r="BQ127" s="9">
        <f t="shared" si="628"/>
        <v>0</v>
      </c>
      <c r="BR127" s="9">
        <f t="shared" si="629"/>
        <v>0</v>
      </c>
      <c r="BS127" s="8">
        <v>0</v>
      </c>
      <c r="BT127" s="8">
        <v>0</v>
      </c>
      <c r="BU127" s="8">
        <v>0</v>
      </c>
      <c r="BV127" s="8">
        <v>0</v>
      </c>
      <c r="BW127" s="9">
        <f t="shared" si="630"/>
        <v>0</v>
      </c>
      <c r="BX127" s="9">
        <f t="shared" si="631"/>
        <v>0</v>
      </c>
      <c r="BY127" s="9">
        <f t="shared" si="632"/>
        <v>0</v>
      </c>
      <c r="BZ127" s="9">
        <f t="shared" si="633"/>
        <v>0</v>
      </c>
      <c r="CA127" s="9">
        <f t="shared" si="634"/>
        <v>0</v>
      </c>
      <c r="CB127" s="9">
        <f t="shared" si="635"/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9">
        <f t="shared" si="636"/>
        <v>0</v>
      </c>
      <c r="CI127" s="8">
        <v>0</v>
      </c>
      <c r="CJ127" s="8">
        <v>0</v>
      </c>
      <c r="CK127" s="8">
        <v>0</v>
      </c>
      <c r="CL127" s="8">
        <v>0</v>
      </c>
      <c r="CM127" s="9">
        <f t="shared" si="637"/>
        <v>0</v>
      </c>
      <c r="CN127" s="8">
        <v>75</v>
      </c>
      <c r="CO127" s="8">
        <v>1</v>
      </c>
      <c r="CP127" s="8">
        <v>0</v>
      </c>
      <c r="CQ127" s="8">
        <v>0</v>
      </c>
      <c r="CR127" s="9">
        <f t="shared" si="638"/>
        <v>76</v>
      </c>
      <c r="CS127" s="9">
        <f t="shared" si="639"/>
        <v>76</v>
      </c>
      <c r="CT127" s="8">
        <v>76</v>
      </c>
      <c r="CU127" s="8">
        <v>553</v>
      </c>
      <c r="CV127" s="8">
        <v>553</v>
      </c>
      <c r="CW127" s="10">
        <f t="shared" si="640"/>
        <v>1</v>
      </c>
      <c r="CX127" s="8">
        <v>0</v>
      </c>
      <c r="CY127" s="8">
        <v>0</v>
      </c>
      <c r="CZ127" s="8">
        <v>0</v>
      </c>
      <c r="DA127" s="8">
        <v>0</v>
      </c>
      <c r="DB127" s="9">
        <f t="shared" si="641"/>
        <v>0</v>
      </c>
      <c r="DC127" s="8">
        <v>0</v>
      </c>
      <c r="DD127" s="8">
        <v>0</v>
      </c>
      <c r="DE127" s="8">
        <v>0</v>
      </c>
      <c r="DF127" s="8">
        <v>0</v>
      </c>
      <c r="DG127" s="9">
        <f t="shared" si="642"/>
        <v>0</v>
      </c>
      <c r="DH127" s="8">
        <v>0</v>
      </c>
      <c r="DI127" s="8">
        <v>0</v>
      </c>
      <c r="DJ127" s="8">
        <v>0</v>
      </c>
      <c r="DK127" s="8">
        <v>0</v>
      </c>
      <c r="DL127" s="9">
        <f t="shared" si="643"/>
        <v>0</v>
      </c>
      <c r="DM127" s="8">
        <v>0</v>
      </c>
      <c r="DN127" s="8">
        <v>0</v>
      </c>
      <c r="DO127" s="8">
        <v>0</v>
      </c>
      <c r="DP127" s="8">
        <v>0</v>
      </c>
      <c r="DQ127" s="9">
        <f t="shared" si="644"/>
        <v>0</v>
      </c>
      <c r="DR127" s="9">
        <f t="shared" si="645"/>
        <v>0</v>
      </c>
      <c r="DS127" s="9">
        <f t="shared" si="646"/>
        <v>0</v>
      </c>
      <c r="DT127" s="9">
        <f t="shared" si="647"/>
        <v>0</v>
      </c>
      <c r="DU127" s="9">
        <f t="shared" si="648"/>
        <v>0</v>
      </c>
      <c r="DV127" s="9">
        <f t="shared" si="649"/>
        <v>0</v>
      </c>
      <c r="DW127" s="8">
        <v>0</v>
      </c>
      <c r="DX127" s="8">
        <v>0</v>
      </c>
      <c r="DY127" s="8">
        <v>0</v>
      </c>
      <c r="DZ127" s="8">
        <v>0</v>
      </c>
      <c r="EA127" s="8">
        <v>0</v>
      </c>
      <c r="EB127" s="8">
        <v>0</v>
      </c>
      <c r="EC127" s="8">
        <v>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1</v>
      </c>
      <c r="EK127" s="8">
        <v>1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9">
        <f t="shared" si="650"/>
        <v>2</v>
      </c>
      <c r="FH127" s="8">
        <v>0</v>
      </c>
      <c r="FI127" s="8">
        <v>0</v>
      </c>
      <c r="FJ127" s="8">
        <v>24</v>
      </c>
      <c r="FK127" s="8">
        <v>24</v>
      </c>
      <c r="FL127" s="8">
        <v>0</v>
      </c>
      <c r="FM127" s="8">
        <v>0</v>
      </c>
      <c r="FN127" s="8">
        <v>0</v>
      </c>
      <c r="FO127" s="8">
        <v>0</v>
      </c>
      <c r="FP127" s="8">
        <v>0</v>
      </c>
      <c r="FQ127" s="9">
        <f t="shared" si="651"/>
        <v>0</v>
      </c>
      <c r="FR127" s="8">
        <v>0</v>
      </c>
      <c r="FS127" s="8">
        <v>0</v>
      </c>
      <c r="FT127" s="8">
        <v>0</v>
      </c>
      <c r="FU127" s="8">
        <v>0</v>
      </c>
      <c r="FV127" s="9">
        <f t="shared" si="652"/>
        <v>0</v>
      </c>
      <c r="FW127" s="8">
        <v>1061100</v>
      </c>
      <c r="FX127" s="8">
        <v>1061100</v>
      </c>
      <c r="FY127" s="8">
        <v>0</v>
      </c>
      <c r="FZ127" s="8">
        <v>2000000</v>
      </c>
      <c r="GA127" s="9">
        <f t="shared" si="653"/>
        <v>4122200</v>
      </c>
      <c r="GB127" s="9">
        <f t="shared" si="654"/>
        <v>4122200</v>
      </c>
      <c r="GC127" s="8">
        <v>0</v>
      </c>
      <c r="GD127" s="8">
        <v>0</v>
      </c>
      <c r="GE127" s="8">
        <v>0</v>
      </c>
      <c r="GF127" s="8">
        <v>0</v>
      </c>
      <c r="GG127" s="9">
        <f t="shared" si="655"/>
        <v>0</v>
      </c>
      <c r="GH127" s="8">
        <v>0</v>
      </c>
      <c r="GI127" s="8">
        <v>0</v>
      </c>
      <c r="GJ127" s="8">
        <v>0</v>
      </c>
      <c r="GK127" s="8">
        <v>0</v>
      </c>
      <c r="GL127" s="9">
        <f t="shared" si="656"/>
        <v>0</v>
      </c>
      <c r="GM127" s="9">
        <f t="shared" si="657"/>
        <v>0</v>
      </c>
      <c r="GN127" s="8">
        <v>0</v>
      </c>
      <c r="GO127" s="8">
        <v>0</v>
      </c>
      <c r="GP127" s="8">
        <v>0</v>
      </c>
      <c r="GQ127" s="8">
        <v>0</v>
      </c>
      <c r="GR127" s="9">
        <f t="shared" si="658"/>
        <v>0</v>
      </c>
      <c r="GS127" s="8">
        <v>0</v>
      </c>
      <c r="GT127" s="8">
        <v>0</v>
      </c>
      <c r="GU127" s="8">
        <v>0</v>
      </c>
      <c r="GV127" s="8">
        <v>0</v>
      </c>
      <c r="GW127" s="9">
        <f t="shared" si="659"/>
        <v>0</v>
      </c>
      <c r="GX127" s="9">
        <f t="shared" si="660"/>
        <v>0</v>
      </c>
      <c r="GY127" s="8">
        <v>0</v>
      </c>
      <c r="GZ127" s="8">
        <v>0</v>
      </c>
      <c r="HA127" s="9">
        <f t="shared" si="661"/>
        <v>0</v>
      </c>
      <c r="HB127" s="9" t="str">
        <f t="shared" si="662"/>
        <v/>
      </c>
      <c r="HC127" s="10" t="str">
        <f t="shared" si="663"/>
        <v/>
      </c>
      <c r="HD127" s="9" t="str">
        <f t="shared" si="664"/>
        <v/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9">
        <f t="shared" si="665"/>
        <v>0</v>
      </c>
      <c r="HK127" s="10" t="str">
        <f t="shared" si="666"/>
        <v/>
      </c>
      <c r="HL127" s="8">
        <v>14</v>
      </c>
      <c r="HM127" s="8">
        <v>2</v>
      </c>
      <c r="HN127" s="11">
        <f t="shared" si="667"/>
        <v>0.14285714285714285</v>
      </c>
    </row>
    <row r="128" spans="1:222" x14ac:dyDescent="0.3">
      <c r="A128" s="12" t="s">
        <v>280</v>
      </c>
      <c r="B128" s="12" t="s">
        <v>283</v>
      </c>
      <c r="C128" s="13" t="s">
        <v>257</v>
      </c>
      <c r="D128" s="13">
        <v>2025</v>
      </c>
      <c r="E128" s="13">
        <v>9</v>
      </c>
      <c r="F128" s="13" t="s">
        <v>265</v>
      </c>
      <c r="G128" s="13" t="s">
        <v>263</v>
      </c>
      <c r="H128" s="14">
        <v>1200</v>
      </c>
      <c r="I128" s="14">
        <v>0</v>
      </c>
      <c r="J128" s="14">
        <v>0</v>
      </c>
      <c r="K128" s="14">
        <v>0</v>
      </c>
      <c r="L128" s="14">
        <v>0</v>
      </c>
      <c r="M128" s="15">
        <f t="shared" si="607"/>
        <v>0</v>
      </c>
      <c r="N128" s="14">
        <v>731</v>
      </c>
      <c r="O128" s="14">
        <v>0</v>
      </c>
      <c r="P128" s="14">
        <v>200</v>
      </c>
      <c r="Q128" s="14">
        <v>0</v>
      </c>
      <c r="R128" s="15">
        <f t="shared" si="608"/>
        <v>931</v>
      </c>
      <c r="S128" s="15">
        <f t="shared" si="609"/>
        <v>931</v>
      </c>
      <c r="T128" s="14">
        <v>269</v>
      </c>
      <c r="U128" s="16">
        <f t="shared" si="610"/>
        <v>0.22416666666666665</v>
      </c>
      <c r="V128" s="14">
        <v>1</v>
      </c>
      <c r="W128" s="17">
        <f t="shared" si="611"/>
        <v>8.3333333333333339E-4</v>
      </c>
      <c r="X128" s="14">
        <v>0</v>
      </c>
      <c r="Y128" s="17">
        <f t="shared" si="612"/>
        <v>0</v>
      </c>
      <c r="Z128" s="14">
        <v>0</v>
      </c>
      <c r="AA128" s="17">
        <f t="shared" si="613"/>
        <v>0</v>
      </c>
      <c r="AB128" s="14">
        <v>0</v>
      </c>
      <c r="AC128" s="17">
        <f t="shared" si="614"/>
        <v>0</v>
      </c>
      <c r="AD128" s="14">
        <v>0</v>
      </c>
      <c r="AE128" s="17">
        <f t="shared" si="615"/>
        <v>0</v>
      </c>
      <c r="AF128" s="14">
        <v>0</v>
      </c>
      <c r="AG128" s="17">
        <f t="shared" si="616"/>
        <v>0</v>
      </c>
      <c r="AH128" s="14">
        <v>5111.67</v>
      </c>
      <c r="AI128" s="15">
        <f t="shared" si="617"/>
        <v>4.2597250000000004</v>
      </c>
      <c r="AJ128" s="14">
        <v>400</v>
      </c>
      <c r="AK128" s="17">
        <f t="shared" si="618"/>
        <v>0.33333333333333331</v>
      </c>
      <c r="AL128" s="14">
        <v>71927.100000000006</v>
      </c>
      <c r="AM128" s="15">
        <f t="shared" si="619"/>
        <v>59.939250000000008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5">
        <f t="shared" si="620"/>
        <v>77038.77</v>
      </c>
      <c r="AV128" s="15">
        <f t="shared" si="621"/>
        <v>64.198975000000004</v>
      </c>
      <c r="AW128" s="15">
        <f t="shared" si="622"/>
        <v>82.748410311493018</v>
      </c>
      <c r="AX128" s="14">
        <v>0</v>
      </c>
      <c r="AY128" s="15">
        <f t="shared" si="623"/>
        <v>0</v>
      </c>
      <c r="AZ128" s="14">
        <v>2</v>
      </c>
      <c r="BA128" s="14">
        <v>0</v>
      </c>
      <c r="BB128" s="14">
        <v>0</v>
      </c>
      <c r="BC128" s="14">
        <v>0</v>
      </c>
      <c r="BD128" s="14">
        <v>0</v>
      </c>
      <c r="BE128" s="15">
        <f t="shared" si="624"/>
        <v>0</v>
      </c>
      <c r="BF128" s="15">
        <f t="shared" si="625"/>
        <v>0</v>
      </c>
      <c r="BG128" s="14">
        <v>0</v>
      </c>
      <c r="BH128" s="14">
        <v>0</v>
      </c>
      <c r="BI128" s="14">
        <v>0</v>
      </c>
      <c r="BJ128" s="14">
        <v>0</v>
      </c>
      <c r="BK128" s="15">
        <f t="shared" si="626"/>
        <v>0</v>
      </c>
      <c r="BL128" s="15">
        <f t="shared" si="627"/>
        <v>0</v>
      </c>
      <c r="BM128" s="14">
        <v>0</v>
      </c>
      <c r="BN128" s="14">
        <v>0</v>
      </c>
      <c r="BO128" s="14">
        <v>0</v>
      </c>
      <c r="BP128" s="14">
        <v>0</v>
      </c>
      <c r="BQ128" s="15">
        <f t="shared" si="628"/>
        <v>0</v>
      </c>
      <c r="BR128" s="15">
        <f t="shared" si="629"/>
        <v>0</v>
      </c>
      <c r="BS128" s="14">
        <v>0</v>
      </c>
      <c r="BT128" s="14">
        <v>0</v>
      </c>
      <c r="BU128" s="14">
        <v>0</v>
      </c>
      <c r="BV128" s="14">
        <v>0</v>
      </c>
      <c r="BW128" s="15">
        <f t="shared" si="630"/>
        <v>0</v>
      </c>
      <c r="BX128" s="15">
        <f t="shared" si="631"/>
        <v>0</v>
      </c>
      <c r="BY128" s="15">
        <f t="shared" si="632"/>
        <v>0</v>
      </c>
      <c r="BZ128" s="15">
        <f t="shared" si="633"/>
        <v>0</v>
      </c>
      <c r="CA128" s="15">
        <f t="shared" si="634"/>
        <v>0</v>
      </c>
      <c r="CB128" s="15">
        <f t="shared" si="635"/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5">
        <f t="shared" si="636"/>
        <v>0</v>
      </c>
      <c r="CI128" s="14">
        <v>0</v>
      </c>
      <c r="CJ128" s="14">
        <v>0</v>
      </c>
      <c r="CK128" s="14">
        <v>0</v>
      </c>
      <c r="CL128" s="14">
        <v>0</v>
      </c>
      <c r="CM128" s="15">
        <f t="shared" si="637"/>
        <v>0</v>
      </c>
      <c r="CN128" s="14">
        <v>75</v>
      </c>
      <c r="CO128" s="14">
        <v>1</v>
      </c>
      <c r="CP128" s="14">
        <v>0</v>
      </c>
      <c r="CQ128" s="14">
        <v>0</v>
      </c>
      <c r="CR128" s="15">
        <f t="shared" si="638"/>
        <v>76</v>
      </c>
      <c r="CS128" s="15">
        <f t="shared" si="639"/>
        <v>76</v>
      </c>
      <c r="CT128" s="14">
        <v>76</v>
      </c>
      <c r="CU128" s="14">
        <v>553</v>
      </c>
      <c r="CV128" s="14">
        <v>553</v>
      </c>
      <c r="CW128" s="16">
        <f t="shared" si="640"/>
        <v>1</v>
      </c>
      <c r="CX128" s="14"/>
      <c r="CY128" s="14"/>
      <c r="CZ128" s="14"/>
      <c r="DA128" s="14"/>
      <c r="DB128" s="15">
        <f t="shared" si="641"/>
        <v>0</v>
      </c>
      <c r="DC128" s="14">
        <v>0</v>
      </c>
      <c r="DD128" s="14">
        <v>0</v>
      </c>
      <c r="DE128" s="14">
        <v>0</v>
      </c>
      <c r="DF128" s="14">
        <v>0</v>
      </c>
      <c r="DG128" s="15">
        <f t="shared" si="642"/>
        <v>0</v>
      </c>
      <c r="DH128" s="14">
        <v>0</v>
      </c>
      <c r="DI128" s="14">
        <v>0</v>
      </c>
      <c r="DJ128" s="14">
        <v>0</v>
      </c>
      <c r="DK128" s="14">
        <v>0</v>
      </c>
      <c r="DL128" s="15">
        <f t="shared" si="643"/>
        <v>0</v>
      </c>
      <c r="DM128" s="14">
        <v>0</v>
      </c>
      <c r="DN128" s="14">
        <v>0</v>
      </c>
      <c r="DO128" s="14">
        <v>0</v>
      </c>
      <c r="DP128" s="14">
        <v>0</v>
      </c>
      <c r="DQ128" s="15">
        <f t="shared" si="644"/>
        <v>0</v>
      </c>
      <c r="DR128" s="15">
        <f t="shared" si="645"/>
        <v>0</v>
      </c>
      <c r="DS128" s="15">
        <f t="shared" si="646"/>
        <v>0</v>
      </c>
      <c r="DT128" s="15">
        <f t="shared" si="647"/>
        <v>0</v>
      </c>
      <c r="DU128" s="15">
        <f t="shared" si="648"/>
        <v>0</v>
      </c>
      <c r="DV128" s="15">
        <f t="shared" si="649"/>
        <v>0</v>
      </c>
      <c r="DW128" s="14">
        <v>0</v>
      </c>
      <c r="DX128" s="14">
        <v>0</v>
      </c>
      <c r="DY128" s="14">
        <v>0</v>
      </c>
      <c r="DZ128" s="14">
        <v>0</v>
      </c>
      <c r="EA128" s="14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0</v>
      </c>
      <c r="EH128" s="14">
        <v>0</v>
      </c>
      <c r="EI128" s="14">
        <v>0</v>
      </c>
      <c r="EJ128" s="14">
        <v>0</v>
      </c>
      <c r="EK128" s="14">
        <v>1</v>
      </c>
      <c r="EL128" s="14">
        <v>1</v>
      </c>
      <c r="EM128" s="14">
        <v>0</v>
      </c>
      <c r="EN128" s="14">
        <v>0</v>
      </c>
      <c r="EO128" s="14">
        <v>0</v>
      </c>
      <c r="EP128" s="14">
        <v>0</v>
      </c>
      <c r="EQ128" s="14">
        <v>0</v>
      </c>
      <c r="ER128" s="14">
        <v>0</v>
      </c>
      <c r="ES128" s="14">
        <v>0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0</v>
      </c>
      <c r="EZ128" s="14">
        <v>0</v>
      </c>
      <c r="FA128" s="14">
        <v>0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5">
        <f t="shared" si="650"/>
        <v>2</v>
      </c>
      <c r="FH128" s="14">
        <v>1</v>
      </c>
      <c r="FI128" s="14">
        <v>0</v>
      </c>
      <c r="FJ128" s="14">
        <v>24</v>
      </c>
      <c r="FK128" s="14">
        <v>42</v>
      </c>
      <c r="FL128" s="14">
        <v>42</v>
      </c>
      <c r="FM128" s="14">
        <v>0</v>
      </c>
      <c r="FN128" s="14">
        <v>0</v>
      </c>
      <c r="FO128" s="14">
        <v>0</v>
      </c>
      <c r="FP128" s="14">
        <v>0</v>
      </c>
      <c r="FQ128" s="15">
        <f t="shared" si="651"/>
        <v>42</v>
      </c>
      <c r="FR128" s="14">
        <v>0</v>
      </c>
      <c r="FS128" s="14">
        <v>0</v>
      </c>
      <c r="FT128" s="14">
        <v>0</v>
      </c>
      <c r="FU128" s="14">
        <v>0</v>
      </c>
      <c r="FV128" s="15">
        <f t="shared" si="652"/>
        <v>0</v>
      </c>
      <c r="FW128" s="14">
        <v>1163393</v>
      </c>
      <c r="FX128" s="14">
        <v>0</v>
      </c>
      <c r="FY128" s="14">
        <v>0</v>
      </c>
      <c r="FZ128" s="14">
        <v>0</v>
      </c>
      <c r="GA128" s="15">
        <f t="shared" si="653"/>
        <v>1163393</v>
      </c>
      <c r="GB128" s="15">
        <f t="shared" si="654"/>
        <v>1163393</v>
      </c>
      <c r="GC128" s="14">
        <v>0</v>
      </c>
      <c r="GD128" s="14">
        <v>0</v>
      </c>
      <c r="GE128" s="14">
        <v>0</v>
      </c>
      <c r="GF128" s="14">
        <v>0</v>
      </c>
      <c r="GG128" s="15">
        <f t="shared" si="655"/>
        <v>0</v>
      </c>
      <c r="GH128" s="14">
        <v>0</v>
      </c>
      <c r="GI128" s="14">
        <v>0</v>
      </c>
      <c r="GJ128" s="14">
        <v>0</v>
      </c>
      <c r="GK128" s="14">
        <v>0</v>
      </c>
      <c r="GL128" s="15">
        <f t="shared" si="656"/>
        <v>0</v>
      </c>
      <c r="GM128" s="15">
        <f t="shared" si="657"/>
        <v>0</v>
      </c>
      <c r="GN128" s="14">
        <v>0</v>
      </c>
      <c r="GO128" s="14">
        <v>0</v>
      </c>
      <c r="GP128" s="14">
        <v>0</v>
      </c>
      <c r="GQ128" s="14">
        <v>0</v>
      </c>
      <c r="GR128" s="15">
        <f t="shared" si="658"/>
        <v>0</v>
      </c>
      <c r="GS128" s="14">
        <v>0</v>
      </c>
      <c r="GT128" s="14">
        <v>0</v>
      </c>
      <c r="GU128" s="14">
        <v>0</v>
      </c>
      <c r="GV128" s="14">
        <v>0</v>
      </c>
      <c r="GW128" s="15">
        <f t="shared" si="659"/>
        <v>0</v>
      </c>
      <c r="GX128" s="15">
        <f t="shared" si="660"/>
        <v>0</v>
      </c>
      <c r="GY128" s="14">
        <v>0</v>
      </c>
      <c r="GZ128" s="14">
        <v>0</v>
      </c>
      <c r="HA128" s="15">
        <f t="shared" si="661"/>
        <v>0</v>
      </c>
      <c r="HB128" s="15" t="str">
        <f t="shared" si="662"/>
        <v/>
      </c>
      <c r="HC128" s="16" t="str">
        <f t="shared" si="663"/>
        <v/>
      </c>
      <c r="HD128" s="15" t="str">
        <f t="shared" si="664"/>
        <v/>
      </c>
      <c r="HE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5">
        <f t="shared" si="665"/>
        <v>0</v>
      </c>
      <c r="HK128" s="16" t="str">
        <f t="shared" si="666"/>
        <v/>
      </c>
      <c r="HL128" s="14">
        <v>6</v>
      </c>
      <c r="HM128" s="14">
        <v>2</v>
      </c>
      <c r="HN128" s="17">
        <f t="shared" si="667"/>
        <v>0.33333333333333331</v>
      </c>
    </row>
    <row r="129" spans="1:222" x14ac:dyDescent="0.3">
      <c r="A129" s="6" t="s">
        <v>280</v>
      </c>
      <c r="B129" s="6" t="s">
        <v>283</v>
      </c>
      <c r="C129" s="7" t="s">
        <v>257</v>
      </c>
      <c r="D129" s="7">
        <v>2025</v>
      </c>
      <c r="E129" s="7">
        <v>10</v>
      </c>
      <c r="F129" s="7" t="s">
        <v>266</v>
      </c>
      <c r="G129" s="7" t="s">
        <v>267</v>
      </c>
      <c r="H129" s="8">
        <v>1150</v>
      </c>
      <c r="I129" s="8">
        <v>0</v>
      </c>
      <c r="J129" s="8">
        <v>0</v>
      </c>
      <c r="K129" s="8">
        <v>0</v>
      </c>
      <c r="L129" s="8">
        <v>0</v>
      </c>
      <c r="M129" s="9">
        <f t="shared" si="607"/>
        <v>0</v>
      </c>
      <c r="N129" s="8">
        <v>842</v>
      </c>
      <c r="O129" s="8">
        <v>0</v>
      </c>
      <c r="P129" s="8">
        <v>100</v>
      </c>
      <c r="Q129" s="8">
        <v>0</v>
      </c>
      <c r="R129" s="9">
        <f t="shared" si="608"/>
        <v>942</v>
      </c>
      <c r="S129" s="9">
        <f t="shared" si="609"/>
        <v>942</v>
      </c>
      <c r="T129" s="8">
        <v>208</v>
      </c>
      <c r="U129" s="10">
        <f t="shared" si="610"/>
        <v>0.18086956521739131</v>
      </c>
      <c r="V129" s="8">
        <v>1</v>
      </c>
      <c r="W129" s="11">
        <f t="shared" si="611"/>
        <v>8.6956521739130438E-4</v>
      </c>
      <c r="X129" s="8">
        <v>0</v>
      </c>
      <c r="Y129" s="11">
        <f t="shared" si="612"/>
        <v>0</v>
      </c>
      <c r="Z129" s="8">
        <v>0</v>
      </c>
      <c r="AA129" s="11">
        <f t="shared" si="613"/>
        <v>0</v>
      </c>
      <c r="AB129" s="8">
        <v>0</v>
      </c>
      <c r="AC129" s="11">
        <f t="shared" si="614"/>
        <v>0</v>
      </c>
      <c r="AD129" s="8">
        <v>0</v>
      </c>
      <c r="AE129" s="11">
        <f t="shared" si="615"/>
        <v>0</v>
      </c>
      <c r="AF129" s="8">
        <v>0</v>
      </c>
      <c r="AG129" s="11">
        <f t="shared" si="616"/>
        <v>0</v>
      </c>
      <c r="AH129" s="8">
        <v>5111.67</v>
      </c>
      <c r="AI129" s="9">
        <f t="shared" si="617"/>
        <v>4.4449304347826084</v>
      </c>
      <c r="AJ129" s="8">
        <v>505</v>
      </c>
      <c r="AK129" s="11">
        <f t="shared" si="618"/>
        <v>0.43913043478260871</v>
      </c>
      <c r="AL129" s="8">
        <v>86496.007500000007</v>
      </c>
      <c r="AM129" s="9">
        <f t="shared" si="619"/>
        <v>75.213919565217395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9">
        <f t="shared" si="620"/>
        <v>91607.677500000005</v>
      </c>
      <c r="AV129" s="9">
        <f t="shared" si="621"/>
        <v>79.658850000000001</v>
      </c>
      <c r="AW129" s="9">
        <f t="shared" si="622"/>
        <v>97.248065286624211</v>
      </c>
      <c r="AX129" s="8">
        <v>0</v>
      </c>
      <c r="AY129" s="9">
        <f t="shared" si="623"/>
        <v>0</v>
      </c>
      <c r="AZ129" s="8">
        <v>2</v>
      </c>
      <c r="BA129" s="8">
        <v>0</v>
      </c>
      <c r="BB129" s="8">
        <v>0</v>
      </c>
      <c r="BC129" s="8">
        <v>0</v>
      </c>
      <c r="BD129" s="8">
        <v>0</v>
      </c>
      <c r="BE129" s="9">
        <f t="shared" si="624"/>
        <v>0</v>
      </c>
      <c r="BF129" s="9">
        <f t="shared" si="625"/>
        <v>0</v>
      </c>
      <c r="BG129" s="8">
        <v>0</v>
      </c>
      <c r="BH129" s="8">
        <v>0</v>
      </c>
      <c r="BI129" s="8">
        <v>0</v>
      </c>
      <c r="BJ129" s="8">
        <v>0</v>
      </c>
      <c r="BK129" s="9">
        <f t="shared" si="626"/>
        <v>0</v>
      </c>
      <c r="BL129" s="9">
        <f t="shared" si="627"/>
        <v>0</v>
      </c>
      <c r="BM129" s="8">
        <v>0</v>
      </c>
      <c r="BN129" s="8">
        <v>0</v>
      </c>
      <c r="BO129" s="8">
        <v>0</v>
      </c>
      <c r="BP129" s="8">
        <v>0</v>
      </c>
      <c r="BQ129" s="9">
        <f t="shared" si="628"/>
        <v>0</v>
      </c>
      <c r="BR129" s="9">
        <f t="shared" si="629"/>
        <v>0</v>
      </c>
      <c r="BS129" s="8">
        <v>0</v>
      </c>
      <c r="BT129" s="8">
        <v>0</v>
      </c>
      <c r="BU129" s="8">
        <v>0</v>
      </c>
      <c r="BV129" s="8">
        <v>0</v>
      </c>
      <c r="BW129" s="9">
        <f t="shared" si="630"/>
        <v>0</v>
      </c>
      <c r="BX129" s="9">
        <f t="shared" si="631"/>
        <v>0</v>
      </c>
      <c r="BY129" s="9">
        <f t="shared" si="632"/>
        <v>0</v>
      </c>
      <c r="BZ129" s="9">
        <f t="shared" si="633"/>
        <v>0</v>
      </c>
      <c r="CA129" s="9">
        <f t="shared" si="634"/>
        <v>0</v>
      </c>
      <c r="CB129" s="9">
        <f t="shared" si="635"/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9">
        <f t="shared" si="636"/>
        <v>0</v>
      </c>
      <c r="CI129" s="8">
        <v>0</v>
      </c>
      <c r="CJ129" s="8">
        <v>0</v>
      </c>
      <c r="CK129" s="8">
        <v>0</v>
      </c>
      <c r="CL129" s="8">
        <v>0</v>
      </c>
      <c r="CM129" s="9">
        <f t="shared" si="637"/>
        <v>0</v>
      </c>
      <c r="CN129" s="8">
        <v>75</v>
      </c>
      <c r="CO129" s="8">
        <v>1</v>
      </c>
      <c r="CP129" s="8">
        <v>0</v>
      </c>
      <c r="CQ129" s="8">
        <v>0</v>
      </c>
      <c r="CR129" s="9">
        <f t="shared" si="638"/>
        <v>76</v>
      </c>
      <c r="CS129" s="9">
        <f t="shared" si="639"/>
        <v>76</v>
      </c>
      <c r="CT129" s="8">
        <v>76</v>
      </c>
      <c r="CU129" s="8">
        <v>553</v>
      </c>
      <c r="CV129" s="8">
        <v>553</v>
      </c>
      <c r="CW129" s="10">
        <f t="shared" si="640"/>
        <v>1</v>
      </c>
      <c r="CX129" s="8"/>
      <c r="CY129" s="8"/>
      <c r="CZ129" s="8"/>
      <c r="DA129" s="8"/>
      <c r="DB129" s="9">
        <f t="shared" si="641"/>
        <v>0</v>
      </c>
      <c r="DC129" s="8">
        <v>0</v>
      </c>
      <c r="DD129" s="8">
        <v>0</v>
      </c>
      <c r="DE129" s="8">
        <v>0</v>
      </c>
      <c r="DF129" s="8">
        <v>0</v>
      </c>
      <c r="DG129" s="9">
        <f t="shared" si="642"/>
        <v>0</v>
      </c>
      <c r="DH129" s="8">
        <v>0</v>
      </c>
      <c r="DI129" s="8">
        <v>0</v>
      </c>
      <c r="DJ129" s="8">
        <v>0</v>
      </c>
      <c r="DK129" s="8">
        <v>0</v>
      </c>
      <c r="DL129" s="9">
        <f t="shared" si="643"/>
        <v>0</v>
      </c>
      <c r="DM129" s="8">
        <v>0</v>
      </c>
      <c r="DN129" s="8">
        <v>0</v>
      </c>
      <c r="DO129" s="8">
        <v>0</v>
      </c>
      <c r="DP129" s="8">
        <v>0</v>
      </c>
      <c r="DQ129" s="9">
        <f t="shared" si="644"/>
        <v>0</v>
      </c>
      <c r="DR129" s="9">
        <f t="shared" si="645"/>
        <v>0</v>
      </c>
      <c r="DS129" s="9">
        <f t="shared" si="646"/>
        <v>0</v>
      </c>
      <c r="DT129" s="9">
        <f t="shared" si="647"/>
        <v>0</v>
      </c>
      <c r="DU129" s="9">
        <f t="shared" si="648"/>
        <v>0</v>
      </c>
      <c r="DV129" s="9">
        <f t="shared" si="649"/>
        <v>0</v>
      </c>
      <c r="DW129" s="8">
        <v>0</v>
      </c>
      <c r="DX129" s="8">
        <v>0</v>
      </c>
      <c r="DY129" s="8">
        <v>0</v>
      </c>
      <c r="DZ129" s="8">
        <v>0</v>
      </c>
      <c r="EA129" s="8">
        <v>0</v>
      </c>
      <c r="EB129" s="8">
        <v>0</v>
      </c>
      <c r="EC129" s="8">
        <v>0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1</v>
      </c>
      <c r="EK129" s="8">
        <v>2</v>
      </c>
      <c r="EL129" s="8">
        <v>2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0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9">
        <f t="shared" si="650"/>
        <v>5</v>
      </c>
      <c r="FH129" s="8">
        <v>3</v>
      </c>
      <c r="FI129" s="8">
        <v>0</v>
      </c>
      <c r="FJ129" s="8">
        <v>24</v>
      </c>
      <c r="FK129" s="8">
        <v>72</v>
      </c>
      <c r="FL129" s="8">
        <v>72</v>
      </c>
      <c r="FM129" s="8">
        <v>0</v>
      </c>
      <c r="FN129" s="8">
        <v>0</v>
      </c>
      <c r="FO129" s="8">
        <v>0</v>
      </c>
      <c r="FP129" s="8">
        <v>0</v>
      </c>
      <c r="FQ129" s="9">
        <f t="shared" si="651"/>
        <v>72</v>
      </c>
      <c r="FR129" s="8">
        <v>0</v>
      </c>
      <c r="FS129" s="8">
        <v>0</v>
      </c>
      <c r="FT129" s="8">
        <v>0</v>
      </c>
      <c r="FU129" s="8">
        <v>0</v>
      </c>
      <c r="FV129" s="9">
        <f t="shared" si="652"/>
        <v>0</v>
      </c>
      <c r="FW129" s="8">
        <v>1050350</v>
      </c>
      <c r="FX129" s="8">
        <v>0</v>
      </c>
      <c r="FY129" s="8">
        <v>0</v>
      </c>
      <c r="FZ129" s="8">
        <v>0</v>
      </c>
      <c r="GA129" s="9">
        <f t="shared" si="653"/>
        <v>1050350</v>
      </c>
      <c r="GB129" s="9">
        <f t="shared" si="654"/>
        <v>1050350</v>
      </c>
      <c r="GC129" s="8">
        <v>0</v>
      </c>
      <c r="GD129" s="8">
        <v>0</v>
      </c>
      <c r="GE129" s="8">
        <v>0</v>
      </c>
      <c r="GF129" s="8">
        <v>0</v>
      </c>
      <c r="GG129" s="9">
        <f t="shared" si="655"/>
        <v>0</v>
      </c>
      <c r="GH129" s="8">
        <v>0</v>
      </c>
      <c r="GI129" s="8">
        <v>0</v>
      </c>
      <c r="GJ129" s="8">
        <v>0</v>
      </c>
      <c r="GK129" s="8">
        <v>0</v>
      </c>
      <c r="GL129" s="9">
        <f t="shared" si="656"/>
        <v>0</v>
      </c>
      <c r="GM129" s="9">
        <f t="shared" si="657"/>
        <v>0</v>
      </c>
      <c r="GN129" s="8">
        <v>0</v>
      </c>
      <c r="GO129" s="8">
        <v>0</v>
      </c>
      <c r="GP129" s="8">
        <v>0</v>
      </c>
      <c r="GQ129" s="8">
        <v>0</v>
      </c>
      <c r="GR129" s="9">
        <f t="shared" si="658"/>
        <v>0</v>
      </c>
      <c r="GS129" s="8">
        <v>0</v>
      </c>
      <c r="GT129" s="8">
        <v>0</v>
      </c>
      <c r="GU129" s="8">
        <v>0</v>
      </c>
      <c r="GV129" s="8">
        <v>0</v>
      </c>
      <c r="GW129" s="9">
        <f t="shared" si="659"/>
        <v>0</v>
      </c>
      <c r="GX129" s="9">
        <f t="shared" si="660"/>
        <v>0</v>
      </c>
      <c r="GY129" s="8">
        <v>0</v>
      </c>
      <c r="GZ129" s="8">
        <v>0</v>
      </c>
      <c r="HA129" s="9">
        <f t="shared" si="661"/>
        <v>0</v>
      </c>
      <c r="HB129" s="9" t="str">
        <f t="shared" si="662"/>
        <v/>
      </c>
      <c r="HC129" s="10" t="str">
        <f t="shared" si="663"/>
        <v/>
      </c>
      <c r="HD129" s="9" t="str">
        <f t="shared" si="664"/>
        <v/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9">
        <f t="shared" si="665"/>
        <v>0</v>
      </c>
      <c r="HK129" s="10" t="str">
        <f t="shared" si="666"/>
        <v/>
      </c>
      <c r="HL129" s="8">
        <v>10</v>
      </c>
      <c r="HM129" s="8">
        <v>3</v>
      </c>
      <c r="HN129" s="11">
        <f t="shared" si="667"/>
        <v>0.3</v>
      </c>
    </row>
    <row r="130" spans="1:222" x14ac:dyDescent="0.3">
      <c r="A130" s="12" t="s">
        <v>280</v>
      </c>
      <c r="B130" s="12" t="s">
        <v>283</v>
      </c>
      <c r="C130" s="13" t="s">
        <v>257</v>
      </c>
      <c r="D130" s="13">
        <v>2025</v>
      </c>
      <c r="E130" s="13">
        <v>11</v>
      </c>
      <c r="F130" s="13" t="s">
        <v>268</v>
      </c>
      <c r="G130" s="13" t="s">
        <v>267</v>
      </c>
      <c r="H130" s="14">
        <v>822</v>
      </c>
      <c r="I130" s="14">
        <v>0</v>
      </c>
      <c r="J130" s="14">
        <v>0</v>
      </c>
      <c r="K130" s="14">
        <v>0</v>
      </c>
      <c r="L130" s="14">
        <v>0</v>
      </c>
      <c r="M130" s="15">
        <f t="shared" si="607"/>
        <v>0</v>
      </c>
      <c r="N130" s="14">
        <v>600</v>
      </c>
      <c r="O130" s="14">
        <v>0</v>
      </c>
      <c r="P130" s="14">
        <v>0</v>
      </c>
      <c r="Q130" s="14">
        <v>0</v>
      </c>
      <c r="R130" s="15">
        <f t="shared" si="608"/>
        <v>600</v>
      </c>
      <c r="S130" s="15">
        <f t="shared" si="609"/>
        <v>600</v>
      </c>
      <c r="T130" s="14">
        <v>222</v>
      </c>
      <c r="U130" s="16">
        <f t="shared" si="610"/>
        <v>0.27007299270072993</v>
      </c>
      <c r="V130" s="14">
        <v>1</v>
      </c>
      <c r="W130" s="17">
        <f t="shared" si="611"/>
        <v>1.2165450121654502E-3</v>
      </c>
      <c r="X130" s="14">
        <v>0</v>
      </c>
      <c r="Y130" s="17">
        <f t="shared" si="612"/>
        <v>0</v>
      </c>
      <c r="Z130" s="14">
        <v>0</v>
      </c>
      <c r="AA130" s="17">
        <f t="shared" si="613"/>
        <v>0</v>
      </c>
      <c r="AB130" s="14">
        <v>0</v>
      </c>
      <c r="AC130" s="17">
        <f t="shared" si="614"/>
        <v>0</v>
      </c>
      <c r="AD130" s="14">
        <v>0</v>
      </c>
      <c r="AE130" s="17">
        <f t="shared" si="615"/>
        <v>0</v>
      </c>
      <c r="AF130" s="14">
        <v>0</v>
      </c>
      <c r="AG130" s="17">
        <f t="shared" si="616"/>
        <v>0</v>
      </c>
      <c r="AH130" s="14">
        <v>5111.67</v>
      </c>
      <c r="AI130" s="15">
        <f t="shared" si="617"/>
        <v>6.2185766423357665</v>
      </c>
      <c r="AJ130" s="14">
        <v>382</v>
      </c>
      <c r="AK130" s="17">
        <f t="shared" si="618"/>
        <v>0.46472019464720193</v>
      </c>
      <c r="AL130" s="14">
        <v>69429.573000000004</v>
      </c>
      <c r="AM130" s="15">
        <f t="shared" si="619"/>
        <v>84.464200729927015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5">
        <f t="shared" si="620"/>
        <v>74541.243000000002</v>
      </c>
      <c r="AV130" s="15">
        <f t="shared" si="621"/>
        <v>90.682777372262777</v>
      </c>
      <c r="AW130" s="15">
        <f t="shared" si="622"/>
        <v>124.235405</v>
      </c>
      <c r="AX130" s="14">
        <v>0</v>
      </c>
      <c r="AY130" s="15">
        <f t="shared" si="623"/>
        <v>0</v>
      </c>
      <c r="AZ130" s="14">
        <v>2</v>
      </c>
      <c r="BA130" s="14">
        <v>0</v>
      </c>
      <c r="BB130" s="14">
        <v>0</v>
      </c>
      <c r="BC130" s="14">
        <v>0</v>
      </c>
      <c r="BD130" s="14">
        <v>0</v>
      </c>
      <c r="BE130" s="15">
        <f t="shared" si="624"/>
        <v>0</v>
      </c>
      <c r="BF130" s="15">
        <f t="shared" si="625"/>
        <v>0</v>
      </c>
      <c r="BG130" s="14">
        <v>0</v>
      </c>
      <c r="BH130" s="14">
        <v>0</v>
      </c>
      <c r="BI130" s="14">
        <v>0</v>
      </c>
      <c r="BJ130" s="14">
        <v>0</v>
      </c>
      <c r="BK130" s="15">
        <f t="shared" si="626"/>
        <v>0</v>
      </c>
      <c r="BL130" s="15">
        <f t="shared" si="627"/>
        <v>0</v>
      </c>
      <c r="BM130" s="14">
        <v>0</v>
      </c>
      <c r="BN130" s="14">
        <v>0</v>
      </c>
      <c r="BO130" s="14">
        <v>0</v>
      </c>
      <c r="BP130" s="14">
        <v>0</v>
      </c>
      <c r="BQ130" s="15">
        <f t="shared" si="628"/>
        <v>0</v>
      </c>
      <c r="BR130" s="15">
        <f t="shared" si="629"/>
        <v>0</v>
      </c>
      <c r="BS130" s="14">
        <v>0</v>
      </c>
      <c r="BT130" s="14">
        <v>0</v>
      </c>
      <c r="BU130" s="14">
        <v>0</v>
      </c>
      <c r="BV130" s="14">
        <v>0</v>
      </c>
      <c r="BW130" s="15">
        <f t="shared" si="630"/>
        <v>0</v>
      </c>
      <c r="BX130" s="15">
        <f t="shared" si="631"/>
        <v>0</v>
      </c>
      <c r="BY130" s="15">
        <f t="shared" si="632"/>
        <v>0</v>
      </c>
      <c r="BZ130" s="15">
        <f t="shared" si="633"/>
        <v>0</v>
      </c>
      <c r="CA130" s="15">
        <f t="shared" si="634"/>
        <v>0</v>
      </c>
      <c r="CB130" s="15">
        <f t="shared" si="635"/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5">
        <f t="shared" si="636"/>
        <v>0</v>
      </c>
      <c r="CI130" s="14">
        <v>0</v>
      </c>
      <c r="CJ130" s="14">
        <v>0</v>
      </c>
      <c r="CK130" s="14">
        <v>0</v>
      </c>
      <c r="CL130" s="14">
        <v>0</v>
      </c>
      <c r="CM130" s="15">
        <f t="shared" si="637"/>
        <v>0</v>
      </c>
      <c r="CN130" s="14">
        <v>75</v>
      </c>
      <c r="CO130" s="14">
        <v>1</v>
      </c>
      <c r="CP130" s="14">
        <v>0</v>
      </c>
      <c r="CQ130" s="14">
        <v>0</v>
      </c>
      <c r="CR130" s="15">
        <f t="shared" si="638"/>
        <v>76</v>
      </c>
      <c r="CS130" s="15">
        <f t="shared" si="639"/>
        <v>76</v>
      </c>
      <c r="CT130" s="14">
        <v>76</v>
      </c>
      <c r="CU130" s="14">
        <v>553</v>
      </c>
      <c r="CV130" s="14">
        <v>553</v>
      </c>
      <c r="CW130" s="16">
        <f t="shared" si="640"/>
        <v>1</v>
      </c>
      <c r="CX130" s="14"/>
      <c r="CY130" s="14"/>
      <c r="CZ130" s="14"/>
      <c r="DA130" s="14"/>
      <c r="DB130" s="15">
        <f t="shared" si="641"/>
        <v>0</v>
      </c>
      <c r="DC130" s="14">
        <v>0</v>
      </c>
      <c r="DD130" s="14">
        <v>0</v>
      </c>
      <c r="DE130" s="14">
        <v>0</v>
      </c>
      <c r="DF130" s="14">
        <v>0</v>
      </c>
      <c r="DG130" s="15">
        <f t="shared" si="642"/>
        <v>0</v>
      </c>
      <c r="DH130" s="14">
        <v>0</v>
      </c>
      <c r="DI130" s="14">
        <v>0</v>
      </c>
      <c r="DJ130" s="14">
        <v>0</v>
      </c>
      <c r="DK130" s="14">
        <v>0</v>
      </c>
      <c r="DL130" s="15">
        <f t="shared" si="643"/>
        <v>0</v>
      </c>
      <c r="DM130" s="14">
        <v>0</v>
      </c>
      <c r="DN130" s="14">
        <v>0</v>
      </c>
      <c r="DO130" s="14">
        <v>0</v>
      </c>
      <c r="DP130" s="14">
        <v>0</v>
      </c>
      <c r="DQ130" s="15">
        <f t="shared" si="644"/>
        <v>0</v>
      </c>
      <c r="DR130" s="15">
        <f t="shared" si="645"/>
        <v>0</v>
      </c>
      <c r="DS130" s="15">
        <f t="shared" si="646"/>
        <v>0</v>
      </c>
      <c r="DT130" s="15">
        <f t="shared" si="647"/>
        <v>0</v>
      </c>
      <c r="DU130" s="15">
        <f t="shared" si="648"/>
        <v>0</v>
      </c>
      <c r="DV130" s="15">
        <f t="shared" si="649"/>
        <v>0</v>
      </c>
      <c r="DW130" s="14">
        <v>2</v>
      </c>
      <c r="DX130" s="14">
        <v>0</v>
      </c>
      <c r="DY130" s="14">
        <v>0</v>
      </c>
      <c r="DZ130" s="14">
        <v>0</v>
      </c>
      <c r="EA130" s="14">
        <v>0</v>
      </c>
      <c r="EB130" s="14">
        <v>0</v>
      </c>
      <c r="EC130" s="14">
        <v>0</v>
      </c>
      <c r="ED130" s="14">
        <v>0</v>
      </c>
      <c r="EE130" s="14">
        <v>0</v>
      </c>
      <c r="EF130" s="14">
        <v>0</v>
      </c>
      <c r="EG130" s="14">
        <v>0</v>
      </c>
      <c r="EH130" s="14">
        <v>0</v>
      </c>
      <c r="EI130" s="14">
        <v>0</v>
      </c>
      <c r="EJ130" s="14">
        <v>0</v>
      </c>
      <c r="EK130" s="14">
        <v>0</v>
      </c>
      <c r="EL130" s="14">
        <v>0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0</v>
      </c>
      <c r="ES130" s="14">
        <v>0</v>
      </c>
      <c r="ET130" s="14">
        <v>0</v>
      </c>
      <c r="EU130" s="14">
        <v>0</v>
      </c>
      <c r="EV130" s="14">
        <v>0</v>
      </c>
      <c r="EW130" s="14">
        <v>0</v>
      </c>
      <c r="EX130" s="14">
        <v>0</v>
      </c>
      <c r="EY130" s="14">
        <v>0</v>
      </c>
      <c r="EZ130" s="14">
        <v>0</v>
      </c>
      <c r="FA130" s="14">
        <v>0</v>
      </c>
      <c r="FB130" s="14">
        <v>0</v>
      </c>
      <c r="FC130" s="14">
        <v>0</v>
      </c>
      <c r="FD130" s="14">
        <v>0</v>
      </c>
      <c r="FE130" s="14">
        <v>0</v>
      </c>
      <c r="FF130" s="14">
        <v>0</v>
      </c>
      <c r="FG130" s="15">
        <f t="shared" si="650"/>
        <v>2</v>
      </c>
      <c r="FH130" s="14">
        <v>2</v>
      </c>
      <c r="FI130" s="14">
        <v>0</v>
      </c>
      <c r="FJ130" s="14">
        <v>16</v>
      </c>
      <c r="FK130" s="14">
        <v>80</v>
      </c>
      <c r="FL130" s="14">
        <v>80</v>
      </c>
      <c r="FM130" s="14">
        <v>0</v>
      </c>
      <c r="FN130" s="14">
        <v>0</v>
      </c>
      <c r="FO130" s="14">
        <v>0</v>
      </c>
      <c r="FP130" s="14">
        <v>0</v>
      </c>
      <c r="FQ130" s="15">
        <f t="shared" si="651"/>
        <v>80</v>
      </c>
      <c r="FR130" s="14">
        <v>0</v>
      </c>
      <c r="FS130" s="14">
        <v>0</v>
      </c>
      <c r="FT130" s="14">
        <v>0</v>
      </c>
      <c r="FU130" s="14">
        <v>0</v>
      </c>
      <c r="FV130" s="15">
        <f t="shared" si="652"/>
        <v>0</v>
      </c>
      <c r="FW130" s="14">
        <v>0</v>
      </c>
      <c r="FX130" s="14">
        <v>0</v>
      </c>
      <c r="FY130" s="14">
        <v>0</v>
      </c>
      <c r="FZ130" s="14">
        <v>0</v>
      </c>
      <c r="GA130" s="15">
        <f t="shared" si="653"/>
        <v>0</v>
      </c>
      <c r="GB130" s="15">
        <f t="shared" si="654"/>
        <v>0</v>
      </c>
      <c r="GC130" s="14">
        <v>0</v>
      </c>
      <c r="GD130" s="14">
        <v>0</v>
      </c>
      <c r="GE130" s="14">
        <v>0</v>
      </c>
      <c r="GF130" s="14">
        <v>0</v>
      </c>
      <c r="GG130" s="15">
        <f t="shared" si="655"/>
        <v>0</v>
      </c>
      <c r="GH130" s="14">
        <v>0</v>
      </c>
      <c r="GI130" s="14">
        <v>0</v>
      </c>
      <c r="GJ130" s="14">
        <v>0</v>
      </c>
      <c r="GK130" s="14">
        <v>0</v>
      </c>
      <c r="GL130" s="15">
        <f t="shared" si="656"/>
        <v>0</v>
      </c>
      <c r="GM130" s="15">
        <f t="shared" si="657"/>
        <v>0</v>
      </c>
      <c r="GN130" s="14">
        <v>0</v>
      </c>
      <c r="GO130" s="14">
        <v>0</v>
      </c>
      <c r="GP130" s="14">
        <v>0</v>
      </c>
      <c r="GQ130" s="14">
        <v>0</v>
      </c>
      <c r="GR130" s="15">
        <f t="shared" si="658"/>
        <v>0</v>
      </c>
      <c r="GS130" s="14">
        <v>0</v>
      </c>
      <c r="GT130" s="14">
        <v>0</v>
      </c>
      <c r="GU130" s="14">
        <v>0</v>
      </c>
      <c r="GV130" s="14">
        <v>0</v>
      </c>
      <c r="GW130" s="15">
        <f t="shared" si="659"/>
        <v>0</v>
      </c>
      <c r="GX130" s="15">
        <f t="shared" si="660"/>
        <v>0</v>
      </c>
      <c r="GY130" s="14">
        <v>0</v>
      </c>
      <c r="GZ130" s="14">
        <v>0</v>
      </c>
      <c r="HA130" s="15">
        <f t="shared" si="661"/>
        <v>0</v>
      </c>
      <c r="HB130" s="15" t="str">
        <f t="shared" si="662"/>
        <v/>
      </c>
      <c r="HC130" s="16" t="str">
        <f t="shared" si="663"/>
        <v/>
      </c>
      <c r="HD130" s="15" t="str">
        <f t="shared" si="664"/>
        <v/>
      </c>
      <c r="HE130" s="14">
        <v>0</v>
      </c>
      <c r="HF130" s="14">
        <v>0</v>
      </c>
      <c r="HG130" s="14">
        <v>0</v>
      </c>
      <c r="HH130" s="14">
        <v>0</v>
      </c>
      <c r="HI130" s="14">
        <v>0</v>
      </c>
      <c r="HJ130" s="15">
        <f t="shared" si="665"/>
        <v>0</v>
      </c>
      <c r="HK130" s="16" t="str">
        <f t="shared" si="666"/>
        <v/>
      </c>
      <c r="HL130" s="14">
        <v>8</v>
      </c>
      <c r="HM130" s="14">
        <v>1</v>
      </c>
      <c r="HN130" s="17">
        <f t="shared" si="667"/>
        <v>0.125</v>
      </c>
    </row>
    <row r="131" spans="1:222" x14ac:dyDescent="0.3">
      <c r="A131" s="6" t="s">
        <v>280</v>
      </c>
      <c r="B131" s="6" t="s">
        <v>283</v>
      </c>
      <c r="C131" s="7" t="s">
        <v>257</v>
      </c>
      <c r="D131" s="7">
        <v>2025</v>
      </c>
      <c r="E131" s="7">
        <v>12</v>
      </c>
      <c r="F131" s="7" t="s">
        <v>269</v>
      </c>
      <c r="G131" s="7" t="s">
        <v>267</v>
      </c>
      <c r="H131" s="8">
        <v>1050</v>
      </c>
      <c r="I131" s="8">
        <v>0</v>
      </c>
      <c r="J131" s="8">
        <v>0</v>
      </c>
      <c r="K131" s="8">
        <v>0</v>
      </c>
      <c r="L131" s="8">
        <v>0</v>
      </c>
      <c r="M131" s="9">
        <f t="shared" si="607"/>
        <v>0</v>
      </c>
      <c r="N131" s="8">
        <v>770</v>
      </c>
      <c r="O131" s="8">
        <v>0</v>
      </c>
      <c r="P131" s="8">
        <v>0</v>
      </c>
      <c r="Q131" s="8">
        <v>0</v>
      </c>
      <c r="R131" s="9">
        <f t="shared" si="608"/>
        <v>770</v>
      </c>
      <c r="S131" s="9">
        <f t="shared" si="609"/>
        <v>770</v>
      </c>
      <c r="T131" s="8">
        <v>280</v>
      </c>
      <c r="U131" s="10">
        <f t="shared" si="610"/>
        <v>0.26666666666666666</v>
      </c>
      <c r="V131" s="8">
        <v>1</v>
      </c>
      <c r="W131" s="11">
        <f t="shared" si="611"/>
        <v>9.5238095238095238E-4</v>
      </c>
      <c r="X131" s="8">
        <v>0</v>
      </c>
      <c r="Y131" s="11">
        <f t="shared" si="612"/>
        <v>0</v>
      </c>
      <c r="Z131" s="8">
        <v>0</v>
      </c>
      <c r="AA131" s="11">
        <f t="shared" si="613"/>
        <v>0</v>
      </c>
      <c r="AB131" s="8">
        <v>0</v>
      </c>
      <c r="AC131" s="11">
        <f t="shared" si="614"/>
        <v>0</v>
      </c>
      <c r="AD131" s="8">
        <v>0</v>
      </c>
      <c r="AE131" s="11">
        <f t="shared" si="615"/>
        <v>0</v>
      </c>
      <c r="AF131" s="8">
        <v>0</v>
      </c>
      <c r="AG131" s="11">
        <f t="shared" si="616"/>
        <v>0</v>
      </c>
      <c r="AH131" s="8">
        <v>5111.67</v>
      </c>
      <c r="AI131" s="9">
        <f t="shared" si="617"/>
        <v>4.8682571428571428</v>
      </c>
      <c r="AJ131" s="8">
        <v>680</v>
      </c>
      <c r="AK131" s="11">
        <f t="shared" si="618"/>
        <v>0.64761904761904765</v>
      </c>
      <c r="AL131" s="8">
        <v>110777.52</v>
      </c>
      <c r="AM131" s="9">
        <f t="shared" si="619"/>
        <v>105.50240000000001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9">
        <f t="shared" si="620"/>
        <v>115889.19</v>
      </c>
      <c r="AV131" s="9">
        <f t="shared" si="621"/>
        <v>110.37065714285714</v>
      </c>
      <c r="AW131" s="9">
        <f t="shared" si="622"/>
        <v>150.50544155844156</v>
      </c>
      <c r="AX131" s="8">
        <v>0</v>
      </c>
      <c r="AY131" s="9">
        <f t="shared" si="623"/>
        <v>0</v>
      </c>
      <c r="AZ131" s="8">
        <v>2</v>
      </c>
      <c r="BA131" s="8">
        <v>0</v>
      </c>
      <c r="BB131" s="8">
        <v>0</v>
      </c>
      <c r="BC131" s="8">
        <v>0</v>
      </c>
      <c r="BD131" s="8">
        <v>0</v>
      </c>
      <c r="BE131" s="9">
        <f t="shared" si="624"/>
        <v>0</v>
      </c>
      <c r="BF131" s="9">
        <f t="shared" si="625"/>
        <v>0</v>
      </c>
      <c r="BG131" s="8">
        <v>0</v>
      </c>
      <c r="BH131" s="8">
        <v>0</v>
      </c>
      <c r="BI131" s="8">
        <v>0</v>
      </c>
      <c r="BJ131" s="8">
        <v>0</v>
      </c>
      <c r="BK131" s="9">
        <f t="shared" si="626"/>
        <v>0</v>
      </c>
      <c r="BL131" s="9">
        <f t="shared" si="627"/>
        <v>0</v>
      </c>
      <c r="BM131" s="8">
        <v>0</v>
      </c>
      <c r="BN131" s="8">
        <v>0</v>
      </c>
      <c r="BO131" s="8">
        <v>0</v>
      </c>
      <c r="BP131" s="8">
        <v>0</v>
      </c>
      <c r="BQ131" s="9">
        <f t="shared" si="628"/>
        <v>0</v>
      </c>
      <c r="BR131" s="9">
        <f t="shared" si="629"/>
        <v>0</v>
      </c>
      <c r="BS131" s="8">
        <v>0</v>
      </c>
      <c r="BT131" s="8">
        <v>0</v>
      </c>
      <c r="BU131" s="8">
        <v>0</v>
      </c>
      <c r="BV131" s="8">
        <v>0</v>
      </c>
      <c r="BW131" s="9">
        <f t="shared" si="630"/>
        <v>0</v>
      </c>
      <c r="BX131" s="9">
        <f t="shared" si="631"/>
        <v>0</v>
      </c>
      <c r="BY131" s="9">
        <f t="shared" si="632"/>
        <v>0</v>
      </c>
      <c r="BZ131" s="9">
        <f t="shared" si="633"/>
        <v>0</v>
      </c>
      <c r="CA131" s="9">
        <f t="shared" si="634"/>
        <v>0</v>
      </c>
      <c r="CB131" s="9">
        <f t="shared" si="635"/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9">
        <f t="shared" si="636"/>
        <v>0</v>
      </c>
      <c r="CI131" s="8">
        <v>0</v>
      </c>
      <c r="CJ131" s="8">
        <v>0</v>
      </c>
      <c r="CK131" s="8">
        <v>0</v>
      </c>
      <c r="CL131" s="8">
        <v>0</v>
      </c>
      <c r="CM131" s="9">
        <f t="shared" si="637"/>
        <v>0</v>
      </c>
      <c r="CN131" s="8">
        <v>75</v>
      </c>
      <c r="CO131" s="8">
        <v>1</v>
      </c>
      <c r="CP131" s="8">
        <v>0</v>
      </c>
      <c r="CQ131" s="8">
        <v>0</v>
      </c>
      <c r="CR131" s="9">
        <f t="shared" si="638"/>
        <v>76</v>
      </c>
      <c r="CS131" s="9">
        <f t="shared" si="639"/>
        <v>76</v>
      </c>
      <c r="CT131" s="8">
        <v>76</v>
      </c>
      <c r="CU131" s="8">
        <v>553</v>
      </c>
      <c r="CV131" s="8">
        <v>553</v>
      </c>
      <c r="CW131" s="10">
        <f t="shared" si="640"/>
        <v>1</v>
      </c>
      <c r="CX131" s="8">
        <v>0</v>
      </c>
      <c r="CY131" s="8">
        <v>0</v>
      </c>
      <c r="CZ131" s="8">
        <v>0</v>
      </c>
      <c r="DA131" s="8">
        <v>0</v>
      </c>
      <c r="DB131" s="9">
        <f t="shared" si="641"/>
        <v>0</v>
      </c>
      <c r="DC131" s="8">
        <v>0</v>
      </c>
      <c r="DD131" s="8">
        <v>0</v>
      </c>
      <c r="DE131" s="8">
        <v>0</v>
      </c>
      <c r="DF131" s="8">
        <v>0</v>
      </c>
      <c r="DG131" s="9">
        <f t="shared" si="642"/>
        <v>0</v>
      </c>
      <c r="DH131" s="8">
        <v>0</v>
      </c>
      <c r="DI131" s="8">
        <v>0</v>
      </c>
      <c r="DJ131" s="8">
        <v>0</v>
      </c>
      <c r="DK131" s="8">
        <v>0</v>
      </c>
      <c r="DL131" s="9">
        <f t="shared" si="643"/>
        <v>0</v>
      </c>
      <c r="DM131" s="8">
        <v>0</v>
      </c>
      <c r="DN131" s="8">
        <v>0</v>
      </c>
      <c r="DO131" s="8">
        <v>0</v>
      </c>
      <c r="DP131" s="8">
        <v>0</v>
      </c>
      <c r="DQ131" s="9">
        <f t="shared" si="644"/>
        <v>0</v>
      </c>
      <c r="DR131" s="9">
        <f t="shared" si="645"/>
        <v>0</v>
      </c>
      <c r="DS131" s="9">
        <f t="shared" si="646"/>
        <v>0</v>
      </c>
      <c r="DT131" s="9">
        <f t="shared" si="647"/>
        <v>0</v>
      </c>
      <c r="DU131" s="9">
        <f t="shared" si="648"/>
        <v>0</v>
      </c>
      <c r="DV131" s="9">
        <f t="shared" si="649"/>
        <v>0</v>
      </c>
      <c r="DW131" s="8">
        <v>0</v>
      </c>
      <c r="DX131" s="8">
        <v>0</v>
      </c>
      <c r="DY131" s="8">
        <v>0</v>
      </c>
      <c r="DZ131" s="8">
        <v>0</v>
      </c>
      <c r="EA131" s="8">
        <v>0</v>
      </c>
      <c r="EB131" s="8">
        <v>0</v>
      </c>
      <c r="EC131" s="8">
        <v>0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1</v>
      </c>
      <c r="EK131" s="8">
        <v>1</v>
      </c>
      <c r="EL131" s="8">
        <v>1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9">
        <f t="shared" si="650"/>
        <v>3</v>
      </c>
      <c r="FH131" s="8">
        <v>2</v>
      </c>
      <c r="FI131" s="8">
        <v>0</v>
      </c>
      <c r="FJ131" s="8">
        <v>16</v>
      </c>
      <c r="FK131" s="8">
        <v>72</v>
      </c>
      <c r="FL131" s="8">
        <v>72</v>
      </c>
      <c r="FM131" s="8">
        <v>0</v>
      </c>
      <c r="FN131" s="8">
        <v>0</v>
      </c>
      <c r="FO131" s="8">
        <v>0</v>
      </c>
      <c r="FP131" s="8">
        <v>0</v>
      </c>
      <c r="FQ131" s="9">
        <f t="shared" si="651"/>
        <v>72</v>
      </c>
      <c r="FR131" s="8">
        <v>0</v>
      </c>
      <c r="FS131" s="8">
        <v>0</v>
      </c>
      <c r="FT131" s="8">
        <v>0</v>
      </c>
      <c r="FU131" s="8">
        <v>0</v>
      </c>
      <c r="FV131" s="9">
        <f t="shared" si="652"/>
        <v>0</v>
      </c>
      <c r="FW131" s="8">
        <v>964300</v>
      </c>
      <c r="FX131" s="8">
        <v>0</v>
      </c>
      <c r="FY131" s="8">
        <v>0</v>
      </c>
      <c r="FZ131" s="8">
        <v>0</v>
      </c>
      <c r="GA131" s="9">
        <f t="shared" si="653"/>
        <v>964300</v>
      </c>
      <c r="GB131" s="9">
        <f t="shared" si="654"/>
        <v>964300</v>
      </c>
      <c r="GC131" s="8">
        <v>0</v>
      </c>
      <c r="GD131" s="8">
        <v>0</v>
      </c>
      <c r="GE131" s="8">
        <v>0</v>
      </c>
      <c r="GF131" s="8">
        <v>0</v>
      </c>
      <c r="GG131" s="9">
        <f t="shared" si="655"/>
        <v>0</v>
      </c>
      <c r="GH131" s="8">
        <v>0</v>
      </c>
      <c r="GI131" s="8">
        <v>0</v>
      </c>
      <c r="GJ131" s="8">
        <v>0</v>
      </c>
      <c r="GK131" s="8">
        <v>0</v>
      </c>
      <c r="GL131" s="9">
        <f t="shared" si="656"/>
        <v>0</v>
      </c>
      <c r="GM131" s="9">
        <f t="shared" si="657"/>
        <v>0</v>
      </c>
      <c r="GN131" s="8">
        <v>0</v>
      </c>
      <c r="GO131" s="8">
        <v>0</v>
      </c>
      <c r="GP131" s="8">
        <v>0</v>
      </c>
      <c r="GQ131" s="8">
        <v>0</v>
      </c>
      <c r="GR131" s="9">
        <f t="shared" si="658"/>
        <v>0</v>
      </c>
      <c r="GS131" s="8">
        <v>0</v>
      </c>
      <c r="GT131" s="8">
        <v>0</v>
      </c>
      <c r="GU131" s="8">
        <v>0</v>
      </c>
      <c r="GV131" s="8">
        <v>0</v>
      </c>
      <c r="GW131" s="9">
        <f t="shared" si="659"/>
        <v>0</v>
      </c>
      <c r="GX131" s="9">
        <f t="shared" si="660"/>
        <v>0</v>
      </c>
      <c r="GY131" s="8">
        <v>0</v>
      </c>
      <c r="GZ131" s="8">
        <v>0</v>
      </c>
      <c r="HA131" s="9">
        <f t="shared" si="661"/>
        <v>0</v>
      </c>
      <c r="HB131" s="9" t="str">
        <f t="shared" si="662"/>
        <v/>
      </c>
      <c r="HC131" s="10" t="str">
        <f t="shared" si="663"/>
        <v/>
      </c>
      <c r="HD131" s="9" t="str">
        <f t="shared" si="664"/>
        <v/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9">
        <f t="shared" si="665"/>
        <v>0</v>
      </c>
      <c r="HK131" s="10" t="str">
        <f t="shared" si="666"/>
        <v/>
      </c>
      <c r="HL131" s="8">
        <v>10</v>
      </c>
      <c r="HM131" s="8">
        <v>2</v>
      </c>
      <c r="HN131" s="11">
        <f t="shared" si="667"/>
        <v>0.2</v>
      </c>
    </row>
    <row r="132" spans="1:222" x14ac:dyDescent="0.3">
      <c r="A132" s="12" t="s">
        <v>280</v>
      </c>
      <c r="B132" s="12" t="s">
        <v>283</v>
      </c>
      <c r="C132" s="13" t="s">
        <v>257</v>
      </c>
      <c r="D132" s="13">
        <v>2026</v>
      </c>
      <c r="E132" s="13">
        <v>1</v>
      </c>
      <c r="F132" s="13" t="s">
        <v>270</v>
      </c>
      <c r="G132" s="13" t="s">
        <v>271</v>
      </c>
      <c r="H132" s="14">
        <v>733</v>
      </c>
      <c r="I132" s="14">
        <v>0</v>
      </c>
      <c r="J132" s="14">
        <v>0</v>
      </c>
      <c r="K132" s="14">
        <v>0</v>
      </c>
      <c r="L132" s="14">
        <v>0</v>
      </c>
      <c r="M132" s="15">
        <v>0</v>
      </c>
      <c r="N132" s="14">
        <v>528</v>
      </c>
      <c r="O132" s="14">
        <v>0</v>
      </c>
      <c r="P132" s="14">
        <v>0</v>
      </c>
      <c r="Q132" s="14">
        <v>0</v>
      </c>
      <c r="R132" s="15">
        <v>528</v>
      </c>
      <c r="S132" s="15">
        <v>528</v>
      </c>
      <c r="T132" s="14">
        <v>205</v>
      </c>
      <c r="U132" s="16">
        <v>0.27967257844474758</v>
      </c>
      <c r="V132" s="14">
        <v>1</v>
      </c>
      <c r="W132" s="17">
        <v>1.3642564802182811</v>
      </c>
      <c r="X132" s="14">
        <v>0</v>
      </c>
      <c r="Y132" s="17">
        <v>0</v>
      </c>
      <c r="Z132" s="14">
        <v>0</v>
      </c>
      <c r="AA132" s="17">
        <v>0</v>
      </c>
      <c r="AB132" s="14">
        <v>0</v>
      </c>
      <c r="AC132" s="17">
        <v>0</v>
      </c>
      <c r="AD132" s="14">
        <v>0</v>
      </c>
      <c r="AE132" s="17">
        <v>0</v>
      </c>
      <c r="AF132" s="14">
        <v>0</v>
      </c>
      <c r="AG132" s="17">
        <v>0</v>
      </c>
      <c r="AH132" s="14">
        <v>5111.67</v>
      </c>
      <c r="AI132" s="15">
        <v>6.9736289222373804</v>
      </c>
      <c r="AJ132" s="14">
        <v>1156</v>
      </c>
      <c r="AK132" s="17">
        <v>1.5770804911323331</v>
      </c>
      <c r="AL132" s="14">
        <v>176823.234</v>
      </c>
      <c r="AM132" s="15">
        <v>241.2322428376535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5">
        <v>181934.90400000001</v>
      </c>
      <c r="AV132" s="15">
        <v>248.2058717598909</v>
      </c>
      <c r="AW132" s="15">
        <v>344.57368181818191</v>
      </c>
      <c r="AX132" s="14">
        <v>0</v>
      </c>
      <c r="AY132" s="15">
        <v>0</v>
      </c>
      <c r="AZ132" s="14">
        <v>2</v>
      </c>
      <c r="BA132" s="14">
        <v>0</v>
      </c>
      <c r="BB132" s="14">
        <v>0</v>
      </c>
      <c r="BC132" s="14">
        <v>0</v>
      </c>
      <c r="BD132" s="14">
        <v>0</v>
      </c>
      <c r="BE132" s="15">
        <v>0</v>
      </c>
      <c r="BF132" s="15">
        <v>0</v>
      </c>
      <c r="BG132" s="14">
        <v>0</v>
      </c>
      <c r="BH132" s="14">
        <v>0</v>
      </c>
      <c r="BI132" s="14">
        <v>0</v>
      </c>
      <c r="BJ132" s="14">
        <v>0</v>
      </c>
      <c r="BK132" s="15">
        <v>0</v>
      </c>
      <c r="BL132" s="15">
        <v>0</v>
      </c>
      <c r="BM132" s="14">
        <v>0</v>
      </c>
      <c r="BN132" s="14">
        <v>0</v>
      </c>
      <c r="BO132" s="14">
        <v>0</v>
      </c>
      <c r="BP132" s="14">
        <v>0</v>
      </c>
      <c r="BQ132" s="15">
        <v>0</v>
      </c>
      <c r="BR132" s="15">
        <v>0</v>
      </c>
      <c r="BS132" s="14">
        <v>0</v>
      </c>
      <c r="BT132" s="14">
        <v>0</v>
      </c>
      <c r="BU132" s="14">
        <v>0</v>
      </c>
      <c r="BV132" s="14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</v>
      </c>
      <c r="CB132" s="15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5">
        <v>0</v>
      </c>
      <c r="CI132" s="14">
        <v>0</v>
      </c>
      <c r="CJ132" s="14">
        <v>0</v>
      </c>
      <c r="CK132" s="14">
        <v>0</v>
      </c>
      <c r="CL132" s="14">
        <v>0</v>
      </c>
      <c r="CM132" s="15">
        <v>0</v>
      </c>
      <c r="CN132" s="14">
        <v>75</v>
      </c>
      <c r="CO132" s="14">
        <v>1</v>
      </c>
      <c r="CP132" s="14">
        <v>0</v>
      </c>
      <c r="CQ132" s="14">
        <v>0</v>
      </c>
      <c r="CR132" s="15">
        <v>76</v>
      </c>
      <c r="CS132" s="15">
        <v>76</v>
      </c>
      <c r="CT132" s="14">
        <v>76</v>
      </c>
      <c r="CU132" s="14">
        <v>553</v>
      </c>
      <c r="CV132" s="14">
        <v>553</v>
      </c>
      <c r="CW132" s="16">
        <v>1</v>
      </c>
      <c r="CX132" s="14">
        <v>0</v>
      </c>
      <c r="CY132" s="14">
        <v>0</v>
      </c>
      <c r="CZ132" s="14">
        <v>0</v>
      </c>
      <c r="DA132" s="14">
        <v>0</v>
      </c>
      <c r="DB132" s="15">
        <v>0</v>
      </c>
      <c r="DC132" s="14">
        <v>0</v>
      </c>
      <c r="DD132" s="14">
        <v>0</v>
      </c>
      <c r="DE132" s="14">
        <v>0</v>
      </c>
      <c r="DF132" s="14">
        <v>0</v>
      </c>
      <c r="DG132" s="15">
        <v>0</v>
      </c>
      <c r="DH132" s="14">
        <v>0</v>
      </c>
      <c r="DI132" s="14">
        <v>0</v>
      </c>
      <c r="DJ132" s="14">
        <v>0</v>
      </c>
      <c r="DK132" s="14">
        <v>0</v>
      </c>
      <c r="DL132" s="15">
        <v>0</v>
      </c>
      <c r="DM132" s="14">
        <v>0</v>
      </c>
      <c r="DN132" s="14">
        <v>0</v>
      </c>
      <c r="DO132" s="14">
        <v>0</v>
      </c>
      <c r="DP132" s="14">
        <v>0</v>
      </c>
      <c r="DQ132" s="15">
        <v>0</v>
      </c>
      <c r="DR132" s="15">
        <v>0</v>
      </c>
      <c r="DS132" s="15">
        <v>0</v>
      </c>
      <c r="DT132" s="15">
        <v>0</v>
      </c>
      <c r="DU132" s="15">
        <v>0</v>
      </c>
      <c r="DV132" s="15">
        <v>0</v>
      </c>
      <c r="DW132" s="14">
        <v>1</v>
      </c>
      <c r="DX132" s="14">
        <v>1</v>
      </c>
      <c r="DY132" s="14">
        <v>0</v>
      </c>
      <c r="DZ132" s="14">
        <v>0</v>
      </c>
      <c r="EA132" s="14">
        <v>0</v>
      </c>
      <c r="EB132" s="14">
        <v>0</v>
      </c>
      <c r="EC132" s="14">
        <v>0</v>
      </c>
      <c r="ED132" s="14">
        <v>0</v>
      </c>
      <c r="EE132" s="14">
        <v>0</v>
      </c>
      <c r="EF132" s="14">
        <v>0</v>
      </c>
      <c r="EG132" s="14">
        <v>0</v>
      </c>
      <c r="EH132" s="14">
        <v>0</v>
      </c>
      <c r="EI132" s="14">
        <v>0</v>
      </c>
      <c r="EJ132" s="14">
        <v>0</v>
      </c>
      <c r="EK132" s="14">
        <v>0</v>
      </c>
      <c r="EL132" s="14">
        <v>0</v>
      </c>
      <c r="EM132" s="14">
        <v>0</v>
      </c>
      <c r="EN132" s="14">
        <v>0</v>
      </c>
      <c r="EO132" s="14">
        <v>0</v>
      </c>
      <c r="EP132" s="14">
        <v>0</v>
      </c>
      <c r="EQ132" s="14">
        <v>0</v>
      </c>
      <c r="ER132" s="14">
        <v>0</v>
      </c>
      <c r="ES132" s="14">
        <v>0</v>
      </c>
      <c r="ET132" s="14">
        <v>0</v>
      </c>
      <c r="EU132" s="14">
        <v>0</v>
      </c>
      <c r="EV132" s="14">
        <v>0</v>
      </c>
      <c r="EW132" s="14">
        <v>0</v>
      </c>
      <c r="EX132" s="14">
        <v>0</v>
      </c>
      <c r="EY132" s="14">
        <v>0</v>
      </c>
      <c r="EZ132" s="14">
        <v>0</v>
      </c>
      <c r="FA132" s="14">
        <v>0</v>
      </c>
      <c r="FB132" s="14">
        <v>0</v>
      </c>
      <c r="FC132" s="14">
        <v>0</v>
      </c>
      <c r="FD132" s="14">
        <v>0</v>
      </c>
      <c r="FE132" s="14">
        <v>0</v>
      </c>
      <c r="FF132" s="14">
        <v>0</v>
      </c>
      <c r="FG132" s="15">
        <v>0</v>
      </c>
      <c r="FH132" s="14">
        <v>2</v>
      </c>
      <c r="FI132" s="14">
        <v>0</v>
      </c>
      <c r="FJ132" s="14">
        <v>24</v>
      </c>
      <c r="FK132" s="14">
        <v>84</v>
      </c>
      <c r="FL132" s="14">
        <v>84</v>
      </c>
      <c r="FM132" s="14">
        <v>0</v>
      </c>
      <c r="FN132" s="14">
        <v>0</v>
      </c>
      <c r="FO132" s="14">
        <v>0</v>
      </c>
      <c r="FP132" s="14">
        <v>0</v>
      </c>
      <c r="FQ132" s="15">
        <v>0</v>
      </c>
      <c r="FR132" s="14">
        <v>0</v>
      </c>
      <c r="FS132" s="14">
        <v>0</v>
      </c>
      <c r="FT132" s="14">
        <v>0</v>
      </c>
      <c r="FU132" s="14">
        <v>0</v>
      </c>
      <c r="FV132" s="15">
        <v>0</v>
      </c>
      <c r="FW132" s="14">
        <v>0</v>
      </c>
      <c r="FX132" s="14">
        <v>0</v>
      </c>
      <c r="FY132" s="14">
        <v>0</v>
      </c>
      <c r="FZ132" s="14">
        <v>0</v>
      </c>
      <c r="GA132" s="15">
        <v>0</v>
      </c>
      <c r="GB132" s="15">
        <v>0</v>
      </c>
      <c r="GC132" s="14">
        <v>0</v>
      </c>
      <c r="GD132" s="14">
        <v>0</v>
      </c>
      <c r="GE132" s="14">
        <v>0</v>
      </c>
      <c r="GF132" s="14">
        <v>0</v>
      </c>
      <c r="GG132" s="15">
        <v>0</v>
      </c>
      <c r="GH132" s="14">
        <v>0</v>
      </c>
      <c r="GI132" s="14">
        <v>0</v>
      </c>
      <c r="GJ132" s="14">
        <v>0</v>
      </c>
      <c r="GK132" s="14">
        <v>0</v>
      </c>
      <c r="GL132" s="15">
        <v>0</v>
      </c>
      <c r="GM132" s="15">
        <v>0</v>
      </c>
      <c r="GN132" s="14">
        <v>0</v>
      </c>
      <c r="GO132" s="14">
        <v>0</v>
      </c>
      <c r="GP132" s="14">
        <v>0</v>
      </c>
      <c r="GQ132" s="14">
        <v>0</v>
      </c>
      <c r="GR132" s="15">
        <v>0</v>
      </c>
      <c r="GS132" s="14">
        <v>0</v>
      </c>
      <c r="GT132" s="14">
        <v>0</v>
      </c>
      <c r="GU132" s="14">
        <v>0</v>
      </c>
      <c r="GV132" s="14">
        <v>0</v>
      </c>
      <c r="GW132" s="15">
        <v>0</v>
      </c>
      <c r="GX132" s="15">
        <v>0</v>
      </c>
      <c r="GY132" s="14">
        <v>0</v>
      </c>
      <c r="GZ132" s="14">
        <v>0</v>
      </c>
      <c r="HA132" s="15">
        <v>0</v>
      </c>
      <c r="HB132" s="15">
        <v>0</v>
      </c>
      <c r="HC132" s="16">
        <v>0</v>
      </c>
      <c r="HD132" s="15">
        <v>0</v>
      </c>
      <c r="HE132" s="14">
        <v>0</v>
      </c>
      <c r="HF132" s="14">
        <v>0</v>
      </c>
      <c r="HG132" s="14">
        <v>0</v>
      </c>
      <c r="HH132" s="14">
        <v>0</v>
      </c>
      <c r="HI132" s="14">
        <v>0</v>
      </c>
      <c r="HJ132" s="15">
        <v>0</v>
      </c>
      <c r="HK132" s="16"/>
      <c r="HL132" s="14">
        <v>0</v>
      </c>
      <c r="HM132" s="14">
        <v>0</v>
      </c>
      <c r="HN132" s="17">
        <v>0</v>
      </c>
    </row>
    <row r="133" spans="1:222" x14ac:dyDescent="0.3">
      <c r="A133" s="6" t="s">
        <v>280</v>
      </c>
      <c r="B133" s="6" t="s">
        <v>283</v>
      </c>
      <c r="C133" s="7" t="s">
        <v>257</v>
      </c>
      <c r="D133" s="7">
        <v>2026</v>
      </c>
      <c r="E133" s="7">
        <v>2</v>
      </c>
      <c r="F133" s="7" t="s">
        <v>272</v>
      </c>
      <c r="G133" s="7" t="s">
        <v>271</v>
      </c>
      <c r="H133" s="8">
        <v>780</v>
      </c>
      <c r="I133" s="8">
        <v>0</v>
      </c>
      <c r="J133" s="8">
        <v>0</v>
      </c>
      <c r="K133" s="8">
        <v>0</v>
      </c>
      <c r="L133" s="8">
        <v>0</v>
      </c>
      <c r="M133" s="9">
        <f t="shared" ref="M133:M143" si="668">SUM(I133,J133,K133,L133)</f>
        <v>0</v>
      </c>
      <c r="N133" s="8">
        <v>599</v>
      </c>
      <c r="O133" s="8">
        <v>0</v>
      </c>
      <c r="P133" s="8">
        <v>0</v>
      </c>
      <c r="Q133" s="8">
        <v>0</v>
      </c>
      <c r="R133" s="9">
        <f t="shared" ref="R133:R143" si="669">SUM(N133,O133,P133,Q133)</f>
        <v>599</v>
      </c>
      <c r="S133" s="9">
        <f t="shared" ref="S133:S143" si="670">M133+R133</f>
        <v>599</v>
      </c>
      <c r="T133" s="8">
        <v>181</v>
      </c>
      <c r="U133" s="10">
        <f t="shared" ref="U133:U143" si="671">IF(H133=0,"",T133/H133)</f>
        <v>0.23205128205128206</v>
      </c>
      <c r="V133" s="8">
        <v>1</v>
      </c>
      <c r="W133" s="11">
        <f t="shared" ref="W133:W143" si="672">IF(H133=0,"",V133/H133)</f>
        <v>1.2820512820512821E-3</v>
      </c>
      <c r="X133" s="8">
        <v>0</v>
      </c>
      <c r="Y133" s="11">
        <f t="shared" ref="Y133:Y143" si="673">IF(H133=0,"",X133/H133)</f>
        <v>0</v>
      </c>
      <c r="Z133" s="8">
        <v>0</v>
      </c>
      <c r="AA133" s="11">
        <f t="shared" ref="AA133:AA143" si="674">IF(H133=0,"",Z133/H133)</f>
        <v>0</v>
      </c>
      <c r="AB133" s="8">
        <v>0</v>
      </c>
      <c r="AC133" s="11">
        <f t="shared" ref="AC133:AC143" si="675">IF(H133=0,"",AB133/H133)</f>
        <v>0</v>
      </c>
      <c r="AD133" s="8">
        <v>0</v>
      </c>
      <c r="AE133" s="11">
        <f t="shared" ref="AE133:AE143" si="676">IF(H133=0,"",AD133/H133)</f>
        <v>0</v>
      </c>
      <c r="AF133" s="8">
        <v>0</v>
      </c>
      <c r="AG133" s="11">
        <f t="shared" ref="AG133:AG143" si="677">IF(H133=0,"",AF133/H133)</f>
        <v>0</v>
      </c>
      <c r="AH133" s="8">
        <v>5111.67</v>
      </c>
      <c r="AI133" s="9">
        <f t="shared" ref="AI133:AI143" si="678">IF(H133=0,"",AH133/H133)</f>
        <v>6.5534230769230772</v>
      </c>
      <c r="AJ133" s="8">
        <v>1150</v>
      </c>
      <c r="AK133" s="11">
        <f t="shared" ref="AK133:AK143" si="679">IF(H133=0,"",AJ133/H133)</f>
        <v>1.4743589743589745</v>
      </c>
      <c r="AL133" s="8">
        <v>175990.72500000001</v>
      </c>
      <c r="AM133" s="9">
        <f t="shared" ref="AM133:AM143" si="680">IF(H133=0,"",AL133/H133)</f>
        <v>225.62913461538463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9">
        <f t="shared" ref="AU133:AU143" si="681">AH133+AL133+AP133+AQ133+AR133+AS133+AT133</f>
        <v>181102.39500000002</v>
      </c>
      <c r="AV133" s="9">
        <f t="shared" ref="AV133:AV143" si="682">IF(H133=0,"",AU133/H133)</f>
        <v>232.18255769230771</v>
      </c>
      <c r="AW133" s="9">
        <f t="shared" ref="AW133:AW143" si="683">IF(S133=0,"",AU133/S133)</f>
        <v>302.34122704507513</v>
      </c>
      <c r="AX133" s="8">
        <v>0</v>
      </c>
      <c r="AY133" s="9">
        <f t="shared" ref="AY133:AY143" si="684">IF(H133=0,"",AX133/(H133/1000/12))</f>
        <v>0</v>
      </c>
      <c r="AZ133" s="8">
        <v>2</v>
      </c>
      <c r="BA133" s="8">
        <v>0</v>
      </c>
      <c r="BB133" s="8">
        <v>0</v>
      </c>
      <c r="BC133" s="8">
        <v>0</v>
      </c>
      <c r="BD133" s="8">
        <v>0</v>
      </c>
      <c r="BE133" s="9">
        <f t="shared" ref="BE133:BE143" si="685">BC133+BD133</f>
        <v>0</v>
      </c>
      <c r="BF133" s="9">
        <f t="shared" ref="BF133:BF143" si="686">BA133+BB133-BE133</f>
        <v>0</v>
      </c>
      <c r="BG133" s="8">
        <v>0</v>
      </c>
      <c r="BH133" s="8">
        <v>0</v>
      </c>
      <c r="BI133" s="8">
        <v>0</v>
      </c>
      <c r="BJ133" s="8">
        <v>0</v>
      </c>
      <c r="BK133" s="9">
        <f t="shared" ref="BK133:BK143" si="687">BI133+BJ133</f>
        <v>0</v>
      </c>
      <c r="BL133" s="9">
        <f t="shared" ref="BL133:BL143" si="688">BG133+BH133-BK133</f>
        <v>0</v>
      </c>
      <c r="BM133" s="8">
        <v>0</v>
      </c>
      <c r="BN133" s="8">
        <v>0</v>
      </c>
      <c r="BO133" s="8">
        <v>0</v>
      </c>
      <c r="BP133" s="8">
        <v>0</v>
      </c>
      <c r="BQ133" s="9">
        <f t="shared" ref="BQ133:BQ143" si="689">BO133+BP133</f>
        <v>0</v>
      </c>
      <c r="BR133" s="9">
        <f t="shared" ref="BR133:BR143" si="690">BM133+BN133-BQ133</f>
        <v>0</v>
      </c>
      <c r="BS133" s="8">
        <v>0</v>
      </c>
      <c r="BT133" s="8">
        <v>0</v>
      </c>
      <c r="BU133" s="8">
        <v>0</v>
      </c>
      <c r="BV133" s="8">
        <v>0</v>
      </c>
      <c r="BW133" s="9">
        <f t="shared" ref="BW133:BW143" si="691">BU133+BV133</f>
        <v>0</v>
      </c>
      <c r="BX133" s="9">
        <f t="shared" ref="BX133:BX143" si="692">BS133+BT133-BW133</f>
        <v>0</v>
      </c>
      <c r="BY133" s="9">
        <f t="shared" ref="BY133:BY143" si="693">BA133+BG133+BM133+BS133</f>
        <v>0</v>
      </c>
      <c r="BZ133" s="9">
        <f t="shared" ref="BZ133:BZ143" si="694">BB133+BH133+BN133+BT133</f>
        <v>0</v>
      </c>
      <c r="CA133" s="9">
        <f t="shared" ref="CA133:CA143" si="695">BE133+BK133+BQ133+BW133</f>
        <v>0</v>
      </c>
      <c r="CB133" s="9">
        <f t="shared" ref="CB133:CB143" si="696">BF133+BL133+BR133+BX133</f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9">
        <f t="shared" ref="CH133:CH143" si="697">CD133+CE133+CF133+CG133</f>
        <v>0</v>
      </c>
      <c r="CI133" s="8">
        <v>0</v>
      </c>
      <c r="CJ133" s="8">
        <v>0</v>
      </c>
      <c r="CK133" s="8">
        <v>0</v>
      </c>
      <c r="CL133" s="8">
        <v>0</v>
      </c>
      <c r="CM133" s="9">
        <f t="shared" ref="CM133:CM143" si="698">CI133+CJ133+CK133+CL133</f>
        <v>0</v>
      </c>
      <c r="CN133" s="8">
        <v>75</v>
      </c>
      <c r="CO133" s="8">
        <v>1</v>
      </c>
      <c r="CP133" s="8">
        <v>0</v>
      </c>
      <c r="CQ133" s="8">
        <v>0</v>
      </c>
      <c r="CR133" s="9">
        <f t="shared" ref="CR133:CR143" si="699">CN133+CO133+CP133+CQ133</f>
        <v>76</v>
      </c>
      <c r="CS133" s="9">
        <f t="shared" ref="CS133:CS143" si="700">CM133+CR133</f>
        <v>76</v>
      </c>
      <c r="CT133" s="8">
        <v>76</v>
      </c>
      <c r="CU133" s="8">
        <v>553</v>
      </c>
      <c r="CV133" s="8">
        <v>553</v>
      </c>
      <c r="CW133" s="10">
        <f t="shared" ref="CW133:CW143" si="701">IF(CU133=0,"",CV133/CU133)</f>
        <v>1</v>
      </c>
      <c r="CX133" s="8"/>
      <c r="CY133" s="8"/>
      <c r="CZ133" s="8"/>
      <c r="DA133" s="8"/>
      <c r="DB133" s="9">
        <f t="shared" ref="DB133:DB143" si="702">CX133+CY133-CZ133-DA133</f>
        <v>0</v>
      </c>
      <c r="DC133" s="8">
        <v>0</v>
      </c>
      <c r="DD133" s="8">
        <v>0</v>
      </c>
      <c r="DE133" s="8">
        <v>0</v>
      </c>
      <c r="DF133" s="8">
        <v>0</v>
      </c>
      <c r="DG133" s="9">
        <f t="shared" ref="DG133:DG143" si="703">DC133+DD133-DE133-DF133</f>
        <v>0</v>
      </c>
      <c r="DH133" s="8">
        <v>0</v>
      </c>
      <c r="DI133" s="8">
        <v>0</v>
      </c>
      <c r="DJ133" s="8">
        <v>0</v>
      </c>
      <c r="DK133" s="8">
        <v>0</v>
      </c>
      <c r="DL133" s="9">
        <f t="shared" ref="DL133:DL143" si="704">DH133+DI133-DJ133-DK133</f>
        <v>0</v>
      </c>
      <c r="DM133" s="8">
        <v>0</v>
      </c>
      <c r="DN133" s="8">
        <v>0</v>
      </c>
      <c r="DO133" s="8">
        <v>0</v>
      </c>
      <c r="DP133" s="8">
        <v>0</v>
      </c>
      <c r="DQ133" s="9">
        <f t="shared" ref="DQ133:DQ143" si="705">DM133+DN133-DO133-DP133</f>
        <v>0</v>
      </c>
      <c r="DR133" s="9">
        <f t="shared" ref="DR133:DR143" si="706">CX133+DC133+DH133+DM133</f>
        <v>0</v>
      </c>
      <c r="DS133" s="9">
        <f t="shared" ref="DS133:DS143" si="707">CY133+DD133+DI133+DN133</f>
        <v>0</v>
      </c>
      <c r="DT133" s="9">
        <f t="shared" ref="DT133:DT143" si="708">CZ133+DE133+DJ133+DO133</f>
        <v>0</v>
      </c>
      <c r="DU133" s="9">
        <f t="shared" ref="DU133:DU143" si="709">DA133+DF133+DK133+DP133</f>
        <v>0</v>
      </c>
      <c r="DV133" s="9">
        <f t="shared" ref="DV133:DV143" si="710">DB133+DG133+DL133+DQ133</f>
        <v>0</v>
      </c>
      <c r="DW133" s="8">
        <v>1</v>
      </c>
      <c r="DX133" s="8">
        <v>0</v>
      </c>
      <c r="DY133" s="8">
        <v>0</v>
      </c>
      <c r="DZ133" s="8">
        <v>0</v>
      </c>
      <c r="EA133" s="8">
        <v>0</v>
      </c>
      <c r="EB133" s="8">
        <v>0</v>
      </c>
      <c r="EC133" s="8">
        <v>0</v>
      </c>
      <c r="ED133" s="8">
        <v>0</v>
      </c>
      <c r="EE133" s="8">
        <v>0</v>
      </c>
      <c r="EF133" s="8">
        <v>0</v>
      </c>
      <c r="EG133" s="8">
        <v>0</v>
      </c>
      <c r="EH133" s="8">
        <v>0</v>
      </c>
      <c r="EI133" s="8">
        <v>0</v>
      </c>
      <c r="EJ133" s="8">
        <v>0</v>
      </c>
      <c r="EK133" s="8">
        <v>0</v>
      </c>
      <c r="EL133" s="8">
        <v>0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8">
        <v>0</v>
      </c>
      <c r="ES133" s="8">
        <v>0</v>
      </c>
      <c r="ET133" s="8">
        <v>0</v>
      </c>
      <c r="EU133" s="8">
        <v>0</v>
      </c>
      <c r="EV133" s="8">
        <v>0</v>
      </c>
      <c r="EW133" s="8">
        <v>0</v>
      </c>
      <c r="EX133" s="8">
        <v>0</v>
      </c>
      <c r="EY133" s="8">
        <v>0</v>
      </c>
      <c r="EZ133" s="8">
        <v>0</v>
      </c>
      <c r="FA133" s="8">
        <v>0</v>
      </c>
      <c r="FB133" s="8">
        <v>0</v>
      </c>
      <c r="FC133" s="8">
        <v>0</v>
      </c>
      <c r="FD133" s="8">
        <v>0</v>
      </c>
      <c r="FE133" s="8">
        <v>0</v>
      </c>
      <c r="FF133" s="8">
        <v>0</v>
      </c>
      <c r="FG133" s="9">
        <f t="shared" ref="FG133:FG143" si="711">SUM(DW133,DX133,DY133,DZ133,EA133,EB133,EC133,ED133,EE133,EF133,EG133,EH133,EI133,EJ133,EK133,EL133,EM133,EN133,EO133,EP133,EQ133,ER133,ES133,ET133,EU133,EV133,EW133,EX133,EY133,EZ133,FA133,FB133,FC133,FD133,FE133,FF133)</f>
        <v>1</v>
      </c>
      <c r="FH133" s="8">
        <v>0</v>
      </c>
      <c r="FI133" s="8">
        <v>0</v>
      </c>
      <c r="FJ133" s="8">
        <v>24</v>
      </c>
      <c r="FK133" s="8">
        <v>48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9">
        <f t="shared" ref="FQ133:FQ143" si="712">FL133+FM133+FN133+FO133+FP133</f>
        <v>0</v>
      </c>
      <c r="FR133" s="8">
        <v>0</v>
      </c>
      <c r="FS133" s="8">
        <v>0</v>
      </c>
      <c r="FT133" s="8">
        <v>0</v>
      </c>
      <c r="FU133" s="8">
        <v>0</v>
      </c>
      <c r="FV133" s="9">
        <f t="shared" ref="FV133:FV143" si="713">FR133+FS133+FT133+FU133</f>
        <v>0</v>
      </c>
      <c r="FW133" s="8">
        <v>755400</v>
      </c>
      <c r="FX133" s="8">
        <v>0</v>
      </c>
      <c r="FY133" s="8">
        <v>0</v>
      </c>
      <c r="FZ133" s="8">
        <v>0</v>
      </c>
      <c r="GA133" s="9">
        <f t="shared" ref="GA133:GA143" si="714">FW133+FX133+FY133+FZ133</f>
        <v>755400</v>
      </c>
      <c r="GB133" s="9">
        <f t="shared" ref="GB133:GB143" si="715">FV133+GA133</f>
        <v>755400</v>
      </c>
      <c r="GC133" s="8">
        <v>0</v>
      </c>
      <c r="GD133" s="8">
        <v>0</v>
      </c>
      <c r="GE133" s="8">
        <v>0</v>
      </c>
      <c r="GF133" s="8">
        <v>0</v>
      </c>
      <c r="GG133" s="9">
        <f t="shared" ref="GG133:GG143" si="716">GC133+GD133+GE133+GF133</f>
        <v>0</v>
      </c>
      <c r="GH133" s="8">
        <v>0</v>
      </c>
      <c r="GI133" s="8">
        <v>0</v>
      </c>
      <c r="GJ133" s="8">
        <v>0</v>
      </c>
      <c r="GK133" s="8">
        <v>0</v>
      </c>
      <c r="GL133" s="9">
        <f t="shared" ref="GL133:GL143" si="717">GH133+GI133+GJ133+GK133</f>
        <v>0</v>
      </c>
      <c r="GM133" s="9">
        <f t="shared" ref="GM133:GM143" si="718">GG133+GL133</f>
        <v>0</v>
      </c>
      <c r="GN133" s="8">
        <v>0</v>
      </c>
      <c r="GO133" s="8">
        <v>0</v>
      </c>
      <c r="GP133" s="8">
        <v>0</v>
      </c>
      <c r="GQ133" s="8">
        <v>0</v>
      </c>
      <c r="GR133" s="9">
        <f t="shared" ref="GR133:GR143" si="719">GN133+GO133+GP133+GQ133</f>
        <v>0</v>
      </c>
      <c r="GS133" s="8">
        <v>0</v>
      </c>
      <c r="GT133" s="8">
        <v>0</v>
      </c>
      <c r="GU133" s="8">
        <v>0</v>
      </c>
      <c r="GV133" s="8">
        <v>0</v>
      </c>
      <c r="GW133" s="9">
        <f t="shared" ref="GW133:GW143" si="720">GS133+GT133+GU133+GV133</f>
        <v>0</v>
      </c>
      <c r="GX133" s="9">
        <f t="shared" ref="GX133:GX143" si="721">GM133+GR133+GW133</f>
        <v>0</v>
      </c>
      <c r="GY133" s="8">
        <v>0</v>
      </c>
      <c r="GZ133" s="8">
        <v>0</v>
      </c>
      <c r="HA133" s="9">
        <f t="shared" ref="HA133:HA143" si="722">GY133+GZ133</f>
        <v>0</v>
      </c>
      <c r="HB133" s="9" t="str">
        <f t="shared" ref="HB133:HB143" si="723">IF(GX133=0,"",AU133/GX133)</f>
        <v/>
      </c>
      <c r="HC133" s="10" t="str">
        <f t="shared" ref="HC133:HC143" si="724">IF((GX133+GY133)=0,"",GB133/(GX133+GY133))</f>
        <v/>
      </c>
      <c r="HD133" s="9" t="str">
        <f t="shared" ref="HD133:HD143" si="725">IF(GX133=0,"",GB133/GX133)</f>
        <v/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9">
        <f t="shared" ref="HJ133:HJ143" si="726">HF133+HI133</f>
        <v>0</v>
      </c>
      <c r="HK133" s="10" t="str">
        <f t="shared" ref="HK133:HK143" si="727">IF(HE133=0,"",HH133/HE133)</f>
        <v/>
      </c>
      <c r="HL133" s="8">
        <v>15</v>
      </c>
      <c r="HM133" s="8">
        <v>3</v>
      </c>
      <c r="HN133" s="11">
        <f t="shared" ref="HN133:HN143" si="728">IF(HL133=0,"",HM133/HL133)</f>
        <v>0.2</v>
      </c>
    </row>
    <row r="134" spans="1:222" x14ac:dyDescent="0.3">
      <c r="A134" s="12" t="s">
        <v>280</v>
      </c>
      <c r="B134" s="12" t="s">
        <v>283</v>
      </c>
      <c r="C134" s="13" t="s">
        <v>257</v>
      </c>
      <c r="D134" s="13">
        <v>2026</v>
      </c>
      <c r="E134" s="13">
        <v>3</v>
      </c>
      <c r="F134" s="13" t="s">
        <v>273</v>
      </c>
      <c r="G134" s="13" t="s">
        <v>271</v>
      </c>
      <c r="H134" s="14">
        <v>750</v>
      </c>
      <c r="I134" s="14">
        <v>0</v>
      </c>
      <c r="J134" s="14">
        <v>0</v>
      </c>
      <c r="K134" s="14">
        <v>0</v>
      </c>
      <c r="L134" s="14">
        <v>0</v>
      </c>
      <c r="M134" s="15">
        <f t="shared" si="668"/>
        <v>0</v>
      </c>
      <c r="N134" s="14">
        <v>620</v>
      </c>
      <c r="O134" s="14">
        <v>0</v>
      </c>
      <c r="P134" s="14">
        <v>0</v>
      </c>
      <c r="Q134" s="14">
        <v>0</v>
      </c>
      <c r="R134" s="15">
        <f t="shared" si="669"/>
        <v>620</v>
      </c>
      <c r="S134" s="15">
        <f t="shared" si="670"/>
        <v>620</v>
      </c>
      <c r="T134" s="14">
        <v>130</v>
      </c>
      <c r="U134" s="16">
        <f t="shared" si="671"/>
        <v>0.17333333333333334</v>
      </c>
      <c r="V134" s="14">
        <v>1</v>
      </c>
      <c r="W134" s="17">
        <f t="shared" si="672"/>
        <v>1.3333333333333333E-3</v>
      </c>
      <c r="X134" s="14">
        <v>0</v>
      </c>
      <c r="Y134" s="17">
        <f t="shared" si="673"/>
        <v>0</v>
      </c>
      <c r="Z134" s="14">
        <v>0</v>
      </c>
      <c r="AA134" s="17">
        <f t="shared" si="674"/>
        <v>0</v>
      </c>
      <c r="AB134" s="14">
        <v>0</v>
      </c>
      <c r="AC134" s="17">
        <f t="shared" si="675"/>
        <v>0</v>
      </c>
      <c r="AD134" s="14">
        <v>0</v>
      </c>
      <c r="AE134" s="17">
        <f t="shared" si="676"/>
        <v>0</v>
      </c>
      <c r="AF134" s="14">
        <v>0</v>
      </c>
      <c r="AG134" s="17">
        <f t="shared" si="677"/>
        <v>0</v>
      </c>
      <c r="AH134" s="14">
        <v>5111.67</v>
      </c>
      <c r="AI134" s="15">
        <f t="shared" si="678"/>
        <v>6.8155600000000005</v>
      </c>
      <c r="AJ134" s="14">
        <v>1200</v>
      </c>
      <c r="AK134" s="17">
        <f t="shared" si="679"/>
        <v>1.6</v>
      </c>
      <c r="AL134" s="14">
        <v>16426.5</v>
      </c>
      <c r="AM134" s="15">
        <f t="shared" si="680"/>
        <v>21.902000000000001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5">
        <f t="shared" si="681"/>
        <v>21538.17</v>
      </c>
      <c r="AV134" s="15">
        <f t="shared" si="682"/>
        <v>28.717559999999999</v>
      </c>
      <c r="AW134" s="15">
        <f t="shared" si="683"/>
        <v>34.738983870967736</v>
      </c>
      <c r="AX134" s="14">
        <v>0</v>
      </c>
      <c r="AY134" s="15">
        <f t="shared" si="684"/>
        <v>0</v>
      </c>
      <c r="AZ134" s="14">
        <v>2</v>
      </c>
      <c r="BA134" s="14">
        <v>0</v>
      </c>
      <c r="BB134" s="14">
        <v>0</v>
      </c>
      <c r="BC134" s="14">
        <v>0</v>
      </c>
      <c r="BD134" s="14">
        <v>0</v>
      </c>
      <c r="BE134" s="15">
        <f t="shared" si="685"/>
        <v>0</v>
      </c>
      <c r="BF134" s="15">
        <f t="shared" si="686"/>
        <v>0</v>
      </c>
      <c r="BG134" s="14">
        <v>0</v>
      </c>
      <c r="BH134" s="14">
        <v>0</v>
      </c>
      <c r="BI134" s="14">
        <v>0</v>
      </c>
      <c r="BJ134" s="14">
        <v>0</v>
      </c>
      <c r="BK134" s="15">
        <f t="shared" si="687"/>
        <v>0</v>
      </c>
      <c r="BL134" s="15">
        <f t="shared" si="688"/>
        <v>0</v>
      </c>
      <c r="BM134" s="14">
        <v>0</v>
      </c>
      <c r="BN134" s="14">
        <v>0</v>
      </c>
      <c r="BO134" s="14">
        <v>0</v>
      </c>
      <c r="BP134" s="14">
        <v>0</v>
      </c>
      <c r="BQ134" s="15">
        <f t="shared" si="689"/>
        <v>0</v>
      </c>
      <c r="BR134" s="15">
        <f t="shared" si="690"/>
        <v>0</v>
      </c>
      <c r="BS134" s="14">
        <v>0</v>
      </c>
      <c r="BT134" s="14">
        <v>0</v>
      </c>
      <c r="BU134" s="14">
        <v>0</v>
      </c>
      <c r="BV134" s="14">
        <v>0</v>
      </c>
      <c r="BW134" s="15">
        <f t="shared" si="691"/>
        <v>0</v>
      </c>
      <c r="BX134" s="15">
        <f t="shared" si="692"/>
        <v>0</v>
      </c>
      <c r="BY134" s="15">
        <f t="shared" si="693"/>
        <v>0</v>
      </c>
      <c r="BZ134" s="15">
        <f t="shared" si="694"/>
        <v>0</v>
      </c>
      <c r="CA134" s="15">
        <f t="shared" si="695"/>
        <v>0</v>
      </c>
      <c r="CB134" s="15">
        <f t="shared" si="696"/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5">
        <f t="shared" si="697"/>
        <v>0</v>
      </c>
      <c r="CI134" s="14">
        <v>0</v>
      </c>
      <c r="CJ134" s="14">
        <v>0</v>
      </c>
      <c r="CK134" s="14">
        <v>0</v>
      </c>
      <c r="CL134" s="14">
        <v>0</v>
      </c>
      <c r="CM134" s="15">
        <f t="shared" si="698"/>
        <v>0</v>
      </c>
      <c r="CN134" s="14">
        <v>75</v>
      </c>
      <c r="CO134" s="14">
        <v>1</v>
      </c>
      <c r="CP134" s="14">
        <v>0</v>
      </c>
      <c r="CQ134" s="14">
        <v>0</v>
      </c>
      <c r="CR134" s="15">
        <f t="shared" si="699"/>
        <v>76</v>
      </c>
      <c r="CS134" s="15">
        <f t="shared" si="700"/>
        <v>76</v>
      </c>
      <c r="CT134" s="14">
        <v>76</v>
      </c>
      <c r="CU134" s="14">
        <v>553</v>
      </c>
      <c r="CV134" s="14">
        <v>553</v>
      </c>
      <c r="CW134" s="16">
        <f t="shared" si="701"/>
        <v>1</v>
      </c>
      <c r="CX134" s="14"/>
      <c r="CY134" s="14"/>
      <c r="CZ134" s="14"/>
      <c r="DA134" s="14"/>
      <c r="DB134" s="15">
        <f t="shared" si="702"/>
        <v>0</v>
      </c>
      <c r="DC134" s="14">
        <v>0</v>
      </c>
      <c r="DD134" s="14">
        <v>0</v>
      </c>
      <c r="DE134" s="14">
        <v>0</v>
      </c>
      <c r="DF134" s="14">
        <v>0</v>
      </c>
      <c r="DG134" s="15">
        <f t="shared" si="703"/>
        <v>0</v>
      </c>
      <c r="DH134" s="14">
        <v>0</v>
      </c>
      <c r="DI134" s="14">
        <v>0</v>
      </c>
      <c r="DJ134" s="14">
        <v>0</v>
      </c>
      <c r="DK134" s="14">
        <v>0</v>
      </c>
      <c r="DL134" s="15">
        <f t="shared" si="704"/>
        <v>0</v>
      </c>
      <c r="DM134" s="14">
        <v>0</v>
      </c>
      <c r="DN134" s="14">
        <v>0</v>
      </c>
      <c r="DO134" s="14">
        <v>0</v>
      </c>
      <c r="DP134" s="14">
        <v>0</v>
      </c>
      <c r="DQ134" s="15">
        <f t="shared" si="705"/>
        <v>0</v>
      </c>
      <c r="DR134" s="15">
        <f t="shared" si="706"/>
        <v>0</v>
      </c>
      <c r="DS134" s="15">
        <f t="shared" si="707"/>
        <v>0</v>
      </c>
      <c r="DT134" s="15">
        <f t="shared" si="708"/>
        <v>0</v>
      </c>
      <c r="DU134" s="15">
        <f t="shared" si="709"/>
        <v>0</v>
      </c>
      <c r="DV134" s="15">
        <f t="shared" si="710"/>
        <v>0</v>
      </c>
      <c r="DW134" s="14">
        <v>1</v>
      </c>
      <c r="DX134" s="14">
        <v>0</v>
      </c>
      <c r="DY134" s="14">
        <v>0</v>
      </c>
      <c r="DZ134" s="14">
        <v>0</v>
      </c>
      <c r="EA134" s="14">
        <v>0</v>
      </c>
      <c r="EB134" s="14">
        <v>0</v>
      </c>
      <c r="EC134" s="14">
        <v>0</v>
      </c>
      <c r="ED134" s="14">
        <v>0</v>
      </c>
      <c r="EE134" s="14">
        <v>0</v>
      </c>
      <c r="EF134" s="14">
        <v>0</v>
      </c>
      <c r="EG134" s="14">
        <v>0</v>
      </c>
      <c r="EH134" s="14">
        <v>0</v>
      </c>
      <c r="EI134" s="14">
        <v>0</v>
      </c>
      <c r="EJ134" s="14">
        <v>0</v>
      </c>
      <c r="EK134" s="14">
        <v>0</v>
      </c>
      <c r="EL134" s="14">
        <v>0</v>
      </c>
      <c r="EM134" s="14">
        <v>0</v>
      </c>
      <c r="EN134" s="14">
        <v>0</v>
      </c>
      <c r="EO134" s="14">
        <v>0</v>
      </c>
      <c r="EP134" s="14">
        <v>0</v>
      </c>
      <c r="EQ134" s="14">
        <v>0</v>
      </c>
      <c r="ER134" s="14">
        <v>0</v>
      </c>
      <c r="ES134" s="14">
        <v>0</v>
      </c>
      <c r="ET134" s="14">
        <v>0</v>
      </c>
      <c r="EU134" s="14">
        <v>0</v>
      </c>
      <c r="EV134" s="14">
        <v>0</v>
      </c>
      <c r="EW134" s="14">
        <v>0</v>
      </c>
      <c r="EX134" s="14">
        <v>0</v>
      </c>
      <c r="EY134" s="14">
        <v>0</v>
      </c>
      <c r="EZ134" s="14">
        <v>0</v>
      </c>
      <c r="FA134" s="14">
        <v>0</v>
      </c>
      <c r="FB134" s="14">
        <v>0</v>
      </c>
      <c r="FC134" s="14">
        <v>0</v>
      </c>
      <c r="FD134" s="14">
        <v>0</v>
      </c>
      <c r="FE134" s="14">
        <v>0</v>
      </c>
      <c r="FF134" s="14">
        <v>0</v>
      </c>
      <c r="FG134" s="15">
        <f t="shared" si="711"/>
        <v>1</v>
      </c>
      <c r="FH134" s="14">
        <v>0</v>
      </c>
      <c r="FI134" s="14">
        <v>0</v>
      </c>
      <c r="FJ134" s="14">
        <v>24</v>
      </c>
      <c r="FK134" s="14">
        <v>62</v>
      </c>
      <c r="FL134" s="14">
        <v>0</v>
      </c>
      <c r="FM134" s="14">
        <v>0</v>
      </c>
      <c r="FN134" s="14">
        <v>0</v>
      </c>
      <c r="FO134" s="14">
        <v>0</v>
      </c>
      <c r="FP134" s="14">
        <v>0</v>
      </c>
      <c r="FQ134" s="15">
        <f t="shared" si="712"/>
        <v>0</v>
      </c>
      <c r="FR134" s="14">
        <v>0</v>
      </c>
      <c r="FS134" s="14">
        <v>0</v>
      </c>
      <c r="FT134" s="14">
        <v>0</v>
      </c>
      <c r="FU134" s="14">
        <v>0</v>
      </c>
      <c r="FV134" s="15">
        <f t="shared" si="713"/>
        <v>0</v>
      </c>
      <c r="FW134" s="14">
        <v>655400</v>
      </c>
      <c r="FX134" s="14">
        <v>0</v>
      </c>
      <c r="FY134" s="14">
        <v>0</v>
      </c>
      <c r="FZ134" s="14">
        <v>0</v>
      </c>
      <c r="GA134" s="15">
        <f t="shared" si="714"/>
        <v>655400</v>
      </c>
      <c r="GB134" s="15">
        <f t="shared" si="715"/>
        <v>655400</v>
      </c>
      <c r="GC134" s="14">
        <v>0</v>
      </c>
      <c r="GD134" s="14">
        <v>0</v>
      </c>
      <c r="GE134" s="14">
        <v>0</v>
      </c>
      <c r="GF134" s="14">
        <v>0</v>
      </c>
      <c r="GG134" s="15">
        <f t="shared" si="716"/>
        <v>0</v>
      </c>
      <c r="GH134" s="14">
        <v>0</v>
      </c>
      <c r="GI134" s="14">
        <v>0</v>
      </c>
      <c r="GJ134" s="14">
        <v>0</v>
      </c>
      <c r="GK134" s="14">
        <v>0</v>
      </c>
      <c r="GL134" s="15">
        <f t="shared" si="717"/>
        <v>0</v>
      </c>
      <c r="GM134" s="15">
        <f t="shared" si="718"/>
        <v>0</v>
      </c>
      <c r="GN134" s="14">
        <v>0</v>
      </c>
      <c r="GO134" s="14">
        <v>0</v>
      </c>
      <c r="GP134" s="14">
        <v>0</v>
      </c>
      <c r="GQ134" s="14">
        <v>0</v>
      </c>
      <c r="GR134" s="15">
        <f t="shared" si="719"/>
        <v>0</v>
      </c>
      <c r="GS134" s="14">
        <v>0</v>
      </c>
      <c r="GT134" s="14">
        <v>0</v>
      </c>
      <c r="GU134" s="14">
        <v>0</v>
      </c>
      <c r="GV134" s="14">
        <v>0</v>
      </c>
      <c r="GW134" s="15">
        <f t="shared" si="720"/>
        <v>0</v>
      </c>
      <c r="GX134" s="15">
        <f t="shared" si="721"/>
        <v>0</v>
      </c>
      <c r="GY134" s="14">
        <v>0</v>
      </c>
      <c r="GZ134" s="14">
        <v>0</v>
      </c>
      <c r="HA134" s="15">
        <f t="shared" si="722"/>
        <v>0</v>
      </c>
      <c r="HB134" s="15" t="str">
        <f t="shared" si="723"/>
        <v/>
      </c>
      <c r="HC134" s="16" t="str">
        <f t="shared" si="724"/>
        <v/>
      </c>
      <c r="HD134" s="15" t="str">
        <f t="shared" si="725"/>
        <v/>
      </c>
      <c r="HE134" s="14"/>
      <c r="HF134" s="14">
        <v>0</v>
      </c>
      <c r="HG134" s="14">
        <v>0</v>
      </c>
      <c r="HH134" s="14">
        <v>0</v>
      </c>
      <c r="HI134" s="14">
        <v>0</v>
      </c>
      <c r="HJ134" s="15">
        <f t="shared" si="726"/>
        <v>0</v>
      </c>
      <c r="HK134" s="16" t="str">
        <f t="shared" si="727"/>
        <v/>
      </c>
      <c r="HL134" s="14"/>
      <c r="HM134" s="14">
        <v>0</v>
      </c>
      <c r="HN134" s="17" t="str">
        <f t="shared" si="728"/>
        <v/>
      </c>
    </row>
    <row r="135" spans="1:222" x14ac:dyDescent="0.3">
      <c r="A135" s="6" t="s">
        <v>280</v>
      </c>
      <c r="B135" s="6" t="s">
        <v>284</v>
      </c>
      <c r="C135" s="7" t="s">
        <v>257</v>
      </c>
      <c r="D135" s="7">
        <v>2025</v>
      </c>
      <c r="E135" s="7">
        <v>4</v>
      </c>
      <c r="F135" s="7" t="s">
        <v>258</v>
      </c>
      <c r="G135" s="7" t="s">
        <v>259</v>
      </c>
      <c r="H135" s="8">
        <v>744</v>
      </c>
      <c r="I135" s="8">
        <v>0</v>
      </c>
      <c r="J135" s="8">
        <v>0</v>
      </c>
      <c r="K135" s="8">
        <v>0</v>
      </c>
      <c r="L135" s="8">
        <v>0</v>
      </c>
      <c r="M135" s="9">
        <f t="shared" si="668"/>
        <v>0</v>
      </c>
      <c r="N135" s="8">
        <v>283</v>
      </c>
      <c r="O135" s="8">
        <v>0</v>
      </c>
      <c r="P135" s="8">
        <v>329</v>
      </c>
      <c r="Q135" s="8">
        <v>0</v>
      </c>
      <c r="R135" s="9">
        <f t="shared" si="669"/>
        <v>612</v>
      </c>
      <c r="S135" s="9">
        <f t="shared" si="670"/>
        <v>612</v>
      </c>
      <c r="T135" s="8">
        <v>132</v>
      </c>
      <c r="U135" s="10">
        <f t="shared" si="671"/>
        <v>0.17741935483870969</v>
      </c>
      <c r="V135" s="8">
        <v>4</v>
      </c>
      <c r="W135" s="11">
        <f t="shared" si="672"/>
        <v>5.3763440860215058E-3</v>
      </c>
      <c r="X135" s="8">
        <v>0</v>
      </c>
      <c r="Y135" s="11">
        <f t="shared" si="673"/>
        <v>0</v>
      </c>
      <c r="Z135" s="8">
        <v>0</v>
      </c>
      <c r="AA135" s="11">
        <f t="shared" si="674"/>
        <v>0</v>
      </c>
      <c r="AB135" s="8">
        <v>0</v>
      </c>
      <c r="AC135" s="11">
        <f t="shared" si="675"/>
        <v>0</v>
      </c>
      <c r="AD135" s="8">
        <v>0</v>
      </c>
      <c r="AE135" s="11">
        <f t="shared" si="676"/>
        <v>0</v>
      </c>
      <c r="AF135" s="8">
        <v>0</v>
      </c>
      <c r="AG135" s="11">
        <f t="shared" si="677"/>
        <v>0</v>
      </c>
      <c r="AH135" s="8">
        <v>20446.68</v>
      </c>
      <c r="AI135" s="9">
        <f t="shared" si="678"/>
        <v>27.48209677419355</v>
      </c>
      <c r="AJ135" s="8">
        <v>1770</v>
      </c>
      <c r="AK135" s="11">
        <f t="shared" si="679"/>
        <v>2.379032258064516</v>
      </c>
      <c r="AL135" s="8">
        <v>262016.655</v>
      </c>
      <c r="AM135" s="9">
        <f t="shared" si="680"/>
        <v>352.17292338709677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214615.48</v>
      </c>
      <c r="AT135" s="8">
        <v>0</v>
      </c>
      <c r="AU135" s="9">
        <f t="shared" si="681"/>
        <v>497078.81500000006</v>
      </c>
      <c r="AV135" s="9">
        <f t="shared" si="682"/>
        <v>668.1166868279571</v>
      </c>
      <c r="AW135" s="9">
        <f t="shared" si="683"/>
        <v>812.22028594771257</v>
      </c>
      <c r="AX135" s="8">
        <v>0</v>
      </c>
      <c r="AY135" s="9">
        <f t="shared" si="684"/>
        <v>0</v>
      </c>
      <c r="AZ135" s="8">
        <v>2</v>
      </c>
      <c r="BA135" s="8">
        <v>0</v>
      </c>
      <c r="BB135" s="8">
        <v>0</v>
      </c>
      <c r="BC135" s="8">
        <v>0</v>
      </c>
      <c r="BD135" s="8">
        <v>0</v>
      </c>
      <c r="BE135" s="9">
        <f t="shared" si="685"/>
        <v>0</v>
      </c>
      <c r="BF135" s="9">
        <f t="shared" si="686"/>
        <v>0</v>
      </c>
      <c r="BG135" s="8">
        <v>0</v>
      </c>
      <c r="BH135" s="8">
        <v>0</v>
      </c>
      <c r="BI135" s="8">
        <v>0</v>
      </c>
      <c r="BJ135" s="8">
        <v>0</v>
      </c>
      <c r="BK135" s="9">
        <f t="shared" si="687"/>
        <v>0</v>
      </c>
      <c r="BL135" s="9">
        <f t="shared" si="688"/>
        <v>0</v>
      </c>
      <c r="BM135" s="8">
        <v>0</v>
      </c>
      <c r="BN135" s="8">
        <v>0</v>
      </c>
      <c r="BO135" s="8">
        <v>0</v>
      </c>
      <c r="BP135" s="8">
        <v>0</v>
      </c>
      <c r="BQ135" s="9">
        <f t="shared" si="689"/>
        <v>0</v>
      </c>
      <c r="BR135" s="9">
        <f t="shared" si="690"/>
        <v>0</v>
      </c>
      <c r="BS135" s="8">
        <v>0</v>
      </c>
      <c r="BT135" s="8">
        <v>0</v>
      </c>
      <c r="BU135" s="8">
        <v>0</v>
      </c>
      <c r="BV135" s="8">
        <v>0</v>
      </c>
      <c r="BW135" s="9">
        <f t="shared" si="691"/>
        <v>0</v>
      </c>
      <c r="BX135" s="9">
        <f t="shared" si="692"/>
        <v>0</v>
      </c>
      <c r="BY135" s="9">
        <f t="shared" si="693"/>
        <v>0</v>
      </c>
      <c r="BZ135" s="9">
        <f t="shared" si="694"/>
        <v>0</v>
      </c>
      <c r="CA135" s="9">
        <f t="shared" si="695"/>
        <v>0</v>
      </c>
      <c r="CB135" s="9">
        <f t="shared" si="696"/>
        <v>0</v>
      </c>
      <c r="CC135" s="8">
        <v>0</v>
      </c>
      <c r="CD135" s="8">
        <v>15</v>
      </c>
      <c r="CE135" s="8">
        <v>0</v>
      </c>
      <c r="CF135" s="8">
        <v>2</v>
      </c>
      <c r="CG135" s="8">
        <v>0</v>
      </c>
      <c r="CH135" s="9">
        <f t="shared" si="697"/>
        <v>17</v>
      </c>
      <c r="CI135" s="8">
        <v>0</v>
      </c>
      <c r="CJ135" s="8">
        <v>0</v>
      </c>
      <c r="CK135" s="8">
        <v>0</v>
      </c>
      <c r="CL135" s="8">
        <v>0</v>
      </c>
      <c r="CM135" s="9">
        <f t="shared" si="698"/>
        <v>0</v>
      </c>
      <c r="CN135" s="8">
        <v>41</v>
      </c>
      <c r="CO135" s="8">
        <v>8</v>
      </c>
      <c r="CP135" s="8">
        <v>0</v>
      </c>
      <c r="CQ135" s="8">
        <v>0</v>
      </c>
      <c r="CR135" s="9">
        <f t="shared" si="699"/>
        <v>49</v>
      </c>
      <c r="CS135" s="9">
        <f t="shared" si="700"/>
        <v>49</v>
      </c>
      <c r="CT135" s="8">
        <v>66</v>
      </c>
      <c r="CU135" s="8">
        <v>1258</v>
      </c>
      <c r="CV135" s="8">
        <v>1032</v>
      </c>
      <c r="CW135" s="10">
        <f t="shared" si="701"/>
        <v>0.82034976152623207</v>
      </c>
      <c r="CX135" s="8">
        <v>0</v>
      </c>
      <c r="CY135" s="8">
        <v>0</v>
      </c>
      <c r="CZ135" s="8">
        <v>0</v>
      </c>
      <c r="DA135" s="8">
        <v>0</v>
      </c>
      <c r="DB135" s="9">
        <f t="shared" si="702"/>
        <v>0</v>
      </c>
      <c r="DC135" s="8">
        <v>0</v>
      </c>
      <c r="DD135" s="8">
        <v>0</v>
      </c>
      <c r="DE135" s="8">
        <v>0</v>
      </c>
      <c r="DF135" s="8">
        <v>0</v>
      </c>
      <c r="DG135" s="9">
        <f t="shared" si="703"/>
        <v>0</v>
      </c>
      <c r="DH135" s="8">
        <v>0</v>
      </c>
      <c r="DI135" s="8">
        <v>0</v>
      </c>
      <c r="DJ135" s="8">
        <v>0</v>
      </c>
      <c r="DK135" s="8">
        <v>0</v>
      </c>
      <c r="DL135" s="9">
        <f t="shared" si="704"/>
        <v>0</v>
      </c>
      <c r="DM135" s="8">
        <v>0</v>
      </c>
      <c r="DN135" s="8">
        <v>0</v>
      </c>
      <c r="DO135" s="8">
        <v>0</v>
      </c>
      <c r="DP135" s="8">
        <v>0</v>
      </c>
      <c r="DQ135" s="9">
        <f t="shared" si="705"/>
        <v>0</v>
      </c>
      <c r="DR135" s="9">
        <f t="shared" si="706"/>
        <v>0</v>
      </c>
      <c r="DS135" s="9">
        <f t="shared" si="707"/>
        <v>0</v>
      </c>
      <c r="DT135" s="9">
        <f t="shared" si="708"/>
        <v>0</v>
      </c>
      <c r="DU135" s="9">
        <f t="shared" si="709"/>
        <v>0</v>
      </c>
      <c r="DV135" s="9">
        <f t="shared" si="710"/>
        <v>0</v>
      </c>
      <c r="DW135" s="8">
        <v>4</v>
      </c>
      <c r="DX135" s="8">
        <v>4</v>
      </c>
      <c r="DY135" s="8">
        <v>0</v>
      </c>
      <c r="DZ135" s="8">
        <v>0</v>
      </c>
      <c r="EA135" s="8">
        <v>0</v>
      </c>
      <c r="EB135" s="8">
        <v>0</v>
      </c>
      <c r="EC135" s="8">
        <v>0</v>
      </c>
      <c r="ED135" s="8">
        <v>0</v>
      </c>
      <c r="EE135" s="8">
        <v>0</v>
      </c>
      <c r="EF135" s="8">
        <v>0</v>
      </c>
      <c r="EG135" s="8">
        <v>0</v>
      </c>
      <c r="EH135" s="8">
        <v>0</v>
      </c>
      <c r="EI135" s="8">
        <v>0</v>
      </c>
      <c r="EJ135" s="8">
        <v>0</v>
      </c>
      <c r="EK135" s="8">
        <v>0</v>
      </c>
      <c r="EL135" s="8">
        <v>1</v>
      </c>
      <c r="EM135" s="8">
        <v>1</v>
      </c>
      <c r="EN135" s="8">
        <v>0</v>
      </c>
      <c r="EO135" s="8">
        <v>0</v>
      </c>
      <c r="EP135" s="8">
        <v>0</v>
      </c>
      <c r="EQ135" s="8">
        <v>0</v>
      </c>
      <c r="ER135" s="8">
        <v>0</v>
      </c>
      <c r="ES135" s="8">
        <v>0</v>
      </c>
      <c r="ET135" s="8">
        <v>0</v>
      </c>
      <c r="EU135" s="8">
        <v>0</v>
      </c>
      <c r="EV135" s="8">
        <v>0</v>
      </c>
      <c r="EW135" s="8">
        <v>0</v>
      </c>
      <c r="EX135" s="8">
        <v>0</v>
      </c>
      <c r="EY135" s="8">
        <v>0</v>
      </c>
      <c r="EZ135" s="8">
        <v>0</v>
      </c>
      <c r="FA135" s="8">
        <v>0</v>
      </c>
      <c r="FB135" s="8">
        <v>0</v>
      </c>
      <c r="FC135" s="8">
        <v>0</v>
      </c>
      <c r="FD135" s="8">
        <v>0</v>
      </c>
      <c r="FE135" s="8">
        <v>0</v>
      </c>
      <c r="FF135" s="8">
        <v>0</v>
      </c>
      <c r="FG135" s="9">
        <f t="shared" si="711"/>
        <v>10</v>
      </c>
      <c r="FH135" s="8">
        <v>4</v>
      </c>
      <c r="FI135" s="8">
        <v>18</v>
      </c>
      <c r="FJ135" s="8">
        <v>24</v>
      </c>
      <c r="FK135" s="8">
        <v>96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9">
        <f t="shared" si="712"/>
        <v>0</v>
      </c>
      <c r="FR135" s="8">
        <v>0</v>
      </c>
      <c r="FS135" s="8">
        <v>0</v>
      </c>
      <c r="FT135" s="8">
        <v>0</v>
      </c>
      <c r="FU135" s="8">
        <v>0</v>
      </c>
      <c r="FV135" s="9">
        <f t="shared" si="713"/>
        <v>0</v>
      </c>
      <c r="FW135" s="8">
        <v>299200</v>
      </c>
      <c r="FX135" s="8">
        <v>0</v>
      </c>
      <c r="FY135" s="8">
        <v>0</v>
      </c>
      <c r="FZ135" s="8">
        <v>20000</v>
      </c>
      <c r="GA135" s="9">
        <f t="shared" si="714"/>
        <v>319200</v>
      </c>
      <c r="GB135" s="9">
        <f t="shared" si="715"/>
        <v>319200</v>
      </c>
      <c r="GC135" s="8">
        <v>319200</v>
      </c>
      <c r="GD135" s="8">
        <v>0</v>
      </c>
      <c r="GE135" s="8">
        <v>0</v>
      </c>
      <c r="GF135" s="8">
        <v>184676.71</v>
      </c>
      <c r="GG135" s="9">
        <f t="shared" si="716"/>
        <v>503876.70999999996</v>
      </c>
      <c r="GH135" s="8">
        <v>0</v>
      </c>
      <c r="GI135" s="8">
        <v>0</v>
      </c>
      <c r="GJ135" s="8">
        <v>0</v>
      </c>
      <c r="GK135" s="8">
        <v>0</v>
      </c>
      <c r="GL135" s="9">
        <f t="shared" si="717"/>
        <v>0</v>
      </c>
      <c r="GM135" s="9">
        <f t="shared" si="718"/>
        <v>503876.70999999996</v>
      </c>
      <c r="GN135" s="8">
        <v>0</v>
      </c>
      <c r="GO135" s="8">
        <v>0</v>
      </c>
      <c r="GP135" s="8">
        <v>0</v>
      </c>
      <c r="GQ135" s="8">
        <v>0</v>
      </c>
      <c r="GR135" s="9">
        <f t="shared" si="719"/>
        <v>0</v>
      </c>
      <c r="GS135" s="8">
        <v>0</v>
      </c>
      <c r="GT135" s="8">
        <v>0</v>
      </c>
      <c r="GU135" s="8">
        <v>0</v>
      </c>
      <c r="GV135" s="8">
        <v>0</v>
      </c>
      <c r="GW135" s="9">
        <f t="shared" si="720"/>
        <v>0</v>
      </c>
      <c r="GX135" s="9">
        <f t="shared" si="721"/>
        <v>503876.70999999996</v>
      </c>
      <c r="GY135" s="8">
        <v>2518673.2799999998</v>
      </c>
      <c r="GZ135" s="8">
        <v>0</v>
      </c>
      <c r="HA135" s="9">
        <f t="shared" si="722"/>
        <v>2518673.2799999998</v>
      </c>
      <c r="HB135" s="9">
        <f t="shared" si="723"/>
        <v>0.98650881284034764</v>
      </c>
      <c r="HC135" s="10">
        <f t="shared" si="724"/>
        <v>0.10560619379532579</v>
      </c>
      <c r="HD135" s="9">
        <f t="shared" si="725"/>
        <v>0.6334882991515921</v>
      </c>
      <c r="HE135" s="8">
        <v>0</v>
      </c>
      <c r="HF135" s="8">
        <v>0</v>
      </c>
      <c r="HG135" s="8">
        <v>0</v>
      </c>
      <c r="HH135" s="8">
        <v>0</v>
      </c>
      <c r="HI135" s="8">
        <v>0</v>
      </c>
      <c r="HJ135" s="9">
        <f t="shared" si="726"/>
        <v>0</v>
      </c>
      <c r="HK135" s="10" t="str">
        <f t="shared" si="727"/>
        <v/>
      </c>
      <c r="HL135" s="8">
        <v>1</v>
      </c>
      <c r="HM135" s="8">
        <v>1</v>
      </c>
      <c r="HN135" s="11">
        <f t="shared" si="728"/>
        <v>1</v>
      </c>
    </row>
    <row r="136" spans="1:222" x14ac:dyDescent="0.3">
      <c r="A136" s="12" t="s">
        <v>280</v>
      </c>
      <c r="B136" s="12" t="s">
        <v>284</v>
      </c>
      <c r="C136" s="13" t="s">
        <v>257</v>
      </c>
      <c r="D136" s="13">
        <v>2025</v>
      </c>
      <c r="E136" s="13">
        <v>5</v>
      </c>
      <c r="F136" s="13" t="s">
        <v>260</v>
      </c>
      <c r="G136" s="13" t="s">
        <v>259</v>
      </c>
      <c r="H136" s="14">
        <v>823</v>
      </c>
      <c r="I136" s="14">
        <v>0</v>
      </c>
      <c r="J136" s="14">
        <v>0</v>
      </c>
      <c r="K136" s="14">
        <v>0</v>
      </c>
      <c r="L136" s="14">
        <v>0</v>
      </c>
      <c r="M136" s="15">
        <f t="shared" si="668"/>
        <v>0</v>
      </c>
      <c r="N136" s="14">
        <v>354</v>
      </c>
      <c r="O136" s="14">
        <v>0</v>
      </c>
      <c r="P136" s="14">
        <v>300</v>
      </c>
      <c r="Q136" s="14">
        <v>0</v>
      </c>
      <c r="R136" s="15">
        <f t="shared" si="669"/>
        <v>654</v>
      </c>
      <c r="S136" s="15">
        <f t="shared" si="670"/>
        <v>654</v>
      </c>
      <c r="T136" s="14">
        <v>169</v>
      </c>
      <c r="U136" s="16">
        <f t="shared" si="671"/>
        <v>0.20534629404617255</v>
      </c>
      <c r="V136" s="14">
        <v>4</v>
      </c>
      <c r="W136" s="17">
        <f t="shared" si="672"/>
        <v>4.8602673147023082E-3</v>
      </c>
      <c r="X136" s="14">
        <v>0</v>
      </c>
      <c r="Y136" s="17">
        <f t="shared" si="673"/>
        <v>0</v>
      </c>
      <c r="Z136" s="14">
        <v>0</v>
      </c>
      <c r="AA136" s="17">
        <f t="shared" si="674"/>
        <v>0</v>
      </c>
      <c r="AB136" s="14">
        <v>0</v>
      </c>
      <c r="AC136" s="17">
        <f t="shared" si="675"/>
        <v>0</v>
      </c>
      <c r="AD136" s="14">
        <v>0</v>
      </c>
      <c r="AE136" s="17">
        <f t="shared" si="676"/>
        <v>0</v>
      </c>
      <c r="AF136" s="14">
        <v>0</v>
      </c>
      <c r="AG136" s="17">
        <f t="shared" si="677"/>
        <v>0</v>
      </c>
      <c r="AH136" s="14">
        <v>20446.68</v>
      </c>
      <c r="AI136" s="15">
        <f t="shared" si="678"/>
        <v>24.844082624544349</v>
      </c>
      <c r="AJ136" s="14">
        <v>800</v>
      </c>
      <c r="AK136" s="17">
        <f t="shared" si="679"/>
        <v>0.97205346294046169</v>
      </c>
      <c r="AL136" s="14">
        <v>127427.7</v>
      </c>
      <c r="AM136" s="15">
        <f t="shared" si="680"/>
        <v>154.83317132442284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203365.48</v>
      </c>
      <c r="AT136" s="14">
        <v>0</v>
      </c>
      <c r="AU136" s="15">
        <f t="shared" si="681"/>
        <v>351239.86</v>
      </c>
      <c r="AV136" s="15">
        <f t="shared" si="682"/>
        <v>426.77990279465371</v>
      </c>
      <c r="AW136" s="15">
        <f t="shared" si="683"/>
        <v>537.06400611620791</v>
      </c>
      <c r="AX136" s="14">
        <v>0</v>
      </c>
      <c r="AY136" s="15">
        <f t="shared" si="684"/>
        <v>0</v>
      </c>
      <c r="AZ136" s="14">
        <v>2</v>
      </c>
      <c r="BA136" s="14">
        <v>0</v>
      </c>
      <c r="BB136" s="14">
        <v>0</v>
      </c>
      <c r="BC136" s="14">
        <v>0</v>
      </c>
      <c r="BD136" s="14">
        <v>0</v>
      </c>
      <c r="BE136" s="15">
        <f t="shared" si="685"/>
        <v>0</v>
      </c>
      <c r="BF136" s="15">
        <f t="shared" si="686"/>
        <v>0</v>
      </c>
      <c r="BG136" s="14">
        <v>0</v>
      </c>
      <c r="BH136" s="14">
        <v>0</v>
      </c>
      <c r="BI136" s="14">
        <v>0</v>
      </c>
      <c r="BJ136" s="14">
        <v>0</v>
      </c>
      <c r="BK136" s="15">
        <f t="shared" si="687"/>
        <v>0</v>
      </c>
      <c r="BL136" s="15">
        <f t="shared" si="688"/>
        <v>0</v>
      </c>
      <c r="BM136" s="14">
        <v>0</v>
      </c>
      <c r="BN136" s="14">
        <v>0</v>
      </c>
      <c r="BO136" s="14">
        <v>0</v>
      </c>
      <c r="BP136" s="14">
        <v>0</v>
      </c>
      <c r="BQ136" s="15">
        <f t="shared" si="689"/>
        <v>0</v>
      </c>
      <c r="BR136" s="15">
        <f t="shared" si="690"/>
        <v>0</v>
      </c>
      <c r="BS136" s="14">
        <v>0</v>
      </c>
      <c r="BT136" s="14">
        <v>0</v>
      </c>
      <c r="BU136" s="14">
        <v>0</v>
      </c>
      <c r="BV136" s="14">
        <v>0</v>
      </c>
      <c r="BW136" s="15">
        <f t="shared" si="691"/>
        <v>0</v>
      </c>
      <c r="BX136" s="15">
        <f t="shared" si="692"/>
        <v>0</v>
      </c>
      <c r="BY136" s="15">
        <f t="shared" si="693"/>
        <v>0</v>
      </c>
      <c r="BZ136" s="15">
        <f t="shared" si="694"/>
        <v>0</v>
      </c>
      <c r="CA136" s="15">
        <f t="shared" si="695"/>
        <v>0</v>
      </c>
      <c r="CB136" s="15">
        <f t="shared" si="696"/>
        <v>0</v>
      </c>
      <c r="CC136" s="14">
        <v>0</v>
      </c>
      <c r="CD136" s="14">
        <v>14</v>
      </c>
      <c r="CE136" s="14">
        <v>0</v>
      </c>
      <c r="CF136" s="14">
        <v>2</v>
      </c>
      <c r="CG136" s="14">
        <v>0</v>
      </c>
      <c r="CH136" s="15">
        <f t="shared" si="697"/>
        <v>16</v>
      </c>
      <c r="CI136" s="14">
        <v>0</v>
      </c>
      <c r="CJ136" s="14">
        <v>0</v>
      </c>
      <c r="CK136" s="14">
        <v>0</v>
      </c>
      <c r="CL136" s="14">
        <v>0</v>
      </c>
      <c r="CM136" s="15">
        <f t="shared" si="698"/>
        <v>0</v>
      </c>
      <c r="CN136" s="14">
        <v>42</v>
      </c>
      <c r="CO136" s="14">
        <v>8</v>
      </c>
      <c r="CP136" s="14">
        <v>0</v>
      </c>
      <c r="CQ136" s="14">
        <v>0</v>
      </c>
      <c r="CR136" s="15">
        <f t="shared" si="699"/>
        <v>50</v>
      </c>
      <c r="CS136" s="15">
        <f t="shared" si="700"/>
        <v>50</v>
      </c>
      <c r="CT136" s="14">
        <v>66</v>
      </c>
      <c r="CU136" s="14">
        <v>1258</v>
      </c>
      <c r="CV136" s="14">
        <v>1032</v>
      </c>
      <c r="CW136" s="16">
        <f t="shared" si="701"/>
        <v>0.82034976152623207</v>
      </c>
      <c r="CX136" s="14">
        <v>0</v>
      </c>
      <c r="CY136" s="14">
        <v>0</v>
      </c>
      <c r="CZ136" s="14">
        <v>0</v>
      </c>
      <c r="DA136" s="14">
        <v>0</v>
      </c>
      <c r="DB136" s="15">
        <f t="shared" si="702"/>
        <v>0</v>
      </c>
      <c r="DC136" s="14">
        <v>0</v>
      </c>
      <c r="DD136" s="14">
        <v>0</v>
      </c>
      <c r="DE136" s="14">
        <v>0</v>
      </c>
      <c r="DF136" s="14">
        <v>0</v>
      </c>
      <c r="DG136" s="15">
        <f t="shared" si="703"/>
        <v>0</v>
      </c>
      <c r="DH136" s="14">
        <v>0</v>
      </c>
      <c r="DI136" s="14">
        <v>0</v>
      </c>
      <c r="DJ136" s="14">
        <v>0</v>
      </c>
      <c r="DK136" s="14">
        <v>0</v>
      </c>
      <c r="DL136" s="15">
        <f t="shared" si="704"/>
        <v>0</v>
      </c>
      <c r="DM136" s="14">
        <v>0</v>
      </c>
      <c r="DN136" s="14">
        <v>0</v>
      </c>
      <c r="DO136" s="14">
        <v>0</v>
      </c>
      <c r="DP136" s="14">
        <v>0</v>
      </c>
      <c r="DQ136" s="15">
        <f t="shared" si="705"/>
        <v>0</v>
      </c>
      <c r="DR136" s="15">
        <f t="shared" si="706"/>
        <v>0</v>
      </c>
      <c r="DS136" s="15">
        <f t="shared" si="707"/>
        <v>0</v>
      </c>
      <c r="DT136" s="15">
        <f t="shared" si="708"/>
        <v>0</v>
      </c>
      <c r="DU136" s="15">
        <f t="shared" si="709"/>
        <v>0</v>
      </c>
      <c r="DV136" s="15">
        <f t="shared" si="710"/>
        <v>0</v>
      </c>
      <c r="DW136" s="14">
        <v>1</v>
      </c>
      <c r="DX136" s="14">
        <v>1</v>
      </c>
      <c r="DY136" s="14">
        <v>0</v>
      </c>
      <c r="DZ136" s="14">
        <v>0</v>
      </c>
      <c r="EA136" s="14">
        <v>0</v>
      </c>
      <c r="EB136" s="14">
        <v>1</v>
      </c>
      <c r="EC136" s="14">
        <v>0</v>
      </c>
      <c r="ED136" s="14">
        <v>0</v>
      </c>
      <c r="EE136" s="14">
        <v>0</v>
      </c>
      <c r="EF136" s="14">
        <v>0</v>
      </c>
      <c r="EG136" s="14">
        <v>0</v>
      </c>
      <c r="EH136" s="14">
        <v>0</v>
      </c>
      <c r="EI136" s="14">
        <v>0</v>
      </c>
      <c r="EJ136" s="14">
        <v>0</v>
      </c>
      <c r="EK136" s="14">
        <v>0</v>
      </c>
      <c r="EL136" s="14">
        <v>0</v>
      </c>
      <c r="EM136" s="14">
        <v>0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0</v>
      </c>
      <c r="ET136" s="14">
        <v>0</v>
      </c>
      <c r="EU136" s="14">
        <v>0</v>
      </c>
      <c r="EV136" s="14">
        <v>0</v>
      </c>
      <c r="EW136" s="14">
        <v>0</v>
      </c>
      <c r="EX136" s="14">
        <v>0</v>
      </c>
      <c r="EY136" s="14">
        <v>0</v>
      </c>
      <c r="EZ136" s="14">
        <v>0</v>
      </c>
      <c r="FA136" s="14">
        <v>0</v>
      </c>
      <c r="FB136" s="14">
        <v>0</v>
      </c>
      <c r="FC136" s="14">
        <v>0</v>
      </c>
      <c r="FD136" s="14">
        <v>0</v>
      </c>
      <c r="FE136" s="14">
        <v>0</v>
      </c>
      <c r="FF136" s="14">
        <v>0</v>
      </c>
      <c r="FG136" s="15">
        <f t="shared" si="711"/>
        <v>3</v>
      </c>
      <c r="FH136" s="14">
        <v>3</v>
      </c>
      <c r="FI136" s="14">
        <v>24</v>
      </c>
      <c r="FJ136" s="14">
        <v>24</v>
      </c>
      <c r="FK136" s="14">
        <v>72</v>
      </c>
      <c r="FL136" s="14">
        <v>0</v>
      </c>
      <c r="FM136" s="14">
        <v>0</v>
      </c>
      <c r="FN136" s="14">
        <v>0</v>
      </c>
      <c r="FO136" s="14">
        <v>0</v>
      </c>
      <c r="FP136" s="14">
        <v>0</v>
      </c>
      <c r="FQ136" s="15">
        <f t="shared" si="712"/>
        <v>0</v>
      </c>
      <c r="FR136" s="14">
        <v>0</v>
      </c>
      <c r="FS136" s="14">
        <v>0</v>
      </c>
      <c r="FT136" s="14">
        <v>0</v>
      </c>
      <c r="FU136" s="14">
        <v>0</v>
      </c>
      <c r="FV136" s="15">
        <f t="shared" si="713"/>
        <v>0</v>
      </c>
      <c r="FW136" s="14">
        <v>201980</v>
      </c>
      <c r="FX136" s="14">
        <v>0</v>
      </c>
      <c r="FY136" s="14">
        <v>0</v>
      </c>
      <c r="FZ136" s="14">
        <v>0</v>
      </c>
      <c r="GA136" s="15">
        <f t="shared" si="714"/>
        <v>201980</v>
      </c>
      <c r="GB136" s="15">
        <f t="shared" si="715"/>
        <v>201980</v>
      </c>
      <c r="GC136" s="14">
        <v>0</v>
      </c>
      <c r="GD136" s="14">
        <v>0</v>
      </c>
      <c r="GE136" s="14">
        <v>0</v>
      </c>
      <c r="GF136" s="14">
        <v>0</v>
      </c>
      <c r="GG136" s="15">
        <f t="shared" si="716"/>
        <v>0</v>
      </c>
      <c r="GH136" s="14">
        <v>0</v>
      </c>
      <c r="GI136" s="14">
        <v>0</v>
      </c>
      <c r="GJ136" s="14">
        <v>0</v>
      </c>
      <c r="GK136" s="14">
        <v>0</v>
      </c>
      <c r="GL136" s="15">
        <f t="shared" si="717"/>
        <v>0</v>
      </c>
      <c r="GM136" s="15">
        <f t="shared" si="718"/>
        <v>0</v>
      </c>
      <c r="GN136" s="14">
        <v>0</v>
      </c>
      <c r="GO136" s="14">
        <v>0</v>
      </c>
      <c r="GP136" s="14">
        <v>0</v>
      </c>
      <c r="GQ136" s="14">
        <v>0</v>
      </c>
      <c r="GR136" s="15">
        <f t="shared" si="719"/>
        <v>0</v>
      </c>
      <c r="GS136" s="14">
        <v>0</v>
      </c>
      <c r="GT136" s="14">
        <v>0</v>
      </c>
      <c r="GU136" s="14">
        <v>0</v>
      </c>
      <c r="GV136" s="14">
        <v>0</v>
      </c>
      <c r="GW136" s="15">
        <f t="shared" si="720"/>
        <v>0</v>
      </c>
      <c r="GX136" s="15">
        <f t="shared" si="721"/>
        <v>0</v>
      </c>
      <c r="GY136" s="14">
        <v>2518673.2799999998</v>
      </c>
      <c r="GZ136" s="14">
        <v>0</v>
      </c>
      <c r="HA136" s="15">
        <f t="shared" si="722"/>
        <v>2518673.2799999998</v>
      </c>
      <c r="HB136" s="15" t="str">
        <f t="shared" si="723"/>
        <v/>
      </c>
      <c r="HC136" s="16">
        <f t="shared" si="724"/>
        <v>8.0193013362971799E-2</v>
      </c>
      <c r="HD136" s="15" t="str">
        <f t="shared" si="725"/>
        <v/>
      </c>
      <c r="HE136" s="14">
        <v>0</v>
      </c>
      <c r="HF136" s="14">
        <v>0</v>
      </c>
      <c r="HG136" s="14">
        <v>0</v>
      </c>
      <c r="HH136" s="14">
        <v>0</v>
      </c>
      <c r="HI136" s="14">
        <v>0</v>
      </c>
      <c r="HJ136" s="15">
        <f t="shared" si="726"/>
        <v>0</v>
      </c>
      <c r="HK136" s="16" t="str">
        <f t="shared" si="727"/>
        <v/>
      </c>
      <c r="HL136" s="14">
        <v>2</v>
      </c>
      <c r="HM136" s="14">
        <v>1</v>
      </c>
      <c r="HN136" s="17">
        <f t="shared" si="728"/>
        <v>0.5</v>
      </c>
    </row>
    <row r="137" spans="1:222" x14ac:dyDescent="0.3">
      <c r="A137" s="6" t="s">
        <v>280</v>
      </c>
      <c r="B137" s="6" t="s">
        <v>284</v>
      </c>
      <c r="C137" s="7" t="s">
        <v>257</v>
      </c>
      <c r="D137" s="7">
        <v>2025</v>
      </c>
      <c r="E137" s="7">
        <v>6</v>
      </c>
      <c r="F137" s="7" t="s">
        <v>261</v>
      </c>
      <c r="G137" s="7" t="s">
        <v>259</v>
      </c>
      <c r="H137" s="8">
        <v>867</v>
      </c>
      <c r="I137" s="8">
        <v>0</v>
      </c>
      <c r="J137" s="8">
        <v>0</v>
      </c>
      <c r="K137" s="8">
        <v>0</v>
      </c>
      <c r="L137" s="8">
        <v>0</v>
      </c>
      <c r="M137" s="9">
        <f t="shared" si="668"/>
        <v>0</v>
      </c>
      <c r="N137" s="8">
        <v>307</v>
      </c>
      <c r="O137" s="8">
        <v>0</v>
      </c>
      <c r="P137" s="8">
        <v>354</v>
      </c>
      <c r="Q137" s="8">
        <v>0</v>
      </c>
      <c r="R137" s="9">
        <f t="shared" si="669"/>
        <v>661</v>
      </c>
      <c r="S137" s="9">
        <f t="shared" si="670"/>
        <v>661</v>
      </c>
      <c r="T137" s="8">
        <v>206</v>
      </c>
      <c r="U137" s="10">
        <f t="shared" si="671"/>
        <v>0.23760092272202998</v>
      </c>
      <c r="V137" s="8">
        <v>4</v>
      </c>
      <c r="W137" s="11">
        <f t="shared" si="672"/>
        <v>4.61361014994233E-3</v>
      </c>
      <c r="X137" s="8">
        <v>0</v>
      </c>
      <c r="Y137" s="11">
        <f t="shared" si="673"/>
        <v>0</v>
      </c>
      <c r="Z137" s="8">
        <v>0</v>
      </c>
      <c r="AA137" s="11">
        <f t="shared" si="674"/>
        <v>0</v>
      </c>
      <c r="AB137" s="8">
        <v>0</v>
      </c>
      <c r="AC137" s="11">
        <f t="shared" si="675"/>
        <v>0</v>
      </c>
      <c r="AD137" s="8">
        <v>0</v>
      </c>
      <c r="AE137" s="11">
        <f t="shared" si="676"/>
        <v>0</v>
      </c>
      <c r="AF137" s="8">
        <v>0</v>
      </c>
      <c r="AG137" s="11">
        <f t="shared" si="677"/>
        <v>0</v>
      </c>
      <c r="AH137" s="8">
        <v>20446.68</v>
      </c>
      <c r="AI137" s="9">
        <f t="shared" si="678"/>
        <v>23.583252595155709</v>
      </c>
      <c r="AJ137" s="8">
        <v>850</v>
      </c>
      <c r="AK137" s="11">
        <f t="shared" si="679"/>
        <v>0.98039215686274506</v>
      </c>
      <c r="AL137" s="8">
        <v>134365.27499999999</v>
      </c>
      <c r="AM137" s="9">
        <f t="shared" si="680"/>
        <v>154.9772491349481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300461.92</v>
      </c>
      <c r="AT137" s="8">
        <v>0</v>
      </c>
      <c r="AU137" s="9">
        <f t="shared" si="681"/>
        <v>455273.875</v>
      </c>
      <c r="AV137" s="9">
        <f t="shared" si="682"/>
        <v>525.11404267589387</v>
      </c>
      <c r="AW137" s="9">
        <f t="shared" si="683"/>
        <v>688.76531770045381</v>
      </c>
      <c r="AX137" s="8">
        <v>0</v>
      </c>
      <c r="AY137" s="9">
        <f t="shared" si="684"/>
        <v>0</v>
      </c>
      <c r="AZ137" s="8">
        <v>2</v>
      </c>
      <c r="BA137" s="8">
        <v>0</v>
      </c>
      <c r="BB137" s="8">
        <v>0</v>
      </c>
      <c r="BC137" s="8">
        <v>0</v>
      </c>
      <c r="BD137" s="8">
        <v>0</v>
      </c>
      <c r="BE137" s="9">
        <f t="shared" si="685"/>
        <v>0</v>
      </c>
      <c r="BF137" s="9">
        <f t="shared" si="686"/>
        <v>0</v>
      </c>
      <c r="BG137" s="8">
        <v>0</v>
      </c>
      <c r="BH137" s="8">
        <v>0</v>
      </c>
      <c r="BI137" s="8">
        <v>0</v>
      </c>
      <c r="BJ137" s="8">
        <v>0</v>
      </c>
      <c r="BK137" s="9">
        <f t="shared" si="687"/>
        <v>0</v>
      </c>
      <c r="BL137" s="9">
        <f t="shared" si="688"/>
        <v>0</v>
      </c>
      <c r="BM137" s="8">
        <v>0</v>
      </c>
      <c r="BN137" s="8">
        <v>0</v>
      </c>
      <c r="BO137" s="8">
        <v>0</v>
      </c>
      <c r="BP137" s="8">
        <v>0</v>
      </c>
      <c r="BQ137" s="9">
        <f t="shared" si="689"/>
        <v>0</v>
      </c>
      <c r="BR137" s="9">
        <f t="shared" si="690"/>
        <v>0</v>
      </c>
      <c r="BS137" s="8">
        <v>0</v>
      </c>
      <c r="BT137" s="8">
        <v>0</v>
      </c>
      <c r="BU137" s="8">
        <v>0</v>
      </c>
      <c r="BV137" s="8">
        <v>0</v>
      </c>
      <c r="BW137" s="9">
        <f t="shared" si="691"/>
        <v>0</v>
      </c>
      <c r="BX137" s="9">
        <f t="shared" si="692"/>
        <v>0</v>
      </c>
      <c r="BY137" s="9">
        <f t="shared" si="693"/>
        <v>0</v>
      </c>
      <c r="BZ137" s="9">
        <f t="shared" si="694"/>
        <v>0</v>
      </c>
      <c r="CA137" s="9">
        <f t="shared" si="695"/>
        <v>0</v>
      </c>
      <c r="CB137" s="9">
        <f t="shared" si="696"/>
        <v>0</v>
      </c>
      <c r="CC137" s="8">
        <v>0</v>
      </c>
      <c r="CD137" s="8">
        <v>14</v>
      </c>
      <c r="CE137" s="8">
        <v>0</v>
      </c>
      <c r="CF137" s="8">
        <v>2</v>
      </c>
      <c r="CG137" s="8">
        <v>0</v>
      </c>
      <c r="CH137" s="9">
        <f t="shared" si="697"/>
        <v>16</v>
      </c>
      <c r="CI137" s="8">
        <v>0</v>
      </c>
      <c r="CJ137" s="8">
        <v>0</v>
      </c>
      <c r="CK137" s="8">
        <v>0</v>
      </c>
      <c r="CL137" s="8">
        <v>0</v>
      </c>
      <c r="CM137" s="9">
        <f t="shared" si="698"/>
        <v>0</v>
      </c>
      <c r="CN137" s="8">
        <v>42</v>
      </c>
      <c r="CO137" s="8">
        <v>8</v>
      </c>
      <c r="CP137" s="8">
        <v>0</v>
      </c>
      <c r="CQ137" s="8">
        <v>0</v>
      </c>
      <c r="CR137" s="9">
        <f t="shared" si="699"/>
        <v>50</v>
      </c>
      <c r="CS137" s="9">
        <f t="shared" si="700"/>
        <v>50</v>
      </c>
      <c r="CT137" s="8">
        <v>66</v>
      </c>
      <c r="CU137" s="8">
        <v>1258</v>
      </c>
      <c r="CV137" s="8">
        <v>1032</v>
      </c>
      <c r="CW137" s="10">
        <f t="shared" si="701"/>
        <v>0.82034976152623207</v>
      </c>
      <c r="CX137" s="8">
        <v>0</v>
      </c>
      <c r="CY137" s="8">
        <v>0</v>
      </c>
      <c r="CZ137" s="8">
        <v>0</v>
      </c>
      <c r="DA137" s="8">
        <v>0</v>
      </c>
      <c r="DB137" s="9">
        <f t="shared" si="702"/>
        <v>0</v>
      </c>
      <c r="DC137" s="8">
        <v>0</v>
      </c>
      <c r="DD137" s="8">
        <v>0</v>
      </c>
      <c r="DE137" s="8">
        <v>0</v>
      </c>
      <c r="DF137" s="8">
        <v>0</v>
      </c>
      <c r="DG137" s="9">
        <f t="shared" si="703"/>
        <v>0</v>
      </c>
      <c r="DH137" s="8">
        <v>0</v>
      </c>
      <c r="DI137" s="8">
        <v>0</v>
      </c>
      <c r="DJ137" s="8">
        <v>0</v>
      </c>
      <c r="DK137" s="8">
        <v>0</v>
      </c>
      <c r="DL137" s="9">
        <f t="shared" si="704"/>
        <v>0</v>
      </c>
      <c r="DM137" s="8">
        <v>0</v>
      </c>
      <c r="DN137" s="8">
        <v>0</v>
      </c>
      <c r="DO137" s="8">
        <v>0</v>
      </c>
      <c r="DP137" s="8">
        <v>0</v>
      </c>
      <c r="DQ137" s="9">
        <f t="shared" si="705"/>
        <v>0</v>
      </c>
      <c r="DR137" s="9">
        <f t="shared" si="706"/>
        <v>0</v>
      </c>
      <c r="DS137" s="9">
        <f t="shared" si="707"/>
        <v>0</v>
      </c>
      <c r="DT137" s="9">
        <f t="shared" si="708"/>
        <v>0</v>
      </c>
      <c r="DU137" s="9">
        <f t="shared" si="709"/>
        <v>0</v>
      </c>
      <c r="DV137" s="9">
        <f t="shared" si="710"/>
        <v>0</v>
      </c>
      <c r="DW137" s="8">
        <v>4</v>
      </c>
      <c r="DX137" s="8">
        <v>4</v>
      </c>
      <c r="DY137" s="8">
        <v>0</v>
      </c>
      <c r="DZ137" s="8">
        <v>0</v>
      </c>
      <c r="EA137" s="8">
        <v>0</v>
      </c>
      <c r="EB137" s="8">
        <v>0</v>
      </c>
      <c r="EC137" s="8">
        <v>0</v>
      </c>
      <c r="ED137" s="8">
        <v>0</v>
      </c>
      <c r="EE137" s="8">
        <v>0</v>
      </c>
      <c r="EF137" s="8">
        <v>0</v>
      </c>
      <c r="EG137" s="8">
        <v>0</v>
      </c>
      <c r="EH137" s="8">
        <v>0</v>
      </c>
      <c r="EI137" s="8">
        <v>0</v>
      </c>
      <c r="EJ137" s="8">
        <v>2</v>
      </c>
      <c r="EK137" s="8">
        <v>2</v>
      </c>
      <c r="EL137" s="8">
        <v>0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8">
        <v>0</v>
      </c>
      <c r="ES137" s="8">
        <v>0</v>
      </c>
      <c r="ET137" s="8">
        <v>0</v>
      </c>
      <c r="EU137" s="8">
        <v>0</v>
      </c>
      <c r="EV137" s="8">
        <v>0</v>
      </c>
      <c r="EW137" s="8">
        <v>0</v>
      </c>
      <c r="EX137" s="8">
        <v>0</v>
      </c>
      <c r="EY137" s="8">
        <v>0</v>
      </c>
      <c r="EZ137" s="8">
        <v>0</v>
      </c>
      <c r="FA137" s="8">
        <v>0</v>
      </c>
      <c r="FB137" s="8">
        <v>0</v>
      </c>
      <c r="FC137" s="8">
        <v>0</v>
      </c>
      <c r="FD137" s="8">
        <v>0</v>
      </c>
      <c r="FE137" s="8">
        <v>0</v>
      </c>
      <c r="FF137" s="8">
        <v>0</v>
      </c>
      <c r="FG137" s="9">
        <f t="shared" si="711"/>
        <v>12</v>
      </c>
      <c r="FH137" s="8">
        <v>6</v>
      </c>
      <c r="FI137" s="8">
        <v>5</v>
      </c>
      <c r="FJ137" s="8">
        <v>24</v>
      </c>
      <c r="FK137" s="8">
        <v>48</v>
      </c>
      <c r="FL137" s="8">
        <v>0</v>
      </c>
      <c r="FM137" s="8">
        <v>0</v>
      </c>
      <c r="FN137" s="8">
        <v>0</v>
      </c>
      <c r="FO137" s="8">
        <v>0</v>
      </c>
      <c r="FP137" s="8">
        <v>0</v>
      </c>
      <c r="FQ137" s="9">
        <f t="shared" si="712"/>
        <v>0</v>
      </c>
      <c r="FR137" s="8">
        <v>0</v>
      </c>
      <c r="FS137" s="8">
        <v>0</v>
      </c>
      <c r="FT137" s="8">
        <v>0</v>
      </c>
      <c r="FU137" s="8">
        <v>0</v>
      </c>
      <c r="FV137" s="9">
        <f t="shared" si="713"/>
        <v>0</v>
      </c>
      <c r="FW137" s="8">
        <v>13700</v>
      </c>
      <c r="FX137" s="8">
        <v>0</v>
      </c>
      <c r="FY137" s="8">
        <v>0</v>
      </c>
      <c r="FZ137" s="8">
        <v>0</v>
      </c>
      <c r="GA137" s="9">
        <f t="shared" si="714"/>
        <v>13700</v>
      </c>
      <c r="GB137" s="9">
        <f t="shared" si="715"/>
        <v>13700</v>
      </c>
      <c r="GC137" s="8">
        <v>0</v>
      </c>
      <c r="GD137" s="8">
        <v>0</v>
      </c>
      <c r="GE137" s="8">
        <v>0</v>
      </c>
      <c r="GF137" s="8">
        <v>0</v>
      </c>
      <c r="GG137" s="9">
        <f t="shared" si="716"/>
        <v>0</v>
      </c>
      <c r="GH137" s="8">
        <v>0</v>
      </c>
      <c r="GI137" s="8">
        <v>0</v>
      </c>
      <c r="GJ137" s="8">
        <v>0</v>
      </c>
      <c r="GK137" s="8">
        <v>0</v>
      </c>
      <c r="GL137" s="9">
        <f t="shared" si="717"/>
        <v>0</v>
      </c>
      <c r="GM137" s="9">
        <f t="shared" si="718"/>
        <v>0</v>
      </c>
      <c r="GN137" s="8">
        <v>0</v>
      </c>
      <c r="GO137" s="8">
        <v>0</v>
      </c>
      <c r="GP137" s="8">
        <v>0</v>
      </c>
      <c r="GQ137" s="8">
        <v>0</v>
      </c>
      <c r="GR137" s="9">
        <f t="shared" si="719"/>
        <v>0</v>
      </c>
      <c r="GS137" s="8">
        <v>0</v>
      </c>
      <c r="GT137" s="8">
        <v>0</v>
      </c>
      <c r="GU137" s="8">
        <v>0</v>
      </c>
      <c r="GV137" s="8">
        <v>0</v>
      </c>
      <c r="GW137" s="9">
        <f t="shared" si="720"/>
        <v>0</v>
      </c>
      <c r="GX137" s="9">
        <f t="shared" si="721"/>
        <v>0</v>
      </c>
      <c r="GY137" s="8">
        <v>2518673.2799999998</v>
      </c>
      <c r="GZ137" s="8">
        <v>0</v>
      </c>
      <c r="HA137" s="9">
        <f t="shared" si="722"/>
        <v>2518673.2799999998</v>
      </c>
      <c r="HB137" s="9" t="str">
        <f t="shared" si="723"/>
        <v/>
      </c>
      <c r="HC137" s="10">
        <f t="shared" si="724"/>
        <v>5.4393716361655292E-3</v>
      </c>
      <c r="HD137" s="9" t="str">
        <f t="shared" si="725"/>
        <v/>
      </c>
      <c r="HE137" s="8">
        <v>0</v>
      </c>
      <c r="HF137" s="8">
        <v>0</v>
      </c>
      <c r="HG137" s="8">
        <v>0</v>
      </c>
      <c r="HH137" s="8">
        <v>0</v>
      </c>
      <c r="HI137" s="8">
        <v>0</v>
      </c>
      <c r="HJ137" s="9">
        <f t="shared" si="726"/>
        <v>0</v>
      </c>
      <c r="HK137" s="10" t="str">
        <f t="shared" si="727"/>
        <v/>
      </c>
      <c r="HL137" s="8">
        <v>3</v>
      </c>
      <c r="HM137" s="8">
        <v>1</v>
      </c>
      <c r="HN137" s="11">
        <f t="shared" si="728"/>
        <v>0.33333333333333331</v>
      </c>
    </row>
    <row r="138" spans="1:222" x14ac:dyDescent="0.3">
      <c r="A138" s="12" t="s">
        <v>280</v>
      </c>
      <c r="B138" s="12" t="s">
        <v>284</v>
      </c>
      <c r="C138" s="13" t="s">
        <v>257</v>
      </c>
      <c r="D138" s="13">
        <v>2025</v>
      </c>
      <c r="E138" s="13">
        <v>7</v>
      </c>
      <c r="F138" s="13" t="s">
        <v>262</v>
      </c>
      <c r="G138" s="13" t="s">
        <v>263</v>
      </c>
      <c r="H138" s="14">
        <v>1042</v>
      </c>
      <c r="I138" s="14">
        <v>0</v>
      </c>
      <c r="J138" s="14">
        <v>0</v>
      </c>
      <c r="K138" s="14">
        <v>0</v>
      </c>
      <c r="L138" s="14">
        <v>0</v>
      </c>
      <c r="M138" s="15">
        <f t="shared" si="668"/>
        <v>0</v>
      </c>
      <c r="N138" s="14">
        <v>389</v>
      </c>
      <c r="O138" s="14">
        <v>0</v>
      </c>
      <c r="P138" s="14">
        <v>498</v>
      </c>
      <c r="Q138" s="14">
        <v>0</v>
      </c>
      <c r="R138" s="15">
        <f t="shared" si="669"/>
        <v>887</v>
      </c>
      <c r="S138" s="15">
        <f t="shared" si="670"/>
        <v>887</v>
      </c>
      <c r="T138" s="14">
        <v>155</v>
      </c>
      <c r="U138" s="16">
        <f t="shared" si="671"/>
        <v>0.14875239923224567</v>
      </c>
      <c r="V138" s="14">
        <v>5</v>
      </c>
      <c r="W138" s="17">
        <f t="shared" si="672"/>
        <v>4.7984644913627635E-3</v>
      </c>
      <c r="X138" s="14">
        <v>0</v>
      </c>
      <c r="Y138" s="17">
        <f t="shared" si="673"/>
        <v>0</v>
      </c>
      <c r="Z138" s="14">
        <v>0</v>
      </c>
      <c r="AA138" s="17">
        <f t="shared" si="674"/>
        <v>0</v>
      </c>
      <c r="AB138" s="14">
        <v>0</v>
      </c>
      <c r="AC138" s="17">
        <f t="shared" si="675"/>
        <v>0</v>
      </c>
      <c r="AD138" s="14">
        <v>0</v>
      </c>
      <c r="AE138" s="17">
        <f t="shared" si="676"/>
        <v>0</v>
      </c>
      <c r="AF138" s="14">
        <v>0</v>
      </c>
      <c r="AG138" s="17">
        <f t="shared" si="677"/>
        <v>0</v>
      </c>
      <c r="AH138" s="14">
        <v>25558.35</v>
      </c>
      <c r="AI138" s="15">
        <f t="shared" si="678"/>
        <v>24.528166986564298</v>
      </c>
      <c r="AJ138" s="14">
        <v>765</v>
      </c>
      <c r="AK138" s="17">
        <f t="shared" si="679"/>
        <v>0.73416506717850283</v>
      </c>
      <c r="AL138" s="14">
        <v>122571.39750000001</v>
      </c>
      <c r="AM138" s="15">
        <f t="shared" si="680"/>
        <v>117.63089971209213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290769.59999999998</v>
      </c>
      <c r="AT138" s="14">
        <v>0</v>
      </c>
      <c r="AU138" s="15">
        <f t="shared" si="681"/>
        <v>438899.34749999997</v>
      </c>
      <c r="AV138" s="15">
        <f t="shared" si="682"/>
        <v>421.20858685220725</v>
      </c>
      <c r="AW138" s="15">
        <f t="shared" si="683"/>
        <v>494.81324408117246</v>
      </c>
      <c r="AX138" s="14">
        <v>0</v>
      </c>
      <c r="AY138" s="15">
        <f t="shared" si="684"/>
        <v>0</v>
      </c>
      <c r="AZ138" s="14">
        <v>2</v>
      </c>
      <c r="BA138" s="14">
        <v>0</v>
      </c>
      <c r="BB138" s="14">
        <v>0</v>
      </c>
      <c r="BC138" s="14">
        <v>0</v>
      </c>
      <c r="BD138" s="14">
        <v>0</v>
      </c>
      <c r="BE138" s="15">
        <f t="shared" si="685"/>
        <v>0</v>
      </c>
      <c r="BF138" s="15">
        <f t="shared" si="686"/>
        <v>0</v>
      </c>
      <c r="BG138" s="14">
        <v>0</v>
      </c>
      <c r="BH138" s="14">
        <v>0</v>
      </c>
      <c r="BI138" s="14">
        <v>0</v>
      </c>
      <c r="BJ138" s="14">
        <v>0</v>
      </c>
      <c r="BK138" s="15">
        <f t="shared" si="687"/>
        <v>0</v>
      </c>
      <c r="BL138" s="15">
        <f t="shared" si="688"/>
        <v>0</v>
      </c>
      <c r="BM138" s="14">
        <v>0</v>
      </c>
      <c r="BN138" s="14">
        <v>0</v>
      </c>
      <c r="BO138" s="14">
        <v>0</v>
      </c>
      <c r="BP138" s="14">
        <v>0</v>
      </c>
      <c r="BQ138" s="15">
        <f t="shared" si="689"/>
        <v>0</v>
      </c>
      <c r="BR138" s="15">
        <f t="shared" si="690"/>
        <v>0</v>
      </c>
      <c r="BS138" s="14">
        <v>0</v>
      </c>
      <c r="BT138" s="14">
        <v>0</v>
      </c>
      <c r="BU138" s="14">
        <v>0</v>
      </c>
      <c r="BV138" s="14">
        <v>0</v>
      </c>
      <c r="BW138" s="15">
        <f t="shared" si="691"/>
        <v>0</v>
      </c>
      <c r="BX138" s="15">
        <f t="shared" si="692"/>
        <v>0</v>
      </c>
      <c r="BY138" s="15">
        <f t="shared" si="693"/>
        <v>0</v>
      </c>
      <c r="BZ138" s="15">
        <f t="shared" si="694"/>
        <v>0</v>
      </c>
      <c r="CA138" s="15">
        <f t="shared" si="695"/>
        <v>0</v>
      </c>
      <c r="CB138" s="15">
        <f t="shared" si="696"/>
        <v>0</v>
      </c>
      <c r="CC138" s="14">
        <v>0</v>
      </c>
      <c r="CD138" s="14">
        <v>14</v>
      </c>
      <c r="CE138" s="14">
        <v>0</v>
      </c>
      <c r="CF138" s="14">
        <v>2</v>
      </c>
      <c r="CG138" s="14">
        <v>0</v>
      </c>
      <c r="CH138" s="15">
        <f t="shared" si="697"/>
        <v>16</v>
      </c>
      <c r="CI138" s="14">
        <v>0</v>
      </c>
      <c r="CJ138" s="14">
        <v>0</v>
      </c>
      <c r="CK138" s="14">
        <v>0</v>
      </c>
      <c r="CL138" s="14">
        <v>0</v>
      </c>
      <c r="CM138" s="15">
        <f t="shared" si="698"/>
        <v>0</v>
      </c>
      <c r="CN138" s="14">
        <v>42</v>
      </c>
      <c r="CO138" s="14">
        <v>0</v>
      </c>
      <c r="CP138" s="14">
        <v>0</v>
      </c>
      <c r="CQ138" s="14">
        <v>0</v>
      </c>
      <c r="CR138" s="15">
        <f t="shared" si="699"/>
        <v>42</v>
      </c>
      <c r="CS138" s="15">
        <f t="shared" si="700"/>
        <v>42</v>
      </c>
      <c r="CT138" s="14">
        <v>58</v>
      </c>
      <c r="CU138" s="14">
        <v>1258</v>
      </c>
      <c r="CV138" s="14">
        <v>1032</v>
      </c>
      <c r="CW138" s="16">
        <f t="shared" si="701"/>
        <v>0.82034976152623207</v>
      </c>
      <c r="CX138" s="14">
        <v>0</v>
      </c>
      <c r="CY138" s="14">
        <v>2</v>
      </c>
      <c r="CZ138" s="14">
        <v>2</v>
      </c>
      <c r="DA138" s="14">
        <v>0</v>
      </c>
      <c r="DB138" s="15">
        <f t="shared" si="702"/>
        <v>0</v>
      </c>
      <c r="DC138" s="14">
        <v>0</v>
      </c>
      <c r="DD138" s="14">
        <v>0</v>
      </c>
      <c r="DE138" s="14">
        <v>0</v>
      </c>
      <c r="DF138" s="14">
        <v>0</v>
      </c>
      <c r="DG138" s="15">
        <f t="shared" si="703"/>
        <v>0</v>
      </c>
      <c r="DH138" s="14">
        <v>0</v>
      </c>
      <c r="DI138" s="14">
        <v>0</v>
      </c>
      <c r="DJ138" s="14">
        <v>0</v>
      </c>
      <c r="DK138" s="14">
        <v>0</v>
      </c>
      <c r="DL138" s="15">
        <f t="shared" si="704"/>
        <v>0</v>
      </c>
      <c r="DM138" s="14">
        <v>0</v>
      </c>
      <c r="DN138" s="14">
        <v>0</v>
      </c>
      <c r="DO138" s="14">
        <v>0</v>
      </c>
      <c r="DP138" s="14">
        <v>0</v>
      </c>
      <c r="DQ138" s="15">
        <f t="shared" si="705"/>
        <v>0</v>
      </c>
      <c r="DR138" s="15">
        <f t="shared" si="706"/>
        <v>0</v>
      </c>
      <c r="DS138" s="15">
        <f t="shared" si="707"/>
        <v>2</v>
      </c>
      <c r="DT138" s="15">
        <f t="shared" si="708"/>
        <v>2</v>
      </c>
      <c r="DU138" s="15">
        <f t="shared" si="709"/>
        <v>0</v>
      </c>
      <c r="DV138" s="15">
        <f t="shared" si="710"/>
        <v>0</v>
      </c>
      <c r="DW138" s="14">
        <v>2</v>
      </c>
      <c r="DX138" s="14">
        <v>2</v>
      </c>
      <c r="DY138" s="14">
        <v>0</v>
      </c>
      <c r="DZ138" s="14">
        <v>0</v>
      </c>
      <c r="EA138" s="14">
        <v>1</v>
      </c>
      <c r="EB138" s="14">
        <v>1</v>
      </c>
      <c r="EC138" s="14">
        <v>0</v>
      </c>
      <c r="ED138" s="14">
        <v>0</v>
      </c>
      <c r="EE138" s="14">
        <v>0</v>
      </c>
      <c r="EF138" s="14">
        <v>0</v>
      </c>
      <c r="EG138" s="14">
        <v>0</v>
      </c>
      <c r="EH138" s="14">
        <v>0</v>
      </c>
      <c r="EI138" s="14">
        <v>0</v>
      </c>
      <c r="EJ138" s="14">
        <v>0</v>
      </c>
      <c r="EK138" s="14">
        <v>0</v>
      </c>
      <c r="EL138" s="14">
        <v>0</v>
      </c>
      <c r="EM138" s="14">
        <v>0</v>
      </c>
      <c r="EN138" s="14">
        <v>0</v>
      </c>
      <c r="EO138" s="14">
        <v>0</v>
      </c>
      <c r="EP138" s="14">
        <v>0</v>
      </c>
      <c r="EQ138" s="14">
        <v>0</v>
      </c>
      <c r="ER138" s="14">
        <v>0</v>
      </c>
      <c r="ES138" s="14">
        <v>0</v>
      </c>
      <c r="ET138" s="14">
        <v>0</v>
      </c>
      <c r="EU138" s="14">
        <v>0</v>
      </c>
      <c r="EV138" s="14">
        <v>0</v>
      </c>
      <c r="EW138" s="14">
        <v>0</v>
      </c>
      <c r="EX138" s="14">
        <v>0</v>
      </c>
      <c r="EY138" s="14">
        <v>0</v>
      </c>
      <c r="EZ138" s="14">
        <v>0</v>
      </c>
      <c r="FA138" s="14">
        <v>0</v>
      </c>
      <c r="FB138" s="14">
        <v>0</v>
      </c>
      <c r="FC138" s="14">
        <v>0</v>
      </c>
      <c r="FD138" s="14">
        <v>0</v>
      </c>
      <c r="FE138" s="14">
        <v>0</v>
      </c>
      <c r="FF138" s="14">
        <v>0</v>
      </c>
      <c r="FG138" s="15">
        <f t="shared" si="711"/>
        <v>6</v>
      </c>
      <c r="FH138" s="14">
        <v>1</v>
      </c>
      <c r="FI138" s="14">
        <v>8</v>
      </c>
      <c r="FJ138" s="14">
        <v>24</v>
      </c>
      <c r="FK138" s="14">
        <v>8</v>
      </c>
      <c r="FL138" s="14">
        <v>0</v>
      </c>
      <c r="FM138" s="14">
        <v>0</v>
      </c>
      <c r="FN138" s="14">
        <v>0</v>
      </c>
      <c r="FO138" s="14">
        <v>0</v>
      </c>
      <c r="FP138" s="14">
        <v>0</v>
      </c>
      <c r="FQ138" s="15">
        <f t="shared" si="712"/>
        <v>0</v>
      </c>
      <c r="FR138" s="14">
        <v>0</v>
      </c>
      <c r="FS138" s="14">
        <v>0</v>
      </c>
      <c r="FT138" s="14">
        <v>0</v>
      </c>
      <c r="FU138" s="14">
        <v>0</v>
      </c>
      <c r="FV138" s="15">
        <f t="shared" si="713"/>
        <v>0</v>
      </c>
      <c r="FW138" s="14">
        <v>207300</v>
      </c>
      <c r="FX138" s="14">
        <v>0</v>
      </c>
      <c r="FY138" s="14">
        <v>0</v>
      </c>
      <c r="FZ138" s="14">
        <v>0</v>
      </c>
      <c r="GA138" s="15">
        <f t="shared" si="714"/>
        <v>207300</v>
      </c>
      <c r="GB138" s="15">
        <f t="shared" si="715"/>
        <v>207300</v>
      </c>
      <c r="GC138" s="14">
        <v>0</v>
      </c>
      <c r="GD138" s="14">
        <v>0</v>
      </c>
      <c r="GE138" s="14">
        <v>0</v>
      </c>
      <c r="GF138" s="14">
        <v>0</v>
      </c>
      <c r="GG138" s="15">
        <f t="shared" si="716"/>
        <v>0</v>
      </c>
      <c r="GH138" s="14">
        <v>0</v>
      </c>
      <c r="GI138" s="14">
        <v>0</v>
      </c>
      <c r="GJ138" s="14">
        <v>0</v>
      </c>
      <c r="GK138" s="14">
        <v>0</v>
      </c>
      <c r="GL138" s="15">
        <f t="shared" si="717"/>
        <v>0</v>
      </c>
      <c r="GM138" s="15">
        <f t="shared" si="718"/>
        <v>0</v>
      </c>
      <c r="GN138" s="14">
        <v>0</v>
      </c>
      <c r="GO138" s="14">
        <v>0</v>
      </c>
      <c r="GP138" s="14">
        <v>0</v>
      </c>
      <c r="GQ138" s="14">
        <v>0</v>
      </c>
      <c r="GR138" s="15">
        <f t="shared" si="719"/>
        <v>0</v>
      </c>
      <c r="GS138" s="14">
        <v>0</v>
      </c>
      <c r="GT138" s="14">
        <v>0</v>
      </c>
      <c r="GU138" s="14">
        <v>0</v>
      </c>
      <c r="GV138" s="14">
        <v>0</v>
      </c>
      <c r="GW138" s="15">
        <f t="shared" si="720"/>
        <v>0</v>
      </c>
      <c r="GX138" s="15">
        <f t="shared" si="721"/>
        <v>0</v>
      </c>
      <c r="GY138" s="14">
        <v>2518673.2799999998</v>
      </c>
      <c r="GZ138" s="14">
        <v>0</v>
      </c>
      <c r="HA138" s="15">
        <f t="shared" si="722"/>
        <v>2518673.2799999998</v>
      </c>
      <c r="HB138" s="15" t="str">
        <f t="shared" si="723"/>
        <v/>
      </c>
      <c r="HC138" s="16">
        <f t="shared" si="724"/>
        <v>8.2305236509278415E-2</v>
      </c>
      <c r="HD138" s="15" t="str">
        <f t="shared" si="725"/>
        <v/>
      </c>
      <c r="HE138" s="14">
        <v>0</v>
      </c>
      <c r="HF138" s="14">
        <v>0</v>
      </c>
      <c r="HG138" s="14">
        <v>0</v>
      </c>
      <c r="HH138" s="14">
        <v>0</v>
      </c>
      <c r="HI138" s="14">
        <v>0</v>
      </c>
      <c r="HJ138" s="15">
        <f t="shared" si="726"/>
        <v>0</v>
      </c>
      <c r="HK138" s="16" t="str">
        <f t="shared" si="727"/>
        <v/>
      </c>
      <c r="HL138" s="14">
        <v>4</v>
      </c>
      <c r="HM138" s="14">
        <v>1</v>
      </c>
      <c r="HN138" s="17">
        <f t="shared" si="728"/>
        <v>0.25</v>
      </c>
    </row>
    <row r="139" spans="1:222" x14ac:dyDescent="0.3">
      <c r="A139" s="6" t="s">
        <v>280</v>
      </c>
      <c r="B139" s="6" t="s">
        <v>284</v>
      </c>
      <c r="C139" s="7" t="s">
        <v>257</v>
      </c>
      <c r="D139" s="7">
        <v>2025</v>
      </c>
      <c r="E139" s="7">
        <v>8</v>
      </c>
      <c r="F139" s="7" t="s">
        <v>264</v>
      </c>
      <c r="G139" s="7" t="s">
        <v>263</v>
      </c>
      <c r="H139" s="8">
        <v>1026</v>
      </c>
      <c r="I139" s="8">
        <v>0</v>
      </c>
      <c r="J139" s="8">
        <v>0</v>
      </c>
      <c r="K139" s="8">
        <v>0</v>
      </c>
      <c r="L139" s="8">
        <v>0</v>
      </c>
      <c r="M139" s="9">
        <f t="shared" si="668"/>
        <v>0</v>
      </c>
      <c r="N139" s="8">
        <v>297</v>
      </c>
      <c r="O139" s="8">
        <v>0</v>
      </c>
      <c r="P139" s="8">
        <v>481</v>
      </c>
      <c r="Q139" s="8">
        <v>0</v>
      </c>
      <c r="R139" s="9">
        <f t="shared" si="669"/>
        <v>778</v>
      </c>
      <c r="S139" s="9">
        <f t="shared" si="670"/>
        <v>778</v>
      </c>
      <c r="T139" s="8">
        <v>248</v>
      </c>
      <c r="U139" s="10">
        <f t="shared" si="671"/>
        <v>0.24171539961013644</v>
      </c>
      <c r="V139" s="8">
        <v>5</v>
      </c>
      <c r="W139" s="11">
        <f t="shared" si="672"/>
        <v>4.8732943469785572E-3</v>
      </c>
      <c r="X139" s="8">
        <v>0</v>
      </c>
      <c r="Y139" s="11">
        <f t="shared" si="673"/>
        <v>0</v>
      </c>
      <c r="Z139" s="8">
        <v>0</v>
      </c>
      <c r="AA139" s="11">
        <f t="shared" si="674"/>
        <v>0</v>
      </c>
      <c r="AB139" s="8">
        <v>0</v>
      </c>
      <c r="AC139" s="11">
        <f t="shared" si="675"/>
        <v>0</v>
      </c>
      <c r="AD139" s="8">
        <v>0</v>
      </c>
      <c r="AE139" s="11">
        <f t="shared" si="676"/>
        <v>0</v>
      </c>
      <c r="AF139" s="8">
        <v>0</v>
      </c>
      <c r="AG139" s="11">
        <f t="shared" si="677"/>
        <v>0</v>
      </c>
      <c r="AH139" s="8">
        <v>25558.35</v>
      </c>
      <c r="AI139" s="9">
        <f t="shared" si="678"/>
        <v>24.910672514619883</v>
      </c>
      <c r="AJ139" s="8">
        <v>761</v>
      </c>
      <c r="AK139" s="11">
        <f t="shared" si="679"/>
        <v>0.74171539961013644</v>
      </c>
      <c r="AL139" s="8">
        <v>122016.3915</v>
      </c>
      <c r="AM139" s="9">
        <f t="shared" si="680"/>
        <v>118.9243581871345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310154.23999999999</v>
      </c>
      <c r="AT139" s="8">
        <v>0</v>
      </c>
      <c r="AU139" s="9">
        <f t="shared" si="681"/>
        <v>457728.98149999999</v>
      </c>
      <c r="AV139" s="9">
        <f t="shared" si="682"/>
        <v>446.12961159844053</v>
      </c>
      <c r="AW139" s="9">
        <f t="shared" si="683"/>
        <v>588.34059318766072</v>
      </c>
      <c r="AX139" s="8">
        <v>0</v>
      </c>
      <c r="AY139" s="9">
        <f t="shared" si="684"/>
        <v>0</v>
      </c>
      <c r="AZ139" s="8">
        <v>2</v>
      </c>
      <c r="BA139" s="8">
        <v>0</v>
      </c>
      <c r="BB139" s="8">
        <v>0</v>
      </c>
      <c r="BC139" s="8">
        <v>0</v>
      </c>
      <c r="BD139" s="8">
        <v>0</v>
      </c>
      <c r="BE139" s="9">
        <f t="shared" si="685"/>
        <v>0</v>
      </c>
      <c r="BF139" s="9">
        <f t="shared" si="686"/>
        <v>0</v>
      </c>
      <c r="BG139" s="8">
        <v>0</v>
      </c>
      <c r="BH139" s="8">
        <v>0</v>
      </c>
      <c r="BI139" s="8">
        <v>0</v>
      </c>
      <c r="BJ139" s="8">
        <v>0</v>
      </c>
      <c r="BK139" s="9">
        <f t="shared" si="687"/>
        <v>0</v>
      </c>
      <c r="BL139" s="9">
        <f t="shared" si="688"/>
        <v>0</v>
      </c>
      <c r="BM139" s="8">
        <v>0</v>
      </c>
      <c r="BN139" s="8">
        <v>0</v>
      </c>
      <c r="BO139" s="8">
        <v>0</v>
      </c>
      <c r="BP139" s="8">
        <v>0</v>
      </c>
      <c r="BQ139" s="9">
        <f t="shared" si="689"/>
        <v>0</v>
      </c>
      <c r="BR139" s="9">
        <f t="shared" si="690"/>
        <v>0</v>
      </c>
      <c r="BS139" s="8">
        <v>0</v>
      </c>
      <c r="BT139" s="8">
        <v>0</v>
      </c>
      <c r="BU139" s="8">
        <v>0</v>
      </c>
      <c r="BV139" s="8">
        <v>0</v>
      </c>
      <c r="BW139" s="9">
        <f t="shared" si="691"/>
        <v>0</v>
      </c>
      <c r="BX139" s="9">
        <f t="shared" si="692"/>
        <v>0</v>
      </c>
      <c r="BY139" s="9">
        <f t="shared" si="693"/>
        <v>0</v>
      </c>
      <c r="BZ139" s="9">
        <f t="shared" si="694"/>
        <v>0</v>
      </c>
      <c r="CA139" s="9">
        <f t="shared" si="695"/>
        <v>0</v>
      </c>
      <c r="CB139" s="9">
        <f t="shared" si="696"/>
        <v>0</v>
      </c>
      <c r="CC139" s="8">
        <v>0</v>
      </c>
      <c r="CD139" s="8">
        <v>14</v>
      </c>
      <c r="CE139" s="8">
        <v>0</v>
      </c>
      <c r="CF139" s="8">
        <v>2</v>
      </c>
      <c r="CG139" s="8">
        <v>0</v>
      </c>
      <c r="CH139" s="9">
        <f t="shared" si="697"/>
        <v>16</v>
      </c>
      <c r="CI139" s="8">
        <v>0</v>
      </c>
      <c r="CJ139" s="8">
        <v>0</v>
      </c>
      <c r="CK139" s="8">
        <v>0</v>
      </c>
      <c r="CL139" s="8">
        <v>0</v>
      </c>
      <c r="CM139" s="9">
        <f t="shared" si="698"/>
        <v>0</v>
      </c>
      <c r="CN139" s="8">
        <v>42</v>
      </c>
      <c r="CO139" s="8">
        <v>8</v>
      </c>
      <c r="CP139" s="8">
        <v>0</v>
      </c>
      <c r="CQ139" s="8">
        <v>0</v>
      </c>
      <c r="CR139" s="9">
        <f t="shared" si="699"/>
        <v>50</v>
      </c>
      <c r="CS139" s="9">
        <f t="shared" si="700"/>
        <v>50</v>
      </c>
      <c r="CT139" s="8">
        <v>66</v>
      </c>
      <c r="CU139" s="8">
        <v>1258</v>
      </c>
      <c r="CV139" s="8">
        <v>1032</v>
      </c>
      <c r="CW139" s="10">
        <f t="shared" si="701"/>
        <v>0.82034976152623207</v>
      </c>
      <c r="CX139" s="8">
        <v>0</v>
      </c>
      <c r="CY139" s="8">
        <v>0</v>
      </c>
      <c r="CZ139" s="8">
        <v>0</v>
      </c>
      <c r="DA139" s="8">
        <v>0</v>
      </c>
      <c r="DB139" s="9">
        <f t="shared" si="702"/>
        <v>0</v>
      </c>
      <c r="DC139" s="8">
        <v>0</v>
      </c>
      <c r="DD139" s="8">
        <v>0</v>
      </c>
      <c r="DE139" s="8">
        <v>0</v>
      </c>
      <c r="DF139" s="8">
        <v>0</v>
      </c>
      <c r="DG139" s="9">
        <f t="shared" si="703"/>
        <v>0</v>
      </c>
      <c r="DH139" s="8">
        <v>0</v>
      </c>
      <c r="DI139" s="8">
        <v>0</v>
      </c>
      <c r="DJ139" s="8">
        <v>0</v>
      </c>
      <c r="DK139" s="8">
        <v>0</v>
      </c>
      <c r="DL139" s="9">
        <f t="shared" si="704"/>
        <v>0</v>
      </c>
      <c r="DM139" s="8">
        <v>0</v>
      </c>
      <c r="DN139" s="8">
        <v>0</v>
      </c>
      <c r="DO139" s="8">
        <v>0</v>
      </c>
      <c r="DP139" s="8">
        <v>0</v>
      </c>
      <c r="DQ139" s="9">
        <f t="shared" si="705"/>
        <v>0</v>
      </c>
      <c r="DR139" s="9">
        <f t="shared" si="706"/>
        <v>0</v>
      </c>
      <c r="DS139" s="9">
        <f t="shared" si="707"/>
        <v>0</v>
      </c>
      <c r="DT139" s="9">
        <f t="shared" si="708"/>
        <v>0</v>
      </c>
      <c r="DU139" s="9">
        <f t="shared" si="709"/>
        <v>0</v>
      </c>
      <c r="DV139" s="9">
        <f t="shared" si="710"/>
        <v>0</v>
      </c>
      <c r="DW139" s="8">
        <v>4</v>
      </c>
      <c r="DX139" s="8">
        <v>2</v>
      </c>
      <c r="DY139" s="8">
        <v>1</v>
      </c>
      <c r="DZ139" s="8">
        <v>1</v>
      </c>
      <c r="EA139" s="8">
        <v>0</v>
      </c>
      <c r="EB139" s="8">
        <v>0</v>
      </c>
      <c r="EC139" s="8">
        <v>0</v>
      </c>
      <c r="ED139" s="8">
        <v>0</v>
      </c>
      <c r="EE139" s="8">
        <v>0</v>
      </c>
      <c r="EF139" s="8">
        <v>0</v>
      </c>
      <c r="EG139" s="8">
        <v>0</v>
      </c>
      <c r="EH139" s="8">
        <v>0</v>
      </c>
      <c r="EI139" s="8">
        <v>0</v>
      </c>
      <c r="EJ139" s="8">
        <v>0</v>
      </c>
      <c r="EK139" s="8">
        <v>0</v>
      </c>
      <c r="EL139" s="8">
        <v>0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8">
        <v>0</v>
      </c>
      <c r="ES139" s="8">
        <v>0</v>
      </c>
      <c r="ET139" s="8">
        <v>0</v>
      </c>
      <c r="EU139" s="8">
        <v>0</v>
      </c>
      <c r="EV139" s="8">
        <v>0</v>
      </c>
      <c r="EW139" s="8">
        <v>0</v>
      </c>
      <c r="EX139" s="8">
        <v>0</v>
      </c>
      <c r="EY139" s="8">
        <v>0</v>
      </c>
      <c r="EZ139" s="8">
        <v>0</v>
      </c>
      <c r="FA139" s="8">
        <v>0</v>
      </c>
      <c r="FB139" s="8">
        <v>0</v>
      </c>
      <c r="FC139" s="8">
        <v>0</v>
      </c>
      <c r="FD139" s="8">
        <v>0</v>
      </c>
      <c r="FE139" s="8">
        <v>0</v>
      </c>
      <c r="FF139" s="8">
        <v>0</v>
      </c>
      <c r="FG139" s="9">
        <f t="shared" si="711"/>
        <v>8</v>
      </c>
      <c r="FH139" s="8">
        <v>3</v>
      </c>
      <c r="FI139" s="8">
        <v>4</v>
      </c>
      <c r="FJ139" s="8">
        <v>24</v>
      </c>
      <c r="FK139" s="8">
        <v>12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9">
        <f t="shared" si="712"/>
        <v>0</v>
      </c>
      <c r="FR139" s="8">
        <v>0</v>
      </c>
      <c r="FS139" s="8">
        <v>0</v>
      </c>
      <c r="FT139" s="8">
        <v>0</v>
      </c>
      <c r="FU139" s="8">
        <v>0</v>
      </c>
      <c r="FV139" s="9">
        <f t="shared" si="713"/>
        <v>0</v>
      </c>
      <c r="FW139" s="8">
        <v>227800</v>
      </c>
      <c r="FX139" s="8">
        <v>0</v>
      </c>
      <c r="FY139" s="8">
        <v>0</v>
      </c>
      <c r="FZ139" s="8">
        <v>0</v>
      </c>
      <c r="GA139" s="9">
        <f t="shared" si="714"/>
        <v>227800</v>
      </c>
      <c r="GB139" s="9">
        <f t="shared" si="715"/>
        <v>227800</v>
      </c>
      <c r="GC139" s="8">
        <v>0</v>
      </c>
      <c r="GD139" s="8">
        <v>0</v>
      </c>
      <c r="GE139" s="8">
        <v>0</v>
      </c>
      <c r="GF139" s="8">
        <v>0</v>
      </c>
      <c r="GG139" s="9">
        <f t="shared" si="716"/>
        <v>0</v>
      </c>
      <c r="GH139" s="8">
        <v>0</v>
      </c>
      <c r="GI139" s="8">
        <v>0</v>
      </c>
      <c r="GJ139" s="8">
        <v>0</v>
      </c>
      <c r="GK139" s="8">
        <v>0</v>
      </c>
      <c r="GL139" s="9">
        <f t="shared" si="717"/>
        <v>0</v>
      </c>
      <c r="GM139" s="9">
        <f t="shared" si="718"/>
        <v>0</v>
      </c>
      <c r="GN139" s="8">
        <v>0</v>
      </c>
      <c r="GO139" s="8">
        <v>0</v>
      </c>
      <c r="GP139" s="8">
        <v>0</v>
      </c>
      <c r="GQ139" s="8">
        <v>0</v>
      </c>
      <c r="GR139" s="9">
        <f t="shared" si="719"/>
        <v>0</v>
      </c>
      <c r="GS139" s="8">
        <v>0</v>
      </c>
      <c r="GT139" s="8">
        <v>0</v>
      </c>
      <c r="GU139" s="8">
        <v>0</v>
      </c>
      <c r="GV139" s="8">
        <v>0</v>
      </c>
      <c r="GW139" s="9">
        <f t="shared" si="720"/>
        <v>0</v>
      </c>
      <c r="GX139" s="9">
        <f t="shared" si="721"/>
        <v>0</v>
      </c>
      <c r="GY139" s="8">
        <v>2518673.2799999998</v>
      </c>
      <c r="GZ139" s="8">
        <v>0</v>
      </c>
      <c r="HA139" s="9">
        <f t="shared" si="722"/>
        <v>2518673.2799999998</v>
      </c>
      <c r="HB139" s="9" t="str">
        <f t="shared" si="723"/>
        <v/>
      </c>
      <c r="HC139" s="10">
        <f t="shared" si="724"/>
        <v>9.0444442242226836E-2</v>
      </c>
      <c r="HD139" s="9" t="str">
        <f t="shared" si="725"/>
        <v/>
      </c>
      <c r="HE139" s="8">
        <v>0</v>
      </c>
      <c r="HF139" s="8">
        <v>0</v>
      </c>
      <c r="HG139" s="8">
        <v>0</v>
      </c>
      <c r="HH139" s="8">
        <v>0</v>
      </c>
      <c r="HI139" s="8">
        <v>0</v>
      </c>
      <c r="HJ139" s="9">
        <f t="shared" si="726"/>
        <v>0</v>
      </c>
      <c r="HK139" s="10" t="str">
        <f t="shared" si="727"/>
        <v/>
      </c>
      <c r="HL139" s="8">
        <v>3</v>
      </c>
      <c r="HM139" s="8">
        <v>1</v>
      </c>
      <c r="HN139" s="11">
        <f t="shared" si="728"/>
        <v>0.33333333333333331</v>
      </c>
    </row>
    <row r="140" spans="1:222" x14ac:dyDescent="0.3">
      <c r="A140" s="12" t="s">
        <v>280</v>
      </c>
      <c r="B140" s="12" t="s">
        <v>284</v>
      </c>
      <c r="C140" s="13" t="s">
        <v>257</v>
      </c>
      <c r="D140" s="13">
        <v>2025</v>
      </c>
      <c r="E140" s="13">
        <v>9</v>
      </c>
      <c r="F140" s="13" t="s">
        <v>265</v>
      </c>
      <c r="G140" s="13" t="s">
        <v>263</v>
      </c>
      <c r="H140" s="14">
        <v>1021</v>
      </c>
      <c r="I140" s="14">
        <v>0</v>
      </c>
      <c r="J140" s="14">
        <v>0</v>
      </c>
      <c r="K140" s="14">
        <v>0</v>
      </c>
      <c r="L140" s="14">
        <v>0</v>
      </c>
      <c r="M140" s="15">
        <f t="shared" si="668"/>
        <v>0</v>
      </c>
      <c r="N140" s="14">
        <v>221</v>
      </c>
      <c r="O140" s="14">
        <v>0</v>
      </c>
      <c r="P140" s="14">
        <v>507</v>
      </c>
      <c r="Q140" s="14">
        <v>0</v>
      </c>
      <c r="R140" s="15">
        <f t="shared" si="669"/>
        <v>728</v>
      </c>
      <c r="S140" s="15">
        <f t="shared" si="670"/>
        <v>728</v>
      </c>
      <c r="T140" s="14">
        <v>293</v>
      </c>
      <c r="U140" s="16">
        <f t="shared" si="671"/>
        <v>0.28697355533790403</v>
      </c>
      <c r="V140" s="14">
        <v>5</v>
      </c>
      <c r="W140" s="17">
        <f t="shared" si="672"/>
        <v>4.8971596474045058E-3</v>
      </c>
      <c r="X140" s="14">
        <v>0</v>
      </c>
      <c r="Y140" s="17">
        <f t="shared" si="673"/>
        <v>0</v>
      </c>
      <c r="Z140" s="14">
        <v>0</v>
      </c>
      <c r="AA140" s="17">
        <f t="shared" si="674"/>
        <v>0</v>
      </c>
      <c r="AB140" s="14">
        <v>0</v>
      </c>
      <c r="AC140" s="17">
        <f t="shared" si="675"/>
        <v>0</v>
      </c>
      <c r="AD140" s="14">
        <v>0</v>
      </c>
      <c r="AE140" s="17">
        <f t="shared" si="676"/>
        <v>0</v>
      </c>
      <c r="AF140" s="14">
        <v>0</v>
      </c>
      <c r="AG140" s="17">
        <f t="shared" si="677"/>
        <v>0</v>
      </c>
      <c r="AH140" s="14">
        <v>25558.35</v>
      </c>
      <c r="AI140" s="15">
        <f t="shared" si="678"/>
        <v>25.032664054848187</v>
      </c>
      <c r="AJ140" s="14">
        <v>680</v>
      </c>
      <c r="AK140" s="17">
        <f t="shared" si="679"/>
        <v>0.66601371204701276</v>
      </c>
      <c r="AL140" s="14">
        <v>110777.52</v>
      </c>
      <c r="AM140" s="15">
        <f t="shared" si="680"/>
        <v>108.49904015670911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290769.59999999998</v>
      </c>
      <c r="AT140" s="14">
        <v>0</v>
      </c>
      <c r="AU140" s="15">
        <f t="shared" si="681"/>
        <v>427105.47</v>
      </c>
      <c r="AV140" s="15">
        <f t="shared" si="682"/>
        <v>418.32073457394711</v>
      </c>
      <c r="AW140" s="15">
        <f t="shared" si="683"/>
        <v>586.68333791208784</v>
      </c>
      <c r="AX140" s="14">
        <v>0</v>
      </c>
      <c r="AY140" s="15">
        <f t="shared" si="684"/>
        <v>0</v>
      </c>
      <c r="AZ140" s="14">
        <v>2</v>
      </c>
      <c r="BA140" s="14">
        <v>0</v>
      </c>
      <c r="BB140" s="14">
        <v>0</v>
      </c>
      <c r="BC140" s="14">
        <v>0</v>
      </c>
      <c r="BD140" s="14">
        <v>0</v>
      </c>
      <c r="BE140" s="15">
        <f t="shared" si="685"/>
        <v>0</v>
      </c>
      <c r="BF140" s="15">
        <f t="shared" si="686"/>
        <v>0</v>
      </c>
      <c r="BG140" s="14">
        <v>0</v>
      </c>
      <c r="BH140" s="14">
        <v>0</v>
      </c>
      <c r="BI140" s="14">
        <v>0</v>
      </c>
      <c r="BJ140" s="14">
        <v>0</v>
      </c>
      <c r="BK140" s="15">
        <f t="shared" si="687"/>
        <v>0</v>
      </c>
      <c r="BL140" s="15">
        <f t="shared" si="688"/>
        <v>0</v>
      </c>
      <c r="BM140" s="14">
        <v>0</v>
      </c>
      <c r="BN140" s="14">
        <v>0</v>
      </c>
      <c r="BO140" s="14">
        <v>0</v>
      </c>
      <c r="BP140" s="14">
        <v>0</v>
      </c>
      <c r="BQ140" s="15">
        <f t="shared" si="689"/>
        <v>0</v>
      </c>
      <c r="BR140" s="15">
        <f t="shared" si="690"/>
        <v>0</v>
      </c>
      <c r="BS140" s="14">
        <v>0</v>
      </c>
      <c r="BT140" s="14">
        <v>0</v>
      </c>
      <c r="BU140" s="14">
        <v>0</v>
      </c>
      <c r="BV140" s="14">
        <v>0</v>
      </c>
      <c r="BW140" s="15">
        <f t="shared" si="691"/>
        <v>0</v>
      </c>
      <c r="BX140" s="15">
        <f t="shared" si="692"/>
        <v>0</v>
      </c>
      <c r="BY140" s="15">
        <f t="shared" si="693"/>
        <v>0</v>
      </c>
      <c r="BZ140" s="15">
        <f t="shared" si="694"/>
        <v>0</v>
      </c>
      <c r="CA140" s="15">
        <f t="shared" si="695"/>
        <v>0</v>
      </c>
      <c r="CB140" s="15">
        <f t="shared" si="696"/>
        <v>0</v>
      </c>
      <c r="CC140" s="14">
        <v>0</v>
      </c>
      <c r="CD140" s="14">
        <v>14</v>
      </c>
      <c r="CE140" s="14">
        <v>0</v>
      </c>
      <c r="CF140" s="14">
        <v>2</v>
      </c>
      <c r="CG140" s="14">
        <v>0</v>
      </c>
      <c r="CH140" s="15">
        <f t="shared" si="697"/>
        <v>16</v>
      </c>
      <c r="CI140" s="14">
        <v>0</v>
      </c>
      <c r="CJ140" s="14">
        <v>0</v>
      </c>
      <c r="CK140" s="14">
        <v>0</v>
      </c>
      <c r="CL140" s="14">
        <v>0</v>
      </c>
      <c r="CM140" s="15">
        <f t="shared" si="698"/>
        <v>0</v>
      </c>
      <c r="CN140" s="14">
        <v>42</v>
      </c>
      <c r="CO140" s="14">
        <v>8</v>
      </c>
      <c r="CP140" s="14">
        <v>0</v>
      </c>
      <c r="CQ140" s="14">
        <v>0</v>
      </c>
      <c r="CR140" s="15">
        <f t="shared" si="699"/>
        <v>50</v>
      </c>
      <c r="CS140" s="15">
        <f t="shared" si="700"/>
        <v>50</v>
      </c>
      <c r="CT140" s="14">
        <v>66</v>
      </c>
      <c r="CU140" s="14">
        <v>1258</v>
      </c>
      <c r="CV140" s="14">
        <v>1032</v>
      </c>
      <c r="CW140" s="16">
        <f t="shared" si="701"/>
        <v>0.82034976152623207</v>
      </c>
      <c r="CX140" s="14"/>
      <c r="CY140" s="14">
        <v>2</v>
      </c>
      <c r="CZ140" s="14">
        <v>2</v>
      </c>
      <c r="DA140" s="14"/>
      <c r="DB140" s="15">
        <f t="shared" si="702"/>
        <v>0</v>
      </c>
      <c r="DC140" s="14">
        <v>0</v>
      </c>
      <c r="DD140" s="14">
        <v>0</v>
      </c>
      <c r="DE140" s="14">
        <v>0</v>
      </c>
      <c r="DF140" s="14">
        <v>0</v>
      </c>
      <c r="DG140" s="15">
        <f t="shared" si="703"/>
        <v>0</v>
      </c>
      <c r="DH140" s="14">
        <v>0</v>
      </c>
      <c r="DI140" s="14">
        <v>0</v>
      </c>
      <c r="DJ140" s="14">
        <v>0</v>
      </c>
      <c r="DK140" s="14">
        <v>0</v>
      </c>
      <c r="DL140" s="15">
        <f t="shared" si="704"/>
        <v>0</v>
      </c>
      <c r="DM140" s="14">
        <v>0</v>
      </c>
      <c r="DN140" s="14">
        <v>0</v>
      </c>
      <c r="DO140" s="14">
        <v>0</v>
      </c>
      <c r="DP140" s="14">
        <v>0</v>
      </c>
      <c r="DQ140" s="15">
        <f t="shared" si="705"/>
        <v>0</v>
      </c>
      <c r="DR140" s="15">
        <f t="shared" si="706"/>
        <v>0</v>
      </c>
      <c r="DS140" s="15">
        <f t="shared" si="707"/>
        <v>2</v>
      </c>
      <c r="DT140" s="15">
        <f t="shared" si="708"/>
        <v>2</v>
      </c>
      <c r="DU140" s="15">
        <f t="shared" si="709"/>
        <v>0</v>
      </c>
      <c r="DV140" s="15">
        <f t="shared" si="710"/>
        <v>0</v>
      </c>
      <c r="DW140" s="14">
        <v>7</v>
      </c>
      <c r="DX140" s="14">
        <v>7</v>
      </c>
      <c r="DY140" s="14">
        <v>0</v>
      </c>
      <c r="DZ140" s="14">
        <v>0</v>
      </c>
      <c r="EA140" s="14">
        <v>0</v>
      </c>
      <c r="EB140" s="14">
        <v>2</v>
      </c>
      <c r="EC140" s="14">
        <v>0</v>
      </c>
      <c r="ED140" s="14">
        <v>0</v>
      </c>
      <c r="EE140" s="14">
        <v>0</v>
      </c>
      <c r="EF140" s="14">
        <v>0</v>
      </c>
      <c r="EG140" s="14">
        <v>0</v>
      </c>
      <c r="EH140" s="14">
        <v>0</v>
      </c>
      <c r="EI140" s="14">
        <v>0</v>
      </c>
      <c r="EJ140" s="14">
        <v>0</v>
      </c>
      <c r="EK140" s="14">
        <v>0</v>
      </c>
      <c r="EL140" s="14">
        <v>0</v>
      </c>
      <c r="EM140" s="14">
        <v>0</v>
      </c>
      <c r="EN140" s="14">
        <v>0</v>
      </c>
      <c r="EO140" s="14">
        <v>0</v>
      </c>
      <c r="EP140" s="14">
        <v>0</v>
      </c>
      <c r="EQ140" s="14">
        <v>0</v>
      </c>
      <c r="ER140" s="14">
        <v>0</v>
      </c>
      <c r="ES140" s="14">
        <v>0</v>
      </c>
      <c r="ET140" s="14">
        <v>0</v>
      </c>
      <c r="EU140" s="14">
        <v>0</v>
      </c>
      <c r="EV140" s="14">
        <v>0</v>
      </c>
      <c r="EW140" s="14">
        <v>0</v>
      </c>
      <c r="EX140" s="14">
        <v>0</v>
      </c>
      <c r="EY140" s="14">
        <v>0</v>
      </c>
      <c r="EZ140" s="14">
        <v>0</v>
      </c>
      <c r="FA140" s="14">
        <v>0</v>
      </c>
      <c r="FB140" s="14">
        <v>0</v>
      </c>
      <c r="FC140" s="14">
        <v>0</v>
      </c>
      <c r="FD140" s="14">
        <v>0</v>
      </c>
      <c r="FE140" s="14">
        <v>0</v>
      </c>
      <c r="FF140" s="14">
        <v>0</v>
      </c>
      <c r="FG140" s="15">
        <f t="shared" si="711"/>
        <v>16</v>
      </c>
      <c r="FH140" s="14">
        <v>7</v>
      </c>
      <c r="FI140" s="14">
        <v>7</v>
      </c>
      <c r="FJ140" s="14">
        <v>24</v>
      </c>
      <c r="FK140" s="14">
        <v>49</v>
      </c>
      <c r="FL140" s="14">
        <v>49</v>
      </c>
      <c r="FM140" s="14">
        <v>0</v>
      </c>
      <c r="FN140" s="14">
        <v>0</v>
      </c>
      <c r="FO140" s="14">
        <v>0</v>
      </c>
      <c r="FP140" s="14">
        <v>0</v>
      </c>
      <c r="FQ140" s="15">
        <f t="shared" si="712"/>
        <v>49</v>
      </c>
      <c r="FR140" s="14">
        <v>0</v>
      </c>
      <c r="FS140" s="14">
        <v>0</v>
      </c>
      <c r="FT140" s="14">
        <v>0</v>
      </c>
      <c r="FU140" s="14">
        <v>0</v>
      </c>
      <c r="FV140" s="15">
        <f t="shared" si="713"/>
        <v>0</v>
      </c>
      <c r="FW140" s="14">
        <v>202170</v>
      </c>
      <c r="FX140" s="14">
        <v>0</v>
      </c>
      <c r="FY140" s="14">
        <v>0</v>
      </c>
      <c r="FZ140" s="14">
        <v>0</v>
      </c>
      <c r="GA140" s="15">
        <f t="shared" si="714"/>
        <v>202170</v>
      </c>
      <c r="GB140" s="15">
        <f t="shared" si="715"/>
        <v>202170</v>
      </c>
      <c r="GC140" s="14">
        <v>0</v>
      </c>
      <c r="GD140" s="14">
        <v>0</v>
      </c>
      <c r="GE140" s="14">
        <v>0</v>
      </c>
      <c r="GF140" s="14">
        <v>0</v>
      </c>
      <c r="GG140" s="15">
        <f t="shared" si="716"/>
        <v>0</v>
      </c>
      <c r="GH140" s="14">
        <v>0</v>
      </c>
      <c r="GI140" s="14">
        <v>0</v>
      </c>
      <c r="GJ140" s="14">
        <v>0</v>
      </c>
      <c r="GK140" s="14">
        <v>0</v>
      </c>
      <c r="GL140" s="15">
        <f t="shared" si="717"/>
        <v>0</v>
      </c>
      <c r="GM140" s="15">
        <f t="shared" si="718"/>
        <v>0</v>
      </c>
      <c r="GN140" s="14">
        <v>0</v>
      </c>
      <c r="GO140" s="14">
        <v>0</v>
      </c>
      <c r="GP140" s="14">
        <v>0</v>
      </c>
      <c r="GQ140" s="14">
        <v>0</v>
      </c>
      <c r="GR140" s="15">
        <f t="shared" si="719"/>
        <v>0</v>
      </c>
      <c r="GS140" s="14">
        <v>0</v>
      </c>
      <c r="GT140" s="14">
        <v>0</v>
      </c>
      <c r="GU140" s="14">
        <v>0</v>
      </c>
      <c r="GV140" s="14">
        <v>0</v>
      </c>
      <c r="GW140" s="15">
        <f t="shared" si="720"/>
        <v>0</v>
      </c>
      <c r="GX140" s="15">
        <f t="shared" si="721"/>
        <v>0</v>
      </c>
      <c r="GY140" s="14">
        <v>2518673.2799999998</v>
      </c>
      <c r="GZ140" s="14">
        <v>0</v>
      </c>
      <c r="HA140" s="15">
        <f t="shared" si="722"/>
        <v>2518673.2799999998</v>
      </c>
      <c r="HB140" s="15" t="str">
        <f t="shared" si="723"/>
        <v/>
      </c>
      <c r="HC140" s="16">
        <f t="shared" si="724"/>
        <v>8.0268449903911326E-2</v>
      </c>
      <c r="HD140" s="15" t="str">
        <f t="shared" si="725"/>
        <v/>
      </c>
      <c r="HE140" s="14">
        <v>0</v>
      </c>
      <c r="HF140" s="14">
        <v>0</v>
      </c>
      <c r="HG140" s="14">
        <v>0</v>
      </c>
      <c r="HH140" s="14">
        <v>0</v>
      </c>
      <c r="HI140" s="14">
        <v>0</v>
      </c>
      <c r="HJ140" s="15">
        <f t="shared" si="726"/>
        <v>0</v>
      </c>
      <c r="HK140" s="16" t="str">
        <f t="shared" si="727"/>
        <v/>
      </c>
      <c r="HL140" s="14">
        <v>2</v>
      </c>
      <c r="HM140" s="14">
        <v>1</v>
      </c>
      <c r="HN140" s="17">
        <f t="shared" si="728"/>
        <v>0.5</v>
      </c>
    </row>
    <row r="141" spans="1:222" x14ac:dyDescent="0.3">
      <c r="A141" s="6" t="s">
        <v>280</v>
      </c>
      <c r="B141" s="6" t="s">
        <v>284</v>
      </c>
      <c r="C141" s="7" t="s">
        <v>257</v>
      </c>
      <c r="D141" s="7">
        <v>2025</v>
      </c>
      <c r="E141" s="7">
        <v>10</v>
      </c>
      <c r="F141" s="7" t="s">
        <v>266</v>
      </c>
      <c r="G141" s="7" t="s">
        <v>267</v>
      </c>
      <c r="H141" s="8">
        <v>1050</v>
      </c>
      <c r="I141" s="8">
        <v>0</v>
      </c>
      <c r="J141" s="8">
        <v>0</v>
      </c>
      <c r="K141" s="8">
        <v>0</v>
      </c>
      <c r="L141" s="8">
        <v>0</v>
      </c>
      <c r="M141" s="9">
        <f t="shared" si="668"/>
        <v>0</v>
      </c>
      <c r="N141" s="8">
        <v>349</v>
      </c>
      <c r="O141" s="8">
        <v>0</v>
      </c>
      <c r="P141" s="8">
        <v>498</v>
      </c>
      <c r="Q141" s="8">
        <v>0</v>
      </c>
      <c r="R141" s="9">
        <f t="shared" si="669"/>
        <v>847</v>
      </c>
      <c r="S141" s="9">
        <f t="shared" si="670"/>
        <v>847</v>
      </c>
      <c r="T141" s="8">
        <v>203</v>
      </c>
      <c r="U141" s="10">
        <f t="shared" si="671"/>
        <v>0.19333333333333333</v>
      </c>
      <c r="V141" s="8">
        <v>4</v>
      </c>
      <c r="W141" s="11">
        <f t="shared" si="672"/>
        <v>3.8095238095238095E-3</v>
      </c>
      <c r="X141" s="8">
        <v>0</v>
      </c>
      <c r="Y141" s="11">
        <f t="shared" si="673"/>
        <v>0</v>
      </c>
      <c r="Z141" s="8">
        <v>0</v>
      </c>
      <c r="AA141" s="11">
        <f t="shared" si="674"/>
        <v>0</v>
      </c>
      <c r="AB141" s="8">
        <v>0</v>
      </c>
      <c r="AC141" s="11">
        <f t="shared" si="675"/>
        <v>0</v>
      </c>
      <c r="AD141" s="8">
        <v>0</v>
      </c>
      <c r="AE141" s="11">
        <f t="shared" si="676"/>
        <v>0</v>
      </c>
      <c r="AF141" s="8">
        <v>0</v>
      </c>
      <c r="AG141" s="11">
        <f t="shared" si="677"/>
        <v>0</v>
      </c>
      <c r="AH141" s="8">
        <v>20446.68</v>
      </c>
      <c r="AI141" s="9">
        <f t="shared" si="678"/>
        <v>19.473028571428571</v>
      </c>
      <c r="AJ141" s="8">
        <v>595</v>
      </c>
      <c r="AK141" s="11">
        <f t="shared" si="679"/>
        <v>0.56666666666666665</v>
      </c>
      <c r="AL141" s="8">
        <v>98983.642500000002</v>
      </c>
      <c r="AM141" s="9">
        <f t="shared" si="680"/>
        <v>94.270135714285715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9">
        <f t="shared" si="681"/>
        <v>119430.32250000001</v>
      </c>
      <c r="AV141" s="9">
        <f t="shared" si="682"/>
        <v>113.7431642857143</v>
      </c>
      <c r="AW141" s="9">
        <f t="shared" si="683"/>
        <v>141.00392266824085</v>
      </c>
      <c r="AX141" s="8">
        <v>0</v>
      </c>
      <c r="AY141" s="9">
        <f t="shared" si="684"/>
        <v>0</v>
      </c>
      <c r="AZ141" s="8">
        <v>2</v>
      </c>
      <c r="BA141" s="8">
        <v>0</v>
      </c>
      <c r="BB141" s="8">
        <v>0</v>
      </c>
      <c r="BC141" s="8">
        <v>0</v>
      </c>
      <c r="BD141" s="8">
        <v>0</v>
      </c>
      <c r="BE141" s="9">
        <f t="shared" si="685"/>
        <v>0</v>
      </c>
      <c r="BF141" s="9">
        <f t="shared" si="686"/>
        <v>0</v>
      </c>
      <c r="BG141" s="8">
        <v>0</v>
      </c>
      <c r="BH141" s="8">
        <v>0</v>
      </c>
      <c r="BI141" s="8">
        <v>0</v>
      </c>
      <c r="BJ141" s="8">
        <v>0</v>
      </c>
      <c r="BK141" s="9">
        <f t="shared" si="687"/>
        <v>0</v>
      </c>
      <c r="BL141" s="9">
        <f t="shared" si="688"/>
        <v>0</v>
      </c>
      <c r="BM141" s="8">
        <v>0</v>
      </c>
      <c r="BN141" s="8">
        <v>0</v>
      </c>
      <c r="BO141" s="8">
        <v>0</v>
      </c>
      <c r="BP141" s="8">
        <v>0</v>
      </c>
      <c r="BQ141" s="9">
        <f t="shared" si="689"/>
        <v>0</v>
      </c>
      <c r="BR141" s="9">
        <f t="shared" si="690"/>
        <v>0</v>
      </c>
      <c r="BS141" s="8">
        <v>0</v>
      </c>
      <c r="BT141" s="8">
        <v>0</v>
      </c>
      <c r="BU141" s="8">
        <v>0</v>
      </c>
      <c r="BV141" s="8">
        <v>0</v>
      </c>
      <c r="BW141" s="9">
        <f t="shared" si="691"/>
        <v>0</v>
      </c>
      <c r="BX141" s="9">
        <f t="shared" si="692"/>
        <v>0</v>
      </c>
      <c r="BY141" s="9">
        <f t="shared" si="693"/>
        <v>0</v>
      </c>
      <c r="BZ141" s="9">
        <f t="shared" si="694"/>
        <v>0</v>
      </c>
      <c r="CA141" s="9">
        <f t="shared" si="695"/>
        <v>0</v>
      </c>
      <c r="CB141" s="9">
        <f t="shared" si="696"/>
        <v>0</v>
      </c>
      <c r="CC141" s="8">
        <v>0</v>
      </c>
      <c r="CD141" s="8">
        <v>14</v>
      </c>
      <c r="CE141" s="8">
        <v>0</v>
      </c>
      <c r="CF141" s="8">
        <v>2</v>
      </c>
      <c r="CG141" s="8">
        <v>0</v>
      </c>
      <c r="CH141" s="9">
        <f t="shared" si="697"/>
        <v>16</v>
      </c>
      <c r="CI141" s="8">
        <v>0</v>
      </c>
      <c r="CJ141" s="8">
        <v>0</v>
      </c>
      <c r="CK141" s="8">
        <v>0</v>
      </c>
      <c r="CL141" s="8">
        <v>0</v>
      </c>
      <c r="CM141" s="9">
        <f t="shared" si="698"/>
        <v>0</v>
      </c>
      <c r="CN141" s="8">
        <v>42</v>
      </c>
      <c r="CO141" s="8">
        <v>8</v>
      </c>
      <c r="CP141" s="8">
        <v>0</v>
      </c>
      <c r="CQ141" s="8">
        <v>0</v>
      </c>
      <c r="CR141" s="9">
        <f t="shared" si="699"/>
        <v>50</v>
      </c>
      <c r="CS141" s="9">
        <f t="shared" si="700"/>
        <v>50</v>
      </c>
      <c r="CT141" s="8">
        <v>66</v>
      </c>
      <c r="CU141" s="8">
        <v>1258</v>
      </c>
      <c r="CV141" s="8">
        <v>1032</v>
      </c>
      <c r="CW141" s="10">
        <f t="shared" si="701"/>
        <v>0.82034976152623207</v>
      </c>
      <c r="CX141" s="8"/>
      <c r="CY141" s="8"/>
      <c r="CZ141" s="8"/>
      <c r="DA141" s="8"/>
      <c r="DB141" s="9">
        <f t="shared" si="702"/>
        <v>0</v>
      </c>
      <c r="DC141" s="8">
        <v>0</v>
      </c>
      <c r="DD141" s="8">
        <v>0</v>
      </c>
      <c r="DE141" s="8">
        <v>0</v>
      </c>
      <c r="DF141" s="8">
        <v>0</v>
      </c>
      <c r="DG141" s="9">
        <f t="shared" si="703"/>
        <v>0</v>
      </c>
      <c r="DH141" s="8">
        <v>0</v>
      </c>
      <c r="DI141" s="8">
        <v>0</v>
      </c>
      <c r="DJ141" s="8">
        <v>0</v>
      </c>
      <c r="DK141" s="8">
        <v>0</v>
      </c>
      <c r="DL141" s="9">
        <f t="shared" si="704"/>
        <v>0</v>
      </c>
      <c r="DM141" s="8">
        <v>0</v>
      </c>
      <c r="DN141" s="8">
        <v>0</v>
      </c>
      <c r="DO141" s="8">
        <v>0</v>
      </c>
      <c r="DP141" s="8">
        <v>0</v>
      </c>
      <c r="DQ141" s="9">
        <f t="shared" si="705"/>
        <v>0</v>
      </c>
      <c r="DR141" s="9">
        <f t="shared" si="706"/>
        <v>0</v>
      </c>
      <c r="DS141" s="9">
        <f t="shared" si="707"/>
        <v>0</v>
      </c>
      <c r="DT141" s="9">
        <f t="shared" si="708"/>
        <v>0</v>
      </c>
      <c r="DU141" s="9">
        <f t="shared" si="709"/>
        <v>0</v>
      </c>
      <c r="DV141" s="9">
        <f t="shared" si="710"/>
        <v>0</v>
      </c>
      <c r="DW141" s="8">
        <v>5</v>
      </c>
      <c r="DX141" s="8">
        <v>5</v>
      </c>
      <c r="DY141" s="8">
        <v>1</v>
      </c>
      <c r="DZ141" s="8">
        <v>1</v>
      </c>
      <c r="EA141" s="8">
        <v>0</v>
      </c>
      <c r="EB141" s="8">
        <v>0</v>
      </c>
      <c r="EC141" s="8">
        <v>0</v>
      </c>
      <c r="ED141" s="8">
        <v>0</v>
      </c>
      <c r="EE141" s="8">
        <v>0</v>
      </c>
      <c r="EF141" s="8">
        <v>0</v>
      </c>
      <c r="EG141" s="8">
        <v>0</v>
      </c>
      <c r="EH141" s="8">
        <v>0</v>
      </c>
      <c r="EI141" s="8">
        <v>0</v>
      </c>
      <c r="EJ141" s="8">
        <v>0</v>
      </c>
      <c r="EK141" s="8">
        <v>0</v>
      </c>
      <c r="EL141" s="8">
        <v>0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8">
        <v>0</v>
      </c>
      <c r="ES141" s="8">
        <v>0</v>
      </c>
      <c r="ET141" s="8">
        <v>0</v>
      </c>
      <c r="EU141" s="8">
        <v>0</v>
      </c>
      <c r="EV141" s="8">
        <v>0</v>
      </c>
      <c r="EW141" s="8">
        <v>0</v>
      </c>
      <c r="EX141" s="8">
        <v>0</v>
      </c>
      <c r="EY141" s="8">
        <v>0</v>
      </c>
      <c r="EZ141" s="8">
        <v>0</v>
      </c>
      <c r="FA141" s="8">
        <v>0</v>
      </c>
      <c r="FB141" s="8">
        <v>0</v>
      </c>
      <c r="FC141" s="8">
        <v>0</v>
      </c>
      <c r="FD141" s="8">
        <v>0</v>
      </c>
      <c r="FE141" s="8">
        <v>0</v>
      </c>
      <c r="FF141" s="8">
        <v>0</v>
      </c>
      <c r="FG141" s="9">
        <f t="shared" si="711"/>
        <v>12</v>
      </c>
      <c r="FH141" s="8">
        <v>3</v>
      </c>
      <c r="FI141" s="8">
        <v>24</v>
      </c>
      <c r="FJ141" s="8">
        <v>23</v>
      </c>
      <c r="FK141" s="8">
        <v>72</v>
      </c>
      <c r="FL141" s="8">
        <v>72</v>
      </c>
      <c r="FM141" s="8">
        <v>0</v>
      </c>
      <c r="FN141" s="8">
        <v>0</v>
      </c>
      <c r="FO141" s="8">
        <v>0</v>
      </c>
      <c r="FP141" s="8">
        <v>0</v>
      </c>
      <c r="FQ141" s="9">
        <f t="shared" si="712"/>
        <v>72</v>
      </c>
      <c r="FR141" s="8">
        <v>0</v>
      </c>
      <c r="FS141" s="8">
        <v>0</v>
      </c>
      <c r="FT141" s="8">
        <v>0</v>
      </c>
      <c r="FU141" s="8">
        <v>0</v>
      </c>
      <c r="FV141" s="9">
        <f t="shared" si="713"/>
        <v>0</v>
      </c>
      <c r="FW141" s="8">
        <v>227900</v>
      </c>
      <c r="FX141" s="8">
        <v>0</v>
      </c>
      <c r="FY141" s="8">
        <v>0</v>
      </c>
      <c r="FZ141" s="8">
        <v>0</v>
      </c>
      <c r="GA141" s="9">
        <f t="shared" si="714"/>
        <v>227900</v>
      </c>
      <c r="GB141" s="9">
        <f t="shared" si="715"/>
        <v>227900</v>
      </c>
      <c r="GC141" s="8">
        <v>0</v>
      </c>
      <c r="GD141" s="8">
        <v>0</v>
      </c>
      <c r="GE141" s="8">
        <v>0</v>
      </c>
      <c r="GF141" s="8">
        <v>0</v>
      </c>
      <c r="GG141" s="9">
        <f t="shared" si="716"/>
        <v>0</v>
      </c>
      <c r="GH141" s="8">
        <v>0</v>
      </c>
      <c r="GI141" s="8">
        <v>0</v>
      </c>
      <c r="GJ141" s="8">
        <v>0</v>
      </c>
      <c r="GK141" s="8">
        <v>0</v>
      </c>
      <c r="GL141" s="9">
        <f t="shared" si="717"/>
        <v>0</v>
      </c>
      <c r="GM141" s="9">
        <f t="shared" si="718"/>
        <v>0</v>
      </c>
      <c r="GN141" s="8">
        <v>0</v>
      </c>
      <c r="GO141" s="8">
        <v>0</v>
      </c>
      <c r="GP141" s="8">
        <v>0</v>
      </c>
      <c r="GQ141" s="8">
        <v>0</v>
      </c>
      <c r="GR141" s="9">
        <f t="shared" si="719"/>
        <v>0</v>
      </c>
      <c r="GS141" s="8">
        <v>0</v>
      </c>
      <c r="GT141" s="8">
        <v>0</v>
      </c>
      <c r="GU141" s="8">
        <v>0</v>
      </c>
      <c r="GV141" s="8">
        <v>0</v>
      </c>
      <c r="GW141" s="9">
        <f t="shared" si="720"/>
        <v>0</v>
      </c>
      <c r="GX141" s="9">
        <f t="shared" si="721"/>
        <v>0</v>
      </c>
      <c r="GY141" s="8">
        <v>2518673.2799999998</v>
      </c>
      <c r="GZ141" s="8">
        <v>0</v>
      </c>
      <c r="HA141" s="9">
        <f t="shared" si="722"/>
        <v>2518673.2799999998</v>
      </c>
      <c r="HB141" s="9" t="str">
        <f t="shared" si="723"/>
        <v/>
      </c>
      <c r="HC141" s="10">
        <f t="shared" si="724"/>
        <v>9.0484145684826586E-2</v>
      </c>
      <c r="HD141" s="9" t="str">
        <f t="shared" si="725"/>
        <v/>
      </c>
      <c r="HE141" s="8">
        <v>0</v>
      </c>
      <c r="HF141" s="8">
        <v>0</v>
      </c>
      <c r="HG141" s="8">
        <v>0</v>
      </c>
      <c r="HH141" s="8">
        <v>0</v>
      </c>
      <c r="HI141" s="8">
        <v>0</v>
      </c>
      <c r="HJ141" s="9">
        <f t="shared" si="726"/>
        <v>0</v>
      </c>
      <c r="HK141" s="10" t="str">
        <f t="shared" si="727"/>
        <v/>
      </c>
      <c r="HL141" s="8">
        <v>5</v>
      </c>
      <c r="HM141" s="8">
        <v>3</v>
      </c>
      <c r="HN141" s="11">
        <f t="shared" si="728"/>
        <v>0.6</v>
      </c>
    </row>
    <row r="142" spans="1:222" x14ac:dyDescent="0.3">
      <c r="A142" s="12" t="s">
        <v>280</v>
      </c>
      <c r="B142" s="12" t="s">
        <v>284</v>
      </c>
      <c r="C142" s="13" t="s">
        <v>257</v>
      </c>
      <c r="D142" s="13">
        <v>2025</v>
      </c>
      <c r="E142" s="13">
        <v>11</v>
      </c>
      <c r="F142" s="13" t="s">
        <v>268</v>
      </c>
      <c r="G142" s="13" t="s">
        <v>267</v>
      </c>
      <c r="H142" s="14">
        <v>700</v>
      </c>
      <c r="I142" s="14">
        <v>0</v>
      </c>
      <c r="J142" s="14">
        <v>0</v>
      </c>
      <c r="K142" s="14">
        <v>0</v>
      </c>
      <c r="L142" s="14">
        <v>0</v>
      </c>
      <c r="M142" s="15">
        <f t="shared" si="668"/>
        <v>0</v>
      </c>
      <c r="N142" s="14">
        <v>368</v>
      </c>
      <c r="O142" s="14">
        <v>0</v>
      </c>
      <c r="P142" s="14">
        <v>124</v>
      </c>
      <c r="Q142" s="14">
        <v>0</v>
      </c>
      <c r="R142" s="15">
        <f t="shared" si="669"/>
        <v>492</v>
      </c>
      <c r="S142" s="15">
        <f t="shared" si="670"/>
        <v>492</v>
      </c>
      <c r="T142" s="14">
        <v>208</v>
      </c>
      <c r="U142" s="16">
        <f t="shared" si="671"/>
        <v>0.29714285714285715</v>
      </c>
      <c r="V142" s="14">
        <v>3</v>
      </c>
      <c r="W142" s="17">
        <f t="shared" si="672"/>
        <v>4.2857142857142859E-3</v>
      </c>
      <c r="X142" s="14">
        <v>0</v>
      </c>
      <c r="Y142" s="17">
        <f t="shared" si="673"/>
        <v>0</v>
      </c>
      <c r="Z142" s="14">
        <v>0</v>
      </c>
      <c r="AA142" s="17">
        <f t="shared" si="674"/>
        <v>0</v>
      </c>
      <c r="AB142" s="14">
        <v>0</v>
      </c>
      <c r="AC142" s="17">
        <f t="shared" si="675"/>
        <v>0</v>
      </c>
      <c r="AD142" s="14">
        <v>0</v>
      </c>
      <c r="AE142" s="17">
        <f t="shared" si="676"/>
        <v>0</v>
      </c>
      <c r="AF142" s="14">
        <v>0</v>
      </c>
      <c r="AG142" s="17">
        <f t="shared" si="677"/>
        <v>0</v>
      </c>
      <c r="AH142" s="14">
        <v>15335.01</v>
      </c>
      <c r="AI142" s="15">
        <f t="shared" si="678"/>
        <v>21.907157142857145</v>
      </c>
      <c r="AJ142" s="14">
        <v>500</v>
      </c>
      <c r="AK142" s="17">
        <f t="shared" si="679"/>
        <v>0.7142857142857143</v>
      </c>
      <c r="AL142" s="14">
        <v>85802.25</v>
      </c>
      <c r="AM142" s="15">
        <f t="shared" si="680"/>
        <v>122.57464285714286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5">
        <f t="shared" si="681"/>
        <v>101137.26</v>
      </c>
      <c r="AV142" s="15">
        <f t="shared" si="682"/>
        <v>144.48179999999999</v>
      </c>
      <c r="AW142" s="15">
        <f t="shared" si="683"/>
        <v>205.56353658536585</v>
      </c>
      <c r="AX142" s="14">
        <v>0</v>
      </c>
      <c r="AY142" s="15">
        <f t="shared" si="684"/>
        <v>0</v>
      </c>
      <c r="AZ142" s="14">
        <v>2</v>
      </c>
      <c r="BA142" s="14">
        <v>0</v>
      </c>
      <c r="BB142" s="14">
        <v>0</v>
      </c>
      <c r="BC142" s="14">
        <v>0</v>
      </c>
      <c r="BD142" s="14">
        <v>0</v>
      </c>
      <c r="BE142" s="15">
        <f t="shared" si="685"/>
        <v>0</v>
      </c>
      <c r="BF142" s="15">
        <f t="shared" si="686"/>
        <v>0</v>
      </c>
      <c r="BG142" s="14">
        <v>0</v>
      </c>
      <c r="BH142" s="14">
        <v>0</v>
      </c>
      <c r="BI142" s="14">
        <v>0</v>
      </c>
      <c r="BJ142" s="14">
        <v>0</v>
      </c>
      <c r="BK142" s="15">
        <f t="shared" si="687"/>
        <v>0</v>
      </c>
      <c r="BL142" s="15">
        <f t="shared" si="688"/>
        <v>0</v>
      </c>
      <c r="BM142" s="14">
        <v>0</v>
      </c>
      <c r="BN142" s="14">
        <v>0</v>
      </c>
      <c r="BO142" s="14">
        <v>0</v>
      </c>
      <c r="BP142" s="14">
        <v>0</v>
      </c>
      <c r="BQ142" s="15">
        <f t="shared" si="689"/>
        <v>0</v>
      </c>
      <c r="BR142" s="15">
        <f t="shared" si="690"/>
        <v>0</v>
      </c>
      <c r="BS142" s="14">
        <v>0</v>
      </c>
      <c r="BT142" s="14">
        <v>0</v>
      </c>
      <c r="BU142" s="14">
        <v>0</v>
      </c>
      <c r="BV142" s="14">
        <v>0</v>
      </c>
      <c r="BW142" s="15">
        <f t="shared" si="691"/>
        <v>0</v>
      </c>
      <c r="BX142" s="15">
        <f t="shared" si="692"/>
        <v>0</v>
      </c>
      <c r="BY142" s="15">
        <f t="shared" si="693"/>
        <v>0</v>
      </c>
      <c r="BZ142" s="15">
        <f t="shared" si="694"/>
        <v>0</v>
      </c>
      <c r="CA142" s="15">
        <f t="shared" si="695"/>
        <v>0</v>
      </c>
      <c r="CB142" s="15">
        <f t="shared" si="696"/>
        <v>0</v>
      </c>
      <c r="CC142" s="14">
        <v>0</v>
      </c>
      <c r="CD142" s="14">
        <v>14</v>
      </c>
      <c r="CE142" s="14">
        <v>0</v>
      </c>
      <c r="CF142" s="14">
        <v>2</v>
      </c>
      <c r="CG142" s="14">
        <v>0</v>
      </c>
      <c r="CH142" s="15">
        <f t="shared" si="697"/>
        <v>16</v>
      </c>
      <c r="CI142" s="14">
        <v>0</v>
      </c>
      <c r="CJ142" s="14">
        <v>0</v>
      </c>
      <c r="CK142" s="14">
        <v>0</v>
      </c>
      <c r="CL142" s="14">
        <v>0</v>
      </c>
      <c r="CM142" s="15">
        <f t="shared" si="698"/>
        <v>0</v>
      </c>
      <c r="CN142" s="14">
        <v>42</v>
      </c>
      <c r="CO142" s="14">
        <v>8</v>
      </c>
      <c r="CP142" s="14">
        <v>0</v>
      </c>
      <c r="CQ142" s="14">
        <v>0</v>
      </c>
      <c r="CR142" s="15">
        <f t="shared" si="699"/>
        <v>50</v>
      </c>
      <c r="CS142" s="15">
        <f t="shared" si="700"/>
        <v>50</v>
      </c>
      <c r="CT142" s="14">
        <v>66</v>
      </c>
      <c r="CU142" s="14">
        <v>1258</v>
      </c>
      <c r="CV142" s="14">
        <v>1032</v>
      </c>
      <c r="CW142" s="16">
        <f t="shared" si="701"/>
        <v>0.82034976152623207</v>
      </c>
      <c r="CX142" s="14"/>
      <c r="CY142" s="14"/>
      <c r="CZ142" s="14"/>
      <c r="DA142" s="14"/>
      <c r="DB142" s="15">
        <f t="shared" si="702"/>
        <v>0</v>
      </c>
      <c r="DC142" s="14">
        <v>0</v>
      </c>
      <c r="DD142" s="14">
        <v>0</v>
      </c>
      <c r="DE142" s="14">
        <v>0</v>
      </c>
      <c r="DF142" s="14">
        <v>0</v>
      </c>
      <c r="DG142" s="15">
        <f t="shared" si="703"/>
        <v>0</v>
      </c>
      <c r="DH142" s="14">
        <v>0</v>
      </c>
      <c r="DI142" s="14">
        <v>0</v>
      </c>
      <c r="DJ142" s="14">
        <v>0</v>
      </c>
      <c r="DK142" s="14">
        <v>0</v>
      </c>
      <c r="DL142" s="15">
        <f t="shared" si="704"/>
        <v>0</v>
      </c>
      <c r="DM142" s="14">
        <v>0</v>
      </c>
      <c r="DN142" s="14">
        <v>0</v>
      </c>
      <c r="DO142" s="14">
        <v>0</v>
      </c>
      <c r="DP142" s="14">
        <v>0</v>
      </c>
      <c r="DQ142" s="15">
        <f t="shared" si="705"/>
        <v>0</v>
      </c>
      <c r="DR142" s="15">
        <f t="shared" si="706"/>
        <v>0</v>
      </c>
      <c r="DS142" s="15">
        <f t="shared" si="707"/>
        <v>0</v>
      </c>
      <c r="DT142" s="15">
        <f t="shared" si="708"/>
        <v>0</v>
      </c>
      <c r="DU142" s="15">
        <f t="shared" si="709"/>
        <v>0</v>
      </c>
      <c r="DV142" s="15">
        <f t="shared" si="710"/>
        <v>0</v>
      </c>
      <c r="DW142" s="14">
        <v>3</v>
      </c>
      <c r="DX142" s="14">
        <v>1</v>
      </c>
      <c r="DY142" s="14">
        <v>1</v>
      </c>
      <c r="DZ142" s="14">
        <v>1</v>
      </c>
      <c r="EA142" s="14">
        <v>0</v>
      </c>
      <c r="EB142" s="14">
        <v>0</v>
      </c>
      <c r="EC142" s="14">
        <v>0</v>
      </c>
      <c r="ED142" s="14">
        <v>0</v>
      </c>
      <c r="EE142" s="14">
        <v>0</v>
      </c>
      <c r="EF142" s="14">
        <v>0</v>
      </c>
      <c r="EG142" s="14">
        <v>0</v>
      </c>
      <c r="EH142" s="14">
        <v>0</v>
      </c>
      <c r="EI142" s="14">
        <v>0</v>
      </c>
      <c r="EJ142" s="14">
        <v>0</v>
      </c>
      <c r="EK142" s="14">
        <v>0</v>
      </c>
      <c r="EL142" s="14">
        <v>0</v>
      </c>
      <c r="EM142" s="14">
        <v>0</v>
      </c>
      <c r="EN142" s="14">
        <v>0</v>
      </c>
      <c r="EO142" s="14">
        <v>0</v>
      </c>
      <c r="EP142" s="14">
        <v>0</v>
      </c>
      <c r="EQ142" s="14">
        <v>0</v>
      </c>
      <c r="ER142" s="14">
        <v>0</v>
      </c>
      <c r="ES142" s="14">
        <v>0</v>
      </c>
      <c r="ET142" s="14">
        <v>0</v>
      </c>
      <c r="EU142" s="14">
        <v>0</v>
      </c>
      <c r="EV142" s="14">
        <v>0</v>
      </c>
      <c r="EW142" s="14">
        <v>0</v>
      </c>
      <c r="EX142" s="14">
        <v>0</v>
      </c>
      <c r="EY142" s="14">
        <v>0</v>
      </c>
      <c r="EZ142" s="14">
        <v>0</v>
      </c>
      <c r="FA142" s="14">
        <v>0</v>
      </c>
      <c r="FB142" s="14">
        <v>0</v>
      </c>
      <c r="FC142" s="14">
        <v>0</v>
      </c>
      <c r="FD142" s="14">
        <v>0</v>
      </c>
      <c r="FE142" s="14">
        <v>0</v>
      </c>
      <c r="FF142" s="14">
        <v>0</v>
      </c>
      <c r="FG142" s="15">
        <f t="shared" si="711"/>
        <v>6</v>
      </c>
      <c r="FH142" s="14">
        <v>2</v>
      </c>
      <c r="FI142" s="14">
        <v>24</v>
      </c>
      <c r="FJ142" s="14">
        <v>24</v>
      </c>
      <c r="FK142" s="14">
        <v>24</v>
      </c>
      <c r="FL142" s="14">
        <v>24</v>
      </c>
      <c r="FM142" s="14">
        <v>0</v>
      </c>
      <c r="FN142" s="14">
        <v>0</v>
      </c>
      <c r="FO142" s="14">
        <v>0</v>
      </c>
      <c r="FP142" s="14">
        <v>0</v>
      </c>
      <c r="FQ142" s="15">
        <f t="shared" si="712"/>
        <v>24</v>
      </c>
      <c r="FR142" s="14">
        <v>0</v>
      </c>
      <c r="FS142" s="14">
        <v>0</v>
      </c>
      <c r="FT142" s="14">
        <v>0</v>
      </c>
      <c r="FU142" s="14">
        <v>0</v>
      </c>
      <c r="FV142" s="15">
        <f t="shared" si="713"/>
        <v>0</v>
      </c>
      <c r="FW142" s="14">
        <v>0</v>
      </c>
      <c r="FX142" s="14">
        <v>0</v>
      </c>
      <c r="FY142" s="14">
        <v>0</v>
      </c>
      <c r="FZ142" s="14">
        <v>0</v>
      </c>
      <c r="GA142" s="15">
        <f t="shared" si="714"/>
        <v>0</v>
      </c>
      <c r="GB142" s="15">
        <f t="shared" si="715"/>
        <v>0</v>
      </c>
      <c r="GC142" s="14">
        <v>0</v>
      </c>
      <c r="GD142" s="14">
        <v>0</v>
      </c>
      <c r="GE142" s="14">
        <v>0</v>
      </c>
      <c r="GF142" s="14">
        <v>0</v>
      </c>
      <c r="GG142" s="15">
        <f t="shared" si="716"/>
        <v>0</v>
      </c>
      <c r="GH142" s="14">
        <v>0</v>
      </c>
      <c r="GI142" s="14">
        <v>0</v>
      </c>
      <c r="GJ142" s="14">
        <v>0</v>
      </c>
      <c r="GK142" s="14">
        <v>0</v>
      </c>
      <c r="GL142" s="15">
        <f t="shared" si="717"/>
        <v>0</v>
      </c>
      <c r="GM142" s="15">
        <f t="shared" si="718"/>
        <v>0</v>
      </c>
      <c r="GN142" s="14">
        <v>0</v>
      </c>
      <c r="GO142" s="14">
        <v>0</v>
      </c>
      <c r="GP142" s="14">
        <v>0</v>
      </c>
      <c r="GQ142" s="14">
        <v>0</v>
      </c>
      <c r="GR142" s="15">
        <f t="shared" si="719"/>
        <v>0</v>
      </c>
      <c r="GS142" s="14">
        <v>0</v>
      </c>
      <c r="GT142" s="14">
        <v>0</v>
      </c>
      <c r="GU142" s="14">
        <v>0</v>
      </c>
      <c r="GV142" s="14">
        <v>0</v>
      </c>
      <c r="GW142" s="15">
        <f t="shared" si="720"/>
        <v>0</v>
      </c>
      <c r="GX142" s="15">
        <f t="shared" si="721"/>
        <v>0</v>
      </c>
      <c r="GY142" s="14">
        <v>2518673.2799999998</v>
      </c>
      <c r="GZ142" s="14">
        <v>0</v>
      </c>
      <c r="HA142" s="15">
        <f t="shared" si="722"/>
        <v>2518673.2799999998</v>
      </c>
      <c r="HB142" s="15" t="str">
        <f t="shared" si="723"/>
        <v/>
      </c>
      <c r="HC142" s="16">
        <f t="shared" si="724"/>
        <v>0</v>
      </c>
      <c r="HD142" s="15" t="str">
        <f t="shared" si="725"/>
        <v/>
      </c>
      <c r="HE142" s="14">
        <v>0</v>
      </c>
      <c r="HF142" s="14">
        <v>0</v>
      </c>
      <c r="HG142" s="14">
        <v>0</v>
      </c>
      <c r="HH142" s="14">
        <v>0</v>
      </c>
      <c r="HI142" s="14">
        <v>0</v>
      </c>
      <c r="HJ142" s="15">
        <f t="shared" si="726"/>
        <v>0</v>
      </c>
      <c r="HK142" s="16" t="str">
        <f t="shared" si="727"/>
        <v/>
      </c>
      <c r="HL142" s="14">
        <v>4</v>
      </c>
      <c r="HM142" s="14">
        <v>2</v>
      </c>
      <c r="HN142" s="17">
        <f t="shared" si="728"/>
        <v>0.5</v>
      </c>
    </row>
    <row r="143" spans="1:222" x14ac:dyDescent="0.3">
      <c r="A143" s="6" t="s">
        <v>280</v>
      </c>
      <c r="B143" s="6" t="s">
        <v>284</v>
      </c>
      <c r="C143" s="7" t="s">
        <v>257</v>
      </c>
      <c r="D143" s="7">
        <v>2025</v>
      </c>
      <c r="E143" s="7">
        <v>12</v>
      </c>
      <c r="F143" s="7" t="s">
        <v>269</v>
      </c>
      <c r="G143" s="7" t="s">
        <v>267</v>
      </c>
      <c r="H143" s="8">
        <v>763</v>
      </c>
      <c r="I143" s="8">
        <v>0</v>
      </c>
      <c r="J143" s="8">
        <v>0</v>
      </c>
      <c r="K143" s="8">
        <v>0</v>
      </c>
      <c r="L143" s="8">
        <v>0</v>
      </c>
      <c r="M143" s="9">
        <f t="shared" si="668"/>
        <v>0</v>
      </c>
      <c r="N143" s="8">
        <v>272</v>
      </c>
      <c r="O143" s="8">
        <v>0</v>
      </c>
      <c r="P143" s="8">
        <v>322</v>
      </c>
      <c r="Q143" s="8">
        <v>0</v>
      </c>
      <c r="R143" s="9">
        <f t="shared" si="669"/>
        <v>594</v>
      </c>
      <c r="S143" s="9">
        <f t="shared" si="670"/>
        <v>594</v>
      </c>
      <c r="T143" s="8">
        <v>169</v>
      </c>
      <c r="U143" s="10">
        <f t="shared" si="671"/>
        <v>0.22149410222804719</v>
      </c>
      <c r="V143" s="8">
        <v>5</v>
      </c>
      <c r="W143" s="11">
        <f t="shared" si="672"/>
        <v>6.55307994757536E-3</v>
      </c>
      <c r="X143" s="8">
        <v>0</v>
      </c>
      <c r="Y143" s="11">
        <f t="shared" si="673"/>
        <v>0</v>
      </c>
      <c r="Z143" s="8">
        <v>0</v>
      </c>
      <c r="AA143" s="11">
        <f t="shared" si="674"/>
        <v>0</v>
      </c>
      <c r="AB143" s="8">
        <v>0</v>
      </c>
      <c r="AC143" s="11">
        <f t="shared" si="675"/>
        <v>0</v>
      </c>
      <c r="AD143" s="8">
        <v>0</v>
      </c>
      <c r="AE143" s="11">
        <f t="shared" si="676"/>
        <v>0</v>
      </c>
      <c r="AF143" s="8">
        <v>0</v>
      </c>
      <c r="AG143" s="11">
        <f t="shared" si="677"/>
        <v>0</v>
      </c>
      <c r="AH143" s="8">
        <v>25558.35</v>
      </c>
      <c r="AI143" s="9">
        <f t="shared" si="678"/>
        <v>33.497182175622541</v>
      </c>
      <c r="AJ143" s="8">
        <v>1355</v>
      </c>
      <c r="AK143" s="11">
        <f t="shared" si="679"/>
        <v>1.7758846657929226</v>
      </c>
      <c r="AL143" s="8">
        <v>204434.7825</v>
      </c>
      <c r="AM143" s="9">
        <f t="shared" si="680"/>
        <v>267.93549475753605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300461.92</v>
      </c>
      <c r="AT143" s="8">
        <v>0</v>
      </c>
      <c r="AU143" s="9">
        <f t="shared" si="681"/>
        <v>530455.05249999999</v>
      </c>
      <c r="AV143" s="9">
        <f t="shared" si="682"/>
        <v>695.22287352555702</v>
      </c>
      <c r="AW143" s="9">
        <f t="shared" si="683"/>
        <v>893.02197390572394</v>
      </c>
      <c r="AX143" s="8">
        <v>0</v>
      </c>
      <c r="AY143" s="9">
        <f t="shared" si="684"/>
        <v>0</v>
      </c>
      <c r="AZ143" s="8">
        <v>2</v>
      </c>
      <c r="BA143" s="8">
        <v>0</v>
      </c>
      <c r="BB143" s="8">
        <v>0</v>
      </c>
      <c r="BC143" s="8">
        <v>0</v>
      </c>
      <c r="BD143" s="8">
        <v>0</v>
      </c>
      <c r="BE143" s="9">
        <f t="shared" si="685"/>
        <v>0</v>
      </c>
      <c r="BF143" s="9">
        <f t="shared" si="686"/>
        <v>0</v>
      </c>
      <c r="BG143" s="8">
        <v>0</v>
      </c>
      <c r="BH143" s="8">
        <v>0</v>
      </c>
      <c r="BI143" s="8">
        <v>0</v>
      </c>
      <c r="BJ143" s="8">
        <v>0</v>
      </c>
      <c r="BK143" s="9">
        <f t="shared" si="687"/>
        <v>0</v>
      </c>
      <c r="BL143" s="9">
        <f t="shared" si="688"/>
        <v>0</v>
      </c>
      <c r="BM143" s="8">
        <v>0</v>
      </c>
      <c r="BN143" s="8">
        <v>0</v>
      </c>
      <c r="BO143" s="8">
        <v>0</v>
      </c>
      <c r="BP143" s="8">
        <v>0</v>
      </c>
      <c r="BQ143" s="9">
        <f t="shared" si="689"/>
        <v>0</v>
      </c>
      <c r="BR143" s="9">
        <f t="shared" si="690"/>
        <v>0</v>
      </c>
      <c r="BS143" s="8">
        <v>0</v>
      </c>
      <c r="BT143" s="8">
        <v>0</v>
      </c>
      <c r="BU143" s="8">
        <v>0</v>
      </c>
      <c r="BV143" s="8">
        <v>0</v>
      </c>
      <c r="BW143" s="9">
        <f t="shared" si="691"/>
        <v>0</v>
      </c>
      <c r="BX143" s="9">
        <f t="shared" si="692"/>
        <v>0</v>
      </c>
      <c r="BY143" s="9">
        <f t="shared" si="693"/>
        <v>0</v>
      </c>
      <c r="BZ143" s="9">
        <f t="shared" si="694"/>
        <v>0</v>
      </c>
      <c r="CA143" s="9">
        <f t="shared" si="695"/>
        <v>0</v>
      </c>
      <c r="CB143" s="9">
        <f t="shared" si="696"/>
        <v>0</v>
      </c>
      <c r="CC143" s="8">
        <v>0</v>
      </c>
      <c r="CD143" s="8">
        <v>14</v>
      </c>
      <c r="CE143" s="8">
        <v>0</v>
      </c>
      <c r="CF143" s="8">
        <v>2</v>
      </c>
      <c r="CG143" s="8">
        <v>0</v>
      </c>
      <c r="CH143" s="9">
        <f t="shared" si="697"/>
        <v>16</v>
      </c>
      <c r="CI143" s="8">
        <v>0</v>
      </c>
      <c r="CJ143" s="8">
        <v>0</v>
      </c>
      <c r="CK143" s="8">
        <v>0</v>
      </c>
      <c r="CL143" s="8">
        <v>0</v>
      </c>
      <c r="CM143" s="9">
        <f t="shared" si="698"/>
        <v>0</v>
      </c>
      <c r="CN143" s="8">
        <v>42</v>
      </c>
      <c r="CO143" s="8">
        <v>8</v>
      </c>
      <c r="CP143" s="8">
        <v>0</v>
      </c>
      <c r="CQ143" s="8">
        <v>0</v>
      </c>
      <c r="CR143" s="9">
        <f t="shared" si="699"/>
        <v>50</v>
      </c>
      <c r="CS143" s="9">
        <f t="shared" si="700"/>
        <v>50</v>
      </c>
      <c r="CT143" s="8">
        <v>66</v>
      </c>
      <c r="CU143" s="8">
        <v>1258</v>
      </c>
      <c r="CV143" s="8">
        <v>1032</v>
      </c>
      <c r="CW143" s="10">
        <f t="shared" si="701"/>
        <v>0.82034976152623207</v>
      </c>
      <c r="CX143" s="8">
        <v>0</v>
      </c>
      <c r="CY143" s="8">
        <v>0</v>
      </c>
      <c r="CZ143" s="8">
        <v>0</v>
      </c>
      <c r="DA143" s="8">
        <v>0</v>
      </c>
      <c r="DB143" s="9">
        <f t="shared" si="702"/>
        <v>0</v>
      </c>
      <c r="DC143" s="8">
        <v>0</v>
      </c>
      <c r="DD143" s="8">
        <v>0</v>
      </c>
      <c r="DE143" s="8">
        <v>0</v>
      </c>
      <c r="DF143" s="8">
        <v>0</v>
      </c>
      <c r="DG143" s="9">
        <f t="shared" si="703"/>
        <v>0</v>
      </c>
      <c r="DH143" s="8">
        <v>0</v>
      </c>
      <c r="DI143" s="8">
        <v>0</v>
      </c>
      <c r="DJ143" s="8">
        <v>0</v>
      </c>
      <c r="DK143" s="8">
        <v>0</v>
      </c>
      <c r="DL143" s="9">
        <f t="shared" si="704"/>
        <v>0</v>
      </c>
      <c r="DM143" s="8">
        <v>0</v>
      </c>
      <c r="DN143" s="8">
        <v>0</v>
      </c>
      <c r="DO143" s="8">
        <v>0</v>
      </c>
      <c r="DP143" s="8">
        <v>0</v>
      </c>
      <c r="DQ143" s="9">
        <f t="shared" si="705"/>
        <v>0</v>
      </c>
      <c r="DR143" s="9">
        <f t="shared" si="706"/>
        <v>0</v>
      </c>
      <c r="DS143" s="9">
        <f t="shared" si="707"/>
        <v>0</v>
      </c>
      <c r="DT143" s="9">
        <f t="shared" si="708"/>
        <v>0</v>
      </c>
      <c r="DU143" s="9">
        <f t="shared" si="709"/>
        <v>0</v>
      </c>
      <c r="DV143" s="9">
        <f t="shared" si="710"/>
        <v>0</v>
      </c>
      <c r="DW143" s="8">
        <v>4</v>
      </c>
      <c r="DX143" s="8">
        <v>4</v>
      </c>
      <c r="DY143" s="8">
        <v>3</v>
      </c>
      <c r="DZ143" s="8">
        <v>3</v>
      </c>
      <c r="EA143" s="8">
        <v>0</v>
      </c>
      <c r="EB143" s="8">
        <v>0</v>
      </c>
      <c r="EC143" s="8">
        <v>0</v>
      </c>
      <c r="ED143" s="8">
        <v>0</v>
      </c>
      <c r="EE143" s="8">
        <v>0</v>
      </c>
      <c r="EF143" s="8">
        <v>0</v>
      </c>
      <c r="EG143" s="8">
        <v>0</v>
      </c>
      <c r="EH143" s="8">
        <v>0</v>
      </c>
      <c r="EI143" s="8">
        <v>0</v>
      </c>
      <c r="EJ143" s="8">
        <v>0</v>
      </c>
      <c r="EK143" s="8">
        <v>0</v>
      </c>
      <c r="EL143" s="8">
        <v>0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8">
        <v>0</v>
      </c>
      <c r="ES143" s="8">
        <v>0</v>
      </c>
      <c r="ET143" s="8">
        <v>0</v>
      </c>
      <c r="EU143" s="8">
        <v>0</v>
      </c>
      <c r="EV143" s="8">
        <v>0</v>
      </c>
      <c r="EW143" s="8">
        <v>0</v>
      </c>
      <c r="EX143" s="8">
        <v>0</v>
      </c>
      <c r="EY143" s="8">
        <v>0</v>
      </c>
      <c r="EZ143" s="8">
        <v>0</v>
      </c>
      <c r="FA143" s="8">
        <v>0</v>
      </c>
      <c r="FB143" s="8">
        <v>0</v>
      </c>
      <c r="FC143" s="8">
        <v>0</v>
      </c>
      <c r="FD143" s="8">
        <v>0</v>
      </c>
      <c r="FE143" s="8">
        <v>0</v>
      </c>
      <c r="FF143" s="8">
        <v>0</v>
      </c>
      <c r="FG143" s="9">
        <f t="shared" si="711"/>
        <v>14</v>
      </c>
      <c r="FH143" s="8">
        <v>4</v>
      </c>
      <c r="FI143" s="8">
        <v>24</v>
      </c>
      <c r="FJ143" s="8">
        <v>20</v>
      </c>
      <c r="FK143" s="8">
        <v>56</v>
      </c>
      <c r="FL143" s="8">
        <v>56</v>
      </c>
      <c r="FM143" s="8">
        <v>0</v>
      </c>
      <c r="FN143" s="8">
        <v>0</v>
      </c>
      <c r="FO143" s="8">
        <v>0</v>
      </c>
      <c r="FP143" s="8">
        <v>0</v>
      </c>
      <c r="FQ143" s="9">
        <f t="shared" si="712"/>
        <v>56</v>
      </c>
      <c r="FR143" s="8">
        <v>0</v>
      </c>
      <c r="FS143" s="8">
        <v>0</v>
      </c>
      <c r="FT143" s="8">
        <v>0</v>
      </c>
      <c r="FU143" s="8">
        <v>0</v>
      </c>
      <c r="FV143" s="9">
        <f t="shared" si="713"/>
        <v>0</v>
      </c>
      <c r="FW143" s="8">
        <v>130250</v>
      </c>
      <c r="FX143" s="8">
        <v>0</v>
      </c>
      <c r="FY143" s="8">
        <v>0</v>
      </c>
      <c r="FZ143" s="8">
        <v>0</v>
      </c>
      <c r="GA143" s="9">
        <f t="shared" si="714"/>
        <v>130250</v>
      </c>
      <c r="GB143" s="9">
        <f t="shared" si="715"/>
        <v>130250</v>
      </c>
      <c r="GC143" s="8">
        <v>0</v>
      </c>
      <c r="GD143" s="8">
        <v>0</v>
      </c>
      <c r="GE143" s="8">
        <v>0</v>
      </c>
      <c r="GF143" s="8">
        <v>0</v>
      </c>
      <c r="GG143" s="9">
        <f t="shared" si="716"/>
        <v>0</v>
      </c>
      <c r="GH143" s="8">
        <v>0</v>
      </c>
      <c r="GI143" s="8">
        <v>0</v>
      </c>
      <c r="GJ143" s="8">
        <v>0</v>
      </c>
      <c r="GK143" s="8">
        <v>0</v>
      </c>
      <c r="GL143" s="9">
        <f t="shared" si="717"/>
        <v>0</v>
      </c>
      <c r="GM143" s="9">
        <f t="shared" si="718"/>
        <v>0</v>
      </c>
      <c r="GN143" s="8">
        <v>0</v>
      </c>
      <c r="GO143" s="8">
        <v>0</v>
      </c>
      <c r="GP143" s="8">
        <v>0</v>
      </c>
      <c r="GQ143" s="8">
        <v>0</v>
      </c>
      <c r="GR143" s="9">
        <f t="shared" si="719"/>
        <v>0</v>
      </c>
      <c r="GS143" s="8">
        <v>0</v>
      </c>
      <c r="GT143" s="8">
        <v>0</v>
      </c>
      <c r="GU143" s="8">
        <v>0</v>
      </c>
      <c r="GV143" s="8">
        <v>0</v>
      </c>
      <c r="GW143" s="9">
        <f t="shared" si="720"/>
        <v>0</v>
      </c>
      <c r="GX143" s="9">
        <f t="shared" si="721"/>
        <v>0</v>
      </c>
      <c r="GY143" s="8">
        <v>1818416.41</v>
      </c>
      <c r="GZ143" s="8">
        <v>0</v>
      </c>
      <c r="HA143" s="9">
        <f t="shared" si="722"/>
        <v>1818416.41</v>
      </c>
      <c r="HB143" s="9" t="str">
        <f t="shared" si="723"/>
        <v/>
      </c>
      <c r="HC143" s="10">
        <f t="shared" si="724"/>
        <v>7.1628258128180883E-2</v>
      </c>
      <c r="HD143" s="9" t="str">
        <f t="shared" si="725"/>
        <v/>
      </c>
      <c r="HE143" s="8">
        <v>0</v>
      </c>
      <c r="HF143" s="8">
        <v>0</v>
      </c>
      <c r="HG143" s="8">
        <v>0</v>
      </c>
      <c r="HH143" s="8">
        <v>0</v>
      </c>
      <c r="HI143" s="8">
        <v>0</v>
      </c>
      <c r="HJ143" s="9">
        <f t="shared" si="726"/>
        <v>0</v>
      </c>
      <c r="HK143" s="10" t="str">
        <f t="shared" si="727"/>
        <v/>
      </c>
      <c r="HL143" s="8">
        <v>10</v>
      </c>
      <c r="HM143" s="8">
        <v>30</v>
      </c>
      <c r="HN143" s="11">
        <f t="shared" si="728"/>
        <v>3</v>
      </c>
    </row>
    <row r="144" spans="1:222" x14ac:dyDescent="0.3">
      <c r="A144" s="12" t="s">
        <v>280</v>
      </c>
      <c r="B144" s="12" t="s">
        <v>284</v>
      </c>
      <c r="C144" s="13" t="s">
        <v>257</v>
      </c>
      <c r="D144" s="13">
        <v>2026</v>
      </c>
      <c r="E144" s="13">
        <v>1</v>
      </c>
      <c r="F144" s="13" t="s">
        <v>270</v>
      </c>
      <c r="G144" s="13" t="s">
        <v>271</v>
      </c>
      <c r="H144" s="14">
        <v>188</v>
      </c>
      <c r="I144" s="14">
        <v>0</v>
      </c>
      <c r="J144" s="14">
        <v>0</v>
      </c>
      <c r="K144" s="14">
        <v>0</v>
      </c>
      <c r="L144" s="14">
        <v>0</v>
      </c>
      <c r="M144" s="15">
        <v>0</v>
      </c>
      <c r="N144" s="14">
        <v>101</v>
      </c>
      <c r="O144" s="14">
        <v>0</v>
      </c>
      <c r="P144" s="14">
        <v>40</v>
      </c>
      <c r="Q144" s="14">
        <v>0</v>
      </c>
      <c r="R144" s="15">
        <v>141</v>
      </c>
      <c r="S144" s="15">
        <v>141</v>
      </c>
      <c r="T144" s="14">
        <v>47</v>
      </c>
      <c r="U144" s="16">
        <v>0.25</v>
      </c>
      <c r="V144" s="14">
        <v>2</v>
      </c>
      <c r="W144" s="17">
        <v>10.638297872340431</v>
      </c>
      <c r="X144" s="14">
        <v>0</v>
      </c>
      <c r="Y144" s="17">
        <v>0</v>
      </c>
      <c r="Z144" s="14">
        <v>0</v>
      </c>
      <c r="AA144" s="17">
        <v>0</v>
      </c>
      <c r="AB144" s="14">
        <v>0</v>
      </c>
      <c r="AC144" s="17">
        <v>0</v>
      </c>
      <c r="AD144" s="14">
        <v>0</v>
      </c>
      <c r="AE144" s="17">
        <v>0</v>
      </c>
      <c r="AF144" s="14">
        <v>0</v>
      </c>
      <c r="AG144" s="17">
        <v>0</v>
      </c>
      <c r="AH144" s="14">
        <v>10223.34</v>
      </c>
      <c r="AI144" s="15">
        <v>54.379468085106382</v>
      </c>
      <c r="AJ144" s="14">
        <v>500</v>
      </c>
      <c r="AK144" s="17">
        <v>2.6595744680851059</v>
      </c>
      <c r="AL144" s="14">
        <v>85802.25</v>
      </c>
      <c r="AM144" s="15">
        <v>456.39494680851061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5">
        <v>96025.59</v>
      </c>
      <c r="AV144" s="15">
        <v>510.77441489361701</v>
      </c>
      <c r="AW144" s="15">
        <v>681.03255319148934</v>
      </c>
      <c r="AX144" s="14">
        <v>0</v>
      </c>
      <c r="AY144" s="15">
        <v>0</v>
      </c>
      <c r="AZ144" s="14">
        <v>2</v>
      </c>
      <c r="BA144" s="14">
        <v>0</v>
      </c>
      <c r="BB144" s="14">
        <v>0</v>
      </c>
      <c r="BC144" s="14">
        <v>0</v>
      </c>
      <c r="BD144" s="14">
        <v>0</v>
      </c>
      <c r="BE144" s="15">
        <v>0</v>
      </c>
      <c r="BF144" s="15">
        <v>0</v>
      </c>
      <c r="BG144" s="14">
        <v>0</v>
      </c>
      <c r="BH144" s="14">
        <v>0</v>
      </c>
      <c r="BI144" s="14">
        <v>0</v>
      </c>
      <c r="BJ144" s="14">
        <v>0</v>
      </c>
      <c r="BK144" s="15">
        <v>0</v>
      </c>
      <c r="BL144" s="15">
        <v>0</v>
      </c>
      <c r="BM144" s="14">
        <v>0</v>
      </c>
      <c r="BN144" s="14">
        <v>0</v>
      </c>
      <c r="BO144" s="14">
        <v>0</v>
      </c>
      <c r="BP144" s="14">
        <v>0</v>
      </c>
      <c r="BQ144" s="15">
        <v>0</v>
      </c>
      <c r="BR144" s="15">
        <v>0</v>
      </c>
      <c r="BS144" s="14">
        <v>0</v>
      </c>
      <c r="BT144" s="14">
        <v>0</v>
      </c>
      <c r="BU144" s="14">
        <v>0</v>
      </c>
      <c r="BV144" s="14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0</v>
      </c>
      <c r="CB144" s="15">
        <v>0</v>
      </c>
      <c r="CC144" s="14">
        <v>0</v>
      </c>
      <c r="CD144" s="14">
        <v>14</v>
      </c>
      <c r="CE144" s="14">
        <v>0</v>
      </c>
      <c r="CF144" s="14">
        <v>2</v>
      </c>
      <c r="CG144" s="14">
        <v>0</v>
      </c>
      <c r="CH144" s="15">
        <v>16</v>
      </c>
      <c r="CI144" s="14">
        <v>0</v>
      </c>
      <c r="CJ144" s="14">
        <v>0</v>
      </c>
      <c r="CK144" s="14">
        <v>0</v>
      </c>
      <c r="CL144" s="14">
        <v>0</v>
      </c>
      <c r="CM144" s="15">
        <v>0</v>
      </c>
      <c r="CN144" s="14">
        <v>42</v>
      </c>
      <c r="CO144" s="14">
        <v>8</v>
      </c>
      <c r="CP144" s="14">
        <v>0</v>
      </c>
      <c r="CQ144" s="14">
        <v>0</v>
      </c>
      <c r="CR144" s="15">
        <v>50</v>
      </c>
      <c r="CS144" s="15">
        <v>50</v>
      </c>
      <c r="CT144" s="14">
        <v>66</v>
      </c>
      <c r="CU144" s="14">
        <v>1258</v>
      </c>
      <c r="CV144" s="14">
        <v>1032</v>
      </c>
      <c r="CW144" s="16">
        <v>0.82034976152623207</v>
      </c>
      <c r="CX144" s="14">
        <v>0</v>
      </c>
      <c r="CY144" s="14">
        <v>0</v>
      </c>
      <c r="CZ144" s="14">
        <v>0</v>
      </c>
      <c r="DA144" s="14">
        <v>0</v>
      </c>
      <c r="DB144" s="15">
        <v>0</v>
      </c>
      <c r="DC144" s="14">
        <v>0</v>
      </c>
      <c r="DD144" s="14">
        <v>0</v>
      </c>
      <c r="DE144" s="14">
        <v>0</v>
      </c>
      <c r="DF144" s="14">
        <v>0</v>
      </c>
      <c r="DG144" s="15">
        <v>0</v>
      </c>
      <c r="DH144" s="14">
        <v>0</v>
      </c>
      <c r="DI144" s="14">
        <v>0</v>
      </c>
      <c r="DJ144" s="14">
        <v>0</v>
      </c>
      <c r="DK144" s="14">
        <v>0</v>
      </c>
      <c r="DL144" s="15">
        <v>0</v>
      </c>
      <c r="DM144" s="14">
        <v>0</v>
      </c>
      <c r="DN144" s="14">
        <v>0</v>
      </c>
      <c r="DO144" s="14">
        <v>0</v>
      </c>
      <c r="DP144" s="14">
        <v>0</v>
      </c>
      <c r="DQ144" s="15">
        <v>0</v>
      </c>
      <c r="DR144" s="15">
        <v>0</v>
      </c>
      <c r="DS144" s="15">
        <v>0</v>
      </c>
      <c r="DT144" s="15">
        <v>0</v>
      </c>
      <c r="DU144" s="15">
        <v>0</v>
      </c>
      <c r="DV144" s="15">
        <v>0</v>
      </c>
      <c r="DW144" s="14">
        <v>2</v>
      </c>
      <c r="DX144" s="14">
        <v>1</v>
      </c>
      <c r="DY144" s="14">
        <v>0</v>
      </c>
      <c r="DZ144" s="14">
        <v>0</v>
      </c>
      <c r="EA144" s="14">
        <v>0</v>
      </c>
      <c r="EB144" s="14">
        <v>0</v>
      </c>
      <c r="EC144" s="14">
        <v>0</v>
      </c>
      <c r="ED144" s="14">
        <v>0</v>
      </c>
      <c r="EE144" s="14">
        <v>0</v>
      </c>
      <c r="EF144" s="14">
        <v>0</v>
      </c>
      <c r="EG144" s="14">
        <v>0</v>
      </c>
      <c r="EH144" s="14">
        <v>0</v>
      </c>
      <c r="EI144" s="14">
        <v>0</v>
      </c>
      <c r="EJ144" s="14">
        <v>0</v>
      </c>
      <c r="EK144" s="14">
        <v>0</v>
      </c>
      <c r="EL144" s="14">
        <v>0</v>
      </c>
      <c r="EM144" s="14">
        <v>0</v>
      </c>
      <c r="EN144" s="14">
        <v>0</v>
      </c>
      <c r="EO144" s="14">
        <v>0</v>
      </c>
      <c r="EP144" s="14">
        <v>0</v>
      </c>
      <c r="EQ144" s="14">
        <v>0</v>
      </c>
      <c r="ER144" s="14">
        <v>0</v>
      </c>
      <c r="ES144" s="14">
        <v>0</v>
      </c>
      <c r="ET144" s="14">
        <v>0</v>
      </c>
      <c r="EU144" s="14">
        <v>0</v>
      </c>
      <c r="EV144" s="14">
        <v>0</v>
      </c>
      <c r="EW144" s="14">
        <v>0</v>
      </c>
      <c r="EX144" s="14">
        <v>0</v>
      </c>
      <c r="EY144" s="14">
        <v>0</v>
      </c>
      <c r="EZ144" s="14">
        <v>0</v>
      </c>
      <c r="FA144" s="14">
        <v>0</v>
      </c>
      <c r="FB144" s="14">
        <v>0</v>
      </c>
      <c r="FC144" s="14">
        <v>0</v>
      </c>
      <c r="FD144" s="14">
        <v>0</v>
      </c>
      <c r="FE144" s="14">
        <v>0</v>
      </c>
      <c r="FF144" s="14">
        <v>0</v>
      </c>
      <c r="FG144" s="15">
        <v>0</v>
      </c>
      <c r="FH144" s="14">
        <v>5</v>
      </c>
      <c r="FI144" s="14">
        <v>24</v>
      </c>
      <c r="FJ144" s="14">
        <v>11</v>
      </c>
      <c r="FK144" s="14">
        <v>120</v>
      </c>
      <c r="FL144" s="14">
        <v>120</v>
      </c>
      <c r="FM144" s="14">
        <v>0</v>
      </c>
      <c r="FN144" s="14">
        <v>0</v>
      </c>
      <c r="FO144" s="14">
        <v>0</v>
      </c>
      <c r="FP144" s="14">
        <v>0</v>
      </c>
      <c r="FQ144" s="15">
        <v>0</v>
      </c>
      <c r="FR144" s="14">
        <v>0</v>
      </c>
      <c r="FS144" s="14">
        <v>0</v>
      </c>
      <c r="FT144" s="14">
        <v>0</v>
      </c>
      <c r="FU144" s="14">
        <v>0</v>
      </c>
      <c r="FV144" s="15">
        <v>0</v>
      </c>
      <c r="FW144" s="14">
        <v>0</v>
      </c>
      <c r="FX144" s="14">
        <v>0</v>
      </c>
      <c r="FY144" s="14">
        <v>1000000</v>
      </c>
      <c r="FZ144" s="14">
        <v>0</v>
      </c>
      <c r="GA144" s="15">
        <v>0</v>
      </c>
      <c r="GB144" s="15">
        <v>1000000</v>
      </c>
      <c r="GC144" s="14">
        <v>0</v>
      </c>
      <c r="GD144" s="14">
        <v>0</v>
      </c>
      <c r="GE144" s="14">
        <v>0</v>
      </c>
      <c r="GF144" s="14">
        <v>0</v>
      </c>
      <c r="GG144" s="15">
        <v>0</v>
      </c>
      <c r="GH144" s="14">
        <v>0</v>
      </c>
      <c r="GI144" s="14">
        <v>0</v>
      </c>
      <c r="GJ144" s="14">
        <v>0</v>
      </c>
      <c r="GK144" s="14">
        <v>0</v>
      </c>
      <c r="GL144" s="15">
        <v>0</v>
      </c>
      <c r="GM144" s="15">
        <v>1000000</v>
      </c>
      <c r="GN144" s="14">
        <v>0</v>
      </c>
      <c r="GO144" s="14">
        <v>0</v>
      </c>
      <c r="GP144" s="14">
        <v>0</v>
      </c>
      <c r="GQ144" s="14">
        <v>0</v>
      </c>
      <c r="GR144" s="15">
        <v>0</v>
      </c>
      <c r="GS144" s="14">
        <v>0</v>
      </c>
      <c r="GT144" s="14">
        <v>0</v>
      </c>
      <c r="GU144" s="14">
        <v>0</v>
      </c>
      <c r="GV144" s="14">
        <v>0</v>
      </c>
      <c r="GW144" s="15">
        <v>0</v>
      </c>
      <c r="GX144" s="15">
        <v>0</v>
      </c>
      <c r="GY144" s="14">
        <v>1817416.41</v>
      </c>
      <c r="GZ144" s="14">
        <v>0</v>
      </c>
      <c r="HA144" s="15">
        <v>0</v>
      </c>
      <c r="HB144" s="15">
        <v>1817416.41</v>
      </c>
      <c r="HC144" s="16">
        <v>1000000</v>
      </c>
      <c r="HD144" s="15">
        <v>1817416.41</v>
      </c>
      <c r="HE144" s="14">
        <v>0</v>
      </c>
      <c r="HF144" s="14">
        <v>0</v>
      </c>
      <c r="HG144" s="14">
        <v>0</v>
      </c>
      <c r="HH144" s="14">
        <v>0</v>
      </c>
      <c r="HI144" s="14">
        <v>0</v>
      </c>
      <c r="HJ144" s="15">
        <v>0</v>
      </c>
      <c r="HK144" s="16"/>
      <c r="HL144" s="14">
        <v>3</v>
      </c>
      <c r="HM144" s="14">
        <v>45</v>
      </c>
      <c r="HN144" s="17">
        <v>0</v>
      </c>
    </row>
    <row r="145" spans="1:222" x14ac:dyDescent="0.3">
      <c r="A145" s="6" t="s">
        <v>280</v>
      </c>
      <c r="B145" s="6" t="s">
        <v>284</v>
      </c>
      <c r="C145" s="7" t="s">
        <v>257</v>
      </c>
      <c r="D145" s="7">
        <v>2026</v>
      </c>
      <c r="E145" s="7">
        <v>2</v>
      </c>
      <c r="F145" s="7" t="s">
        <v>272</v>
      </c>
      <c r="G145" s="7" t="s">
        <v>271</v>
      </c>
      <c r="H145" s="8">
        <v>557</v>
      </c>
      <c r="I145" s="8">
        <v>0</v>
      </c>
      <c r="J145" s="8">
        <v>0</v>
      </c>
      <c r="K145" s="8">
        <v>0</v>
      </c>
      <c r="L145" s="8">
        <v>0</v>
      </c>
      <c r="M145" s="9">
        <f t="shared" ref="M145:M155" si="729">SUM(I145,J145,K145,L145)</f>
        <v>0</v>
      </c>
      <c r="N145" s="8">
        <v>78</v>
      </c>
      <c r="O145" s="8">
        <v>0</v>
      </c>
      <c r="P145" s="8">
        <v>345</v>
      </c>
      <c r="Q145" s="8">
        <v>0</v>
      </c>
      <c r="R145" s="9">
        <f t="shared" ref="R145:R155" si="730">SUM(N145,O145,P145,Q145)</f>
        <v>423</v>
      </c>
      <c r="S145" s="9">
        <f t="shared" ref="S145:S155" si="731">M145+R145</f>
        <v>423</v>
      </c>
      <c r="T145" s="8">
        <v>134</v>
      </c>
      <c r="U145" s="10">
        <f t="shared" ref="U145:U155" si="732">IF(H145=0,"",T145/H145)</f>
        <v>0.24057450628366248</v>
      </c>
      <c r="V145" s="8">
        <v>4</v>
      </c>
      <c r="W145" s="11">
        <f t="shared" ref="W145:W155" si="733">IF(H145=0,"",V145/H145)</f>
        <v>7.1813285457809697E-3</v>
      </c>
      <c r="X145" s="8">
        <v>0</v>
      </c>
      <c r="Y145" s="11">
        <f t="shared" ref="Y145:Y155" si="734">IF(H145=0,"",X145/H145)</f>
        <v>0</v>
      </c>
      <c r="Z145" s="8">
        <v>0</v>
      </c>
      <c r="AA145" s="11">
        <f t="shared" ref="AA145:AA155" si="735">IF(H145=0,"",Z145/H145)</f>
        <v>0</v>
      </c>
      <c r="AB145" s="8">
        <v>0</v>
      </c>
      <c r="AC145" s="11">
        <f t="shared" ref="AC145:AC155" si="736">IF(H145=0,"",AB145/H145)</f>
        <v>0</v>
      </c>
      <c r="AD145" s="8">
        <v>0</v>
      </c>
      <c r="AE145" s="11">
        <f t="shared" ref="AE145:AE155" si="737">IF(H145=0,"",AD145/H145)</f>
        <v>0</v>
      </c>
      <c r="AF145" s="8">
        <v>0</v>
      </c>
      <c r="AG145" s="11">
        <f t="shared" ref="AG145:AG155" si="738">IF(H145=0,"",AF145/H145)</f>
        <v>0</v>
      </c>
      <c r="AH145" s="8">
        <v>20446.68</v>
      </c>
      <c r="AI145" s="9">
        <f t="shared" ref="AI145:AI155" si="739">IF(H145=0,"",AH145/H145)</f>
        <v>36.70858168761221</v>
      </c>
      <c r="AJ145" s="8">
        <v>395</v>
      </c>
      <c r="AK145" s="11">
        <f t="shared" ref="AK145:AK155" si="740">IF(H145=0,"",AJ145/H145)</f>
        <v>0.7091561938958707</v>
      </c>
      <c r="AL145" s="8">
        <v>71233.342499999999</v>
      </c>
      <c r="AM145" s="9">
        <f t="shared" ref="AM145:AM155" si="741">IF(H145=0,"",AL145/H145)</f>
        <v>127.88750897666068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495500</v>
      </c>
      <c r="AU145" s="9">
        <f t="shared" ref="AU145:AU155" si="742">AH145+AL145+AP145+AQ145+AR145+AS145+AT145</f>
        <v>587180.02249999996</v>
      </c>
      <c r="AV145" s="9">
        <f t="shared" ref="AV145:AV155" si="743">IF(H145=0,"",AU145/H145)</f>
        <v>1054.1831642728905</v>
      </c>
      <c r="AW145" s="9">
        <f t="shared" ref="AW145:AW155" si="744">IF(S145=0,"",AU145/S145)</f>
        <v>1388.1324408983451</v>
      </c>
      <c r="AX145" s="8">
        <v>0</v>
      </c>
      <c r="AY145" s="9">
        <f t="shared" ref="AY145:AY155" si="745">IF(H145=0,"",AX145/(H145/1000/12))</f>
        <v>0</v>
      </c>
      <c r="AZ145" s="8">
        <v>2</v>
      </c>
      <c r="BA145" s="8">
        <v>0</v>
      </c>
      <c r="BB145" s="8">
        <v>0</v>
      </c>
      <c r="BC145" s="8">
        <v>0</v>
      </c>
      <c r="BD145" s="8">
        <v>0</v>
      </c>
      <c r="BE145" s="9">
        <f t="shared" ref="BE145:BE155" si="746">BC145+BD145</f>
        <v>0</v>
      </c>
      <c r="BF145" s="9">
        <f t="shared" ref="BF145:BF155" si="747">BA145+BB145-BE145</f>
        <v>0</v>
      </c>
      <c r="BG145" s="8">
        <v>0</v>
      </c>
      <c r="BH145" s="8">
        <v>0</v>
      </c>
      <c r="BI145" s="8">
        <v>0</v>
      </c>
      <c r="BJ145" s="8">
        <v>0</v>
      </c>
      <c r="BK145" s="9">
        <f t="shared" ref="BK145:BK155" si="748">BI145+BJ145</f>
        <v>0</v>
      </c>
      <c r="BL145" s="9">
        <f t="shared" ref="BL145:BL155" si="749">BG145+BH145-BK145</f>
        <v>0</v>
      </c>
      <c r="BM145" s="8">
        <v>0</v>
      </c>
      <c r="BN145" s="8">
        <v>0</v>
      </c>
      <c r="BO145" s="8">
        <v>0</v>
      </c>
      <c r="BP145" s="8">
        <v>0</v>
      </c>
      <c r="BQ145" s="9">
        <f t="shared" ref="BQ145:BQ155" si="750">BO145+BP145</f>
        <v>0</v>
      </c>
      <c r="BR145" s="9">
        <f t="shared" ref="BR145:BR155" si="751">BM145+BN145-BQ145</f>
        <v>0</v>
      </c>
      <c r="BS145" s="8">
        <v>0</v>
      </c>
      <c r="BT145" s="8">
        <v>0</v>
      </c>
      <c r="BU145" s="8">
        <v>0</v>
      </c>
      <c r="BV145" s="8">
        <v>0</v>
      </c>
      <c r="BW145" s="9">
        <f t="shared" ref="BW145:BW155" si="752">BU145+BV145</f>
        <v>0</v>
      </c>
      <c r="BX145" s="9">
        <f t="shared" ref="BX145:BX155" si="753">BS145+BT145-BW145</f>
        <v>0</v>
      </c>
      <c r="BY145" s="9">
        <f t="shared" ref="BY145:BY155" si="754">BA145+BG145+BM145+BS145</f>
        <v>0</v>
      </c>
      <c r="BZ145" s="9">
        <f t="shared" ref="BZ145:BZ155" si="755">BB145+BH145+BN145+BT145</f>
        <v>0</v>
      </c>
      <c r="CA145" s="9">
        <f t="shared" ref="CA145:CA155" si="756">BE145+BK145+BQ145+BW145</f>
        <v>0</v>
      </c>
      <c r="CB145" s="9">
        <f t="shared" ref="CB145:CB155" si="757">BF145+BL145+BR145+BX145</f>
        <v>0</v>
      </c>
      <c r="CC145" s="8">
        <v>0</v>
      </c>
      <c r="CD145" s="8">
        <v>14</v>
      </c>
      <c r="CE145" s="8">
        <v>0</v>
      </c>
      <c r="CF145" s="8">
        <v>2</v>
      </c>
      <c r="CG145" s="8">
        <v>0</v>
      </c>
      <c r="CH145" s="9">
        <f t="shared" ref="CH145:CH155" si="758">CD145+CE145+CF145+CG145</f>
        <v>16</v>
      </c>
      <c r="CI145" s="8">
        <v>0</v>
      </c>
      <c r="CJ145" s="8">
        <v>0</v>
      </c>
      <c r="CK145" s="8">
        <v>0</v>
      </c>
      <c r="CL145" s="8">
        <v>0</v>
      </c>
      <c r="CM145" s="9">
        <f t="shared" ref="CM145:CM155" si="759">CI145+CJ145+CK145+CL145</f>
        <v>0</v>
      </c>
      <c r="CN145" s="8">
        <v>42</v>
      </c>
      <c r="CO145" s="8">
        <v>8</v>
      </c>
      <c r="CP145" s="8">
        <v>0</v>
      </c>
      <c r="CQ145" s="8">
        <v>0</v>
      </c>
      <c r="CR145" s="9">
        <f t="shared" ref="CR145:CR155" si="760">CN145+CO145+CP145+CQ145</f>
        <v>50</v>
      </c>
      <c r="CS145" s="9">
        <f t="shared" ref="CS145:CS155" si="761">CM145+CR145</f>
        <v>50</v>
      </c>
      <c r="CT145" s="8">
        <v>66</v>
      </c>
      <c r="CU145" s="8">
        <v>1258</v>
      </c>
      <c r="CV145" s="8">
        <v>1032</v>
      </c>
      <c r="CW145" s="10">
        <f t="shared" ref="CW145:CW155" si="762">IF(CU145=0,"",CV145/CU145)</f>
        <v>0.82034976152623207</v>
      </c>
      <c r="CX145" s="8"/>
      <c r="CY145" s="8"/>
      <c r="CZ145" s="8"/>
      <c r="DA145" s="8"/>
      <c r="DB145" s="9">
        <f t="shared" ref="DB145:DB155" si="763">CX145+CY145-CZ145-DA145</f>
        <v>0</v>
      </c>
      <c r="DC145" s="8">
        <v>0</v>
      </c>
      <c r="DD145" s="8">
        <v>0</v>
      </c>
      <c r="DE145" s="8">
        <v>0</v>
      </c>
      <c r="DF145" s="8">
        <v>0</v>
      </c>
      <c r="DG145" s="9">
        <f t="shared" ref="DG145:DG155" si="764">DC145+DD145-DE145-DF145</f>
        <v>0</v>
      </c>
      <c r="DH145" s="8">
        <v>0</v>
      </c>
      <c r="DI145" s="8">
        <v>0</v>
      </c>
      <c r="DJ145" s="8">
        <v>0</v>
      </c>
      <c r="DK145" s="8">
        <v>0</v>
      </c>
      <c r="DL145" s="9">
        <f t="shared" ref="DL145:DL155" si="765">DH145+DI145-DJ145-DK145</f>
        <v>0</v>
      </c>
      <c r="DM145" s="8">
        <v>0</v>
      </c>
      <c r="DN145" s="8">
        <v>0</v>
      </c>
      <c r="DO145" s="8">
        <v>0</v>
      </c>
      <c r="DP145" s="8">
        <v>0</v>
      </c>
      <c r="DQ145" s="9">
        <f t="shared" ref="DQ145:DQ155" si="766">DM145+DN145-DO145-DP145</f>
        <v>0</v>
      </c>
      <c r="DR145" s="9">
        <f t="shared" ref="DR145:DR155" si="767">CX145+DC145+DH145+DM145</f>
        <v>0</v>
      </c>
      <c r="DS145" s="9">
        <f t="shared" ref="DS145:DS155" si="768">CY145+DD145+DI145+DN145</f>
        <v>0</v>
      </c>
      <c r="DT145" s="9">
        <f t="shared" ref="DT145:DT155" si="769">CZ145+DE145+DJ145+DO145</f>
        <v>0</v>
      </c>
      <c r="DU145" s="9">
        <f t="shared" ref="DU145:DU155" si="770">DA145+DF145+DK145+DP145</f>
        <v>0</v>
      </c>
      <c r="DV145" s="9">
        <f t="shared" ref="DV145:DV155" si="771">DB145+DG145+DL145+DQ145</f>
        <v>0</v>
      </c>
      <c r="DW145" s="8">
        <v>6</v>
      </c>
      <c r="DX145" s="8">
        <v>0</v>
      </c>
      <c r="DY145" s="8">
        <v>0</v>
      </c>
      <c r="DZ145" s="8">
        <v>0</v>
      </c>
      <c r="EA145" s="8">
        <v>0</v>
      </c>
      <c r="EB145" s="8">
        <v>2</v>
      </c>
      <c r="EC145" s="8">
        <v>0</v>
      </c>
      <c r="ED145" s="8">
        <v>0</v>
      </c>
      <c r="EE145" s="8">
        <v>0</v>
      </c>
      <c r="EF145" s="8">
        <v>0</v>
      </c>
      <c r="EG145" s="8">
        <v>0</v>
      </c>
      <c r="EH145" s="8">
        <v>0</v>
      </c>
      <c r="EI145" s="8">
        <v>0</v>
      </c>
      <c r="EJ145" s="8">
        <v>0</v>
      </c>
      <c r="EK145" s="8">
        <v>0</v>
      </c>
      <c r="EL145" s="8">
        <v>0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8">
        <v>0</v>
      </c>
      <c r="ES145" s="8">
        <v>0</v>
      </c>
      <c r="ET145" s="8">
        <v>0</v>
      </c>
      <c r="EU145" s="8">
        <v>0</v>
      </c>
      <c r="EV145" s="8">
        <v>0</v>
      </c>
      <c r="EW145" s="8">
        <v>0</v>
      </c>
      <c r="EX145" s="8">
        <v>0</v>
      </c>
      <c r="EY145" s="8">
        <v>0</v>
      </c>
      <c r="EZ145" s="8">
        <v>0</v>
      </c>
      <c r="FA145" s="8">
        <v>0</v>
      </c>
      <c r="FB145" s="8">
        <v>0</v>
      </c>
      <c r="FC145" s="8">
        <v>0</v>
      </c>
      <c r="FD145" s="8">
        <v>0</v>
      </c>
      <c r="FE145" s="8">
        <v>0</v>
      </c>
      <c r="FF145" s="8">
        <v>0</v>
      </c>
      <c r="FG145" s="9">
        <f t="shared" ref="FG145:FG155" si="772">SUM(DW145,DX145,DY145,DZ145,EA145,EB145,EC145,ED145,EE145,EF145,EG145,EH145,EI145,EJ145,EK145,EL145,EM145,EN145,EO145,EP145,EQ145,ER145,ES145,ET145,EU145,EV145,EW145,EX145,EY145,EZ145,FA145,FB145,FC145,FD145,FE145,FF145)</f>
        <v>8</v>
      </c>
      <c r="FH145" s="8">
        <v>2</v>
      </c>
      <c r="FI145" s="8">
        <v>24</v>
      </c>
      <c r="FJ145" s="8">
        <v>23</v>
      </c>
      <c r="FK145" s="8">
        <v>48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9">
        <f t="shared" ref="FQ145:FQ155" si="773">FL145+FM145+FN145+FO145+FP145</f>
        <v>0</v>
      </c>
      <c r="FR145" s="8">
        <v>0</v>
      </c>
      <c r="FS145" s="8">
        <v>0</v>
      </c>
      <c r="FT145" s="8">
        <v>0</v>
      </c>
      <c r="FU145" s="8">
        <v>0</v>
      </c>
      <c r="FV145" s="9">
        <f t="shared" ref="FV145:FV155" si="774">FR145+FS145+FT145+FU145</f>
        <v>0</v>
      </c>
      <c r="FW145" s="8">
        <v>1188700</v>
      </c>
      <c r="FX145" s="8">
        <v>0</v>
      </c>
      <c r="FY145" s="8">
        <v>0</v>
      </c>
      <c r="FZ145" s="8">
        <v>1048600</v>
      </c>
      <c r="GA145" s="9">
        <f t="shared" ref="GA145:GA155" si="775">FW145+FX145+FY145+FZ145</f>
        <v>2237300</v>
      </c>
      <c r="GB145" s="9">
        <f t="shared" ref="GB145:GB155" si="776">FV145+GA145</f>
        <v>2237300</v>
      </c>
      <c r="GC145" s="8">
        <v>0</v>
      </c>
      <c r="GD145" s="8">
        <v>0</v>
      </c>
      <c r="GE145" s="8">
        <v>0</v>
      </c>
      <c r="GF145" s="8">
        <v>0</v>
      </c>
      <c r="GG145" s="9">
        <f t="shared" ref="GG145:GG155" si="777">GC145+GD145+GE145+GF145</f>
        <v>0</v>
      </c>
      <c r="GH145" s="8">
        <v>0</v>
      </c>
      <c r="GI145" s="8">
        <v>0</v>
      </c>
      <c r="GJ145" s="8">
        <v>0</v>
      </c>
      <c r="GK145" s="8">
        <v>0</v>
      </c>
      <c r="GL145" s="9">
        <f t="shared" ref="GL145:GL155" si="778">GH145+GI145+GJ145+GK145</f>
        <v>0</v>
      </c>
      <c r="GM145" s="9">
        <f t="shared" ref="GM145:GM155" si="779">GG145+GL145</f>
        <v>0</v>
      </c>
      <c r="GN145" s="8">
        <v>0</v>
      </c>
      <c r="GO145" s="8">
        <v>0</v>
      </c>
      <c r="GP145" s="8">
        <v>0</v>
      </c>
      <c r="GQ145" s="8">
        <v>0</v>
      </c>
      <c r="GR145" s="9">
        <f t="shared" ref="GR145:GR155" si="780">GN145+GO145+GP145+GQ145</f>
        <v>0</v>
      </c>
      <c r="GS145" s="8">
        <v>0</v>
      </c>
      <c r="GT145" s="8">
        <v>0</v>
      </c>
      <c r="GU145" s="8">
        <v>0</v>
      </c>
      <c r="GV145" s="8">
        <v>0</v>
      </c>
      <c r="GW145" s="9">
        <f t="shared" ref="GW145:GW155" si="781">GS145+GT145+GU145+GV145</f>
        <v>0</v>
      </c>
      <c r="GX145" s="9">
        <f t="shared" ref="GX145:GX155" si="782">GM145+GR145+GW145</f>
        <v>0</v>
      </c>
      <c r="GY145" s="8">
        <v>1817416.41</v>
      </c>
      <c r="GZ145" s="8">
        <v>0</v>
      </c>
      <c r="HA145" s="9">
        <f t="shared" ref="HA145:HA155" si="783">GY145+GZ145</f>
        <v>1817416.41</v>
      </c>
      <c r="HB145" s="9" t="str">
        <f t="shared" ref="HB145:HB155" si="784">IF(GX145=0,"",AU145/GX145)</f>
        <v/>
      </c>
      <c r="HC145" s="10">
        <f t="shared" ref="HC145:HC155" si="785">IF((GX145+GY145)=0,"",GB145/(GX145+GY145))</f>
        <v>1.2310332335999983</v>
      </c>
      <c r="HD145" s="9" t="str">
        <f t="shared" ref="HD145:HD155" si="786">IF(GX145=0,"",GB145/GX145)</f>
        <v/>
      </c>
      <c r="HE145" s="8">
        <v>0</v>
      </c>
      <c r="HF145" s="8">
        <v>0</v>
      </c>
      <c r="HG145" s="8">
        <v>0</v>
      </c>
      <c r="HH145" s="8">
        <v>0</v>
      </c>
      <c r="HI145" s="8">
        <v>0</v>
      </c>
      <c r="HJ145" s="9">
        <f t="shared" ref="HJ145:HJ155" si="787">HF145+HI145</f>
        <v>0</v>
      </c>
      <c r="HK145" s="10" t="str">
        <f t="shared" ref="HK145:HK155" si="788">IF(HE145=0,"",HH145/HE145)</f>
        <v/>
      </c>
      <c r="HL145" s="8">
        <v>6</v>
      </c>
      <c r="HM145" s="8">
        <v>2</v>
      </c>
      <c r="HN145" s="11">
        <f t="shared" ref="HN145:HN155" si="789">IF(HL145=0,"",HM145/HL145)</f>
        <v>0.33333333333333331</v>
      </c>
    </row>
    <row r="146" spans="1:222" x14ac:dyDescent="0.3">
      <c r="A146" s="12" t="s">
        <v>280</v>
      </c>
      <c r="B146" s="12" t="s">
        <v>284</v>
      </c>
      <c r="C146" s="13" t="s">
        <v>257</v>
      </c>
      <c r="D146" s="13">
        <v>2026</v>
      </c>
      <c r="E146" s="13">
        <v>3</v>
      </c>
      <c r="F146" s="13" t="s">
        <v>273</v>
      </c>
      <c r="G146" s="13" t="s">
        <v>271</v>
      </c>
      <c r="H146" s="14">
        <v>729</v>
      </c>
      <c r="I146" s="14">
        <v>0</v>
      </c>
      <c r="J146" s="14">
        <v>0</v>
      </c>
      <c r="K146" s="14">
        <v>0</v>
      </c>
      <c r="L146" s="14">
        <v>0</v>
      </c>
      <c r="M146" s="15">
        <f t="shared" si="729"/>
        <v>0</v>
      </c>
      <c r="N146" s="14">
        <v>276</v>
      </c>
      <c r="O146" s="14">
        <v>0</v>
      </c>
      <c r="P146" s="14">
        <v>301</v>
      </c>
      <c r="Q146" s="14">
        <v>32</v>
      </c>
      <c r="R146" s="15">
        <f t="shared" si="730"/>
        <v>609</v>
      </c>
      <c r="S146" s="15">
        <f t="shared" si="731"/>
        <v>609</v>
      </c>
      <c r="T146" s="14">
        <v>120</v>
      </c>
      <c r="U146" s="16">
        <f t="shared" si="732"/>
        <v>0.16460905349794239</v>
      </c>
      <c r="V146" s="14">
        <v>4</v>
      </c>
      <c r="W146" s="17">
        <f t="shared" si="733"/>
        <v>5.4869684499314125E-3</v>
      </c>
      <c r="X146" s="14">
        <v>0</v>
      </c>
      <c r="Y146" s="17">
        <f t="shared" si="734"/>
        <v>0</v>
      </c>
      <c r="Z146" s="14">
        <v>0</v>
      </c>
      <c r="AA146" s="17">
        <f t="shared" si="735"/>
        <v>0</v>
      </c>
      <c r="AB146" s="14">
        <v>0</v>
      </c>
      <c r="AC146" s="17">
        <f t="shared" si="736"/>
        <v>0</v>
      </c>
      <c r="AD146" s="14">
        <v>0</v>
      </c>
      <c r="AE146" s="17">
        <f t="shared" si="737"/>
        <v>0</v>
      </c>
      <c r="AF146" s="14">
        <v>0</v>
      </c>
      <c r="AG146" s="17">
        <f t="shared" si="738"/>
        <v>0</v>
      </c>
      <c r="AH146" s="14">
        <v>20446.68</v>
      </c>
      <c r="AI146" s="15">
        <f t="shared" si="739"/>
        <v>28.047572016460904</v>
      </c>
      <c r="AJ146" s="14">
        <v>455</v>
      </c>
      <c r="AK146" s="17">
        <f t="shared" si="740"/>
        <v>0.62414266117969819</v>
      </c>
      <c r="AL146" s="14">
        <v>16426.5</v>
      </c>
      <c r="AM146" s="15">
        <f t="shared" si="741"/>
        <v>22.532921810699587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5">
        <f t="shared" si="742"/>
        <v>36873.18</v>
      </c>
      <c r="AV146" s="15">
        <f t="shared" si="743"/>
        <v>50.580493827160495</v>
      </c>
      <c r="AW146" s="15">
        <f t="shared" si="744"/>
        <v>60.547093596059113</v>
      </c>
      <c r="AX146" s="14">
        <v>0</v>
      </c>
      <c r="AY146" s="15">
        <f t="shared" si="745"/>
        <v>0</v>
      </c>
      <c r="AZ146" s="14">
        <v>2</v>
      </c>
      <c r="BA146" s="14">
        <v>0</v>
      </c>
      <c r="BB146" s="14">
        <v>0</v>
      </c>
      <c r="BC146" s="14">
        <v>0</v>
      </c>
      <c r="BD146" s="14">
        <v>0</v>
      </c>
      <c r="BE146" s="15">
        <f t="shared" si="746"/>
        <v>0</v>
      </c>
      <c r="BF146" s="15">
        <f t="shared" si="747"/>
        <v>0</v>
      </c>
      <c r="BG146" s="14">
        <v>0</v>
      </c>
      <c r="BH146" s="14">
        <v>0</v>
      </c>
      <c r="BI146" s="14">
        <v>0</v>
      </c>
      <c r="BJ146" s="14">
        <v>0</v>
      </c>
      <c r="BK146" s="15">
        <f t="shared" si="748"/>
        <v>0</v>
      </c>
      <c r="BL146" s="15">
        <f t="shared" si="749"/>
        <v>0</v>
      </c>
      <c r="BM146" s="14">
        <v>0</v>
      </c>
      <c r="BN146" s="14">
        <v>0</v>
      </c>
      <c r="BO146" s="14">
        <v>0</v>
      </c>
      <c r="BP146" s="14">
        <v>0</v>
      </c>
      <c r="BQ146" s="15">
        <f t="shared" si="750"/>
        <v>0</v>
      </c>
      <c r="BR146" s="15">
        <f t="shared" si="751"/>
        <v>0</v>
      </c>
      <c r="BS146" s="14">
        <v>0</v>
      </c>
      <c r="BT146" s="14">
        <v>0</v>
      </c>
      <c r="BU146" s="14">
        <v>0</v>
      </c>
      <c r="BV146" s="14">
        <v>0</v>
      </c>
      <c r="BW146" s="15">
        <f t="shared" si="752"/>
        <v>0</v>
      </c>
      <c r="BX146" s="15">
        <f t="shared" si="753"/>
        <v>0</v>
      </c>
      <c r="BY146" s="15">
        <f t="shared" si="754"/>
        <v>0</v>
      </c>
      <c r="BZ146" s="15">
        <f t="shared" si="755"/>
        <v>0</v>
      </c>
      <c r="CA146" s="15">
        <f t="shared" si="756"/>
        <v>0</v>
      </c>
      <c r="CB146" s="15">
        <f t="shared" si="757"/>
        <v>0</v>
      </c>
      <c r="CC146" s="14">
        <v>0</v>
      </c>
      <c r="CD146" s="14">
        <v>14</v>
      </c>
      <c r="CE146" s="14">
        <v>0</v>
      </c>
      <c r="CF146" s="14">
        <v>2</v>
      </c>
      <c r="CG146" s="14">
        <v>0</v>
      </c>
      <c r="CH146" s="15">
        <f t="shared" si="758"/>
        <v>16</v>
      </c>
      <c r="CI146" s="14">
        <v>0</v>
      </c>
      <c r="CJ146" s="14">
        <v>0</v>
      </c>
      <c r="CK146" s="14">
        <v>0</v>
      </c>
      <c r="CL146" s="14">
        <v>0</v>
      </c>
      <c r="CM146" s="15">
        <f t="shared" si="759"/>
        <v>0</v>
      </c>
      <c r="CN146" s="14">
        <v>42</v>
      </c>
      <c r="CO146" s="14">
        <v>8</v>
      </c>
      <c r="CP146" s="14">
        <v>0</v>
      </c>
      <c r="CQ146" s="14">
        <v>0</v>
      </c>
      <c r="CR146" s="15">
        <f t="shared" si="760"/>
        <v>50</v>
      </c>
      <c r="CS146" s="15">
        <f t="shared" si="761"/>
        <v>50</v>
      </c>
      <c r="CT146" s="14">
        <v>66</v>
      </c>
      <c r="CU146" s="14">
        <v>1258</v>
      </c>
      <c r="CV146" s="14">
        <v>1032</v>
      </c>
      <c r="CW146" s="16">
        <f t="shared" si="762"/>
        <v>0.82034976152623207</v>
      </c>
      <c r="CX146" s="14"/>
      <c r="CY146" s="14"/>
      <c r="CZ146" s="14"/>
      <c r="DA146" s="14"/>
      <c r="DB146" s="15">
        <f t="shared" si="763"/>
        <v>0</v>
      </c>
      <c r="DC146" s="14">
        <v>0</v>
      </c>
      <c r="DD146" s="14">
        <v>0</v>
      </c>
      <c r="DE146" s="14">
        <v>0</v>
      </c>
      <c r="DF146" s="14">
        <v>0</v>
      </c>
      <c r="DG146" s="15">
        <f t="shared" si="764"/>
        <v>0</v>
      </c>
      <c r="DH146" s="14">
        <v>0</v>
      </c>
      <c r="DI146" s="14">
        <v>0</v>
      </c>
      <c r="DJ146" s="14">
        <v>0</v>
      </c>
      <c r="DK146" s="14">
        <v>0</v>
      </c>
      <c r="DL146" s="15">
        <f t="shared" si="765"/>
        <v>0</v>
      </c>
      <c r="DM146" s="14">
        <v>0</v>
      </c>
      <c r="DN146" s="14">
        <v>0</v>
      </c>
      <c r="DO146" s="14">
        <v>0</v>
      </c>
      <c r="DP146" s="14">
        <v>0</v>
      </c>
      <c r="DQ146" s="15">
        <f t="shared" si="766"/>
        <v>0</v>
      </c>
      <c r="DR146" s="15">
        <f t="shared" si="767"/>
        <v>0</v>
      </c>
      <c r="DS146" s="15">
        <f t="shared" si="768"/>
        <v>0</v>
      </c>
      <c r="DT146" s="15">
        <f t="shared" si="769"/>
        <v>0</v>
      </c>
      <c r="DU146" s="15">
        <f t="shared" si="770"/>
        <v>0</v>
      </c>
      <c r="DV146" s="15">
        <f t="shared" si="771"/>
        <v>0</v>
      </c>
      <c r="DW146" s="14">
        <v>2</v>
      </c>
      <c r="DX146" s="14">
        <v>0</v>
      </c>
      <c r="DY146" s="14">
        <v>1</v>
      </c>
      <c r="DZ146" s="14">
        <v>0</v>
      </c>
      <c r="EA146" s="14">
        <v>2</v>
      </c>
      <c r="EB146" s="14">
        <v>1</v>
      </c>
      <c r="EC146" s="14">
        <v>0</v>
      </c>
      <c r="ED146" s="14">
        <v>0</v>
      </c>
      <c r="EE146" s="14">
        <v>0</v>
      </c>
      <c r="EF146" s="14">
        <v>0</v>
      </c>
      <c r="EG146" s="14">
        <v>0</v>
      </c>
      <c r="EH146" s="14">
        <v>0</v>
      </c>
      <c r="EI146" s="14">
        <v>0</v>
      </c>
      <c r="EJ146" s="14">
        <v>0</v>
      </c>
      <c r="EK146" s="14">
        <v>0</v>
      </c>
      <c r="EL146" s="14">
        <v>0</v>
      </c>
      <c r="EM146" s="14">
        <v>0</v>
      </c>
      <c r="EN146" s="14">
        <v>0</v>
      </c>
      <c r="EO146" s="14">
        <v>0</v>
      </c>
      <c r="EP146" s="14">
        <v>0</v>
      </c>
      <c r="EQ146" s="14">
        <v>0</v>
      </c>
      <c r="ER146" s="14">
        <v>0</v>
      </c>
      <c r="ES146" s="14">
        <v>0</v>
      </c>
      <c r="ET146" s="14">
        <v>0</v>
      </c>
      <c r="EU146" s="14">
        <v>0</v>
      </c>
      <c r="EV146" s="14">
        <v>0</v>
      </c>
      <c r="EW146" s="14">
        <v>0</v>
      </c>
      <c r="EX146" s="14">
        <v>0</v>
      </c>
      <c r="EY146" s="14">
        <v>0</v>
      </c>
      <c r="EZ146" s="14">
        <v>0</v>
      </c>
      <c r="FA146" s="14">
        <v>0</v>
      </c>
      <c r="FB146" s="14">
        <v>0</v>
      </c>
      <c r="FC146" s="14">
        <v>0</v>
      </c>
      <c r="FD146" s="14">
        <v>0</v>
      </c>
      <c r="FE146" s="14">
        <v>0</v>
      </c>
      <c r="FF146" s="14">
        <v>0</v>
      </c>
      <c r="FG146" s="15">
        <f t="shared" si="772"/>
        <v>6</v>
      </c>
      <c r="FH146" s="14">
        <v>3</v>
      </c>
      <c r="FI146" s="14">
        <v>5</v>
      </c>
      <c r="FJ146" s="14">
        <v>24</v>
      </c>
      <c r="FK146" s="14">
        <v>15</v>
      </c>
      <c r="FL146" s="14">
        <v>0</v>
      </c>
      <c r="FM146" s="14">
        <v>0</v>
      </c>
      <c r="FN146" s="14">
        <v>0</v>
      </c>
      <c r="FO146" s="14">
        <v>0</v>
      </c>
      <c r="FP146" s="14">
        <v>0</v>
      </c>
      <c r="FQ146" s="15">
        <f t="shared" si="773"/>
        <v>0</v>
      </c>
      <c r="FR146" s="14">
        <v>0</v>
      </c>
      <c r="FS146" s="14">
        <v>0</v>
      </c>
      <c r="FT146" s="14">
        <v>0</v>
      </c>
      <c r="FU146" s="14">
        <v>0</v>
      </c>
      <c r="FV146" s="15">
        <f t="shared" si="774"/>
        <v>0</v>
      </c>
      <c r="FW146" s="14">
        <v>200200</v>
      </c>
      <c r="FX146" s="14">
        <v>0</v>
      </c>
      <c r="FY146" s="14">
        <v>0</v>
      </c>
      <c r="FZ146" s="14">
        <v>0</v>
      </c>
      <c r="GA146" s="15">
        <f t="shared" si="775"/>
        <v>200200</v>
      </c>
      <c r="GB146" s="15">
        <f t="shared" si="776"/>
        <v>200200</v>
      </c>
      <c r="GC146" s="14">
        <v>0</v>
      </c>
      <c r="GD146" s="14">
        <v>0</v>
      </c>
      <c r="GE146" s="14">
        <v>0</v>
      </c>
      <c r="GF146" s="14">
        <v>0</v>
      </c>
      <c r="GG146" s="15">
        <f t="shared" si="777"/>
        <v>0</v>
      </c>
      <c r="GH146" s="14">
        <v>0</v>
      </c>
      <c r="GI146" s="14">
        <v>0</v>
      </c>
      <c r="GJ146" s="14">
        <v>0</v>
      </c>
      <c r="GK146" s="14">
        <v>0</v>
      </c>
      <c r="GL146" s="15">
        <f t="shared" si="778"/>
        <v>0</v>
      </c>
      <c r="GM146" s="15">
        <f t="shared" si="779"/>
        <v>0</v>
      </c>
      <c r="GN146" s="14">
        <v>0</v>
      </c>
      <c r="GO146" s="14">
        <v>0</v>
      </c>
      <c r="GP146" s="14">
        <v>0</v>
      </c>
      <c r="GQ146" s="14">
        <v>0</v>
      </c>
      <c r="GR146" s="15">
        <f t="shared" si="780"/>
        <v>0</v>
      </c>
      <c r="GS146" s="14">
        <v>0</v>
      </c>
      <c r="GT146" s="14">
        <v>0</v>
      </c>
      <c r="GU146" s="14">
        <v>0</v>
      </c>
      <c r="GV146" s="14">
        <v>0</v>
      </c>
      <c r="GW146" s="15">
        <f t="shared" si="781"/>
        <v>0</v>
      </c>
      <c r="GX146" s="15">
        <f t="shared" si="782"/>
        <v>0</v>
      </c>
      <c r="GY146" s="14">
        <v>1817416.41</v>
      </c>
      <c r="GZ146" s="14">
        <v>0</v>
      </c>
      <c r="HA146" s="15">
        <f t="shared" si="783"/>
        <v>1817416.41</v>
      </c>
      <c r="HB146" s="15" t="str">
        <f t="shared" si="784"/>
        <v/>
      </c>
      <c r="HC146" s="16">
        <f t="shared" si="785"/>
        <v>0.11015637302405562</v>
      </c>
      <c r="HD146" s="15" t="str">
        <f t="shared" si="786"/>
        <v/>
      </c>
      <c r="HE146" s="14"/>
      <c r="HF146" s="14">
        <v>0</v>
      </c>
      <c r="HG146" s="14">
        <v>0</v>
      </c>
      <c r="HH146" s="14">
        <v>0</v>
      </c>
      <c r="HI146" s="14">
        <v>0</v>
      </c>
      <c r="HJ146" s="15">
        <f t="shared" si="787"/>
        <v>0</v>
      </c>
      <c r="HK146" s="16" t="str">
        <f t="shared" si="788"/>
        <v/>
      </c>
      <c r="HL146" s="14">
        <v>7</v>
      </c>
      <c r="HM146" s="14">
        <v>2</v>
      </c>
      <c r="HN146" s="17">
        <f t="shared" si="789"/>
        <v>0.2857142857142857</v>
      </c>
    </row>
    <row r="147" spans="1:222" x14ac:dyDescent="0.3">
      <c r="A147" s="6" t="s">
        <v>280</v>
      </c>
      <c r="B147" s="6" t="s">
        <v>280</v>
      </c>
      <c r="C147" s="7" t="s">
        <v>257</v>
      </c>
      <c r="D147" s="7">
        <v>2025</v>
      </c>
      <c r="E147" s="7">
        <v>4</v>
      </c>
      <c r="F147" s="7" t="s">
        <v>258</v>
      </c>
      <c r="G147" s="7" t="s">
        <v>259</v>
      </c>
      <c r="H147" s="8">
        <v>45151</v>
      </c>
      <c r="I147" s="8">
        <v>19583</v>
      </c>
      <c r="J147" s="8">
        <v>1097</v>
      </c>
      <c r="K147" s="8">
        <v>187</v>
      </c>
      <c r="L147" s="8">
        <v>110</v>
      </c>
      <c r="M147" s="9">
        <f t="shared" si="729"/>
        <v>20977</v>
      </c>
      <c r="N147" s="8">
        <v>4237.7</v>
      </c>
      <c r="O147" s="8">
        <v>50</v>
      </c>
      <c r="P147" s="8">
        <v>5586.4</v>
      </c>
      <c r="Q147" s="8">
        <v>1004</v>
      </c>
      <c r="R147" s="9">
        <f t="shared" si="730"/>
        <v>10878.099999999999</v>
      </c>
      <c r="S147" s="9">
        <f t="shared" si="731"/>
        <v>31855.1</v>
      </c>
      <c r="T147" s="8">
        <v>13295.9</v>
      </c>
      <c r="U147" s="10">
        <f t="shared" si="732"/>
        <v>0.29447631281699188</v>
      </c>
      <c r="V147" s="8">
        <v>89</v>
      </c>
      <c r="W147" s="11">
        <f t="shared" si="733"/>
        <v>1.9711634293814091E-3</v>
      </c>
      <c r="X147" s="8">
        <v>0</v>
      </c>
      <c r="Y147" s="11">
        <f t="shared" si="734"/>
        <v>0</v>
      </c>
      <c r="Z147" s="8">
        <v>0</v>
      </c>
      <c r="AA147" s="11">
        <f t="shared" si="735"/>
        <v>0</v>
      </c>
      <c r="AB147" s="8">
        <v>0</v>
      </c>
      <c r="AC147" s="11">
        <f t="shared" si="736"/>
        <v>0</v>
      </c>
      <c r="AD147" s="8">
        <v>0</v>
      </c>
      <c r="AE147" s="11">
        <f t="shared" si="737"/>
        <v>0</v>
      </c>
      <c r="AF147" s="8">
        <v>0</v>
      </c>
      <c r="AG147" s="11">
        <f t="shared" si="738"/>
        <v>0</v>
      </c>
      <c r="AH147" s="8">
        <v>454938.63</v>
      </c>
      <c r="AI147" s="9">
        <f t="shared" si="739"/>
        <v>10.075936967066067</v>
      </c>
      <c r="AJ147" s="8">
        <v>56</v>
      </c>
      <c r="AK147" s="11">
        <f t="shared" si="740"/>
        <v>1.2402826072512236E-3</v>
      </c>
      <c r="AL147" s="8">
        <v>24196.583999999999</v>
      </c>
      <c r="AM147" s="9">
        <f t="shared" si="741"/>
        <v>0.53590361232309358</v>
      </c>
      <c r="AN147" s="8">
        <v>1852</v>
      </c>
      <c r="AO147" s="8">
        <v>160</v>
      </c>
      <c r="AP147" s="8">
        <v>437440</v>
      </c>
      <c r="AQ147" s="8">
        <v>0</v>
      </c>
      <c r="AR147" s="8">
        <v>15353620.01</v>
      </c>
      <c r="AS147" s="8">
        <v>3382101.03</v>
      </c>
      <c r="AT147" s="8">
        <v>4380875.5599999996</v>
      </c>
      <c r="AU147" s="9">
        <f t="shared" si="742"/>
        <v>24033171.813999999</v>
      </c>
      <c r="AV147" s="9">
        <f t="shared" si="743"/>
        <v>532.28437496400966</v>
      </c>
      <c r="AW147" s="9">
        <f t="shared" si="744"/>
        <v>754.4528761171681</v>
      </c>
      <c r="AX147" s="8">
        <v>9</v>
      </c>
      <c r="AY147" s="9">
        <f t="shared" si="745"/>
        <v>2.3919735996987885</v>
      </c>
      <c r="AZ147" s="8">
        <v>19</v>
      </c>
      <c r="BA147" s="8">
        <v>398</v>
      </c>
      <c r="BB147" s="8">
        <v>0</v>
      </c>
      <c r="BC147" s="8">
        <v>0</v>
      </c>
      <c r="BD147" s="8">
        <v>33</v>
      </c>
      <c r="BE147" s="9">
        <f t="shared" si="746"/>
        <v>33</v>
      </c>
      <c r="BF147" s="9">
        <f t="shared" si="747"/>
        <v>365</v>
      </c>
      <c r="BG147" s="8">
        <v>0</v>
      </c>
      <c r="BH147" s="8">
        <v>0</v>
      </c>
      <c r="BI147" s="8">
        <v>0</v>
      </c>
      <c r="BJ147" s="8">
        <v>0</v>
      </c>
      <c r="BK147" s="9">
        <f t="shared" si="748"/>
        <v>0</v>
      </c>
      <c r="BL147" s="9">
        <f t="shared" si="749"/>
        <v>0</v>
      </c>
      <c r="BM147" s="8">
        <v>0</v>
      </c>
      <c r="BN147" s="8">
        <v>0</v>
      </c>
      <c r="BO147" s="8">
        <v>0</v>
      </c>
      <c r="BP147" s="8">
        <v>0</v>
      </c>
      <c r="BQ147" s="9">
        <f t="shared" si="750"/>
        <v>0</v>
      </c>
      <c r="BR147" s="9">
        <f t="shared" si="751"/>
        <v>0</v>
      </c>
      <c r="BS147" s="8">
        <v>0</v>
      </c>
      <c r="BT147" s="8">
        <v>0</v>
      </c>
      <c r="BU147" s="8">
        <v>0</v>
      </c>
      <c r="BV147" s="8">
        <v>0</v>
      </c>
      <c r="BW147" s="9">
        <f t="shared" si="752"/>
        <v>0</v>
      </c>
      <c r="BX147" s="9">
        <f t="shared" si="753"/>
        <v>0</v>
      </c>
      <c r="BY147" s="9">
        <f t="shared" si="754"/>
        <v>398</v>
      </c>
      <c r="BZ147" s="9">
        <f t="shared" si="755"/>
        <v>0</v>
      </c>
      <c r="CA147" s="9">
        <f t="shared" si="756"/>
        <v>33</v>
      </c>
      <c r="CB147" s="9">
        <f t="shared" si="757"/>
        <v>365</v>
      </c>
      <c r="CC147" s="8">
        <v>119</v>
      </c>
      <c r="CD147" s="8">
        <v>639</v>
      </c>
      <c r="CE147" s="8">
        <v>35</v>
      </c>
      <c r="CF147" s="8">
        <v>70</v>
      </c>
      <c r="CG147" s="8">
        <v>16</v>
      </c>
      <c r="CH147" s="9">
        <f t="shared" si="758"/>
        <v>760</v>
      </c>
      <c r="CI147" s="8">
        <v>2173</v>
      </c>
      <c r="CJ147" s="8">
        <v>16</v>
      </c>
      <c r="CK147" s="8">
        <v>12</v>
      </c>
      <c r="CL147" s="8">
        <v>12</v>
      </c>
      <c r="CM147" s="9">
        <f t="shared" si="759"/>
        <v>2213</v>
      </c>
      <c r="CN147" s="8">
        <v>809</v>
      </c>
      <c r="CO147" s="8">
        <v>93</v>
      </c>
      <c r="CP147" s="8">
        <v>131</v>
      </c>
      <c r="CQ147" s="8">
        <v>4</v>
      </c>
      <c r="CR147" s="9">
        <f t="shared" si="760"/>
        <v>1037</v>
      </c>
      <c r="CS147" s="9">
        <f t="shared" si="761"/>
        <v>3250</v>
      </c>
      <c r="CT147" s="8">
        <v>4010</v>
      </c>
      <c r="CU147" s="8">
        <v>25000</v>
      </c>
      <c r="CV147" s="8">
        <v>20580</v>
      </c>
      <c r="CW147" s="10">
        <f t="shared" si="762"/>
        <v>0.82320000000000004</v>
      </c>
      <c r="CX147" s="8">
        <v>0</v>
      </c>
      <c r="CY147" s="8">
        <v>0</v>
      </c>
      <c r="CZ147" s="8">
        <v>0</v>
      </c>
      <c r="DA147" s="8">
        <v>0</v>
      </c>
      <c r="DB147" s="9">
        <f t="shared" si="763"/>
        <v>0</v>
      </c>
      <c r="DC147" s="8">
        <v>0</v>
      </c>
      <c r="DD147" s="8">
        <v>0</v>
      </c>
      <c r="DE147" s="8">
        <v>0</v>
      </c>
      <c r="DF147" s="8">
        <v>0</v>
      </c>
      <c r="DG147" s="9">
        <f t="shared" si="764"/>
        <v>0</v>
      </c>
      <c r="DH147" s="8">
        <v>0</v>
      </c>
      <c r="DI147" s="8">
        <v>0</v>
      </c>
      <c r="DJ147" s="8">
        <v>0</v>
      </c>
      <c r="DK147" s="8">
        <v>0</v>
      </c>
      <c r="DL147" s="9">
        <f t="shared" si="765"/>
        <v>0</v>
      </c>
      <c r="DM147" s="8">
        <v>134</v>
      </c>
      <c r="DN147" s="8">
        <v>0</v>
      </c>
      <c r="DO147" s="8">
        <v>0</v>
      </c>
      <c r="DP147" s="8">
        <v>0</v>
      </c>
      <c r="DQ147" s="9">
        <f t="shared" si="766"/>
        <v>134</v>
      </c>
      <c r="DR147" s="9">
        <f t="shared" si="767"/>
        <v>134</v>
      </c>
      <c r="DS147" s="9">
        <f t="shared" si="768"/>
        <v>0</v>
      </c>
      <c r="DT147" s="9">
        <f t="shared" si="769"/>
        <v>0</v>
      </c>
      <c r="DU147" s="9">
        <f t="shared" si="770"/>
        <v>0</v>
      </c>
      <c r="DV147" s="9">
        <f t="shared" si="771"/>
        <v>134</v>
      </c>
      <c r="DW147" s="8">
        <v>15</v>
      </c>
      <c r="DX147" s="8">
        <v>10</v>
      </c>
      <c r="DY147" s="8">
        <v>4</v>
      </c>
      <c r="DZ147" s="8">
        <v>1</v>
      </c>
      <c r="EA147" s="8">
        <v>1</v>
      </c>
      <c r="EB147" s="8">
        <v>1</v>
      </c>
      <c r="EC147" s="8">
        <v>1</v>
      </c>
      <c r="ED147" s="8">
        <v>0</v>
      </c>
      <c r="EE147" s="8">
        <v>1</v>
      </c>
      <c r="EF147" s="8">
        <v>1</v>
      </c>
      <c r="EG147" s="8">
        <v>1</v>
      </c>
      <c r="EH147" s="8">
        <v>0</v>
      </c>
      <c r="EI147" s="8">
        <v>0</v>
      </c>
      <c r="EJ147" s="8">
        <v>0</v>
      </c>
      <c r="EK147" s="8">
        <v>0</v>
      </c>
      <c r="EL147" s="8">
        <v>0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8">
        <v>0</v>
      </c>
      <c r="ES147" s="8">
        <v>0</v>
      </c>
      <c r="ET147" s="8">
        <v>0</v>
      </c>
      <c r="EU147" s="8">
        <v>0</v>
      </c>
      <c r="EV147" s="8">
        <v>0</v>
      </c>
      <c r="EW147" s="8">
        <v>0</v>
      </c>
      <c r="EX147" s="8">
        <v>0</v>
      </c>
      <c r="EY147" s="8">
        <v>0</v>
      </c>
      <c r="EZ147" s="8">
        <v>0</v>
      </c>
      <c r="FA147" s="8">
        <v>0</v>
      </c>
      <c r="FB147" s="8">
        <v>0</v>
      </c>
      <c r="FC147" s="8">
        <v>0</v>
      </c>
      <c r="FD147" s="8">
        <v>0</v>
      </c>
      <c r="FE147" s="8">
        <v>0</v>
      </c>
      <c r="FF147" s="8">
        <v>0</v>
      </c>
      <c r="FG147" s="9">
        <f t="shared" si="772"/>
        <v>36</v>
      </c>
      <c r="FH147" s="8">
        <v>0</v>
      </c>
      <c r="FI147" s="8">
        <v>0</v>
      </c>
      <c r="FJ147" s="8">
        <v>24</v>
      </c>
      <c r="FK147" s="8">
        <v>0</v>
      </c>
      <c r="FL147" s="8">
        <v>0</v>
      </c>
      <c r="FM147" s="8">
        <v>0</v>
      </c>
      <c r="FN147" s="8">
        <v>0</v>
      </c>
      <c r="FO147" s="8">
        <v>0</v>
      </c>
      <c r="FP147" s="8">
        <v>0</v>
      </c>
      <c r="FQ147" s="9">
        <f t="shared" si="773"/>
        <v>0</v>
      </c>
      <c r="FR147" s="8">
        <v>17958482</v>
      </c>
      <c r="FS147" s="8">
        <v>158500</v>
      </c>
      <c r="FT147" s="8">
        <v>177600</v>
      </c>
      <c r="FU147" s="8">
        <v>557065.69999999995</v>
      </c>
      <c r="FV147" s="9">
        <f t="shared" si="774"/>
        <v>18851647.699999999</v>
      </c>
      <c r="FW147" s="8">
        <v>5714023.299999983</v>
      </c>
      <c r="FX147" s="8">
        <v>10612.44</v>
      </c>
      <c r="FY147" s="8">
        <v>4890774.7300000004</v>
      </c>
      <c r="FZ147" s="8">
        <v>17152137.73</v>
      </c>
      <c r="GA147" s="9">
        <f t="shared" si="775"/>
        <v>27767548.199999984</v>
      </c>
      <c r="GB147" s="9">
        <f t="shared" si="776"/>
        <v>46619195.899999984</v>
      </c>
      <c r="GC147" s="8">
        <v>17494245.57</v>
      </c>
      <c r="GD147" s="8">
        <v>209834.16</v>
      </c>
      <c r="GE147" s="8">
        <v>522182.1</v>
      </c>
      <c r="GF147" s="8">
        <v>362295.74</v>
      </c>
      <c r="GG147" s="9">
        <f t="shared" si="777"/>
        <v>18588557.57</v>
      </c>
      <c r="GH147" s="8">
        <v>0</v>
      </c>
      <c r="GI147" s="8">
        <v>0</v>
      </c>
      <c r="GJ147" s="8">
        <v>0</v>
      </c>
      <c r="GK147" s="8">
        <v>0</v>
      </c>
      <c r="GL147" s="9">
        <f t="shared" si="778"/>
        <v>0</v>
      </c>
      <c r="GM147" s="9">
        <f t="shared" si="779"/>
        <v>18588557.57</v>
      </c>
      <c r="GN147" s="8">
        <v>1221391.8899999999</v>
      </c>
      <c r="GO147" s="8">
        <v>2295.36</v>
      </c>
      <c r="GP147" s="8">
        <v>54298.239999999998</v>
      </c>
      <c r="GQ147" s="8">
        <v>55648.08</v>
      </c>
      <c r="GR147" s="9">
        <f t="shared" si="780"/>
        <v>1333633.57</v>
      </c>
      <c r="GS147" s="8">
        <v>1940489</v>
      </c>
      <c r="GT147" s="8">
        <v>10716</v>
      </c>
      <c r="GU147" s="8">
        <v>14288</v>
      </c>
      <c r="GV147" s="8">
        <v>10716</v>
      </c>
      <c r="GW147" s="9">
        <f t="shared" si="781"/>
        <v>1976209</v>
      </c>
      <c r="GX147" s="9">
        <f t="shared" si="782"/>
        <v>21898400.140000001</v>
      </c>
      <c r="GY147" s="8">
        <v>156607540.53</v>
      </c>
      <c r="GZ147" s="8">
        <v>145614.48000000001</v>
      </c>
      <c r="HA147" s="9">
        <f t="shared" si="783"/>
        <v>156753155.00999999</v>
      </c>
      <c r="HB147" s="9">
        <f t="shared" si="784"/>
        <v>1.0974852802191968</v>
      </c>
      <c r="HC147" s="10">
        <f t="shared" si="785"/>
        <v>0.26116327403458162</v>
      </c>
      <c r="HD147" s="9">
        <f t="shared" si="786"/>
        <v>2.1288859278283323</v>
      </c>
      <c r="HE147" s="8">
        <v>0</v>
      </c>
      <c r="HF147" s="8">
        <v>1</v>
      </c>
      <c r="HG147" s="8">
        <v>365</v>
      </c>
      <c r="HH147" s="8">
        <v>0</v>
      </c>
      <c r="HI147" s="8">
        <v>30</v>
      </c>
      <c r="HJ147" s="9">
        <f t="shared" si="787"/>
        <v>31</v>
      </c>
      <c r="HK147" s="10" t="str">
        <f t="shared" si="788"/>
        <v/>
      </c>
      <c r="HL147" s="8">
        <v>12</v>
      </c>
      <c r="HM147" s="8">
        <v>30</v>
      </c>
      <c r="HN147" s="11">
        <f t="shared" si="789"/>
        <v>2.5</v>
      </c>
    </row>
    <row r="148" spans="1:222" x14ac:dyDescent="0.3">
      <c r="A148" s="12" t="s">
        <v>280</v>
      </c>
      <c r="B148" s="12" t="s">
        <v>280</v>
      </c>
      <c r="C148" s="13" t="s">
        <v>257</v>
      </c>
      <c r="D148" s="13">
        <v>2025</v>
      </c>
      <c r="E148" s="13">
        <v>5</v>
      </c>
      <c r="F148" s="13" t="s">
        <v>260</v>
      </c>
      <c r="G148" s="13" t="s">
        <v>259</v>
      </c>
      <c r="H148" s="14">
        <v>42102</v>
      </c>
      <c r="I148" s="14">
        <v>18430</v>
      </c>
      <c r="J148" s="14">
        <v>894</v>
      </c>
      <c r="K148" s="14">
        <v>62</v>
      </c>
      <c r="L148" s="14">
        <v>73</v>
      </c>
      <c r="M148" s="15">
        <f t="shared" si="729"/>
        <v>19459</v>
      </c>
      <c r="N148" s="14">
        <v>4590.3</v>
      </c>
      <c r="O148" s="14">
        <v>10</v>
      </c>
      <c r="P148" s="14">
        <v>3277</v>
      </c>
      <c r="Q148" s="14">
        <v>500</v>
      </c>
      <c r="R148" s="15">
        <f t="shared" si="730"/>
        <v>8377.2999999999993</v>
      </c>
      <c r="S148" s="15">
        <f t="shared" si="731"/>
        <v>27836.3</v>
      </c>
      <c r="T148" s="14">
        <v>14265.7</v>
      </c>
      <c r="U148" s="16">
        <f t="shared" si="732"/>
        <v>0.33883663483920007</v>
      </c>
      <c r="V148" s="14">
        <v>91</v>
      </c>
      <c r="W148" s="17">
        <f t="shared" si="733"/>
        <v>2.1614175098570139E-3</v>
      </c>
      <c r="X148" s="14">
        <v>0</v>
      </c>
      <c r="Y148" s="17">
        <f t="shared" si="734"/>
        <v>0</v>
      </c>
      <c r="Z148" s="14">
        <v>0</v>
      </c>
      <c r="AA148" s="17">
        <f t="shared" si="735"/>
        <v>0</v>
      </c>
      <c r="AB148" s="14">
        <v>0</v>
      </c>
      <c r="AC148" s="17">
        <f t="shared" si="736"/>
        <v>0</v>
      </c>
      <c r="AD148" s="14">
        <v>0</v>
      </c>
      <c r="AE148" s="17">
        <f t="shared" si="737"/>
        <v>0</v>
      </c>
      <c r="AF148" s="14">
        <v>0</v>
      </c>
      <c r="AG148" s="17">
        <f t="shared" si="738"/>
        <v>0</v>
      </c>
      <c r="AH148" s="14">
        <v>465161.97</v>
      </c>
      <c r="AI148" s="15">
        <f t="shared" si="739"/>
        <v>11.048453042610802</v>
      </c>
      <c r="AJ148" s="14">
        <v>52</v>
      </c>
      <c r="AK148" s="17">
        <f t="shared" si="740"/>
        <v>1.2350957199182937E-3</v>
      </c>
      <c r="AL148" s="14">
        <v>23641.578000000001</v>
      </c>
      <c r="AM148" s="15">
        <f t="shared" si="741"/>
        <v>0.56153099615220181</v>
      </c>
      <c r="AN148" s="14">
        <v>1950</v>
      </c>
      <c r="AO148" s="14">
        <v>175</v>
      </c>
      <c r="AP148" s="14">
        <v>478450</v>
      </c>
      <c r="AQ148" s="14">
        <v>0</v>
      </c>
      <c r="AR148" s="14">
        <v>15688185.92</v>
      </c>
      <c r="AS148" s="14">
        <v>3402051.04</v>
      </c>
      <c r="AT148" s="14">
        <v>2547370.02</v>
      </c>
      <c r="AU148" s="15">
        <f t="shared" si="742"/>
        <v>22604860.528000001</v>
      </c>
      <c r="AV148" s="15">
        <f t="shared" si="743"/>
        <v>536.90704783620731</v>
      </c>
      <c r="AW148" s="15">
        <f t="shared" si="744"/>
        <v>812.0641223151066</v>
      </c>
      <c r="AX148" s="14">
        <v>10</v>
      </c>
      <c r="AY148" s="15">
        <f t="shared" si="745"/>
        <v>2.8502208921191396</v>
      </c>
      <c r="AZ148" s="14">
        <v>19</v>
      </c>
      <c r="BA148" s="14">
        <v>398</v>
      </c>
      <c r="BB148" s="14">
        <v>0</v>
      </c>
      <c r="BC148" s="14">
        <v>0</v>
      </c>
      <c r="BD148" s="14">
        <v>74</v>
      </c>
      <c r="BE148" s="15">
        <f t="shared" si="746"/>
        <v>74</v>
      </c>
      <c r="BF148" s="15">
        <f t="shared" si="747"/>
        <v>324</v>
      </c>
      <c r="BG148" s="14">
        <v>0</v>
      </c>
      <c r="BH148" s="14">
        <v>0</v>
      </c>
      <c r="BI148" s="14">
        <v>0</v>
      </c>
      <c r="BJ148" s="14">
        <v>0</v>
      </c>
      <c r="BK148" s="15">
        <f t="shared" si="748"/>
        <v>0</v>
      </c>
      <c r="BL148" s="15">
        <f t="shared" si="749"/>
        <v>0</v>
      </c>
      <c r="BM148" s="14">
        <v>0</v>
      </c>
      <c r="BN148" s="14">
        <v>0</v>
      </c>
      <c r="BO148" s="14">
        <v>0</v>
      </c>
      <c r="BP148" s="14">
        <v>0</v>
      </c>
      <c r="BQ148" s="15">
        <f t="shared" si="750"/>
        <v>0</v>
      </c>
      <c r="BR148" s="15">
        <f t="shared" si="751"/>
        <v>0</v>
      </c>
      <c r="BS148" s="14">
        <v>0</v>
      </c>
      <c r="BT148" s="14">
        <v>0</v>
      </c>
      <c r="BU148" s="14">
        <v>0</v>
      </c>
      <c r="BV148" s="14">
        <v>0</v>
      </c>
      <c r="BW148" s="15">
        <f t="shared" si="752"/>
        <v>0</v>
      </c>
      <c r="BX148" s="15">
        <f t="shared" si="753"/>
        <v>0</v>
      </c>
      <c r="BY148" s="15">
        <f t="shared" si="754"/>
        <v>398</v>
      </c>
      <c r="BZ148" s="15">
        <f t="shared" si="755"/>
        <v>0</v>
      </c>
      <c r="CA148" s="15">
        <f t="shared" si="756"/>
        <v>74</v>
      </c>
      <c r="CB148" s="15">
        <f t="shared" si="757"/>
        <v>324</v>
      </c>
      <c r="CC148" s="14">
        <v>115</v>
      </c>
      <c r="CD148" s="14">
        <v>732</v>
      </c>
      <c r="CE148" s="14">
        <v>35</v>
      </c>
      <c r="CF148" s="14">
        <v>70</v>
      </c>
      <c r="CG148" s="14">
        <v>16</v>
      </c>
      <c r="CH148" s="15">
        <f t="shared" si="758"/>
        <v>853</v>
      </c>
      <c r="CI148" s="14">
        <v>2102</v>
      </c>
      <c r="CJ148" s="14">
        <v>7</v>
      </c>
      <c r="CK148" s="14">
        <v>4</v>
      </c>
      <c r="CL148" s="14">
        <v>12</v>
      </c>
      <c r="CM148" s="15">
        <f t="shared" si="759"/>
        <v>2125</v>
      </c>
      <c r="CN148" s="14">
        <v>928</v>
      </c>
      <c r="CO148" s="14">
        <v>85</v>
      </c>
      <c r="CP148" s="14">
        <v>121</v>
      </c>
      <c r="CQ148" s="14">
        <v>4</v>
      </c>
      <c r="CR148" s="15">
        <f t="shared" si="760"/>
        <v>1138</v>
      </c>
      <c r="CS148" s="15">
        <f t="shared" si="761"/>
        <v>3263</v>
      </c>
      <c r="CT148" s="14">
        <v>4116</v>
      </c>
      <c r="CU148" s="14">
        <v>25000</v>
      </c>
      <c r="CV148" s="14">
        <v>20620</v>
      </c>
      <c r="CW148" s="16">
        <f t="shared" si="762"/>
        <v>0.82479999999999998</v>
      </c>
      <c r="CX148" s="14">
        <v>0</v>
      </c>
      <c r="CY148" s="14">
        <v>0</v>
      </c>
      <c r="CZ148" s="14">
        <v>0</v>
      </c>
      <c r="DA148" s="14">
        <v>0</v>
      </c>
      <c r="DB148" s="15">
        <f t="shared" si="763"/>
        <v>0</v>
      </c>
      <c r="DC148" s="14">
        <v>0</v>
      </c>
      <c r="DD148" s="14">
        <v>0</v>
      </c>
      <c r="DE148" s="14">
        <v>0</v>
      </c>
      <c r="DF148" s="14">
        <v>0</v>
      </c>
      <c r="DG148" s="15">
        <f t="shared" si="764"/>
        <v>0</v>
      </c>
      <c r="DH148" s="14">
        <v>0</v>
      </c>
      <c r="DI148" s="14">
        <v>0</v>
      </c>
      <c r="DJ148" s="14">
        <v>0</v>
      </c>
      <c r="DK148" s="14">
        <v>0</v>
      </c>
      <c r="DL148" s="15">
        <f t="shared" si="765"/>
        <v>0</v>
      </c>
      <c r="DM148" s="14">
        <v>134</v>
      </c>
      <c r="DN148" s="14">
        <v>0</v>
      </c>
      <c r="DO148" s="14">
        <v>83</v>
      </c>
      <c r="DP148" s="14">
        <v>0</v>
      </c>
      <c r="DQ148" s="15">
        <f t="shared" si="766"/>
        <v>51</v>
      </c>
      <c r="DR148" s="15">
        <f t="shared" si="767"/>
        <v>134</v>
      </c>
      <c r="DS148" s="15">
        <f t="shared" si="768"/>
        <v>0</v>
      </c>
      <c r="DT148" s="15">
        <f t="shared" si="769"/>
        <v>83</v>
      </c>
      <c r="DU148" s="15">
        <f t="shared" si="770"/>
        <v>0</v>
      </c>
      <c r="DV148" s="15">
        <f t="shared" si="771"/>
        <v>51</v>
      </c>
      <c r="DW148" s="14">
        <v>7</v>
      </c>
      <c r="DX148" s="14">
        <v>3</v>
      </c>
      <c r="DY148" s="14">
        <v>2</v>
      </c>
      <c r="DZ148" s="14">
        <v>3</v>
      </c>
      <c r="EA148" s="14">
        <v>3</v>
      </c>
      <c r="EB148" s="14">
        <v>5</v>
      </c>
      <c r="EC148" s="14">
        <v>5</v>
      </c>
      <c r="ED148" s="14">
        <v>0</v>
      </c>
      <c r="EE148" s="14">
        <v>0</v>
      </c>
      <c r="EF148" s="14">
        <v>2</v>
      </c>
      <c r="EG148" s="14">
        <v>2</v>
      </c>
      <c r="EH148" s="14">
        <v>2</v>
      </c>
      <c r="EI148" s="14">
        <v>0</v>
      </c>
      <c r="EJ148" s="14">
        <v>0</v>
      </c>
      <c r="EK148" s="14">
        <v>0</v>
      </c>
      <c r="EL148" s="14">
        <v>0</v>
      </c>
      <c r="EM148" s="14">
        <v>0</v>
      </c>
      <c r="EN148" s="14">
        <v>0</v>
      </c>
      <c r="EO148" s="14">
        <v>0</v>
      </c>
      <c r="EP148" s="14">
        <v>0</v>
      </c>
      <c r="EQ148" s="14">
        <v>0</v>
      </c>
      <c r="ER148" s="14">
        <v>0</v>
      </c>
      <c r="ES148" s="14">
        <v>0</v>
      </c>
      <c r="ET148" s="14">
        <v>0</v>
      </c>
      <c r="EU148" s="14">
        <v>0</v>
      </c>
      <c r="EV148" s="14">
        <v>0</v>
      </c>
      <c r="EW148" s="14">
        <v>0</v>
      </c>
      <c r="EX148" s="14">
        <v>0</v>
      </c>
      <c r="EY148" s="14">
        <v>0</v>
      </c>
      <c r="EZ148" s="14">
        <v>0</v>
      </c>
      <c r="FA148" s="14">
        <v>0</v>
      </c>
      <c r="FB148" s="14">
        <v>0</v>
      </c>
      <c r="FC148" s="14">
        <v>0</v>
      </c>
      <c r="FD148" s="14">
        <v>0</v>
      </c>
      <c r="FE148" s="14">
        <v>0</v>
      </c>
      <c r="FF148" s="14">
        <v>0</v>
      </c>
      <c r="FG148" s="15">
        <f t="shared" si="772"/>
        <v>34</v>
      </c>
      <c r="FH148" s="14">
        <v>0</v>
      </c>
      <c r="FI148" s="14">
        <v>0</v>
      </c>
      <c r="FJ148" s="14">
        <v>24</v>
      </c>
      <c r="FK148" s="14">
        <v>0</v>
      </c>
      <c r="FL148" s="14">
        <v>0</v>
      </c>
      <c r="FM148" s="14">
        <v>0</v>
      </c>
      <c r="FN148" s="14">
        <v>0</v>
      </c>
      <c r="FO148" s="14">
        <v>0</v>
      </c>
      <c r="FP148" s="14">
        <v>0</v>
      </c>
      <c r="FQ148" s="15">
        <f t="shared" si="773"/>
        <v>0</v>
      </c>
      <c r="FR148" s="14">
        <v>19636919.850000001</v>
      </c>
      <c r="FS148" s="14">
        <v>144000</v>
      </c>
      <c r="FT148" s="14">
        <v>842000</v>
      </c>
      <c r="FU148" s="14">
        <v>95000</v>
      </c>
      <c r="FV148" s="15">
        <f t="shared" si="774"/>
        <v>20717919.850000001</v>
      </c>
      <c r="FW148" s="14">
        <v>6452055.8099999772</v>
      </c>
      <c r="FX148" s="14">
        <v>2106.2199999999998</v>
      </c>
      <c r="FY148" s="14">
        <v>2587137.669999999</v>
      </c>
      <c r="FZ148" s="14">
        <v>10139471.960000001</v>
      </c>
      <c r="GA148" s="15">
        <f t="shared" si="775"/>
        <v>19180771.659999978</v>
      </c>
      <c r="GB148" s="15">
        <f t="shared" si="776"/>
        <v>39898691.509999976</v>
      </c>
      <c r="GC148" s="14">
        <v>16431972.789999999</v>
      </c>
      <c r="GD148" s="14">
        <v>171004.32</v>
      </c>
      <c r="GE148" s="14">
        <v>163305.54</v>
      </c>
      <c r="GF148" s="14">
        <v>283714.68</v>
      </c>
      <c r="GG148" s="15">
        <f t="shared" si="777"/>
        <v>17049997.329999998</v>
      </c>
      <c r="GH148" s="14">
        <v>0</v>
      </c>
      <c r="GI148" s="14">
        <v>0</v>
      </c>
      <c r="GJ148" s="14">
        <v>0</v>
      </c>
      <c r="GK148" s="14">
        <v>0</v>
      </c>
      <c r="GL148" s="15">
        <f t="shared" si="778"/>
        <v>0</v>
      </c>
      <c r="GM148" s="15">
        <f t="shared" si="779"/>
        <v>17049997.329999998</v>
      </c>
      <c r="GN148" s="14">
        <v>1182869.18</v>
      </c>
      <c r="GO148" s="14">
        <v>2295.36</v>
      </c>
      <c r="GP148" s="14">
        <v>23755.48</v>
      </c>
      <c r="GQ148" s="14">
        <v>18549.36</v>
      </c>
      <c r="GR148" s="15">
        <f t="shared" si="780"/>
        <v>1227469.3800000001</v>
      </c>
      <c r="GS148" s="14">
        <v>1877086</v>
      </c>
      <c r="GT148" s="14">
        <v>10716</v>
      </c>
      <c r="GU148" s="14">
        <v>6251</v>
      </c>
      <c r="GV148" s="14">
        <v>3572</v>
      </c>
      <c r="GW148" s="15">
        <f t="shared" si="781"/>
        <v>1897625</v>
      </c>
      <c r="GX148" s="15">
        <f t="shared" si="782"/>
        <v>20175091.709999997</v>
      </c>
      <c r="GY148" s="14">
        <v>155935111.47999999</v>
      </c>
      <c r="GZ148" s="14">
        <v>385274.31</v>
      </c>
      <c r="HA148" s="15">
        <f t="shared" si="783"/>
        <v>156320385.78999999</v>
      </c>
      <c r="HB148" s="15">
        <f t="shared" si="784"/>
        <v>1.120434090358839</v>
      </c>
      <c r="HC148" s="16">
        <f t="shared" si="785"/>
        <v>0.22655525226414325</v>
      </c>
      <c r="HD148" s="15">
        <f t="shared" si="786"/>
        <v>1.9776213205625117</v>
      </c>
      <c r="HE148" s="14">
        <v>0</v>
      </c>
      <c r="HF148" s="14">
        <v>1</v>
      </c>
      <c r="HG148" s="14">
        <v>324</v>
      </c>
      <c r="HH148" s="14">
        <v>0</v>
      </c>
      <c r="HI148" s="14">
        <v>0</v>
      </c>
      <c r="HJ148" s="15">
        <f t="shared" si="787"/>
        <v>1</v>
      </c>
      <c r="HK148" s="16" t="str">
        <f t="shared" si="788"/>
        <v/>
      </c>
      <c r="HL148" s="14">
        <v>10</v>
      </c>
      <c r="HM148" s="14">
        <v>30</v>
      </c>
      <c r="HN148" s="17">
        <f t="shared" si="789"/>
        <v>3</v>
      </c>
    </row>
    <row r="149" spans="1:222" x14ac:dyDescent="0.3">
      <c r="A149" s="6" t="s">
        <v>280</v>
      </c>
      <c r="B149" s="6" t="s">
        <v>280</v>
      </c>
      <c r="C149" s="7" t="s">
        <v>257</v>
      </c>
      <c r="D149" s="7">
        <v>2025</v>
      </c>
      <c r="E149" s="7">
        <v>6</v>
      </c>
      <c r="F149" s="7" t="s">
        <v>261</v>
      </c>
      <c r="G149" s="7" t="s">
        <v>259</v>
      </c>
      <c r="H149" s="8">
        <v>41998</v>
      </c>
      <c r="I149" s="8">
        <v>18608</v>
      </c>
      <c r="J149" s="8">
        <v>751</v>
      </c>
      <c r="K149" s="8">
        <v>79</v>
      </c>
      <c r="L149" s="8">
        <v>62</v>
      </c>
      <c r="M149" s="9">
        <f t="shared" si="729"/>
        <v>19500</v>
      </c>
      <c r="N149" s="8">
        <v>4703</v>
      </c>
      <c r="O149" s="8">
        <v>5</v>
      </c>
      <c r="P149" s="8">
        <v>4407</v>
      </c>
      <c r="Q149" s="8">
        <v>544</v>
      </c>
      <c r="R149" s="9">
        <f t="shared" si="730"/>
        <v>9659</v>
      </c>
      <c r="S149" s="9">
        <f t="shared" si="731"/>
        <v>29159</v>
      </c>
      <c r="T149" s="8">
        <v>12839</v>
      </c>
      <c r="U149" s="10">
        <f t="shared" si="732"/>
        <v>0.30570503357302731</v>
      </c>
      <c r="V149" s="8">
        <v>88.5</v>
      </c>
      <c r="W149" s="11">
        <f t="shared" si="733"/>
        <v>2.1072432020572407E-3</v>
      </c>
      <c r="X149" s="8">
        <v>0</v>
      </c>
      <c r="Y149" s="11">
        <f t="shared" si="734"/>
        <v>0</v>
      </c>
      <c r="Z149" s="8">
        <v>0</v>
      </c>
      <c r="AA149" s="11">
        <f t="shared" si="735"/>
        <v>0</v>
      </c>
      <c r="AB149" s="8">
        <v>0</v>
      </c>
      <c r="AC149" s="11">
        <f t="shared" si="736"/>
        <v>0</v>
      </c>
      <c r="AD149" s="8">
        <v>0</v>
      </c>
      <c r="AE149" s="11">
        <f t="shared" si="737"/>
        <v>0</v>
      </c>
      <c r="AF149" s="8">
        <v>0</v>
      </c>
      <c r="AG149" s="11">
        <f t="shared" si="738"/>
        <v>0</v>
      </c>
      <c r="AH149" s="8">
        <v>452382.79499999998</v>
      </c>
      <c r="AI149" s="9">
        <f t="shared" si="739"/>
        <v>10.771531858659936</v>
      </c>
      <c r="AJ149" s="8">
        <v>40</v>
      </c>
      <c r="AK149" s="11">
        <f t="shared" si="740"/>
        <v>9.5242630601457211E-4</v>
      </c>
      <c r="AL149" s="8">
        <v>21976.560000000001</v>
      </c>
      <c r="AM149" s="9">
        <f t="shared" si="741"/>
        <v>0.52327634649269017</v>
      </c>
      <c r="AN149" s="8">
        <v>1930</v>
      </c>
      <c r="AO149" s="8">
        <v>135</v>
      </c>
      <c r="AP149" s="8">
        <v>369090</v>
      </c>
      <c r="AQ149" s="8">
        <v>0</v>
      </c>
      <c r="AR149" s="8">
        <v>15617109.27</v>
      </c>
      <c r="AS149" s="8">
        <v>4727189.12</v>
      </c>
      <c r="AT149" s="8">
        <v>3831034.16</v>
      </c>
      <c r="AU149" s="9">
        <f t="shared" si="742"/>
        <v>25018781.905000001</v>
      </c>
      <c r="AV149" s="9">
        <f t="shared" si="743"/>
        <v>595.71365076908432</v>
      </c>
      <c r="AW149" s="9">
        <f t="shared" si="744"/>
        <v>858.01234284440488</v>
      </c>
      <c r="AX149" s="8">
        <v>10</v>
      </c>
      <c r="AY149" s="9">
        <f t="shared" si="745"/>
        <v>2.8572789180437166</v>
      </c>
      <c r="AZ149" s="8">
        <v>19</v>
      </c>
      <c r="BA149" s="8">
        <v>324</v>
      </c>
      <c r="BB149" s="8">
        <v>0</v>
      </c>
      <c r="BC149" s="8">
        <v>0</v>
      </c>
      <c r="BD149" s="8">
        <v>27</v>
      </c>
      <c r="BE149" s="9">
        <f t="shared" si="746"/>
        <v>27</v>
      </c>
      <c r="BF149" s="9">
        <f t="shared" si="747"/>
        <v>297</v>
      </c>
      <c r="BG149" s="8">
        <v>0</v>
      </c>
      <c r="BH149" s="8">
        <v>0</v>
      </c>
      <c r="BI149" s="8">
        <v>0</v>
      </c>
      <c r="BJ149" s="8">
        <v>0</v>
      </c>
      <c r="BK149" s="9">
        <f t="shared" si="748"/>
        <v>0</v>
      </c>
      <c r="BL149" s="9">
        <f t="shared" si="749"/>
        <v>0</v>
      </c>
      <c r="BM149" s="8">
        <v>0</v>
      </c>
      <c r="BN149" s="8">
        <v>0</v>
      </c>
      <c r="BO149" s="8">
        <v>0</v>
      </c>
      <c r="BP149" s="8">
        <v>0</v>
      </c>
      <c r="BQ149" s="9">
        <f t="shared" si="750"/>
        <v>0</v>
      </c>
      <c r="BR149" s="9">
        <f t="shared" si="751"/>
        <v>0</v>
      </c>
      <c r="BS149" s="8">
        <v>0</v>
      </c>
      <c r="BT149" s="8">
        <v>0</v>
      </c>
      <c r="BU149" s="8">
        <v>0</v>
      </c>
      <c r="BV149" s="8">
        <v>0</v>
      </c>
      <c r="BW149" s="9">
        <f t="shared" si="752"/>
        <v>0</v>
      </c>
      <c r="BX149" s="9">
        <f t="shared" si="753"/>
        <v>0</v>
      </c>
      <c r="BY149" s="9">
        <f t="shared" si="754"/>
        <v>324</v>
      </c>
      <c r="BZ149" s="9">
        <f t="shared" si="755"/>
        <v>0</v>
      </c>
      <c r="CA149" s="9">
        <f t="shared" si="756"/>
        <v>27</v>
      </c>
      <c r="CB149" s="9">
        <f t="shared" si="757"/>
        <v>297</v>
      </c>
      <c r="CC149" s="8">
        <v>44</v>
      </c>
      <c r="CD149" s="8">
        <v>683</v>
      </c>
      <c r="CE149" s="8">
        <v>35</v>
      </c>
      <c r="CF149" s="8">
        <v>70</v>
      </c>
      <c r="CG149" s="8">
        <v>16</v>
      </c>
      <c r="CH149" s="9">
        <f t="shared" si="758"/>
        <v>804</v>
      </c>
      <c r="CI149" s="8">
        <v>2131</v>
      </c>
      <c r="CJ149" s="8">
        <v>9</v>
      </c>
      <c r="CK149" s="8">
        <v>5</v>
      </c>
      <c r="CL149" s="8">
        <v>12</v>
      </c>
      <c r="CM149" s="9">
        <f t="shared" si="759"/>
        <v>2157</v>
      </c>
      <c r="CN149" s="8">
        <v>972</v>
      </c>
      <c r="CO149" s="8">
        <v>85</v>
      </c>
      <c r="CP149" s="8">
        <v>121</v>
      </c>
      <c r="CQ149" s="8">
        <v>4</v>
      </c>
      <c r="CR149" s="9">
        <f t="shared" si="760"/>
        <v>1182</v>
      </c>
      <c r="CS149" s="9">
        <f t="shared" si="761"/>
        <v>3339</v>
      </c>
      <c r="CT149" s="8">
        <v>4143</v>
      </c>
      <c r="CU149" s="8">
        <v>25000</v>
      </c>
      <c r="CV149" s="8">
        <v>20640</v>
      </c>
      <c r="CW149" s="10">
        <f t="shared" si="762"/>
        <v>0.8256</v>
      </c>
      <c r="CX149" s="8">
        <v>0</v>
      </c>
      <c r="CY149" s="8">
        <v>0</v>
      </c>
      <c r="CZ149" s="8">
        <v>0</v>
      </c>
      <c r="DA149" s="8">
        <v>0</v>
      </c>
      <c r="DB149" s="9">
        <f t="shared" si="763"/>
        <v>0</v>
      </c>
      <c r="DC149" s="8">
        <v>0</v>
      </c>
      <c r="DD149" s="8">
        <v>0</v>
      </c>
      <c r="DE149" s="8">
        <v>0</v>
      </c>
      <c r="DF149" s="8">
        <v>0</v>
      </c>
      <c r="DG149" s="9">
        <f t="shared" si="764"/>
        <v>0</v>
      </c>
      <c r="DH149" s="8">
        <v>0</v>
      </c>
      <c r="DI149" s="8">
        <v>0</v>
      </c>
      <c r="DJ149" s="8">
        <v>0</v>
      </c>
      <c r="DK149" s="8">
        <v>0</v>
      </c>
      <c r="DL149" s="9">
        <f t="shared" si="765"/>
        <v>0</v>
      </c>
      <c r="DM149" s="8">
        <v>51</v>
      </c>
      <c r="DN149" s="8">
        <v>27</v>
      </c>
      <c r="DO149" s="8">
        <v>0</v>
      </c>
      <c r="DP149" s="8">
        <v>0</v>
      </c>
      <c r="DQ149" s="9">
        <f t="shared" si="766"/>
        <v>78</v>
      </c>
      <c r="DR149" s="9">
        <f t="shared" si="767"/>
        <v>51</v>
      </c>
      <c r="DS149" s="9">
        <f t="shared" si="768"/>
        <v>27</v>
      </c>
      <c r="DT149" s="9">
        <f t="shared" si="769"/>
        <v>0</v>
      </c>
      <c r="DU149" s="9">
        <f t="shared" si="770"/>
        <v>0</v>
      </c>
      <c r="DV149" s="9">
        <f t="shared" si="771"/>
        <v>78</v>
      </c>
      <c r="DW149" s="8">
        <v>19</v>
      </c>
      <c r="DX149" s="8">
        <v>4</v>
      </c>
      <c r="DY149" s="8">
        <v>4</v>
      </c>
      <c r="DZ149" s="8">
        <v>4</v>
      </c>
      <c r="EA149" s="8">
        <v>0</v>
      </c>
      <c r="EB149" s="8">
        <v>2</v>
      </c>
      <c r="EC149" s="8">
        <v>2</v>
      </c>
      <c r="ED149" s="8">
        <v>0</v>
      </c>
      <c r="EE149" s="8">
        <v>1</v>
      </c>
      <c r="EF149" s="8">
        <v>0</v>
      </c>
      <c r="EG149" s="8">
        <v>0</v>
      </c>
      <c r="EH149" s="8">
        <v>0</v>
      </c>
      <c r="EI149" s="8">
        <v>0</v>
      </c>
      <c r="EJ149" s="8">
        <v>0</v>
      </c>
      <c r="EK149" s="8">
        <v>0</v>
      </c>
      <c r="EL149" s="8">
        <v>0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8">
        <v>0</v>
      </c>
      <c r="ES149" s="8">
        <v>0</v>
      </c>
      <c r="ET149" s="8">
        <v>0</v>
      </c>
      <c r="EU149" s="8">
        <v>0</v>
      </c>
      <c r="EV149" s="8">
        <v>0</v>
      </c>
      <c r="EW149" s="8">
        <v>0</v>
      </c>
      <c r="EX149" s="8">
        <v>0</v>
      </c>
      <c r="EY149" s="8">
        <v>0</v>
      </c>
      <c r="EZ149" s="8">
        <v>0</v>
      </c>
      <c r="FA149" s="8">
        <v>0</v>
      </c>
      <c r="FB149" s="8">
        <v>0</v>
      </c>
      <c r="FC149" s="8">
        <v>0</v>
      </c>
      <c r="FD149" s="8">
        <v>0</v>
      </c>
      <c r="FE149" s="8">
        <v>0</v>
      </c>
      <c r="FF149" s="8">
        <v>0</v>
      </c>
      <c r="FG149" s="9">
        <f t="shared" si="772"/>
        <v>36</v>
      </c>
      <c r="FH149" s="8">
        <v>0</v>
      </c>
      <c r="FI149" s="8">
        <v>0</v>
      </c>
      <c r="FJ149" s="8">
        <v>24</v>
      </c>
      <c r="FK149" s="8">
        <v>0</v>
      </c>
      <c r="FL149" s="8">
        <v>0</v>
      </c>
      <c r="FM149" s="8">
        <v>0</v>
      </c>
      <c r="FN149" s="8">
        <v>0</v>
      </c>
      <c r="FO149" s="8">
        <v>0</v>
      </c>
      <c r="FP149" s="8">
        <v>0</v>
      </c>
      <c r="FQ149" s="9">
        <f t="shared" si="773"/>
        <v>0</v>
      </c>
      <c r="FR149" s="8">
        <v>22161875.280000001</v>
      </c>
      <c r="FS149" s="8">
        <v>188300</v>
      </c>
      <c r="FT149" s="8">
        <v>255000</v>
      </c>
      <c r="FU149" s="8">
        <v>72500</v>
      </c>
      <c r="FV149" s="9">
        <f t="shared" si="774"/>
        <v>22677675.280000001</v>
      </c>
      <c r="FW149" s="8">
        <v>6364504.52999999</v>
      </c>
      <c r="FX149" s="8">
        <v>1106.22</v>
      </c>
      <c r="FY149" s="8">
        <v>2896900</v>
      </c>
      <c r="FZ149" s="8">
        <v>13614400</v>
      </c>
      <c r="GA149" s="9">
        <f t="shared" si="775"/>
        <v>22876910.749999989</v>
      </c>
      <c r="GB149" s="9">
        <f t="shared" si="776"/>
        <v>45554586.029999986</v>
      </c>
      <c r="GC149" s="8">
        <v>16430807.050000001</v>
      </c>
      <c r="GD149" s="8">
        <v>143651.28</v>
      </c>
      <c r="GE149" s="8">
        <v>213067.63</v>
      </c>
      <c r="GF149" s="8">
        <v>203358.29</v>
      </c>
      <c r="GG149" s="9">
        <f t="shared" si="777"/>
        <v>16990884.25</v>
      </c>
      <c r="GH149" s="8">
        <v>0</v>
      </c>
      <c r="GI149" s="8">
        <v>0</v>
      </c>
      <c r="GJ149" s="8">
        <v>0</v>
      </c>
      <c r="GK149" s="8">
        <v>0</v>
      </c>
      <c r="GL149" s="9">
        <f t="shared" si="778"/>
        <v>0</v>
      </c>
      <c r="GM149" s="9">
        <f t="shared" si="779"/>
        <v>16990884.25</v>
      </c>
      <c r="GN149" s="8">
        <v>1195684.49</v>
      </c>
      <c r="GO149" s="8">
        <v>2295.36</v>
      </c>
      <c r="GP149" s="8">
        <v>30542.76</v>
      </c>
      <c r="GQ149" s="8">
        <v>23186.7</v>
      </c>
      <c r="GR149" s="9">
        <f t="shared" si="780"/>
        <v>1251709.31</v>
      </c>
      <c r="GS149" s="8">
        <v>1902983</v>
      </c>
      <c r="GT149" s="8">
        <v>10716</v>
      </c>
      <c r="GU149" s="8">
        <v>8037</v>
      </c>
      <c r="GV149" s="8">
        <v>4465</v>
      </c>
      <c r="GW149" s="9">
        <f t="shared" si="781"/>
        <v>1926201</v>
      </c>
      <c r="GX149" s="9">
        <f t="shared" si="782"/>
        <v>20168794.559999999</v>
      </c>
      <c r="GY149" s="8">
        <v>145988631.69999999</v>
      </c>
      <c r="GZ149" s="8">
        <v>385274.31</v>
      </c>
      <c r="HA149" s="9">
        <f t="shared" si="783"/>
        <v>146373906.00999999</v>
      </c>
      <c r="HB149" s="9">
        <f t="shared" si="784"/>
        <v>1.2404698669804886</v>
      </c>
      <c r="HC149" s="10">
        <f t="shared" si="785"/>
        <v>0.2741652122049425</v>
      </c>
      <c r="HD149" s="9">
        <f t="shared" si="786"/>
        <v>2.2586667683326329</v>
      </c>
      <c r="HE149" s="8">
        <v>0</v>
      </c>
      <c r="HF149" s="8">
        <v>1</v>
      </c>
      <c r="HG149" s="8">
        <v>297</v>
      </c>
      <c r="HH149" s="8">
        <v>0</v>
      </c>
      <c r="HI149" s="8">
        <v>30</v>
      </c>
      <c r="HJ149" s="9">
        <f t="shared" si="787"/>
        <v>31</v>
      </c>
      <c r="HK149" s="10" t="str">
        <f t="shared" si="788"/>
        <v/>
      </c>
      <c r="HL149" s="8">
        <v>15</v>
      </c>
      <c r="HM149" s="8">
        <v>30</v>
      </c>
      <c r="HN149" s="11">
        <f t="shared" si="789"/>
        <v>2</v>
      </c>
    </row>
    <row r="150" spans="1:222" x14ac:dyDescent="0.3">
      <c r="A150" s="12" t="s">
        <v>280</v>
      </c>
      <c r="B150" s="12" t="s">
        <v>280</v>
      </c>
      <c r="C150" s="13" t="s">
        <v>257</v>
      </c>
      <c r="D150" s="13">
        <v>2025</v>
      </c>
      <c r="E150" s="13">
        <v>7</v>
      </c>
      <c r="F150" s="13" t="s">
        <v>262</v>
      </c>
      <c r="G150" s="13" t="s">
        <v>263</v>
      </c>
      <c r="H150" s="14">
        <v>44548</v>
      </c>
      <c r="I150" s="14">
        <v>21129</v>
      </c>
      <c r="J150" s="14">
        <v>1093</v>
      </c>
      <c r="K150" s="14">
        <v>64</v>
      </c>
      <c r="L150" s="14">
        <v>166</v>
      </c>
      <c r="M150" s="15">
        <f t="shared" si="729"/>
        <v>22452</v>
      </c>
      <c r="N150" s="14">
        <v>5308.4</v>
      </c>
      <c r="O150" s="14">
        <v>12</v>
      </c>
      <c r="P150" s="14">
        <v>3383.2</v>
      </c>
      <c r="Q150" s="14">
        <v>820</v>
      </c>
      <c r="R150" s="15">
        <f t="shared" si="730"/>
        <v>9523.5999999999985</v>
      </c>
      <c r="S150" s="15">
        <f t="shared" si="731"/>
        <v>31975.599999999999</v>
      </c>
      <c r="T150" s="14">
        <v>12572.4</v>
      </c>
      <c r="U150" s="16">
        <f t="shared" si="732"/>
        <v>0.28222142408188922</v>
      </c>
      <c r="V150" s="14">
        <v>92</v>
      </c>
      <c r="W150" s="17">
        <f t="shared" si="733"/>
        <v>2.0651881116997397E-3</v>
      </c>
      <c r="X150" s="14">
        <v>0</v>
      </c>
      <c r="Y150" s="17">
        <f t="shared" si="734"/>
        <v>0</v>
      </c>
      <c r="Z150" s="14">
        <v>0</v>
      </c>
      <c r="AA150" s="17">
        <f t="shared" si="735"/>
        <v>0</v>
      </c>
      <c r="AB150" s="14">
        <v>0</v>
      </c>
      <c r="AC150" s="17">
        <f t="shared" si="736"/>
        <v>0</v>
      </c>
      <c r="AD150" s="14">
        <v>0</v>
      </c>
      <c r="AE150" s="17">
        <f t="shared" si="737"/>
        <v>0</v>
      </c>
      <c r="AF150" s="14">
        <v>0</v>
      </c>
      <c r="AG150" s="17">
        <f t="shared" si="738"/>
        <v>0</v>
      </c>
      <c r="AH150" s="14">
        <v>470273.64</v>
      </c>
      <c r="AI150" s="15">
        <f t="shared" si="739"/>
        <v>10.556560114932209</v>
      </c>
      <c r="AJ150" s="14">
        <v>45</v>
      </c>
      <c r="AK150" s="17">
        <f t="shared" si="740"/>
        <v>1.0101463589835683E-3</v>
      </c>
      <c r="AL150" s="14">
        <v>22670.317500000001</v>
      </c>
      <c r="AM150" s="15">
        <f t="shared" si="741"/>
        <v>0.50889641510281047</v>
      </c>
      <c r="AN150" s="14">
        <v>1850</v>
      </c>
      <c r="AO150" s="14">
        <v>155</v>
      </c>
      <c r="AP150" s="14">
        <v>423770</v>
      </c>
      <c r="AQ150" s="14">
        <v>0</v>
      </c>
      <c r="AR150" s="14">
        <v>16011920.210000001</v>
      </c>
      <c r="AS150" s="14">
        <v>4821082.12</v>
      </c>
      <c r="AT150" s="14">
        <v>21520820.66</v>
      </c>
      <c r="AU150" s="15">
        <f t="shared" si="742"/>
        <v>43270536.947500005</v>
      </c>
      <c r="AV150" s="15">
        <f t="shared" si="743"/>
        <v>971.32389663957986</v>
      </c>
      <c r="AW150" s="15">
        <f t="shared" si="744"/>
        <v>1353.2361221525166</v>
      </c>
      <c r="AX150" s="14">
        <v>10</v>
      </c>
      <c r="AY150" s="15">
        <f t="shared" si="745"/>
        <v>2.6937236239561821</v>
      </c>
      <c r="AZ150" s="14">
        <v>19</v>
      </c>
      <c r="BA150" s="14">
        <v>297</v>
      </c>
      <c r="BB150" s="14">
        <v>0</v>
      </c>
      <c r="BC150" s="14">
        <v>0</v>
      </c>
      <c r="BD150" s="14">
        <v>11</v>
      </c>
      <c r="BE150" s="15">
        <f t="shared" si="746"/>
        <v>11</v>
      </c>
      <c r="BF150" s="15">
        <f t="shared" si="747"/>
        <v>286</v>
      </c>
      <c r="BG150" s="14">
        <v>0</v>
      </c>
      <c r="BH150" s="14">
        <v>0</v>
      </c>
      <c r="BI150" s="14">
        <v>0</v>
      </c>
      <c r="BJ150" s="14">
        <v>0</v>
      </c>
      <c r="BK150" s="15">
        <f t="shared" si="748"/>
        <v>0</v>
      </c>
      <c r="BL150" s="15">
        <f t="shared" si="749"/>
        <v>0</v>
      </c>
      <c r="BM150" s="14">
        <v>0</v>
      </c>
      <c r="BN150" s="14">
        <v>0</v>
      </c>
      <c r="BO150" s="14">
        <v>0</v>
      </c>
      <c r="BP150" s="14">
        <v>0</v>
      </c>
      <c r="BQ150" s="15">
        <f t="shared" si="750"/>
        <v>0</v>
      </c>
      <c r="BR150" s="15">
        <f t="shared" si="751"/>
        <v>0</v>
      </c>
      <c r="BS150" s="14">
        <v>0</v>
      </c>
      <c r="BT150" s="14">
        <v>0</v>
      </c>
      <c r="BU150" s="14">
        <v>0</v>
      </c>
      <c r="BV150" s="14">
        <v>0</v>
      </c>
      <c r="BW150" s="15">
        <f t="shared" si="752"/>
        <v>0</v>
      </c>
      <c r="BX150" s="15">
        <f t="shared" si="753"/>
        <v>0</v>
      </c>
      <c r="BY150" s="15">
        <f t="shared" si="754"/>
        <v>297</v>
      </c>
      <c r="BZ150" s="15">
        <f t="shared" si="755"/>
        <v>0</v>
      </c>
      <c r="CA150" s="15">
        <f t="shared" si="756"/>
        <v>11</v>
      </c>
      <c r="CB150" s="15">
        <f t="shared" si="757"/>
        <v>286</v>
      </c>
      <c r="CC150" s="14">
        <v>11</v>
      </c>
      <c r="CD150" s="14">
        <v>933</v>
      </c>
      <c r="CE150" s="14">
        <v>35</v>
      </c>
      <c r="CF150" s="14">
        <v>70</v>
      </c>
      <c r="CG150" s="14">
        <v>16</v>
      </c>
      <c r="CH150" s="15">
        <f t="shared" si="758"/>
        <v>1054</v>
      </c>
      <c r="CI150" s="14">
        <v>1873</v>
      </c>
      <c r="CJ150" s="14">
        <v>6</v>
      </c>
      <c r="CK150" s="14">
        <v>7</v>
      </c>
      <c r="CL150" s="14">
        <v>11</v>
      </c>
      <c r="CM150" s="15">
        <f t="shared" si="759"/>
        <v>1897</v>
      </c>
      <c r="CN150" s="14">
        <v>991</v>
      </c>
      <c r="CO150" s="14">
        <v>86</v>
      </c>
      <c r="CP150" s="14">
        <v>121</v>
      </c>
      <c r="CQ150" s="14">
        <v>4</v>
      </c>
      <c r="CR150" s="15">
        <f t="shared" si="760"/>
        <v>1202</v>
      </c>
      <c r="CS150" s="15">
        <f t="shared" si="761"/>
        <v>3099</v>
      </c>
      <c r="CT150" s="14">
        <v>4153</v>
      </c>
      <c r="CU150" s="14">
        <v>25000</v>
      </c>
      <c r="CV150" s="14">
        <v>20660</v>
      </c>
      <c r="CW150" s="16">
        <f t="shared" si="762"/>
        <v>0.82640000000000002</v>
      </c>
      <c r="CX150" s="14">
        <v>0</v>
      </c>
      <c r="CY150" s="14">
        <v>0</v>
      </c>
      <c r="CZ150" s="14">
        <v>0</v>
      </c>
      <c r="DA150" s="14">
        <v>0</v>
      </c>
      <c r="DB150" s="15">
        <f t="shared" si="763"/>
        <v>0</v>
      </c>
      <c r="DC150" s="14">
        <v>0</v>
      </c>
      <c r="DD150" s="14">
        <v>0</v>
      </c>
      <c r="DE150" s="14">
        <v>0</v>
      </c>
      <c r="DF150" s="14">
        <v>0</v>
      </c>
      <c r="DG150" s="15">
        <f t="shared" si="764"/>
        <v>0</v>
      </c>
      <c r="DH150" s="14">
        <v>0</v>
      </c>
      <c r="DI150" s="14">
        <v>0</v>
      </c>
      <c r="DJ150" s="14">
        <v>0</v>
      </c>
      <c r="DK150" s="14">
        <v>0</v>
      </c>
      <c r="DL150" s="15">
        <f t="shared" si="765"/>
        <v>0</v>
      </c>
      <c r="DM150" s="14">
        <v>78</v>
      </c>
      <c r="DN150" s="14">
        <v>0</v>
      </c>
      <c r="DO150" s="14">
        <v>0</v>
      </c>
      <c r="DP150" s="14">
        <v>0</v>
      </c>
      <c r="DQ150" s="15">
        <f t="shared" si="766"/>
        <v>78</v>
      </c>
      <c r="DR150" s="15">
        <f t="shared" si="767"/>
        <v>78</v>
      </c>
      <c r="DS150" s="15">
        <f t="shared" si="768"/>
        <v>0</v>
      </c>
      <c r="DT150" s="15">
        <f t="shared" si="769"/>
        <v>0</v>
      </c>
      <c r="DU150" s="15">
        <f t="shared" si="770"/>
        <v>0</v>
      </c>
      <c r="DV150" s="15">
        <f t="shared" si="771"/>
        <v>78</v>
      </c>
      <c r="DW150" s="14">
        <v>16</v>
      </c>
      <c r="DX150" s="14">
        <v>13</v>
      </c>
      <c r="DY150" s="14">
        <v>7</v>
      </c>
      <c r="DZ150" s="14">
        <v>7</v>
      </c>
      <c r="EA150" s="14">
        <v>2</v>
      </c>
      <c r="EB150" s="14">
        <v>0</v>
      </c>
      <c r="EC150" s="14">
        <v>0</v>
      </c>
      <c r="ED150" s="14">
        <v>0</v>
      </c>
      <c r="EE150" s="14">
        <v>0</v>
      </c>
      <c r="EF150" s="14">
        <v>1</v>
      </c>
      <c r="EG150" s="14">
        <v>0</v>
      </c>
      <c r="EH150" s="14">
        <v>0</v>
      </c>
      <c r="EI150" s="14">
        <v>0</v>
      </c>
      <c r="EJ150" s="14">
        <v>0</v>
      </c>
      <c r="EK150" s="14">
        <v>0</v>
      </c>
      <c r="EL150" s="14">
        <v>0</v>
      </c>
      <c r="EM150" s="14">
        <v>0</v>
      </c>
      <c r="EN150" s="14">
        <v>0</v>
      </c>
      <c r="EO150" s="14">
        <v>0</v>
      </c>
      <c r="EP150" s="14">
        <v>0</v>
      </c>
      <c r="EQ150" s="14">
        <v>0</v>
      </c>
      <c r="ER150" s="14">
        <v>0</v>
      </c>
      <c r="ES150" s="14">
        <v>0</v>
      </c>
      <c r="ET150" s="14">
        <v>0</v>
      </c>
      <c r="EU150" s="14">
        <v>0</v>
      </c>
      <c r="EV150" s="14">
        <v>0</v>
      </c>
      <c r="EW150" s="14">
        <v>0</v>
      </c>
      <c r="EX150" s="14">
        <v>0</v>
      </c>
      <c r="EY150" s="14">
        <v>0</v>
      </c>
      <c r="EZ150" s="14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0</v>
      </c>
      <c r="FF150" s="14">
        <v>0</v>
      </c>
      <c r="FG150" s="15">
        <f t="shared" si="772"/>
        <v>46</v>
      </c>
      <c r="FH150" s="14">
        <v>0</v>
      </c>
      <c r="FI150" s="14">
        <v>0</v>
      </c>
      <c r="FJ150" s="14">
        <v>24</v>
      </c>
      <c r="FK150" s="14">
        <v>0</v>
      </c>
      <c r="FL150" s="14">
        <v>0</v>
      </c>
      <c r="FM150" s="14">
        <v>0</v>
      </c>
      <c r="FN150" s="14">
        <v>0</v>
      </c>
      <c r="FO150" s="14">
        <v>0</v>
      </c>
      <c r="FP150" s="14">
        <v>0</v>
      </c>
      <c r="FQ150" s="15">
        <f t="shared" si="773"/>
        <v>0</v>
      </c>
      <c r="FR150" s="14">
        <v>41060816.280000001</v>
      </c>
      <c r="FS150" s="14">
        <v>253500</v>
      </c>
      <c r="FT150" s="14">
        <v>2075700</v>
      </c>
      <c r="FU150" s="14">
        <v>60700</v>
      </c>
      <c r="FV150" s="15">
        <f t="shared" si="774"/>
        <v>43450716.280000001</v>
      </c>
      <c r="FW150" s="14">
        <v>7119185.5299999984</v>
      </c>
      <c r="FX150" s="14">
        <v>2500</v>
      </c>
      <c r="FY150" s="14">
        <v>4013050</v>
      </c>
      <c r="FZ150" s="14">
        <v>10518639.4</v>
      </c>
      <c r="GA150" s="15">
        <f t="shared" si="775"/>
        <v>21653374.93</v>
      </c>
      <c r="GB150" s="15">
        <f t="shared" si="776"/>
        <v>65104091.210000001</v>
      </c>
      <c r="GC150" s="14">
        <v>18962557.289999999</v>
      </c>
      <c r="GD150" s="14">
        <v>209069.04</v>
      </c>
      <c r="GE150" s="14">
        <v>174628.99</v>
      </c>
      <c r="GF150" s="14">
        <v>675743.01</v>
      </c>
      <c r="GG150" s="15">
        <f t="shared" si="777"/>
        <v>20021998.329999998</v>
      </c>
      <c r="GH150" s="14">
        <v>20021998.329999998</v>
      </c>
      <c r="GI150" s="14">
        <v>0</v>
      </c>
      <c r="GJ150" s="14">
        <v>0</v>
      </c>
      <c r="GK150" s="14">
        <v>0</v>
      </c>
      <c r="GL150" s="15">
        <f t="shared" si="778"/>
        <v>20021998.329999998</v>
      </c>
      <c r="GM150" s="15">
        <f t="shared" si="779"/>
        <v>40043996.659999996</v>
      </c>
      <c r="GN150" s="14">
        <v>1048167.19</v>
      </c>
      <c r="GO150" s="14">
        <v>2104.08</v>
      </c>
      <c r="GP150" s="14">
        <v>20361.84</v>
      </c>
      <c r="GQ150" s="14">
        <v>32461.38</v>
      </c>
      <c r="GR150" s="15">
        <f t="shared" si="780"/>
        <v>1103094.49</v>
      </c>
      <c r="GS150" s="14">
        <v>1672589</v>
      </c>
      <c r="GT150" s="14">
        <v>9823</v>
      </c>
      <c r="GU150" s="14">
        <v>5358</v>
      </c>
      <c r="GV150" s="14">
        <v>6251</v>
      </c>
      <c r="GW150" s="15">
        <f t="shared" si="781"/>
        <v>1694021</v>
      </c>
      <c r="GX150" s="15">
        <f t="shared" si="782"/>
        <v>42841112.149999999</v>
      </c>
      <c r="GY150" s="14">
        <v>133431840.59</v>
      </c>
      <c r="GZ150" s="14">
        <v>385274.31</v>
      </c>
      <c r="HA150" s="15">
        <f t="shared" si="783"/>
        <v>133817114.90000001</v>
      </c>
      <c r="HB150" s="15">
        <f t="shared" si="784"/>
        <v>1.010023661290502</v>
      </c>
      <c r="HC150" s="16">
        <f t="shared" si="785"/>
        <v>0.36933681655646611</v>
      </c>
      <c r="HD150" s="15">
        <f t="shared" si="786"/>
        <v>1.5196638915920395</v>
      </c>
      <c r="HE150" s="14">
        <v>0</v>
      </c>
      <c r="HF150" s="14">
        <v>0</v>
      </c>
      <c r="HG150" s="14">
        <v>286</v>
      </c>
      <c r="HH150" s="14">
        <v>0</v>
      </c>
      <c r="HI150" s="14">
        <v>0</v>
      </c>
      <c r="HJ150" s="15">
        <f t="shared" si="787"/>
        <v>0</v>
      </c>
      <c r="HK150" s="16" t="str">
        <f t="shared" si="788"/>
        <v/>
      </c>
      <c r="HL150" s="14">
        <v>25</v>
      </c>
      <c r="HM150" s="14">
        <v>30</v>
      </c>
      <c r="HN150" s="17">
        <f t="shared" si="789"/>
        <v>1.2</v>
      </c>
    </row>
    <row r="151" spans="1:222" x14ac:dyDescent="0.3">
      <c r="A151" s="6" t="s">
        <v>280</v>
      </c>
      <c r="B151" s="6" t="s">
        <v>280</v>
      </c>
      <c r="C151" s="7" t="s">
        <v>257</v>
      </c>
      <c r="D151" s="7">
        <v>2025</v>
      </c>
      <c r="E151" s="7">
        <v>8</v>
      </c>
      <c r="F151" s="7" t="s">
        <v>264</v>
      </c>
      <c r="G151" s="7" t="s">
        <v>263</v>
      </c>
      <c r="H151" s="8">
        <v>32482</v>
      </c>
      <c r="I151" s="8">
        <v>12161</v>
      </c>
      <c r="J151" s="8">
        <v>780</v>
      </c>
      <c r="K151" s="8">
        <v>42</v>
      </c>
      <c r="L151" s="8">
        <v>220</v>
      </c>
      <c r="M151" s="9">
        <f t="shared" si="729"/>
        <v>13203</v>
      </c>
      <c r="N151" s="8">
        <v>5812.7</v>
      </c>
      <c r="O151" s="8">
        <v>9.4</v>
      </c>
      <c r="P151" s="8">
        <v>1264.7</v>
      </c>
      <c r="Q151" s="8">
        <v>684.9</v>
      </c>
      <c r="R151" s="9">
        <f t="shared" si="730"/>
        <v>7771.6999999999989</v>
      </c>
      <c r="S151" s="9">
        <f t="shared" si="731"/>
        <v>20974.699999999997</v>
      </c>
      <c r="T151" s="8">
        <v>11507.3</v>
      </c>
      <c r="U151" s="10">
        <f t="shared" si="732"/>
        <v>0.35426697863432055</v>
      </c>
      <c r="V151" s="8">
        <v>86</v>
      </c>
      <c r="W151" s="11">
        <f t="shared" si="733"/>
        <v>2.6476202204297767E-3</v>
      </c>
      <c r="X151" s="8">
        <v>0</v>
      </c>
      <c r="Y151" s="11">
        <f t="shared" si="734"/>
        <v>0</v>
      </c>
      <c r="Z151" s="8">
        <v>0</v>
      </c>
      <c r="AA151" s="11">
        <f t="shared" si="735"/>
        <v>0</v>
      </c>
      <c r="AB151" s="8">
        <v>0</v>
      </c>
      <c r="AC151" s="11">
        <f t="shared" si="736"/>
        <v>0</v>
      </c>
      <c r="AD151" s="8">
        <v>0</v>
      </c>
      <c r="AE151" s="11">
        <f t="shared" si="737"/>
        <v>0</v>
      </c>
      <c r="AF151" s="8">
        <v>0</v>
      </c>
      <c r="AG151" s="11">
        <f t="shared" si="738"/>
        <v>0</v>
      </c>
      <c r="AH151" s="8">
        <v>439603.62</v>
      </c>
      <c r="AI151" s="9">
        <f t="shared" si="739"/>
        <v>13.533760852164276</v>
      </c>
      <c r="AJ151" s="8">
        <v>50</v>
      </c>
      <c r="AK151" s="11">
        <f t="shared" si="740"/>
        <v>1.539314081645219E-3</v>
      </c>
      <c r="AL151" s="8">
        <v>23364.075000000001</v>
      </c>
      <c r="AM151" s="9">
        <f t="shared" si="741"/>
        <v>0.71929299304230032</v>
      </c>
      <c r="AN151" s="8">
        <v>1645</v>
      </c>
      <c r="AO151" s="8">
        <v>130</v>
      </c>
      <c r="AP151" s="8">
        <v>355420</v>
      </c>
      <c r="AQ151" s="8">
        <v>0</v>
      </c>
      <c r="AR151" s="8">
        <v>20076185.300000001</v>
      </c>
      <c r="AS151" s="8">
        <v>4700743.12</v>
      </c>
      <c r="AT151" s="8">
        <v>11504998.050000001</v>
      </c>
      <c r="AU151" s="9">
        <f t="shared" si="742"/>
        <v>37100314.165000007</v>
      </c>
      <c r="AV151" s="9">
        <f t="shared" si="743"/>
        <v>1142.1807205529219</v>
      </c>
      <c r="AW151" s="9">
        <f t="shared" si="744"/>
        <v>1768.8126249719905</v>
      </c>
      <c r="AX151" s="8">
        <v>10</v>
      </c>
      <c r="AY151" s="9">
        <f t="shared" si="745"/>
        <v>3.6943537959485253</v>
      </c>
      <c r="AZ151" s="8">
        <v>19</v>
      </c>
      <c r="BA151" s="8">
        <v>286</v>
      </c>
      <c r="BB151" s="8">
        <v>0</v>
      </c>
      <c r="BC151" s="8">
        <v>0</v>
      </c>
      <c r="BD151" s="8">
        <v>57</v>
      </c>
      <c r="BE151" s="9">
        <f t="shared" si="746"/>
        <v>57</v>
      </c>
      <c r="BF151" s="9">
        <f t="shared" si="747"/>
        <v>229</v>
      </c>
      <c r="BG151" s="8">
        <v>0</v>
      </c>
      <c r="BH151" s="8">
        <v>0</v>
      </c>
      <c r="BI151" s="8">
        <v>0</v>
      </c>
      <c r="BJ151" s="8">
        <v>0</v>
      </c>
      <c r="BK151" s="9">
        <f t="shared" si="748"/>
        <v>0</v>
      </c>
      <c r="BL151" s="9">
        <f t="shared" si="749"/>
        <v>0</v>
      </c>
      <c r="BM151" s="8">
        <v>0</v>
      </c>
      <c r="BN151" s="8">
        <v>0</v>
      </c>
      <c r="BO151" s="8">
        <v>0</v>
      </c>
      <c r="BP151" s="8">
        <v>0</v>
      </c>
      <c r="BQ151" s="9">
        <f t="shared" si="750"/>
        <v>0</v>
      </c>
      <c r="BR151" s="9">
        <f t="shared" si="751"/>
        <v>0</v>
      </c>
      <c r="BS151" s="8">
        <v>0</v>
      </c>
      <c r="BT151" s="8">
        <v>0</v>
      </c>
      <c r="BU151" s="8">
        <v>0</v>
      </c>
      <c r="BV151" s="8">
        <v>0</v>
      </c>
      <c r="BW151" s="9">
        <f t="shared" si="752"/>
        <v>0</v>
      </c>
      <c r="BX151" s="9">
        <f t="shared" si="753"/>
        <v>0</v>
      </c>
      <c r="BY151" s="9">
        <f t="shared" si="754"/>
        <v>286</v>
      </c>
      <c r="BZ151" s="9">
        <f t="shared" si="755"/>
        <v>0</v>
      </c>
      <c r="CA151" s="9">
        <f t="shared" si="756"/>
        <v>57</v>
      </c>
      <c r="CB151" s="9">
        <f t="shared" si="757"/>
        <v>229</v>
      </c>
      <c r="CC151" s="8">
        <v>57</v>
      </c>
      <c r="CD151" s="8">
        <v>821</v>
      </c>
      <c r="CE151" s="8">
        <v>35</v>
      </c>
      <c r="CF151" s="8">
        <v>70</v>
      </c>
      <c r="CG151" s="8">
        <v>16</v>
      </c>
      <c r="CH151" s="9">
        <f t="shared" si="758"/>
        <v>942</v>
      </c>
      <c r="CI151" s="8">
        <v>1969</v>
      </c>
      <c r="CJ151" s="8">
        <v>7</v>
      </c>
      <c r="CK151" s="8">
        <v>7</v>
      </c>
      <c r="CL151" s="8">
        <v>12</v>
      </c>
      <c r="CM151" s="9">
        <f t="shared" si="759"/>
        <v>1995</v>
      </c>
      <c r="CN151" s="8">
        <v>1074</v>
      </c>
      <c r="CO151" s="8">
        <v>88</v>
      </c>
      <c r="CP151" s="8">
        <v>122</v>
      </c>
      <c r="CQ151" s="8">
        <v>4</v>
      </c>
      <c r="CR151" s="9">
        <f t="shared" si="760"/>
        <v>1288</v>
      </c>
      <c r="CS151" s="9">
        <f t="shared" si="761"/>
        <v>3283</v>
      </c>
      <c r="CT151" s="8">
        <v>4225</v>
      </c>
      <c r="CU151" s="8">
        <v>25000</v>
      </c>
      <c r="CV151" s="8">
        <v>20720</v>
      </c>
      <c r="CW151" s="10">
        <f t="shared" si="762"/>
        <v>0.82879999999999998</v>
      </c>
      <c r="CX151" s="8">
        <v>0</v>
      </c>
      <c r="CY151" s="8">
        <v>0</v>
      </c>
      <c r="CZ151" s="8">
        <v>0</v>
      </c>
      <c r="DA151" s="8">
        <v>0</v>
      </c>
      <c r="DB151" s="9">
        <f t="shared" si="763"/>
        <v>0</v>
      </c>
      <c r="DC151" s="8">
        <v>0</v>
      </c>
      <c r="DD151" s="8">
        <v>0</v>
      </c>
      <c r="DE151" s="8">
        <v>0</v>
      </c>
      <c r="DF151" s="8">
        <v>0</v>
      </c>
      <c r="DG151" s="9">
        <f t="shared" si="764"/>
        <v>0</v>
      </c>
      <c r="DH151" s="8">
        <v>0</v>
      </c>
      <c r="DI151" s="8">
        <v>0</v>
      </c>
      <c r="DJ151" s="8">
        <v>0</v>
      </c>
      <c r="DK151" s="8">
        <v>0</v>
      </c>
      <c r="DL151" s="9">
        <f t="shared" si="765"/>
        <v>0</v>
      </c>
      <c r="DM151" s="8">
        <v>78</v>
      </c>
      <c r="DN151" s="8">
        <v>0</v>
      </c>
      <c r="DO151" s="8">
        <v>45</v>
      </c>
      <c r="DP151" s="8">
        <v>0</v>
      </c>
      <c r="DQ151" s="9">
        <f t="shared" si="766"/>
        <v>33</v>
      </c>
      <c r="DR151" s="9">
        <f t="shared" si="767"/>
        <v>78</v>
      </c>
      <c r="DS151" s="9">
        <f t="shared" si="768"/>
        <v>0</v>
      </c>
      <c r="DT151" s="9">
        <f t="shared" si="769"/>
        <v>45</v>
      </c>
      <c r="DU151" s="9">
        <f t="shared" si="770"/>
        <v>0</v>
      </c>
      <c r="DV151" s="9">
        <f t="shared" si="771"/>
        <v>33</v>
      </c>
      <c r="DW151" s="8">
        <v>14</v>
      </c>
      <c r="DX151" s="8">
        <v>11</v>
      </c>
      <c r="DY151" s="8">
        <v>10</v>
      </c>
      <c r="DZ151" s="8">
        <v>1</v>
      </c>
      <c r="EA151" s="8">
        <v>2</v>
      </c>
      <c r="EB151" s="8">
        <v>2</v>
      </c>
      <c r="EC151" s="8">
        <v>0</v>
      </c>
      <c r="ED151" s="8">
        <v>0</v>
      </c>
      <c r="EE151" s="8">
        <v>2</v>
      </c>
      <c r="EF151" s="8">
        <v>2</v>
      </c>
      <c r="EG151" s="8">
        <v>0</v>
      </c>
      <c r="EH151" s="8">
        <v>0</v>
      </c>
      <c r="EI151" s="8">
        <v>0</v>
      </c>
      <c r="EJ151" s="8">
        <v>0</v>
      </c>
      <c r="EK151" s="8">
        <v>0</v>
      </c>
      <c r="EL151" s="8">
        <v>0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8">
        <v>0</v>
      </c>
      <c r="ES151" s="8">
        <v>0</v>
      </c>
      <c r="ET151" s="8">
        <v>0</v>
      </c>
      <c r="EU151" s="8">
        <v>0</v>
      </c>
      <c r="EV151" s="8">
        <v>0</v>
      </c>
      <c r="EW151" s="8">
        <v>0</v>
      </c>
      <c r="EX151" s="8">
        <v>0</v>
      </c>
      <c r="EY151" s="8">
        <v>0</v>
      </c>
      <c r="EZ151" s="8">
        <v>0</v>
      </c>
      <c r="FA151" s="8">
        <v>0</v>
      </c>
      <c r="FB151" s="8">
        <v>0</v>
      </c>
      <c r="FC151" s="8">
        <v>0</v>
      </c>
      <c r="FD151" s="8">
        <v>0</v>
      </c>
      <c r="FE151" s="8">
        <v>0</v>
      </c>
      <c r="FF151" s="8">
        <v>0</v>
      </c>
      <c r="FG151" s="9">
        <f t="shared" si="772"/>
        <v>44</v>
      </c>
      <c r="FH151" s="8">
        <v>0</v>
      </c>
      <c r="FI151" s="8">
        <v>0</v>
      </c>
      <c r="FJ151" s="8">
        <v>24</v>
      </c>
      <c r="FK151" s="8">
        <v>0</v>
      </c>
      <c r="FL151" s="8">
        <v>0</v>
      </c>
      <c r="FM151" s="8">
        <v>0</v>
      </c>
      <c r="FN151" s="8">
        <v>0</v>
      </c>
      <c r="FO151" s="8">
        <v>0</v>
      </c>
      <c r="FP151" s="8">
        <v>0</v>
      </c>
      <c r="FQ151" s="9">
        <f t="shared" si="773"/>
        <v>0</v>
      </c>
      <c r="FR151" s="8">
        <v>18144937.199999999</v>
      </c>
      <c r="FS151" s="8">
        <v>314600</v>
      </c>
      <c r="FT151" s="8">
        <v>233000</v>
      </c>
      <c r="FU151" s="8">
        <v>151815</v>
      </c>
      <c r="FV151" s="9">
        <f t="shared" si="774"/>
        <v>18844352.199999999</v>
      </c>
      <c r="FW151" s="8">
        <v>7688989.1999999788</v>
      </c>
      <c r="FX151" s="8">
        <v>5000</v>
      </c>
      <c r="FY151" s="8">
        <v>3338478.09</v>
      </c>
      <c r="FZ151" s="8">
        <v>3996546.7</v>
      </c>
      <c r="GA151" s="9">
        <f t="shared" si="775"/>
        <v>15029013.98999998</v>
      </c>
      <c r="GB151" s="9">
        <f t="shared" si="776"/>
        <v>33873366.189999983</v>
      </c>
      <c r="GC151" s="8">
        <v>10735294.039999999</v>
      </c>
      <c r="GD151" s="8">
        <v>149198.39999999999</v>
      </c>
      <c r="GE151" s="8">
        <v>96147.17</v>
      </c>
      <c r="GF151" s="8">
        <v>976252.99</v>
      </c>
      <c r="GG151" s="9">
        <f t="shared" si="777"/>
        <v>11956892.6</v>
      </c>
      <c r="GH151" s="8">
        <v>11956892.6</v>
      </c>
      <c r="GI151" s="8">
        <v>0</v>
      </c>
      <c r="GJ151" s="8">
        <v>0</v>
      </c>
      <c r="GK151" s="8">
        <v>0</v>
      </c>
      <c r="GL151" s="9">
        <f t="shared" si="778"/>
        <v>11956892.6</v>
      </c>
      <c r="GM151" s="9">
        <f t="shared" si="779"/>
        <v>23913785.199999999</v>
      </c>
      <c r="GN151" s="8">
        <v>1103647.69</v>
      </c>
      <c r="GO151" s="8">
        <v>2295.36</v>
      </c>
      <c r="GP151" s="8">
        <v>23755.48</v>
      </c>
      <c r="GQ151" s="8">
        <v>32461.38</v>
      </c>
      <c r="GR151" s="9">
        <f t="shared" si="780"/>
        <v>1162159.9099999999</v>
      </c>
      <c r="GS151" s="8">
        <v>1758317</v>
      </c>
      <c r="GT151" s="8">
        <v>10716</v>
      </c>
      <c r="GU151" s="8">
        <v>6251</v>
      </c>
      <c r="GV151" s="8">
        <v>6251</v>
      </c>
      <c r="GW151" s="9">
        <f t="shared" si="781"/>
        <v>1781535</v>
      </c>
      <c r="GX151" s="9">
        <f t="shared" si="782"/>
        <v>26857480.109999999</v>
      </c>
      <c r="GY151" s="8">
        <v>129293363.56</v>
      </c>
      <c r="GZ151" s="8">
        <v>145614.48000000001</v>
      </c>
      <c r="HA151" s="9">
        <f t="shared" si="783"/>
        <v>129438978.04000001</v>
      </c>
      <c r="HB151" s="9">
        <f t="shared" si="784"/>
        <v>1.3813773300044718</v>
      </c>
      <c r="HC151" s="10">
        <f t="shared" si="785"/>
        <v>0.216927205731824</v>
      </c>
      <c r="HD151" s="9">
        <f t="shared" si="786"/>
        <v>1.2612265205546114</v>
      </c>
      <c r="HE151" s="8">
        <v>0</v>
      </c>
      <c r="HF151" s="8">
        <v>0</v>
      </c>
      <c r="HG151" s="8">
        <v>229</v>
      </c>
      <c r="HH151" s="8">
        <v>0</v>
      </c>
      <c r="HI151" s="8">
        <v>0</v>
      </c>
      <c r="HJ151" s="9">
        <f t="shared" si="787"/>
        <v>0</v>
      </c>
      <c r="HK151" s="10" t="str">
        <f t="shared" si="788"/>
        <v/>
      </c>
      <c r="HL151" s="8">
        <v>30</v>
      </c>
      <c r="HM151" s="8">
        <v>30</v>
      </c>
      <c r="HN151" s="11">
        <f t="shared" si="789"/>
        <v>1</v>
      </c>
    </row>
    <row r="152" spans="1:222" x14ac:dyDescent="0.3">
      <c r="A152" s="12" t="s">
        <v>280</v>
      </c>
      <c r="B152" s="12" t="s">
        <v>280</v>
      </c>
      <c r="C152" s="13" t="s">
        <v>257</v>
      </c>
      <c r="D152" s="13">
        <v>2025</v>
      </c>
      <c r="E152" s="13">
        <v>9</v>
      </c>
      <c r="F152" s="13" t="s">
        <v>265</v>
      </c>
      <c r="G152" s="13" t="s">
        <v>263</v>
      </c>
      <c r="H152" s="14">
        <v>37601</v>
      </c>
      <c r="I152" s="14">
        <v>17016</v>
      </c>
      <c r="J152" s="14">
        <v>872</v>
      </c>
      <c r="K152" s="14">
        <v>92</v>
      </c>
      <c r="L152" s="14">
        <v>227</v>
      </c>
      <c r="M152" s="15">
        <f t="shared" si="729"/>
        <v>18207</v>
      </c>
      <c r="N152" s="14">
        <v>5403.2000000000398</v>
      </c>
      <c r="O152" s="14">
        <v>0.5</v>
      </c>
      <c r="P152" s="14">
        <v>2625.7</v>
      </c>
      <c r="Q152" s="14">
        <v>658.50000000000102</v>
      </c>
      <c r="R152" s="15">
        <f t="shared" si="730"/>
        <v>8687.9000000000415</v>
      </c>
      <c r="S152" s="15">
        <f t="shared" si="731"/>
        <v>26894.900000000041</v>
      </c>
      <c r="T152" s="14">
        <v>10706.1</v>
      </c>
      <c r="U152" s="16">
        <f t="shared" si="732"/>
        <v>0.28472912954442703</v>
      </c>
      <c r="V152" s="14">
        <v>88</v>
      </c>
      <c r="W152" s="17">
        <f t="shared" si="733"/>
        <v>2.3403632882104198E-3</v>
      </c>
      <c r="X152" s="14">
        <v>0</v>
      </c>
      <c r="Y152" s="17">
        <f t="shared" si="734"/>
        <v>0</v>
      </c>
      <c r="Z152" s="14">
        <v>0</v>
      </c>
      <c r="AA152" s="17">
        <f t="shared" si="735"/>
        <v>0</v>
      </c>
      <c r="AB152" s="14">
        <v>0</v>
      </c>
      <c r="AC152" s="17">
        <f t="shared" si="736"/>
        <v>0</v>
      </c>
      <c r="AD152" s="14">
        <v>0</v>
      </c>
      <c r="AE152" s="17">
        <f t="shared" si="737"/>
        <v>0</v>
      </c>
      <c r="AF152" s="14">
        <v>0</v>
      </c>
      <c r="AG152" s="17">
        <f t="shared" si="738"/>
        <v>0</v>
      </c>
      <c r="AH152" s="14">
        <v>449826.96</v>
      </c>
      <c r="AI152" s="15">
        <f t="shared" si="739"/>
        <v>11.963164809446559</v>
      </c>
      <c r="AJ152" s="14">
        <v>55</v>
      </c>
      <c r="AK152" s="17">
        <f t="shared" si="740"/>
        <v>1.4627270551315125E-3</v>
      </c>
      <c r="AL152" s="14">
        <v>24057.8325</v>
      </c>
      <c r="AM152" s="15">
        <f t="shared" si="741"/>
        <v>0.63981895428313074</v>
      </c>
      <c r="AN152" s="14">
        <v>2338</v>
      </c>
      <c r="AO152" s="14">
        <v>170</v>
      </c>
      <c r="AP152" s="14">
        <v>464780</v>
      </c>
      <c r="AQ152" s="14">
        <v>0</v>
      </c>
      <c r="AR152" s="14">
        <v>20038729.84</v>
      </c>
      <c r="AS152" s="14">
        <v>4924243.12</v>
      </c>
      <c r="AT152" s="14">
        <v>2636140.0649999999</v>
      </c>
      <c r="AU152" s="15">
        <f t="shared" si="742"/>
        <v>28537777.817500003</v>
      </c>
      <c r="AV152" s="15">
        <f t="shared" si="743"/>
        <v>758.96326739980327</v>
      </c>
      <c r="AW152" s="15">
        <f t="shared" si="744"/>
        <v>1061.0851060052262</v>
      </c>
      <c r="AX152" s="14">
        <v>10</v>
      </c>
      <c r="AY152" s="15">
        <f t="shared" si="745"/>
        <v>3.1914044839233</v>
      </c>
      <c r="AZ152" s="14">
        <v>19</v>
      </c>
      <c r="BA152" s="14">
        <v>229</v>
      </c>
      <c r="BB152" s="14">
        <v>0</v>
      </c>
      <c r="BC152" s="14">
        <v>23</v>
      </c>
      <c r="BD152" s="14">
        <v>87</v>
      </c>
      <c r="BE152" s="15">
        <f t="shared" si="746"/>
        <v>110</v>
      </c>
      <c r="BF152" s="15">
        <f t="shared" si="747"/>
        <v>119</v>
      </c>
      <c r="BG152" s="14">
        <v>0</v>
      </c>
      <c r="BH152" s="14">
        <v>0</v>
      </c>
      <c r="BI152" s="14">
        <v>0</v>
      </c>
      <c r="BJ152" s="14">
        <v>0</v>
      </c>
      <c r="BK152" s="15">
        <f t="shared" si="748"/>
        <v>0</v>
      </c>
      <c r="BL152" s="15">
        <f t="shared" si="749"/>
        <v>0</v>
      </c>
      <c r="BM152" s="14">
        <v>0</v>
      </c>
      <c r="BN152" s="14">
        <v>2</v>
      </c>
      <c r="BO152" s="14">
        <v>0</v>
      </c>
      <c r="BP152" s="14">
        <v>2</v>
      </c>
      <c r="BQ152" s="15">
        <f t="shared" si="750"/>
        <v>2</v>
      </c>
      <c r="BR152" s="15">
        <f t="shared" si="751"/>
        <v>0</v>
      </c>
      <c r="BS152" s="14">
        <v>0</v>
      </c>
      <c r="BT152" s="14">
        <v>0</v>
      </c>
      <c r="BU152" s="14">
        <v>0</v>
      </c>
      <c r="BV152" s="14">
        <v>0</v>
      </c>
      <c r="BW152" s="15">
        <f t="shared" si="752"/>
        <v>0</v>
      </c>
      <c r="BX152" s="15">
        <f t="shared" si="753"/>
        <v>0</v>
      </c>
      <c r="BY152" s="15">
        <f t="shared" si="754"/>
        <v>229</v>
      </c>
      <c r="BZ152" s="15">
        <f t="shared" si="755"/>
        <v>2</v>
      </c>
      <c r="CA152" s="15">
        <f t="shared" si="756"/>
        <v>112</v>
      </c>
      <c r="CB152" s="15">
        <f t="shared" si="757"/>
        <v>119</v>
      </c>
      <c r="CC152" s="14">
        <v>87</v>
      </c>
      <c r="CD152" s="14">
        <v>771</v>
      </c>
      <c r="CE152" s="14">
        <v>35</v>
      </c>
      <c r="CF152" s="14">
        <v>70</v>
      </c>
      <c r="CG152" s="14">
        <v>16</v>
      </c>
      <c r="CH152" s="15">
        <f t="shared" si="758"/>
        <v>892</v>
      </c>
      <c r="CI152" s="14">
        <v>2036</v>
      </c>
      <c r="CJ152" s="14">
        <v>8</v>
      </c>
      <c r="CK152" s="14">
        <v>10</v>
      </c>
      <c r="CL152" s="14">
        <v>13</v>
      </c>
      <c r="CM152" s="15">
        <f t="shared" si="759"/>
        <v>2067</v>
      </c>
      <c r="CN152" s="14">
        <v>1161</v>
      </c>
      <c r="CO152" s="14">
        <v>88</v>
      </c>
      <c r="CP152" s="14">
        <v>121</v>
      </c>
      <c r="CQ152" s="14">
        <v>5</v>
      </c>
      <c r="CR152" s="15">
        <f t="shared" si="760"/>
        <v>1375</v>
      </c>
      <c r="CS152" s="15">
        <f t="shared" si="761"/>
        <v>3442</v>
      </c>
      <c r="CT152" s="14">
        <v>4334</v>
      </c>
      <c r="CU152" s="14">
        <v>25000</v>
      </c>
      <c r="CV152" s="14">
        <v>20720</v>
      </c>
      <c r="CW152" s="16">
        <f t="shared" si="762"/>
        <v>0.82879999999999998</v>
      </c>
      <c r="CX152" s="14"/>
      <c r="CY152" s="14"/>
      <c r="CZ152" s="14"/>
      <c r="DA152" s="14"/>
      <c r="DB152" s="15">
        <f t="shared" si="763"/>
        <v>0</v>
      </c>
      <c r="DC152" s="14">
        <v>0</v>
      </c>
      <c r="DD152" s="14">
        <v>0</v>
      </c>
      <c r="DE152" s="14">
        <v>0</v>
      </c>
      <c r="DF152" s="14">
        <v>0</v>
      </c>
      <c r="DG152" s="15">
        <f t="shared" si="764"/>
        <v>0</v>
      </c>
      <c r="DH152" s="14">
        <v>0</v>
      </c>
      <c r="DI152" s="14">
        <v>0</v>
      </c>
      <c r="DJ152" s="14">
        <v>0</v>
      </c>
      <c r="DK152" s="14">
        <v>0</v>
      </c>
      <c r="DL152" s="15">
        <f t="shared" si="765"/>
        <v>0</v>
      </c>
      <c r="DM152" s="14">
        <v>33</v>
      </c>
      <c r="DN152" s="14">
        <v>0</v>
      </c>
      <c r="DO152" s="14">
        <v>16</v>
      </c>
      <c r="DP152" s="14">
        <v>0</v>
      </c>
      <c r="DQ152" s="15">
        <f t="shared" si="766"/>
        <v>17</v>
      </c>
      <c r="DR152" s="15">
        <f t="shared" si="767"/>
        <v>33</v>
      </c>
      <c r="DS152" s="15">
        <f t="shared" si="768"/>
        <v>0</v>
      </c>
      <c r="DT152" s="15">
        <f t="shared" si="769"/>
        <v>16</v>
      </c>
      <c r="DU152" s="15">
        <f t="shared" si="770"/>
        <v>0</v>
      </c>
      <c r="DV152" s="15">
        <f t="shared" si="771"/>
        <v>17</v>
      </c>
      <c r="DW152" s="14">
        <v>8</v>
      </c>
      <c r="DX152" s="14">
        <v>8</v>
      </c>
      <c r="DY152" s="14">
        <v>1</v>
      </c>
      <c r="DZ152" s="14">
        <v>1</v>
      </c>
      <c r="EA152" s="14">
        <v>2</v>
      </c>
      <c r="EB152" s="14">
        <v>2</v>
      </c>
      <c r="EC152" s="14">
        <v>0</v>
      </c>
      <c r="ED152" s="14">
        <v>0</v>
      </c>
      <c r="EE152" s="14">
        <v>2</v>
      </c>
      <c r="EF152" s="14">
        <v>1</v>
      </c>
      <c r="EG152" s="14">
        <v>0</v>
      </c>
      <c r="EH152" s="14">
        <v>0</v>
      </c>
      <c r="EI152" s="14">
        <v>0</v>
      </c>
      <c r="EJ152" s="14">
        <v>0</v>
      </c>
      <c r="EK152" s="14">
        <v>0</v>
      </c>
      <c r="EL152" s="14">
        <v>0</v>
      </c>
      <c r="EM152" s="14">
        <v>0</v>
      </c>
      <c r="EN152" s="14">
        <v>0</v>
      </c>
      <c r="EO152" s="14">
        <v>0</v>
      </c>
      <c r="EP152" s="14">
        <v>0</v>
      </c>
      <c r="EQ152" s="14">
        <v>0</v>
      </c>
      <c r="ER152" s="14">
        <v>0</v>
      </c>
      <c r="ES152" s="14">
        <v>0</v>
      </c>
      <c r="ET152" s="14">
        <v>0</v>
      </c>
      <c r="EU152" s="14">
        <v>0</v>
      </c>
      <c r="EV152" s="14">
        <v>0</v>
      </c>
      <c r="EW152" s="14">
        <v>0</v>
      </c>
      <c r="EX152" s="14">
        <v>0</v>
      </c>
      <c r="EY152" s="14">
        <v>0</v>
      </c>
      <c r="EZ152" s="14">
        <v>0</v>
      </c>
      <c r="FA152" s="14">
        <v>0</v>
      </c>
      <c r="FB152" s="14">
        <v>0</v>
      </c>
      <c r="FC152" s="14">
        <v>0</v>
      </c>
      <c r="FD152" s="14">
        <v>0</v>
      </c>
      <c r="FE152" s="14">
        <v>0</v>
      </c>
      <c r="FF152" s="14">
        <v>0</v>
      </c>
      <c r="FG152" s="15">
        <f t="shared" si="772"/>
        <v>25</v>
      </c>
      <c r="FH152" s="14">
        <v>24</v>
      </c>
      <c r="FI152" s="14">
        <v>0</v>
      </c>
      <c r="FJ152" s="14">
        <v>16</v>
      </c>
      <c r="FK152" s="14">
        <v>16</v>
      </c>
      <c r="FL152" s="14">
        <v>0</v>
      </c>
      <c r="FM152" s="14">
        <v>0</v>
      </c>
      <c r="FN152" s="14">
        <v>0</v>
      </c>
      <c r="FO152" s="14">
        <v>0</v>
      </c>
      <c r="FP152" s="14">
        <v>0</v>
      </c>
      <c r="FQ152" s="15">
        <f t="shared" si="773"/>
        <v>0</v>
      </c>
      <c r="FR152" s="14">
        <v>29274361.010000002</v>
      </c>
      <c r="FS152" s="14">
        <v>132500</v>
      </c>
      <c r="FT152" s="14">
        <v>198467.22</v>
      </c>
      <c r="FU152" s="14">
        <v>60600</v>
      </c>
      <c r="FV152" s="15">
        <f t="shared" si="774"/>
        <v>29665928.23</v>
      </c>
      <c r="FW152" s="14">
        <v>7042753.3899999773</v>
      </c>
      <c r="FX152" s="14">
        <v>106.22</v>
      </c>
      <c r="FY152" s="14">
        <v>3146800</v>
      </c>
      <c r="FZ152" s="14">
        <v>8159000</v>
      </c>
      <c r="GA152" s="15">
        <f t="shared" si="775"/>
        <v>18348659.609999977</v>
      </c>
      <c r="GB152" s="15">
        <f t="shared" si="776"/>
        <v>48014587.839999974</v>
      </c>
      <c r="GC152" s="14">
        <v>15293040.960000001</v>
      </c>
      <c r="GD152" s="14">
        <v>166796.16</v>
      </c>
      <c r="GE152" s="14">
        <v>245522.18</v>
      </c>
      <c r="GF152" s="14">
        <v>930051</v>
      </c>
      <c r="GG152" s="15">
        <f t="shared" si="777"/>
        <v>16635410.300000001</v>
      </c>
      <c r="GH152" s="14">
        <v>16635410.300000001</v>
      </c>
      <c r="GI152" s="14">
        <v>0</v>
      </c>
      <c r="GJ152" s="14">
        <v>0</v>
      </c>
      <c r="GK152" s="14">
        <v>0</v>
      </c>
      <c r="GL152" s="15">
        <f t="shared" si="778"/>
        <v>16635410.300000001</v>
      </c>
      <c r="GM152" s="15">
        <f t="shared" si="779"/>
        <v>33270820.600000001</v>
      </c>
      <c r="GN152" s="14">
        <v>1142650.6399999999</v>
      </c>
      <c r="GO152" s="14">
        <v>2486.64</v>
      </c>
      <c r="GP152" s="14">
        <v>27149.119999999999</v>
      </c>
      <c r="GQ152" s="14">
        <v>46373.4</v>
      </c>
      <c r="GR152" s="15">
        <f t="shared" si="780"/>
        <v>1218659.7999999998</v>
      </c>
      <c r="GS152" s="14">
        <v>1818148</v>
      </c>
      <c r="GT152" s="14">
        <v>11609</v>
      </c>
      <c r="GU152" s="14">
        <v>7144</v>
      </c>
      <c r="GV152" s="14">
        <v>8930</v>
      </c>
      <c r="GW152" s="15">
        <f t="shared" si="781"/>
        <v>1845831</v>
      </c>
      <c r="GX152" s="15">
        <f t="shared" si="782"/>
        <v>36335311.399999999</v>
      </c>
      <c r="GY152" s="14">
        <v>129053703.73</v>
      </c>
      <c r="GZ152" s="14">
        <v>385274.31</v>
      </c>
      <c r="HA152" s="15">
        <f t="shared" si="783"/>
        <v>129438978.04000001</v>
      </c>
      <c r="HB152" s="15">
        <f t="shared" si="784"/>
        <v>0.78540066722807844</v>
      </c>
      <c r="HC152" s="16">
        <f t="shared" si="785"/>
        <v>0.29031304045349854</v>
      </c>
      <c r="HD152" s="15">
        <f t="shared" si="786"/>
        <v>1.3214304760299915</v>
      </c>
      <c r="HE152" s="14">
        <v>2</v>
      </c>
      <c r="HF152" s="14">
        <v>1</v>
      </c>
      <c r="HG152" s="14">
        <v>119</v>
      </c>
      <c r="HH152" s="14">
        <v>2</v>
      </c>
      <c r="HI152" s="14">
        <v>30</v>
      </c>
      <c r="HJ152" s="15">
        <f t="shared" si="787"/>
        <v>31</v>
      </c>
      <c r="HK152" s="16">
        <f t="shared" si="788"/>
        <v>1</v>
      </c>
      <c r="HL152" s="14">
        <v>45</v>
      </c>
      <c r="HM152" s="14">
        <v>30</v>
      </c>
      <c r="HN152" s="17">
        <f t="shared" si="789"/>
        <v>0.66666666666666663</v>
      </c>
    </row>
    <row r="153" spans="1:222" x14ac:dyDescent="0.3">
      <c r="A153" s="6" t="s">
        <v>280</v>
      </c>
      <c r="B153" s="6" t="s">
        <v>280</v>
      </c>
      <c r="C153" s="7" t="s">
        <v>257</v>
      </c>
      <c r="D153" s="7">
        <v>2025</v>
      </c>
      <c r="E153" s="7">
        <v>10</v>
      </c>
      <c r="F153" s="7" t="s">
        <v>266</v>
      </c>
      <c r="G153" s="7" t="s">
        <v>267</v>
      </c>
      <c r="H153" s="8">
        <v>39123</v>
      </c>
      <c r="I153" s="8">
        <v>15783</v>
      </c>
      <c r="J153" s="8">
        <v>905</v>
      </c>
      <c r="K153" s="8">
        <v>100</v>
      </c>
      <c r="L153" s="8">
        <v>309</v>
      </c>
      <c r="M153" s="9">
        <f t="shared" si="729"/>
        <v>17097</v>
      </c>
      <c r="N153" s="8">
        <v>4969.1000000000304</v>
      </c>
      <c r="O153" s="8">
        <v>0</v>
      </c>
      <c r="P153" s="8">
        <v>4606</v>
      </c>
      <c r="Q153" s="8">
        <v>761.8</v>
      </c>
      <c r="R153" s="9">
        <f t="shared" si="730"/>
        <v>10336.900000000031</v>
      </c>
      <c r="S153" s="9">
        <f t="shared" si="731"/>
        <v>27433.900000000031</v>
      </c>
      <c r="T153" s="8">
        <v>11689.1</v>
      </c>
      <c r="U153" s="10">
        <f t="shared" si="732"/>
        <v>0.29877821230478235</v>
      </c>
      <c r="V153" s="8">
        <v>87</v>
      </c>
      <c r="W153" s="11">
        <f t="shared" si="733"/>
        <v>2.2237558469442526E-3</v>
      </c>
      <c r="X153" s="8">
        <v>0</v>
      </c>
      <c r="Y153" s="11">
        <f t="shared" si="734"/>
        <v>0</v>
      </c>
      <c r="Z153" s="8">
        <v>0</v>
      </c>
      <c r="AA153" s="11">
        <f t="shared" si="735"/>
        <v>0</v>
      </c>
      <c r="AB153" s="8">
        <v>0</v>
      </c>
      <c r="AC153" s="11">
        <f t="shared" si="736"/>
        <v>0</v>
      </c>
      <c r="AD153" s="8">
        <v>0</v>
      </c>
      <c r="AE153" s="11">
        <f t="shared" si="737"/>
        <v>0</v>
      </c>
      <c r="AF153" s="8">
        <v>0</v>
      </c>
      <c r="AG153" s="11">
        <f t="shared" si="738"/>
        <v>0</v>
      </c>
      <c r="AH153" s="8">
        <v>444715.29</v>
      </c>
      <c r="AI153" s="9">
        <f t="shared" si="739"/>
        <v>11.367106050149529</v>
      </c>
      <c r="AJ153" s="8">
        <v>60</v>
      </c>
      <c r="AK153" s="11">
        <f t="shared" si="740"/>
        <v>1.5336247220305191E-3</v>
      </c>
      <c r="AL153" s="8">
        <v>24751.59</v>
      </c>
      <c r="AM153" s="9">
        <f t="shared" si="741"/>
        <v>0.63266083889272295</v>
      </c>
      <c r="AN153" s="8">
        <v>1507</v>
      </c>
      <c r="AO153" s="8">
        <v>173</v>
      </c>
      <c r="AP153" s="8">
        <v>472982</v>
      </c>
      <c r="AQ153" s="8">
        <v>0</v>
      </c>
      <c r="AR153" s="8">
        <v>22026018.82</v>
      </c>
      <c r="AS153" s="8">
        <v>0</v>
      </c>
      <c r="AT153" s="8">
        <v>5349483.25</v>
      </c>
      <c r="AU153" s="9">
        <f t="shared" si="742"/>
        <v>28317950.949999999</v>
      </c>
      <c r="AV153" s="9">
        <f t="shared" si="743"/>
        <v>723.81849423612709</v>
      </c>
      <c r="AW153" s="9">
        <f t="shared" si="744"/>
        <v>1032.2247638870144</v>
      </c>
      <c r="AX153" s="8">
        <v>10</v>
      </c>
      <c r="AY153" s="9">
        <f t="shared" si="745"/>
        <v>3.0672494440610385</v>
      </c>
      <c r="AZ153" s="8">
        <v>19</v>
      </c>
      <c r="BA153" s="8">
        <v>119</v>
      </c>
      <c r="BB153" s="8">
        <v>0</v>
      </c>
      <c r="BC153" s="8">
        <v>0</v>
      </c>
      <c r="BD153" s="8">
        <v>0</v>
      </c>
      <c r="BE153" s="9">
        <f t="shared" si="746"/>
        <v>0</v>
      </c>
      <c r="BF153" s="9">
        <f t="shared" si="747"/>
        <v>119</v>
      </c>
      <c r="BG153" s="8">
        <v>0</v>
      </c>
      <c r="BH153" s="8">
        <v>0</v>
      </c>
      <c r="BI153" s="8">
        <v>0</v>
      </c>
      <c r="BJ153" s="8">
        <v>0</v>
      </c>
      <c r="BK153" s="9">
        <f t="shared" si="748"/>
        <v>0</v>
      </c>
      <c r="BL153" s="9">
        <f t="shared" si="749"/>
        <v>0</v>
      </c>
      <c r="BM153" s="8">
        <v>0</v>
      </c>
      <c r="BN153" s="8">
        <v>0</v>
      </c>
      <c r="BO153" s="8">
        <v>0</v>
      </c>
      <c r="BP153" s="8">
        <v>0</v>
      </c>
      <c r="BQ153" s="9">
        <f t="shared" si="750"/>
        <v>0</v>
      </c>
      <c r="BR153" s="9">
        <f t="shared" si="751"/>
        <v>0</v>
      </c>
      <c r="BS153" s="8">
        <v>0</v>
      </c>
      <c r="BT153" s="8">
        <v>0</v>
      </c>
      <c r="BU153" s="8">
        <v>0</v>
      </c>
      <c r="BV153" s="8">
        <v>0</v>
      </c>
      <c r="BW153" s="9">
        <f t="shared" si="752"/>
        <v>0</v>
      </c>
      <c r="BX153" s="9">
        <f t="shared" si="753"/>
        <v>0</v>
      </c>
      <c r="BY153" s="9">
        <f t="shared" si="754"/>
        <v>119</v>
      </c>
      <c r="BZ153" s="9">
        <f t="shared" si="755"/>
        <v>0</v>
      </c>
      <c r="CA153" s="9">
        <f t="shared" si="756"/>
        <v>0</v>
      </c>
      <c r="CB153" s="9">
        <f t="shared" si="757"/>
        <v>119</v>
      </c>
      <c r="CC153" s="8">
        <v>0</v>
      </c>
      <c r="CD153" s="8">
        <v>761</v>
      </c>
      <c r="CE153" s="8">
        <v>35</v>
      </c>
      <c r="CF153" s="8">
        <v>70</v>
      </c>
      <c r="CG153" s="8">
        <v>16</v>
      </c>
      <c r="CH153" s="9">
        <f t="shared" si="758"/>
        <v>882</v>
      </c>
      <c r="CI153" s="8">
        <v>2046</v>
      </c>
      <c r="CJ153" s="8">
        <v>8</v>
      </c>
      <c r="CK153" s="8">
        <v>15</v>
      </c>
      <c r="CL153" s="8">
        <v>13</v>
      </c>
      <c r="CM153" s="9">
        <f t="shared" si="759"/>
        <v>2082</v>
      </c>
      <c r="CN153" s="8">
        <v>1162</v>
      </c>
      <c r="CO153" s="8">
        <v>88</v>
      </c>
      <c r="CP153" s="8">
        <v>116</v>
      </c>
      <c r="CQ153" s="8">
        <v>5</v>
      </c>
      <c r="CR153" s="9">
        <f t="shared" si="760"/>
        <v>1371</v>
      </c>
      <c r="CS153" s="9">
        <f t="shared" si="761"/>
        <v>3453</v>
      </c>
      <c r="CT153" s="8">
        <v>4335</v>
      </c>
      <c r="CU153" s="8">
        <v>25000</v>
      </c>
      <c r="CV153" s="8">
        <v>20720</v>
      </c>
      <c r="CW153" s="10">
        <f t="shared" si="762"/>
        <v>0.82879999999999998</v>
      </c>
      <c r="CX153" s="8"/>
      <c r="CY153" s="8"/>
      <c r="CZ153" s="8"/>
      <c r="DA153" s="8"/>
      <c r="DB153" s="9">
        <f t="shared" si="763"/>
        <v>0</v>
      </c>
      <c r="DC153" s="8">
        <v>0</v>
      </c>
      <c r="DD153" s="8">
        <v>0</v>
      </c>
      <c r="DE153" s="8">
        <v>0</v>
      </c>
      <c r="DF153" s="8">
        <v>0</v>
      </c>
      <c r="DG153" s="9">
        <f t="shared" si="764"/>
        <v>0</v>
      </c>
      <c r="DH153" s="8">
        <v>0</v>
      </c>
      <c r="DI153" s="8">
        <v>0</v>
      </c>
      <c r="DJ153" s="8">
        <v>0</v>
      </c>
      <c r="DK153" s="8">
        <v>0</v>
      </c>
      <c r="DL153" s="9">
        <f t="shared" si="765"/>
        <v>0</v>
      </c>
      <c r="DM153" s="8">
        <v>17</v>
      </c>
      <c r="DN153" s="8">
        <v>25</v>
      </c>
      <c r="DO153" s="8">
        <v>0</v>
      </c>
      <c r="DP153" s="8">
        <v>0</v>
      </c>
      <c r="DQ153" s="9">
        <f t="shared" si="766"/>
        <v>42</v>
      </c>
      <c r="DR153" s="9">
        <f t="shared" si="767"/>
        <v>17</v>
      </c>
      <c r="DS153" s="9">
        <f t="shared" si="768"/>
        <v>25</v>
      </c>
      <c r="DT153" s="9">
        <f t="shared" si="769"/>
        <v>0</v>
      </c>
      <c r="DU153" s="9">
        <f t="shared" si="770"/>
        <v>0</v>
      </c>
      <c r="DV153" s="9">
        <f t="shared" si="771"/>
        <v>42</v>
      </c>
      <c r="DW153" s="8">
        <v>15</v>
      </c>
      <c r="DX153" s="8">
        <v>3</v>
      </c>
      <c r="DY153" s="8">
        <v>6</v>
      </c>
      <c r="DZ153" s="8">
        <v>6</v>
      </c>
      <c r="EA153" s="8">
        <v>1</v>
      </c>
      <c r="EB153" s="8">
        <v>1</v>
      </c>
      <c r="EC153" s="8">
        <v>1</v>
      </c>
      <c r="ED153" s="8">
        <v>2</v>
      </c>
      <c r="EE153" s="8">
        <v>2</v>
      </c>
      <c r="EF153" s="8">
        <v>2</v>
      </c>
      <c r="EG153" s="8">
        <v>0</v>
      </c>
      <c r="EH153" s="8">
        <v>0</v>
      </c>
      <c r="EI153" s="8">
        <v>0</v>
      </c>
      <c r="EJ153" s="8">
        <v>0</v>
      </c>
      <c r="EK153" s="8">
        <v>0</v>
      </c>
      <c r="EL153" s="8">
        <v>0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8">
        <v>0</v>
      </c>
      <c r="ES153" s="8">
        <v>0</v>
      </c>
      <c r="ET153" s="8">
        <v>0</v>
      </c>
      <c r="EU153" s="8">
        <v>0</v>
      </c>
      <c r="EV153" s="8">
        <v>0</v>
      </c>
      <c r="EW153" s="8">
        <v>0</v>
      </c>
      <c r="EX153" s="8">
        <v>0</v>
      </c>
      <c r="EY153" s="8">
        <v>0</v>
      </c>
      <c r="EZ153" s="8">
        <v>0</v>
      </c>
      <c r="FA153" s="8">
        <v>0</v>
      </c>
      <c r="FB153" s="8">
        <v>0</v>
      </c>
      <c r="FC153" s="8">
        <v>0</v>
      </c>
      <c r="FD153" s="8">
        <v>0</v>
      </c>
      <c r="FE153" s="8">
        <v>0</v>
      </c>
      <c r="FF153" s="8">
        <v>0</v>
      </c>
      <c r="FG153" s="9">
        <f t="shared" si="772"/>
        <v>39</v>
      </c>
      <c r="FH153" s="8">
        <v>30</v>
      </c>
      <c r="FI153" s="8">
        <v>0</v>
      </c>
      <c r="FJ153" s="8">
        <v>16</v>
      </c>
      <c r="FK153" s="8">
        <v>16</v>
      </c>
      <c r="FL153" s="8">
        <v>0</v>
      </c>
      <c r="FM153" s="8">
        <v>0</v>
      </c>
      <c r="FN153" s="8">
        <v>0</v>
      </c>
      <c r="FO153" s="8">
        <v>0</v>
      </c>
      <c r="FP153" s="8">
        <v>0</v>
      </c>
      <c r="FQ153" s="9">
        <f t="shared" si="773"/>
        <v>0</v>
      </c>
      <c r="FR153" s="8">
        <v>16922865.66</v>
      </c>
      <c r="FS153" s="8">
        <v>236800</v>
      </c>
      <c r="FT153" s="8">
        <v>420000</v>
      </c>
      <c r="FU153" s="8">
        <v>161730</v>
      </c>
      <c r="FV153" s="9">
        <f t="shared" si="774"/>
        <v>17741395.66</v>
      </c>
      <c r="FW153" s="8">
        <v>6597416.4399999827</v>
      </c>
      <c r="FX153" s="8">
        <v>6597416.4399999799</v>
      </c>
      <c r="FY153" s="8">
        <v>3643900</v>
      </c>
      <c r="FZ153" s="8">
        <v>14086778.800000001</v>
      </c>
      <c r="GA153" s="9">
        <f t="shared" si="775"/>
        <v>30925511.679999962</v>
      </c>
      <c r="GB153" s="9">
        <f t="shared" si="776"/>
        <v>48666907.339999959</v>
      </c>
      <c r="GC153" s="8">
        <v>14032230.76</v>
      </c>
      <c r="GD153" s="8">
        <v>173108.4</v>
      </c>
      <c r="GE153" s="8">
        <v>282492.92</v>
      </c>
      <c r="GF153" s="8">
        <v>1237141.19</v>
      </c>
      <c r="GG153" s="9">
        <f t="shared" si="777"/>
        <v>15724973.27</v>
      </c>
      <c r="GH153" s="8">
        <v>15724973.27</v>
      </c>
      <c r="GI153" s="8">
        <v>0</v>
      </c>
      <c r="GJ153" s="8">
        <v>0</v>
      </c>
      <c r="GK153" s="8">
        <v>0</v>
      </c>
      <c r="GL153" s="9">
        <f t="shared" si="778"/>
        <v>15724973.27</v>
      </c>
      <c r="GM153" s="9">
        <f t="shared" si="779"/>
        <v>31449946.539999999</v>
      </c>
      <c r="GN153" s="8">
        <v>1147772.24</v>
      </c>
      <c r="GO153" s="8">
        <v>2486.64</v>
      </c>
      <c r="GP153" s="8">
        <v>27149.119999999999</v>
      </c>
      <c r="GQ153" s="8">
        <v>69560.100000000006</v>
      </c>
      <c r="GR153" s="9">
        <f t="shared" si="780"/>
        <v>1246968.1000000001</v>
      </c>
      <c r="GS153" s="8">
        <v>1827078</v>
      </c>
      <c r="GT153" s="8">
        <v>11609</v>
      </c>
      <c r="GU153" s="8">
        <v>7144</v>
      </c>
      <c r="GV153" s="8">
        <v>13395</v>
      </c>
      <c r="GW153" s="9">
        <f t="shared" si="781"/>
        <v>1859226</v>
      </c>
      <c r="GX153" s="9">
        <f t="shared" si="782"/>
        <v>34556140.640000001</v>
      </c>
      <c r="GY153" s="8">
        <v>135878306.11000001</v>
      </c>
      <c r="GZ153" s="8">
        <v>385274.31</v>
      </c>
      <c r="HA153" s="9">
        <f t="shared" si="783"/>
        <v>136263580.42000002</v>
      </c>
      <c r="HB153" s="9">
        <f t="shared" si="784"/>
        <v>0.81947666682490961</v>
      </c>
      <c r="HC153" s="10">
        <f t="shared" si="785"/>
        <v>0.2855461924982014</v>
      </c>
      <c r="HD153" s="9">
        <f t="shared" si="786"/>
        <v>1.4083432477892577</v>
      </c>
      <c r="HE153" s="8">
        <v>0</v>
      </c>
      <c r="HF153" s="8">
        <v>1</v>
      </c>
      <c r="HG153" s="8">
        <v>119</v>
      </c>
      <c r="HH153" s="8">
        <v>0</v>
      </c>
      <c r="HI153" s="8">
        <v>0</v>
      </c>
      <c r="HJ153" s="9">
        <f t="shared" si="787"/>
        <v>1</v>
      </c>
      <c r="HK153" s="10" t="str">
        <f t="shared" si="788"/>
        <v/>
      </c>
      <c r="HL153" s="8">
        <v>60</v>
      </c>
      <c r="HM153" s="8">
        <v>30</v>
      </c>
      <c r="HN153" s="11">
        <f t="shared" si="789"/>
        <v>0.5</v>
      </c>
    </row>
    <row r="154" spans="1:222" x14ac:dyDescent="0.3">
      <c r="A154" s="12" t="s">
        <v>280</v>
      </c>
      <c r="B154" s="12" t="s">
        <v>280</v>
      </c>
      <c r="C154" s="13" t="s">
        <v>257</v>
      </c>
      <c r="D154" s="13">
        <v>2025</v>
      </c>
      <c r="E154" s="13">
        <v>11</v>
      </c>
      <c r="F154" s="13" t="s">
        <v>268</v>
      </c>
      <c r="G154" s="13" t="s">
        <v>267</v>
      </c>
      <c r="H154" s="14">
        <v>32169</v>
      </c>
      <c r="I154" s="14">
        <v>12258</v>
      </c>
      <c r="J154" s="14">
        <v>432</v>
      </c>
      <c r="K154" s="14">
        <v>200</v>
      </c>
      <c r="L154" s="14">
        <v>222</v>
      </c>
      <c r="M154" s="15">
        <f t="shared" si="729"/>
        <v>13112</v>
      </c>
      <c r="N154" s="14">
        <v>4654.6000000000004</v>
      </c>
      <c r="O154" s="14">
        <v>0</v>
      </c>
      <c r="P154" s="14">
        <v>2943.6</v>
      </c>
      <c r="Q154" s="14">
        <v>735</v>
      </c>
      <c r="R154" s="15">
        <f t="shared" si="730"/>
        <v>8333.2000000000007</v>
      </c>
      <c r="S154" s="15">
        <f t="shared" si="731"/>
        <v>21445.200000000001</v>
      </c>
      <c r="T154" s="14">
        <v>10723.8</v>
      </c>
      <c r="U154" s="16">
        <f t="shared" si="732"/>
        <v>0.33335820199571015</v>
      </c>
      <c r="V154" s="14">
        <v>87</v>
      </c>
      <c r="W154" s="17">
        <f t="shared" si="733"/>
        <v>2.7044670334794366E-3</v>
      </c>
      <c r="X154" s="14">
        <v>0</v>
      </c>
      <c r="Y154" s="17">
        <f t="shared" si="734"/>
        <v>0</v>
      </c>
      <c r="Z154" s="14">
        <v>0</v>
      </c>
      <c r="AA154" s="17">
        <f t="shared" si="735"/>
        <v>0</v>
      </c>
      <c r="AB154" s="14">
        <v>0</v>
      </c>
      <c r="AC154" s="17">
        <f t="shared" si="736"/>
        <v>0</v>
      </c>
      <c r="AD154" s="14">
        <v>0</v>
      </c>
      <c r="AE154" s="17">
        <f t="shared" si="737"/>
        <v>0</v>
      </c>
      <c r="AF154" s="14">
        <v>0</v>
      </c>
      <c r="AG154" s="17">
        <f t="shared" si="738"/>
        <v>0</v>
      </c>
      <c r="AH154" s="14">
        <v>444715.29</v>
      </c>
      <c r="AI154" s="15">
        <f t="shared" si="739"/>
        <v>13.824343001025831</v>
      </c>
      <c r="AJ154" s="14">
        <v>55</v>
      </c>
      <c r="AK154" s="17">
        <f t="shared" si="740"/>
        <v>1.7097205384065406E-3</v>
      </c>
      <c r="AL154" s="14">
        <v>24057.8325</v>
      </c>
      <c r="AM154" s="15">
        <f t="shared" si="741"/>
        <v>0.74785764245080666</v>
      </c>
      <c r="AN154" s="14">
        <v>1415</v>
      </c>
      <c r="AO154" s="14">
        <v>165</v>
      </c>
      <c r="AP154" s="14">
        <v>451110</v>
      </c>
      <c r="AQ154" s="14">
        <v>0</v>
      </c>
      <c r="AR154" s="14">
        <v>20072345.100000001</v>
      </c>
      <c r="AS154" s="14">
        <v>0</v>
      </c>
      <c r="AT154" s="14">
        <v>0</v>
      </c>
      <c r="AU154" s="15">
        <f t="shared" si="742"/>
        <v>20992228.2225</v>
      </c>
      <c r="AV154" s="15">
        <f t="shared" si="743"/>
        <v>652.5607952531941</v>
      </c>
      <c r="AW154" s="15">
        <f t="shared" si="744"/>
        <v>978.87770794863184</v>
      </c>
      <c r="AX154" s="14">
        <v>10</v>
      </c>
      <c r="AY154" s="15">
        <f t="shared" si="745"/>
        <v>3.7302993565233615</v>
      </c>
      <c r="AZ154" s="14">
        <v>19</v>
      </c>
      <c r="BA154" s="14">
        <v>119</v>
      </c>
      <c r="BB154" s="14">
        <v>0</v>
      </c>
      <c r="BC154" s="14">
        <v>0</v>
      </c>
      <c r="BD154" s="14">
        <v>37</v>
      </c>
      <c r="BE154" s="15">
        <f t="shared" si="746"/>
        <v>37</v>
      </c>
      <c r="BF154" s="15">
        <f t="shared" si="747"/>
        <v>82</v>
      </c>
      <c r="BG154" s="14">
        <v>0</v>
      </c>
      <c r="BH154" s="14">
        <v>0</v>
      </c>
      <c r="BI154" s="14">
        <v>0</v>
      </c>
      <c r="BJ154" s="14">
        <v>0</v>
      </c>
      <c r="BK154" s="15">
        <f t="shared" si="748"/>
        <v>0</v>
      </c>
      <c r="BL154" s="15">
        <f t="shared" si="749"/>
        <v>0</v>
      </c>
      <c r="BM154" s="14">
        <v>0</v>
      </c>
      <c r="BN154" s="14">
        <v>0</v>
      </c>
      <c r="BO154" s="14">
        <v>0</v>
      </c>
      <c r="BP154" s="14">
        <v>0</v>
      </c>
      <c r="BQ154" s="15">
        <f t="shared" si="750"/>
        <v>0</v>
      </c>
      <c r="BR154" s="15">
        <f t="shared" si="751"/>
        <v>0</v>
      </c>
      <c r="BS154" s="14">
        <v>0</v>
      </c>
      <c r="BT154" s="14">
        <v>0</v>
      </c>
      <c r="BU154" s="14">
        <v>0</v>
      </c>
      <c r="BV154" s="14">
        <v>0</v>
      </c>
      <c r="BW154" s="15">
        <f t="shared" si="752"/>
        <v>0</v>
      </c>
      <c r="BX154" s="15">
        <f t="shared" si="753"/>
        <v>0</v>
      </c>
      <c r="BY154" s="15">
        <f t="shared" si="754"/>
        <v>119</v>
      </c>
      <c r="BZ154" s="15">
        <f t="shared" si="755"/>
        <v>0</v>
      </c>
      <c r="CA154" s="15">
        <f t="shared" si="756"/>
        <v>37</v>
      </c>
      <c r="CB154" s="15">
        <f t="shared" si="757"/>
        <v>82</v>
      </c>
      <c r="CC154" s="14">
        <v>0</v>
      </c>
      <c r="CD154" s="14">
        <v>778</v>
      </c>
      <c r="CE154" s="14">
        <v>35</v>
      </c>
      <c r="CF154" s="14">
        <v>70</v>
      </c>
      <c r="CG154" s="14">
        <v>16</v>
      </c>
      <c r="CH154" s="15">
        <f t="shared" si="758"/>
        <v>899</v>
      </c>
      <c r="CI154" s="14">
        <v>2029</v>
      </c>
      <c r="CJ154" s="14">
        <v>8</v>
      </c>
      <c r="CK154" s="14">
        <v>13</v>
      </c>
      <c r="CL154" s="14">
        <v>13</v>
      </c>
      <c r="CM154" s="15">
        <f t="shared" si="759"/>
        <v>2063</v>
      </c>
      <c r="CN154" s="14">
        <v>1199</v>
      </c>
      <c r="CO154" s="14">
        <v>88</v>
      </c>
      <c r="CP154" s="14">
        <v>118</v>
      </c>
      <c r="CQ154" s="14">
        <v>5</v>
      </c>
      <c r="CR154" s="15">
        <f t="shared" si="760"/>
        <v>1410</v>
      </c>
      <c r="CS154" s="15">
        <f t="shared" si="761"/>
        <v>3473</v>
      </c>
      <c r="CT154" s="14">
        <v>4372</v>
      </c>
      <c r="CU154" s="14">
        <v>25000</v>
      </c>
      <c r="CV154" s="14">
        <v>20735</v>
      </c>
      <c r="CW154" s="16">
        <f t="shared" si="762"/>
        <v>0.82940000000000003</v>
      </c>
      <c r="CX154" s="14"/>
      <c r="CY154" s="14"/>
      <c r="CZ154" s="14"/>
      <c r="DA154" s="14"/>
      <c r="DB154" s="15">
        <f t="shared" si="763"/>
        <v>0</v>
      </c>
      <c r="DC154" s="14">
        <v>0</v>
      </c>
      <c r="DD154" s="14">
        <v>0</v>
      </c>
      <c r="DE154" s="14">
        <v>0</v>
      </c>
      <c r="DF154" s="14">
        <v>0</v>
      </c>
      <c r="DG154" s="15">
        <f t="shared" si="764"/>
        <v>0</v>
      </c>
      <c r="DH154" s="14">
        <v>0</v>
      </c>
      <c r="DI154" s="14">
        <v>0</v>
      </c>
      <c r="DJ154" s="14">
        <v>0</v>
      </c>
      <c r="DK154" s="14">
        <v>0</v>
      </c>
      <c r="DL154" s="15">
        <f t="shared" si="765"/>
        <v>0</v>
      </c>
      <c r="DM154" s="14">
        <v>42</v>
      </c>
      <c r="DN154" s="14">
        <v>44</v>
      </c>
      <c r="DO154" s="14">
        <v>0</v>
      </c>
      <c r="DP154" s="14">
        <v>0</v>
      </c>
      <c r="DQ154" s="15">
        <f t="shared" si="766"/>
        <v>86</v>
      </c>
      <c r="DR154" s="15">
        <f t="shared" si="767"/>
        <v>42</v>
      </c>
      <c r="DS154" s="15">
        <f t="shared" si="768"/>
        <v>44</v>
      </c>
      <c r="DT154" s="15">
        <f t="shared" si="769"/>
        <v>0</v>
      </c>
      <c r="DU154" s="15">
        <f t="shared" si="770"/>
        <v>0</v>
      </c>
      <c r="DV154" s="15">
        <f t="shared" si="771"/>
        <v>86</v>
      </c>
      <c r="DW154" s="14">
        <v>20</v>
      </c>
      <c r="DX154" s="14">
        <v>5</v>
      </c>
      <c r="DY154" s="14">
        <v>8</v>
      </c>
      <c r="DZ154" s="14">
        <v>8</v>
      </c>
      <c r="EA154" s="14">
        <v>2</v>
      </c>
      <c r="EB154" s="14">
        <v>2</v>
      </c>
      <c r="EC154" s="14">
        <v>2</v>
      </c>
      <c r="ED154" s="14">
        <v>3</v>
      </c>
      <c r="EE154" s="14">
        <v>3</v>
      </c>
      <c r="EF154" s="14">
        <v>6</v>
      </c>
      <c r="EG154" s="14">
        <v>0</v>
      </c>
      <c r="EH154" s="14">
        <v>0</v>
      </c>
      <c r="EI154" s="14">
        <v>0</v>
      </c>
      <c r="EJ154" s="14">
        <v>0</v>
      </c>
      <c r="EK154" s="14">
        <v>0</v>
      </c>
      <c r="EL154" s="14">
        <v>0</v>
      </c>
      <c r="EM154" s="14">
        <v>0</v>
      </c>
      <c r="EN154" s="14">
        <v>0</v>
      </c>
      <c r="EO154" s="14">
        <v>0</v>
      </c>
      <c r="EP154" s="14">
        <v>0</v>
      </c>
      <c r="EQ154" s="14">
        <v>0</v>
      </c>
      <c r="ER154" s="14">
        <v>0</v>
      </c>
      <c r="ES154" s="14">
        <v>0</v>
      </c>
      <c r="ET154" s="14">
        <v>0</v>
      </c>
      <c r="EU154" s="14">
        <v>0</v>
      </c>
      <c r="EV154" s="14">
        <v>0</v>
      </c>
      <c r="EW154" s="14">
        <v>0</v>
      </c>
      <c r="EX154" s="14">
        <v>0</v>
      </c>
      <c r="EY154" s="14">
        <v>0</v>
      </c>
      <c r="EZ154" s="14">
        <v>0</v>
      </c>
      <c r="FA154" s="14">
        <v>0</v>
      </c>
      <c r="FB154" s="14">
        <v>0</v>
      </c>
      <c r="FC154" s="14">
        <v>0</v>
      </c>
      <c r="FD154" s="14">
        <v>0</v>
      </c>
      <c r="FE154" s="14">
        <v>0</v>
      </c>
      <c r="FF154" s="14">
        <v>0</v>
      </c>
      <c r="FG154" s="15">
        <f t="shared" si="772"/>
        <v>59</v>
      </c>
      <c r="FH154" s="14">
        <v>46</v>
      </c>
      <c r="FI154" s="14">
        <v>0</v>
      </c>
      <c r="FJ154" s="14">
        <v>16</v>
      </c>
      <c r="FK154" s="14">
        <v>16</v>
      </c>
      <c r="FL154" s="14">
        <v>0</v>
      </c>
      <c r="FM154" s="14">
        <v>0</v>
      </c>
      <c r="FN154" s="14">
        <v>0</v>
      </c>
      <c r="FO154" s="14">
        <v>0</v>
      </c>
      <c r="FP154" s="14">
        <v>0</v>
      </c>
      <c r="FQ154" s="15">
        <f t="shared" si="773"/>
        <v>0</v>
      </c>
      <c r="FR154" s="14">
        <v>13064885.48</v>
      </c>
      <c r="FS154" s="14">
        <v>176700</v>
      </c>
      <c r="FT154" s="14">
        <v>500000</v>
      </c>
      <c r="FU154" s="14">
        <v>101499</v>
      </c>
      <c r="FV154" s="15">
        <f t="shared" si="774"/>
        <v>13843084.48</v>
      </c>
      <c r="FW154" s="14">
        <v>6114380.5499999998</v>
      </c>
      <c r="FX154" s="14">
        <v>6114380.5499999998</v>
      </c>
      <c r="FY154" s="14">
        <v>3506019</v>
      </c>
      <c r="FZ154" s="14">
        <v>9406518</v>
      </c>
      <c r="GA154" s="15">
        <f t="shared" si="775"/>
        <v>25141298.100000001</v>
      </c>
      <c r="GB154" s="15">
        <f t="shared" si="776"/>
        <v>38984382.579999998</v>
      </c>
      <c r="GC154" s="14">
        <v>12851239.16</v>
      </c>
      <c r="GD154" s="14">
        <v>82632.960000000006</v>
      </c>
      <c r="GE154" s="14">
        <v>634456.42000000004</v>
      </c>
      <c r="GF154" s="14">
        <v>901282.35</v>
      </c>
      <c r="GG154" s="15">
        <f t="shared" si="777"/>
        <v>14469610.890000001</v>
      </c>
      <c r="GH154" s="14">
        <v>14469610.890000001</v>
      </c>
      <c r="GI154" s="14">
        <v>0</v>
      </c>
      <c r="GJ154" s="14">
        <v>0</v>
      </c>
      <c r="GK154" s="14">
        <v>0</v>
      </c>
      <c r="GL154" s="15">
        <f t="shared" si="778"/>
        <v>14469610.890000001</v>
      </c>
      <c r="GM154" s="15">
        <f t="shared" si="779"/>
        <v>28939221.780000001</v>
      </c>
      <c r="GN154" s="14">
        <v>1138775.1200000001</v>
      </c>
      <c r="GO154" s="14">
        <v>2486.64</v>
      </c>
      <c r="GP154" s="14">
        <v>27149.119999999999</v>
      </c>
      <c r="GQ154" s="14">
        <v>60285.42</v>
      </c>
      <c r="GR154" s="15">
        <f t="shared" si="780"/>
        <v>1228696.3</v>
      </c>
      <c r="GS154" s="14">
        <v>1811897</v>
      </c>
      <c r="GT154" s="14">
        <v>11609</v>
      </c>
      <c r="GU154" s="14">
        <v>7144</v>
      </c>
      <c r="GV154" s="14">
        <v>11609</v>
      </c>
      <c r="GW154" s="15">
        <f t="shared" si="781"/>
        <v>1842259</v>
      </c>
      <c r="GX154" s="15">
        <f t="shared" si="782"/>
        <v>32010177.080000002</v>
      </c>
      <c r="GY154" s="14">
        <v>65716216.100000001</v>
      </c>
      <c r="GZ154" s="14">
        <v>684908.7</v>
      </c>
      <c r="HA154" s="15">
        <f t="shared" si="783"/>
        <v>66401124.800000004</v>
      </c>
      <c r="HB154" s="15">
        <f t="shared" si="784"/>
        <v>0.65579856587597485</v>
      </c>
      <c r="HC154" s="16">
        <f t="shared" si="785"/>
        <v>0.39891355151310615</v>
      </c>
      <c r="HD154" s="15">
        <f t="shared" si="786"/>
        <v>1.2178746303892674</v>
      </c>
      <c r="HE154" s="14">
        <v>0</v>
      </c>
      <c r="HF154" s="14">
        <v>1</v>
      </c>
      <c r="HG154" s="14">
        <v>82</v>
      </c>
      <c r="HH154" s="14">
        <v>0</v>
      </c>
      <c r="HI154" s="14">
        <v>0</v>
      </c>
      <c r="HJ154" s="15">
        <f t="shared" si="787"/>
        <v>1</v>
      </c>
      <c r="HK154" s="16" t="str">
        <f t="shared" si="788"/>
        <v/>
      </c>
      <c r="HL154" s="14">
        <v>12</v>
      </c>
      <c r="HM154" s="14">
        <v>30</v>
      </c>
      <c r="HN154" s="17">
        <f t="shared" si="789"/>
        <v>2.5</v>
      </c>
    </row>
    <row r="155" spans="1:222" x14ac:dyDescent="0.3">
      <c r="A155" s="6" t="s">
        <v>280</v>
      </c>
      <c r="B155" s="6" t="s">
        <v>280</v>
      </c>
      <c r="C155" s="7" t="s">
        <v>257</v>
      </c>
      <c r="D155" s="7">
        <v>2025</v>
      </c>
      <c r="E155" s="7">
        <v>12</v>
      </c>
      <c r="F155" s="7" t="s">
        <v>269</v>
      </c>
      <c r="G155" s="7" t="s">
        <v>267</v>
      </c>
      <c r="H155" s="8">
        <v>38992</v>
      </c>
      <c r="I155" s="8">
        <v>16266</v>
      </c>
      <c r="J155" s="8">
        <v>1316</v>
      </c>
      <c r="K155" s="8">
        <v>114</v>
      </c>
      <c r="L155" s="8">
        <v>156</v>
      </c>
      <c r="M155" s="9">
        <f t="shared" si="729"/>
        <v>17852</v>
      </c>
      <c r="N155" s="8">
        <v>5345.1000000000104</v>
      </c>
      <c r="O155" s="8">
        <v>7</v>
      </c>
      <c r="P155" s="8">
        <v>4200</v>
      </c>
      <c r="Q155" s="8">
        <v>868.1</v>
      </c>
      <c r="R155" s="9">
        <f t="shared" si="730"/>
        <v>10420.20000000001</v>
      </c>
      <c r="S155" s="9">
        <f t="shared" si="731"/>
        <v>28272.200000000012</v>
      </c>
      <c r="T155" s="8">
        <v>10719.8</v>
      </c>
      <c r="U155" s="10">
        <f t="shared" si="732"/>
        <v>0.27492306114074683</v>
      </c>
      <c r="V155" s="8">
        <v>89</v>
      </c>
      <c r="W155" s="11">
        <f t="shared" si="733"/>
        <v>2.2825194911776773E-3</v>
      </c>
      <c r="X155" s="8">
        <v>0</v>
      </c>
      <c r="Y155" s="11">
        <f t="shared" si="734"/>
        <v>0</v>
      </c>
      <c r="Z155" s="8">
        <v>0</v>
      </c>
      <c r="AA155" s="11">
        <f t="shared" si="735"/>
        <v>0</v>
      </c>
      <c r="AB155" s="8">
        <v>0</v>
      </c>
      <c r="AC155" s="11">
        <f t="shared" si="736"/>
        <v>0</v>
      </c>
      <c r="AD155" s="8">
        <v>0</v>
      </c>
      <c r="AE155" s="11">
        <f t="shared" si="737"/>
        <v>0</v>
      </c>
      <c r="AF155" s="8">
        <v>0</v>
      </c>
      <c r="AG155" s="11">
        <f t="shared" si="738"/>
        <v>0</v>
      </c>
      <c r="AH155" s="8">
        <v>454938.63</v>
      </c>
      <c r="AI155" s="9">
        <f t="shared" si="739"/>
        <v>11.667486407468198</v>
      </c>
      <c r="AJ155" s="8">
        <v>60</v>
      </c>
      <c r="AK155" s="11">
        <f t="shared" si="740"/>
        <v>1.5387771850636028E-3</v>
      </c>
      <c r="AL155" s="8">
        <v>24751.59</v>
      </c>
      <c r="AM155" s="9">
        <f t="shared" si="741"/>
        <v>0.63478636643414033</v>
      </c>
      <c r="AN155" s="8">
        <v>2075</v>
      </c>
      <c r="AO155" s="8">
        <v>161</v>
      </c>
      <c r="AP155" s="8">
        <v>440174</v>
      </c>
      <c r="AQ155" s="8">
        <v>0</v>
      </c>
      <c r="AR155" s="8">
        <v>20240112.559999999</v>
      </c>
      <c r="AS155" s="8">
        <v>4314688.8</v>
      </c>
      <c r="AT155" s="8">
        <v>7032975.1600000001</v>
      </c>
      <c r="AU155" s="9">
        <f t="shared" si="742"/>
        <v>32507640.739999998</v>
      </c>
      <c r="AV155" s="9">
        <f t="shared" si="743"/>
        <v>833.70026518260147</v>
      </c>
      <c r="AW155" s="9">
        <f t="shared" si="744"/>
        <v>1149.8093795318364</v>
      </c>
      <c r="AX155" s="8">
        <v>10</v>
      </c>
      <c r="AY155" s="9">
        <f t="shared" si="745"/>
        <v>3.0775543701272059</v>
      </c>
      <c r="AZ155" s="8">
        <v>19</v>
      </c>
      <c r="BA155" s="8">
        <v>82</v>
      </c>
      <c r="BB155" s="8">
        <v>0</v>
      </c>
      <c r="BC155" s="8">
        <v>0</v>
      </c>
      <c r="BD155" s="8">
        <v>17</v>
      </c>
      <c r="BE155" s="9">
        <f t="shared" si="746"/>
        <v>17</v>
      </c>
      <c r="BF155" s="9">
        <f t="shared" si="747"/>
        <v>65</v>
      </c>
      <c r="BG155" s="8">
        <v>0</v>
      </c>
      <c r="BH155" s="8">
        <v>0</v>
      </c>
      <c r="BI155" s="8">
        <v>0</v>
      </c>
      <c r="BJ155" s="8">
        <v>0</v>
      </c>
      <c r="BK155" s="9">
        <f t="shared" si="748"/>
        <v>0</v>
      </c>
      <c r="BL155" s="9">
        <f t="shared" si="749"/>
        <v>0</v>
      </c>
      <c r="BM155" s="8">
        <v>0</v>
      </c>
      <c r="BN155" s="8">
        <v>0</v>
      </c>
      <c r="BO155" s="8">
        <v>0</v>
      </c>
      <c r="BP155" s="8">
        <v>0</v>
      </c>
      <c r="BQ155" s="9">
        <f t="shared" si="750"/>
        <v>0</v>
      </c>
      <c r="BR155" s="9">
        <f t="shared" si="751"/>
        <v>0</v>
      </c>
      <c r="BS155" s="8">
        <v>0</v>
      </c>
      <c r="BT155" s="8">
        <v>0</v>
      </c>
      <c r="BU155" s="8">
        <v>0</v>
      </c>
      <c r="BV155" s="8">
        <v>0</v>
      </c>
      <c r="BW155" s="9">
        <f t="shared" si="752"/>
        <v>0</v>
      </c>
      <c r="BX155" s="9">
        <f t="shared" si="753"/>
        <v>0</v>
      </c>
      <c r="BY155" s="9">
        <f t="shared" si="754"/>
        <v>82</v>
      </c>
      <c r="BZ155" s="9">
        <f t="shared" si="755"/>
        <v>0</v>
      </c>
      <c r="CA155" s="9">
        <f t="shared" si="756"/>
        <v>17</v>
      </c>
      <c r="CB155" s="9">
        <f t="shared" si="757"/>
        <v>65</v>
      </c>
      <c r="CC155" s="8">
        <v>17</v>
      </c>
      <c r="CD155" s="8">
        <v>778</v>
      </c>
      <c r="CE155" s="8">
        <v>35</v>
      </c>
      <c r="CF155" s="8">
        <v>70</v>
      </c>
      <c r="CG155" s="8">
        <v>16</v>
      </c>
      <c r="CH155" s="9">
        <f t="shared" si="758"/>
        <v>899</v>
      </c>
      <c r="CI155" s="8">
        <v>2046</v>
      </c>
      <c r="CJ155" s="8">
        <v>8</v>
      </c>
      <c r="CK155" s="8">
        <v>11</v>
      </c>
      <c r="CL155" s="8">
        <v>13</v>
      </c>
      <c r="CM155" s="9">
        <f t="shared" si="759"/>
        <v>2078</v>
      </c>
      <c r="CN155" s="8">
        <v>1201</v>
      </c>
      <c r="CO155" s="8">
        <v>88</v>
      </c>
      <c r="CP155" s="8">
        <v>118</v>
      </c>
      <c r="CQ155" s="8">
        <v>5</v>
      </c>
      <c r="CR155" s="9">
        <f t="shared" si="760"/>
        <v>1412</v>
      </c>
      <c r="CS155" s="9">
        <f t="shared" si="761"/>
        <v>3490</v>
      </c>
      <c r="CT155" s="8">
        <v>4389</v>
      </c>
      <c r="CU155" s="8">
        <v>25000</v>
      </c>
      <c r="CV155" s="8">
        <v>20735</v>
      </c>
      <c r="CW155" s="10">
        <f t="shared" si="762"/>
        <v>0.82940000000000003</v>
      </c>
      <c r="CX155" s="8">
        <v>0</v>
      </c>
      <c r="CY155" s="8">
        <v>0</v>
      </c>
      <c r="CZ155" s="8">
        <v>0</v>
      </c>
      <c r="DA155" s="8">
        <v>0</v>
      </c>
      <c r="DB155" s="9">
        <f t="shared" si="763"/>
        <v>0</v>
      </c>
      <c r="DC155" s="8">
        <v>0</v>
      </c>
      <c r="DD155" s="8">
        <v>0</v>
      </c>
      <c r="DE155" s="8">
        <v>0</v>
      </c>
      <c r="DF155" s="8">
        <v>0</v>
      </c>
      <c r="DG155" s="9">
        <f t="shared" si="764"/>
        <v>0</v>
      </c>
      <c r="DH155" s="8">
        <v>0</v>
      </c>
      <c r="DI155" s="8">
        <v>0</v>
      </c>
      <c r="DJ155" s="8">
        <v>0</v>
      </c>
      <c r="DK155" s="8">
        <v>0</v>
      </c>
      <c r="DL155" s="9">
        <f t="shared" si="765"/>
        <v>0</v>
      </c>
      <c r="DM155" s="8">
        <v>86</v>
      </c>
      <c r="DN155" s="8">
        <v>15</v>
      </c>
      <c r="DO155" s="8">
        <v>0</v>
      </c>
      <c r="DP155" s="8">
        <v>0</v>
      </c>
      <c r="DQ155" s="9">
        <f t="shared" si="766"/>
        <v>101</v>
      </c>
      <c r="DR155" s="9">
        <f t="shared" si="767"/>
        <v>86</v>
      </c>
      <c r="DS155" s="9">
        <f t="shared" si="768"/>
        <v>15</v>
      </c>
      <c r="DT155" s="9">
        <f t="shared" si="769"/>
        <v>0</v>
      </c>
      <c r="DU155" s="9">
        <f t="shared" si="770"/>
        <v>0</v>
      </c>
      <c r="DV155" s="9">
        <f t="shared" si="771"/>
        <v>101</v>
      </c>
      <c r="DW155" s="8">
        <v>8</v>
      </c>
      <c r="DX155" s="8">
        <v>5</v>
      </c>
      <c r="DY155" s="8">
        <v>8</v>
      </c>
      <c r="DZ155" s="8">
        <v>8</v>
      </c>
      <c r="EA155" s="8">
        <v>2</v>
      </c>
      <c r="EB155" s="8">
        <v>1</v>
      </c>
      <c r="EC155" s="8">
        <v>1</v>
      </c>
      <c r="ED155" s="8">
        <v>0</v>
      </c>
      <c r="EE155" s="8">
        <v>0</v>
      </c>
      <c r="EF155" s="8">
        <v>0</v>
      </c>
      <c r="EG155" s="8">
        <v>0</v>
      </c>
      <c r="EH155" s="8">
        <v>0</v>
      </c>
      <c r="EI155" s="8">
        <v>0</v>
      </c>
      <c r="EJ155" s="8">
        <v>1</v>
      </c>
      <c r="EK155" s="8">
        <v>1</v>
      </c>
      <c r="EL155" s="8">
        <v>0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8">
        <v>0</v>
      </c>
      <c r="ES155" s="8">
        <v>0</v>
      </c>
      <c r="ET155" s="8">
        <v>0</v>
      </c>
      <c r="EU155" s="8">
        <v>0</v>
      </c>
      <c r="EV155" s="8">
        <v>0</v>
      </c>
      <c r="EW155" s="8">
        <v>0</v>
      </c>
      <c r="EX155" s="8">
        <v>0</v>
      </c>
      <c r="EY155" s="8">
        <v>0</v>
      </c>
      <c r="EZ155" s="8">
        <v>0</v>
      </c>
      <c r="FA155" s="8">
        <v>0</v>
      </c>
      <c r="FB155" s="8">
        <v>0</v>
      </c>
      <c r="FC155" s="8">
        <v>0</v>
      </c>
      <c r="FD155" s="8">
        <v>0</v>
      </c>
      <c r="FE155" s="8">
        <v>0</v>
      </c>
      <c r="FF155" s="8">
        <v>0</v>
      </c>
      <c r="FG155" s="9">
        <f t="shared" si="772"/>
        <v>35</v>
      </c>
      <c r="FH155" s="8">
        <v>25</v>
      </c>
      <c r="FI155" s="8">
        <v>0</v>
      </c>
      <c r="FJ155" s="8">
        <v>16</v>
      </c>
      <c r="FK155" s="8">
        <v>16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9">
        <f t="shared" si="773"/>
        <v>0</v>
      </c>
      <c r="FR155" s="8">
        <v>17959608.600000001</v>
      </c>
      <c r="FS155" s="8">
        <v>118500</v>
      </c>
      <c r="FT155" s="8">
        <v>390500</v>
      </c>
      <c r="FU155" s="8">
        <v>85400</v>
      </c>
      <c r="FV155" s="9">
        <f t="shared" si="774"/>
        <v>18554008.600000001</v>
      </c>
      <c r="FW155" s="8">
        <v>6974143.1799999997</v>
      </c>
      <c r="FX155" s="8">
        <v>1500</v>
      </c>
      <c r="FY155" s="8">
        <v>4395289.2300000004</v>
      </c>
      <c r="FZ155" s="8">
        <v>20473878.800000001</v>
      </c>
      <c r="GA155" s="9">
        <f t="shared" si="775"/>
        <v>31844811.210000001</v>
      </c>
      <c r="GB155" s="9">
        <f t="shared" si="776"/>
        <v>50398819.810000002</v>
      </c>
      <c r="GC155" s="8">
        <v>14186069.68</v>
      </c>
      <c r="GD155" s="8">
        <v>251724.48</v>
      </c>
      <c r="GE155" s="8">
        <v>326414.38</v>
      </c>
      <c r="GF155" s="8">
        <v>559334.09</v>
      </c>
      <c r="GG155" s="9">
        <f t="shared" si="777"/>
        <v>15323542.630000001</v>
      </c>
      <c r="GH155" s="8">
        <v>15323542.630000001</v>
      </c>
      <c r="GI155" s="8">
        <v>0</v>
      </c>
      <c r="GJ155" s="8">
        <v>0</v>
      </c>
      <c r="GK155" s="8">
        <v>0</v>
      </c>
      <c r="GL155" s="9">
        <f t="shared" si="778"/>
        <v>15323542.630000001</v>
      </c>
      <c r="GM155" s="9">
        <f t="shared" si="779"/>
        <v>30647085.260000002</v>
      </c>
      <c r="GN155" s="8">
        <v>1148385.81</v>
      </c>
      <c r="GO155" s="8">
        <v>2486.64</v>
      </c>
      <c r="GP155" s="8">
        <v>27149.119999999999</v>
      </c>
      <c r="GQ155" s="8">
        <v>51010.74</v>
      </c>
      <c r="GR155" s="9">
        <f t="shared" si="780"/>
        <v>1229032.31</v>
      </c>
      <c r="GS155" s="8">
        <v>1827078</v>
      </c>
      <c r="GT155" s="8">
        <v>11609</v>
      </c>
      <c r="GU155" s="8">
        <v>7144</v>
      </c>
      <c r="GV155" s="8">
        <v>11609</v>
      </c>
      <c r="GW155" s="9">
        <f t="shared" si="781"/>
        <v>1857440</v>
      </c>
      <c r="GX155" s="9">
        <f t="shared" si="782"/>
        <v>33733557.57</v>
      </c>
      <c r="GY155" s="8">
        <v>65495436.439999998</v>
      </c>
      <c r="GZ155" s="8">
        <v>684908.7</v>
      </c>
      <c r="HA155" s="9">
        <f t="shared" si="783"/>
        <v>66180345.140000001</v>
      </c>
      <c r="HB155" s="9">
        <f t="shared" si="784"/>
        <v>0.96365883356784654</v>
      </c>
      <c r="HC155" s="10">
        <f t="shared" si="785"/>
        <v>0.5079041696716281</v>
      </c>
      <c r="HD155" s="9">
        <f t="shared" si="786"/>
        <v>1.4940262290871091</v>
      </c>
      <c r="HE155" s="8">
        <v>0</v>
      </c>
      <c r="HF155" s="8">
        <v>1</v>
      </c>
      <c r="HG155" s="8">
        <v>65</v>
      </c>
      <c r="HH155" s="8">
        <v>0</v>
      </c>
      <c r="HI155" s="8">
        <v>0</v>
      </c>
      <c r="HJ155" s="9">
        <f t="shared" si="787"/>
        <v>1</v>
      </c>
      <c r="HK155" s="10" t="str">
        <f t="shared" si="788"/>
        <v/>
      </c>
      <c r="HL155" s="8">
        <v>45</v>
      </c>
      <c r="HM155" s="8">
        <v>30</v>
      </c>
      <c r="HN155" s="11">
        <f t="shared" si="789"/>
        <v>0.66666666666666663</v>
      </c>
    </row>
    <row r="156" spans="1:222" x14ac:dyDescent="0.3">
      <c r="A156" s="12" t="s">
        <v>280</v>
      </c>
      <c r="B156" s="12" t="s">
        <v>280</v>
      </c>
      <c r="C156" s="13" t="s">
        <v>257</v>
      </c>
      <c r="D156" s="13">
        <v>2026</v>
      </c>
      <c r="E156" s="13">
        <v>1</v>
      </c>
      <c r="F156" s="13" t="s">
        <v>270</v>
      </c>
      <c r="G156" s="13" t="s">
        <v>271</v>
      </c>
      <c r="H156" s="14">
        <v>45220</v>
      </c>
      <c r="I156" s="14">
        <v>17564</v>
      </c>
      <c r="J156" s="14">
        <v>843</v>
      </c>
      <c r="K156" s="14">
        <v>144</v>
      </c>
      <c r="L156" s="14">
        <v>128</v>
      </c>
      <c r="M156" s="15">
        <v>18679</v>
      </c>
      <c r="N156" s="14">
        <v>7029.1999999999962</v>
      </c>
      <c r="O156" s="14">
        <v>24</v>
      </c>
      <c r="P156" s="14">
        <v>5455.4</v>
      </c>
      <c r="Q156" s="14">
        <v>917.8</v>
      </c>
      <c r="R156" s="15">
        <v>13426.399999999991</v>
      </c>
      <c r="S156" s="15">
        <v>32105.399999999991</v>
      </c>
      <c r="T156" s="14">
        <v>13114.600000000009</v>
      </c>
      <c r="U156" s="16">
        <v>0.29001769128704119</v>
      </c>
      <c r="V156" s="14">
        <v>90</v>
      </c>
      <c r="W156" s="17">
        <v>1.9902697921273771</v>
      </c>
      <c r="X156" s="14">
        <v>0</v>
      </c>
      <c r="Y156" s="17">
        <v>0</v>
      </c>
      <c r="Z156" s="14">
        <v>0</v>
      </c>
      <c r="AA156" s="17">
        <v>0</v>
      </c>
      <c r="AB156" s="14">
        <v>0</v>
      </c>
      <c r="AC156" s="17">
        <v>0</v>
      </c>
      <c r="AD156" s="14">
        <v>0</v>
      </c>
      <c r="AE156" s="17">
        <v>0</v>
      </c>
      <c r="AF156" s="14">
        <v>0</v>
      </c>
      <c r="AG156" s="17">
        <v>0</v>
      </c>
      <c r="AH156" s="14">
        <v>460050.3</v>
      </c>
      <c r="AI156" s="15">
        <v>10.173602388323751</v>
      </c>
      <c r="AJ156" s="14">
        <v>65</v>
      </c>
      <c r="AK156" s="17">
        <v>1.437417072091995E-3</v>
      </c>
      <c r="AL156" s="14">
        <v>25445.3475</v>
      </c>
      <c r="AM156" s="15">
        <v>0.56270118310482087</v>
      </c>
      <c r="AN156" s="14">
        <v>1527</v>
      </c>
      <c r="AO156" s="14">
        <v>197.35</v>
      </c>
      <c r="AP156" s="14">
        <v>539554.9</v>
      </c>
      <c r="AQ156" s="14">
        <v>0</v>
      </c>
      <c r="AR156" s="14">
        <v>28648936.449999999</v>
      </c>
      <c r="AS156" s="14">
        <v>4163255.31</v>
      </c>
      <c r="AT156" s="14">
        <v>1626725</v>
      </c>
      <c r="AU156" s="15">
        <v>35463967.307499997</v>
      </c>
      <c r="AV156" s="15">
        <v>784.25403156789025</v>
      </c>
      <c r="AW156" s="15">
        <v>1104.6106669750261</v>
      </c>
      <c r="AX156" s="14">
        <v>10</v>
      </c>
      <c r="AY156" s="15">
        <v>0</v>
      </c>
      <c r="AZ156" s="14">
        <v>19</v>
      </c>
      <c r="BA156" s="14">
        <v>65</v>
      </c>
      <c r="BB156" s="14">
        <v>0</v>
      </c>
      <c r="BC156" s="14">
        <v>0</v>
      </c>
      <c r="BD156" s="14">
        <v>0</v>
      </c>
      <c r="BE156" s="15">
        <v>0</v>
      </c>
      <c r="BF156" s="15">
        <v>65</v>
      </c>
      <c r="BG156" s="14">
        <v>0</v>
      </c>
      <c r="BH156" s="14">
        <v>0</v>
      </c>
      <c r="BI156" s="14">
        <v>0</v>
      </c>
      <c r="BJ156" s="14">
        <v>0</v>
      </c>
      <c r="BK156" s="15">
        <v>0</v>
      </c>
      <c r="BL156" s="15">
        <v>0</v>
      </c>
      <c r="BM156" s="14">
        <v>0</v>
      </c>
      <c r="BN156" s="14">
        <v>0</v>
      </c>
      <c r="BO156" s="14">
        <v>0</v>
      </c>
      <c r="BP156" s="14">
        <v>0</v>
      </c>
      <c r="BQ156" s="15">
        <v>0</v>
      </c>
      <c r="BR156" s="15">
        <v>0</v>
      </c>
      <c r="BS156" s="14">
        <v>0</v>
      </c>
      <c r="BT156" s="14">
        <v>0</v>
      </c>
      <c r="BU156" s="14">
        <v>0</v>
      </c>
      <c r="BV156" s="14">
        <v>0</v>
      </c>
      <c r="BW156" s="15">
        <v>0</v>
      </c>
      <c r="BX156" s="15">
        <v>0</v>
      </c>
      <c r="BY156" s="15">
        <v>65</v>
      </c>
      <c r="BZ156" s="15">
        <v>0</v>
      </c>
      <c r="CA156" s="15">
        <v>0</v>
      </c>
      <c r="CB156" s="15">
        <v>65</v>
      </c>
      <c r="CC156" s="14">
        <v>0</v>
      </c>
      <c r="CD156" s="14">
        <v>795</v>
      </c>
      <c r="CE156" s="14">
        <v>35</v>
      </c>
      <c r="CF156" s="14">
        <v>70</v>
      </c>
      <c r="CG156" s="14">
        <v>16</v>
      </c>
      <c r="CH156" s="15">
        <v>916</v>
      </c>
      <c r="CI156" s="14">
        <v>2026</v>
      </c>
      <c r="CJ156" s="14">
        <v>8</v>
      </c>
      <c r="CK156" s="14">
        <v>13</v>
      </c>
      <c r="CL156" s="14">
        <v>14</v>
      </c>
      <c r="CM156" s="15">
        <v>2061</v>
      </c>
      <c r="CN156" s="14">
        <v>1201</v>
      </c>
      <c r="CO156" s="14">
        <v>88</v>
      </c>
      <c r="CP156" s="14">
        <v>118</v>
      </c>
      <c r="CQ156" s="14">
        <v>5</v>
      </c>
      <c r="CR156" s="15">
        <v>1412</v>
      </c>
      <c r="CS156" s="15">
        <v>3473</v>
      </c>
      <c r="CT156" s="14">
        <v>4389</v>
      </c>
      <c r="CU156" s="14">
        <v>25000</v>
      </c>
      <c r="CV156" s="14">
        <v>20735</v>
      </c>
      <c r="CW156" s="16">
        <v>0.82940000000000003</v>
      </c>
      <c r="CX156" s="14">
        <v>0</v>
      </c>
      <c r="CY156" s="14">
        <v>0</v>
      </c>
      <c r="CZ156" s="14">
        <v>0</v>
      </c>
      <c r="DA156" s="14">
        <v>0</v>
      </c>
      <c r="DB156" s="15">
        <v>0</v>
      </c>
      <c r="DC156" s="14">
        <v>0</v>
      </c>
      <c r="DD156" s="14">
        <v>0</v>
      </c>
      <c r="DE156" s="14">
        <v>0</v>
      </c>
      <c r="DF156" s="14">
        <v>0</v>
      </c>
      <c r="DG156" s="15">
        <v>0</v>
      </c>
      <c r="DH156" s="14">
        <v>0</v>
      </c>
      <c r="DI156" s="14">
        <v>0</v>
      </c>
      <c r="DJ156" s="14">
        <v>0</v>
      </c>
      <c r="DK156" s="14">
        <v>0</v>
      </c>
      <c r="DL156" s="15">
        <v>0</v>
      </c>
      <c r="DM156" s="14">
        <v>101</v>
      </c>
      <c r="DN156" s="14">
        <v>52</v>
      </c>
      <c r="DO156" s="14">
        <v>0</v>
      </c>
      <c r="DP156" s="14">
        <v>0</v>
      </c>
      <c r="DQ156" s="15">
        <v>0</v>
      </c>
      <c r="DR156" s="15">
        <v>153</v>
      </c>
      <c r="DS156" s="15">
        <v>101</v>
      </c>
      <c r="DT156" s="15">
        <v>52</v>
      </c>
      <c r="DU156" s="15">
        <v>0</v>
      </c>
      <c r="DV156" s="15">
        <v>0</v>
      </c>
      <c r="DW156" s="14">
        <v>16</v>
      </c>
      <c r="DX156" s="14">
        <v>3</v>
      </c>
      <c r="DY156" s="14">
        <v>4</v>
      </c>
      <c r="DZ156" s="14">
        <v>1</v>
      </c>
      <c r="EA156" s="14">
        <v>1</v>
      </c>
      <c r="EB156" s="14">
        <v>1</v>
      </c>
      <c r="EC156" s="14">
        <v>1</v>
      </c>
      <c r="ED156" s="14">
        <v>2</v>
      </c>
      <c r="EE156" s="14">
        <v>4</v>
      </c>
      <c r="EF156" s="14">
        <v>2</v>
      </c>
      <c r="EG156" s="14">
        <v>3</v>
      </c>
      <c r="EH156" s="14">
        <v>0</v>
      </c>
      <c r="EI156" s="14">
        <v>0</v>
      </c>
      <c r="EJ156" s="14">
        <v>0</v>
      </c>
      <c r="EK156" s="14">
        <v>0</v>
      </c>
      <c r="EL156" s="14">
        <v>0</v>
      </c>
      <c r="EM156" s="14">
        <v>0</v>
      </c>
      <c r="EN156" s="14">
        <v>0</v>
      </c>
      <c r="EO156" s="14">
        <v>0</v>
      </c>
      <c r="EP156" s="14">
        <v>0</v>
      </c>
      <c r="EQ156" s="14">
        <v>0</v>
      </c>
      <c r="ER156" s="14">
        <v>0</v>
      </c>
      <c r="ES156" s="14">
        <v>0</v>
      </c>
      <c r="ET156" s="14">
        <v>0</v>
      </c>
      <c r="EU156" s="14">
        <v>0</v>
      </c>
      <c r="EV156" s="14">
        <v>0</v>
      </c>
      <c r="EW156" s="14">
        <v>0</v>
      </c>
      <c r="EX156" s="14">
        <v>0</v>
      </c>
      <c r="EY156" s="14">
        <v>0</v>
      </c>
      <c r="EZ156" s="14">
        <v>0</v>
      </c>
      <c r="FA156" s="14">
        <v>0</v>
      </c>
      <c r="FB156" s="14">
        <v>0</v>
      </c>
      <c r="FC156" s="14">
        <v>0</v>
      </c>
      <c r="FD156" s="14">
        <v>0</v>
      </c>
      <c r="FE156" s="14">
        <v>0</v>
      </c>
      <c r="FF156" s="14">
        <v>0</v>
      </c>
      <c r="FG156" s="15">
        <v>0</v>
      </c>
      <c r="FH156" s="14">
        <v>37</v>
      </c>
      <c r="FI156" s="14">
        <v>0</v>
      </c>
      <c r="FJ156" s="14">
        <v>18</v>
      </c>
      <c r="FK156" s="14">
        <v>18</v>
      </c>
      <c r="FL156" s="14">
        <v>0</v>
      </c>
      <c r="FM156" s="14">
        <v>0</v>
      </c>
      <c r="FN156" s="14">
        <v>0</v>
      </c>
      <c r="FO156" s="14">
        <v>0</v>
      </c>
      <c r="FP156" s="14">
        <v>0</v>
      </c>
      <c r="FQ156" s="15">
        <v>0</v>
      </c>
      <c r="FR156" s="14">
        <v>15396075.310000001</v>
      </c>
      <c r="FS156" s="14">
        <v>171500</v>
      </c>
      <c r="FT156" s="14">
        <v>845800</v>
      </c>
      <c r="FU156" s="14">
        <v>16000</v>
      </c>
      <c r="FV156" s="15">
        <v>16000</v>
      </c>
      <c r="FW156" s="14">
        <v>9140190.2999999989</v>
      </c>
      <c r="FX156" s="14">
        <v>5000</v>
      </c>
      <c r="FY156" s="14">
        <v>5149189.2300000004</v>
      </c>
      <c r="FZ156" s="14">
        <v>9332820.4000000004</v>
      </c>
      <c r="GA156" s="15">
        <v>9332820.4000000004</v>
      </c>
      <c r="GB156" s="15">
        <v>23627199.93</v>
      </c>
      <c r="GC156" s="14">
        <v>15655685.17</v>
      </c>
      <c r="GD156" s="14">
        <v>161249.04</v>
      </c>
      <c r="GE156" s="14">
        <v>427250.2</v>
      </c>
      <c r="GF156" s="14">
        <v>417622.21</v>
      </c>
      <c r="GG156" s="15">
        <v>417622.21</v>
      </c>
      <c r="GH156" s="14">
        <v>16661806.619999999</v>
      </c>
      <c r="GI156" s="14">
        <v>0</v>
      </c>
      <c r="GJ156" s="14">
        <v>0</v>
      </c>
      <c r="GK156" s="14">
        <v>0</v>
      </c>
      <c r="GL156" s="15">
        <v>0</v>
      </c>
      <c r="GM156" s="15">
        <v>23627199.93</v>
      </c>
      <c r="GN156" s="14">
        <v>1136362.9099999999</v>
      </c>
      <c r="GO156" s="14">
        <v>2677.92</v>
      </c>
      <c r="GP156" s="14">
        <v>27149.119999999999</v>
      </c>
      <c r="GQ156" s="14">
        <v>60285.42</v>
      </c>
      <c r="GR156" s="15">
        <v>60285.42</v>
      </c>
      <c r="GS156" s="14">
        <v>1809218</v>
      </c>
      <c r="GT156" s="14">
        <v>12502</v>
      </c>
      <c r="GU156" s="14">
        <v>7144</v>
      </c>
      <c r="GV156" s="14">
        <v>11609</v>
      </c>
      <c r="GW156" s="15">
        <v>11609</v>
      </c>
      <c r="GX156" s="15">
        <v>1840473</v>
      </c>
      <c r="GY156" s="14">
        <v>69127516.120000005</v>
      </c>
      <c r="GZ156" s="14">
        <v>684908.7</v>
      </c>
      <c r="HA156" s="15">
        <v>684908.7</v>
      </c>
      <c r="HB156" s="15">
        <v>69812424.820000008</v>
      </c>
      <c r="HC156" s="16">
        <v>43355954.919999987</v>
      </c>
      <c r="HD156" s="15">
        <v>69127516.120000005</v>
      </c>
      <c r="HE156" s="14">
        <v>0</v>
      </c>
      <c r="HF156" s="14">
        <v>1</v>
      </c>
      <c r="HG156" s="14">
        <v>65</v>
      </c>
      <c r="HH156" s="14">
        <v>0</v>
      </c>
      <c r="HI156" s="14">
        <v>0</v>
      </c>
      <c r="HJ156" s="15">
        <v>0</v>
      </c>
      <c r="HK156" s="16"/>
      <c r="HL156" s="14">
        <v>60</v>
      </c>
      <c r="HM156" s="14">
        <v>30</v>
      </c>
      <c r="HN156" s="17">
        <v>30</v>
      </c>
    </row>
    <row r="157" spans="1:222" x14ac:dyDescent="0.3">
      <c r="A157" s="6" t="s">
        <v>280</v>
      </c>
      <c r="B157" s="6" t="s">
        <v>280</v>
      </c>
      <c r="C157" s="7" t="s">
        <v>257</v>
      </c>
      <c r="D157" s="7">
        <v>2026</v>
      </c>
      <c r="E157" s="7">
        <v>2</v>
      </c>
      <c r="F157" s="7" t="s">
        <v>272</v>
      </c>
      <c r="G157" s="7" t="s">
        <v>271</v>
      </c>
      <c r="H157" s="8">
        <v>40010</v>
      </c>
      <c r="I157" s="8">
        <v>17272</v>
      </c>
      <c r="J157" s="8">
        <v>813</v>
      </c>
      <c r="K157" s="8">
        <v>147</v>
      </c>
      <c r="L157" s="8">
        <v>162</v>
      </c>
      <c r="M157" s="9">
        <f t="shared" ref="M157:M167" si="790">SUM(I157,J157,K157,L157)</f>
        <v>18394</v>
      </c>
      <c r="N157" s="8">
        <v>6057.8000000000038</v>
      </c>
      <c r="O157" s="8">
        <v>1</v>
      </c>
      <c r="P157" s="8">
        <v>2520.1999999999998</v>
      </c>
      <c r="Q157" s="8">
        <v>857.2</v>
      </c>
      <c r="R157" s="9">
        <f t="shared" ref="R157:R167" si="791">SUM(N157,O157,P157,Q157)</f>
        <v>9436.2000000000044</v>
      </c>
      <c r="S157" s="9">
        <f t="shared" ref="S157:S167" si="792">M157+R157</f>
        <v>27830.200000000004</v>
      </c>
      <c r="T157" s="8">
        <v>12179.8</v>
      </c>
      <c r="U157" s="10">
        <f t="shared" ref="U157:U167" si="793">IF(H157=0,"",T157/H157)</f>
        <v>0.30441889527618093</v>
      </c>
      <c r="V157" s="8">
        <v>87</v>
      </c>
      <c r="W157" s="11">
        <f t="shared" ref="W157:W167" si="794">IF(H157=0,"",V157/H157)</f>
        <v>2.1744563859035239E-3</v>
      </c>
      <c r="X157" s="8">
        <v>0</v>
      </c>
      <c r="Y157" s="11">
        <f t="shared" ref="Y157:Y167" si="795">IF(H157=0,"",X157/H157)</f>
        <v>0</v>
      </c>
      <c r="Z157" s="8">
        <v>0</v>
      </c>
      <c r="AA157" s="11">
        <f t="shared" ref="AA157:AA167" si="796">IF(H157=0,"",Z157/H157)</f>
        <v>0</v>
      </c>
      <c r="AB157" s="8">
        <v>0</v>
      </c>
      <c r="AC157" s="11">
        <f t="shared" ref="AC157:AC167" si="797">IF(H157=0,"",AB157/H157)</f>
        <v>0</v>
      </c>
      <c r="AD157" s="8">
        <v>0</v>
      </c>
      <c r="AE157" s="11">
        <f t="shared" ref="AE157:AE167" si="798">IF(H157=0,"",AD157/H157)</f>
        <v>0</v>
      </c>
      <c r="AF157" s="8">
        <v>0</v>
      </c>
      <c r="AG157" s="11">
        <f t="shared" ref="AG157:AG167" si="799">IF(H157=0,"",AF157/H157)</f>
        <v>0</v>
      </c>
      <c r="AH157" s="8">
        <v>444715.29</v>
      </c>
      <c r="AI157" s="9">
        <f t="shared" ref="AI157:AI167" si="800">IF(H157=0,"",AH157/H157)</f>
        <v>11.115103474131466</v>
      </c>
      <c r="AJ157" s="8">
        <v>60</v>
      </c>
      <c r="AK157" s="11">
        <f t="shared" ref="AK157:AK167" si="801">IF(H157=0,"",AJ157/H157)</f>
        <v>1.4996250937265683E-3</v>
      </c>
      <c r="AL157" s="8">
        <v>24751.59</v>
      </c>
      <c r="AM157" s="9">
        <f t="shared" ref="AM157:AM167" si="802">IF(H157=0,"",AL157/H157)</f>
        <v>0.61863509122719318</v>
      </c>
      <c r="AN157" s="8">
        <v>1454</v>
      </c>
      <c r="AO157" s="8">
        <v>121</v>
      </c>
      <c r="AP157" s="8">
        <v>598345</v>
      </c>
      <c r="AQ157" s="8">
        <v>0</v>
      </c>
      <c r="AR157" s="8">
        <v>15400474.220000001</v>
      </c>
      <c r="AS157" s="8">
        <v>4251697.3899999997</v>
      </c>
      <c r="AT157" s="8">
        <v>1635415.33</v>
      </c>
      <c r="AU157" s="9">
        <f t="shared" ref="AU157:AU167" si="803">AH157+AL157+AP157+AQ157+AR157+AS157+AT157</f>
        <v>22355398.82</v>
      </c>
      <c r="AV157" s="9">
        <f t="shared" ref="AV157:AV167" si="804">IF(H157=0,"",AU157/H157)</f>
        <v>558.74528417895522</v>
      </c>
      <c r="AW157" s="9">
        <f t="shared" ref="AW157:AW167" si="805">IF(S157=0,"",AU157/S157)</f>
        <v>803.27841050369727</v>
      </c>
      <c r="AX157" s="8">
        <v>10</v>
      </c>
      <c r="AY157" s="9">
        <f t="shared" ref="AY157:AY167" si="806">IF(H157=0,"",AX157/(H157/1000/12))</f>
        <v>2.999250187453137</v>
      </c>
      <c r="AZ157" s="8">
        <v>19</v>
      </c>
      <c r="BA157" s="8">
        <v>65</v>
      </c>
      <c r="BB157" s="8">
        <v>20</v>
      </c>
      <c r="BC157" s="8">
        <v>0</v>
      </c>
      <c r="BD157" s="8">
        <v>51</v>
      </c>
      <c r="BE157" s="9">
        <f t="shared" ref="BE157:BE167" si="807">BC157+BD157</f>
        <v>51</v>
      </c>
      <c r="BF157" s="9">
        <f t="shared" ref="BF157:BF167" si="808">BA157+BB157-BE157</f>
        <v>34</v>
      </c>
      <c r="BG157" s="8">
        <v>0</v>
      </c>
      <c r="BH157" s="8">
        <v>0</v>
      </c>
      <c r="BI157" s="8">
        <v>0</v>
      </c>
      <c r="BJ157" s="8">
        <v>0</v>
      </c>
      <c r="BK157" s="9">
        <f t="shared" ref="BK157:BK167" si="809">BI157+BJ157</f>
        <v>0</v>
      </c>
      <c r="BL157" s="9">
        <f t="shared" ref="BL157:BL167" si="810">BG157+BH157-BK157</f>
        <v>0</v>
      </c>
      <c r="BM157" s="8">
        <v>0</v>
      </c>
      <c r="BN157" s="8">
        <v>0</v>
      </c>
      <c r="BO157" s="8">
        <v>0</v>
      </c>
      <c r="BP157" s="8">
        <v>0</v>
      </c>
      <c r="BQ157" s="9">
        <f t="shared" ref="BQ157:BQ167" si="811">BO157+BP157</f>
        <v>0</v>
      </c>
      <c r="BR157" s="9">
        <f t="shared" ref="BR157:BR167" si="812">BM157+BN157-BQ157</f>
        <v>0</v>
      </c>
      <c r="BS157" s="8">
        <v>0</v>
      </c>
      <c r="BT157" s="8">
        <v>0</v>
      </c>
      <c r="BU157" s="8">
        <v>0</v>
      </c>
      <c r="BV157" s="8">
        <v>0</v>
      </c>
      <c r="BW157" s="9">
        <f t="shared" ref="BW157:BW167" si="813">BU157+BV157</f>
        <v>0</v>
      </c>
      <c r="BX157" s="9">
        <f t="shared" ref="BX157:BX167" si="814">BS157+BT157-BW157</f>
        <v>0</v>
      </c>
      <c r="BY157" s="9">
        <f t="shared" ref="BY157:BY167" si="815">BA157+BG157+BM157+BS157</f>
        <v>65</v>
      </c>
      <c r="BZ157" s="9">
        <f t="shared" ref="BZ157:BZ167" si="816">BB157+BH157+BN157+BT157</f>
        <v>20</v>
      </c>
      <c r="CA157" s="9">
        <f t="shared" ref="CA157:CA167" si="817">BE157+BK157+BQ157+BW157</f>
        <v>51</v>
      </c>
      <c r="CB157" s="9">
        <f t="shared" ref="CB157:CB167" si="818">BF157+BL157+BR157+BX157</f>
        <v>34</v>
      </c>
      <c r="CC157" s="8">
        <v>45</v>
      </c>
      <c r="CD157" s="8">
        <v>797</v>
      </c>
      <c r="CE157" s="8">
        <v>35</v>
      </c>
      <c r="CF157" s="8">
        <v>70</v>
      </c>
      <c r="CG157" s="8">
        <v>16</v>
      </c>
      <c r="CH157" s="9">
        <f t="shared" ref="CH157:CH167" si="819">CD157+CE157+CF157+CG157</f>
        <v>918</v>
      </c>
      <c r="CI157" s="8">
        <v>1992</v>
      </c>
      <c r="CJ157" s="8">
        <v>7</v>
      </c>
      <c r="CK157" s="8">
        <v>10</v>
      </c>
      <c r="CL157" s="8">
        <v>13</v>
      </c>
      <c r="CM157" s="9">
        <f t="shared" ref="CM157:CM167" si="820">CI157+CJ157+CK157+CL157</f>
        <v>2022</v>
      </c>
      <c r="CN157" s="8">
        <v>1306</v>
      </c>
      <c r="CO157" s="8">
        <v>84</v>
      </c>
      <c r="CP157" s="8">
        <v>110</v>
      </c>
      <c r="CQ157" s="8">
        <v>4</v>
      </c>
      <c r="CR157" s="9">
        <f t="shared" ref="CR157:CR167" si="821">CN157+CO157+CP157+CQ157</f>
        <v>1504</v>
      </c>
      <c r="CS157" s="9">
        <f t="shared" ref="CS157:CS167" si="822">CM157+CR157</f>
        <v>3526</v>
      </c>
      <c r="CT157" s="8">
        <v>4444</v>
      </c>
      <c r="CU157" s="8">
        <v>25000</v>
      </c>
      <c r="CV157" s="8">
        <v>20800</v>
      </c>
      <c r="CW157" s="10">
        <f t="shared" ref="CW157:CW167" si="823">IF(CU157=0,"",CV157/CU157)</f>
        <v>0.83199999999999996</v>
      </c>
      <c r="CX157" s="8"/>
      <c r="CY157" s="8"/>
      <c r="CZ157" s="8"/>
      <c r="DA157" s="8"/>
      <c r="DB157" s="9">
        <f t="shared" ref="DB157:DB167" si="824">CX157+CY157-CZ157-DA157</f>
        <v>0</v>
      </c>
      <c r="DC157" s="8">
        <v>0</v>
      </c>
      <c r="DD157" s="8">
        <v>0</v>
      </c>
      <c r="DE157" s="8">
        <v>0</v>
      </c>
      <c r="DF157" s="8">
        <v>0</v>
      </c>
      <c r="DG157" s="9">
        <f t="shared" ref="DG157:DG167" si="825">DC157+DD157-DE157-DF157</f>
        <v>0</v>
      </c>
      <c r="DH157" s="8">
        <v>0</v>
      </c>
      <c r="DI157" s="8">
        <v>0</v>
      </c>
      <c r="DJ157" s="8">
        <v>0</v>
      </c>
      <c r="DK157" s="8">
        <v>0</v>
      </c>
      <c r="DL157" s="9">
        <f t="shared" ref="DL157:DL167" si="826">DH157+DI157-DJ157-DK157</f>
        <v>0</v>
      </c>
      <c r="DM157" s="8">
        <v>153</v>
      </c>
      <c r="DN157" s="8">
        <v>0</v>
      </c>
      <c r="DO157" s="8">
        <v>37</v>
      </c>
      <c r="DP157" s="8">
        <v>0</v>
      </c>
      <c r="DQ157" s="9">
        <f t="shared" ref="DQ157:DQ167" si="827">DM157+DN157-DO157-DP157</f>
        <v>116</v>
      </c>
      <c r="DR157" s="9">
        <f t="shared" ref="DR157:DR167" si="828">CX157+DC157+DH157+DM157</f>
        <v>153</v>
      </c>
      <c r="DS157" s="9">
        <f t="shared" ref="DS157:DS167" si="829">CY157+DD157+DI157+DN157</f>
        <v>0</v>
      </c>
      <c r="DT157" s="9">
        <f t="shared" ref="DT157:DT167" si="830">CZ157+DE157+DJ157+DO157</f>
        <v>37</v>
      </c>
      <c r="DU157" s="9">
        <f t="shared" ref="DU157:DU167" si="831">DA157+DF157+DK157+DP157</f>
        <v>0</v>
      </c>
      <c r="DV157" s="9">
        <f t="shared" ref="DV157:DV167" si="832">DB157+DG157+DL157+DQ157</f>
        <v>116</v>
      </c>
      <c r="DW157" s="8">
        <v>19</v>
      </c>
      <c r="DX157" s="8">
        <v>5</v>
      </c>
      <c r="DY157" s="8">
        <v>5</v>
      </c>
      <c r="DZ157" s="8">
        <v>0</v>
      </c>
      <c r="EA157" s="8">
        <v>0</v>
      </c>
      <c r="EB157" s="8">
        <v>0</v>
      </c>
      <c r="EC157" s="8">
        <v>0</v>
      </c>
      <c r="ED157" s="8">
        <v>0</v>
      </c>
      <c r="EE157" s="8">
        <v>2</v>
      </c>
      <c r="EF157" s="8">
        <v>1</v>
      </c>
      <c r="EG157" s="8">
        <v>1</v>
      </c>
      <c r="EH157" s="8">
        <v>0</v>
      </c>
      <c r="EI157" s="8">
        <v>0</v>
      </c>
      <c r="EJ157" s="8">
        <v>0</v>
      </c>
      <c r="EK157" s="8">
        <v>0</v>
      </c>
      <c r="EL157" s="8">
        <v>0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8">
        <v>0</v>
      </c>
      <c r="ES157" s="8">
        <v>0</v>
      </c>
      <c r="ET157" s="8">
        <v>0</v>
      </c>
      <c r="EU157" s="8">
        <v>0</v>
      </c>
      <c r="EV157" s="8">
        <v>0</v>
      </c>
      <c r="EW157" s="8">
        <v>0</v>
      </c>
      <c r="EX157" s="8">
        <v>0</v>
      </c>
      <c r="EY157" s="8">
        <v>0</v>
      </c>
      <c r="EZ157" s="8">
        <v>0</v>
      </c>
      <c r="FA157" s="8">
        <v>0</v>
      </c>
      <c r="FB157" s="8">
        <v>0</v>
      </c>
      <c r="FC157" s="8">
        <v>0</v>
      </c>
      <c r="FD157" s="8">
        <v>0</v>
      </c>
      <c r="FE157" s="8">
        <v>0</v>
      </c>
      <c r="FF157" s="8">
        <v>0</v>
      </c>
      <c r="FG157" s="9">
        <f t="shared" ref="FG157:FG167" si="833">SUM(DW157,DX157,DY157,DZ157,EA157,EB157,EC157,ED157,EE157,EF157,EG157,EH157,EI157,EJ157,EK157,EL157,EM157,EN157,EO157,EP157,EQ157,ER157,ES157,ET157,EU157,EV157,EW157,EX157,EY157,EZ157,FA157,FB157,FC157,FD157,FE157,FF157)</f>
        <v>33</v>
      </c>
      <c r="FH157" s="8">
        <v>0</v>
      </c>
      <c r="FI157" s="8">
        <v>0</v>
      </c>
      <c r="FJ157" s="8">
        <v>18</v>
      </c>
      <c r="FK157" s="8">
        <v>24</v>
      </c>
      <c r="FL157" s="8">
        <v>0</v>
      </c>
      <c r="FM157" s="8">
        <v>0</v>
      </c>
      <c r="FN157" s="8">
        <v>0</v>
      </c>
      <c r="FO157" s="8">
        <v>0</v>
      </c>
      <c r="FP157" s="8">
        <v>0</v>
      </c>
      <c r="FQ157" s="9">
        <f t="shared" ref="FQ157:FQ167" si="834">FL157+FM157+FN157+FO157+FP157</f>
        <v>0</v>
      </c>
      <c r="FR157" s="8">
        <v>17305830.239999998</v>
      </c>
      <c r="FS157" s="8">
        <v>188000</v>
      </c>
      <c r="FT157" s="8">
        <v>379300</v>
      </c>
      <c r="FU157" s="8">
        <v>232150</v>
      </c>
      <c r="FV157" s="9">
        <f t="shared" ref="FV157:FV167" si="835">FR157+FS157+FT157+FU157</f>
        <v>18105280.239999998</v>
      </c>
      <c r="FW157" s="8">
        <v>8242151.7699999902</v>
      </c>
      <c r="FX157" s="8">
        <v>106.22</v>
      </c>
      <c r="FY157" s="8">
        <v>4210140.2300000004</v>
      </c>
      <c r="FZ157" s="8">
        <v>7671064.7999999998</v>
      </c>
      <c r="GA157" s="9">
        <f t="shared" ref="GA157:GA167" si="836">FW157+FX157+FY157+FZ157</f>
        <v>20123463.019999992</v>
      </c>
      <c r="GB157" s="9">
        <f t="shared" ref="GB157:GB167" si="837">FV157+GA157</f>
        <v>38228743.25999999</v>
      </c>
      <c r="GC157" s="8">
        <v>15434239.859999999</v>
      </c>
      <c r="GD157" s="8">
        <v>155510.64000000001</v>
      </c>
      <c r="GE157" s="8">
        <v>450666.62</v>
      </c>
      <c r="GF157" s="8">
        <v>586391.74</v>
      </c>
      <c r="GG157" s="9">
        <f t="shared" ref="GG157:GG167" si="838">GC157+GD157+GE157+GF157</f>
        <v>16626808.859999999</v>
      </c>
      <c r="GH157" s="8">
        <v>0</v>
      </c>
      <c r="GI157" s="8">
        <v>0</v>
      </c>
      <c r="GJ157" s="8">
        <v>0</v>
      </c>
      <c r="GK157" s="8">
        <v>0</v>
      </c>
      <c r="GL157" s="9">
        <f t="shared" ref="GL157:GL167" si="839">GH157+GI157+GJ157+GK157</f>
        <v>0</v>
      </c>
      <c r="GM157" s="9">
        <f t="shared" ref="GM157:GM167" si="840">GG157+GL157</f>
        <v>16626808.859999999</v>
      </c>
      <c r="GN157" s="8">
        <v>1114134.69</v>
      </c>
      <c r="GO157" s="8">
        <v>2486.64</v>
      </c>
      <c r="GP157" s="8">
        <v>23755.48</v>
      </c>
      <c r="GQ157" s="8">
        <v>46373.4</v>
      </c>
      <c r="GR157" s="9">
        <f t="shared" ref="GR157:GR167" si="841">GN157+GO157+GP157+GQ157</f>
        <v>1186750.2099999997</v>
      </c>
      <c r="GS157" s="8">
        <v>1778856</v>
      </c>
      <c r="GT157" s="8">
        <v>11609</v>
      </c>
      <c r="GU157" s="8">
        <v>6251</v>
      </c>
      <c r="GV157" s="8">
        <v>8930</v>
      </c>
      <c r="GW157" s="9">
        <f t="shared" ref="GW157:GW167" si="842">GS157+GT157+GU157+GV157</f>
        <v>1805646</v>
      </c>
      <c r="GX157" s="9">
        <f t="shared" ref="GX157:GX167" si="843">GM157+GR157+GW157</f>
        <v>19619205.07</v>
      </c>
      <c r="GY157" s="8">
        <v>70437210.950000003</v>
      </c>
      <c r="GZ157" s="8">
        <v>684908.7</v>
      </c>
      <c r="HA157" s="9">
        <f t="shared" ref="HA157:HA167" si="844">GY157+GZ157</f>
        <v>71122119.650000006</v>
      </c>
      <c r="HB157" s="9">
        <f t="shared" ref="HB157:HB167" si="845">IF(GX157=0,"",AU157/GX157)</f>
        <v>1.1394650670216986</v>
      </c>
      <c r="HC157" s="10">
        <f t="shared" ref="HC157:HC167" si="846">IF((GX157+GY157)=0,"",GB157/(GX157+GY157))</f>
        <v>0.42449771986828827</v>
      </c>
      <c r="HD157" s="9">
        <f t="shared" ref="HD157:HD167" si="847">IF(GX157=0,"",GB157/GX157)</f>
        <v>1.9485368099065388</v>
      </c>
      <c r="HE157" s="8">
        <v>20</v>
      </c>
      <c r="HF157" s="8">
        <v>1</v>
      </c>
      <c r="HG157" s="8">
        <v>34</v>
      </c>
      <c r="HH157" s="8">
        <v>20</v>
      </c>
      <c r="HI157" s="8">
        <v>30</v>
      </c>
      <c r="HJ157" s="9">
        <f t="shared" ref="HJ157:HJ167" si="848">HF157+HI157</f>
        <v>31</v>
      </c>
      <c r="HK157" s="10">
        <f t="shared" ref="HK157:HK167" si="849">IF(HE157=0,"",HH157/HE157)</f>
        <v>1</v>
      </c>
      <c r="HL157" s="8">
        <v>45</v>
      </c>
      <c r="HM157" s="8">
        <v>30</v>
      </c>
      <c r="HN157" s="11">
        <f t="shared" ref="HN157:HN167" si="850">IF(HL157=0,"",HM157/HL157)</f>
        <v>0.66666666666666663</v>
      </c>
    </row>
    <row r="158" spans="1:222" x14ac:dyDescent="0.3">
      <c r="A158" s="12" t="s">
        <v>280</v>
      </c>
      <c r="B158" s="12" t="s">
        <v>280</v>
      </c>
      <c r="C158" s="13" t="s">
        <v>257</v>
      </c>
      <c r="D158" s="13">
        <v>2026</v>
      </c>
      <c r="E158" s="13">
        <v>3</v>
      </c>
      <c r="F158" s="13" t="s">
        <v>273</v>
      </c>
      <c r="G158" s="13" t="s">
        <v>271</v>
      </c>
      <c r="H158" s="14">
        <v>40518</v>
      </c>
      <c r="I158" s="14">
        <v>14763</v>
      </c>
      <c r="J158" s="14">
        <v>671</v>
      </c>
      <c r="K158" s="14">
        <v>76</v>
      </c>
      <c r="L158" s="14">
        <v>115</v>
      </c>
      <c r="M158" s="15">
        <f t="shared" si="790"/>
        <v>15625</v>
      </c>
      <c r="N158" s="14">
        <v>6918.399999999996</v>
      </c>
      <c r="O158" s="14">
        <v>0</v>
      </c>
      <c r="P158" s="14">
        <v>5570</v>
      </c>
      <c r="Q158" s="14">
        <v>1000</v>
      </c>
      <c r="R158" s="15">
        <f t="shared" si="791"/>
        <v>13488.399999999996</v>
      </c>
      <c r="S158" s="15">
        <f t="shared" si="792"/>
        <v>29113.399999999994</v>
      </c>
      <c r="T158" s="14">
        <v>11404.600000000009</v>
      </c>
      <c r="U158" s="16">
        <f t="shared" si="793"/>
        <v>0.28146996396663237</v>
      </c>
      <c r="V158" s="14">
        <v>88</v>
      </c>
      <c r="W158" s="17">
        <f t="shared" si="794"/>
        <v>2.1718742287378449E-3</v>
      </c>
      <c r="X158" s="14">
        <v>0</v>
      </c>
      <c r="Y158" s="17">
        <f t="shared" si="795"/>
        <v>0</v>
      </c>
      <c r="Z158" s="14">
        <v>0</v>
      </c>
      <c r="AA158" s="17">
        <f t="shared" si="796"/>
        <v>0</v>
      </c>
      <c r="AB158" s="14">
        <v>0</v>
      </c>
      <c r="AC158" s="17">
        <f t="shared" si="797"/>
        <v>0</v>
      </c>
      <c r="AD158" s="14">
        <v>0</v>
      </c>
      <c r="AE158" s="17">
        <f t="shared" si="798"/>
        <v>0</v>
      </c>
      <c r="AF158" s="14">
        <v>0</v>
      </c>
      <c r="AG158" s="17">
        <f t="shared" si="799"/>
        <v>0</v>
      </c>
      <c r="AH158" s="14">
        <v>449826.96</v>
      </c>
      <c r="AI158" s="15">
        <f t="shared" si="800"/>
        <v>11.10190433881238</v>
      </c>
      <c r="AJ158" s="14">
        <v>52</v>
      </c>
      <c r="AK158" s="17">
        <f t="shared" si="801"/>
        <v>1.2833802260723629E-3</v>
      </c>
      <c r="AL158" s="14">
        <v>16426.5</v>
      </c>
      <c r="AM158" s="15">
        <f t="shared" si="802"/>
        <v>0.40541240929957056</v>
      </c>
      <c r="AN158" s="14">
        <v>1750</v>
      </c>
      <c r="AO158" s="14">
        <v>135</v>
      </c>
      <c r="AP158" s="14">
        <v>369090</v>
      </c>
      <c r="AQ158" s="14">
        <v>0</v>
      </c>
      <c r="AR158" s="14">
        <v>17420916.780000001</v>
      </c>
      <c r="AS158" s="14">
        <v>0</v>
      </c>
      <c r="AT158" s="14">
        <v>2100000</v>
      </c>
      <c r="AU158" s="15">
        <f t="shared" si="803"/>
        <v>20356260.240000002</v>
      </c>
      <c r="AV158" s="15">
        <f t="shared" si="804"/>
        <v>502.40042055382798</v>
      </c>
      <c r="AW158" s="15">
        <f t="shared" si="805"/>
        <v>699.2058722100478</v>
      </c>
      <c r="AX158" s="14">
        <v>10</v>
      </c>
      <c r="AY158" s="15">
        <f t="shared" si="806"/>
        <v>2.9616466755516067</v>
      </c>
      <c r="AZ158" s="14">
        <v>19</v>
      </c>
      <c r="BA158" s="14">
        <v>34</v>
      </c>
      <c r="BB158" s="14">
        <v>15</v>
      </c>
      <c r="BC158" s="14">
        <v>0</v>
      </c>
      <c r="BD158" s="14">
        <v>4</v>
      </c>
      <c r="BE158" s="15">
        <f t="shared" si="807"/>
        <v>4</v>
      </c>
      <c r="BF158" s="15">
        <f t="shared" si="808"/>
        <v>45</v>
      </c>
      <c r="BG158" s="14">
        <v>0</v>
      </c>
      <c r="BH158" s="14">
        <v>0</v>
      </c>
      <c r="BI158" s="14">
        <v>0</v>
      </c>
      <c r="BJ158" s="14">
        <v>0</v>
      </c>
      <c r="BK158" s="15">
        <f t="shared" si="809"/>
        <v>0</v>
      </c>
      <c r="BL158" s="15">
        <f t="shared" si="810"/>
        <v>0</v>
      </c>
      <c r="BM158" s="14">
        <v>0</v>
      </c>
      <c r="BN158" s="14">
        <v>0</v>
      </c>
      <c r="BO158" s="14">
        <v>0</v>
      </c>
      <c r="BP158" s="14">
        <v>0</v>
      </c>
      <c r="BQ158" s="15">
        <f t="shared" si="811"/>
        <v>0</v>
      </c>
      <c r="BR158" s="15">
        <f t="shared" si="812"/>
        <v>0</v>
      </c>
      <c r="BS158" s="14">
        <v>0</v>
      </c>
      <c r="BT158" s="14">
        <v>0</v>
      </c>
      <c r="BU158" s="14">
        <v>0</v>
      </c>
      <c r="BV158" s="14">
        <v>0</v>
      </c>
      <c r="BW158" s="15">
        <f t="shared" si="813"/>
        <v>0</v>
      </c>
      <c r="BX158" s="15">
        <f t="shared" si="814"/>
        <v>0</v>
      </c>
      <c r="BY158" s="15">
        <f t="shared" si="815"/>
        <v>34</v>
      </c>
      <c r="BZ158" s="15">
        <f t="shared" si="816"/>
        <v>15</v>
      </c>
      <c r="CA158" s="15">
        <f t="shared" si="817"/>
        <v>4</v>
      </c>
      <c r="CB158" s="15">
        <f t="shared" si="818"/>
        <v>45</v>
      </c>
      <c r="CC158" s="14">
        <v>4</v>
      </c>
      <c r="CD158" s="14">
        <v>797</v>
      </c>
      <c r="CE158" s="14">
        <v>35</v>
      </c>
      <c r="CF158" s="14">
        <v>70</v>
      </c>
      <c r="CG158" s="14">
        <v>16</v>
      </c>
      <c r="CH158" s="15">
        <f t="shared" si="819"/>
        <v>918</v>
      </c>
      <c r="CI158" s="14">
        <v>1946</v>
      </c>
      <c r="CJ158" s="14">
        <v>7</v>
      </c>
      <c r="CK158" s="14">
        <v>10</v>
      </c>
      <c r="CL158" s="14">
        <v>13</v>
      </c>
      <c r="CM158" s="15">
        <f t="shared" si="820"/>
        <v>1976</v>
      </c>
      <c r="CN158" s="14">
        <v>1347</v>
      </c>
      <c r="CO158" s="14">
        <v>86</v>
      </c>
      <c r="CP158" s="14">
        <v>117</v>
      </c>
      <c r="CQ158" s="14">
        <v>4</v>
      </c>
      <c r="CR158" s="15">
        <f t="shared" si="821"/>
        <v>1554</v>
      </c>
      <c r="CS158" s="15">
        <f t="shared" si="822"/>
        <v>3530</v>
      </c>
      <c r="CT158" s="14">
        <v>4448</v>
      </c>
      <c r="CU158" s="14">
        <v>25000</v>
      </c>
      <c r="CV158" s="14">
        <v>20800</v>
      </c>
      <c r="CW158" s="16">
        <f t="shared" si="823"/>
        <v>0.83199999999999996</v>
      </c>
      <c r="CX158" s="14"/>
      <c r="CY158" s="14"/>
      <c r="CZ158" s="14"/>
      <c r="DA158" s="14"/>
      <c r="DB158" s="15">
        <f t="shared" si="824"/>
        <v>0</v>
      </c>
      <c r="DC158" s="14">
        <v>0</v>
      </c>
      <c r="DD158" s="14">
        <v>0</v>
      </c>
      <c r="DE158" s="14">
        <v>0</v>
      </c>
      <c r="DF158" s="14">
        <v>0</v>
      </c>
      <c r="DG158" s="15">
        <f t="shared" si="825"/>
        <v>0</v>
      </c>
      <c r="DH158" s="14">
        <v>0</v>
      </c>
      <c r="DI158" s="14">
        <v>0</v>
      </c>
      <c r="DJ158" s="14">
        <v>0</v>
      </c>
      <c r="DK158" s="14">
        <v>0</v>
      </c>
      <c r="DL158" s="15">
        <f t="shared" si="826"/>
        <v>0</v>
      </c>
      <c r="DM158" s="14">
        <v>116</v>
      </c>
      <c r="DN158" s="14">
        <v>8</v>
      </c>
      <c r="DO158" s="14">
        <v>0</v>
      </c>
      <c r="DP158" s="14">
        <v>0</v>
      </c>
      <c r="DQ158" s="15">
        <f t="shared" si="827"/>
        <v>124</v>
      </c>
      <c r="DR158" s="15">
        <f t="shared" si="828"/>
        <v>116</v>
      </c>
      <c r="DS158" s="15">
        <f t="shared" si="829"/>
        <v>8</v>
      </c>
      <c r="DT158" s="15">
        <f t="shared" si="830"/>
        <v>0</v>
      </c>
      <c r="DU158" s="15">
        <f t="shared" si="831"/>
        <v>0</v>
      </c>
      <c r="DV158" s="15">
        <f t="shared" si="832"/>
        <v>124</v>
      </c>
      <c r="DW158" s="14">
        <v>14</v>
      </c>
      <c r="DX158" s="14">
        <v>6</v>
      </c>
      <c r="DY158" s="14">
        <v>3</v>
      </c>
      <c r="DZ158" s="14">
        <v>2</v>
      </c>
      <c r="EA158" s="14">
        <v>1</v>
      </c>
      <c r="EB158" s="14">
        <v>2</v>
      </c>
      <c r="EC158" s="14">
        <v>0</v>
      </c>
      <c r="ED158" s="14">
        <v>0</v>
      </c>
      <c r="EE158" s="14">
        <v>2</v>
      </c>
      <c r="EF158" s="14">
        <v>4</v>
      </c>
      <c r="EG158" s="14">
        <v>1</v>
      </c>
      <c r="EH158" s="14">
        <v>0</v>
      </c>
      <c r="EI158" s="14">
        <v>0</v>
      </c>
      <c r="EJ158" s="14">
        <v>0</v>
      </c>
      <c r="EK158" s="14">
        <v>0</v>
      </c>
      <c r="EL158" s="14">
        <v>0</v>
      </c>
      <c r="EM158" s="14">
        <v>0</v>
      </c>
      <c r="EN158" s="14">
        <v>0</v>
      </c>
      <c r="EO158" s="14">
        <v>0</v>
      </c>
      <c r="EP158" s="14">
        <v>0</v>
      </c>
      <c r="EQ158" s="14">
        <v>0</v>
      </c>
      <c r="ER158" s="14">
        <v>0</v>
      </c>
      <c r="ES158" s="14">
        <v>0</v>
      </c>
      <c r="ET158" s="14">
        <v>0</v>
      </c>
      <c r="EU158" s="14">
        <v>0</v>
      </c>
      <c r="EV158" s="14">
        <v>0</v>
      </c>
      <c r="EW158" s="14">
        <v>0</v>
      </c>
      <c r="EX158" s="14">
        <v>0</v>
      </c>
      <c r="EY158" s="14">
        <v>0</v>
      </c>
      <c r="EZ158" s="14">
        <v>0</v>
      </c>
      <c r="FA158" s="14">
        <v>0</v>
      </c>
      <c r="FB158" s="14">
        <v>0</v>
      </c>
      <c r="FC158" s="14">
        <v>0</v>
      </c>
      <c r="FD158" s="14">
        <v>0</v>
      </c>
      <c r="FE158" s="14">
        <v>0</v>
      </c>
      <c r="FF158" s="14">
        <v>0</v>
      </c>
      <c r="FG158" s="15">
        <f t="shared" si="833"/>
        <v>35</v>
      </c>
      <c r="FH158" s="14">
        <v>0</v>
      </c>
      <c r="FI158" s="14">
        <v>0</v>
      </c>
      <c r="FJ158" s="14">
        <v>18</v>
      </c>
      <c r="FK158" s="14">
        <v>24</v>
      </c>
      <c r="FL158" s="14">
        <v>0</v>
      </c>
      <c r="FM158" s="14">
        <v>0</v>
      </c>
      <c r="FN158" s="14">
        <v>0</v>
      </c>
      <c r="FO158" s="14">
        <v>0</v>
      </c>
      <c r="FP158" s="14">
        <v>0</v>
      </c>
      <c r="FQ158" s="15">
        <f t="shared" si="834"/>
        <v>0</v>
      </c>
      <c r="FR158" s="14">
        <v>14273410.85</v>
      </c>
      <c r="FS158" s="14">
        <v>157100</v>
      </c>
      <c r="FT158" s="14">
        <v>318000</v>
      </c>
      <c r="FU158" s="14">
        <v>0</v>
      </c>
      <c r="FV158" s="15">
        <f t="shared" si="835"/>
        <v>14748510.85</v>
      </c>
      <c r="FW158" s="14">
        <v>9502973.4299999997</v>
      </c>
      <c r="FX158" s="14">
        <v>0</v>
      </c>
      <c r="FY158" s="14">
        <v>4916528.09</v>
      </c>
      <c r="FZ158" s="14">
        <v>14042200</v>
      </c>
      <c r="GA158" s="15">
        <f t="shared" si="836"/>
        <v>28461701.52</v>
      </c>
      <c r="GB158" s="15">
        <f t="shared" si="837"/>
        <v>43210212.369999997</v>
      </c>
      <c r="GC158" s="14">
        <v>13171877.27</v>
      </c>
      <c r="GD158" s="14">
        <v>128348.88</v>
      </c>
      <c r="GE158" s="14">
        <v>205270.39999999999</v>
      </c>
      <c r="GF158" s="14">
        <v>364249.16</v>
      </c>
      <c r="GG158" s="15">
        <f t="shared" si="838"/>
        <v>13869745.710000001</v>
      </c>
      <c r="GH158" s="14">
        <v>0</v>
      </c>
      <c r="GI158" s="14">
        <v>0</v>
      </c>
      <c r="GJ158" s="14">
        <v>0</v>
      </c>
      <c r="GK158" s="14">
        <v>0</v>
      </c>
      <c r="GL158" s="15">
        <f t="shared" si="839"/>
        <v>0</v>
      </c>
      <c r="GM158" s="15">
        <f t="shared" si="840"/>
        <v>13869745.710000001</v>
      </c>
      <c r="GN158" s="14">
        <v>1084345.8500000001</v>
      </c>
      <c r="GO158" s="14">
        <v>2486.64</v>
      </c>
      <c r="GP158" s="14">
        <v>23755.48</v>
      </c>
      <c r="GQ158" s="14">
        <v>46373.4</v>
      </c>
      <c r="GR158" s="15">
        <f t="shared" si="841"/>
        <v>1156961.3699999999</v>
      </c>
      <c r="GS158" s="14">
        <v>1737778</v>
      </c>
      <c r="GT158" s="14">
        <v>11609</v>
      </c>
      <c r="GU158" s="14">
        <v>6251</v>
      </c>
      <c r="GV158" s="14">
        <v>8930</v>
      </c>
      <c r="GW158" s="15">
        <f t="shared" si="842"/>
        <v>1764568</v>
      </c>
      <c r="GX158" s="15">
        <f t="shared" si="843"/>
        <v>16791275.079999998</v>
      </c>
      <c r="GY158" s="14">
        <v>69887599.5</v>
      </c>
      <c r="GZ158" s="14">
        <v>684908.7</v>
      </c>
      <c r="HA158" s="15">
        <f t="shared" si="844"/>
        <v>70572508.200000003</v>
      </c>
      <c r="HB158" s="15">
        <f t="shared" si="845"/>
        <v>1.2123117597094362</v>
      </c>
      <c r="HC158" s="16">
        <f t="shared" si="846"/>
        <v>0.4985091532322477</v>
      </c>
      <c r="HD158" s="15">
        <f t="shared" si="847"/>
        <v>2.5733729073063345</v>
      </c>
      <c r="HE158" s="14">
        <v>15</v>
      </c>
      <c r="HF158" s="14">
        <v>1</v>
      </c>
      <c r="HG158" s="14">
        <v>45</v>
      </c>
      <c r="HH158" s="14">
        <v>15</v>
      </c>
      <c r="HI158" s="14">
        <v>30</v>
      </c>
      <c r="HJ158" s="15">
        <f t="shared" si="848"/>
        <v>31</v>
      </c>
      <c r="HK158" s="16">
        <f t="shared" si="849"/>
        <v>1</v>
      </c>
      <c r="HL158" s="14">
        <v>31</v>
      </c>
      <c r="HM158" s="14">
        <v>30</v>
      </c>
      <c r="HN158" s="17">
        <f t="shared" si="850"/>
        <v>0.967741935483871</v>
      </c>
    </row>
    <row r="159" spans="1:222" x14ac:dyDescent="0.3">
      <c r="A159" s="6" t="s">
        <v>280</v>
      </c>
      <c r="B159" s="6" t="s">
        <v>285</v>
      </c>
      <c r="C159" s="7" t="s">
        <v>257</v>
      </c>
      <c r="D159" s="7">
        <v>2025</v>
      </c>
      <c r="E159" s="7">
        <v>4</v>
      </c>
      <c r="F159" s="7" t="s">
        <v>258</v>
      </c>
      <c r="G159" s="7" t="s">
        <v>259</v>
      </c>
      <c r="H159" s="8">
        <v>10412</v>
      </c>
      <c r="I159" s="8">
        <v>4882</v>
      </c>
      <c r="J159" s="8">
        <v>22</v>
      </c>
      <c r="K159" s="8">
        <v>0</v>
      </c>
      <c r="L159" s="8">
        <v>8</v>
      </c>
      <c r="M159" s="9">
        <f t="shared" si="790"/>
        <v>4912</v>
      </c>
      <c r="N159" s="8">
        <v>2198</v>
      </c>
      <c r="O159" s="8">
        <v>42</v>
      </c>
      <c r="P159" s="8">
        <v>128</v>
      </c>
      <c r="Q159" s="8">
        <v>150</v>
      </c>
      <c r="R159" s="9">
        <f t="shared" si="791"/>
        <v>2518</v>
      </c>
      <c r="S159" s="9">
        <f t="shared" si="792"/>
        <v>7430</v>
      </c>
      <c r="T159" s="8">
        <v>2982</v>
      </c>
      <c r="U159" s="10">
        <f t="shared" si="793"/>
        <v>0.28640030733768729</v>
      </c>
      <c r="V159" s="8">
        <v>15</v>
      </c>
      <c r="W159" s="11">
        <f t="shared" si="794"/>
        <v>1.4406454091432962E-3</v>
      </c>
      <c r="X159" s="8">
        <v>0</v>
      </c>
      <c r="Y159" s="11">
        <f t="shared" si="795"/>
        <v>0</v>
      </c>
      <c r="Z159" s="8">
        <v>0</v>
      </c>
      <c r="AA159" s="11">
        <f t="shared" si="796"/>
        <v>0</v>
      </c>
      <c r="AB159" s="8">
        <v>0</v>
      </c>
      <c r="AC159" s="11">
        <f t="shared" si="797"/>
        <v>0</v>
      </c>
      <c r="AD159" s="8">
        <v>0</v>
      </c>
      <c r="AE159" s="11">
        <f t="shared" si="798"/>
        <v>0</v>
      </c>
      <c r="AF159" s="8">
        <v>0</v>
      </c>
      <c r="AG159" s="11">
        <f t="shared" si="799"/>
        <v>0</v>
      </c>
      <c r="AH159" s="8">
        <v>76675.05</v>
      </c>
      <c r="AI159" s="9">
        <f t="shared" si="800"/>
        <v>7.3641039185555135</v>
      </c>
      <c r="AJ159" s="8">
        <v>12427</v>
      </c>
      <c r="AK159" s="11">
        <f t="shared" si="801"/>
        <v>1.1935266999615828</v>
      </c>
      <c r="AL159" s="8">
        <v>1740691.3905</v>
      </c>
      <c r="AM159" s="9">
        <f t="shared" si="802"/>
        <v>167.18127069727237</v>
      </c>
      <c r="AN159" s="8">
        <v>0</v>
      </c>
      <c r="AO159" s="8">
        <v>0</v>
      </c>
      <c r="AP159" s="8">
        <v>0</v>
      </c>
      <c r="AQ159" s="8">
        <v>0</v>
      </c>
      <c r="AR159" s="8">
        <v>5061835.58</v>
      </c>
      <c r="AS159" s="8">
        <v>1049646.49</v>
      </c>
      <c r="AT159" s="8">
        <v>3957080</v>
      </c>
      <c r="AU159" s="9">
        <f t="shared" si="803"/>
        <v>11885928.510500001</v>
      </c>
      <c r="AV159" s="9">
        <f t="shared" si="804"/>
        <v>1141.5605561371494</v>
      </c>
      <c r="AW159" s="9">
        <f t="shared" si="805"/>
        <v>1599.7211992597579</v>
      </c>
      <c r="AX159" s="8">
        <v>6</v>
      </c>
      <c r="AY159" s="9">
        <f t="shared" si="806"/>
        <v>6.9150979638878214</v>
      </c>
      <c r="AZ159" s="8">
        <v>8</v>
      </c>
      <c r="BA159" s="8">
        <v>47</v>
      </c>
      <c r="BB159" s="8">
        <v>10</v>
      </c>
      <c r="BC159" s="8">
        <v>0</v>
      </c>
      <c r="BD159" s="8">
        <v>11</v>
      </c>
      <c r="BE159" s="9">
        <f t="shared" si="807"/>
        <v>11</v>
      </c>
      <c r="BF159" s="9">
        <f t="shared" si="808"/>
        <v>46</v>
      </c>
      <c r="BG159" s="8">
        <v>0</v>
      </c>
      <c r="BH159" s="8">
        <v>0</v>
      </c>
      <c r="BI159" s="8">
        <v>0</v>
      </c>
      <c r="BJ159" s="8">
        <v>0</v>
      </c>
      <c r="BK159" s="9">
        <f t="shared" si="809"/>
        <v>0</v>
      </c>
      <c r="BL159" s="9">
        <f t="shared" si="810"/>
        <v>0</v>
      </c>
      <c r="BM159" s="8">
        <v>5</v>
      </c>
      <c r="BN159" s="8">
        <v>0</v>
      </c>
      <c r="BO159" s="8">
        <v>0</v>
      </c>
      <c r="BP159" s="8">
        <v>0</v>
      </c>
      <c r="BQ159" s="9">
        <f t="shared" si="811"/>
        <v>0</v>
      </c>
      <c r="BR159" s="9">
        <f t="shared" si="812"/>
        <v>5</v>
      </c>
      <c r="BS159" s="8">
        <v>0</v>
      </c>
      <c r="BT159" s="8">
        <v>0</v>
      </c>
      <c r="BU159" s="8">
        <v>0</v>
      </c>
      <c r="BV159" s="8">
        <v>0</v>
      </c>
      <c r="BW159" s="9">
        <f t="shared" si="813"/>
        <v>0</v>
      </c>
      <c r="BX159" s="9">
        <f t="shared" si="814"/>
        <v>0</v>
      </c>
      <c r="BY159" s="9">
        <f t="shared" si="815"/>
        <v>52</v>
      </c>
      <c r="BZ159" s="9">
        <f t="shared" si="816"/>
        <v>10</v>
      </c>
      <c r="CA159" s="9">
        <f t="shared" si="817"/>
        <v>11</v>
      </c>
      <c r="CB159" s="9">
        <f t="shared" si="818"/>
        <v>51</v>
      </c>
      <c r="CC159" s="8">
        <v>11</v>
      </c>
      <c r="CD159" s="8">
        <v>393</v>
      </c>
      <c r="CE159" s="8">
        <v>17</v>
      </c>
      <c r="CF159" s="8">
        <v>71</v>
      </c>
      <c r="CG159" s="8">
        <v>0</v>
      </c>
      <c r="CH159" s="9">
        <f t="shared" si="819"/>
        <v>481</v>
      </c>
      <c r="CI159" s="8">
        <v>576</v>
      </c>
      <c r="CJ159" s="8">
        <v>0</v>
      </c>
      <c r="CK159" s="8">
        <v>2</v>
      </c>
      <c r="CL159" s="8">
        <v>1</v>
      </c>
      <c r="CM159" s="9">
        <f t="shared" si="820"/>
        <v>579</v>
      </c>
      <c r="CN159" s="8">
        <v>474</v>
      </c>
      <c r="CO159" s="8">
        <v>31</v>
      </c>
      <c r="CP159" s="8">
        <v>45</v>
      </c>
      <c r="CQ159" s="8">
        <v>3</v>
      </c>
      <c r="CR159" s="9">
        <f t="shared" si="821"/>
        <v>553</v>
      </c>
      <c r="CS159" s="9">
        <f t="shared" si="822"/>
        <v>1132</v>
      </c>
      <c r="CT159" s="8">
        <v>1613</v>
      </c>
      <c r="CU159" s="8">
        <v>9810</v>
      </c>
      <c r="CV159" s="8">
        <v>8985</v>
      </c>
      <c r="CW159" s="10">
        <f t="shared" si="823"/>
        <v>0.91590214067278286</v>
      </c>
      <c r="CX159" s="8">
        <v>0</v>
      </c>
      <c r="CY159" s="8">
        <v>0</v>
      </c>
      <c r="CZ159" s="8">
        <v>0</v>
      </c>
      <c r="DA159" s="8">
        <v>0</v>
      </c>
      <c r="DB159" s="9">
        <f t="shared" si="824"/>
        <v>0</v>
      </c>
      <c r="DC159" s="8">
        <v>0</v>
      </c>
      <c r="DD159" s="8">
        <v>0</v>
      </c>
      <c r="DE159" s="8">
        <v>0</v>
      </c>
      <c r="DF159" s="8">
        <v>0</v>
      </c>
      <c r="DG159" s="9">
        <f t="shared" si="825"/>
        <v>0</v>
      </c>
      <c r="DH159" s="8">
        <v>0</v>
      </c>
      <c r="DI159" s="8">
        <v>0</v>
      </c>
      <c r="DJ159" s="8">
        <v>0</v>
      </c>
      <c r="DK159" s="8">
        <v>0</v>
      </c>
      <c r="DL159" s="9">
        <f t="shared" si="826"/>
        <v>0</v>
      </c>
      <c r="DM159" s="8">
        <v>0</v>
      </c>
      <c r="DN159" s="8">
        <v>8</v>
      </c>
      <c r="DO159" s="8">
        <v>8</v>
      </c>
      <c r="DP159" s="8">
        <v>0</v>
      </c>
      <c r="DQ159" s="9">
        <f t="shared" si="827"/>
        <v>0</v>
      </c>
      <c r="DR159" s="9">
        <f t="shared" si="828"/>
        <v>0</v>
      </c>
      <c r="DS159" s="9">
        <f t="shared" si="829"/>
        <v>8</v>
      </c>
      <c r="DT159" s="9">
        <f t="shared" si="830"/>
        <v>8</v>
      </c>
      <c r="DU159" s="9">
        <f t="shared" si="831"/>
        <v>0</v>
      </c>
      <c r="DV159" s="9">
        <f t="shared" si="832"/>
        <v>0</v>
      </c>
      <c r="DW159" s="8">
        <v>3</v>
      </c>
      <c r="DX159" s="8">
        <v>1</v>
      </c>
      <c r="DY159" s="8">
        <v>2</v>
      </c>
      <c r="DZ159" s="8">
        <v>2</v>
      </c>
      <c r="EA159" s="8">
        <v>0</v>
      </c>
      <c r="EB159" s="8">
        <v>0</v>
      </c>
      <c r="EC159" s="8">
        <v>0</v>
      </c>
      <c r="ED159" s="8">
        <v>0</v>
      </c>
      <c r="EE159" s="8">
        <v>0</v>
      </c>
      <c r="EF159" s="8">
        <v>3</v>
      </c>
      <c r="EG159" s="8">
        <v>0</v>
      </c>
      <c r="EH159" s="8">
        <v>0</v>
      </c>
      <c r="EI159" s="8">
        <v>0</v>
      </c>
      <c r="EJ159" s="8">
        <v>0</v>
      </c>
      <c r="EK159" s="8">
        <v>0</v>
      </c>
      <c r="EL159" s="8">
        <v>0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8">
        <v>0</v>
      </c>
      <c r="ES159" s="8">
        <v>0</v>
      </c>
      <c r="ET159" s="8">
        <v>0</v>
      </c>
      <c r="EU159" s="8">
        <v>0</v>
      </c>
      <c r="EV159" s="8">
        <v>0</v>
      </c>
      <c r="EW159" s="8">
        <v>0</v>
      </c>
      <c r="EX159" s="8">
        <v>0</v>
      </c>
      <c r="EY159" s="8">
        <v>0</v>
      </c>
      <c r="EZ159" s="8">
        <v>0</v>
      </c>
      <c r="FA159" s="8">
        <v>0</v>
      </c>
      <c r="FB159" s="8">
        <v>0</v>
      </c>
      <c r="FC159" s="8">
        <v>0</v>
      </c>
      <c r="FD159" s="8">
        <v>0</v>
      </c>
      <c r="FE159" s="8">
        <v>0</v>
      </c>
      <c r="FF159" s="8">
        <v>0</v>
      </c>
      <c r="FG159" s="9">
        <f t="shared" si="833"/>
        <v>11</v>
      </c>
      <c r="FH159" s="8">
        <v>0</v>
      </c>
      <c r="FI159" s="8">
        <v>0</v>
      </c>
      <c r="FJ159" s="8">
        <v>24</v>
      </c>
      <c r="FK159" s="8">
        <v>35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9">
        <f t="shared" si="834"/>
        <v>0</v>
      </c>
      <c r="FR159" s="8">
        <v>3280744</v>
      </c>
      <c r="FS159" s="8">
        <v>3280744</v>
      </c>
      <c r="FT159" s="8">
        <v>292500</v>
      </c>
      <c r="FU159" s="8">
        <v>0</v>
      </c>
      <c r="FV159" s="9">
        <f t="shared" si="835"/>
        <v>6853988</v>
      </c>
      <c r="FW159" s="8">
        <v>2897327.4100000081</v>
      </c>
      <c r="FX159" s="8">
        <v>14350</v>
      </c>
      <c r="FY159" s="8">
        <v>583392.14</v>
      </c>
      <c r="FZ159" s="8">
        <v>351439.4</v>
      </c>
      <c r="GA159" s="9">
        <f t="shared" si="836"/>
        <v>3846508.9500000081</v>
      </c>
      <c r="GB159" s="9">
        <f t="shared" si="837"/>
        <v>10700496.950000009</v>
      </c>
      <c r="GC159" s="8">
        <v>4348644.26</v>
      </c>
      <c r="GD159" s="8">
        <v>4208.16</v>
      </c>
      <c r="GE159" s="8">
        <v>4208.16</v>
      </c>
      <c r="GF159" s="8">
        <v>16821.98</v>
      </c>
      <c r="GG159" s="9">
        <f t="shared" si="838"/>
        <v>4373882.5600000005</v>
      </c>
      <c r="GH159" s="8">
        <v>0</v>
      </c>
      <c r="GI159" s="8">
        <v>0</v>
      </c>
      <c r="GJ159" s="8">
        <v>0</v>
      </c>
      <c r="GK159" s="8">
        <v>0</v>
      </c>
      <c r="GL159" s="9">
        <f t="shared" si="839"/>
        <v>0</v>
      </c>
      <c r="GM159" s="9">
        <f t="shared" si="840"/>
        <v>4373882.5600000005</v>
      </c>
      <c r="GN159" s="8">
        <v>302471.19</v>
      </c>
      <c r="GO159" s="8">
        <v>191.28</v>
      </c>
      <c r="GP159" s="8">
        <v>191.28</v>
      </c>
      <c r="GQ159" s="8">
        <v>9274.68</v>
      </c>
      <c r="GR159" s="9">
        <f t="shared" si="841"/>
        <v>312128.43000000005</v>
      </c>
      <c r="GS159" s="8">
        <v>514368</v>
      </c>
      <c r="GT159" s="8">
        <v>893</v>
      </c>
      <c r="GU159" s="8">
        <v>893</v>
      </c>
      <c r="GV159" s="8">
        <v>1786</v>
      </c>
      <c r="GW159" s="9">
        <f t="shared" si="842"/>
        <v>517940</v>
      </c>
      <c r="GX159" s="9">
        <f t="shared" si="843"/>
        <v>5203950.99</v>
      </c>
      <c r="GY159" s="8">
        <v>46261430.539999999</v>
      </c>
      <c r="GZ159" s="8">
        <v>0</v>
      </c>
      <c r="HA159" s="9">
        <f t="shared" si="844"/>
        <v>46261430.539999999</v>
      </c>
      <c r="HB159" s="9">
        <f t="shared" si="845"/>
        <v>2.2840200711613545</v>
      </c>
      <c r="HC159" s="10">
        <f t="shared" si="846"/>
        <v>0.2079164018975069</v>
      </c>
      <c r="HD159" s="9">
        <f t="shared" si="847"/>
        <v>2.0562255429696137</v>
      </c>
      <c r="HE159" s="8">
        <v>4</v>
      </c>
      <c r="HF159" s="8">
        <v>1</v>
      </c>
      <c r="HG159" s="8">
        <v>51</v>
      </c>
      <c r="HH159" s="8">
        <v>10</v>
      </c>
      <c r="HI159" s="8">
        <v>3</v>
      </c>
      <c r="HJ159" s="9">
        <f t="shared" si="848"/>
        <v>4</v>
      </c>
      <c r="HK159" s="10">
        <f t="shared" si="849"/>
        <v>2.5</v>
      </c>
      <c r="HL159" s="8">
        <v>10</v>
      </c>
      <c r="HM159" s="8">
        <v>5</v>
      </c>
      <c r="HN159" s="11">
        <f t="shared" si="850"/>
        <v>0.5</v>
      </c>
    </row>
    <row r="160" spans="1:222" x14ac:dyDescent="0.3">
      <c r="A160" s="12" t="s">
        <v>280</v>
      </c>
      <c r="B160" s="12" t="s">
        <v>285</v>
      </c>
      <c r="C160" s="13" t="s">
        <v>257</v>
      </c>
      <c r="D160" s="13">
        <v>2025</v>
      </c>
      <c r="E160" s="13">
        <v>5</v>
      </c>
      <c r="F160" s="13" t="s">
        <v>260</v>
      </c>
      <c r="G160" s="13" t="s">
        <v>259</v>
      </c>
      <c r="H160" s="14">
        <v>9735</v>
      </c>
      <c r="I160" s="14">
        <v>4257</v>
      </c>
      <c r="J160" s="14">
        <v>12</v>
      </c>
      <c r="K160" s="14">
        <v>0</v>
      </c>
      <c r="L160" s="14">
        <v>7</v>
      </c>
      <c r="M160" s="15">
        <f t="shared" si="790"/>
        <v>4276</v>
      </c>
      <c r="N160" s="14">
        <v>2158</v>
      </c>
      <c r="O160" s="14">
        <v>71</v>
      </c>
      <c r="P160" s="14">
        <v>52</v>
      </c>
      <c r="Q160" s="14">
        <v>305</v>
      </c>
      <c r="R160" s="15">
        <f t="shared" si="791"/>
        <v>2586</v>
      </c>
      <c r="S160" s="15">
        <f t="shared" si="792"/>
        <v>6862</v>
      </c>
      <c r="T160" s="14">
        <v>2873</v>
      </c>
      <c r="U160" s="16">
        <f t="shared" si="793"/>
        <v>0.29512069851052902</v>
      </c>
      <c r="V160" s="14">
        <v>15</v>
      </c>
      <c r="W160" s="17">
        <f t="shared" si="794"/>
        <v>1.5408320493066256E-3</v>
      </c>
      <c r="X160" s="14">
        <v>0</v>
      </c>
      <c r="Y160" s="17">
        <f t="shared" si="795"/>
        <v>0</v>
      </c>
      <c r="Z160" s="14">
        <v>0</v>
      </c>
      <c r="AA160" s="17">
        <f t="shared" si="796"/>
        <v>0</v>
      </c>
      <c r="AB160" s="14">
        <v>0</v>
      </c>
      <c r="AC160" s="17">
        <f t="shared" si="797"/>
        <v>0</v>
      </c>
      <c r="AD160" s="14">
        <v>0</v>
      </c>
      <c r="AE160" s="17">
        <f t="shared" si="798"/>
        <v>0</v>
      </c>
      <c r="AF160" s="14">
        <v>0</v>
      </c>
      <c r="AG160" s="17">
        <f t="shared" si="799"/>
        <v>0</v>
      </c>
      <c r="AH160" s="14">
        <v>76675.05</v>
      </c>
      <c r="AI160" s="15">
        <f t="shared" si="800"/>
        <v>7.876224961479199</v>
      </c>
      <c r="AJ160" s="14">
        <v>10931</v>
      </c>
      <c r="AK160" s="17">
        <f t="shared" si="801"/>
        <v>1.1228556753980483</v>
      </c>
      <c r="AL160" s="14">
        <v>1533119.1465</v>
      </c>
      <c r="AM160" s="15">
        <f t="shared" si="802"/>
        <v>157.48527442218798</v>
      </c>
      <c r="AN160" s="14">
        <v>1371</v>
      </c>
      <c r="AO160" s="14">
        <v>165.45</v>
      </c>
      <c r="AP160" s="14">
        <v>452340.3</v>
      </c>
      <c r="AQ160" s="14">
        <v>0</v>
      </c>
      <c r="AR160" s="14">
        <v>5039628.7300000004</v>
      </c>
      <c r="AS160" s="14">
        <v>1309261.92</v>
      </c>
      <c r="AT160" s="14">
        <v>0</v>
      </c>
      <c r="AU160" s="15">
        <f t="shared" si="803"/>
        <v>8411025.1465000007</v>
      </c>
      <c r="AV160" s="15">
        <f t="shared" si="804"/>
        <v>863.99847421674383</v>
      </c>
      <c r="AW160" s="15">
        <f t="shared" si="805"/>
        <v>1225.7396016467503</v>
      </c>
      <c r="AX160" s="14">
        <v>6</v>
      </c>
      <c r="AY160" s="15">
        <f t="shared" si="806"/>
        <v>7.3959938366718037</v>
      </c>
      <c r="AZ160" s="14">
        <v>8</v>
      </c>
      <c r="BA160" s="14">
        <v>46</v>
      </c>
      <c r="BB160" s="14">
        <v>8</v>
      </c>
      <c r="BC160" s="14">
        <v>0</v>
      </c>
      <c r="BD160" s="14">
        <v>8</v>
      </c>
      <c r="BE160" s="15">
        <f t="shared" si="807"/>
        <v>8</v>
      </c>
      <c r="BF160" s="15">
        <f t="shared" si="808"/>
        <v>46</v>
      </c>
      <c r="BG160" s="14">
        <v>0</v>
      </c>
      <c r="BH160" s="14">
        <v>0</v>
      </c>
      <c r="BI160" s="14">
        <v>0</v>
      </c>
      <c r="BJ160" s="14">
        <v>0</v>
      </c>
      <c r="BK160" s="15">
        <f t="shared" si="809"/>
        <v>0</v>
      </c>
      <c r="BL160" s="15">
        <f t="shared" si="810"/>
        <v>0</v>
      </c>
      <c r="BM160" s="14">
        <v>5</v>
      </c>
      <c r="BN160" s="14">
        <v>0</v>
      </c>
      <c r="BO160" s="14">
        <v>0</v>
      </c>
      <c r="BP160" s="14">
        <v>0</v>
      </c>
      <c r="BQ160" s="15">
        <f t="shared" si="811"/>
        <v>0</v>
      </c>
      <c r="BR160" s="15">
        <f t="shared" si="812"/>
        <v>5</v>
      </c>
      <c r="BS160" s="14">
        <v>0</v>
      </c>
      <c r="BT160" s="14">
        <v>0</v>
      </c>
      <c r="BU160" s="14">
        <v>0</v>
      </c>
      <c r="BV160" s="14">
        <v>0</v>
      </c>
      <c r="BW160" s="15">
        <f t="shared" si="813"/>
        <v>0</v>
      </c>
      <c r="BX160" s="15">
        <f t="shared" si="814"/>
        <v>0</v>
      </c>
      <c r="BY160" s="15">
        <f t="shared" si="815"/>
        <v>51</v>
      </c>
      <c r="BZ160" s="15">
        <f t="shared" si="816"/>
        <v>8</v>
      </c>
      <c r="CA160" s="15">
        <f t="shared" si="817"/>
        <v>8</v>
      </c>
      <c r="CB160" s="15">
        <f t="shared" si="818"/>
        <v>51</v>
      </c>
      <c r="CC160" s="14">
        <v>36</v>
      </c>
      <c r="CD160" s="14">
        <v>371</v>
      </c>
      <c r="CE160" s="14">
        <v>17</v>
      </c>
      <c r="CF160" s="14">
        <v>71</v>
      </c>
      <c r="CG160" s="14">
        <v>0</v>
      </c>
      <c r="CH160" s="15">
        <f t="shared" si="819"/>
        <v>459</v>
      </c>
      <c r="CI160" s="14">
        <v>572</v>
      </c>
      <c r="CJ160" s="14">
        <v>0</v>
      </c>
      <c r="CK160" s="14">
        <v>2</v>
      </c>
      <c r="CL160" s="14">
        <v>1</v>
      </c>
      <c r="CM160" s="15">
        <f t="shared" si="820"/>
        <v>575</v>
      </c>
      <c r="CN160" s="14">
        <v>510</v>
      </c>
      <c r="CO160" s="14">
        <v>31</v>
      </c>
      <c r="CP160" s="14">
        <v>46</v>
      </c>
      <c r="CQ160" s="14">
        <v>2</v>
      </c>
      <c r="CR160" s="15">
        <f t="shared" si="821"/>
        <v>589</v>
      </c>
      <c r="CS160" s="15">
        <f t="shared" si="822"/>
        <v>1164</v>
      </c>
      <c r="CT160" s="14">
        <v>1623</v>
      </c>
      <c r="CU160" s="14">
        <v>9810</v>
      </c>
      <c r="CV160" s="14">
        <v>8995</v>
      </c>
      <c r="CW160" s="16">
        <f t="shared" si="823"/>
        <v>0.91692150866462796</v>
      </c>
      <c r="CX160" s="14">
        <v>0</v>
      </c>
      <c r="CY160" s="14">
        <v>0</v>
      </c>
      <c r="CZ160" s="14">
        <v>0</v>
      </c>
      <c r="DA160" s="14">
        <v>0</v>
      </c>
      <c r="DB160" s="15">
        <f t="shared" si="824"/>
        <v>0</v>
      </c>
      <c r="DC160" s="14">
        <v>0</v>
      </c>
      <c r="DD160" s="14">
        <v>0</v>
      </c>
      <c r="DE160" s="14">
        <v>0</v>
      </c>
      <c r="DF160" s="14">
        <v>0</v>
      </c>
      <c r="DG160" s="15">
        <f t="shared" si="825"/>
        <v>0</v>
      </c>
      <c r="DH160" s="14">
        <v>0</v>
      </c>
      <c r="DI160" s="14">
        <v>0</v>
      </c>
      <c r="DJ160" s="14">
        <v>0</v>
      </c>
      <c r="DK160" s="14">
        <v>0</v>
      </c>
      <c r="DL160" s="15">
        <f t="shared" si="826"/>
        <v>0</v>
      </c>
      <c r="DM160" s="14">
        <v>0</v>
      </c>
      <c r="DN160" s="14">
        <v>4</v>
      </c>
      <c r="DO160" s="14">
        <v>4</v>
      </c>
      <c r="DP160" s="14">
        <v>0</v>
      </c>
      <c r="DQ160" s="15">
        <f t="shared" si="827"/>
        <v>0</v>
      </c>
      <c r="DR160" s="15">
        <f t="shared" si="828"/>
        <v>0</v>
      </c>
      <c r="DS160" s="15">
        <f t="shared" si="829"/>
        <v>4</v>
      </c>
      <c r="DT160" s="15">
        <f t="shared" si="830"/>
        <v>4</v>
      </c>
      <c r="DU160" s="15">
        <f t="shared" si="831"/>
        <v>0</v>
      </c>
      <c r="DV160" s="15">
        <f t="shared" si="832"/>
        <v>0</v>
      </c>
      <c r="DW160" s="14">
        <v>9</v>
      </c>
      <c r="DX160" s="14">
        <v>3</v>
      </c>
      <c r="DY160" s="14">
        <v>1</v>
      </c>
      <c r="DZ160" s="14">
        <v>1</v>
      </c>
      <c r="EA160" s="14">
        <v>0</v>
      </c>
      <c r="EB160" s="14">
        <v>1</v>
      </c>
      <c r="EC160" s="14">
        <v>1</v>
      </c>
      <c r="ED160" s="14">
        <v>0</v>
      </c>
      <c r="EE160" s="14">
        <v>0</v>
      </c>
      <c r="EF160" s="14">
        <v>0</v>
      </c>
      <c r="EG160" s="14">
        <v>0</v>
      </c>
      <c r="EH160" s="14">
        <v>0</v>
      </c>
      <c r="EI160" s="14">
        <v>0</v>
      </c>
      <c r="EJ160" s="14">
        <v>0</v>
      </c>
      <c r="EK160" s="14">
        <v>0</v>
      </c>
      <c r="EL160" s="14">
        <v>0</v>
      </c>
      <c r="EM160" s="14">
        <v>0</v>
      </c>
      <c r="EN160" s="14">
        <v>0</v>
      </c>
      <c r="EO160" s="14">
        <v>0</v>
      </c>
      <c r="EP160" s="14">
        <v>0</v>
      </c>
      <c r="EQ160" s="14">
        <v>0</v>
      </c>
      <c r="ER160" s="14">
        <v>0</v>
      </c>
      <c r="ES160" s="14">
        <v>0</v>
      </c>
      <c r="ET160" s="14">
        <v>0</v>
      </c>
      <c r="EU160" s="14">
        <v>0</v>
      </c>
      <c r="EV160" s="14">
        <v>0</v>
      </c>
      <c r="EW160" s="14">
        <v>0</v>
      </c>
      <c r="EX160" s="14">
        <v>0</v>
      </c>
      <c r="EY160" s="14">
        <v>0</v>
      </c>
      <c r="EZ160" s="14">
        <v>0</v>
      </c>
      <c r="FA160" s="14">
        <v>0</v>
      </c>
      <c r="FB160" s="14">
        <v>0</v>
      </c>
      <c r="FC160" s="14">
        <v>0</v>
      </c>
      <c r="FD160" s="14">
        <v>0</v>
      </c>
      <c r="FE160" s="14">
        <v>0</v>
      </c>
      <c r="FF160" s="14">
        <v>0</v>
      </c>
      <c r="FG160" s="15">
        <f t="shared" si="833"/>
        <v>16</v>
      </c>
      <c r="FH160" s="14">
        <v>0</v>
      </c>
      <c r="FI160" s="14">
        <v>0</v>
      </c>
      <c r="FJ160" s="14">
        <v>24</v>
      </c>
      <c r="FK160" s="14">
        <v>28</v>
      </c>
      <c r="FL160" s="14">
        <v>0</v>
      </c>
      <c r="FM160" s="14">
        <v>0</v>
      </c>
      <c r="FN160" s="14">
        <v>0</v>
      </c>
      <c r="FO160" s="14">
        <v>0</v>
      </c>
      <c r="FP160" s="14">
        <v>0</v>
      </c>
      <c r="FQ160" s="15">
        <f t="shared" si="834"/>
        <v>0</v>
      </c>
      <c r="FR160" s="14">
        <v>6209721.6600000001</v>
      </c>
      <c r="FS160" s="14">
        <v>8500</v>
      </c>
      <c r="FT160" s="14">
        <v>0</v>
      </c>
      <c r="FU160" s="14">
        <v>0</v>
      </c>
      <c r="FV160" s="15">
        <f t="shared" si="835"/>
        <v>6218221.6600000001</v>
      </c>
      <c r="FW160" s="14">
        <v>2819047.8900000071</v>
      </c>
      <c r="FX160" s="14">
        <v>15100</v>
      </c>
      <c r="FY160" s="14">
        <v>1445400</v>
      </c>
      <c r="FZ160" s="14">
        <v>163839.4</v>
      </c>
      <c r="GA160" s="15">
        <f t="shared" si="836"/>
        <v>4443387.2900000075</v>
      </c>
      <c r="GB160" s="15">
        <f t="shared" si="837"/>
        <v>10661608.950000007</v>
      </c>
      <c r="GC160" s="14">
        <v>3787545.24</v>
      </c>
      <c r="GD160" s="14">
        <v>2295.36</v>
      </c>
      <c r="GE160" s="14">
        <v>2295.36</v>
      </c>
      <c r="GF160" s="14">
        <v>16821.98</v>
      </c>
      <c r="GG160" s="15">
        <f t="shared" si="838"/>
        <v>3808957.94</v>
      </c>
      <c r="GH160" s="14">
        <v>0</v>
      </c>
      <c r="GI160" s="14">
        <v>0</v>
      </c>
      <c r="GJ160" s="14">
        <v>0</v>
      </c>
      <c r="GK160" s="14">
        <v>0</v>
      </c>
      <c r="GL160" s="15">
        <f t="shared" si="839"/>
        <v>0</v>
      </c>
      <c r="GM160" s="15">
        <f t="shared" si="840"/>
        <v>3808957.94</v>
      </c>
      <c r="GN160" s="14">
        <v>300455.32</v>
      </c>
      <c r="GO160" s="14">
        <v>191.28</v>
      </c>
      <c r="GP160" s="14">
        <v>191.28</v>
      </c>
      <c r="GQ160" s="14">
        <v>9274.68</v>
      </c>
      <c r="GR160" s="15">
        <f t="shared" si="841"/>
        <v>310112.56000000006</v>
      </c>
      <c r="GS160" s="14">
        <v>510796</v>
      </c>
      <c r="GT160" s="14">
        <v>893</v>
      </c>
      <c r="GU160" s="14">
        <v>893</v>
      </c>
      <c r="GV160" s="14">
        <v>1786</v>
      </c>
      <c r="GW160" s="15">
        <f t="shared" si="842"/>
        <v>514368</v>
      </c>
      <c r="GX160" s="15">
        <f t="shared" si="843"/>
        <v>4633438.5</v>
      </c>
      <c r="GY160" s="14">
        <v>44673267.740000002</v>
      </c>
      <c r="GZ160" s="14">
        <v>0</v>
      </c>
      <c r="HA160" s="15">
        <f t="shared" si="844"/>
        <v>44673267.740000002</v>
      </c>
      <c r="HB160" s="15">
        <f t="shared" si="845"/>
        <v>1.8152879651904306</v>
      </c>
      <c r="HC160" s="16">
        <f t="shared" si="846"/>
        <v>0.21623040277938479</v>
      </c>
      <c r="HD160" s="15">
        <f t="shared" si="847"/>
        <v>2.3010144517942792</v>
      </c>
      <c r="HE160" s="14">
        <v>71</v>
      </c>
      <c r="HF160" s="14">
        <v>1</v>
      </c>
      <c r="HG160" s="14">
        <v>51</v>
      </c>
      <c r="HH160" s="14">
        <v>8</v>
      </c>
      <c r="HI160" s="14">
        <v>3</v>
      </c>
      <c r="HJ160" s="15">
        <f t="shared" si="848"/>
        <v>4</v>
      </c>
      <c r="HK160" s="16">
        <f t="shared" si="849"/>
        <v>0.11267605633802817</v>
      </c>
      <c r="HL160" s="14">
        <v>8</v>
      </c>
      <c r="HM160" s="14">
        <v>4</v>
      </c>
      <c r="HN160" s="17">
        <f t="shared" si="850"/>
        <v>0.5</v>
      </c>
    </row>
    <row r="161" spans="1:222" x14ac:dyDescent="0.3">
      <c r="A161" s="6" t="s">
        <v>280</v>
      </c>
      <c r="B161" s="6" t="s">
        <v>285</v>
      </c>
      <c r="C161" s="7" t="s">
        <v>257</v>
      </c>
      <c r="D161" s="7">
        <v>2025</v>
      </c>
      <c r="E161" s="7">
        <v>6</v>
      </c>
      <c r="F161" s="7" t="s">
        <v>261</v>
      </c>
      <c r="G161" s="7" t="s">
        <v>259</v>
      </c>
      <c r="H161" s="8">
        <v>8412</v>
      </c>
      <c r="I161" s="8">
        <v>3481</v>
      </c>
      <c r="J161" s="8">
        <v>13</v>
      </c>
      <c r="K161" s="8">
        <v>0</v>
      </c>
      <c r="L161" s="8">
        <v>8</v>
      </c>
      <c r="M161" s="9">
        <f t="shared" si="790"/>
        <v>3502</v>
      </c>
      <c r="N161" s="8">
        <v>2009.2</v>
      </c>
      <c r="O161" s="8">
        <v>38</v>
      </c>
      <c r="P161" s="8">
        <v>51</v>
      </c>
      <c r="Q161" s="8">
        <v>117</v>
      </c>
      <c r="R161" s="9">
        <f t="shared" si="791"/>
        <v>2215.1999999999998</v>
      </c>
      <c r="S161" s="9">
        <f t="shared" si="792"/>
        <v>5717.2</v>
      </c>
      <c r="T161" s="8">
        <v>2694.8</v>
      </c>
      <c r="U161" s="10">
        <f t="shared" si="793"/>
        <v>0.32035187826913936</v>
      </c>
      <c r="V161" s="8">
        <v>15</v>
      </c>
      <c r="W161" s="11">
        <f t="shared" si="794"/>
        <v>1.783166904422254E-3</v>
      </c>
      <c r="X161" s="8">
        <v>0</v>
      </c>
      <c r="Y161" s="11">
        <f t="shared" si="795"/>
        <v>0</v>
      </c>
      <c r="Z161" s="8">
        <v>0</v>
      </c>
      <c r="AA161" s="11">
        <f t="shared" si="796"/>
        <v>0</v>
      </c>
      <c r="AB161" s="8">
        <v>0</v>
      </c>
      <c r="AC161" s="11">
        <f t="shared" si="797"/>
        <v>0</v>
      </c>
      <c r="AD161" s="8">
        <v>0</v>
      </c>
      <c r="AE161" s="11">
        <f t="shared" si="798"/>
        <v>0</v>
      </c>
      <c r="AF161" s="8">
        <v>0</v>
      </c>
      <c r="AG161" s="11">
        <f t="shared" si="799"/>
        <v>0</v>
      </c>
      <c r="AH161" s="8">
        <v>76675.05</v>
      </c>
      <c r="AI161" s="9">
        <f t="shared" si="800"/>
        <v>9.1149607703281035</v>
      </c>
      <c r="AJ161" s="8">
        <v>12247</v>
      </c>
      <c r="AK161" s="11">
        <f t="shared" si="801"/>
        <v>1.4558963385639563</v>
      </c>
      <c r="AL161" s="8">
        <v>1715716.1205</v>
      </c>
      <c r="AM161" s="9">
        <f t="shared" si="802"/>
        <v>203.96054689728959</v>
      </c>
      <c r="AN161" s="8">
        <v>0</v>
      </c>
      <c r="AO161" s="8">
        <v>0</v>
      </c>
      <c r="AP161" s="8">
        <v>0</v>
      </c>
      <c r="AQ161" s="8">
        <v>0</v>
      </c>
      <c r="AR161" s="8">
        <v>5024589.29</v>
      </c>
      <c r="AS161" s="8">
        <v>1870928.66</v>
      </c>
      <c r="AT161" s="8">
        <v>1392079.6</v>
      </c>
      <c r="AU161" s="9">
        <f t="shared" si="803"/>
        <v>10079988.7205</v>
      </c>
      <c r="AV161" s="9">
        <f t="shared" si="804"/>
        <v>1198.2868188896814</v>
      </c>
      <c r="AW161" s="9">
        <f t="shared" si="805"/>
        <v>1763.0988456762052</v>
      </c>
      <c r="AX161" s="8">
        <v>6</v>
      </c>
      <c r="AY161" s="9">
        <f t="shared" si="806"/>
        <v>8.5592011412268185</v>
      </c>
      <c r="AZ161" s="8">
        <v>8</v>
      </c>
      <c r="BA161" s="8">
        <v>54</v>
      </c>
      <c r="BB161" s="8">
        <v>0</v>
      </c>
      <c r="BC161" s="8">
        <v>0</v>
      </c>
      <c r="BD161" s="8">
        <v>0</v>
      </c>
      <c r="BE161" s="9">
        <f t="shared" si="807"/>
        <v>0</v>
      </c>
      <c r="BF161" s="9">
        <f t="shared" si="808"/>
        <v>54</v>
      </c>
      <c r="BG161" s="8">
        <v>0</v>
      </c>
      <c r="BH161" s="8">
        <v>0</v>
      </c>
      <c r="BI161" s="8">
        <v>0</v>
      </c>
      <c r="BJ161" s="8">
        <v>0</v>
      </c>
      <c r="BK161" s="9">
        <f t="shared" si="809"/>
        <v>0</v>
      </c>
      <c r="BL161" s="9">
        <f t="shared" si="810"/>
        <v>0</v>
      </c>
      <c r="BM161" s="8">
        <v>5</v>
      </c>
      <c r="BN161" s="8">
        <v>0</v>
      </c>
      <c r="BO161" s="8">
        <v>0</v>
      </c>
      <c r="BP161" s="8">
        <v>0</v>
      </c>
      <c r="BQ161" s="9">
        <f t="shared" si="811"/>
        <v>0</v>
      </c>
      <c r="BR161" s="9">
        <f t="shared" si="812"/>
        <v>5</v>
      </c>
      <c r="BS161" s="8">
        <v>0</v>
      </c>
      <c r="BT161" s="8">
        <v>0</v>
      </c>
      <c r="BU161" s="8">
        <v>0</v>
      </c>
      <c r="BV161" s="8">
        <v>0</v>
      </c>
      <c r="BW161" s="9">
        <f t="shared" si="813"/>
        <v>0</v>
      </c>
      <c r="BX161" s="9">
        <f t="shared" si="814"/>
        <v>0</v>
      </c>
      <c r="BY161" s="9">
        <f t="shared" si="815"/>
        <v>59</v>
      </c>
      <c r="BZ161" s="9">
        <f t="shared" si="816"/>
        <v>0</v>
      </c>
      <c r="CA161" s="9">
        <f t="shared" si="817"/>
        <v>0</v>
      </c>
      <c r="CB161" s="9">
        <f t="shared" si="818"/>
        <v>59</v>
      </c>
      <c r="CC161" s="8">
        <v>0</v>
      </c>
      <c r="CD161" s="8">
        <v>420</v>
      </c>
      <c r="CE161" s="8">
        <v>17</v>
      </c>
      <c r="CF161" s="8">
        <v>71</v>
      </c>
      <c r="CG161" s="8">
        <v>0</v>
      </c>
      <c r="CH161" s="9">
        <f t="shared" si="819"/>
        <v>508</v>
      </c>
      <c r="CI161" s="8">
        <v>531</v>
      </c>
      <c r="CJ161" s="8">
        <v>0</v>
      </c>
      <c r="CK161" s="8">
        <v>2</v>
      </c>
      <c r="CL161" s="8">
        <v>1</v>
      </c>
      <c r="CM161" s="9">
        <f t="shared" si="820"/>
        <v>534</v>
      </c>
      <c r="CN161" s="8">
        <v>502</v>
      </c>
      <c r="CO161" s="8">
        <v>31</v>
      </c>
      <c r="CP161" s="8">
        <v>46</v>
      </c>
      <c r="CQ161" s="8">
        <v>3</v>
      </c>
      <c r="CR161" s="9">
        <f t="shared" si="821"/>
        <v>582</v>
      </c>
      <c r="CS161" s="9">
        <f t="shared" si="822"/>
        <v>1116</v>
      </c>
      <c r="CT161" s="8">
        <v>1624</v>
      </c>
      <c r="CU161" s="8">
        <v>9810</v>
      </c>
      <c r="CV161" s="8">
        <v>8995</v>
      </c>
      <c r="CW161" s="10">
        <f t="shared" si="823"/>
        <v>0.91692150866462796</v>
      </c>
      <c r="CX161" s="8">
        <v>0</v>
      </c>
      <c r="CY161" s="8">
        <v>0</v>
      </c>
      <c r="CZ161" s="8">
        <v>0</v>
      </c>
      <c r="DA161" s="8">
        <v>0</v>
      </c>
      <c r="DB161" s="9">
        <f t="shared" si="824"/>
        <v>0</v>
      </c>
      <c r="DC161" s="8">
        <v>0</v>
      </c>
      <c r="DD161" s="8">
        <v>0</v>
      </c>
      <c r="DE161" s="8">
        <v>0</v>
      </c>
      <c r="DF161" s="8">
        <v>0</v>
      </c>
      <c r="DG161" s="9">
        <f t="shared" si="825"/>
        <v>0</v>
      </c>
      <c r="DH161" s="8">
        <v>0</v>
      </c>
      <c r="DI161" s="8">
        <v>0</v>
      </c>
      <c r="DJ161" s="8">
        <v>0</v>
      </c>
      <c r="DK161" s="8">
        <v>0</v>
      </c>
      <c r="DL161" s="9">
        <f t="shared" si="826"/>
        <v>0</v>
      </c>
      <c r="DM161" s="8">
        <v>0</v>
      </c>
      <c r="DN161" s="8">
        <v>8</v>
      </c>
      <c r="DO161" s="8">
        <v>8</v>
      </c>
      <c r="DP161" s="8">
        <v>0</v>
      </c>
      <c r="DQ161" s="9">
        <f t="shared" si="827"/>
        <v>0</v>
      </c>
      <c r="DR161" s="9">
        <f t="shared" si="828"/>
        <v>0</v>
      </c>
      <c r="DS161" s="9">
        <f t="shared" si="829"/>
        <v>8</v>
      </c>
      <c r="DT161" s="9">
        <f t="shared" si="830"/>
        <v>8</v>
      </c>
      <c r="DU161" s="9">
        <f t="shared" si="831"/>
        <v>0</v>
      </c>
      <c r="DV161" s="9">
        <f t="shared" si="832"/>
        <v>0</v>
      </c>
      <c r="DW161" s="8">
        <v>3</v>
      </c>
      <c r="DX161" s="8">
        <v>1</v>
      </c>
      <c r="DY161" s="8">
        <v>2</v>
      </c>
      <c r="DZ161" s="8">
        <v>2</v>
      </c>
      <c r="EA161" s="8">
        <v>0</v>
      </c>
      <c r="EB161" s="8">
        <v>0</v>
      </c>
      <c r="EC161" s="8">
        <v>0</v>
      </c>
      <c r="ED161" s="8">
        <v>0</v>
      </c>
      <c r="EE161" s="8">
        <v>0</v>
      </c>
      <c r="EF161" s="8">
        <v>3</v>
      </c>
      <c r="EG161" s="8">
        <v>0</v>
      </c>
      <c r="EH161" s="8">
        <v>0</v>
      </c>
      <c r="EI161" s="8">
        <v>0</v>
      </c>
      <c r="EJ161" s="8">
        <v>0</v>
      </c>
      <c r="EK161" s="8">
        <v>0</v>
      </c>
      <c r="EL161" s="8">
        <v>0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8">
        <v>0</v>
      </c>
      <c r="ES161" s="8">
        <v>0</v>
      </c>
      <c r="ET161" s="8">
        <v>0</v>
      </c>
      <c r="EU161" s="8">
        <v>0</v>
      </c>
      <c r="EV161" s="8">
        <v>0</v>
      </c>
      <c r="EW161" s="8">
        <v>0</v>
      </c>
      <c r="EX161" s="8">
        <v>0</v>
      </c>
      <c r="EY161" s="8">
        <v>0</v>
      </c>
      <c r="EZ161" s="8">
        <v>0</v>
      </c>
      <c r="FA161" s="8">
        <v>0</v>
      </c>
      <c r="FB161" s="8">
        <v>0</v>
      </c>
      <c r="FC161" s="8">
        <v>0</v>
      </c>
      <c r="FD161" s="8">
        <v>0</v>
      </c>
      <c r="FE161" s="8">
        <v>0</v>
      </c>
      <c r="FF161" s="8">
        <v>0</v>
      </c>
      <c r="FG161" s="9">
        <f t="shared" si="833"/>
        <v>11</v>
      </c>
      <c r="FH161" s="8">
        <v>0</v>
      </c>
      <c r="FI161" s="8">
        <v>0</v>
      </c>
      <c r="FJ161" s="8">
        <v>24</v>
      </c>
      <c r="FK161" s="8">
        <v>42</v>
      </c>
      <c r="FL161" s="8">
        <v>0</v>
      </c>
      <c r="FM161" s="8">
        <v>0</v>
      </c>
      <c r="FN161" s="8">
        <v>0</v>
      </c>
      <c r="FO161" s="8">
        <v>0</v>
      </c>
      <c r="FP161" s="8">
        <v>0</v>
      </c>
      <c r="FQ161" s="9">
        <f t="shared" si="834"/>
        <v>0</v>
      </c>
      <c r="FR161" s="8">
        <v>4849907.22</v>
      </c>
      <c r="FS161" s="8">
        <v>0</v>
      </c>
      <c r="FT161" s="8">
        <v>0</v>
      </c>
      <c r="FU161" s="8">
        <v>0</v>
      </c>
      <c r="FV161" s="9">
        <f t="shared" si="835"/>
        <v>4849907.22</v>
      </c>
      <c r="FW161" s="8">
        <v>3010194.090000004</v>
      </c>
      <c r="FX161" s="8">
        <v>8000</v>
      </c>
      <c r="FY161" s="8">
        <v>655557.94999999995</v>
      </c>
      <c r="FZ161" s="8">
        <v>170450</v>
      </c>
      <c r="GA161" s="9">
        <f t="shared" si="836"/>
        <v>3844202.0400000038</v>
      </c>
      <c r="GB161" s="9">
        <f t="shared" si="837"/>
        <v>8694109.2600000035</v>
      </c>
      <c r="GC161" s="8">
        <v>2998254.45</v>
      </c>
      <c r="GD161" s="8">
        <v>2486.64</v>
      </c>
      <c r="GE161" s="8">
        <v>2486.64</v>
      </c>
      <c r="GF161" s="8">
        <v>16821.98</v>
      </c>
      <c r="GG161" s="9">
        <f t="shared" si="838"/>
        <v>3020049.7100000004</v>
      </c>
      <c r="GH161" s="8">
        <v>0</v>
      </c>
      <c r="GI161" s="8">
        <v>0</v>
      </c>
      <c r="GJ161" s="8">
        <v>0</v>
      </c>
      <c r="GK161" s="8">
        <v>0</v>
      </c>
      <c r="GL161" s="9">
        <f t="shared" si="839"/>
        <v>0</v>
      </c>
      <c r="GM161" s="9">
        <f t="shared" si="840"/>
        <v>3020049.7100000004</v>
      </c>
      <c r="GN161" s="8">
        <v>278932.44</v>
      </c>
      <c r="GO161" s="8">
        <v>191.28</v>
      </c>
      <c r="GP161" s="8">
        <v>191.28</v>
      </c>
      <c r="GQ161" s="8">
        <v>9274.68</v>
      </c>
      <c r="GR161" s="9">
        <f t="shared" si="841"/>
        <v>288589.68000000005</v>
      </c>
      <c r="GS161" s="8">
        <v>474183</v>
      </c>
      <c r="GT161" s="8">
        <v>893</v>
      </c>
      <c r="GU161" s="8">
        <v>893</v>
      </c>
      <c r="GV161" s="8">
        <v>1786</v>
      </c>
      <c r="GW161" s="9">
        <f t="shared" si="842"/>
        <v>477755</v>
      </c>
      <c r="GX161" s="9">
        <f t="shared" si="843"/>
        <v>3786394.3900000006</v>
      </c>
      <c r="GY161" s="8">
        <v>43541183.990000002</v>
      </c>
      <c r="GZ161" s="8">
        <v>0</v>
      </c>
      <c r="HA161" s="9">
        <f t="shared" si="844"/>
        <v>43541183.990000002</v>
      </c>
      <c r="HB161" s="9">
        <f t="shared" si="845"/>
        <v>2.6621602723481739</v>
      </c>
      <c r="HC161" s="10">
        <f t="shared" si="846"/>
        <v>0.18370069962578134</v>
      </c>
      <c r="HD161" s="9">
        <f t="shared" si="847"/>
        <v>2.2961446601974291</v>
      </c>
      <c r="HE161" s="8">
        <v>0</v>
      </c>
      <c r="HF161" s="8">
        <v>1</v>
      </c>
      <c r="HG161" s="8">
        <v>59</v>
      </c>
      <c r="HH161" s="8">
        <v>0</v>
      </c>
      <c r="HI161" s="8">
        <v>3</v>
      </c>
      <c r="HJ161" s="9">
        <f t="shared" si="848"/>
        <v>4</v>
      </c>
      <c r="HK161" s="10" t="str">
        <f t="shared" si="849"/>
        <v/>
      </c>
      <c r="HL161" s="8">
        <v>12</v>
      </c>
      <c r="HM161" s="8">
        <v>4</v>
      </c>
      <c r="HN161" s="11">
        <f t="shared" si="850"/>
        <v>0.33333333333333331</v>
      </c>
    </row>
    <row r="162" spans="1:222" x14ac:dyDescent="0.3">
      <c r="A162" s="12" t="s">
        <v>280</v>
      </c>
      <c r="B162" s="12" t="s">
        <v>285</v>
      </c>
      <c r="C162" s="13" t="s">
        <v>257</v>
      </c>
      <c r="D162" s="13">
        <v>2025</v>
      </c>
      <c r="E162" s="13">
        <v>7</v>
      </c>
      <c r="F162" s="13" t="s">
        <v>262</v>
      </c>
      <c r="G162" s="13" t="s">
        <v>263</v>
      </c>
      <c r="H162" s="14">
        <v>9308</v>
      </c>
      <c r="I162" s="14">
        <v>3829</v>
      </c>
      <c r="J162" s="14">
        <v>5</v>
      </c>
      <c r="K162" s="14">
        <v>10</v>
      </c>
      <c r="L162" s="14">
        <v>6</v>
      </c>
      <c r="M162" s="15">
        <f t="shared" si="790"/>
        <v>3850</v>
      </c>
      <c r="N162" s="14">
        <v>2069.1</v>
      </c>
      <c r="O162" s="14">
        <v>38</v>
      </c>
      <c r="P162" s="14">
        <v>413.3</v>
      </c>
      <c r="Q162" s="14">
        <v>96.4</v>
      </c>
      <c r="R162" s="15">
        <f t="shared" si="791"/>
        <v>2616.8000000000002</v>
      </c>
      <c r="S162" s="15">
        <f t="shared" si="792"/>
        <v>6466.8</v>
      </c>
      <c r="T162" s="14">
        <v>2841.2</v>
      </c>
      <c r="U162" s="16">
        <f t="shared" si="793"/>
        <v>0.30524280189084657</v>
      </c>
      <c r="V162" s="14">
        <v>15</v>
      </c>
      <c r="W162" s="17">
        <f t="shared" si="794"/>
        <v>1.6115169746454662E-3</v>
      </c>
      <c r="X162" s="14">
        <v>0</v>
      </c>
      <c r="Y162" s="17">
        <f t="shared" si="795"/>
        <v>0</v>
      </c>
      <c r="Z162" s="14">
        <v>0</v>
      </c>
      <c r="AA162" s="17">
        <f t="shared" si="796"/>
        <v>0</v>
      </c>
      <c r="AB162" s="14">
        <v>0</v>
      </c>
      <c r="AC162" s="17">
        <f t="shared" si="797"/>
        <v>0</v>
      </c>
      <c r="AD162" s="14">
        <v>0</v>
      </c>
      <c r="AE162" s="17">
        <f t="shared" si="798"/>
        <v>0</v>
      </c>
      <c r="AF162" s="14">
        <v>0</v>
      </c>
      <c r="AG162" s="17">
        <f t="shared" si="799"/>
        <v>0</v>
      </c>
      <c r="AH162" s="14">
        <v>76675.05</v>
      </c>
      <c r="AI162" s="15">
        <f t="shared" si="800"/>
        <v>8.23754297378599</v>
      </c>
      <c r="AJ162" s="14">
        <v>8528</v>
      </c>
      <c r="AK162" s="17">
        <f t="shared" si="801"/>
        <v>0.91620111731843579</v>
      </c>
      <c r="AL162" s="14">
        <v>1199699.2919999999</v>
      </c>
      <c r="AM162" s="15">
        <f t="shared" si="802"/>
        <v>128.88905156854318</v>
      </c>
      <c r="AN162" s="14">
        <v>0</v>
      </c>
      <c r="AO162" s="14">
        <v>0</v>
      </c>
      <c r="AP162" s="14">
        <v>0</v>
      </c>
      <c r="AQ162" s="14">
        <v>0</v>
      </c>
      <c r="AR162" s="14">
        <v>5246254.93</v>
      </c>
      <c r="AS162" s="14">
        <v>1735172.87</v>
      </c>
      <c r="AT162" s="14">
        <v>1263131.25</v>
      </c>
      <c r="AU162" s="15">
        <f t="shared" si="803"/>
        <v>9520933.3920000009</v>
      </c>
      <c r="AV162" s="15">
        <f t="shared" si="804"/>
        <v>1022.8763850451226</v>
      </c>
      <c r="AW162" s="15">
        <f t="shared" si="805"/>
        <v>1472.2789311560587</v>
      </c>
      <c r="AX162" s="14">
        <v>6</v>
      </c>
      <c r="AY162" s="15">
        <f t="shared" si="806"/>
        <v>7.7352814782982389</v>
      </c>
      <c r="AZ162" s="14">
        <v>8</v>
      </c>
      <c r="BA162" s="14">
        <v>54</v>
      </c>
      <c r="BB162" s="14">
        <v>12</v>
      </c>
      <c r="BC162" s="14">
        <v>0</v>
      </c>
      <c r="BD162" s="14">
        <v>9</v>
      </c>
      <c r="BE162" s="15">
        <f t="shared" si="807"/>
        <v>9</v>
      </c>
      <c r="BF162" s="15">
        <f t="shared" si="808"/>
        <v>57</v>
      </c>
      <c r="BG162" s="14">
        <v>0</v>
      </c>
      <c r="BH162" s="14">
        <v>0</v>
      </c>
      <c r="BI162" s="14">
        <v>0</v>
      </c>
      <c r="BJ162" s="14">
        <v>0</v>
      </c>
      <c r="BK162" s="15">
        <f t="shared" si="809"/>
        <v>0</v>
      </c>
      <c r="BL162" s="15">
        <f t="shared" si="810"/>
        <v>0</v>
      </c>
      <c r="BM162" s="14">
        <v>5</v>
      </c>
      <c r="BN162" s="14">
        <v>4</v>
      </c>
      <c r="BO162" s="14">
        <v>0</v>
      </c>
      <c r="BP162" s="14">
        <v>1</v>
      </c>
      <c r="BQ162" s="15">
        <f t="shared" si="811"/>
        <v>1</v>
      </c>
      <c r="BR162" s="15">
        <f t="shared" si="812"/>
        <v>8</v>
      </c>
      <c r="BS162" s="14">
        <v>0</v>
      </c>
      <c r="BT162" s="14">
        <v>0</v>
      </c>
      <c r="BU162" s="14">
        <v>0</v>
      </c>
      <c r="BV162" s="14">
        <v>0</v>
      </c>
      <c r="BW162" s="15">
        <f t="shared" si="813"/>
        <v>0</v>
      </c>
      <c r="BX162" s="15">
        <f t="shared" si="814"/>
        <v>0</v>
      </c>
      <c r="BY162" s="15">
        <f t="shared" si="815"/>
        <v>59</v>
      </c>
      <c r="BZ162" s="15">
        <f t="shared" si="816"/>
        <v>16</v>
      </c>
      <c r="CA162" s="15">
        <f t="shared" si="817"/>
        <v>10</v>
      </c>
      <c r="CB162" s="15">
        <f t="shared" si="818"/>
        <v>65</v>
      </c>
      <c r="CC162" s="14">
        <v>10</v>
      </c>
      <c r="CD162" s="14">
        <v>441</v>
      </c>
      <c r="CE162" s="14">
        <v>17</v>
      </c>
      <c r="CF162" s="14">
        <v>71</v>
      </c>
      <c r="CG162" s="14">
        <v>0</v>
      </c>
      <c r="CH162" s="15">
        <f t="shared" si="819"/>
        <v>529</v>
      </c>
      <c r="CI162" s="14">
        <v>491</v>
      </c>
      <c r="CJ162" s="14">
        <v>1</v>
      </c>
      <c r="CK162" s="14">
        <v>2</v>
      </c>
      <c r="CL162" s="14">
        <v>1</v>
      </c>
      <c r="CM162" s="15">
        <f t="shared" si="820"/>
        <v>495</v>
      </c>
      <c r="CN162" s="14">
        <v>528</v>
      </c>
      <c r="CO162" s="14">
        <v>31</v>
      </c>
      <c r="CP162" s="14">
        <v>48</v>
      </c>
      <c r="CQ162" s="14">
        <v>2</v>
      </c>
      <c r="CR162" s="15">
        <f t="shared" si="821"/>
        <v>609</v>
      </c>
      <c r="CS162" s="15">
        <f t="shared" si="822"/>
        <v>1104</v>
      </c>
      <c r="CT162" s="14">
        <v>1633</v>
      </c>
      <c r="CU162" s="14">
        <v>9810</v>
      </c>
      <c r="CV162" s="14">
        <v>8995</v>
      </c>
      <c r="CW162" s="16">
        <f t="shared" si="823"/>
        <v>0.91692150866462796</v>
      </c>
      <c r="CX162" s="14">
        <v>0</v>
      </c>
      <c r="CY162" s="14">
        <v>0</v>
      </c>
      <c r="CZ162" s="14">
        <v>0</v>
      </c>
      <c r="DA162" s="14">
        <v>0</v>
      </c>
      <c r="DB162" s="15">
        <f t="shared" si="824"/>
        <v>0</v>
      </c>
      <c r="DC162" s="14">
        <v>0</v>
      </c>
      <c r="DD162" s="14">
        <v>0</v>
      </c>
      <c r="DE162" s="14">
        <v>0</v>
      </c>
      <c r="DF162" s="14">
        <v>0</v>
      </c>
      <c r="DG162" s="15">
        <f t="shared" si="825"/>
        <v>0</v>
      </c>
      <c r="DH162" s="14">
        <v>0</v>
      </c>
      <c r="DI162" s="14">
        <v>0</v>
      </c>
      <c r="DJ162" s="14">
        <v>0</v>
      </c>
      <c r="DK162" s="14">
        <v>0</v>
      </c>
      <c r="DL162" s="15">
        <f t="shared" si="826"/>
        <v>0</v>
      </c>
      <c r="DM162" s="14">
        <v>0</v>
      </c>
      <c r="DN162" s="14">
        <v>14</v>
      </c>
      <c r="DO162" s="14">
        <v>14</v>
      </c>
      <c r="DP162" s="14">
        <v>0</v>
      </c>
      <c r="DQ162" s="15">
        <f t="shared" si="827"/>
        <v>0</v>
      </c>
      <c r="DR162" s="15">
        <f t="shared" si="828"/>
        <v>0</v>
      </c>
      <c r="DS162" s="15">
        <f t="shared" si="829"/>
        <v>14</v>
      </c>
      <c r="DT162" s="15">
        <f t="shared" si="830"/>
        <v>14</v>
      </c>
      <c r="DU162" s="15">
        <f t="shared" si="831"/>
        <v>0</v>
      </c>
      <c r="DV162" s="15">
        <f t="shared" si="832"/>
        <v>0</v>
      </c>
      <c r="DW162" s="14">
        <v>12</v>
      </c>
      <c r="DX162" s="14">
        <v>7</v>
      </c>
      <c r="DY162" s="14">
        <v>5</v>
      </c>
      <c r="DZ162" s="14">
        <v>5</v>
      </c>
      <c r="EA162" s="14">
        <v>0</v>
      </c>
      <c r="EB162" s="14">
        <v>0</v>
      </c>
      <c r="EC162" s="14">
        <v>0</v>
      </c>
      <c r="ED162" s="14">
        <v>0</v>
      </c>
      <c r="EE162" s="14">
        <v>0</v>
      </c>
      <c r="EF162" s="14">
        <v>0</v>
      </c>
      <c r="EG162" s="14">
        <v>0</v>
      </c>
      <c r="EH162" s="14">
        <v>0</v>
      </c>
      <c r="EI162" s="14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0</v>
      </c>
      <c r="EQ162" s="14">
        <v>0</v>
      </c>
      <c r="ER162" s="14">
        <v>0</v>
      </c>
      <c r="ES162" s="14">
        <v>0</v>
      </c>
      <c r="ET162" s="14">
        <v>0</v>
      </c>
      <c r="EU162" s="14">
        <v>0</v>
      </c>
      <c r="EV162" s="14">
        <v>0</v>
      </c>
      <c r="EW162" s="14">
        <v>0</v>
      </c>
      <c r="EX162" s="14">
        <v>0</v>
      </c>
      <c r="EY162" s="14">
        <v>0</v>
      </c>
      <c r="EZ162" s="14">
        <v>0</v>
      </c>
      <c r="FA162" s="14">
        <v>0</v>
      </c>
      <c r="FB162" s="14">
        <v>0</v>
      </c>
      <c r="FC162" s="14">
        <v>0</v>
      </c>
      <c r="FD162" s="14">
        <v>0</v>
      </c>
      <c r="FE162" s="14">
        <v>0</v>
      </c>
      <c r="FF162" s="14">
        <v>0</v>
      </c>
      <c r="FG162" s="15">
        <f t="shared" si="833"/>
        <v>29</v>
      </c>
      <c r="FH162" s="14">
        <v>0</v>
      </c>
      <c r="FI162" s="14">
        <v>0</v>
      </c>
      <c r="FJ162" s="14">
        <v>24</v>
      </c>
      <c r="FK162" s="14">
        <v>72</v>
      </c>
      <c r="FL162" s="14">
        <v>0</v>
      </c>
      <c r="FM162" s="14">
        <v>0</v>
      </c>
      <c r="FN162" s="14">
        <v>0</v>
      </c>
      <c r="FO162" s="14">
        <v>0</v>
      </c>
      <c r="FP162" s="14">
        <v>0</v>
      </c>
      <c r="FQ162" s="15">
        <f t="shared" si="834"/>
        <v>0</v>
      </c>
      <c r="FR162" s="14">
        <v>7397239.3200000003</v>
      </c>
      <c r="FS162" s="14">
        <v>5400</v>
      </c>
      <c r="FT162" s="14">
        <v>27200</v>
      </c>
      <c r="FU162" s="14">
        <v>100400</v>
      </c>
      <c r="FV162" s="15">
        <f t="shared" si="835"/>
        <v>7530239.3200000003</v>
      </c>
      <c r="FW162" s="14">
        <v>2846531.5800000038</v>
      </c>
      <c r="FX162" s="14">
        <v>8000</v>
      </c>
      <c r="FY162" s="14">
        <v>463600</v>
      </c>
      <c r="FZ162" s="14">
        <v>1267300</v>
      </c>
      <c r="GA162" s="15">
        <f t="shared" si="836"/>
        <v>4585431.5800000038</v>
      </c>
      <c r="GB162" s="15">
        <f t="shared" si="837"/>
        <v>12115670.900000004</v>
      </c>
      <c r="GC162" s="14">
        <v>3400866.55</v>
      </c>
      <c r="GD162" s="14">
        <v>956.4</v>
      </c>
      <c r="GE162" s="14">
        <v>24383.95</v>
      </c>
      <c r="GF162" s="14">
        <v>16821.98</v>
      </c>
      <c r="GG162" s="15">
        <f t="shared" si="838"/>
        <v>3443028.88</v>
      </c>
      <c r="GH162" s="14">
        <v>3443028.88</v>
      </c>
      <c r="GI162" s="14">
        <v>0</v>
      </c>
      <c r="GJ162" s="14">
        <v>0</v>
      </c>
      <c r="GK162" s="14">
        <v>0</v>
      </c>
      <c r="GL162" s="15">
        <f t="shared" si="839"/>
        <v>3443028.88</v>
      </c>
      <c r="GM162" s="15">
        <f t="shared" si="840"/>
        <v>6886057.7599999998</v>
      </c>
      <c r="GN162" s="14">
        <v>257790.64</v>
      </c>
      <c r="GO162" s="14">
        <v>191.28</v>
      </c>
      <c r="GP162" s="14">
        <v>3393.64</v>
      </c>
      <c r="GQ162" s="14">
        <v>9274.68</v>
      </c>
      <c r="GR162" s="15">
        <f t="shared" si="841"/>
        <v>270650.24000000005</v>
      </c>
      <c r="GS162" s="14">
        <v>438463</v>
      </c>
      <c r="GT162" s="14">
        <v>893</v>
      </c>
      <c r="GU162" s="14">
        <v>893</v>
      </c>
      <c r="GV162" s="14">
        <v>1786</v>
      </c>
      <c r="GW162" s="15">
        <f t="shared" si="842"/>
        <v>442035</v>
      </c>
      <c r="GX162" s="15">
        <f t="shared" si="843"/>
        <v>7598743</v>
      </c>
      <c r="GY162" s="14">
        <v>40331550.579999998</v>
      </c>
      <c r="GZ162" s="14">
        <v>0</v>
      </c>
      <c r="HA162" s="15">
        <f t="shared" si="844"/>
        <v>40331550.579999998</v>
      </c>
      <c r="HB162" s="15">
        <f t="shared" si="845"/>
        <v>1.2529616269427721</v>
      </c>
      <c r="HC162" s="16">
        <f t="shared" si="846"/>
        <v>0.25277689734526354</v>
      </c>
      <c r="HD162" s="15">
        <f t="shared" si="847"/>
        <v>1.5944309341689809</v>
      </c>
      <c r="HE162" s="14">
        <v>16</v>
      </c>
      <c r="HF162" s="14">
        <v>1</v>
      </c>
      <c r="HG162" s="14">
        <v>65</v>
      </c>
      <c r="HH162" s="14">
        <v>16</v>
      </c>
      <c r="HI162" s="14">
        <v>3</v>
      </c>
      <c r="HJ162" s="15">
        <f t="shared" si="848"/>
        <v>4</v>
      </c>
      <c r="HK162" s="16">
        <f t="shared" si="849"/>
        <v>1</v>
      </c>
      <c r="HL162" s="14">
        <v>8</v>
      </c>
      <c r="HM162" s="14">
        <v>4</v>
      </c>
      <c r="HN162" s="17">
        <f t="shared" si="850"/>
        <v>0.5</v>
      </c>
    </row>
    <row r="163" spans="1:222" x14ac:dyDescent="0.3">
      <c r="A163" s="6" t="s">
        <v>280</v>
      </c>
      <c r="B163" s="6" t="s">
        <v>285</v>
      </c>
      <c r="C163" s="7" t="s">
        <v>257</v>
      </c>
      <c r="D163" s="7">
        <v>2025</v>
      </c>
      <c r="E163" s="7">
        <v>8</v>
      </c>
      <c r="F163" s="7" t="s">
        <v>264</v>
      </c>
      <c r="G163" s="7" t="s">
        <v>263</v>
      </c>
      <c r="H163" s="8">
        <v>7805</v>
      </c>
      <c r="I163" s="8">
        <v>2778</v>
      </c>
      <c r="J163" s="8">
        <v>6</v>
      </c>
      <c r="K163" s="8">
        <v>4</v>
      </c>
      <c r="L163" s="8">
        <v>8</v>
      </c>
      <c r="M163" s="9">
        <f t="shared" si="790"/>
        <v>2796</v>
      </c>
      <c r="N163" s="8">
        <v>2081</v>
      </c>
      <c r="O163" s="8">
        <v>16</v>
      </c>
      <c r="P163" s="8">
        <v>51</v>
      </c>
      <c r="Q163" s="8">
        <v>270</v>
      </c>
      <c r="R163" s="9">
        <f t="shared" si="791"/>
        <v>2418</v>
      </c>
      <c r="S163" s="9">
        <f t="shared" si="792"/>
        <v>5214</v>
      </c>
      <c r="T163" s="8">
        <v>2591</v>
      </c>
      <c r="U163" s="10">
        <f t="shared" si="793"/>
        <v>0.33196668802049967</v>
      </c>
      <c r="V163" s="8">
        <v>15</v>
      </c>
      <c r="W163" s="11">
        <f t="shared" si="794"/>
        <v>1.9218449711723255E-3</v>
      </c>
      <c r="X163" s="8">
        <v>0</v>
      </c>
      <c r="Y163" s="11">
        <f t="shared" si="795"/>
        <v>0</v>
      </c>
      <c r="Z163" s="8">
        <v>0</v>
      </c>
      <c r="AA163" s="11">
        <f t="shared" si="796"/>
        <v>0</v>
      </c>
      <c r="AB163" s="8">
        <v>0</v>
      </c>
      <c r="AC163" s="11">
        <f t="shared" si="797"/>
        <v>0</v>
      </c>
      <c r="AD163" s="8">
        <v>0</v>
      </c>
      <c r="AE163" s="11">
        <f t="shared" si="798"/>
        <v>0</v>
      </c>
      <c r="AF163" s="8">
        <v>0</v>
      </c>
      <c r="AG163" s="11">
        <f t="shared" si="799"/>
        <v>0</v>
      </c>
      <c r="AH163" s="8">
        <v>76675.05</v>
      </c>
      <c r="AI163" s="9">
        <f t="shared" si="800"/>
        <v>9.8238372837924413</v>
      </c>
      <c r="AJ163" s="8">
        <v>9815</v>
      </c>
      <c r="AK163" s="11">
        <f t="shared" si="801"/>
        <v>1.2575272261370916</v>
      </c>
      <c r="AL163" s="8">
        <v>1378272.4724999999</v>
      </c>
      <c r="AM163" s="9">
        <f t="shared" si="802"/>
        <v>176.58840134529146</v>
      </c>
      <c r="AN163" s="8">
        <v>0</v>
      </c>
      <c r="AO163" s="8">
        <v>0</v>
      </c>
      <c r="AP163" s="8">
        <v>0</v>
      </c>
      <c r="AQ163" s="8">
        <v>0</v>
      </c>
      <c r="AR163" s="8">
        <v>5253130.0599999996</v>
      </c>
      <c r="AS163" s="8">
        <v>1481239.96</v>
      </c>
      <c r="AT163" s="8">
        <v>2987210</v>
      </c>
      <c r="AU163" s="9">
        <f t="shared" si="803"/>
        <v>11176527.5425</v>
      </c>
      <c r="AV163" s="9">
        <f t="shared" si="804"/>
        <v>1431.9702168481742</v>
      </c>
      <c r="AW163" s="9">
        <f t="shared" si="805"/>
        <v>2143.5610936900653</v>
      </c>
      <c r="AX163" s="8">
        <v>6</v>
      </c>
      <c r="AY163" s="9">
        <f t="shared" si="806"/>
        <v>9.2248558616271623</v>
      </c>
      <c r="AZ163" s="8">
        <v>8</v>
      </c>
      <c r="BA163" s="8">
        <v>57</v>
      </c>
      <c r="BB163" s="8">
        <v>13</v>
      </c>
      <c r="BC163" s="8">
        <v>0</v>
      </c>
      <c r="BD163" s="8">
        <v>13</v>
      </c>
      <c r="BE163" s="9">
        <f t="shared" si="807"/>
        <v>13</v>
      </c>
      <c r="BF163" s="9">
        <f t="shared" si="808"/>
        <v>57</v>
      </c>
      <c r="BG163" s="8">
        <v>0</v>
      </c>
      <c r="BH163" s="8">
        <v>0</v>
      </c>
      <c r="BI163" s="8">
        <v>0</v>
      </c>
      <c r="BJ163" s="8">
        <v>0</v>
      </c>
      <c r="BK163" s="9">
        <f t="shared" si="809"/>
        <v>0</v>
      </c>
      <c r="BL163" s="9">
        <f t="shared" si="810"/>
        <v>0</v>
      </c>
      <c r="BM163" s="8">
        <v>8</v>
      </c>
      <c r="BN163" s="8">
        <v>0</v>
      </c>
      <c r="BO163" s="8">
        <v>0</v>
      </c>
      <c r="BP163" s="8">
        <v>1</v>
      </c>
      <c r="BQ163" s="9">
        <f t="shared" si="811"/>
        <v>1</v>
      </c>
      <c r="BR163" s="9">
        <f t="shared" si="812"/>
        <v>7</v>
      </c>
      <c r="BS163" s="8">
        <v>0</v>
      </c>
      <c r="BT163" s="8">
        <v>0</v>
      </c>
      <c r="BU163" s="8">
        <v>0</v>
      </c>
      <c r="BV163" s="8">
        <v>0</v>
      </c>
      <c r="BW163" s="9">
        <f t="shared" si="813"/>
        <v>0</v>
      </c>
      <c r="BX163" s="9">
        <f t="shared" si="814"/>
        <v>0</v>
      </c>
      <c r="BY163" s="9">
        <f t="shared" si="815"/>
        <v>65</v>
      </c>
      <c r="BZ163" s="9">
        <f t="shared" si="816"/>
        <v>13</v>
      </c>
      <c r="CA163" s="9">
        <f t="shared" si="817"/>
        <v>14</v>
      </c>
      <c r="CB163" s="9">
        <f t="shared" si="818"/>
        <v>64</v>
      </c>
      <c r="CC163" s="8">
        <v>14</v>
      </c>
      <c r="CD163" s="8">
        <v>416</v>
      </c>
      <c r="CE163" s="8">
        <v>17</v>
      </c>
      <c r="CF163" s="8">
        <v>71</v>
      </c>
      <c r="CG163" s="8">
        <v>0</v>
      </c>
      <c r="CH163" s="9">
        <f t="shared" si="819"/>
        <v>504</v>
      </c>
      <c r="CI163" s="8">
        <v>505</v>
      </c>
      <c r="CJ163" s="8">
        <v>1</v>
      </c>
      <c r="CK163" s="8">
        <v>2</v>
      </c>
      <c r="CL163" s="8">
        <v>1</v>
      </c>
      <c r="CM163" s="9">
        <f t="shared" si="820"/>
        <v>509</v>
      </c>
      <c r="CN163" s="8">
        <v>561</v>
      </c>
      <c r="CO163" s="8">
        <v>31</v>
      </c>
      <c r="CP163" s="8">
        <v>47</v>
      </c>
      <c r="CQ163" s="8">
        <v>2</v>
      </c>
      <c r="CR163" s="9">
        <f t="shared" si="821"/>
        <v>641</v>
      </c>
      <c r="CS163" s="9">
        <f t="shared" si="822"/>
        <v>1150</v>
      </c>
      <c r="CT163" s="8">
        <v>1654</v>
      </c>
      <c r="CU163" s="8">
        <v>9810</v>
      </c>
      <c r="CV163" s="8">
        <v>8995</v>
      </c>
      <c r="CW163" s="10">
        <f t="shared" si="823"/>
        <v>0.91692150866462796</v>
      </c>
      <c r="CX163" s="8">
        <v>0</v>
      </c>
      <c r="CY163" s="8">
        <v>0</v>
      </c>
      <c r="CZ163" s="8">
        <v>0</v>
      </c>
      <c r="DA163" s="8">
        <v>0</v>
      </c>
      <c r="DB163" s="9">
        <f t="shared" si="824"/>
        <v>0</v>
      </c>
      <c r="DC163" s="8">
        <v>0</v>
      </c>
      <c r="DD163" s="8">
        <v>0</v>
      </c>
      <c r="DE163" s="8">
        <v>0</v>
      </c>
      <c r="DF163" s="8">
        <v>0</v>
      </c>
      <c r="DG163" s="9">
        <f t="shared" si="825"/>
        <v>0</v>
      </c>
      <c r="DH163" s="8">
        <v>0</v>
      </c>
      <c r="DI163" s="8">
        <v>0</v>
      </c>
      <c r="DJ163" s="8">
        <v>0</v>
      </c>
      <c r="DK163" s="8">
        <v>0</v>
      </c>
      <c r="DL163" s="9">
        <f t="shared" si="826"/>
        <v>0</v>
      </c>
      <c r="DM163" s="8">
        <v>0</v>
      </c>
      <c r="DN163" s="8">
        <v>0</v>
      </c>
      <c r="DO163" s="8">
        <v>0</v>
      </c>
      <c r="DP163" s="8">
        <v>0</v>
      </c>
      <c r="DQ163" s="9">
        <f t="shared" si="827"/>
        <v>0</v>
      </c>
      <c r="DR163" s="9">
        <f t="shared" si="828"/>
        <v>0</v>
      </c>
      <c r="DS163" s="9">
        <f t="shared" si="829"/>
        <v>0</v>
      </c>
      <c r="DT163" s="9">
        <f t="shared" si="830"/>
        <v>0</v>
      </c>
      <c r="DU163" s="9">
        <f t="shared" si="831"/>
        <v>0</v>
      </c>
      <c r="DV163" s="9">
        <f t="shared" si="832"/>
        <v>0</v>
      </c>
      <c r="DW163" s="8">
        <v>6</v>
      </c>
      <c r="DX163" s="8">
        <v>6</v>
      </c>
      <c r="DY163" s="8">
        <v>6</v>
      </c>
      <c r="DZ163" s="8">
        <v>0</v>
      </c>
      <c r="EA163" s="8">
        <v>1</v>
      </c>
      <c r="EB163" s="8">
        <v>1</v>
      </c>
      <c r="EC163" s="8">
        <v>0</v>
      </c>
      <c r="ED163" s="8">
        <v>0</v>
      </c>
      <c r="EE163" s="8">
        <v>0</v>
      </c>
      <c r="EF163" s="8">
        <v>1</v>
      </c>
      <c r="EG163" s="8">
        <v>0</v>
      </c>
      <c r="EH163" s="8">
        <v>0</v>
      </c>
      <c r="EI163" s="8">
        <v>0</v>
      </c>
      <c r="EJ163" s="8">
        <v>0</v>
      </c>
      <c r="EK163" s="8">
        <v>0</v>
      </c>
      <c r="EL163" s="8">
        <v>0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8">
        <v>0</v>
      </c>
      <c r="ES163" s="8">
        <v>0</v>
      </c>
      <c r="ET163" s="8">
        <v>0</v>
      </c>
      <c r="EU163" s="8">
        <v>0</v>
      </c>
      <c r="EV163" s="8">
        <v>0</v>
      </c>
      <c r="EW163" s="8">
        <v>0</v>
      </c>
      <c r="EX163" s="8">
        <v>0</v>
      </c>
      <c r="EY163" s="8">
        <v>0</v>
      </c>
      <c r="EZ163" s="8">
        <v>0</v>
      </c>
      <c r="FA163" s="8">
        <v>0</v>
      </c>
      <c r="FB163" s="8">
        <v>0</v>
      </c>
      <c r="FC163" s="8">
        <v>0</v>
      </c>
      <c r="FD163" s="8">
        <v>0</v>
      </c>
      <c r="FE163" s="8">
        <v>0</v>
      </c>
      <c r="FF163" s="8">
        <v>0</v>
      </c>
      <c r="FG163" s="9">
        <f t="shared" si="833"/>
        <v>21</v>
      </c>
      <c r="FH163" s="8">
        <v>0</v>
      </c>
      <c r="FI163" s="8">
        <v>0</v>
      </c>
      <c r="FJ163" s="8">
        <v>24</v>
      </c>
      <c r="FK163" s="8">
        <v>48</v>
      </c>
      <c r="FL163" s="8">
        <v>0</v>
      </c>
      <c r="FM163" s="8">
        <v>0</v>
      </c>
      <c r="FN163" s="8">
        <v>0</v>
      </c>
      <c r="FO163" s="8">
        <v>0</v>
      </c>
      <c r="FP163" s="8">
        <v>0</v>
      </c>
      <c r="FQ163" s="9">
        <f t="shared" si="834"/>
        <v>0</v>
      </c>
      <c r="FR163" s="8">
        <v>1772380</v>
      </c>
      <c r="FS163" s="8">
        <v>3000</v>
      </c>
      <c r="FT163" s="8">
        <v>3000</v>
      </c>
      <c r="FU163" s="8">
        <v>28700</v>
      </c>
      <c r="FV163" s="9">
        <f t="shared" si="835"/>
        <v>1807080</v>
      </c>
      <c r="FW163" s="8">
        <v>2759044.440000006</v>
      </c>
      <c r="FX163" s="8">
        <v>3306.22</v>
      </c>
      <c r="FY163" s="8">
        <v>177750</v>
      </c>
      <c r="FZ163" s="8">
        <v>1245100</v>
      </c>
      <c r="GA163" s="9">
        <f t="shared" si="836"/>
        <v>4185200.6600000062</v>
      </c>
      <c r="GB163" s="9">
        <f t="shared" si="837"/>
        <v>5992280.6600000057</v>
      </c>
      <c r="GC163" s="8">
        <v>2453331.73</v>
      </c>
      <c r="GD163" s="8">
        <v>1147.68</v>
      </c>
      <c r="GE163" s="8">
        <v>8410.99</v>
      </c>
      <c r="GF163" s="8">
        <v>16821.98</v>
      </c>
      <c r="GG163" s="9">
        <f t="shared" si="838"/>
        <v>2479712.3800000004</v>
      </c>
      <c r="GH163" s="8">
        <v>2479712.38</v>
      </c>
      <c r="GI163" s="8">
        <v>0</v>
      </c>
      <c r="GJ163" s="8">
        <v>0</v>
      </c>
      <c r="GK163" s="8">
        <v>0</v>
      </c>
      <c r="GL163" s="9">
        <f t="shared" si="839"/>
        <v>2479712.38</v>
      </c>
      <c r="GM163" s="9">
        <f t="shared" si="840"/>
        <v>4959424.76</v>
      </c>
      <c r="GN163" s="8">
        <v>265091.96000000002</v>
      </c>
      <c r="GO163" s="8">
        <v>191.28</v>
      </c>
      <c r="GP163" s="8">
        <v>3393.64</v>
      </c>
      <c r="GQ163" s="8">
        <v>9274.68</v>
      </c>
      <c r="GR163" s="9">
        <f t="shared" si="841"/>
        <v>277951.56000000006</v>
      </c>
      <c r="GS163" s="8">
        <v>450965</v>
      </c>
      <c r="GT163" s="8">
        <v>893</v>
      </c>
      <c r="GU163" s="8">
        <v>893</v>
      </c>
      <c r="GV163" s="8">
        <v>1786</v>
      </c>
      <c r="GW163" s="9">
        <f t="shared" si="842"/>
        <v>454537</v>
      </c>
      <c r="GX163" s="9">
        <f t="shared" si="843"/>
        <v>5691913.3200000003</v>
      </c>
      <c r="GY163" s="8">
        <v>41739671.520000003</v>
      </c>
      <c r="GZ163" s="8">
        <v>0</v>
      </c>
      <c r="HA163" s="9">
        <f t="shared" si="844"/>
        <v>41739671.520000003</v>
      </c>
      <c r="HB163" s="9">
        <f t="shared" si="845"/>
        <v>1.9635800677477639</v>
      </c>
      <c r="HC163" s="10">
        <f t="shared" si="846"/>
        <v>0.12633524011929273</v>
      </c>
      <c r="HD163" s="9">
        <f t="shared" si="847"/>
        <v>1.0527708914583409</v>
      </c>
      <c r="HE163" s="8">
        <v>13</v>
      </c>
      <c r="HF163" s="8">
        <v>1</v>
      </c>
      <c r="HG163" s="8">
        <v>64</v>
      </c>
      <c r="HH163" s="8">
        <v>13</v>
      </c>
      <c r="HI163" s="8">
        <v>3</v>
      </c>
      <c r="HJ163" s="9">
        <f t="shared" si="848"/>
        <v>4</v>
      </c>
      <c r="HK163" s="10">
        <f t="shared" si="849"/>
        <v>1</v>
      </c>
      <c r="HL163" s="8">
        <v>16</v>
      </c>
      <c r="HM163" s="8">
        <v>4</v>
      </c>
      <c r="HN163" s="11">
        <f t="shared" si="850"/>
        <v>0.25</v>
      </c>
    </row>
    <row r="164" spans="1:222" x14ac:dyDescent="0.3">
      <c r="A164" s="12" t="s">
        <v>280</v>
      </c>
      <c r="B164" s="12" t="s">
        <v>285</v>
      </c>
      <c r="C164" s="13" t="s">
        <v>257</v>
      </c>
      <c r="D164" s="13">
        <v>2025</v>
      </c>
      <c r="E164" s="13">
        <v>9</v>
      </c>
      <c r="F164" s="13" t="s">
        <v>265</v>
      </c>
      <c r="G164" s="13" t="s">
        <v>263</v>
      </c>
      <c r="H164" s="14">
        <v>7287</v>
      </c>
      <c r="I164" s="14">
        <v>3080</v>
      </c>
      <c r="J164" s="14">
        <v>8</v>
      </c>
      <c r="K164" s="14">
        <v>2</v>
      </c>
      <c r="L164" s="14">
        <v>8</v>
      </c>
      <c r="M164" s="15">
        <f t="shared" si="790"/>
        <v>3098</v>
      </c>
      <c r="N164" s="14">
        <v>2114</v>
      </c>
      <c r="O164" s="14">
        <v>3</v>
      </c>
      <c r="P164" s="14">
        <v>31</v>
      </c>
      <c r="Q164" s="14">
        <v>214</v>
      </c>
      <c r="R164" s="15">
        <f t="shared" si="791"/>
        <v>2362</v>
      </c>
      <c r="S164" s="15">
        <f t="shared" si="792"/>
        <v>5460</v>
      </c>
      <c r="T164" s="14">
        <v>1827</v>
      </c>
      <c r="U164" s="16">
        <f t="shared" si="793"/>
        <v>0.25072046109510088</v>
      </c>
      <c r="V164" s="14">
        <v>15</v>
      </c>
      <c r="W164" s="17">
        <f t="shared" si="794"/>
        <v>2.0584602717167557E-3</v>
      </c>
      <c r="X164" s="14">
        <v>0</v>
      </c>
      <c r="Y164" s="17">
        <f t="shared" si="795"/>
        <v>0</v>
      </c>
      <c r="Z164" s="14">
        <v>0</v>
      </c>
      <c r="AA164" s="17">
        <f t="shared" si="796"/>
        <v>0</v>
      </c>
      <c r="AB164" s="14">
        <v>0</v>
      </c>
      <c r="AC164" s="17">
        <f t="shared" si="797"/>
        <v>0</v>
      </c>
      <c r="AD164" s="14">
        <v>0</v>
      </c>
      <c r="AE164" s="17">
        <f t="shared" si="798"/>
        <v>0</v>
      </c>
      <c r="AF164" s="14">
        <v>0</v>
      </c>
      <c r="AG164" s="17">
        <f t="shared" si="799"/>
        <v>0</v>
      </c>
      <c r="AH164" s="14">
        <v>76675.05</v>
      </c>
      <c r="AI164" s="15">
        <f t="shared" si="800"/>
        <v>10.522169617126389</v>
      </c>
      <c r="AJ164" s="14">
        <v>11709</v>
      </c>
      <c r="AK164" s="17">
        <f t="shared" si="801"/>
        <v>1.6068340881020997</v>
      </c>
      <c r="AL164" s="14">
        <v>1641067.8134999999</v>
      </c>
      <c r="AM164" s="15">
        <f t="shared" si="802"/>
        <v>225.20485981885548</v>
      </c>
      <c r="AN164" s="14">
        <v>0</v>
      </c>
      <c r="AO164" s="14">
        <v>0</v>
      </c>
      <c r="AP164" s="14">
        <v>0</v>
      </c>
      <c r="AQ164" s="14">
        <v>0</v>
      </c>
      <c r="AR164" s="14">
        <v>5214032.51</v>
      </c>
      <c r="AS164" s="14">
        <v>1682806.1</v>
      </c>
      <c r="AT164" s="14">
        <v>363500</v>
      </c>
      <c r="AU164" s="15">
        <f t="shared" si="803"/>
        <v>8978081.4735000003</v>
      </c>
      <c r="AV164" s="15">
        <f t="shared" si="804"/>
        <v>1232.0682686290654</v>
      </c>
      <c r="AW164" s="15">
        <f t="shared" si="805"/>
        <v>1644.3372662087913</v>
      </c>
      <c r="AX164" s="14">
        <v>6</v>
      </c>
      <c r="AY164" s="15">
        <f t="shared" si="806"/>
        <v>9.8806093042404282</v>
      </c>
      <c r="AZ164" s="14">
        <v>8</v>
      </c>
      <c r="BA164" s="14">
        <v>57</v>
      </c>
      <c r="BB164" s="14">
        <v>8</v>
      </c>
      <c r="BC164" s="14">
        <v>0</v>
      </c>
      <c r="BD164" s="14">
        <v>7</v>
      </c>
      <c r="BE164" s="15">
        <f t="shared" si="807"/>
        <v>7</v>
      </c>
      <c r="BF164" s="15">
        <f t="shared" si="808"/>
        <v>58</v>
      </c>
      <c r="BG164" s="14">
        <v>0</v>
      </c>
      <c r="BH164" s="14">
        <v>0</v>
      </c>
      <c r="BI164" s="14">
        <v>0</v>
      </c>
      <c r="BJ164" s="14">
        <v>0</v>
      </c>
      <c r="BK164" s="15">
        <f t="shared" si="809"/>
        <v>0</v>
      </c>
      <c r="BL164" s="15">
        <f t="shared" si="810"/>
        <v>0</v>
      </c>
      <c r="BM164" s="14">
        <v>7</v>
      </c>
      <c r="BN164" s="14">
        <v>0</v>
      </c>
      <c r="BO164" s="14">
        <v>0</v>
      </c>
      <c r="BP164" s="14">
        <v>0</v>
      </c>
      <c r="BQ164" s="15">
        <f t="shared" si="811"/>
        <v>0</v>
      </c>
      <c r="BR164" s="15">
        <f t="shared" si="812"/>
        <v>7</v>
      </c>
      <c r="BS164" s="14">
        <v>0</v>
      </c>
      <c r="BT164" s="14">
        <v>0</v>
      </c>
      <c r="BU164" s="14">
        <v>0</v>
      </c>
      <c r="BV164" s="14">
        <v>0</v>
      </c>
      <c r="BW164" s="15">
        <f t="shared" si="813"/>
        <v>0</v>
      </c>
      <c r="BX164" s="15">
        <f t="shared" si="814"/>
        <v>0</v>
      </c>
      <c r="BY164" s="15">
        <f t="shared" si="815"/>
        <v>64</v>
      </c>
      <c r="BZ164" s="15">
        <f t="shared" si="816"/>
        <v>8</v>
      </c>
      <c r="CA164" s="15">
        <f t="shared" si="817"/>
        <v>7</v>
      </c>
      <c r="CB164" s="15">
        <f t="shared" si="818"/>
        <v>65</v>
      </c>
      <c r="CC164" s="14">
        <v>7</v>
      </c>
      <c r="CD164" s="14">
        <v>383</v>
      </c>
      <c r="CE164" s="14">
        <v>16</v>
      </c>
      <c r="CF164" s="14">
        <v>71</v>
      </c>
      <c r="CG164" s="14">
        <v>0</v>
      </c>
      <c r="CH164" s="15">
        <f t="shared" si="819"/>
        <v>470</v>
      </c>
      <c r="CI164" s="14">
        <v>490</v>
      </c>
      <c r="CJ164" s="14">
        <v>1</v>
      </c>
      <c r="CK164" s="14">
        <v>2</v>
      </c>
      <c r="CL164" s="14">
        <v>1</v>
      </c>
      <c r="CM164" s="15">
        <f t="shared" si="820"/>
        <v>494</v>
      </c>
      <c r="CN164" s="14">
        <v>608</v>
      </c>
      <c r="CO164" s="14">
        <v>32</v>
      </c>
      <c r="CP164" s="14">
        <v>48</v>
      </c>
      <c r="CQ164" s="14">
        <v>2</v>
      </c>
      <c r="CR164" s="15">
        <f t="shared" si="821"/>
        <v>690</v>
      </c>
      <c r="CS164" s="15">
        <f t="shared" si="822"/>
        <v>1184</v>
      </c>
      <c r="CT164" s="14">
        <v>1654</v>
      </c>
      <c r="CU164" s="14">
        <v>9810</v>
      </c>
      <c r="CV164" s="14">
        <v>8995</v>
      </c>
      <c r="CW164" s="16">
        <f t="shared" si="823"/>
        <v>0.91692150866462796</v>
      </c>
      <c r="CX164" s="14"/>
      <c r="CY164" s="14"/>
      <c r="CZ164" s="14"/>
      <c r="DA164" s="14"/>
      <c r="DB164" s="15">
        <f t="shared" si="824"/>
        <v>0</v>
      </c>
      <c r="DC164" s="14">
        <v>0</v>
      </c>
      <c r="DD164" s="14">
        <v>0</v>
      </c>
      <c r="DE164" s="14">
        <v>0</v>
      </c>
      <c r="DF164" s="14">
        <v>0</v>
      </c>
      <c r="DG164" s="15">
        <f t="shared" si="825"/>
        <v>0</v>
      </c>
      <c r="DH164" s="14">
        <v>0</v>
      </c>
      <c r="DI164" s="14">
        <v>0</v>
      </c>
      <c r="DJ164" s="14">
        <v>0</v>
      </c>
      <c r="DK164" s="14">
        <v>0</v>
      </c>
      <c r="DL164" s="15">
        <f t="shared" si="826"/>
        <v>0</v>
      </c>
      <c r="DM164" s="14">
        <v>0</v>
      </c>
      <c r="DN164" s="14">
        <v>0</v>
      </c>
      <c r="DO164" s="14">
        <v>0</v>
      </c>
      <c r="DP164" s="14">
        <v>0</v>
      </c>
      <c r="DQ164" s="15">
        <f t="shared" si="827"/>
        <v>0</v>
      </c>
      <c r="DR164" s="15">
        <f t="shared" si="828"/>
        <v>0</v>
      </c>
      <c r="DS164" s="15">
        <f t="shared" si="829"/>
        <v>0</v>
      </c>
      <c r="DT164" s="15">
        <f t="shared" si="830"/>
        <v>0</v>
      </c>
      <c r="DU164" s="15">
        <f t="shared" si="831"/>
        <v>0</v>
      </c>
      <c r="DV164" s="15">
        <f t="shared" si="832"/>
        <v>0</v>
      </c>
      <c r="DW164" s="14">
        <v>12</v>
      </c>
      <c r="DX164" s="14">
        <v>6</v>
      </c>
      <c r="DY164" s="14">
        <v>6</v>
      </c>
      <c r="DZ164" s="14">
        <v>2</v>
      </c>
      <c r="EA164" s="14">
        <v>2</v>
      </c>
      <c r="EB164" s="14">
        <v>1</v>
      </c>
      <c r="EC164" s="14">
        <v>1</v>
      </c>
      <c r="ED164" s="14">
        <v>1</v>
      </c>
      <c r="EE164" s="14">
        <v>0</v>
      </c>
      <c r="EF164" s="14">
        <v>1</v>
      </c>
      <c r="EG164" s="14">
        <v>0</v>
      </c>
      <c r="EH164" s="14">
        <v>0</v>
      </c>
      <c r="EI164" s="14">
        <v>0</v>
      </c>
      <c r="EJ164" s="14">
        <v>0</v>
      </c>
      <c r="EK164" s="14">
        <v>0</v>
      </c>
      <c r="EL164" s="14">
        <v>0</v>
      </c>
      <c r="EM164" s="14">
        <v>0</v>
      </c>
      <c r="EN164" s="14">
        <v>0</v>
      </c>
      <c r="EO164" s="14">
        <v>0</v>
      </c>
      <c r="EP164" s="14">
        <v>0</v>
      </c>
      <c r="EQ164" s="14">
        <v>0</v>
      </c>
      <c r="ER164" s="14">
        <v>0</v>
      </c>
      <c r="ES164" s="14">
        <v>0</v>
      </c>
      <c r="ET164" s="14">
        <v>0</v>
      </c>
      <c r="EU164" s="14">
        <v>0</v>
      </c>
      <c r="EV164" s="14">
        <v>0</v>
      </c>
      <c r="EW164" s="14">
        <v>0</v>
      </c>
      <c r="EX164" s="14">
        <v>0</v>
      </c>
      <c r="EY164" s="14">
        <v>0</v>
      </c>
      <c r="EZ164" s="14">
        <v>0</v>
      </c>
      <c r="FA164" s="14">
        <v>0</v>
      </c>
      <c r="FB164" s="14">
        <v>0</v>
      </c>
      <c r="FC164" s="14">
        <v>0</v>
      </c>
      <c r="FD164" s="14">
        <v>0</v>
      </c>
      <c r="FE164" s="14">
        <v>0</v>
      </c>
      <c r="FF164" s="14">
        <v>0</v>
      </c>
      <c r="FG164" s="15">
        <f t="shared" si="833"/>
        <v>32</v>
      </c>
      <c r="FH164" s="14">
        <v>29</v>
      </c>
      <c r="FI164" s="14">
        <v>0</v>
      </c>
      <c r="FJ164" s="14">
        <v>24</v>
      </c>
      <c r="FK164" s="14">
        <v>72</v>
      </c>
      <c r="FL164" s="14">
        <v>72</v>
      </c>
      <c r="FM164" s="14">
        <v>0</v>
      </c>
      <c r="FN164" s="14">
        <v>0</v>
      </c>
      <c r="FO164" s="14">
        <v>0</v>
      </c>
      <c r="FP164" s="14">
        <v>0</v>
      </c>
      <c r="FQ164" s="15">
        <f t="shared" si="834"/>
        <v>72</v>
      </c>
      <c r="FR164" s="14">
        <v>3069397.22</v>
      </c>
      <c r="FS164" s="14">
        <v>3000</v>
      </c>
      <c r="FT164" s="14">
        <v>0</v>
      </c>
      <c r="FU164" s="14">
        <v>0</v>
      </c>
      <c r="FV164" s="15">
        <f t="shared" si="835"/>
        <v>3072397.22</v>
      </c>
      <c r="FW164" s="14">
        <v>2781349</v>
      </c>
      <c r="FX164" s="14">
        <v>700</v>
      </c>
      <c r="FY164" s="14">
        <v>1012200</v>
      </c>
      <c r="FZ164" s="14">
        <v>94400</v>
      </c>
      <c r="GA164" s="15">
        <f t="shared" si="836"/>
        <v>3888649</v>
      </c>
      <c r="GB164" s="15">
        <f t="shared" si="837"/>
        <v>6961046.2200000007</v>
      </c>
      <c r="GC164" s="14">
        <v>2731544.11</v>
      </c>
      <c r="GD164" s="14">
        <v>1530.24</v>
      </c>
      <c r="GE164" s="14">
        <v>8410.99</v>
      </c>
      <c r="GF164" s="14">
        <v>16821.98</v>
      </c>
      <c r="GG164" s="15">
        <f t="shared" si="838"/>
        <v>2758307.3200000003</v>
      </c>
      <c r="GH164" s="14">
        <v>2758307.32</v>
      </c>
      <c r="GI164" s="14">
        <v>0</v>
      </c>
      <c r="GJ164" s="14">
        <v>0</v>
      </c>
      <c r="GK164" s="14">
        <v>0</v>
      </c>
      <c r="GL164" s="15">
        <f t="shared" si="839"/>
        <v>2758307.32</v>
      </c>
      <c r="GM164" s="15">
        <f t="shared" si="840"/>
        <v>5516614.6400000006</v>
      </c>
      <c r="GN164" s="14">
        <v>257409.56</v>
      </c>
      <c r="GO164" s="14">
        <v>191.28</v>
      </c>
      <c r="GP164" s="14">
        <v>3394.64</v>
      </c>
      <c r="GQ164" s="14">
        <v>9274.68</v>
      </c>
      <c r="GR164" s="15">
        <f t="shared" si="841"/>
        <v>270270.16000000003</v>
      </c>
      <c r="GS164" s="14">
        <v>437570</v>
      </c>
      <c r="GT164" s="14">
        <v>893</v>
      </c>
      <c r="GU164" s="14">
        <v>893</v>
      </c>
      <c r="GV164" s="14">
        <v>1786</v>
      </c>
      <c r="GW164" s="15">
        <f t="shared" si="842"/>
        <v>441142</v>
      </c>
      <c r="GX164" s="15">
        <f t="shared" si="843"/>
        <v>6228026.8000000007</v>
      </c>
      <c r="GY164" s="14">
        <v>41739671.520000003</v>
      </c>
      <c r="GZ164" s="14">
        <v>0</v>
      </c>
      <c r="HA164" s="15">
        <f t="shared" si="844"/>
        <v>41739671.520000003</v>
      </c>
      <c r="HB164" s="15">
        <f t="shared" si="845"/>
        <v>1.4415611495923555</v>
      </c>
      <c r="HC164" s="16">
        <f t="shared" si="846"/>
        <v>0.14511945462885825</v>
      </c>
      <c r="HD164" s="15">
        <f t="shared" si="847"/>
        <v>1.1176968955881821</v>
      </c>
      <c r="HE164" s="14">
        <v>8</v>
      </c>
      <c r="HF164" s="14">
        <v>1</v>
      </c>
      <c r="HG164" s="14">
        <v>65</v>
      </c>
      <c r="HH164" s="14">
        <v>8</v>
      </c>
      <c r="HI164" s="14">
        <v>3</v>
      </c>
      <c r="HJ164" s="15">
        <f t="shared" si="848"/>
        <v>4</v>
      </c>
      <c r="HK164" s="16">
        <f t="shared" si="849"/>
        <v>1</v>
      </c>
      <c r="HL164" s="14">
        <v>10</v>
      </c>
      <c r="HM164" s="14">
        <v>3</v>
      </c>
      <c r="HN164" s="17">
        <f t="shared" si="850"/>
        <v>0.3</v>
      </c>
    </row>
    <row r="165" spans="1:222" x14ac:dyDescent="0.3">
      <c r="A165" s="6" t="s">
        <v>280</v>
      </c>
      <c r="B165" s="6" t="s">
        <v>285</v>
      </c>
      <c r="C165" s="7" t="s">
        <v>257</v>
      </c>
      <c r="D165" s="7">
        <v>2025</v>
      </c>
      <c r="E165" s="7">
        <v>10</v>
      </c>
      <c r="F165" s="7" t="s">
        <v>266</v>
      </c>
      <c r="G165" s="7" t="s">
        <v>267</v>
      </c>
      <c r="H165" s="8">
        <v>7197</v>
      </c>
      <c r="I165" s="8">
        <v>2799</v>
      </c>
      <c r="J165" s="8">
        <v>8</v>
      </c>
      <c r="K165" s="8">
        <v>4</v>
      </c>
      <c r="L165" s="8">
        <v>7</v>
      </c>
      <c r="M165" s="9">
        <f t="shared" si="790"/>
        <v>2818</v>
      </c>
      <c r="N165" s="8">
        <v>2128</v>
      </c>
      <c r="O165" s="8">
        <v>23</v>
      </c>
      <c r="P165" s="8">
        <v>628</v>
      </c>
      <c r="Q165" s="8">
        <v>74</v>
      </c>
      <c r="R165" s="9">
        <f t="shared" si="791"/>
        <v>2853</v>
      </c>
      <c r="S165" s="9">
        <f t="shared" si="792"/>
        <v>5671</v>
      </c>
      <c r="T165" s="8">
        <v>1526</v>
      </c>
      <c r="U165" s="10">
        <f t="shared" si="793"/>
        <v>0.21203279144087814</v>
      </c>
      <c r="V165" s="8">
        <v>15</v>
      </c>
      <c r="W165" s="11">
        <f t="shared" si="794"/>
        <v>2.0842017507294707E-3</v>
      </c>
      <c r="X165" s="8">
        <v>0</v>
      </c>
      <c r="Y165" s="11">
        <f t="shared" si="795"/>
        <v>0</v>
      </c>
      <c r="Z165" s="8">
        <v>0</v>
      </c>
      <c r="AA165" s="11">
        <f t="shared" si="796"/>
        <v>0</v>
      </c>
      <c r="AB165" s="8">
        <v>0</v>
      </c>
      <c r="AC165" s="11">
        <f t="shared" si="797"/>
        <v>0</v>
      </c>
      <c r="AD165" s="8">
        <v>0</v>
      </c>
      <c r="AE165" s="11">
        <f t="shared" si="798"/>
        <v>0</v>
      </c>
      <c r="AF165" s="8">
        <v>0</v>
      </c>
      <c r="AG165" s="11">
        <f t="shared" si="799"/>
        <v>0</v>
      </c>
      <c r="AH165" s="8">
        <v>76675.05</v>
      </c>
      <c r="AI165" s="9">
        <f t="shared" si="800"/>
        <v>10.653751563151314</v>
      </c>
      <c r="AJ165" s="8">
        <v>10660</v>
      </c>
      <c r="AK165" s="11">
        <f t="shared" si="801"/>
        <v>1.4811727108517438</v>
      </c>
      <c r="AL165" s="8">
        <v>1495517.49</v>
      </c>
      <c r="AM165" s="9">
        <f t="shared" si="802"/>
        <v>207.79734472696956</v>
      </c>
      <c r="AN165" s="8">
        <v>0</v>
      </c>
      <c r="AO165" s="8">
        <v>0</v>
      </c>
      <c r="AP165" s="8">
        <v>0</v>
      </c>
      <c r="AQ165" s="8">
        <v>0</v>
      </c>
      <c r="AR165" s="8">
        <v>6050314.4100000001</v>
      </c>
      <c r="AS165" s="8">
        <v>0</v>
      </c>
      <c r="AT165" s="8">
        <v>0</v>
      </c>
      <c r="AU165" s="9">
        <f t="shared" si="803"/>
        <v>7622506.9500000002</v>
      </c>
      <c r="AV165" s="9">
        <f t="shared" si="804"/>
        <v>1059.1228220091705</v>
      </c>
      <c r="AW165" s="9">
        <f t="shared" si="805"/>
        <v>1344.1204284958562</v>
      </c>
      <c r="AX165" s="8">
        <v>6</v>
      </c>
      <c r="AY165" s="9">
        <f t="shared" si="806"/>
        <v>10.004168403501458</v>
      </c>
      <c r="AZ165" s="8">
        <v>8</v>
      </c>
      <c r="BA165" s="8">
        <v>58</v>
      </c>
      <c r="BB165" s="8">
        <v>9</v>
      </c>
      <c r="BC165" s="8">
        <v>0</v>
      </c>
      <c r="BD165" s="8">
        <v>11</v>
      </c>
      <c r="BE165" s="9">
        <f t="shared" si="807"/>
        <v>11</v>
      </c>
      <c r="BF165" s="9">
        <f t="shared" si="808"/>
        <v>56</v>
      </c>
      <c r="BG165" s="8">
        <v>0</v>
      </c>
      <c r="BH165" s="8">
        <v>0</v>
      </c>
      <c r="BI165" s="8">
        <v>0</v>
      </c>
      <c r="BJ165" s="8">
        <v>0</v>
      </c>
      <c r="BK165" s="9">
        <f t="shared" si="809"/>
        <v>0</v>
      </c>
      <c r="BL165" s="9">
        <f t="shared" si="810"/>
        <v>0</v>
      </c>
      <c r="BM165" s="8">
        <v>7</v>
      </c>
      <c r="BN165" s="8">
        <v>0</v>
      </c>
      <c r="BO165" s="8">
        <v>0</v>
      </c>
      <c r="BP165" s="8">
        <v>0</v>
      </c>
      <c r="BQ165" s="9">
        <f t="shared" si="811"/>
        <v>0</v>
      </c>
      <c r="BR165" s="9">
        <f t="shared" si="812"/>
        <v>7</v>
      </c>
      <c r="BS165" s="8">
        <v>0</v>
      </c>
      <c r="BT165" s="8">
        <v>0</v>
      </c>
      <c r="BU165" s="8">
        <v>0</v>
      </c>
      <c r="BV165" s="8">
        <v>0</v>
      </c>
      <c r="BW165" s="9">
        <f t="shared" si="813"/>
        <v>0</v>
      </c>
      <c r="BX165" s="9">
        <f t="shared" si="814"/>
        <v>0</v>
      </c>
      <c r="BY165" s="9">
        <f t="shared" si="815"/>
        <v>65</v>
      </c>
      <c r="BZ165" s="9">
        <f t="shared" si="816"/>
        <v>9</v>
      </c>
      <c r="CA165" s="9">
        <f t="shared" si="817"/>
        <v>11</v>
      </c>
      <c r="CB165" s="9">
        <f t="shared" si="818"/>
        <v>63</v>
      </c>
      <c r="CC165" s="8">
        <v>20</v>
      </c>
      <c r="CD165" s="8">
        <v>413</v>
      </c>
      <c r="CE165" s="8">
        <v>16</v>
      </c>
      <c r="CF165" s="8">
        <v>71</v>
      </c>
      <c r="CG165" s="8">
        <v>0</v>
      </c>
      <c r="CH165" s="9">
        <f t="shared" si="819"/>
        <v>500</v>
      </c>
      <c r="CI165" s="8">
        <v>489</v>
      </c>
      <c r="CJ165" s="8">
        <v>1</v>
      </c>
      <c r="CK165" s="8">
        <v>2</v>
      </c>
      <c r="CL165" s="8">
        <v>1</v>
      </c>
      <c r="CM165" s="9">
        <f t="shared" si="820"/>
        <v>493</v>
      </c>
      <c r="CN165" s="8">
        <v>609</v>
      </c>
      <c r="CO165" s="8">
        <v>32</v>
      </c>
      <c r="CP165" s="8">
        <v>48</v>
      </c>
      <c r="CQ165" s="8">
        <v>2</v>
      </c>
      <c r="CR165" s="9">
        <f t="shared" si="821"/>
        <v>691</v>
      </c>
      <c r="CS165" s="9">
        <f t="shared" si="822"/>
        <v>1184</v>
      </c>
      <c r="CT165" s="8">
        <v>1684</v>
      </c>
      <c r="CU165" s="8">
        <v>9810</v>
      </c>
      <c r="CV165" s="8">
        <v>9000</v>
      </c>
      <c r="CW165" s="10">
        <f t="shared" si="823"/>
        <v>0.91743119266055051</v>
      </c>
      <c r="CX165" s="8"/>
      <c r="CY165" s="8"/>
      <c r="CZ165" s="8"/>
      <c r="DA165" s="8"/>
      <c r="DB165" s="9">
        <f t="shared" si="824"/>
        <v>0</v>
      </c>
      <c r="DC165" s="8">
        <v>0</v>
      </c>
      <c r="DD165" s="8">
        <v>0</v>
      </c>
      <c r="DE165" s="8">
        <v>0</v>
      </c>
      <c r="DF165" s="8">
        <v>0</v>
      </c>
      <c r="DG165" s="9">
        <f t="shared" si="825"/>
        <v>0</v>
      </c>
      <c r="DH165" s="8">
        <v>0</v>
      </c>
      <c r="DI165" s="8">
        <v>0</v>
      </c>
      <c r="DJ165" s="8">
        <v>0</v>
      </c>
      <c r="DK165" s="8">
        <v>0</v>
      </c>
      <c r="DL165" s="9">
        <f t="shared" si="826"/>
        <v>0</v>
      </c>
      <c r="DM165" s="8">
        <v>0</v>
      </c>
      <c r="DN165" s="8">
        <v>0</v>
      </c>
      <c r="DO165" s="8">
        <v>0</v>
      </c>
      <c r="DP165" s="8">
        <v>0</v>
      </c>
      <c r="DQ165" s="9">
        <f t="shared" si="827"/>
        <v>0</v>
      </c>
      <c r="DR165" s="9">
        <f t="shared" si="828"/>
        <v>0</v>
      </c>
      <c r="DS165" s="9">
        <f t="shared" si="829"/>
        <v>0</v>
      </c>
      <c r="DT165" s="9">
        <f t="shared" si="830"/>
        <v>0</v>
      </c>
      <c r="DU165" s="9">
        <f t="shared" si="831"/>
        <v>0</v>
      </c>
      <c r="DV165" s="9">
        <f t="shared" si="832"/>
        <v>0</v>
      </c>
      <c r="DW165" s="8">
        <v>8</v>
      </c>
      <c r="DX165" s="8">
        <v>5</v>
      </c>
      <c r="DY165" s="8">
        <v>1</v>
      </c>
      <c r="DZ165" s="8">
        <v>1</v>
      </c>
      <c r="EA165" s="8">
        <v>0</v>
      </c>
      <c r="EB165" s="8">
        <v>0</v>
      </c>
      <c r="EC165" s="8">
        <v>0</v>
      </c>
      <c r="ED165" s="8">
        <v>0</v>
      </c>
      <c r="EE165" s="8">
        <v>0</v>
      </c>
      <c r="EF165" s="8">
        <v>2</v>
      </c>
      <c r="EG165" s="8">
        <v>0</v>
      </c>
      <c r="EH165" s="8">
        <v>0</v>
      </c>
      <c r="EI165" s="8">
        <v>0</v>
      </c>
      <c r="EJ165" s="8">
        <v>0</v>
      </c>
      <c r="EK165" s="8">
        <v>0</v>
      </c>
      <c r="EL165" s="8">
        <v>0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8">
        <v>0</v>
      </c>
      <c r="ES165" s="8">
        <v>0</v>
      </c>
      <c r="ET165" s="8">
        <v>0</v>
      </c>
      <c r="EU165" s="8">
        <v>0</v>
      </c>
      <c r="EV165" s="8">
        <v>0</v>
      </c>
      <c r="EW165" s="8">
        <v>0</v>
      </c>
      <c r="EX165" s="8">
        <v>0</v>
      </c>
      <c r="EY165" s="8">
        <v>0</v>
      </c>
      <c r="EZ165" s="8">
        <v>0</v>
      </c>
      <c r="FA165" s="8">
        <v>0</v>
      </c>
      <c r="FB165" s="8">
        <v>0</v>
      </c>
      <c r="FC165" s="8">
        <v>0</v>
      </c>
      <c r="FD165" s="8">
        <v>0</v>
      </c>
      <c r="FE165" s="8">
        <v>0</v>
      </c>
      <c r="FF165" s="8">
        <v>0</v>
      </c>
      <c r="FG165" s="9">
        <f t="shared" si="833"/>
        <v>17</v>
      </c>
      <c r="FH165" s="8">
        <v>16</v>
      </c>
      <c r="FI165" s="8">
        <v>0</v>
      </c>
      <c r="FJ165" s="8">
        <v>24</v>
      </c>
      <c r="FK165" s="8">
        <v>55</v>
      </c>
      <c r="FL165" s="8">
        <v>55</v>
      </c>
      <c r="FM165" s="8">
        <v>0</v>
      </c>
      <c r="FN165" s="8">
        <v>0</v>
      </c>
      <c r="FO165" s="8">
        <v>0</v>
      </c>
      <c r="FP165" s="8">
        <v>0</v>
      </c>
      <c r="FQ165" s="9">
        <f t="shared" si="834"/>
        <v>55</v>
      </c>
      <c r="FR165" s="8">
        <v>4244480</v>
      </c>
      <c r="FS165" s="8">
        <v>2100</v>
      </c>
      <c r="FT165" s="8">
        <v>11500</v>
      </c>
      <c r="FU165" s="8">
        <v>12600</v>
      </c>
      <c r="FV165" s="9">
        <f t="shared" si="835"/>
        <v>4270680</v>
      </c>
      <c r="FW165" s="8">
        <v>2816736.6200000099</v>
      </c>
      <c r="FX165" s="8">
        <v>4800</v>
      </c>
      <c r="FY165" s="8">
        <v>347706.18000000011</v>
      </c>
      <c r="FZ165" s="8">
        <v>1932937.9</v>
      </c>
      <c r="GA165" s="9">
        <f t="shared" si="836"/>
        <v>5102180.7000000104</v>
      </c>
      <c r="GB165" s="9">
        <f t="shared" si="837"/>
        <v>9372860.7000000104</v>
      </c>
      <c r="GC165" s="8">
        <v>2472969.8199999998</v>
      </c>
      <c r="GD165" s="8">
        <v>1530.24</v>
      </c>
      <c r="GE165" s="8">
        <v>8410.99</v>
      </c>
      <c r="GF165" s="8">
        <v>16821.98</v>
      </c>
      <c r="GG165" s="9">
        <f t="shared" si="838"/>
        <v>2499733.0300000003</v>
      </c>
      <c r="GH165" s="8">
        <v>2499733.0299999998</v>
      </c>
      <c r="GI165" s="8">
        <v>0</v>
      </c>
      <c r="GJ165" s="8">
        <v>0</v>
      </c>
      <c r="GK165" s="8">
        <v>0</v>
      </c>
      <c r="GL165" s="9">
        <f t="shared" si="839"/>
        <v>2499733.0299999998</v>
      </c>
      <c r="GM165" s="9">
        <f t="shared" si="840"/>
        <v>4999466.0600000005</v>
      </c>
      <c r="GN165" s="8">
        <v>256864.63</v>
      </c>
      <c r="GO165" s="8">
        <v>191.28</v>
      </c>
      <c r="GP165" s="8">
        <v>3394.64</v>
      </c>
      <c r="GQ165" s="8">
        <v>9274.68</v>
      </c>
      <c r="GR165" s="9">
        <f t="shared" si="841"/>
        <v>269725.23000000004</v>
      </c>
      <c r="GS165" s="8">
        <v>436677</v>
      </c>
      <c r="GT165" s="8">
        <v>893</v>
      </c>
      <c r="GU165" s="8">
        <v>893</v>
      </c>
      <c r="GV165" s="8">
        <v>1786</v>
      </c>
      <c r="GW165" s="9">
        <f t="shared" si="842"/>
        <v>440249</v>
      </c>
      <c r="GX165" s="9">
        <f t="shared" si="843"/>
        <v>5709440.290000001</v>
      </c>
      <c r="GY165" s="8">
        <v>41739671.520000003</v>
      </c>
      <c r="GZ165" s="8">
        <v>0</v>
      </c>
      <c r="HA165" s="9">
        <f t="shared" si="844"/>
        <v>41739671.520000003</v>
      </c>
      <c r="HB165" s="9">
        <f t="shared" si="845"/>
        <v>1.3350707885238255</v>
      </c>
      <c r="HC165" s="10">
        <f t="shared" si="846"/>
        <v>0.19753500840082447</v>
      </c>
      <c r="HD165" s="9">
        <f t="shared" si="847"/>
        <v>1.6416426521556648</v>
      </c>
      <c r="HE165" s="8">
        <v>9</v>
      </c>
      <c r="HF165" s="8">
        <v>1</v>
      </c>
      <c r="HG165" s="8">
        <v>63</v>
      </c>
      <c r="HH165" s="8">
        <v>9</v>
      </c>
      <c r="HI165" s="8">
        <v>3</v>
      </c>
      <c r="HJ165" s="9">
        <f t="shared" si="848"/>
        <v>4</v>
      </c>
      <c r="HK165" s="10">
        <f t="shared" si="849"/>
        <v>1</v>
      </c>
      <c r="HL165" s="8">
        <v>12</v>
      </c>
      <c r="HM165" s="8">
        <v>5</v>
      </c>
      <c r="HN165" s="11">
        <f t="shared" si="850"/>
        <v>0.41666666666666669</v>
      </c>
    </row>
    <row r="166" spans="1:222" x14ac:dyDescent="0.3">
      <c r="A166" s="12" t="s">
        <v>280</v>
      </c>
      <c r="B166" s="12" t="s">
        <v>285</v>
      </c>
      <c r="C166" s="13" t="s">
        <v>257</v>
      </c>
      <c r="D166" s="13">
        <v>2025</v>
      </c>
      <c r="E166" s="13">
        <v>11</v>
      </c>
      <c r="F166" s="13" t="s">
        <v>268</v>
      </c>
      <c r="G166" s="13" t="s">
        <v>267</v>
      </c>
      <c r="H166" s="14">
        <v>6649</v>
      </c>
      <c r="I166" s="14">
        <v>2785</v>
      </c>
      <c r="J166" s="14">
        <v>12</v>
      </c>
      <c r="K166" s="14">
        <v>0</v>
      </c>
      <c r="L166" s="14">
        <v>5</v>
      </c>
      <c r="M166" s="15">
        <f t="shared" si="790"/>
        <v>2802</v>
      </c>
      <c r="N166" s="14">
        <v>1906</v>
      </c>
      <c r="O166" s="14">
        <v>7</v>
      </c>
      <c r="P166" s="14">
        <v>344</v>
      </c>
      <c r="Q166" s="14">
        <v>247</v>
      </c>
      <c r="R166" s="15">
        <f t="shared" si="791"/>
        <v>2504</v>
      </c>
      <c r="S166" s="15">
        <f t="shared" si="792"/>
        <v>5306</v>
      </c>
      <c r="T166" s="14">
        <v>1343</v>
      </c>
      <c r="U166" s="16">
        <f t="shared" si="793"/>
        <v>0.20198526094149497</v>
      </c>
      <c r="V166" s="14">
        <v>14</v>
      </c>
      <c r="W166" s="17">
        <f t="shared" si="794"/>
        <v>2.10557978643405E-3</v>
      </c>
      <c r="X166" s="14">
        <v>0</v>
      </c>
      <c r="Y166" s="17">
        <f t="shared" si="795"/>
        <v>0</v>
      </c>
      <c r="Z166" s="14">
        <v>0</v>
      </c>
      <c r="AA166" s="17">
        <f t="shared" si="796"/>
        <v>0</v>
      </c>
      <c r="AB166" s="14">
        <v>0</v>
      </c>
      <c r="AC166" s="17">
        <f t="shared" si="797"/>
        <v>0</v>
      </c>
      <c r="AD166" s="14">
        <v>0</v>
      </c>
      <c r="AE166" s="17">
        <f t="shared" si="798"/>
        <v>0</v>
      </c>
      <c r="AF166" s="14">
        <v>0</v>
      </c>
      <c r="AG166" s="17">
        <f t="shared" si="799"/>
        <v>0</v>
      </c>
      <c r="AH166" s="14">
        <v>71563.38</v>
      </c>
      <c r="AI166" s="15">
        <f t="shared" si="800"/>
        <v>10.763029026921343</v>
      </c>
      <c r="AJ166" s="14">
        <v>9769</v>
      </c>
      <c r="AK166" s="17">
        <f t="shared" si="801"/>
        <v>1.4692434952624456</v>
      </c>
      <c r="AL166" s="14">
        <v>1371889.9035</v>
      </c>
      <c r="AM166" s="15">
        <f t="shared" si="802"/>
        <v>206.33026071589714</v>
      </c>
      <c r="AN166" s="14">
        <v>0</v>
      </c>
      <c r="AO166" s="14">
        <v>0</v>
      </c>
      <c r="AP166" s="14">
        <v>0</v>
      </c>
      <c r="AQ166" s="14">
        <v>0</v>
      </c>
      <c r="AR166" s="14">
        <v>4965627.6100000003</v>
      </c>
      <c r="AS166" s="14">
        <v>0</v>
      </c>
      <c r="AT166" s="14">
        <v>0</v>
      </c>
      <c r="AU166" s="15">
        <f t="shared" si="803"/>
        <v>6409080.8935000002</v>
      </c>
      <c r="AV166" s="15">
        <f t="shared" si="804"/>
        <v>963.91651278387735</v>
      </c>
      <c r="AW166" s="15">
        <f t="shared" si="805"/>
        <v>1207.8931197700717</v>
      </c>
      <c r="AX166" s="14">
        <v>6</v>
      </c>
      <c r="AY166" s="15">
        <f t="shared" si="806"/>
        <v>10.828696044517972</v>
      </c>
      <c r="AZ166" s="14">
        <v>8</v>
      </c>
      <c r="BA166" s="14">
        <v>56</v>
      </c>
      <c r="BB166" s="14">
        <v>10</v>
      </c>
      <c r="BC166" s="14">
        <v>0</v>
      </c>
      <c r="BD166" s="14">
        <v>17</v>
      </c>
      <c r="BE166" s="15">
        <f t="shared" si="807"/>
        <v>17</v>
      </c>
      <c r="BF166" s="15">
        <f t="shared" si="808"/>
        <v>49</v>
      </c>
      <c r="BG166" s="14">
        <v>0</v>
      </c>
      <c r="BH166" s="14">
        <v>0</v>
      </c>
      <c r="BI166" s="14">
        <v>0</v>
      </c>
      <c r="BJ166" s="14">
        <v>0</v>
      </c>
      <c r="BK166" s="15">
        <f t="shared" si="809"/>
        <v>0</v>
      </c>
      <c r="BL166" s="15">
        <f t="shared" si="810"/>
        <v>0</v>
      </c>
      <c r="BM166" s="14">
        <v>7</v>
      </c>
      <c r="BN166" s="14">
        <v>0</v>
      </c>
      <c r="BO166" s="14">
        <v>0</v>
      </c>
      <c r="BP166" s="14">
        <v>1</v>
      </c>
      <c r="BQ166" s="15">
        <f t="shared" si="811"/>
        <v>1</v>
      </c>
      <c r="BR166" s="15">
        <f t="shared" si="812"/>
        <v>6</v>
      </c>
      <c r="BS166" s="14">
        <v>0</v>
      </c>
      <c r="BT166" s="14">
        <v>0</v>
      </c>
      <c r="BU166" s="14">
        <v>0</v>
      </c>
      <c r="BV166" s="14">
        <v>0</v>
      </c>
      <c r="BW166" s="15">
        <f t="shared" si="813"/>
        <v>0</v>
      </c>
      <c r="BX166" s="15">
        <f t="shared" si="814"/>
        <v>0</v>
      </c>
      <c r="BY166" s="15">
        <f t="shared" si="815"/>
        <v>63</v>
      </c>
      <c r="BZ166" s="15">
        <f t="shared" si="816"/>
        <v>10</v>
      </c>
      <c r="CA166" s="15">
        <f t="shared" si="817"/>
        <v>18</v>
      </c>
      <c r="CB166" s="15">
        <f t="shared" si="818"/>
        <v>55</v>
      </c>
      <c r="CC166" s="14">
        <v>18</v>
      </c>
      <c r="CD166" s="14">
        <v>423</v>
      </c>
      <c r="CE166" s="14">
        <v>16</v>
      </c>
      <c r="CF166" s="14">
        <v>71</v>
      </c>
      <c r="CG166" s="14">
        <v>0</v>
      </c>
      <c r="CH166" s="15">
        <f t="shared" si="819"/>
        <v>510</v>
      </c>
      <c r="CI166" s="14">
        <v>463</v>
      </c>
      <c r="CJ166" s="14">
        <v>0</v>
      </c>
      <c r="CK166" s="14">
        <v>2</v>
      </c>
      <c r="CL166" s="14">
        <v>1</v>
      </c>
      <c r="CM166" s="15">
        <f t="shared" si="820"/>
        <v>466</v>
      </c>
      <c r="CN166" s="14">
        <v>626</v>
      </c>
      <c r="CO166" s="14">
        <v>32</v>
      </c>
      <c r="CP166" s="14">
        <v>49</v>
      </c>
      <c r="CQ166" s="14">
        <v>2</v>
      </c>
      <c r="CR166" s="15">
        <f t="shared" si="821"/>
        <v>709</v>
      </c>
      <c r="CS166" s="15">
        <f t="shared" si="822"/>
        <v>1175</v>
      </c>
      <c r="CT166" s="14">
        <v>1684</v>
      </c>
      <c r="CU166" s="14">
        <v>9810</v>
      </c>
      <c r="CV166" s="14">
        <v>9000</v>
      </c>
      <c r="CW166" s="16">
        <f t="shared" si="823"/>
        <v>0.91743119266055051</v>
      </c>
      <c r="CX166" s="14"/>
      <c r="CY166" s="14"/>
      <c r="CZ166" s="14"/>
      <c r="DA166" s="14"/>
      <c r="DB166" s="15">
        <f t="shared" si="824"/>
        <v>0</v>
      </c>
      <c r="DC166" s="14">
        <v>0</v>
      </c>
      <c r="DD166" s="14">
        <v>0</v>
      </c>
      <c r="DE166" s="14">
        <v>0</v>
      </c>
      <c r="DF166" s="14">
        <v>0</v>
      </c>
      <c r="DG166" s="15">
        <f t="shared" si="825"/>
        <v>0</v>
      </c>
      <c r="DH166" s="14">
        <v>0</v>
      </c>
      <c r="DI166" s="14">
        <v>0</v>
      </c>
      <c r="DJ166" s="14">
        <v>0</v>
      </c>
      <c r="DK166" s="14">
        <v>0</v>
      </c>
      <c r="DL166" s="15">
        <f t="shared" si="826"/>
        <v>0</v>
      </c>
      <c r="DM166" s="14">
        <v>0</v>
      </c>
      <c r="DN166" s="14">
        <v>0</v>
      </c>
      <c r="DO166" s="14">
        <v>0</v>
      </c>
      <c r="DP166" s="14">
        <v>0</v>
      </c>
      <c r="DQ166" s="15">
        <f t="shared" si="827"/>
        <v>0</v>
      </c>
      <c r="DR166" s="15">
        <f t="shared" si="828"/>
        <v>0</v>
      </c>
      <c r="DS166" s="15">
        <f t="shared" si="829"/>
        <v>0</v>
      </c>
      <c r="DT166" s="15">
        <f t="shared" si="830"/>
        <v>0</v>
      </c>
      <c r="DU166" s="15">
        <f t="shared" si="831"/>
        <v>0</v>
      </c>
      <c r="DV166" s="15">
        <f t="shared" si="832"/>
        <v>0</v>
      </c>
      <c r="DW166" s="14">
        <v>13</v>
      </c>
      <c r="DX166" s="14">
        <v>9</v>
      </c>
      <c r="DY166" s="14">
        <v>1</v>
      </c>
      <c r="DZ166" s="14">
        <v>1</v>
      </c>
      <c r="EA166" s="14">
        <v>0</v>
      </c>
      <c r="EB166" s="14">
        <v>0</v>
      </c>
      <c r="EC166" s="14">
        <v>0</v>
      </c>
      <c r="ED166" s="14">
        <v>0</v>
      </c>
      <c r="EE166" s="14">
        <v>2</v>
      </c>
      <c r="EF166" s="14">
        <v>2</v>
      </c>
      <c r="EG166" s="14">
        <v>0</v>
      </c>
      <c r="EH166" s="14">
        <v>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4">
        <v>0</v>
      </c>
      <c r="ET166" s="14">
        <v>0</v>
      </c>
      <c r="EU166" s="14">
        <v>0</v>
      </c>
      <c r="EV166" s="14">
        <v>0</v>
      </c>
      <c r="EW166" s="14">
        <v>0</v>
      </c>
      <c r="EX166" s="14">
        <v>0</v>
      </c>
      <c r="EY166" s="14">
        <v>0</v>
      </c>
      <c r="EZ166" s="14">
        <v>0</v>
      </c>
      <c r="FA166" s="14">
        <v>0</v>
      </c>
      <c r="FB166" s="14">
        <v>0</v>
      </c>
      <c r="FC166" s="14">
        <v>0</v>
      </c>
      <c r="FD166" s="14">
        <v>0</v>
      </c>
      <c r="FE166" s="14">
        <v>0</v>
      </c>
      <c r="FF166" s="14">
        <v>0</v>
      </c>
      <c r="FG166" s="15">
        <f t="shared" si="833"/>
        <v>28</v>
      </c>
      <c r="FH166" s="14">
        <v>27</v>
      </c>
      <c r="FI166" s="14">
        <v>0</v>
      </c>
      <c r="FJ166" s="14">
        <v>24</v>
      </c>
      <c r="FK166" s="14">
        <v>80</v>
      </c>
      <c r="FL166" s="14">
        <v>80</v>
      </c>
      <c r="FM166" s="14">
        <v>0</v>
      </c>
      <c r="FN166" s="14">
        <v>0</v>
      </c>
      <c r="FO166" s="14">
        <v>0</v>
      </c>
      <c r="FP166" s="14">
        <v>0</v>
      </c>
      <c r="FQ166" s="15">
        <f t="shared" si="834"/>
        <v>80</v>
      </c>
      <c r="FR166" s="14">
        <v>1556684.44</v>
      </c>
      <c r="FS166" s="14">
        <v>0</v>
      </c>
      <c r="FT166" s="14">
        <v>0</v>
      </c>
      <c r="FU166" s="14">
        <v>0</v>
      </c>
      <c r="FV166" s="15">
        <f t="shared" si="835"/>
        <v>1556684.44</v>
      </c>
      <c r="FW166" s="14">
        <v>2512200</v>
      </c>
      <c r="FX166" s="14">
        <v>1500</v>
      </c>
      <c r="FY166" s="14">
        <v>1165600</v>
      </c>
      <c r="FZ166" s="14">
        <v>1046100</v>
      </c>
      <c r="GA166" s="15">
        <f t="shared" si="836"/>
        <v>4725400</v>
      </c>
      <c r="GB166" s="15">
        <f t="shared" si="837"/>
        <v>6282084.4399999995</v>
      </c>
      <c r="GC166" s="14">
        <v>2577037.46</v>
      </c>
      <c r="GD166" s="14">
        <v>2295.36</v>
      </c>
      <c r="GE166" s="14">
        <v>2295.36</v>
      </c>
      <c r="GF166" s="14">
        <v>16821.98</v>
      </c>
      <c r="GG166" s="15">
        <f t="shared" si="838"/>
        <v>2598450.1599999997</v>
      </c>
      <c r="GH166" s="14">
        <v>2596154.7999999998</v>
      </c>
      <c r="GI166" s="14">
        <v>0</v>
      </c>
      <c r="GJ166" s="14">
        <v>0</v>
      </c>
      <c r="GK166" s="14">
        <v>0</v>
      </c>
      <c r="GL166" s="15">
        <f t="shared" si="839"/>
        <v>2596154.7999999998</v>
      </c>
      <c r="GM166" s="15">
        <f t="shared" si="840"/>
        <v>5194604.959999999</v>
      </c>
      <c r="GN166" s="14">
        <v>243188</v>
      </c>
      <c r="GO166" s="14">
        <v>191.28</v>
      </c>
      <c r="GP166" s="14">
        <v>191.28</v>
      </c>
      <c r="GQ166" s="14">
        <v>9274.68</v>
      </c>
      <c r="GR166" s="15">
        <f t="shared" si="841"/>
        <v>252845.24</v>
      </c>
      <c r="GS166" s="14">
        <v>413459</v>
      </c>
      <c r="GT166" s="14">
        <v>893</v>
      </c>
      <c r="GU166" s="14">
        <v>893</v>
      </c>
      <c r="GV166" s="14">
        <v>1786</v>
      </c>
      <c r="GW166" s="15">
        <f t="shared" si="842"/>
        <v>417031</v>
      </c>
      <c r="GX166" s="15">
        <f t="shared" si="843"/>
        <v>5864481.1999999993</v>
      </c>
      <c r="GY166" s="14">
        <v>28628569.260000002</v>
      </c>
      <c r="GZ166" s="14">
        <v>0</v>
      </c>
      <c r="HA166" s="15">
        <f t="shared" si="844"/>
        <v>28628569.260000002</v>
      </c>
      <c r="HB166" s="15">
        <f t="shared" si="845"/>
        <v>1.0928640871932545</v>
      </c>
      <c r="HC166" s="16">
        <f t="shared" si="846"/>
        <v>0.18212609079863906</v>
      </c>
      <c r="HD166" s="15">
        <f t="shared" si="847"/>
        <v>1.0712088973872063</v>
      </c>
      <c r="HE166" s="14">
        <v>10</v>
      </c>
      <c r="HF166" s="14">
        <v>1</v>
      </c>
      <c r="HG166" s="14">
        <v>55</v>
      </c>
      <c r="HH166" s="14">
        <v>10</v>
      </c>
      <c r="HI166" s="14">
        <v>3</v>
      </c>
      <c r="HJ166" s="15">
        <f t="shared" si="848"/>
        <v>4</v>
      </c>
      <c r="HK166" s="16">
        <f t="shared" si="849"/>
        <v>1</v>
      </c>
      <c r="HL166" s="14">
        <v>15</v>
      </c>
      <c r="HM166" s="14">
        <v>3</v>
      </c>
      <c r="HN166" s="17">
        <f t="shared" si="850"/>
        <v>0.2</v>
      </c>
    </row>
    <row r="167" spans="1:222" x14ac:dyDescent="0.3">
      <c r="A167" s="6" t="s">
        <v>280</v>
      </c>
      <c r="B167" s="6" t="s">
        <v>285</v>
      </c>
      <c r="C167" s="7" t="s">
        <v>257</v>
      </c>
      <c r="D167" s="7">
        <v>2025</v>
      </c>
      <c r="E167" s="7">
        <v>12</v>
      </c>
      <c r="F167" s="7" t="s">
        <v>269</v>
      </c>
      <c r="G167" s="7" t="s">
        <v>267</v>
      </c>
      <c r="H167" s="8">
        <v>7291</v>
      </c>
      <c r="I167" s="8">
        <v>2696</v>
      </c>
      <c r="J167" s="8">
        <v>9</v>
      </c>
      <c r="K167" s="8">
        <v>0</v>
      </c>
      <c r="L167" s="8">
        <v>8</v>
      </c>
      <c r="M167" s="9">
        <f t="shared" si="790"/>
        <v>2713</v>
      </c>
      <c r="N167" s="8">
        <v>2261</v>
      </c>
      <c r="O167" s="8">
        <v>19</v>
      </c>
      <c r="P167" s="8">
        <v>42</v>
      </c>
      <c r="Q167" s="8">
        <v>64</v>
      </c>
      <c r="R167" s="9">
        <f t="shared" si="791"/>
        <v>2386</v>
      </c>
      <c r="S167" s="9">
        <f t="shared" si="792"/>
        <v>5099</v>
      </c>
      <c r="T167" s="8">
        <v>2192</v>
      </c>
      <c r="U167" s="10">
        <f t="shared" si="793"/>
        <v>0.30064463036620492</v>
      </c>
      <c r="V167" s="8">
        <v>15</v>
      </c>
      <c r="W167" s="11">
        <f t="shared" si="794"/>
        <v>2.0573309559731175E-3</v>
      </c>
      <c r="X167" s="8">
        <v>0</v>
      </c>
      <c r="Y167" s="11">
        <f t="shared" si="795"/>
        <v>0</v>
      </c>
      <c r="Z167" s="8">
        <v>0</v>
      </c>
      <c r="AA167" s="11">
        <f t="shared" si="796"/>
        <v>0</v>
      </c>
      <c r="AB167" s="8">
        <v>0</v>
      </c>
      <c r="AC167" s="11">
        <f t="shared" si="797"/>
        <v>0</v>
      </c>
      <c r="AD167" s="8">
        <v>0</v>
      </c>
      <c r="AE167" s="11">
        <f t="shared" si="798"/>
        <v>0</v>
      </c>
      <c r="AF167" s="8">
        <v>0</v>
      </c>
      <c r="AG167" s="11">
        <f t="shared" si="799"/>
        <v>0</v>
      </c>
      <c r="AH167" s="8">
        <v>76675.05</v>
      </c>
      <c r="AI167" s="9">
        <f t="shared" si="800"/>
        <v>10.516396927719105</v>
      </c>
      <c r="AJ167" s="8">
        <v>9500</v>
      </c>
      <c r="AK167" s="11">
        <f t="shared" si="801"/>
        <v>1.3029762721163078</v>
      </c>
      <c r="AL167" s="8">
        <v>1334565.75</v>
      </c>
      <c r="AM167" s="9">
        <f t="shared" si="802"/>
        <v>183.04289535043205</v>
      </c>
      <c r="AN167" s="8">
        <v>0</v>
      </c>
      <c r="AO167" s="8">
        <v>0</v>
      </c>
      <c r="AP167" s="8">
        <v>0</v>
      </c>
      <c r="AQ167" s="8">
        <v>0</v>
      </c>
      <c r="AR167" s="8">
        <v>5032773.5199999996</v>
      </c>
      <c r="AS167" s="8">
        <v>1291962.8</v>
      </c>
      <c r="AT167" s="8">
        <v>0</v>
      </c>
      <c r="AU167" s="9">
        <f t="shared" si="803"/>
        <v>7735977.1199999992</v>
      </c>
      <c r="AV167" s="9">
        <f t="shared" si="804"/>
        <v>1061.0310135783841</v>
      </c>
      <c r="AW167" s="9">
        <f t="shared" si="805"/>
        <v>1517.1557403412432</v>
      </c>
      <c r="AX167" s="8">
        <v>6</v>
      </c>
      <c r="AY167" s="9">
        <f t="shared" si="806"/>
        <v>9.8751885886709641</v>
      </c>
      <c r="AZ167" s="8">
        <v>8</v>
      </c>
      <c r="BA167" s="8">
        <v>49</v>
      </c>
      <c r="BB167" s="8">
        <v>11</v>
      </c>
      <c r="BC167" s="8">
        <v>0</v>
      </c>
      <c r="BD167" s="8">
        <v>12</v>
      </c>
      <c r="BE167" s="9">
        <f t="shared" si="807"/>
        <v>12</v>
      </c>
      <c r="BF167" s="9">
        <f t="shared" si="808"/>
        <v>48</v>
      </c>
      <c r="BG167" s="8">
        <v>0</v>
      </c>
      <c r="BH167" s="8">
        <v>0</v>
      </c>
      <c r="BI167" s="8">
        <v>0</v>
      </c>
      <c r="BJ167" s="8">
        <v>0</v>
      </c>
      <c r="BK167" s="9">
        <f t="shared" si="809"/>
        <v>0</v>
      </c>
      <c r="BL167" s="9">
        <f t="shared" si="810"/>
        <v>0</v>
      </c>
      <c r="BM167" s="8">
        <v>6</v>
      </c>
      <c r="BN167" s="8">
        <v>0</v>
      </c>
      <c r="BO167" s="8">
        <v>0</v>
      </c>
      <c r="BP167" s="8">
        <v>0</v>
      </c>
      <c r="BQ167" s="9">
        <f t="shared" si="811"/>
        <v>0</v>
      </c>
      <c r="BR167" s="9">
        <f t="shared" si="812"/>
        <v>6</v>
      </c>
      <c r="BS167" s="8">
        <v>0</v>
      </c>
      <c r="BT167" s="8">
        <v>0</v>
      </c>
      <c r="BU167" s="8">
        <v>0</v>
      </c>
      <c r="BV167" s="8">
        <v>0</v>
      </c>
      <c r="BW167" s="9">
        <f t="shared" si="813"/>
        <v>0</v>
      </c>
      <c r="BX167" s="9">
        <f t="shared" si="814"/>
        <v>0</v>
      </c>
      <c r="BY167" s="9">
        <f t="shared" si="815"/>
        <v>55</v>
      </c>
      <c r="BZ167" s="9">
        <f t="shared" si="816"/>
        <v>11</v>
      </c>
      <c r="CA167" s="9">
        <f t="shared" si="817"/>
        <v>12</v>
      </c>
      <c r="CB167" s="9">
        <f t="shared" si="818"/>
        <v>54</v>
      </c>
      <c r="CC167" s="8">
        <v>29</v>
      </c>
      <c r="CD167" s="8">
        <v>413</v>
      </c>
      <c r="CE167" s="8">
        <v>16</v>
      </c>
      <c r="CF167" s="8">
        <v>71</v>
      </c>
      <c r="CG167" s="8">
        <v>0</v>
      </c>
      <c r="CH167" s="9">
        <f t="shared" si="819"/>
        <v>500</v>
      </c>
      <c r="CI167" s="8">
        <v>456</v>
      </c>
      <c r="CJ167" s="8">
        <v>0</v>
      </c>
      <c r="CK167" s="8">
        <v>2</v>
      </c>
      <c r="CL167" s="8">
        <v>1</v>
      </c>
      <c r="CM167" s="9">
        <f t="shared" si="820"/>
        <v>459</v>
      </c>
      <c r="CN167" s="8">
        <v>652</v>
      </c>
      <c r="CO167" s="8">
        <v>33</v>
      </c>
      <c r="CP167" s="8">
        <v>51</v>
      </c>
      <c r="CQ167" s="8">
        <v>2</v>
      </c>
      <c r="CR167" s="9">
        <f t="shared" si="821"/>
        <v>738</v>
      </c>
      <c r="CS167" s="9">
        <f t="shared" si="822"/>
        <v>1197</v>
      </c>
      <c r="CT167" s="8">
        <v>1697</v>
      </c>
      <c r="CU167" s="8">
        <v>9810</v>
      </c>
      <c r="CV167" s="8">
        <v>9010</v>
      </c>
      <c r="CW167" s="10">
        <f t="shared" si="823"/>
        <v>0.9184505606523955</v>
      </c>
      <c r="CX167" s="8">
        <v>0</v>
      </c>
      <c r="CY167" s="8">
        <v>0</v>
      </c>
      <c r="CZ167" s="8">
        <v>0</v>
      </c>
      <c r="DA167" s="8">
        <v>0</v>
      </c>
      <c r="DB167" s="9">
        <f t="shared" si="824"/>
        <v>0</v>
      </c>
      <c r="DC167" s="8">
        <v>0</v>
      </c>
      <c r="DD167" s="8">
        <v>0</v>
      </c>
      <c r="DE167" s="8">
        <v>0</v>
      </c>
      <c r="DF167" s="8">
        <v>0</v>
      </c>
      <c r="DG167" s="9">
        <f t="shared" si="825"/>
        <v>0</v>
      </c>
      <c r="DH167" s="8">
        <v>0</v>
      </c>
      <c r="DI167" s="8">
        <v>0</v>
      </c>
      <c r="DJ167" s="8">
        <v>0</v>
      </c>
      <c r="DK167" s="8">
        <v>0</v>
      </c>
      <c r="DL167" s="9">
        <f t="shared" si="826"/>
        <v>0</v>
      </c>
      <c r="DM167" s="8">
        <v>0</v>
      </c>
      <c r="DN167" s="8">
        <v>20</v>
      </c>
      <c r="DO167" s="8">
        <v>20</v>
      </c>
      <c r="DP167" s="8">
        <v>0</v>
      </c>
      <c r="DQ167" s="9">
        <f t="shared" si="827"/>
        <v>0</v>
      </c>
      <c r="DR167" s="9">
        <f t="shared" si="828"/>
        <v>0</v>
      </c>
      <c r="DS167" s="9">
        <f t="shared" si="829"/>
        <v>20</v>
      </c>
      <c r="DT167" s="9">
        <f t="shared" si="830"/>
        <v>20</v>
      </c>
      <c r="DU167" s="9">
        <f t="shared" si="831"/>
        <v>0</v>
      </c>
      <c r="DV167" s="9">
        <f t="shared" si="832"/>
        <v>0</v>
      </c>
      <c r="DW167" s="8">
        <v>20</v>
      </c>
      <c r="DX167" s="8">
        <v>14</v>
      </c>
      <c r="DY167" s="8">
        <v>5</v>
      </c>
      <c r="DZ167" s="8">
        <v>1</v>
      </c>
      <c r="EA167" s="8">
        <v>1</v>
      </c>
      <c r="EB167" s="8">
        <v>1</v>
      </c>
      <c r="EC167" s="8">
        <v>1</v>
      </c>
      <c r="ED167" s="8">
        <v>0</v>
      </c>
      <c r="EE167" s="8">
        <v>2</v>
      </c>
      <c r="EF167" s="8">
        <v>0</v>
      </c>
      <c r="EG167" s="8">
        <v>0</v>
      </c>
      <c r="EH167" s="8">
        <v>0</v>
      </c>
      <c r="EI167" s="8">
        <v>0</v>
      </c>
      <c r="EJ167" s="8">
        <v>0</v>
      </c>
      <c r="EK167" s="8">
        <v>0</v>
      </c>
      <c r="EL167" s="8">
        <v>0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8">
        <v>0</v>
      </c>
      <c r="ES167" s="8">
        <v>0</v>
      </c>
      <c r="ET167" s="8">
        <v>0</v>
      </c>
      <c r="EU167" s="8">
        <v>0</v>
      </c>
      <c r="EV167" s="8">
        <v>0</v>
      </c>
      <c r="EW167" s="8">
        <v>0</v>
      </c>
      <c r="EX167" s="8">
        <v>0</v>
      </c>
      <c r="EY167" s="8">
        <v>0</v>
      </c>
      <c r="EZ167" s="8">
        <v>0</v>
      </c>
      <c r="FA167" s="8">
        <v>0</v>
      </c>
      <c r="FB167" s="8">
        <v>0</v>
      </c>
      <c r="FC167" s="8">
        <v>0</v>
      </c>
      <c r="FD167" s="8">
        <v>0</v>
      </c>
      <c r="FE167" s="8">
        <v>0</v>
      </c>
      <c r="FF167" s="8">
        <v>0</v>
      </c>
      <c r="FG167" s="9">
        <f t="shared" si="833"/>
        <v>45</v>
      </c>
      <c r="FH167" s="8">
        <v>43</v>
      </c>
      <c r="FI167" s="8">
        <v>0</v>
      </c>
      <c r="FJ167" s="8">
        <v>20</v>
      </c>
      <c r="FK167" s="8">
        <v>95</v>
      </c>
      <c r="FL167" s="8">
        <v>95</v>
      </c>
      <c r="FM167" s="8">
        <v>0</v>
      </c>
      <c r="FN167" s="8">
        <v>0</v>
      </c>
      <c r="FO167" s="8">
        <v>0</v>
      </c>
      <c r="FP167" s="8">
        <v>0</v>
      </c>
      <c r="FQ167" s="9">
        <f t="shared" si="834"/>
        <v>95</v>
      </c>
      <c r="FR167" s="8">
        <v>4750290.54</v>
      </c>
      <c r="FS167" s="8">
        <v>6000</v>
      </c>
      <c r="FT167" s="8">
        <v>0</v>
      </c>
      <c r="FU167" s="8">
        <v>0</v>
      </c>
      <c r="FV167" s="9">
        <f t="shared" si="835"/>
        <v>4756290.54</v>
      </c>
      <c r="FW167" s="8">
        <v>2959138</v>
      </c>
      <c r="FX167" s="8">
        <v>4000</v>
      </c>
      <c r="FY167" s="8">
        <v>301508</v>
      </c>
      <c r="FZ167" s="8">
        <v>140300</v>
      </c>
      <c r="GA167" s="9">
        <f t="shared" si="836"/>
        <v>3404946</v>
      </c>
      <c r="GB167" s="9">
        <f t="shared" si="837"/>
        <v>8161236.54</v>
      </c>
      <c r="GC167" s="8">
        <v>2357590.16</v>
      </c>
      <c r="GD167" s="8">
        <v>1721.52</v>
      </c>
      <c r="GE167" s="8">
        <v>1721.52</v>
      </c>
      <c r="GF167" s="8">
        <v>16821.98</v>
      </c>
      <c r="GG167" s="9">
        <f t="shared" si="838"/>
        <v>2377855.1800000002</v>
      </c>
      <c r="GH167" s="8">
        <v>2376133.66</v>
      </c>
      <c r="GI167" s="8">
        <v>0</v>
      </c>
      <c r="GJ167" s="8">
        <v>0</v>
      </c>
      <c r="GK167" s="8">
        <v>0</v>
      </c>
      <c r="GL167" s="9">
        <f t="shared" si="839"/>
        <v>2376133.66</v>
      </c>
      <c r="GM167" s="9">
        <f t="shared" si="840"/>
        <v>4753988.84</v>
      </c>
      <c r="GN167" s="8">
        <v>239537.34</v>
      </c>
      <c r="GO167" s="8">
        <v>191.28</v>
      </c>
      <c r="GP167" s="8">
        <v>191.28</v>
      </c>
      <c r="GQ167" s="8">
        <v>9274.68</v>
      </c>
      <c r="GR167" s="9">
        <f t="shared" si="841"/>
        <v>249194.58</v>
      </c>
      <c r="GS167" s="8">
        <v>407208</v>
      </c>
      <c r="GT167" s="8">
        <v>893</v>
      </c>
      <c r="GU167" s="8">
        <v>893</v>
      </c>
      <c r="GV167" s="8">
        <v>1786</v>
      </c>
      <c r="GW167" s="9">
        <f t="shared" si="842"/>
        <v>410780</v>
      </c>
      <c r="GX167" s="9">
        <f t="shared" si="843"/>
        <v>5413963.4199999999</v>
      </c>
      <c r="GY167" s="8">
        <v>26924302.68</v>
      </c>
      <c r="GZ167" s="8">
        <v>0</v>
      </c>
      <c r="HA167" s="9">
        <f t="shared" si="844"/>
        <v>26924302.68</v>
      </c>
      <c r="HB167" s="9">
        <f t="shared" si="845"/>
        <v>1.4288934962918534</v>
      </c>
      <c r="HC167" s="10">
        <f t="shared" si="846"/>
        <v>0.25237087587698465</v>
      </c>
      <c r="HD167" s="9">
        <f t="shared" si="847"/>
        <v>1.5074421282292298</v>
      </c>
      <c r="HE167" s="8">
        <v>11</v>
      </c>
      <c r="HF167" s="8">
        <v>1</v>
      </c>
      <c r="HG167" s="8">
        <v>54</v>
      </c>
      <c r="HH167" s="8">
        <v>11</v>
      </c>
      <c r="HI167" s="8">
        <v>3</v>
      </c>
      <c r="HJ167" s="9">
        <f t="shared" si="848"/>
        <v>4</v>
      </c>
      <c r="HK167" s="10">
        <f t="shared" si="849"/>
        <v>1</v>
      </c>
      <c r="HL167" s="8">
        <v>10</v>
      </c>
      <c r="HM167" s="8">
        <v>3</v>
      </c>
      <c r="HN167" s="11">
        <f t="shared" si="850"/>
        <v>0.3</v>
      </c>
    </row>
    <row r="168" spans="1:222" x14ac:dyDescent="0.3">
      <c r="A168" s="12" t="s">
        <v>280</v>
      </c>
      <c r="B168" s="12" t="s">
        <v>285</v>
      </c>
      <c r="C168" s="13" t="s">
        <v>257</v>
      </c>
      <c r="D168" s="13">
        <v>2026</v>
      </c>
      <c r="E168" s="13">
        <v>1</v>
      </c>
      <c r="F168" s="13" t="s">
        <v>270</v>
      </c>
      <c r="G168" s="13" t="s">
        <v>271</v>
      </c>
      <c r="H168" s="14">
        <v>8226</v>
      </c>
      <c r="I168" s="14">
        <v>2943</v>
      </c>
      <c r="J168" s="14">
        <v>12</v>
      </c>
      <c r="K168" s="14">
        <v>0</v>
      </c>
      <c r="L168" s="14">
        <v>8</v>
      </c>
      <c r="M168" s="15">
        <v>2963</v>
      </c>
      <c r="N168" s="14">
        <v>2651</v>
      </c>
      <c r="O168" s="14">
        <v>10</v>
      </c>
      <c r="P168" s="14">
        <v>41</v>
      </c>
      <c r="Q168" s="14">
        <v>77</v>
      </c>
      <c r="R168" s="15">
        <v>2779</v>
      </c>
      <c r="S168" s="15">
        <v>5742</v>
      </c>
      <c r="T168" s="14">
        <v>2484</v>
      </c>
      <c r="U168" s="16">
        <v>0.30196936542669578</v>
      </c>
      <c r="V168" s="14">
        <v>13</v>
      </c>
      <c r="W168" s="17">
        <v>1.5803549720398731</v>
      </c>
      <c r="X168" s="14">
        <v>0</v>
      </c>
      <c r="Y168" s="17">
        <v>0</v>
      </c>
      <c r="Z168" s="14">
        <v>0</v>
      </c>
      <c r="AA168" s="17">
        <v>0</v>
      </c>
      <c r="AB168" s="14">
        <v>0</v>
      </c>
      <c r="AC168" s="17">
        <v>0</v>
      </c>
      <c r="AD168" s="14">
        <v>0</v>
      </c>
      <c r="AE168" s="17">
        <v>0</v>
      </c>
      <c r="AF168" s="14">
        <v>0</v>
      </c>
      <c r="AG168" s="17">
        <v>0</v>
      </c>
      <c r="AH168" s="14">
        <v>66451.710000000006</v>
      </c>
      <c r="AI168" s="15">
        <v>8.0782530999270605</v>
      </c>
      <c r="AJ168" s="14">
        <v>10715</v>
      </c>
      <c r="AK168" s="17">
        <v>1.3025771942620961</v>
      </c>
      <c r="AL168" s="14">
        <v>1503148.8225</v>
      </c>
      <c r="AM168" s="15">
        <v>182.73143964259671</v>
      </c>
      <c r="AN168" s="14">
        <v>0</v>
      </c>
      <c r="AO168" s="14">
        <v>0</v>
      </c>
      <c r="AP168" s="14">
        <v>0</v>
      </c>
      <c r="AQ168" s="14">
        <v>0</v>
      </c>
      <c r="AR168" s="14">
        <v>5389576.6900000004</v>
      </c>
      <c r="AS168" s="14">
        <v>0</v>
      </c>
      <c r="AT168" s="14">
        <v>464000</v>
      </c>
      <c r="AU168" s="15">
        <v>7423177.2225000001</v>
      </c>
      <c r="AV168" s="15">
        <v>902.40423322392417</v>
      </c>
      <c r="AW168" s="15">
        <v>1292.786001828631</v>
      </c>
      <c r="AX168" s="14">
        <v>6</v>
      </c>
      <c r="AY168" s="15">
        <v>22.611232676878188</v>
      </c>
      <c r="AZ168" s="14">
        <v>7</v>
      </c>
      <c r="BA168" s="14">
        <v>48</v>
      </c>
      <c r="BB168" s="14">
        <v>3</v>
      </c>
      <c r="BC168" s="14">
        <v>0</v>
      </c>
      <c r="BD168" s="14">
        <v>0</v>
      </c>
      <c r="BE168" s="15">
        <v>0</v>
      </c>
      <c r="BF168" s="15">
        <v>51</v>
      </c>
      <c r="BG168" s="14">
        <v>0</v>
      </c>
      <c r="BH168" s="14">
        <v>0</v>
      </c>
      <c r="BI168" s="14">
        <v>0</v>
      </c>
      <c r="BJ168" s="14">
        <v>0</v>
      </c>
      <c r="BK168" s="15">
        <v>0</v>
      </c>
      <c r="BL168" s="15">
        <v>0</v>
      </c>
      <c r="BM168" s="14">
        <v>6</v>
      </c>
      <c r="BN168" s="14">
        <v>0</v>
      </c>
      <c r="BO168" s="14">
        <v>0</v>
      </c>
      <c r="BP168" s="14">
        <v>0</v>
      </c>
      <c r="BQ168" s="15">
        <v>0</v>
      </c>
      <c r="BR168" s="15">
        <v>6</v>
      </c>
      <c r="BS168" s="14">
        <v>0</v>
      </c>
      <c r="BT168" s="14">
        <v>0</v>
      </c>
      <c r="BU168" s="14">
        <v>0</v>
      </c>
      <c r="BV168" s="14">
        <v>0</v>
      </c>
      <c r="BW168" s="15">
        <v>0</v>
      </c>
      <c r="BX168" s="15">
        <v>0</v>
      </c>
      <c r="BY168" s="15">
        <v>54</v>
      </c>
      <c r="BZ168" s="15">
        <v>3</v>
      </c>
      <c r="CA168" s="15">
        <v>0</v>
      </c>
      <c r="CB168" s="15">
        <v>57</v>
      </c>
      <c r="CC168" s="14">
        <v>0</v>
      </c>
      <c r="CD168" s="14">
        <v>413</v>
      </c>
      <c r="CE168" s="14">
        <v>16</v>
      </c>
      <c r="CF168" s="14">
        <v>71</v>
      </c>
      <c r="CG168" s="14">
        <v>0</v>
      </c>
      <c r="CH168" s="15">
        <v>500</v>
      </c>
      <c r="CI168" s="14">
        <v>456</v>
      </c>
      <c r="CJ168" s="14">
        <v>0</v>
      </c>
      <c r="CK168" s="14">
        <v>2</v>
      </c>
      <c r="CL168" s="14">
        <v>1</v>
      </c>
      <c r="CM168" s="15">
        <v>459</v>
      </c>
      <c r="CN168" s="14">
        <v>652</v>
      </c>
      <c r="CO168" s="14">
        <v>33</v>
      </c>
      <c r="CP168" s="14">
        <v>51</v>
      </c>
      <c r="CQ168" s="14">
        <v>2</v>
      </c>
      <c r="CR168" s="15">
        <v>738</v>
      </c>
      <c r="CS168" s="15">
        <v>1197</v>
      </c>
      <c r="CT168" s="14">
        <v>1697</v>
      </c>
      <c r="CU168" s="14">
        <v>9810</v>
      </c>
      <c r="CV168" s="14">
        <v>9010</v>
      </c>
      <c r="CW168" s="16">
        <v>0.9184505606523955</v>
      </c>
      <c r="CX168" s="14">
        <v>0</v>
      </c>
      <c r="CY168" s="14">
        <v>0</v>
      </c>
      <c r="CZ168" s="14">
        <v>0</v>
      </c>
      <c r="DA168" s="14">
        <v>0</v>
      </c>
      <c r="DB168" s="15">
        <v>0</v>
      </c>
      <c r="DC168" s="14">
        <v>0</v>
      </c>
      <c r="DD168" s="14">
        <v>0</v>
      </c>
      <c r="DE168" s="14">
        <v>0</v>
      </c>
      <c r="DF168" s="14">
        <v>0</v>
      </c>
      <c r="DG168" s="15">
        <v>0</v>
      </c>
      <c r="DH168" s="14">
        <v>0</v>
      </c>
      <c r="DI168" s="14">
        <v>0</v>
      </c>
      <c r="DJ168" s="14">
        <v>0</v>
      </c>
      <c r="DK168" s="14">
        <v>0</v>
      </c>
      <c r="DL168" s="15">
        <v>0</v>
      </c>
      <c r="DM168" s="14">
        <v>0</v>
      </c>
      <c r="DN168" s="14">
        <v>5</v>
      </c>
      <c r="DO168" s="14">
        <v>5</v>
      </c>
      <c r="DP168" s="14">
        <v>0</v>
      </c>
      <c r="DQ168" s="15">
        <v>0</v>
      </c>
      <c r="DR168" s="15">
        <v>0</v>
      </c>
      <c r="DS168" s="15">
        <v>0</v>
      </c>
      <c r="DT168" s="15">
        <v>5</v>
      </c>
      <c r="DU168" s="15">
        <v>5</v>
      </c>
      <c r="DV168" s="15">
        <v>0</v>
      </c>
      <c r="DW168" s="14">
        <v>15</v>
      </c>
      <c r="DX168" s="14">
        <v>8</v>
      </c>
      <c r="DY168" s="14">
        <v>3</v>
      </c>
      <c r="DZ168" s="14">
        <v>3</v>
      </c>
      <c r="EA168" s="14">
        <v>0</v>
      </c>
      <c r="EB168" s="14">
        <v>1</v>
      </c>
      <c r="EC168" s="14">
        <v>1</v>
      </c>
      <c r="ED168" s="14">
        <v>0</v>
      </c>
      <c r="EE168" s="14">
        <v>1</v>
      </c>
      <c r="EF168" s="14">
        <v>3</v>
      </c>
      <c r="EG168" s="14">
        <v>0</v>
      </c>
      <c r="EH168" s="14">
        <v>0</v>
      </c>
      <c r="EI168" s="14">
        <v>0</v>
      </c>
      <c r="EJ168" s="14">
        <v>0</v>
      </c>
      <c r="EK168" s="14">
        <v>0</v>
      </c>
      <c r="EL168" s="14">
        <v>0</v>
      </c>
      <c r="EM168" s="14">
        <v>0</v>
      </c>
      <c r="EN168" s="14">
        <v>0</v>
      </c>
      <c r="EO168" s="14">
        <v>0</v>
      </c>
      <c r="EP168" s="14">
        <v>0</v>
      </c>
      <c r="EQ168" s="14">
        <v>0</v>
      </c>
      <c r="ER168" s="14">
        <v>0</v>
      </c>
      <c r="ES168" s="14">
        <v>0</v>
      </c>
      <c r="ET168" s="14">
        <v>0</v>
      </c>
      <c r="EU168" s="14">
        <v>0</v>
      </c>
      <c r="EV168" s="14">
        <v>0</v>
      </c>
      <c r="EW168" s="14">
        <v>0</v>
      </c>
      <c r="EX168" s="14">
        <v>0</v>
      </c>
      <c r="EY168" s="14">
        <v>0</v>
      </c>
      <c r="EZ168" s="14">
        <v>0</v>
      </c>
      <c r="FA168" s="14">
        <v>0</v>
      </c>
      <c r="FB168" s="14">
        <v>0</v>
      </c>
      <c r="FC168" s="14">
        <v>0</v>
      </c>
      <c r="FD168" s="14">
        <v>0</v>
      </c>
      <c r="FE168" s="14">
        <v>0</v>
      </c>
      <c r="FF168" s="14">
        <v>0</v>
      </c>
      <c r="FG168" s="15">
        <v>0</v>
      </c>
      <c r="FH168" s="14">
        <v>31</v>
      </c>
      <c r="FI168" s="14">
        <v>0</v>
      </c>
      <c r="FJ168" s="14">
        <v>20</v>
      </c>
      <c r="FK168" s="14">
        <v>156</v>
      </c>
      <c r="FL168" s="14">
        <v>156</v>
      </c>
      <c r="FM168" s="14">
        <v>0</v>
      </c>
      <c r="FN168" s="14">
        <v>0</v>
      </c>
      <c r="FO168" s="14">
        <v>0</v>
      </c>
      <c r="FP168" s="14">
        <v>0</v>
      </c>
      <c r="FQ168" s="15">
        <v>0</v>
      </c>
      <c r="FR168" s="14">
        <v>1695821.66</v>
      </c>
      <c r="FS168" s="14">
        <v>3000</v>
      </c>
      <c r="FT168" s="14">
        <v>0</v>
      </c>
      <c r="FU168" s="14">
        <v>0</v>
      </c>
      <c r="FV168" s="15">
        <v>0</v>
      </c>
      <c r="FW168" s="14">
        <v>3382200</v>
      </c>
      <c r="FX168" s="14">
        <v>2300</v>
      </c>
      <c r="FY168" s="14">
        <v>368380</v>
      </c>
      <c r="FZ168" s="14">
        <v>127600</v>
      </c>
      <c r="GA168" s="15">
        <v>127600</v>
      </c>
      <c r="GB168" s="15">
        <v>3880480</v>
      </c>
      <c r="GC168" s="14">
        <v>2602869.58</v>
      </c>
      <c r="GD168" s="14">
        <v>2295.36</v>
      </c>
      <c r="GE168" s="14">
        <v>2295.36</v>
      </c>
      <c r="GF168" s="14">
        <v>16821.98</v>
      </c>
      <c r="GG168" s="15">
        <v>16821.98</v>
      </c>
      <c r="GH168" s="14">
        <v>2621986.92</v>
      </c>
      <c r="GI168" s="14">
        <v>0</v>
      </c>
      <c r="GJ168" s="14">
        <v>0</v>
      </c>
      <c r="GK168" s="14">
        <v>0</v>
      </c>
      <c r="GL168" s="15">
        <v>0</v>
      </c>
      <c r="GM168" s="15">
        <v>3880480</v>
      </c>
      <c r="GN168" s="14">
        <v>239537.34</v>
      </c>
      <c r="GO168" s="14">
        <v>191.28</v>
      </c>
      <c r="GP168" s="14">
        <v>191.28</v>
      </c>
      <c r="GQ168" s="14">
        <v>9274.68</v>
      </c>
      <c r="GR168" s="15">
        <v>9274.68</v>
      </c>
      <c r="GS168" s="14">
        <v>407208</v>
      </c>
      <c r="GT168" s="14">
        <v>893</v>
      </c>
      <c r="GU168" s="14">
        <v>893</v>
      </c>
      <c r="GV168" s="14">
        <v>1786</v>
      </c>
      <c r="GW168" s="15">
        <v>1786</v>
      </c>
      <c r="GX168" s="15">
        <v>409887</v>
      </c>
      <c r="GY168" s="14">
        <v>28501558.239999998</v>
      </c>
      <c r="GZ168" s="14">
        <v>0</v>
      </c>
      <c r="HA168" s="15">
        <v>0</v>
      </c>
      <c r="HB168" s="15">
        <v>28501558.239999998</v>
      </c>
      <c r="HC168" s="16">
        <v>7161357.2199999997</v>
      </c>
      <c r="HD168" s="15">
        <v>28501558.239999998</v>
      </c>
      <c r="HE168" s="14">
        <v>71</v>
      </c>
      <c r="HF168" s="14">
        <v>1</v>
      </c>
      <c r="HG168" s="14">
        <v>57</v>
      </c>
      <c r="HH168" s="14">
        <v>3</v>
      </c>
      <c r="HI168" s="14">
        <v>3</v>
      </c>
      <c r="HJ168" s="15">
        <v>3</v>
      </c>
      <c r="HK168" s="16">
        <v>1</v>
      </c>
      <c r="HL168" s="14">
        <v>8</v>
      </c>
      <c r="HM168" s="14">
        <v>2</v>
      </c>
      <c r="HN168" s="17">
        <v>2</v>
      </c>
    </row>
    <row r="169" spans="1:222" x14ac:dyDescent="0.3">
      <c r="A169" s="6" t="s">
        <v>280</v>
      </c>
      <c r="B169" s="6" t="s">
        <v>285</v>
      </c>
      <c r="C169" s="7" t="s">
        <v>257</v>
      </c>
      <c r="D169" s="7">
        <v>2026</v>
      </c>
      <c r="E169" s="7">
        <v>2</v>
      </c>
      <c r="F169" s="7" t="s">
        <v>272</v>
      </c>
      <c r="G169" s="7" t="s">
        <v>271</v>
      </c>
      <c r="H169" s="8">
        <v>9426</v>
      </c>
      <c r="I169" s="8">
        <v>3002</v>
      </c>
      <c r="J169" s="8">
        <v>10</v>
      </c>
      <c r="K169" s="8">
        <v>0</v>
      </c>
      <c r="L169" s="8">
        <v>41</v>
      </c>
      <c r="M169" s="9">
        <f t="shared" ref="M169:M179" si="851">SUM(I169,J169,K169,L169)</f>
        <v>3053</v>
      </c>
      <c r="N169" s="8">
        <v>2986</v>
      </c>
      <c r="O169" s="8">
        <v>36</v>
      </c>
      <c r="P169" s="8">
        <v>49</v>
      </c>
      <c r="Q169" s="8">
        <v>320</v>
      </c>
      <c r="R169" s="9">
        <f t="shared" ref="R169:R179" si="852">SUM(N169,O169,P169,Q169)</f>
        <v>3391</v>
      </c>
      <c r="S169" s="9">
        <f t="shared" ref="S169:S179" si="853">M169+R169</f>
        <v>6444</v>
      </c>
      <c r="T169" s="8">
        <v>2982</v>
      </c>
      <c r="U169" s="10">
        <f t="shared" ref="U169:U179" si="854">IF(H169=0,"",T169/H169)</f>
        <v>0.31635900700190961</v>
      </c>
      <c r="V169" s="8">
        <v>13</v>
      </c>
      <c r="W169" s="11">
        <f t="shared" ref="W169:W179" si="855">IF(H169=0,"",V169/H169)</f>
        <v>1.3791640144281774E-3</v>
      </c>
      <c r="X169" s="8">
        <v>0</v>
      </c>
      <c r="Y169" s="11">
        <f t="shared" ref="Y169:Y179" si="856">IF(H169=0,"",X169/H169)</f>
        <v>0</v>
      </c>
      <c r="Z169" s="8">
        <v>0</v>
      </c>
      <c r="AA169" s="11">
        <f t="shared" ref="AA169:AA179" si="857">IF(H169=0,"",Z169/H169)</f>
        <v>0</v>
      </c>
      <c r="AB169" s="8">
        <v>0</v>
      </c>
      <c r="AC169" s="11">
        <f t="shared" ref="AC169:AC179" si="858">IF(H169=0,"",AB169/H169)</f>
        <v>0</v>
      </c>
      <c r="AD169" s="8">
        <v>0</v>
      </c>
      <c r="AE169" s="11">
        <f t="shared" ref="AE169:AE179" si="859">IF(H169=0,"",AD169/H169)</f>
        <v>0</v>
      </c>
      <c r="AF169" s="8">
        <v>0</v>
      </c>
      <c r="AG169" s="11">
        <f t="shared" ref="AG169:AG179" si="860">IF(H169=0,"",AF169/H169)</f>
        <v>0</v>
      </c>
      <c r="AH169" s="8">
        <v>66451.710000000006</v>
      </c>
      <c r="AI169" s="9">
        <f t="shared" ref="AI169:AI179" si="861">IF(H169=0,"",AH169/H169)</f>
        <v>7.0498313176320826</v>
      </c>
      <c r="AJ169" s="8">
        <v>9376</v>
      </c>
      <c r="AK169" s="11">
        <f t="shared" ref="AK169:AK179" si="862">IF(H169=0,"",AJ169/H169)</f>
        <v>0.99469552302143005</v>
      </c>
      <c r="AL169" s="8">
        <v>1317360.564</v>
      </c>
      <c r="AM169" s="9">
        <f t="shared" ref="AM169:AM179" si="863">IF(H169=0,"",AL169/H169)</f>
        <v>139.75817568427752</v>
      </c>
      <c r="AN169" s="8">
        <v>0</v>
      </c>
      <c r="AO169" s="8">
        <v>0</v>
      </c>
      <c r="AP169" s="8">
        <v>0</v>
      </c>
      <c r="AQ169" s="8">
        <v>0</v>
      </c>
      <c r="AR169" s="8">
        <v>4861646.6399999997</v>
      </c>
      <c r="AS169" s="8">
        <v>1417232.4624999999</v>
      </c>
      <c r="AT169" s="8">
        <v>1525725</v>
      </c>
      <c r="AU169" s="9">
        <f t="shared" ref="AU169:AU179" si="864">AH169+AL169+AP169+AQ169+AR169+AS169+AT169</f>
        <v>9188416.3764999993</v>
      </c>
      <c r="AV169" s="9">
        <f t="shared" ref="AV169:AV179" si="865">IF(H169=0,"",AU169/H169)</f>
        <v>974.79486277318051</v>
      </c>
      <c r="AW169" s="9">
        <f t="shared" ref="AW169:AW179" si="866">IF(S169=0,"",AU169/S169)</f>
        <v>1425.887085117939</v>
      </c>
      <c r="AX169" s="8">
        <v>6</v>
      </c>
      <c r="AY169" s="9">
        <f t="shared" ref="AY169:AY179" si="867">IF(H169=0,"",AX169/(H169/1000/12))</f>
        <v>7.6384468491406752</v>
      </c>
      <c r="AZ169" s="8">
        <v>7</v>
      </c>
      <c r="BA169" s="8">
        <v>51</v>
      </c>
      <c r="BB169" s="8">
        <v>8</v>
      </c>
      <c r="BC169" s="8">
        <v>0</v>
      </c>
      <c r="BD169" s="8">
        <v>11</v>
      </c>
      <c r="BE169" s="9">
        <f t="shared" ref="BE169:BE179" si="868">BC169+BD169</f>
        <v>11</v>
      </c>
      <c r="BF169" s="9">
        <f t="shared" ref="BF169:BF179" si="869">BA169+BB169-BE169</f>
        <v>48</v>
      </c>
      <c r="BG169" s="8">
        <v>0</v>
      </c>
      <c r="BH169" s="8">
        <v>0</v>
      </c>
      <c r="BI169" s="8">
        <v>0</v>
      </c>
      <c r="BJ169" s="8">
        <v>0</v>
      </c>
      <c r="BK169" s="9">
        <f t="shared" ref="BK169:BK179" si="870">BI169+BJ169</f>
        <v>0</v>
      </c>
      <c r="BL169" s="9">
        <f t="shared" ref="BL169:BL179" si="871">BG169+BH169-BK169</f>
        <v>0</v>
      </c>
      <c r="BM169" s="8">
        <v>6</v>
      </c>
      <c r="BN169" s="8">
        <v>0</v>
      </c>
      <c r="BO169" s="8">
        <v>0</v>
      </c>
      <c r="BP169" s="8">
        <v>0</v>
      </c>
      <c r="BQ169" s="9">
        <f t="shared" ref="BQ169:BQ179" si="872">BO169+BP169</f>
        <v>0</v>
      </c>
      <c r="BR169" s="9">
        <f t="shared" ref="BR169:BR179" si="873">BM169+BN169-BQ169</f>
        <v>6</v>
      </c>
      <c r="BS169" s="8">
        <v>0</v>
      </c>
      <c r="BT169" s="8">
        <v>0</v>
      </c>
      <c r="BU169" s="8">
        <v>0</v>
      </c>
      <c r="BV169" s="8">
        <v>0</v>
      </c>
      <c r="BW169" s="9">
        <f t="shared" ref="BW169:BW179" si="874">BU169+BV169</f>
        <v>0</v>
      </c>
      <c r="BX169" s="9">
        <f t="shared" ref="BX169:BX179" si="875">BS169+BT169-BW169</f>
        <v>0</v>
      </c>
      <c r="BY169" s="9">
        <f t="shared" ref="BY169:BY179" si="876">BA169+BG169+BM169+BS169</f>
        <v>57</v>
      </c>
      <c r="BZ169" s="9">
        <f t="shared" ref="BZ169:BZ179" si="877">BB169+BH169+BN169+BT169</f>
        <v>8</v>
      </c>
      <c r="CA169" s="9">
        <f t="shared" ref="CA169:CA179" si="878">BE169+BK169+BQ169+BW169</f>
        <v>11</v>
      </c>
      <c r="CB169" s="9">
        <f t="shared" ref="CB169:CB179" si="879">BF169+BL169+BR169+BX169</f>
        <v>54</v>
      </c>
      <c r="CC169" s="8">
        <v>11</v>
      </c>
      <c r="CD169" s="8">
        <v>432</v>
      </c>
      <c r="CE169" s="8">
        <v>18</v>
      </c>
      <c r="CF169" s="8">
        <v>70</v>
      </c>
      <c r="CG169" s="8">
        <v>0</v>
      </c>
      <c r="CH169" s="9">
        <f t="shared" ref="CH169:CH179" si="880">CD169+CE169+CF169+CG169</f>
        <v>520</v>
      </c>
      <c r="CI169" s="8">
        <v>433</v>
      </c>
      <c r="CJ169" s="8">
        <v>0</v>
      </c>
      <c r="CK169" s="8">
        <v>3</v>
      </c>
      <c r="CL169" s="8">
        <v>1</v>
      </c>
      <c r="CM169" s="9">
        <f t="shared" ref="CM169:CM179" si="881">CI169+CJ169+CK169+CL169</f>
        <v>437</v>
      </c>
      <c r="CN169" s="8">
        <v>682</v>
      </c>
      <c r="CO169" s="8">
        <v>24</v>
      </c>
      <c r="CP169" s="8">
        <v>43</v>
      </c>
      <c r="CQ169" s="8">
        <v>2</v>
      </c>
      <c r="CR169" s="9">
        <f t="shared" ref="CR169:CR179" si="882">CN169+CO169+CP169+CQ169</f>
        <v>751</v>
      </c>
      <c r="CS169" s="9">
        <f t="shared" ref="CS169:CS179" si="883">CM169+CR169</f>
        <v>1188</v>
      </c>
      <c r="CT169" s="8">
        <v>1708</v>
      </c>
      <c r="CU169" s="8">
        <v>9810</v>
      </c>
      <c r="CV169" s="8">
        <v>9015</v>
      </c>
      <c r="CW169" s="10">
        <f t="shared" ref="CW169:CW179" si="884">IF(CU169=0,"",CV169/CU169)</f>
        <v>0.91896024464831805</v>
      </c>
      <c r="CX169" s="8"/>
      <c r="CY169" s="8"/>
      <c r="CZ169" s="8"/>
      <c r="DA169" s="8"/>
      <c r="DB169" s="9">
        <f t="shared" ref="DB169:DB179" si="885">CX169+CY169-CZ169-DA169</f>
        <v>0</v>
      </c>
      <c r="DC169" s="8">
        <v>0</v>
      </c>
      <c r="DD169" s="8">
        <v>0</v>
      </c>
      <c r="DE169" s="8">
        <v>0</v>
      </c>
      <c r="DF169" s="8">
        <v>0</v>
      </c>
      <c r="DG169" s="9">
        <f t="shared" ref="DG169:DG179" si="886">DC169+DD169-DE169-DF169</f>
        <v>0</v>
      </c>
      <c r="DH169" s="8">
        <v>0</v>
      </c>
      <c r="DI169" s="8">
        <v>0</v>
      </c>
      <c r="DJ169" s="8">
        <v>0</v>
      </c>
      <c r="DK169" s="8">
        <v>0</v>
      </c>
      <c r="DL169" s="9">
        <f t="shared" ref="DL169:DL179" si="887">DH169+DI169-DJ169-DK169</f>
        <v>0</v>
      </c>
      <c r="DM169" s="8">
        <v>0</v>
      </c>
      <c r="DN169" s="8">
        <v>15</v>
      </c>
      <c r="DO169" s="8">
        <v>0</v>
      </c>
      <c r="DP169" s="8">
        <v>0</v>
      </c>
      <c r="DQ169" s="9">
        <f t="shared" ref="DQ169:DQ179" si="888">DM169+DN169-DO169-DP169</f>
        <v>15</v>
      </c>
      <c r="DR169" s="9">
        <f t="shared" ref="DR169:DR179" si="889">CX169+DC169+DH169+DM169</f>
        <v>0</v>
      </c>
      <c r="DS169" s="9">
        <f t="shared" ref="DS169:DS179" si="890">CY169+DD169+DI169+DN169</f>
        <v>15</v>
      </c>
      <c r="DT169" s="9">
        <f t="shared" ref="DT169:DT179" si="891">CZ169+DE169+DJ169+DO169</f>
        <v>0</v>
      </c>
      <c r="DU169" s="9">
        <f t="shared" ref="DU169:DU179" si="892">DA169+DF169+DK169+DP169</f>
        <v>0</v>
      </c>
      <c r="DV169" s="9">
        <f t="shared" ref="DV169:DV179" si="893">DB169+DG169+DL169+DQ169</f>
        <v>15</v>
      </c>
      <c r="DW169" s="8">
        <v>16</v>
      </c>
      <c r="DX169" s="8">
        <v>9</v>
      </c>
      <c r="DY169" s="8">
        <v>3</v>
      </c>
      <c r="DZ169" s="8">
        <v>0</v>
      </c>
      <c r="EA169" s="8">
        <v>0</v>
      </c>
      <c r="EB169" s="8">
        <v>2</v>
      </c>
      <c r="EC169" s="8">
        <v>0</v>
      </c>
      <c r="ED169" s="8">
        <v>0</v>
      </c>
      <c r="EE169" s="8">
        <v>1</v>
      </c>
      <c r="EF169" s="8">
        <v>0</v>
      </c>
      <c r="EG169" s="8">
        <v>0</v>
      </c>
      <c r="EH169" s="8">
        <v>0</v>
      </c>
      <c r="EI169" s="8">
        <v>0</v>
      </c>
      <c r="EJ169" s="8">
        <v>0</v>
      </c>
      <c r="EK169" s="8">
        <v>0</v>
      </c>
      <c r="EL169" s="8">
        <v>0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8">
        <v>0</v>
      </c>
      <c r="ES169" s="8">
        <v>0</v>
      </c>
      <c r="ET169" s="8">
        <v>0</v>
      </c>
      <c r="EU169" s="8">
        <v>0</v>
      </c>
      <c r="EV169" s="8">
        <v>0</v>
      </c>
      <c r="EW169" s="8">
        <v>0</v>
      </c>
      <c r="EX169" s="8">
        <v>0</v>
      </c>
      <c r="EY169" s="8">
        <v>0</v>
      </c>
      <c r="EZ169" s="8">
        <v>0</v>
      </c>
      <c r="FA169" s="8">
        <v>0</v>
      </c>
      <c r="FB169" s="8">
        <v>0</v>
      </c>
      <c r="FC169" s="8">
        <v>0</v>
      </c>
      <c r="FD169" s="8">
        <v>0</v>
      </c>
      <c r="FE169" s="8">
        <v>0</v>
      </c>
      <c r="FF169" s="8">
        <v>0</v>
      </c>
      <c r="FG169" s="9">
        <f t="shared" ref="FG169:FG179" si="894">SUM(DW169,DX169,DY169,DZ169,EA169,EB169,EC169,ED169,EE169,EF169,EG169,EH169,EI169,EJ169,EK169,EL169,EM169,EN169,EO169,EP169,EQ169,ER169,ES169,ET169,EU169,EV169,EW169,EX169,EY169,EZ169,FA169,FB169,FC169,FD169,FE169,FF169)</f>
        <v>31</v>
      </c>
      <c r="FH169" s="8">
        <v>0</v>
      </c>
      <c r="FI169" s="8">
        <v>0</v>
      </c>
      <c r="FJ169" s="8">
        <v>21</v>
      </c>
      <c r="FK169" s="8">
        <v>180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9">
        <f t="shared" ref="FQ169:FQ179" si="895">FL169+FM169+FN169+FO169+FP169</f>
        <v>0</v>
      </c>
      <c r="FR169" s="8">
        <v>2043864.44</v>
      </c>
      <c r="FS169" s="8">
        <v>0</v>
      </c>
      <c r="FT169" s="8">
        <v>18000</v>
      </c>
      <c r="FU169" s="8">
        <v>0</v>
      </c>
      <c r="FV169" s="9">
        <f t="shared" ref="FV169:FV179" si="896">FR169+FS169+FT169+FU169</f>
        <v>2061864.44</v>
      </c>
      <c r="FW169" s="8">
        <v>3897180</v>
      </c>
      <c r="FX169" s="8">
        <v>7600</v>
      </c>
      <c r="FY169" s="8">
        <v>1514192</v>
      </c>
      <c r="FZ169" s="8">
        <v>299900</v>
      </c>
      <c r="GA169" s="9">
        <f t="shared" ref="GA169:GA179" si="897">FW169+FX169+FY169+FZ169</f>
        <v>5718872</v>
      </c>
      <c r="GB169" s="9">
        <f t="shared" ref="GB169:GB179" si="898">FV169+GA169</f>
        <v>7780736.4399999995</v>
      </c>
      <c r="GC169" s="8">
        <v>2654519.12</v>
      </c>
      <c r="GD169" s="8">
        <v>1912.8</v>
      </c>
      <c r="GE169" s="8">
        <v>0</v>
      </c>
      <c r="GF169" s="8">
        <v>175983.27</v>
      </c>
      <c r="GG169" s="9">
        <f t="shared" ref="GG169:GG179" si="899">GC169+GD169+GE169+GF169</f>
        <v>2832415.19</v>
      </c>
      <c r="GH169" s="8">
        <v>0</v>
      </c>
      <c r="GI169" s="8">
        <v>0</v>
      </c>
      <c r="GJ169" s="8">
        <v>0</v>
      </c>
      <c r="GK169" s="8">
        <v>0</v>
      </c>
      <c r="GL169" s="9">
        <f t="shared" ref="GL169:GL179" si="900">GH169+GI169+GJ169+GK169</f>
        <v>0</v>
      </c>
      <c r="GM169" s="9">
        <f t="shared" ref="GM169:GM179" si="901">GG169+GL169</f>
        <v>2832415.19</v>
      </c>
      <c r="GN169" s="8">
        <v>227167.8</v>
      </c>
      <c r="GO169" s="8">
        <v>191.28</v>
      </c>
      <c r="GP169" s="8">
        <v>0</v>
      </c>
      <c r="GQ169" s="8">
        <v>13912.02</v>
      </c>
      <c r="GR169" s="9">
        <f t="shared" ref="GR169:GR179" si="902">GN169+GO169+GP169+GQ169</f>
        <v>241271.09999999998</v>
      </c>
      <c r="GS169" s="8">
        <v>386699</v>
      </c>
      <c r="GT169" s="8">
        <v>893</v>
      </c>
      <c r="GU169" s="8">
        <v>0</v>
      </c>
      <c r="GV169" s="8">
        <v>2679</v>
      </c>
      <c r="GW169" s="9">
        <f t="shared" ref="GW169:GW179" si="903">GS169+GT169+GU169+GV169</f>
        <v>390271</v>
      </c>
      <c r="GX169" s="9">
        <f t="shared" ref="GX169:GX179" si="904">GM169+GR169+GW169</f>
        <v>3463957.29</v>
      </c>
      <c r="GY169" s="8">
        <v>28590086.649999999</v>
      </c>
      <c r="GZ169" s="8">
        <v>0</v>
      </c>
      <c r="HA169" s="9">
        <f t="shared" ref="HA169:HA179" si="905">GY169+GZ169</f>
        <v>28590086.649999999</v>
      </c>
      <c r="HB169" s="9">
        <f t="shared" ref="HB169:HB179" si="906">IF(GX169=0,"",AU169/GX169)</f>
        <v>2.6525778487586371</v>
      </c>
      <c r="HC169" s="10">
        <f t="shared" ref="HC169:HC179" si="907">IF((GX169+GY169)=0,"",GB169/(GX169+GY169))</f>
        <v>0.24273805996411196</v>
      </c>
      <c r="HD169" s="9">
        <f t="shared" ref="HD169:HD179" si="908">IF(GX169=0,"",GB169/GX169)</f>
        <v>2.2461987226176219</v>
      </c>
      <c r="HE169" s="8">
        <v>8</v>
      </c>
      <c r="HF169" s="8">
        <v>1</v>
      </c>
      <c r="HG169" s="8">
        <v>54</v>
      </c>
      <c r="HH169" s="8">
        <v>8</v>
      </c>
      <c r="HI169" s="8">
        <v>3</v>
      </c>
      <c r="HJ169" s="9">
        <f t="shared" ref="HJ169:HJ179" si="909">HF169+HI169</f>
        <v>4</v>
      </c>
      <c r="HK169" s="10">
        <f t="shared" ref="HK169:HK179" si="910">IF(HE169=0,"",HH169/HE169)</f>
        <v>1</v>
      </c>
      <c r="HL169" s="8">
        <v>10</v>
      </c>
      <c r="HM169" s="8">
        <v>2</v>
      </c>
      <c r="HN169" s="11">
        <f t="shared" ref="HN169:HN179" si="911">IF(HL169=0,"",HM169/HL169)</f>
        <v>0.2</v>
      </c>
    </row>
    <row r="170" spans="1:222" x14ac:dyDescent="0.3">
      <c r="A170" s="12" t="s">
        <v>280</v>
      </c>
      <c r="B170" s="12" t="s">
        <v>285</v>
      </c>
      <c r="C170" s="13" t="s">
        <v>257</v>
      </c>
      <c r="D170" s="13">
        <v>2026</v>
      </c>
      <c r="E170" s="13">
        <v>3</v>
      </c>
      <c r="F170" s="13" t="s">
        <v>273</v>
      </c>
      <c r="G170" s="13" t="s">
        <v>271</v>
      </c>
      <c r="H170" s="14">
        <v>7750</v>
      </c>
      <c r="I170" s="14">
        <v>2798</v>
      </c>
      <c r="J170" s="14">
        <v>5</v>
      </c>
      <c r="K170" s="14">
        <v>0</v>
      </c>
      <c r="L170" s="14">
        <v>17</v>
      </c>
      <c r="M170" s="15">
        <f t="shared" si="851"/>
        <v>2820</v>
      </c>
      <c r="N170" s="14">
        <v>2632</v>
      </c>
      <c r="O170" s="14">
        <v>10</v>
      </c>
      <c r="P170" s="14">
        <v>59</v>
      </c>
      <c r="Q170" s="14">
        <v>62</v>
      </c>
      <c r="R170" s="15">
        <f t="shared" si="852"/>
        <v>2763</v>
      </c>
      <c r="S170" s="15">
        <f t="shared" si="853"/>
        <v>5583</v>
      </c>
      <c r="T170" s="14">
        <v>2167</v>
      </c>
      <c r="U170" s="16">
        <f t="shared" si="854"/>
        <v>0.27961290322580645</v>
      </c>
      <c r="V170" s="14">
        <v>14</v>
      </c>
      <c r="W170" s="17">
        <f t="shared" si="855"/>
        <v>1.8064516129032257E-3</v>
      </c>
      <c r="X170" s="14">
        <v>0</v>
      </c>
      <c r="Y170" s="17">
        <f t="shared" si="856"/>
        <v>0</v>
      </c>
      <c r="Z170" s="14">
        <v>0</v>
      </c>
      <c r="AA170" s="17">
        <f t="shared" si="857"/>
        <v>0</v>
      </c>
      <c r="AB170" s="14">
        <v>0</v>
      </c>
      <c r="AC170" s="17">
        <f t="shared" si="858"/>
        <v>0</v>
      </c>
      <c r="AD170" s="14">
        <v>0</v>
      </c>
      <c r="AE170" s="17">
        <f t="shared" si="859"/>
        <v>0</v>
      </c>
      <c r="AF170" s="14">
        <v>0</v>
      </c>
      <c r="AG170" s="17">
        <f t="shared" si="860"/>
        <v>0</v>
      </c>
      <c r="AH170" s="14">
        <v>71563.38</v>
      </c>
      <c r="AI170" s="15">
        <f t="shared" si="861"/>
        <v>9.2339845161290324</v>
      </c>
      <c r="AJ170" s="14">
        <v>9698</v>
      </c>
      <c r="AK170" s="17">
        <f t="shared" si="862"/>
        <v>1.2513548387096773</v>
      </c>
      <c r="AL170" s="14">
        <v>16426.5</v>
      </c>
      <c r="AM170" s="15">
        <f t="shared" si="863"/>
        <v>2.1195483870967742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5">
        <f t="shared" si="864"/>
        <v>87989.88</v>
      </c>
      <c r="AV170" s="15">
        <f t="shared" si="865"/>
        <v>11.353532903225807</v>
      </c>
      <c r="AW170" s="15">
        <f t="shared" si="866"/>
        <v>15.7603224073079</v>
      </c>
      <c r="AX170" s="14">
        <v>6</v>
      </c>
      <c r="AY170" s="15">
        <f t="shared" si="867"/>
        <v>9.2903225806451601</v>
      </c>
      <c r="AZ170" s="14">
        <v>6</v>
      </c>
      <c r="BA170" s="14">
        <v>48</v>
      </c>
      <c r="BB170" s="14">
        <v>8</v>
      </c>
      <c r="BC170" s="14">
        <v>0</v>
      </c>
      <c r="BD170" s="14">
        <v>4</v>
      </c>
      <c r="BE170" s="15">
        <f t="shared" si="868"/>
        <v>4</v>
      </c>
      <c r="BF170" s="15">
        <f t="shared" si="869"/>
        <v>52</v>
      </c>
      <c r="BG170" s="14">
        <v>0</v>
      </c>
      <c r="BH170" s="14">
        <v>0</v>
      </c>
      <c r="BI170" s="14">
        <v>0</v>
      </c>
      <c r="BJ170" s="14">
        <v>0</v>
      </c>
      <c r="BK170" s="15">
        <f t="shared" si="870"/>
        <v>0</v>
      </c>
      <c r="BL170" s="15">
        <f t="shared" si="871"/>
        <v>0</v>
      </c>
      <c r="BM170" s="14">
        <v>6</v>
      </c>
      <c r="BN170" s="14">
        <v>0</v>
      </c>
      <c r="BO170" s="14">
        <v>0</v>
      </c>
      <c r="BP170" s="14">
        <v>1</v>
      </c>
      <c r="BQ170" s="15">
        <f t="shared" si="872"/>
        <v>1</v>
      </c>
      <c r="BR170" s="15">
        <f t="shared" si="873"/>
        <v>5</v>
      </c>
      <c r="BS170" s="14">
        <v>0</v>
      </c>
      <c r="BT170" s="14">
        <v>0</v>
      </c>
      <c r="BU170" s="14">
        <v>0</v>
      </c>
      <c r="BV170" s="14">
        <v>0</v>
      </c>
      <c r="BW170" s="15">
        <f t="shared" si="874"/>
        <v>0</v>
      </c>
      <c r="BX170" s="15">
        <f t="shared" si="875"/>
        <v>0</v>
      </c>
      <c r="BY170" s="15">
        <f t="shared" si="876"/>
        <v>54</v>
      </c>
      <c r="BZ170" s="15">
        <f t="shared" si="877"/>
        <v>8</v>
      </c>
      <c r="CA170" s="15">
        <f t="shared" si="878"/>
        <v>5</v>
      </c>
      <c r="CB170" s="15">
        <f t="shared" si="879"/>
        <v>57</v>
      </c>
      <c r="CC170" s="14">
        <v>10</v>
      </c>
      <c r="CD170" s="14">
        <v>428</v>
      </c>
      <c r="CE170" s="14">
        <v>18</v>
      </c>
      <c r="CF170" s="14">
        <v>70</v>
      </c>
      <c r="CG170" s="14">
        <v>0</v>
      </c>
      <c r="CH170" s="15">
        <f t="shared" si="880"/>
        <v>516</v>
      </c>
      <c r="CI170" s="14">
        <v>425</v>
      </c>
      <c r="CJ170" s="14">
        <v>0</v>
      </c>
      <c r="CK170" s="14">
        <v>3</v>
      </c>
      <c r="CL170" s="14">
        <v>1</v>
      </c>
      <c r="CM170" s="15">
        <f t="shared" si="881"/>
        <v>429</v>
      </c>
      <c r="CN170" s="14">
        <v>700</v>
      </c>
      <c r="CO170" s="14">
        <v>25</v>
      </c>
      <c r="CP170" s="14">
        <v>46</v>
      </c>
      <c r="CQ170" s="14">
        <v>2</v>
      </c>
      <c r="CR170" s="15">
        <f t="shared" si="882"/>
        <v>773</v>
      </c>
      <c r="CS170" s="15">
        <f t="shared" si="883"/>
        <v>1202</v>
      </c>
      <c r="CT170" s="14">
        <v>1718</v>
      </c>
      <c r="CU170" s="14">
        <v>9810</v>
      </c>
      <c r="CV170" s="14">
        <v>9015</v>
      </c>
      <c r="CW170" s="16">
        <f t="shared" si="884"/>
        <v>0.91896024464831805</v>
      </c>
      <c r="CX170" s="14"/>
      <c r="CY170" s="14"/>
      <c r="CZ170" s="14"/>
      <c r="DA170" s="14"/>
      <c r="DB170" s="15">
        <f t="shared" si="885"/>
        <v>0</v>
      </c>
      <c r="DC170" s="14">
        <v>0</v>
      </c>
      <c r="DD170" s="14">
        <v>0</v>
      </c>
      <c r="DE170" s="14">
        <v>0</v>
      </c>
      <c r="DF170" s="14">
        <v>0</v>
      </c>
      <c r="DG170" s="15">
        <f t="shared" si="886"/>
        <v>0</v>
      </c>
      <c r="DH170" s="14">
        <v>0</v>
      </c>
      <c r="DI170" s="14">
        <v>0</v>
      </c>
      <c r="DJ170" s="14">
        <v>0</v>
      </c>
      <c r="DK170" s="14">
        <v>0</v>
      </c>
      <c r="DL170" s="15">
        <f t="shared" si="887"/>
        <v>0</v>
      </c>
      <c r="DM170" s="14">
        <v>15</v>
      </c>
      <c r="DN170" s="14">
        <v>1</v>
      </c>
      <c r="DO170" s="14">
        <v>16</v>
      </c>
      <c r="DP170" s="14">
        <v>0</v>
      </c>
      <c r="DQ170" s="15">
        <f t="shared" si="888"/>
        <v>0</v>
      </c>
      <c r="DR170" s="15">
        <f t="shared" si="889"/>
        <v>15</v>
      </c>
      <c r="DS170" s="15">
        <f t="shared" si="890"/>
        <v>1</v>
      </c>
      <c r="DT170" s="15">
        <f t="shared" si="891"/>
        <v>16</v>
      </c>
      <c r="DU170" s="15">
        <f t="shared" si="892"/>
        <v>0</v>
      </c>
      <c r="DV170" s="15">
        <f t="shared" si="893"/>
        <v>0</v>
      </c>
      <c r="DW170" s="14">
        <v>17</v>
      </c>
      <c r="DX170" s="14">
        <v>10</v>
      </c>
      <c r="DY170" s="14">
        <v>3</v>
      </c>
      <c r="DZ170" s="14">
        <v>0</v>
      </c>
      <c r="EA170" s="14">
        <v>0</v>
      </c>
      <c r="EB170" s="14">
        <v>0</v>
      </c>
      <c r="EC170" s="14">
        <v>0</v>
      </c>
      <c r="ED170" s="14">
        <v>0</v>
      </c>
      <c r="EE170" s="14">
        <v>1</v>
      </c>
      <c r="EF170" s="14">
        <v>0</v>
      </c>
      <c r="EG170" s="14">
        <v>0</v>
      </c>
      <c r="EH170" s="14">
        <v>0</v>
      </c>
      <c r="EI170" s="14">
        <v>0</v>
      </c>
      <c r="EJ170" s="14">
        <v>0</v>
      </c>
      <c r="EK170" s="14">
        <v>0</v>
      </c>
      <c r="EL170" s="14">
        <v>0</v>
      </c>
      <c r="EM170" s="14">
        <v>0</v>
      </c>
      <c r="EN170" s="14">
        <v>0</v>
      </c>
      <c r="EO170" s="14">
        <v>0</v>
      </c>
      <c r="EP170" s="14">
        <v>0</v>
      </c>
      <c r="EQ170" s="14">
        <v>0</v>
      </c>
      <c r="ER170" s="14">
        <v>0</v>
      </c>
      <c r="ES170" s="14">
        <v>0</v>
      </c>
      <c r="ET170" s="14">
        <v>0</v>
      </c>
      <c r="EU170" s="14">
        <v>0</v>
      </c>
      <c r="EV170" s="14">
        <v>0</v>
      </c>
      <c r="EW170" s="14">
        <v>0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0</v>
      </c>
      <c r="FD170" s="14">
        <v>0</v>
      </c>
      <c r="FE170" s="14">
        <v>0</v>
      </c>
      <c r="FF170" s="14">
        <v>0</v>
      </c>
      <c r="FG170" s="15">
        <f t="shared" si="894"/>
        <v>31</v>
      </c>
      <c r="FH170" s="14">
        <v>0</v>
      </c>
      <c r="FI170" s="14">
        <v>0</v>
      </c>
      <c r="FJ170" s="14">
        <v>21</v>
      </c>
      <c r="FK170" s="14">
        <v>165</v>
      </c>
      <c r="FL170" s="14">
        <v>0</v>
      </c>
      <c r="FM170" s="14">
        <v>0</v>
      </c>
      <c r="FN170" s="14">
        <v>0</v>
      </c>
      <c r="FO170" s="14">
        <v>0</v>
      </c>
      <c r="FP170" s="14">
        <v>0</v>
      </c>
      <c r="FQ170" s="15">
        <f t="shared" si="895"/>
        <v>0</v>
      </c>
      <c r="FR170" s="14">
        <v>3213964.44</v>
      </c>
      <c r="FS170" s="14">
        <v>10000</v>
      </c>
      <c r="FT170" s="14">
        <v>164067.22</v>
      </c>
      <c r="FU170" s="14">
        <v>0</v>
      </c>
      <c r="FV170" s="15">
        <f t="shared" si="896"/>
        <v>3388031.66</v>
      </c>
      <c r="FW170" s="14">
        <v>3482928</v>
      </c>
      <c r="FX170" s="14">
        <v>2200</v>
      </c>
      <c r="FY170" s="14">
        <v>305200</v>
      </c>
      <c r="FZ170" s="14">
        <v>217300</v>
      </c>
      <c r="GA170" s="15">
        <f t="shared" si="897"/>
        <v>4007628</v>
      </c>
      <c r="GB170" s="15">
        <f t="shared" si="898"/>
        <v>7395659.6600000001</v>
      </c>
      <c r="GC170" s="14">
        <v>2471806.85</v>
      </c>
      <c r="GD170" s="14">
        <v>956.4</v>
      </c>
      <c r="GE170" s="14">
        <v>0</v>
      </c>
      <c r="GF170" s="14">
        <v>42161.17</v>
      </c>
      <c r="GG170" s="15">
        <f t="shared" si="899"/>
        <v>2514924.42</v>
      </c>
      <c r="GH170" s="14">
        <v>0</v>
      </c>
      <c r="GI170" s="14">
        <v>0</v>
      </c>
      <c r="GJ170" s="14">
        <v>0</v>
      </c>
      <c r="GK170" s="14">
        <v>0</v>
      </c>
      <c r="GL170" s="15">
        <f t="shared" si="900"/>
        <v>0</v>
      </c>
      <c r="GM170" s="15">
        <f t="shared" si="901"/>
        <v>2514924.42</v>
      </c>
      <c r="GN170" s="14">
        <v>222972.21</v>
      </c>
      <c r="GO170" s="14">
        <v>191.28</v>
      </c>
      <c r="GP170" s="14">
        <v>0</v>
      </c>
      <c r="GQ170" s="14">
        <v>13912.2</v>
      </c>
      <c r="GR170" s="15">
        <f t="shared" si="902"/>
        <v>237075.69</v>
      </c>
      <c r="GS170" s="14">
        <v>379525</v>
      </c>
      <c r="GT170" s="14">
        <v>893</v>
      </c>
      <c r="GU170" s="14">
        <v>0</v>
      </c>
      <c r="GV170" s="14">
        <v>2679</v>
      </c>
      <c r="GW170" s="15">
        <f t="shared" si="903"/>
        <v>383097</v>
      </c>
      <c r="GX170" s="15">
        <f t="shared" si="904"/>
        <v>3135097.11</v>
      </c>
      <c r="GY170" s="14">
        <v>28685558.109999999</v>
      </c>
      <c r="GZ170" s="14">
        <v>0</v>
      </c>
      <c r="HA170" s="15">
        <f t="shared" si="905"/>
        <v>28685558.109999999</v>
      </c>
      <c r="HB170" s="15">
        <f t="shared" si="906"/>
        <v>2.8066077991440595E-2</v>
      </c>
      <c r="HC170" s="16">
        <f t="shared" si="907"/>
        <v>0.23241695084115244</v>
      </c>
      <c r="HD170" s="15">
        <f t="shared" si="908"/>
        <v>2.3589890202795027</v>
      </c>
      <c r="HE170" s="14">
        <v>8</v>
      </c>
      <c r="HF170" s="14">
        <v>1</v>
      </c>
      <c r="HG170" s="14">
        <v>57</v>
      </c>
      <c r="HH170" s="14">
        <v>6</v>
      </c>
      <c r="HI170" s="14">
        <v>3</v>
      </c>
      <c r="HJ170" s="15">
        <f t="shared" si="909"/>
        <v>4</v>
      </c>
      <c r="HK170" s="16">
        <f t="shared" si="910"/>
        <v>0.75</v>
      </c>
      <c r="HL170" s="14">
        <v>12</v>
      </c>
      <c r="HM170" s="14">
        <v>3</v>
      </c>
      <c r="HN170" s="17">
        <f t="shared" si="911"/>
        <v>0.25</v>
      </c>
    </row>
    <row r="171" spans="1:222" x14ac:dyDescent="0.3">
      <c r="A171" s="6" t="s">
        <v>280</v>
      </c>
      <c r="B171" s="6" t="s">
        <v>286</v>
      </c>
      <c r="C171" s="7" t="s">
        <v>257</v>
      </c>
      <c r="D171" s="7">
        <v>2025</v>
      </c>
      <c r="E171" s="7">
        <v>4</v>
      </c>
      <c r="F171" s="7" t="s">
        <v>258</v>
      </c>
      <c r="G171" s="7" t="s">
        <v>259</v>
      </c>
      <c r="H171" s="8">
        <v>1150</v>
      </c>
      <c r="I171" s="8">
        <v>176</v>
      </c>
      <c r="J171" s="8">
        <v>0</v>
      </c>
      <c r="K171" s="8">
        <v>0</v>
      </c>
      <c r="L171" s="8">
        <v>0</v>
      </c>
      <c r="M171" s="9">
        <f t="shared" si="851"/>
        <v>176</v>
      </c>
      <c r="N171" s="8">
        <v>617</v>
      </c>
      <c r="O171" s="8">
        <v>27</v>
      </c>
      <c r="P171" s="8">
        <v>24</v>
      </c>
      <c r="Q171" s="8">
        <v>1</v>
      </c>
      <c r="R171" s="9">
        <f t="shared" si="852"/>
        <v>669</v>
      </c>
      <c r="S171" s="9">
        <f t="shared" si="853"/>
        <v>845</v>
      </c>
      <c r="T171" s="8">
        <v>305</v>
      </c>
      <c r="U171" s="10">
        <f t="shared" si="854"/>
        <v>0.26521739130434785</v>
      </c>
      <c r="V171" s="8">
        <v>1</v>
      </c>
      <c r="W171" s="11">
        <f t="shared" si="855"/>
        <v>8.6956521739130438E-4</v>
      </c>
      <c r="X171" s="8">
        <v>0</v>
      </c>
      <c r="Y171" s="11">
        <f t="shared" si="856"/>
        <v>0</v>
      </c>
      <c r="Z171" s="8">
        <v>0</v>
      </c>
      <c r="AA171" s="11">
        <f t="shared" si="857"/>
        <v>0</v>
      </c>
      <c r="AB171" s="8">
        <v>0</v>
      </c>
      <c r="AC171" s="11">
        <f t="shared" si="858"/>
        <v>0</v>
      </c>
      <c r="AD171" s="8">
        <v>0</v>
      </c>
      <c r="AE171" s="11">
        <f t="shared" si="859"/>
        <v>0</v>
      </c>
      <c r="AF171" s="8">
        <v>0</v>
      </c>
      <c r="AG171" s="11">
        <f t="shared" si="860"/>
        <v>0</v>
      </c>
      <c r="AH171" s="8">
        <v>5111.67</v>
      </c>
      <c r="AI171" s="9">
        <f t="shared" si="861"/>
        <v>4.4449304347826084</v>
      </c>
      <c r="AJ171" s="8">
        <v>2360</v>
      </c>
      <c r="AK171" s="11">
        <f t="shared" si="862"/>
        <v>2.0521739130434784</v>
      </c>
      <c r="AL171" s="8">
        <v>343880.04</v>
      </c>
      <c r="AM171" s="9">
        <f t="shared" si="863"/>
        <v>299.02612173913042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619615.66</v>
      </c>
      <c r="AT171" s="8">
        <v>0</v>
      </c>
      <c r="AU171" s="9">
        <f t="shared" si="864"/>
        <v>968607.37</v>
      </c>
      <c r="AV171" s="9">
        <f t="shared" si="865"/>
        <v>842.2672782608696</v>
      </c>
      <c r="AW171" s="9">
        <f t="shared" si="866"/>
        <v>1146.2809112426035</v>
      </c>
      <c r="AX171" s="8">
        <v>5</v>
      </c>
      <c r="AY171" s="9">
        <f t="shared" si="867"/>
        <v>52.173913043478265</v>
      </c>
      <c r="AZ171" s="8">
        <v>1</v>
      </c>
      <c r="BA171" s="8">
        <v>1</v>
      </c>
      <c r="BB171" s="8">
        <v>6</v>
      </c>
      <c r="BC171" s="8">
        <v>0</v>
      </c>
      <c r="BD171" s="8">
        <v>0</v>
      </c>
      <c r="BE171" s="9">
        <f t="shared" si="868"/>
        <v>0</v>
      </c>
      <c r="BF171" s="9">
        <f t="shared" si="869"/>
        <v>7</v>
      </c>
      <c r="BG171" s="8">
        <v>0</v>
      </c>
      <c r="BH171" s="8">
        <v>0</v>
      </c>
      <c r="BI171" s="8">
        <v>0</v>
      </c>
      <c r="BJ171" s="8">
        <v>0</v>
      </c>
      <c r="BK171" s="9">
        <f t="shared" si="870"/>
        <v>0</v>
      </c>
      <c r="BL171" s="9">
        <f t="shared" si="871"/>
        <v>0</v>
      </c>
      <c r="BM171" s="8">
        <v>0</v>
      </c>
      <c r="BN171" s="8">
        <v>0</v>
      </c>
      <c r="BO171" s="8">
        <v>0</v>
      </c>
      <c r="BP171" s="8">
        <v>0</v>
      </c>
      <c r="BQ171" s="9">
        <f t="shared" si="872"/>
        <v>0</v>
      </c>
      <c r="BR171" s="9">
        <f t="shared" si="873"/>
        <v>0</v>
      </c>
      <c r="BS171" s="8">
        <v>0</v>
      </c>
      <c r="BT171" s="8">
        <v>0</v>
      </c>
      <c r="BU171" s="8">
        <v>0</v>
      </c>
      <c r="BV171" s="8">
        <v>0</v>
      </c>
      <c r="BW171" s="9">
        <f t="shared" si="874"/>
        <v>0</v>
      </c>
      <c r="BX171" s="9">
        <f t="shared" si="875"/>
        <v>0</v>
      </c>
      <c r="BY171" s="9">
        <f t="shared" si="876"/>
        <v>1</v>
      </c>
      <c r="BZ171" s="9">
        <f t="shared" si="877"/>
        <v>6</v>
      </c>
      <c r="CA171" s="9">
        <f t="shared" si="878"/>
        <v>0</v>
      </c>
      <c r="CB171" s="9">
        <f t="shared" si="879"/>
        <v>7</v>
      </c>
      <c r="CC171" s="8">
        <v>0</v>
      </c>
      <c r="CD171" s="8">
        <v>26</v>
      </c>
      <c r="CE171" s="8">
        <v>5</v>
      </c>
      <c r="CF171" s="8">
        <v>5</v>
      </c>
      <c r="CG171" s="8">
        <v>11</v>
      </c>
      <c r="CH171" s="9">
        <f t="shared" si="880"/>
        <v>47</v>
      </c>
      <c r="CI171" s="8">
        <v>26</v>
      </c>
      <c r="CJ171" s="8">
        <v>0</v>
      </c>
      <c r="CK171" s="8">
        <v>0</v>
      </c>
      <c r="CL171" s="8">
        <v>0</v>
      </c>
      <c r="CM171" s="9">
        <f t="shared" si="881"/>
        <v>26</v>
      </c>
      <c r="CN171" s="8">
        <v>181</v>
      </c>
      <c r="CO171" s="8">
        <v>8</v>
      </c>
      <c r="CP171" s="8">
        <v>12</v>
      </c>
      <c r="CQ171" s="8">
        <v>2</v>
      </c>
      <c r="CR171" s="9">
        <f t="shared" si="882"/>
        <v>203</v>
      </c>
      <c r="CS171" s="9">
        <f t="shared" si="883"/>
        <v>229</v>
      </c>
      <c r="CT171" s="8">
        <v>276</v>
      </c>
      <c r="CU171" s="8">
        <v>2250</v>
      </c>
      <c r="CV171" s="8">
        <v>1150</v>
      </c>
      <c r="CW171" s="10">
        <f t="shared" si="884"/>
        <v>0.51111111111111107</v>
      </c>
      <c r="CX171" s="8">
        <v>0</v>
      </c>
      <c r="CY171" s="8">
        <v>0</v>
      </c>
      <c r="CZ171" s="8">
        <v>0</v>
      </c>
      <c r="DA171" s="8">
        <v>0</v>
      </c>
      <c r="DB171" s="9">
        <f t="shared" si="885"/>
        <v>0</v>
      </c>
      <c r="DC171" s="8">
        <v>0</v>
      </c>
      <c r="DD171" s="8">
        <v>0</v>
      </c>
      <c r="DE171" s="8">
        <v>0</v>
      </c>
      <c r="DF171" s="8">
        <v>0</v>
      </c>
      <c r="DG171" s="9">
        <f t="shared" si="886"/>
        <v>0</v>
      </c>
      <c r="DH171" s="8">
        <v>0</v>
      </c>
      <c r="DI171" s="8">
        <v>0</v>
      </c>
      <c r="DJ171" s="8">
        <v>0</v>
      </c>
      <c r="DK171" s="8">
        <v>0</v>
      </c>
      <c r="DL171" s="9">
        <f t="shared" si="887"/>
        <v>0</v>
      </c>
      <c r="DM171" s="8">
        <v>0</v>
      </c>
      <c r="DN171" s="8">
        <v>0</v>
      </c>
      <c r="DO171" s="8">
        <v>0</v>
      </c>
      <c r="DP171" s="8">
        <v>0</v>
      </c>
      <c r="DQ171" s="9">
        <f t="shared" si="888"/>
        <v>0</v>
      </c>
      <c r="DR171" s="9">
        <f t="shared" si="889"/>
        <v>0</v>
      </c>
      <c r="DS171" s="9">
        <f t="shared" si="890"/>
        <v>0</v>
      </c>
      <c r="DT171" s="9">
        <f t="shared" si="891"/>
        <v>0</v>
      </c>
      <c r="DU171" s="9">
        <f t="shared" si="892"/>
        <v>0</v>
      </c>
      <c r="DV171" s="9">
        <f t="shared" si="893"/>
        <v>0</v>
      </c>
      <c r="DW171" s="8">
        <v>4</v>
      </c>
      <c r="DX171" s="8">
        <v>0</v>
      </c>
      <c r="DY171" s="8">
        <v>0</v>
      </c>
      <c r="DZ171" s="8">
        <v>0</v>
      </c>
      <c r="EA171" s="8">
        <v>0</v>
      </c>
      <c r="EB171" s="8">
        <v>0</v>
      </c>
      <c r="EC171" s="8">
        <v>0</v>
      </c>
      <c r="ED171" s="8">
        <v>0</v>
      </c>
      <c r="EE171" s="8">
        <v>0</v>
      </c>
      <c r="EF171" s="8">
        <v>0</v>
      </c>
      <c r="EG171" s="8">
        <v>0</v>
      </c>
      <c r="EH171" s="8">
        <v>0</v>
      </c>
      <c r="EI171" s="8">
        <v>0</v>
      </c>
      <c r="EJ171" s="8">
        <v>0</v>
      </c>
      <c r="EK171" s="8">
        <v>0</v>
      </c>
      <c r="EL171" s="8">
        <v>0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8">
        <v>0</v>
      </c>
      <c r="ES171" s="8">
        <v>0</v>
      </c>
      <c r="ET171" s="8">
        <v>0</v>
      </c>
      <c r="EU171" s="8">
        <v>0</v>
      </c>
      <c r="EV171" s="8">
        <v>0</v>
      </c>
      <c r="EW171" s="8">
        <v>0</v>
      </c>
      <c r="EX171" s="8">
        <v>0</v>
      </c>
      <c r="EY171" s="8">
        <v>0</v>
      </c>
      <c r="EZ171" s="8">
        <v>0</v>
      </c>
      <c r="FA171" s="8">
        <v>0</v>
      </c>
      <c r="FB171" s="8">
        <v>0</v>
      </c>
      <c r="FC171" s="8">
        <v>0</v>
      </c>
      <c r="FD171" s="8">
        <v>0</v>
      </c>
      <c r="FE171" s="8">
        <v>0</v>
      </c>
      <c r="FF171" s="8">
        <v>0</v>
      </c>
      <c r="FG171" s="9">
        <f t="shared" si="894"/>
        <v>4</v>
      </c>
      <c r="FH171" s="8">
        <v>0</v>
      </c>
      <c r="FI171" s="8">
        <v>0</v>
      </c>
      <c r="FJ171" s="8">
        <v>8</v>
      </c>
      <c r="FK171" s="8">
        <v>8</v>
      </c>
      <c r="FL171" s="8">
        <v>0</v>
      </c>
      <c r="FM171" s="8">
        <v>0</v>
      </c>
      <c r="FN171" s="8">
        <v>0</v>
      </c>
      <c r="FO171" s="8">
        <v>0</v>
      </c>
      <c r="FP171" s="8">
        <v>0</v>
      </c>
      <c r="FQ171" s="9">
        <f t="shared" si="895"/>
        <v>0</v>
      </c>
      <c r="FR171" s="8">
        <v>0</v>
      </c>
      <c r="FS171" s="8">
        <v>154400</v>
      </c>
      <c r="FT171" s="8">
        <v>0</v>
      </c>
      <c r="FU171" s="8">
        <v>0</v>
      </c>
      <c r="FV171" s="9">
        <f t="shared" si="896"/>
        <v>154400</v>
      </c>
      <c r="FW171" s="8">
        <v>1347869.419999999</v>
      </c>
      <c r="FX171" s="8">
        <v>106</v>
      </c>
      <c r="FY171" s="8">
        <v>326300</v>
      </c>
      <c r="FZ171" s="8">
        <v>77039.399999999994</v>
      </c>
      <c r="GA171" s="9">
        <f t="shared" si="897"/>
        <v>1751314.8199999989</v>
      </c>
      <c r="GB171" s="9">
        <f t="shared" si="898"/>
        <v>1905714.8199999989</v>
      </c>
      <c r="GC171" s="8">
        <v>155723.46</v>
      </c>
      <c r="GD171" s="8">
        <v>0</v>
      </c>
      <c r="GE171" s="8">
        <v>0</v>
      </c>
      <c r="GF171" s="8">
        <v>0</v>
      </c>
      <c r="GG171" s="9">
        <f t="shared" si="899"/>
        <v>155723.46</v>
      </c>
      <c r="GH171" s="8">
        <v>0</v>
      </c>
      <c r="GI171" s="8">
        <v>0</v>
      </c>
      <c r="GJ171" s="8">
        <v>0</v>
      </c>
      <c r="GK171" s="8">
        <v>0</v>
      </c>
      <c r="GL171" s="9">
        <f t="shared" si="900"/>
        <v>0</v>
      </c>
      <c r="GM171" s="9">
        <f t="shared" si="901"/>
        <v>155723.46</v>
      </c>
      <c r="GN171" s="8">
        <v>14617.9</v>
      </c>
      <c r="GO171" s="8">
        <v>0</v>
      </c>
      <c r="GP171" s="8">
        <v>0</v>
      </c>
      <c r="GQ171" s="8">
        <v>0</v>
      </c>
      <c r="GR171" s="9">
        <f t="shared" si="902"/>
        <v>14617.9</v>
      </c>
      <c r="GS171" s="8">
        <v>23218</v>
      </c>
      <c r="GT171" s="8">
        <v>0</v>
      </c>
      <c r="GU171" s="8">
        <v>0</v>
      </c>
      <c r="GV171" s="8">
        <v>0</v>
      </c>
      <c r="GW171" s="9">
        <f t="shared" si="903"/>
        <v>23218</v>
      </c>
      <c r="GX171" s="9">
        <f t="shared" si="904"/>
        <v>193559.36</v>
      </c>
      <c r="GY171" s="8">
        <v>16345692.09</v>
      </c>
      <c r="GZ171" s="8">
        <v>6094751.9100000001</v>
      </c>
      <c r="HA171" s="9">
        <f t="shared" si="905"/>
        <v>22440444</v>
      </c>
      <c r="HB171" s="9">
        <f t="shared" si="906"/>
        <v>5.0041877075848982</v>
      </c>
      <c r="HC171" s="10">
        <f t="shared" si="907"/>
        <v>0.11522376485787082</v>
      </c>
      <c r="HD171" s="9">
        <f t="shared" si="908"/>
        <v>9.845635054796622</v>
      </c>
      <c r="HE171" s="8">
        <v>6</v>
      </c>
      <c r="HF171" s="8">
        <v>1</v>
      </c>
      <c r="HG171" s="8">
        <v>7</v>
      </c>
      <c r="HH171" s="8">
        <v>6</v>
      </c>
      <c r="HI171" s="8">
        <v>30</v>
      </c>
      <c r="HJ171" s="9">
        <f t="shared" si="909"/>
        <v>31</v>
      </c>
      <c r="HK171" s="10">
        <f t="shared" si="910"/>
        <v>1</v>
      </c>
      <c r="HL171" s="8">
        <v>5</v>
      </c>
      <c r="HM171" s="8">
        <v>10</v>
      </c>
      <c r="HN171" s="11">
        <f t="shared" si="911"/>
        <v>2</v>
      </c>
    </row>
    <row r="172" spans="1:222" x14ac:dyDescent="0.3">
      <c r="A172" s="12" t="s">
        <v>280</v>
      </c>
      <c r="B172" s="12" t="s">
        <v>286</v>
      </c>
      <c r="C172" s="13" t="s">
        <v>257</v>
      </c>
      <c r="D172" s="13">
        <v>2025</v>
      </c>
      <c r="E172" s="13">
        <v>5</v>
      </c>
      <c r="F172" s="13" t="s">
        <v>260</v>
      </c>
      <c r="G172" s="13" t="s">
        <v>259</v>
      </c>
      <c r="H172" s="14">
        <v>1200</v>
      </c>
      <c r="I172" s="14">
        <v>193</v>
      </c>
      <c r="J172" s="14">
        <v>0</v>
      </c>
      <c r="K172" s="14">
        <v>0</v>
      </c>
      <c r="L172" s="14">
        <v>0</v>
      </c>
      <c r="M172" s="15">
        <f t="shared" si="851"/>
        <v>193</v>
      </c>
      <c r="N172" s="14">
        <v>586</v>
      </c>
      <c r="O172" s="14">
        <v>24</v>
      </c>
      <c r="P172" s="14">
        <v>25</v>
      </c>
      <c r="Q172" s="14">
        <v>42</v>
      </c>
      <c r="R172" s="15">
        <f t="shared" si="852"/>
        <v>677</v>
      </c>
      <c r="S172" s="15">
        <f t="shared" si="853"/>
        <v>870</v>
      </c>
      <c r="T172" s="14">
        <v>330</v>
      </c>
      <c r="U172" s="16">
        <f t="shared" si="854"/>
        <v>0.27500000000000002</v>
      </c>
      <c r="V172" s="14">
        <v>1</v>
      </c>
      <c r="W172" s="17">
        <f t="shared" si="855"/>
        <v>8.3333333333333339E-4</v>
      </c>
      <c r="X172" s="14">
        <v>0</v>
      </c>
      <c r="Y172" s="17">
        <f t="shared" si="856"/>
        <v>0</v>
      </c>
      <c r="Z172" s="14">
        <v>0</v>
      </c>
      <c r="AA172" s="17">
        <f t="shared" si="857"/>
        <v>0</v>
      </c>
      <c r="AB172" s="14">
        <v>0</v>
      </c>
      <c r="AC172" s="17">
        <f t="shared" si="858"/>
        <v>0</v>
      </c>
      <c r="AD172" s="14">
        <v>0</v>
      </c>
      <c r="AE172" s="17">
        <f t="shared" si="859"/>
        <v>0</v>
      </c>
      <c r="AF172" s="14">
        <v>0</v>
      </c>
      <c r="AG172" s="17">
        <f t="shared" si="860"/>
        <v>0</v>
      </c>
      <c r="AH172" s="14">
        <v>5111.67</v>
      </c>
      <c r="AI172" s="15">
        <f t="shared" si="861"/>
        <v>4.2597250000000004</v>
      </c>
      <c r="AJ172" s="14">
        <v>1570</v>
      </c>
      <c r="AK172" s="17">
        <f t="shared" si="862"/>
        <v>1.3083333333333333</v>
      </c>
      <c r="AL172" s="14">
        <v>234266.35500000001</v>
      </c>
      <c r="AM172" s="15">
        <f t="shared" si="863"/>
        <v>195.22196250000002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612692.57999999996</v>
      </c>
      <c r="AT172" s="14">
        <v>0</v>
      </c>
      <c r="AU172" s="15">
        <f t="shared" si="864"/>
        <v>852070.60499999998</v>
      </c>
      <c r="AV172" s="15">
        <f t="shared" si="865"/>
        <v>710.05883749999998</v>
      </c>
      <c r="AW172" s="15">
        <f t="shared" si="866"/>
        <v>979.39149999999995</v>
      </c>
      <c r="AX172" s="14">
        <v>5</v>
      </c>
      <c r="AY172" s="15">
        <f t="shared" si="867"/>
        <v>50.000000000000007</v>
      </c>
      <c r="AZ172" s="14">
        <v>1</v>
      </c>
      <c r="BA172" s="14">
        <v>7</v>
      </c>
      <c r="BB172" s="14">
        <v>0</v>
      </c>
      <c r="BC172" s="14">
        <v>0</v>
      </c>
      <c r="BD172" s="14">
        <v>0</v>
      </c>
      <c r="BE172" s="15">
        <f t="shared" si="868"/>
        <v>0</v>
      </c>
      <c r="BF172" s="15">
        <f t="shared" si="869"/>
        <v>7</v>
      </c>
      <c r="BG172" s="14">
        <v>0</v>
      </c>
      <c r="BH172" s="14">
        <v>0</v>
      </c>
      <c r="BI172" s="14">
        <v>0</v>
      </c>
      <c r="BJ172" s="14">
        <v>0</v>
      </c>
      <c r="BK172" s="15">
        <f t="shared" si="870"/>
        <v>0</v>
      </c>
      <c r="BL172" s="15">
        <f t="shared" si="871"/>
        <v>0</v>
      </c>
      <c r="BM172" s="14">
        <v>0</v>
      </c>
      <c r="BN172" s="14">
        <v>0</v>
      </c>
      <c r="BO172" s="14">
        <v>0</v>
      </c>
      <c r="BP172" s="14">
        <v>0</v>
      </c>
      <c r="BQ172" s="15">
        <f t="shared" si="872"/>
        <v>0</v>
      </c>
      <c r="BR172" s="15">
        <f t="shared" si="873"/>
        <v>0</v>
      </c>
      <c r="BS172" s="14">
        <v>0</v>
      </c>
      <c r="BT172" s="14">
        <v>0</v>
      </c>
      <c r="BU172" s="14">
        <v>0</v>
      </c>
      <c r="BV172" s="14">
        <v>0</v>
      </c>
      <c r="BW172" s="15">
        <f t="shared" si="874"/>
        <v>0</v>
      </c>
      <c r="BX172" s="15">
        <f t="shared" si="875"/>
        <v>0</v>
      </c>
      <c r="BY172" s="15">
        <f t="shared" si="876"/>
        <v>7</v>
      </c>
      <c r="BZ172" s="15">
        <f t="shared" si="877"/>
        <v>0</v>
      </c>
      <c r="CA172" s="15">
        <f t="shared" si="878"/>
        <v>0</v>
      </c>
      <c r="CB172" s="15">
        <f t="shared" si="879"/>
        <v>7</v>
      </c>
      <c r="CC172" s="14">
        <v>0</v>
      </c>
      <c r="CD172" s="14">
        <v>24</v>
      </c>
      <c r="CE172" s="14">
        <v>5</v>
      </c>
      <c r="CF172" s="14">
        <v>5</v>
      </c>
      <c r="CG172" s="14">
        <v>11</v>
      </c>
      <c r="CH172" s="15">
        <f t="shared" si="880"/>
        <v>45</v>
      </c>
      <c r="CI172" s="14">
        <v>27</v>
      </c>
      <c r="CJ172" s="14">
        <v>0</v>
      </c>
      <c r="CK172" s="14">
        <v>0</v>
      </c>
      <c r="CL172" s="14">
        <v>0</v>
      </c>
      <c r="CM172" s="15">
        <f t="shared" si="881"/>
        <v>27</v>
      </c>
      <c r="CN172" s="14">
        <v>180</v>
      </c>
      <c r="CO172" s="14">
        <v>8</v>
      </c>
      <c r="CP172" s="14">
        <v>14</v>
      </c>
      <c r="CQ172" s="14">
        <v>2</v>
      </c>
      <c r="CR172" s="15">
        <f t="shared" si="882"/>
        <v>204</v>
      </c>
      <c r="CS172" s="15">
        <f t="shared" si="883"/>
        <v>231</v>
      </c>
      <c r="CT172" s="14">
        <v>276</v>
      </c>
      <c r="CU172" s="14">
        <v>2250</v>
      </c>
      <c r="CV172" s="14">
        <v>1160</v>
      </c>
      <c r="CW172" s="16">
        <f t="shared" si="884"/>
        <v>0.51555555555555554</v>
      </c>
      <c r="CX172" s="14">
        <v>0</v>
      </c>
      <c r="CY172" s="14">
        <v>0</v>
      </c>
      <c r="CZ172" s="14">
        <v>0</v>
      </c>
      <c r="DA172" s="14">
        <v>0</v>
      </c>
      <c r="DB172" s="15">
        <f t="shared" si="885"/>
        <v>0</v>
      </c>
      <c r="DC172" s="14">
        <v>0</v>
      </c>
      <c r="DD172" s="14">
        <v>0</v>
      </c>
      <c r="DE172" s="14">
        <v>0</v>
      </c>
      <c r="DF172" s="14">
        <v>0</v>
      </c>
      <c r="DG172" s="15">
        <f t="shared" si="886"/>
        <v>0</v>
      </c>
      <c r="DH172" s="14">
        <v>0</v>
      </c>
      <c r="DI172" s="14">
        <v>0</v>
      </c>
      <c r="DJ172" s="14">
        <v>0</v>
      </c>
      <c r="DK172" s="14">
        <v>0</v>
      </c>
      <c r="DL172" s="15">
        <f t="shared" si="887"/>
        <v>0</v>
      </c>
      <c r="DM172" s="14">
        <v>0</v>
      </c>
      <c r="DN172" s="14">
        <v>0</v>
      </c>
      <c r="DO172" s="14">
        <v>0</v>
      </c>
      <c r="DP172" s="14">
        <v>0</v>
      </c>
      <c r="DQ172" s="15">
        <f t="shared" si="888"/>
        <v>0</v>
      </c>
      <c r="DR172" s="15">
        <f t="shared" si="889"/>
        <v>0</v>
      </c>
      <c r="DS172" s="15">
        <f t="shared" si="890"/>
        <v>0</v>
      </c>
      <c r="DT172" s="15">
        <f t="shared" si="891"/>
        <v>0</v>
      </c>
      <c r="DU172" s="15">
        <f t="shared" si="892"/>
        <v>0</v>
      </c>
      <c r="DV172" s="15">
        <f t="shared" si="893"/>
        <v>0</v>
      </c>
      <c r="DW172" s="14">
        <v>14</v>
      </c>
      <c r="DX172" s="14">
        <v>0</v>
      </c>
      <c r="DY172" s="14">
        <v>0</v>
      </c>
      <c r="DZ172" s="14">
        <v>0</v>
      </c>
      <c r="EA172" s="14">
        <v>0</v>
      </c>
      <c r="EB172" s="14">
        <v>0</v>
      </c>
      <c r="EC172" s="14">
        <v>0</v>
      </c>
      <c r="ED172" s="14">
        <v>0</v>
      </c>
      <c r="EE172" s="14">
        <v>0</v>
      </c>
      <c r="EF172" s="14">
        <v>0</v>
      </c>
      <c r="EG172" s="14">
        <v>0</v>
      </c>
      <c r="EH172" s="14">
        <v>0</v>
      </c>
      <c r="EI172" s="14">
        <v>0</v>
      </c>
      <c r="EJ172" s="14">
        <v>0</v>
      </c>
      <c r="EK172" s="14">
        <v>0</v>
      </c>
      <c r="EL172" s="14">
        <v>0</v>
      </c>
      <c r="EM172" s="14">
        <v>0</v>
      </c>
      <c r="EN172" s="14">
        <v>0</v>
      </c>
      <c r="EO172" s="14">
        <v>0</v>
      </c>
      <c r="EP172" s="14">
        <v>0</v>
      </c>
      <c r="EQ172" s="14">
        <v>0</v>
      </c>
      <c r="ER172" s="14">
        <v>0</v>
      </c>
      <c r="ES172" s="14">
        <v>0</v>
      </c>
      <c r="ET172" s="14">
        <v>0</v>
      </c>
      <c r="EU172" s="14">
        <v>0</v>
      </c>
      <c r="EV172" s="14">
        <v>0</v>
      </c>
      <c r="EW172" s="14">
        <v>0</v>
      </c>
      <c r="EX172" s="14">
        <v>0</v>
      </c>
      <c r="EY172" s="14">
        <v>0</v>
      </c>
      <c r="EZ172" s="14">
        <v>0</v>
      </c>
      <c r="FA172" s="14">
        <v>0</v>
      </c>
      <c r="FB172" s="14">
        <v>0</v>
      </c>
      <c r="FC172" s="14">
        <v>0</v>
      </c>
      <c r="FD172" s="14">
        <v>0</v>
      </c>
      <c r="FE172" s="14">
        <v>0</v>
      </c>
      <c r="FF172" s="14">
        <v>0</v>
      </c>
      <c r="FG172" s="15">
        <f t="shared" si="894"/>
        <v>14</v>
      </c>
      <c r="FH172" s="14">
        <v>0</v>
      </c>
      <c r="FI172" s="14">
        <v>0</v>
      </c>
      <c r="FJ172" s="14">
        <v>8</v>
      </c>
      <c r="FK172" s="14">
        <v>0</v>
      </c>
      <c r="FL172" s="14">
        <v>0</v>
      </c>
      <c r="FM172" s="14">
        <v>0</v>
      </c>
      <c r="FN172" s="14">
        <v>0</v>
      </c>
      <c r="FO172" s="14">
        <v>0</v>
      </c>
      <c r="FP172" s="14">
        <v>0</v>
      </c>
      <c r="FQ172" s="15">
        <f t="shared" si="895"/>
        <v>0</v>
      </c>
      <c r="FR172" s="14">
        <v>31605.87</v>
      </c>
      <c r="FS172" s="14">
        <v>0</v>
      </c>
      <c r="FT172" s="14">
        <v>0</v>
      </c>
      <c r="FU172" s="14">
        <v>0</v>
      </c>
      <c r="FV172" s="15">
        <f t="shared" si="896"/>
        <v>31605.87</v>
      </c>
      <c r="FW172" s="14">
        <v>1306715.8999999999</v>
      </c>
      <c r="FX172" s="14">
        <v>5000</v>
      </c>
      <c r="FY172" s="14">
        <v>288820.23</v>
      </c>
      <c r="FZ172" s="14">
        <v>130000</v>
      </c>
      <c r="GA172" s="15">
        <f t="shared" si="897"/>
        <v>1730536.13</v>
      </c>
      <c r="GB172" s="15">
        <f t="shared" si="898"/>
        <v>1762142</v>
      </c>
      <c r="GC172" s="14">
        <v>165753.04999999999</v>
      </c>
      <c r="GD172" s="14">
        <v>0</v>
      </c>
      <c r="GE172" s="14">
        <v>0</v>
      </c>
      <c r="GF172" s="14">
        <v>0</v>
      </c>
      <c r="GG172" s="15">
        <f t="shared" si="899"/>
        <v>165753.04999999999</v>
      </c>
      <c r="GH172" s="14">
        <v>0</v>
      </c>
      <c r="GI172" s="14">
        <v>0</v>
      </c>
      <c r="GJ172" s="14">
        <v>0</v>
      </c>
      <c r="GK172" s="14">
        <v>0</v>
      </c>
      <c r="GL172" s="15">
        <f t="shared" si="900"/>
        <v>0</v>
      </c>
      <c r="GM172" s="15">
        <f t="shared" si="901"/>
        <v>165753.04999999999</v>
      </c>
      <c r="GN172" s="14">
        <v>15162.83</v>
      </c>
      <c r="GO172" s="14">
        <v>0</v>
      </c>
      <c r="GP172" s="14">
        <v>0</v>
      </c>
      <c r="GQ172" s="14">
        <v>0</v>
      </c>
      <c r="GR172" s="15">
        <f t="shared" si="902"/>
        <v>15162.83</v>
      </c>
      <c r="GS172" s="14">
        <v>24111</v>
      </c>
      <c r="GT172" s="14">
        <v>0</v>
      </c>
      <c r="GU172" s="14">
        <v>0</v>
      </c>
      <c r="GV172" s="14">
        <v>0</v>
      </c>
      <c r="GW172" s="15">
        <f t="shared" si="903"/>
        <v>24111</v>
      </c>
      <c r="GX172" s="15">
        <f t="shared" si="904"/>
        <v>205026.87999999998</v>
      </c>
      <c r="GY172" s="14">
        <v>16519113.1</v>
      </c>
      <c r="GZ172" s="14">
        <v>6094751.9100000001</v>
      </c>
      <c r="HA172" s="15">
        <f t="shared" si="905"/>
        <v>22613865.009999998</v>
      </c>
      <c r="HB172" s="15">
        <f t="shared" si="906"/>
        <v>4.1558970462799811</v>
      </c>
      <c r="HC172" s="16">
        <f t="shared" si="907"/>
        <v>0.10536517884371355</v>
      </c>
      <c r="HD172" s="15">
        <f t="shared" si="908"/>
        <v>8.5946876819273665</v>
      </c>
      <c r="HE172" s="14">
        <v>0</v>
      </c>
      <c r="HF172" s="14">
        <v>1</v>
      </c>
      <c r="HG172" s="14">
        <v>7</v>
      </c>
      <c r="HH172" s="14">
        <v>0</v>
      </c>
      <c r="HI172" s="14">
        <v>30</v>
      </c>
      <c r="HJ172" s="15">
        <f t="shared" si="909"/>
        <v>31</v>
      </c>
      <c r="HK172" s="16" t="str">
        <f t="shared" si="910"/>
        <v/>
      </c>
      <c r="HL172" s="14">
        <v>6</v>
      </c>
      <c r="HM172" s="14">
        <v>5</v>
      </c>
      <c r="HN172" s="17">
        <f t="shared" si="911"/>
        <v>0.83333333333333337</v>
      </c>
    </row>
    <row r="173" spans="1:222" x14ac:dyDescent="0.3">
      <c r="A173" s="6" t="s">
        <v>280</v>
      </c>
      <c r="B173" s="6" t="s">
        <v>286</v>
      </c>
      <c r="C173" s="7" t="s">
        <v>257</v>
      </c>
      <c r="D173" s="7">
        <v>2025</v>
      </c>
      <c r="E173" s="7">
        <v>6</v>
      </c>
      <c r="F173" s="7" t="s">
        <v>261</v>
      </c>
      <c r="G173" s="7" t="s">
        <v>259</v>
      </c>
      <c r="H173" s="8">
        <v>1350</v>
      </c>
      <c r="I173" s="8">
        <v>170</v>
      </c>
      <c r="J173" s="8">
        <v>0</v>
      </c>
      <c r="K173" s="8">
        <v>0</v>
      </c>
      <c r="L173" s="8">
        <v>0</v>
      </c>
      <c r="M173" s="9">
        <f t="shared" si="851"/>
        <v>170</v>
      </c>
      <c r="N173" s="8">
        <v>780</v>
      </c>
      <c r="O173" s="8">
        <v>1</v>
      </c>
      <c r="P173" s="8">
        <v>22</v>
      </c>
      <c r="Q173" s="8">
        <v>33</v>
      </c>
      <c r="R173" s="9">
        <f t="shared" si="852"/>
        <v>836</v>
      </c>
      <c r="S173" s="9">
        <f t="shared" si="853"/>
        <v>1006</v>
      </c>
      <c r="T173" s="8">
        <v>344</v>
      </c>
      <c r="U173" s="10">
        <f t="shared" si="854"/>
        <v>0.25481481481481483</v>
      </c>
      <c r="V173" s="8">
        <v>1</v>
      </c>
      <c r="W173" s="11">
        <f t="shared" si="855"/>
        <v>7.407407407407407E-4</v>
      </c>
      <c r="X173" s="8">
        <v>0</v>
      </c>
      <c r="Y173" s="11">
        <f t="shared" si="856"/>
        <v>0</v>
      </c>
      <c r="Z173" s="8">
        <v>0</v>
      </c>
      <c r="AA173" s="11">
        <f t="shared" si="857"/>
        <v>0</v>
      </c>
      <c r="AB173" s="8">
        <v>0</v>
      </c>
      <c r="AC173" s="11">
        <f t="shared" si="858"/>
        <v>0</v>
      </c>
      <c r="AD173" s="8">
        <v>0</v>
      </c>
      <c r="AE173" s="11">
        <f t="shared" si="859"/>
        <v>0</v>
      </c>
      <c r="AF173" s="8">
        <v>0</v>
      </c>
      <c r="AG173" s="11">
        <f t="shared" si="860"/>
        <v>0</v>
      </c>
      <c r="AH173" s="8">
        <v>5111.67</v>
      </c>
      <c r="AI173" s="9">
        <f t="shared" si="861"/>
        <v>3.7864222222222224</v>
      </c>
      <c r="AJ173" s="8">
        <v>1180</v>
      </c>
      <c r="AK173" s="11">
        <f t="shared" si="862"/>
        <v>0.87407407407407411</v>
      </c>
      <c r="AL173" s="8">
        <v>180153.27</v>
      </c>
      <c r="AM173" s="9">
        <f t="shared" si="863"/>
        <v>133.44686666666666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906231.92</v>
      </c>
      <c r="AT173" s="8">
        <v>0</v>
      </c>
      <c r="AU173" s="9">
        <f t="shared" si="864"/>
        <v>1091496.8600000001</v>
      </c>
      <c r="AV173" s="9">
        <f t="shared" si="865"/>
        <v>808.51619259259269</v>
      </c>
      <c r="AW173" s="9">
        <f t="shared" si="866"/>
        <v>1084.9869383697815</v>
      </c>
      <c r="AX173" s="8">
        <v>5</v>
      </c>
      <c r="AY173" s="9">
        <f t="shared" si="867"/>
        <v>44.444444444444443</v>
      </c>
      <c r="AZ173" s="8">
        <v>2</v>
      </c>
      <c r="BA173" s="8">
        <v>7</v>
      </c>
      <c r="BB173" s="8">
        <v>3</v>
      </c>
      <c r="BC173" s="8">
        <v>7</v>
      </c>
      <c r="BD173" s="8">
        <v>0</v>
      </c>
      <c r="BE173" s="9">
        <f t="shared" si="868"/>
        <v>7</v>
      </c>
      <c r="BF173" s="9">
        <f t="shared" si="869"/>
        <v>3</v>
      </c>
      <c r="BG173" s="8">
        <v>0</v>
      </c>
      <c r="BH173" s="8">
        <v>0</v>
      </c>
      <c r="BI173" s="8">
        <v>0</v>
      </c>
      <c r="BJ173" s="8">
        <v>0</v>
      </c>
      <c r="BK173" s="9">
        <f t="shared" si="870"/>
        <v>0</v>
      </c>
      <c r="BL173" s="9">
        <f t="shared" si="871"/>
        <v>0</v>
      </c>
      <c r="BM173" s="8">
        <v>0</v>
      </c>
      <c r="BN173" s="8">
        <v>0</v>
      </c>
      <c r="BO173" s="8">
        <v>0</v>
      </c>
      <c r="BP173" s="8">
        <v>0</v>
      </c>
      <c r="BQ173" s="9">
        <f t="shared" si="872"/>
        <v>0</v>
      </c>
      <c r="BR173" s="9">
        <f t="shared" si="873"/>
        <v>0</v>
      </c>
      <c r="BS173" s="8">
        <v>0</v>
      </c>
      <c r="BT173" s="8">
        <v>0</v>
      </c>
      <c r="BU173" s="8">
        <v>0</v>
      </c>
      <c r="BV173" s="8">
        <v>0</v>
      </c>
      <c r="BW173" s="9">
        <f t="shared" si="874"/>
        <v>0</v>
      </c>
      <c r="BX173" s="9">
        <f t="shared" si="875"/>
        <v>0</v>
      </c>
      <c r="BY173" s="9">
        <f t="shared" si="876"/>
        <v>7</v>
      </c>
      <c r="BZ173" s="9">
        <f t="shared" si="877"/>
        <v>3</v>
      </c>
      <c r="CA173" s="9">
        <f t="shared" si="878"/>
        <v>7</v>
      </c>
      <c r="CB173" s="9">
        <f t="shared" si="879"/>
        <v>3</v>
      </c>
      <c r="CC173" s="8">
        <v>0</v>
      </c>
      <c r="CD173" s="8">
        <v>13</v>
      </c>
      <c r="CE173" s="8">
        <v>5</v>
      </c>
      <c r="CF173" s="8">
        <v>5</v>
      </c>
      <c r="CG173" s="8">
        <v>11</v>
      </c>
      <c r="CH173" s="9">
        <f t="shared" si="880"/>
        <v>34</v>
      </c>
      <c r="CI173" s="8">
        <v>21</v>
      </c>
      <c r="CJ173" s="8">
        <v>0</v>
      </c>
      <c r="CK173" s="8">
        <v>0</v>
      </c>
      <c r="CL173" s="8">
        <v>0</v>
      </c>
      <c r="CM173" s="9">
        <f t="shared" si="881"/>
        <v>21</v>
      </c>
      <c r="CN173" s="8">
        <v>192</v>
      </c>
      <c r="CO173" s="8">
        <v>9</v>
      </c>
      <c r="CP173" s="8">
        <v>14</v>
      </c>
      <c r="CQ173" s="8">
        <v>3</v>
      </c>
      <c r="CR173" s="9">
        <f t="shared" si="882"/>
        <v>218</v>
      </c>
      <c r="CS173" s="9">
        <f t="shared" si="883"/>
        <v>239</v>
      </c>
      <c r="CT173" s="8">
        <v>273</v>
      </c>
      <c r="CU173" s="8">
        <v>2250</v>
      </c>
      <c r="CV173" s="8">
        <v>1160</v>
      </c>
      <c r="CW173" s="10">
        <f t="shared" si="884"/>
        <v>0.51555555555555554</v>
      </c>
      <c r="CX173" s="8">
        <v>0</v>
      </c>
      <c r="CY173" s="8">
        <v>0</v>
      </c>
      <c r="CZ173" s="8">
        <v>0</v>
      </c>
      <c r="DA173" s="8">
        <v>0</v>
      </c>
      <c r="DB173" s="9">
        <f t="shared" si="885"/>
        <v>0</v>
      </c>
      <c r="DC173" s="8">
        <v>0</v>
      </c>
      <c r="DD173" s="8">
        <v>0</v>
      </c>
      <c r="DE173" s="8">
        <v>0</v>
      </c>
      <c r="DF173" s="8">
        <v>0</v>
      </c>
      <c r="DG173" s="9">
        <f t="shared" si="886"/>
        <v>0</v>
      </c>
      <c r="DH173" s="8">
        <v>0</v>
      </c>
      <c r="DI173" s="8">
        <v>0</v>
      </c>
      <c r="DJ173" s="8">
        <v>0</v>
      </c>
      <c r="DK173" s="8">
        <v>0</v>
      </c>
      <c r="DL173" s="9">
        <f t="shared" si="887"/>
        <v>0</v>
      </c>
      <c r="DM173" s="8">
        <v>0</v>
      </c>
      <c r="DN173" s="8">
        <v>0</v>
      </c>
      <c r="DO173" s="8">
        <v>0</v>
      </c>
      <c r="DP173" s="8">
        <v>0</v>
      </c>
      <c r="DQ173" s="9">
        <f t="shared" si="888"/>
        <v>0</v>
      </c>
      <c r="DR173" s="9">
        <f t="shared" si="889"/>
        <v>0</v>
      </c>
      <c r="DS173" s="9">
        <f t="shared" si="890"/>
        <v>0</v>
      </c>
      <c r="DT173" s="9">
        <f t="shared" si="891"/>
        <v>0</v>
      </c>
      <c r="DU173" s="9">
        <f t="shared" si="892"/>
        <v>0</v>
      </c>
      <c r="DV173" s="9">
        <f t="shared" si="893"/>
        <v>0</v>
      </c>
      <c r="DW173" s="8">
        <v>3</v>
      </c>
      <c r="DX173" s="8">
        <v>2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</v>
      </c>
      <c r="EE173" s="8">
        <v>0</v>
      </c>
      <c r="EF173" s="8">
        <v>0</v>
      </c>
      <c r="EG173" s="8">
        <v>0</v>
      </c>
      <c r="EH173" s="8">
        <v>0</v>
      </c>
      <c r="EI173" s="8">
        <v>0</v>
      </c>
      <c r="EJ173" s="8">
        <v>0</v>
      </c>
      <c r="EK173" s="8">
        <v>0</v>
      </c>
      <c r="EL173" s="8">
        <v>0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8">
        <v>0</v>
      </c>
      <c r="ES173" s="8">
        <v>0</v>
      </c>
      <c r="ET173" s="8">
        <v>0</v>
      </c>
      <c r="EU173" s="8">
        <v>0</v>
      </c>
      <c r="EV173" s="8">
        <v>0</v>
      </c>
      <c r="EW173" s="8">
        <v>0</v>
      </c>
      <c r="EX173" s="8">
        <v>0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9">
        <f t="shared" si="894"/>
        <v>5</v>
      </c>
      <c r="FH173" s="8">
        <v>0</v>
      </c>
      <c r="FI173" s="8">
        <v>0</v>
      </c>
      <c r="FJ173" s="8">
        <v>8</v>
      </c>
      <c r="FK173" s="8">
        <v>0</v>
      </c>
      <c r="FL173" s="8">
        <v>0</v>
      </c>
      <c r="FM173" s="8">
        <v>0</v>
      </c>
      <c r="FN173" s="8">
        <v>0</v>
      </c>
      <c r="FO173" s="8">
        <v>0</v>
      </c>
      <c r="FP173" s="8">
        <v>0</v>
      </c>
      <c r="FQ173" s="9">
        <f t="shared" si="895"/>
        <v>0</v>
      </c>
      <c r="FR173" s="8">
        <v>0</v>
      </c>
      <c r="FS173" s="8">
        <v>0</v>
      </c>
      <c r="FT173" s="8">
        <v>0</v>
      </c>
      <c r="FU173" s="8">
        <v>0</v>
      </c>
      <c r="FV173" s="9">
        <f t="shared" si="896"/>
        <v>0</v>
      </c>
      <c r="FW173" s="8">
        <v>1671088.909999999</v>
      </c>
      <c r="FX173" s="8">
        <v>266</v>
      </c>
      <c r="FY173" s="8">
        <v>396720.23</v>
      </c>
      <c r="FZ173" s="8">
        <v>71500</v>
      </c>
      <c r="GA173" s="9">
        <f t="shared" si="897"/>
        <v>2139575.1399999987</v>
      </c>
      <c r="GB173" s="9">
        <f t="shared" si="898"/>
        <v>2139575.1399999987</v>
      </c>
      <c r="GC173" s="8">
        <v>147101.28</v>
      </c>
      <c r="GD173" s="8">
        <v>0</v>
      </c>
      <c r="GE173" s="8">
        <v>0</v>
      </c>
      <c r="GF173" s="8">
        <v>0</v>
      </c>
      <c r="GG173" s="9">
        <f t="shared" si="899"/>
        <v>147101.28</v>
      </c>
      <c r="GH173" s="8">
        <v>0</v>
      </c>
      <c r="GI173" s="8">
        <v>0</v>
      </c>
      <c r="GJ173" s="8">
        <v>0</v>
      </c>
      <c r="GK173" s="8">
        <v>0</v>
      </c>
      <c r="GL173" s="9">
        <f t="shared" si="900"/>
        <v>0</v>
      </c>
      <c r="GM173" s="9">
        <f t="shared" si="901"/>
        <v>147101.28</v>
      </c>
      <c r="GN173" s="8">
        <v>11893.25</v>
      </c>
      <c r="GO173" s="8">
        <v>0</v>
      </c>
      <c r="GP173" s="8">
        <v>0</v>
      </c>
      <c r="GQ173" s="8">
        <v>0</v>
      </c>
      <c r="GR173" s="9">
        <f t="shared" si="902"/>
        <v>11893.25</v>
      </c>
      <c r="GS173" s="8">
        <v>18753</v>
      </c>
      <c r="GT173" s="8">
        <v>0</v>
      </c>
      <c r="GU173" s="8">
        <v>0</v>
      </c>
      <c r="GV173" s="8">
        <v>0</v>
      </c>
      <c r="GW173" s="9">
        <f t="shared" si="903"/>
        <v>18753</v>
      </c>
      <c r="GX173" s="9">
        <f t="shared" si="904"/>
        <v>177747.53</v>
      </c>
      <c r="GY173" s="8">
        <v>16696860.630000001</v>
      </c>
      <c r="GZ173" s="8">
        <v>6094751.9100000001</v>
      </c>
      <c r="HA173" s="9">
        <f t="shared" si="905"/>
        <v>22791612.539999999</v>
      </c>
      <c r="HB173" s="9">
        <f t="shared" si="906"/>
        <v>6.1407146417168219</v>
      </c>
      <c r="HC173" s="10">
        <f t="shared" si="907"/>
        <v>0.12679258206846555</v>
      </c>
      <c r="HD173" s="9">
        <f t="shared" si="908"/>
        <v>12.037158209737141</v>
      </c>
      <c r="HE173" s="8">
        <v>3</v>
      </c>
      <c r="HF173" s="8">
        <v>1</v>
      </c>
      <c r="HG173" s="8">
        <v>3</v>
      </c>
      <c r="HH173" s="8">
        <v>3</v>
      </c>
      <c r="HI173" s="8">
        <v>30</v>
      </c>
      <c r="HJ173" s="9">
        <f t="shared" si="909"/>
        <v>31</v>
      </c>
      <c r="HK173" s="10">
        <f t="shared" si="910"/>
        <v>1</v>
      </c>
      <c r="HL173" s="8">
        <v>7</v>
      </c>
      <c r="HM173" s="8">
        <v>2</v>
      </c>
      <c r="HN173" s="11">
        <f t="shared" si="911"/>
        <v>0.2857142857142857</v>
      </c>
    </row>
    <row r="174" spans="1:222" x14ac:dyDescent="0.3">
      <c r="A174" s="12" t="s">
        <v>280</v>
      </c>
      <c r="B174" s="12" t="s">
        <v>286</v>
      </c>
      <c r="C174" s="13" t="s">
        <v>257</v>
      </c>
      <c r="D174" s="13">
        <v>2025</v>
      </c>
      <c r="E174" s="13">
        <v>7</v>
      </c>
      <c r="F174" s="13" t="s">
        <v>262</v>
      </c>
      <c r="G174" s="13" t="s">
        <v>263</v>
      </c>
      <c r="H174" s="14">
        <v>1650</v>
      </c>
      <c r="I174" s="14">
        <v>193</v>
      </c>
      <c r="J174" s="14">
        <v>0</v>
      </c>
      <c r="K174" s="14">
        <v>0</v>
      </c>
      <c r="L174" s="14">
        <v>30</v>
      </c>
      <c r="M174" s="15">
        <f t="shared" si="851"/>
        <v>223</v>
      </c>
      <c r="N174" s="14">
        <v>1068.5</v>
      </c>
      <c r="O174" s="14">
        <v>25</v>
      </c>
      <c r="P174" s="14">
        <v>80</v>
      </c>
      <c r="Q174" s="14">
        <v>39</v>
      </c>
      <c r="R174" s="15">
        <f t="shared" si="852"/>
        <v>1212.5</v>
      </c>
      <c r="S174" s="15">
        <f t="shared" si="853"/>
        <v>1435.5</v>
      </c>
      <c r="T174" s="14">
        <v>214.5</v>
      </c>
      <c r="U174" s="16">
        <f t="shared" si="854"/>
        <v>0.13</v>
      </c>
      <c r="V174" s="14">
        <v>1</v>
      </c>
      <c r="W174" s="17">
        <f t="shared" si="855"/>
        <v>6.0606060606060606E-4</v>
      </c>
      <c r="X174" s="14">
        <v>0</v>
      </c>
      <c r="Y174" s="17">
        <f t="shared" si="856"/>
        <v>0</v>
      </c>
      <c r="Z174" s="14">
        <v>0</v>
      </c>
      <c r="AA174" s="17">
        <f t="shared" si="857"/>
        <v>0</v>
      </c>
      <c r="AB174" s="14">
        <v>0</v>
      </c>
      <c r="AC174" s="17">
        <f t="shared" si="858"/>
        <v>0</v>
      </c>
      <c r="AD174" s="14">
        <v>0</v>
      </c>
      <c r="AE174" s="17">
        <f t="shared" si="859"/>
        <v>0</v>
      </c>
      <c r="AF174" s="14">
        <v>0</v>
      </c>
      <c r="AG174" s="17">
        <f t="shared" si="860"/>
        <v>0</v>
      </c>
      <c r="AH174" s="14">
        <v>5111.67</v>
      </c>
      <c r="AI174" s="15">
        <f t="shared" si="861"/>
        <v>3.0979818181818182</v>
      </c>
      <c r="AJ174" s="14">
        <v>1970</v>
      </c>
      <c r="AK174" s="17">
        <f t="shared" si="862"/>
        <v>1.1939393939393939</v>
      </c>
      <c r="AL174" s="14">
        <v>289766.95500000002</v>
      </c>
      <c r="AM174" s="15">
        <f t="shared" si="863"/>
        <v>175.61633636363638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833539.52</v>
      </c>
      <c r="AT174" s="14">
        <v>431062.5</v>
      </c>
      <c r="AU174" s="15">
        <f t="shared" si="864"/>
        <v>1559480.645</v>
      </c>
      <c r="AV174" s="15">
        <f t="shared" si="865"/>
        <v>945.13978484848485</v>
      </c>
      <c r="AW174" s="15">
        <f t="shared" si="866"/>
        <v>1086.3675687913619</v>
      </c>
      <c r="AX174" s="14">
        <v>5</v>
      </c>
      <c r="AY174" s="15">
        <f t="shared" si="867"/>
        <v>36.363636363636367</v>
      </c>
      <c r="AZ174" s="14">
        <v>2</v>
      </c>
      <c r="BA174" s="14">
        <v>3</v>
      </c>
      <c r="BB174" s="14">
        <v>3</v>
      </c>
      <c r="BC174" s="14">
        <v>0</v>
      </c>
      <c r="BD174" s="14">
        <v>0</v>
      </c>
      <c r="BE174" s="15">
        <f t="shared" si="868"/>
        <v>0</v>
      </c>
      <c r="BF174" s="15">
        <f t="shared" si="869"/>
        <v>6</v>
      </c>
      <c r="BG174" s="14">
        <v>0</v>
      </c>
      <c r="BH174" s="14">
        <v>0</v>
      </c>
      <c r="BI174" s="14">
        <v>0</v>
      </c>
      <c r="BJ174" s="14">
        <v>0</v>
      </c>
      <c r="BK174" s="15">
        <f t="shared" si="870"/>
        <v>0</v>
      </c>
      <c r="BL174" s="15">
        <f t="shared" si="871"/>
        <v>0</v>
      </c>
      <c r="BM174" s="14">
        <v>0</v>
      </c>
      <c r="BN174" s="14">
        <v>0</v>
      </c>
      <c r="BO174" s="14">
        <v>0</v>
      </c>
      <c r="BP174" s="14">
        <v>0</v>
      </c>
      <c r="BQ174" s="15">
        <f t="shared" si="872"/>
        <v>0</v>
      </c>
      <c r="BR174" s="15">
        <f t="shared" si="873"/>
        <v>0</v>
      </c>
      <c r="BS174" s="14">
        <v>0</v>
      </c>
      <c r="BT174" s="14">
        <v>0</v>
      </c>
      <c r="BU174" s="14">
        <v>0</v>
      </c>
      <c r="BV174" s="14">
        <v>0</v>
      </c>
      <c r="BW174" s="15">
        <f t="shared" si="874"/>
        <v>0</v>
      </c>
      <c r="BX174" s="15">
        <f t="shared" si="875"/>
        <v>0</v>
      </c>
      <c r="BY174" s="15">
        <f t="shared" si="876"/>
        <v>3</v>
      </c>
      <c r="BZ174" s="15">
        <f t="shared" si="877"/>
        <v>3</v>
      </c>
      <c r="CA174" s="15">
        <f t="shared" si="878"/>
        <v>0</v>
      </c>
      <c r="CB174" s="15">
        <f t="shared" si="879"/>
        <v>6</v>
      </c>
      <c r="CC174" s="14">
        <v>0</v>
      </c>
      <c r="CD174" s="14">
        <v>13</v>
      </c>
      <c r="CE174" s="14">
        <v>5</v>
      </c>
      <c r="CF174" s="14">
        <v>5</v>
      </c>
      <c r="CG174" s="14">
        <v>11</v>
      </c>
      <c r="CH174" s="15">
        <f t="shared" si="880"/>
        <v>34</v>
      </c>
      <c r="CI174" s="14">
        <v>25</v>
      </c>
      <c r="CJ174" s="14">
        <v>0</v>
      </c>
      <c r="CK174" s="14">
        <v>1</v>
      </c>
      <c r="CL174" s="14">
        <v>0</v>
      </c>
      <c r="CM174" s="15">
        <f t="shared" si="881"/>
        <v>26</v>
      </c>
      <c r="CN174" s="14">
        <v>188</v>
      </c>
      <c r="CO174" s="14">
        <v>9</v>
      </c>
      <c r="CP174" s="14">
        <v>13</v>
      </c>
      <c r="CQ174" s="14">
        <v>3</v>
      </c>
      <c r="CR174" s="15">
        <f t="shared" si="882"/>
        <v>213</v>
      </c>
      <c r="CS174" s="15">
        <f t="shared" si="883"/>
        <v>239</v>
      </c>
      <c r="CT174" s="14">
        <v>273</v>
      </c>
      <c r="CU174" s="14">
        <v>2250</v>
      </c>
      <c r="CV174" s="14">
        <v>1160</v>
      </c>
      <c r="CW174" s="16">
        <f t="shared" si="884"/>
        <v>0.51555555555555554</v>
      </c>
      <c r="CX174" s="14">
        <v>0</v>
      </c>
      <c r="CY174" s="14">
        <v>0</v>
      </c>
      <c r="CZ174" s="14">
        <v>0</v>
      </c>
      <c r="DA174" s="14">
        <v>0</v>
      </c>
      <c r="DB174" s="15">
        <f t="shared" si="885"/>
        <v>0</v>
      </c>
      <c r="DC174" s="14">
        <v>0</v>
      </c>
      <c r="DD174" s="14">
        <v>0</v>
      </c>
      <c r="DE174" s="14">
        <v>0</v>
      </c>
      <c r="DF174" s="14">
        <v>0</v>
      </c>
      <c r="DG174" s="15">
        <f t="shared" si="886"/>
        <v>0</v>
      </c>
      <c r="DH174" s="14">
        <v>0</v>
      </c>
      <c r="DI174" s="14">
        <v>0</v>
      </c>
      <c r="DJ174" s="14">
        <v>0</v>
      </c>
      <c r="DK174" s="14">
        <v>0</v>
      </c>
      <c r="DL174" s="15">
        <f t="shared" si="887"/>
        <v>0</v>
      </c>
      <c r="DM174" s="14">
        <v>0</v>
      </c>
      <c r="DN174" s="14">
        <v>0</v>
      </c>
      <c r="DO174" s="14">
        <v>0</v>
      </c>
      <c r="DP174" s="14">
        <v>0</v>
      </c>
      <c r="DQ174" s="15">
        <f t="shared" si="888"/>
        <v>0</v>
      </c>
      <c r="DR174" s="15">
        <f t="shared" si="889"/>
        <v>0</v>
      </c>
      <c r="DS174" s="15">
        <f t="shared" si="890"/>
        <v>0</v>
      </c>
      <c r="DT174" s="15">
        <f t="shared" si="891"/>
        <v>0</v>
      </c>
      <c r="DU174" s="15">
        <f t="shared" si="892"/>
        <v>0</v>
      </c>
      <c r="DV174" s="15">
        <f t="shared" si="893"/>
        <v>0</v>
      </c>
      <c r="DW174" s="14">
        <v>3</v>
      </c>
      <c r="DX174" s="14">
        <v>2</v>
      </c>
      <c r="DY174" s="14">
        <v>0</v>
      </c>
      <c r="DZ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  <c r="EG174" s="14">
        <v>0</v>
      </c>
      <c r="EH174" s="14">
        <v>0</v>
      </c>
      <c r="EI174" s="14">
        <v>0</v>
      </c>
      <c r="EJ174" s="14">
        <v>0</v>
      </c>
      <c r="EK174" s="14">
        <v>0</v>
      </c>
      <c r="EL174" s="14">
        <v>0</v>
      </c>
      <c r="EM174" s="14">
        <v>0</v>
      </c>
      <c r="EN174" s="14">
        <v>0</v>
      </c>
      <c r="EO174" s="14">
        <v>0</v>
      </c>
      <c r="EP174" s="14">
        <v>0</v>
      </c>
      <c r="EQ174" s="14">
        <v>0</v>
      </c>
      <c r="ER174" s="14">
        <v>0</v>
      </c>
      <c r="ES174" s="14">
        <v>0</v>
      </c>
      <c r="ET174" s="14">
        <v>0</v>
      </c>
      <c r="EU174" s="14">
        <v>0</v>
      </c>
      <c r="EV174" s="14">
        <v>0</v>
      </c>
      <c r="EW174" s="14">
        <v>0</v>
      </c>
      <c r="EX174" s="14">
        <v>0</v>
      </c>
      <c r="EY174" s="14">
        <v>0</v>
      </c>
      <c r="EZ174" s="14">
        <v>0</v>
      </c>
      <c r="FA174" s="14">
        <v>0</v>
      </c>
      <c r="FB174" s="14">
        <v>0</v>
      </c>
      <c r="FC174" s="14">
        <v>0</v>
      </c>
      <c r="FD174" s="14">
        <v>0</v>
      </c>
      <c r="FE174" s="14">
        <v>0</v>
      </c>
      <c r="FF174" s="14">
        <v>0</v>
      </c>
      <c r="FG174" s="15">
        <f t="shared" si="894"/>
        <v>5</v>
      </c>
      <c r="FH174" s="14">
        <v>0</v>
      </c>
      <c r="FI174" s="14">
        <v>0</v>
      </c>
      <c r="FJ174" s="14">
        <v>8</v>
      </c>
      <c r="FK174" s="14">
        <v>0</v>
      </c>
      <c r="FL174" s="14">
        <v>0</v>
      </c>
      <c r="FM174" s="14">
        <v>0</v>
      </c>
      <c r="FN174" s="14">
        <v>0</v>
      </c>
      <c r="FO174" s="14">
        <v>0</v>
      </c>
      <c r="FP174" s="14">
        <v>0</v>
      </c>
      <c r="FQ174" s="15">
        <f t="shared" si="895"/>
        <v>0</v>
      </c>
      <c r="FR174" s="14">
        <v>102000</v>
      </c>
      <c r="FS174" s="14">
        <v>0</v>
      </c>
      <c r="FT174" s="14">
        <v>0</v>
      </c>
      <c r="FU174" s="14">
        <v>75867.22</v>
      </c>
      <c r="FV174" s="15">
        <f t="shared" si="896"/>
        <v>177867.22</v>
      </c>
      <c r="FW174" s="14">
        <v>2204308</v>
      </c>
      <c r="FX174" s="14">
        <v>5400</v>
      </c>
      <c r="FY174" s="14">
        <v>333500</v>
      </c>
      <c r="FZ174" s="14">
        <v>246200</v>
      </c>
      <c r="GA174" s="15">
        <f t="shared" si="897"/>
        <v>2789408</v>
      </c>
      <c r="GB174" s="15">
        <f t="shared" si="898"/>
        <v>2967275.22</v>
      </c>
      <c r="GC174" s="14">
        <v>167025.01</v>
      </c>
      <c r="GD174" s="14">
        <v>167025.01</v>
      </c>
      <c r="GE174" s="14">
        <v>0</v>
      </c>
      <c r="GF174" s="14">
        <v>124176.13</v>
      </c>
      <c r="GG174" s="15">
        <f t="shared" si="899"/>
        <v>458226.15</v>
      </c>
      <c r="GH174" s="14">
        <v>291201.14</v>
      </c>
      <c r="GI174" s="14">
        <v>0</v>
      </c>
      <c r="GJ174" s="14">
        <v>0</v>
      </c>
      <c r="GK174" s="14">
        <v>0</v>
      </c>
      <c r="GL174" s="15">
        <f t="shared" si="900"/>
        <v>291201.14</v>
      </c>
      <c r="GM174" s="15">
        <f t="shared" si="901"/>
        <v>749427.29</v>
      </c>
      <c r="GN174" s="14">
        <v>14072.97</v>
      </c>
      <c r="GO174" s="14">
        <v>14072.97</v>
      </c>
      <c r="GP174" s="14">
        <v>0</v>
      </c>
      <c r="GQ174" s="14">
        <v>4637.34</v>
      </c>
      <c r="GR174" s="15">
        <f t="shared" si="902"/>
        <v>32783.279999999999</v>
      </c>
      <c r="GS174" s="14">
        <v>22325</v>
      </c>
      <c r="GT174" s="14">
        <v>22325</v>
      </c>
      <c r="GU174" s="14">
        <v>0</v>
      </c>
      <c r="GV174" s="14">
        <v>893</v>
      </c>
      <c r="GW174" s="15">
        <f t="shared" si="903"/>
        <v>45543</v>
      </c>
      <c r="GX174" s="15">
        <f t="shared" si="904"/>
        <v>827753.57000000007</v>
      </c>
      <c r="GY174" s="14">
        <v>16852122.859999999</v>
      </c>
      <c r="GZ174" s="14">
        <v>6094751.9100000001</v>
      </c>
      <c r="HA174" s="15">
        <f t="shared" si="905"/>
        <v>22946874.77</v>
      </c>
      <c r="HB174" s="15">
        <f t="shared" si="906"/>
        <v>1.8839914456666129</v>
      </c>
      <c r="HC174" s="16">
        <f t="shared" si="907"/>
        <v>0.16783348185426206</v>
      </c>
      <c r="HD174" s="15">
        <f t="shared" si="908"/>
        <v>3.5847326155295227</v>
      </c>
      <c r="HE174" s="14">
        <v>3</v>
      </c>
      <c r="HF174" s="14">
        <v>1</v>
      </c>
      <c r="HG174" s="14">
        <v>6</v>
      </c>
      <c r="HH174" s="14">
        <v>3</v>
      </c>
      <c r="HI174" s="14">
        <v>30</v>
      </c>
      <c r="HJ174" s="15">
        <f t="shared" si="909"/>
        <v>31</v>
      </c>
      <c r="HK174" s="16">
        <f t="shared" si="910"/>
        <v>1</v>
      </c>
      <c r="HL174" s="14">
        <v>9</v>
      </c>
      <c r="HM174" s="14">
        <v>5</v>
      </c>
      <c r="HN174" s="17">
        <f t="shared" si="911"/>
        <v>0.55555555555555558</v>
      </c>
    </row>
    <row r="175" spans="1:222" x14ac:dyDescent="0.3">
      <c r="A175" s="6" t="s">
        <v>280</v>
      </c>
      <c r="B175" s="6" t="s">
        <v>286</v>
      </c>
      <c r="C175" s="7" t="s">
        <v>257</v>
      </c>
      <c r="D175" s="7">
        <v>2025</v>
      </c>
      <c r="E175" s="7">
        <v>8</v>
      </c>
      <c r="F175" s="7" t="s">
        <v>264</v>
      </c>
      <c r="G175" s="7" t="s">
        <v>263</v>
      </c>
      <c r="H175" s="8">
        <v>1820</v>
      </c>
      <c r="I175" s="8">
        <v>214</v>
      </c>
      <c r="J175" s="8">
        <v>0</v>
      </c>
      <c r="K175" s="8">
        <v>4</v>
      </c>
      <c r="L175" s="8">
        <v>35</v>
      </c>
      <c r="M175" s="9">
        <f t="shared" si="851"/>
        <v>253</v>
      </c>
      <c r="N175" s="8">
        <v>1193.7</v>
      </c>
      <c r="O175" s="8">
        <v>0</v>
      </c>
      <c r="P175" s="8">
        <v>41.3</v>
      </c>
      <c r="Q175" s="8">
        <v>31</v>
      </c>
      <c r="R175" s="9">
        <f t="shared" si="852"/>
        <v>1266</v>
      </c>
      <c r="S175" s="9">
        <f t="shared" si="853"/>
        <v>1519</v>
      </c>
      <c r="T175" s="8">
        <v>301</v>
      </c>
      <c r="U175" s="10">
        <f t="shared" si="854"/>
        <v>0.16538461538461538</v>
      </c>
      <c r="V175" s="8">
        <v>1</v>
      </c>
      <c r="W175" s="11">
        <f t="shared" si="855"/>
        <v>5.4945054945054945E-4</v>
      </c>
      <c r="X175" s="8">
        <v>0</v>
      </c>
      <c r="Y175" s="11">
        <f t="shared" si="856"/>
        <v>0</v>
      </c>
      <c r="Z175" s="8">
        <v>0</v>
      </c>
      <c r="AA175" s="11">
        <f t="shared" si="857"/>
        <v>0</v>
      </c>
      <c r="AB175" s="8">
        <v>0</v>
      </c>
      <c r="AC175" s="11">
        <f t="shared" si="858"/>
        <v>0</v>
      </c>
      <c r="AD175" s="8">
        <v>0</v>
      </c>
      <c r="AE175" s="11">
        <f t="shared" si="859"/>
        <v>0</v>
      </c>
      <c r="AF175" s="8">
        <v>0</v>
      </c>
      <c r="AG175" s="11">
        <f t="shared" si="860"/>
        <v>0</v>
      </c>
      <c r="AH175" s="8">
        <v>5111.67</v>
      </c>
      <c r="AI175" s="9">
        <f t="shared" si="861"/>
        <v>2.8086098901098899</v>
      </c>
      <c r="AJ175" s="8">
        <v>1765</v>
      </c>
      <c r="AK175" s="11">
        <f t="shared" si="862"/>
        <v>0.96978021978021978</v>
      </c>
      <c r="AL175" s="8">
        <v>261322.89749999999</v>
      </c>
      <c r="AM175" s="9">
        <f t="shared" si="863"/>
        <v>143.58400961538462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935308.88</v>
      </c>
      <c r="AT175" s="8">
        <v>0</v>
      </c>
      <c r="AU175" s="9">
        <f t="shared" si="864"/>
        <v>1201743.4475</v>
      </c>
      <c r="AV175" s="9">
        <f t="shared" si="865"/>
        <v>660.29859752747257</v>
      </c>
      <c r="AW175" s="9">
        <f t="shared" si="866"/>
        <v>791.14117676102694</v>
      </c>
      <c r="AX175" s="8">
        <v>5</v>
      </c>
      <c r="AY175" s="9">
        <f t="shared" si="867"/>
        <v>32.967032967032964</v>
      </c>
      <c r="AZ175" s="8">
        <v>2</v>
      </c>
      <c r="BA175" s="8">
        <v>6</v>
      </c>
      <c r="BB175" s="8">
        <v>5</v>
      </c>
      <c r="BC175" s="8">
        <v>0</v>
      </c>
      <c r="BD175" s="8">
        <v>0</v>
      </c>
      <c r="BE175" s="9">
        <f t="shared" si="868"/>
        <v>0</v>
      </c>
      <c r="BF175" s="9">
        <f t="shared" si="869"/>
        <v>11</v>
      </c>
      <c r="BG175" s="8">
        <v>0</v>
      </c>
      <c r="BH175" s="8">
        <v>0</v>
      </c>
      <c r="BI175" s="8">
        <v>0</v>
      </c>
      <c r="BJ175" s="8">
        <v>0</v>
      </c>
      <c r="BK175" s="9">
        <f t="shared" si="870"/>
        <v>0</v>
      </c>
      <c r="BL175" s="9">
        <f t="shared" si="871"/>
        <v>0</v>
      </c>
      <c r="BM175" s="8">
        <v>0</v>
      </c>
      <c r="BN175" s="8">
        <v>0</v>
      </c>
      <c r="BO175" s="8">
        <v>0</v>
      </c>
      <c r="BP175" s="8">
        <v>0</v>
      </c>
      <c r="BQ175" s="9">
        <f t="shared" si="872"/>
        <v>0</v>
      </c>
      <c r="BR175" s="9">
        <f t="shared" si="873"/>
        <v>0</v>
      </c>
      <c r="BS175" s="8">
        <v>0</v>
      </c>
      <c r="BT175" s="8">
        <v>0</v>
      </c>
      <c r="BU175" s="8">
        <v>0</v>
      </c>
      <c r="BV175" s="8">
        <v>0</v>
      </c>
      <c r="BW175" s="9">
        <f t="shared" si="874"/>
        <v>0</v>
      </c>
      <c r="BX175" s="9">
        <f t="shared" si="875"/>
        <v>0</v>
      </c>
      <c r="BY175" s="9">
        <f t="shared" si="876"/>
        <v>6</v>
      </c>
      <c r="BZ175" s="9">
        <f t="shared" si="877"/>
        <v>5</v>
      </c>
      <c r="CA175" s="9">
        <f t="shared" si="878"/>
        <v>0</v>
      </c>
      <c r="CB175" s="9">
        <f t="shared" si="879"/>
        <v>11</v>
      </c>
      <c r="CC175" s="8">
        <v>0</v>
      </c>
      <c r="CD175" s="8">
        <v>13</v>
      </c>
      <c r="CE175" s="8">
        <v>5</v>
      </c>
      <c r="CF175" s="8">
        <v>5</v>
      </c>
      <c r="CG175" s="8">
        <v>11</v>
      </c>
      <c r="CH175" s="9">
        <f t="shared" si="880"/>
        <v>34</v>
      </c>
      <c r="CI175" s="8">
        <v>27</v>
      </c>
      <c r="CJ175" s="8">
        <v>1</v>
      </c>
      <c r="CK175" s="8">
        <v>1</v>
      </c>
      <c r="CL175" s="8">
        <v>0</v>
      </c>
      <c r="CM175" s="9">
        <f t="shared" si="881"/>
        <v>29</v>
      </c>
      <c r="CN175" s="8">
        <v>186</v>
      </c>
      <c r="CO175" s="8">
        <v>8</v>
      </c>
      <c r="CP175" s="8">
        <v>13</v>
      </c>
      <c r="CQ175" s="8">
        <v>3</v>
      </c>
      <c r="CR175" s="9">
        <f t="shared" si="882"/>
        <v>210</v>
      </c>
      <c r="CS175" s="9">
        <f t="shared" si="883"/>
        <v>239</v>
      </c>
      <c r="CT175" s="8">
        <v>273</v>
      </c>
      <c r="CU175" s="8">
        <v>2250</v>
      </c>
      <c r="CV175" s="8">
        <v>1160</v>
      </c>
      <c r="CW175" s="10">
        <f t="shared" si="884"/>
        <v>0.51555555555555554</v>
      </c>
      <c r="CX175" s="8">
        <v>0</v>
      </c>
      <c r="CY175" s="8">
        <v>0</v>
      </c>
      <c r="CZ175" s="8">
        <v>0</v>
      </c>
      <c r="DA175" s="8">
        <v>0</v>
      </c>
      <c r="DB175" s="9">
        <f t="shared" si="885"/>
        <v>0</v>
      </c>
      <c r="DC175" s="8">
        <v>0</v>
      </c>
      <c r="DD175" s="8">
        <v>0</v>
      </c>
      <c r="DE175" s="8">
        <v>0</v>
      </c>
      <c r="DF175" s="8">
        <v>0</v>
      </c>
      <c r="DG175" s="9">
        <f t="shared" si="886"/>
        <v>0</v>
      </c>
      <c r="DH175" s="8">
        <v>0</v>
      </c>
      <c r="DI175" s="8">
        <v>0</v>
      </c>
      <c r="DJ175" s="8">
        <v>0</v>
      </c>
      <c r="DK175" s="8">
        <v>0</v>
      </c>
      <c r="DL175" s="9">
        <f t="shared" si="887"/>
        <v>0</v>
      </c>
      <c r="DM175" s="8">
        <v>0</v>
      </c>
      <c r="DN175" s="8">
        <v>0</v>
      </c>
      <c r="DO175" s="8">
        <v>0</v>
      </c>
      <c r="DP175" s="8">
        <v>0</v>
      </c>
      <c r="DQ175" s="9">
        <f t="shared" si="888"/>
        <v>0</v>
      </c>
      <c r="DR175" s="9">
        <f t="shared" si="889"/>
        <v>0</v>
      </c>
      <c r="DS175" s="9">
        <f t="shared" si="890"/>
        <v>0</v>
      </c>
      <c r="DT175" s="9">
        <f t="shared" si="891"/>
        <v>0</v>
      </c>
      <c r="DU175" s="9">
        <f t="shared" si="892"/>
        <v>0</v>
      </c>
      <c r="DV175" s="9">
        <f t="shared" si="893"/>
        <v>0</v>
      </c>
      <c r="DW175" s="8">
        <v>1</v>
      </c>
      <c r="DX175" s="8">
        <v>0</v>
      </c>
      <c r="DY175" s="8">
        <v>0</v>
      </c>
      <c r="DZ175" s="8">
        <v>0</v>
      </c>
      <c r="EA175" s="8">
        <v>0</v>
      </c>
      <c r="EB175" s="8">
        <v>0</v>
      </c>
      <c r="EC175" s="8">
        <v>0</v>
      </c>
      <c r="ED175" s="8">
        <v>0</v>
      </c>
      <c r="EE175" s="8">
        <v>0</v>
      </c>
      <c r="EF175" s="8">
        <v>0</v>
      </c>
      <c r="EG175" s="8">
        <v>0</v>
      </c>
      <c r="EH175" s="8">
        <v>0</v>
      </c>
      <c r="EI175" s="8">
        <v>0</v>
      </c>
      <c r="EJ175" s="8">
        <v>0</v>
      </c>
      <c r="EK175" s="8">
        <v>0</v>
      </c>
      <c r="EL175" s="8">
        <v>0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8">
        <v>0</v>
      </c>
      <c r="ES175" s="8">
        <v>0</v>
      </c>
      <c r="ET175" s="8">
        <v>0</v>
      </c>
      <c r="EU175" s="8">
        <v>0</v>
      </c>
      <c r="EV175" s="8">
        <v>0</v>
      </c>
      <c r="EW175" s="8">
        <v>0</v>
      </c>
      <c r="EX175" s="8">
        <v>0</v>
      </c>
      <c r="EY175" s="8">
        <v>0</v>
      </c>
      <c r="EZ175" s="8">
        <v>0</v>
      </c>
      <c r="FA175" s="8">
        <v>0</v>
      </c>
      <c r="FB175" s="8">
        <v>0</v>
      </c>
      <c r="FC175" s="8">
        <v>0</v>
      </c>
      <c r="FD175" s="8">
        <v>0</v>
      </c>
      <c r="FE175" s="8">
        <v>0</v>
      </c>
      <c r="FF175" s="8">
        <v>0</v>
      </c>
      <c r="FG175" s="9">
        <f t="shared" si="894"/>
        <v>1</v>
      </c>
      <c r="FH175" s="8">
        <v>0</v>
      </c>
      <c r="FI175" s="8">
        <v>0</v>
      </c>
      <c r="FJ175" s="8">
        <v>8</v>
      </c>
      <c r="FK175" s="8">
        <v>0</v>
      </c>
      <c r="FL175" s="8">
        <v>0</v>
      </c>
      <c r="FM175" s="8">
        <v>0</v>
      </c>
      <c r="FN175" s="8">
        <v>0</v>
      </c>
      <c r="FO175" s="8">
        <v>0</v>
      </c>
      <c r="FP175" s="8">
        <v>0</v>
      </c>
      <c r="FQ175" s="9">
        <f t="shared" si="895"/>
        <v>0</v>
      </c>
      <c r="FR175" s="8">
        <v>0</v>
      </c>
      <c r="FS175" s="8">
        <v>0</v>
      </c>
      <c r="FT175" s="8">
        <v>0</v>
      </c>
      <c r="FU175" s="8">
        <v>0</v>
      </c>
      <c r="FV175" s="9">
        <f t="shared" si="896"/>
        <v>0</v>
      </c>
      <c r="FW175" s="8">
        <v>2293269</v>
      </c>
      <c r="FX175" s="8">
        <v>127600</v>
      </c>
      <c r="FY175" s="8">
        <v>181500</v>
      </c>
      <c r="FZ175" s="8">
        <v>0</v>
      </c>
      <c r="GA175" s="9">
        <f t="shared" si="897"/>
        <v>2602369</v>
      </c>
      <c r="GB175" s="9">
        <f t="shared" si="898"/>
        <v>2602369</v>
      </c>
      <c r="GC175" s="8">
        <v>184962</v>
      </c>
      <c r="GD175" s="8">
        <v>184962</v>
      </c>
      <c r="GE175" s="8">
        <v>8410.99</v>
      </c>
      <c r="GF175" s="8">
        <v>149165.53</v>
      </c>
      <c r="GG175" s="9">
        <f t="shared" si="899"/>
        <v>527500.52</v>
      </c>
      <c r="GH175" s="8">
        <v>342538.52</v>
      </c>
      <c r="GI175" s="8">
        <v>0</v>
      </c>
      <c r="GJ175" s="8">
        <v>0</v>
      </c>
      <c r="GK175" s="8">
        <v>0</v>
      </c>
      <c r="GL175" s="9">
        <f t="shared" si="900"/>
        <v>342538.52</v>
      </c>
      <c r="GM175" s="9">
        <f t="shared" si="901"/>
        <v>870039.04000000004</v>
      </c>
      <c r="GN175" s="8">
        <v>15162.83</v>
      </c>
      <c r="GO175" s="8">
        <v>15162.83</v>
      </c>
      <c r="GP175" s="8">
        <v>3393.64</v>
      </c>
      <c r="GQ175" s="8">
        <v>4637.34</v>
      </c>
      <c r="GR175" s="9">
        <f t="shared" si="902"/>
        <v>38356.639999999999</v>
      </c>
      <c r="GS175" s="8">
        <v>24111</v>
      </c>
      <c r="GT175" s="8">
        <v>24111</v>
      </c>
      <c r="GU175" s="8">
        <v>893</v>
      </c>
      <c r="GV175" s="8">
        <v>893</v>
      </c>
      <c r="GW175" s="9">
        <f t="shared" si="903"/>
        <v>50008</v>
      </c>
      <c r="GX175" s="9">
        <f t="shared" si="904"/>
        <v>958403.68</v>
      </c>
      <c r="GY175" s="8">
        <v>17243752.190000001</v>
      </c>
      <c r="GZ175" s="8">
        <v>6094751.9100000001</v>
      </c>
      <c r="HA175" s="9">
        <f t="shared" si="905"/>
        <v>23338504.100000001</v>
      </c>
      <c r="HB175" s="9">
        <f t="shared" si="906"/>
        <v>1.253901119724415</v>
      </c>
      <c r="HC175" s="10">
        <f t="shared" si="907"/>
        <v>0.14297037222327663</v>
      </c>
      <c r="HD175" s="9">
        <f t="shared" si="908"/>
        <v>2.7153161598878666</v>
      </c>
      <c r="HE175" s="8">
        <v>5</v>
      </c>
      <c r="HF175" s="8">
        <v>1</v>
      </c>
      <c r="HG175" s="8">
        <v>11</v>
      </c>
      <c r="HH175" s="8">
        <v>5</v>
      </c>
      <c r="HI175" s="8">
        <v>30</v>
      </c>
      <c r="HJ175" s="9">
        <f t="shared" si="909"/>
        <v>31</v>
      </c>
      <c r="HK175" s="10">
        <f t="shared" si="910"/>
        <v>1</v>
      </c>
      <c r="HL175" s="8">
        <v>7</v>
      </c>
      <c r="HM175" s="8">
        <v>4</v>
      </c>
      <c r="HN175" s="11">
        <f t="shared" si="911"/>
        <v>0.5714285714285714</v>
      </c>
    </row>
    <row r="176" spans="1:222" x14ac:dyDescent="0.3">
      <c r="A176" s="12" t="s">
        <v>280</v>
      </c>
      <c r="B176" s="12" t="s">
        <v>286</v>
      </c>
      <c r="C176" s="13" t="s">
        <v>257</v>
      </c>
      <c r="D176" s="13">
        <v>2025</v>
      </c>
      <c r="E176" s="13">
        <v>9</v>
      </c>
      <c r="F176" s="13" t="s">
        <v>265</v>
      </c>
      <c r="G176" s="13" t="s">
        <v>263</v>
      </c>
      <c r="H176" s="14">
        <v>1480</v>
      </c>
      <c r="I176" s="14">
        <v>0</v>
      </c>
      <c r="J176" s="14">
        <v>0</v>
      </c>
      <c r="K176" s="14">
        <v>0</v>
      </c>
      <c r="L176" s="14">
        <v>0</v>
      </c>
      <c r="M176" s="15">
        <f t="shared" si="851"/>
        <v>0</v>
      </c>
      <c r="N176" s="14">
        <v>1063.9000000000001</v>
      </c>
      <c r="O176" s="14">
        <v>22.2</v>
      </c>
      <c r="P176" s="14">
        <v>22.2</v>
      </c>
      <c r="Q176" s="14">
        <v>34</v>
      </c>
      <c r="R176" s="15">
        <f t="shared" si="852"/>
        <v>1142.3000000000002</v>
      </c>
      <c r="S176" s="15">
        <f t="shared" si="853"/>
        <v>1142.3000000000002</v>
      </c>
      <c r="T176" s="14">
        <v>337.69999999999902</v>
      </c>
      <c r="U176" s="16">
        <f t="shared" si="854"/>
        <v>0.22817567567567501</v>
      </c>
      <c r="V176" s="14">
        <v>1</v>
      </c>
      <c r="W176" s="17">
        <f t="shared" si="855"/>
        <v>6.7567567567567571E-4</v>
      </c>
      <c r="X176" s="14">
        <v>0</v>
      </c>
      <c r="Y176" s="17">
        <f t="shared" si="856"/>
        <v>0</v>
      </c>
      <c r="Z176" s="14">
        <v>0</v>
      </c>
      <c r="AA176" s="17">
        <f t="shared" si="857"/>
        <v>0</v>
      </c>
      <c r="AB176" s="14">
        <v>0</v>
      </c>
      <c r="AC176" s="17">
        <f t="shared" si="858"/>
        <v>0</v>
      </c>
      <c r="AD176" s="14">
        <v>0</v>
      </c>
      <c r="AE176" s="17">
        <f t="shared" si="859"/>
        <v>0</v>
      </c>
      <c r="AF176" s="14">
        <v>0</v>
      </c>
      <c r="AG176" s="17">
        <f t="shared" si="860"/>
        <v>0</v>
      </c>
      <c r="AH176" s="14">
        <v>5111.67</v>
      </c>
      <c r="AI176" s="15">
        <f t="shared" si="861"/>
        <v>3.4538310810810811</v>
      </c>
      <c r="AJ176" s="14">
        <v>1860</v>
      </c>
      <c r="AK176" s="17">
        <f t="shared" si="862"/>
        <v>1.2567567567567568</v>
      </c>
      <c r="AL176" s="14">
        <v>274504.28999999998</v>
      </c>
      <c r="AM176" s="15">
        <f t="shared" si="863"/>
        <v>185.47587162162162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925314.88</v>
      </c>
      <c r="AT176" s="14">
        <v>0</v>
      </c>
      <c r="AU176" s="15">
        <f t="shared" si="864"/>
        <v>1204930.8399999999</v>
      </c>
      <c r="AV176" s="15">
        <f t="shared" si="865"/>
        <v>814.14245945945936</v>
      </c>
      <c r="AW176" s="15">
        <f t="shared" si="866"/>
        <v>1054.8287139980737</v>
      </c>
      <c r="AX176" s="14">
        <v>5</v>
      </c>
      <c r="AY176" s="15">
        <f t="shared" si="867"/>
        <v>40.54054054054054</v>
      </c>
      <c r="AZ176" s="14">
        <v>2</v>
      </c>
      <c r="BA176" s="14">
        <v>11</v>
      </c>
      <c r="BB176" s="14">
        <v>0</v>
      </c>
      <c r="BC176" s="14">
        <v>0</v>
      </c>
      <c r="BD176" s="14">
        <v>0</v>
      </c>
      <c r="BE176" s="15">
        <f t="shared" si="868"/>
        <v>0</v>
      </c>
      <c r="BF176" s="15">
        <f t="shared" si="869"/>
        <v>11</v>
      </c>
      <c r="BG176" s="14">
        <v>0</v>
      </c>
      <c r="BH176" s="14">
        <v>0</v>
      </c>
      <c r="BI176" s="14">
        <v>0</v>
      </c>
      <c r="BJ176" s="14">
        <v>0</v>
      </c>
      <c r="BK176" s="15">
        <f t="shared" si="870"/>
        <v>0</v>
      </c>
      <c r="BL176" s="15">
        <f t="shared" si="871"/>
        <v>0</v>
      </c>
      <c r="BM176" s="14">
        <v>0</v>
      </c>
      <c r="BN176" s="14">
        <v>0</v>
      </c>
      <c r="BO176" s="14">
        <v>0</v>
      </c>
      <c r="BP176" s="14">
        <v>0</v>
      </c>
      <c r="BQ176" s="15">
        <f t="shared" si="872"/>
        <v>0</v>
      </c>
      <c r="BR176" s="15">
        <f t="shared" si="873"/>
        <v>0</v>
      </c>
      <c r="BS176" s="14">
        <v>0</v>
      </c>
      <c r="BT176" s="14">
        <v>0</v>
      </c>
      <c r="BU176" s="14">
        <v>0</v>
      </c>
      <c r="BV176" s="14">
        <v>0</v>
      </c>
      <c r="BW176" s="15">
        <f t="shared" si="874"/>
        <v>0</v>
      </c>
      <c r="BX176" s="15">
        <f t="shared" si="875"/>
        <v>0</v>
      </c>
      <c r="BY176" s="15">
        <f t="shared" si="876"/>
        <v>11</v>
      </c>
      <c r="BZ176" s="15">
        <f t="shared" si="877"/>
        <v>0</v>
      </c>
      <c r="CA176" s="15">
        <f t="shared" si="878"/>
        <v>0</v>
      </c>
      <c r="CB176" s="15">
        <f t="shared" si="879"/>
        <v>11</v>
      </c>
      <c r="CC176" s="14">
        <v>0</v>
      </c>
      <c r="CD176" s="14">
        <v>13</v>
      </c>
      <c r="CE176" s="14">
        <v>5</v>
      </c>
      <c r="CF176" s="14">
        <v>5</v>
      </c>
      <c r="CG176" s="14">
        <v>11</v>
      </c>
      <c r="CH176" s="15">
        <f t="shared" si="880"/>
        <v>34</v>
      </c>
      <c r="CI176" s="14">
        <v>0</v>
      </c>
      <c r="CJ176" s="14">
        <v>0</v>
      </c>
      <c r="CK176" s="14">
        <v>0</v>
      </c>
      <c r="CL176" s="14">
        <v>0</v>
      </c>
      <c r="CM176" s="15">
        <f t="shared" si="881"/>
        <v>0</v>
      </c>
      <c r="CN176" s="14">
        <v>213</v>
      </c>
      <c r="CO176" s="14">
        <v>9</v>
      </c>
      <c r="CP176" s="14">
        <v>14</v>
      </c>
      <c r="CQ176" s="14">
        <v>3</v>
      </c>
      <c r="CR176" s="15">
        <f t="shared" si="882"/>
        <v>239</v>
      </c>
      <c r="CS176" s="15">
        <f t="shared" si="883"/>
        <v>239</v>
      </c>
      <c r="CT176" s="14">
        <v>273</v>
      </c>
      <c r="CU176" s="14">
        <v>2250</v>
      </c>
      <c r="CV176" s="14">
        <v>1160</v>
      </c>
      <c r="CW176" s="16">
        <f t="shared" si="884"/>
        <v>0.51555555555555554</v>
      </c>
      <c r="CX176" s="14">
        <v>0</v>
      </c>
      <c r="CY176" s="14">
        <v>0</v>
      </c>
      <c r="CZ176" s="14">
        <v>0</v>
      </c>
      <c r="DA176" s="14">
        <v>0</v>
      </c>
      <c r="DB176" s="15">
        <f t="shared" si="885"/>
        <v>0</v>
      </c>
      <c r="DC176" s="14">
        <v>0</v>
      </c>
      <c r="DD176" s="14">
        <v>0</v>
      </c>
      <c r="DE176" s="14">
        <v>0</v>
      </c>
      <c r="DF176" s="14">
        <v>0</v>
      </c>
      <c r="DG176" s="15">
        <f t="shared" si="886"/>
        <v>0</v>
      </c>
      <c r="DH176" s="14">
        <v>0</v>
      </c>
      <c r="DI176" s="14">
        <v>0</v>
      </c>
      <c r="DJ176" s="14">
        <v>0</v>
      </c>
      <c r="DK176" s="14">
        <v>0</v>
      </c>
      <c r="DL176" s="15">
        <f t="shared" si="887"/>
        <v>0</v>
      </c>
      <c r="DM176" s="14">
        <v>0</v>
      </c>
      <c r="DN176" s="14">
        <v>0</v>
      </c>
      <c r="DO176" s="14">
        <v>0</v>
      </c>
      <c r="DP176" s="14">
        <v>0</v>
      </c>
      <c r="DQ176" s="15">
        <f t="shared" si="888"/>
        <v>0</v>
      </c>
      <c r="DR176" s="15">
        <f t="shared" si="889"/>
        <v>0</v>
      </c>
      <c r="DS176" s="15">
        <f t="shared" si="890"/>
        <v>0</v>
      </c>
      <c r="DT176" s="15">
        <f t="shared" si="891"/>
        <v>0</v>
      </c>
      <c r="DU176" s="15">
        <f t="shared" si="892"/>
        <v>0</v>
      </c>
      <c r="DV176" s="15">
        <f t="shared" si="893"/>
        <v>0</v>
      </c>
      <c r="DW176" s="14">
        <v>1</v>
      </c>
      <c r="DX176" s="14">
        <v>1</v>
      </c>
      <c r="DY176" s="14">
        <v>1</v>
      </c>
      <c r="DZ176" s="14">
        <v>0</v>
      </c>
      <c r="EA176" s="14">
        <v>0</v>
      </c>
      <c r="EB176" s="14">
        <v>0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4">
        <v>0</v>
      </c>
      <c r="EI176" s="14">
        <v>0</v>
      </c>
      <c r="EJ176" s="14">
        <v>0</v>
      </c>
      <c r="EK176" s="14">
        <v>0</v>
      </c>
      <c r="EL176" s="14">
        <v>0</v>
      </c>
      <c r="EM176" s="14">
        <v>0</v>
      </c>
      <c r="EN176" s="14">
        <v>0</v>
      </c>
      <c r="EO176" s="14">
        <v>0</v>
      </c>
      <c r="EP176" s="14">
        <v>0</v>
      </c>
      <c r="EQ176" s="14">
        <v>0</v>
      </c>
      <c r="ER176" s="14">
        <v>0</v>
      </c>
      <c r="ES176" s="14">
        <v>0</v>
      </c>
      <c r="ET176" s="14">
        <v>0</v>
      </c>
      <c r="EU176" s="14">
        <v>0</v>
      </c>
      <c r="EV176" s="14">
        <v>0</v>
      </c>
      <c r="EW176" s="14">
        <v>0</v>
      </c>
      <c r="EX176" s="14">
        <v>0</v>
      </c>
      <c r="EY176" s="14">
        <v>0</v>
      </c>
      <c r="EZ176" s="14">
        <v>0</v>
      </c>
      <c r="FA176" s="14">
        <v>0</v>
      </c>
      <c r="FB176" s="14">
        <v>0</v>
      </c>
      <c r="FC176" s="14">
        <v>0</v>
      </c>
      <c r="FD176" s="14">
        <v>0</v>
      </c>
      <c r="FE176" s="14">
        <v>0</v>
      </c>
      <c r="FF176" s="14">
        <v>0</v>
      </c>
      <c r="FG176" s="15">
        <f t="shared" si="894"/>
        <v>3</v>
      </c>
      <c r="FH176" s="14">
        <v>2</v>
      </c>
      <c r="FI176" s="14">
        <v>0</v>
      </c>
      <c r="FJ176" s="14">
        <v>8</v>
      </c>
      <c r="FK176" s="14">
        <v>0</v>
      </c>
      <c r="FL176" s="14">
        <v>0</v>
      </c>
      <c r="FM176" s="14">
        <v>0</v>
      </c>
      <c r="FN176" s="14">
        <v>0</v>
      </c>
      <c r="FO176" s="14">
        <v>0</v>
      </c>
      <c r="FP176" s="14">
        <v>0</v>
      </c>
      <c r="FQ176" s="15">
        <f t="shared" si="895"/>
        <v>0</v>
      </c>
      <c r="FR176" s="14">
        <v>0</v>
      </c>
      <c r="FS176" s="14">
        <v>0</v>
      </c>
      <c r="FT176" s="14">
        <v>0</v>
      </c>
      <c r="FU176" s="14">
        <v>0</v>
      </c>
      <c r="FV176" s="15">
        <f t="shared" si="896"/>
        <v>0</v>
      </c>
      <c r="FW176" s="14">
        <v>1948827.079999998</v>
      </c>
      <c r="FX176" s="14">
        <v>7100</v>
      </c>
      <c r="FY176" s="14">
        <v>191848.32000000001</v>
      </c>
      <c r="FZ176" s="14">
        <v>65000</v>
      </c>
      <c r="GA176" s="15">
        <f t="shared" si="897"/>
        <v>2212775.399999998</v>
      </c>
      <c r="GB176" s="15">
        <f t="shared" si="898"/>
        <v>2212775.399999998</v>
      </c>
      <c r="GC176" s="14">
        <v>0</v>
      </c>
      <c r="GD176" s="14">
        <v>0</v>
      </c>
      <c r="GE176" s="14">
        <v>0</v>
      </c>
      <c r="GF176" s="14">
        <v>0</v>
      </c>
      <c r="GG176" s="15">
        <f t="shared" si="899"/>
        <v>0</v>
      </c>
      <c r="GH176" s="14">
        <v>0</v>
      </c>
      <c r="GI176" s="14">
        <v>0</v>
      </c>
      <c r="GJ176" s="14">
        <v>0</v>
      </c>
      <c r="GK176" s="14">
        <v>0</v>
      </c>
      <c r="GL176" s="15">
        <f t="shared" si="900"/>
        <v>0</v>
      </c>
      <c r="GM176" s="15">
        <f t="shared" si="901"/>
        <v>0</v>
      </c>
      <c r="GN176" s="14">
        <v>0</v>
      </c>
      <c r="GO176" s="14">
        <v>0</v>
      </c>
      <c r="GP176" s="14">
        <v>0</v>
      </c>
      <c r="GQ176" s="14">
        <v>0</v>
      </c>
      <c r="GR176" s="15">
        <f t="shared" si="902"/>
        <v>0</v>
      </c>
      <c r="GS176" s="14">
        <v>0</v>
      </c>
      <c r="GT176" s="14">
        <v>0</v>
      </c>
      <c r="GU176" s="14">
        <v>0</v>
      </c>
      <c r="GV176" s="14">
        <v>0</v>
      </c>
      <c r="GW176" s="15">
        <f t="shared" si="903"/>
        <v>0</v>
      </c>
      <c r="GX176" s="15">
        <f t="shared" si="904"/>
        <v>0</v>
      </c>
      <c r="GY176" s="14">
        <v>17243752.190000001</v>
      </c>
      <c r="GZ176" s="14">
        <v>6094751.9100000001</v>
      </c>
      <c r="HA176" s="15">
        <f t="shared" si="905"/>
        <v>23338504.100000001</v>
      </c>
      <c r="HB176" s="15" t="str">
        <f t="shared" si="906"/>
        <v/>
      </c>
      <c r="HC176" s="16">
        <f t="shared" si="907"/>
        <v>0.12832331244491155</v>
      </c>
      <c r="HD176" s="15" t="str">
        <f t="shared" si="908"/>
        <v/>
      </c>
      <c r="HE176" s="14">
        <v>0</v>
      </c>
      <c r="HF176" s="14">
        <v>0</v>
      </c>
      <c r="HG176" s="14">
        <v>11</v>
      </c>
      <c r="HH176" s="14">
        <v>0</v>
      </c>
      <c r="HI176" s="14">
        <v>0</v>
      </c>
      <c r="HJ176" s="15">
        <f t="shared" si="909"/>
        <v>0</v>
      </c>
      <c r="HK176" s="16" t="str">
        <f t="shared" si="910"/>
        <v/>
      </c>
      <c r="HL176" s="14">
        <v>10</v>
      </c>
      <c r="HM176" s="14">
        <v>5</v>
      </c>
      <c r="HN176" s="17">
        <f t="shared" si="911"/>
        <v>0.5</v>
      </c>
    </row>
    <row r="177" spans="1:222" x14ac:dyDescent="0.3">
      <c r="A177" s="6" t="s">
        <v>280</v>
      </c>
      <c r="B177" s="6" t="s">
        <v>286</v>
      </c>
      <c r="C177" s="7" t="s">
        <v>257</v>
      </c>
      <c r="D177" s="7">
        <v>2025</v>
      </c>
      <c r="E177" s="7">
        <v>10</v>
      </c>
      <c r="F177" s="7" t="s">
        <v>266</v>
      </c>
      <c r="G177" s="7" t="s">
        <v>267</v>
      </c>
      <c r="H177" s="8">
        <v>1280</v>
      </c>
      <c r="I177" s="8">
        <v>0</v>
      </c>
      <c r="J177" s="8">
        <v>0</v>
      </c>
      <c r="K177" s="8">
        <v>0</v>
      </c>
      <c r="L177" s="8">
        <v>0</v>
      </c>
      <c r="M177" s="9">
        <f t="shared" si="851"/>
        <v>0</v>
      </c>
      <c r="N177" s="8">
        <v>859.50000000000102</v>
      </c>
      <c r="O177" s="8">
        <v>8</v>
      </c>
      <c r="P177" s="8">
        <v>38</v>
      </c>
      <c r="Q177" s="8">
        <v>42.5</v>
      </c>
      <c r="R177" s="9">
        <f t="shared" si="852"/>
        <v>948.00000000000102</v>
      </c>
      <c r="S177" s="9">
        <f t="shared" si="853"/>
        <v>948.00000000000102</v>
      </c>
      <c r="T177" s="8">
        <v>331.99999999999898</v>
      </c>
      <c r="U177" s="10">
        <f t="shared" si="854"/>
        <v>0.25937499999999919</v>
      </c>
      <c r="V177" s="8">
        <v>1</v>
      </c>
      <c r="W177" s="11">
        <f t="shared" si="855"/>
        <v>7.8125000000000004E-4</v>
      </c>
      <c r="X177" s="8">
        <v>0</v>
      </c>
      <c r="Y177" s="11">
        <f t="shared" si="856"/>
        <v>0</v>
      </c>
      <c r="Z177" s="8">
        <v>0</v>
      </c>
      <c r="AA177" s="11">
        <f t="shared" si="857"/>
        <v>0</v>
      </c>
      <c r="AB177" s="8">
        <v>0</v>
      </c>
      <c r="AC177" s="11">
        <f t="shared" si="858"/>
        <v>0</v>
      </c>
      <c r="AD177" s="8">
        <v>0</v>
      </c>
      <c r="AE177" s="11">
        <f t="shared" si="859"/>
        <v>0</v>
      </c>
      <c r="AF177" s="8">
        <v>0</v>
      </c>
      <c r="AG177" s="11">
        <f t="shared" si="860"/>
        <v>0</v>
      </c>
      <c r="AH177" s="8">
        <v>5111.67</v>
      </c>
      <c r="AI177" s="9">
        <f t="shared" si="861"/>
        <v>3.9934921875000002</v>
      </c>
      <c r="AJ177" s="8">
        <v>1860</v>
      </c>
      <c r="AK177" s="11">
        <f t="shared" si="862"/>
        <v>1.453125</v>
      </c>
      <c r="AL177" s="8">
        <v>274504.28999999998</v>
      </c>
      <c r="AM177" s="9">
        <f t="shared" si="863"/>
        <v>214.45647656249997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9">
        <f t="shared" si="864"/>
        <v>279615.95999999996</v>
      </c>
      <c r="AV177" s="9">
        <f t="shared" si="865"/>
        <v>218.44996874999998</v>
      </c>
      <c r="AW177" s="9">
        <f t="shared" si="866"/>
        <v>294.95354430379712</v>
      </c>
      <c r="AX177" s="8">
        <v>5</v>
      </c>
      <c r="AY177" s="9">
        <f t="shared" si="867"/>
        <v>46.875</v>
      </c>
      <c r="AZ177" s="8">
        <v>1</v>
      </c>
      <c r="BA177" s="8">
        <v>11</v>
      </c>
      <c r="BB177" s="8">
        <v>0</v>
      </c>
      <c r="BC177" s="8">
        <v>0</v>
      </c>
      <c r="BD177" s="8">
        <v>0</v>
      </c>
      <c r="BE177" s="9">
        <f t="shared" si="868"/>
        <v>0</v>
      </c>
      <c r="BF177" s="9">
        <f t="shared" si="869"/>
        <v>11</v>
      </c>
      <c r="BG177" s="8">
        <v>0</v>
      </c>
      <c r="BH177" s="8">
        <v>0</v>
      </c>
      <c r="BI177" s="8">
        <v>0</v>
      </c>
      <c r="BJ177" s="8">
        <v>0</v>
      </c>
      <c r="BK177" s="9">
        <f t="shared" si="870"/>
        <v>0</v>
      </c>
      <c r="BL177" s="9">
        <f t="shared" si="871"/>
        <v>0</v>
      </c>
      <c r="BM177" s="8">
        <v>0</v>
      </c>
      <c r="BN177" s="8">
        <v>0</v>
      </c>
      <c r="BO177" s="8">
        <v>0</v>
      </c>
      <c r="BP177" s="8">
        <v>0</v>
      </c>
      <c r="BQ177" s="9">
        <f t="shared" si="872"/>
        <v>0</v>
      </c>
      <c r="BR177" s="9">
        <f t="shared" si="873"/>
        <v>0</v>
      </c>
      <c r="BS177" s="8">
        <v>0</v>
      </c>
      <c r="BT177" s="8">
        <v>0</v>
      </c>
      <c r="BU177" s="8">
        <v>0</v>
      </c>
      <c r="BV177" s="8">
        <v>0</v>
      </c>
      <c r="BW177" s="9">
        <f t="shared" si="874"/>
        <v>0</v>
      </c>
      <c r="BX177" s="9">
        <f t="shared" si="875"/>
        <v>0</v>
      </c>
      <c r="BY177" s="9">
        <f t="shared" si="876"/>
        <v>11</v>
      </c>
      <c r="BZ177" s="9">
        <f t="shared" si="877"/>
        <v>0</v>
      </c>
      <c r="CA177" s="9">
        <f t="shared" si="878"/>
        <v>0</v>
      </c>
      <c r="CB177" s="9">
        <f t="shared" si="879"/>
        <v>11</v>
      </c>
      <c r="CC177" s="8">
        <v>0</v>
      </c>
      <c r="CD177" s="8">
        <v>13</v>
      </c>
      <c r="CE177" s="8">
        <v>5</v>
      </c>
      <c r="CF177" s="8">
        <v>5</v>
      </c>
      <c r="CG177" s="8">
        <v>11</v>
      </c>
      <c r="CH177" s="9">
        <f t="shared" si="880"/>
        <v>34</v>
      </c>
      <c r="CI177" s="8">
        <v>0</v>
      </c>
      <c r="CJ177" s="8">
        <v>0</v>
      </c>
      <c r="CK177" s="8">
        <v>0</v>
      </c>
      <c r="CL177" s="8">
        <v>0</v>
      </c>
      <c r="CM177" s="9">
        <f t="shared" si="881"/>
        <v>0</v>
      </c>
      <c r="CN177" s="8">
        <v>213</v>
      </c>
      <c r="CO177" s="8">
        <v>9</v>
      </c>
      <c r="CP177" s="8">
        <v>14</v>
      </c>
      <c r="CQ177" s="8">
        <v>3</v>
      </c>
      <c r="CR177" s="9">
        <f t="shared" si="882"/>
        <v>239</v>
      </c>
      <c r="CS177" s="9">
        <f t="shared" si="883"/>
        <v>239</v>
      </c>
      <c r="CT177" s="8">
        <v>273</v>
      </c>
      <c r="CU177" s="8">
        <v>2250</v>
      </c>
      <c r="CV177" s="8">
        <v>1160</v>
      </c>
      <c r="CW177" s="10">
        <f t="shared" si="884"/>
        <v>0.51555555555555554</v>
      </c>
      <c r="CX177" s="8">
        <v>0</v>
      </c>
      <c r="CY177" s="8">
        <v>0</v>
      </c>
      <c r="CZ177" s="8">
        <v>0</v>
      </c>
      <c r="DA177" s="8">
        <v>0</v>
      </c>
      <c r="DB177" s="9">
        <f t="shared" si="885"/>
        <v>0</v>
      </c>
      <c r="DC177" s="8">
        <v>0</v>
      </c>
      <c r="DD177" s="8">
        <v>0</v>
      </c>
      <c r="DE177" s="8">
        <v>0</v>
      </c>
      <c r="DF177" s="8">
        <v>0</v>
      </c>
      <c r="DG177" s="9">
        <f t="shared" si="886"/>
        <v>0</v>
      </c>
      <c r="DH177" s="8">
        <v>0</v>
      </c>
      <c r="DI177" s="8">
        <v>0</v>
      </c>
      <c r="DJ177" s="8">
        <v>0</v>
      </c>
      <c r="DK177" s="8">
        <v>0</v>
      </c>
      <c r="DL177" s="9">
        <f t="shared" si="887"/>
        <v>0</v>
      </c>
      <c r="DM177" s="8">
        <v>0</v>
      </c>
      <c r="DN177" s="8">
        <v>0</v>
      </c>
      <c r="DO177" s="8">
        <v>0</v>
      </c>
      <c r="DP177" s="8">
        <v>0</v>
      </c>
      <c r="DQ177" s="9">
        <f t="shared" si="888"/>
        <v>0</v>
      </c>
      <c r="DR177" s="9">
        <f t="shared" si="889"/>
        <v>0</v>
      </c>
      <c r="DS177" s="9">
        <f t="shared" si="890"/>
        <v>0</v>
      </c>
      <c r="DT177" s="9">
        <f t="shared" si="891"/>
        <v>0</v>
      </c>
      <c r="DU177" s="9">
        <f t="shared" si="892"/>
        <v>0</v>
      </c>
      <c r="DV177" s="9">
        <f t="shared" si="893"/>
        <v>0</v>
      </c>
      <c r="DW177" s="8">
        <v>5</v>
      </c>
      <c r="DX177" s="8">
        <v>0</v>
      </c>
      <c r="DY177" s="8">
        <v>0</v>
      </c>
      <c r="DZ177" s="8">
        <v>0</v>
      </c>
      <c r="EA177" s="8">
        <v>0</v>
      </c>
      <c r="EB177" s="8">
        <v>0</v>
      </c>
      <c r="EC177" s="8">
        <v>0</v>
      </c>
      <c r="ED177" s="8">
        <v>0</v>
      </c>
      <c r="EE177" s="8">
        <v>0</v>
      </c>
      <c r="EF177" s="8">
        <v>0</v>
      </c>
      <c r="EG177" s="8">
        <v>0</v>
      </c>
      <c r="EH177" s="8">
        <v>0</v>
      </c>
      <c r="EI177" s="8">
        <v>0</v>
      </c>
      <c r="EJ177" s="8">
        <v>0</v>
      </c>
      <c r="EK177" s="8">
        <v>0</v>
      </c>
      <c r="EL177" s="8">
        <v>0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8">
        <v>0</v>
      </c>
      <c r="ES177" s="8">
        <v>0</v>
      </c>
      <c r="ET177" s="8">
        <v>0</v>
      </c>
      <c r="EU177" s="8">
        <v>0</v>
      </c>
      <c r="EV177" s="8">
        <v>0</v>
      </c>
      <c r="EW177" s="8">
        <v>0</v>
      </c>
      <c r="EX177" s="8">
        <v>0</v>
      </c>
      <c r="EY177" s="8">
        <v>0</v>
      </c>
      <c r="EZ177" s="8">
        <v>0</v>
      </c>
      <c r="FA177" s="8">
        <v>0</v>
      </c>
      <c r="FB177" s="8">
        <v>0</v>
      </c>
      <c r="FC177" s="8">
        <v>0</v>
      </c>
      <c r="FD177" s="8">
        <v>0</v>
      </c>
      <c r="FE177" s="8">
        <v>0</v>
      </c>
      <c r="FF177" s="8">
        <v>0</v>
      </c>
      <c r="FG177" s="9">
        <f t="shared" si="894"/>
        <v>5</v>
      </c>
      <c r="FH177" s="8">
        <v>5</v>
      </c>
      <c r="FI177" s="8">
        <v>0</v>
      </c>
      <c r="FJ177" s="8">
        <v>6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9">
        <f t="shared" si="895"/>
        <v>0</v>
      </c>
      <c r="FR177" s="8">
        <v>0</v>
      </c>
      <c r="FS177" s="8">
        <v>0</v>
      </c>
      <c r="FT177" s="8">
        <v>0</v>
      </c>
      <c r="FU177" s="8">
        <v>0</v>
      </c>
      <c r="FV177" s="9">
        <f t="shared" si="896"/>
        <v>0</v>
      </c>
      <c r="FW177" s="8">
        <v>1561894.3399999989</v>
      </c>
      <c r="FX177" s="8">
        <v>1700</v>
      </c>
      <c r="FY177" s="8">
        <v>339728.09</v>
      </c>
      <c r="FZ177" s="8">
        <v>115378.8</v>
      </c>
      <c r="GA177" s="9">
        <f t="shared" si="897"/>
        <v>2018701.2299999991</v>
      </c>
      <c r="GB177" s="9">
        <f t="shared" si="898"/>
        <v>2018701.2299999991</v>
      </c>
      <c r="GC177" s="8">
        <v>0</v>
      </c>
      <c r="GD177" s="8">
        <v>0</v>
      </c>
      <c r="GE177" s="8">
        <v>0</v>
      </c>
      <c r="GF177" s="8">
        <v>0</v>
      </c>
      <c r="GG177" s="9">
        <f t="shared" si="899"/>
        <v>0</v>
      </c>
      <c r="GH177" s="8">
        <v>0</v>
      </c>
      <c r="GI177" s="8">
        <v>0</v>
      </c>
      <c r="GJ177" s="8">
        <v>0</v>
      </c>
      <c r="GK177" s="8">
        <v>0</v>
      </c>
      <c r="GL177" s="9">
        <f t="shared" si="900"/>
        <v>0</v>
      </c>
      <c r="GM177" s="9">
        <f t="shared" si="901"/>
        <v>0</v>
      </c>
      <c r="GN177" s="8">
        <v>0</v>
      </c>
      <c r="GO177" s="8">
        <v>0</v>
      </c>
      <c r="GP177" s="8">
        <v>0</v>
      </c>
      <c r="GQ177" s="8">
        <v>0</v>
      </c>
      <c r="GR177" s="9">
        <f t="shared" si="902"/>
        <v>0</v>
      </c>
      <c r="GS177" s="8">
        <v>0</v>
      </c>
      <c r="GT177" s="8">
        <v>0</v>
      </c>
      <c r="GU177" s="8">
        <v>0</v>
      </c>
      <c r="GV177" s="8">
        <v>0</v>
      </c>
      <c r="GW177" s="9">
        <f t="shared" si="903"/>
        <v>0</v>
      </c>
      <c r="GX177" s="9">
        <f t="shared" si="904"/>
        <v>0</v>
      </c>
      <c r="GY177" s="8">
        <v>17243752.190000001</v>
      </c>
      <c r="GZ177" s="8">
        <v>6094751.9100000001</v>
      </c>
      <c r="HA177" s="9">
        <f t="shared" si="905"/>
        <v>23338504.100000001</v>
      </c>
      <c r="HB177" s="9" t="str">
        <f t="shared" si="906"/>
        <v/>
      </c>
      <c r="HC177" s="10">
        <f t="shared" si="907"/>
        <v>0.11706855954301434</v>
      </c>
      <c r="HD177" s="9" t="str">
        <f t="shared" si="908"/>
        <v/>
      </c>
      <c r="HE177" s="8">
        <v>0</v>
      </c>
      <c r="HF177" s="8">
        <v>1</v>
      </c>
      <c r="HG177" s="8">
        <v>11</v>
      </c>
      <c r="HH177" s="8">
        <v>0</v>
      </c>
      <c r="HI177" s="8">
        <v>0</v>
      </c>
      <c r="HJ177" s="9">
        <f t="shared" si="909"/>
        <v>1</v>
      </c>
      <c r="HK177" s="10" t="str">
        <f t="shared" si="910"/>
        <v/>
      </c>
      <c r="HL177" s="8">
        <v>15</v>
      </c>
      <c r="HM177" s="8">
        <v>20</v>
      </c>
      <c r="HN177" s="11">
        <f t="shared" si="911"/>
        <v>1.3333333333333333</v>
      </c>
    </row>
    <row r="178" spans="1:222" x14ac:dyDescent="0.3">
      <c r="A178" s="12" t="s">
        <v>280</v>
      </c>
      <c r="B178" s="12" t="s">
        <v>286</v>
      </c>
      <c r="C178" s="13" t="s">
        <v>257</v>
      </c>
      <c r="D178" s="13">
        <v>2025</v>
      </c>
      <c r="E178" s="13">
        <v>11</v>
      </c>
      <c r="F178" s="13" t="s">
        <v>268</v>
      </c>
      <c r="G178" s="13" t="s">
        <v>267</v>
      </c>
      <c r="H178" s="14">
        <v>1105</v>
      </c>
      <c r="I178" s="14">
        <v>0</v>
      </c>
      <c r="J178" s="14">
        <v>0</v>
      </c>
      <c r="K178" s="14">
        <v>0</v>
      </c>
      <c r="L178" s="14">
        <v>0</v>
      </c>
      <c r="M178" s="15">
        <f t="shared" si="851"/>
        <v>0</v>
      </c>
      <c r="N178" s="14">
        <v>685.8</v>
      </c>
      <c r="O178" s="14">
        <v>3.8</v>
      </c>
      <c r="P178" s="14">
        <v>83.9</v>
      </c>
      <c r="Q178" s="14">
        <v>23.1</v>
      </c>
      <c r="R178" s="15">
        <f t="shared" si="852"/>
        <v>796.59999999999991</v>
      </c>
      <c r="S178" s="15">
        <f t="shared" si="853"/>
        <v>796.59999999999991</v>
      </c>
      <c r="T178" s="14">
        <v>308.39999999999998</v>
      </c>
      <c r="U178" s="16">
        <f t="shared" si="854"/>
        <v>0.27909502262443436</v>
      </c>
      <c r="V178" s="14">
        <v>1</v>
      </c>
      <c r="W178" s="17">
        <f t="shared" si="855"/>
        <v>9.049773755656109E-4</v>
      </c>
      <c r="X178" s="14">
        <v>0</v>
      </c>
      <c r="Y178" s="17">
        <f t="shared" si="856"/>
        <v>0</v>
      </c>
      <c r="Z178" s="14">
        <v>0</v>
      </c>
      <c r="AA178" s="17">
        <f t="shared" si="857"/>
        <v>0</v>
      </c>
      <c r="AB178" s="14">
        <v>0</v>
      </c>
      <c r="AC178" s="17">
        <f t="shared" si="858"/>
        <v>0</v>
      </c>
      <c r="AD178" s="14">
        <v>0</v>
      </c>
      <c r="AE178" s="17">
        <f t="shared" si="859"/>
        <v>0</v>
      </c>
      <c r="AF178" s="14">
        <v>0</v>
      </c>
      <c r="AG178" s="17">
        <f t="shared" si="860"/>
        <v>0</v>
      </c>
      <c r="AH178" s="14">
        <v>5111.67</v>
      </c>
      <c r="AI178" s="15">
        <f t="shared" si="861"/>
        <v>4.6259457013574661</v>
      </c>
      <c r="AJ178" s="14">
        <v>1880</v>
      </c>
      <c r="AK178" s="17">
        <f t="shared" si="862"/>
        <v>1.7013574660633484</v>
      </c>
      <c r="AL178" s="14">
        <v>277279.32</v>
      </c>
      <c r="AM178" s="15">
        <f t="shared" si="863"/>
        <v>250.9315113122172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0</v>
      </c>
      <c r="AU178" s="15">
        <f t="shared" si="864"/>
        <v>282390.99</v>
      </c>
      <c r="AV178" s="15">
        <f t="shared" si="865"/>
        <v>255.55745701357466</v>
      </c>
      <c r="AW178" s="15">
        <f t="shared" si="866"/>
        <v>354.49534270650264</v>
      </c>
      <c r="AX178" s="14">
        <v>5</v>
      </c>
      <c r="AY178" s="15">
        <f t="shared" si="867"/>
        <v>54.298642533936651</v>
      </c>
      <c r="AZ178" s="14">
        <v>1</v>
      </c>
      <c r="BA178" s="14">
        <v>11</v>
      </c>
      <c r="BB178" s="14">
        <v>0</v>
      </c>
      <c r="BC178" s="14">
        <v>0</v>
      </c>
      <c r="BD178" s="14">
        <v>0</v>
      </c>
      <c r="BE178" s="15">
        <f t="shared" si="868"/>
        <v>0</v>
      </c>
      <c r="BF178" s="15">
        <f t="shared" si="869"/>
        <v>11</v>
      </c>
      <c r="BG178" s="14">
        <v>0</v>
      </c>
      <c r="BH178" s="14">
        <v>0</v>
      </c>
      <c r="BI178" s="14">
        <v>0</v>
      </c>
      <c r="BJ178" s="14">
        <v>0</v>
      </c>
      <c r="BK178" s="15">
        <f t="shared" si="870"/>
        <v>0</v>
      </c>
      <c r="BL178" s="15">
        <f t="shared" si="871"/>
        <v>0</v>
      </c>
      <c r="BM178" s="14">
        <v>0</v>
      </c>
      <c r="BN178" s="14">
        <v>0</v>
      </c>
      <c r="BO178" s="14">
        <v>0</v>
      </c>
      <c r="BP178" s="14">
        <v>0</v>
      </c>
      <c r="BQ178" s="15">
        <f t="shared" si="872"/>
        <v>0</v>
      </c>
      <c r="BR178" s="15">
        <f t="shared" si="873"/>
        <v>0</v>
      </c>
      <c r="BS178" s="14">
        <v>0</v>
      </c>
      <c r="BT178" s="14">
        <v>0</v>
      </c>
      <c r="BU178" s="14">
        <v>0</v>
      </c>
      <c r="BV178" s="14">
        <v>0</v>
      </c>
      <c r="BW178" s="15">
        <f t="shared" si="874"/>
        <v>0</v>
      </c>
      <c r="BX178" s="15">
        <f t="shared" si="875"/>
        <v>0</v>
      </c>
      <c r="BY178" s="15">
        <f t="shared" si="876"/>
        <v>11</v>
      </c>
      <c r="BZ178" s="15">
        <f t="shared" si="877"/>
        <v>0</v>
      </c>
      <c r="CA178" s="15">
        <f t="shared" si="878"/>
        <v>0</v>
      </c>
      <c r="CB178" s="15">
        <f t="shared" si="879"/>
        <v>11</v>
      </c>
      <c r="CC178" s="14">
        <v>0</v>
      </c>
      <c r="CD178" s="14">
        <v>13</v>
      </c>
      <c r="CE178" s="14">
        <v>5</v>
      </c>
      <c r="CF178" s="14">
        <v>5</v>
      </c>
      <c r="CG178" s="14">
        <v>0</v>
      </c>
      <c r="CH178" s="15">
        <f t="shared" si="880"/>
        <v>23</v>
      </c>
      <c r="CI178" s="14">
        <v>0</v>
      </c>
      <c r="CJ178" s="14">
        <v>0</v>
      </c>
      <c r="CK178" s="14">
        <v>0</v>
      </c>
      <c r="CL178" s="14">
        <v>0</v>
      </c>
      <c r="CM178" s="15">
        <f t="shared" si="881"/>
        <v>0</v>
      </c>
      <c r="CN178" s="14">
        <v>213</v>
      </c>
      <c r="CO178" s="14">
        <v>9</v>
      </c>
      <c r="CP178" s="14">
        <v>14</v>
      </c>
      <c r="CQ178" s="14">
        <v>3</v>
      </c>
      <c r="CR178" s="15">
        <f t="shared" si="882"/>
        <v>239</v>
      </c>
      <c r="CS178" s="15">
        <f t="shared" si="883"/>
        <v>239</v>
      </c>
      <c r="CT178" s="14">
        <v>262</v>
      </c>
      <c r="CU178" s="14">
        <v>2250</v>
      </c>
      <c r="CV178" s="14">
        <v>1160</v>
      </c>
      <c r="CW178" s="16">
        <f t="shared" si="884"/>
        <v>0.51555555555555554</v>
      </c>
      <c r="CX178" s="14">
        <v>0</v>
      </c>
      <c r="CY178" s="14"/>
      <c r="CZ178" s="14"/>
      <c r="DA178" s="14"/>
      <c r="DB178" s="15">
        <f t="shared" si="885"/>
        <v>0</v>
      </c>
      <c r="DC178" s="14">
        <v>0</v>
      </c>
      <c r="DD178" s="14">
        <v>0</v>
      </c>
      <c r="DE178" s="14">
        <v>0</v>
      </c>
      <c r="DF178" s="14">
        <v>0</v>
      </c>
      <c r="DG178" s="15">
        <f t="shared" si="886"/>
        <v>0</v>
      </c>
      <c r="DH178" s="14">
        <v>0</v>
      </c>
      <c r="DI178" s="14">
        <v>0</v>
      </c>
      <c r="DJ178" s="14">
        <v>0</v>
      </c>
      <c r="DK178" s="14">
        <v>0</v>
      </c>
      <c r="DL178" s="15">
        <f t="shared" si="887"/>
        <v>0</v>
      </c>
      <c r="DM178" s="14">
        <v>0</v>
      </c>
      <c r="DN178" s="14">
        <v>0</v>
      </c>
      <c r="DO178" s="14">
        <v>0</v>
      </c>
      <c r="DP178" s="14">
        <v>0</v>
      </c>
      <c r="DQ178" s="15">
        <f t="shared" si="888"/>
        <v>0</v>
      </c>
      <c r="DR178" s="15">
        <f t="shared" si="889"/>
        <v>0</v>
      </c>
      <c r="DS178" s="15">
        <f t="shared" si="890"/>
        <v>0</v>
      </c>
      <c r="DT178" s="15">
        <f t="shared" si="891"/>
        <v>0</v>
      </c>
      <c r="DU178" s="15">
        <f t="shared" si="892"/>
        <v>0</v>
      </c>
      <c r="DV178" s="15">
        <f t="shared" si="893"/>
        <v>0</v>
      </c>
      <c r="DW178" s="14">
        <v>3</v>
      </c>
      <c r="DX178" s="14">
        <v>2</v>
      </c>
      <c r="DY178" s="14">
        <v>0</v>
      </c>
      <c r="DZ178" s="14">
        <v>0</v>
      </c>
      <c r="EA178" s="14">
        <v>0</v>
      </c>
      <c r="EB178" s="14">
        <v>0</v>
      </c>
      <c r="EC178" s="14">
        <v>0</v>
      </c>
      <c r="ED178" s="14">
        <v>0</v>
      </c>
      <c r="EE178" s="14">
        <v>0</v>
      </c>
      <c r="EF178" s="14">
        <v>0</v>
      </c>
      <c r="EG178" s="14">
        <v>0</v>
      </c>
      <c r="EH178" s="14">
        <v>0</v>
      </c>
      <c r="EI178" s="14">
        <v>0</v>
      </c>
      <c r="EJ178" s="14">
        <v>0</v>
      </c>
      <c r="EK178" s="14">
        <v>0</v>
      </c>
      <c r="EL178" s="14">
        <v>0</v>
      </c>
      <c r="EM178" s="14">
        <v>0</v>
      </c>
      <c r="EN178" s="14">
        <v>0</v>
      </c>
      <c r="EO178" s="14">
        <v>0</v>
      </c>
      <c r="EP178" s="14">
        <v>0</v>
      </c>
      <c r="EQ178" s="14">
        <v>0</v>
      </c>
      <c r="ER178" s="14">
        <v>0</v>
      </c>
      <c r="ES178" s="14">
        <v>0</v>
      </c>
      <c r="ET178" s="14">
        <v>0</v>
      </c>
      <c r="EU178" s="14">
        <v>0</v>
      </c>
      <c r="EV178" s="14">
        <v>0</v>
      </c>
      <c r="EW178" s="14">
        <v>0</v>
      </c>
      <c r="EX178" s="14">
        <v>0</v>
      </c>
      <c r="EY178" s="14">
        <v>0</v>
      </c>
      <c r="EZ178" s="14">
        <v>0</v>
      </c>
      <c r="FA178" s="14">
        <v>0</v>
      </c>
      <c r="FB178" s="14">
        <v>0</v>
      </c>
      <c r="FC178" s="14">
        <v>0</v>
      </c>
      <c r="FD178" s="14">
        <v>0</v>
      </c>
      <c r="FE178" s="14">
        <v>0</v>
      </c>
      <c r="FF178" s="14">
        <v>0</v>
      </c>
      <c r="FG178" s="15">
        <f t="shared" si="894"/>
        <v>5</v>
      </c>
      <c r="FH178" s="14">
        <v>5</v>
      </c>
      <c r="FI178" s="14">
        <v>0</v>
      </c>
      <c r="FJ178" s="14">
        <v>6</v>
      </c>
      <c r="FK178" s="14">
        <v>0</v>
      </c>
      <c r="FL178" s="14">
        <v>0</v>
      </c>
      <c r="FM178" s="14">
        <v>0</v>
      </c>
      <c r="FN178" s="14">
        <v>0</v>
      </c>
      <c r="FO178" s="14">
        <v>0</v>
      </c>
      <c r="FP178" s="14">
        <v>0</v>
      </c>
      <c r="FQ178" s="15">
        <f t="shared" si="895"/>
        <v>0</v>
      </c>
      <c r="FR178" s="14">
        <v>0</v>
      </c>
      <c r="FS178" s="14">
        <v>0</v>
      </c>
      <c r="FT178" s="14">
        <v>0</v>
      </c>
      <c r="FU178" s="14">
        <v>0</v>
      </c>
      <c r="FV178" s="15">
        <f t="shared" si="896"/>
        <v>0</v>
      </c>
      <c r="FW178" s="14">
        <v>1244342</v>
      </c>
      <c r="FX178" s="14">
        <v>2000</v>
      </c>
      <c r="FY178" s="14">
        <v>220700</v>
      </c>
      <c r="FZ178" s="14">
        <v>555200</v>
      </c>
      <c r="GA178" s="15">
        <f t="shared" si="897"/>
        <v>2022242</v>
      </c>
      <c r="GB178" s="15">
        <f t="shared" si="898"/>
        <v>2022242</v>
      </c>
      <c r="GC178" s="14">
        <v>0</v>
      </c>
      <c r="GD178" s="14">
        <v>0</v>
      </c>
      <c r="GE178" s="14">
        <v>0</v>
      </c>
      <c r="GF178" s="14">
        <v>0</v>
      </c>
      <c r="GG178" s="15">
        <f t="shared" si="899"/>
        <v>0</v>
      </c>
      <c r="GH178" s="14">
        <v>0</v>
      </c>
      <c r="GI178" s="14">
        <v>0</v>
      </c>
      <c r="GJ178" s="14">
        <v>0</v>
      </c>
      <c r="GK178" s="14">
        <v>0</v>
      </c>
      <c r="GL178" s="15">
        <f t="shared" si="900"/>
        <v>0</v>
      </c>
      <c r="GM178" s="15">
        <f t="shared" si="901"/>
        <v>0</v>
      </c>
      <c r="GN178" s="14">
        <v>0</v>
      </c>
      <c r="GO178" s="14">
        <v>0</v>
      </c>
      <c r="GP178" s="14">
        <v>0</v>
      </c>
      <c r="GQ178" s="14">
        <v>0</v>
      </c>
      <c r="GR178" s="15">
        <f t="shared" si="902"/>
        <v>0</v>
      </c>
      <c r="GS178" s="14">
        <v>0</v>
      </c>
      <c r="GT178" s="14">
        <v>0</v>
      </c>
      <c r="GU178" s="14">
        <v>0</v>
      </c>
      <c r="GV178" s="14">
        <v>0</v>
      </c>
      <c r="GW178" s="15">
        <f t="shared" si="903"/>
        <v>0</v>
      </c>
      <c r="GX178" s="15">
        <f t="shared" si="904"/>
        <v>0</v>
      </c>
      <c r="GY178" s="14">
        <v>17243752.190000001</v>
      </c>
      <c r="GZ178" s="14">
        <v>6094751.9100000001</v>
      </c>
      <c r="HA178" s="15">
        <f t="shared" si="905"/>
        <v>23338504.100000001</v>
      </c>
      <c r="HB178" s="15" t="str">
        <f t="shared" si="906"/>
        <v/>
      </c>
      <c r="HC178" s="16">
        <f t="shared" si="907"/>
        <v>0.11727389594317754</v>
      </c>
      <c r="HD178" s="15" t="str">
        <f t="shared" si="908"/>
        <v/>
      </c>
      <c r="HE178" s="14">
        <v>0</v>
      </c>
      <c r="HF178" s="14">
        <v>1</v>
      </c>
      <c r="HG178" s="14">
        <v>11</v>
      </c>
      <c r="HH178" s="14">
        <v>0</v>
      </c>
      <c r="HI178" s="14">
        <v>0</v>
      </c>
      <c r="HJ178" s="15">
        <f t="shared" si="909"/>
        <v>1</v>
      </c>
      <c r="HK178" s="16" t="str">
        <f t="shared" si="910"/>
        <v/>
      </c>
      <c r="HL178" s="14">
        <v>15</v>
      </c>
      <c r="HM178" s="14">
        <v>14</v>
      </c>
      <c r="HN178" s="17">
        <f t="shared" si="911"/>
        <v>0.93333333333333335</v>
      </c>
    </row>
    <row r="179" spans="1:222" x14ac:dyDescent="0.3">
      <c r="A179" s="6" t="s">
        <v>280</v>
      </c>
      <c r="B179" s="6" t="s">
        <v>286</v>
      </c>
      <c r="C179" s="7" t="s">
        <v>257</v>
      </c>
      <c r="D179" s="7">
        <v>2025</v>
      </c>
      <c r="E179" s="7">
        <v>12</v>
      </c>
      <c r="F179" s="7" t="s">
        <v>269</v>
      </c>
      <c r="G179" s="7" t="s">
        <v>267</v>
      </c>
      <c r="H179" s="8">
        <v>1050</v>
      </c>
      <c r="I179" s="8">
        <v>0</v>
      </c>
      <c r="J179" s="8">
        <v>0</v>
      </c>
      <c r="K179" s="8">
        <v>0</v>
      </c>
      <c r="L179" s="8">
        <v>0</v>
      </c>
      <c r="M179" s="9">
        <f t="shared" si="851"/>
        <v>0</v>
      </c>
      <c r="N179" s="8">
        <v>642.9</v>
      </c>
      <c r="O179" s="8">
        <v>3.8</v>
      </c>
      <c r="P179" s="8">
        <v>36.299999999999997</v>
      </c>
      <c r="Q179" s="8">
        <v>53.7</v>
      </c>
      <c r="R179" s="9">
        <f t="shared" si="852"/>
        <v>736.69999999999993</v>
      </c>
      <c r="S179" s="9">
        <f t="shared" si="853"/>
        <v>736.69999999999993</v>
      </c>
      <c r="T179" s="8">
        <v>313.3</v>
      </c>
      <c r="U179" s="10">
        <f t="shared" si="854"/>
        <v>0.29838095238095241</v>
      </c>
      <c r="V179" s="8">
        <v>1</v>
      </c>
      <c r="W179" s="11">
        <f t="shared" si="855"/>
        <v>9.5238095238095238E-4</v>
      </c>
      <c r="X179" s="8">
        <v>0</v>
      </c>
      <c r="Y179" s="11">
        <f t="shared" si="856"/>
        <v>0</v>
      </c>
      <c r="Z179" s="8">
        <v>0</v>
      </c>
      <c r="AA179" s="11">
        <f t="shared" si="857"/>
        <v>0</v>
      </c>
      <c r="AB179" s="8">
        <v>0</v>
      </c>
      <c r="AC179" s="11">
        <f t="shared" si="858"/>
        <v>0</v>
      </c>
      <c r="AD179" s="8">
        <v>0</v>
      </c>
      <c r="AE179" s="11">
        <f t="shared" si="859"/>
        <v>0</v>
      </c>
      <c r="AF179" s="8">
        <v>0</v>
      </c>
      <c r="AG179" s="11">
        <f t="shared" si="860"/>
        <v>0</v>
      </c>
      <c r="AH179" s="8">
        <v>5111.67</v>
      </c>
      <c r="AI179" s="9">
        <f t="shared" si="861"/>
        <v>4.8682571428571428</v>
      </c>
      <c r="AJ179" s="8">
        <v>2200</v>
      </c>
      <c r="AK179" s="11">
        <f t="shared" si="862"/>
        <v>2.0952380952380953</v>
      </c>
      <c r="AL179" s="8">
        <v>321679.8</v>
      </c>
      <c r="AM179" s="9">
        <f t="shared" si="863"/>
        <v>306.3617142857143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702693.2</v>
      </c>
      <c r="AT179" s="8">
        <v>0</v>
      </c>
      <c r="AU179" s="9">
        <f t="shared" si="864"/>
        <v>1029484.6699999999</v>
      </c>
      <c r="AV179" s="9">
        <f t="shared" si="865"/>
        <v>980.46159047619039</v>
      </c>
      <c r="AW179" s="9">
        <f t="shared" si="866"/>
        <v>1397.4272702592643</v>
      </c>
      <c r="AX179" s="8">
        <v>5</v>
      </c>
      <c r="AY179" s="9">
        <f t="shared" si="867"/>
        <v>57.142857142857139</v>
      </c>
      <c r="AZ179" s="8">
        <v>1</v>
      </c>
      <c r="BA179" s="8">
        <v>11</v>
      </c>
      <c r="BB179" s="8">
        <v>0</v>
      </c>
      <c r="BC179" s="8">
        <v>0</v>
      </c>
      <c r="BD179" s="8">
        <v>0</v>
      </c>
      <c r="BE179" s="9">
        <f t="shared" si="868"/>
        <v>0</v>
      </c>
      <c r="BF179" s="9">
        <f t="shared" si="869"/>
        <v>11</v>
      </c>
      <c r="BG179" s="8">
        <v>0</v>
      </c>
      <c r="BH179" s="8">
        <v>0</v>
      </c>
      <c r="BI179" s="8">
        <v>0</v>
      </c>
      <c r="BJ179" s="8">
        <v>0</v>
      </c>
      <c r="BK179" s="9">
        <f t="shared" si="870"/>
        <v>0</v>
      </c>
      <c r="BL179" s="9">
        <f t="shared" si="871"/>
        <v>0</v>
      </c>
      <c r="BM179" s="8">
        <v>0</v>
      </c>
      <c r="BN179" s="8">
        <v>0</v>
      </c>
      <c r="BO179" s="8">
        <v>0</v>
      </c>
      <c r="BP179" s="8">
        <v>0</v>
      </c>
      <c r="BQ179" s="9">
        <f t="shared" si="872"/>
        <v>0</v>
      </c>
      <c r="BR179" s="9">
        <f t="shared" si="873"/>
        <v>0</v>
      </c>
      <c r="BS179" s="8">
        <v>0</v>
      </c>
      <c r="BT179" s="8">
        <v>0</v>
      </c>
      <c r="BU179" s="8">
        <v>0</v>
      </c>
      <c r="BV179" s="8">
        <v>0</v>
      </c>
      <c r="BW179" s="9">
        <f t="shared" si="874"/>
        <v>0</v>
      </c>
      <c r="BX179" s="9">
        <f t="shared" si="875"/>
        <v>0</v>
      </c>
      <c r="BY179" s="9">
        <f t="shared" si="876"/>
        <v>11</v>
      </c>
      <c r="BZ179" s="9">
        <f t="shared" si="877"/>
        <v>0</v>
      </c>
      <c r="CA179" s="9">
        <f t="shared" si="878"/>
        <v>0</v>
      </c>
      <c r="CB179" s="9">
        <f t="shared" si="879"/>
        <v>11</v>
      </c>
      <c r="CC179" s="8">
        <v>0</v>
      </c>
      <c r="CD179" s="8">
        <v>13</v>
      </c>
      <c r="CE179" s="8">
        <v>5</v>
      </c>
      <c r="CF179" s="8">
        <v>5</v>
      </c>
      <c r="CG179" s="8">
        <v>11</v>
      </c>
      <c r="CH179" s="9">
        <f t="shared" si="880"/>
        <v>34</v>
      </c>
      <c r="CI179" s="8">
        <v>0</v>
      </c>
      <c r="CJ179" s="8">
        <v>0</v>
      </c>
      <c r="CK179" s="8">
        <v>0</v>
      </c>
      <c r="CL179" s="8">
        <v>0</v>
      </c>
      <c r="CM179" s="9">
        <f t="shared" si="881"/>
        <v>0</v>
      </c>
      <c r="CN179" s="8">
        <v>213</v>
      </c>
      <c r="CO179" s="8">
        <v>9</v>
      </c>
      <c r="CP179" s="8">
        <v>14</v>
      </c>
      <c r="CQ179" s="8">
        <v>3</v>
      </c>
      <c r="CR179" s="9">
        <f t="shared" si="882"/>
        <v>239</v>
      </c>
      <c r="CS179" s="9">
        <f t="shared" si="883"/>
        <v>239</v>
      </c>
      <c r="CT179" s="8">
        <v>273</v>
      </c>
      <c r="CU179" s="8">
        <v>2250</v>
      </c>
      <c r="CV179" s="8">
        <v>1160</v>
      </c>
      <c r="CW179" s="10">
        <f t="shared" si="884"/>
        <v>0.51555555555555554</v>
      </c>
      <c r="CX179" s="8">
        <v>0</v>
      </c>
      <c r="CY179" s="8">
        <v>0</v>
      </c>
      <c r="CZ179" s="8">
        <v>0</v>
      </c>
      <c r="DA179" s="8">
        <v>0</v>
      </c>
      <c r="DB179" s="9">
        <f t="shared" si="885"/>
        <v>0</v>
      </c>
      <c r="DC179" s="8">
        <v>0</v>
      </c>
      <c r="DD179" s="8">
        <v>0</v>
      </c>
      <c r="DE179" s="8">
        <v>0</v>
      </c>
      <c r="DF179" s="8">
        <v>0</v>
      </c>
      <c r="DG179" s="9">
        <f t="shared" si="886"/>
        <v>0</v>
      </c>
      <c r="DH179" s="8">
        <v>0</v>
      </c>
      <c r="DI179" s="8">
        <v>0</v>
      </c>
      <c r="DJ179" s="8">
        <v>0</v>
      </c>
      <c r="DK179" s="8">
        <v>0</v>
      </c>
      <c r="DL179" s="9">
        <f t="shared" si="887"/>
        <v>0</v>
      </c>
      <c r="DM179" s="8">
        <v>0</v>
      </c>
      <c r="DN179" s="8">
        <v>0</v>
      </c>
      <c r="DO179" s="8">
        <v>0</v>
      </c>
      <c r="DP179" s="8">
        <v>0</v>
      </c>
      <c r="DQ179" s="9">
        <f t="shared" si="888"/>
        <v>0</v>
      </c>
      <c r="DR179" s="9">
        <f t="shared" si="889"/>
        <v>0</v>
      </c>
      <c r="DS179" s="9">
        <f t="shared" si="890"/>
        <v>0</v>
      </c>
      <c r="DT179" s="9">
        <f t="shared" si="891"/>
        <v>0</v>
      </c>
      <c r="DU179" s="9">
        <f t="shared" si="892"/>
        <v>0</v>
      </c>
      <c r="DV179" s="9">
        <f t="shared" si="893"/>
        <v>0</v>
      </c>
      <c r="DW179" s="8">
        <v>2</v>
      </c>
      <c r="DX179" s="8">
        <v>1</v>
      </c>
      <c r="DY179" s="8">
        <v>0</v>
      </c>
      <c r="DZ179" s="8">
        <v>0</v>
      </c>
      <c r="EA179" s="8">
        <v>0</v>
      </c>
      <c r="EB179" s="8">
        <v>0</v>
      </c>
      <c r="EC179" s="8">
        <v>0</v>
      </c>
      <c r="ED179" s="8">
        <v>0</v>
      </c>
      <c r="EE179" s="8">
        <v>0</v>
      </c>
      <c r="EF179" s="8">
        <v>0</v>
      </c>
      <c r="EG179" s="8">
        <v>0</v>
      </c>
      <c r="EH179" s="8">
        <v>0</v>
      </c>
      <c r="EI179" s="8">
        <v>0</v>
      </c>
      <c r="EJ179" s="8">
        <v>0</v>
      </c>
      <c r="EK179" s="8">
        <v>0</v>
      </c>
      <c r="EL179" s="8">
        <v>0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8">
        <v>0</v>
      </c>
      <c r="ES179" s="8">
        <v>0</v>
      </c>
      <c r="ET179" s="8">
        <v>0</v>
      </c>
      <c r="EU179" s="8">
        <v>0</v>
      </c>
      <c r="EV179" s="8">
        <v>0</v>
      </c>
      <c r="EW179" s="8">
        <v>0</v>
      </c>
      <c r="EX179" s="8">
        <v>0</v>
      </c>
      <c r="EY179" s="8">
        <v>0</v>
      </c>
      <c r="EZ179" s="8">
        <v>0</v>
      </c>
      <c r="FA179" s="8">
        <v>0</v>
      </c>
      <c r="FB179" s="8">
        <v>0</v>
      </c>
      <c r="FC179" s="8">
        <v>0</v>
      </c>
      <c r="FD179" s="8">
        <v>0</v>
      </c>
      <c r="FE179" s="8">
        <v>0</v>
      </c>
      <c r="FF179" s="8">
        <v>0</v>
      </c>
      <c r="FG179" s="9">
        <f t="shared" si="894"/>
        <v>3</v>
      </c>
      <c r="FH179" s="8">
        <v>3</v>
      </c>
      <c r="FI179" s="8">
        <v>0</v>
      </c>
      <c r="FJ179" s="8">
        <v>4</v>
      </c>
      <c r="FK179" s="8">
        <v>0</v>
      </c>
      <c r="FL179" s="8">
        <v>0</v>
      </c>
      <c r="FM179" s="8">
        <v>0</v>
      </c>
      <c r="FN179" s="8">
        <v>0</v>
      </c>
      <c r="FO179" s="8">
        <v>0</v>
      </c>
      <c r="FP179" s="8">
        <v>0</v>
      </c>
      <c r="FQ179" s="9">
        <f t="shared" si="895"/>
        <v>0</v>
      </c>
      <c r="FR179" s="8">
        <v>0</v>
      </c>
      <c r="FS179" s="8">
        <v>0</v>
      </c>
      <c r="FT179" s="8">
        <v>0</v>
      </c>
      <c r="FU179" s="8">
        <v>0</v>
      </c>
      <c r="FV179" s="9">
        <f t="shared" si="896"/>
        <v>0</v>
      </c>
      <c r="FW179" s="8">
        <v>1079280</v>
      </c>
      <c r="FX179" s="8">
        <v>2000</v>
      </c>
      <c r="FY179" s="8">
        <v>349500</v>
      </c>
      <c r="FZ179" s="8">
        <v>110000</v>
      </c>
      <c r="GA179" s="9">
        <f t="shared" si="897"/>
        <v>1540780</v>
      </c>
      <c r="GB179" s="9">
        <f t="shared" si="898"/>
        <v>1540780</v>
      </c>
      <c r="GC179" s="8">
        <v>0</v>
      </c>
      <c r="GD179" s="8">
        <v>0</v>
      </c>
      <c r="GE179" s="8">
        <v>0</v>
      </c>
      <c r="GF179" s="8">
        <v>0</v>
      </c>
      <c r="GG179" s="9">
        <f t="shared" si="899"/>
        <v>0</v>
      </c>
      <c r="GH179" s="8">
        <v>0</v>
      </c>
      <c r="GI179" s="8">
        <v>0</v>
      </c>
      <c r="GJ179" s="8">
        <v>0</v>
      </c>
      <c r="GK179" s="8">
        <v>0</v>
      </c>
      <c r="GL179" s="9">
        <f t="shared" si="900"/>
        <v>0</v>
      </c>
      <c r="GM179" s="9">
        <f t="shared" si="901"/>
        <v>0</v>
      </c>
      <c r="GN179" s="8">
        <v>0</v>
      </c>
      <c r="GO179" s="8">
        <v>0</v>
      </c>
      <c r="GP179" s="8">
        <v>0</v>
      </c>
      <c r="GQ179" s="8">
        <v>0</v>
      </c>
      <c r="GR179" s="9">
        <f t="shared" si="902"/>
        <v>0</v>
      </c>
      <c r="GS179" s="8">
        <v>0</v>
      </c>
      <c r="GT179" s="8">
        <v>0</v>
      </c>
      <c r="GU179" s="8">
        <v>0</v>
      </c>
      <c r="GV179" s="8">
        <v>0</v>
      </c>
      <c r="GW179" s="9">
        <f t="shared" si="903"/>
        <v>0</v>
      </c>
      <c r="GX179" s="9">
        <f t="shared" si="904"/>
        <v>0</v>
      </c>
      <c r="GY179" s="8">
        <v>17241752.190000001</v>
      </c>
      <c r="GZ179" s="8">
        <v>6094751.9100000001</v>
      </c>
      <c r="HA179" s="9">
        <f t="shared" si="905"/>
        <v>23336504.100000001</v>
      </c>
      <c r="HB179" s="9" t="str">
        <f t="shared" si="906"/>
        <v/>
      </c>
      <c r="HC179" s="10">
        <f t="shared" si="907"/>
        <v>8.9363307337964923E-2</v>
      </c>
      <c r="HD179" s="9" t="str">
        <f t="shared" si="908"/>
        <v/>
      </c>
      <c r="HE179" s="8">
        <v>0</v>
      </c>
      <c r="HF179" s="8">
        <v>1</v>
      </c>
      <c r="HG179" s="8">
        <v>11</v>
      </c>
      <c r="HH179" s="8">
        <v>0</v>
      </c>
      <c r="HI179" s="8">
        <v>0</v>
      </c>
      <c r="HJ179" s="9">
        <f t="shared" si="909"/>
        <v>1</v>
      </c>
      <c r="HK179" s="10" t="str">
        <f t="shared" si="910"/>
        <v/>
      </c>
      <c r="HL179" s="8">
        <v>20</v>
      </c>
      <c r="HM179" s="8">
        <v>40</v>
      </c>
      <c r="HN179" s="11">
        <f t="shared" si="911"/>
        <v>2</v>
      </c>
    </row>
    <row r="180" spans="1:222" x14ac:dyDescent="0.3">
      <c r="A180" s="12" t="s">
        <v>280</v>
      </c>
      <c r="B180" s="12" t="s">
        <v>286</v>
      </c>
      <c r="C180" s="13" t="s">
        <v>257</v>
      </c>
      <c r="D180" s="13">
        <v>2026</v>
      </c>
      <c r="E180" s="13">
        <v>1</v>
      </c>
      <c r="F180" s="13" t="s">
        <v>270</v>
      </c>
      <c r="G180" s="13" t="s">
        <v>271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5">
        <v>0</v>
      </c>
      <c r="N180" s="14">
        <v>0</v>
      </c>
      <c r="O180" s="14">
        <v>0</v>
      </c>
      <c r="P180" s="14">
        <v>0</v>
      </c>
      <c r="Q180" s="14">
        <v>0</v>
      </c>
      <c r="R180" s="15">
        <v>0</v>
      </c>
      <c r="S180" s="15">
        <v>0</v>
      </c>
      <c r="T180" s="14">
        <v>0</v>
      </c>
      <c r="U180" s="16"/>
      <c r="V180" s="14">
        <v>0</v>
      </c>
      <c r="W180" s="17"/>
      <c r="X180" s="14">
        <v>0</v>
      </c>
      <c r="Y180" s="17"/>
      <c r="Z180" s="14">
        <v>0</v>
      </c>
      <c r="AA180" s="17"/>
      <c r="AB180" s="14">
        <v>0</v>
      </c>
      <c r="AC180" s="17">
        <v>0</v>
      </c>
      <c r="AD180" s="14">
        <v>0</v>
      </c>
      <c r="AE180" s="17"/>
      <c r="AF180" s="14">
        <v>0</v>
      </c>
      <c r="AG180" s="17"/>
      <c r="AH180" s="14">
        <v>0</v>
      </c>
      <c r="AI180" s="15"/>
      <c r="AJ180" s="14">
        <v>0</v>
      </c>
      <c r="AK180" s="17"/>
      <c r="AL180" s="14">
        <v>16426.5</v>
      </c>
      <c r="AM180" s="15"/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5">
        <v>16426.5</v>
      </c>
      <c r="AV180" s="15"/>
      <c r="AW180" s="15"/>
      <c r="AX180" s="14">
        <v>0</v>
      </c>
      <c r="AY180" s="15"/>
      <c r="AZ180" s="14">
        <v>0</v>
      </c>
      <c r="BA180" s="14">
        <v>11</v>
      </c>
      <c r="BB180" s="14">
        <v>0</v>
      </c>
      <c r="BC180" s="14">
        <v>0</v>
      </c>
      <c r="BD180" s="14">
        <v>0</v>
      </c>
      <c r="BE180" s="15">
        <v>0</v>
      </c>
      <c r="BF180" s="15">
        <v>11</v>
      </c>
      <c r="BG180" s="14">
        <v>0</v>
      </c>
      <c r="BH180" s="14">
        <v>0</v>
      </c>
      <c r="BI180" s="14">
        <v>0</v>
      </c>
      <c r="BJ180" s="14">
        <v>0</v>
      </c>
      <c r="BK180" s="15">
        <v>0</v>
      </c>
      <c r="BL180" s="15">
        <v>0</v>
      </c>
      <c r="BM180" s="14">
        <v>0</v>
      </c>
      <c r="BN180" s="14">
        <v>0</v>
      </c>
      <c r="BO180" s="14">
        <v>0</v>
      </c>
      <c r="BP180" s="14">
        <v>0</v>
      </c>
      <c r="BQ180" s="15">
        <v>0</v>
      </c>
      <c r="BR180" s="15">
        <v>0</v>
      </c>
      <c r="BS180" s="14">
        <v>0</v>
      </c>
      <c r="BT180" s="14">
        <v>0</v>
      </c>
      <c r="BU180" s="14">
        <v>0</v>
      </c>
      <c r="BV180" s="14">
        <v>0</v>
      </c>
      <c r="BW180" s="15">
        <v>0</v>
      </c>
      <c r="BX180" s="15">
        <v>0</v>
      </c>
      <c r="BY180" s="15">
        <v>11</v>
      </c>
      <c r="BZ180" s="15">
        <v>0</v>
      </c>
      <c r="CA180" s="15">
        <v>0</v>
      </c>
      <c r="CB180" s="15">
        <v>11</v>
      </c>
      <c r="CC180" s="14">
        <v>0</v>
      </c>
      <c r="CD180" s="14">
        <v>13</v>
      </c>
      <c r="CE180" s="14">
        <v>5</v>
      </c>
      <c r="CF180" s="14">
        <v>5</v>
      </c>
      <c r="CG180" s="14">
        <v>11</v>
      </c>
      <c r="CH180" s="15">
        <v>34</v>
      </c>
      <c r="CI180" s="14">
        <v>0</v>
      </c>
      <c r="CJ180" s="14">
        <v>0</v>
      </c>
      <c r="CK180" s="14">
        <v>0</v>
      </c>
      <c r="CL180" s="14">
        <v>0</v>
      </c>
      <c r="CM180" s="15">
        <v>0</v>
      </c>
      <c r="CN180" s="14">
        <v>213</v>
      </c>
      <c r="CO180" s="14">
        <v>9</v>
      </c>
      <c r="CP180" s="14">
        <v>14</v>
      </c>
      <c r="CQ180" s="14">
        <v>3</v>
      </c>
      <c r="CR180" s="15">
        <v>239</v>
      </c>
      <c r="CS180" s="15">
        <v>239</v>
      </c>
      <c r="CT180" s="14">
        <v>273</v>
      </c>
      <c r="CU180" s="14">
        <v>2250</v>
      </c>
      <c r="CV180" s="14">
        <v>1160</v>
      </c>
      <c r="CW180" s="16">
        <v>0.51555555555555554</v>
      </c>
      <c r="CX180" s="14">
        <v>0</v>
      </c>
      <c r="CY180" s="14">
        <v>0</v>
      </c>
      <c r="CZ180" s="14">
        <v>0</v>
      </c>
      <c r="DA180" s="14">
        <v>0</v>
      </c>
      <c r="DB180" s="15">
        <v>0</v>
      </c>
      <c r="DC180" s="14">
        <v>0</v>
      </c>
      <c r="DD180" s="14">
        <v>0</v>
      </c>
      <c r="DE180" s="14">
        <v>0</v>
      </c>
      <c r="DF180" s="14">
        <v>0</v>
      </c>
      <c r="DG180" s="15">
        <v>0</v>
      </c>
      <c r="DH180" s="14">
        <v>0</v>
      </c>
      <c r="DI180" s="14">
        <v>0</v>
      </c>
      <c r="DJ180" s="14">
        <v>0</v>
      </c>
      <c r="DK180" s="14">
        <v>0</v>
      </c>
      <c r="DL180" s="15">
        <v>0</v>
      </c>
      <c r="DM180" s="14">
        <v>0</v>
      </c>
      <c r="DN180" s="14">
        <v>0</v>
      </c>
      <c r="DO180" s="14">
        <v>0</v>
      </c>
      <c r="DP180" s="14">
        <v>0</v>
      </c>
      <c r="DQ180" s="15">
        <v>0</v>
      </c>
      <c r="DR180" s="15">
        <v>0</v>
      </c>
      <c r="DS180" s="15">
        <v>0</v>
      </c>
      <c r="DT180" s="15">
        <v>0</v>
      </c>
      <c r="DU180" s="15">
        <v>0</v>
      </c>
      <c r="DV180" s="15">
        <v>0</v>
      </c>
      <c r="DW180" s="14">
        <v>0</v>
      </c>
      <c r="DX180" s="14">
        <v>0</v>
      </c>
      <c r="DY180" s="14">
        <v>0</v>
      </c>
      <c r="DZ180" s="14">
        <v>0</v>
      </c>
      <c r="EA180" s="14">
        <v>0</v>
      </c>
      <c r="EB180" s="14">
        <v>0</v>
      </c>
      <c r="EC180" s="14">
        <v>0</v>
      </c>
      <c r="ED180" s="14">
        <v>0</v>
      </c>
      <c r="EE180" s="14">
        <v>0</v>
      </c>
      <c r="EF180" s="14">
        <v>0</v>
      </c>
      <c r="EG180" s="14">
        <v>0</v>
      </c>
      <c r="EH180" s="14">
        <v>0</v>
      </c>
      <c r="EI180" s="14">
        <v>0</v>
      </c>
      <c r="EJ180" s="14">
        <v>0</v>
      </c>
      <c r="EK180" s="14">
        <v>0</v>
      </c>
      <c r="EL180" s="14">
        <v>0</v>
      </c>
      <c r="EM180" s="14">
        <v>0</v>
      </c>
      <c r="EN180" s="14">
        <v>0</v>
      </c>
      <c r="EO180" s="14">
        <v>0</v>
      </c>
      <c r="EP180" s="14">
        <v>0</v>
      </c>
      <c r="EQ180" s="14">
        <v>0</v>
      </c>
      <c r="ER180" s="14">
        <v>0</v>
      </c>
      <c r="ES180" s="14">
        <v>0</v>
      </c>
      <c r="ET180" s="14">
        <v>0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0</v>
      </c>
      <c r="FD180" s="14">
        <v>0</v>
      </c>
      <c r="FE180" s="14">
        <v>0</v>
      </c>
      <c r="FF180" s="14">
        <v>0</v>
      </c>
      <c r="FG180" s="15">
        <v>0</v>
      </c>
      <c r="FH180" s="14">
        <v>0</v>
      </c>
      <c r="FI180" s="14">
        <v>0</v>
      </c>
      <c r="FJ180" s="14">
        <v>0</v>
      </c>
      <c r="FK180" s="14">
        <v>0</v>
      </c>
      <c r="FL180" s="14">
        <v>0</v>
      </c>
      <c r="FM180" s="14">
        <v>0</v>
      </c>
      <c r="FN180" s="14">
        <v>0</v>
      </c>
      <c r="FO180" s="14">
        <v>0</v>
      </c>
      <c r="FP180" s="14">
        <v>0</v>
      </c>
      <c r="FQ180" s="15">
        <v>0</v>
      </c>
      <c r="FR180" s="14">
        <v>0</v>
      </c>
      <c r="FS180" s="14">
        <v>0</v>
      </c>
      <c r="FT180" s="14">
        <v>0</v>
      </c>
      <c r="FU180" s="14">
        <v>0</v>
      </c>
      <c r="FV180" s="15">
        <v>0</v>
      </c>
      <c r="FW180" s="14">
        <v>7700</v>
      </c>
      <c r="FX180" s="14">
        <v>0</v>
      </c>
      <c r="FY180" s="14">
        <v>0</v>
      </c>
      <c r="FZ180" s="14">
        <v>0</v>
      </c>
      <c r="GA180" s="15">
        <v>0</v>
      </c>
      <c r="GB180" s="15">
        <v>7700</v>
      </c>
      <c r="GC180" s="14">
        <v>0</v>
      </c>
      <c r="GD180" s="14">
        <v>0</v>
      </c>
      <c r="GE180" s="14">
        <v>0</v>
      </c>
      <c r="GF180" s="14">
        <v>0</v>
      </c>
      <c r="GG180" s="15">
        <v>0</v>
      </c>
      <c r="GH180" s="14">
        <v>0</v>
      </c>
      <c r="GI180" s="14">
        <v>0</v>
      </c>
      <c r="GJ180" s="14">
        <v>0</v>
      </c>
      <c r="GK180" s="14">
        <v>0</v>
      </c>
      <c r="GL180" s="15">
        <v>0</v>
      </c>
      <c r="GM180" s="15">
        <v>0</v>
      </c>
      <c r="GN180" s="14">
        <v>0</v>
      </c>
      <c r="GO180" s="14">
        <v>0</v>
      </c>
      <c r="GP180" s="14">
        <v>0</v>
      </c>
      <c r="GQ180" s="14">
        <v>0</v>
      </c>
      <c r="GR180" s="15">
        <v>0</v>
      </c>
      <c r="GS180" s="14">
        <v>0</v>
      </c>
      <c r="GT180" s="14">
        <v>0</v>
      </c>
      <c r="GU180" s="14">
        <v>0</v>
      </c>
      <c r="GV180" s="14">
        <v>0</v>
      </c>
      <c r="GW180" s="15">
        <v>0</v>
      </c>
      <c r="GX180" s="15">
        <v>0</v>
      </c>
      <c r="GY180" s="14">
        <v>17241752.190000001</v>
      </c>
      <c r="GZ180" s="14">
        <v>6094751.9100000001</v>
      </c>
      <c r="HA180" s="15">
        <v>0</v>
      </c>
      <c r="HB180" s="15">
        <v>0</v>
      </c>
      <c r="HC180" s="16">
        <v>0</v>
      </c>
      <c r="HD180" s="15">
        <v>0</v>
      </c>
      <c r="HE180" s="14">
        <v>0</v>
      </c>
      <c r="HF180" s="14">
        <v>0</v>
      </c>
      <c r="HG180" s="14">
        <v>11</v>
      </c>
      <c r="HH180" s="14">
        <v>0</v>
      </c>
      <c r="HI180" s="14">
        <v>0</v>
      </c>
      <c r="HJ180" s="15">
        <v>0</v>
      </c>
      <c r="HK180" s="16"/>
      <c r="HL180" s="14">
        <v>0</v>
      </c>
      <c r="HM180" s="14">
        <v>0</v>
      </c>
      <c r="HN180" s="17">
        <v>0</v>
      </c>
    </row>
    <row r="181" spans="1:222" x14ac:dyDescent="0.3">
      <c r="A181" s="6" t="s">
        <v>280</v>
      </c>
      <c r="B181" s="6" t="s">
        <v>286</v>
      </c>
      <c r="C181" s="7" t="s">
        <v>257</v>
      </c>
      <c r="D181" s="7">
        <v>2026</v>
      </c>
      <c r="E181" s="7">
        <v>2</v>
      </c>
      <c r="F181" s="7" t="s">
        <v>272</v>
      </c>
      <c r="G181" s="7" t="s">
        <v>271</v>
      </c>
      <c r="H181" s="8">
        <v>1125</v>
      </c>
      <c r="I181" s="8">
        <v>0</v>
      </c>
      <c r="J181" s="8">
        <v>0</v>
      </c>
      <c r="K181" s="8">
        <v>0</v>
      </c>
      <c r="L181" s="8">
        <v>0</v>
      </c>
      <c r="M181" s="9">
        <f t="shared" ref="M181:M191" si="912">SUM(I181,J181,K181,L181)</f>
        <v>0</v>
      </c>
      <c r="N181" s="8">
        <v>767.69999999999959</v>
      </c>
      <c r="O181" s="8">
        <v>8</v>
      </c>
      <c r="P181" s="8">
        <v>15.1</v>
      </c>
      <c r="Q181" s="8">
        <v>13.8</v>
      </c>
      <c r="R181" s="9">
        <f t="shared" ref="R181:R191" si="913">SUM(N181,O181,P181,Q181)</f>
        <v>804.59999999999957</v>
      </c>
      <c r="S181" s="9">
        <f t="shared" ref="S181:S191" si="914">M181+R181</f>
        <v>804.59999999999957</v>
      </c>
      <c r="T181" s="8">
        <v>320.40000000000038</v>
      </c>
      <c r="U181" s="10">
        <f t="shared" ref="U181:U191" si="915">IF(H181=0,"",T181/H181)</f>
        <v>0.28480000000000033</v>
      </c>
      <c r="V181" s="8">
        <v>1</v>
      </c>
      <c r="W181" s="11">
        <f t="shared" ref="W181:W191" si="916">IF(H181=0,"",V181/H181)</f>
        <v>8.8888888888888893E-4</v>
      </c>
      <c r="X181" s="8">
        <v>0</v>
      </c>
      <c r="Y181" s="11">
        <f t="shared" ref="Y181:Y191" si="917">IF(H181=0,"",X181/H181)</f>
        <v>0</v>
      </c>
      <c r="Z181" s="8">
        <v>0</v>
      </c>
      <c r="AA181" s="11">
        <f t="shared" ref="AA181:AA191" si="918">IF(H181=0,"",Z181/H181)</f>
        <v>0</v>
      </c>
      <c r="AB181" s="8">
        <v>0</v>
      </c>
      <c r="AC181" s="11">
        <f t="shared" ref="AC181:AC191" si="919">IF(H181=0,"",AB181/H181)</f>
        <v>0</v>
      </c>
      <c r="AD181" s="8">
        <v>0</v>
      </c>
      <c r="AE181" s="11">
        <f t="shared" ref="AE181:AE191" si="920">IF(H181=0,"",AD181/H181)</f>
        <v>0</v>
      </c>
      <c r="AF181" s="8">
        <v>0</v>
      </c>
      <c r="AG181" s="11">
        <f t="shared" ref="AG181:AG191" si="921">IF(H181=0,"",AF181/H181)</f>
        <v>0</v>
      </c>
      <c r="AH181" s="8">
        <v>5111.67</v>
      </c>
      <c r="AI181" s="9">
        <f t="shared" ref="AI181:AI191" si="922">IF(H181=0,"",AH181/H181)</f>
        <v>4.543706666666667</v>
      </c>
      <c r="AJ181" s="8">
        <v>2000</v>
      </c>
      <c r="AK181" s="11">
        <f t="shared" ref="AK181:AK191" si="923">IF(H181=0,"",AJ181/H181)</f>
        <v>1.7777777777777777</v>
      </c>
      <c r="AL181" s="8">
        <v>293929.5</v>
      </c>
      <c r="AM181" s="9">
        <f t="shared" ref="AM181:AM191" si="924">IF(H181=0,"",AL181/H181)</f>
        <v>261.27066666666667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9">
        <f t="shared" ref="AU181:AU191" si="925">AH181+AL181+AP181+AQ181+AR181+AS181+AT181</f>
        <v>299041.17</v>
      </c>
      <c r="AV181" s="9">
        <f t="shared" ref="AV181:AV191" si="926">IF(H181=0,"",AU181/H181)</f>
        <v>265.81437333333332</v>
      </c>
      <c r="AW181" s="9">
        <f t="shared" ref="AW181:AW191" si="927">IF(S181=0,"",AU181/S181)</f>
        <v>371.66439224459378</v>
      </c>
      <c r="AX181" s="8">
        <v>5</v>
      </c>
      <c r="AY181" s="9">
        <f t="shared" ref="AY181:AY191" si="928">IF(H181=0,"",AX181/(H181/1000/12))</f>
        <v>53.333333333333336</v>
      </c>
      <c r="AZ181" s="8">
        <v>1</v>
      </c>
      <c r="BA181" s="8">
        <v>11</v>
      </c>
      <c r="BB181" s="8">
        <v>0</v>
      </c>
      <c r="BC181" s="8">
        <v>0</v>
      </c>
      <c r="BD181" s="8">
        <v>0</v>
      </c>
      <c r="BE181" s="9">
        <f t="shared" ref="BE181:BE191" si="929">BC181+BD181</f>
        <v>0</v>
      </c>
      <c r="BF181" s="9">
        <f t="shared" ref="BF181:BF191" si="930">BA181+BB181-BE181</f>
        <v>11</v>
      </c>
      <c r="BG181" s="8">
        <v>0</v>
      </c>
      <c r="BH181" s="8">
        <v>0</v>
      </c>
      <c r="BI181" s="8">
        <v>0</v>
      </c>
      <c r="BJ181" s="8">
        <v>0</v>
      </c>
      <c r="BK181" s="9">
        <f t="shared" ref="BK181:BK191" si="931">BI181+BJ181</f>
        <v>0</v>
      </c>
      <c r="BL181" s="9">
        <f t="shared" ref="BL181:BL191" si="932">BG181+BH181-BK181</f>
        <v>0</v>
      </c>
      <c r="BM181" s="8">
        <v>0</v>
      </c>
      <c r="BN181" s="8">
        <v>0</v>
      </c>
      <c r="BO181" s="8">
        <v>0</v>
      </c>
      <c r="BP181" s="8">
        <v>0</v>
      </c>
      <c r="BQ181" s="9">
        <f t="shared" ref="BQ181:BQ191" si="933">BO181+BP181</f>
        <v>0</v>
      </c>
      <c r="BR181" s="9">
        <f t="shared" ref="BR181:BR191" si="934">BM181+BN181-BQ181</f>
        <v>0</v>
      </c>
      <c r="BS181" s="8">
        <v>0</v>
      </c>
      <c r="BT181" s="8">
        <v>0</v>
      </c>
      <c r="BU181" s="8">
        <v>0</v>
      </c>
      <c r="BV181" s="8">
        <v>0</v>
      </c>
      <c r="BW181" s="9">
        <f t="shared" ref="BW181:BW191" si="935">BU181+BV181</f>
        <v>0</v>
      </c>
      <c r="BX181" s="9">
        <f t="shared" ref="BX181:BX191" si="936">BS181+BT181-BW181</f>
        <v>0</v>
      </c>
      <c r="BY181" s="9">
        <f t="shared" ref="BY181:BY191" si="937">BA181+BG181+BM181+BS181</f>
        <v>11</v>
      </c>
      <c r="BZ181" s="9">
        <f t="shared" ref="BZ181:BZ191" si="938">BB181+BH181+BN181+BT181</f>
        <v>0</v>
      </c>
      <c r="CA181" s="9">
        <f t="shared" ref="CA181:CA191" si="939">BE181+BK181+BQ181+BW181</f>
        <v>0</v>
      </c>
      <c r="CB181" s="9">
        <f t="shared" ref="CB181:CB191" si="940">BF181+BL181+BR181+BX181</f>
        <v>11</v>
      </c>
      <c r="CC181" s="8">
        <v>0</v>
      </c>
      <c r="CD181" s="8">
        <v>13</v>
      </c>
      <c r="CE181" s="8">
        <v>5</v>
      </c>
      <c r="CF181" s="8">
        <v>5</v>
      </c>
      <c r="CG181" s="8">
        <v>11</v>
      </c>
      <c r="CH181" s="9">
        <f t="shared" ref="CH181:CH191" si="941">CD181+CE181+CF181+CG181</f>
        <v>34</v>
      </c>
      <c r="CI181" s="8">
        <v>0</v>
      </c>
      <c r="CJ181" s="8">
        <v>0</v>
      </c>
      <c r="CK181" s="8">
        <v>0</v>
      </c>
      <c r="CL181" s="8">
        <v>0</v>
      </c>
      <c r="CM181" s="9">
        <f t="shared" ref="CM181:CM191" si="942">CI181+CJ181+CK181+CL181</f>
        <v>0</v>
      </c>
      <c r="CN181" s="8">
        <v>213</v>
      </c>
      <c r="CO181" s="8">
        <v>9</v>
      </c>
      <c r="CP181" s="8">
        <v>14</v>
      </c>
      <c r="CQ181" s="8">
        <v>3</v>
      </c>
      <c r="CR181" s="9">
        <f t="shared" ref="CR181:CR191" si="943">CN181+CO181+CP181+CQ181</f>
        <v>239</v>
      </c>
      <c r="CS181" s="9">
        <f t="shared" ref="CS181:CS191" si="944">CM181+CR181</f>
        <v>239</v>
      </c>
      <c r="CT181" s="8">
        <v>273</v>
      </c>
      <c r="CU181" s="8">
        <v>2250</v>
      </c>
      <c r="CV181" s="8">
        <v>1160</v>
      </c>
      <c r="CW181" s="10">
        <f t="shared" ref="CW181:CW191" si="945">IF(CU181=0,"",CV181/CU181)</f>
        <v>0.51555555555555554</v>
      </c>
      <c r="CX181" s="8">
        <v>0</v>
      </c>
      <c r="CY181" s="8"/>
      <c r="CZ181" s="8"/>
      <c r="DA181" s="8"/>
      <c r="DB181" s="9">
        <f t="shared" ref="DB181:DB191" si="946">CX181+CY181-CZ181-DA181</f>
        <v>0</v>
      </c>
      <c r="DC181" s="8">
        <v>0</v>
      </c>
      <c r="DD181" s="8">
        <v>0</v>
      </c>
      <c r="DE181" s="8">
        <v>0</v>
      </c>
      <c r="DF181" s="8">
        <v>0</v>
      </c>
      <c r="DG181" s="9">
        <f t="shared" ref="DG181:DG191" si="947">DC181+DD181-DE181-DF181</f>
        <v>0</v>
      </c>
      <c r="DH181" s="8">
        <v>0</v>
      </c>
      <c r="DI181" s="8">
        <v>0</v>
      </c>
      <c r="DJ181" s="8">
        <v>0</v>
      </c>
      <c r="DK181" s="8">
        <v>0</v>
      </c>
      <c r="DL181" s="9">
        <f t="shared" ref="DL181:DL191" si="948">DH181+DI181-DJ181-DK181</f>
        <v>0</v>
      </c>
      <c r="DM181" s="8">
        <v>0</v>
      </c>
      <c r="DN181" s="8">
        <v>0</v>
      </c>
      <c r="DO181" s="8">
        <v>0</v>
      </c>
      <c r="DP181" s="8">
        <v>0</v>
      </c>
      <c r="DQ181" s="9">
        <f t="shared" ref="DQ181:DQ191" si="949">DM181+DN181-DO181-DP181</f>
        <v>0</v>
      </c>
      <c r="DR181" s="9">
        <f t="shared" ref="DR181:DR191" si="950">CX181+DC181+DH181+DM181</f>
        <v>0</v>
      </c>
      <c r="DS181" s="9">
        <f t="shared" ref="DS181:DS191" si="951">CY181+DD181+DI181+DN181</f>
        <v>0</v>
      </c>
      <c r="DT181" s="9">
        <f t="shared" ref="DT181:DT191" si="952">CZ181+DE181+DJ181+DO181</f>
        <v>0</v>
      </c>
      <c r="DU181" s="9">
        <f t="shared" ref="DU181:DU191" si="953">DA181+DF181+DK181+DP181</f>
        <v>0</v>
      </c>
      <c r="DV181" s="9">
        <f t="shared" ref="DV181:DV191" si="954">DB181+DG181+DL181+DQ181</f>
        <v>0</v>
      </c>
      <c r="DW181" s="8">
        <v>3</v>
      </c>
      <c r="DX181" s="8">
        <v>1</v>
      </c>
      <c r="DY181" s="8">
        <v>0</v>
      </c>
      <c r="DZ181" s="8">
        <v>0</v>
      </c>
      <c r="EA181" s="8">
        <v>0</v>
      </c>
      <c r="EB181" s="8">
        <v>0</v>
      </c>
      <c r="EC181" s="8">
        <v>0</v>
      </c>
      <c r="ED181" s="8">
        <v>0</v>
      </c>
      <c r="EE181" s="8">
        <v>0</v>
      </c>
      <c r="EF181" s="8">
        <v>0</v>
      </c>
      <c r="EG181" s="8">
        <v>0</v>
      </c>
      <c r="EH181" s="8">
        <v>0</v>
      </c>
      <c r="EI181" s="8">
        <v>0</v>
      </c>
      <c r="EJ181" s="8">
        <v>0</v>
      </c>
      <c r="EK181" s="8">
        <v>0</v>
      </c>
      <c r="EL181" s="8">
        <v>0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8">
        <v>0</v>
      </c>
      <c r="ES181" s="8">
        <v>0</v>
      </c>
      <c r="ET181" s="8">
        <v>0</v>
      </c>
      <c r="EU181" s="8">
        <v>0</v>
      </c>
      <c r="EV181" s="8">
        <v>0</v>
      </c>
      <c r="EW181" s="8">
        <v>0</v>
      </c>
      <c r="EX181" s="8">
        <v>0</v>
      </c>
      <c r="EY181" s="8">
        <v>0</v>
      </c>
      <c r="EZ181" s="8">
        <v>0</v>
      </c>
      <c r="FA181" s="8">
        <v>0</v>
      </c>
      <c r="FB181" s="8">
        <v>0</v>
      </c>
      <c r="FC181" s="8">
        <v>0</v>
      </c>
      <c r="FD181" s="8">
        <v>0</v>
      </c>
      <c r="FE181" s="8">
        <v>0</v>
      </c>
      <c r="FF181" s="8">
        <v>0</v>
      </c>
      <c r="FG181" s="9">
        <f t="shared" ref="FG181:FG191" si="955">SUM(DW181,DX181,DY181,DZ181,EA181,EB181,EC181,ED181,EE181,EF181,EG181,EH181,EI181,EJ181,EK181,EL181,EM181,EN181,EO181,EP181,EQ181,ER181,ES181,ET181,EU181,EV181,EW181,EX181,EY181,EZ181,FA181,FB181,FC181,FD181,FE181,FF181)</f>
        <v>4</v>
      </c>
      <c r="FH181" s="8">
        <v>0</v>
      </c>
      <c r="FI181" s="8">
        <v>0</v>
      </c>
      <c r="FJ181" s="8">
        <v>10</v>
      </c>
      <c r="FK181" s="8">
        <v>0</v>
      </c>
      <c r="FL181" s="8">
        <v>0</v>
      </c>
      <c r="FM181" s="8">
        <v>0</v>
      </c>
      <c r="FN181" s="8">
        <v>0</v>
      </c>
      <c r="FO181" s="8">
        <v>0</v>
      </c>
      <c r="FP181" s="8">
        <v>0</v>
      </c>
      <c r="FQ181" s="9">
        <f t="shared" ref="FQ181:FQ191" si="956">FL181+FM181+FN181+FO181+FP181</f>
        <v>0</v>
      </c>
      <c r="FR181" s="8">
        <v>0</v>
      </c>
      <c r="FS181" s="8">
        <v>0</v>
      </c>
      <c r="FT181" s="8">
        <v>0</v>
      </c>
      <c r="FU181" s="8">
        <v>0</v>
      </c>
      <c r="FV181" s="9">
        <f t="shared" ref="FV181:FV191" si="957">FR181+FS181+FT181+FU181</f>
        <v>0</v>
      </c>
      <c r="FW181" s="8">
        <v>1247391</v>
      </c>
      <c r="FX181" s="8">
        <v>1700</v>
      </c>
      <c r="FY181" s="8">
        <v>114900</v>
      </c>
      <c r="FZ181" s="8">
        <v>46000</v>
      </c>
      <c r="GA181" s="9">
        <f t="shared" ref="GA181:GA191" si="958">FW181+FX181+FY181+FZ181</f>
        <v>1409991</v>
      </c>
      <c r="GB181" s="9">
        <f t="shared" ref="GB181:GB191" si="959">FV181+GA181</f>
        <v>1409991</v>
      </c>
      <c r="GC181" s="8">
        <v>0</v>
      </c>
      <c r="GD181" s="8">
        <v>0</v>
      </c>
      <c r="GE181" s="8">
        <v>0</v>
      </c>
      <c r="GF181" s="8">
        <v>0</v>
      </c>
      <c r="GG181" s="9">
        <f t="shared" ref="GG181:GG191" si="960">GC181+GD181+GE181+GF181</f>
        <v>0</v>
      </c>
      <c r="GH181" s="8">
        <v>0</v>
      </c>
      <c r="GI181" s="8">
        <v>0</v>
      </c>
      <c r="GJ181" s="8">
        <v>0</v>
      </c>
      <c r="GK181" s="8">
        <v>0</v>
      </c>
      <c r="GL181" s="9">
        <f t="shared" ref="GL181:GL191" si="961">GH181+GI181+GJ181+GK181</f>
        <v>0</v>
      </c>
      <c r="GM181" s="9">
        <f t="shared" ref="GM181:GM191" si="962">GG181+GL181</f>
        <v>0</v>
      </c>
      <c r="GN181" s="8">
        <v>0</v>
      </c>
      <c r="GO181" s="8">
        <v>0</v>
      </c>
      <c r="GP181" s="8">
        <v>0</v>
      </c>
      <c r="GQ181" s="8">
        <v>0</v>
      </c>
      <c r="GR181" s="9">
        <f t="shared" ref="GR181:GR191" si="963">GN181+GO181+GP181+GQ181</f>
        <v>0</v>
      </c>
      <c r="GS181" s="8">
        <v>0</v>
      </c>
      <c r="GT181" s="8">
        <v>0</v>
      </c>
      <c r="GU181" s="8">
        <v>0</v>
      </c>
      <c r="GV181" s="8">
        <v>0</v>
      </c>
      <c r="GW181" s="9">
        <f t="shared" ref="GW181:GW191" si="964">GS181+GT181+GU181+GV181</f>
        <v>0</v>
      </c>
      <c r="GX181" s="9">
        <f t="shared" ref="GX181:GX191" si="965">GM181+GR181+GW181</f>
        <v>0</v>
      </c>
      <c r="GY181" s="8">
        <v>17241752.190000001</v>
      </c>
      <c r="GZ181" s="8">
        <v>6094751.9100000001</v>
      </c>
      <c r="HA181" s="9">
        <f t="shared" ref="HA181:HA191" si="966">GY181+GZ181</f>
        <v>23336504.100000001</v>
      </c>
      <c r="HB181" s="9" t="str">
        <f t="shared" ref="HB181:HB191" si="967">IF(GX181=0,"",AU181/GX181)</f>
        <v/>
      </c>
      <c r="HC181" s="10">
        <f t="shared" ref="HC181:HC191" si="968">IF((GX181+GY181)=0,"",GB181/(GX181+GY181))</f>
        <v>8.1777709391843423E-2</v>
      </c>
      <c r="HD181" s="9" t="str">
        <f t="shared" ref="HD181:HD191" si="969">IF(GX181=0,"",GB181/GX181)</f>
        <v/>
      </c>
      <c r="HE181" s="8">
        <v>0</v>
      </c>
      <c r="HF181" s="8">
        <v>0</v>
      </c>
      <c r="HG181" s="8">
        <v>11</v>
      </c>
      <c r="HH181" s="8">
        <v>0</v>
      </c>
      <c r="HI181" s="8">
        <v>0</v>
      </c>
      <c r="HJ181" s="9">
        <f t="shared" ref="HJ181:HJ191" si="970">HF181+HI181</f>
        <v>0</v>
      </c>
      <c r="HK181" s="10" t="str">
        <f t="shared" ref="HK181:HK191" si="971">IF(HE181=0,"",HH181/HE181)</f>
        <v/>
      </c>
      <c r="HL181" s="8">
        <v>0</v>
      </c>
      <c r="HM181" s="8">
        <v>0</v>
      </c>
      <c r="HN181" s="11" t="str">
        <f t="shared" ref="HN181:HN191" si="972">IF(HL181=0,"",HM181/HL181)</f>
        <v/>
      </c>
    </row>
    <row r="182" spans="1:222" x14ac:dyDescent="0.3">
      <c r="A182" s="12" t="s">
        <v>280</v>
      </c>
      <c r="B182" s="12" t="s">
        <v>286</v>
      </c>
      <c r="C182" s="13" t="s">
        <v>257</v>
      </c>
      <c r="D182" s="13">
        <v>2026</v>
      </c>
      <c r="E182" s="13">
        <v>3</v>
      </c>
      <c r="F182" s="13" t="s">
        <v>273</v>
      </c>
      <c r="G182" s="13" t="s">
        <v>271</v>
      </c>
      <c r="H182" s="14">
        <v>1100</v>
      </c>
      <c r="I182" s="14">
        <v>0</v>
      </c>
      <c r="J182" s="14">
        <v>0</v>
      </c>
      <c r="K182" s="14">
        <v>0</v>
      </c>
      <c r="L182" s="14">
        <v>0</v>
      </c>
      <c r="M182" s="15">
        <f t="shared" si="912"/>
        <v>0</v>
      </c>
      <c r="N182" s="14">
        <v>901</v>
      </c>
      <c r="O182" s="14">
        <v>9</v>
      </c>
      <c r="P182" s="14">
        <v>47</v>
      </c>
      <c r="Q182" s="14">
        <v>32</v>
      </c>
      <c r="R182" s="15">
        <f t="shared" si="913"/>
        <v>989</v>
      </c>
      <c r="S182" s="15">
        <f t="shared" si="914"/>
        <v>989</v>
      </c>
      <c r="T182" s="14">
        <v>111</v>
      </c>
      <c r="U182" s="16">
        <f t="shared" si="915"/>
        <v>0.10090909090909091</v>
      </c>
      <c r="V182" s="14">
        <v>1</v>
      </c>
      <c r="W182" s="17">
        <f t="shared" si="916"/>
        <v>9.0909090909090909E-4</v>
      </c>
      <c r="X182" s="14">
        <v>0</v>
      </c>
      <c r="Y182" s="17">
        <f t="shared" si="917"/>
        <v>0</v>
      </c>
      <c r="Z182" s="14">
        <v>0</v>
      </c>
      <c r="AA182" s="17">
        <f t="shared" si="918"/>
        <v>0</v>
      </c>
      <c r="AB182" s="14">
        <v>0</v>
      </c>
      <c r="AC182" s="17">
        <f t="shared" si="919"/>
        <v>0</v>
      </c>
      <c r="AD182" s="14">
        <v>0</v>
      </c>
      <c r="AE182" s="17">
        <f t="shared" si="920"/>
        <v>0</v>
      </c>
      <c r="AF182" s="14">
        <v>0</v>
      </c>
      <c r="AG182" s="17">
        <f t="shared" si="921"/>
        <v>0</v>
      </c>
      <c r="AH182" s="14">
        <v>5111.67</v>
      </c>
      <c r="AI182" s="15">
        <f t="shared" si="922"/>
        <v>4.6469727272727273</v>
      </c>
      <c r="AJ182" s="14">
        <v>1200</v>
      </c>
      <c r="AK182" s="17">
        <f t="shared" si="923"/>
        <v>1.0909090909090908</v>
      </c>
      <c r="AL182" s="14">
        <v>16426.5</v>
      </c>
      <c r="AM182" s="15">
        <f t="shared" si="924"/>
        <v>14.933181818181819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5">
        <f t="shared" si="925"/>
        <v>21538.17</v>
      </c>
      <c r="AV182" s="15">
        <f t="shared" si="926"/>
        <v>19.580154545454544</v>
      </c>
      <c r="AW182" s="15">
        <f t="shared" si="927"/>
        <v>21.777724974721938</v>
      </c>
      <c r="AX182" s="14">
        <v>5</v>
      </c>
      <c r="AY182" s="15">
        <f t="shared" si="928"/>
        <v>54.54545454545454</v>
      </c>
      <c r="AZ182" s="14">
        <v>1</v>
      </c>
      <c r="BA182" s="14">
        <v>11</v>
      </c>
      <c r="BB182" s="14">
        <v>6</v>
      </c>
      <c r="BC182" s="14">
        <v>0</v>
      </c>
      <c r="BD182" s="14">
        <v>1</v>
      </c>
      <c r="BE182" s="15">
        <f t="shared" si="929"/>
        <v>1</v>
      </c>
      <c r="BF182" s="15">
        <f t="shared" si="930"/>
        <v>16</v>
      </c>
      <c r="BG182" s="14">
        <v>0</v>
      </c>
      <c r="BH182" s="14">
        <v>0</v>
      </c>
      <c r="BI182" s="14">
        <v>0</v>
      </c>
      <c r="BJ182" s="14">
        <v>0</v>
      </c>
      <c r="BK182" s="15">
        <f t="shared" si="931"/>
        <v>0</v>
      </c>
      <c r="BL182" s="15">
        <f t="shared" si="932"/>
        <v>0</v>
      </c>
      <c r="BM182" s="14">
        <v>0</v>
      </c>
      <c r="BN182" s="14">
        <v>0</v>
      </c>
      <c r="BO182" s="14">
        <v>0</v>
      </c>
      <c r="BP182" s="14">
        <v>0</v>
      </c>
      <c r="BQ182" s="15">
        <f t="shared" si="933"/>
        <v>0</v>
      </c>
      <c r="BR182" s="15">
        <f t="shared" si="934"/>
        <v>0</v>
      </c>
      <c r="BS182" s="14">
        <v>0</v>
      </c>
      <c r="BT182" s="14">
        <v>0</v>
      </c>
      <c r="BU182" s="14">
        <v>0</v>
      </c>
      <c r="BV182" s="14">
        <v>0</v>
      </c>
      <c r="BW182" s="15">
        <f t="shared" si="935"/>
        <v>0</v>
      </c>
      <c r="BX182" s="15">
        <f t="shared" si="936"/>
        <v>0</v>
      </c>
      <c r="BY182" s="15">
        <f t="shared" si="937"/>
        <v>11</v>
      </c>
      <c r="BZ182" s="15">
        <f t="shared" si="938"/>
        <v>6</v>
      </c>
      <c r="CA182" s="15">
        <f t="shared" si="939"/>
        <v>1</v>
      </c>
      <c r="CB182" s="15">
        <f t="shared" si="940"/>
        <v>16</v>
      </c>
      <c r="CC182" s="14">
        <v>1</v>
      </c>
      <c r="CD182" s="14">
        <v>13</v>
      </c>
      <c r="CE182" s="14">
        <v>5</v>
      </c>
      <c r="CF182" s="14">
        <v>5</v>
      </c>
      <c r="CG182" s="14">
        <v>11</v>
      </c>
      <c r="CH182" s="15">
        <f t="shared" si="941"/>
        <v>34</v>
      </c>
      <c r="CI182" s="14">
        <v>0</v>
      </c>
      <c r="CJ182" s="14">
        <v>0</v>
      </c>
      <c r="CK182" s="14">
        <v>0</v>
      </c>
      <c r="CL182" s="14">
        <v>0</v>
      </c>
      <c r="CM182" s="15">
        <f t="shared" si="942"/>
        <v>0</v>
      </c>
      <c r="CN182" s="14">
        <v>213</v>
      </c>
      <c r="CO182" s="14">
        <v>9</v>
      </c>
      <c r="CP182" s="14">
        <v>14</v>
      </c>
      <c r="CQ182" s="14">
        <v>3</v>
      </c>
      <c r="CR182" s="15">
        <f t="shared" si="943"/>
        <v>239</v>
      </c>
      <c r="CS182" s="15">
        <f t="shared" si="944"/>
        <v>239</v>
      </c>
      <c r="CT182" s="14">
        <v>273</v>
      </c>
      <c r="CU182" s="14">
        <v>2250</v>
      </c>
      <c r="CV182" s="14">
        <v>1160</v>
      </c>
      <c r="CW182" s="16">
        <f t="shared" si="945"/>
        <v>0.51555555555555554</v>
      </c>
      <c r="CX182" s="14"/>
      <c r="CY182" s="14"/>
      <c r="CZ182" s="14"/>
      <c r="DA182" s="14"/>
      <c r="DB182" s="15">
        <f t="shared" si="946"/>
        <v>0</v>
      </c>
      <c r="DC182" s="14">
        <v>0</v>
      </c>
      <c r="DD182" s="14">
        <v>0</v>
      </c>
      <c r="DE182" s="14">
        <v>0</v>
      </c>
      <c r="DF182" s="14">
        <v>0</v>
      </c>
      <c r="DG182" s="15">
        <f t="shared" si="947"/>
        <v>0</v>
      </c>
      <c r="DH182" s="14">
        <v>0</v>
      </c>
      <c r="DI182" s="14">
        <v>0</v>
      </c>
      <c r="DJ182" s="14">
        <v>0</v>
      </c>
      <c r="DK182" s="14">
        <v>0</v>
      </c>
      <c r="DL182" s="15">
        <f t="shared" si="948"/>
        <v>0</v>
      </c>
      <c r="DM182" s="14">
        <v>0</v>
      </c>
      <c r="DN182" s="14">
        <v>0</v>
      </c>
      <c r="DO182" s="14">
        <v>0</v>
      </c>
      <c r="DP182" s="14">
        <v>0</v>
      </c>
      <c r="DQ182" s="15">
        <f t="shared" si="949"/>
        <v>0</v>
      </c>
      <c r="DR182" s="15">
        <f t="shared" si="950"/>
        <v>0</v>
      </c>
      <c r="DS182" s="15">
        <f t="shared" si="951"/>
        <v>0</v>
      </c>
      <c r="DT182" s="15">
        <f t="shared" si="952"/>
        <v>0</v>
      </c>
      <c r="DU182" s="15">
        <f t="shared" si="953"/>
        <v>0</v>
      </c>
      <c r="DV182" s="15">
        <f t="shared" si="954"/>
        <v>0</v>
      </c>
      <c r="DW182" s="14">
        <v>3</v>
      </c>
      <c r="DX182" s="14">
        <v>0</v>
      </c>
      <c r="DY182" s="14">
        <v>0</v>
      </c>
      <c r="DZ182" s="14">
        <v>0</v>
      </c>
      <c r="EA182" s="14">
        <v>0</v>
      </c>
      <c r="EB182" s="14">
        <v>0</v>
      </c>
      <c r="EC182" s="14">
        <v>0</v>
      </c>
      <c r="ED182" s="14">
        <v>0</v>
      </c>
      <c r="EE182" s="14">
        <v>0</v>
      </c>
      <c r="EF182" s="14">
        <v>0</v>
      </c>
      <c r="EG182" s="14">
        <v>0</v>
      </c>
      <c r="EH182" s="14">
        <v>0</v>
      </c>
      <c r="EI182" s="14">
        <v>0</v>
      </c>
      <c r="EJ182" s="14">
        <v>0</v>
      </c>
      <c r="EK182" s="14">
        <v>0</v>
      </c>
      <c r="EL182" s="14">
        <v>0</v>
      </c>
      <c r="EM182" s="14">
        <v>0</v>
      </c>
      <c r="EN182" s="14">
        <v>0</v>
      </c>
      <c r="EO182" s="14">
        <v>0</v>
      </c>
      <c r="EP182" s="14">
        <v>0</v>
      </c>
      <c r="EQ182" s="14">
        <v>0</v>
      </c>
      <c r="ER182" s="14">
        <v>0</v>
      </c>
      <c r="ES182" s="14">
        <v>0</v>
      </c>
      <c r="ET182" s="14">
        <v>0</v>
      </c>
      <c r="EU182" s="14">
        <v>0</v>
      </c>
      <c r="EV182" s="14">
        <v>0</v>
      </c>
      <c r="EW182" s="14">
        <v>0</v>
      </c>
      <c r="EX182" s="14">
        <v>0</v>
      </c>
      <c r="EY182" s="14">
        <v>0</v>
      </c>
      <c r="EZ182" s="14">
        <v>0</v>
      </c>
      <c r="FA182" s="14">
        <v>0</v>
      </c>
      <c r="FB182" s="14">
        <v>0</v>
      </c>
      <c r="FC182" s="14">
        <v>0</v>
      </c>
      <c r="FD182" s="14">
        <v>0</v>
      </c>
      <c r="FE182" s="14">
        <v>0</v>
      </c>
      <c r="FF182" s="14">
        <v>0</v>
      </c>
      <c r="FG182" s="15">
        <f t="shared" si="955"/>
        <v>3</v>
      </c>
      <c r="FH182" s="14">
        <v>0</v>
      </c>
      <c r="FI182" s="14">
        <v>0</v>
      </c>
      <c r="FJ182" s="14">
        <v>10</v>
      </c>
      <c r="FK182" s="14">
        <v>0</v>
      </c>
      <c r="FL182" s="14">
        <v>0</v>
      </c>
      <c r="FM182" s="14">
        <v>0</v>
      </c>
      <c r="FN182" s="14">
        <v>0</v>
      </c>
      <c r="FO182" s="14">
        <v>0</v>
      </c>
      <c r="FP182" s="14">
        <v>0</v>
      </c>
      <c r="FQ182" s="15">
        <f t="shared" si="956"/>
        <v>0</v>
      </c>
      <c r="FR182" s="14">
        <v>0</v>
      </c>
      <c r="FS182" s="14">
        <v>0</v>
      </c>
      <c r="FT182" s="14">
        <v>0</v>
      </c>
      <c r="FU182" s="14">
        <v>0</v>
      </c>
      <c r="FV182" s="15">
        <f t="shared" si="957"/>
        <v>0</v>
      </c>
      <c r="FW182" s="14">
        <v>1451444</v>
      </c>
      <c r="FX182" s="14">
        <v>3000</v>
      </c>
      <c r="FY182" s="14">
        <v>171700</v>
      </c>
      <c r="FZ182" s="14">
        <v>141200</v>
      </c>
      <c r="GA182" s="15">
        <f t="shared" si="958"/>
        <v>1767344</v>
      </c>
      <c r="GB182" s="15">
        <f t="shared" si="959"/>
        <v>1767344</v>
      </c>
      <c r="GC182" s="14">
        <v>0</v>
      </c>
      <c r="GD182" s="14">
        <v>0</v>
      </c>
      <c r="GE182" s="14">
        <v>0</v>
      </c>
      <c r="GF182" s="14">
        <v>0</v>
      </c>
      <c r="GG182" s="15">
        <f t="shared" si="960"/>
        <v>0</v>
      </c>
      <c r="GH182" s="14">
        <v>0</v>
      </c>
      <c r="GI182" s="14">
        <v>0</v>
      </c>
      <c r="GJ182" s="14">
        <v>0</v>
      </c>
      <c r="GK182" s="14">
        <v>0</v>
      </c>
      <c r="GL182" s="15">
        <f t="shared" si="961"/>
        <v>0</v>
      </c>
      <c r="GM182" s="15">
        <f t="shared" si="962"/>
        <v>0</v>
      </c>
      <c r="GN182" s="14">
        <v>0</v>
      </c>
      <c r="GO182" s="14">
        <v>0</v>
      </c>
      <c r="GP182" s="14">
        <v>0</v>
      </c>
      <c r="GQ182" s="14">
        <v>0</v>
      </c>
      <c r="GR182" s="15">
        <f t="shared" si="963"/>
        <v>0</v>
      </c>
      <c r="GS182" s="14">
        <v>0</v>
      </c>
      <c r="GT182" s="14">
        <v>0</v>
      </c>
      <c r="GU182" s="14">
        <v>0</v>
      </c>
      <c r="GV182" s="14">
        <v>0</v>
      </c>
      <c r="GW182" s="15">
        <f t="shared" si="964"/>
        <v>0</v>
      </c>
      <c r="GX182" s="15">
        <f t="shared" si="965"/>
        <v>0</v>
      </c>
      <c r="GY182" s="14">
        <v>17241752.190000001</v>
      </c>
      <c r="GZ182" s="14">
        <v>6094751.9100000001</v>
      </c>
      <c r="HA182" s="15">
        <f t="shared" si="966"/>
        <v>23336504.100000001</v>
      </c>
      <c r="HB182" s="15" t="str">
        <f t="shared" si="967"/>
        <v/>
      </c>
      <c r="HC182" s="16">
        <f t="shared" si="968"/>
        <v>0.10250373514966983</v>
      </c>
      <c r="HD182" s="15" t="str">
        <f t="shared" si="969"/>
        <v/>
      </c>
      <c r="HE182" s="14">
        <v>6</v>
      </c>
      <c r="HF182" s="14">
        <v>1</v>
      </c>
      <c r="HG182" s="14">
        <v>16</v>
      </c>
      <c r="HH182" s="14">
        <v>6</v>
      </c>
      <c r="HI182" s="14">
        <v>30</v>
      </c>
      <c r="HJ182" s="15">
        <f t="shared" si="970"/>
        <v>31</v>
      </c>
      <c r="HK182" s="16">
        <f t="shared" si="971"/>
        <v>1</v>
      </c>
      <c r="HL182" s="14">
        <v>10</v>
      </c>
      <c r="HM182" s="14">
        <v>2</v>
      </c>
      <c r="HN182" s="17">
        <f t="shared" si="972"/>
        <v>0.2</v>
      </c>
    </row>
    <row r="183" spans="1:222" x14ac:dyDescent="0.3">
      <c r="A183" s="6" t="s">
        <v>280</v>
      </c>
      <c r="B183" s="6" t="s">
        <v>287</v>
      </c>
      <c r="C183" s="7" t="s">
        <v>257</v>
      </c>
      <c r="D183" s="7">
        <v>2025</v>
      </c>
      <c r="E183" s="7">
        <v>4</v>
      </c>
      <c r="F183" s="7" t="s">
        <v>258</v>
      </c>
      <c r="G183" s="7" t="s">
        <v>259</v>
      </c>
      <c r="H183" s="8">
        <v>9088</v>
      </c>
      <c r="I183" s="8">
        <v>4331</v>
      </c>
      <c r="J183" s="8">
        <v>0</v>
      </c>
      <c r="K183" s="8">
        <v>7</v>
      </c>
      <c r="L183" s="8">
        <v>7</v>
      </c>
      <c r="M183" s="9">
        <f t="shared" si="912"/>
        <v>4345</v>
      </c>
      <c r="N183" s="8">
        <v>1509.4</v>
      </c>
      <c r="O183" s="8">
        <v>108</v>
      </c>
      <c r="P183" s="8">
        <v>175</v>
      </c>
      <c r="Q183" s="8">
        <v>148</v>
      </c>
      <c r="R183" s="9">
        <f t="shared" si="913"/>
        <v>1940.4</v>
      </c>
      <c r="S183" s="9">
        <f t="shared" si="914"/>
        <v>6285.4</v>
      </c>
      <c r="T183" s="8">
        <v>2802.6</v>
      </c>
      <c r="U183" s="10">
        <f t="shared" si="915"/>
        <v>0.30838468309859152</v>
      </c>
      <c r="V183" s="8">
        <v>24</v>
      </c>
      <c r="W183" s="11">
        <f t="shared" si="916"/>
        <v>2.6408450704225352E-3</v>
      </c>
      <c r="X183" s="8">
        <v>0</v>
      </c>
      <c r="Y183" s="11">
        <f t="shared" si="917"/>
        <v>0</v>
      </c>
      <c r="Z183" s="8">
        <v>0</v>
      </c>
      <c r="AA183" s="11">
        <f t="shared" si="918"/>
        <v>0</v>
      </c>
      <c r="AB183" s="8">
        <v>0</v>
      </c>
      <c r="AC183" s="11">
        <f t="shared" si="919"/>
        <v>0</v>
      </c>
      <c r="AD183" s="8">
        <v>0</v>
      </c>
      <c r="AE183" s="11">
        <f t="shared" si="920"/>
        <v>0</v>
      </c>
      <c r="AF183" s="8">
        <v>0</v>
      </c>
      <c r="AG183" s="11">
        <f t="shared" si="921"/>
        <v>0</v>
      </c>
      <c r="AH183" s="8">
        <v>122680.08</v>
      </c>
      <c r="AI183" s="9">
        <f t="shared" si="922"/>
        <v>13.49912852112676</v>
      </c>
      <c r="AJ183" s="8">
        <v>13</v>
      </c>
      <c r="AK183" s="11">
        <f t="shared" si="923"/>
        <v>1.4304577464788733E-3</v>
      </c>
      <c r="AL183" s="8">
        <v>18230.269499999999</v>
      </c>
      <c r="AM183" s="9">
        <f t="shared" si="924"/>
        <v>2.005971555897887</v>
      </c>
      <c r="AN183" s="8">
        <v>0</v>
      </c>
      <c r="AO183" s="8">
        <v>0</v>
      </c>
      <c r="AP183" s="8">
        <v>0</v>
      </c>
      <c r="AQ183" s="8">
        <v>0</v>
      </c>
      <c r="AR183" s="8">
        <v>4665532.6900000004</v>
      </c>
      <c r="AS183" s="8">
        <v>1339604.31</v>
      </c>
      <c r="AT183" s="8">
        <v>1332040.44</v>
      </c>
      <c r="AU183" s="9">
        <f t="shared" si="925"/>
        <v>7478087.7895</v>
      </c>
      <c r="AV183" s="9">
        <f t="shared" si="926"/>
        <v>822.8529697953345</v>
      </c>
      <c r="AW183" s="9">
        <f t="shared" si="927"/>
        <v>1189.7552724568047</v>
      </c>
      <c r="AX183" s="8">
        <v>5</v>
      </c>
      <c r="AY183" s="9">
        <f t="shared" si="928"/>
        <v>6.602112676056338</v>
      </c>
      <c r="AZ183" s="8">
        <v>6</v>
      </c>
      <c r="BA183" s="8">
        <v>37</v>
      </c>
      <c r="BB183" s="8">
        <v>4</v>
      </c>
      <c r="BC183" s="8">
        <v>9</v>
      </c>
      <c r="BD183" s="8">
        <v>0</v>
      </c>
      <c r="BE183" s="9">
        <f t="shared" si="929"/>
        <v>9</v>
      </c>
      <c r="BF183" s="9">
        <f t="shared" si="930"/>
        <v>32</v>
      </c>
      <c r="BG183" s="8">
        <v>0</v>
      </c>
      <c r="BH183" s="8">
        <v>0</v>
      </c>
      <c r="BI183" s="8">
        <v>0</v>
      </c>
      <c r="BJ183" s="8">
        <v>0</v>
      </c>
      <c r="BK183" s="9">
        <f t="shared" si="931"/>
        <v>0</v>
      </c>
      <c r="BL183" s="9">
        <f t="shared" si="932"/>
        <v>0</v>
      </c>
      <c r="BM183" s="8">
        <v>0</v>
      </c>
      <c r="BN183" s="8">
        <v>0</v>
      </c>
      <c r="BO183" s="8">
        <v>0</v>
      </c>
      <c r="BP183" s="8">
        <v>0</v>
      </c>
      <c r="BQ183" s="9">
        <f t="shared" si="933"/>
        <v>0</v>
      </c>
      <c r="BR183" s="9">
        <f t="shared" si="934"/>
        <v>0</v>
      </c>
      <c r="BS183" s="8">
        <v>0</v>
      </c>
      <c r="BT183" s="8">
        <v>0</v>
      </c>
      <c r="BU183" s="8">
        <v>0</v>
      </c>
      <c r="BV183" s="8">
        <v>0</v>
      </c>
      <c r="BW183" s="9">
        <f t="shared" si="935"/>
        <v>0</v>
      </c>
      <c r="BX183" s="9">
        <f t="shared" si="936"/>
        <v>0</v>
      </c>
      <c r="BY183" s="9">
        <f t="shared" si="937"/>
        <v>37</v>
      </c>
      <c r="BZ183" s="9">
        <f t="shared" si="938"/>
        <v>4</v>
      </c>
      <c r="CA183" s="9">
        <f t="shared" si="939"/>
        <v>9</v>
      </c>
      <c r="CB183" s="9">
        <f t="shared" si="940"/>
        <v>32</v>
      </c>
      <c r="CC183" s="8">
        <v>23</v>
      </c>
      <c r="CD183" s="8">
        <v>225</v>
      </c>
      <c r="CE183" s="8">
        <v>14</v>
      </c>
      <c r="CF183" s="8">
        <v>25</v>
      </c>
      <c r="CG183" s="8">
        <v>0</v>
      </c>
      <c r="CH183" s="9">
        <f t="shared" si="941"/>
        <v>264</v>
      </c>
      <c r="CI183" s="8">
        <v>498</v>
      </c>
      <c r="CJ183" s="8">
        <v>1</v>
      </c>
      <c r="CK183" s="8">
        <v>1</v>
      </c>
      <c r="CL183" s="8">
        <v>0</v>
      </c>
      <c r="CM183" s="9">
        <f t="shared" si="942"/>
        <v>500</v>
      </c>
      <c r="CN183" s="8">
        <v>235</v>
      </c>
      <c r="CO183" s="8">
        <v>25</v>
      </c>
      <c r="CP183" s="8">
        <v>19</v>
      </c>
      <c r="CQ183" s="8">
        <v>8</v>
      </c>
      <c r="CR183" s="9">
        <f t="shared" si="943"/>
        <v>287</v>
      </c>
      <c r="CS183" s="9">
        <f t="shared" si="944"/>
        <v>787</v>
      </c>
      <c r="CT183" s="8">
        <v>1051</v>
      </c>
      <c r="CU183" s="8">
        <v>10013</v>
      </c>
      <c r="CV183" s="8">
        <v>7445</v>
      </c>
      <c r="CW183" s="10">
        <f t="shared" si="945"/>
        <v>0.74353340657145706</v>
      </c>
      <c r="CX183" s="8">
        <v>0</v>
      </c>
      <c r="CY183" s="8">
        <v>0</v>
      </c>
      <c r="CZ183" s="8">
        <v>0</v>
      </c>
      <c r="DA183" s="8">
        <v>0</v>
      </c>
      <c r="DB183" s="9">
        <f t="shared" si="946"/>
        <v>0</v>
      </c>
      <c r="DC183" s="8">
        <v>0</v>
      </c>
      <c r="DD183" s="8">
        <v>0</v>
      </c>
      <c r="DE183" s="8">
        <v>0</v>
      </c>
      <c r="DF183" s="8">
        <v>0</v>
      </c>
      <c r="DG183" s="9">
        <f t="shared" si="947"/>
        <v>0</v>
      </c>
      <c r="DH183" s="8">
        <v>0</v>
      </c>
      <c r="DI183" s="8">
        <v>0</v>
      </c>
      <c r="DJ183" s="8">
        <v>0</v>
      </c>
      <c r="DK183" s="8">
        <v>0</v>
      </c>
      <c r="DL183" s="9">
        <f t="shared" si="948"/>
        <v>0</v>
      </c>
      <c r="DM183" s="8">
        <v>16</v>
      </c>
      <c r="DN183" s="8">
        <v>6</v>
      </c>
      <c r="DO183" s="8">
        <v>10</v>
      </c>
      <c r="DP183" s="8">
        <v>2</v>
      </c>
      <c r="DQ183" s="9">
        <f t="shared" si="949"/>
        <v>10</v>
      </c>
      <c r="DR183" s="9">
        <f t="shared" si="950"/>
        <v>16</v>
      </c>
      <c r="DS183" s="9">
        <f t="shared" si="951"/>
        <v>6</v>
      </c>
      <c r="DT183" s="9">
        <f t="shared" si="952"/>
        <v>10</v>
      </c>
      <c r="DU183" s="9">
        <f t="shared" si="953"/>
        <v>2</v>
      </c>
      <c r="DV183" s="9">
        <f t="shared" si="954"/>
        <v>10</v>
      </c>
      <c r="DW183" s="8">
        <v>6</v>
      </c>
      <c r="DX183" s="8">
        <v>6</v>
      </c>
      <c r="DY183" s="8">
        <v>6</v>
      </c>
      <c r="DZ183" s="8">
        <v>3</v>
      </c>
      <c r="EA183" s="8">
        <v>4</v>
      </c>
      <c r="EB183" s="8">
        <v>3</v>
      </c>
      <c r="EC183" s="8">
        <v>1</v>
      </c>
      <c r="ED183" s="8">
        <v>1</v>
      </c>
      <c r="EE183" s="8">
        <v>0</v>
      </c>
      <c r="EF183" s="8">
        <v>0</v>
      </c>
      <c r="EG183" s="8">
        <v>0</v>
      </c>
      <c r="EH183" s="8">
        <v>0</v>
      </c>
      <c r="EI183" s="8">
        <v>0</v>
      </c>
      <c r="EJ183" s="8">
        <v>1</v>
      </c>
      <c r="EK183" s="8">
        <v>1</v>
      </c>
      <c r="EL183" s="8">
        <v>0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8">
        <v>0</v>
      </c>
      <c r="ES183" s="8">
        <v>0</v>
      </c>
      <c r="ET183" s="8">
        <v>0</v>
      </c>
      <c r="EU183" s="8">
        <v>0</v>
      </c>
      <c r="EV183" s="8">
        <v>0</v>
      </c>
      <c r="EW183" s="8">
        <v>0</v>
      </c>
      <c r="EX183" s="8">
        <v>0</v>
      </c>
      <c r="EY183" s="8">
        <v>0</v>
      </c>
      <c r="EZ183" s="8">
        <v>0</v>
      </c>
      <c r="FA183" s="8">
        <v>0</v>
      </c>
      <c r="FB183" s="8">
        <v>0</v>
      </c>
      <c r="FC183" s="8">
        <v>0</v>
      </c>
      <c r="FD183" s="8">
        <v>0</v>
      </c>
      <c r="FE183" s="8">
        <v>0</v>
      </c>
      <c r="FF183" s="8">
        <v>0</v>
      </c>
      <c r="FG183" s="9">
        <f t="shared" si="955"/>
        <v>32</v>
      </c>
      <c r="FH183" s="8">
        <v>0</v>
      </c>
      <c r="FI183" s="8">
        <v>0</v>
      </c>
      <c r="FJ183" s="8">
        <v>24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9">
        <f t="shared" si="956"/>
        <v>0</v>
      </c>
      <c r="FR183" s="8">
        <v>4226582</v>
      </c>
      <c r="FS183" s="8">
        <v>0</v>
      </c>
      <c r="FT183" s="8">
        <v>0</v>
      </c>
      <c r="FU183" s="8">
        <v>0</v>
      </c>
      <c r="FV183" s="9">
        <f t="shared" si="957"/>
        <v>4226582</v>
      </c>
      <c r="FW183" s="8">
        <v>1148986</v>
      </c>
      <c r="FX183" s="8">
        <v>23025</v>
      </c>
      <c r="FY183" s="8">
        <v>700500</v>
      </c>
      <c r="FZ183" s="8">
        <v>531000</v>
      </c>
      <c r="GA183" s="9">
        <f t="shared" si="958"/>
        <v>2403511</v>
      </c>
      <c r="GB183" s="9">
        <f t="shared" si="959"/>
        <v>6630093</v>
      </c>
      <c r="GC183" s="8">
        <v>3839735.99</v>
      </c>
      <c r="GD183" s="8">
        <v>3839735.99</v>
      </c>
      <c r="GE183" s="8">
        <v>16397.47</v>
      </c>
      <c r="GF183" s="8">
        <v>18567.91</v>
      </c>
      <c r="GG183" s="9">
        <f t="shared" si="960"/>
        <v>7714437.3600000003</v>
      </c>
      <c r="GH183" s="8">
        <v>0</v>
      </c>
      <c r="GI183" s="8">
        <v>0</v>
      </c>
      <c r="GJ183" s="8">
        <v>0</v>
      </c>
      <c r="GK183" s="8">
        <v>0</v>
      </c>
      <c r="GL183" s="9">
        <f t="shared" si="961"/>
        <v>0</v>
      </c>
      <c r="GM183" s="9">
        <f t="shared" si="962"/>
        <v>7714437.3600000003</v>
      </c>
      <c r="GN183" s="8">
        <v>284028.31</v>
      </c>
      <c r="GO183" s="8">
        <v>284028.31</v>
      </c>
      <c r="GP183" s="8">
        <v>3393.64</v>
      </c>
      <c r="GQ183" s="8">
        <v>4637.34</v>
      </c>
      <c r="GR183" s="9">
        <f t="shared" si="963"/>
        <v>576087.6</v>
      </c>
      <c r="GS183" s="8">
        <v>444714</v>
      </c>
      <c r="GT183" s="8">
        <v>444714</v>
      </c>
      <c r="GU183" s="8">
        <v>893</v>
      </c>
      <c r="GV183" s="8">
        <v>893</v>
      </c>
      <c r="GW183" s="9">
        <f t="shared" si="964"/>
        <v>891214</v>
      </c>
      <c r="GX183" s="9">
        <f t="shared" si="965"/>
        <v>9181738.9600000009</v>
      </c>
      <c r="GY183" s="8">
        <v>33524228.940000001</v>
      </c>
      <c r="GZ183" s="8">
        <v>458783.83</v>
      </c>
      <c r="HA183" s="9">
        <f t="shared" si="966"/>
        <v>33983012.770000003</v>
      </c>
      <c r="HB183" s="9">
        <f t="shared" si="967"/>
        <v>0.81445223198765382</v>
      </c>
      <c r="HC183" s="10">
        <f t="shared" si="968"/>
        <v>0.15524980057880855</v>
      </c>
      <c r="HD183" s="9">
        <f t="shared" si="969"/>
        <v>0.72209556696000854</v>
      </c>
      <c r="HE183" s="8">
        <v>4</v>
      </c>
      <c r="HF183" s="8">
        <v>1</v>
      </c>
      <c r="HG183" s="8">
        <v>32</v>
      </c>
      <c r="HH183" s="8">
        <v>4</v>
      </c>
      <c r="HI183" s="8">
        <v>5</v>
      </c>
      <c r="HJ183" s="9">
        <f t="shared" si="970"/>
        <v>6</v>
      </c>
      <c r="HK183" s="10">
        <f t="shared" si="971"/>
        <v>1</v>
      </c>
      <c r="HL183" s="8">
        <v>12</v>
      </c>
      <c r="HM183" s="8">
        <v>4</v>
      </c>
      <c r="HN183" s="11">
        <f t="shared" si="972"/>
        <v>0.33333333333333331</v>
      </c>
    </row>
    <row r="184" spans="1:222" x14ac:dyDescent="0.3">
      <c r="A184" s="12" t="s">
        <v>280</v>
      </c>
      <c r="B184" s="12" t="s">
        <v>287</v>
      </c>
      <c r="C184" s="13" t="s">
        <v>257</v>
      </c>
      <c r="D184" s="13">
        <v>2025</v>
      </c>
      <c r="E184" s="13">
        <v>5</v>
      </c>
      <c r="F184" s="13" t="s">
        <v>260</v>
      </c>
      <c r="G184" s="13" t="s">
        <v>259</v>
      </c>
      <c r="H184" s="14">
        <v>8810</v>
      </c>
      <c r="I184" s="14">
        <v>4029</v>
      </c>
      <c r="J184" s="14">
        <v>0</v>
      </c>
      <c r="K184" s="14">
        <v>5</v>
      </c>
      <c r="L184" s="14">
        <v>5</v>
      </c>
      <c r="M184" s="15">
        <f t="shared" si="912"/>
        <v>4039</v>
      </c>
      <c r="N184" s="14">
        <v>1319</v>
      </c>
      <c r="O184" s="14">
        <v>90</v>
      </c>
      <c r="P184" s="14">
        <v>355.3</v>
      </c>
      <c r="Q184" s="14">
        <v>112</v>
      </c>
      <c r="R184" s="15">
        <f t="shared" si="913"/>
        <v>1876.3</v>
      </c>
      <c r="S184" s="15">
        <f t="shared" si="914"/>
        <v>5915.3</v>
      </c>
      <c r="T184" s="14">
        <v>2894.7</v>
      </c>
      <c r="U184" s="16">
        <f t="shared" si="915"/>
        <v>0.32856980703745742</v>
      </c>
      <c r="V184" s="14">
        <v>24</v>
      </c>
      <c r="W184" s="17">
        <f t="shared" si="916"/>
        <v>2.724177071509648E-3</v>
      </c>
      <c r="X184" s="14">
        <v>0</v>
      </c>
      <c r="Y184" s="17">
        <f t="shared" si="917"/>
        <v>0</v>
      </c>
      <c r="Z184" s="14">
        <v>0</v>
      </c>
      <c r="AA184" s="17">
        <f t="shared" si="918"/>
        <v>0</v>
      </c>
      <c r="AB184" s="14">
        <v>0</v>
      </c>
      <c r="AC184" s="17">
        <f t="shared" si="919"/>
        <v>0</v>
      </c>
      <c r="AD184" s="14">
        <v>0</v>
      </c>
      <c r="AE184" s="17">
        <f t="shared" si="920"/>
        <v>0</v>
      </c>
      <c r="AF184" s="14">
        <v>0</v>
      </c>
      <c r="AG184" s="17">
        <f t="shared" si="921"/>
        <v>0</v>
      </c>
      <c r="AH184" s="14">
        <v>122680.08</v>
      </c>
      <c r="AI184" s="15">
        <f t="shared" si="922"/>
        <v>13.925094211123723</v>
      </c>
      <c r="AJ184" s="14">
        <v>14</v>
      </c>
      <c r="AK184" s="17">
        <f t="shared" si="923"/>
        <v>1.5891032917139615E-3</v>
      </c>
      <c r="AL184" s="14">
        <v>18369.021000000001</v>
      </c>
      <c r="AM184" s="15">
        <f t="shared" si="924"/>
        <v>2.0850194097616344</v>
      </c>
      <c r="AN184" s="14">
        <v>0</v>
      </c>
      <c r="AO184" s="14">
        <v>0</v>
      </c>
      <c r="AP184" s="14">
        <v>0</v>
      </c>
      <c r="AQ184" s="14">
        <v>0</v>
      </c>
      <c r="AR184" s="14">
        <v>4684849.99</v>
      </c>
      <c r="AS184" s="14">
        <v>1537754.41</v>
      </c>
      <c r="AT184" s="14">
        <v>0</v>
      </c>
      <c r="AU184" s="15">
        <f t="shared" si="925"/>
        <v>6363653.5010000002</v>
      </c>
      <c r="AV184" s="15">
        <f t="shared" si="926"/>
        <v>722.32162326901255</v>
      </c>
      <c r="AW184" s="15">
        <f t="shared" si="927"/>
        <v>1075.7955642148327</v>
      </c>
      <c r="AX184" s="14">
        <v>5</v>
      </c>
      <c r="AY184" s="15">
        <f t="shared" si="928"/>
        <v>6.8104426787741197</v>
      </c>
      <c r="AZ184" s="14">
        <v>10</v>
      </c>
      <c r="BA184" s="14">
        <v>32</v>
      </c>
      <c r="BB184" s="14">
        <v>7</v>
      </c>
      <c r="BC184" s="14">
        <v>4</v>
      </c>
      <c r="BD184" s="14">
        <v>0</v>
      </c>
      <c r="BE184" s="15">
        <f t="shared" si="929"/>
        <v>4</v>
      </c>
      <c r="BF184" s="15">
        <f t="shared" si="930"/>
        <v>35</v>
      </c>
      <c r="BG184" s="14">
        <v>0</v>
      </c>
      <c r="BH184" s="14">
        <v>0</v>
      </c>
      <c r="BI184" s="14">
        <v>0</v>
      </c>
      <c r="BJ184" s="14">
        <v>0</v>
      </c>
      <c r="BK184" s="15">
        <f t="shared" si="931"/>
        <v>0</v>
      </c>
      <c r="BL184" s="15">
        <f t="shared" si="932"/>
        <v>0</v>
      </c>
      <c r="BM184" s="14">
        <v>0</v>
      </c>
      <c r="BN184" s="14">
        <v>0</v>
      </c>
      <c r="BO184" s="14">
        <v>0</v>
      </c>
      <c r="BP184" s="14">
        <v>0</v>
      </c>
      <c r="BQ184" s="15">
        <f t="shared" si="933"/>
        <v>0</v>
      </c>
      <c r="BR184" s="15">
        <f t="shared" si="934"/>
        <v>0</v>
      </c>
      <c r="BS184" s="14">
        <v>0</v>
      </c>
      <c r="BT184" s="14">
        <v>0</v>
      </c>
      <c r="BU184" s="14">
        <v>0</v>
      </c>
      <c r="BV184" s="14">
        <v>0</v>
      </c>
      <c r="BW184" s="15">
        <f t="shared" si="935"/>
        <v>0</v>
      </c>
      <c r="BX184" s="15">
        <f t="shared" si="936"/>
        <v>0</v>
      </c>
      <c r="BY184" s="15">
        <f t="shared" si="937"/>
        <v>32</v>
      </c>
      <c r="BZ184" s="15">
        <f t="shared" si="938"/>
        <v>7</v>
      </c>
      <c r="CA184" s="15">
        <f t="shared" si="939"/>
        <v>4</v>
      </c>
      <c r="CB184" s="15">
        <f t="shared" si="940"/>
        <v>35</v>
      </c>
      <c r="CC184" s="14">
        <v>16</v>
      </c>
      <c r="CD184" s="14">
        <v>224</v>
      </c>
      <c r="CE184" s="14">
        <v>14</v>
      </c>
      <c r="CF184" s="14">
        <v>25</v>
      </c>
      <c r="CG184" s="14">
        <v>0</v>
      </c>
      <c r="CH184" s="15">
        <f t="shared" si="941"/>
        <v>263</v>
      </c>
      <c r="CI184" s="14">
        <v>485</v>
      </c>
      <c r="CJ184" s="14">
        <v>1</v>
      </c>
      <c r="CK184" s="14">
        <v>1</v>
      </c>
      <c r="CL184" s="14">
        <v>0</v>
      </c>
      <c r="CM184" s="15">
        <f t="shared" si="942"/>
        <v>487</v>
      </c>
      <c r="CN184" s="14">
        <v>263</v>
      </c>
      <c r="CO184" s="14">
        <v>26</v>
      </c>
      <c r="CP184" s="14">
        <v>23</v>
      </c>
      <c r="CQ184" s="14">
        <v>8</v>
      </c>
      <c r="CR184" s="15">
        <f t="shared" si="943"/>
        <v>320</v>
      </c>
      <c r="CS184" s="15">
        <f t="shared" si="944"/>
        <v>807</v>
      </c>
      <c r="CT184" s="14">
        <v>1070</v>
      </c>
      <c r="CU184" s="14">
        <v>10013</v>
      </c>
      <c r="CV184" s="14">
        <v>7460</v>
      </c>
      <c r="CW184" s="16">
        <f t="shared" si="945"/>
        <v>0.74503145910316593</v>
      </c>
      <c r="CX184" s="14">
        <v>0</v>
      </c>
      <c r="CY184" s="14">
        <v>0</v>
      </c>
      <c r="CZ184" s="14">
        <v>0</v>
      </c>
      <c r="DA184" s="14">
        <v>0</v>
      </c>
      <c r="DB184" s="15">
        <f t="shared" si="946"/>
        <v>0</v>
      </c>
      <c r="DC184" s="14">
        <v>0</v>
      </c>
      <c r="DD184" s="14">
        <v>0</v>
      </c>
      <c r="DE184" s="14">
        <v>0</v>
      </c>
      <c r="DF184" s="14">
        <v>0</v>
      </c>
      <c r="DG184" s="15">
        <f t="shared" si="947"/>
        <v>0</v>
      </c>
      <c r="DH184" s="14">
        <v>0</v>
      </c>
      <c r="DI184" s="14">
        <v>0</v>
      </c>
      <c r="DJ184" s="14">
        <v>0</v>
      </c>
      <c r="DK184" s="14">
        <v>0</v>
      </c>
      <c r="DL184" s="15">
        <f t="shared" si="948"/>
        <v>0</v>
      </c>
      <c r="DM184" s="14">
        <v>10</v>
      </c>
      <c r="DN184" s="14">
        <v>5</v>
      </c>
      <c r="DO184" s="14">
        <v>3</v>
      </c>
      <c r="DP184" s="14">
        <v>6</v>
      </c>
      <c r="DQ184" s="15">
        <f t="shared" si="949"/>
        <v>6</v>
      </c>
      <c r="DR184" s="15">
        <f t="shared" si="950"/>
        <v>10</v>
      </c>
      <c r="DS184" s="15">
        <f t="shared" si="951"/>
        <v>5</v>
      </c>
      <c r="DT184" s="15">
        <f t="shared" si="952"/>
        <v>3</v>
      </c>
      <c r="DU184" s="15">
        <f t="shared" si="953"/>
        <v>6</v>
      </c>
      <c r="DV184" s="15">
        <f t="shared" si="954"/>
        <v>6</v>
      </c>
      <c r="DW184" s="14">
        <v>6</v>
      </c>
      <c r="DX184" s="14">
        <v>6</v>
      </c>
      <c r="DY184" s="14">
        <v>8</v>
      </c>
      <c r="DZ184" s="14">
        <v>3</v>
      </c>
      <c r="EA184" s="14">
        <v>3</v>
      </c>
      <c r="EB184" s="14">
        <v>2</v>
      </c>
      <c r="EC184" s="14">
        <v>1</v>
      </c>
      <c r="ED184" s="14">
        <v>1</v>
      </c>
      <c r="EE184" s="14">
        <v>0</v>
      </c>
      <c r="EF184" s="14">
        <v>0</v>
      </c>
      <c r="EG184" s="14">
        <v>0</v>
      </c>
      <c r="EH184" s="14">
        <v>0</v>
      </c>
      <c r="EI184" s="14">
        <v>0</v>
      </c>
      <c r="EJ184" s="14">
        <v>1</v>
      </c>
      <c r="EK184" s="14">
        <v>1</v>
      </c>
      <c r="EL184" s="14">
        <v>0</v>
      </c>
      <c r="EM184" s="14">
        <v>0</v>
      </c>
      <c r="EN184" s="14">
        <v>0</v>
      </c>
      <c r="EO184" s="14">
        <v>0</v>
      </c>
      <c r="EP184" s="14">
        <v>0</v>
      </c>
      <c r="EQ184" s="14">
        <v>0</v>
      </c>
      <c r="ER184" s="14">
        <v>0</v>
      </c>
      <c r="ES184" s="14">
        <v>0</v>
      </c>
      <c r="ET184" s="14">
        <v>0</v>
      </c>
      <c r="EU184" s="14">
        <v>0</v>
      </c>
      <c r="EV184" s="14">
        <v>0</v>
      </c>
      <c r="EW184" s="14">
        <v>0</v>
      </c>
      <c r="EX184" s="14">
        <v>0</v>
      </c>
      <c r="EY184" s="14">
        <v>0</v>
      </c>
      <c r="EZ184" s="14">
        <v>0</v>
      </c>
      <c r="FA184" s="14">
        <v>0</v>
      </c>
      <c r="FB184" s="14">
        <v>0</v>
      </c>
      <c r="FC184" s="14">
        <v>0</v>
      </c>
      <c r="FD184" s="14">
        <v>0</v>
      </c>
      <c r="FE184" s="14">
        <v>0</v>
      </c>
      <c r="FF184" s="14">
        <v>0</v>
      </c>
      <c r="FG184" s="15">
        <f t="shared" si="955"/>
        <v>32</v>
      </c>
      <c r="FH184" s="14">
        <v>0</v>
      </c>
      <c r="FI184" s="14">
        <v>0</v>
      </c>
      <c r="FJ184" s="14">
        <v>24</v>
      </c>
      <c r="FK184" s="14">
        <v>0</v>
      </c>
      <c r="FL184" s="14">
        <v>0</v>
      </c>
      <c r="FM184" s="14">
        <v>0</v>
      </c>
      <c r="FN184" s="14">
        <v>0</v>
      </c>
      <c r="FO184" s="14">
        <v>0</v>
      </c>
      <c r="FP184" s="14">
        <v>0</v>
      </c>
      <c r="FQ184" s="15">
        <f t="shared" si="956"/>
        <v>0</v>
      </c>
      <c r="FR184" s="14">
        <v>4588876.3899999997</v>
      </c>
      <c r="FS184" s="14">
        <v>0</v>
      </c>
      <c r="FT184" s="14">
        <v>0</v>
      </c>
      <c r="FU184" s="14">
        <v>0</v>
      </c>
      <c r="FV184" s="15">
        <f t="shared" si="957"/>
        <v>4588876.3899999997</v>
      </c>
      <c r="FW184" s="14">
        <v>1751274.84</v>
      </c>
      <c r="FX184" s="14">
        <v>19365.55</v>
      </c>
      <c r="FY184" s="14">
        <v>531100</v>
      </c>
      <c r="FZ184" s="14">
        <v>2303000.2599999998</v>
      </c>
      <c r="GA184" s="15">
        <f t="shared" si="958"/>
        <v>4604740.6500000004</v>
      </c>
      <c r="GB184" s="15">
        <f t="shared" si="959"/>
        <v>9193617.0399999991</v>
      </c>
      <c r="GC184" s="14">
        <v>3580971.59</v>
      </c>
      <c r="GD184" s="14">
        <v>3580971.59</v>
      </c>
      <c r="GE184" s="14">
        <v>11073.15</v>
      </c>
      <c r="GF184" s="14">
        <v>11796.63</v>
      </c>
      <c r="GG184" s="15">
        <f t="shared" si="960"/>
        <v>7184812.96</v>
      </c>
      <c r="GH184" s="14">
        <v>0</v>
      </c>
      <c r="GI184" s="14">
        <v>0</v>
      </c>
      <c r="GJ184" s="14">
        <v>0</v>
      </c>
      <c r="GK184" s="14">
        <v>0</v>
      </c>
      <c r="GL184" s="15">
        <f t="shared" si="961"/>
        <v>0</v>
      </c>
      <c r="GM184" s="15">
        <f t="shared" si="962"/>
        <v>7184812.96</v>
      </c>
      <c r="GN184" s="14">
        <v>277169.08</v>
      </c>
      <c r="GO184" s="14">
        <v>277169.08</v>
      </c>
      <c r="GP184" s="14">
        <v>3393.64</v>
      </c>
      <c r="GQ184" s="14">
        <v>4637.34</v>
      </c>
      <c r="GR184" s="15">
        <f t="shared" si="963"/>
        <v>562369.14</v>
      </c>
      <c r="GS184" s="14">
        <v>433105</v>
      </c>
      <c r="GT184" s="14">
        <v>433105</v>
      </c>
      <c r="GU184" s="14">
        <v>893</v>
      </c>
      <c r="GV184" s="14">
        <v>893</v>
      </c>
      <c r="GW184" s="15">
        <f t="shared" si="964"/>
        <v>867996</v>
      </c>
      <c r="GX184" s="15">
        <f t="shared" si="965"/>
        <v>8615178.0999999996</v>
      </c>
      <c r="GY184" s="14">
        <v>32238010.899999999</v>
      </c>
      <c r="GZ184" s="14">
        <v>458783.83</v>
      </c>
      <c r="HA184" s="15">
        <f t="shared" si="966"/>
        <v>32696794.729999997</v>
      </c>
      <c r="HB184" s="15">
        <f t="shared" si="967"/>
        <v>0.73865605877608043</v>
      </c>
      <c r="HC184" s="16">
        <f t="shared" si="968"/>
        <v>0.22504037665211396</v>
      </c>
      <c r="HD184" s="15">
        <f t="shared" si="969"/>
        <v>1.067141843533101</v>
      </c>
      <c r="HE184" s="14">
        <v>7</v>
      </c>
      <c r="HF184" s="14">
        <v>1</v>
      </c>
      <c r="HG184" s="14">
        <v>35</v>
      </c>
      <c r="HH184" s="14">
        <v>7</v>
      </c>
      <c r="HI184" s="14">
        <v>5</v>
      </c>
      <c r="HJ184" s="15">
        <f t="shared" si="970"/>
        <v>6</v>
      </c>
      <c r="HK184" s="16">
        <f t="shared" si="971"/>
        <v>1</v>
      </c>
      <c r="HL184" s="14">
        <v>10</v>
      </c>
      <c r="HM184" s="14">
        <v>3</v>
      </c>
      <c r="HN184" s="17">
        <f t="shared" si="972"/>
        <v>0.3</v>
      </c>
    </row>
    <row r="185" spans="1:222" x14ac:dyDescent="0.3">
      <c r="A185" s="6" t="s">
        <v>280</v>
      </c>
      <c r="B185" s="6" t="s">
        <v>287</v>
      </c>
      <c r="C185" s="7" t="s">
        <v>257</v>
      </c>
      <c r="D185" s="7">
        <v>2025</v>
      </c>
      <c r="E185" s="7">
        <v>6</v>
      </c>
      <c r="F185" s="7" t="s">
        <v>261</v>
      </c>
      <c r="G185" s="7" t="s">
        <v>259</v>
      </c>
      <c r="H185" s="8">
        <v>9081</v>
      </c>
      <c r="I185" s="8">
        <v>4267</v>
      </c>
      <c r="J185" s="8">
        <v>0</v>
      </c>
      <c r="K185" s="8">
        <v>4</v>
      </c>
      <c r="L185" s="8">
        <v>4</v>
      </c>
      <c r="M185" s="9">
        <f t="shared" si="912"/>
        <v>4275</v>
      </c>
      <c r="N185" s="8">
        <v>1194</v>
      </c>
      <c r="O185" s="8">
        <v>101</v>
      </c>
      <c r="P185" s="8">
        <v>424</v>
      </c>
      <c r="Q185" s="8">
        <v>93</v>
      </c>
      <c r="R185" s="9">
        <f t="shared" si="913"/>
        <v>1812</v>
      </c>
      <c r="S185" s="9">
        <f t="shared" si="914"/>
        <v>6087</v>
      </c>
      <c r="T185" s="8">
        <v>2994</v>
      </c>
      <c r="U185" s="10">
        <f t="shared" si="915"/>
        <v>0.32969937231582425</v>
      </c>
      <c r="V185" s="8">
        <v>24</v>
      </c>
      <c r="W185" s="11">
        <f t="shared" si="916"/>
        <v>2.642880740006607E-3</v>
      </c>
      <c r="X185" s="8">
        <v>0</v>
      </c>
      <c r="Y185" s="11">
        <f t="shared" si="917"/>
        <v>0</v>
      </c>
      <c r="Z185" s="8">
        <v>0</v>
      </c>
      <c r="AA185" s="11">
        <f t="shared" si="918"/>
        <v>0</v>
      </c>
      <c r="AB185" s="8">
        <v>0</v>
      </c>
      <c r="AC185" s="11">
        <f t="shared" si="919"/>
        <v>0</v>
      </c>
      <c r="AD185" s="8">
        <v>0</v>
      </c>
      <c r="AE185" s="11">
        <f t="shared" si="920"/>
        <v>0</v>
      </c>
      <c r="AF185" s="8">
        <v>0</v>
      </c>
      <c r="AG185" s="11">
        <f t="shared" si="921"/>
        <v>0</v>
      </c>
      <c r="AH185" s="8">
        <v>122680.08</v>
      </c>
      <c r="AI185" s="9">
        <f t="shared" si="922"/>
        <v>13.509534192269575</v>
      </c>
      <c r="AJ185" s="8">
        <v>18</v>
      </c>
      <c r="AK185" s="11">
        <f t="shared" si="923"/>
        <v>1.9821605550049554E-3</v>
      </c>
      <c r="AL185" s="8">
        <v>18924.026999999998</v>
      </c>
      <c r="AM185" s="9">
        <f t="shared" si="924"/>
        <v>2.083914436736042</v>
      </c>
      <c r="AN185" s="8">
        <v>0</v>
      </c>
      <c r="AO185" s="8">
        <v>0</v>
      </c>
      <c r="AP185" s="8">
        <v>0</v>
      </c>
      <c r="AQ185" s="8">
        <v>0</v>
      </c>
      <c r="AR185" s="8">
        <v>5026425.5999999996</v>
      </c>
      <c r="AS185" s="8">
        <v>2008813.68</v>
      </c>
      <c r="AT185" s="8">
        <v>0</v>
      </c>
      <c r="AU185" s="9">
        <f t="shared" si="925"/>
        <v>7176843.3869999992</v>
      </c>
      <c r="AV185" s="9">
        <f t="shared" si="926"/>
        <v>790.31421506442018</v>
      </c>
      <c r="AW185" s="9">
        <f t="shared" si="927"/>
        <v>1179.0444204041398</v>
      </c>
      <c r="AX185" s="8">
        <v>5</v>
      </c>
      <c r="AY185" s="9">
        <f t="shared" si="928"/>
        <v>6.6072018500165184</v>
      </c>
      <c r="AZ185" s="8">
        <v>10</v>
      </c>
      <c r="BA185" s="8">
        <v>35</v>
      </c>
      <c r="BB185" s="8">
        <v>7</v>
      </c>
      <c r="BC185" s="8">
        <v>0</v>
      </c>
      <c r="BD185" s="8">
        <v>0</v>
      </c>
      <c r="BE185" s="9">
        <f t="shared" si="929"/>
        <v>0</v>
      </c>
      <c r="BF185" s="9">
        <f t="shared" si="930"/>
        <v>42</v>
      </c>
      <c r="BG185" s="8">
        <v>0</v>
      </c>
      <c r="BH185" s="8">
        <v>0</v>
      </c>
      <c r="BI185" s="8">
        <v>0</v>
      </c>
      <c r="BJ185" s="8">
        <v>0</v>
      </c>
      <c r="BK185" s="9">
        <f t="shared" si="931"/>
        <v>0</v>
      </c>
      <c r="BL185" s="9">
        <f t="shared" si="932"/>
        <v>0</v>
      </c>
      <c r="BM185" s="8">
        <v>0</v>
      </c>
      <c r="BN185" s="8">
        <v>0</v>
      </c>
      <c r="BO185" s="8">
        <v>0</v>
      </c>
      <c r="BP185" s="8">
        <v>0</v>
      </c>
      <c r="BQ185" s="9">
        <f t="shared" si="933"/>
        <v>0</v>
      </c>
      <c r="BR185" s="9">
        <f t="shared" si="934"/>
        <v>0</v>
      </c>
      <c r="BS185" s="8">
        <v>0</v>
      </c>
      <c r="BT185" s="8">
        <v>0</v>
      </c>
      <c r="BU185" s="8">
        <v>0</v>
      </c>
      <c r="BV185" s="8">
        <v>0</v>
      </c>
      <c r="BW185" s="9">
        <f t="shared" si="935"/>
        <v>0</v>
      </c>
      <c r="BX185" s="9">
        <f t="shared" si="936"/>
        <v>0</v>
      </c>
      <c r="BY185" s="9">
        <f t="shared" si="937"/>
        <v>35</v>
      </c>
      <c r="BZ185" s="9">
        <f t="shared" si="938"/>
        <v>7</v>
      </c>
      <c r="CA185" s="9">
        <f t="shared" si="939"/>
        <v>0</v>
      </c>
      <c r="CB185" s="9">
        <f t="shared" si="940"/>
        <v>42</v>
      </c>
      <c r="CC185" s="8">
        <v>11</v>
      </c>
      <c r="CD185" s="8">
        <v>228</v>
      </c>
      <c r="CE185" s="8">
        <v>14</v>
      </c>
      <c r="CF185" s="8">
        <v>25</v>
      </c>
      <c r="CG185" s="8">
        <v>0</v>
      </c>
      <c r="CH185" s="9">
        <f t="shared" si="941"/>
        <v>267</v>
      </c>
      <c r="CI185" s="8">
        <v>481</v>
      </c>
      <c r="CJ185" s="8">
        <v>1</v>
      </c>
      <c r="CK185" s="8">
        <v>1</v>
      </c>
      <c r="CL185" s="8">
        <v>0</v>
      </c>
      <c r="CM185" s="9">
        <f t="shared" si="942"/>
        <v>483</v>
      </c>
      <c r="CN185" s="8">
        <v>263</v>
      </c>
      <c r="CO185" s="8">
        <v>25</v>
      </c>
      <c r="CP185" s="8">
        <v>23</v>
      </c>
      <c r="CQ185" s="8">
        <v>8</v>
      </c>
      <c r="CR185" s="9">
        <f t="shared" si="943"/>
        <v>319</v>
      </c>
      <c r="CS185" s="9">
        <f t="shared" si="944"/>
        <v>802</v>
      </c>
      <c r="CT185" s="8">
        <v>1069</v>
      </c>
      <c r="CU185" s="8">
        <v>10013</v>
      </c>
      <c r="CV185" s="8">
        <v>7460</v>
      </c>
      <c r="CW185" s="10">
        <f t="shared" si="945"/>
        <v>0.74503145910316593</v>
      </c>
      <c r="CX185" s="8">
        <v>0</v>
      </c>
      <c r="CY185" s="8">
        <v>0</v>
      </c>
      <c r="CZ185" s="8">
        <v>0</v>
      </c>
      <c r="DA185" s="8">
        <v>0</v>
      </c>
      <c r="DB185" s="9">
        <f t="shared" si="946"/>
        <v>0</v>
      </c>
      <c r="DC185" s="8">
        <v>0</v>
      </c>
      <c r="DD185" s="8">
        <v>0</v>
      </c>
      <c r="DE185" s="8">
        <v>0</v>
      </c>
      <c r="DF185" s="8">
        <v>0</v>
      </c>
      <c r="DG185" s="9">
        <f t="shared" si="947"/>
        <v>0</v>
      </c>
      <c r="DH185" s="8">
        <v>0</v>
      </c>
      <c r="DI185" s="8">
        <v>0</v>
      </c>
      <c r="DJ185" s="8">
        <v>0</v>
      </c>
      <c r="DK185" s="8">
        <v>0</v>
      </c>
      <c r="DL185" s="9">
        <f t="shared" si="948"/>
        <v>0</v>
      </c>
      <c r="DM185" s="8">
        <v>6</v>
      </c>
      <c r="DN185" s="8">
        <v>1</v>
      </c>
      <c r="DO185" s="8">
        <v>2</v>
      </c>
      <c r="DP185" s="8">
        <v>2</v>
      </c>
      <c r="DQ185" s="9">
        <f t="shared" si="949"/>
        <v>3</v>
      </c>
      <c r="DR185" s="9">
        <f t="shared" si="950"/>
        <v>6</v>
      </c>
      <c r="DS185" s="9">
        <f t="shared" si="951"/>
        <v>1</v>
      </c>
      <c r="DT185" s="9">
        <f t="shared" si="952"/>
        <v>2</v>
      </c>
      <c r="DU185" s="9">
        <f t="shared" si="953"/>
        <v>2</v>
      </c>
      <c r="DV185" s="9">
        <f t="shared" si="954"/>
        <v>3</v>
      </c>
      <c r="DW185" s="8">
        <v>5</v>
      </c>
      <c r="DX185" s="8">
        <v>5</v>
      </c>
      <c r="DY185" s="8">
        <v>5</v>
      </c>
      <c r="DZ185" s="8">
        <v>2</v>
      </c>
      <c r="EA185" s="8">
        <v>3</v>
      </c>
      <c r="EB185" s="8">
        <v>2</v>
      </c>
      <c r="EC185" s="8">
        <v>1</v>
      </c>
      <c r="ED185" s="8">
        <v>0</v>
      </c>
      <c r="EE185" s="8">
        <v>2</v>
      </c>
      <c r="EF185" s="8">
        <v>0</v>
      </c>
      <c r="EG185" s="8">
        <v>0</v>
      </c>
      <c r="EH185" s="8">
        <v>0</v>
      </c>
      <c r="EI185" s="8">
        <v>0</v>
      </c>
      <c r="EJ185" s="8">
        <v>0</v>
      </c>
      <c r="EK185" s="8">
        <v>0</v>
      </c>
      <c r="EL185" s="8">
        <v>0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8">
        <v>0</v>
      </c>
      <c r="ES185" s="8">
        <v>0</v>
      </c>
      <c r="ET185" s="8">
        <v>0</v>
      </c>
      <c r="EU185" s="8">
        <v>0</v>
      </c>
      <c r="EV185" s="8">
        <v>0</v>
      </c>
      <c r="EW185" s="8">
        <v>0</v>
      </c>
      <c r="EX185" s="8">
        <v>0</v>
      </c>
      <c r="EY185" s="8">
        <v>0</v>
      </c>
      <c r="EZ185" s="8">
        <v>0</v>
      </c>
      <c r="FA185" s="8">
        <v>0</v>
      </c>
      <c r="FB185" s="8">
        <v>0</v>
      </c>
      <c r="FC185" s="8">
        <v>0</v>
      </c>
      <c r="FD185" s="8">
        <v>0</v>
      </c>
      <c r="FE185" s="8">
        <v>0</v>
      </c>
      <c r="FF185" s="8">
        <v>0</v>
      </c>
      <c r="FG185" s="9">
        <f t="shared" si="955"/>
        <v>25</v>
      </c>
      <c r="FH185" s="8">
        <v>0</v>
      </c>
      <c r="FI185" s="8">
        <v>0</v>
      </c>
      <c r="FJ185" s="8">
        <v>24</v>
      </c>
      <c r="FK185" s="8">
        <v>0</v>
      </c>
      <c r="FL185" s="8">
        <v>0</v>
      </c>
      <c r="FM185" s="8">
        <v>0</v>
      </c>
      <c r="FN185" s="8">
        <v>0</v>
      </c>
      <c r="FO185" s="8">
        <v>0</v>
      </c>
      <c r="FP185" s="8">
        <v>0</v>
      </c>
      <c r="FQ185" s="9">
        <f t="shared" si="956"/>
        <v>0</v>
      </c>
      <c r="FR185" s="8">
        <v>3819445.22</v>
      </c>
      <c r="FS185" s="8">
        <v>0</v>
      </c>
      <c r="FT185" s="8">
        <v>0</v>
      </c>
      <c r="FU185" s="8">
        <v>0</v>
      </c>
      <c r="FV185" s="9">
        <f t="shared" si="957"/>
        <v>3819445.22</v>
      </c>
      <c r="FW185" s="8">
        <v>1579526.3</v>
      </c>
      <c r="FX185" s="8">
        <v>23288</v>
      </c>
      <c r="FY185" s="8">
        <v>440900</v>
      </c>
      <c r="FZ185" s="8">
        <v>2798202</v>
      </c>
      <c r="GA185" s="9">
        <f t="shared" si="958"/>
        <v>4841916.3</v>
      </c>
      <c r="GB185" s="9">
        <f t="shared" si="959"/>
        <v>8661361.5199999996</v>
      </c>
      <c r="GC185" s="8">
        <v>3729537.53</v>
      </c>
      <c r="GD185" s="8">
        <v>3729537.53</v>
      </c>
      <c r="GE185" s="8">
        <v>8410.99</v>
      </c>
      <c r="GF185" s="8">
        <v>8410.99</v>
      </c>
      <c r="GG185" s="9">
        <f t="shared" si="960"/>
        <v>7475897.04</v>
      </c>
      <c r="GH185" s="8">
        <v>0</v>
      </c>
      <c r="GI185" s="8">
        <v>0</v>
      </c>
      <c r="GJ185" s="8">
        <v>0</v>
      </c>
      <c r="GK185" s="8">
        <v>0</v>
      </c>
      <c r="GL185" s="9">
        <f t="shared" si="961"/>
        <v>0</v>
      </c>
      <c r="GM185" s="9">
        <f t="shared" si="962"/>
        <v>7475897.04</v>
      </c>
      <c r="GN185" s="8">
        <v>274539.64</v>
      </c>
      <c r="GO185" s="8">
        <v>274539.64</v>
      </c>
      <c r="GP185" s="8">
        <v>3393.64</v>
      </c>
      <c r="GQ185" s="8">
        <v>4637.34</v>
      </c>
      <c r="GR185" s="9">
        <f t="shared" si="963"/>
        <v>557110.26</v>
      </c>
      <c r="GS185" s="8">
        <v>429533</v>
      </c>
      <c r="GT185" s="8">
        <v>429533</v>
      </c>
      <c r="GU185" s="8">
        <v>893</v>
      </c>
      <c r="GV185" s="8">
        <v>893</v>
      </c>
      <c r="GW185" s="9">
        <f t="shared" si="964"/>
        <v>860852</v>
      </c>
      <c r="GX185" s="9">
        <f t="shared" si="965"/>
        <v>8893859.3000000007</v>
      </c>
      <c r="GY185" s="8">
        <v>32709264.809999999</v>
      </c>
      <c r="GZ185" s="8">
        <v>458783.83</v>
      </c>
      <c r="HA185" s="9">
        <f t="shared" si="966"/>
        <v>33168048.639999997</v>
      </c>
      <c r="HB185" s="9">
        <f t="shared" si="967"/>
        <v>0.80694366134170781</v>
      </c>
      <c r="HC185" s="10">
        <f t="shared" si="968"/>
        <v>0.2081901709376219</v>
      </c>
      <c r="HD185" s="9">
        <f t="shared" si="969"/>
        <v>0.97385861725966349</v>
      </c>
      <c r="HE185" s="8">
        <v>7</v>
      </c>
      <c r="HF185" s="8">
        <v>1</v>
      </c>
      <c r="HG185" s="8">
        <v>42</v>
      </c>
      <c r="HH185" s="8">
        <v>7</v>
      </c>
      <c r="HI185" s="8">
        <v>5</v>
      </c>
      <c r="HJ185" s="9">
        <f t="shared" si="970"/>
        <v>6</v>
      </c>
      <c r="HK185" s="10">
        <f t="shared" si="971"/>
        <v>1</v>
      </c>
      <c r="HL185" s="8">
        <v>5</v>
      </c>
      <c r="HM185" s="8">
        <v>1</v>
      </c>
      <c r="HN185" s="11">
        <f t="shared" si="972"/>
        <v>0.2</v>
      </c>
    </row>
    <row r="186" spans="1:222" x14ac:dyDescent="0.3">
      <c r="A186" s="12" t="s">
        <v>280</v>
      </c>
      <c r="B186" s="12" t="s">
        <v>287</v>
      </c>
      <c r="C186" s="13" t="s">
        <v>257</v>
      </c>
      <c r="D186" s="13">
        <v>2025</v>
      </c>
      <c r="E186" s="13">
        <v>7</v>
      </c>
      <c r="F186" s="13" t="s">
        <v>262</v>
      </c>
      <c r="G186" s="13" t="s">
        <v>263</v>
      </c>
      <c r="H186" s="14">
        <v>8315</v>
      </c>
      <c r="I186" s="14">
        <v>3096</v>
      </c>
      <c r="J186" s="14">
        <v>0</v>
      </c>
      <c r="K186" s="14">
        <v>0</v>
      </c>
      <c r="L186" s="14">
        <v>13</v>
      </c>
      <c r="M186" s="15">
        <f t="shared" si="912"/>
        <v>3109</v>
      </c>
      <c r="N186" s="14">
        <v>1344</v>
      </c>
      <c r="O186" s="14">
        <v>120</v>
      </c>
      <c r="P186" s="14">
        <v>729</v>
      </c>
      <c r="Q186" s="14">
        <v>115</v>
      </c>
      <c r="R186" s="15">
        <f t="shared" si="913"/>
        <v>2308</v>
      </c>
      <c r="S186" s="15">
        <f t="shared" si="914"/>
        <v>5417</v>
      </c>
      <c r="T186" s="14">
        <v>2898</v>
      </c>
      <c r="U186" s="16">
        <f t="shared" si="915"/>
        <v>0.34852675886951295</v>
      </c>
      <c r="V186" s="14">
        <v>24</v>
      </c>
      <c r="W186" s="17">
        <f t="shared" si="916"/>
        <v>2.8863499699338544E-3</v>
      </c>
      <c r="X186" s="14">
        <v>0</v>
      </c>
      <c r="Y186" s="17">
        <f t="shared" si="917"/>
        <v>0</v>
      </c>
      <c r="Z186" s="14">
        <v>0</v>
      </c>
      <c r="AA186" s="17">
        <f t="shared" si="918"/>
        <v>0</v>
      </c>
      <c r="AB186" s="14">
        <v>0</v>
      </c>
      <c r="AC186" s="17">
        <f t="shared" si="919"/>
        <v>0</v>
      </c>
      <c r="AD186" s="14">
        <v>0</v>
      </c>
      <c r="AE186" s="17">
        <f t="shared" si="920"/>
        <v>0</v>
      </c>
      <c r="AF186" s="14">
        <v>0</v>
      </c>
      <c r="AG186" s="17">
        <f t="shared" si="921"/>
        <v>0</v>
      </c>
      <c r="AH186" s="14">
        <v>122680.08</v>
      </c>
      <c r="AI186" s="15">
        <f t="shared" si="922"/>
        <v>14.754068550811786</v>
      </c>
      <c r="AJ186" s="14">
        <v>20</v>
      </c>
      <c r="AK186" s="17">
        <f t="shared" si="923"/>
        <v>2.4052916416115455E-3</v>
      </c>
      <c r="AL186" s="14">
        <v>19201.53</v>
      </c>
      <c r="AM186" s="15">
        <f t="shared" si="924"/>
        <v>2.3092639807576667</v>
      </c>
      <c r="AN186" s="14">
        <v>0</v>
      </c>
      <c r="AO186" s="14">
        <v>0</v>
      </c>
      <c r="AP186" s="14">
        <v>0</v>
      </c>
      <c r="AQ186" s="14">
        <v>0</v>
      </c>
      <c r="AR186" s="14">
        <v>4661227.53</v>
      </c>
      <c r="AS186" s="14">
        <v>1916998.12</v>
      </c>
      <c r="AT186" s="14">
        <v>2178357</v>
      </c>
      <c r="AU186" s="15">
        <f t="shared" si="925"/>
        <v>8898464.2600000016</v>
      </c>
      <c r="AV186" s="15">
        <f t="shared" si="926"/>
        <v>1070.1700853878535</v>
      </c>
      <c r="AW186" s="15">
        <f t="shared" si="927"/>
        <v>1642.6923130884256</v>
      </c>
      <c r="AX186" s="14">
        <v>5</v>
      </c>
      <c r="AY186" s="15">
        <f t="shared" si="928"/>
        <v>7.2158749248346368</v>
      </c>
      <c r="AZ186" s="14">
        <v>10</v>
      </c>
      <c r="BA186" s="14">
        <v>42</v>
      </c>
      <c r="BB186" s="14">
        <v>3</v>
      </c>
      <c r="BC186" s="14">
        <v>0</v>
      </c>
      <c r="BD186" s="14">
        <v>0</v>
      </c>
      <c r="BE186" s="15">
        <f t="shared" si="929"/>
        <v>0</v>
      </c>
      <c r="BF186" s="15">
        <f t="shared" si="930"/>
        <v>45</v>
      </c>
      <c r="BG186" s="14">
        <v>0</v>
      </c>
      <c r="BH186" s="14">
        <v>0</v>
      </c>
      <c r="BI186" s="14">
        <v>0</v>
      </c>
      <c r="BJ186" s="14">
        <v>0</v>
      </c>
      <c r="BK186" s="15">
        <f t="shared" si="931"/>
        <v>0</v>
      </c>
      <c r="BL186" s="15">
        <f t="shared" si="932"/>
        <v>0</v>
      </c>
      <c r="BM186" s="14">
        <v>0</v>
      </c>
      <c r="BN186" s="14">
        <v>0</v>
      </c>
      <c r="BO186" s="14">
        <v>0</v>
      </c>
      <c r="BP186" s="14">
        <v>0</v>
      </c>
      <c r="BQ186" s="15">
        <f t="shared" si="933"/>
        <v>0</v>
      </c>
      <c r="BR186" s="15">
        <f t="shared" si="934"/>
        <v>0</v>
      </c>
      <c r="BS186" s="14">
        <v>0</v>
      </c>
      <c r="BT186" s="14">
        <v>0</v>
      </c>
      <c r="BU186" s="14">
        <v>0</v>
      </c>
      <c r="BV186" s="14">
        <v>0</v>
      </c>
      <c r="BW186" s="15">
        <f t="shared" si="935"/>
        <v>0</v>
      </c>
      <c r="BX186" s="15">
        <f t="shared" si="936"/>
        <v>0</v>
      </c>
      <c r="BY186" s="15">
        <f t="shared" si="937"/>
        <v>42</v>
      </c>
      <c r="BZ186" s="15">
        <f t="shared" si="938"/>
        <v>3</v>
      </c>
      <c r="CA186" s="15">
        <f t="shared" si="939"/>
        <v>0</v>
      </c>
      <c r="CB186" s="15">
        <f t="shared" si="940"/>
        <v>45</v>
      </c>
      <c r="CC186" s="14">
        <v>0</v>
      </c>
      <c r="CD186" s="14">
        <v>320</v>
      </c>
      <c r="CE186" s="14">
        <v>14</v>
      </c>
      <c r="CF186" s="14">
        <v>25</v>
      </c>
      <c r="CG186" s="14">
        <v>0</v>
      </c>
      <c r="CH186" s="15">
        <f t="shared" si="941"/>
        <v>359</v>
      </c>
      <c r="CI186" s="14">
        <v>389</v>
      </c>
      <c r="CJ186" s="14">
        <v>1</v>
      </c>
      <c r="CK186" s="14">
        <v>1</v>
      </c>
      <c r="CL186" s="14">
        <v>0</v>
      </c>
      <c r="CM186" s="15">
        <f t="shared" si="942"/>
        <v>391</v>
      </c>
      <c r="CN186" s="14">
        <v>263</v>
      </c>
      <c r="CO186" s="14">
        <v>25</v>
      </c>
      <c r="CP186" s="14">
        <v>23</v>
      </c>
      <c r="CQ186" s="14">
        <v>8</v>
      </c>
      <c r="CR186" s="15">
        <f t="shared" si="943"/>
        <v>319</v>
      </c>
      <c r="CS186" s="15">
        <f t="shared" si="944"/>
        <v>710</v>
      </c>
      <c r="CT186" s="14">
        <v>1069</v>
      </c>
      <c r="CU186" s="14">
        <v>10013</v>
      </c>
      <c r="CV186" s="14">
        <v>7460</v>
      </c>
      <c r="CW186" s="16">
        <f t="shared" si="945"/>
        <v>0.74503145910316593</v>
      </c>
      <c r="CX186" s="14">
        <v>0</v>
      </c>
      <c r="CY186" s="14">
        <v>0</v>
      </c>
      <c r="CZ186" s="14">
        <v>0</v>
      </c>
      <c r="DA186" s="14">
        <v>0</v>
      </c>
      <c r="DB186" s="15">
        <f t="shared" si="946"/>
        <v>0</v>
      </c>
      <c r="DC186" s="14">
        <v>0</v>
      </c>
      <c r="DD186" s="14">
        <v>0</v>
      </c>
      <c r="DE186" s="14">
        <v>0</v>
      </c>
      <c r="DF186" s="14">
        <v>0</v>
      </c>
      <c r="DG186" s="15">
        <f t="shared" si="947"/>
        <v>0</v>
      </c>
      <c r="DH186" s="14">
        <v>0</v>
      </c>
      <c r="DI186" s="14">
        <v>0</v>
      </c>
      <c r="DJ186" s="14">
        <v>0</v>
      </c>
      <c r="DK186" s="14">
        <v>0</v>
      </c>
      <c r="DL186" s="15">
        <f t="shared" si="948"/>
        <v>0</v>
      </c>
      <c r="DM186" s="14">
        <v>3</v>
      </c>
      <c r="DN186" s="14">
        <v>1</v>
      </c>
      <c r="DO186" s="14">
        <v>0</v>
      </c>
      <c r="DP186" s="14">
        <v>0</v>
      </c>
      <c r="DQ186" s="15">
        <f t="shared" si="949"/>
        <v>4</v>
      </c>
      <c r="DR186" s="15">
        <f t="shared" si="950"/>
        <v>3</v>
      </c>
      <c r="DS186" s="15">
        <f t="shared" si="951"/>
        <v>1</v>
      </c>
      <c r="DT186" s="15">
        <f t="shared" si="952"/>
        <v>0</v>
      </c>
      <c r="DU186" s="15">
        <f t="shared" si="953"/>
        <v>0</v>
      </c>
      <c r="DV186" s="15">
        <f t="shared" si="954"/>
        <v>4</v>
      </c>
      <c r="DW186" s="14">
        <v>7</v>
      </c>
      <c r="DX186" s="14">
        <v>6</v>
      </c>
      <c r="DY186" s="14">
        <v>5</v>
      </c>
      <c r="DZ186" s="14">
        <v>3</v>
      </c>
      <c r="EA186" s="14">
        <v>3</v>
      </c>
      <c r="EB186" s="14">
        <v>1</v>
      </c>
      <c r="EC186" s="14">
        <v>1</v>
      </c>
      <c r="ED186" s="14">
        <v>3</v>
      </c>
      <c r="EE186" s="14">
        <v>1</v>
      </c>
      <c r="EF186" s="14">
        <v>0</v>
      </c>
      <c r="EG186" s="14">
        <v>0</v>
      </c>
      <c r="EH186" s="14">
        <v>0</v>
      </c>
      <c r="EI186" s="14">
        <v>0</v>
      </c>
      <c r="EJ186" s="14">
        <v>0</v>
      </c>
      <c r="EK186" s="14">
        <v>1</v>
      </c>
      <c r="EL186" s="14">
        <v>1</v>
      </c>
      <c r="EM186" s="14">
        <v>0</v>
      </c>
      <c r="EN186" s="14">
        <v>0</v>
      </c>
      <c r="EO186" s="14">
        <v>0</v>
      </c>
      <c r="EP186" s="14">
        <v>0</v>
      </c>
      <c r="EQ186" s="14">
        <v>0</v>
      </c>
      <c r="ER186" s="14">
        <v>0</v>
      </c>
      <c r="ES186" s="14">
        <v>0</v>
      </c>
      <c r="ET186" s="14">
        <v>0</v>
      </c>
      <c r="EU186" s="14">
        <v>0</v>
      </c>
      <c r="EV186" s="14">
        <v>0</v>
      </c>
      <c r="EW186" s="14">
        <v>0</v>
      </c>
      <c r="EX186" s="14">
        <v>0</v>
      </c>
      <c r="EY186" s="14">
        <v>0</v>
      </c>
      <c r="EZ186" s="14">
        <v>0</v>
      </c>
      <c r="FA186" s="14">
        <v>0</v>
      </c>
      <c r="FB186" s="14">
        <v>0</v>
      </c>
      <c r="FC186" s="14">
        <v>0</v>
      </c>
      <c r="FD186" s="14">
        <v>0</v>
      </c>
      <c r="FE186" s="14">
        <v>0</v>
      </c>
      <c r="FF186" s="14">
        <v>0</v>
      </c>
      <c r="FG186" s="15">
        <f t="shared" si="955"/>
        <v>32</v>
      </c>
      <c r="FH186" s="14">
        <v>0</v>
      </c>
      <c r="FI186" s="14">
        <v>0</v>
      </c>
      <c r="FJ186" s="14">
        <v>24</v>
      </c>
      <c r="FK186" s="14">
        <v>0</v>
      </c>
      <c r="FL186" s="14">
        <v>0</v>
      </c>
      <c r="FM186" s="14">
        <v>0</v>
      </c>
      <c r="FN186" s="14">
        <v>0</v>
      </c>
      <c r="FO186" s="14">
        <v>0</v>
      </c>
      <c r="FP186" s="14">
        <v>0</v>
      </c>
      <c r="FQ186" s="15">
        <f t="shared" si="956"/>
        <v>0</v>
      </c>
      <c r="FR186" s="14">
        <v>13251802.24</v>
      </c>
      <c r="FS186" s="14">
        <v>0</v>
      </c>
      <c r="FT186" s="14">
        <v>0</v>
      </c>
      <c r="FU186" s="14">
        <v>0</v>
      </c>
      <c r="FV186" s="15">
        <f t="shared" si="957"/>
        <v>13251802.24</v>
      </c>
      <c r="FW186" s="14">
        <v>1845532</v>
      </c>
      <c r="FX186" s="14">
        <v>25600</v>
      </c>
      <c r="FY186" s="14">
        <v>545300</v>
      </c>
      <c r="FZ186" s="14">
        <v>2220000</v>
      </c>
      <c r="GA186" s="15">
        <f t="shared" si="958"/>
        <v>4636432</v>
      </c>
      <c r="GB186" s="15">
        <f t="shared" si="959"/>
        <v>17888234.240000002</v>
      </c>
      <c r="GC186" s="14">
        <v>2728868.93</v>
      </c>
      <c r="GD186" s="14">
        <v>2728868.93</v>
      </c>
      <c r="GE186" s="14">
        <v>8410.99</v>
      </c>
      <c r="GF186" s="14">
        <v>41014.69</v>
      </c>
      <c r="GG186" s="15">
        <f t="shared" si="960"/>
        <v>5507163.540000001</v>
      </c>
      <c r="GH186" s="14">
        <v>2778294.61</v>
      </c>
      <c r="GI186" s="14">
        <v>0</v>
      </c>
      <c r="GJ186" s="14">
        <v>0</v>
      </c>
      <c r="GK186" s="14">
        <v>0</v>
      </c>
      <c r="GL186" s="15">
        <f t="shared" si="961"/>
        <v>2778294.61</v>
      </c>
      <c r="GM186" s="15">
        <f t="shared" si="962"/>
        <v>8285458.1500000004</v>
      </c>
      <c r="GN186" s="14">
        <v>222995.91</v>
      </c>
      <c r="GO186" s="14">
        <v>222995.91</v>
      </c>
      <c r="GP186" s="14">
        <v>3393.64</v>
      </c>
      <c r="GQ186" s="14">
        <v>4637.34</v>
      </c>
      <c r="GR186" s="15">
        <f t="shared" si="963"/>
        <v>454022.80000000005</v>
      </c>
      <c r="GS186" s="14">
        <v>347377</v>
      </c>
      <c r="GT186" s="14">
        <v>347377</v>
      </c>
      <c r="GU186" s="14">
        <v>893</v>
      </c>
      <c r="GV186" s="14">
        <v>893</v>
      </c>
      <c r="GW186" s="15">
        <f t="shared" si="964"/>
        <v>696540</v>
      </c>
      <c r="GX186" s="15">
        <f t="shared" si="965"/>
        <v>9436020.9500000011</v>
      </c>
      <c r="GY186" s="14">
        <v>24021738.57</v>
      </c>
      <c r="GZ186" s="14">
        <v>458783.83</v>
      </c>
      <c r="HA186" s="15">
        <f t="shared" si="966"/>
        <v>24480522.399999999</v>
      </c>
      <c r="HB186" s="15">
        <f t="shared" si="967"/>
        <v>0.943031422582842</v>
      </c>
      <c r="HC186" s="16">
        <f t="shared" si="968"/>
        <v>0.53465128856900812</v>
      </c>
      <c r="HD186" s="15">
        <f t="shared" si="969"/>
        <v>1.8957391399178698</v>
      </c>
      <c r="HE186" s="14">
        <v>3</v>
      </c>
      <c r="HF186" s="14">
        <v>1</v>
      </c>
      <c r="HG186" s="14">
        <v>45</v>
      </c>
      <c r="HH186" s="14">
        <v>3</v>
      </c>
      <c r="HI186" s="14">
        <v>5</v>
      </c>
      <c r="HJ186" s="15">
        <f t="shared" si="970"/>
        <v>6</v>
      </c>
      <c r="HK186" s="16">
        <f t="shared" si="971"/>
        <v>1</v>
      </c>
      <c r="HL186" s="14">
        <v>3</v>
      </c>
      <c r="HM186" s="14">
        <v>1</v>
      </c>
      <c r="HN186" s="17">
        <f t="shared" si="972"/>
        <v>0.33333333333333331</v>
      </c>
    </row>
    <row r="187" spans="1:222" x14ac:dyDescent="0.3">
      <c r="A187" s="6" t="s">
        <v>280</v>
      </c>
      <c r="B187" s="6" t="s">
        <v>287</v>
      </c>
      <c r="C187" s="7" t="s">
        <v>257</v>
      </c>
      <c r="D187" s="7">
        <v>2025</v>
      </c>
      <c r="E187" s="7">
        <v>8</v>
      </c>
      <c r="F187" s="7" t="s">
        <v>264</v>
      </c>
      <c r="G187" s="7" t="s">
        <v>263</v>
      </c>
      <c r="H187" s="8">
        <v>8068</v>
      </c>
      <c r="I187" s="8">
        <v>2908</v>
      </c>
      <c r="J187" s="8">
        <v>0</v>
      </c>
      <c r="K187" s="8">
        <v>2</v>
      </c>
      <c r="L187" s="8">
        <v>4</v>
      </c>
      <c r="M187" s="9">
        <f t="shared" si="912"/>
        <v>2914</v>
      </c>
      <c r="N187" s="8">
        <v>1883</v>
      </c>
      <c r="O187" s="8">
        <v>127.7</v>
      </c>
      <c r="P187" s="8">
        <v>600</v>
      </c>
      <c r="Q187" s="8">
        <v>113</v>
      </c>
      <c r="R187" s="9">
        <f t="shared" si="913"/>
        <v>2723.7</v>
      </c>
      <c r="S187" s="9">
        <f t="shared" si="914"/>
        <v>5637.7</v>
      </c>
      <c r="T187" s="8">
        <v>2430.3000000000002</v>
      </c>
      <c r="U187" s="10">
        <f t="shared" si="915"/>
        <v>0.30122706990580073</v>
      </c>
      <c r="V187" s="8">
        <v>24</v>
      </c>
      <c r="W187" s="11">
        <f t="shared" si="916"/>
        <v>2.9747149231531978E-3</v>
      </c>
      <c r="X187" s="8">
        <v>0</v>
      </c>
      <c r="Y187" s="11">
        <f t="shared" si="917"/>
        <v>0</v>
      </c>
      <c r="Z187" s="8">
        <v>0</v>
      </c>
      <c r="AA187" s="11">
        <f t="shared" si="918"/>
        <v>0</v>
      </c>
      <c r="AB187" s="8">
        <v>0</v>
      </c>
      <c r="AC187" s="11">
        <f t="shared" si="919"/>
        <v>0</v>
      </c>
      <c r="AD187" s="8">
        <v>0</v>
      </c>
      <c r="AE187" s="11">
        <f t="shared" si="920"/>
        <v>0</v>
      </c>
      <c r="AF187" s="8">
        <v>0</v>
      </c>
      <c r="AG187" s="11">
        <f t="shared" si="921"/>
        <v>0</v>
      </c>
      <c r="AH187" s="8">
        <v>122680.08</v>
      </c>
      <c r="AI187" s="9">
        <f t="shared" si="922"/>
        <v>15.205761031234507</v>
      </c>
      <c r="AJ187" s="8">
        <v>25</v>
      </c>
      <c r="AK187" s="11">
        <f t="shared" si="923"/>
        <v>3.0986613782845811E-3</v>
      </c>
      <c r="AL187" s="8">
        <v>19895.287499999999</v>
      </c>
      <c r="AM187" s="9">
        <f t="shared" si="924"/>
        <v>2.4659503594447196</v>
      </c>
      <c r="AN187" s="8">
        <v>0</v>
      </c>
      <c r="AO187" s="8">
        <v>0</v>
      </c>
      <c r="AP187" s="8">
        <v>0</v>
      </c>
      <c r="AQ187" s="8">
        <v>0</v>
      </c>
      <c r="AR187" s="8">
        <v>4835972.7300000004</v>
      </c>
      <c r="AS187" s="8">
        <v>1927511.63</v>
      </c>
      <c r="AT187" s="8">
        <v>4917298.6100000003</v>
      </c>
      <c r="AU187" s="9">
        <f t="shared" si="925"/>
        <v>11823358.3375</v>
      </c>
      <c r="AV187" s="9">
        <f t="shared" si="926"/>
        <v>1465.4633536812098</v>
      </c>
      <c r="AW187" s="9">
        <f t="shared" si="927"/>
        <v>2097.1953700090462</v>
      </c>
      <c r="AX187" s="8">
        <v>5</v>
      </c>
      <c r="AY187" s="9">
        <f t="shared" si="928"/>
        <v>7.4367873078829945</v>
      </c>
      <c r="AZ187" s="8">
        <v>7</v>
      </c>
      <c r="BA187" s="8">
        <v>45</v>
      </c>
      <c r="BB187" s="8">
        <v>5</v>
      </c>
      <c r="BC187" s="8">
        <v>0</v>
      </c>
      <c r="BD187" s="8">
        <v>9</v>
      </c>
      <c r="BE187" s="9">
        <f t="shared" si="929"/>
        <v>9</v>
      </c>
      <c r="BF187" s="9">
        <f t="shared" si="930"/>
        <v>41</v>
      </c>
      <c r="BG187" s="8">
        <v>0</v>
      </c>
      <c r="BH187" s="8">
        <v>0</v>
      </c>
      <c r="BI187" s="8">
        <v>0</v>
      </c>
      <c r="BJ187" s="8">
        <v>0</v>
      </c>
      <c r="BK187" s="9">
        <f t="shared" si="931"/>
        <v>0</v>
      </c>
      <c r="BL187" s="9">
        <f t="shared" si="932"/>
        <v>0</v>
      </c>
      <c r="BM187" s="8">
        <v>0</v>
      </c>
      <c r="BN187" s="8">
        <v>0</v>
      </c>
      <c r="BO187" s="8">
        <v>0</v>
      </c>
      <c r="BP187" s="8">
        <v>0</v>
      </c>
      <c r="BQ187" s="9">
        <f t="shared" si="933"/>
        <v>0</v>
      </c>
      <c r="BR187" s="9">
        <f t="shared" si="934"/>
        <v>0</v>
      </c>
      <c r="BS187" s="8">
        <v>0</v>
      </c>
      <c r="BT187" s="8">
        <v>0</v>
      </c>
      <c r="BU187" s="8">
        <v>0</v>
      </c>
      <c r="BV187" s="8">
        <v>0</v>
      </c>
      <c r="BW187" s="9">
        <f t="shared" si="935"/>
        <v>0</v>
      </c>
      <c r="BX187" s="9">
        <f t="shared" si="936"/>
        <v>0</v>
      </c>
      <c r="BY187" s="9">
        <f t="shared" si="937"/>
        <v>45</v>
      </c>
      <c r="BZ187" s="9">
        <f t="shared" si="938"/>
        <v>5</v>
      </c>
      <c r="CA187" s="9">
        <f t="shared" si="939"/>
        <v>9</v>
      </c>
      <c r="CB187" s="9">
        <f t="shared" si="940"/>
        <v>41</v>
      </c>
      <c r="CC187" s="8">
        <v>9</v>
      </c>
      <c r="CD187" s="8">
        <v>320</v>
      </c>
      <c r="CE187" s="8">
        <v>14</v>
      </c>
      <c r="CF187" s="8">
        <v>25</v>
      </c>
      <c r="CG187" s="8">
        <v>0</v>
      </c>
      <c r="CH187" s="9">
        <f t="shared" si="941"/>
        <v>359</v>
      </c>
      <c r="CI187" s="8">
        <v>418</v>
      </c>
      <c r="CJ187" s="8">
        <v>1</v>
      </c>
      <c r="CK187" s="8">
        <v>1</v>
      </c>
      <c r="CL187" s="8">
        <v>0</v>
      </c>
      <c r="CM187" s="9">
        <f t="shared" si="942"/>
        <v>420</v>
      </c>
      <c r="CN187" s="8">
        <v>299</v>
      </c>
      <c r="CO187" s="8">
        <v>25</v>
      </c>
      <c r="CP187" s="8">
        <v>23</v>
      </c>
      <c r="CQ187" s="8">
        <v>2</v>
      </c>
      <c r="CR187" s="9">
        <f t="shared" si="943"/>
        <v>349</v>
      </c>
      <c r="CS187" s="9">
        <f t="shared" si="944"/>
        <v>769</v>
      </c>
      <c r="CT187" s="8">
        <v>1128</v>
      </c>
      <c r="CU187" s="8">
        <v>10013</v>
      </c>
      <c r="CV187" s="8">
        <v>7470</v>
      </c>
      <c r="CW187" s="10">
        <f t="shared" si="945"/>
        <v>0.74603016079097173</v>
      </c>
      <c r="CX187" s="8">
        <v>0</v>
      </c>
      <c r="CY187" s="8">
        <v>0</v>
      </c>
      <c r="CZ187" s="8">
        <v>0</v>
      </c>
      <c r="DA187" s="8">
        <v>0</v>
      </c>
      <c r="DB187" s="9">
        <f t="shared" si="946"/>
        <v>0</v>
      </c>
      <c r="DC187" s="8">
        <v>0</v>
      </c>
      <c r="DD187" s="8">
        <v>0</v>
      </c>
      <c r="DE187" s="8">
        <v>0</v>
      </c>
      <c r="DF187" s="8">
        <v>0</v>
      </c>
      <c r="DG187" s="9">
        <f t="shared" si="947"/>
        <v>0</v>
      </c>
      <c r="DH187" s="8">
        <v>0</v>
      </c>
      <c r="DI187" s="8">
        <v>0</v>
      </c>
      <c r="DJ187" s="8">
        <v>0</v>
      </c>
      <c r="DK187" s="8">
        <v>0</v>
      </c>
      <c r="DL187" s="9">
        <f t="shared" si="948"/>
        <v>0</v>
      </c>
      <c r="DM187" s="8">
        <v>4</v>
      </c>
      <c r="DN187" s="8">
        <v>13</v>
      </c>
      <c r="DO187" s="8">
        <v>0</v>
      </c>
      <c r="DP187" s="8">
        <v>0</v>
      </c>
      <c r="DQ187" s="9">
        <f t="shared" si="949"/>
        <v>17</v>
      </c>
      <c r="DR187" s="9">
        <f t="shared" si="950"/>
        <v>4</v>
      </c>
      <c r="DS187" s="9">
        <f t="shared" si="951"/>
        <v>13</v>
      </c>
      <c r="DT187" s="9">
        <f t="shared" si="952"/>
        <v>0</v>
      </c>
      <c r="DU187" s="9">
        <f t="shared" si="953"/>
        <v>0</v>
      </c>
      <c r="DV187" s="9">
        <f t="shared" si="954"/>
        <v>17</v>
      </c>
      <c r="DW187" s="8">
        <v>5</v>
      </c>
      <c r="DX187" s="8">
        <v>6</v>
      </c>
      <c r="DY187" s="8">
        <v>5</v>
      </c>
      <c r="DZ187" s="8">
        <v>2</v>
      </c>
      <c r="EA187" s="8">
        <v>2</v>
      </c>
      <c r="EB187" s="8">
        <v>1</v>
      </c>
      <c r="EC187" s="8">
        <v>1</v>
      </c>
      <c r="ED187" s="8">
        <v>1</v>
      </c>
      <c r="EE187" s="8">
        <v>2</v>
      </c>
      <c r="EF187" s="8">
        <v>0</v>
      </c>
      <c r="EG187" s="8">
        <v>0</v>
      </c>
      <c r="EH187" s="8">
        <v>0</v>
      </c>
      <c r="EI187" s="8">
        <v>0</v>
      </c>
      <c r="EJ187" s="8">
        <v>0</v>
      </c>
      <c r="EK187" s="8">
        <v>0</v>
      </c>
      <c r="EL187" s="8">
        <v>0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8">
        <v>0</v>
      </c>
      <c r="ES187" s="8">
        <v>0</v>
      </c>
      <c r="ET187" s="8">
        <v>0</v>
      </c>
      <c r="EU187" s="8">
        <v>0</v>
      </c>
      <c r="EV187" s="8">
        <v>0</v>
      </c>
      <c r="EW187" s="8">
        <v>0</v>
      </c>
      <c r="EX187" s="8">
        <v>0</v>
      </c>
      <c r="EY187" s="8">
        <v>0</v>
      </c>
      <c r="EZ187" s="8">
        <v>0</v>
      </c>
      <c r="FA187" s="8">
        <v>0</v>
      </c>
      <c r="FB187" s="8">
        <v>0</v>
      </c>
      <c r="FC187" s="8">
        <v>0</v>
      </c>
      <c r="FD187" s="8">
        <v>0</v>
      </c>
      <c r="FE187" s="8">
        <v>0</v>
      </c>
      <c r="FF187" s="8">
        <v>0</v>
      </c>
      <c r="FG187" s="9">
        <f t="shared" si="955"/>
        <v>25</v>
      </c>
      <c r="FH187" s="8">
        <v>0</v>
      </c>
      <c r="FI187" s="8">
        <v>0</v>
      </c>
      <c r="FJ187" s="8">
        <v>24</v>
      </c>
      <c r="FK187" s="8">
        <v>0</v>
      </c>
      <c r="FL187" s="8">
        <v>0</v>
      </c>
      <c r="FM187" s="8">
        <v>0</v>
      </c>
      <c r="FN187" s="8">
        <v>0</v>
      </c>
      <c r="FO187" s="8">
        <v>0</v>
      </c>
      <c r="FP187" s="8">
        <v>0</v>
      </c>
      <c r="FQ187" s="9">
        <f t="shared" si="956"/>
        <v>0</v>
      </c>
      <c r="FR187" s="8">
        <v>1734103.32</v>
      </c>
      <c r="FS187" s="8">
        <v>0</v>
      </c>
      <c r="FT187" s="8">
        <v>0</v>
      </c>
      <c r="FU187" s="8">
        <v>0</v>
      </c>
      <c r="FV187" s="9">
        <f t="shared" si="957"/>
        <v>1734103.32</v>
      </c>
      <c r="FW187" s="8">
        <v>2571177.1</v>
      </c>
      <c r="FX187" s="8">
        <v>27800</v>
      </c>
      <c r="FY187" s="8">
        <v>533628.09000000008</v>
      </c>
      <c r="FZ187" s="8">
        <v>4382011</v>
      </c>
      <c r="GA187" s="9">
        <f t="shared" si="958"/>
        <v>7514616.1900000004</v>
      </c>
      <c r="GB187" s="9">
        <f t="shared" si="959"/>
        <v>9248719.5099999998</v>
      </c>
      <c r="GC187" s="8">
        <v>4016950.34</v>
      </c>
      <c r="GD187" s="8">
        <v>4016950.34</v>
      </c>
      <c r="GE187" s="8">
        <v>8410.99</v>
      </c>
      <c r="GF187" s="8">
        <v>8410.99</v>
      </c>
      <c r="GG187" s="9">
        <f t="shared" si="960"/>
        <v>8050722.6600000001</v>
      </c>
      <c r="GH187" s="8">
        <v>4033772.32</v>
      </c>
      <c r="GI187" s="8">
        <v>0</v>
      </c>
      <c r="GJ187" s="8">
        <v>0</v>
      </c>
      <c r="GK187" s="8">
        <v>0</v>
      </c>
      <c r="GL187" s="9">
        <f t="shared" si="961"/>
        <v>4033772.32</v>
      </c>
      <c r="GM187" s="9">
        <f t="shared" si="962"/>
        <v>12084494.98</v>
      </c>
      <c r="GN187" s="8">
        <v>239084.75</v>
      </c>
      <c r="GO187" s="8">
        <v>239084.75</v>
      </c>
      <c r="GP187" s="8">
        <v>3393.64</v>
      </c>
      <c r="GQ187" s="8">
        <v>4637.34</v>
      </c>
      <c r="GR187" s="9">
        <f t="shared" si="963"/>
        <v>486200.48000000004</v>
      </c>
      <c r="GS187" s="8">
        <v>373274</v>
      </c>
      <c r="GT187" s="8">
        <v>373274</v>
      </c>
      <c r="GU187" s="8">
        <v>893</v>
      </c>
      <c r="GV187" s="8">
        <v>893</v>
      </c>
      <c r="GW187" s="9">
        <f t="shared" si="964"/>
        <v>748334</v>
      </c>
      <c r="GX187" s="9">
        <f t="shared" si="965"/>
        <v>13319029.460000001</v>
      </c>
      <c r="GY187" s="8">
        <v>26001330.170000002</v>
      </c>
      <c r="GZ187" s="8">
        <v>459017.25</v>
      </c>
      <c r="HA187" s="9">
        <f t="shared" si="966"/>
        <v>26460347.420000002</v>
      </c>
      <c r="HB187" s="9">
        <f t="shared" si="967"/>
        <v>0.88770419594071526</v>
      </c>
      <c r="HC187" s="10">
        <f t="shared" si="968"/>
        <v>0.23521451983220326</v>
      </c>
      <c r="HD187" s="9">
        <f t="shared" si="969"/>
        <v>0.69439890780149971</v>
      </c>
      <c r="HE187" s="8">
        <v>5</v>
      </c>
      <c r="HF187" s="8">
        <v>1</v>
      </c>
      <c r="HG187" s="8">
        <v>41</v>
      </c>
      <c r="HH187" s="8">
        <v>5</v>
      </c>
      <c r="HI187" s="8">
        <v>5</v>
      </c>
      <c r="HJ187" s="9">
        <f t="shared" si="970"/>
        <v>6</v>
      </c>
      <c r="HK187" s="10">
        <f t="shared" si="971"/>
        <v>1</v>
      </c>
      <c r="HL187" s="8">
        <v>8</v>
      </c>
      <c r="HM187" s="8">
        <v>1</v>
      </c>
      <c r="HN187" s="11">
        <f t="shared" si="972"/>
        <v>0.125</v>
      </c>
    </row>
    <row r="188" spans="1:222" x14ac:dyDescent="0.3">
      <c r="A188" s="12" t="s">
        <v>280</v>
      </c>
      <c r="B188" s="12" t="s">
        <v>287</v>
      </c>
      <c r="C188" s="13" t="s">
        <v>257</v>
      </c>
      <c r="D188" s="13">
        <v>2025</v>
      </c>
      <c r="E188" s="13">
        <v>9</v>
      </c>
      <c r="F188" s="13" t="s">
        <v>265</v>
      </c>
      <c r="G188" s="13" t="s">
        <v>263</v>
      </c>
      <c r="H188" s="14">
        <v>8035</v>
      </c>
      <c r="I188" s="14">
        <v>3794</v>
      </c>
      <c r="J188" s="14">
        <v>0</v>
      </c>
      <c r="K188" s="14">
        <v>2</v>
      </c>
      <c r="L188" s="14">
        <v>5</v>
      </c>
      <c r="M188" s="15">
        <f t="shared" si="912"/>
        <v>3801</v>
      </c>
      <c r="N188" s="14">
        <v>1558</v>
      </c>
      <c r="O188" s="14">
        <v>95.4</v>
      </c>
      <c r="P188" s="14">
        <v>95.1</v>
      </c>
      <c r="Q188" s="14">
        <v>129</v>
      </c>
      <c r="R188" s="15">
        <f t="shared" si="913"/>
        <v>1877.5</v>
      </c>
      <c r="S188" s="15">
        <f t="shared" si="914"/>
        <v>5678.5</v>
      </c>
      <c r="T188" s="14">
        <v>2356.5</v>
      </c>
      <c r="U188" s="16">
        <f t="shared" si="915"/>
        <v>0.29327940261356567</v>
      </c>
      <c r="V188" s="14">
        <v>24</v>
      </c>
      <c r="W188" s="17">
        <f t="shared" si="916"/>
        <v>2.9869321717486E-3</v>
      </c>
      <c r="X188" s="14">
        <v>0</v>
      </c>
      <c r="Y188" s="17">
        <f t="shared" si="917"/>
        <v>0</v>
      </c>
      <c r="Z188" s="14">
        <v>0</v>
      </c>
      <c r="AA188" s="17">
        <f t="shared" si="918"/>
        <v>0</v>
      </c>
      <c r="AB188" s="14">
        <v>0</v>
      </c>
      <c r="AC188" s="17">
        <f t="shared" si="919"/>
        <v>0</v>
      </c>
      <c r="AD188" s="14">
        <v>0</v>
      </c>
      <c r="AE188" s="17">
        <f t="shared" si="920"/>
        <v>0</v>
      </c>
      <c r="AF188" s="14">
        <v>0</v>
      </c>
      <c r="AG188" s="17">
        <f t="shared" si="921"/>
        <v>0</v>
      </c>
      <c r="AH188" s="14">
        <v>122680.08</v>
      </c>
      <c r="AI188" s="15">
        <f t="shared" si="922"/>
        <v>15.268211574362166</v>
      </c>
      <c r="AJ188" s="14">
        <v>30</v>
      </c>
      <c r="AK188" s="17">
        <f t="shared" si="923"/>
        <v>3.7336652146857498E-3</v>
      </c>
      <c r="AL188" s="14">
        <v>20589.044999999998</v>
      </c>
      <c r="AM188" s="15">
        <f t="shared" si="924"/>
        <v>2.5624200373366519</v>
      </c>
      <c r="AN188" s="14">
        <v>0</v>
      </c>
      <c r="AO188" s="14">
        <v>0</v>
      </c>
      <c r="AP188" s="14">
        <v>0</v>
      </c>
      <c r="AQ188" s="14">
        <v>0</v>
      </c>
      <c r="AR188" s="14">
        <v>5128074.05</v>
      </c>
      <c r="AS188" s="14">
        <v>1833917.38</v>
      </c>
      <c r="AT188" s="14">
        <v>0</v>
      </c>
      <c r="AU188" s="15">
        <f t="shared" si="925"/>
        <v>7105260.5549999997</v>
      </c>
      <c r="AV188" s="15">
        <f t="shared" si="926"/>
        <v>884.28880584940885</v>
      </c>
      <c r="AW188" s="15">
        <f t="shared" si="927"/>
        <v>1251.2565915294531</v>
      </c>
      <c r="AX188" s="14">
        <v>5</v>
      </c>
      <c r="AY188" s="15">
        <f t="shared" si="928"/>
        <v>7.4673304293714997</v>
      </c>
      <c r="AZ188" s="14">
        <v>10</v>
      </c>
      <c r="BA188" s="14">
        <v>41</v>
      </c>
      <c r="BB188" s="14">
        <v>2</v>
      </c>
      <c r="BC188" s="14">
        <v>0</v>
      </c>
      <c r="BD188" s="14">
        <v>0</v>
      </c>
      <c r="BE188" s="15">
        <f t="shared" si="929"/>
        <v>0</v>
      </c>
      <c r="BF188" s="15">
        <f t="shared" si="930"/>
        <v>43</v>
      </c>
      <c r="BG188" s="14">
        <v>0</v>
      </c>
      <c r="BH188" s="14">
        <v>0</v>
      </c>
      <c r="BI188" s="14">
        <v>0</v>
      </c>
      <c r="BJ188" s="14">
        <v>0</v>
      </c>
      <c r="BK188" s="15">
        <f t="shared" si="931"/>
        <v>0</v>
      </c>
      <c r="BL188" s="15">
        <f t="shared" si="932"/>
        <v>0</v>
      </c>
      <c r="BM188" s="14">
        <v>0</v>
      </c>
      <c r="BN188" s="14">
        <v>0</v>
      </c>
      <c r="BO188" s="14">
        <v>0</v>
      </c>
      <c r="BP188" s="14">
        <v>0</v>
      </c>
      <c r="BQ188" s="15">
        <f t="shared" si="933"/>
        <v>0</v>
      </c>
      <c r="BR188" s="15">
        <f t="shared" si="934"/>
        <v>0</v>
      </c>
      <c r="BS188" s="14">
        <v>0</v>
      </c>
      <c r="BT188" s="14">
        <v>0</v>
      </c>
      <c r="BU188" s="14">
        <v>0</v>
      </c>
      <c r="BV188" s="14">
        <v>0</v>
      </c>
      <c r="BW188" s="15">
        <f t="shared" si="935"/>
        <v>0</v>
      </c>
      <c r="BX188" s="15">
        <f t="shared" si="936"/>
        <v>0</v>
      </c>
      <c r="BY188" s="15">
        <f t="shared" si="937"/>
        <v>41</v>
      </c>
      <c r="BZ188" s="15">
        <f t="shared" si="938"/>
        <v>2</v>
      </c>
      <c r="CA188" s="15">
        <f t="shared" si="939"/>
        <v>0</v>
      </c>
      <c r="CB188" s="15">
        <f t="shared" si="940"/>
        <v>43</v>
      </c>
      <c r="CC188" s="14">
        <v>0</v>
      </c>
      <c r="CD188" s="14">
        <v>249</v>
      </c>
      <c r="CE188" s="14">
        <v>14</v>
      </c>
      <c r="CF188" s="14">
        <v>25</v>
      </c>
      <c r="CG188" s="14">
        <v>0</v>
      </c>
      <c r="CH188" s="15">
        <f t="shared" si="941"/>
        <v>288</v>
      </c>
      <c r="CI188" s="14">
        <v>404</v>
      </c>
      <c r="CJ188" s="14">
        <v>1</v>
      </c>
      <c r="CK188" s="14">
        <v>1</v>
      </c>
      <c r="CL188" s="14">
        <v>0</v>
      </c>
      <c r="CM188" s="15">
        <f t="shared" si="942"/>
        <v>406</v>
      </c>
      <c r="CN188" s="14">
        <v>326</v>
      </c>
      <c r="CO188" s="14">
        <v>24</v>
      </c>
      <c r="CP188" s="14">
        <v>23</v>
      </c>
      <c r="CQ188" s="14">
        <v>2</v>
      </c>
      <c r="CR188" s="15">
        <f t="shared" si="943"/>
        <v>375</v>
      </c>
      <c r="CS188" s="15">
        <f t="shared" si="944"/>
        <v>781</v>
      </c>
      <c r="CT188" s="14">
        <v>1069</v>
      </c>
      <c r="CU188" s="14">
        <v>10013</v>
      </c>
      <c r="CV188" s="14">
        <v>7470</v>
      </c>
      <c r="CW188" s="16">
        <f t="shared" si="945"/>
        <v>0.74603016079097173</v>
      </c>
      <c r="CX188" s="14"/>
      <c r="CY188" s="14"/>
      <c r="CZ188" s="14"/>
      <c r="DA188" s="14"/>
      <c r="DB188" s="15">
        <f t="shared" si="946"/>
        <v>0</v>
      </c>
      <c r="DC188" s="14">
        <v>0</v>
      </c>
      <c r="DD188" s="14">
        <v>0</v>
      </c>
      <c r="DE188" s="14">
        <v>0</v>
      </c>
      <c r="DF188" s="14">
        <v>0</v>
      </c>
      <c r="DG188" s="15">
        <f t="shared" si="947"/>
        <v>0</v>
      </c>
      <c r="DH188" s="14">
        <v>0</v>
      </c>
      <c r="DI188" s="14">
        <v>0</v>
      </c>
      <c r="DJ188" s="14">
        <v>0</v>
      </c>
      <c r="DK188" s="14">
        <v>0</v>
      </c>
      <c r="DL188" s="15">
        <f t="shared" si="948"/>
        <v>0</v>
      </c>
      <c r="DM188" s="14">
        <v>17</v>
      </c>
      <c r="DN188" s="14">
        <v>15</v>
      </c>
      <c r="DO188" s="14">
        <v>8</v>
      </c>
      <c r="DP188" s="14">
        <v>1</v>
      </c>
      <c r="DQ188" s="15">
        <f t="shared" si="949"/>
        <v>23</v>
      </c>
      <c r="DR188" s="15">
        <f t="shared" si="950"/>
        <v>17</v>
      </c>
      <c r="DS188" s="15">
        <f t="shared" si="951"/>
        <v>15</v>
      </c>
      <c r="DT188" s="15">
        <f t="shared" si="952"/>
        <v>8</v>
      </c>
      <c r="DU188" s="15">
        <f t="shared" si="953"/>
        <v>1</v>
      </c>
      <c r="DV188" s="15">
        <f t="shared" si="954"/>
        <v>23</v>
      </c>
      <c r="DW188" s="14">
        <v>4</v>
      </c>
      <c r="DX188" s="14">
        <v>5</v>
      </c>
      <c r="DY188" s="14">
        <v>4</v>
      </c>
      <c r="DZ188" s="14">
        <v>2</v>
      </c>
      <c r="EA188" s="14">
        <v>4</v>
      </c>
      <c r="EB188" s="14">
        <v>3</v>
      </c>
      <c r="EC188" s="14">
        <v>3</v>
      </c>
      <c r="ED188" s="14">
        <v>1</v>
      </c>
      <c r="EE188" s="14">
        <v>2</v>
      </c>
      <c r="EF188" s="14">
        <v>0</v>
      </c>
      <c r="EG188" s="14">
        <v>0</v>
      </c>
      <c r="EH188" s="14">
        <v>0</v>
      </c>
      <c r="EI188" s="14">
        <v>0</v>
      </c>
      <c r="EJ188" s="14">
        <v>0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0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0</v>
      </c>
      <c r="FD188" s="14">
        <v>0</v>
      </c>
      <c r="FE188" s="14">
        <v>0</v>
      </c>
      <c r="FF188" s="14">
        <v>0</v>
      </c>
      <c r="FG188" s="15">
        <f t="shared" si="955"/>
        <v>28</v>
      </c>
      <c r="FH188" s="14">
        <v>25</v>
      </c>
      <c r="FI188" s="14">
        <v>0</v>
      </c>
      <c r="FJ188" s="14">
        <v>24</v>
      </c>
      <c r="FK188" s="14">
        <v>24</v>
      </c>
      <c r="FL188" s="14">
        <v>0</v>
      </c>
      <c r="FM188" s="14">
        <v>0</v>
      </c>
      <c r="FN188" s="14">
        <v>0</v>
      </c>
      <c r="FO188" s="14">
        <v>0</v>
      </c>
      <c r="FP188" s="14">
        <v>0</v>
      </c>
      <c r="FQ188" s="15">
        <f t="shared" si="956"/>
        <v>0</v>
      </c>
      <c r="FR188" s="14">
        <v>3468309.44</v>
      </c>
      <c r="FS188" s="14">
        <v>3468309.44</v>
      </c>
      <c r="FT188" s="14">
        <v>0</v>
      </c>
      <c r="FU188" s="14">
        <v>0</v>
      </c>
      <c r="FV188" s="15">
        <f t="shared" si="957"/>
        <v>6936618.8799999999</v>
      </c>
      <c r="FW188" s="14">
        <v>2700269.25</v>
      </c>
      <c r="FX188" s="14">
        <v>20206.22</v>
      </c>
      <c r="FY188" s="14">
        <v>609100</v>
      </c>
      <c r="FZ188" s="14">
        <v>290000</v>
      </c>
      <c r="GA188" s="15">
        <f t="shared" si="958"/>
        <v>3619575.47</v>
      </c>
      <c r="GB188" s="15">
        <f t="shared" si="959"/>
        <v>10556194.35</v>
      </c>
      <c r="GC188" s="14">
        <v>3362886.62</v>
      </c>
      <c r="GD188" s="14">
        <v>3362886.62</v>
      </c>
      <c r="GE188" s="14">
        <v>8410.99</v>
      </c>
      <c r="GF188" s="14">
        <v>11796.63</v>
      </c>
      <c r="GG188" s="15">
        <f t="shared" si="960"/>
        <v>6745980.8600000003</v>
      </c>
      <c r="GH188" s="14">
        <v>3383094.24</v>
      </c>
      <c r="GI188" s="14">
        <v>0</v>
      </c>
      <c r="GJ188" s="14">
        <v>0</v>
      </c>
      <c r="GK188" s="14">
        <v>0</v>
      </c>
      <c r="GL188" s="15">
        <f t="shared" si="961"/>
        <v>3383094.24</v>
      </c>
      <c r="GM188" s="15">
        <f t="shared" si="962"/>
        <v>10129075.100000001</v>
      </c>
      <c r="GN188" s="14">
        <v>230781.15</v>
      </c>
      <c r="GO188" s="14">
        <v>230781.15</v>
      </c>
      <c r="GP188" s="14">
        <v>3393.64</v>
      </c>
      <c r="GQ188" s="14">
        <v>4637.34</v>
      </c>
      <c r="GR188" s="15">
        <f t="shared" si="963"/>
        <v>469593.28</v>
      </c>
      <c r="GS188" s="14">
        <v>360772</v>
      </c>
      <c r="GT188" s="14">
        <v>360772</v>
      </c>
      <c r="GU188" s="14">
        <v>893</v>
      </c>
      <c r="GV188" s="14">
        <v>893</v>
      </c>
      <c r="GW188" s="15">
        <f t="shared" si="964"/>
        <v>723330</v>
      </c>
      <c r="GX188" s="15">
        <f t="shared" si="965"/>
        <v>11321998.380000001</v>
      </c>
      <c r="GY188" s="14">
        <v>26347257.699999999</v>
      </c>
      <c r="GZ188" s="14">
        <v>458783.83</v>
      </c>
      <c r="HA188" s="15">
        <f t="shared" si="966"/>
        <v>26806041.529999997</v>
      </c>
      <c r="HB188" s="15">
        <f t="shared" si="967"/>
        <v>0.62756240696441423</v>
      </c>
      <c r="HC188" s="16">
        <f t="shared" si="968"/>
        <v>0.28023368254422931</v>
      </c>
      <c r="HD188" s="15">
        <f t="shared" si="969"/>
        <v>0.9323614079160466</v>
      </c>
      <c r="HE188" s="14">
        <v>2</v>
      </c>
      <c r="HF188" s="14">
        <v>1</v>
      </c>
      <c r="HG188" s="14">
        <v>43</v>
      </c>
      <c r="HH188" s="14">
        <v>2</v>
      </c>
      <c r="HI188" s="14">
        <v>5</v>
      </c>
      <c r="HJ188" s="15">
        <f t="shared" si="970"/>
        <v>6</v>
      </c>
      <c r="HK188" s="16">
        <f t="shared" si="971"/>
        <v>1</v>
      </c>
      <c r="HL188" s="14">
        <v>5</v>
      </c>
      <c r="HM188" s="14">
        <v>1</v>
      </c>
      <c r="HN188" s="17">
        <f t="shared" si="972"/>
        <v>0.2</v>
      </c>
    </row>
    <row r="189" spans="1:222" x14ac:dyDescent="0.3">
      <c r="A189" s="6" t="s">
        <v>280</v>
      </c>
      <c r="B189" s="6" t="s">
        <v>287</v>
      </c>
      <c r="C189" s="7" t="s">
        <v>257</v>
      </c>
      <c r="D189" s="7">
        <v>2025</v>
      </c>
      <c r="E189" s="7">
        <v>10</v>
      </c>
      <c r="F189" s="7" t="s">
        <v>266</v>
      </c>
      <c r="G189" s="7" t="s">
        <v>267</v>
      </c>
      <c r="H189" s="8">
        <v>10434</v>
      </c>
      <c r="I189" s="8">
        <v>3967</v>
      </c>
      <c r="J189" s="8">
        <v>0</v>
      </c>
      <c r="K189" s="8">
        <v>0</v>
      </c>
      <c r="L189" s="8">
        <v>56</v>
      </c>
      <c r="M189" s="9">
        <f t="shared" si="912"/>
        <v>4023</v>
      </c>
      <c r="N189" s="8">
        <v>2346</v>
      </c>
      <c r="O189" s="8">
        <v>37.6</v>
      </c>
      <c r="P189" s="8">
        <v>874.8</v>
      </c>
      <c r="Q189" s="8">
        <v>131.30000000000001</v>
      </c>
      <c r="R189" s="9">
        <f t="shared" si="913"/>
        <v>3389.7</v>
      </c>
      <c r="S189" s="9">
        <f t="shared" si="914"/>
        <v>7412.7</v>
      </c>
      <c r="T189" s="8">
        <v>3021.3</v>
      </c>
      <c r="U189" s="10">
        <f t="shared" si="915"/>
        <v>0.28956296722254171</v>
      </c>
      <c r="V189" s="8">
        <v>24</v>
      </c>
      <c r="W189" s="11">
        <f t="shared" si="916"/>
        <v>2.3001725129384704E-3</v>
      </c>
      <c r="X189" s="8">
        <v>0</v>
      </c>
      <c r="Y189" s="11">
        <f t="shared" si="917"/>
        <v>0</v>
      </c>
      <c r="Z189" s="8">
        <v>0</v>
      </c>
      <c r="AA189" s="11">
        <f t="shared" si="918"/>
        <v>0</v>
      </c>
      <c r="AB189" s="8">
        <v>0</v>
      </c>
      <c r="AC189" s="11">
        <f t="shared" si="919"/>
        <v>0</v>
      </c>
      <c r="AD189" s="8">
        <v>0</v>
      </c>
      <c r="AE189" s="11">
        <f t="shared" si="920"/>
        <v>0</v>
      </c>
      <c r="AF189" s="8">
        <v>0</v>
      </c>
      <c r="AG189" s="11">
        <f t="shared" si="921"/>
        <v>0</v>
      </c>
      <c r="AH189" s="8">
        <v>122680.08</v>
      </c>
      <c r="AI189" s="9">
        <f t="shared" si="922"/>
        <v>11.757722829212192</v>
      </c>
      <c r="AJ189" s="8">
        <v>35</v>
      </c>
      <c r="AK189" s="11">
        <f t="shared" si="923"/>
        <v>3.3544182480352695E-3</v>
      </c>
      <c r="AL189" s="8">
        <v>21282.802500000002</v>
      </c>
      <c r="AM189" s="9">
        <f t="shared" si="924"/>
        <v>2.0397548878665903</v>
      </c>
      <c r="AN189" s="8">
        <v>0</v>
      </c>
      <c r="AO189" s="8">
        <v>0</v>
      </c>
      <c r="AP189" s="8">
        <v>0</v>
      </c>
      <c r="AQ189" s="8">
        <v>0</v>
      </c>
      <c r="AR189" s="8">
        <v>4194834.8099999996</v>
      </c>
      <c r="AS189" s="8">
        <v>0</v>
      </c>
      <c r="AT189" s="8">
        <v>0</v>
      </c>
      <c r="AU189" s="9">
        <f t="shared" si="925"/>
        <v>4338797.6924999999</v>
      </c>
      <c r="AV189" s="9">
        <f t="shared" si="926"/>
        <v>415.83263297872338</v>
      </c>
      <c r="AW189" s="9">
        <f t="shared" si="927"/>
        <v>585.3194777206686</v>
      </c>
      <c r="AX189" s="8">
        <v>5</v>
      </c>
      <c r="AY189" s="9">
        <f t="shared" si="928"/>
        <v>5.7504312823461765</v>
      </c>
      <c r="AZ189" s="8">
        <v>10</v>
      </c>
      <c r="BA189" s="8">
        <v>43</v>
      </c>
      <c r="BB189" s="8">
        <v>2</v>
      </c>
      <c r="BC189" s="8">
        <v>0</v>
      </c>
      <c r="BD189" s="8">
        <v>0</v>
      </c>
      <c r="BE189" s="9">
        <f t="shared" si="929"/>
        <v>0</v>
      </c>
      <c r="BF189" s="9">
        <f t="shared" si="930"/>
        <v>45</v>
      </c>
      <c r="BG189" s="8">
        <v>0</v>
      </c>
      <c r="BH189" s="8">
        <v>0</v>
      </c>
      <c r="BI189" s="8">
        <v>0</v>
      </c>
      <c r="BJ189" s="8">
        <v>0</v>
      </c>
      <c r="BK189" s="9">
        <f t="shared" si="931"/>
        <v>0</v>
      </c>
      <c r="BL189" s="9">
        <f t="shared" si="932"/>
        <v>0</v>
      </c>
      <c r="BM189" s="8">
        <v>0</v>
      </c>
      <c r="BN189" s="8">
        <v>0</v>
      </c>
      <c r="BO189" s="8">
        <v>0</v>
      </c>
      <c r="BP189" s="8">
        <v>0</v>
      </c>
      <c r="BQ189" s="9">
        <f t="shared" si="933"/>
        <v>0</v>
      </c>
      <c r="BR189" s="9">
        <f t="shared" si="934"/>
        <v>0</v>
      </c>
      <c r="BS189" s="8">
        <v>0</v>
      </c>
      <c r="BT189" s="8">
        <v>0</v>
      </c>
      <c r="BU189" s="8">
        <v>0</v>
      </c>
      <c r="BV189" s="8">
        <v>0</v>
      </c>
      <c r="BW189" s="9">
        <f t="shared" si="935"/>
        <v>0</v>
      </c>
      <c r="BX189" s="9">
        <f t="shared" si="936"/>
        <v>0</v>
      </c>
      <c r="BY189" s="9">
        <f t="shared" si="937"/>
        <v>43</v>
      </c>
      <c r="BZ189" s="9">
        <f t="shared" si="938"/>
        <v>2</v>
      </c>
      <c r="CA189" s="9">
        <f t="shared" si="939"/>
        <v>0</v>
      </c>
      <c r="CB189" s="9">
        <f t="shared" si="940"/>
        <v>45</v>
      </c>
      <c r="CC189" s="8">
        <v>0</v>
      </c>
      <c r="CD189" s="8">
        <v>213</v>
      </c>
      <c r="CE189" s="8">
        <v>14</v>
      </c>
      <c r="CF189" s="8">
        <v>25</v>
      </c>
      <c r="CG189" s="8">
        <v>0</v>
      </c>
      <c r="CH189" s="9">
        <f t="shared" si="941"/>
        <v>252</v>
      </c>
      <c r="CI189" s="8">
        <v>403</v>
      </c>
      <c r="CJ189" s="8">
        <v>0</v>
      </c>
      <c r="CK189" s="8">
        <v>1</v>
      </c>
      <c r="CL189" s="8">
        <v>0</v>
      </c>
      <c r="CM189" s="9">
        <f t="shared" si="942"/>
        <v>404</v>
      </c>
      <c r="CN189" s="8">
        <v>363</v>
      </c>
      <c r="CO189" s="8">
        <v>25</v>
      </c>
      <c r="CP189" s="8">
        <v>23</v>
      </c>
      <c r="CQ189" s="8">
        <v>2</v>
      </c>
      <c r="CR189" s="9">
        <f t="shared" si="943"/>
        <v>413</v>
      </c>
      <c r="CS189" s="9">
        <f t="shared" si="944"/>
        <v>817</v>
      </c>
      <c r="CT189" s="8">
        <v>1069</v>
      </c>
      <c r="CU189" s="8">
        <v>10013</v>
      </c>
      <c r="CV189" s="8">
        <v>7470</v>
      </c>
      <c r="CW189" s="10">
        <f t="shared" si="945"/>
        <v>0.74603016079097173</v>
      </c>
      <c r="CX189" s="8"/>
      <c r="CY189" s="8"/>
      <c r="CZ189" s="8"/>
      <c r="DA189" s="8"/>
      <c r="DB189" s="9">
        <f t="shared" si="946"/>
        <v>0</v>
      </c>
      <c r="DC189" s="8">
        <v>0</v>
      </c>
      <c r="DD189" s="8">
        <v>0</v>
      </c>
      <c r="DE189" s="8">
        <v>0</v>
      </c>
      <c r="DF189" s="8">
        <v>0</v>
      </c>
      <c r="DG189" s="9">
        <f t="shared" si="947"/>
        <v>0</v>
      </c>
      <c r="DH189" s="8">
        <v>0</v>
      </c>
      <c r="DI189" s="8">
        <v>0</v>
      </c>
      <c r="DJ189" s="8">
        <v>0</v>
      </c>
      <c r="DK189" s="8">
        <v>0</v>
      </c>
      <c r="DL189" s="9">
        <f t="shared" si="948"/>
        <v>0</v>
      </c>
      <c r="DM189" s="8">
        <v>23</v>
      </c>
      <c r="DN189" s="8">
        <v>0</v>
      </c>
      <c r="DO189" s="8">
        <v>0</v>
      </c>
      <c r="DP189" s="8">
        <v>0</v>
      </c>
      <c r="DQ189" s="9">
        <f t="shared" si="949"/>
        <v>23</v>
      </c>
      <c r="DR189" s="9">
        <f t="shared" si="950"/>
        <v>23</v>
      </c>
      <c r="DS189" s="9">
        <f t="shared" si="951"/>
        <v>0</v>
      </c>
      <c r="DT189" s="9">
        <f t="shared" si="952"/>
        <v>0</v>
      </c>
      <c r="DU189" s="9">
        <f t="shared" si="953"/>
        <v>0</v>
      </c>
      <c r="DV189" s="9">
        <f t="shared" si="954"/>
        <v>23</v>
      </c>
      <c r="DW189" s="8">
        <v>5</v>
      </c>
      <c r="DX189" s="8">
        <v>6</v>
      </c>
      <c r="DY189" s="8">
        <v>3</v>
      </c>
      <c r="DZ189" s="8">
        <v>3</v>
      </c>
      <c r="EA189" s="8">
        <v>3</v>
      </c>
      <c r="EB189" s="8">
        <v>2</v>
      </c>
      <c r="EC189" s="8">
        <v>1</v>
      </c>
      <c r="ED189" s="8">
        <v>1</v>
      </c>
      <c r="EE189" s="8">
        <v>1</v>
      </c>
      <c r="EF189" s="8">
        <v>0</v>
      </c>
      <c r="EG189" s="8">
        <v>0</v>
      </c>
      <c r="EH189" s="8">
        <v>0</v>
      </c>
      <c r="EI189" s="8">
        <v>0</v>
      </c>
      <c r="EJ189" s="8">
        <v>0</v>
      </c>
      <c r="EK189" s="8">
        <v>0</v>
      </c>
      <c r="EL189" s="8">
        <v>0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8">
        <v>0</v>
      </c>
      <c r="ES189" s="8">
        <v>0</v>
      </c>
      <c r="ET189" s="8">
        <v>0</v>
      </c>
      <c r="EU189" s="8">
        <v>0</v>
      </c>
      <c r="EV189" s="8">
        <v>0</v>
      </c>
      <c r="EW189" s="8">
        <v>0</v>
      </c>
      <c r="EX189" s="8">
        <v>0</v>
      </c>
      <c r="EY189" s="8">
        <v>0</v>
      </c>
      <c r="EZ189" s="8">
        <v>0</v>
      </c>
      <c r="FA189" s="8">
        <v>0</v>
      </c>
      <c r="FB189" s="8">
        <v>0</v>
      </c>
      <c r="FC189" s="8">
        <v>0</v>
      </c>
      <c r="FD189" s="8">
        <v>0</v>
      </c>
      <c r="FE189" s="8">
        <v>0</v>
      </c>
      <c r="FF189" s="8">
        <v>0</v>
      </c>
      <c r="FG189" s="9">
        <f t="shared" si="955"/>
        <v>25</v>
      </c>
      <c r="FH189" s="8">
        <v>25</v>
      </c>
      <c r="FI189" s="8">
        <v>0</v>
      </c>
      <c r="FJ189" s="8">
        <v>24</v>
      </c>
      <c r="FK189" s="8">
        <v>24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9">
        <f t="shared" si="956"/>
        <v>0</v>
      </c>
      <c r="FR189" s="8">
        <v>4253924.22</v>
      </c>
      <c r="FS189" s="8">
        <v>0</v>
      </c>
      <c r="FT189" s="8">
        <v>1000</v>
      </c>
      <c r="FU189" s="8">
        <v>0</v>
      </c>
      <c r="FV189" s="9">
        <f t="shared" si="957"/>
        <v>4254924.22</v>
      </c>
      <c r="FW189" s="8">
        <v>3158530.29</v>
      </c>
      <c r="FX189" s="8">
        <v>8000</v>
      </c>
      <c r="FY189" s="8">
        <v>627020.23</v>
      </c>
      <c r="FZ189" s="8">
        <v>2658560.2000000002</v>
      </c>
      <c r="GA189" s="9">
        <f t="shared" si="958"/>
        <v>6452110.7200000007</v>
      </c>
      <c r="GB189" s="9">
        <f t="shared" si="959"/>
        <v>10707034.940000001</v>
      </c>
      <c r="GC189" s="8">
        <v>3532145.31</v>
      </c>
      <c r="GD189" s="8">
        <v>3532145.31</v>
      </c>
      <c r="GE189" s="8">
        <v>0</v>
      </c>
      <c r="GF189" s="8">
        <v>254121.01</v>
      </c>
      <c r="GG189" s="9">
        <f t="shared" si="960"/>
        <v>7318411.6299999999</v>
      </c>
      <c r="GH189" s="8">
        <v>3786266.32</v>
      </c>
      <c r="GI189" s="8">
        <v>0</v>
      </c>
      <c r="GJ189" s="8">
        <v>0</v>
      </c>
      <c r="GK189" s="8">
        <v>0</v>
      </c>
      <c r="GL189" s="9">
        <f t="shared" si="961"/>
        <v>3786266.32</v>
      </c>
      <c r="GM189" s="9">
        <f t="shared" si="962"/>
        <v>11104677.949999999</v>
      </c>
      <c r="GN189" s="8">
        <v>230461.08</v>
      </c>
      <c r="GO189" s="8">
        <v>230461.08</v>
      </c>
      <c r="GP189" s="8">
        <v>0</v>
      </c>
      <c r="GQ189" s="8">
        <v>4637.34</v>
      </c>
      <c r="GR189" s="9">
        <f t="shared" si="963"/>
        <v>465559.5</v>
      </c>
      <c r="GS189" s="8">
        <v>359879</v>
      </c>
      <c r="GT189" s="8">
        <v>359879</v>
      </c>
      <c r="GU189" s="8">
        <v>0</v>
      </c>
      <c r="GV189" s="8">
        <v>893</v>
      </c>
      <c r="GW189" s="9">
        <f t="shared" si="964"/>
        <v>720651</v>
      </c>
      <c r="GX189" s="9">
        <f t="shared" si="965"/>
        <v>12290888.449999999</v>
      </c>
      <c r="GY189" s="8">
        <v>26071990.170000002</v>
      </c>
      <c r="GZ189" s="8">
        <v>458783.83</v>
      </c>
      <c r="HA189" s="9">
        <f t="shared" si="966"/>
        <v>26530774</v>
      </c>
      <c r="HB189" s="9">
        <f t="shared" si="967"/>
        <v>0.35300928083030486</v>
      </c>
      <c r="HC189" s="10">
        <f t="shared" si="968"/>
        <v>0.27909884047173728</v>
      </c>
      <c r="HD189" s="9">
        <f t="shared" si="969"/>
        <v>0.87113596251050529</v>
      </c>
      <c r="HE189" s="8">
        <v>2</v>
      </c>
      <c r="HF189" s="8">
        <v>1</v>
      </c>
      <c r="HG189" s="8">
        <v>45</v>
      </c>
      <c r="HH189" s="8">
        <v>2</v>
      </c>
      <c r="HI189" s="8">
        <v>5</v>
      </c>
      <c r="HJ189" s="9">
        <f t="shared" si="970"/>
        <v>6</v>
      </c>
      <c r="HK189" s="10">
        <f t="shared" si="971"/>
        <v>1</v>
      </c>
      <c r="HL189" s="8">
        <v>6</v>
      </c>
      <c r="HM189" s="8">
        <v>1</v>
      </c>
      <c r="HN189" s="11">
        <f t="shared" si="972"/>
        <v>0.16666666666666666</v>
      </c>
    </row>
    <row r="190" spans="1:222" x14ac:dyDescent="0.3">
      <c r="A190" s="12" t="s">
        <v>280</v>
      </c>
      <c r="B190" s="12" t="s">
        <v>287</v>
      </c>
      <c r="C190" s="13" t="s">
        <v>257</v>
      </c>
      <c r="D190" s="13">
        <v>2025</v>
      </c>
      <c r="E190" s="13">
        <v>11</v>
      </c>
      <c r="F190" s="13" t="s">
        <v>268</v>
      </c>
      <c r="G190" s="13" t="s">
        <v>267</v>
      </c>
      <c r="H190" s="14">
        <v>12476</v>
      </c>
      <c r="I190" s="14">
        <v>4072</v>
      </c>
      <c r="J190" s="14">
        <v>0</v>
      </c>
      <c r="K190" s="14">
        <v>0</v>
      </c>
      <c r="L190" s="14">
        <v>13</v>
      </c>
      <c r="M190" s="15">
        <f t="shared" si="912"/>
        <v>4085</v>
      </c>
      <c r="N190" s="14">
        <v>3106</v>
      </c>
      <c r="O190" s="14">
        <v>63</v>
      </c>
      <c r="P190" s="14">
        <v>1398</v>
      </c>
      <c r="Q190" s="14">
        <v>142</v>
      </c>
      <c r="R190" s="15">
        <f t="shared" si="913"/>
        <v>4709</v>
      </c>
      <c r="S190" s="15">
        <f t="shared" si="914"/>
        <v>8794</v>
      </c>
      <c r="T190" s="14">
        <v>3682</v>
      </c>
      <c r="U190" s="16">
        <f t="shared" si="915"/>
        <v>0.29512664315485732</v>
      </c>
      <c r="V190" s="14">
        <v>26</v>
      </c>
      <c r="W190" s="17">
        <f t="shared" si="916"/>
        <v>2.0840012824623277E-3</v>
      </c>
      <c r="X190" s="14">
        <v>0</v>
      </c>
      <c r="Y190" s="17">
        <f t="shared" si="917"/>
        <v>0</v>
      </c>
      <c r="Z190" s="14">
        <v>0</v>
      </c>
      <c r="AA190" s="17">
        <f t="shared" si="918"/>
        <v>0</v>
      </c>
      <c r="AB190" s="14">
        <v>0</v>
      </c>
      <c r="AC190" s="17">
        <f t="shared" si="919"/>
        <v>0</v>
      </c>
      <c r="AD190" s="14">
        <v>0</v>
      </c>
      <c r="AE190" s="17">
        <f t="shared" si="920"/>
        <v>0</v>
      </c>
      <c r="AF190" s="14">
        <v>0</v>
      </c>
      <c r="AG190" s="17">
        <f t="shared" si="921"/>
        <v>0</v>
      </c>
      <c r="AH190" s="14">
        <v>132903.42000000001</v>
      </c>
      <c r="AI190" s="15">
        <f t="shared" si="922"/>
        <v>10.652726835524208</v>
      </c>
      <c r="AJ190" s="14">
        <v>32</v>
      </c>
      <c r="AK190" s="17">
        <f t="shared" si="923"/>
        <v>2.5649246553382495E-3</v>
      </c>
      <c r="AL190" s="14">
        <v>20866.547999999999</v>
      </c>
      <c r="AM190" s="15">
        <f t="shared" si="924"/>
        <v>1.6725351074062198</v>
      </c>
      <c r="AN190" s="14">
        <v>0</v>
      </c>
      <c r="AO190" s="14">
        <v>0</v>
      </c>
      <c r="AP190" s="14">
        <v>0</v>
      </c>
      <c r="AQ190" s="14">
        <v>0</v>
      </c>
      <c r="AR190" s="14">
        <v>4908627.3600000003</v>
      </c>
      <c r="AS190" s="14">
        <v>0</v>
      </c>
      <c r="AT190" s="14">
        <v>0</v>
      </c>
      <c r="AU190" s="15">
        <f t="shared" si="925"/>
        <v>5062397.3280000007</v>
      </c>
      <c r="AV190" s="15">
        <f t="shared" si="926"/>
        <v>405.7708663033024</v>
      </c>
      <c r="AW190" s="15">
        <f t="shared" si="927"/>
        <v>575.6649224471231</v>
      </c>
      <c r="AX190" s="14">
        <v>5</v>
      </c>
      <c r="AY190" s="15">
        <f t="shared" si="928"/>
        <v>4.8092337287592173</v>
      </c>
      <c r="AZ190" s="14">
        <v>6</v>
      </c>
      <c r="BA190" s="14">
        <v>45</v>
      </c>
      <c r="BB190" s="14">
        <v>1</v>
      </c>
      <c r="BC190" s="14">
        <v>0</v>
      </c>
      <c r="BD190" s="14">
        <v>13</v>
      </c>
      <c r="BE190" s="15">
        <f t="shared" si="929"/>
        <v>13</v>
      </c>
      <c r="BF190" s="15">
        <f t="shared" si="930"/>
        <v>33</v>
      </c>
      <c r="BG190" s="14">
        <v>0</v>
      </c>
      <c r="BH190" s="14">
        <v>0</v>
      </c>
      <c r="BI190" s="14">
        <v>0</v>
      </c>
      <c r="BJ190" s="14">
        <v>0</v>
      </c>
      <c r="BK190" s="15">
        <f t="shared" si="931"/>
        <v>0</v>
      </c>
      <c r="BL190" s="15">
        <f t="shared" si="932"/>
        <v>0</v>
      </c>
      <c r="BM190" s="14">
        <v>0</v>
      </c>
      <c r="BN190" s="14">
        <v>0</v>
      </c>
      <c r="BO190" s="14">
        <v>0</v>
      </c>
      <c r="BP190" s="14">
        <v>0</v>
      </c>
      <c r="BQ190" s="15">
        <f t="shared" si="933"/>
        <v>0</v>
      </c>
      <c r="BR190" s="15">
        <f t="shared" si="934"/>
        <v>0</v>
      </c>
      <c r="BS190" s="14">
        <v>0</v>
      </c>
      <c r="BT190" s="14">
        <v>0</v>
      </c>
      <c r="BU190" s="14">
        <v>0</v>
      </c>
      <c r="BV190" s="14">
        <v>0</v>
      </c>
      <c r="BW190" s="15">
        <f t="shared" si="935"/>
        <v>0</v>
      </c>
      <c r="BX190" s="15">
        <f t="shared" si="936"/>
        <v>0</v>
      </c>
      <c r="BY190" s="15">
        <f t="shared" si="937"/>
        <v>45</v>
      </c>
      <c r="BZ190" s="15">
        <f t="shared" si="938"/>
        <v>1</v>
      </c>
      <c r="CA190" s="15">
        <f t="shared" si="939"/>
        <v>13</v>
      </c>
      <c r="CB190" s="15">
        <f t="shared" si="940"/>
        <v>33</v>
      </c>
      <c r="CC190" s="14">
        <v>45</v>
      </c>
      <c r="CD190" s="14">
        <v>213</v>
      </c>
      <c r="CE190" s="14">
        <v>14</v>
      </c>
      <c r="CF190" s="14">
        <v>25</v>
      </c>
      <c r="CG190" s="14">
        <v>0</v>
      </c>
      <c r="CH190" s="15">
        <f t="shared" si="941"/>
        <v>252</v>
      </c>
      <c r="CI190" s="14">
        <v>373</v>
      </c>
      <c r="CJ190" s="14">
        <v>0</v>
      </c>
      <c r="CK190" s="14">
        <v>1</v>
      </c>
      <c r="CL190" s="14">
        <v>0</v>
      </c>
      <c r="CM190" s="15">
        <f t="shared" si="942"/>
        <v>374</v>
      </c>
      <c r="CN190" s="14">
        <v>393</v>
      </c>
      <c r="CO190" s="14">
        <v>25</v>
      </c>
      <c r="CP190" s="14">
        <v>23</v>
      </c>
      <c r="CQ190" s="14">
        <v>2</v>
      </c>
      <c r="CR190" s="15">
        <f t="shared" si="943"/>
        <v>443</v>
      </c>
      <c r="CS190" s="15">
        <f t="shared" si="944"/>
        <v>817</v>
      </c>
      <c r="CT190" s="14">
        <v>1069</v>
      </c>
      <c r="CU190" s="14">
        <v>10013</v>
      </c>
      <c r="CV190" s="14">
        <v>7480</v>
      </c>
      <c r="CW190" s="16">
        <f t="shared" si="945"/>
        <v>0.74702886247877764</v>
      </c>
      <c r="CX190" s="14"/>
      <c r="CY190" s="14"/>
      <c r="CZ190" s="14"/>
      <c r="DA190" s="14"/>
      <c r="DB190" s="15">
        <f t="shared" si="946"/>
        <v>0</v>
      </c>
      <c r="DC190" s="14">
        <v>0</v>
      </c>
      <c r="DD190" s="14">
        <v>0</v>
      </c>
      <c r="DE190" s="14">
        <v>0</v>
      </c>
      <c r="DF190" s="14">
        <v>0</v>
      </c>
      <c r="DG190" s="15">
        <f t="shared" si="947"/>
        <v>0</v>
      </c>
      <c r="DH190" s="14">
        <v>0</v>
      </c>
      <c r="DI190" s="14">
        <v>0</v>
      </c>
      <c r="DJ190" s="14">
        <v>0</v>
      </c>
      <c r="DK190" s="14">
        <v>0</v>
      </c>
      <c r="DL190" s="15">
        <f t="shared" si="948"/>
        <v>0</v>
      </c>
      <c r="DM190" s="14">
        <v>23</v>
      </c>
      <c r="DN190" s="14">
        <v>0</v>
      </c>
      <c r="DO190" s="14">
        <v>0</v>
      </c>
      <c r="DP190" s="14">
        <v>0</v>
      </c>
      <c r="DQ190" s="15">
        <f t="shared" si="949"/>
        <v>23</v>
      </c>
      <c r="DR190" s="15">
        <f t="shared" si="950"/>
        <v>23</v>
      </c>
      <c r="DS190" s="15">
        <f t="shared" si="951"/>
        <v>0</v>
      </c>
      <c r="DT190" s="15">
        <f t="shared" si="952"/>
        <v>0</v>
      </c>
      <c r="DU190" s="15">
        <f t="shared" si="953"/>
        <v>0</v>
      </c>
      <c r="DV190" s="15">
        <f t="shared" si="954"/>
        <v>23</v>
      </c>
      <c r="DW190" s="14">
        <v>6</v>
      </c>
      <c r="DX190" s="14">
        <v>6</v>
      </c>
      <c r="DY190" s="14">
        <v>3</v>
      </c>
      <c r="DZ190" s="14">
        <v>4</v>
      </c>
      <c r="EA190" s="14">
        <v>2</v>
      </c>
      <c r="EB190" s="14">
        <v>3</v>
      </c>
      <c r="EC190" s="14">
        <v>0</v>
      </c>
      <c r="ED190" s="14">
        <v>1</v>
      </c>
      <c r="EE190" s="14">
        <v>1</v>
      </c>
      <c r="EF190" s="14">
        <v>0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5">
        <f t="shared" si="955"/>
        <v>26</v>
      </c>
      <c r="FH190" s="14">
        <v>26</v>
      </c>
      <c r="FI190" s="14">
        <v>0</v>
      </c>
      <c r="FJ190" s="14">
        <v>24</v>
      </c>
      <c r="FK190" s="14">
        <v>24</v>
      </c>
      <c r="FL190" s="14">
        <v>0</v>
      </c>
      <c r="FM190" s="14">
        <v>0</v>
      </c>
      <c r="FN190" s="14">
        <v>0</v>
      </c>
      <c r="FO190" s="14">
        <v>0</v>
      </c>
      <c r="FP190" s="14">
        <v>0</v>
      </c>
      <c r="FQ190" s="15">
        <f t="shared" si="956"/>
        <v>0</v>
      </c>
      <c r="FR190" s="14">
        <v>4037766.22</v>
      </c>
      <c r="FS190" s="14">
        <v>4037766.22</v>
      </c>
      <c r="FT190" s="14">
        <v>0</v>
      </c>
      <c r="FU190" s="14">
        <v>0</v>
      </c>
      <c r="FV190" s="15">
        <f t="shared" si="957"/>
        <v>8075532.4400000004</v>
      </c>
      <c r="FW190" s="14">
        <v>4253442</v>
      </c>
      <c r="FX190" s="14">
        <v>13400</v>
      </c>
      <c r="FY190" s="14">
        <v>676900</v>
      </c>
      <c r="FZ190" s="14">
        <v>9649300</v>
      </c>
      <c r="GA190" s="15">
        <f t="shared" si="958"/>
        <v>14593042</v>
      </c>
      <c r="GB190" s="15">
        <f t="shared" si="959"/>
        <v>22668574.440000001</v>
      </c>
      <c r="GC190" s="14">
        <v>3661246.95</v>
      </c>
      <c r="GD190" s="14">
        <v>3661246.95</v>
      </c>
      <c r="GE190" s="14">
        <v>0</v>
      </c>
      <c r="GF190" s="14">
        <v>41014.69</v>
      </c>
      <c r="GG190" s="15">
        <f t="shared" si="960"/>
        <v>7363508.5900000008</v>
      </c>
      <c r="GH190" s="14">
        <v>3702261.64</v>
      </c>
      <c r="GI190" s="14">
        <v>0</v>
      </c>
      <c r="GJ190" s="14">
        <v>0</v>
      </c>
      <c r="GK190" s="14">
        <v>0</v>
      </c>
      <c r="GL190" s="15">
        <f t="shared" si="961"/>
        <v>3702261.64</v>
      </c>
      <c r="GM190" s="15">
        <f t="shared" si="962"/>
        <v>11065770.23</v>
      </c>
      <c r="GN190" s="14">
        <v>213438.6</v>
      </c>
      <c r="GO190" s="14">
        <v>213438.6</v>
      </c>
      <c r="GP190" s="14">
        <v>0</v>
      </c>
      <c r="GQ190" s="14">
        <v>4637.34</v>
      </c>
      <c r="GR190" s="15">
        <f t="shared" si="963"/>
        <v>431514.54000000004</v>
      </c>
      <c r="GS190" s="14">
        <v>333089</v>
      </c>
      <c r="GT190" s="14">
        <v>333089</v>
      </c>
      <c r="GU190" s="14">
        <v>0</v>
      </c>
      <c r="GV190" s="14">
        <v>893</v>
      </c>
      <c r="GW190" s="15">
        <f t="shared" si="964"/>
        <v>667071</v>
      </c>
      <c r="GX190" s="15">
        <f t="shared" si="965"/>
        <v>12164355.77</v>
      </c>
      <c r="GY190" s="14">
        <v>26071990.170000002</v>
      </c>
      <c r="GZ190" s="14">
        <v>458783.83</v>
      </c>
      <c r="HA190" s="15">
        <f t="shared" si="966"/>
        <v>26530774</v>
      </c>
      <c r="HB190" s="15">
        <f t="shared" si="967"/>
        <v>0.4161664969126434</v>
      </c>
      <c r="HC190" s="16">
        <f t="shared" si="968"/>
        <v>0.59285409948877565</v>
      </c>
      <c r="HD190" s="15">
        <f t="shared" si="969"/>
        <v>1.8635244536258744</v>
      </c>
      <c r="HE190" s="14">
        <v>1</v>
      </c>
      <c r="HF190" s="14">
        <v>1</v>
      </c>
      <c r="HG190" s="14">
        <v>33</v>
      </c>
      <c r="HH190" s="14">
        <v>1</v>
      </c>
      <c r="HI190" s="14">
        <v>5</v>
      </c>
      <c r="HJ190" s="15">
        <f t="shared" si="970"/>
        <v>6</v>
      </c>
      <c r="HK190" s="16">
        <f t="shared" si="971"/>
        <v>1</v>
      </c>
      <c r="HL190" s="14">
        <v>10</v>
      </c>
      <c r="HM190" s="14">
        <v>2</v>
      </c>
      <c r="HN190" s="17">
        <f t="shared" si="972"/>
        <v>0.2</v>
      </c>
    </row>
    <row r="191" spans="1:222" x14ac:dyDescent="0.3">
      <c r="A191" s="6" t="s">
        <v>280</v>
      </c>
      <c r="B191" s="6" t="s">
        <v>287</v>
      </c>
      <c r="C191" s="7" t="s">
        <v>257</v>
      </c>
      <c r="D191" s="7">
        <v>2025</v>
      </c>
      <c r="E191" s="7">
        <v>12</v>
      </c>
      <c r="F191" s="7" t="s">
        <v>269</v>
      </c>
      <c r="G191" s="7" t="s">
        <v>267</v>
      </c>
      <c r="H191" s="8">
        <v>11113</v>
      </c>
      <c r="I191" s="8">
        <v>4397</v>
      </c>
      <c r="J191" s="8">
        <v>0</v>
      </c>
      <c r="K191" s="8">
        <v>0</v>
      </c>
      <c r="L191" s="8">
        <v>7</v>
      </c>
      <c r="M191" s="9">
        <f t="shared" si="912"/>
        <v>4404</v>
      </c>
      <c r="N191" s="8">
        <v>2104</v>
      </c>
      <c r="O191" s="8">
        <v>48</v>
      </c>
      <c r="P191" s="8">
        <v>1045</v>
      </c>
      <c r="Q191" s="8">
        <v>93</v>
      </c>
      <c r="R191" s="9">
        <f t="shared" si="913"/>
        <v>3290</v>
      </c>
      <c r="S191" s="9">
        <f t="shared" si="914"/>
        <v>7694</v>
      </c>
      <c r="T191" s="8">
        <v>3419</v>
      </c>
      <c r="U191" s="10">
        <f t="shared" si="915"/>
        <v>0.3076576981913075</v>
      </c>
      <c r="V191" s="8">
        <v>24</v>
      </c>
      <c r="W191" s="11">
        <f t="shared" si="916"/>
        <v>2.1596328624133897E-3</v>
      </c>
      <c r="X191" s="8">
        <v>0</v>
      </c>
      <c r="Y191" s="11">
        <f t="shared" si="917"/>
        <v>0</v>
      </c>
      <c r="Z191" s="8">
        <v>0</v>
      </c>
      <c r="AA191" s="11">
        <f t="shared" si="918"/>
        <v>0</v>
      </c>
      <c r="AB191" s="8">
        <v>0</v>
      </c>
      <c r="AC191" s="11">
        <f t="shared" si="919"/>
        <v>0</v>
      </c>
      <c r="AD191" s="8">
        <v>0</v>
      </c>
      <c r="AE191" s="11">
        <f t="shared" si="920"/>
        <v>0</v>
      </c>
      <c r="AF191" s="8">
        <v>0</v>
      </c>
      <c r="AG191" s="11">
        <f t="shared" si="921"/>
        <v>0</v>
      </c>
      <c r="AH191" s="8">
        <v>122680.08</v>
      </c>
      <c r="AI191" s="9">
        <f t="shared" si="922"/>
        <v>11.039330513812653</v>
      </c>
      <c r="AJ191" s="8">
        <v>40</v>
      </c>
      <c r="AK191" s="11">
        <f t="shared" si="923"/>
        <v>3.5993881040223162E-3</v>
      </c>
      <c r="AL191" s="8">
        <v>21976.560000000001</v>
      </c>
      <c r="AM191" s="9">
        <f t="shared" si="924"/>
        <v>1.977554215783317</v>
      </c>
      <c r="AN191" s="8">
        <v>0</v>
      </c>
      <c r="AO191" s="8">
        <v>0</v>
      </c>
      <c r="AP191" s="8">
        <v>0</v>
      </c>
      <c r="AQ191" s="8">
        <v>0</v>
      </c>
      <c r="AR191" s="8">
        <v>5193085.95</v>
      </c>
      <c r="AS191" s="8">
        <v>1676771.36</v>
      </c>
      <c r="AT191" s="8">
        <v>0</v>
      </c>
      <c r="AU191" s="9">
        <f t="shared" si="925"/>
        <v>7014513.9500000002</v>
      </c>
      <c r="AV191" s="9">
        <f t="shared" si="926"/>
        <v>631.19895167821471</v>
      </c>
      <c r="AW191" s="9">
        <f t="shared" si="927"/>
        <v>911.68624252664415</v>
      </c>
      <c r="AX191" s="8">
        <v>5</v>
      </c>
      <c r="AY191" s="9">
        <f t="shared" si="928"/>
        <v>5.399082156033475</v>
      </c>
      <c r="AZ191" s="8">
        <v>9</v>
      </c>
      <c r="BA191" s="8">
        <v>33</v>
      </c>
      <c r="BB191" s="8">
        <v>3</v>
      </c>
      <c r="BC191" s="8">
        <v>0</v>
      </c>
      <c r="BD191" s="8">
        <v>0</v>
      </c>
      <c r="BE191" s="9">
        <f t="shared" si="929"/>
        <v>0</v>
      </c>
      <c r="BF191" s="9">
        <f t="shared" si="930"/>
        <v>36</v>
      </c>
      <c r="BG191" s="8">
        <v>0</v>
      </c>
      <c r="BH191" s="8">
        <v>0</v>
      </c>
      <c r="BI191" s="8">
        <v>0</v>
      </c>
      <c r="BJ191" s="8">
        <v>0</v>
      </c>
      <c r="BK191" s="9">
        <f t="shared" si="931"/>
        <v>0</v>
      </c>
      <c r="BL191" s="9">
        <f t="shared" si="932"/>
        <v>0</v>
      </c>
      <c r="BM191" s="8">
        <v>0</v>
      </c>
      <c r="BN191" s="8">
        <v>0</v>
      </c>
      <c r="BO191" s="8">
        <v>0</v>
      </c>
      <c r="BP191" s="8">
        <v>0</v>
      </c>
      <c r="BQ191" s="9">
        <f t="shared" si="933"/>
        <v>0</v>
      </c>
      <c r="BR191" s="9">
        <f t="shared" si="934"/>
        <v>0</v>
      </c>
      <c r="BS191" s="8">
        <v>0</v>
      </c>
      <c r="BT191" s="8">
        <v>0</v>
      </c>
      <c r="BU191" s="8">
        <v>0</v>
      </c>
      <c r="BV191" s="8">
        <v>0</v>
      </c>
      <c r="BW191" s="9">
        <f t="shared" si="935"/>
        <v>0</v>
      </c>
      <c r="BX191" s="9">
        <f t="shared" si="936"/>
        <v>0</v>
      </c>
      <c r="BY191" s="9">
        <f t="shared" si="937"/>
        <v>33</v>
      </c>
      <c r="BZ191" s="9">
        <f t="shared" si="938"/>
        <v>3</v>
      </c>
      <c r="CA191" s="9">
        <f t="shared" si="939"/>
        <v>0</v>
      </c>
      <c r="CB191" s="9">
        <f t="shared" si="940"/>
        <v>36</v>
      </c>
      <c r="CC191" s="8">
        <v>5</v>
      </c>
      <c r="CD191" s="8">
        <v>222</v>
      </c>
      <c r="CE191" s="8">
        <v>14</v>
      </c>
      <c r="CF191" s="8">
        <v>25</v>
      </c>
      <c r="CG191" s="8">
        <v>0</v>
      </c>
      <c r="CH191" s="9">
        <f t="shared" si="941"/>
        <v>261</v>
      </c>
      <c r="CI191" s="8">
        <v>367</v>
      </c>
      <c r="CJ191" s="8">
        <v>0</v>
      </c>
      <c r="CK191" s="8">
        <v>1</v>
      </c>
      <c r="CL191" s="8">
        <v>0</v>
      </c>
      <c r="CM191" s="9">
        <f t="shared" si="942"/>
        <v>368</v>
      </c>
      <c r="CN191" s="8">
        <v>393</v>
      </c>
      <c r="CO191" s="8">
        <v>25</v>
      </c>
      <c r="CP191" s="8">
        <v>23</v>
      </c>
      <c r="CQ191" s="8">
        <v>2</v>
      </c>
      <c r="CR191" s="9">
        <f t="shared" si="943"/>
        <v>443</v>
      </c>
      <c r="CS191" s="9">
        <f t="shared" si="944"/>
        <v>811</v>
      </c>
      <c r="CT191" s="8">
        <v>1072</v>
      </c>
      <c r="CU191" s="8">
        <v>10013</v>
      </c>
      <c r="CV191" s="8">
        <v>7480</v>
      </c>
      <c r="CW191" s="10">
        <f t="shared" si="945"/>
        <v>0.74702886247877764</v>
      </c>
      <c r="CX191" s="8">
        <v>0</v>
      </c>
      <c r="CY191" s="8">
        <v>0</v>
      </c>
      <c r="CZ191" s="8">
        <v>0</v>
      </c>
      <c r="DA191" s="8">
        <v>0</v>
      </c>
      <c r="DB191" s="9">
        <f t="shared" si="946"/>
        <v>0</v>
      </c>
      <c r="DC191" s="8">
        <v>0</v>
      </c>
      <c r="DD191" s="8">
        <v>0</v>
      </c>
      <c r="DE191" s="8">
        <v>0</v>
      </c>
      <c r="DF191" s="8">
        <v>0</v>
      </c>
      <c r="DG191" s="9">
        <f t="shared" si="947"/>
        <v>0</v>
      </c>
      <c r="DH191" s="8">
        <v>0</v>
      </c>
      <c r="DI191" s="8">
        <v>0</v>
      </c>
      <c r="DJ191" s="8">
        <v>0</v>
      </c>
      <c r="DK191" s="8">
        <v>0</v>
      </c>
      <c r="DL191" s="9">
        <f t="shared" si="948"/>
        <v>0</v>
      </c>
      <c r="DM191" s="8">
        <v>23</v>
      </c>
      <c r="DN191" s="8">
        <v>0</v>
      </c>
      <c r="DO191" s="8">
        <v>0</v>
      </c>
      <c r="DP191" s="8">
        <v>0</v>
      </c>
      <c r="DQ191" s="9">
        <f t="shared" si="949"/>
        <v>23</v>
      </c>
      <c r="DR191" s="9">
        <f t="shared" si="950"/>
        <v>23</v>
      </c>
      <c r="DS191" s="9">
        <f t="shared" si="951"/>
        <v>0</v>
      </c>
      <c r="DT191" s="9">
        <f t="shared" si="952"/>
        <v>0</v>
      </c>
      <c r="DU191" s="9">
        <f t="shared" si="953"/>
        <v>0</v>
      </c>
      <c r="DV191" s="9">
        <f t="shared" si="954"/>
        <v>23</v>
      </c>
      <c r="DW191" s="8">
        <v>5</v>
      </c>
      <c r="DX191" s="8">
        <v>4</v>
      </c>
      <c r="DY191" s="8">
        <v>4</v>
      </c>
      <c r="DZ191" s="8">
        <v>4</v>
      </c>
      <c r="EA191" s="8">
        <v>4</v>
      </c>
      <c r="EB191" s="8">
        <v>4</v>
      </c>
      <c r="EC191" s="8">
        <v>1</v>
      </c>
      <c r="ED191" s="8">
        <v>1</v>
      </c>
      <c r="EE191" s="8">
        <v>2</v>
      </c>
      <c r="EF191" s="8">
        <v>0</v>
      </c>
      <c r="EG191" s="8">
        <v>0</v>
      </c>
      <c r="EH191" s="8">
        <v>0</v>
      </c>
      <c r="EI191" s="8">
        <v>0</v>
      </c>
      <c r="EJ191" s="8">
        <v>0</v>
      </c>
      <c r="EK191" s="8">
        <v>0</v>
      </c>
      <c r="EL191" s="8">
        <v>0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8">
        <v>0</v>
      </c>
      <c r="ES191" s="8">
        <v>0</v>
      </c>
      <c r="ET191" s="8">
        <v>0</v>
      </c>
      <c r="EU191" s="8">
        <v>0</v>
      </c>
      <c r="EV191" s="8">
        <v>0</v>
      </c>
      <c r="EW191" s="8">
        <v>0</v>
      </c>
      <c r="EX191" s="8">
        <v>0</v>
      </c>
      <c r="EY191" s="8">
        <v>0</v>
      </c>
      <c r="EZ191" s="8">
        <v>0</v>
      </c>
      <c r="FA191" s="8">
        <v>0</v>
      </c>
      <c r="FB191" s="8">
        <v>0</v>
      </c>
      <c r="FC191" s="8">
        <v>0</v>
      </c>
      <c r="FD191" s="8">
        <v>0</v>
      </c>
      <c r="FE191" s="8">
        <v>0</v>
      </c>
      <c r="FF191" s="8">
        <v>0</v>
      </c>
      <c r="FG191" s="9">
        <f t="shared" si="955"/>
        <v>29</v>
      </c>
      <c r="FH191" s="8">
        <v>29</v>
      </c>
      <c r="FI191" s="8">
        <v>0</v>
      </c>
      <c r="FJ191" s="8">
        <v>24</v>
      </c>
      <c r="FK191" s="8">
        <v>24</v>
      </c>
      <c r="FL191" s="8">
        <v>0</v>
      </c>
      <c r="FM191" s="8">
        <v>0</v>
      </c>
      <c r="FN191" s="8">
        <v>0</v>
      </c>
      <c r="FO191" s="8">
        <v>0</v>
      </c>
      <c r="FP191" s="8">
        <v>0</v>
      </c>
      <c r="FQ191" s="9">
        <f t="shared" si="956"/>
        <v>0</v>
      </c>
      <c r="FR191" s="8">
        <v>4650267.76</v>
      </c>
      <c r="FS191" s="8">
        <v>0</v>
      </c>
      <c r="FT191" s="8">
        <v>0</v>
      </c>
      <c r="FU191" s="8">
        <v>0</v>
      </c>
      <c r="FV191" s="9">
        <f t="shared" si="957"/>
        <v>4650267.76</v>
      </c>
      <c r="FW191" s="8">
        <v>2786080.49</v>
      </c>
      <c r="FX191" s="8">
        <v>10100</v>
      </c>
      <c r="FY191" s="8">
        <v>490900</v>
      </c>
      <c r="FZ191" s="8">
        <v>3356000</v>
      </c>
      <c r="GA191" s="9">
        <f t="shared" si="958"/>
        <v>6643080.4900000002</v>
      </c>
      <c r="GB191" s="9">
        <f t="shared" si="959"/>
        <v>11293348.25</v>
      </c>
      <c r="GC191" s="8">
        <v>3946637.7</v>
      </c>
      <c r="GD191" s="8">
        <v>3946637.7</v>
      </c>
      <c r="GE191" s="8">
        <v>0</v>
      </c>
      <c r="GF191" s="8">
        <v>18567.91</v>
      </c>
      <c r="GG191" s="9">
        <f t="shared" si="960"/>
        <v>7911843.3100000005</v>
      </c>
      <c r="GH191" s="8">
        <v>3965205.61</v>
      </c>
      <c r="GI191" s="8">
        <v>0</v>
      </c>
      <c r="GJ191" s="8">
        <v>0</v>
      </c>
      <c r="GK191" s="8">
        <v>0</v>
      </c>
      <c r="GL191" s="9">
        <f t="shared" si="961"/>
        <v>3965205.61</v>
      </c>
      <c r="GM191" s="9">
        <f t="shared" si="962"/>
        <v>11877048.92</v>
      </c>
      <c r="GN191" s="8">
        <v>210557.73</v>
      </c>
      <c r="GO191" s="8">
        <v>210557.73</v>
      </c>
      <c r="GP191" s="8">
        <v>0</v>
      </c>
      <c r="GQ191" s="8">
        <v>4637.34</v>
      </c>
      <c r="GR191" s="9">
        <f t="shared" si="963"/>
        <v>425752.80000000005</v>
      </c>
      <c r="GS191" s="8">
        <v>327731</v>
      </c>
      <c r="GT191" s="8">
        <v>327731</v>
      </c>
      <c r="GU191" s="8">
        <v>0</v>
      </c>
      <c r="GV191" s="8">
        <v>893</v>
      </c>
      <c r="GW191" s="9">
        <f t="shared" si="964"/>
        <v>656355</v>
      </c>
      <c r="GX191" s="9">
        <f t="shared" si="965"/>
        <v>12959156.720000001</v>
      </c>
      <c r="GY191" s="8">
        <v>20530534.43</v>
      </c>
      <c r="GZ191" s="8">
        <v>458783.83</v>
      </c>
      <c r="HA191" s="9">
        <f t="shared" si="966"/>
        <v>20989318.259999998</v>
      </c>
      <c r="HB191" s="9">
        <f t="shared" si="967"/>
        <v>0.54127858020070307</v>
      </c>
      <c r="HC191" s="10">
        <f t="shared" si="968"/>
        <v>0.33721864437080662</v>
      </c>
      <c r="HD191" s="9">
        <f t="shared" si="969"/>
        <v>0.87145703181217482</v>
      </c>
      <c r="HE191" s="8">
        <v>3</v>
      </c>
      <c r="HF191" s="8">
        <v>1</v>
      </c>
      <c r="HG191" s="8">
        <v>36</v>
      </c>
      <c r="HH191" s="8">
        <v>3</v>
      </c>
      <c r="HI191" s="8">
        <v>5</v>
      </c>
      <c r="HJ191" s="9">
        <f t="shared" si="970"/>
        <v>6</v>
      </c>
      <c r="HK191" s="10">
        <f t="shared" si="971"/>
        <v>1</v>
      </c>
      <c r="HL191" s="8">
        <v>5</v>
      </c>
      <c r="HM191" s="8">
        <v>2</v>
      </c>
      <c r="HN191" s="11">
        <f t="shared" si="972"/>
        <v>0.4</v>
      </c>
    </row>
    <row r="192" spans="1:222" x14ac:dyDescent="0.3">
      <c r="A192" s="12" t="s">
        <v>280</v>
      </c>
      <c r="B192" s="12" t="s">
        <v>287</v>
      </c>
      <c r="C192" s="13" t="s">
        <v>257</v>
      </c>
      <c r="D192" s="13">
        <v>2026</v>
      </c>
      <c r="E192" s="13">
        <v>1</v>
      </c>
      <c r="F192" s="13" t="s">
        <v>270</v>
      </c>
      <c r="G192" s="13" t="s">
        <v>271</v>
      </c>
      <c r="H192" s="14">
        <v>9336</v>
      </c>
      <c r="I192" s="14">
        <v>3254</v>
      </c>
      <c r="J192" s="14">
        <v>0</v>
      </c>
      <c r="K192" s="14">
        <v>0</v>
      </c>
      <c r="L192" s="14">
        <v>4</v>
      </c>
      <c r="M192" s="15">
        <v>3258</v>
      </c>
      <c r="N192" s="14">
        <v>3028.9000000000019</v>
      </c>
      <c r="O192" s="14">
        <v>49</v>
      </c>
      <c r="P192" s="14">
        <v>78.099999999999994</v>
      </c>
      <c r="Q192" s="14">
        <v>121</v>
      </c>
      <c r="R192" s="15">
        <v>3277.0000000000018</v>
      </c>
      <c r="S192" s="15">
        <v>6535.0000000000018</v>
      </c>
      <c r="T192" s="14">
        <v>2800.9999999999982</v>
      </c>
      <c r="U192" s="16">
        <v>0.30002142245072821</v>
      </c>
      <c r="V192" s="14">
        <v>22</v>
      </c>
      <c r="W192" s="17">
        <v>2.356469580119966</v>
      </c>
      <c r="X192" s="14">
        <v>0</v>
      </c>
      <c r="Y192" s="17">
        <v>0</v>
      </c>
      <c r="Z192" s="14">
        <v>0</v>
      </c>
      <c r="AA192" s="17">
        <v>0</v>
      </c>
      <c r="AB192" s="14">
        <v>0</v>
      </c>
      <c r="AC192" s="17">
        <v>0</v>
      </c>
      <c r="AD192" s="14">
        <v>0</v>
      </c>
      <c r="AE192" s="17">
        <v>0</v>
      </c>
      <c r="AF192" s="14">
        <v>0</v>
      </c>
      <c r="AG192" s="17">
        <v>0</v>
      </c>
      <c r="AH192" s="14">
        <v>112456.74</v>
      </c>
      <c r="AI192" s="15">
        <v>12.04549485861182</v>
      </c>
      <c r="AJ192" s="14">
        <v>55</v>
      </c>
      <c r="AK192" s="17">
        <v>5.8911739502999147E-3</v>
      </c>
      <c r="AL192" s="14">
        <v>24057.8325</v>
      </c>
      <c r="AM192" s="15">
        <v>2.576888656812339</v>
      </c>
      <c r="AN192" s="14">
        <v>0</v>
      </c>
      <c r="AO192" s="14">
        <v>0</v>
      </c>
      <c r="AP192" s="14">
        <v>0</v>
      </c>
      <c r="AQ192" s="14">
        <v>0</v>
      </c>
      <c r="AR192" s="14">
        <v>4820587.2300000004</v>
      </c>
      <c r="AS192" s="14">
        <v>0</v>
      </c>
      <c r="AT192" s="14">
        <v>550000</v>
      </c>
      <c r="AU192" s="15">
        <v>5507101.8025000002</v>
      </c>
      <c r="AV192" s="15">
        <v>589.87808510068555</v>
      </c>
      <c r="AW192" s="15">
        <v>842.7087685539401</v>
      </c>
      <c r="AX192" s="14">
        <v>5</v>
      </c>
      <c r="AY192" s="15">
        <v>16.60239931448158</v>
      </c>
      <c r="AZ192" s="14">
        <v>8</v>
      </c>
      <c r="BA192" s="14">
        <v>36</v>
      </c>
      <c r="BB192" s="14">
        <v>1</v>
      </c>
      <c r="BC192" s="14">
        <v>0</v>
      </c>
      <c r="BD192" s="14">
        <v>0</v>
      </c>
      <c r="BE192" s="15">
        <v>0</v>
      </c>
      <c r="BF192" s="15">
        <v>37</v>
      </c>
      <c r="BG192" s="14">
        <v>0</v>
      </c>
      <c r="BH192" s="14">
        <v>0</v>
      </c>
      <c r="BI192" s="14">
        <v>0</v>
      </c>
      <c r="BJ192" s="14">
        <v>0</v>
      </c>
      <c r="BK192" s="15">
        <v>0</v>
      </c>
      <c r="BL192" s="15">
        <v>0</v>
      </c>
      <c r="BM192" s="14">
        <v>0</v>
      </c>
      <c r="BN192" s="14">
        <v>0</v>
      </c>
      <c r="BO192" s="14">
        <v>0</v>
      </c>
      <c r="BP192" s="14">
        <v>0</v>
      </c>
      <c r="BQ192" s="15">
        <v>0</v>
      </c>
      <c r="BR192" s="15">
        <v>0</v>
      </c>
      <c r="BS192" s="14">
        <v>0</v>
      </c>
      <c r="BT192" s="14">
        <v>0</v>
      </c>
      <c r="BU192" s="14">
        <v>0</v>
      </c>
      <c r="BV192" s="14">
        <v>0</v>
      </c>
      <c r="BW192" s="15">
        <v>0</v>
      </c>
      <c r="BX192" s="15">
        <v>0</v>
      </c>
      <c r="BY192" s="15">
        <v>36</v>
      </c>
      <c r="BZ192" s="15">
        <v>1</v>
      </c>
      <c r="CA192" s="15">
        <v>0</v>
      </c>
      <c r="CB192" s="15">
        <v>37</v>
      </c>
      <c r="CC192" s="14">
        <v>0</v>
      </c>
      <c r="CD192" s="14">
        <v>226</v>
      </c>
      <c r="CE192" s="14">
        <v>14</v>
      </c>
      <c r="CF192" s="14">
        <v>25</v>
      </c>
      <c r="CG192" s="14">
        <v>0</v>
      </c>
      <c r="CH192" s="15">
        <v>265</v>
      </c>
      <c r="CI192" s="14">
        <v>226</v>
      </c>
      <c r="CJ192" s="14">
        <v>14</v>
      </c>
      <c r="CK192" s="14">
        <v>25</v>
      </c>
      <c r="CL192" s="14">
        <v>0</v>
      </c>
      <c r="CM192" s="15">
        <v>265</v>
      </c>
      <c r="CN192" s="14">
        <v>393</v>
      </c>
      <c r="CO192" s="14">
        <v>25</v>
      </c>
      <c r="CP192" s="14">
        <v>23</v>
      </c>
      <c r="CQ192" s="14">
        <v>2</v>
      </c>
      <c r="CR192" s="15">
        <v>443</v>
      </c>
      <c r="CS192" s="15">
        <v>708</v>
      </c>
      <c r="CT192" s="14">
        <v>973</v>
      </c>
      <c r="CU192" s="14">
        <v>10013</v>
      </c>
      <c r="CV192" s="14">
        <v>7480</v>
      </c>
      <c r="CW192" s="16">
        <v>0.74702886247877764</v>
      </c>
      <c r="CX192" s="14">
        <v>0</v>
      </c>
      <c r="CY192" s="14">
        <v>0</v>
      </c>
      <c r="CZ192" s="14">
        <v>0</v>
      </c>
      <c r="DA192" s="14">
        <v>0</v>
      </c>
      <c r="DB192" s="15">
        <v>0</v>
      </c>
      <c r="DC192" s="14">
        <v>0</v>
      </c>
      <c r="DD192" s="14">
        <v>0</v>
      </c>
      <c r="DE192" s="14">
        <v>0</v>
      </c>
      <c r="DF192" s="14">
        <v>0</v>
      </c>
      <c r="DG192" s="15">
        <v>0</v>
      </c>
      <c r="DH192" s="14">
        <v>0</v>
      </c>
      <c r="DI192" s="14">
        <v>0</v>
      </c>
      <c r="DJ192" s="14">
        <v>0</v>
      </c>
      <c r="DK192" s="14">
        <v>0</v>
      </c>
      <c r="DL192" s="15">
        <v>0</v>
      </c>
      <c r="DM192" s="14">
        <v>23</v>
      </c>
      <c r="DN192" s="14">
        <v>0</v>
      </c>
      <c r="DO192" s="14">
        <v>7</v>
      </c>
      <c r="DP192" s="14">
        <v>1</v>
      </c>
      <c r="DQ192" s="15">
        <v>1</v>
      </c>
      <c r="DR192" s="15">
        <v>15</v>
      </c>
      <c r="DS192" s="15">
        <v>23</v>
      </c>
      <c r="DT192" s="15">
        <v>0</v>
      </c>
      <c r="DU192" s="15">
        <v>7</v>
      </c>
      <c r="DV192" s="15">
        <v>1</v>
      </c>
      <c r="DW192" s="14">
        <v>5</v>
      </c>
      <c r="DX192" s="14">
        <v>5</v>
      </c>
      <c r="DY192" s="14">
        <v>5</v>
      </c>
      <c r="DZ192" s="14">
        <v>1</v>
      </c>
      <c r="EA192" s="14">
        <v>3</v>
      </c>
      <c r="EB192" s="14">
        <v>5</v>
      </c>
      <c r="EC192" s="14">
        <v>0</v>
      </c>
      <c r="ED192" s="14">
        <v>2</v>
      </c>
      <c r="EE192" s="14">
        <v>2</v>
      </c>
      <c r="EF192" s="14">
        <v>0</v>
      </c>
      <c r="EG192" s="14">
        <v>0</v>
      </c>
      <c r="EH192" s="14">
        <v>0</v>
      </c>
      <c r="EI192" s="14">
        <v>0</v>
      </c>
      <c r="EJ192" s="14">
        <v>0</v>
      </c>
      <c r="EK192" s="14">
        <v>0</v>
      </c>
      <c r="EL192" s="14">
        <v>0</v>
      </c>
      <c r="EM192" s="14">
        <v>0</v>
      </c>
      <c r="EN192" s="14">
        <v>0</v>
      </c>
      <c r="EO192" s="14">
        <v>0</v>
      </c>
      <c r="EP192" s="14">
        <v>0</v>
      </c>
      <c r="EQ192" s="14">
        <v>0</v>
      </c>
      <c r="ER192" s="14">
        <v>0</v>
      </c>
      <c r="ES192" s="14">
        <v>0</v>
      </c>
      <c r="ET192" s="14">
        <v>0</v>
      </c>
      <c r="EU192" s="14">
        <v>0</v>
      </c>
      <c r="EV192" s="14">
        <v>0</v>
      </c>
      <c r="EW192" s="14">
        <v>0</v>
      </c>
      <c r="EX192" s="14">
        <v>0</v>
      </c>
      <c r="EY192" s="14">
        <v>0</v>
      </c>
      <c r="EZ192" s="14">
        <v>0</v>
      </c>
      <c r="FA192" s="14">
        <v>0</v>
      </c>
      <c r="FB192" s="14">
        <v>0</v>
      </c>
      <c r="FC192" s="14">
        <v>0</v>
      </c>
      <c r="FD192" s="14">
        <v>0</v>
      </c>
      <c r="FE192" s="14">
        <v>0</v>
      </c>
      <c r="FF192" s="14">
        <v>0</v>
      </c>
      <c r="FG192" s="15">
        <v>0</v>
      </c>
      <c r="FH192" s="14">
        <v>28</v>
      </c>
      <c r="FI192" s="14">
        <v>0</v>
      </c>
      <c r="FJ192" s="14">
        <v>24</v>
      </c>
      <c r="FK192" s="14">
        <v>24</v>
      </c>
      <c r="FL192" s="14">
        <v>0</v>
      </c>
      <c r="FM192" s="14">
        <v>0</v>
      </c>
      <c r="FN192" s="14">
        <v>0</v>
      </c>
      <c r="FO192" s="14">
        <v>0</v>
      </c>
      <c r="FP192" s="14">
        <v>0</v>
      </c>
      <c r="FQ192" s="15">
        <v>0</v>
      </c>
      <c r="FR192" s="14">
        <v>2839083.44</v>
      </c>
      <c r="FS192" s="14">
        <v>0</v>
      </c>
      <c r="FT192" s="14">
        <v>0</v>
      </c>
      <c r="FU192" s="14">
        <v>0</v>
      </c>
      <c r="FV192" s="15">
        <v>0</v>
      </c>
      <c r="FW192" s="14">
        <v>3911747</v>
      </c>
      <c r="FX192" s="14">
        <v>10500</v>
      </c>
      <c r="FY192" s="14">
        <v>580200</v>
      </c>
      <c r="FZ192" s="14">
        <v>237000</v>
      </c>
      <c r="GA192" s="15">
        <v>237000</v>
      </c>
      <c r="GB192" s="15">
        <v>4739447</v>
      </c>
      <c r="GC192" s="14">
        <v>2870605.71</v>
      </c>
      <c r="GD192" s="14">
        <v>2870605.71</v>
      </c>
      <c r="GE192" s="14">
        <v>0</v>
      </c>
      <c r="GF192" s="14">
        <v>8410.99</v>
      </c>
      <c r="GG192" s="15">
        <v>8410.99</v>
      </c>
      <c r="GH192" s="14">
        <v>2879016.7</v>
      </c>
      <c r="GI192" s="14">
        <v>0</v>
      </c>
      <c r="GJ192" s="14">
        <v>0</v>
      </c>
      <c r="GK192" s="14">
        <v>0</v>
      </c>
      <c r="GL192" s="15">
        <v>0</v>
      </c>
      <c r="GM192" s="15">
        <v>4739447</v>
      </c>
      <c r="GN192" s="14">
        <v>208378.01</v>
      </c>
      <c r="GO192" s="14">
        <v>208378.01</v>
      </c>
      <c r="GP192" s="14">
        <v>0</v>
      </c>
      <c r="GQ192" s="14">
        <v>4637.34</v>
      </c>
      <c r="GR192" s="15">
        <v>4637.34</v>
      </c>
      <c r="GS192" s="14">
        <v>324159</v>
      </c>
      <c r="GT192" s="14">
        <v>324159</v>
      </c>
      <c r="GU192" s="14">
        <v>0</v>
      </c>
      <c r="GV192" s="14">
        <v>893</v>
      </c>
      <c r="GW192" s="15">
        <v>893</v>
      </c>
      <c r="GX192" s="15">
        <v>325052</v>
      </c>
      <c r="GY192" s="14">
        <v>12219287.51</v>
      </c>
      <c r="GZ192" s="14">
        <v>458783.83</v>
      </c>
      <c r="HA192" s="15">
        <v>458783.83</v>
      </c>
      <c r="HB192" s="15">
        <v>12678071.34</v>
      </c>
      <c r="HC192" s="16">
        <v>8156531.0499999998</v>
      </c>
      <c r="HD192" s="15">
        <v>12219287.51</v>
      </c>
      <c r="HE192" s="14">
        <v>1</v>
      </c>
      <c r="HF192" s="14">
        <v>1</v>
      </c>
      <c r="HG192" s="14">
        <v>37</v>
      </c>
      <c r="HH192" s="14">
        <v>1</v>
      </c>
      <c r="HI192" s="14">
        <v>5</v>
      </c>
      <c r="HJ192" s="15">
        <v>5</v>
      </c>
      <c r="HK192" s="16">
        <v>5</v>
      </c>
      <c r="HL192" s="14">
        <v>6</v>
      </c>
      <c r="HM192" s="14">
        <v>3</v>
      </c>
      <c r="HN192" s="17">
        <v>3</v>
      </c>
    </row>
    <row r="193" spans="1:222" x14ac:dyDescent="0.3">
      <c r="A193" s="6" t="s">
        <v>280</v>
      </c>
      <c r="B193" s="6" t="s">
        <v>287</v>
      </c>
      <c r="C193" s="7" t="s">
        <v>257</v>
      </c>
      <c r="D193" s="7">
        <v>2026</v>
      </c>
      <c r="E193" s="7">
        <v>2</v>
      </c>
      <c r="F193" s="7" t="s">
        <v>272</v>
      </c>
      <c r="G193" s="7" t="s">
        <v>271</v>
      </c>
      <c r="H193" s="8">
        <v>9207</v>
      </c>
      <c r="I193" s="8">
        <v>2907</v>
      </c>
      <c r="J193" s="8">
        <v>0</v>
      </c>
      <c r="K193" s="8">
        <v>0</v>
      </c>
      <c r="L193" s="8">
        <v>8</v>
      </c>
      <c r="M193" s="9">
        <f t="shared" ref="M193:M203" si="973">SUM(I193,J193,K193,L193)</f>
        <v>2915</v>
      </c>
      <c r="N193" s="8">
        <v>2836.6999999999989</v>
      </c>
      <c r="O193" s="8">
        <v>12</v>
      </c>
      <c r="P193" s="8">
        <v>654.79999999999995</v>
      </c>
      <c r="Q193" s="8">
        <v>61</v>
      </c>
      <c r="R193" s="9">
        <f t="shared" ref="R193:R203" si="974">SUM(N193,O193,P193,Q193)</f>
        <v>3564.4999999999991</v>
      </c>
      <c r="S193" s="9">
        <f t="shared" ref="S193:S203" si="975">M193+R193</f>
        <v>6479.4999999999991</v>
      </c>
      <c r="T193" s="8">
        <v>2727.5000000000009</v>
      </c>
      <c r="U193" s="10">
        <f t="shared" ref="U193:U203" si="976">IF(H193=0,"",T193/H193)</f>
        <v>0.29624198979037697</v>
      </c>
      <c r="V193" s="8">
        <v>24</v>
      </c>
      <c r="W193" s="11">
        <f t="shared" ref="W193:W203" si="977">IF(H193=0,"",V193/H193)</f>
        <v>2.606712284131639E-3</v>
      </c>
      <c r="X193" s="8">
        <v>0</v>
      </c>
      <c r="Y193" s="11">
        <f t="shared" ref="Y193:Y203" si="978">IF(H193=0,"",X193/H193)</f>
        <v>0</v>
      </c>
      <c r="Z193" s="8">
        <v>0</v>
      </c>
      <c r="AA193" s="11">
        <f t="shared" ref="AA193:AA203" si="979">IF(H193=0,"",Z193/H193)</f>
        <v>0</v>
      </c>
      <c r="AB193" s="8">
        <v>0</v>
      </c>
      <c r="AC193" s="11">
        <f t="shared" ref="AC193:AC203" si="980">IF(H193=0,"",AB193/H193)</f>
        <v>0</v>
      </c>
      <c r="AD193" s="8">
        <v>0</v>
      </c>
      <c r="AE193" s="11">
        <f t="shared" ref="AE193:AE203" si="981">IF(H193=0,"",AD193/H193)</f>
        <v>0</v>
      </c>
      <c r="AF193" s="8">
        <v>0</v>
      </c>
      <c r="AG193" s="11">
        <f t="shared" ref="AG193:AG203" si="982">IF(H193=0,"",AF193/H193)</f>
        <v>0</v>
      </c>
      <c r="AH193" s="8">
        <v>122680.08</v>
      </c>
      <c r="AI193" s="9">
        <f t="shared" ref="AI193:AI203" si="983">IF(H193=0,"",AH193/H193)</f>
        <v>13.324652981427175</v>
      </c>
      <c r="AJ193" s="8">
        <v>60</v>
      </c>
      <c r="AK193" s="11">
        <f t="shared" ref="AK193:AK203" si="984">IF(H193=0,"",AJ193/H193)</f>
        <v>6.5167807103290974E-3</v>
      </c>
      <c r="AL193" s="8">
        <v>24751.59</v>
      </c>
      <c r="AM193" s="9">
        <f t="shared" ref="AM193:AM203" si="985">IF(H193=0,"",AL193/H193)</f>
        <v>2.6883447376995764</v>
      </c>
      <c r="AN193" s="8">
        <v>0</v>
      </c>
      <c r="AO193" s="8">
        <v>0</v>
      </c>
      <c r="AP193" s="8">
        <v>0</v>
      </c>
      <c r="AQ193" s="8">
        <v>0</v>
      </c>
      <c r="AR193" s="8">
        <v>3985768.16</v>
      </c>
      <c r="AS193" s="8">
        <v>2305560</v>
      </c>
      <c r="AT193" s="8">
        <v>353061.72</v>
      </c>
      <c r="AU193" s="9">
        <f t="shared" ref="AU193:AU203" si="986">AH193+AL193+AP193+AQ193+AR193+AS193+AT193</f>
        <v>6791821.5499999998</v>
      </c>
      <c r="AV193" s="9">
        <f t="shared" ref="AV193:AV203" si="987">IF(H193=0,"",AU193/H193)</f>
        <v>737.6801944172912</v>
      </c>
      <c r="AW193" s="9">
        <f t="shared" ref="AW193:AW203" si="988">IF(S193=0,"",AU193/S193)</f>
        <v>1048.2014893124472</v>
      </c>
      <c r="AX193" s="8">
        <v>5</v>
      </c>
      <c r="AY193" s="9">
        <f t="shared" ref="AY193:AY203" si="989">IF(H193=0,"",AX193/(H193/1000/12))</f>
        <v>6.5167807103290967</v>
      </c>
      <c r="AZ193" s="8">
        <v>8</v>
      </c>
      <c r="BA193" s="8">
        <v>37</v>
      </c>
      <c r="BB193" s="8">
        <v>2</v>
      </c>
      <c r="BC193" s="8">
        <v>0</v>
      </c>
      <c r="BD193" s="8">
        <v>5</v>
      </c>
      <c r="BE193" s="9">
        <f t="shared" ref="BE193:BE203" si="990">BC193+BD193</f>
        <v>5</v>
      </c>
      <c r="BF193" s="9">
        <f t="shared" ref="BF193:BF203" si="991">BA193+BB193-BE193</f>
        <v>34</v>
      </c>
      <c r="BG193" s="8">
        <v>0</v>
      </c>
      <c r="BH193" s="8">
        <v>0</v>
      </c>
      <c r="BI193" s="8">
        <v>0</v>
      </c>
      <c r="BJ193" s="8">
        <v>0</v>
      </c>
      <c r="BK193" s="9">
        <f t="shared" ref="BK193:BK203" si="992">BI193+BJ193</f>
        <v>0</v>
      </c>
      <c r="BL193" s="9">
        <f t="shared" ref="BL193:BL203" si="993">BG193+BH193-BK193</f>
        <v>0</v>
      </c>
      <c r="BM193" s="8">
        <v>0</v>
      </c>
      <c r="BN193" s="8">
        <v>0</v>
      </c>
      <c r="BO193" s="8">
        <v>0</v>
      </c>
      <c r="BP193" s="8">
        <v>0</v>
      </c>
      <c r="BQ193" s="9">
        <f t="shared" ref="BQ193:BQ203" si="994">BO193+BP193</f>
        <v>0</v>
      </c>
      <c r="BR193" s="9">
        <f t="shared" ref="BR193:BR203" si="995">BM193+BN193-BQ193</f>
        <v>0</v>
      </c>
      <c r="BS193" s="8">
        <v>0</v>
      </c>
      <c r="BT193" s="8">
        <v>0</v>
      </c>
      <c r="BU193" s="8">
        <v>0</v>
      </c>
      <c r="BV193" s="8">
        <v>0</v>
      </c>
      <c r="BW193" s="9">
        <f t="shared" ref="BW193:BW203" si="996">BU193+BV193</f>
        <v>0</v>
      </c>
      <c r="BX193" s="9">
        <f t="shared" ref="BX193:BX203" si="997">BS193+BT193-BW193</f>
        <v>0</v>
      </c>
      <c r="BY193" s="9">
        <f t="shared" ref="BY193:BY203" si="998">BA193+BG193+BM193+BS193</f>
        <v>37</v>
      </c>
      <c r="BZ193" s="9">
        <f t="shared" ref="BZ193:BZ203" si="999">BB193+BH193+BN193+BT193</f>
        <v>2</v>
      </c>
      <c r="CA193" s="9">
        <f t="shared" ref="CA193:CA203" si="1000">BE193+BK193+BQ193+BW193</f>
        <v>5</v>
      </c>
      <c r="CB193" s="9">
        <f t="shared" ref="CB193:CB203" si="1001">BF193+BL193+BR193+BX193</f>
        <v>34</v>
      </c>
      <c r="CC193" s="8">
        <v>0</v>
      </c>
      <c r="CD193" s="8">
        <v>219</v>
      </c>
      <c r="CE193" s="8">
        <v>14</v>
      </c>
      <c r="CF193" s="8">
        <v>25</v>
      </c>
      <c r="CG193" s="8">
        <v>0</v>
      </c>
      <c r="CH193" s="9">
        <f t="shared" ref="CH193:CH203" si="1002">CD193+CE193+CF193+CG193</f>
        <v>258</v>
      </c>
      <c r="CI193" s="8">
        <v>334</v>
      </c>
      <c r="CJ193" s="8">
        <v>0</v>
      </c>
      <c r="CK193" s="8">
        <v>1</v>
      </c>
      <c r="CL193" s="8">
        <v>0</v>
      </c>
      <c r="CM193" s="9">
        <f t="shared" ref="CM193:CM203" si="1003">CI193+CJ193+CK193+CL193</f>
        <v>335</v>
      </c>
      <c r="CN193" s="8">
        <v>434</v>
      </c>
      <c r="CO193" s="8">
        <v>25</v>
      </c>
      <c r="CP193" s="8">
        <v>23</v>
      </c>
      <c r="CQ193" s="8">
        <v>2</v>
      </c>
      <c r="CR193" s="9">
        <f t="shared" ref="CR193:CR203" si="1004">CN193+CO193+CP193+CQ193</f>
        <v>484</v>
      </c>
      <c r="CS193" s="9">
        <f t="shared" ref="CS193:CS203" si="1005">CM193+CR193</f>
        <v>819</v>
      </c>
      <c r="CT193" s="8">
        <v>1077</v>
      </c>
      <c r="CU193" s="8">
        <v>10013</v>
      </c>
      <c r="CV193" s="8">
        <v>7480</v>
      </c>
      <c r="CW193" s="10">
        <f t="shared" ref="CW193:CW203" si="1006">IF(CU193=0,"",CV193/CU193)</f>
        <v>0.74702886247877764</v>
      </c>
      <c r="CX193" s="8"/>
      <c r="CY193" s="8"/>
      <c r="CZ193" s="8"/>
      <c r="DA193" s="8"/>
      <c r="DB193" s="9">
        <f t="shared" ref="DB193:DB203" si="1007">CX193+CY193-CZ193-DA193</f>
        <v>0</v>
      </c>
      <c r="DC193" s="8">
        <v>0</v>
      </c>
      <c r="DD193" s="8">
        <v>0</v>
      </c>
      <c r="DE193" s="8">
        <v>0</v>
      </c>
      <c r="DF193" s="8">
        <v>0</v>
      </c>
      <c r="DG193" s="9">
        <f t="shared" ref="DG193:DG203" si="1008">DC193+DD193-DE193-DF193</f>
        <v>0</v>
      </c>
      <c r="DH193" s="8">
        <v>0</v>
      </c>
      <c r="DI193" s="8">
        <v>0</v>
      </c>
      <c r="DJ193" s="8">
        <v>0</v>
      </c>
      <c r="DK193" s="8">
        <v>0</v>
      </c>
      <c r="DL193" s="9">
        <f t="shared" ref="DL193:DL203" si="1009">DH193+DI193-DJ193-DK193</f>
        <v>0</v>
      </c>
      <c r="DM193" s="8">
        <v>15</v>
      </c>
      <c r="DN193" s="8">
        <v>0</v>
      </c>
      <c r="DO193" s="8">
        <v>0</v>
      </c>
      <c r="DP193" s="8">
        <v>0</v>
      </c>
      <c r="DQ193" s="9">
        <f t="shared" ref="DQ193:DQ203" si="1010">DM193+DN193-DO193-DP193</f>
        <v>15</v>
      </c>
      <c r="DR193" s="9">
        <f t="shared" ref="DR193:DR203" si="1011">CX193+DC193+DH193+DM193</f>
        <v>15</v>
      </c>
      <c r="DS193" s="9">
        <f t="shared" ref="DS193:DS203" si="1012">CY193+DD193+DI193+DN193</f>
        <v>0</v>
      </c>
      <c r="DT193" s="9">
        <f t="shared" ref="DT193:DT203" si="1013">CZ193+DE193+DJ193+DO193</f>
        <v>0</v>
      </c>
      <c r="DU193" s="9">
        <f t="shared" ref="DU193:DU203" si="1014">DA193+DF193+DK193+DP193</f>
        <v>0</v>
      </c>
      <c r="DV193" s="9">
        <f t="shared" ref="DV193:DV203" si="1015">DB193+DG193+DL193+DQ193</f>
        <v>15</v>
      </c>
      <c r="DW193" s="8">
        <v>6</v>
      </c>
      <c r="DX193" s="8">
        <v>5</v>
      </c>
      <c r="DY193" s="8">
        <v>4</v>
      </c>
      <c r="DZ193" s="8">
        <v>3</v>
      </c>
      <c r="EA193" s="8">
        <v>4</v>
      </c>
      <c r="EB193" s="8">
        <v>4</v>
      </c>
      <c r="EC193" s="8">
        <v>0</v>
      </c>
      <c r="ED193" s="8">
        <v>2</v>
      </c>
      <c r="EE193" s="8">
        <v>2</v>
      </c>
      <c r="EF193" s="8">
        <v>0</v>
      </c>
      <c r="EG193" s="8">
        <v>0</v>
      </c>
      <c r="EH193" s="8">
        <v>0</v>
      </c>
      <c r="EI193" s="8">
        <v>0</v>
      </c>
      <c r="EJ193" s="8">
        <v>0</v>
      </c>
      <c r="EK193" s="8">
        <v>0</v>
      </c>
      <c r="EL193" s="8">
        <v>0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8">
        <v>0</v>
      </c>
      <c r="ES193" s="8">
        <v>0</v>
      </c>
      <c r="ET193" s="8">
        <v>0</v>
      </c>
      <c r="EU193" s="8">
        <v>0</v>
      </c>
      <c r="EV193" s="8">
        <v>0</v>
      </c>
      <c r="EW193" s="8">
        <v>0</v>
      </c>
      <c r="EX193" s="8">
        <v>0</v>
      </c>
      <c r="EY193" s="8">
        <v>0</v>
      </c>
      <c r="EZ193" s="8">
        <v>0</v>
      </c>
      <c r="FA193" s="8">
        <v>0</v>
      </c>
      <c r="FB193" s="8">
        <v>0</v>
      </c>
      <c r="FC193" s="8">
        <v>0</v>
      </c>
      <c r="FD193" s="8">
        <v>0</v>
      </c>
      <c r="FE193" s="8">
        <v>0</v>
      </c>
      <c r="FF193" s="8">
        <v>0</v>
      </c>
      <c r="FG193" s="9">
        <f t="shared" ref="FG193:FG203" si="1016">SUM(DW193,DX193,DY193,DZ193,EA193,EB193,EC193,ED193,EE193,EF193,EG193,EH193,EI193,EJ193,EK193,EL193,EM193,EN193,EO193,EP193,EQ193,ER193,ES193,ET193,EU193,EV193,EW193,EX193,EY193,EZ193,FA193,FB193,FC193,FD193,FE193,FF193)</f>
        <v>30</v>
      </c>
      <c r="FH193" s="8">
        <v>0</v>
      </c>
      <c r="FI193" s="8">
        <v>0</v>
      </c>
      <c r="FJ193" s="8">
        <v>24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9">
        <f t="shared" ref="FQ193:FQ203" si="1017">FL193+FM193+FN193+FO193+FP193</f>
        <v>0</v>
      </c>
      <c r="FR193" s="8">
        <v>3139220</v>
      </c>
      <c r="FS193" s="8">
        <v>0</v>
      </c>
      <c r="FT193" s="8">
        <v>0</v>
      </c>
      <c r="FU193" s="8">
        <v>0</v>
      </c>
      <c r="FV193" s="9">
        <f t="shared" ref="FV193:FV203" si="1018">FR193+FS193+FT193+FU193</f>
        <v>3139220</v>
      </c>
      <c r="FW193" s="8">
        <v>3119782</v>
      </c>
      <c r="FX193" s="8">
        <v>2500</v>
      </c>
      <c r="FY193" s="8">
        <v>299500</v>
      </c>
      <c r="FZ193" s="8">
        <v>4389800</v>
      </c>
      <c r="GA193" s="9">
        <f t="shared" ref="GA193:GA203" si="1019">FW193+FX193+FY193+FZ193</f>
        <v>7811582</v>
      </c>
      <c r="GB193" s="9">
        <f t="shared" ref="GB193:GB203" si="1020">FV193+GA193</f>
        <v>10950802</v>
      </c>
      <c r="GC193" s="8">
        <v>2583063.77</v>
      </c>
      <c r="GD193" s="8">
        <v>0</v>
      </c>
      <c r="GE193" s="8">
        <v>0</v>
      </c>
      <c r="GF193" s="8">
        <v>21953.55</v>
      </c>
      <c r="GG193" s="9">
        <f t="shared" ref="GG193:GG203" si="1021">GC193+GD193+GE193+GF193</f>
        <v>2605017.3199999998</v>
      </c>
      <c r="GH193" s="8">
        <v>0</v>
      </c>
      <c r="GI193" s="8">
        <v>0</v>
      </c>
      <c r="GJ193" s="8">
        <v>0</v>
      </c>
      <c r="GK193" s="8">
        <v>0</v>
      </c>
      <c r="GL193" s="9">
        <f t="shared" ref="GL193:GL203" si="1022">GH193+GI193+GJ193+GK193</f>
        <v>0</v>
      </c>
      <c r="GM193" s="9">
        <f t="shared" ref="GM193:GM203" si="1023">GG193+GL193</f>
        <v>2605017.3199999998</v>
      </c>
      <c r="GN193" s="8">
        <v>188977.28</v>
      </c>
      <c r="GO193" s="8">
        <v>0</v>
      </c>
      <c r="GP193" s="8">
        <v>0</v>
      </c>
      <c r="GQ193" s="8">
        <v>4637.34</v>
      </c>
      <c r="GR193" s="9">
        <f t="shared" ref="GR193:GR203" si="1024">GN193+GO193+GP193+GQ193</f>
        <v>193614.62</v>
      </c>
      <c r="GS193" s="8">
        <v>298262</v>
      </c>
      <c r="GT193" s="8">
        <v>0</v>
      </c>
      <c r="GU193" s="8">
        <v>0</v>
      </c>
      <c r="GV193" s="8">
        <v>893</v>
      </c>
      <c r="GW193" s="9">
        <f t="shared" ref="GW193:GW203" si="1025">GS193+GT193+GU193+GV193</f>
        <v>299155</v>
      </c>
      <c r="GX193" s="9">
        <f t="shared" ref="GX193:GX203" si="1026">GM193+GR193+GW193</f>
        <v>3097786.94</v>
      </c>
      <c r="GY193" s="8">
        <v>23072327.170000002</v>
      </c>
      <c r="GZ193" s="8">
        <v>458783.83</v>
      </c>
      <c r="HA193" s="9">
        <f t="shared" ref="HA193:HA203" si="1027">GY193+GZ193</f>
        <v>23531111</v>
      </c>
      <c r="HB193" s="9">
        <f t="shared" ref="HB193:HB203" si="1028">IF(GX193=0,"",AU193/GX193)</f>
        <v>2.192475364364471</v>
      </c>
      <c r="HC193" s="10">
        <f t="shared" ref="HC193:HC203" si="1029">IF((GX193+GY193)=0,"",GB193/(GX193+GY193))</f>
        <v>0.41844685712759389</v>
      </c>
      <c r="HD193" s="9">
        <f t="shared" ref="HD193:HD203" si="1030">IF(GX193=0,"",GB193/GX193)</f>
        <v>3.5350404053288442</v>
      </c>
      <c r="HE193" s="8">
        <v>2</v>
      </c>
      <c r="HF193" s="8">
        <v>1</v>
      </c>
      <c r="HG193" s="8">
        <v>34</v>
      </c>
      <c r="HH193" s="8">
        <v>2</v>
      </c>
      <c r="HI193" s="8">
        <v>5</v>
      </c>
      <c r="HJ193" s="9">
        <f t="shared" ref="HJ193:HJ203" si="1031">HF193+HI193</f>
        <v>6</v>
      </c>
      <c r="HK193" s="10">
        <f t="shared" ref="HK193:HK203" si="1032">IF(HE193=0,"",HH193/HE193)</f>
        <v>1</v>
      </c>
      <c r="HL193" s="8">
        <v>3</v>
      </c>
      <c r="HM193" s="8">
        <v>1</v>
      </c>
      <c r="HN193" s="11">
        <f t="shared" ref="HN193:HN203" si="1033">IF(HL193=0,"",HM193/HL193)</f>
        <v>0.33333333333333331</v>
      </c>
    </row>
    <row r="194" spans="1:222" x14ac:dyDescent="0.3">
      <c r="A194" s="12" t="s">
        <v>280</v>
      </c>
      <c r="B194" s="12" t="s">
        <v>287</v>
      </c>
      <c r="C194" s="13" t="s">
        <v>257</v>
      </c>
      <c r="D194" s="13">
        <v>2026</v>
      </c>
      <c r="E194" s="13">
        <v>3</v>
      </c>
      <c r="F194" s="13" t="s">
        <v>273</v>
      </c>
      <c r="G194" s="13" t="s">
        <v>271</v>
      </c>
      <c r="H194" s="14">
        <v>9056</v>
      </c>
      <c r="I194" s="14">
        <v>2891</v>
      </c>
      <c r="J194" s="14">
        <v>0</v>
      </c>
      <c r="K194" s="14">
        <v>0</v>
      </c>
      <c r="L194" s="14">
        <v>5</v>
      </c>
      <c r="M194" s="15">
        <f t="shared" si="973"/>
        <v>2896</v>
      </c>
      <c r="N194" s="14">
        <v>3114.7999999999988</v>
      </c>
      <c r="O194" s="14">
        <v>26</v>
      </c>
      <c r="P194" s="14">
        <v>241.1</v>
      </c>
      <c r="Q194" s="14">
        <v>188.2</v>
      </c>
      <c r="R194" s="15">
        <f t="shared" si="974"/>
        <v>3570.0999999999985</v>
      </c>
      <c r="S194" s="15">
        <f t="shared" si="975"/>
        <v>6466.0999999999985</v>
      </c>
      <c r="T194" s="14">
        <v>2589.900000000001</v>
      </c>
      <c r="U194" s="16">
        <f t="shared" si="976"/>
        <v>0.28598719081272095</v>
      </c>
      <c r="V194" s="14">
        <v>24</v>
      </c>
      <c r="W194" s="17">
        <f t="shared" si="977"/>
        <v>2.6501766784452299E-3</v>
      </c>
      <c r="X194" s="14">
        <v>0</v>
      </c>
      <c r="Y194" s="17">
        <f t="shared" si="978"/>
        <v>0</v>
      </c>
      <c r="Z194" s="14">
        <v>0</v>
      </c>
      <c r="AA194" s="17">
        <f t="shared" si="979"/>
        <v>0</v>
      </c>
      <c r="AB194" s="14">
        <v>0</v>
      </c>
      <c r="AC194" s="17">
        <f t="shared" si="980"/>
        <v>0</v>
      </c>
      <c r="AD194" s="14">
        <v>0</v>
      </c>
      <c r="AE194" s="17">
        <f t="shared" si="981"/>
        <v>0</v>
      </c>
      <c r="AF194" s="14">
        <v>0</v>
      </c>
      <c r="AG194" s="17">
        <f t="shared" si="982"/>
        <v>0</v>
      </c>
      <c r="AH194" s="14">
        <v>122680.08</v>
      </c>
      <c r="AI194" s="15">
        <f t="shared" si="983"/>
        <v>13.546828621908128</v>
      </c>
      <c r="AJ194" s="14">
        <v>55</v>
      </c>
      <c r="AK194" s="17">
        <f t="shared" si="984"/>
        <v>6.0733215547703178E-3</v>
      </c>
      <c r="AL194" s="14">
        <v>16426.5</v>
      </c>
      <c r="AM194" s="15">
        <f t="shared" si="985"/>
        <v>1.8138803003533568</v>
      </c>
      <c r="AN194" s="14">
        <v>0</v>
      </c>
      <c r="AO194" s="14">
        <v>0</v>
      </c>
      <c r="AP194" s="14">
        <v>0</v>
      </c>
      <c r="AQ194" s="14">
        <v>0</v>
      </c>
      <c r="AR194" s="14">
        <v>4789723.32</v>
      </c>
      <c r="AS194" s="14">
        <v>0</v>
      </c>
      <c r="AT194" s="14">
        <v>0</v>
      </c>
      <c r="AU194" s="15">
        <f t="shared" si="986"/>
        <v>4928829.9000000004</v>
      </c>
      <c r="AV194" s="15">
        <f t="shared" si="987"/>
        <v>544.26125220848064</v>
      </c>
      <c r="AW194" s="15">
        <f t="shared" si="988"/>
        <v>762.25698643695603</v>
      </c>
      <c r="AX194" s="14">
        <v>5</v>
      </c>
      <c r="AY194" s="15">
        <f t="shared" si="989"/>
        <v>6.6254416961130751</v>
      </c>
      <c r="AZ194" s="14">
        <v>8</v>
      </c>
      <c r="BA194" s="14">
        <v>34</v>
      </c>
      <c r="BB194" s="14">
        <v>4</v>
      </c>
      <c r="BC194" s="14">
        <v>0</v>
      </c>
      <c r="BD194" s="14">
        <v>11</v>
      </c>
      <c r="BE194" s="15">
        <f t="shared" si="990"/>
        <v>11</v>
      </c>
      <c r="BF194" s="15">
        <f t="shared" si="991"/>
        <v>27</v>
      </c>
      <c r="BG194" s="14">
        <v>0</v>
      </c>
      <c r="BH194" s="14">
        <v>0</v>
      </c>
      <c r="BI194" s="14">
        <v>0</v>
      </c>
      <c r="BJ194" s="14">
        <v>0</v>
      </c>
      <c r="BK194" s="15">
        <f t="shared" si="992"/>
        <v>0</v>
      </c>
      <c r="BL194" s="15">
        <f t="shared" si="993"/>
        <v>0</v>
      </c>
      <c r="BM194" s="14">
        <v>0</v>
      </c>
      <c r="BN194" s="14">
        <v>0</v>
      </c>
      <c r="BO194" s="14">
        <v>0</v>
      </c>
      <c r="BP194" s="14">
        <v>0</v>
      </c>
      <c r="BQ194" s="15">
        <f t="shared" si="994"/>
        <v>0</v>
      </c>
      <c r="BR194" s="15">
        <f t="shared" si="995"/>
        <v>0</v>
      </c>
      <c r="BS194" s="14">
        <v>0</v>
      </c>
      <c r="BT194" s="14">
        <v>0</v>
      </c>
      <c r="BU194" s="14">
        <v>0</v>
      </c>
      <c r="BV194" s="14">
        <v>0</v>
      </c>
      <c r="BW194" s="15">
        <f t="shared" si="996"/>
        <v>0</v>
      </c>
      <c r="BX194" s="15">
        <f t="shared" si="997"/>
        <v>0</v>
      </c>
      <c r="BY194" s="15">
        <f t="shared" si="998"/>
        <v>34</v>
      </c>
      <c r="BZ194" s="15">
        <f t="shared" si="999"/>
        <v>4</v>
      </c>
      <c r="CA194" s="15">
        <f t="shared" si="1000"/>
        <v>11</v>
      </c>
      <c r="CB194" s="15">
        <f t="shared" si="1001"/>
        <v>27</v>
      </c>
      <c r="CC194" s="14">
        <v>0</v>
      </c>
      <c r="CD194" s="14">
        <v>219</v>
      </c>
      <c r="CE194" s="14">
        <v>14</v>
      </c>
      <c r="CF194" s="14">
        <v>25</v>
      </c>
      <c r="CG194" s="14">
        <v>0</v>
      </c>
      <c r="CH194" s="15">
        <f t="shared" si="1002"/>
        <v>258</v>
      </c>
      <c r="CI194" s="14">
        <v>330</v>
      </c>
      <c r="CJ194" s="14">
        <v>0</v>
      </c>
      <c r="CK194" s="14">
        <v>1</v>
      </c>
      <c r="CL194" s="14">
        <v>0</v>
      </c>
      <c r="CM194" s="15">
        <f t="shared" si="1003"/>
        <v>331</v>
      </c>
      <c r="CN194" s="14">
        <v>449</v>
      </c>
      <c r="CO194" s="14">
        <v>25</v>
      </c>
      <c r="CP194" s="14">
        <v>23</v>
      </c>
      <c r="CQ194" s="14">
        <v>2</v>
      </c>
      <c r="CR194" s="15">
        <f t="shared" si="1004"/>
        <v>499</v>
      </c>
      <c r="CS194" s="15">
        <f t="shared" si="1005"/>
        <v>830</v>
      </c>
      <c r="CT194" s="14">
        <v>1088</v>
      </c>
      <c r="CU194" s="14">
        <v>10013</v>
      </c>
      <c r="CV194" s="14">
        <v>7480</v>
      </c>
      <c r="CW194" s="16">
        <f t="shared" si="1006"/>
        <v>0.74702886247877764</v>
      </c>
      <c r="CX194" s="14"/>
      <c r="CY194" s="14"/>
      <c r="CZ194" s="14"/>
      <c r="DA194" s="14"/>
      <c r="DB194" s="15">
        <f t="shared" si="1007"/>
        <v>0</v>
      </c>
      <c r="DC194" s="14">
        <v>0</v>
      </c>
      <c r="DD194" s="14">
        <v>0</v>
      </c>
      <c r="DE194" s="14">
        <v>0</v>
      </c>
      <c r="DF194" s="14">
        <v>0</v>
      </c>
      <c r="DG194" s="15">
        <f t="shared" si="1008"/>
        <v>0</v>
      </c>
      <c r="DH194" s="14">
        <v>0</v>
      </c>
      <c r="DI194" s="14">
        <v>0</v>
      </c>
      <c r="DJ194" s="14">
        <v>0</v>
      </c>
      <c r="DK194" s="14">
        <v>0</v>
      </c>
      <c r="DL194" s="15">
        <f t="shared" si="1009"/>
        <v>0</v>
      </c>
      <c r="DM194" s="14">
        <v>15</v>
      </c>
      <c r="DN194" s="14">
        <v>1</v>
      </c>
      <c r="DO194" s="14">
        <v>3</v>
      </c>
      <c r="DP194" s="14">
        <v>1</v>
      </c>
      <c r="DQ194" s="15">
        <f t="shared" si="1010"/>
        <v>12</v>
      </c>
      <c r="DR194" s="15">
        <f t="shared" si="1011"/>
        <v>15</v>
      </c>
      <c r="DS194" s="15">
        <f t="shared" si="1012"/>
        <v>1</v>
      </c>
      <c r="DT194" s="15">
        <f t="shared" si="1013"/>
        <v>3</v>
      </c>
      <c r="DU194" s="15">
        <f t="shared" si="1014"/>
        <v>1</v>
      </c>
      <c r="DV194" s="15">
        <f t="shared" si="1015"/>
        <v>12</v>
      </c>
      <c r="DW194" s="14">
        <v>7</v>
      </c>
      <c r="DX194" s="14">
        <v>5</v>
      </c>
      <c r="DY194" s="14">
        <v>5</v>
      </c>
      <c r="DZ194" s="14">
        <v>2</v>
      </c>
      <c r="EA194" s="14">
        <v>3</v>
      </c>
      <c r="EB194" s="14">
        <v>3</v>
      </c>
      <c r="EC194" s="14">
        <v>0</v>
      </c>
      <c r="ED194" s="14">
        <v>2</v>
      </c>
      <c r="EE194" s="14">
        <v>1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14">
        <v>0</v>
      </c>
      <c r="EU194" s="14">
        <v>0</v>
      </c>
      <c r="EV194" s="14">
        <v>0</v>
      </c>
      <c r="EW194" s="14">
        <v>0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5">
        <f t="shared" si="1016"/>
        <v>28</v>
      </c>
      <c r="FH194" s="14">
        <v>0</v>
      </c>
      <c r="FI194" s="14">
        <v>0</v>
      </c>
      <c r="FJ194" s="14">
        <v>24</v>
      </c>
      <c r="FK194" s="14">
        <v>0</v>
      </c>
      <c r="FL194" s="14">
        <v>0</v>
      </c>
      <c r="FM194" s="14">
        <v>0</v>
      </c>
      <c r="FN194" s="14">
        <v>0</v>
      </c>
      <c r="FO194" s="14">
        <v>0</v>
      </c>
      <c r="FP194" s="14">
        <v>0</v>
      </c>
      <c r="FQ194" s="15">
        <f t="shared" si="1017"/>
        <v>0</v>
      </c>
      <c r="FR194" s="14">
        <v>826833.22</v>
      </c>
      <c r="FS194" s="14">
        <v>0</v>
      </c>
      <c r="FT194" s="14">
        <v>0</v>
      </c>
      <c r="FU194" s="14">
        <v>0</v>
      </c>
      <c r="FV194" s="15">
        <f t="shared" si="1018"/>
        <v>826833.22</v>
      </c>
      <c r="FW194" s="14">
        <v>3459245</v>
      </c>
      <c r="FX194" s="14">
        <v>5800</v>
      </c>
      <c r="FY194" s="14">
        <v>902000</v>
      </c>
      <c r="FZ194" s="14">
        <v>747619</v>
      </c>
      <c r="GA194" s="15">
        <f t="shared" si="1019"/>
        <v>5114664</v>
      </c>
      <c r="GB194" s="15">
        <f t="shared" si="1020"/>
        <v>5941497.2199999997</v>
      </c>
      <c r="GC194" s="14">
        <v>2559769.42</v>
      </c>
      <c r="GD194" s="14">
        <v>0</v>
      </c>
      <c r="GE194" s="14">
        <v>0</v>
      </c>
      <c r="GF194" s="14">
        <v>11796.63</v>
      </c>
      <c r="GG194" s="15">
        <f t="shared" si="1021"/>
        <v>2571566.0499999998</v>
      </c>
      <c r="GH194" s="14">
        <v>0</v>
      </c>
      <c r="GI194" s="14">
        <v>0</v>
      </c>
      <c r="GJ194" s="14">
        <v>0</v>
      </c>
      <c r="GK194" s="14">
        <v>0</v>
      </c>
      <c r="GL194" s="15">
        <f t="shared" si="1022"/>
        <v>0</v>
      </c>
      <c r="GM194" s="15">
        <f t="shared" si="1023"/>
        <v>2571566.0499999998</v>
      </c>
      <c r="GN194" s="14">
        <v>186797.56</v>
      </c>
      <c r="GO194" s="14">
        <v>0</v>
      </c>
      <c r="GP194" s="14">
        <v>0</v>
      </c>
      <c r="GQ194" s="14">
        <v>4637.34</v>
      </c>
      <c r="GR194" s="15">
        <f t="shared" si="1024"/>
        <v>191434.9</v>
      </c>
      <c r="GS194" s="14">
        <v>294690</v>
      </c>
      <c r="GT194" s="14">
        <v>0</v>
      </c>
      <c r="GU194" s="14">
        <v>0</v>
      </c>
      <c r="GV194" s="14">
        <v>893</v>
      </c>
      <c r="GW194" s="15">
        <f t="shared" si="1025"/>
        <v>295583</v>
      </c>
      <c r="GX194" s="15">
        <f t="shared" si="1026"/>
        <v>3058583.9499999997</v>
      </c>
      <c r="GY194" s="14">
        <v>22791713.829999998</v>
      </c>
      <c r="GZ194" s="14">
        <v>458783.83</v>
      </c>
      <c r="HA194" s="15">
        <f t="shared" si="1027"/>
        <v>23250497.659999996</v>
      </c>
      <c r="HB194" s="15">
        <f t="shared" si="1028"/>
        <v>1.6114744537255552</v>
      </c>
      <c r="HC194" s="16">
        <f t="shared" si="1029"/>
        <v>0.22984250589936533</v>
      </c>
      <c r="HD194" s="15">
        <f t="shared" si="1030"/>
        <v>1.9425647022047572</v>
      </c>
      <c r="HE194" s="14">
        <v>4</v>
      </c>
      <c r="HF194" s="14">
        <v>1</v>
      </c>
      <c r="HG194" s="14">
        <v>27</v>
      </c>
      <c r="HH194" s="14">
        <v>4</v>
      </c>
      <c r="HI194" s="14">
        <v>5</v>
      </c>
      <c r="HJ194" s="15">
        <f t="shared" si="1031"/>
        <v>6</v>
      </c>
      <c r="HK194" s="16">
        <f t="shared" si="1032"/>
        <v>1</v>
      </c>
      <c r="HL194" s="14">
        <v>5</v>
      </c>
      <c r="HM194" s="14">
        <v>1</v>
      </c>
      <c r="HN194" s="17">
        <f t="shared" si="1033"/>
        <v>0.2</v>
      </c>
    </row>
    <row r="195" spans="1:222" x14ac:dyDescent="0.3">
      <c r="A195" s="6" t="s">
        <v>280</v>
      </c>
      <c r="B195" s="6" t="s">
        <v>288</v>
      </c>
      <c r="C195" s="7" t="s">
        <v>257</v>
      </c>
      <c r="D195" s="7">
        <v>2025</v>
      </c>
      <c r="E195" s="7">
        <v>4</v>
      </c>
      <c r="F195" s="7" t="s">
        <v>258</v>
      </c>
      <c r="G195" s="7" t="s">
        <v>259</v>
      </c>
      <c r="H195" s="8">
        <v>19230</v>
      </c>
      <c r="I195" s="8">
        <v>5616</v>
      </c>
      <c r="J195" s="8">
        <v>15</v>
      </c>
      <c r="K195" s="8">
        <v>4</v>
      </c>
      <c r="L195" s="8">
        <v>36</v>
      </c>
      <c r="M195" s="9">
        <f t="shared" si="973"/>
        <v>5671</v>
      </c>
      <c r="N195" s="8">
        <v>3781.3</v>
      </c>
      <c r="O195" s="8">
        <v>16</v>
      </c>
      <c r="P195" s="8">
        <v>1228.3</v>
      </c>
      <c r="Q195" s="8">
        <v>319</v>
      </c>
      <c r="R195" s="9">
        <f t="shared" si="974"/>
        <v>5344.6</v>
      </c>
      <c r="S195" s="9">
        <f t="shared" si="975"/>
        <v>11015.6</v>
      </c>
      <c r="T195" s="8">
        <v>8214.4000000000106</v>
      </c>
      <c r="U195" s="10">
        <f t="shared" si="976"/>
        <v>0.42716588663546595</v>
      </c>
      <c r="V195" s="8">
        <v>84</v>
      </c>
      <c r="W195" s="11">
        <f t="shared" si="977"/>
        <v>4.3681747269890799E-3</v>
      </c>
      <c r="X195" s="8">
        <v>0</v>
      </c>
      <c r="Y195" s="11">
        <f t="shared" si="978"/>
        <v>0</v>
      </c>
      <c r="Z195" s="8">
        <v>0</v>
      </c>
      <c r="AA195" s="11">
        <f t="shared" si="979"/>
        <v>0</v>
      </c>
      <c r="AB195" s="8">
        <v>102</v>
      </c>
      <c r="AC195" s="11">
        <f t="shared" si="980"/>
        <v>5.3042121684867393E-3</v>
      </c>
      <c r="AD195" s="8">
        <v>0</v>
      </c>
      <c r="AE195" s="11">
        <f t="shared" si="981"/>
        <v>0</v>
      </c>
      <c r="AF195" s="8">
        <v>0</v>
      </c>
      <c r="AG195" s="11">
        <f t="shared" si="982"/>
        <v>0</v>
      </c>
      <c r="AH195" s="8">
        <v>1039335.18</v>
      </c>
      <c r="AI195" s="9">
        <f t="shared" si="983"/>
        <v>54.047591263650546</v>
      </c>
      <c r="AJ195" s="8">
        <v>23450</v>
      </c>
      <c r="AK195" s="11">
        <f t="shared" si="984"/>
        <v>1.2194487779511181</v>
      </c>
      <c r="AL195" s="8">
        <v>3270149.1749999998</v>
      </c>
      <c r="AM195" s="9">
        <f t="shared" si="985"/>
        <v>170.05455928237129</v>
      </c>
      <c r="AN195" s="8">
        <v>0</v>
      </c>
      <c r="AO195" s="8">
        <v>20</v>
      </c>
      <c r="AP195" s="8">
        <v>54680</v>
      </c>
      <c r="AQ195" s="8">
        <v>0</v>
      </c>
      <c r="AR195" s="8">
        <v>10710183.279999999</v>
      </c>
      <c r="AS195" s="8">
        <v>2483796.94</v>
      </c>
      <c r="AT195" s="8">
        <v>2604200</v>
      </c>
      <c r="AU195" s="9">
        <f t="shared" si="986"/>
        <v>20162344.574999999</v>
      </c>
      <c r="AV195" s="9">
        <f t="shared" si="987"/>
        <v>1048.4838572542901</v>
      </c>
      <c r="AW195" s="9">
        <f t="shared" si="988"/>
        <v>1830.3446543992156</v>
      </c>
      <c r="AX195" s="8">
        <v>10</v>
      </c>
      <c r="AY195" s="9">
        <f t="shared" si="989"/>
        <v>6.2402496099843994</v>
      </c>
      <c r="AZ195" s="8">
        <v>16</v>
      </c>
      <c r="BA195" s="8">
        <v>4</v>
      </c>
      <c r="BB195" s="8">
        <v>12</v>
      </c>
      <c r="BC195" s="8">
        <v>1</v>
      </c>
      <c r="BD195" s="8">
        <v>11</v>
      </c>
      <c r="BE195" s="9">
        <f t="shared" si="990"/>
        <v>12</v>
      </c>
      <c r="BF195" s="9">
        <f t="shared" si="991"/>
        <v>4</v>
      </c>
      <c r="BG195" s="8">
        <v>0</v>
      </c>
      <c r="BH195" s="8">
        <v>0</v>
      </c>
      <c r="BI195" s="8">
        <v>0</v>
      </c>
      <c r="BJ195" s="8">
        <v>0</v>
      </c>
      <c r="BK195" s="9">
        <f t="shared" si="992"/>
        <v>0</v>
      </c>
      <c r="BL195" s="9">
        <f t="shared" si="993"/>
        <v>0</v>
      </c>
      <c r="BM195" s="8">
        <v>0</v>
      </c>
      <c r="BN195" s="8">
        <v>0</v>
      </c>
      <c r="BO195" s="8">
        <v>0</v>
      </c>
      <c r="BP195" s="8">
        <v>0</v>
      </c>
      <c r="BQ195" s="9">
        <f t="shared" si="994"/>
        <v>0</v>
      </c>
      <c r="BR195" s="9">
        <f t="shared" si="995"/>
        <v>0</v>
      </c>
      <c r="BS195" s="8">
        <v>0</v>
      </c>
      <c r="BT195" s="8">
        <v>0</v>
      </c>
      <c r="BU195" s="8">
        <v>0</v>
      </c>
      <c r="BV195" s="8">
        <v>0</v>
      </c>
      <c r="BW195" s="9">
        <f t="shared" si="996"/>
        <v>0</v>
      </c>
      <c r="BX195" s="9">
        <f t="shared" si="997"/>
        <v>0</v>
      </c>
      <c r="BY195" s="9">
        <f t="shared" si="998"/>
        <v>4</v>
      </c>
      <c r="BZ195" s="9">
        <f t="shared" si="999"/>
        <v>12</v>
      </c>
      <c r="CA195" s="9">
        <f t="shared" si="1000"/>
        <v>12</v>
      </c>
      <c r="CB195" s="9">
        <f t="shared" si="1001"/>
        <v>4</v>
      </c>
      <c r="CC195" s="8">
        <v>11</v>
      </c>
      <c r="CD195" s="8">
        <v>474</v>
      </c>
      <c r="CE195" s="8">
        <v>13</v>
      </c>
      <c r="CF195" s="8">
        <v>13</v>
      </c>
      <c r="CG195" s="8">
        <v>16</v>
      </c>
      <c r="CH195" s="9">
        <f t="shared" si="1002"/>
        <v>516</v>
      </c>
      <c r="CI195" s="8">
        <v>847</v>
      </c>
      <c r="CJ195" s="8">
        <v>1</v>
      </c>
      <c r="CK195" s="8">
        <v>2</v>
      </c>
      <c r="CL195" s="8">
        <v>2</v>
      </c>
      <c r="CM195" s="9">
        <f t="shared" si="1003"/>
        <v>852</v>
      </c>
      <c r="CN195" s="8">
        <v>740</v>
      </c>
      <c r="CO195" s="8">
        <v>51</v>
      </c>
      <c r="CP195" s="8">
        <v>53</v>
      </c>
      <c r="CQ195" s="8">
        <v>2</v>
      </c>
      <c r="CR195" s="9">
        <f t="shared" si="1004"/>
        <v>846</v>
      </c>
      <c r="CS195" s="9">
        <f t="shared" si="1005"/>
        <v>1698</v>
      </c>
      <c r="CT195" s="8">
        <v>2214</v>
      </c>
      <c r="CU195" s="8">
        <v>12005</v>
      </c>
      <c r="CV195" s="8">
        <v>11055</v>
      </c>
      <c r="CW195" s="10">
        <f t="shared" si="1006"/>
        <v>0.92086630570595585</v>
      </c>
      <c r="CX195" s="8">
        <v>0</v>
      </c>
      <c r="CY195" s="8">
        <v>0</v>
      </c>
      <c r="CZ195" s="8">
        <v>0</v>
      </c>
      <c r="DA195" s="8">
        <v>0</v>
      </c>
      <c r="DB195" s="9">
        <f t="shared" si="1007"/>
        <v>0</v>
      </c>
      <c r="DC195" s="8">
        <v>0</v>
      </c>
      <c r="DD195" s="8">
        <v>0</v>
      </c>
      <c r="DE195" s="8">
        <v>0</v>
      </c>
      <c r="DF195" s="8">
        <v>0</v>
      </c>
      <c r="DG195" s="9">
        <f t="shared" si="1008"/>
        <v>0</v>
      </c>
      <c r="DH195" s="8">
        <v>0</v>
      </c>
      <c r="DI195" s="8">
        <v>0</v>
      </c>
      <c r="DJ195" s="8">
        <v>0</v>
      </c>
      <c r="DK195" s="8">
        <v>0</v>
      </c>
      <c r="DL195" s="9">
        <f t="shared" si="1009"/>
        <v>0</v>
      </c>
      <c r="DM195" s="8">
        <v>14</v>
      </c>
      <c r="DN195" s="8">
        <v>23</v>
      </c>
      <c r="DO195" s="8">
        <v>7</v>
      </c>
      <c r="DP195" s="8">
        <v>0</v>
      </c>
      <c r="DQ195" s="9">
        <f t="shared" si="1010"/>
        <v>30</v>
      </c>
      <c r="DR195" s="9">
        <f t="shared" si="1011"/>
        <v>14</v>
      </c>
      <c r="DS195" s="9">
        <f t="shared" si="1012"/>
        <v>23</v>
      </c>
      <c r="DT195" s="9">
        <f t="shared" si="1013"/>
        <v>7</v>
      </c>
      <c r="DU195" s="9">
        <f t="shared" si="1014"/>
        <v>0</v>
      </c>
      <c r="DV195" s="9">
        <f t="shared" si="1015"/>
        <v>30</v>
      </c>
      <c r="DW195" s="8">
        <v>46</v>
      </c>
      <c r="DX195" s="8">
        <v>28</v>
      </c>
      <c r="DY195" s="8">
        <v>20</v>
      </c>
      <c r="DZ195" s="8">
        <v>4</v>
      </c>
      <c r="EA195" s="8">
        <v>6</v>
      </c>
      <c r="EB195" s="8">
        <v>1</v>
      </c>
      <c r="EC195" s="8">
        <v>0</v>
      </c>
      <c r="ED195" s="8">
        <v>2</v>
      </c>
      <c r="EE195" s="8">
        <v>2</v>
      </c>
      <c r="EF195" s="8">
        <v>3</v>
      </c>
      <c r="EG195" s="8">
        <v>0</v>
      </c>
      <c r="EH195" s="8">
        <v>0</v>
      </c>
      <c r="EI195" s="8">
        <v>0</v>
      </c>
      <c r="EJ195" s="8">
        <v>15</v>
      </c>
      <c r="EK195" s="8">
        <v>0</v>
      </c>
      <c r="EL195" s="8">
        <v>0</v>
      </c>
      <c r="EM195" s="8">
        <v>0</v>
      </c>
      <c r="EN195" s="8">
        <v>0</v>
      </c>
      <c r="EO195" s="8">
        <v>0</v>
      </c>
      <c r="EP195" s="8">
        <v>0</v>
      </c>
      <c r="EQ195" s="8">
        <v>0</v>
      </c>
      <c r="ER195" s="8">
        <v>0</v>
      </c>
      <c r="ES195" s="8">
        <v>0</v>
      </c>
      <c r="ET195" s="8">
        <v>0</v>
      </c>
      <c r="EU195" s="8">
        <v>0</v>
      </c>
      <c r="EV195" s="8">
        <v>0</v>
      </c>
      <c r="EW195" s="8">
        <v>0</v>
      </c>
      <c r="EX195" s="8">
        <v>0</v>
      </c>
      <c r="EY195" s="8">
        <v>0</v>
      </c>
      <c r="EZ195" s="8">
        <v>0</v>
      </c>
      <c r="FA195" s="8">
        <v>0</v>
      </c>
      <c r="FB195" s="8">
        <v>0</v>
      </c>
      <c r="FC195" s="8">
        <v>0</v>
      </c>
      <c r="FD195" s="8">
        <v>0</v>
      </c>
      <c r="FE195" s="8">
        <v>0</v>
      </c>
      <c r="FF195" s="8">
        <v>0</v>
      </c>
      <c r="FG195" s="9">
        <f t="shared" si="1016"/>
        <v>127</v>
      </c>
      <c r="FH195" s="8">
        <v>9</v>
      </c>
      <c r="FI195" s="8">
        <v>32</v>
      </c>
      <c r="FJ195" s="8">
        <v>8</v>
      </c>
      <c r="FK195" s="8">
        <v>81</v>
      </c>
      <c r="FL195" s="8">
        <v>0</v>
      </c>
      <c r="FM195" s="8">
        <v>0</v>
      </c>
      <c r="FN195" s="8">
        <v>0</v>
      </c>
      <c r="FO195" s="8">
        <v>0</v>
      </c>
      <c r="FP195" s="8">
        <v>0</v>
      </c>
      <c r="FQ195" s="9">
        <f t="shared" si="1017"/>
        <v>0</v>
      </c>
      <c r="FR195" s="8">
        <v>6426002</v>
      </c>
      <c r="FS195" s="8">
        <v>10000</v>
      </c>
      <c r="FT195" s="8">
        <v>0</v>
      </c>
      <c r="FU195" s="8">
        <v>0</v>
      </c>
      <c r="FV195" s="9">
        <f t="shared" si="1018"/>
        <v>6436002</v>
      </c>
      <c r="FW195" s="8">
        <v>5302236.6799999941</v>
      </c>
      <c r="FX195" s="8">
        <v>4600</v>
      </c>
      <c r="FY195" s="8">
        <v>1514306.18</v>
      </c>
      <c r="FZ195" s="8">
        <v>3744425.42</v>
      </c>
      <c r="GA195" s="9">
        <f t="shared" si="1019"/>
        <v>10565568.279999994</v>
      </c>
      <c r="GB195" s="9">
        <f t="shared" si="1020"/>
        <v>17001570.279999994</v>
      </c>
      <c r="GC195" s="8">
        <v>5045888.53</v>
      </c>
      <c r="GD195" s="8">
        <v>2869.2</v>
      </c>
      <c r="GE195" s="8">
        <v>8410.99</v>
      </c>
      <c r="GF195" s="8">
        <v>128403.14</v>
      </c>
      <c r="GG195" s="9">
        <f t="shared" si="1021"/>
        <v>5185571.8600000003</v>
      </c>
      <c r="GH195" s="8">
        <v>0</v>
      </c>
      <c r="GI195" s="8">
        <v>0</v>
      </c>
      <c r="GJ195" s="8">
        <v>0</v>
      </c>
      <c r="GK195" s="8">
        <v>0</v>
      </c>
      <c r="GL195" s="9">
        <f t="shared" si="1022"/>
        <v>0</v>
      </c>
      <c r="GM195" s="9">
        <f t="shared" si="1023"/>
        <v>5185571.8600000003</v>
      </c>
      <c r="GN195" s="8">
        <v>455781.15</v>
      </c>
      <c r="GO195" s="8">
        <v>382.56</v>
      </c>
      <c r="GP195" s="8">
        <v>3393.64</v>
      </c>
      <c r="GQ195" s="8">
        <v>9274.68</v>
      </c>
      <c r="GR195" s="9">
        <f t="shared" si="1024"/>
        <v>468832.03</v>
      </c>
      <c r="GS195" s="8">
        <v>756371</v>
      </c>
      <c r="GT195" s="8">
        <v>1786</v>
      </c>
      <c r="GU195" s="8">
        <v>893</v>
      </c>
      <c r="GV195" s="8">
        <v>1786</v>
      </c>
      <c r="GW195" s="9">
        <f t="shared" si="1025"/>
        <v>760836</v>
      </c>
      <c r="GX195" s="9">
        <f t="shared" si="1026"/>
        <v>6415239.8900000006</v>
      </c>
      <c r="GY195" s="8">
        <v>49295660.509999998</v>
      </c>
      <c r="GZ195" s="8">
        <v>482881.09</v>
      </c>
      <c r="HA195" s="9">
        <f t="shared" si="1027"/>
        <v>49778541.600000001</v>
      </c>
      <c r="HB195" s="9">
        <f t="shared" si="1028"/>
        <v>3.1428824051348139</v>
      </c>
      <c r="HC195" s="10">
        <f t="shared" si="1029"/>
        <v>0.30517493269593599</v>
      </c>
      <c r="HD195" s="9">
        <f t="shared" si="1030"/>
        <v>2.65018464960318</v>
      </c>
      <c r="HE195" s="8">
        <v>11</v>
      </c>
      <c r="HF195" s="8">
        <v>5</v>
      </c>
      <c r="HG195" s="8">
        <v>4</v>
      </c>
      <c r="HH195" s="8">
        <v>12</v>
      </c>
      <c r="HI195" s="8">
        <v>5</v>
      </c>
      <c r="HJ195" s="9">
        <f t="shared" si="1031"/>
        <v>10</v>
      </c>
      <c r="HK195" s="10">
        <f t="shared" si="1032"/>
        <v>1.0909090909090908</v>
      </c>
      <c r="HL195" s="8">
        <v>12</v>
      </c>
      <c r="HM195" s="8">
        <v>5</v>
      </c>
      <c r="HN195" s="11">
        <f t="shared" si="1033"/>
        <v>0.41666666666666669</v>
      </c>
    </row>
    <row r="196" spans="1:222" x14ac:dyDescent="0.3">
      <c r="A196" s="12" t="s">
        <v>280</v>
      </c>
      <c r="B196" s="12" t="s">
        <v>288</v>
      </c>
      <c r="C196" s="13" t="s">
        <v>257</v>
      </c>
      <c r="D196" s="13">
        <v>2025</v>
      </c>
      <c r="E196" s="13">
        <v>5</v>
      </c>
      <c r="F196" s="13" t="s">
        <v>260</v>
      </c>
      <c r="G196" s="13" t="s">
        <v>259</v>
      </c>
      <c r="H196" s="14">
        <v>16945</v>
      </c>
      <c r="I196" s="14">
        <v>5478</v>
      </c>
      <c r="J196" s="14">
        <v>10</v>
      </c>
      <c r="K196" s="14">
        <v>3</v>
      </c>
      <c r="L196" s="14">
        <v>47</v>
      </c>
      <c r="M196" s="15">
        <f t="shared" si="973"/>
        <v>5538</v>
      </c>
      <c r="N196" s="14">
        <v>3702.3</v>
      </c>
      <c r="O196" s="14">
        <v>15</v>
      </c>
      <c r="P196" s="14">
        <v>95.3</v>
      </c>
      <c r="Q196" s="14">
        <v>251.7</v>
      </c>
      <c r="R196" s="15">
        <f t="shared" si="974"/>
        <v>4064.3</v>
      </c>
      <c r="S196" s="15">
        <f t="shared" si="975"/>
        <v>9602.2999999999993</v>
      </c>
      <c r="T196" s="14">
        <v>7342.7</v>
      </c>
      <c r="U196" s="16">
        <f t="shared" si="976"/>
        <v>0.43332546473886102</v>
      </c>
      <c r="V196" s="14">
        <v>81</v>
      </c>
      <c r="W196" s="17">
        <f t="shared" si="977"/>
        <v>4.7801711419297732E-3</v>
      </c>
      <c r="X196" s="14">
        <v>0</v>
      </c>
      <c r="Y196" s="17">
        <f t="shared" si="978"/>
        <v>0</v>
      </c>
      <c r="Z196" s="14">
        <v>0</v>
      </c>
      <c r="AA196" s="17">
        <f t="shared" si="979"/>
        <v>0</v>
      </c>
      <c r="AB196" s="14">
        <v>75</v>
      </c>
      <c r="AC196" s="17">
        <f t="shared" si="980"/>
        <v>4.4260843906757151E-3</v>
      </c>
      <c r="AD196" s="14">
        <v>0</v>
      </c>
      <c r="AE196" s="17">
        <f t="shared" si="981"/>
        <v>0</v>
      </c>
      <c r="AF196" s="14">
        <v>0</v>
      </c>
      <c r="AG196" s="17">
        <f t="shared" si="982"/>
        <v>0</v>
      </c>
      <c r="AH196" s="14">
        <v>862541.52</v>
      </c>
      <c r="AI196" s="15">
        <f t="shared" si="983"/>
        <v>50.90242077308941</v>
      </c>
      <c r="AJ196" s="14">
        <v>23450</v>
      </c>
      <c r="AK196" s="17">
        <f t="shared" si="984"/>
        <v>1.3838890528179404</v>
      </c>
      <c r="AL196" s="14">
        <v>3270149.1749999998</v>
      </c>
      <c r="AM196" s="15">
        <f t="shared" si="985"/>
        <v>192.98608291531423</v>
      </c>
      <c r="AN196" s="14">
        <v>0</v>
      </c>
      <c r="AO196" s="14">
        <v>10</v>
      </c>
      <c r="AP196" s="14">
        <v>27340</v>
      </c>
      <c r="AQ196" s="14">
        <v>0</v>
      </c>
      <c r="AR196" s="14">
        <v>10963219.689999999</v>
      </c>
      <c r="AS196" s="14">
        <v>2542812.35</v>
      </c>
      <c r="AT196" s="14">
        <v>960000</v>
      </c>
      <c r="AU196" s="15">
        <f t="shared" si="986"/>
        <v>18626062.734999999</v>
      </c>
      <c r="AV196" s="15">
        <f t="shared" si="987"/>
        <v>1099.2070070817349</v>
      </c>
      <c r="AW196" s="15">
        <f t="shared" si="988"/>
        <v>1939.7501364256482</v>
      </c>
      <c r="AX196" s="14">
        <v>10</v>
      </c>
      <c r="AY196" s="15">
        <f t="shared" si="989"/>
        <v>7.0817350250811444</v>
      </c>
      <c r="AZ196" s="14">
        <v>15</v>
      </c>
      <c r="BA196" s="14">
        <v>4</v>
      </c>
      <c r="BB196" s="14">
        <v>17</v>
      </c>
      <c r="BC196" s="14">
        <v>0</v>
      </c>
      <c r="BD196" s="14">
        <v>10</v>
      </c>
      <c r="BE196" s="15">
        <f t="shared" si="990"/>
        <v>10</v>
      </c>
      <c r="BF196" s="15">
        <f t="shared" si="991"/>
        <v>11</v>
      </c>
      <c r="BG196" s="14">
        <v>0</v>
      </c>
      <c r="BH196" s="14">
        <v>0</v>
      </c>
      <c r="BI196" s="14">
        <v>0</v>
      </c>
      <c r="BJ196" s="14">
        <v>0</v>
      </c>
      <c r="BK196" s="15">
        <f t="shared" si="992"/>
        <v>0</v>
      </c>
      <c r="BL196" s="15">
        <f t="shared" si="993"/>
        <v>0</v>
      </c>
      <c r="BM196" s="14">
        <v>0</v>
      </c>
      <c r="BN196" s="14">
        <v>0</v>
      </c>
      <c r="BO196" s="14">
        <v>0</v>
      </c>
      <c r="BP196" s="14">
        <v>0</v>
      </c>
      <c r="BQ196" s="15">
        <f t="shared" si="994"/>
        <v>0</v>
      </c>
      <c r="BR196" s="15">
        <f t="shared" si="995"/>
        <v>0</v>
      </c>
      <c r="BS196" s="14">
        <v>0</v>
      </c>
      <c r="BT196" s="14">
        <v>0</v>
      </c>
      <c r="BU196" s="14">
        <v>0</v>
      </c>
      <c r="BV196" s="14">
        <v>0</v>
      </c>
      <c r="BW196" s="15">
        <f t="shared" si="996"/>
        <v>0</v>
      </c>
      <c r="BX196" s="15">
        <f t="shared" si="997"/>
        <v>0</v>
      </c>
      <c r="BY196" s="15">
        <f t="shared" si="998"/>
        <v>4</v>
      </c>
      <c r="BZ196" s="15">
        <f t="shared" si="999"/>
        <v>17</v>
      </c>
      <c r="CA196" s="15">
        <f t="shared" si="1000"/>
        <v>10</v>
      </c>
      <c r="CB196" s="15">
        <f t="shared" si="1001"/>
        <v>11</v>
      </c>
      <c r="CC196" s="14">
        <v>27</v>
      </c>
      <c r="CD196" s="14">
        <v>491</v>
      </c>
      <c r="CE196" s="14">
        <v>13</v>
      </c>
      <c r="CF196" s="14">
        <v>13</v>
      </c>
      <c r="CG196" s="14">
        <v>16</v>
      </c>
      <c r="CH196" s="15">
        <f t="shared" si="1002"/>
        <v>533</v>
      </c>
      <c r="CI196" s="14">
        <v>830</v>
      </c>
      <c r="CJ196" s="14">
        <v>1</v>
      </c>
      <c r="CK196" s="14">
        <v>2</v>
      </c>
      <c r="CL196" s="14">
        <v>2</v>
      </c>
      <c r="CM196" s="15">
        <f t="shared" si="1003"/>
        <v>835</v>
      </c>
      <c r="CN196" s="14">
        <v>761</v>
      </c>
      <c r="CO196" s="14">
        <v>51</v>
      </c>
      <c r="CP196" s="14">
        <v>54</v>
      </c>
      <c r="CQ196" s="14">
        <v>2</v>
      </c>
      <c r="CR196" s="15">
        <f t="shared" si="1004"/>
        <v>868</v>
      </c>
      <c r="CS196" s="15">
        <f t="shared" si="1005"/>
        <v>1703</v>
      </c>
      <c r="CT196" s="14">
        <v>2236</v>
      </c>
      <c r="CU196" s="14">
        <v>12005</v>
      </c>
      <c r="CV196" s="14">
        <v>11070</v>
      </c>
      <c r="CW196" s="16">
        <f t="shared" si="1006"/>
        <v>0.92211578508954606</v>
      </c>
      <c r="CX196" s="14">
        <v>0</v>
      </c>
      <c r="CY196" s="14">
        <v>0</v>
      </c>
      <c r="CZ196" s="14">
        <v>0</v>
      </c>
      <c r="DA196" s="14">
        <v>0</v>
      </c>
      <c r="DB196" s="15">
        <f t="shared" si="1007"/>
        <v>0</v>
      </c>
      <c r="DC196" s="14">
        <v>0</v>
      </c>
      <c r="DD196" s="14">
        <v>0</v>
      </c>
      <c r="DE196" s="14">
        <v>0</v>
      </c>
      <c r="DF196" s="14">
        <v>0</v>
      </c>
      <c r="DG196" s="15">
        <f t="shared" si="1008"/>
        <v>0</v>
      </c>
      <c r="DH196" s="14">
        <v>0</v>
      </c>
      <c r="DI196" s="14">
        <v>0</v>
      </c>
      <c r="DJ196" s="14">
        <v>0</v>
      </c>
      <c r="DK196" s="14">
        <v>0</v>
      </c>
      <c r="DL196" s="15">
        <f t="shared" si="1009"/>
        <v>0</v>
      </c>
      <c r="DM196" s="14">
        <v>30</v>
      </c>
      <c r="DN196" s="14">
        <v>67</v>
      </c>
      <c r="DO196" s="14">
        <v>17</v>
      </c>
      <c r="DP196" s="14">
        <v>0</v>
      </c>
      <c r="DQ196" s="15">
        <f t="shared" si="1010"/>
        <v>80</v>
      </c>
      <c r="DR196" s="15">
        <f t="shared" si="1011"/>
        <v>30</v>
      </c>
      <c r="DS196" s="15">
        <f t="shared" si="1012"/>
        <v>67</v>
      </c>
      <c r="DT196" s="15">
        <f t="shared" si="1013"/>
        <v>17</v>
      </c>
      <c r="DU196" s="15">
        <f t="shared" si="1014"/>
        <v>0</v>
      </c>
      <c r="DV196" s="15">
        <f t="shared" si="1015"/>
        <v>80</v>
      </c>
      <c r="DW196" s="14">
        <v>51</v>
      </c>
      <c r="DX196" s="14">
        <v>30</v>
      </c>
      <c r="DY196" s="14">
        <v>25</v>
      </c>
      <c r="DZ196" s="14">
        <v>3</v>
      </c>
      <c r="EA196" s="14">
        <v>5</v>
      </c>
      <c r="EB196" s="14">
        <v>4</v>
      </c>
      <c r="EC196" s="14">
        <v>0</v>
      </c>
      <c r="ED196" s="14">
        <v>0</v>
      </c>
      <c r="EE196" s="14">
        <v>0</v>
      </c>
      <c r="EF196" s="14">
        <v>0</v>
      </c>
      <c r="EG196" s="14">
        <v>0</v>
      </c>
      <c r="EH196" s="14">
        <v>0</v>
      </c>
      <c r="EI196" s="14">
        <v>0</v>
      </c>
      <c r="EJ196" s="14">
        <v>7</v>
      </c>
      <c r="EK196" s="14">
        <v>7</v>
      </c>
      <c r="EL196" s="14">
        <v>0</v>
      </c>
      <c r="EM196" s="14">
        <v>0</v>
      </c>
      <c r="EN196" s="14">
        <v>0</v>
      </c>
      <c r="EO196" s="14">
        <v>0</v>
      </c>
      <c r="EP196" s="14">
        <v>0</v>
      </c>
      <c r="EQ196" s="14">
        <v>0</v>
      </c>
      <c r="ER196" s="14">
        <v>0</v>
      </c>
      <c r="ES196" s="14">
        <v>0</v>
      </c>
      <c r="ET196" s="14">
        <v>0</v>
      </c>
      <c r="EU196" s="14">
        <v>0</v>
      </c>
      <c r="EV196" s="14">
        <v>0</v>
      </c>
      <c r="EW196" s="14">
        <v>0</v>
      </c>
      <c r="EX196" s="14">
        <v>0</v>
      </c>
      <c r="EY196" s="14">
        <v>0</v>
      </c>
      <c r="EZ196" s="14">
        <v>0</v>
      </c>
      <c r="FA196" s="14">
        <v>0</v>
      </c>
      <c r="FB196" s="14">
        <v>0</v>
      </c>
      <c r="FC196" s="14">
        <v>0</v>
      </c>
      <c r="FD196" s="14">
        <v>0</v>
      </c>
      <c r="FE196" s="14">
        <v>0</v>
      </c>
      <c r="FF196" s="14">
        <v>0</v>
      </c>
      <c r="FG196" s="15">
        <f t="shared" si="1016"/>
        <v>132</v>
      </c>
      <c r="FH196" s="14">
        <v>6</v>
      </c>
      <c r="FI196" s="14">
        <v>19</v>
      </c>
      <c r="FJ196" s="14">
        <v>8</v>
      </c>
      <c r="FK196" s="14">
        <v>70</v>
      </c>
      <c r="FL196" s="14">
        <v>70</v>
      </c>
      <c r="FM196" s="14">
        <v>0</v>
      </c>
      <c r="FN196" s="14">
        <v>0</v>
      </c>
      <c r="FO196" s="14">
        <v>0</v>
      </c>
      <c r="FP196" s="14">
        <v>0</v>
      </c>
      <c r="FQ196" s="15">
        <f t="shared" si="1017"/>
        <v>70</v>
      </c>
      <c r="FR196" s="14">
        <v>4913723.82</v>
      </c>
      <c r="FS196" s="14">
        <v>4913723.82</v>
      </c>
      <c r="FT196" s="14">
        <v>1800</v>
      </c>
      <c r="FU196" s="14">
        <v>0</v>
      </c>
      <c r="FV196" s="15">
        <f t="shared" si="1018"/>
        <v>9829247.6400000006</v>
      </c>
      <c r="FW196" s="14">
        <v>5280820.1399999941</v>
      </c>
      <c r="FX196" s="14">
        <v>3200</v>
      </c>
      <c r="FY196" s="14">
        <v>1240700</v>
      </c>
      <c r="FZ196" s="14">
        <v>316500</v>
      </c>
      <c r="GA196" s="15">
        <f t="shared" si="1019"/>
        <v>6841220.1399999941</v>
      </c>
      <c r="GB196" s="15">
        <f t="shared" si="1020"/>
        <v>16670467.779999994</v>
      </c>
      <c r="GC196" s="14">
        <v>4836998</v>
      </c>
      <c r="GD196" s="14">
        <v>1912.8</v>
      </c>
      <c r="GE196" s="14">
        <v>8410.99</v>
      </c>
      <c r="GF196" s="14">
        <v>183379.82</v>
      </c>
      <c r="GG196" s="15">
        <f t="shared" si="1021"/>
        <v>5030701.6100000003</v>
      </c>
      <c r="GH196" s="14">
        <v>0</v>
      </c>
      <c r="GI196" s="14">
        <v>0</v>
      </c>
      <c r="GJ196" s="14">
        <v>0</v>
      </c>
      <c r="GK196" s="14">
        <v>0</v>
      </c>
      <c r="GL196" s="15">
        <f t="shared" si="1022"/>
        <v>0</v>
      </c>
      <c r="GM196" s="15">
        <f t="shared" si="1023"/>
        <v>5030701.6100000003</v>
      </c>
      <c r="GN196" s="14">
        <v>447092.55</v>
      </c>
      <c r="GO196" s="14">
        <v>382.56</v>
      </c>
      <c r="GP196" s="14">
        <v>3393.64</v>
      </c>
      <c r="GQ196" s="14">
        <v>9274.68</v>
      </c>
      <c r="GR196" s="15">
        <f t="shared" si="1024"/>
        <v>460143.43</v>
      </c>
      <c r="GS196" s="14">
        <v>741190</v>
      </c>
      <c r="GT196" s="14">
        <v>1786</v>
      </c>
      <c r="GU196" s="14">
        <v>893</v>
      </c>
      <c r="GV196" s="14">
        <v>1786</v>
      </c>
      <c r="GW196" s="15">
        <f t="shared" si="1025"/>
        <v>745655</v>
      </c>
      <c r="GX196" s="15">
        <f t="shared" si="1026"/>
        <v>6236500.04</v>
      </c>
      <c r="GY196" s="14">
        <v>50610978.840000004</v>
      </c>
      <c r="GZ196" s="14">
        <v>488538.98</v>
      </c>
      <c r="HA196" s="15">
        <f t="shared" si="1027"/>
        <v>51099517.82</v>
      </c>
      <c r="HB196" s="15">
        <f t="shared" si="1028"/>
        <v>2.9866211201050517</v>
      </c>
      <c r="HC196" s="16">
        <f t="shared" si="1029"/>
        <v>0.29324902543505715</v>
      </c>
      <c r="HD196" s="15">
        <f t="shared" si="1030"/>
        <v>2.673048612695911</v>
      </c>
      <c r="HE196" s="14">
        <v>17</v>
      </c>
      <c r="HF196" s="14">
        <v>2</v>
      </c>
      <c r="HG196" s="14">
        <v>11</v>
      </c>
      <c r="HH196" s="14">
        <v>17</v>
      </c>
      <c r="HI196" s="14">
        <v>5</v>
      </c>
      <c r="HJ196" s="15">
        <f t="shared" si="1031"/>
        <v>7</v>
      </c>
      <c r="HK196" s="16">
        <f t="shared" si="1032"/>
        <v>1</v>
      </c>
      <c r="HL196" s="14">
        <v>15</v>
      </c>
      <c r="HM196" s="14">
        <v>5</v>
      </c>
      <c r="HN196" s="17">
        <f t="shared" si="1033"/>
        <v>0.33333333333333331</v>
      </c>
    </row>
    <row r="197" spans="1:222" x14ac:dyDescent="0.3">
      <c r="A197" s="6" t="s">
        <v>280</v>
      </c>
      <c r="B197" s="6" t="s">
        <v>288</v>
      </c>
      <c r="C197" s="7" t="s">
        <v>257</v>
      </c>
      <c r="D197" s="7">
        <v>2025</v>
      </c>
      <c r="E197" s="7">
        <v>6</v>
      </c>
      <c r="F197" s="7" t="s">
        <v>261</v>
      </c>
      <c r="G197" s="7" t="s">
        <v>259</v>
      </c>
      <c r="H197" s="8">
        <v>20350</v>
      </c>
      <c r="I197" s="8">
        <v>5799</v>
      </c>
      <c r="J197" s="8">
        <v>18</v>
      </c>
      <c r="K197" s="8">
        <v>4</v>
      </c>
      <c r="L197" s="8">
        <v>4</v>
      </c>
      <c r="M197" s="9">
        <f t="shared" si="973"/>
        <v>5825</v>
      </c>
      <c r="N197" s="8">
        <v>3877.1</v>
      </c>
      <c r="O197" s="8">
        <v>11</v>
      </c>
      <c r="P197" s="8">
        <v>244</v>
      </c>
      <c r="Q197" s="8">
        <v>1830.5</v>
      </c>
      <c r="R197" s="9">
        <f t="shared" si="974"/>
        <v>5962.6</v>
      </c>
      <c r="S197" s="9">
        <f t="shared" si="975"/>
        <v>11787.6</v>
      </c>
      <c r="T197" s="8">
        <v>8562.4</v>
      </c>
      <c r="U197" s="10">
        <f t="shared" si="976"/>
        <v>0.42075675675675672</v>
      </c>
      <c r="V197" s="8">
        <v>85</v>
      </c>
      <c r="W197" s="11">
        <f t="shared" si="977"/>
        <v>4.1769041769041766E-3</v>
      </c>
      <c r="X197" s="8">
        <v>0</v>
      </c>
      <c r="Y197" s="11">
        <f t="shared" si="978"/>
        <v>0</v>
      </c>
      <c r="Z197" s="8">
        <v>0</v>
      </c>
      <c r="AA197" s="11">
        <f t="shared" si="979"/>
        <v>0</v>
      </c>
      <c r="AB197" s="8">
        <v>81</v>
      </c>
      <c r="AC197" s="11">
        <f t="shared" si="980"/>
        <v>3.9803439803439804E-3</v>
      </c>
      <c r="AD197" s="8">
        <v>0</v>
      </c>
      <c r="AE197" s="11">
        <f t="shared" si="981"/>
        <v>0</v>
      </c>
      <c r="AF197" s="8">
        <v>0</v>
      </c>
      <c r="AG197" s="11">
        <f t="shared" si="982"/>
        <v>0</v>
      </c>
      <c r="AH197" s="8">
        <v>918867.9</v>
      </c>
      <c r="AI197" s="9">
        <f t="shared" si="983"/>
        <v>45.153213759213763</v>
      </c>
      <c r="AJ197" s="8">
        <v>23450</v>
      </c>
      <c r="AK197" s="11">
        <f t="shared" si="984"/>
        <v>1.1523341523341524</v>
      </c>
      <c r="AL197" s="8">
        <v>3270149.1749999998</v>
      </c>
      <c r="AM197" s="9">
        <f t="shared" si="985"/>
        <v>160.69529115479114</v>
      </c>
      <c r="AN197" s="8">
        <v>0</v>
      </c>
      <c r="AO197" s="8">
        <v>0</v>
      </c>
      <c r="AP197" s="8">
        <v>0</v>
      </c>
      <c r="AQ197" s="8">
        <v>0</v>
      </c>
      <c r="AR197" s="8">
        <v>12746421.710000001</v>
      </c>
      <c r="AS197" s="8">
        <v>3117737.76</v>
      </c>
      <c r="AT197" s="8">
        <v>80000</v>
      </c>
      <c r="AU197" s="9">
        <f t="shared" si="986"/>
        <v>20133176.545000002</v>
      </c>
      <c r="AV197" s="9">
        <f t="shared" si="987"/>
        <v>989.34528476658488</v>
      </c>
      <c r="AW197" s="9">
        <f t="shared" si="988"/>
        <v>1707.9962456310022</v>
      </c>
      <c r="AX197" s="8">
        <v>10</v>
      </c>
      <c r="AY197" s="9">
        <f t="shared" si="989"/>
        <v>5.8968058968058958</v>
      </c>
      <c r="AZ197" s="8">
        <v>15</v>
      </c>
      <c r="BA197" s="8">
        <v>11</v>
      </c>
      <c r="BB197" s="8">
        <v>13</v>
      </c>
      <c r="BC197" s="8">
        <v>10</v>
      </c>
      <c r="BD197" s="8">
        <v>3</v>
      </c>
      <c r="BE197" s="9">
        <f t="shared" si="990"/>
        <v>13</v>
      </c>
      <c r="BF197" s="9">
        <f t="shared" si="991"/>
        <v>11</v>
      </c>
      <c r="BG197" s="8">
        <v>0</v>
      </c>
      <c r="BH197" s="8">
        <v>0</v>
      </c>
      <c r="BI197" s="8">
        <v>0</v>
      </c>
      <c r="BJ197" s="8">
        <v>0</v>
      </c>
      <c r="BK197" s="9">
        <f t="shared" si="992"/>
        <v>0</v>
      </c>
      <c r="BL197" s="9">
        <f t="shared" si="993"/>
        <v>0</v>
      </c>
      <c r="BM197" s="8">
        <v>0</v>
      </c>
      <c r="BN197" s="8">
        <v>0</v>
      </c>
      <c r="BO197" s="8">
        <v>0</v>
      </c>
      <c r="BP197" s="8">
        <v>0</v>
      </c>
      <c r="BQ197" s="9">
        <f t="shared" si="994"/>
        <v>0</v>
      </c>
      <c r="BR197" s="9">
        <f t="shared" si="995"/>
        <v>0</v>
      </c>
      <c r="BS197" s="8">
        <v>0</v>
      </c>
      <c r="BT197" s="8">
        <v>0</v>
      </c>
      <c r="BU197" s="8">
        <v>0</v>
      </c>
      <c r="BV197" s="8">
        <v>0</v>
      </c>
      <c r="BW197" s="9">
        <f t="shared" si="996"/>
        <v>0</v>
      </c>
      <c r="BX197" s="9">
        <f t="shared" si="997"/>
        <v>0</v>
      </c>
      <c r="BY197" s="9">
        <f t="shared" si="998"/>
        <v>11</v>
      </c>
      <c r="BZ197" s="9">
        <f t="shared" si="999"/>
        <v>13</v>
      </c>
      <c r="CA197" s="9">
        <f t="shared" si="1000"/>
        <v>13</v>
      </c>
      <c r="CB197" s="9">
        <f t="shared" si="1001"/>
        <v>11</v>
      </c>
      <c r="CC197" s="8">
        <v>9</v>
      </c>
      <c r="CD197" s="8">
        <v>467</v>
      </c>
      <c r="CE197" s="8">
        <v>13</v>
      </c>
      <c r="CF197" s="8">
        <v>13</v>
      </c>
      <c r="CG197" s="8">
        <v>16</v>
      </c>
      <c r="CH197" s="9">
        <f t="shared" si="1002"/>
        <v>509</v>
      </c>
      <c r="CI197" s="8">
        <v>849</v>
      </c>
      <c r="CJ197" s="8">
        <v>1</v>
      </c>
      <c r="CK197" s="8">
        <v>2</v>
      </c>
      <c r="CL197" s="8">
        <v>1</v>
      </c>
      <c r="CM197" s="9">
        <f t="shared" si="1003"/>
        <v>853</v>
      </c>
      <c r="CN197" s="8">
        <v>769</v>
      </c>
      <c r="CO197" s="8">
        <v>52</v>
      </c>
      <c r="CP197" s="8">
        <v>54</v>
      </c>
      <c r="CQ197" s="8">
        <v>2</v>
      </c>
      <c r="CR197" s="9">
        <f t="shared" si="1004"/>
        <v>877</v>
      </c>
      <c r="CS197" s="9">
        <f t="shared" si="1005"/>
        <v>1730</v>
      </c>
      <c r="CT197" s="8">
        <v>2239</v>
      </c>
      <c r="CU197" s="8">
        <v>12005</v>
      </c>
      <c r="CV197" s="8">
        <v>11070</v>
      </c>
      <c r="CW197" s="10">
        <f t="shared" si="1006"/>
        <v>0.92211578508954606</v>
      </c>
      <c r="CX197" s="8">
        <v>0</v>
      </c>
      <c r="CY197" s="8">
        <v>0</v>
      </c>
      <c r="CZ197" s="8">
        <v>0</v>
      </c>
      <c r="DA197" s="8">
        <v>0</v>
      </c>
      <c r="DB197" s="9">
        <f t="shared" si="1007"/>
        <v>0</v>
      </c>
      <c r="DC197" s="8">
        <v>0</v>
      </c>
      <c r="DD197" s="8">
        <v>1</v>
      </c>
      <c r="DE197" s="8">
        <v>0</v>
      </c>
      <c r="DF197" s="8">
        <v>1</v>
      </c>
      <c r="DG197" s="9">
        <f t="shared" si="1008"/>
        <v>0</v>
      </c>
      <c r="DH197" s="8">
        <v>0</v>
      </c>
      <c r="DI197" s="8">
        <v>0</v>
      </c>
      <c r="DJ197" s="8">
        <v>0</v>
      </c>
      <c r="DK197" s="8">
        <v>0</v>
      </c>
      <c r="DL197" s="9">
        <f t="shared" si="1009"/>
        <v>0</v>
      </c>
      <c r="DM197" s="8">
        <v>80</v>
      </c>
      <c r="DN197" s="8">
        <v>71</v>
      </c>
      <c r="DO197" s="8">
        <v>74</v>
      </c>
      <c r="DP197" s="8">
        <v>74</v>
      </c>
      <c r="DQ197" s="9">
        <f t="shared" si="1010"/>
        <v>3</v>
      </c>
      <c r="DR197" s="9">
        <f t="shared" si="1011"/>
        <v>80</v>
      </c>
      <c r="DS197" s="9">
        <f t="shared" si="1012"/>
        <v>72</v>
      </c>
      <c r="DT197" s="9">
        <f t="shared" si="1013"/>
        <v>74</v>
      </c>
      <c r="DU197" s="9">
        <f t="shared" si="1014"/>
        <v>75</v>
      </c>
      <c r="DV197" s="9">
        <f t="shared" si="1015"/>
        <v>3</v>
      </c>
      <c r="DW197" s="8">
        <v>52</v>
      </c>
      <c r="DX197" s="8">
        <v>33</v>
      </c>
      <c r="DY197" s="8">
        <v>22</v>
      </c>
      <c r="DZ197" s="8">
        <v>2</v>
      </c>
      <c r="EA197" s="8">
        <v>7</v>
      </c>
      <c r="EB197" s="8">
        <v>0</v>
      </c>
      <c r="EC197" s="8">
        <v>0</v>
      </c>
      <c r="ED197" s="8">
        <v>2</v>
      </c>
      <c r="EE197" s="8">
        <v>0</v>
      </c>
      <c r="EF197" s="8">
        <v>2</v>
      </c>
      <c r="EG197" s="8">
        <v>0</v>
      </c>
      <c r="EH197" s="8">
        <v>0</v>
      </c>
      <c r="EI197" s="8">
        <v>0</v>
      </c>
      <c r="EJ197" s="8">
        <v>4</v>
      </c>
      <c r="EK197" s="8">
        <v>0</v>
      </c>
      <c r="EL197" s="8">
        <v>0</v>
      </c>
      <c r="EM197" s="8">
        <v>0</v>
      </c>
      <c r="EN197" s="8">
        <v>0</v>
      </c>
      <c r="EO197" s="8">
        <v>0</v>
      </c>
      <c r="EP197" s="8">
        <v>0</v>
      </c>
      <c r="EQ197" s="8">
        <v>0</v>
      </c>
      <c r="ER197" s="8">
        <v>0</v>
      </c>
      <c r="ES197" s="8">
        <v>0</v>
      </c>
      <c r="ET197" s="8">
        <v>0</v>
      </c>
      <c r="EU197" s="8">
        <v>0</v>
      </c>
      <c r="EV197" s="8">
        <v>0</v>
      </c>
      <c r="EW197" s="8">
        <v>0</v>
      </c>
      <c r="EX197" s="8">
        <v>0</v>
      </c>
      <c r="EY197" s="8">
        <v>0</v>
      </c>
      <c r="EZ197" s="8">
        <v>0</v>
      </c>
      <c r="FA197" s="8">
        <v>0</v>
      </c>
      <c r="FB197" s="8">
        <v>0</v>
      </c>
      <c r="FC197" s="8">
        <v>0</v>
      </c>
      <c r="FD197" s="8">
        <v>0</v>
      </c>
      <c r="FE197" s="8">
        <v>0</v>
      </c>
      <c r="FF197" s="8">
        <v>0</v>
      </c>
      <c r="FG197" s="9">
        <f t="shared" si="1016"/>
        <v>124</v>
      </c>
      <c r="FH197" s="8">
        <v>2</v>
      </c>
      <c r="FI197" s="8">
        <v>9</v>
      </c>
      <c r="FJ197" s="8">
        <v>8</v>
      </c>
      <c r="FK197" s="8">
        <v>50</v>
      </c>
      <c r="FL197" s="8">
        <v>50</v>
      </c>
      <c r="FM197" s="8">
        <v>0</v>
      </c>
      <c r="FN197" s="8">
        <v>0</v>
      </c>
      <c r="FO197" s="8">
        <v>0</v>
      </c>
      <c r="FP197" s="8">
        <v>0</v>
      </c>
      <c r="FQ197" s="9">
        <f t="shared" si="1017"/>
        <v>50</v>
      </c>
      <c r="FR197" s="8">
        <v>7325940.0999999996</v>
      </c>
      <c r="FS197" s="8">
        <v>5000</v>
      </c>
      <c r="FT197" s="8">
        <v>0</v>
      </c>
      <c r="FU197" s="8">
        <v>0</v>
      </c>
      <c r="FV197" s="9">
        <f t="shared" si="1018"/>
        <v>7330940.0999999996</v>
      </c>
      <c r="FW197" s="8">
        <v>5401541.8999999994</v>
      </c>
      <c r="FX197" s="8">
        <v>2400</v>
      </c>
      <c r="FY197" s="8">
        <v>1154728.0900000001</v>
      </c>
      <c r="FZ197" s="8">
        <v>5584457.5</v>
      </c>
      <c r="GA197" s="9">
        <f t="shared" si="1019"/>
        <v>12143127.489999998</v>
      </c>
      <c r="GB197" s="9">
        <f t="shared" si="1020"/>
        <v>19474067.589999996</v>
      </c>
      <c r="GC197" s="8">
        <v>5092702.99</v>
      </c>
      <c r="GD197" s="8">
        <v>765.12</v>
      </c>
      <c r="GE197" s="8">
        <v>8410.99</v>
      </c>
      <c r="GF197" s="8">
        <v>50678.38</v>
      </c>
      <c r="GG197" s="9">
        <f t="shared" si="1021"/>
        <v>5152557.4800000004</v>
      </c>
      <c r="GH197" s="8">
        <v>0</v>
      </c>
      <c r="GI197" s="8">
        <v>0</v>
      </c>
      <c r="GJ197" s="8">
        <v>0</v>
      </c>
      <c r="GK197" s="8">
        <v>0</v>
      </c>
      <c r="GL197" s="9">
        <f t="shared" si="1022"/>
        <v>0</v>
      </c>
      <c r="GM197" s="9">
        <f t="shared" si="1023"/>
        <v>5152557.4800000004</v>
      </c>
      <c r="GN197" s="8">
        <v>456504.95</v>
      </c>
      <c r="GO197" s="8">
        <v>191.28</v>
      </c>
      <c r="GP197" s="8">
        <v>3393.64</v>
      </c>
      <c r="GQ197" s="8">
        <v>9274.68</v>
      </c>
      <c r="GR197" s="9">
        <f t="shared" si="1024"/>
        <v>469364.55000000005</v>
      </c>
      <c r="GS197" s="8">
        <v>758157</v>
      </c>
      <c r="GT197" s="8">
        <v>893</v>
      </c>
      <c r="GU197" s="8">
        <v>893</v>
      </c>
      <c r="GV197" s="8">
        <v>1786</v>
      </c>
      <c r="GW197" s="9">
        <f t="shared" si="1025"/>
        <v>761729</v>
      </c>
      <c r="GX197" s="9">
        <f t="shared" si="1026"/>
        <v>6383651.0300000003</v>
      </c>
      <c r="GY197" s="8">
        <v>48403899.880000003</v>
      </c>
      <c r="GZ197" s="8">
        <v>494196.87</v>
      </c>
      <c r="HA197" s="9">
        <f t="shared" si="1027"/>
        <v>48898096.75</v>
      </c>
      <c r="HB197" s="9">
        <f t="shared" si="1028"/>
        <v>3.1538654682694962</v>
      </c>
      <c r="HC197" s="10">
        <f t="shared" si="1029"/>
        <v>0.355446944908894</v>
      </c>
      <c r="HD197" s="9">
        <f t="shared" si="1030"/>
        <v>3.0506159403892092</v>
      </c>
      <c r="HE197" s="8">
        <v>13</v>
      </c>
      <c r="HF197" s="8">
        <v>1</v>
      </c>
      <c r="HG197" s="8">
        <v>11</v>
      </c>
      <c r="HH197" s="8">
        <v>13</v>
      </c>
      <c r="HI197" s="8">
        <v>5</v>
      </c>
      <c r="HJ197" s="9">
        <f t="shared" si="1031"/>
        <v>6</v>
      </c>
      <c r="HK197" s="10">
        <f t="shared" si="1032"/>
        <v>1</v>
      </c>
      <c r="HL197" s="8">
        <v>15</v>
      </c>
      <c r="HM197" s="8">
        <v>3</v>
      </c>
      <c r="HN197" s="11">
        <f t="shared" si="1033"/>
        <v>0.2</v>
      </c>
    </row>
    <row r="198" spans="1:222" x14ac:dyDescent="0.3">
      <c r="A198" s="12" t="s">
        <v>280</v>
      </c>
      <c r="B198" s="12" t="s">
        <v>288</v>
      </c>
      <c r="C198" s="13" t="s">
        <v>257</v>
      </c>
      <c r="D198" s="13">
        <v>2025</v>
      </c>
      <c r="E198" s="13">
        <v>7</v>
      </c>
      <c r="F198" s="13" t="s">
        <v>262</v>
      </c>
      <c r="G198" s="13" t="s">
        <v>263</v>
      </c>
      <c r="H198" s="14">
        <v>16900</v>
      </c>
      <c r="I198" s="14">
        <v>5161</v>
      </c>
      <c r="J198" s="14">
        <v>4</v>
      </c>
      <c r="K198" s="14">
        <v>4</v>
      </c>
      <c r="L198" s="14">
        <v>54</v>
      </c>
      <c r="M198" s="15">
        <f t="shared" si="973"/>
        <v>5223</v>
      </c>
      <c r="N198" s="14">
        <v>2865</v>
      </c>
      <c r="O198" s="14">
        <v>9</v>
      </c>
      <c r="P198" s="14">
        <v>1364</v>
      </c>
      <c r="Q198" s="14">
        <v>373</v>
      </c>
      <c r="R198" s="15">
        <f t="shared" si="974"/>
        <v>4611</v>
      </c>
      <c r="S198" s="15">
        <f t="shared" si="975"/>
        <v>9834</v>
      </c>
      <c r="T198" s="14">
        <v>7066</v>
      </c>
      <c r="U198" s="16">
        <f t="shared" si="976"/>
        <v>0.41810650887573964</v>
      </c>
      <c r="V198" s="14">
        <v>60</v>
      </c>
      <c r="W198" s="17">
        <f t="shared" si="977"/>
        <v>3.5502958579881655E-3</v>
      </c>
      <c r="X198" s="14">
        <v>0</v>
      </c>
      <c r="Y198" s="17">
        <f t="shared" si="978"/>
        <v>0</v>
      </c>
      <c r="Z198" s="14">
        <v>0</v>
      </c>
      <c r="AA198" s="17">
        <f t="shared" si="979"/>
        <v>0</v>
      </c>
      <c r="AB198" s="14">
        <v>63</v>
      </c>
      <c r="AC198" s="17">
        <f t="shared" si="980"/>
        <v>3.7278106508875741E-3</v>
      </c>
      <c r="AD198" s="14">
        <v>0</v>
      </c>
      <c r="AE198" s="17">
        <f t="shared" si="981"/>
        <v>0</v>
      </c>
      <c r="AF198" s="14">
        <v>0</v>
      </c>
      <c r="AG198" s="17">
        <f t="shared" si="982"/>
        <v>0</v>
      </c>
      <c r="AH198" s="14">
        <v>683437.05</v>
      </c>
      <c r="AI198" s="15">
        <f t="shared" si="983"/>
        <v>40.440062130177516</v>
      </c>
      <c r="AJ198" s="14">
        <v>23450</v>
      </c>
      <c r="AK198" s="17">
        <f t="shared" si="984"/>
        <v>1.3875739644970415</v>
      </c>
      <c r="AL198" s="14">
        <v>3270149.1749999998</v>
      </c>
      <c r="AM198" s="15">
        <f t="shared" si="985"/>
        <v>193.49995118343193</v>
      </c>
      <c r="AN198" s="14">
        <v>0</v>
      </c>
      <c r="AO198" s="14">
        <v>20</v>
      </c>
      <c r="AP198" s="14">
        <v>54680</v>
      </c>
      <c r="AQ198" s="14">
        <v>0</v>
      </c>
      <c r="AR198" s="14">
        <v>12087168.619999999</v>
      </c>
      <c r="AS198" s="14">
        <v>2867102.86</v>
      </c>
      <c r="AT198" s="14">
        <v>5392360</v>
      </c>
      <c r="AU198" s="15">
        <f t="shared" si="986"/>
        <v>24354897.704999998</v>
      </c>
      <c r="AV198" s="15">
        <f t="shared" si="987"/>
        <v>1441.1182073964496</v>
      </c>
      <c r="AW198" s="15">
        <f t="shared" si="988"/>
        <v>2476.6013529591214</v>
      </c>
      <c r="AX198" s="14">
        <v>10</v>
      </c>
      <c r="AY198" s="15">
        <f t="shared" si="989"/>
        <v>7.1005917159763321</v>
      </c>
      <c r="AZ198" s="14">
        <v>15</v>
      </c>
      <c r="BA198" s="14">
        <v>11</v>
      </c>
      <c r="BB198" s="14">
        <v>16</v>
      </c>
      <c r="BC198" s="14">
        <v>10</v>
      </c>
      <c r="BD198" s="14">
        <v>4</v>
      </c>
      <c r="BE198" s="15">
        <f t="shared" si="990"/>
        <v>14</v>
      </c>
      <c r="BF198" s="15">
        <f t="shared" si="991"/>
        <v>13</v>
      </c>
      <c r="BG198" s="14">
        <v>0</v>
      </c>
      <c r="BH198" s="14">
        <v>0</v>
      </c>
      <c r="BI198" s="14">
        <v>0</v>
      </c>
      <c r="BJ198" s="14">
        <v>0</v>
      </c>
      <c r="BK198" s="15">
        <f t="shared" si="992"/>
        <v>0</v>
      </c>
      <c r="BL198" s="15">
        <f t="shared" si="993"/>
        <v>0</v>
      </c>
      <c r="BM198" s="14">
        <v>0</v>
      </c>
      <c r="BN198" s="14">
        <v>0</v>
      </c>
      <c r="BO198" s="14">
        <v>0</v>
      </c>
      <c r="BP198" s="14">
        <v>0</v>
      </c>
      <c r="BQ198" s="15">
        <f t="shared" si="994"/>
        <v>0</v>
      </c>
      <c r="BR198" s="15">
        <f t="shared" si="995"/>
        <v>0</v>
      </c>
      <c r="BS198" s="14">
        <v>0</v>
      </c>
      <c r="BT198" s="14">
        <v>0</v>
      </c>
      <c r="BU198" s="14">
        <v>0</v>
      </c>
      <c r="BV198" s="14">
        <v>0</v>
      </c>
      <c r="BW198" s="15">
        <f t="shared" si="996"/>
        <v>0</v>
      </c>
      <c r="BX198" s="15">
        <f t="shared" si="997"/>
        <v>0</v>
      </c>
      <c r="BY198" s="15">
        <f t="shared" si="998"/>
        <v>11</v>
      </c>
      <c r="BZ198" s="15">
        <f t="shared" si="999"/>
        <v>16</v>
      </c>
      <c r="CA198" s="15">
        <f t="shared" si="1000"/>
        <v>14</v>
      </c>
      <c r="CB198" s="15">
        <f t="shared" si="1001"/>
        <v>13</v>
      </c>
      <c r="CC198" s="14">
        <v>4</v>
      </c>
      <c r="CD198" s="14">
        <v>514</v>
      </c>
      <c r="CE198" s="14">
        <v>13</v>
      </c>
      <c r="CF198" s="14">
        <v>13</v>
      </c>
      <c r="CG198" s="14">
        <v>16</v>
      </c>
      <c r="CH198" s="15">
        <f t="shared" si="1002"/>
        <v>556</v>
      </c>
      <c r="CI198" s="14">
        <v>809</v>
      </c>
      <c r="CJ198" s="14">
        <v>1</v>
      </c>
      <c r="CK198" s="14">
        <v>2</v>
      </c>
      <c r="CL198" s="14">
        <v>1</v>
      </c>
      <c r="CM198" s="15">
        <f t="shared" si="1003"/>
        <v>813</v>
      </c>
      <c r="CN198" s="14">
        <v>772</v>
      </c>
      <c r="CO198" s="14">
        <v>52</v>
      </c>
      <c r="CP198" s="14">
        <v>54</v>
      </c>
      <c r="CQ198" s="14">
        <v>2</v>
      </c>
      <c r="CR198" s="15">
        <f t="shared" si="1004"/>
        <v>880</v>
      </c>
      <c r="CS198" s="15">
        <f t="shared" si="1005"/>
        <v>1693</v>
      </c>
      <c r="CT198" s="14">
        <v>2249</v>
      </c>
      <c r="CU198" s="14">
        <v>12005</v>
      </c>
      <c r="CV198" s="14">
        <v>11080</v>
      </c>
      <c r="CW198" s="16">
        <f t="shared" si="1006"/>
        <v>0.92294877134527276</v>
      </c>
      <c r="CX198" s="14">
        <v>0</v>
      </c>
      <c r="CY198" s="14">
        <v>0</v>
      </c>
      <c r="CZ198" s="14">
        <v>0</v>
      </c>
      <c r="DA198" s="14">
        <v>0</v>
      </c>
      <c r="DB198" s="15">
        <f t="shared" si="1007"/>
        <v>0</v>
      </c>
      <c r="DC198" s="14">
        <v>0</v>
      </c>
      <c r="DD198" s="14">
        <v>0</v>
      </c>
      <c r="DE198" s="14">
        <v>0</v>
      </c>
      <c r="DF198" s="14">
        <v>0</v>
      </c>
      <c r="DG198" s="15">
        <f t="shared" si="1008"/>
        <v>0</v>
      </c>
      <c r="DH198" s="14">
        <v>0</v>
      </c>
      <c r="DI198" s="14">
        <v>0</v>
      </c>
      <c r="DJ198" s="14">
        <v>0</v>
      </c>
      <c r="DK198" s="14">
        <v>0</v>
      </c>
      <c r="DL198" s="15">
        <f t="shared" si="1009"/>
        <v>0</v>
      </c>
      <c r="DM198" s="14">
        <v>77</v>
      </c>
      <c r="DN198" s="14">
        <v>20</v>
      </c>
      <c r="DO198" s="14">
        <v>61</v>
      </c>
      <c r="DP198" s="14">
        <v>0</v>
      </c>
      <c r="DQ198" s="15">
        <f t="shared" si="1010"/>
        <v>36</v>
      </c>
      <c r="DR198" s="15">
        <f t="shared" si="1011"/>
        <v>77</v>
      </c>
      <c r="DS198" s="15">
        <f t="shared" si="1012"/>
        <v>20</v>
      </c>
      <c r="DT198" s="15">
        <f t="shared" si="1013"/>
        <v>61</v>
      </c>
      <c r="DU198" s="15">
        <f t="shared" si="1014"/>
        <v>0</v>
      </c>
      <c r="DV198" s="15">
        <f t="shared" si="1015"/>
        <v>36</v>
      </c>
      <c r="DW198" s="14">
        <v>35</v>
      </c>
      <c r="DX198" s="14">
        <v>28</v>
      </c>
      <c r="DY198" s="14">
        <v>18</v>
      </c>
      <c r="DZ198" s="14">
        <v>1</v>
      </c>
      <c r="EA198" s="14">
        <v>6</v>
      </c>
      <c r="EB198" s="14">
        <v>3</v>
      </c>
      <c r="EC198" s="14">
        <v>0</v>
      </c>
      <c r="ED198" s="14">
        <v>2</v>
      </c>
      <c r="EE198" s="14">
        <v>0</v>
      </c>
      <c r="EF198" s="14">
        <v>0</v>
      </c>
      <c r="EG198" s="14">
        <v>0</v>
      </c>
      <c r="EH198" s="14">
        <v>0</v>
      </c>
      <c r="EI198" s="14">
        <v>0</v>
      </c>
      <c r="EJ198" s="14">
        <v>7</v>
      </c>
      <c r="EK198" s="14">
        <v>7</v>
      </c>
      <c r="EL198" s="14">
        <v>0</v>
      </c>
      <c r="EM198" s="14">
        <v>0</v>
      </c>
      <c r="EN198" s="14">
        <v>0</v>
      </c>
      <c r="EO198" s="14">
        <v>0</v>
      </c>
      <c r="EP198" s="14">
        <v>0</v>
      </c>
      <c r="EQ198" s="14">
        <v>0</v>
      </c>
      <c r="ER198" s="14">
        <v>0</v>
      </c>
      <c r="ES198" s="14">
        <v>0</v>
      </c>
      <c r="ET198" s="14">
        <v>0</v>
      </c>
      <c r="EU198" s="14">
        <v>0</v>
      </c>
      <c r="EV198" s="14">
        <v>0</v>
      </c>
      <c r="EW198" s="14">
        <v>0</v>
      </c>
      <c r="EX198" s="14">
        <v>0</v>
      </c>
      <c r="EY198" s="14">
        <v>0</v>
      </c>
      <c r="EZ198" s="14">
        <v>0</v>
      </c>
      <c r="FA198" s="14">
        <v>0</v>
      </c>
      <c r="FB198" s="14">
        <v>0</v>
      </c>
      <c r="FC198" s="14">
        <v>0</v>
      </c>
      <c r="FD198" s="14">
        <v>0</v>
      </c>
      <c r="FE198" s="14">
        <v>0</v>
      </c>
      <c r="FF198" s="14">
        <v>0</v>
      </c>
      <c r="FG198" s="15">
        <f t="shared" si="1016"/>
        <v>107</v>
      </c>
      <c r="FH198" s="14">
        <v>1</v>
      </c>
      <c r="FI198" s="14">
        <v>336</v>
      </c>
      <c r="FJ198" s="14">
        <v>6</v>
      </c>
      <c r="FK198" s="14">
        <v>72</v>
      </c>
      <c r="FL198" s="14">
        <v>0</v>
      </c>
      <c r="FM198" s="14">
        <v>0</v>
      </c>
      <c r="FN198" s="14">
        <v>0</v>
      </c>
      <c r="FO198" s="14">
        <v>0</v>
      </c>
      <c r="FP198" s="14">
        <v>0</v>
      </c>
      <c r="FQ198" s="15">
        <f t="shared" si="1017"/>
        <v>0</v>
      </c>
      <c r="FR198" s="14">
        <v>11157183.76</v>
      </c>
      <c r="FS198" s="14">
        <v>8000</v>
      </c>
      <c r="FT198" s="14">
        <v>850719.44</v>
      </c>
      <c r="FU198" s="14">
        <v>0</v>
      </c>
      <c r="FV198" s="15">
        <f t="shared" si="1018"/>
        <v>12015903.199999999</v>
      </c>
      <c r="FW198" s="14">
        <v>3907337.13</v>
      </c>
      <c r="FX198" s="14">
        <v>2000</v>
      </c>
      <c r="FY198" s="14">
        <v>1771856.18</v>
      </c>
      <c r="FZ198" s="14">
        <v>4148973.67</v>
      </c>
      <c r="GA198" s="15">
        <f t="shared" si="1019"/>
        <v>9830166.9800000004</v>
      </c>
      <c r="GB198" s="15">
        <f t="shared" si="1020"/>
        <v>21846070.18</v>
      </c>
      <c r="GC198" s="14">
        <v>4572562.2</v>
      </c>
      <c r="GD198" s="14">
        <v>765.12</v>
      </c>
      <c r="GE198" s="14">
        <v>8410.99</v>
      </c>
      <c r="GF198" s="14">
        <v>218364.98</v>
      </c>
      <c r="GG198" s="15">
        <f t="shared" si="1021"/>
        <v>4800103.290000001</v>
      </c>
      <c r="GH198" s="14">
        <v>4800103.29</v>
      </c>
      <c r="GI198" s="14">
        <v>0</v>
      </c>
      <c r="GJ198" s="14">
        <v>0</v>
      </c>
      <c r="GK198" s="14">
        <v>0</v>
      </c>
      <c r="GL198" s="15">
        <f t="shared" si="1022"/>
        <v>4800103.29</v>
      </c>
      <c r="GM198" s="15">
        <f t="shared" si="1023"/>
        <v>9600206.5800000019</v>
      </c>
      <c r="GN198" s="14">
        <v>434280.68</v>
      </c>
      <c r="GO198" s="14">
        <v>191.28</v>
      </c>
      <c r="GP198" s="14">
        <v>3393.64</v>
      </c>
      <c r="GQ198" s="14">
        <v>9274.68</v>
      </c>
      <c r="GR198" s="15">
        <f t="shared" si="1024"/>
        <v>447140.28</v>
      </c>
      <c r="GS198" s="14">
        <v>722437</v>
      </c>
      <c r="GT198" s="14">
        <v>893</v>
      </c>
      <c r="GU198" s="14">
        <v>893</v>
      </c>
      <c r="GV198" s="14">
        <v>1786</v>
      </c>
      <c r="GW198" s="15">
        <f t="shared" si="1025"/>
        <v>726009</v>
      </c>
      <c r="GX198" s="15">
        <f t="shared" si="1026"/>
        <v>10773355.860000001</v>
      </c>
      <c r="GY198" s="14">
        <v>40191094.609999999</v>
      </c>
      <c r="GZ198" s="14">
        <v>499854.7</v>
      </c>
      <c r="HA198" s="15">
        <f t="shared" si="1027"/>
        <v>40690949.310000002</v>
      </c>
      <c r="HB198" s="15">
        <f t="shared" si="1028"/>
        <v>2.260660282783975</v>
      </c>
      <c r="HC198" s="16">
        <f t="shared" si="1029"/>
        <v>0.42865310973694487</v>
      </c>
      <c r="HD198" s="15">
        <f t="shared" si="1030"/>
        <v>2.0277869276658236</v>
      </c>
      <c r="HE198" s="14">
        <v>16</v>
      </c>
      <c r="HF198" s="14">
        <v>5</v>
      </c>
      <c r="HG198" s="14">
        <v>13</v>
      </c>
      <c r="HH198" s="14">
        <v>16</v>
      </c>
      <c r="HI198" s="14">
        <v>5</v>
      </c>
      <c r="HJ198" s="15">
        <f t="shared" si="1031"/>
        <v>10</v>
      </c>
      <c r="HK198" s="16">
        <f t="shared" si="1032"/>
        <v>1</v>
      </c>
      <c r="HL198" s="14">
        <v>18</v>
      </c>
      <c r="HM198" s="14">
        <v>5</v>
      </c>
      <c r="HN198" s="17">
        <f t="shared" si="1033"/>
        <v>0.27777777777777779</v>
      </c>
    </row>
    <row r="199" spans="1:222" x14ac:dyDescent="0.3">
      <c r="A199" s="6" t="s">
        <v>280</v>
      </c>
      <c r="B199" s="6" t="s">
        <v>288</v>
      </c>
      <c r="C199" s="7" t="s">
        <v>257</v>
      </c>
      <c r="D199" s="7">
        <v>2025</v>
      </c>
      <c r="E199" s="7">
        <v>8</v>
      </c>
      <c r="F199" s="7" t="s">
        <v>264</v>
      </c>
      <c r="G199" s="7" t="s">
        <v>263</v>
      </c>
      <c r="H199" s="8">
        <v>16190</v>
      </c>
      <c r="I199" s="8">
        <v>4613</v>
      </c>
      <c r="J199" s="8">
        <v>0</v>
      </c>
      <c r="K199" s="8">
        <v>4</v>
      </c>
      <c r="L199" s="8">
        <v>18</v>
      </c>
      <c r="M199" s="9">
        <f t="shared" si="973"/>
        <v>4635</v>
      </c>
      <c r="N199" s="8">
        <v>4200.7</v>
      </c>
      <c r="O199" s="8">
        <v>13</v>
      </c>
      <c r="P199" s="8">
        <v>203</v>
      </c>
      <c r="Q199" s="8">
        <v>582.9</v>
      </c>
      <c r="R199" s="9">
        <f t="shared" si="974"/>
        <v>4999.5999999999995</v>
      </c>
      <c r="S199" s="9">
        <f t="shared" si="975"/>
        <v>9634.5999999999985</v>
      </c>
      <c r="T199" s="8">
        <v>6555.4</v>
      </c>
      <c r="U199" s="10">
        <f t="shared" si="976"/>
        <v>0.40490426189005557</v>
      </c>
      <c r="V199" s="8">
        <v>80</v>
      </c>
      <c r="W199" s="11">
        <f t="shared" si="977"/>
        <v>4.9413218035824586E-3</v>
      </c>
      <c r="X199" s="8">
        <v>0</v>
      </c>
      <c r="Y199" s="11">
        <f t="shared" si="978"/>
        <v>0</v>
      </c>
      <c r="Z199" s="8">
        <v>0</v>
      </c>
      <c r="AA199" s="11">
        <f t="shared" si="979"/>
        <v>0</v>
      </c>
      <c r="AB199" s="8">
        <v>50</v>
      </c>
      <c r="AC199" s="11">
        <f t="shared" si="980"/>
        <v>3.0883261272390363E-3</v>
      </c>
      <c r="AD199" s="8">
        <v>0</v>
      </c>
      <c r="AE199" s="11">
        <f t="shared" si="981"/>
        <v>0</v>
      </c>
      <c r="AF199" s="8">
        <v>0</v>
      </c>
      <c r="AG199" s="11">
        <f t="shared" si="982"/>
        <v>0</v>
      </c>
      <c r="AH199" s="8">
        <v>707931.1</v>
      </c>
      <c r="AI199" s="9">
        <f t="shared" si="983"/>
        <v>43.726442248301417</v>
      </c>
      <c r="AJ199" s="8">
        <v>23450</v>
      </c>
      <c r="AK199" s="11">
        <f t="shared" si="984"/>
        <v>1.4484249536751082</v>
      </c>
      <c r="AL199" s="8">
        <v>3270149.1749999998</v>
      </c>
      <c r="AM199" s="9">
        <f t="shared" si="985"/>
        <v>201.98574274243359</v>
      </c>
      <c r="AN199" s="8">
        <v>0</v>
      </c>
      <c r="AO199" s="8">
        <v>0</v>
      </c>
      <c r="AP199" s="8">
        <v>0</v>
      </c>
      <c r="AQ199" s="8">
        <v>0</v>
      </c>
      <c r="AR199" s="8">
        <v>12287931.9</v>
      </c>
      <c r="AS199" s="8">
        <v>3855261.78</v>
      </c>
      <c r="AT199" s="8">
        <v>1970933.5</v>
      </c>
      <c r="AU199" s="9">
        <f t="shared" si="986"/>
        <v>22092207.455000002</v>
      </c>
      <c r="AV199" s="9">
        <f t="shared" si="987"/>
        <v>1364.5588298332304</v>
      </c>
      <c r="AW199" s="9">
        <f t="shared" si="988"/>
        <v>2293.0072296722237</v>
      </c>
      <c r="AX199" s="8">
        <v>10</v>
      </c>
      <c r="AY199" s="9">
        <f t="shared" si="989"/>
        <v>7.4119827053736866</v>
      </c>
      <c r="AZ199" s="8">
        <v>15</v>
      </c>
      <c r="BA199" s="8">
        <v>13</v>
      </c>
      <c r="BB199" s="8">
        <v>8</v>
      </c>
      <c r="BC199" s="8">
        <v>3</v>
      </c>
      <c r="BD199" s="8">
        <v>10</v>
      </c>
      <c r="BE199" s="9">
        <f t="shared" si="990"/>
        <v>13</v>
      </c>
      <c r="BF199" s="9">
        <f t="shared" si="991"/>
        <v>8</v>
      </c>
      <c r="BG199" s="8">
        <v>0</v>
      </c>
      <c r="BH199" s="8">
        <v>0</v>
      </c>
      <c r="BI199" s="8">
        <v>0</v>
      </c>
      <c r="BJ199" s="8">
        <v>0</v>
      </c>
      <c r="BK199" s="9">
        <f t="shared" si="992"/>
        <v>0</v>
      </c>
      <c r="BL199" s="9">
        <f t="shared" si="993"/>
        <v>0</v>
      </c>
      <c r="BM199" s="8">
        <v>0</v>
      </c>
      <c r="BN199" s="8">
        <v>0</v>
      </c>
      <c r="BO199" s="8">
        <v>0</v>
      </c>
      <c r="BP199" s="8">
        <v>0</v>
      </c>
      <c r="BQ199" s="9">
        <f t="shared" si="994"/>
        <v>0</v>
      </c>
      <c r="BR199" s="9">
        <f t="shared" si="995"/>
        <v>0</v>
      </c>
      <c r="BS199" s="8">
        <v>0</v>
      </c>
      <c r="BT199" s="8">
        <v>0</v>
      </c>
      <c r="BU199" s="8">
        <v>0</v>
      </c>
      <c r="BV199" s="8">
        <v>0</v>
      </c>
      <c r="BW199" s="9">
        <f t="shared" si="996"/>
        <v>0</v>
      </c>
      <c r="BX199" s="9">
        <f t="shared" si="997"/>
        <v>0</v>
      </c>
      <c r="BY199" s="9">
        <f t="shared" si="998"/>
        <v>13</v>
      </c>
      <c r="BZ199" s="9">
        <f t="shared" si="999"/>
        <v>8</v>
      </c>
      <c r="CA199" s="9">
        <f t="shared" si="1000"/>
        <v>13</v>
      </c>
      <c r="CB199" s="9">
        <f t="shared" si="1001"/>
        <v>8</v>
      </c>
      <c r="CC199" s="8">
        <v>23</v>
      </c>
      <c r="CD199" s="8">
        <v>524</v>
      </c>
      <c r="CE199" s="8">
        <v>13</v>
      </c>
      <c r="CF199" s="8">
        <v>13</v>
      </c>
      <c r="CG199" s="8">
        <v>16</v>
      </c>
      <c r="CH199" s="9">
        <f t="shared" si="1002"/>
        <v>566</v>
      </c>
      <c r="CI199" s="8">
        <v>793</v>
      </c>
      <c r="CJ199" s="8">
        <v>1</v>
      </c>
      <c r="CK199" s="8">
        <v>2</v>
      </c>
      <c r="CL199" s="8">
        <v>1</v>
      </c>
      <c r="CM199" s="9">
        <f t="shared" si="1003"/>
        <v>797</v>
      </c>
      <c r="CN199" s="8">
        <v>798</v>
      </c>
      <c r="CO199" s="8">
        <v>53</v>
      </c>
      <c r="CP199" s="8">
        <v>56</v>
      </c>
      <c r="CQ199" s="8">
        <v>2</v>
      </c>
      <c r="CR199" s="9">
        <f t="shared" si="1004"/>
        <v>909</v>
      </c>
      <c r="CS199" s="9">
        <f t="shared" si="1005"/>
        <v>1706</v>
      </c>
      <c r="CT199" s="8">
        <v>2272</v>
      </c>
      <c r="CU199" s="8">
        <v>12005</v>
      </c>
      <c r="CV199" s="8">
        <v>11080</v>
      </c>
      <c r="CW199" s="10">
        <f t="shared" si="1006"/>
        <v>0.92294877134527276</v>
      </c>
      <c r="CX199" s="8">
        <v>0</v>
      </c>
      <c r="CY199" s="8">
        <v>0</v>
      </c>
      <c r="CZ199" s="8">
        <v>0</v>
      </c>
      <c r="DA199" s="8">
        <v>0</v>
      </c>
      <c r="DB199" s="9">
        <f t="shared" si="1007"/>
        <v>0</v>
      </c>
      <c r="DC199" s="8">
        <v>0</v>
      </c>
      <c r="DD199" s="8">
        <v>0</v>
      </c>
      <c r="DE199" s="8">
        <v>0</v>
      </c>
      <c r="DF199" s="8">
        <v>0</v>
      </c>
      <c r="DG199" s="9">
        <f t="shared" si="1008"/>
        <v>0</v>
      </c>
      <c r="DH199" s="8">
        <v>0</v>
      </c>
      <c r="DI199" s="8">
        <v>0</v>
      </c>
      <c r="DJ199" s="8">
        <v>0</v>
      </c>
      <c r="DK199" s="8">
        <v>0</v>
      </c>
      <c r="DL199" s="9">
        <f t="shared" si="1009"/>
        <v>0</v>
      </c>
      <c r="DM199" s="8">
        <v>36</v>
      </c>
      <c r="DN199" s="8">
        <v>35</v>
      </c>
      <c r="DO199" s="8">
        <v>13</v>
      </c>
      <c r="DP199" s="8">
        <v>0</v>
      </c>
      <c r="DQ199" s="9">
        <f t="shared" si="1010"/>
        <v>58</v>
      </c>
      <c r="DR199" s="9">
        <f t="shared" si="1011"/>
        <v>36</v>
      </c>
      <c r="DS199" s="9">
        <f t="shared" si="1012"/>
        <v>35</v>
      </c>
      <c r="DT199" s="9">
        <f t="shared" si="1013"/>
        <v>13</v>
      </c>
      <c r="DU199" s="9">
        <f t="shared" si="1014"/>
        <v>0</v>
      </c>
      <c r="DV199" s="9">
        <f t="shared" si="1015"/>
        <v>58</v>
      </c>
      <c r="DW199" s="8">
        <v>37</v>
      </c>
      <c r="DX199" s="8">
        <v>28</v>
      </c>
      <c r="DY199" s="8">
        <v>20</v>
      </c>
      <c r="DZ199" s="8">
        <v>1</v>
      </c>
      <c r="EA199" s="8">
        <v>5</v>
      </c>
      <c r="EB199" s="8">
        <v>3</v>
      </c>
      <c r="EC199" s="8">
        <v>0</v>
      </c>
      <c r="ED199" s="8">
        <v>0</v>
      </c>
      <c r="EE199" s="8">
        <v>0</v>
      </c>
      <c r="EF199" s="8">
        <v>3</v>
      </c>
      <c r="EG199" s="8">
        <v>0</v>
      </c>
      <c r="EH199" s="8">
        <v>0</v>
      </c>
      <c r="EI199" s="8">
        <v>0</v>
      </c>
      <c r="EJ199" s="8">
        <v>4</v>
      </c>
      <c r="EK199" s="8">
        <v>0</v>
      </c>
      <c r="EL199" s="8">
        <v>0</v>
      </c>
      <c r="EM199" s="8">
        <v>0</v>
      </c>
      <c r="EN199" s="8">
        <v>0</v>
      </c>
      <c r="EO199" s="8">
        <v>0</v>
      </c>
      <c r="EP199" s="8">
        <v>0</v>
      </c>
      <c r="EQ199" s="8">
        <v>0</v>
      </c>
      <c r="ER199" s="8">
        <v>0</v>
      </c>
      <c r="ES199" s="8">
        <v>0</v>
      </c>
      <c r="ET199" s="8">
        <v>0</v>
      </c>
      <c r="EU199" s="8">
        <v>0</v>
      </c>
      <c r="EV199" s="8">
        <v>0</v>
      </c>
      <c r="EW199" s="8">
        <v>0</v>
      </c>
      <c r="EX199" s="8">
        <v>0</v>
      </c>
      <c r="EY199" s="8">
        <v>0</v>
      </c>
      <c r="EZ199" s="8">
        <v>0</v>
      </c>
      <c r="FA199" s="8">
        <v>0</v>
      </c>
      <c r="FB199" s="8">
        <v>0</v>
      </c>
      <c r="FC199" s="8">
        <v>0</v>
      </c>
      <c r="FD199" s="8">
        <v>0</v>
      </c>
      <c r="FE199" s="8">
        <v>1</v>
      </c>
      <c r="FF199" s="8">
        <v>1</v>
      </c>
      <c r="FG199" s="9">
        <f t="shared" si="1016"/>
        <v>103</v>
      </c>
      <c r="FH199" s="8">
        <v>17</v>
      </c>
      <c r="FI199" s="8">
        <v>60</v>
      </c>
      <c r="FJ199" s="8">
        <v>8</v>
      </c>
      <c r="FK199" s="8">
        <v>68</v>
      </c>
      <c r="FL199" s="8">
        <v>0</v>
      </c>
      <c r="FM199" s="8">
        <v>0</v>
      </c>
      <c r="FN199" s="8">
        <v>0</v>
      </c>
      <c r="FO199" s="8">
        <v>0</v>
      </c>
      <c r="FP199" s="8">
        <v>0</v>
      </c>
      <c r="FQ199" s="9">
        <f t="shared" si="1017"/>
        <v>0</v>
      </c>
      <c r="FR199" s="8">
        <v>3557185.87</v>
      </c>
      <c r="FS199" s="8">
        <v>3557185.87</v>
      </c>
      <c r="FT199" s="8">
        <v>135232.78</v>
      </c>
      <c r="FU199" s="8">
        <v>0</v>
      </c>
      <c r="FV199" s="9">
        <f t="shared" si="1018"/>
        <v>7249604.5200000005</v>
      </c>
      <c r="FW199" s="8">
        <v>5667119.009999997</v>
      </c>
      <c r="FX199" s="8">
        <v>2700</v>
      </c>
      <c r="FY199" s="8">
        <v>2833579.36</v>
      </c>
      <c r="FZ199" s="8">
        <v>622192.89</v>
      </c>
      <c r="GA199" s="9">
        <f t="shared" si="1019"/>
        <v>9125591.2599999979</v>
      </c>
      <c r="GB199" s="9">
        <f t="shared" si="1020"/>
        <v>16375195.779999997</v>
      </c>
      <c r="GC199" s="8">
        <v>4091683.78</v>
      </c>
      <c r="GD199" s="8">
        <v>765.12</v>
      </c>
      <c r="GE199" s="8">
        <v>765.12</v>
      </c>
      <c r="GF199" s="8">
        <v>51389.36</v>
      </c>
      <c r="GG199" s="9">
        <f t="shared" si="1021"/>
        <v>4144603.38</v>
      </c>
      <c r="GH199" s="8">
        <v>4143838.26</v>
      </c>
      <c r="GI199" s="8">
        <v>0</v>
      </c>
      <c r="GJ199" s="8">
        <v>0</v>
      </c>
      <c r="GK199" s="8">
        <v>0</v>
      </c>
      <c r="GL199" s="9">
        <f t="shared" si="1022"/>
        <v>4143838.26</v>
      </c>
      <c r="GM199" s="9">
        <f t="shared" si="1023"/>
        <v>8288441.6399999997</v>
      </c>
      <c r="GN199" s="8">
        <v>426422.88</v>
      </c>
      <c r="GO199" s="8">
        <v>191.28</v>
      </c>
      <c r="GP199" s="8">
        <v>191.28</v>
      </c>
      <c r="GQ199" s="8">
        <v>9274.68</v>
      </c>
      <c r="GR199" s="9">
        <f t="shared" si="1024"/>
        <v>436080.12000000005</v>
      </c>
      <c r="GS199" s="8">
        <v>708149</v>
      </c>
      <c r="GT199" s="8">
        <v>893</v>
      </c>
      <c r="GU199" s="8">
        <v>893</v>
      </c>
      <c r="GV199" s="8">
        <v>1786</v>
      </c>
      <c r="GW199" s="9">
        <f t="shared" si="1025"/>
        <v>711721</v>
      </c>
      <c r="GX199" s="9">
        <f t="shared" si="1026"/>
        <v>9436242.7599999998</v>
      </c>
      <c r="GY199" s="8">
        <v>41702743.299999997</v>
      </c>
      <c r="GZ199" s="8">
        <v>499854.76</v>
      </c>
      <c r="HA199" s="9">
        <f t="shared" si="1027"/>
        <v>42202598.059999995</v>
      </c>
      <c r="HB199" s="9">
        <f t="shared" si="1028"/>
        <v>2.3412080440160277</v>
      </c>
      <c r="HC199" s="10">
        <f t="shared" si="1029"/>
        <v>0.32020962951411319</v>
      </c>
      <c r="HD199" s="9">
        <f t="shared" si="1030"/>
        <v>1.7353512617769913</v>
      </c>
      <c r="HE199" s="8">
        <v>8</v>
      </c>
      <c r="HF199" s="8">
        <v>2</v>
      </c>
      <c r="HG199" s="8">
        <v>8</v>
      </c>
      <c r="HH199" s="8">
        <v>8</v>
      </c>
      <c r="HI199" s="8">
        <v>5</v>
      </c>
      <c r="HJ199" s="9">
        <f t="shared" si="1031"/>
        <v>7</v>
      </c>
      <c r="HK199" s="10">
        <f t="shared" si="1032"/>
        <v>1</v>
      </c>
      <c r="HL199" s="8">
        <v>21</v>
      </c>
      <c r="HM199" s="8">
        <v>2</v>
      </c>
      <c r="HN199" s="11">
        <f t="shared" si="1033"/>
        <v>9.5238095238095233E-2</v>
      </c>
    </row>
    <row r="200" spans="1:222" x14ac:dyDescent="0.3">
      <c r="A200" s="12" t="s">
        <v>280</v>
      </c>
      <c r="B200" s="12" t="s">
        <v>288</v>
      </c>
      <c r="C200" s="13" t="s">
        <v>257</v>
      </c>
      <c r="D200" s="13">
        <v>2025</v>
      </c>
      <c r="E200" s="13">
        <v>9</v>
      </c>
      <c r="F200" s="13" t="s">
        <v>265</v>
      </c>
      <c r="G200" s="13" t="s">
        <v>263</v>
      </c>
      <c r="H200" s="14">
        <v>21080</v>
      </c>
      <c r="I200" s="14">
        <v>5544</v>
      </c>
      <c r="J200" s="14">
        <v>8</v>
      </c>
      <c r="K200" s="14">
        <v>0</v>
      </c>
      <c r="L200" s="14">
        <v>57</v>
      </c>
      <c r="M200" s="15">
        <f t="shared" si="973"/>
        <v>5609</v>
      </c>
      <c r="N200" s="14">
        <v>4901.6000000000104</v>
      </c>
      <c r="O200" s="14">
        <v>22.6</v>
      </c>
      <c r="P200" s="14">
        <v>845.7</v>
      </c>
      <c r="Q200" s="14">
        <v>621.20000000000005</v>
      </c>
      <c r="R200" s="15">
        <f t="shared" si="974"/>
        <v>6391.1000000000104</v>
      </c>
      <c r="S200" s="15">
        <f t="shared" si="975"/>
        <v>12000.100000000009</v>
      </c>
      <c r="T200" s="14">
        <v>9079.8999999999905</v>
      </c>
      <c r="U200" s="16">
        <f t="shared" si="976"/>
        <v>0.43073529411764661</v>
      </c>
      <c r="V200" s="14">
        <v>70</v>
      </c>
      <c r="W200" s="17">
        <f t="shared" si="977"/>
        <v>3.3206831119544592E-3</v>
      </c>
      <c r="X200" s="14">
        <v>0</v>
      </c>
      <c r="Y200" s="17">
        <f t="shared" si="978"/>
        <v>0</v>
      </c>
      <c r="Z200" s="14">
        <v>0</v>
      </c>
      <c r="AA200" s="17">
        <f t="shared" si="979"/>
        <v>0</v>
      </c>
      <c r="AB200" s="14">
        <v>44</v>
      </c>
      <c r="AC200" s="17">
        <f t="shared" si="980"/>
        <v>2.0872865275142313E-3</v>
      </c>
      <c r="AD200" s="14">
        <v>0</v>
      </c>
      <c r="AE200" s="17">
        <f t="shared" si="981"/>
        <v>0</v>
      </c>
      <c r="AF200" s="14">
        <v>0</v>
      </c>
      <c r="AG200" s="17">
        <f t="shared" si="982"/>
        <v>0</v>
      </c>
      <c r="AH200" s="14">
        <v>620934.69999999995</v>
      </c>
      <c r="AI200" s="15">
        <f t="shared" si="983"/>
        <v>29.456105313092976</v>
      </c>
      <c r="AJ200" s="14">
        <v>23450</v>
      </c>
      <c r="AK200" s="17">
        <f t="shared" si="984"/>
        <v>1.1124288425047439</v>
      </c>
      <c r="AL200" s="14">
        <v>3270149.1749999998</v>
      </c>
      <c r="AM200" s="15">
        <f t="shared" si="985"/>
        <v>155.13041627134723</v>
      </c>
      <c r="AN200" s="14">
        <v>0</v>
      </c>
      <c r="AO200" s="14">
        <v>0</v>
      </c>
      <c r="AP200" s="14">
        <v>0</v>
      </c>
      <c r="AQ200" s="14">
        <v>0</v>
      </c>
      <c r="AR200" s="14">
        <v>11467032.98</v>
      </c>
      <c r="AS200" s="14">
        <v>3684088.6</v>
      </c>
      <c r="AT200" s="14">
        <v>650000</v>
      </c>
      <c r="AU200" s="15">
        <f t="shared" si="986"/>
        <v>19692205.455000002</v>
      </c>
      <c r="AV200" s="15">
        <f t="shared" si="987"/>
        <v>934.16534416508546</v>
      </c>
      <c r="AW200" s="15">
        <f t="shared" si="988"/>
        <v>1641.0034462212805</v>
      </c>
      <c r="AX200" s="14">
        <v>10</v>
      </c>
      <c r="AY200" s="15">
        <f t="shared" si="989"/>
        <v>5.6925996204933584</v>
      </c>
      <c r="AZ200" s="14">
        <v>15</v>
      </c>
      <c r="BA200" s="14">
        <v>8</v>
      </c>
      <c r="BB200" s="14">
        <v>7</v>
      </c>
      <c r="BC200" s="14">
        <v>4</v>
      </c>
      <c r="BD200" s="14">
        <v>9</v>
      </c>
      <c r="BE200" s="15">
        <f t="shared" si="990"/>
        <v>13</v>
      </c>
      <c r="BF200" s="15">
        <f t="shared" si="991"/>
        <v>2</v>
      </c>
      <c r="BG200" s="14">
        <v>0</v>
      </c>
      <c r="BH200" s="14">
        <v>0</v>
      </c>
      <c r="BI200" s="14">
        <v>0</v>
      </c>
      <c r="BJ200" s="14">
        <v>0</v>
      </c>
      <c r="BK200" s="15">
        <f t="shared" si="992"/>
        <v>0</v>
      </c>
      <c r="BL200" s="15">
        <f t="shared" si="993"/>
        <v>0</v>
      </c>
      <c r="BM200" s="14">
        <v>0</v>
      </c>
      <c r="BN200" s="14">
        <v>0</v>
      </c>
      <c r="BO200" s="14">
        <v>0</v>
      </c>
      <c r="BP200" s="14">
        <v>0</v>
      </c>
      <c r="BQ200" s="15">
        <f t="shared" si="994"/>
        <v>0</v>
      </c>
      <c r="BR200" s="15">
        <f t="shared" si="995"/>
        <v>0</v>
      </c>
      <c r="BS200" s="14">
        <v>0</v>
      </c>
      <c r="BT200" s="14">
        <v>0</v>
      </c>
      <c r="BU200" s="14">
        <v>0</v>
      </c>
      <c r="BV200" s="14">
        <v>0</v>
      </c>
      <c r="BW200" s="15">
        <f t="shared" si="996"/>
        <v>0</v>
      </c>
      <c r="BX200" s="15">
        <f t="shared" si="997"/>
        <v>0</v>
      </c>
      <c r="BY200" s="15">
        <f t="shared" si="998"/>
        <v>8</v>
      </c>
      <c r="BZ200" s="15">
        <f t="shared" si="999"/>
        <v>7</v>
      </c>
      <c r="CA200" s="15">
        <f t="shared" si="1000"/>
        <v>13</v>
      </c>
      <c r="CB200" s="15">
        <f t="shared" si="1001"/>
        <v>2</v>
      </c>
      <c r="CC200" s="14">
        <v>9</v>
      </c>
      <c r="CD200" s="14">
        <v>484</v>
      </c>
      <c r="CE200" s="14">
        <v>13</v>
      </c>
      <c r="CF200" s="14">
        <v>13</v>
      </c>
      <c r="CG200" s="14">
        <v>16</v>
      </c>
      <c r="CH200" s="15">
        <f t="shared" si="1002"/>
        <v>526</v>
      </c>
      <c r="CI200" s="14">
        <v>808</v>
      </c>
      <c r="CJ200" s="14">
        <v>1</v>
      </c>
      <c r="CK200" s="14">
        <v>2</v>
      </c>
      <c r="CL200" s="14">
        <v>1</v>
      </c>
      <c r="CM200" s="15">
        <f t="shared" si="1003"/>
        <v>812</v>
      </c>
      <c r="CN200" s="14">
        <v>827</v>
      </c>
      <c r="CO200" s="14">
        <v>54</v>
      </c>
      <c r="CP200" s="14">
        <v>55</v>
      </c>
      <c r="CQ200" s="14">
        <v>2</v>
      </c>
      <c r="CR200" s="15">
        <f t="shared" si="1004"/>
        <v>938</v>
      </c>
      <c r="CS200" s="15">
        <f t="shared" si="1005"/>
        <v>1750</v>
      </c>
      <c r="CT200" s="14">
        <v>2276</v>
      </c>
      <c r="CU200" s="14">
        <v>12005</v>
      </c>
      <c r="CV200" s="14">
        <v>11080</v>
      </c>
      <c r="CW200" s="16">
        <f t="shared" si="1006"/>
        <v>0.92294877134527276</v>
      </c>
      <c r="CX200" s="14"/>
      <c r="CY200" s="14"/>
      <c r="CZ200" s="14"/>
      <c r="DA200" s="14"/>
      <c r="DB200" s="15">
        <f t="shared" si="1007"/>
        <v>0</v>
      </c>
      <c r="DC200" s="14">
        <v>0</v>
      </c>
      <c r="DD200" s="14">
        <v>0</v>
      </c>
      <c r="DE200" s="14">
        <v>0</v>
      </c>
      <c r="DF200" s="14">
        <v>0</v>
      </c>
      <c r="DG200" s="15">
        <f t="shared" si="1008"/>
        <v>0</v>
      </c>
      <c r="DH200" s="14">
        <v>0</v>
      </c>
      <c r="DI200" s="14">
        <v>0</v>
      </c>
      <c r="DJ200" s="14">
        <v>0</v>
      </c>
      <c r="DK200" s="14">
        <v>0</v>
      </c>
      <c r="DL200" s="15">
        <f t="shared" si="1009"/>
        <v>0</v>
      </c>
      <c r="DM200" s="14">
        <v>58</v>
      </c>
      <c r="DN200" s="14">
        <v>15</v>
      </c>
      <c r="DO200" s="14">
        <v>26</v>
      </c>
      <c r="DP200" s="14">
        <v>0</v>
      </c>
      <c r="DQ200" s="15">
        <f t="shared" si="1010"/>
        <v>47</v>
      </c>
      <c r="DR200" s="15">
        <f t="shared" si="1011"/>
        <v>58</v>
      </c>
      <c r="DS200" s="15">
        <f t="shared" si="1012"/>
        <v>15</v>
      </c>
      <c r="DT200" s="15">
        <f t="shared" si="1013"/>
        <v>26</v>
      </c>
      <c r="DU200" s="15">
        <f t="shared" si="1014"/>
        <v>0</v>
      </c>
      <c r="DV200" s="15">
        <f t="shared" si="1015"/>
        <v>47</v>
      </c>
      <c r="DW200" s="14">
        <v>51</v>
      </c>
      <c r="DX200" s="14">
        <v>35</v>
      </c>
      <c r="DY200" s="14">
        <v>25</v>
      </c>
      <c r="DZ200" s="14">
        <v>0</v>
      </c>
      <c r="EA200" s="14">
        <v>7</v>
      </c>
      <c r="EB200" s="14">
        <v>3</v>
      </c>
      <c r="EC200" s="14">
        <v>0</v>
      </c>
      <c r="ED200" s="14">
        <v>1</v>
      </c>
      <c r="EE200" s="14">
        <v>2</v>
      </c>
      <c r="EF200" s="14">
        <v>3</v>
      </c>
      <c r="EG200" s="14">
        <v>0</v>
      </c>
      <c r="EH200" s="14">
        <v>0</v>
      </c>
      <c r="EI200" s="14">
        <v>0</v>
      </c>
      <c r="EJ200" s="14">
        <v>7</v>
      </c>
      <c r="EK200" s="14">
        <v>7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1</v>
      </c>
      <c r="FG200" s="15">
        <f t="shared" si="1016"/>
        <v>142</v>
      </c>
      <c r="FH200" s="14">
        <v>22</v>
      </c>
      <c r="FI200" s="14">
        <v>61</v>
      </c>
      <c r="FJ200" s="14">
        <v>8</v>
      </c>
      <c r="FK200" s="14">
        <v>44</v>
      </c>
      <c r="FL200" s="14">
        <v>44</v>
      </c>
      <c r="FM200" s="14">
        <v>0</v>
      </c>
      <c r="FN200" s="14">
        <v>0</v>
      </c>
      <c r="FO200" s="14">
        <v>0</v>
      </c>
      <c r="FP200" s="14">
        <v>0</v>
      </c>
      <c r="FQ200" s="15">
        <f t="shared" si="1017"/>
        <v>44</v>
      </c>
      <c r="FR200" s="14">
        <v>4682507.22</v>
      </c>
      <c r="FS200" s="14">
        <v>7000</v>
      </c>
      <c r="FT200" s="14">
        <v>7000</v>
      </c>
      <c r="FU200" s="14">
        <v>82000</v>
      </c>
      <c r="FV200" s="15">
        <f t="shared" si="1018"/>
        <v>4778507.22</v>
      </c>
      <c r="FW200" s="14">
        <v>6489702.4199999962</v>
      </c>
      <c r="FX200" s="14">
        <v>4800</v>
      </c>
      <c r="FY200" s="14">
        <v>2939028.09</v>
      </c>
      <c r="FZ200" s="14">
        <v>2576700</v>
      </c>
      <c r="GA200" s="15">
        <f t="shared" si="1019"/>
        <v>12010230.509999996</v>
      </c>
      <c r="GB200" s="15">
        <f t="shared" si="1020"/>
        <v>16788737.729999997</v>
      </c>
      <c r="GC200" s="14">
        <v>4908447.57</v>
      </c>
      <c r="GD200" s="14">
        <v>1530.24</v>
      </c>
      <c r="GE200" s="14">
        <v>1530.24</v>
      </c>
      <c r="GF200" s="14">
        <v>236062.4</v>
      </c>
      <c r="GG200" s="15">
        <f t="shared" si="1021"/>
        <v>5147570.4500000011</v>
      </c>
      <c r="GH200" s="14">
        <v>5146040.21</v>
      </c>
      <c r="GI200" s="14">
        <v>0</v>
      </c>
      <c r="GJ200" s="14">
        <v>0</v>
      </c>
      <c r="GK200" s="14">
        <v>0</v>
      </c>
      <c r="GL200" s="15">
        <f t="shared" si="1022"/>
        <v>5146040.21</v>
      </c>
      <c r="GM200" s="15">
        <f t="shared" si="1023"/>
        <v>10293610.66</v>
      </c>
      <c r="GN200" s="14">
        <v>434616.01</v>
      </c>
      <c r="GO200" s="14">
        <v>191.28</v>
      </c>
      <c r="GP200" s="14">
        <v>191.28</v>
      </c>
      <c r="GQ200" s="14">
        <v>9274.68</v>
      </c>
      <c r="GR200" s="15">
        <f t="shared" si="1024"/>
        <v>444273.25000000006</v>
      </c>
      <c r="GS200" s="14">
        <v>721544</v>
      </c>
      <c r="GT200" s="14">
        <v>893</v>
      </c>
      <c r="GU200" s="14">
        <v>893</v>
      </c>
      <c r="GV200" s="14">
        <v>1786</v>
      </c>
      <c r="GW200" s="15">
        <f t="shared" si="1025"/>
        <v>725116</v>
      </c>
      <c r="GX200" s="15">
        <f t="shared" si="1026"/>
        <v>11462999.91</v>
      </c>
      <c r="GY200" s="14">
        <v>41702743.299999997</v>
      </c>
      <c r="GZ200" s="14">
        <v>499854.76</v>
      </c>
      <c r="HA200" s="15">
        <f t="shared" si="1027"/>
        <v>42202598.059999995</v>
      </c>
      <c r="HB200" s="15">
        <f t="shared" si="1028"/>
        <v>1.7178928386644297</v>
      </c>
      <c r="HC200" s="16">
        <f t="shared" si="1029"/>
        <v>0.31578111611617965</v>
      </c>
      <c r="HD200" s="15">
        <f t="shared" si="1030"/>
        <v>1.4646024480340414</v>
      </c>
      <c r="HE200" s="14">
        <v>7</v>
      </c>
      <c r="HF200" s="14">
        <v>5</v>
      </c>
      <c r="HG200" s="14">
        <v>2</v>
      </c>
      <c r="HH200" s="14">
        <v>7</v>
      </c>
      <c r="HI200" s="14">
        <v>5</v>
      </c>
      <c r="HJ200" s="15">
        <f t="shared" si="1031"/>
        <v>10</v>
      </c>
      <c r="HK200" s="16">
        <f t="shared" si="1032"/>
        <v>1</v>
      </c>
      <c r="HL200" s="14">
        <v>15</v>
      </c>
      <c r="HM200" s="14">
        <v>3</v>
      </c>
      <c r="HN200" s="17">
        <f t="shared" si="1033"/>
        <v>0.2</v>
      </c>
    </row>
    <row r="201" spans="1:222" x14ac:dyDescent="0.3">
      <c r="A201" s="6" t="s">
        <v>280</v>
      </c>
      <c r="B201" s="6" t="s">
        <v>288</v>
      </c>
      <c r="C201" s="7" t="s">
        <v>257</v>
      </c>
      <c r="D201" s="7">
        <v>2025</v>
      </c>
      <c r="E201" s="7">
        <v>10</v>
      </c>
      <c r="F201" s="7" t="s">
        <v>266</v>
      </c>
      <c r="G201" s="7" t="s">
        <v>267</v>
      </c>
      <c r="H201" s="8">
        <v>22320</v>
      </c>
      <c r="I201" s="8">
        <v>5280</v>
      </c>
      <c r="J201" s="8">
        <v>8</v>
      </c>
      <c r="K201" s="8">
        <v>0</v>
      </c>
      <c r="L201" s="8">
        <v>61</v>
      </c>
      <c r="M201" s="9">
        <f t="shared" si="973"/>
        <v>5349</v>
      </c>
      <c r="N201" s="8">
        <v>4632</v>
      </c>
      <c r="O201" s="8">
        <v>18</v>
      </c>
      <c r="P201" s="8">
        <v>1790</v>
      </c>
      <c r="Q201" s="8">
        <v>434</v>
      </c>
      <c r="R201" s="9">
        <f t="shared" si="974"/>
        <v>6874</v>
      </c>
      <c r="S201" s="9">
        <f t="shared" si="975"/>
        <v>12223</v>
      </c>
      <c r="T201" s="8">
        <v>10097</v>
      </c>
      <c r="U201" s="10">
        <f t="shared" si="976"/>
        <v>0.45237455197132614</v>
      </c>
      <c r="V201" s="8">
        <v>65</v>
      </c>
      <c r="W201" s="11">
        <f t="shared" si="977"/>
        <v>2.9121863799283156E-3</v>
      </c>
      <c r="X201" s="8">
        <v>0</v>
      </c>
      <c r="Y201" s="11">
        <f t="shared" si="978"/>
        <v>0</v>
      </c>
      <c r="Z201" s="8">
        <v>0</v>
      </c>
      <c r="AA201" s="11">
        <f t="shared" si="979"/>
        <v>0</v>
      </c>
      <c r="AB201" s="8">
        <v>65</v>
      </c>
      <c r="AC201" s="11">
        <f t="shared" si="980"/>
        <v>2.9121863799283156E-3</v>
      </c>
      <c r="AD201" s="8">
        <v>0</v>
      </c>
      <c r="AE201" s="11">
        <f t="shared" si="981"/>
        <v>0</v>
      </c>
      <c r="AF201" s="8">
        <v>0</v>
      </c>
      <c r="AG201" s="11">
        <f t="shared" si="982"/>
        <v>0</v>
      </c>
      <c r="AH201" s="8">
        <v>720955.3</v>
      </c>
      <c r="AI201" s="9">
        <f t="shared" si="983"/>
        <v>32.300864695340501</v>
      </c>
      <c r="AJ201" s="8">
        <v>23450</v>
      </c>
      <c r="AK201" s="11">
        <f t="shared" si="984"/>
        <v>1.0506272401433692</v>
      </c>
      <c r="AL201" s="8">
        <v>3270149.1749999998</v>
      </c>
      <c r="AM201" s="9">
        <f t="shared" si="985"/>
        <v>146.51205981182795</v>
      </c>
      <c r="AN201" s="8">
        <v>0</v>
      </c>
      <c r="AO201" s="8">
        <v>0</v>
      </c>
      <c r="AP201" s="8">
        <v>0</v>
      </c>
      <c r="AQ201" s="8">
        <v>0</v>
      </c>
      <c r="AR201" s="8">
        <v>6540311.8700000001</v>
      </c>
      <c r="AS201" s="8">
        <v>0</v>
      </c>
      <c r="AT201" s="8">
        <v>7545869.5899999999</v>
      </c>
      <c r="AU201" s="9">
        <f t="shared" si="986"/>
        <v>18077285.934999999</v>
      </c>
      <c r="AV201" s="9">
        <f t="shared" si="987"/>
        <v>809.91424439964146</v>
      </c>
      <c r="AW201" s="9">
        <f t="shared" si="988"/>
        <v>1478.9565519921459</v>
      </c>
      <c r="AX201" s="8">
        <v>10</v>
      </c>
      <c r="AY201" s="9">
        <f t="shared" si="989"/>
        <v>5.376344086021505</v>
      </c>
      <c r="AZ201" s="8">
        <v>15</v>
      </c>
      <c r="BA201" s="8">
        <v>2</v>
      </c>
      <c r="BB201" s="8">
        <v>12</v>
      </c>
      <c r="BC201" s="8">
        <v>1</v>
      </c>
      <c r="BD201" s="8">
        <v>8</v>
      </c>
      <c r="BE201" s="9">
        <f t="shared" si="990"/>
        <v>9</v>
      </c>
      <c r="BF201" s="9">
        <f t="shared" si="991"/>
        <v>5</v>
      </c>
      <c r="BG201" s="8">
        <v>0</v>
      </c>
      <c r="BH201" s="8">
        <v>0</v>
      </c>
      <c r="BI201" s="8">
        <v>0</v>
      </c>
      <c r="BJ201" s="8">
        <v>0</v>
      </c>
      <c r="BK201" s="9">
        <f t="shared" si="992"/>
        <v>0</v>
      </c>
      <c r="BL201" s="9">
        <f t="shared" si="993"/>
        <v>0</v>
      </c>
      <c r="BM201" s="8">
        <v>0</v>
      </c>
      <c r="BN201" s="8">
        <v>0</v>
      </c>
      <c r="BO201" s="8">
        <v>0</v>
      </c>
      <c r="BP201" s="8">
        <v>0</v>
      </c>
      <c r="BQ201" s="9">
        <f t="shared" si="994"/>
        <v>0</v>
      </c>
      <c r="BR201" s="9">
        <f t="shared" si="995"/>
        <v>0</v>
      </c>
      <c r="BS201" s="8">
        <v>0</v>
      </c>
      <c r="BT201" s="8">
        <v>0</v>
      </c>
      <c r="BU201" s="8">
        <v>0</v>
      </c>
      <c r="BV201" s="8">
        <v>0</v>
      </c>
      <c r="BW201" s="9">
        <f t="shared" si="996"/>
        <v>0</v>
      </c>
      <c r="BX201" s="9">
        <f t="shared" si="997"/>
        <v>0</v>
      </c>
      <c r="BY201" s="9">
        <f t="shared" si="998"/>
        <v>2</v>
      </c>
      <c r="BZ201" s="9">
        <f t="shared" si="999"/>
        <v>12</v>
      </c>
      <c r="CA201" s="9">
        <f t="shared" si="1000"/>
        <v>9</v>
      </c>
      <c r="CB201" s="9">
        <f t="shared" si="1001"/>
        <v>5</v>
      </c>
      <c r="CC201" s="8">
        <v>27</v>
      </c>
      <c r="CD201" s="8">
        <v>470</v>
      </c>
      <c r="CE201" s="8">
        <v>13</v>
      </c>
      <c r="CF201" s="8">
        <v>13</v>
      </c>
      <c r="CG201" s="8">
        <v>16</v>
      </c>
      <c r="CH201" s="9">
        <f t="shared" si="1002"/>
        <v>512</v>
      </c>
      <c r="CI201" s="8">
        <v>806</v>
      </c>
      <c r="CJ201" s="8">
        <v>0</v>
      </c>
      <c r="CK201" s="8">
        <v>2</v>
      </c>
      <c r="CL201" s="8">
        <v>1</v>
      </c>
      <c r="CM201" s="9">
        <f t="shared" si="1003"/>
        <v>809</v>
      </c>
      <c r="CN201" s="8">
        <v>855</v>
      </c>
      <c r="CO201" s="8">
        <v>55</v>
      </c>
      <c r="CP201" s="8">
        <v>56</v>
      </c>
      <c r="CQ201" s="8">
        <v>2</v>
      </c>
      <c r="CR201" s="9">
        <f t="shared" si="1004"/>
        <v>968</v>
      </c>
      <c r="CS201" s="9">
        <f t="shared" si="1005"/>
        <v>1777</v>
      </c>
      <c r="CT201" s="8">
        <v>2289</v>
      </c>
      <c r="CU201" s="8">
        <v>12005</v>
      </c>
      <c r="CV201" s="8">
        <v>11090</v>
      </c>
      <c r="CW201" s="10">
        <f t="shared" si="1006"/>
        <v>0.92378175760099956</v>
      </c>
      <c r="CX201" s="8"/>
      <c r="CY201" s="8"/>
      <c r="CZ201" s="8"/>
      <c r="DA201" s="8"/>
      <c r="DB201" s="9">
        <f t="shared" si="1007"/>
        <v>0</v>
      </c>
      <c r="DC201" s="8">
        <v>0</v>
      </c>
      <c r="DD201" s="8">
        <v>0</v>
      </c>
      <c r="DE201" s="8">
        <v>0</v>
      </c>
      <c r="DF201" s="8">
        <v>0</v>
      </c>
      <c r="DG201" s="9">
        <f t="shared" si="1008"/>
        <v>0</v>
      </c>
      <c r="DH201" s="8">
        <v>0</v>
      </c>
      <c r="DI201" s="8">
        <v>0</v>
      </c>
      <c r="DJ201" s="8">
        <v>0</v>
      </c>
      <c r="DK201" s="8">
        <v>0</v>
      </c>
      <c r="DL201" s="9">
        <f t="shared" si="1009"/>
        <v>0</v>
      </c>
      <c r="DM201" s="8">
        <v>47</v>
      </c>
      <c r="DN201" s="8">
        <v>10</v>
      </c>
      <c r="DO201" s="8">
        <v>19</v>
      </c>
      <c r="DP201" s="8">
        <v>0</v>
      </c>
      <c r="DQ201" s="9">
        <f t="shared" si="1010"/>
        <v>38</v>
      </c>
      <c r="DR201" s="9">
        <f t="shared" si="1011"/>
        <v>47</v>
      </c>
      <c r="DS201" s="9">
        <f t="shared" si="1012"/>
        <v>10</v>
      </c>
      <c r="DT201" s="9">
        <f t="shared" si="1013"/>
        <v>19</v>
      </c>
      <c r="DU201" s="9">
        <f t="shared" si="1014"/>
        <v>0</v>
      </c>
      <c r="DV201" s="9">
        <f t="shared" si="1015"/>
        <v>38</v>
      </c>
      <c r="DW201" s="8">
        <v>45</v>
      </c>
      <c r="DX201" s="8">
        <v>30</v>
      </c>
      <c r="DY201" s="8">
        <v>22</v>
      </c>
      <c r="DZ201" s="8">
        <v>0</v>
      </c>
      <c r="EA201" s="8">
        <v>6</v>
      </c>
      <c r="EB201" s="8">
        <v>0</v>
      </c>
      <c r="EC201" s="8">
        <v>0</v>
      </c>
      <c r="ED201" s="8">
        <v>1</v>
      </c>
      <c r="EE201" s="8">
        <v>2</v>
      </c>
      <c r="EF201" s="8">
        <v>1</v>
      </c>
      <c r="EG201" s="8">
        <v>0</v>
      </c>
      <c r="EH201" s="8">
        <v>0</v>
      </c>
      <c r="EI201" s="8">
        <v>0</v>
      </c>
      <c r="EJ201" s="8">
        <v>6</v>
      </c>
      <c r="EK201" s="8">
        <v>2</v>
      </c>
      <c r="EL201" s="8">
        <v>2</v>
      </c>
      <c r="EM201" s="8">
        <v>0</v>
      </c>
      <c r="EN201" s="8">
        <v>0</v>
      </c>
      <c r="EO201" s="8">
        <v>0</v>
      </c>
      <c r="EP201" s="8">
        <v>0</v>
      </c>
      <c r="EQ201" s="8">
        <v>0</v>
      </c>
      <c r="ER201" s="8">
        <v>0</v>
      </c>
      <c r="ES201" s="8">
        <v>0</v>
      </c>
      <c r="ET201" s="8">
        <v>0</v>
      </c>
      <c r="EU201" s="8">
        <v>0</v>
      </c>
      <c r="EV201" s="8">
        <v>0</v>
      </c>
      <c r="EW201" s="8">
        <v>0</v>
      </c>
      <c r="EX201" s="8">
        <v>0</v>
      </c>
      <c r="EY201" s="8">
        <v>0</v>
      </c>
      <c r="EZ201" s="8">
        <v>0</v>
      </c>
      <c r="FA201" s="8">
        <v>0</v>
      </c>
      <c r="FB201" s="8">
        <v>0</v>
      </c>
      <c r="FC201" s="8">
        <v>0</v>
      </c>
      <c r="FD201" s="8">
        <v>0</v>
      </c>
      <c r="FE201" s="8">
        <v>0</v>
      </c>
      <c r="FF201" s="8">
        <v>1</v>
      </c>
      <c r="FG201" s="9">
        <f t="shared" si="1016"/>
        <v>118</v>
      </c>
      <c r="FH201" s="8">
        <v>0</v>
      </c>
      <c r="FI201" s="8">
        <v>4</v>
      </c>
      <c r="FJ201" s="8">
        <v>6</v>
      </c>
      <c r="FK201" s="8">
        <v>180</v>
      </c>
      <c r="FL201" s="8">
        <v>180</v>
      </c>
      <c r="FM201" s="8">
        <v>0</v>
      </c>
      <c r="FN201" s="8">
        <v>0</v>
      </c>
      <c r="FO201" s="8">
        <v>0</v>
      </c>
      <c r="FP201" s="8">
        <v>0</v>
      </c>
      <c r="FQ201" s="9">
        <f t="shared" si="1017"/>
        <v>180</v>
      </c>
      <c r="FR201" s="8">
        <v>6299018.4400000004</v>
      </c>
      <c r="FS201" s="8">
        <v>6299018.4400000004</v>
      </c>
      <c r="FT201" s="8">
        <v>0</v>
      </c>
      <c r="FU201" s="8">
        <v>0</v>
      </c>
      <c r="FV201" s="9">
        <f t="shared" si="1018"/>
        <v>12598036.880000001</v>
      </c>
      <c r="FW201" s="8">
        <v>6088487.7299999939</v>
      </c>
      <c r="FX201" s="8">
        <v>5000</v>
      </c>
      <c r="FY201" s="8">
        <v>2051056.18</v>
      </c>
      <c r="FZ201" s="8">
        <v>5458318.2000000011</v>
      </c>
      <c r="GA201" s="9">
        <f t="shared" si="1019"/>
        <v>13602862.109999996</v>
      </c>
      <c r="GB201" s="9">
        <f t="shared" si="1020"/>
        <v>26200898.989999995</v>
      </c>
      <c r="GC201" s="8">
        <v>4680017.22</v>
      </c>
      <c r="GD201" s="8">
        <v>1530.24</v>
      </c>
      <c r="GE201" s="8">
        <v>1530.24</v>
      </c>
      <c r="GF201" s="8">
        <v>256053.92</v>
      </c>
      <c r="GG201" s="9">
        <f t="shared" si="1021"/>
        <v>4939131.62</v>
      </c>
      <c r="GH201" s="8">
        <v>4937601.38</v>
      </c>
      <c r="GI201" s="8">
        <v>0</v>
      </c>
      <c r="GJ201" s="8">
        <v>0</v>
      </c>
      <c r="GK201" s="8">
        <v>0</v>
      </c>
      <c r="GL201" s="9">
        <f t="shared" si="1022"/>
        <v>4937601.38</v>
      </c>
      <c r="GM201" s="9">
        <f t="shared" si="1023"/>
        <v>9876733</v>
      </c>
      <c r="GN201" s="8">
        <v>433975.87</v>
      </c>
      <c r="GO201" s="8">
        <v>191.28</v>
      </c>
      <c r="GP201" s="8">
        <v>191.28</v>
      </c>
      <c r="GQ201" s="8">
        <v>9274.68</v>
      </c>
      <c r="GR201" s="9">
        <f t="shared" si="1024"/>
        <v>443633.11000000004</v>
      </c>
      <c r="GS201" s="8">
        <v>719758</v>
      </c>
      <c r="GT201" s="8">
        <v>893</v>
      </c>
      <c r="GU201" s="8">
        <v>893</v>
      </c>
      <c r="GV201" s="8">
        <v>1786</v>
      </c>
      <c r="GW201" s="9">
        <f t="shared" si="1025"/>
        <v>723330</v>
      </c>
      <c r="GX201" s="9">
        <f t="shared" si="1026"/>
        <v>11043696.109999999</v>
      </c>
      <c r="GY201" s="8">
        <v>43073027.140000001</v>
      </c>
      <c r="GZ201" s="8">
        <v>499854.76</v>
      </c>
      <c r="HA201" s="9">
        <f t="shared" si="1027"/>
        <v>43572881.899999999</v>
      </c>
      <c r="HB201" s="9">
        <f t="shared" si="1028"/>
        <v>1.6368873024884421</v>
      </c>
      <c r="HC201" s="10">
        <f t="shared" si="1029"/>
        <v>0.48415531126970063</v>
      </c>
      <c r="HD201" s="9">
        <f t="shared" si="1030"/>
        <v>2.3724755488586147</v>
      </c>
      <c r="HE201" s="8">
        <v>12</v>
      </c>
      <c r="HF201" s="8">
        <v>5</v>
      </c>
      <c r="HG201" s="8">
        <v>5</v>
      </c>
      <c r="HH201" s="8">
        <v>12</v>
      </c>
      <c r="HI201" s="8">
        <v>5</v>
      </c>
      <c r="HJ201" s="9">
        <f t="shared" si="1031"/>
        <v>10</v>
      </c>
      <c r="HK201" s="10">
        <f t="shared" si="1032"/>
        <v>1</v>
      </c>
      <c r="HL201" s="8">
        <v>25</v>
      </c>
      <c r="HM201" s="8">
        <v>5</v>
      </c>
      <c r="HN201" s="11">
        <f t="shared" si="1033"/>
        <v>0.2</v>
      </c>
    </row>
    <row r="202" spans="1:222" x14ac:dyDescent="0.3">
      <c r="A202" s="12" t="s">
        <v>280</v>
      </c>
      <c r="B202" s="12" t="s">
        <v>288</v>
      </c>
      <c r="C202" s="13" t="s">
        <v>257</v>
      </c>
      <c r="D202" s="13">
        <v>2025</v>
      </c>
      <c r="E202" s="13">
        <v>11</v>
      </c>
      <c r="F202" s="13" t="s">
        <v>268</v>
      </c>
      <c r="G202" s="13" t="s">
        <v>267</v>
      </c>
      <c r="H202" s="14">
        <v>24330</v>
      </c>
      <c r="I202" s="14">
        <v>5649</v>
      </c>
      <c r="J202" s="14">
        <v>9</v>
      </c>
      <c r="K202" s="14">
        <v>0</v>
      </c>
      <c r="L202" s="14">
        <v>113</v>
      </c>
      <c r="M202" s="15">
        <f t="shared" si="973"/>
        <v>5771</v>
      </c>
      <c r="N202" s="14">
        <v>4430.4000000000096</v>
      </c>
      <c r="O202" s="14">
        <v>15.6</v>
      </c>
      <c r="P202" s="14">
        <v>2847.8</v>
      </c>
      <c r="Q202" s="14">
        <v>345.2</v>
      </c>
      <c r="R202" s="15">
        <f t="shared" si="974"/>
        <v>7639.00000000001</v>
      </c>
      <c r="S202" s="15">
        <f t="shared" si="975"/>
        <v>13410.000000000011</v>
      </c>
      <c r="T202" s="14">
        <v>10920</v>
      </c>
      <c r="U202" s="16">
        <f t="shared" si="976"/>
        <v>0.44882860665844637</v>
      </c>
      <c r="V202" s="14">
        <v>72</v>
      </c>
      <c r="W202" s="17">
        <f t="shared" si="977"/>
        <v>2.9593094944512948E-3</v>
      </c>
      <c r="X202" s="14">
        <v>0</v>
      </c>
      <c r="Y202" s="17">
        <f t="shared" si="978"/>
        <v>0</v>
      </c>
      <c r="Z202" s="14">
        <v>0</v>
      </c>
      <c r="AA202" s="17">
        <f t="shared" si="979"/>
        <v>0</v>
      </c>
      <c r="AB202" s="14">
        <v>69</v>
      </c>
      <c r="AC202" s="17">
        <f t="shared" si="980"/>
        <v>2.836004932182491E-3</v>
      </c>
      <c r="AD202" s="14">
        <v>0</v>
      </c>
      <c r="AE202" s="17">
        <f t="shared" si="981"/>
        <v>0</v>
      </c>
      <c r="AF202" s="14">
        <v>0</v>
      </c>
      <c r="AG202" s="17">
        <f t="shared" si="982"/>
        <v>0</v>
      </c>
      <c r="AH202" s="14">
        <v>780656.79</v>
      </c>
      <c r="AI202" s="15">
        <f t="shared" si="983"/>
        <v>32.086181257706535</v>
      </c>
      <c r="AJ202" s="14">
        <v>23450</v>
      </c>
      <c r="AK202" s="17">
        <f t="shared" si="984"/>
        <v>0.96383066173448417</v>
      </c>
      <c r="AL202" s="14">
        <v>3270149.1749999998</v>
      </c>
      <c r="AM202" s="15">
        <f t="shared" si="985"/>
        <v>134.4081041923551</v>
      </c>
      <c r="AN202" s="14">
        <v>0</v>
      </c>
      <c r="AO202" s="14">
        <v>0</v>
      </c>
      <c r="AP202" s="14">
        <v>0</v>
      </c>
      <c r="AQ202" s="14">
        <v>0</v>
      </c>
      <c r="AR202" s="14">
        <v>11883148.73</v>
      </c>
      <c r="AS202" s="14">
        <v>0</v>
      </c>
      <c r="AT202" s="14">
        <v>0</v>
      </c>
      <c r="AU202" s="15">
        <f t="shared" si="986"/>
        <v>15933954.695</v>
      </c>
      <c r="AV202" s="15">
        <f t="shared" si="987"/>
        <v>654.9097696259762</v>
      </c>
      <c r="AW202" s="15">
        <f t="shared" si="988"/>
        <v>1188.214369500372</v>
      </c>
      <c r="AX202" s="14">
        <v>10</v>
      </c>
      <c r="AY202" s="15">
        <f t="shared" si="989"/>
        <v>4.9321824907521581</v>
      </c>
      <c r="AZ202" s="14">
        <v>15</v>
      </c>
      <c r="BA202" s="14">
        <v>5</v>
      </c>
      <c r="BB202" s="14">
        <v>13</v>
      </c>
      <c r="BC202" s="14">
        <v>4</v>
      </c>
      <c r="BD202" s="14">
        <v>10</v>
      </c>
      <c r="BE202" s="15">
        <f t="shared" si="990"/>
        <v>14</v>
      </c>
      <c r="BF202" s="15">
        <f t="shared" si="991"/>
        <v>4</v>
      </c>
      <c r="BG202" s="14">
        <v>0</v>
      </c>
      <c r="BH202" s="14">
        <v>0</v>
      </c>
      <c r="BI202" s="14">
        <v>0</v>
      </c>
      <c r="BJ202" s="14">
        <v>0</v>
      </c>
      <c r="BK202" s="15">
        <f t="shared" si="992"/>
        <v>0</v>
      </c>
      <c r="BL202" s="15">
        <f t="shared" si="993"/>
        <v>0</v>
      </c>
      <c r="BM202" s="14">
        <v>0</v>
      </c>
      <c r="BN202" s="14">
        <v>0</v>
      </c>
      <c r="BO202" s="14">
        <v>0</v>
      </c>
      <c r="BP202" s="14">
        <v>0</v>
      </c>
      <c r="BQ202" s="15">
        <f t="shared" si="994"/>
        <v>0</v>
      </c>
      <c r="BR202" s="15">
        <f t="shared" si="995"/>
        <v>0</v>
      </c>
      <c r="BS202" s="14">
        <v>0</v>
      </c>
      <c r="BT202" s="14">
        <v>0</v>
      </c>
      <c r="BU202" s="14">
        <v>0</v>
      </c>
      <c r="BV202" s="14">
        <v>0</v>
      </c>
      <c r="BW202" s="15">
        <f t="shared" si="996"/>
        <v>0</v>
      </c>
      <c r="BX202" s="15">
        <f t="shared" si="997"/>
        <v>0</v>
      </c>
      <c r="BY202" s="15">
        <f t="shared" si="998"/>
        <v>5</v>
      </c>
      <c r="BZ202" s="15">
        <f t="shared" si="999"/>
        <v>13</v>
      </c>
      <c r="CA202" s="15">
        <f t="shared" si="1000"/>
        <v>14</v>
      </c>
      <c r="CB202" s="15">
        <f t="shared" si="1001"/>
        <v>4</v>
      </c>
      <c r="CC202" s="14">
        <v>22</v>
      </c>
      <c r="CD202" s="14">
        <v>470</v>
      </c>
      <c r="CE202" s="14">
        <v>13</v>
      </c>
      <c r="CF202" s="14">
        <v>13</v>
      </c>
      <c r="CG202" s="14">
        <v>16</v>
      </c>
      <c r="CH202" s="15">
        <f t="shared" si="1002"/>
        <v>512</v>
      </c>
      <c r="CI202" s="14">
        <v>805</v>
      </c>
      <c r="CJ202" s="14">
        <v>0</v>
      </c>
      <c r="CK202" s="14">
        <v>4</v>
      </c>
      <c r="CL202" s="14">
        <v>1</v>
      </c>
      <c r="CM202" s="15">
        <f t="shared" si="1003"/>
        <v>810</v>
      </c>
      <c r="CN202" s="14">
        <v>864</v>
      </c>
      <c r="CO202" s="14">
        <v>55</v>
      </c>
      <c r="CP202" s="14">
        <v>56</v>
      </c>
      <c r="CQ202" s="14">
        <v>2</v>
      </c>
      <c r="CR202" s="15">
        <f t="shared" si="1004"/>
        <v>977</v>
      </c>
      <c r="CS202" s="15">
        <f t="shared" si="1005"/>
        <v>1787</v>
      </c>
      <c r="CT202" s="14">
        <v>2299</v>
      </c>
      <c r="CU202" s="14">
        <v>12005</v>
      </c>
      <c r="CV202" s="14">
        <v>11100</v>
      </c>
      <c r="CW202" s="16">
        <f t="shared" si="1006"/>
        <v>0.92461474385672637</v>
      </c>
      <c r="CX202" s="14"/>
      <c r="CY202" s="14"/>
      <c r="CZ202" s="14"/>
      <c r="DA202" s="14"/>
      <c r="DB202" s="15">
        <f t="shared" si="1007"/>
        <v>0</v>
      </c>
      <c r="DC202" s="14">
        <v>0</v>
      </c>
      <c r="DD202" s="14">
        <v>0</v>
      </c>
      <c r="DE202" s="14">
        <v>0</v>
      </c>
      <c r="DF202" s="14">
        <v>0</v>
      </c>
      <c r="DG202" s="15">
        <f t="shared" si="1008"/>
        <v>0</v>
      </c>
      <c r="DH202" s="14">
        <v>0</v>
      </c>
      <c r="DI202" s="14">
        <v>0</v>
      </c>
      <c r="DJ202" s="14">
        <v>0</v>
      </c>
      <c r="DK202" s="14">
        <v>0</v>
      </c>
      <c r="DL202" s="15">
        <f t="shared" si="1009"/>
        <v>0</v>
      </c>
      <c r="DM202" s="14">
        <v>38</v>
      </c>
      <c r="DN202" s="14">
        <v>20</v>
      </c>
      <c r="DO202" s="14">
        <v>4</v>
      </c>
      <c r="DP202" s="14">
        <v>0</v>
      </c>
      <c r="DQ202" s="15">
        <f t="shared" si="1010"/>
        <v>54</v>
      </c>
      <c r="DR202" s="15">
        <f t="shared" si="1011"/>
        <v>38</v>
      </c>
      <c r="DS202" s="15">
        <f t="shared" si="1012"/>
        <v>20</v>
      </c>
      <c r="DT202" s="15">
        <f t="shared" si="1013"/>
        <v>4</v>
      </c>
      <c r="DU202" s="15">
        <f t="shared" si="1014"/>
        <v>0</v>
      </c>
      <c r="DV202" s="15">
        <f t="shared" si="1015"/>
        <v>54</v>
      </c>
      <c r="DW202" s="14">
        <v>50</v>
      </c>
      <c r="DX202" s="14">
        <v>30</v>
      </c>
      <c r="DY202" s="14">
        <v>25</v>
      </c>
      <c r="DZ202" s="14">
        <v>2</v>
      </c>
      <c r="EA202" s="14">
        <v>7</v>
      </c>
      <c r="EB202" s="14">
        <v>4</v>
      </c>
      <c r="EC202" s="14">
        <v>0</v>
      </c>
      <c r="ED202" s="14">
        <v>4</v>
      </c>
      <c r="EE202" s="14">
        <v>6</v>
      </c>
      <c r="EF202" s="14">
        <v>3</v>
      </c>
      <c r="EG202" s="14">
        <v>0</v>
      </c>
      <c r="EH202" s="14">
        <v>0</v>
      </c>
      <c r="EI202" s="14">
        <v>0</v>
      </c>
      <c r="EJ202" s="14">
        <v>8</v>
      </c>
      <c r="EK202" s="14">
        <v>8</v>
      </c>
      <c r="EL202" s="14">
        <v>0</v>
      </c>
      <c r="EM202" s="14">
        <v>0</v>
      </c>
      <c r="EN202" s="14">
        <v>0</v>
      </c>
      <c r="EO202" s="14">
        <v>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0</v>
      </c>
      <c r="FD202" s="14">
        <v>0</v>
      </c>
      <c r="FE202" s="14">
        <v>0</v>
      </c>
      <c r="FF202" s="14">
        <v>1</v>
      </c>
      <c r="FG202" s="15">
        <f t="shared" si="1016"/>
        <v>148</v>
      </c>
      <c r="FH202" s="14">
        <v>29</v>
      </c>
      <c r="FI202" s="14">
        <v>54</v>
      </c>
      <c r="FJ202" s="14">
        <v>6</v>
      </c>
      <c r="FK202" s="14">
        <v>33</v>
      </c>
      <c r="FL202" s="14">
        <v>33</v>
      </c>
      <c r="FM202" s="14">
        <v>0</v>
      </c>
      <c r="FN202" s="14">
        <v>0</v>
      </c>
      <c r="FO202" s="14">
        <v>0</v>
      </c>
      <c r="FP202" s="14">
        <v>0</v>
      </c>
      <c r="FQ202" s="15">
        <f t="shared" si="1017"/>
        <v>33</v>
      </c>
      <c r="FR202" s="14">
        <v>6618546.8799999999</v>
      </c>
      <c r="FS202" s="14">
        <v>10000</v>
      </c>
      <c r="FT202" s="14">
        <v>54000</v>
      </c>
      <c r="FU202" s="14">
        <v>0</v>
      </c>
      <c r="FV202" s="15">
        <f t="shared" si="1018"/>
        <v>6682546.8799999999</v>
      </c>
      <c r="FW202" s="14">
        <v>5832123</v>
      </c>
      <c r="FX202" s="14">
        <v>4500</v>
      </c>
      <c r="FY202" s="14">
        <v>1651400</v>
      </c>
      <c r="FZ202" s="14">
        <v>8702500</v>
      </c>
      <c r="GA202" s="15">
        <f t="shared" si="1019"/>
        <v>16190523</v>
      </c>
      <c r="GB202" s="15">
        <f t="shared" si="1020"/>
        <v>22873069.879999999</v>
      </c>
      <c r="GC202" s="14">
        <v>5134315.92</v>
      </c>
      <c r="GD202" s="14">
        <v>1721.52</v>
      </c>
      <c r="GE202" s="14">
        <v>1721.52</v>
      </c>
      <c r="GF202" s="14">
        <v>478602.88</v>
      </c>
      <c r="GG202" s="15">
        <f t="shared" si="1021"/>
        <v>5616361.8399999989</v>
      </c>
      <c r="GH202" s="14">
        <v>5614640.3200000003</v>
      </c>
      <c r="GI202" s="14">
        <v>0</v>
      </c>
      <c r="GJ202" s="14">
        <v>0</v>
      </c>
      <c r="GK202" s="14">
        <v>0</v>
      </c>
      <c r="GL202" s="15">
        <f t="shared" si="1022"/>
        <v>5614640.3200000003</v>
      </c>
      <c r="GM202" s="15">
        <f t="shared" si="1023"/>
        <v>11231002.16</v>
      </c>
      <c r="GN202" s="14">
        <v>433472.77</v>
      </c>
      <c r="GO202" s="14">
        <v>191.28</v>
      </c>
      <c r="GP202" s="14">
        <v>191.28</v>
      </c>
      <c r="GQ202" s="14">
        <v>18549.36</v>
      </c>
      <c r="GR202" s="15">
        <f t="shared" si="1024"/>
        <v>452404.69000000006</v>
      </c>
      <c r="GS202" s="14">
        <v>718865</v>
      </c>
      <c r="GT202" s="14">
        <v>893</v>
      </c>
      <c r="GU202" s="14">
        <v>893</v>
      </c>
      <c r="GV202" s="14">
        <v>3572</v>
      </c>
      <c r="GW202" s="15">
        <f t="shared" si="1025"/>
        <v>724223</v>
      </c>
      <c r="GX202" s="15">
        <f t="shared" si="1026"/>
        <v>12407629.85</v>
      </c>
      <c r="GY202" s="14">
        <v>21764191.68</v>
      </c>
      <c r="GZ202" s="14">
        <v>499854.76</v>
      </c>
      <c r="HA202" s="15">
        <f t="shared" si="1027"/>
        <v>22264046.440000001</v>
      </c>
      <c r="HB202" s="15">
        <f t="shared" si="1028"/>
        <v>1.284206160856741</v>
      </c>
      <c r="HC202" s="16">
        <f t="shared" si="1029"/>
        <v>0.66935471554887283</v>
      </c>
      <c r="HD202" s="15">
        <f t="shared" si="1030"/>
        <v>1.8434681044260841</v>
      </c>
      <c r="HE202" s="14">
        <v>13</v>
      </c>
      <c r="HF202" s="14">
        <v>5</v>
      </c>
      <c r="HG202" s="14">
        <v>4</v>
      </c>
      <c r="HH202" s="14">
        <v>13</v>
      </c>
      <c r="HI202" s="14">
        <v>5</v>
      </c>
      <c r="HJ202" s="15">
        <f t="shared" si="1031"/>
        <v>10</v>
      </c>
      <c r="HK202" s="16">
        <f t="shared" si="1032"/>
        <v>1</v>
      </c>
      <c r="HL202" s="14">
        <v>21</v>
      </c>
      <c r="HM202" s="14">
        <v>3</v>
      </c>
      <c r="HN202" s="17">
        <f t="shared" si="1033"/>
        <v>0.14285714285714285</v>
      </c>
    </row>
    <row r="203" spans="1:222" x14ac:dyDescent="0.3">
      <c r="A203" s="6" t="s">
        <v>280</v>
      </c>
      <c r="B203" s="6" t="s">
        <v>288</v>
      </c>
      <c r="C203" s="7" t="s">
        <v>257</v>
      </c>
      <c r="D203" s="7">
        <v>2025</v>
      </c>
      <c r="E203" s="7">
        <v>12</v>
      </c>
      <c r="F203" s="7" t="s">
        <v>269</v>
      </c>
      <c r="G203" s="7" t="s">
        <v>267</v>
      </c>
      <c r="H203" s="8">
        <v>18130</v>
      </c>
      <c r="I203" s="8">
        <v>5296</v>
      </c>
      <c r="J203" s="8">
        <v>6</v>
      </c>
      <c r="K203" s="8">
        <v>0</v>
      </c>
      <c r="L203" s="8">
        <v>118</v>
      </c>
      <c r="M203" s="9">
        <f t="shared" si="973"/>
        <v>5420</v>
      </c>
      <c r="N203" s="8">
        <v>4153.6000000000004</v>
      </c>
      <c r="O203" s="8">
        <v>9.4</v>
      </c>
      <c r="P203" s="8">
        <v>272.2</v>
      </c>
      <c r="Q203" s="8">
        <v>923.8</v>
      </c>
      <c r="R203" s="9">
        <f t="shared" si="974"/>
        <v>5359</v>
      </c>
      <c r="S203" s="9">
        <f t="shared" si="975"/>
        <v>10779</v>
      </c>
      <c r="T203" s="8">
        <v>7351</v>
      </c>
      <c r="U203" s="10">
        <f t="shared" si="976"/>
        <v>0.40546056260341973</v>
      </c>
      <c r="V203" s="8">
        <v>78</v>
      </c>
      <c r="W203" s="11">
        <f t="shared" si="977"/>
        <v>4.3022614451185878E-3</v>
      </c>
      <c r="X203" s="8">
        <v>0</v>
      </c>
      <c r="Y203" s="11">
        <f t="shared" si="978"/>
        <v>0</v>
      </c>
      <c r="Z203" s="8">
        <v>0</v>
      </c>
      <c r="AA203" s="11">
        <f t="shared" si="979"/>
        <v>0</v>
      </c>
      <c r="AB203" s="8">
        <v>136</v>
      </c>
      <c r="AC203" s="11">
        <f t="shared" si="980"/>
        <v>7.5013789299503584E-3</v>
      </c>
      <c r="AD203" s="8">
        <v>0</v>
      </c>
      <c r="AE203" s="11">
        <f t="shared" si="981"/>
        <v>0</v>
      </c>
      <c r="AF203" s="8">
        <v>0</v>
      </c>
      <c r="AG203" s="11">
        <f t="shared" si="982"/>
        <v>0</v>
      </c>
      <c r="AH203" s="8">
        <v>1211983.46</v>
      </c>
      <c r="AI203" s="9">
        <f t="shared" si="983"/>
        <v>66.849611693325983</v>
      </c>
      <c r="AJ203" s="8">
        <v>23450</v>
      </c>
      <c r="AK203" s="11">
        <f t="shared" si="984"/>
        <v>1.2934362934362935</v>
      </c>
      <c r="AL203" s="8">
        <v>3270149.1749999998</v>
      </c>
      <c r="AM203" s="9">
        <f t="shared" si="985"/>
        <v>180.37226558190844</v>
      </c>
      <c r="AN203" s="8">
        <v>0</v>
      </c>
      <c r="AO203" s="8">
        <v>10</v>
      </c>
      <c r="AP203" s="8">
        <v>27340</v>
      </c>
      <c r="AQ203" s="8">
        <v>0</v>
      </c>
      <c r="AR203" s="8">
        <v>11719529.109999999</v>
      </c>
      <c r="AS203" s="8">
        <v>3387142.06</v>
      </c>
      <c r="AT203" s="8">
        <v>100000</v>
      </c>
      <c r="AU203" s="9">
        <f t="shared" si="986"/>
        <v>19716143.805</v>
      </c>
      <c r="AV203" s="9">
        <f t="shared" si="987"/>
        <v>1087.487247931605</v>
      </c>
      <c r="AW203" s="9">
        <f t="shared" si="988"/>
        <v>1829.1255037573058</v>
      </c>
      <c r="AX203" s="8">
        <v>10</v>
      </c>
      <c r="AY203" s="9">
        <f t="shared" si="989"/>
        <v>6.6188637617209052</v>
      </c>
      <c r="AZ203" s="8">
        <v>17</v>
      </c>
      <c r="BA203" s="8">
        <v>4</v>
      </c>
      <c r="BB203" s="8">
        <v>10</v>
      </c>
      <c r="BC203" s="8">
        <v>5</v>
      </c>
      <c r="BD203" s="8">
        <v>6</v>
      </c>
      <c r="BE203" s="9">
        <f t="shared" si="990"/>
        <v>11</v>
      </c>
      <c r="BF203" s="9">
        <f t="shared" si="991"/>
        <v>3</v>
      </c>
      <c r="BG203" s="8">
        <v>0</v>
      </c>
      <c r="BH203" s="8">
        <v>0</v>
      </c>
      <c r="BI203" s="8">
        <v>0</v>
      </c>
      <c r="BJ203" s="8">
        <v>0</v>
      </c>
      <c r="BK203" s="9">
        <f t="shared" si="992"/>
        <v>0</v>
      </c>
      <c r="BL203" s="9">
        <f t="shared" si="993"/>
        <v>0</v>
      </c>
      <c r="BM203" s="8">
        <v>0</v>
      </c>
      <c r="BN203" s="8">
        <v>0</v>
      </c>
      <c r="BO203" s="8">
        <v>0</v>
      </c>
      <c r="BP203" s="8">
        <v>0</v>
      </c>
      <c r="BQ203" s="9">
        <f t="shared" si="994"/>
        <v>0</v>
      </c>
      <c r="BR203" s="9">
        <f t="shared" si="995"/>
        <v>0</v>
      </c>
      <c r="BS203" s="8">
        <v>0</v>
      </c>
      <c r="BT203" s="8">
        <v>0</v>
      </c>
      <c r="BU203" s="8">
        <v>0</v>
      </c>
      <c r="BV203" s="8">
        <v>0</v>
      </c>
      <c r="BW203" s="9">
        <f t="shared" si="996"/>
        <v>0</v>
      </c>
      <c r="BX203" s="9">
        <f t="shared" si="997"/>
        <v>0</v>
      </c>
      <c r="BY203" s="9">
        <f t="shared" si="998"/>
        <v>4</v>
      </c>
      <c r="BZ203" s="9">
        <f t="shared" si="999"/>
        <v>10</v>
      </c>
      <c r="CA203" s="9">
        <f t="shared" si="1000"/>
        <v>11</v>
      </c>
      <c r="CB203" s="9">
        <f t="shared" si="1001"/>
        <v>3</v>
      </c>
      <c r="CC203" s="8">
        <v>10</v>
      </c>
      <c r="CD203" s="8">
        <v>477</v>
      </c>
      <c r="CE203" s="8">
        <v>13</v>
      </c>
      <c r="CF203" s="8">
        <v>13</v>
      </c>
      <c r="CG203" s="8">
        <v>16</v>
      </c>
      <c r="CH203" s="9">
        <f t="shared" si="1002"/>
        <v>519</v>
      </c>
      <c r="CI203" s="8">
        <v>809</v>
      </c>
      <c r="CJ203" s="8">
        <v>0</v>
      </c>
      <c r="CK203" s="8">
        <v>4</v>
      </c>
      <c r="CL203" s="8">
        <v>1</v>
      </c>
      <c r="CM203" s="9">
        <f t="shared" si="1003"/>
        <v>814</v>
      </c>
      <c r="CN203" s="8">
        <v>864</v>
      </c>
      <c r="CO203" s="8">
        <v>55</v>
      </c>
      <c r="CP203" s="8">
        <v>56</v>
      </c>
      <c r="CQ203" s="8">
        <v>2</v>
      </c>
      <c r="CR203" s="9">
        <f t="shared" si="1004"/>
        <v>977</v>
      </c>
      <c r="CS203" s="9">
        <f t="shared" si="1005"/>
        <v>1791</v>
      </c>
      <c r="CT203" s="8">
        <v>2310</v>
      </c>
      <c r="CU203" s="8">
        <v>12005</v>
      </c>
      <c r="CV203" s="8">
        <v>11100</v>
      </c>
      <c r="CW203" s="10">
        <f t="shared" si="1006"/>
        <v>0.92461474385672637</v>
      </c>
      <c r="CX203" s="8">
        <v>0</v>
      </c>
      <c r="CY203" s="8">
        <v>0</v>
      </c>
      <c r="CZ203" s="8">
        <v>0</v>
      </c>
      <c r="DA203" s="8">
        <v>0</v>
      </c>
      <c r="DB203" s="9">
        <f t="shared" si="1007"/>
        <v>0</v>
      </c>
      <c r="DC203" s="8">
        <v>0</v>
      </c>
      <c r="DD203" s="8">
        <v>0</v>
      </c>
      <c r="DE203" s="8">
        <v>0</v>
      </c>
      <c r="DF203" s="8">
        <v>0</v>
      </c>
      <c r="DG203" s="9">
        <f t="shared" si="1008"/>
        <v>0</v>
      </c>
      <c r="DH203" s="8">
        <v>0</v>
      </c>
      <c r="DI203" s="8">
        <v>0</v>
      </c>
      <c r="DJ203" s="8">
        <v>0</v>
      </c>
      <c r="DK203" s="8">
        <v>0</v>
      </c>
      <c r="DL203" s="9">
        <f t="shared" si="1009"/>
        <v>0</v>
      </c>
      <c r="DM203" s="8">
        <v>54</v>
      </c>
      <c r="DN203" s="8">
        <v>3</v>
      </c>
      <c r="DO203" s="8">
        <v>24</v>
      </c>
      <c r="DP203" s="8">
        <v>0</v>
      </c>
      <c r="DQ203" s="9">
        <f t="shared" si="1010"/>
        <v>33</v>
      </c>
      <c r="DR203" s="9">
        <f t="shared" si="1011"/>
        <v>54</v>
      </c>
      <c r="DS203" s="9">
        <f t="shared" si="1012"/>
        <v>3</v>
      </c>
      <c r="DT203" s="9">
        <f t="shared" si="1013"/>
        <v>24</v>
      </c>
      <c r="DU203" s="9">
        <f t="shared" si="1014"/>
        <v>0</v>
      </c>
      <c r="DV203" s="9">
        <f t="shared" si="1015"/>
        <v>33</v>
      </c>
      <c r="DW203" s="8">
        <v>38</v>
      </c>
      <c r="DX203" s="8">
        <v>26</v>
      </c>
      <c r="DY203" s="8">
        <v>20</v>
      </c>
      <c r="DZ203" s="8">
        <v>3</v>
      </c>
      <c r="EA203" s="8">
        <v>10</v>
      </c>
      <c r="EB203" s="8">
        <v>2</v>
      </c>
      <c r="EC203" s="8">
        <v>1</v>
      </c>
      <c r="ED203" s="8">
        <v>3</v>
      </c>
      <c r="EE203" s="8">
        <v>2</v>
      </c>
      <c r="EF203" s="8">
        <v>2</v>
      </c>
      <c r="EG203" s="8">
        <v>0</v>
      </c>
      <c r="EH203" s="8">
        <v>0</v>
      </c>
      <c r="EI203" s="8">
        <v>0</v>
      </c>
      <c r="EJ203" s="8">
        <v>6</v>
      </c>
      <c r="EK203" s="8">
        <v>6</v>
      </c>
      <c r="EL203" s="8">
        <v>0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8">
        <v>0</v>
      </c>
      <c r="ES203" s="8">
        <v>0</v>
      </c>
      <c r="ET203" s="8">
        <v>0</v>
      </c>
      <c r="EU203" s="8">
        <v>0</v>
      </c>
      <c r="EV203" s="8">
        <v>0</v>
      </c>
      <c r="EW203" s="8">
        <v>0</v>
      </c>
      <c r="EX203" s="8">
        <v>0</v>
      </c>
      <c r="EY203" s="8">
        <v>0</v>
      </c>
      <c r="EZ203" s="8">
        <v>0</v>
      </c>
      <c r="FA203" s="8">
        <v>0</v>
      </c>
      <c r="FB203" s="8">
        <v>0</v>
      </c>
      <c r="FC203" s="8">
        <v>0</v>
      </c>
      <c r="FD203" s="8">
        <v>0</v>
      </c>
      <c r="FE203" s="8">
        <v>0</v>
      </c>
      <c r="FF203" s="8">
        <v>0</v>
      </c>
      <c r="FG203" s="9">
        <f t="shared" si="1016"/>
        <v>119</v>
      </c>
      <c r="FH203" s="8">
        <v>8</v>
      </c>
      <c r="FI203" s="8">
        <v>45</v>
      </c>
      <c r="FJ203" s="8">
        <v>5</v>
      </c>
      <c r="FK203" s="8">
        <v>237</v>
      </c>
      <c r="FL203" s="8">
        <v>237</v>
      </c>
      <c r="FM203" s="8">
        <v>0</v>
      </c>
      <c r="FN203" s="8">
        <v>0</v>
      </c>
      <c r="FO203" s="8">
        <v>0</v>
      </c>
      <c r="FP203" s="8">
        <v>0</v>
      </c>
      <c r="FQ203" s="9">
        <f t="shared" si="1017"/>
        <v>237</v>
      </c>
      <c r="FR203" s="8">
        <v>5212059.88</v>
      </c>
      <c r="FS203" s="8">
        <v>10000</v>
      </c>
      <c r="FT203" s="8">
        <v>64000</v>
      </c>
      <c r="FU203" s="8">
        <v>0</v>
      </c>
      <c r="FV203" s="9">
        <f t="shared" si="1018"/>
        <v>5286059.88</v>
      </c>
      <c r="FW203" s="8">
        <v>5425920</v>
      </c>
      <c r="FX203" s="8">
        <v>2000</v>
      </c>
      <c r="FY203" s="8">
        <v>1288870</v>
      </c>
      <c r="FZ203" s="8">
        <v>2830450</v>
      </c>
      <c r="GA203" s="9">
        <f t="shared" si="1019"/>
        <v>9547240</v>
      </c>
      <c r="GB203" s="9">
        <f t="shared" si="1020"/>
        <v>14833299.879999999</v>
      </c>
      <c r="GC203" s="8">
        <v>4708896.4400000004</v>
      </c>
      <c r="GD203" s="8">
        <v>1147.68</v>
      </c>
      <c r="GE203" s="8">
        <v>1147.68</v>
      </c>
      <c r="GF203" s="8">
        <v>500888.5</v>
      </c>
      <c r="GG203" s="9">
        <f t="shared" si="1021"/>
        <v>5212080.3</v>
      </c>
      <c r="GH203" s="8">
        <v>5210932.62</v>
      </c>
      <c r="GI203" s="8">
        <v>0</v>
      </c>
      <c r="GJ203" s="8">
        <v>0</v>
      </c>
      <c r="GK203" s="8">
        <v>0</v>
      </c>
      <c r="GL203" s="9">
        <f t="shared" si="1022"/>
        <v>5210932.62</v>
      </c>
      <c r="GM203" s="9">
        <f t="shared" si="1023"/>
        <v>10423012.92</v>
      </c>
      <c r="GN203" s="8">
        <v>434041.2</v>
      </c>
      <c r="GO203" s="8">
        <v>191.28</v>
      </c>
      <c r="GP203" s="8">
        <v>191.28</v>
      </c>
      <c r="GQ203" s="8">
        <v>18549.36</v>
      </c>
      <c r="GR203" s="9">
        <f t="shared" si="1024"/>
        <v>452973.12000000005</v>
      </c>
      <c r="GS203" s="8">
        <v>722437</v>
      </c>
      <c r="GT203" s="8">
        <v>893</v>
      </c>
      <c r="GU203" s="8">
        <v>893</v>
      </c>
      <c r="GV203" s="8">
        <v>3572</v>
      </c>
      <c r="GW203" s="9">
        <f t="shared" si="1025"/>
        <v>727795</v>
      </c>
      <c r="GX203" s="9">
        <f t="shared" si="1026"/>
        <v>11603781.039999999</v>
      </c>
      <c r="GY203" s="8">
        <v>22787648.260000002</v>
      </c>
      <c r="GZ203" s="8">
        <v>499854.76</v>
      </c>
      <c r="HA203" s="9">
        <f t="shared" si="1027"/>
        <v>23287503.020000003</v>
      </c>
      <c r="HB203" s="9">
        <f t="shared" si="1028"/>
        <v>1.6991137403433805</v>
      </c>
      <c r="HC203" s="10">
        <f t="shared" si="1029"/>
        <v>0.43130803755225144</v>
      </c>
      <c r="HD203" s="9">
        <f t="shared" si="1030"/>
        <v>1.2783160789459365</v>
      </c>
      <c r="HE203" s="8">
        <v>10</v>
      </c>
      <c r="HF203" s="8">
        <v>5</v>
      </c>
      <c r="HG203" s="8">
        <v>3</v>
      </c>
      <c r="HH203" s="8">
        <v>10</v>
      </c>
      <c r="HI203" s="8">
        <v>5</v>
      </c>
      <c r="HJ203" s="9">
        <f t="shared" si="1031"/>
        <v>10</v>
      </c>
      <c r="HK203" s="10">
        <f t="shared" si="1032"/>
        <v>1</v>
      </c>
      <c r="HL203" s="8">
        <v>15</v>
      </c>
      <c r="HM203" s="8">
        <v>5</v>
      </c>
      <c r="HN203" s="11">
        <f t="shared" si="1033"/>
        <v>0.33333333333333331</v>
      </c>
    </row>
    <row r="204" spans="1:222" x14ac:dyDescent="0.3">
      <c r="A204" s="12" t="s">
        <v>280</v>
      </c>
      <c r="B204" s="12" t="s">
        <v>288</v>
      </c>
      <c r="C204" s="13" t="s">
        <v>257</v>
      </c>
      <c r="D204" s="13">
        <v>2026</v>
      </c>
      <c r="E204" s="13">
        <v>1</v>
      </c>
      <c r="F204" s="13" t="s">
        <v>270</v>
      </c>
      <c r="G204" s="13" t="s">
        <v>271</v>
      </c>
      <c r="H204" s="14">
        <v>18150</v>
      </c>
      <c r="I204" s="14">
        <v>4916</v>
      </c>
      <c r="J204" s="14">
        <v>6</v>
      </c>
      <c r="K204" s="14">
        <v>0</v>
      </c>
      <c r="L204" s="14">
        <v>88</v>
      </c>
      <c r="M204" s="15">
        <v>5010</v>
      </c>
      <c r="N204" s="14">
        <v>4169</v>
      </c>
      <c r="O204" s="14">
        <v>7</v>
      </c>
      <c r="P204" s="14">
        <v>858</v>
      </c>
      <c r="Q204" s="14">
        <v>387</v>
      </c>
      <c r="R204" s="15">
        <v>5421</v>
      </c>
      <c r="S204" s="15">
        <v>10431</v>
      </c>
      <c r="T204" s="14">
        <v>7719</v>
      </c>
      <c r="U204" s="16">
        <v>0.42528925619834712</v>
      </c>
      <c r="V204" s="14">
        <v>88</v>
      </c>
      <c r="W204" s="17">
        <v>4.8484848484848486</v>
      </c>
      <c r="X204" s="14">
        <v>0</v>
      </c>
      <c r="Y204" s="17">
        <v>0</v>
      </c>
      <c r="Z204" s="14">
        <v>0</v>
      </c>
      <c r="AA204" s="17">
        <v>0</v>
      </c>
      <c r="AB204" s="14">
        <v>104</v>
      </c>
      <c r="AC204" s="17">
        <v>20.758483033932141</v>
      </c>
      <c r="AD204" s="14">
        <v>0</v>
      </c>
      <c r="AE204" s="17">
        <v>0</v>
      </c>
      <c r="AF204" s="14">
        <v>0</v>
      </c>
      <c r="AG204" s="17">
        <v>0</v>
      </c>
      <c r="AH204" s="14">
        <v>1071741.76</v>
      </c>
      <c r="AI204" s="15">
        <v>59.049132782369149</v>
      </c>
      <c r="AJ204" s="14">
        <v>23450</v>
      </c>
      <c r="AK204" s="17">
        <v>0</v>
      </c>
      <c r="AL204" s="14">
        <v>3270149.1749999998</v>
      </c>
      <c r="AM204" s="15">
        <v>0.90504132231404955</v>
      </c>
      <c r="AN204" s="14">
        <v>0</v>
      </c>
      <c r="AO204" s="14">
        <v>0</v>
      </c>
      <c r="AP204" s="14">
        <v>0</v>
      </c>
      <c r="AQ204" s="14">
        <v>0</v>
      </c>
      <c r="AR204" s="14">
        <v>11568925.779999999</v>
      </c>
      <c r="AS204" s="14">
        <v>0</v>
      </c>
      <c r="AT204" s="14">
        <v>860000</v>
      </c>
      <c r="AU204" s="15">
        <v>13517094.039999999</v>
      </c>
      <c r="AV204" s="15">
        <v>744.74347327823682</v>
      </c>
      <c r="AW204" s="15">
        <v>1295.857927331991</v>
      </c>
      <c r="AX204" s="14">
        <v>10</v>
      </c>
      <c r="AY204" s="15">
        <v>17.07988980716253</v>
      </c>
      <c r="AZ204" s="14">
        <v>17</v>
      </c>
      <c r="BA204" s="14">
        <v>3</v>
      </c>
      <c r="BB204" s="14">
        <v>15</v>
      </c>
      <c r="BC204" s="14">
        <v>0</v>
      </c>
      <c r="BD204" s="14">
        <v>8</v>
      </c>
      <c r="BE204" s="15">
        <v>8</v>
      </c>
      <c r="BF204" s="15">
        <v>10</v>
      </c>
      <c r="BG204" s="14">
        <v>0</v>
      </c>
      <c r="BH204" s="14">
        <v>0</v>
      </c>
      <c r="BI204" s="14">
        <v>0</v>
      </c>
      <c r="BJ204" s="14">
        <v>0</v>
      </c>
      <c r="BK204" s="15">
        <v>0</v>
      </c>
      <c r="BL204" s="15">
        <v>0</v>
      </c>
      <c r="BM204" s="14">
        <v>0</v>
      </c>
      <c r="BN204" s="14">
        <v>0</v>
      </c>
      <c r="BO204" s="14">
        <v>0</v>
      </c>
      <c r="BP204" s="14">
        <v>0</v>
      </c>
      <c r="BQ204" s="15">
        <v>0</v>
      </c>
      <c r="BR204" s="15">
        <v>0</v>
      </c>
      <c r="BS204" s="14">
        <v>0</v>
      </c>
      <c r="BT204" s="14">
        <v>0</v>
      </c>
      <c r="BU204" s="14">
        <v>0</v>
      </c>
      <c r="BV204" s="14">
        <v>0</v>
      </c>
      <c r="BW204" s="15">
        <v>0</v>
      </c>
      <c r="BX204" s="15">
        <v>0</v>
      </c>
      <c r="BY204" s="15">
        <v>3</v>
      </c>
      <c r="BZ204" s="15">
        <v>15</v>
      </c>
      <c r="CA204" s="15">
        <v>8</v>
      </c>
      <c r="CB204" s="15">
        <v>10</v>
      </c>
      <c r="CC204" s="14">
        <v>16</v>
      </c>
      <c r="CD204" s="14">
        <v>499</v>
      </c>
      <c r="CE204" s="14">
        <v>13</v>
      </c>
      <c r="CF204" s="14">
        <v>13</v>
      </c>
      <c r="CG204" s="14">
        <v>16</v>
      </c>
      <c r="CH204" s="15">
        <v>541</v>
      </c>
      <c r="CI204" s="14">
        <v>787</v>
      </c>
      <c r="CJ204" s="14">
        <v>0</v>
      </c>
      <c r="CK204" s="14">
        <v>3</v>
      </c>
      <c r="CL204" s="14">
        <v>1</v>
      </c>
      <c r="CM204" s="15">
        <v>791</v>
      </c>
      <c r="CN204" s="14">
        <v>872</v>
      </c>
      <c r="CO204" s="14">
        <v>55</v>
      </c>
      <c r="CP204" s="14">
        <v>57</v>
      </c>
      <c r="CQ204" s="14">
        <v>2</v>
      </c>
      <c r="CR204" s="15">
        <v>986</v>
      </c>
      <c r="CS204" s="15">
        <v>1777</v>
      </c>
      <c r="CT204" s="14">
        <v>2318</v>
      </c>
      <c r="CU204" s="14">
        <v>12005</v>
      </c>
      <c r="CV204" s="14">
        <v>11100</v>
      </c>
      <c r="CW204" s="16">
        <v>0.92461474385672637</v>
      </c>
      <c r="CX204" s="14">
        <v>0</v>
      </c>
      <c r="CY204" s="14">
        <v>0</v>
      </c>
      <c r="CZ204" s="14">
        <v>0</v>
      </c>
      <c r="DA204" s="14">
        <v>0</v>
      </c>
      <c r="DB204" s="15">
        <v>0</v>
      </c>
      <c r="DC204" s="14">
        <v>0</v>
      </c>
      <c r="DD204" s="14">
        <v>0</v>
      </c>
      <c r="DE204" s="14">
        <v>0</v>
      </c>
      <c r="DF204" s="14">
        <v>0</v>
      </c>
      <c r="DG204" s="15">
        <v>0</v>
      </c>
      <c r="DH204" s="14">
        <v>0</v>
      </c>
      <c r="DI204" s="14">
        <v>0</v>
      </c>
      <c r="DJ204" s="14">
        <v>0</v>
      </c>
      <c r="DK204" s="14">
        <v>0</v>
      </c>
      <c r="DL204" s="15">
        <v>0</v>
      </c>
      <c r="DM204" s="14">
        <v>33</v>
      </c>
      <c r="DN204" s="14">
        <v>5</v>
      </c>
      <c r="DO204" s="14">
        <v>15</v>
      </c>
      <c r="DP204" s="14">
        <v>15</v>
      </c>
      <c r="DQ204" s="15">
        <v>0</v>
      </c>
      <c r="DR204" s="15">
        <v>23</v>
      </c>
      <c r="DS204" s="15">
        <v>33</v>
      </c>
      <c r="DT204" s="15">
        <v>5</v>
      </c>
      <c r="DU204" s="15">
        <v>15</v>
      </c>
      <c r="DV204" s="15">
        <v>0</v>
      </c>
      <c r="DW204" s="14">
        <v>55</v>
      </c>
      <c r="DX204" s="14">
        <v>32</v>
      </c>
      <c r="DY204" s="14">
        <v>28</v>
      </c>
      <c r="DZ204" s="14">
        <v>0</v>
      </c>
      <c r="EA204" s="14">
        <v>2</v>
      </c>
      <c r="EB204" s="14">
        <v>0</v>
      </c>
      <c r="EC204" s="14">
        <v>0</v>
      </c>
      <c r="ED204" s="14">
        <v>1</v>
      </c>
      <c r="EE204" s="14">
        <v>0</v>
      </c>
      <c r="EF204" s="14">
        <v>0</v>
      </c>
      <c r="EG204" s="14">
        <v>0</v>
      </c>
      <c r="EH204" s="14">
        <v>0</v>
      </c>
      <c r="EI204" s="14">
        <v>0</v>
      </c>
      <c r="EJ204" s="14">
        <v>10</v>
      </c>
      <c r="EK204" s="14">
        <v>0</v>
      </c>
      <c r="EL204" s="14">
        <v>0</v>
      </c>
      <c r="EM204" s="14">
        <v>0</v>
      </c>
      <c r="EN204" s="14">
        <v>0</v>
      </c>
      <c r="EO204" s="14">
        <v>0</v>
      </c>
      <c r="EP204" s="14">
        <v>0</v>
      </c>
      <c r="EQ204" s="14">
        <v>0</v>
      </c>
      <c r="ER204" s="14">
        <v>0</v>
      </c>
      <c r="ES204" s="14">
        <v>0</v>
      </c>
      <c r="ET204" s="14">
        <v>0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4">
        <v>0</v>
      </c>
      <c r="FA204" s="14">
        <v>0</v>
      </c>
      <c r="FB204" s="14">
        <v>0</v>
      </c>
      <c r="FC204" s="14">
        <v>0</v>
      </c>
      <c r="FD204" s="14">
        <v>0</v>
      </c>
      <c r="FE204" s="14">
        <v>0</v>
      </c>
      <c r="FF204" s="14">
        <v>0</v>
      </c>
      <c r="FG204" s="15">
        <v>0</v>
      </c>
      <c r="FH204" s="14">
        <v>0</v>
      </c>
      <c r="FI204" s="14">
        <v>0</v>
      </c>
      <c r="FJ204" s="14">
        <v>5</v>
      </c>
      <c r="FK204" s="14">
        <v>133</v>
      </c>
      <c r="FL204" s="14">
        <v>133</v>
      </c>
      <c r="FM204" s="14">
        <v>0</v>
      </c>
      <c r="FN204" s="14">
        <v>0</v>
      </c>
      <c r="FO204" s="14">
        <v>0</v>
      </c>
      <c r="FP204" s="14">
        <v>0</v>
      </c>
      <c r="FQ204" s="15">
        <v>0</v>
      </c>
      <c r="FR204" s="14">
        <v>5452361.8799999999</v>
      </c>
      <c r="FS204" s="14">
        <v>0</v>
      </c>
      <c r="FT204" s="14">
        <v>70000</v>
      </c>
      <c r="FU204" s="14">
        <v>0</v>
      </c>
      <c r="FV204" s="15">
        <v>0</v>
      </c>
      <c r="FW204" s="14">
        <v>5343124</v>
      </c>
      <c r="FX204" s="14">
        <v>1400</v>
      </c>
      <c r="FY204" s="14">
        <v>1853117.22</v>
      </c>
      <c r="FZ204" s="14">
        <v>2612250</v>
      </c>
      <c r="GA204" s="15">
        <v>2612250</v>
      </c>
      <c r="GB204" s="15">
        <v>9809891.2199999988</v>
      </c>
      <c r="GC204" s="14">
        <v>4405784.7</v>
      </c>
      <c r="GD204" s="14">
        <v>765.12</v>
      </c>
      <c r="GE204" s="14">
        <v>765.12</v>
      </c>
      <c r="GF204" s="14">
        <v>377613.63</v>
      </c>
      <c r="GG204" s="15">
        <v>377613.63</v>
      </c>
      <c r="GH204" s="14">
        <v>4784163.45</v>
      </c>
      <c r="GI204" s="14">
        <v>0</v>
      </c>
      <c r="GJ204" s="14">
        <v>0</v>
      </c>
      <c r="GK204" s="14">
        <v>0</v>
      </c>
      <c r="GL204" s="15">
        <v>0</v>
      </c>
      <c r="GM204" s="15">
        <v>0</v>
      </c>
      <c r="GN204" s="14">
        <v>424361.26</v>
      </c>
      <c r="GO204" s="14">
        <v>191.28</v>
      </c>
      <c r="GP204" s="14">
        <v>191.28</v>
      </c>
      <c r="GQ204" s="14">
        <v>13912.02</v>
      </c>
      <c r="GR204" s="15">
        <v>13912.02</v>
      </c>
      <c r="GS204" s="14">
        <v>702791</v>
      </c>
      <c r="GT204" s="14">
        <v>893</v>
      </c>
      <c r="GU204" s="14">
        <v>893</v>
      </c>
      <c r="GV204" s="14">
        <v>2679</v>
      </c>
      <c r="GW204" s="15">
        <v>2679</v>
      </c>
      <c r="GX204" s="15">
        <v>706363</v>
      </c>
      <c r="GY204" s="14">
        <v>23316977.390000001</v>
      </c>
      <c r="GZ204" s="14">
        <v>499854.76</v>
      </c>
      <c r="HA204" s="15">
        <v>499854.76</v>
      </c>
      <c r="HB204" s="15">
        <v>23816832.149999999</v>
      </c>
      <c r="HC204" s="16">
        <v>5928991.0099999998</v>
      </c>
      <c r="HD204" s="15">
        <v>23316977.390000001</v>
      </c>
      <c r="HE204" s="14">
        <v>15</v>
      </c>
      <c r="HF204" s="14">
        <v>5</v>
      </c>
      <c r="HG204" s="14">
        <v>10</v>
      </c>
      <c r="HH204" s="14">
        <v>15</v>
      </c>
      <c r="HI204" s="14">
        <v>5</v>
      </c>
      <c r="HJ204" s="15">
        <v>5</v>
      </c>
      <c r="HK204" s="16">
        <v>0.33333333333333331</v>
      </c>
      <c r="HL204" s="14">
        <v>10</v>
      </c>
      <c r="HM204" s="14">
        <v>2</v>
      </c>
      <c r="HN204" s="17">
        <v>2</v>
      </c>
    </row>
    <row r="205" spans="1:222" x14ac:dyDescent="0.3">
      <c r="A205" s="6" t="s">
        <v>280</v>
      </c>
      <c r="B205" s="6" t="s">
        <v>288</v>
      </c>
      <c r="C205" s="7" t="s">
        <v>257</v>
      </c>
      <c r="D205" s="7">
        <v>2026</v>
      </c>
      <c r="E205" s="7">
        <v>2</v>
      </c>
      <c r="F205" s="7" t="s">
        <v>272</v>
      </c>
      <c r="G205" s="7" t="s">
        <v>271</v>
      </c>
      <c r="H205" s="8">
        <v>16140</v>
      </c>
      <c r="I205" s="8">
        <v>4697</v>
      </c>
      <c r="J205" s="8">
        <v>5</v>
      </c>
      <c r="K205" s="8">
        <v>0</v>
      </c>
      <c r="L205" s="8">
        <v>67</v>
      </c>
      <c r="M205" s="9">
        <f t="shared" ref="M205:M215" si="1034">SUM(I205,J205,K205,L205)</f>
        <v>4769</v>
      </c>
      <c r="N205" s="8">
        <v>4259.5000000000009</v>
      </c>
      <c r="O205" s="8">
        <v>13.6</v>
      </c>
      <c r="P205" s="8">
        <v>201.3</v>
      </c>
      <c r="Q205" s="8">
        <v>321.50000000000011</v>
      </c>
      <c r="R205" s="9">
        <f t="shared" ref="R205:R215" si="1035">SUM(N205,O205,P205,Q205)</f>
        <v>4795.9000000000015</v>
      </c>
      <c r="S205" s="9">
        <f t="shared" ref="S205:S215" si="1036">M205+R205</f>
        <v>9564.9000000000015</v>
      </c>
      <c r="T205" s="8">
        <v>6575.0999999999995</v>
      </c>
      <c r="U205" s="10">
        <f t="shared" ref="U205:U215" si="1037">IF(H205=0,"",T205/H205)</f>
        <v>0.40737918215613378</v>
      </c>
      <c r="V205" s="8">
        <v>72</v>
      </c>
      <c r="W205" s="11">
        <f t="shared" ref="W205:W215" si="1038">IF(H205=0,"",V205/H205)</f>
        <v>4.4609665427509295E-3</v>
      </c>
      <c r="X205" s="8">
        <v>0</v>
      </c>
      <c r="Y205" s="11">
        <f t="shared" ref="Y205:Y215" si="1039">IF(H205=0,"",X205/H205)</f>
        <v>0</v>
      </c>
      <c r="Z205" s="8">
        <v>0</v>
      </c>
      <c r="AA205" s="11">
        <f t="shared" ref="AA205:AA215" si="1040">IF(H205=0,"",Z205/H205)</f>
        <v>0</v>
      </c>
      <c r="AB205" s="8">
        <v>82</v>
      </c>
      <c r="AC205" s="11">
        <f t="shared" ref="AC205:AC215" si="1041">IF(H205=0,"",AB205/H205)</f>
        <v>5.0805452292441138E-3</v>
      </c>
      <c r="AD205" s="8">
        <v>0</v>
      </c>
      <c r="AE205" s="11">
        <f t="shared" ref="AE205:AE215" si="1042">IF(H205=0,"",AD205/H205)</f>
        <v>0</v>
      </c>
      <c r="AF205" s="8">
        <v>0</v>
      </c>
      <c r="AG205" s="11">
        <f t="shared" ref="AG205:AG215" si="1043">IF(H205=0,"",AF205/H205)</f>
        <v>0</v>
      </c>
      <c r="AH205" s="8">
        <v>858396.1399999999</v>
      </c>
      <c r="AI205" s="9">
        <f t="shared" ref="AI205:AI215" si="1044">IF(H205=0,"",AH205/H205)</f>
        <v>53.184395291201973</v>
      </c>
      <c r="AJ205" s="8">
        <v>23450</v>
      </c>
      <c r="AK205" s="11">
        <f t="shared" ref="AK205:AK215" si="1045">IF(H205=0,"",AJ205/H205)</f>
        <v>1.452912019826518</v>
      </c>
      <c r="AL205" s="8">
        <v>3270149.1749999998</v>
      </c>
      <c r="AM205" s="9">
        <f t="shared" ref="AM205:AM215" si="1046">IF(H205=0,"",AL205/H205)</f>
        <v>202.61147304832713</v>
      </c>
      <c r="AN205" s="8">
        <v>0</v>
      </c>
      <c r="AO205" s="8">
        <v>0</v>
      </c>
      <c r="AP205" s="8">
        <v>0</v>
      </c>
      <c r="AQ205" s="8">
        <v>0</v>
      </c>
      <c r="AR205" s="8">
        <v>9504246.6899999995</v>
      </c>
      <c r="AS205" s="8">
        <v>0</v>
      </c>
      <c r="AT205" s="8">
        <v>2418000</v>
      </c>
      <c r="AU205" s="9">
        <f t="shared" ref="AU205:AU215" si="1047">AH205+AL205+AP205+AQ205+AR205+AS205+AT205</f>
        <v>16050792.004999999</v>
      </c>
      <c r="AV205" s="9">
        <f t="shared" ref="AV205:AV215" si="1048">IF(H205=0,"",AU205/H205)</f>
        <v>994.4728627633209</v>
      </c>
      <c r="AW205" s="9">
        <f t="shared" ref="AW205:AW215" si="1049">IF(S205=0,"",AU205/S205)</f>
        <v>1678.0930281550247</v>
      </c>
      <c r="AX205" s="8">
        <v>10</v>
      </c>
      <c r="AY205" s="9">
        <f t="shared" ref="AY205:AY215" si="1050">IF(H205=0,"",AX205/(H205/1000/12))</f>
        <v>7.4349442379182156</v>
      </c>
      <c r="AZ205" s="8">
        <v>17</v>
      </c>
      <c r="BA205" s="8">
        <v>10</v>
      </c>
      <c r="BB205" s="8">
        <v>14</v>
      </c>
      <c r="BC205" s="8">
        <v>0</v>
      </c>
      <c r="BD205" s="8">
        <v>23</v>
      </c>
      <c r="BE205" s="9">
        <f t="shared" ref="BE205:BE215" si="1051">BC205+BD205</f>
        <v>23</v>
      </c>
      <c r="BF205" s="9">
        <f t="shared" ref="BF205:BF215" si="1052">BA205+BB205-BE205</f>
        <v>1</v>
      </c>
      <c r="BG205" s="8">
        <v>0</v>
      </c>
      <c r="BH205" s="8">
        <v>0</v>
      </c>
      <c r="BI205" s="8">
        <v>0</v>
      </c>
      <c r="BJ205" s="8">
        <v>0</v>
      </c>
      <c r="BK205" s="9">
        <f t="shared" ref="BK205:BK215" si="1053">BI205+BJ205</f>
        <v>0</v>
      </c>
      <c r="BL205" s="9">
        <f t="shared" ref="BL205:BL215" si="1054">BG205+BH205-BK205</f>
        <v>0</v>
      </c>
      <c r="BM205" s="8">
        <v>0</v>
      </c>
      <c r="BN205" s="8">
        <v>0</v>
      </c>
      <c r="BO205" s="8">
        <v>0</v>
      </c>
      <c r="BP205" s="8">
        <v>0</v>
      </c>
      <c r="BQ205" s="9">
        <f t="shared" ref="BQ205:BQ215" si="1055">BO205+BP205</f>
        <v>0</v>
      </c>
      <c r="BR205" s="9">
        <f t="shared" ref="BR205:BR215" si="1056">BM205+BN205-BQ205</f>
        <v>0</v>
      </c>
      <c r="BS205" s="8">
        <v>0</v>
      </c>
      <c r="BT205" s="8">
        <v>0</v>
      </c>
      <c r="BU205" s="8">
        <v>0</v>
      </c>
      <c r="BV205" s="8">
        <v>0</v>
      </c>
      <c r="BW205" s="9">
        <f t="shared" ref="BW205:BW215" si="1057">BU205+BV205</f>
        <v>0</v>
      </c>
      <c r="BX205" s="9">
        <f t="shared" ref="BX205:BX215" si="1058">BS205+BT205-BW205</f>
        <v>0</v>
      </c>
      <c r="BY205" s="9">
        <f t="shared" ref="BY205:BY215" si="1059">BA205+BG205+BM205+BS205</f>
        <v>10</v>
      </c>
      <c r="BZ205" s="9">
        <f t="shared" ref="BZ205:BZ215" si="1060">BB205+BH205+BN205+BT205</f>
        <v>14</v>
      </c>
      <c r="CA205" s="9">
        <f t="shared" ref="CA205:CA215" si="1061">BE205+BK205+BQ205+BW205</f>
        <v>23</v>
      </c>
      <c r="CB205" s="9">
        <f t="shared" ref="CB205:CB215" si="1062">BF205+BL205+BR205+BX205</f>
        <v>1</v>
      </c>
      <c r="CC205" s="8">
        <v>33</v>
      </c>
      <c r="CD205" s="8">
        <v>534</v>
      </c>
      <c r="CE205" s="8">
        <v>13</v>
      </c>
      <c r="CF205" s="8">
        <v>13</v>
      </c>
      <c r="CG205" s="8">
        <v>16</v>
      </c>
      <c r="CH205" s="9">
        <f t="shared" ref="CH205:CH215" si="1063">CD205+CE205+CF205+CG205</f>
        <v>576</v>
      </c>
      <c r="CI205" s="8">
        <v>778</v>
      </c>
      <c r="CJ205" s="8">
        <v>0</v>
      </c>
      <c r="CK205" s="8">
        <v>3</v>
      </c>
      <c r="CL205" s="8">
        <v>1</v>
      </c>
      <c r="CM205" s="9">
        <f t="shared" ref="CM205:CM215" si="1064">CI205+CJ205+CK205+CL205</f>
        <v>782</v>
      </c>
      <c r="CN205" s="8">
        <v>872</v>
      </c>
      <c r="CO205" s="8">
        <v>55</v>
      </c>
      <c r="CP205" s="8">
        <v>54</v>
      </c>
      <c r="CQ205" s="8">
        <v>2</v>
      </c>
      <c r="CR205" s="9">
        <f t="shared" ref="CR205:CR215" si="1065">CN205+CO205+CP205+CQ205</f>
        <v>983</v>
      </c>
      <c r="CS205" s="9">
        <f t="shared" ref="CS205:CS215" si="1066">CM205+CR205</f>
        <v>1765</v>
      </c>
      <c r="CT205" s="8">
        <v>2341</v>
      </c>
      <c r="CU205" s="8">
        <v>12005</v>
      </c>
      <c r="CV205" s="8">
        <v>11100</v>
      </c>
      <c r="CW205" s="10">
        <f t="shared" ref="CW205:CW215" si="1067">IF(CU205=0,"",CV205/CU205)</f>
        <v>0.92461474385672637</v>
      </c>
      <c r="CX205" s="8"/>
      <c r="CY205" s="8"/>
      <c r="CZ205" s="8"/>
      <c r="DA205" s="8"/>
      <c r="DB205" s="9">
        <f t="shared" ref="DB205:DB215" si="1068">CX205+CY205-CZ205-DA205</f>
        <v>0</v>
      </c>
      <c r="DC205" s="8">
        <v>0</v>
      </c>
      <c r="DD205" s="8">
        <v>0</v>
      </c>
      <c r="DE205" s="8">
        <v>0</v>
      </c>
      <c r="DF205" s="8">
        <v>0</v>
      </c>
      <c r="DG205" s="9">
        <f t="shared" ref="DG205:DG215" si="1069">DC205+DD205-DE205-DF205</f>
        <v>0</v>
      </c>
      <c r="DH205" s="8">
        <v>0</v>
      </c>
      <c r="DI205" s="8">
        <v>0</v>
      </c>
      <c r="DJ205" s="8">
        <v>0</v>
      </c>
      <c r="DK205" s="8">
        <v>0</v>
      </c>
      <c r="DL205" s="9">
        <f t="shared" ref="DL205:DL215" si="1070">DH205+DI205-DJ205-DK205</f>
        <v>0</v>
      </c>
      <c r="DM205" s="8">
        <v>23</v>
      </c>
      <c r="DN205" s="8">
        <v>8</v>
      </c>
      <c r="DO205" s="8">
        <v>18</v>
      </c>
      <c r="DP205" s="8">
        <v>0</v>
      </c>
      <c r="DQ205" s="9">
        <f t="shared" ref="DQ205:DQ215" si="1071">DM205+DN205-DO205-DP205</f>
        <v>13</v>
      </c>
      <c r="DR205" s="9">
        <f t="shared" ref="DR205:DR215" si="1072">CX205+DC205+DH205+DM205</f>
        <v>23</v>
      </c>
      <c r="DS205" s="9">
        <f t="shared" ref="DS205:DS215" si="1073">CY205+DD205+DI205+DN205</f>
        <v>8</v>
      </c>
      <c r="DT205" s="9">
        <f t="shared" ref="DT205:DT215" si="1074">CZ205+DE205+DJ205+DO205</f>
        <v>18</v>
      </c>
      <c r="DU205" s="9">
        <f t="shared" ref="DU205:DU215" si="1075">DA205+DF205+DK205+DP205</f>
        <v>0</v>
      </c>
      <c r="DV205" s="9">
        <f t="shared" ref="DV205:DV215" si="1076">DB205+DG205+DL205+DQ205</f>
        <v>13</v>
      </c>
      <c r="DW205" s="8">
        <v>52</v>
      </c>
      <c r="DX205" s="8">
        <v>35</v>
      </c>
      <c r="DY205" s="8">
        <v>24</v>
      </c>
      <c r="DZ205" s="8">
        <v>2</v>
      </c>
      <c r="EA205" s="8">
        <v>7</v>
      </c>
      <c r="EB205" s="8">
        <v>3</v>
      </c>
      <c r="EC205" s="8">
        <v>1</v>
      </c>
      <c r="ED205" s="8">
        <v>2</v>
      </c>
      <c r="EE205" s="8">
        <v>6</v>
      </c>
      <c r="EF205" s="8">
        <v>3</v>
      </c>
      <c r="EG205" s="8">
        <v>0</v>
      </c>
      <c r="EH205" s="8">
        <v>0</v>
      </c>
      <c r="EI205" s="8">
        <v>0</v>
      </c>
      <c r="EJ205" s="8">
        <v>10</v>
      </c>
      <c r="EK205" s="8">
        <v>0</v>
      </c>
      <c r="EL205" s="8">
        <v>0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8">
        <v>0</v>
      </c>
      <c r="ES205" s="8">
        <v>0</v>
      </c>
      <c r="ET205" s="8">
        <v>0</v>
      </c>
      <c r="EU205" s="8">
        <v>0</v>
      </c>
      <c r="EV205" s="8">
        <v>0</v>
      </c>
      <c r="EW205" s="8">
        <v>0</v>
      </c>
      <c r="EX205" s="8">
        <v>0</v>
      </c>
      <c r="EY205" s="8">
        <v>0</v>
      </c>
      <c r="EZ205" s="8">
        <v>0</v>
      </c>
      <c r="FA205" s="8">
        <v>0</v>
      </c>
      <c r="FB205" s="8">
        <v>0</v>
      </c>
      <c r="FC205" s="8">
        <v>0</v>
      </c>
      <c r="FD205" s="8">
        <v>0</v>
      </c>
      <c r="FE205" s="8">
        <v>0</v>
      </c>
      <c r="FF205" s="8">
        <v>0</v>
      </c>
      <c r="FG205" s="9">
        <f t="shared" ref="FG205:FG215" si="1077">SUM(DW205,DX205,DY205,DZ205,EA205,EB205,EC205,ED205,EE205,EF205,EG205,EH205,EI205,EJ205,EK205,EL205,EM205,EN205,EO205,EP205,EQ205,ER205,ES205,ET205,EU205,EV205,EW205,EX205,EY205,EZ205,FA205,FB205,FC205,FD205,FE205,FF205)</f>
        <v>145</v>
      </c>
      <c r="FH205" s="8">
        <v>11</v>
      </c>
      <c r="FI205" s="8">
        <v>75</v>
      </c>
      <c r="FJ205" s="8">
        <v>5</v>
      </c>
      <c r="FK205" s="8">
        <v>41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9">
        <f t="shared" ref="FQ205:FQ215" si="1078">FL205+FM205+FN205+FO205+FP205</f>
        <v>0</v>
      </c>
      <c r="FR205" s="8">
        <v>4868670.4399999985</v>
      </c>
      <c r="FS205" s="8">
        <v>10000</v>
      </c>
      <c r="FT205" s="8">
        <v>0</v>
      </c>
      <c r="FU205" s="8">
        <v>0</v>
      </c>
      <c r="FV205" s="9">
        <f t="shared" ref="FV205:FV215" si="1079">FR205+FS205+FT205+FU205</f>
        <v>4878670.4399999985</v>
      </c>
      <c r="FW205" s="8">
        <v>5521384</v>
      </c>
      <c r="FX205" s="8">
        <v>4700</v>
      </c>
      <c r="FY205" s="8">
        <v>732450</v>
      </c>
      <c r="FZ205" s="8">
        <v>1534878.09</v>
      </c>
      <c r="GA205" s="9">
        <f t="shared" ref="GA205:GA215" si="1080">FW205+FX205+FY205+FZ205</f>
        <v>7793412.0899999999</v>
      </c>
      <c r="GB205" s="9">
        <f t="shared" ref="GB205:GB215" si="1081">FV205+GA205</f>
        <v>12672082.529999997</v>
      </c>
      <c r="GC205" s="8">
        <v>4206068.5</v>
      </c>
      <c r="GD205" s="8">
        <v>956.4</v>
      </c>
      <c r="GE205" s="8">
        <v>0</v>
      </c>
      <c r="GF205" s="8">
        <v>257577.15</v>
      </c>
      <c r="GG205" s="9">
        <f t="shared" ref="GG205:GG215" si="1082">GC205+GD205+GE205+GF205</f>
        <v>4464602.0500000007</v>
      </c>
      <c r="GH205" s="8">
        <v>0</v>
      </c>
      <c r="GI205" s="8">
        <v>0</v>
      </c>
      <c r="GJ205" s="8">
        <v>0</v>
      </c>
      <c r="GK205" s="8">
        <v>0</v>
      </c>
      <c r="GL205" s="9">
        <f t="shared" ref="GL205:GL215" si="1083">GH205+GI205+GJ205+GK205</f>
        <v>0</v>
      </c>
      <c r="GM205" s="9">
        <f t="shared" ref="GM205:GM215" si="1084">GG205+GL205</f>
        <v>4464602.0500000007</v>
      </c>
      <c r="GN205" s="8">
        <v>419990.27</v>
      </c>
      <c r="GO205" s="8">
        <v>191.28</v>
      </c>
      <c r="GP205" s="8">
        <v>0</v>
      </c>
      <c r="GQ205" s="8">
        <v>13912.02</v>
      </c>
      <c r="GR205" s="9">
        <f t="shared" ref="GR205:GR215" si="1085">GN205+GO205+GP205+GQ205</f>
        <v>434093.57000000007</v>
      </c>
      <c r="GS205" s="8">
        <v>694754</v>
      </c>
      <c r="GT205" s="8">
        <v>893</v>
      </c>
      <c r="GU205" s="8">
        <v>0</v>
      </c>
      <c r="GV205" s="8">
        <v>2679</v>
      </c>
      <c r="GW205" s="9">
        <f t="shared" ref="GW205:GW215" si="1086">GS205+GT205+GU205+GV205</f>
        <v>698326</v>
      </c>
      <c r="GX205" s="9">
        <f t="shared" ref="GX205:GX215" si="1087">GM205+GR205+GW205</f>
        <v>5597021.620000001</v>
      </c>
      <c r="GY205" s="8">
        <v>24035328.57</v>
      </c>
      <c r="GZ205" s="8">
        <v>499854.76</v>
      </c>
      <c r="HA205" s="9">
        <f t="shared" ref="HA205:HA215" si="1088">GY205+GZ205</f>
        <v>24535183.330000002</v>
      </c>
      <c r="HB205" s="9">
        <f t="shared" ref="HB205:HB215" si="1089">IF(GX205=0,"",AU205/GX205)</f>
        <v>2.8677380747727033</v>
      </c>
      <c r="HC205" s="10">
        <f t="shared" ref="HC205:HC215" si="1090">IF((GX205+GY205)=0,"",GB205/(GX205+GY205))</f>
        <v>0.4276435196245903</v>
      </c>
      <c r="HD205" s="9">
        <f t="shared" ref="HD205:HD215" si="1091">IF(GX205=0,"",GB205/GX205)</f>
        <v>2.2640760372835569</v>
      </c>
      <c r="HE205" s="8">
        <v>14</v>
      </c>
      <c r="HF205" s="8">
        <v>5</v>
      </c>
      <c r="HG205" s="8">
        <v>1</v>
      </c>
      <c r="HH205" s="8">
        <v>14</v>
      </c>
      <c r="HI205" s="8">
        <v>5</v>
      </c>
      <c r="HJ205" s="9">
        <f t="shared" ref="HJ205:HJ215" si="1092">HF205+HI205</f>
        <v>10</v>
      </c>
      <c r="HK205" s="10">
        <f t="shared" ref="HK205:HK215" si="1093">IF(HE205=0,"",HH205/HE205)</f>
        <v>1</v>
      </c>
      <c r="HL205" s="8">
        <v>18</v>
      </c>
      <c r="HM205" s="8">
        <v>5</v>
      </c>
      <c r="HN205" s="11">
        <f t="shared" ref="HN205:HN215" si="1094">IF(HL205=0,"",HM205/HL205)</f>
        <v>0.27777777777777779</v>
      </c>
    </row>
    <row r="206" spans="1:222" x14ac:dyDescent="0.3">
      <c r="A206" s="12" t="s">
        <v>280</v>
      </c>
      <c r="B206" s="12" t="s">
        <v>288</v>
      </c>
      <c r="C206" s="13" t="s">
        <v>257</v>
      </c>
      <c r="D206" s="13">
        <v>2026</v>
      </c>
      <c r="E206" s="13">
        <v>3</v>
      </c>
      <c r="F206" s="13" t="s">
        <v>273</v>
      </c>
      <c r="G206" s="13" t="s">
        <v>271</v>
      </c>
      <c r="H206" s="14">
        <v>15150</v>
      </c>
      <c r="I206" s="14">
        <v>4192</v>
      </c>
      <c r="J206" s="14">
        <v>5</v>
      </c>
      <c r="K206" s="14">
        <v>0</v>
      </c>
      <c r="L206" s="14">
        <v>53</v>
      </c>
      <c r="M206" s="15">
        <f t="shared" si="1034"/>
        <v>4250</v>
      </c>
      <c r="N206" s="14">
        <v>3660.7999999999961</v>
      </c>
      <c r="O206" s="14">
        <v>7</v>
      </c>
      <c r="P206" s="14">
        <v>839</v>
      </c>
      <c r="Q206" s="14">
        <v>570</v>
      </c>
      <c r="R206" s="15">
        <f t="shared" si="1035"/>
        <v>5076.7999999999956</v>
      </c>
      <c r="S206" s="15">
        <f t="shared" si="1036"/>
        <v>9326.7999999999956</v>
      </c>
      <c r="T206" s="14">
        <v>5823.2000000000044</v>
      </c>
      <c r="U206" s="16">
        <f t="shared" si="1037"/>
        <v>0.38436963696369664</v>
      </c>
      <c r="V206" s="14">
        <v>76</v>
      </c>
      <c r="W206" s="17">
        <f t="shared" si="1038"/>
        <v>5.0165016501650169E-3</v>
      </c>
      <c r="X206" s="14">
        <v>0</v>
      </c>
      <c r="Y206" s="17">
        <f t="shared" si="1039"/>
        <v>0</v>
      </c>
      <c r="Z206" s="14">
        <v>0</v>
      </c>
      <c r="AA206" s="17">
        <f t="shared" si="1040"/>
        <v>0</v>
      </c>
      <c r="AB206" s="14">
        <v>104</v>
      </c>
      <c r="AC206" s="17">
        <f t="shared" si="1041"/>
        <v>6.8646864686468644E-3</v>
      </c>
      <c r="AD206" s="14">
        <v>0</v>
      </c>
      <c r="AE206" s="17">
        <f t="shared" si="1042"/>
        <v>0</v>
      </c>
      <c r="AF206" s="14">
        <v>0</v>
      </c>
      <c r="AG206" s="17">
        <f t="shared" si="1043"/>
        <v>0</v>
      </c>
      <c r="AH206" s="14">
        <v>1010401.72</v>
      </c>
      <c r="AI206" s="15">
        <f t="shared" si="1044"/>
        <v>66.693182838283832</v>
      </c>
      <c r="AJ206" s="14">
        <v>23450</v>
      </c>
      <c r="AK206" s="17">
        <f t="shared" si="1045"/>
        <v>1.5478547854785478</v>
      </c>
      <c r="AL206" s="14">
        <v>16426.5</v>
      </c>
      <c r="AM206" s="15">
        <f t="shared" si="1046"/>
        <v>1.0842574257425743</v>
      </c>
      <c r="AN206" s="14">
        <v>0</v>
      </c>
      <c r="AO206" s="14">
        <v>0</v>
      </c>
      <c r="AP206" s="14">
        <v>0</v>
      </c>
      <c r="AQ206" s="14">
        <v>0</v>
      </c>
      <c r="AR206" s="14">
        <v>11476840.619999999</v>
      </c>
      <c r="AS206" s="14">
        <v>0</v>
      </c>
      <c r="AT206" s="14">
        <v>0</v>
      </c>
      <c r="AU206" s="15">
        <f t="shared" si="1047"/>
        <v>12503668.84</v>
      </c>
      <c r="AV206" s="15">
        <f t="shared" si="1048"/>
        <v>825.32467590759074</v>
      </c>
      <c r="AW206" s="15">
        <f t="shared" si="1049"/>
        <v>1340.6172363511607</v>
      </c>
      <c r="AX206" s="14">
        <v>10</v>
      </c>
      <c r="AY206" s="15">
        <f t="shared" si="1050"/>
        <v>7.9207920792079207</v>
      </c>
      <c r="AZ206" s="14">
        <v>17</v>
      </c>
      <c r="BA206" s="14">
        <v>3</v>
      </c>
      <c r="BB206" s="14">
        <v>11</v>
      </c>
      <c r="BC206" s="14">
        <v>0</v>
      </c>
      <c r="BD206" s="14">
        <v>5</v>
      </c>
      <c r="BE206" s="15">
        <f t="shared" si="1051"/>
        <v>5</v>
      </c>
      <c r="BF206" s="15">
        <f t="shared" si="1052"/>
        <v>9</v>
      </c>
      <c r="BG206" s="14">
        <v>0</v>
      </c>
      <c r="BH206" s="14">
        <v>0</v>
      </c>
      <c r="BI206" s="14">
        <v>0</v>
      </c>
      <c r="BJ206" s="14">
        <v>0</v>
      </c>
      <c r="BK206" s="15">
        <f t="shared" si="1053"/>
        <v>0</v>
      </c>
      <c r="BL206" s="15">
        <f t="shared" si="1054"/>
        <v>0</v>
      </c>
      <c r="BM206" s="14">
        <v>0</v>
      </c>
      <c r="BN206" s="14">
        <v>0</v>
      </c>
      <c r="BO206" s="14">
        <v>0</v>
      </c>
      <c r="BP206" s="14">
        <v>0</v>
      </c>
      <c r="BQ206" s="15">
        <f t="shared" si="1055"/>
        <v>0</v>
      </c>
      <c r="BR206" s="15">
        <f t="shared" si="1056"/>
        <v>0</v>
      </c>
      <c r="BS206" s="14">
        <v>0</v>
      </c>
      <c r="BT206" s="14">
        <v>0</v>
      </c>
      <c r="BU206" s="14">
        <v>0</v>
      </c>
      <c r="BV206" s="14">
        <v>0</v>
      </c>
      <c r="BW206" s="15">
        <f t="shared" si="1057"/>
        <v>0</v>
      </c>
      <c r="BX206" s="15">
        <f t="shared" si="1058"/>
        <v>0</v>
      </c>
      <c r="BY206" s="15">
        <f t="shared" si="1059"/>
        <v>3</v>
      </c>
      <c r="BZ206" s="15">
        <f t="shared" si="1060"/>
        <v>11</v>
      </c>
      <c r="CA206" s="15">
        <f t="shared" si="1061"/>
        <v>5</v>
      </c>
      <c r="CB206" s="15">
        <f t="shared" si="1062"/>
        <v>9</v>
      </c>
      <c r="CC206" s="14">
        <v>5</v>
      </c>
      <c r="CD206" s="14">
        <v>534</v>
      </c>
      <c r="CE206" s="14">
        <v>13</v>
      </c>
      <c r="CF206" s="14">
        <v>13</v>
      </c>
      <c r="CG206" s="14">
        <v>16</v>
      </c>
      <c r="CH206" s="15">
        <f t="shared" si="1063"/>
        <v>576</v>
      </c>
      <c r="CI206" s="14">
        <v>770</v>
      </c>
      <c r="CJ206" s="14">
        <v>0</v>
      </c>
      <c r="CK206" s="14">
        <v>3</v>
      </c>
      <c r="CL206" s="14">
        <v>1</v>
      </c>
      <c r="CM206" s="15">
        <f t="shared" si="1064"/>
        <v>774</v>
      </c>
      <c r="CN206" s="14">
        <v>879</v>
      </c>
      <c r="CO206" s="14">
        <v>55</v>
      </c>
      <c r="CP206" s="14">
        <v>55</v>
      </c>
      <c r="CQ206" s="14">
        <v>2</v>
      </c>
      <c r="CR206" s="15">
        <f t="shared" si="1065"/>
        <v>991</v>
      </c>
      <c r="CS206" s="15">
        <f t="shared" si="1066"/>
        <v>1765</v>
      </c>
      <c r="CT206" s="14">
        <v>2341</v>
      </c>
      <c r="CU206" s="14">
        <v>12005</v>
      </c>
      <c r="CV206" s="14">
        <v>11100</v>
      </c>
      <c r="CW206" s="16">
        <f t="shared" si="1067"/>
        <v>0.92461474385672637</v>
      </c>
      <c r="CX206" s="14"/>
      <c r="CY206" s="14"/>
      <c r="CZ206" s="14"/>
      <c r="DA206" s="14"/>
      <c r="DB206" s="15">
        <f t="shared" si="1068"/>
        <v>0</v>
      </c>
      <c r="DC206" s="14">
        <v>0</v>
      </c>
      <c r="DD206" s="14">
        <v>0</v>
      </c>
      <c r="DE206" s="14">
        <v>0</v>
      </c>
      <c r="DF206" s="14">
        <v>0</v>
      </c>
      <c r="DG206" s="15">
        <f t="shared" si="1069"/>
        <v>0</v>
      </c>
      <c r="DH206" s="14">
        <v>0</v>
      </c>
      <c r="DI206" s="14">
        <v>0</v>
      </c>
      <c r="DJ206" s="14">
        <v>0</v>
      </c>
      <c r="DK206" s="14">
        <v>0</v>
      </c>
      <c r="DL206" s="15">
        <f t="shared" si="1070"/>
        <v>0</v>
      </c>
      <c r="DM206" s="14">
        <v>13</v>
      </c>
      <c r="DN206" s="14">
        <v>0</v>
      </c>
      <c r="DO206" s="14">
        <v>2</v>
      </c>
      <c r="DP206" s="14">
        <v>0</v>
      </c>
      <c r="DQ206" s="15">
        <f t="shared" si="1071"/>
        <v>11</v>
      </c>
      <c r="DR206" s="15">
        <f t="shared" si="1072"/>
        <v>13</v>
      </c>
      <c r="DS206" s="15">
        <f t="shared" si="1073"/>
        <v>0</v>
      </c>
      <c r="DT206" s="15">
        <f t="shared" si="1074"/>
        <v>2</v>
      </c>
      <c r="DU206" s="15">
        <f t="shared" si="1075"/>
        <v>0</v>
      </c>
      <c r="DV206" s="15">
        <f t="shared" si="1076"/>
        <v>11</v>
      </c>
      <c r="DW206" s="14">
        <v>56</v>
      </c>
      <c r="DX206" s="14">
        <v>30</v>
      </c>
      <c r="DY206" s="14">
        <v>25</v>
      </c>
      <c r="DZ206" s="14">
        <v>3</v>
      </c>
      <c r="EA206" s="14">
        <v>7</v>
      </c>
      <c r="EB206" s="14">
        <v>0</v>
      </c>
      <c r="EC206" s="14">
        <v>0</v>
      </c>
      <c r="ED206" s="14">
        <v>0</v>
      </c>
      <c r="EE206" s="14">
        <v>0</v>
      </c>
      <c r="EF206" s="14">
        <v>1</v>
      </c>
      <c r="EG206" s="14">
        <v>0</v>
      </c>
      <c r="EH206" s="14">
        <v>0</v>
      </c>
      <c r="EI206" s="14">
        <v>0</v>
      </c>
      <c r="EJ206" s="14">
        <v>8</v>
      </c>
      <c r="EK206" s="14">
        <v>0</v>
      </c>
      <c r="EL206" s="14">
        <v>0</v>
      </c>
      <c r="EM206" s="14">
        <v>0</v>
      </c>
      <c r="EN206" s="14">
        <v>0</v>
      </c>
      <c r="EO206" s="14">
        <v>0</v>
      </c>
      <c r="EP206" s="14">
        <v>0</v>
      </c>
      <c r="EQ206" s="14">
        <v>0</v>
      </c>
      <c r="ER206" s="14">
        <v>0</v>
      </c>
      <c r="ES206" s="14">
        <v>0</v>
      </c>
      <c r="ET206" s="14">
        <v>0</v>
      </c>
      <c r="EU206" s="14">
        <v>0</v>
      </c>
      <c r="EV206" s="14">
        <v>0</v>
      </c>
      <c r="EW206" s="14">
        <v>0</v>
      </c>
      <c r="EX206" s="14">
        <v>0</v>
      </c>
      <c r="EY206" s="14">
        <v>0</v>
      </c>
      <c r="EZ206" s="14">
        <v>0</v>
      </c>
      <c r="FA206" s="14">
        <v>0</v>
      </c>
      <c r="FB206" s="14">
        <v>0</v>
      </c>
      <c r="FC206" s="14">
        <v>0</v>
      </c>
      <c r="FD206" s="14">
        <v>0</v>
      </c>
      <c r="FE206" s="14">
        <v>0</v>
      </c>
      <c r="FF206" s="14">
        <v>0</v>
      </c>
      <c r="FG206" s="15">
        <f t="shared" si="1077"/>
        <v>130</v>
      </c>
      <c r="FH206" s="14">
        <v>4</v>
      </c>
      <c r="FI206" s="14">
        <v>39</v>
      </c>
      <c r="FJ206" s="14">
        <v>5</v>
      </c>
      <c r="FK206" s="14">
        <v>75</v>
      </c>
      <c r="FL206" s="14">
        <v>0</v>
      </c>
      <c r="FM206" s="14">
        <v>0</v>
      </c>
      <c r="FN206" s="14">
        <v>0</v>
      </c>
      <c r="FO206" s="14">
        <v>0</v>
      </c>
      <c r="FP206" s="14">
        <v>0</v>
      </c>
      <c r="FQ206" s="15">
        <f t="shared" si="1078"/>
        <v>0</v>
      </c>
      <c r="FR206" s="14">
        <v>4129575.22</v>
      </c>
      <c r="FS206" s="14">
        <v>0</v>
      </c>
      <c r="FT206" s="14">
        <v>1308800</v>
      </c>
      <c r="FU206" s="14">
        <v>0</v>
      </c>
      <c r="FV206" s="15">
        <f t="shared" si="1079"/>
        <v>5438375.2200000007</v>
      </c>
      <c r="FW206" s="14">
        <v>4664496</v>
      </c>
      <c r="FX206" s="14">
        <v>1400</v>
      </c>
      <c r="FY206" s="14">
        <v>2706319</v>
      </c>
      <c r="FZ206" s="14">
        <v>2568000</v>
      </c>
      <c r="GA206" s="15">
        <f t="shared" si="1080"/>
        <v>9940215</v>
      </c>
      <c r="GB206" s="15">
        <f t="shared" si="1081"/>
        <v>15378590.220000001</v>
      </c>
      <c r="GC206" s="14">
        <v>3788332.56</v>
      </c>
      <c r="GD206" s="14">
        <v>956.4</v>
      </c>
      <c r="GE206" s="14">
        <v>0</v>
      </c>
      <c r="GF206" s="14">
        <v>209517.35</v>
      </c>
      <c r="GG206" s="15">
        <f t="shared" si="1082"/>
        <v>3998806.31</v>
      </c>
      <c r="GH206" s="14">
        <v>0</v>
      </c>
      <c r="GI206" s="14">
        <v>0</v>
      </c>
      <c r="GJ206" s="14">
        <v>0</v>
      </c>
      <c r="GK206" s="14">
        <v>0</v>
      </c>
      <c r="GL206" s="15">
        <f t="shared" si="1083"/>
        <v>0</v>
      </c>
      <c r="GM206" s="15">
        <f t="shared" si="1084"/>
        <v>3998806.31</v>
      </c>
      <c r="GN206" s="14">
        <v>414792.4</v>
      </c>
      <c r="GO206" s="14">
        <v>191.28</v>
      </c>
      <c r="GP206" s="14">
        <v>0</v>
      </c>
      <c r="GQ206" s="14">
        <v>13912.02</v>
      </c>
      <c r="GR206" s="15">
        <f t="shared" si="1085"/>
        <v>428895.70000000007</v>
      </c>
      <c r="GS206" s="14">
        <v>687610</v>
      </c>
      <c r="GT206" s="14">
        <v>893</v>
      </c>
      <c r="GU206" s="14">
        <v>0</v>
      </c>
      <c r="GV206" s="14">
        <v>2679</v>
      </c>
      <c r="GW206" s="15">
        <f t="shared" si="1086"/>
        <v>691182</v>
      </c>
      <c r="GX206" s="15">
        <f t="shared" si="1087"/>
        <v>5118884.01</v>
      </c>
      <c r="GY206" s="14">
        <v>19831213.559999999</v>
      </c>
      <c r="GZ206" s="14">
        <v>499854.76</v>
      </c>
      <c r="HA206" s="15">
        <f t="shared" si="1088"/>
        <v>20331068.32</v>
      </c>
      <c r="HB206" s="15">
        <f t="shared" si="1089"/>
        <v>2.4426552380506079</v>
      </c>
      <c r="HC206" s="16">
        <f t="shared" si="1090"/>
        <v>0.61637395111797955</v>
      </c>
      <c r="HD206" s="15">
        <f t="shared" si="1091"/>
        <v>3.0042857368827161</v>
      </c>
      <c r="HE206" s="14">
        <v>11</v>
      </c>
      <c r="HF206" s="14">
        <v>5</v>
      </c>
      <c r="HG206" s="14">
        <v>7</v>
      </c>
      <c r="HH206" s="14">
        <v>3</v>
      </c>
      <c r="HI206" s="14">
        <v>5</v>
      </c>
      <c r="HJ206" s="15">
        <f t="shared" si="1092"/>
        <v>10</v>
      </c>
      <c r="HK206" s="16">
        <f t="shared" si="1093"/>
        <v>0.27272727272727271</v>
      </c>
      <c r="HL206" s="14">
        <v>25</v>
      </c>
      <c r="HM206" s="14">
        <v>5</v>
      </c>
      <c r="HN206" s="17">
        <f t="shared" si="1094"/>
        <v>0.2</v>
      </c>
    </row>
    <row r="207" spans="1:222" x14ac:dyDescent="0.3">
      <c r="A207" s="6" t="s">
        <v>289</v>
      </c>
      <c r="B207" s="6" t="s">
        <v>290</v>
      </c>
      <c r="C207" s="7" t="s">
        <v>257</v>
      </c>
      <c r="D207" s="7">
        <v>2025</v>
      </c>
      <c r="E207" s="7">
        <v>4</v>
      </c>
      <c r="F207" s="7" t="s">
        <v>258</v>
      </c>
      <c r="G207" s="7" t="s">
        <v>259</v>
      </c>
      <c r="H207" s="8">
        <v>7191</v>
      </c>
      <c r="I207" s="8">
        <v>282</v>
      </c>
      <c r="J207" s="8">
        <v>89</v>
      </c>
      <c r="K207" s="8">
        <v>8</v>
      </c>
      <c r="L207" s="8">
        <v>0</v>
      </c>
      <c r="M207" s="9">
        <f t="shared" si="1034"/>
        <v>379</v>
      </c>
      <c r="N207" s="8">
        <v>4869</v>
      </c>
      <c r="O207" s="8">
        <v>390</v>
      </c>
      <c r="P207" s="8">
        <v>246</v>
      </c>
      <c r="Q207" s="8">
        <v>259</v>
      </c>
      <c r="R207" s="9">
        <f t="shared" si="1035"/>
        <v>5764</v>
      </c>
      <c r="S207" s="9">
        <f t="shared" si="1036"/>
        <v>6143</v>
      </c>
      <c r="T207" s="8">
        <v>1048</v>
      </c>
      <c r="U207" s="10">
        <f t="shared" si="1037"/>
        <v>0.14573772771519955</v>
      </c>
      <c r="V207" s="8">
        <v>11</v>
      </c>
      <c r="W207" s="11">
        <f t="shared" si="1038"/>
        <v>1.5296898901404534E-3</v>
      </c>
      <c r="X207" s="8">
        <v>0</v>
      </c>
      <c r="Y207" s="11">
        <f t="shared" si="1039"/>
        <v>0</v>
      </c>
      <c r="Z207" s="8">
        <v>0</v>
      </c>
      <c r="AA207" s="11">
        <f t="shared" si="1040"/>
        <v>0</v>
      </c>
      <c r="AB207" s="8">
        <v>0</v>
      </c>
      <c r="AC207" s="11">
        <f t="shared" si="1041"/>
        <v>0</v>
      </c>
      <c r="AD207" s="8">
        <v>0</v>
      </c>
      <c r="AE207" s="11">
        <f t="shared" si="1042"/>
        <v>0</v>
      </c>
      <c r="AF207" s="8">
        <v>0</v>
      </c>
      <c r="AG207" s="11">
        <f t="shared" si="1043"/>
        <v>0</v>
      </c>
      <c r="AH207" s="8">
        <v>38778.19</v>
      </c>
      <c r="AI207" s="9">
        <f t="shared" si="1044"/>
        <v>5.3926004728132391</v>
      </c>
      <c r="AJ207" s="8">
        <v>2573.59</v>
      </c>
      <c r="AK207" s="11">
        <f t="shared" si="1045"/>
        <v>0.35789041857877907</v>
      </c>
      <c r="AL207" s="8">
        <v>373515.972885</v>
      </c>
      <c r="AM207" s="9">
        <f t="shared" si="1046"/>
        <v>51.942146138923654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9">
        <f t="shared" si="1047"/>
        <v>412294.162885</v>
      </c>
      <c r="AV207" s="9">
        <f t="shared" si="1048"/>
        <v>57.33474661173689</v>
      </c>
      <c r="AW207" s="9">
        <f t="shared" si="1049"/>
        <v>67.116093583753866</v>
      </c>
      <c r="AX207" s="8">
        <v>2</v>
      </c>
      <c r="AY207" s="9">
        <f t="shared" si="1050"/>
        <v>3.3375052148518987</v>
      </c>
      <c r="AZ207" s="8">
        <v>6</v>
      </c>
      <c r="BA207" s="8">
        <v>31</v>
      </c>
      <c r="BB207" s="8">
        <v>8</v>
      </c>
      <c r="BC207" s="8">
        <v>6</v>
      </c>
      <c r="BD207" s="8">
        <v>2</v>
      </c>
      <c r="BE207" s="9">
        <f t="shared" si="1051"/>
        <v>8</v>
      </c>
      <c r="BF207" s="9">
        <f t="shared" si="1052"/>
        <v>31</v>
      </c>
      <c r="BG207" s="8">
        <v>0</v>
      </c>
      <c r="BH207" s="8">
        <v>0</v>
      </c>
      <c r="BI207" s="8">
        <v>0</v>
      </c>
      <c r="BJ207" s="8">
        <v>0</v>
      </c>
      <c r="BK207" s="9">
        <f t="shared" si="1053"/>
        <v>0</v>
      </c>
      <c r="BL207" s="9">
        <f t="shared" si="1054"/>
        <v>0</v>
      </c>
      <c r="BM207" s="8">
        <v>0</v>
      </c>
      <c r="BN207" s="8">
        <v>0</v>
      </c>
      <c r="BO207" s="8">
        <v>0</v>
      </c>
      <c r="BP207" s="8">
        <v>0</v>
      </c>
      <c r="BQ207" s="9">
        <f t="shared" si="1055"/>
        <v>0</v>
      </c>
      <c r="BR207" s="9">
        <f t="shared" si="1056"/>
        <v>0</v>
      </c>
      <c r="BS207" s="8">
        <v>0</v>
      </c>
      <c r="BT207" s="8">
        <v>0</v>
      </c>
      <c r="BU207" s="8">
        <v>0</v>
      </c>
      <c r="BV207" s="8">
        <v>0</v>
      </c>
      <c r="BW207" s="9">
        <f t="shared" si="1057"/>
        <v>0</v>
      </c>
      <c r="BX207" s="9">
        <f t="shared" si="1058"/>
        <v>0</v>
      </c>
      <c r="BY207" s="9">
        <f t="shared" si="1059"/>
        <v>31</v>
      </c>
      <c r="BZ207" s="9">
        <f t="shared" si="1060"/>
        <v>8</v>
      </c>
      <c r="CA207" s="9">
        <f t="shared" si="1061"/>
        <v>8</v>
      </c>
      <c r="CB207" s="9">
        <f t="shared" si="1062"/>
        <v>31</v>
      </c>
      <c r="CC207" s="8">
        <v>0</v>
      </c>
      <c r="CD207" s="8">
        <v>246</v>
      </c>
      <c r="CE207" s="8">
        <v>12</v>
      </c>
      <c r="CF207" s="8">
        <v>12</v>
      </c>
      <c r="CG207" s="8">
        <v>7</v>
      </c>
      <c r="CH207" s="9">
        <f t="shared" si="1063"/>
        <v>277</v>
      </c>
      <c r="CI207" s="8">
        <v>59</v>
      </c>
      <c r="CJ207" s="8">
        <v>0</v>
      </c>
      <c r="CK207" s="8">
        <v>0</v>
      </c>
      <c r="CL207" s="8">
        <v>1</v>
      </c>
      <c r="CM207" s="9">
        <f t="shared" si="1064"/>
        <v>60</v>
      </c>
      <c r="CN207" s="8">
        <v>726</v>
      </c>
      <c r="CO207" s="8">
        <v>35</v>
      </c>
      <c r="CP207" s="8">
        <v>25</v>
      </c>
      <c r="CQ207" s="8">
        <v>18</v>
      </c>
      <c r="CR207" s="9">
        <f t="shared" si="1065"/>
        <v>804</v>
      </c>
      <c r="CS207" s="9">
        <f t="shared" si="1066"/>
        <v>864</v>
      </c>
      <c r="CT207" s="8">
        <v>1141</v>
      </c>
      <c r="CU207" s="8">
        <v>11637</v>
      </c>
      <c r="CV207" s="8">
        <v>7320</v>
      </c>
      <c r="CW207" s="10">
        <f t="shared" si="1067"/>
        <v>0.6290281000257798</v>
      </c>
      <c r="CX207" s="8">
        <v>0</v>
      </c>
      <c r="CY207" s="8">
        <v>0</v>
      </c>
      <c r="CZ207" s="8">
        <v>0</v>
      </c>
      <c r="DA207" s="8">
        <v>0</v>
      </c>
      <c r="DB207" s="9">
        <f t="shared" si="1068"/>
        <v>0</v>
      </c>
      <c r="DC207" s="8">
        <v>0</v>
      </c>
      <c r="DD207" s="8">
        <v>0</v>
      </c>
      <c r="DE207" s="8">
        <v>0</v>
      </c>
      <c r="DF207" s="8">
        <v>0</v>
      </c>
      <c r="DG207" s="9">
        <f t="shared" si="1069"/>
        <v>0</v>
      </c>
      <c r="DH207" s="8">
        <v>0</v>
      </c>
      <c r="DI207" s="8">
        <v>0</v>
      </c>
      <c r="DJ207" s="8">
        <v>0</v>
      </c>
      <c r="DK207" s="8">
        <v>0</v>
      </c>
      <c r="DL207" s="9">
        <f t="shared" si="1070"/>
        <v>0</v>
      </c>
      <c r="DM207" s="8">
        <v>0</v>
      </c>
      <c r="DN207" s="8">
        <v>0</v>
      </c>
      <c r="DO207" s="8">
        <v>0</v>
      </c>
      <c r="DP207" s="8">
        <v>0</v>
      </c>
      <c r="DQ207" s="9">
        <f t="shared" si="1071"/>
        <v>0</v>
      </c>
      <c r="DR207" s="9">
        <f t="shared" si="1072"/>
        <v>0</v>
      </c>
      <c r="DS207" s="9">
        <f t="shared" si="1073"/>
        <v>0</v>
      </c>
      <c r="DT207" s="9">
        <f t="shared" si="1074"/>
        <v>0</v>
      </c>
      <c r="DU207" s="9">
        <f t="shared" si="1075"/>
        <v>0</v>
      </c>
      <c r="DV207" s="9">
        <f t="shared" si="1076"/>
        <v>0</v>
      </c>
      <c r="DW207" s="8">
        <v>10</v>
      </c>
      <c r="DX207" s="8">
        <v>1</v>
      </c>
      <c r="DY207" s="8">
        <v>2</v>
      </c>
      <c r="DZ207" s="8">
        <v>3</v>
      </c>
      <c r="EA207" s="8">
        <v>1</v>
      </c>
      <c r="EB207" s="8">
        <v>1</v>
      </c>
      <c r="EC207" s="8">
        <v>0</v>
      </c>
      <c r="ED207" s="8">
        <v>0</v>
      </c>
      <c r="EE207" s="8">
        <v>0</v>
      </c>
      <c r="EF207" s="8">
        <v>0</v>
      </c>
      <c r="EG207" s="8">
        <v>0</v>
      </c>
      <c r="EH207" s="8">
        <v>0</v>
      </c>
      <c r="EI207" s="8">
        <v>0</v>
      </c>
      <c r="EJ207" s="8">
        <v>5</v>
      </c>
      <c r="EK207" s="8">
        <v>0</v>
      </c>
      <c r="EL207" s="8">
        <v>0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8">
        <v>0</v>
      </c>
      <c r="ES207" s="8">
        <v>0</v>
      </c>
      <c r="ET207" s="8">
        <v>0</v>
      </c>
      <c r="EU207" s="8">
        <v>0</v>
      </c>
      <c r="EV207" s="8">
        <v>0</v>
      </c>
      <c r="EW207" s="8">
        <v>0</v>
      </c>
      <c r="EX207" s="8">
        <v>0</v>
      </c>
      <c r="EY207" s="8">
        <v>0</v>
      </c>
      <c r="EZ207" s="8">
        <v>0</v>
      </c>
      <c r="FA207" s="8">
        <v>0</v>
      </c>
      <c r="FB207" s="8">
        <v>0</v>
      </c>
      <c r="FC207" s="8">
        <v>0</v>
      </c>
      <c r="FD207" s="8">
        <v>0</v>
      </c>
      <c r="FE207" s="8">
        <v>0</v>
      </c>
      <c r="FF207" s="8">
        <v>0</v>
      </c>
      <c r="FG207" s="9">
        <f t="shared" si="1077"/>
        <v>23</v>
      </c>
      <c r="FH207" s="8">
        <v>0</v>
      </c>
      <c r="FI207" s="8">
        <v>0</v>
      </c>
      <c r="FJ207" s="8">
        <v>0</v>
      </c>
      <c r="FK207" s="8">
        <v>0</v>
      </c>
      <c r="FL207" s="8">
        <v>0</v>
      </c>
      <c r="FM207" s="8">
        <v>0</v>
      </c>
      <c r="FN207" s="8">
        <v>0</v>
      </c>
      <c r="FO207" s="8">
        <v>0</v>
      </c>
      <c r="FP207" s="8">
        <v>0</v>
      </c>
      <c r="FQ207" s="9">
        <f t="shared" si="1078"/>
        <v>0</v>
      </c>
      <c r="FR207" s="8">
        <v>176069</v>
      </c>
      <c r="FS207" s="8">
        <v>0</v>
      </c>
      <c r="FT207" s="8">
        <v>0</v>
      </c>
      <c r="FU207" s="8">
        <v>0</v>
      </c>
      <c r="FV207" s="9">
        <f t="shared" si="1079"/>
        <v>176069</v>
      </c>
      <c r="FW207" s="8">
        <v>6458933</v>
      </c>
      <c r="FX207" s="8">
        <v>130806</v>
      </c>
      <c r="FY207" s="8">
        <v>1044928</v>
      </c>
      <c r="FZ207" s="8">
        <v>691950</v>
      </c>
      <c r="GA207" s="9">
        <f t="shared" si="1080"/>
        <v>8326617</v>
      </c>
      <c r="GB207" s="9">
        <f t="shared" si="1081"/>
        <v>8502686</v>
      </c>
      <c r="GC207" s="8">
        <v>322571.86</v>
      </c>
      <c r="GD207" s="8">
        <v>17023.919999999998</v>
      </c>
      <c r="GE207" s="8">
        <v>27470.62</v>
      </c>
      <c r="GF207" s="8">
        <v>8410.99</v>
      </c>
      <c r="GG207" s="9">
        <f t="shared" si="1082"/>
        <v>375477.38999999996</v>
      </c>
      <c r="GH207" s="8">
        <v>6130337.6500000004</v>
      </c>
      <c r="GI207" s="8">
        <v>130806.22</v>
      </c>
      <c r="GJ207" s="8">
        <v>682200</v>
      </c>
      <c r="GK207" s="8">
        <v>1028908.09</v>
      </c>
      <c r="GL207" s="9">
        <f t="shared" si="1083"/>
        <v>7972251.96</v>
      </c>
      <c r="GM207" s="9">
        <f t="shared" si="1084"/>
        <v>8347729.3499999996</v>
      </c>
      <c r="GN207" s="8">
        <v>32955.1</v>
      </c>
      <c r="GO207" s="8">
        <v>382.56</v>
      </c>
      <c r="GP207" s="8">
        <v>6787.28</v>
      </c>
      <c r="GQ207" s="8">
        <v>4637.34</v>
      </c>
      <c r="GR207" s="9">
        <f t="shared" si="1085"/>
        <v>44762.28</v>
      </c>
      <c r="GS207" s="8">
        <v>51794</v>
      </c>
      <c r="GT207" s="8">
        <v>1786</v>
      </c>
      <c r="GU207" s="8">
        <v>1786</v>
      </c>
      <c r="GV207" s="8">
        <v>893</v>
      </c>
      <c r="GW207" s="9">
        <f t="shared" si="1086"/>
        <v>56259</v>
      </c>
      <c r="GX207" s="9">
        <f t="shared" si="1087"/>
        <v>8448750.629999999</v>
      </c>
      <c r="GY207" s="8">
        <v>0</v>
      </c>
      <c r="GZ207" s="8">
        <v>0</v>
      </c>
      <c r="HA207" s="9">
        <f t="shared" si="1088"/>
        <v>0</v>
      </c>
      <c r="HB207" s="9">
        <f t="shared" si="1089"/>
        <v>4.8799423836823556E-2</v>
      </c>
      <c r="HC207" s="10">
        <f t="shared" si="1090"/>
        <v>1.0063838279009545</v>
      </c>
      <c r="HD207" s="9">
        <f t="shared" si="1091"/>
        <v>1.0063838279009545</v>
      </c>
      <c r="HE207" s="8">
        <v>8</v>
      </c>
      <c r="HF207" s="8">
        <v>2</v>
      </c>
      <c r="HG207" s="8">
        <v>31</v>
      </c>
      <c r="HH207" s="8">
        <v>8</v>
      </c>
      <c r="HI207" s="8">
        <v>18</v>
      </c>
      <c r="HJ207" s="9">
        <f t="shared" si="1092"/>
        <v>20</v>
      </c>
      <c r="HK207" s="10">
        <f t="shared" si="1093"/>
        <v>1</v>
      </c>
      <c r="HL207" s="8">
        <v>10</v>
      </c>
      <c r="HM207" s="8">
        <v>18</v>
      </c>
      <c r="HN207" s="11">
        <f t="shared" si="1094"/>
        <v>1.8</v>
      </c>
    </row>
    <row r="208" spans="1:222" x14ac:dyDescent="0.3">
      <c r="A208" s="12" t="s">
        <v>289</v>
      </c>
      <c r="B208" s="12" t="s">
        <v>290</v>
      </c>
      <c r="C208" s="13" t="s">
        <v>257</v>
      </c>
      <c r="D208" s="13">
        <v>2025</v>
      </c>
      <c r="E208" s="13">
        <v>5</v>
      </c>
      <c r="F208" s="13" t="s">
        <v>260</v>
      </c>
      <c r="G208" s="13" t="s">
        <v>259</v>
      </c>
      <c r="H208" s="14">
        <v>7229</v>
      </c>
      <c r="I208" s="14">
        <v>376</v>
      </c>
      <c r="J208" s="14">
        <v>215</v>
      </c>
      <c r="K208" s="14">
        <v>8</v>
      </c>
      <c r="L208" s="14">
        <v>0</v>
      </c>
      <c r="M208" s="15">
        <f t="shared" si="1034"/>
        <v>599</v>
      </c>
      <c r="N208" s="14">
        <v>4480</v>
      </c>
      <c r="O208" s="14">
        <v>432</v>
      </c>
      <c r="P208" s="14">
        <v>269</v>
      </c>
      <c r="Q208" s="14">
        <v>192</v>
      </c>
      <c r="R208" s="15">
        <f t="shared" si="1035"/>
        <v>5373</v>
      </c>
      <c r="S208" s="15">
        <f t="shared" si="1036"/>
        <v>5972</v>
      </c>
      <c r="T208" s="14">
        <v>1257</v>
      </c>
      <c r="U208" s="16">
        <f t="shared" si="1037"/>
        <v>0.17388297136533407</v>
      </c>
      <c r="V208" s="14">
        <v>10</v>
      </c>
      <c r="W208" s="17">
        <f t="shared" si="1038"/>
        <v>1.3833171946327292E-3</v>
      </c>
      <c r="X208" s="14">
        <v>0</v>
      </c>
      <c r="Y208" s="17">
        <f t="shared" si="1039"/>
        <v>0</v>
      </c>
      <c r="Z208" s="14">
        <v>0</v>
      </c>
      <c r="AA208" s="17">
        <f t="shared" si="1040"/>
        <v>0</v>
      </c>
      <c r="AB208" s="14">
        <v>0</v>
      </c>
      <c r="AC208" s="17">
        <f t="shared" si="1041"/>
        <v>0</v>
      </c>
      <c r="AD208" s="14">
        <v>0</v>
      </c>
      <c r="AE208" s="17">
        <f t="shared" si="1042"/>
        <v>0</v>
      </c>
      <c r="AF208" s="14">
        <v>0</v>
      </c>
      <c r="AG208" s="17">
        <f t="shared" si="1043"/>
        <v>0</v>
      </c>
      <c r="AH208" s="14">
        <v>35252.9</v>
      </c>
      <c r="AI208" s="15">
        <f t="shared" si="1044"/>
        <v>4.8765942730668144</v>
      </c>
      <c r="AJ208" s="14">
        <v>2451.84</v>
      </c>
      <c r="AK208" s="17">
        <f t="shared" si="1045"/>
        <v>0.33916724304883111</v>
      </c>
      <c r="AL208" s="14">
        <v>356622.97775999998</v>
      </c>
      <c r="AM208" s="15">
        <f t="shared" si="1046"/>
        <v>49.332269713653339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0</v>
      </c>
      <c r="AU208" s="15">
        <f t="shared" si="1047"/>
        <v>391875.87776</v>
      </c>
      <c r="AV208" s="15">
        <f t="shared" si="1048"/>
        <v>54.208863986720154</v>
      </c>
      <c r="AW208" s="15">
        <f t="shared" si="1049"/>
        <v>65.618867675820496</v>
      </c>
      <c r="AX208" s="14">
        <v>2</v>
      </c>
      <c r="AY208" s="15">
        <f t="shared" si="1050"/>
        <v>3.3199612671185501</v>
      </c>
      <c r="AZ208" s="14">
        <v>6</v>
      </c>
      <c r="BA208" s="14">
        <v>31</v>
      </c>
      <c r="BB208" s="14">
        <v>14</v>
      </c>
      <c r="BC208" s="14">
        <v>14</v>
      </c>
      <c r="BD208" s="14">
        <v>0</v>
      </c>
      <c r="BE208" s="15">
        <f t="shared" si="1051"/>
        <v>14</v>
      </c>
      <c r="BF208" s="15">
        <f t="shared" si="1052"/>
        <v>31</v>
      </c>
      <c r="BG208" s="14">
        <v>0</v>
      </c>
      <c r="BH208" s="14">
        <v>0</v>
      </c>
      <c r="BI208" s="14">
        <v>0</v>
      </c>
      <c r="BJ208" s="14">
        <v>0</v>
      </c>
      <c r="BK208" s="15">
        <f t="shared" si="1053"/>
        <v>0</v>
      </c>
      <c r="BL208" s="15">
        <f t="shared" si="1054"/>
        <v>0</v>
      </c>
      <c r="BM208" s="14">
        <v>0</v>
      </c>
      <c r="BN208" s="14">
        <v>0</v>
      </c>
      <c r="BO208" s="14">
        <v>0</v>
      </c>
      <c r="BP208" s="14">
        <v>0</v>
      </c>
      <c r="BQ208" s="15">
        <f t="shared" si="1055"/>
        <v>0</v>
      </c>
      <c r="BR208" s="15">
        <f t="shared" si="1056"/>
        <v>0</v>
      </c>
      <c r="BS208" s="14">
        <v>0</v>
      </c>
      <c r="BT208" s="14">
        <v>0</v>
      </c>
      <c r="BU208" s="14">
        <v>0</v>
      </c>
      <c r="BV208" s="14">
        <v>0</v>
      </c>
      <c r="BW208" s="15">
        <f t="shared" si="1057"/>
        <v>0</v>
      </c>
      <c r="BX208" s="15">
        <f t="shared" si="1058"/>
        <v>0</v>
      </c>
      <c r="BY208" s="15">
        <f t="shared" si="1059"/>
        <v>31</v>
      </c>
      <c r="BZ208" s="15">
        <f t="shared" si="1060"/>
        <v>14</v>
      </c>
      <c r="CA208" s="15">
        <f t="shared" si="1061"/>
        <v>14</v>
      </c>
      <c r="CB208" s="15">
        <f t="shared" si="1062"/>
        <v>31</v>
      </c>
      <c r="CC208" s="14">
        <v>0</v>
      </c>
      <c r="CD208" s="14">
        <v>254</v>
      </c>
      <c r="CE208" s="14">
        <v>18</v>
      </c>
      <c r="CF208" s="14">
        <v>13</v>
      </c>
      <c r="CG208" s="14">
        <v>9</v>
      </c>
      <c r="CH208" s="15">
        <f t="shared" si="1063"/>
        <v>294</v>
      </c>
      <c r="CI208" s="14">
        <v>56</v>
      </c>
      <c r="CJ208" s="14">
        <v>0</v>
      </c>
      <c r="CK208" s="14">
        <v>0</v>
      </c>
      <c r="CL208" s="14">
        <v>1</v>
      </c>
      <c r="CM208" s="15">
        <f t="shared" si="1064"/>
        <v>57</v>
      </c>
      <c r="CN208" s="14">
        <v>726</v>
      </c>
      <c r="CO208" s="14">
        <v>35</v>
      </c>
      <c r="CP208" s="14">
        <v>25</v>
      </c>
      <c r="CQ208" s="14">
        <v>18</v>
      </c>
      <c r="CR208" s="15">
        <f t="shared" si="1065"/>
        <v>804</v>
      </c>
      <c r="CS208" s="15">
        <f t="shared" si="1066"/>
        <v>861</v>
      </c>
      <c r="CT208" s="14">
        <v>1155</v>
      </c>
      <c r="CU208" s="14">
        <v>11656.7829</v>
      </c>
      <c r="CV208" s="14">
        <v>7348</v>
      </c>
      <c r="CW208" s="16">
        <f t="shared" si="1067"/>
        <v>0.63036260201774885</v>
      </c>
      <c r="CX208" s="14">
        <v>0</v>
      </c>
      <c r="CY208" s="14"/>
      <c r="CZ208" s="14"/>
      <c r="DA208" s="14"/>
      <c r="DB208" s="15">
        <f t="shared" si="1068"/>
        <v>0</v>
      </c>
      <c r="DC208" s="14">
        <v>0</v>
      </c>
      <c r="DD208" s="14">
        <v>0</v>
      </c>
      <c r="DE208" s="14">
        <v>0</v>
      </c>
      <c r="DF208" s="14">
        <v>0</v>
      </c>
      <c r="DG208" s="15">
        <f t="shared" si="1069"/>
        <v>0</v>
      </c>
      <c r="DH208" s="14">
        <v>0</v>
      </c>
      <c r="DI208" s="14">
        <v>0</v>
      </c>
      <c r="DJ208" s="14">
        <v>0</v>
      </c>
      <c r="DK208" s="14">
        <v>0</v>
      </c>
      <c r="DL208" s="15">
        <f t="shared" si="1070"/>
        <v>0</v>
      </c>
      <c r="DM208" s="14">
        <v>0</v>
      </c>
      <c r="DN208" s="14">
        <v>0</v>
      </c>
      <c r="DO208" s="14">
        <v>0</v>
      </c>
      <c r="DP208" s="14">
        <v>0</v>
      </c>
      <c r="DQ208" s="15">
        <f t="shared" si="1071"/>
        <v>0</v>
      </c>
      <c r="DR208" s="15">
        <f t="shared" si="1072"/>
        <v>0</v>
      </c>
      <c r="DS208" s="15">
        <f t="shared" si="1073"/>
        <v>0</v>
      </c>
      <c r="DT208" s="15">
        <f t="shared" si="1074"/>
        <v>0</v>
      </c>
      <c r="DU208" s="15">
        <f t="shared" si="1075"/>
        <v>0</v>
      </c>
      <c r="DV208" s="15">
        <f t="shared" si="1076"/>
        <v>0</v>
      </c>
      <c r="DW208" s="14">
        <v>20</v>
      </c>
      <c r="DX208" s="14">
        <v>4</v>
      </c>
      <c r="DY208" s="14">
        <v>2</v>
      </c>
      <c r="DZ208" s="14">
        <v>4</v>
      </c>
      <c r="EA208" s="14">
        <v>2</v>
      </c>
      <c r="EB208" s="14">
        <v>1</v>
      </c>
      <c r="EC208" s="14">
        <v>0</v>
      </c>
      <c r="ED208" s="14">
        <v>0</v>
      </c>
      <c r="EE208" s="14">
        <v>0</v>
      </c>
      <c r="EF208" s="14">
        <v>0</v>
      </c>
      <c r="EG208" s="14">
        <v>0</v>
      </c>
      <c r="EH208" s="14">
        <v>0</v>
      </c>
      <c r="EI208" s="14">
        <v>0</v>
      </c>
      <c r="EJ208" s="14">
        <v>8</v>
      </c>
      <c r="EK208" s="14">
        <v>0</v>
      </c>
      <c r="EL208" s="14">
        <v>0</v>
      </c>
      <c r="EM208" s="14">
        <v>0</v>
      </c>
      <c r="EN208" s="14">
        <v>0</v>
      </c>
      <c r="EO208" s="14">
        <v>0</v>
      </c>
      <c r="EP208" s="14">
        <v>0</v>
      </c>
      <c r="EQ208" s="14">
        <v>0</v>
      </c>
      <c r="ER208" s="14">
        <v>0</v>
      </c>
      <c r="ES208" s="14">
        <v>0</v>
      </c>
      <c r="ET208" s="14">
        <v>0</v>
      </c>
      <c r="EU208" s="14">
        <v>0</v>
      </c>
      <c r="EV208" s="14">
        <v>0</v>
      </c>
      <c r="EW208" s="14">
        <v>0</v>
      </c>
      <c r="EX208" s="14">
        <v>0</v>
      </c>
      <c r="EY208" s="14">
        <v>0</v>
      </c>
      <c r="EZ208" s="14">
        <v>0</v>
      </c>
      <c r="FA208" s="14">
        <v>0</v>
      </c>
      <c r="FB208" s="14">
        <v>0</v>
      </c>
      <c r="FC208" s="14">
        <v>0</v>
      </c>
      <c r="FD208" s="14">
        <v>0</v>
      </c>
      <c r="FE208" s="14">
        <v>0</v>
      </c>
      <c r="FF208" s="14">
        <v>0</v>
      </c>
      <c r="FG208" s="15">
        <f t="shared" si="1077"/>
        <v>41</v>
      </c>
      <c r="FH208" s="14">
        <v>0</v>
      </c>
      <c r="FI208" s="14">
        <v>0</v>
      </c>
      <c r="FJ208" s="14">
        <v>0</v>
      </c>
      <c r="FK208" s="14">
        <v>0</v>
      </c>
      <c r="FL208" s="14">
        <v>0</v>
      </c>
      <c r="FM208" s="14">
        <v>0</v>
      </c>
      <c r="FN208" s="14">
        <v>0</v>
      </c>
      <c r="FO208" s="14">
        <v>0</v>
      </c>
      <c r="FP208" s="14">
        <v>0</v>
      </c>
      <c r="FQ208" s="15">
        <f t="shared" si="1078"/>
        <v>0</v>
      </c>
      <c r="FR208" s="14">
        <v>616317</v>
      </c>
      <c r="FS208" s="14">
        <v>6200</v>
      </c>
      <c r="FT208" s="14">
        <v>0</v>
      </c>
      <c r="FU208" s="14">
        <v>76000</v>
      </c>
      <c r="FV208" s="15">
        <f t="shared" si="1079"/>
        <v>698517</v>
      </c>
      <c r="FW208" s="14">
        <v>5280327</v>
      </c>
      <c r="FX208" s="14">
        <v>110000</v>
      </c>
      <c r="FY208" s="14">
        <v>1239900</v>
      </c>
      <c r="FZ208" s="14">
        <v>339550</v>
      </c>
      <c r="GA208" s="15">
        <f t="shared" si="1080"/>
        <v>6969777</v>
      </c>
      <c r="GB208" s="15">
        <f t="shared" si="1081"/>
        <v>7668294</v>
      </c>
      <c r="GC208" s="14">
        <v>393963.84</v>
      </c>
      <c r="GD208" s="14">
        <v>41125.199999999997</v>
      </c>
      <c r="GE208" s="14">
        <v>27470.62</v>
      </c>
      <c r="GF208" s="14">
        <v>0</v>
      </c>
      <c r="GG208" s="15">
        <f t="shared" si="1082"/>
        <v>462559.66000000003</v>
      </c>
      <c r="GH208" s="14">
        <v>5022265.1900000004</v>
      </c>
      <c r="GI208" s="14">
        <v>110000</v>
      </c>
      <c r="GJ208" s="14">
        <v>329200</v>
      </c>
      <c r="GK208" s="14">
        <v>906881.36</v>
      </c>
      <c r="GL208" s="15">
        <f t="shared" si="1083"/>
        <v>6368346.5500000007</v>
      </c>
      <c r="GM208" s="15">
        <f t="shared" si="1084"/>
        <v>6830906.2100000009</v>
      </c>
      <c r="GN208" s="14">
        <v>37444.19</v>
      </c>
      <c r="GO208" s="14">
        <v>191.28</v>
      </c>
      <c r="GP208" s="14">
        <v>6787.28</v>
      </c>
      <c r="GQ208" s="14">
        <v>0</v>
      </c>
      <c r="GR208" s="15">
        <f t="shared" si="1085"/>
        <v>44422.75</v>
      </c>
      <c r="GS208" s="14">
        <v>58045</v>
      </c>
      <c r="GT208" s="14">
        <v>893</v>
      </c>
      <c r="GU208" s="14">
        <v>1786</v>
      </c>
      <c r="GV208" s="14">
        <v>0</v>
      </c>
      <c r="GW208" s="15">
        <f t="shared" si="1086"/>
        <v>60724</v>
      </c>
      <c r="GX208" s="15">
        <f t="shared" si="1087"/>
        <v>6936052.9600000009</v>
      </c>
      <c r="GY208" s="14">
        <v>1633660.24</v>
      </c>
      <c r="GZ208" s="14">
        <v>108131.7</v>
      </c>
      <c r="HA208" s="15">
        <f t="shared" si="1088"/>
        <v>1741791.94</v>
      </c>
      <c r="HB208" s="15">
        <f t="shared" si="1089"/>
        <v>5.6498397578555966E-2</v>
      </c>
      <c r="HC208" s="16">
        <f t="shared" si="1090"/>
        <v>0.89481337601823119</v>
      </c>
      <c r="HD208" s="15">
        <f t="shared" si="1091"/>
        <v>1.1055702781139085</v>
      </c>
      <c r="HE208" s="14">
        <v>14</v>
      </c>
      <c r="HF208" s="14">
        <v>2</v>
      </c>
      <c r="HG208" s="14">
        <v>31</v>
      </c>
      <c r="HH208" s="14">
        <v>14</v>
      </c>
      <c r="HI208" s="14">
        <v>18</v>
      </c>
      <c r="HJ208" s="15">
        <f t="shared" si="1092"/>
        <v>20</v>
      </c>
      <c r="HK208" s="16">
        <f t="shared" si="1093"/>
        <v>1</v>
      </c>
      <c r="HL208" s="14">
        <v>8</v>
      </c>
      <c r="HM208" s="14">
        <v>15</v>
      </c>
      <c r="HN208" s="17">
        <f t="shared" si="1094"/>
        <v>1.875</v>
      </c>
    </row>
    <row r="209" spans="1:222" x14ac:dyDescent="0.3">
      <c r="A209" s="6" t="s">
        <v>289</v>
      </c>
      <c r="B209" s="6" t="s">
        <v>290</v>
      </c>
      <c r="C209" s="7" t="s">
        <v>257</v>
      </c>
      <c r="D209" s="7">
        <v>2025</v>
      </c>
      <c r="E209" s="7">
        <v>6</v>
      </c>
      <c r="F209" s="7" t="s">
        <v>261</v>
      </c>
      <c r="G209" s="7" t="s">
        <v>259</v>
      </c>
      <c r="H209" s="8">
        <v>7927</v>
      </c>
      <c r="I209" s="8">
        <v>419</v>
      </c>
      <c r="J209" s="8">
        <v>0</v>
      </c>
      <c r="K209" s="8">
        <v>8</v>
      </c>
      <c r="L209" s="8">
        <v>0</v>
      </c>
      <c r="M209" s="9">
        <f t="shared" si="1034"/>
        <v>427</v>
      </c>
      <c r="N209" s="8">
        <v>5031</v>
      </c>
      <c r="O209" s="8">
        <v>487</v>
      </c>
      <c r="P209" s="8">
        <v>241</v>
      </c>
      <c r="Q209" s="8">
        <v>279</v>
      </c>
      <c r="R209" s="9">
        <f t="shared" si="1035"/>
        <v>6038</v>
      </c>
      <c r="S209" s="9">
        <f t="shared" si="1036"/>
        <v>6465</v>
      </c>
      <c r="T209" s="8">
        <v>1462</v>
      </c>
      <c r="U209" s="10">
        <f t="shared" si="1037"/>
        <v>0.18443295067490853</v>
      </c>
      <c r="V209" s="8">
        <v>16</v>
      </c>
      <c r="W209" s="11">
        <f t="shared" si="1038"/>
        <v>2.0184180648416803E-3</v>
      </c>
      <c r="X209" s="8">
        <v>0</v>
      </c>
      <c r="Y209" s="11">
        <f t="shared" si="1039"/>
        <v>0</v>
      </c>
      <c r="Z209" s="8">
        <v>0</v>
      </c>
      <c r="AA209" s="11">
        <f t="shared" si="1040"/>
        <v>0</v>
      </c>
      <c r="AB209" s="8">
        <v>0</v>
      </c>
      <c r="AC209" s="11">
        <f t="shared" si="1041"/>
        <v>0</v>
      </c>
      <c r="AD209" s="8">
        <v>0</v>
      </c>
      <c r="AE209" s="11">
        <f t="shared" si="1042"/>
        <v>0</v>
      </c>
      <c r="AF209" s="8">
        <v>0</v>
      </c>
      <c r="AG209" s="11">
        <f t="shared" si="1043"/>
        <v>0</v>
      </c>
      <c r="AH209" s="8">
        <v>56404.639999999999</v>
      </c>
      <c r="AI209" s="9">
        <f t="shared" si="1044"/>
        <v>7.1155090198057271</v>
      </c>
      <c r="AJ209" s="8">
        <v>2876.79</v>
      </c>
      <c r="AK209" s="11">
        <f t="shared" si="1045"/>
        <v>0.3629103065472436</v>
      </c>
      <c r="AL209" s="8">
        <v>415585.427685</v>
      </c>
      <c r="AM209" s="9">
        <f t="shared" si="1046"/>
        <v>52.426570920272489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9">
        <f t="shared" si="1047"/>
        <v>471990.06768500002</v>
      </c>
      <c r="AV209" s="9">
        <f t="shared" si="1048"/>
        <v>59.542079940078217</v>
      </c>
      <c r="AW209" s="9">
        <f t="shared" si="1049"/>
        <v>73.006971026295446</v>
      </c>
      <c r="AX209" s="8">
        <v>2</v>
      </c>
      <c r="AY209" s="9">
        <f t="shared" si="1050"/>
        <v>3.0276270972625206</v>
      </c>
      <c r="AZ209" s="8">
        <v>6</v>
      </c>
      <c r="BA209" s="8">
        <v>31</v>
      </c>
      <c r="BB209" s="8">
        <v>5</v>
      </c>
      <c r="BC209" s="8">
        <v>7</v>
      </c>
      <c r="BD209" s="8">
        <v>0</v>
      </c>
      <c r="BE209" s="9">
        <f t="shared" si="1051"/>
        <v>7</v>
      </c>
      <c r="BF209" s="9">
        <f t="shared" si="1052"/>
        <v>29</v>
      </c>
      <c r="BG209" s="8">
        <v>0</v>
      </c>
      <c r="BH209" s="8">
        <v>0</v>
      </c>
      <c r="BI209" s="8">
        <v>0</v>
      </c>
      <c r="BJ209" s="8">
        <v>0</v>
      </c>
      <c r="BK209" s="9">
        <f t="shared" si="1053"/>
        <v>0</v>
      </c>
      <c r="BL209" s="9">
        <f t="shared" si="1054"/>
        <v>0</v>
      </c>
      <c r="BM209" s="8">
        <v>0</v>
      </c>
      <c r="BN209" s="8">
        <v>0</v>
      </c>
      <c r="BO209" s="8">
        <v>0</v>
      </c>
      <c r="BP209" s="8">
        <v>0</v>
      </c>
      <c r="BQ209" s="9">
        <f t="shared" si="1055"/>
        <v>0</v>
      </c>
      <c r="BR209" s="9">
        <f t="shared" si="1056"/>
        <v>0</v>
      </c>
      <c r="BS209" s="8">
        <v>0</v>
      </c>
      <c r="BT209" s="8">
        <v>0</v>
      </c>
      <c r="BU209" s="8">
        <v>0</v>
      </c>
      <c r="BV209" s="8">
        <v>0</v>
      </c>
      <c r="BW209" s="9">
        <f t="shared" si="1057"/>
        <v>0</v>
      </c>
      <c r="BX209" s="9">
        <f t="shared" si="1058"/>
        <v>0</v>
      </c>
      <c r="BY209" s="9">
        <f t="shared" si="1059"/>
        <v>31</v>
      </c>
      <c r="BZ209" s="9">
        <f t="shared" si="1060"/>
        <v>5</v>
      </c>
      <c r="CA209" s="9">
        <f t="shared" si="1061"/>
        <v>7</v>
      </c>
      <c r="CB209" s="9">
        <f t="shared" si="1062"/>
        <v>29</v>
      </c>
      <c r="CC209" s="8">
        <v>0</v>
      </c>
      <c r="CD209" s="8">
        <v>253</v>
      </c>
      <c r="CE209" s="8">
        <v>18</v>
      </c>
      <c r="CF209" s="8">
        <v>13</v>
      </c>
      <c r="CG209" s="8">
        <v>9</v>
      </c>
      <c r="CH209" s="9">
        <f t="shared" si="1063"/>
        <v>293</v>
      </c>
      <c r="CI209" s="8">
        <v>64</v>
      </c>
      <c r="CJ209" s="8">
        <v>0</v>
      </c>
      <c r="CK209" s="8">
        <v>0</v>
      </c>
      <c r="CL209" s="8">
        <v>1</v>
      </c>
      <c r="CM209" s="9">
        <f t="shared" si="1064"/>
        <v>65</v>
      </c>
      <c r="CN209" s="8">
        <v>726</v>
      </c>
      <c r="CO209" s="8">
        <v>35</v>
      </c>
      <c r="CP209" s="8">
        <v>25</v>
      </c>
      <c r="CQ209" s="8">
        <v>18</v>
      </c>
      <c r="CR209" s="9">
        <f t="shared" si="1065"/>
        <v>804</v>
      </c>
      <c r="CS209" s="9">
        <f t="shared" si="1066"/>
        <v>869</v>
      </c>
      <c r="CT209" s="8">
        <v>1162</v>
      </c>
      <c r="CU209" s="8">
        <v>11676.59943093</v>
      </c>
      <c r="CV209" s="8">
        <v>7362</v>
      </c>
      <c r="CW209" s="10">
        <f t="shared" si="1067"/>
        <v>0.63049178346384727</v>
      </c>
      <c r="CX209" s="8">
        <v>0</v>
      </c>
      <c r="CY209" s="8"/>
      <c r="CZ209" s="8"/>
      <c r="DA209" s="8"/>
      <c r="DB209" s="9">
        <f t="shared" si="1068"/>
        <v>0</v>
      </c>
      <c r="DC209" s="8">
        <v>0</v>
      </c>
      <c r="DD209" s="8">
        <v>0</v>
      </c>
      <c r="DE209" s="8">
        <v>0</v>
      </c>
      <c r="DF209" s="8">
        <v>0</v>
      </c>
      <c r="DG209" s="9">
        <f t="shared" si="1069"/>
        <v>0</v>
      </c>
      <c r="DH209" s="8">
        <v>0</v>
      </c>
      <c r="DI209" s="8">
        <v>0</v>
      </c>
      <c r="DJ209" s="8">
        <v>0</v>
      </c>
      <c r="DK209" s="8">
        <v>0</v>
      </c>
      <c r="DL209" s="9">
        <f t="shared" si="1070"/>
        <v>0</v>
      </c>
      <c r="DM209" s="8">
        <v>0</v>
      </c>
      <c r="DN209" s="8">
        <v>0</v>
      </c>
      <c r="DO209" s="8">
        <v>0</v>
      </c>
      <c r="DP209" s="8">
        <v>0</v>
      </c>
      <c r="DQ209" s="9">
        <f t="shared" si="1071"/>
        <v>0</v>
      </c>
      <c r="DR209" s="9">
        <f t="shared" si="1072"/>
        <v>0</v>
      </c>
      <c r="DS209" s="9">
        <f t="shared" si="1073"/>
        <v>0</v>
      </c>
      <c r="DT209" s="9">
        <f t="shared" si="1074"/>
        <v>0</v>
      </c>
      <c r="DU209" s="9">
        <f t="shared" si="1075"/>
        <v>0</v>
      </c>
      <c r="DV209" s="9">
        <f t="shared" si="1076"/>
        <v>0</v>
      </c>
      <c r="DW209" s="8">
        <v>21</v>
      </c>
      <c r="DX209" s="8">
        <v>5</v>
      </c>
      <c r="DY209" s="8">
        <v>2</v>
      </c>
      <c r="DZ209" s="8">
        <v>3</v>
      </c>
      <c r="EA209" s="8">
        <v>1</v>
      </c>
      <c r="EB209" s="8">
        <v>2</v>
      </c>
      <c r="EC209" s="8">
        <v>0</v>
      </c>
      <c r="ED209" s="8">
        <v>0</v>
      </c>
      <c r="EE209" s="8">
        <v>0</v>
      </c>
      <c r="EF209" s="8">
        <v>0</v>
      </c>
      <c r="EG209" s="8">
        <v>0</v>
      </c>
      <c r="EH209" s="8">
        <v>0</v>
      </c>
      <c r="EI209" s="8">
        <v>0</v>
      </c>
      <c r="EJ209" s="8">
        <v>7</v>
      </c>
      <c r="EK209" s="8">
        <v>0</v>
      </c>
      <c r="EL209" s="8">
        <v>0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8">
        <v>0</v>
      </c>
      <c r="ES209" s="8">
        <v>0</v>
      </c>
      <c r="ET209" s="8">
        <v>0</v>
      </c>
      <c r="EU209" s="8">
        <v>0</v>
      </c>
      <c r="EV209" s="8">
        <v>0</v>
      </c>
      <c r="EW209" s="8">
        <v>0</v>
      </c>
      <c r="EX209" s="8">
        <v>0</v>
      </c>
      <c r="EY209" s="8">
        <v>0</v>
      </c>
      <c r="EZ209" s="8">
        <v>0</v>
      </c>
      <c r="FA209" s="8">
        <v>0</v>
      </c>
      <c r="FB209" s="8">
        <v>0</v>
      </c>
      <c r="FC209" s="8">
        <v>0</v>
      </c>
      <c r="FD209" s="8">
        <v>0</v>
      </c>
      <c r="FE209" s="8">
        <v>0</v>
      </c>
      <c r="FF209" s="8">
        <v>0</v>
      </c>
      <c r="FG209" s="9">
        <f t="shared" si="1077"/>
        <v>41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9">
        <f t="shared" si="1078"/>
        <v>0</v>
      </c>
      <c r="FR209" s="8">
        <v>293840</v>
      </c>
      <c r="FS209" s="8">
        <v>0</v>
      </c>
      <c r="FT209" s="8">
        <v>0</v>
      </c>
      <c r="FU209" s="8">
        <v>0</v>
      </c>
      <c r="FV209" s="9">
        <f t="shared" si="1079"/>
        <v>293840</v>
      </c>
      <c r="FW209" s="8">
        <v>5641829</v>
      </c>
      <c r="FX209" s="8">
        <v>109100</v>
      </c>
      <c r="FY209" s="8">
        <v>1264100</v>
      </c>
      <c r="FZ209" s="8">
        <v>186900</v>
      </c>
      <c r="GA209" s="9">
        <f t="shared" si="1080"/>
        <v>7201929</v>
      </c>
      <c r="GB209" s="9">
        <f t="shared" si="1081"/>
        <v>7495769</v>
      </c>
      <c r="GC209" s="8">
        <v>424609.75</v>
      </c>
      <c r="GD209" s="8">
        <v>0</v>
      </c>
      <c r="GE209" s="8">
        <v>27470.62</v>
      </c>
      <c r="GF209" s="8">
        <v>0</v>
      </c>
      <c r="GG209" s="9">
        <f t="shared" si="1082"/>
        <v>452080.37</v>
      </c>
      <c r="GH209" s="8">
        <v>5309753.25</v>
      </c>
      <c r="GI209" s="8">
        <v>109100</v>
      </c>
      <c r="GJ209" s="8">
        <v>170100</v>
      </c>
      <c r="GK209" s="8">
        <v>1017881.78</v>
      </c>
      <c r="GL209" s="9">
        <f t="shared" si="1083"/>
        <v>6606835.0300000003</v>
      </c>
      <c r="GM209" s="9">
        <f t="shared" si="1084"/>
        <v>7058915.4000000004</v>
      </c>
      <c r="GN209" s="8">
        <v>42028.49</v>
      </c>
      <c r="GO209" s="8">
        <v>0</v>
      </c>
      <c r="GP209" s="8">
        <v>6787.28</v>
      </c>
      <c r="GQ209" s="8">
        <v>0</v>
      </c>
      <c r="GR209" s="9">
        <f t="shared" si="1085"/>
        <v>48815.77</v>
      </c>
      <c r="GS209" s="8">
        <v>65189</v>
      </c>
      <c r="GT209" s="8">
        <v>0</v>
      </c>
      <c r="GU209" s="8">
        <v>1786</v>
      </c>
      <c r="GV209" s="8">
        <v>0</v>
      </c>
      <c r="GW209" s="9">
        <f t="shared" si="1086"/>
        <v>66975</v>
      </c>
      <c r="GX209" s="9">
        <f t="shared" si="1087"/>
        <v>7174706.1699999999</v>
      </c>
      <c r="GY209" s="8">
        <v>1627640.47</v>
      </c>
      <c r="GZ209" s="8">
        <v>144175.6</v>
      </c>
      <c r="HA209" s="9">
        <f t="shared" si="1088"/>
        <v>1771816.07</v>
      </c>
      <c r="HB209" s="9">
        <f t="shared" si="1089"/>
        <v>6.5785281864023715E-2</v>
      </c>
      <c r="HC209" s="10">
        <f t="shared" si="1090"/>
        <v>0.85156485043856434</v>
      </c>
      <c r="HD209" s="9">
        <f t="shared" si="1091"/>
        <v>1.0447492653207846</v>
      </c>
      <c r="HE209" s="8">
        <v>5</v>
      </c>
      <c r="HF209" s="8">
        <v>2</v>
      </c>
      <c r="HG209" s="8">
        <v>29</v>
      </c>
      <c r="HH209" s="8">
        <v>5</v>
      </c>
      <c r="HI209" s="8">
        <v>18</v>
      </c>
      <c r="HJ209" s="9">
        <f t="shared" si="1092"/>
        <v>20</v>
      </c>
      <c r="HK209" s="10">
        <f t="shared" si="1093"/>
        <v>1</v>
      </c>
      <c r="HL209" s="8">
        <v>12</v>
      </c>
      <c r="HM209" s="8">
        <v>18</v>
      </c>
      <c r="HN209" s="11">
        <f t="shared" si="1094"/>
        <v>1.5</v>
      </c>
    </row>
    <row r="210" spans="1:222" x14ac:dyDescent="0.3">
      <c r="A210" s="12" t="s">
        <v>289</v>
      </c>
      <c r="B210" s="12" t="s">
        <v>290</v>
      </c>
      <c r="C210" s="13" t="s">
        <v>257</v>
      </c>
      <c r="D210" s="13">
        <v>2025</v>
      </c>
      <c r="E210" s="13">
        <v>7</v>
      </c>
      <c r="F210" s="13" t="s">
        <v>262</v>
      </c>
      <c r="G210" s="13" t="s">
        <v>263</v>
      </c>
      <c r="H210" s="14">
        <v>9304</v>
      </c>
      <c r="I210" s="14">
        <v>501</v>
      </c>
      <c r="J210" s="14">
        <v>0</v>
      </c>
      <c r="K210" s="14">
        <v>16</v>
      </c>
      <c r="L210" s="14">
        <v>0</v>
      </c>
      <c r="M210" s="15">
        <f t="shared" si="1034"/>
        <v>517</v>
      </c>
      <c r="N210" s="14">
        <v>4618</v>
      </c>
      <c r="O210" s="14">
        <v>451</v>
      </c>
      <c r="P210" s="14">
        <v>114</v>
      </c>
      <c r="Q210" s="14">
        <v>190</v>
      </c>
      <c r="R210" s="15">
        <f t="shared" si="1035"/>
        <v>5373</v>
      </c>
      <c r="S210" s="15">
        <f t="shared" si="1036"/>
        <v>5890</v>
      </c>
      <c r="T210" s="14">
        <v>3414</v>
      </c>
      <c r="U210" s="16">
        <f t="shared" si="1037"/>
        <v>0.36693895098882201</v>
      </c>
      <c r="V210" s="14">
        <v>18</v>
      </c>
      <c r="W210" s="17">
        <f t="shared" si="1038"/>
        <v>1.934651762682717E-3</v>
      </c>
      <c r="X210" s="14">
        <v>0</v>
      </c>
      <c r="Y210" s="17">
        <f t="shared" si="1039"/>
        <v>0</v>
      </c>
      <c r="Z210" s="14">
        <v>0</v>
      </c>
      <c r="AA210" s="17">
        <f t="shared" si="1040"/>
        <v>0</v>
      </c>
      <c r="AB210" s="14">
        <v>0</v>
      </c>
      <c r="AC210" s="17">
        <f t="shared" si="1041"/>
        <v>0</v>
      </c>
      <c r="AD210" s="14">
        <v>0</v>
      </c>
      <c r="AE210" s="17">
        <f t="shared" si="1042"/>
        <v>0</v>
      </c>
      <c r="AF210" s="14">
        <v>0</v>
      </c>
      <c r="AG210" s="17">
        <f t="shared" si="1043"/>
        <v>0</v>
      </c>
      <c r="AH210" s="14">
        <v>63455.22</v>
      </c>
      <c r="AI210" s="15">
        <f t="shared" si="1044"/>
        <v>6.8202085124677563</v>
      </c>
      <c r="AJ210" s="14">
        <v>3136</v>
      </c>
      <c r="AK210" s="17">
        <f t="shared" si="1045"/>
        <v>0.33705932932072225</v>
      </c>
      <c r="AL210" s="14">
        <v>451551.20400000003</v>
      </c>
      <c r="AM210" s="15">
        <f t="shared" si="1046"/>
        <v>48.533018486672404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5">
        <f t="shared" si="1047"/>
        <v>515006.424</v>
      </c>
      <c r="AV210" s="15">
        <f t="shared" si="1048"/>
        <v>55.353226999140155</v>
      </c>
      <c r="AW210" s="15">
        <f t="shared" si="1049"/>
        <v>87.437423429541596</v>
      </c>
      <c r="AX210" s="14">
        <v>2</v>
      </c>
      <c r="AY210" s="15">
        <f t="shared" si="1050"/>
        <v>2.5795356835769563</v>
      </c>
      <c r="AZ210" s="14">
        <v>10</v>
      </c>
      <c r="BA210" s="14">
        <v>29</v>
      </c>
      <c r="BB210" s="14">
        <v>6</v>
      </c>
      <c r="BC210" s="14">
        <v>18</v>
      </c>
      <c r="BD210" s="14">
        <v>0</v>
      </c>
      <c r="BE210" s="15">
        <f t="shared" si="1051"/>
        <v>18</v>
      </c>
      <c r="BF210" s="15">
        <f t="shared" si="1052"/>
        <v>17</v>
      </c>
      <c r="BG210" s="14">
        <v>0</v>
      </c>
      <c r="BH210" s="14">
        <v>0</v>
      </c>
      <c r="BI210" s="14">
        <v>0</v>
      </c>
      <c r="BJ210" s="14">
        <v>0</v>
      </c>
      <c r="BK210" s="15">
        <f t="shared" si="1053"/>
        <v>0</v>
      </c>
      <c r="BL210" s="15">
        <f t="shared" si="1054"/>
        <v>0</v>
      </c>
      <c r="BM210" s="14">
        <v>0</v>
      </c>
      <c r="BN210" s="14">
        <v>0</v>
      </c>
      <c r="BO210" s="14">
        <v>0</v>
      </c>
      <c r="BP210" s="14">
        <v>0</v>
      </c>
      <c r="BQ210" s="15">
        <f t="shared" si="1055"/>
        <v>0</v>
      </c>
      <c r="BR210" s="15">
        <f t="shared" si="1056"/>
        <v>0</v>
      </c>
      <c r="BS210" s="14">
        <v>0</v>
      </c>
      <c r="BT210" s="14">
        <v>0</v>
      </c>
      <c r="BU210" s="14">
        <v>0</v>
      </c>
      <c r="BV210" s="14">
        <v>0</v>
      </c>
      <c r="BW210" s="15">
        <f t="shared" si="1057"/>
        <v>0</v>
      </c>
      <c r="BX210" s="15">
        <f t="shared" si="1058"/>
        <v>0</v>
      </c>
      <c r="BY210" s="15">
        <f t="shared" si="1059"/>
        <v>29</v>
      </c>
      <c r="BZ210" s="15">
        <f t="shared" si="1060"/>
        <v>6</v>
      </c>
      <c r="CA210" s="15">
        <f t="shared" si="1061"/>
        <v>18</v>
      </c>
      <c r="CB210" s="15">
        <f t="shared" si="1062"/>
        <v>17</v>
      </c>
      <c r="CC210" s="14">
        <v>0</v>
      </c>
      <c r="CD210" s="14">
        <v>250</v>
      </c>
      <c r="CE210" s="14">
        <v>18</v>
      </c>
      <c r="CF210" s="14">
        <v>13</v>
      </c>
      <c r="CG210" s="14">
        <v>10</v>
      </c>
      <c r="CH210" s="15">
        <f t="shared" si="1063"/>
        <v>291</v>
      </c>
      <c r="CI210" s="14">
        <v>84</v>
      </c>
      <c r="CJ210" s="14">
        <v>0</v>
      </c>
      <c r="CK210" s="14">
        <v>0</v>
      </c>
      <c r="CL210" s="14">
        <v>1</v>
      </c>
      <c r="CM210" s="15">
        <f t="shared" si="1064"/>
        <v>85</v>
      </c>
      <c r="CN210" s="14">
        <v>726</v>
      </c>
      <c r="CO210" s="14">
        <v>35</v>
      </c>
      <c r="CP210" s="14">
        <v>25</v>
      </c>
      <c r="CQ210" s="14">
        <v>18</v>
      </c>
      <c r="CR210" s="15">
        <f t="shared" si="1065"/>
        <v>804</v>
      </c>
      <c r="CS210" s="15">
        <f t="shared" si="1066"/>
        <v>889</v>
      </c>
      <c r="CT210" s="14">
        <v>1180</v>
      </c>
      <c r="CU210" s="14">
        <v>11696.4496499626</v>
      </c>
      <c r="CV210" s="14">
        <v>7398</v>
      </c>
      <c r="CW210" s="16">
        <f t="shared" si="1067"/>
        <v>0.63249962350957112</v>
      </c>
      <c r="CX210" s="14">
        <v>0</v>
      </c>
      <c r="CY210" s="14"/>
      <c r="CZ210" s="14"/>
      <c r="DA210" s="14"/>
      <c r="DB210" s="15">
        <f t="shared" si="1068"/>
        <v>0</v>
      </c>
      <c r="DC210" s="14">
        <v>0</v>
      </c>
      <c r="DD210" s="14">
        <v>0</v>
      </c>
      <c r="DE210" s="14">
        <v>0</v>
      </c>
      <c r="DF210" s="14">
        <v>0</v>
      </c>
      <c r="DG210" s="15">
        <f t="shared" si="1069"/>
        <v>0</v>
      </c>
      <c r="DH210" s="14">
        <v>0</v>
      </c>
      <c r="DI210" s="14">
        <v>0</v>
      </c>
      <c r="DJ210" s="14">
        <v>0</v>
      </c>
      <c r="DK210" s="14">
        <v>0</v>
      </c>
      <c r="DL210" s="15">
        <f t="shared" si="1070"/>
        <v>0</v>
      </c>
      <c r="DM210" s="14">
        <v>0</v>
      </c>
      <c r="DN210" s="14">
        <v>0</v>
      </c>
      <c r="DO210" s="14">
        <v>0</v>
      </c>
      <c r="DP210" s="14">
        <v>0</v>
      </c>
      <c r="DQ210" s="15">
        <f t="shared" si="1071"/>
        <v>0</v>
      </c>
      <c r="DR210" s="15">
        <f t="shared" si="1072"/>
        <v>0</v>
      </c>
      <c r="DS210" s="15">
        <f t="shared" si="1073"/>
        <v>0</v>
      </c>
      <c r="DT210" s="15">
        <f t="shared" si="1074"/>
        <v>0</v>
      </c>
      <c r="DU210" s="15">
        <f t="shared" si="1075"/>
        <v>0</v>
      </c>
      <c r="DV210" s="15">
        <f t="shared" si="1076"/>
        <v>0</v>
      </c>
      <c r="DW210" s="14">
        <v>30</v>
      </c>
      <c r="DX210" s="14">
        <v>4</v>
      </c>
      <c r="DY210" s="14">
        <v>3</v>
      </c>
      <c r="DZ210" s="14">
        <v>3</v>
      </c>
      <c r="EA210" s="14">
        <v>2</v>
      </c>
      <c r="EB210" s="14">
        <v>2</v>
      </c>
      <c r="EC210" s="14">
        <v>0</v>
      </c>
      <c r="ED210" s="14">
        <v>0</v>
      </c>
      <c r="EE210" s="14">
        <v>0</v>
      </c>
      <c r="EF210" s="14">
        <v>0</v>
      </c>
      <c r="EG210" s="14">
        <v>0</v>
      </c>
      <c r="EH210" s="14">
        <v>0</v>
      </c>
      <c r="EI210" s="14">
        <v>0</v>
      </c>
      <c r="EJ210" s="14">
        <v>5</v>
      </c>
      <c r="EK210" s="14">
        <v>0</v>
      </c>
      <c r="EL210" s="14">
        <v>0</v>
      </c>
      <c r="EM210" s="14">
        <v>0</v>
      </c>
      <c r="EN210" s="14">
        <v>0</v>
      </c>
      <c r="EO210" s="14">
        <v>0</v>
      </c>
      <c r="EP210" s="14">
        <v>0</v>
      </c>
      <c r="EQ210" s="14">
        <v>0</v>
      </c>
      <c r="ER210" s="14">
        <v>0</v>
      </c>
      <c r="ES210" s="14">
        <v>0</v>
      </c>
      <c r="ET210" s="14">
        <v>0</v>
      </c>
      <c r="EU210" s="14">
        <v>0</v>
      </c>
      <c r="EV210" s="14">
        <v>0</v>
      </c>
      <c r="EW210" s="14">
        <v>0</v>
      </c>
      <c r="EX210" s="14">
        <v>0</v>
      </c>
      <c r="EY210" s="14">
        <v>0</v>
      </c>
      <c r="EZ210" s="14">
        <v>0</v>
      </c>
      <c r="FA210" s="14">
        <v>0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5">
        <f t="shared" si="1077"/>
        <v>49</v>
      </c>
      <c r="FH210" s="14">
        <v>0</v>
      </c>
      <c r="FI210" s="14">
        <v>0</v>
      </c>
      <c r="FJ210" s="14">
        <v>0</v>
      </c>
      <c r="FK210" s="14">
        <v>0</v>
      </c>
      <c r="FL210" s="14">
        <v>0</v>
      </c>
      <c r="FM210" s="14">
        <v>0</v>
      </c>
      <c r="FN210" s="14">
        <v>0</v>
      </c>
      <c r="FO210" s="14">
        <v>0</v>
      </c>
      <c r="FP210" s="14">
        <v>0</v>
      </c>
      <c r="FQ210" s="15">
        <f t="shared" si="1078"/>
        <v>0</v>
      </c>
      <c r="FR210" s="14">
        <v>1633194</v>
      </c>
      <c r="FS210" s="14">
        <v>0</v>
      </c>
      <c r="FT210" s="14">
        <v>0</v>
      </c>
      <c r="FU210" s="14">
        <v>0</v>
      </c>
      <c r="FV210" s="15">
        <f t="shared" si="1079"/>
        <v>1633194</v>
      </c>
      <c r="FW210" s="14">
        <v>5554788</v>
      </c>
      <c r="FX210" s="14">
        <v>121700</v>
      </c>
      <c r="FY210" s="14">
        <v>1108800</v>
      </c>
      <c r="FZ210" s="14">
        <v>1151850</v>
      </c>
      <c r="GA210" s="15">
        <f t="shared" si="1080"/>
        <v>7937138</v>
      </c>
      <c r="GB210" s="15">
        <f t="shared" si="1081"/>
        <v>9570332</v>
      </c>
      <c r="GC210" s="14">
        <v>501207.79</v>
      </c>
      <c r="GD210" s="14">
        <v>0</v>
      </c>
      <c r="GE210" s="14">
        <v>51295.66</v>
      </c>
      <c r="GF210" s="14">
        <v>0</v>
      </c>
      <c r="GG210" s="15">
        <f t="shared" si="1082"/>
        <v>552503.44999999995</v>
      </c>
      <c r="GH210" s="14">
        <v>5230381.1399999997</v>
      </c>
      <c r="GI210" s="14">
        <v>121700</v>
      </c>
      <c r="GJ210" s="14">
        <v>1120154.6100000001</v>
      </c>
      <c r="GK210" s="14">
        <v>1090786.74</v>
      </c>
      <c r="GL210" s="15">
        <f t="shared" si="1083"/>
        <v>7563022.4900000002</v>
      </c>
      <c r="GM210" s="15">
        <f t="shared" si="1084"/>
        <v>8115525.9400000004</v>
      </c>
      <c r="GN210" s="14">
        <v>51197.09</v>
      </c>
      <c r="GO210" s="14">
        <v>0</v>
      </c>
      <c r="GP210" s="14">
        <v>6787.28</v>
      </c>
      <c r="GQ210" s="14">
        <v>0</v>
      </c>
      <c r="GR210" s="15">
        <f t="shared" si="1085"/>
        <v>57984.369999999995</v>
      </c>
      <c r="GS210" s="14">
        <v>79477</v>
      </c>
      <c r="GT210" s="14">
        <v>0</v>
      </c>
      <c r="GU210" s="14">
        <v>1786</v>
      </c>
      <c r="GV210" s="14">
        <v>0</v>
      </c>
      <c r="GW210" s="15">
        <f t="shared" si="1086"/>
        <v>81263</v>
      </c>
      <c r="GX210" s="15">
        <f t="shared" si="1087"/>
        <v>8254773.3100000005</v>
      </c>
      <c r="GY210" s="14">
        <v>837303.64</v>
      </c>
      <c r="GZ210" s="14">
        <v>204044.54</v>
      </c>
      <c r="HA210" s="15">
        <f t="shared" si="1088"/>
        <v>1041348.18</v>
      </c>
      <c r="HB210" s="15">
        <f t="shared" si="1089"/>
        <v>6.238892391825112E-2</v>
      </c>
      <c r="HC210" s="16">
        <f t="shared" si="1090"/>
        <v>1.0526012981005399</v>
      </c>
      <c r="HD210" s="15">
        <f t="shared" si="1091"/>
        <v>1.1593694509340802</v>
      </c>
      <c r="HE210" s="14">
        <v>6</v>
      </c>
      <c r="HF210" s="14">
        <v>2</v>
      </c>
      <c r="HG210" s="14">
        <v>17</v>
      </c>
      <c r="HH210" s="14">
        <v>6</v>
      </c>
      <c r="HI210" s="14">
        <v>466</v>
      </c>
      <c r="HJ210" s="15">
        <f t="shared" si="1092"/>
        <v>468</v>
      </c>
      <c r="HK210" s="16">
        <f t="shared" si="1093"/>
        <v>1</v>
      </c>
      <c r="HL210" s="14">
        <v>16</v>
      </c>
      <c r="HM210" s="14">
        <v>18</v>
      </c>
      <c r="HN210" s="17">
        <f t="shared" si="1094"/>
        <v>1.125</v>
      </c>
    </row>
    <row r="211" spans="1:222" x14ac:dyDescent="0.3">
      <c r="A211" s="6" t="s">
        <v>289</v>
      </c>
      <c r="B211" s="6" t="s">
        <v>290</v>
      </c>
      <c r="C211" s="7" t="s">
        <v>257</v>
      </c>
      <c r="D211" s="7">
        <v>2025</v>
      </c>
      <c r="E211" s="7">
        <v>8</v>
      </c>
      <c r="F211" s="7" t="s">
        <v>264</v>
      </c>
      <c r="G211" s="7" t="s">
        <v>263</v>
      </c>
      <c r="H211" s="8">
        <v>10145</v>
      </c>
      <c r="I211" s="8">
        <v>968</v>
      </c>
      <c r="J211" s="8">
        <v>0</v>
      </c>
      <c r="K211" s="8">
        <v>13</v>
      </c>
      <c r="L211" s="8">
        <v>6</v>
      </c>
      <c r="M211" s="9">
        <f t="shared" si="1034"/>
        <v>987</v>
      </c>
      <c r="N211" s="8">
        <v>6045</v>
      </c>
      <c r="O211" s="8">
        <v>604</v>
      </c>
      <c r="P211" s="8">
        <v>564</v>
      </c>
      <c r="Q211" s="8">
        <v>106</v>
      </c>
      <c r="R211" s="9">
        <f t="shared" si="1035"/>
        <v>7319</v>
      </c>
      <c r="S211" s="9">
        <f t="shared" si="1036"/>
        <v>8306</v>
      </c>
      <c r="T211" s="8">
        <v>1839</v>
      </c>
      <c r="U211" s="10">
        <f t="shared" si="1037"/>
        <v>0.18127156234598324</v>
      </c>
      <c r="V211" s="8">
        <v>18</v>
      </c>
      <c r="W211" s="11">
        <f t="shared" si="1038"/>
        <v>1.7742730409068506E-3</v>
      </c>
      <c r="X211" s="8">
        <v>0</v>
      </c>
      <c r="Y211" s="11">
        <f t="shared" si="1039"/>
        <v>0</v>
      </c>
      <c r="Z211" s="8">
        <v>0</v>
      </c>
      <c r="AA211" s="11">
        <f t="shared" si="1040"/>
        <v>0</v>
      </c>
      <c r="AB211" s="8">
        <v>0</v>
      </c>
      <c r="AC211" s="11">
        <f t="shared" si="1041"/>
        <v>0</v>
      </c>
      <c r="AD211" s="8">
        <v>0</v>
      </c>
      <c r="AE211" s="11">
        <f t="shared" si="1042"/>
        <v>0</v>
      </c>
      <c r="AF211" s="8">
        <v>0</v>
      </c>
      <c r="AG211" s="11">
        <f t="shared" si="1043"/>
        <v>0</v>
      </c>
      <c r="AH211" s="8">
        <v>63455.22</v>
      </c>
      <c r="AI211" s="9">
        <f t="shared" si="1044"/>
        <v>6.2548270083785118</v>
      </c>
      <c r="AJ211" s="8">
        <v>3659</v>
      </c>
      <c r="AK211" s="11">
        <f t="shared" si="1045"/>
        <v>0.36067028092656483</v>
      </c>
      <c r="AL211" s="8">
        <v>524118.23849999998</v>
      </c>
      <c r="AM211" s="9">
        <f t="shared" si="1046"/>
        <v>51.662714489896501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9">
        <f t="shared" si="1047"/>
        <v>587573.45849999995</v>
      </c>
      <c r="AV211" s="9">
        <f t="shared" si="1048"/>
        <v>57.917541498275007</v>
      </c>
      <c r="AW211" s="9">
        <f t="shared" si="1049"/>
        <v>70.740844991572345</v>
      </c>
      <c r="AX211" s="8">
        <v>2</v>
      </c>
      <c r="AY211" s="9">
        <f t="shared" si="1050"/>
        <v>2.3656973878758012</v>
      </c>
      <c r="AZ211" s="8">
        <v>8</v>
      </c>
      <c r="BA211" s="8">
        <v>17</v>
      </c>
      <c r="BB211" s="8">
        <v>5</v>
      </c>
      <c r="BC211" s="8">
        <v>16</v>
      </c>
      <c r="BD211" s="8">
        <v>0</v>
      </c>
      <c r="BE211" s="9">
        <f t="shared" si="1051"/>
        <v>16</v>
      </c>
      <c r="BF211" s="9">
        <f t="shared" si="1052"/>
        <v>6</v>
      </c>
      <c r="BG211" s="8">
        <v>0</v>
      </c>
      <c r="BH211" s="8">
        <v>0</v>
      </c>
      <c r="BI211" s="8">
        <v>0</v>
      </c>
      <c r="BJ211" s="8">
        <v>0</v>
      </c>
      <c r="BK211" s="9">
        <f t="shared" si="1053"/>
        <v>0</v>
      </c>
      <c r="BL211" s="9">
        <f t="shared" si="1054"/>
        <v>0</v>
      </c>
      <c r="BM211" s="8">
        <v>0</v>
      </c>
      <c r="BN211" s="8">
        <v>0</v>
      </c>
      <c r="BO211" s="8">
        <v>0</v>
      </c>
      <c r="BP211" s="8">
        <v>0</v>
      </c>
      <c r="BQ211" s="9">
        <f t="shared" si="1055"/>
        <v>0</v>
      </c>
      <c r="BR211" s="9">
        <f t="shared" si="1056"/>
        <v>0</v>
      </c>
      <c r="BS211" s="8">
        <v>0</v>
      </c>
      <c r="BT211" s="8">
        <v>0</v>
      </c>
      <c r="BU211" s="8">
        <v>0</v>
      </c>
      <c r="BV211" s="8">
        <v>0</v>
      </c>
      <c r="BW211" s="9">
        <f t="shared" si="1057"/>
        <v>0</v>
      </c>
      <c r="BX211" s="9">
        <f t="shared" si="1058"/>
        <v>0</v>
      </c>
      <c r="BY211" s="9">
        <f t="shared" si="1059"/>
        <v>17</v>
      </c>
      <c r="BZ211" s="9">
        <f t="shared" si="1060"/>
        <v>5</v>
      </c>
      <c r="CA211" s="9">
        <f t="shared" si="1061"/>
        <v>16</v>
      </c>
      <c r="CB211" s="9">
        <f t="shared" si="1062"/>
        <v>6</v>
      </c>
      <c r="CC211" s="8">
        <v>0</v>
      </c>
      <c r="CD211" s="8">
        <v>254</v>
      </c>
      <c r="CE211" s="8">
        <v>18</v>
      </c>
      <c r="CF211" s="8">
        <v>13</v>
      </c>
      <c r="CG211" s="8">
        <v>10</v>
      </c>
      <c r="CH211" s="9">
        <f t="shared" si="1063"/>
        <v>295</v>
      </c>
      <c r="CI211" s="8">
        <v>96</v>
      </c>
      <c r="CJ211" s="8">
        <v>0</v>
      </c>
      <c r="CK211" s="8">
        <v>0</v>
      </c>
      <c r="CL211" s="8">
        <v>1</v>
      </c>
      <c r="CM211" s="9">
        <f t="shared" si="1064"/>
        <v>97</v>
      </c>
      <c r="CN211" s="8">
        <v>726</v>
      </c>
      <c r="CO211" s="8">
        <v>35</v>
      </c>
      <c r="CP211" s="8">
        <v>25</v>
      </c>
      <c r="CQ211" s="8">
        <v>18</v>
      </c>
      <c r="CR211" s="9">
        <f t="shared" si="1065"/>
        <v>804</v>
      </c>
      <c r="CS211" s="9">
        <f t="shared" si="1066"/>
        <v>901</v>
      </c>
      <c r="CT211" s="8">
        <v>1196</v>
      </c>
      <c r="CU211" s="8">
        <v>11716.333614367501</v>
      </c>
      <c r="CV211" s="8">
        <v>7430</v>
      </c>
      <c r="CW211" s="10">
        <f t="shared" si="1067"/>
        <v>0.63415742881277659</v>
      </c>
      <c r="CX211" s="8">
        <v>0</v>
      </c>
      <c r="CY211" s="8"/>
      <c r="CZ211" s="8"/>
      <c r="DA211" s="8"/>
      <c r="DB211" s="9">
        <f t="shared" si="1068"/>
        <v>0</v>
      </c>
      <c r="DC211" s="8">
        <v>0</v>
      </c>
      <c r="DD211" s="8">
        <v>0</v>
      </c>
      <c r="DE211" s="8">
        <v>0</v>
      </c>
      <c r="DF211" s="8">
        <v>0</v>
      </c>
      <c r="DG211" s="9">
        <f t="shared" si="1069"/>
        <v>0</v>
      </c>
      <c r="DH211" s="8">
        <v>0</v>
      </c>
      <c r="DI211" s="8">
        <v>0</v>
      </c>
      <c r="DJ211" s="8">
        <v>0</v>
      </c>
      <c r="DK211" s="8">
        <v>0</v>
      </c>
      <c r="DL211" s="9">
        <f t="shared" si="1070"/>
        <v>0</v>
      </c>
      <c r="DM211" s="8">
        <v>0</v>
      </c>
      <c r="DN211" s="8">
        <v>0</v>
      </c>
      <c r="DO211" s="8">
        <v>0</v>
      </c>
      <c r="DP211" s="8">
        <v>0</v>
      </c>
      <c r="DQ211" s="9">
        <f t="shared" si="1071"/>
        <v>0</v>
      </c>
      <c r="DR211" s="9">
        <f t="shared" si="1072"/>
        <v>0</v>
      </c>
      <c r="DS211" s="9">
        <f t="shared" si="1073"/>
        <v>0</v>
      </c>
      <c r="DT211" s="9">
        <f t="shared" si="1074"/>
        <v>0</v>
      </c>
      <c r="DU211" s="9">
        <f t="shared" si="1075"/>
        <v>0</v>
      </c>
      <c r="DV211" s="9">
        <f t="shared" si="1076"/>
        <v>0</v>
      </c>
      <c r="DW211" s="8">
        <v>20</v>
      </c>
      <c r="DX211" s="8">
        <v>10</v>
      </c>
      <c r="DY211" s="8">
        <v>4</v>
      </c>
      <c r="DZ211" s="8">
        <v>4</v>
      </c>
      <c r="EA211" s="8">
        <v>1</v>
      </c>
      <c r="EB211" s="8">
        <v>1</v>
      </c>
      <c r="EC211" s="8">
        <v>0</v>
      </c>
      <c r="ED211" s="8">
        <v>0</v>
      </c>
      <c r="EE211" s="8">
        <v>1</v>
      </c>
      <c r="EF211" s="8">
        <v>0</v>
      </c>
      <c r="EG211" s="8">
        <v>0</v>
      </c>
      <c r="EH211" s="8">
        <v>0</v>
      </c>
      <c r="EI211" s="8">
        <v>0</v>
      </c>
      <c r="EJ211" s="8">
        <v>6</v>
      </c>
      <c r="EK211" s="8">
        <v>0</v>
      </c>
      <c r="EL211" s="8">
        <v>0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8">
        <v>0</v>
      </c>
      <c r="ES211" s="8">
        <v>0</v>
      </c>
      <c r="ET211" s="8">
        <v>0</v>
      </c>
      <c r="EU211" s="8">
        <v>0</v>
      </c>
      <c r="EV211" s="8">
        <v>0</v>
      </c>
      <c r="EW211" s="8">
        <v>0</v>
      </c>
      <c r="EX211" s="8">
        <v>0</v>
      </c>
      <c r="EY211" s="8">
        <v>0</v>
      </c>
      <c r="EZ211" s="8">
        <v>0</v>
      </c>
      <c r="FA211" s="8">
        <v>0</v>
      </c>
      <c r="FB211" s="8">
        <v>0</v>
      </c>
      <c r="FC211" s="8">
        <v>0</v>
      </c>
      <c r="FD211" s="8">
        <v>0</v>
      </c>
      <c r="FE211" s="8">
        <v>0</v>
      </c>
      <c r="FF211" s="8">
        <v>0</v>
      </c>
      <c r="FG211" s="9">
        <f t="shared" si="1077"/>
        <v>47</v>
      </c>
      <c r="FH211" s="8">
        <v>0</v>
      </c>
      <c r="FI211" s="8">
        <v>0</v>
      </c>
      <c r="FJ211" s="8">
        <v>0</v>
      </c>
      <c r="FK211" s="8">
        <v>0</v>
      </c>
      <c r="FL211" s="8">
        <v>0</v>
      </c>
      <c r="FM211" s="8">
        <v>0</v>
      </c>
      <c r="FN211" s="8">
        <v>0</v>
      </c>
      <c r="FO211" s="8">
        <v>0</v>
      </c>
      <c r="FP211" s="8">
        <v>0</v>
      </c>
      <c r="FQ211" s="9">
        <f t="shared" si="1078"/>
        <v>0</v>
      </c>
      <c r="FR211" s="8">
        <v>263830</v>
      </c>
      <c r="FS211" s="8">
        <v>0</v>
      </c>
      <c r="FT211" s="8">
        <v>0</v>
      </c>
      <c r="FU211" s="8">
        <v>0</v>
      </c>
      <c r="FV211" s="9">
        <f t="shared" si="1079"/>
        <v>263830</v>
      </c>
      <c r="FW211" s="8">
        <v>6184831</v>
      </c>
      <c r="FX211" s="8">
        <v>73320</v>
      </c>
      <c r="FY211" s="8">
        <v>915600</v>
      </c>
      <c r="FZ211" s="8">
        <v>747950</v>
      </c>
      <c r="GA211" s="9">
        <f t="shared" si="1080"/>
        <v>7921701</v>
      </c>
      <c r="GB211" s="9">
        <f t="shared" si="1081"/>
        <v>8185531</v>
      </c>
      <c r="GC211" s="8">
        <v>902386.89</v>
      </c>
      <c r="GD211" s="8">
        <v>0</v>
      </c>
      <c r="GE211" s="8">
        <v>41819.69</v>
      </c>
      <c r="GF211" s="8">
        <v>15182.27</v>
      </c>
      <c r="GG211" s="9">
        <f t="shared" si="1082"/>
        <v>959388.85000000009</v>
      </c>
      <c r="GH211" s="8">
        <v>5929710.3899999997</v>
      </c>
      <c r="GI211" s="8">
        <v>73320</v>
      </c>
      <c r="GJ211" s="8">
        <v>743200</v>
      </c>
      <c r="GK211" s="8">
        <v>915600</v>
      </c>
      <c r="GL211" s="9">
        <f t="shared" si="1083"/>
        <v>7661830.3899999997</v>
      </c>
      <c r="GM211" s="9">
        <f t="shared" si="1084"/>
        <v>8621219.2400000002</v>
      </c>
      <c r="GN211" s="8">
        <v>68375.789999999994</v>
      </c>
      <c r="GO211" s="8">
        <v>0</v>
      </c>
      <c r="GP211" s="8">
        <v>6787.28</v>
      </c>
      <c r="GQ211" s="8">
        <v>4637.34</v>
      </c>
      <c r="GR211" s="9">
        <f t="shared" si="1085"/>
        <v>79800.409999999989</v>
      </c>
      <c r="GS211" s="8">
        <v>107160</v>
      </c>
      <c r="GT211" s="8">
        <v>0</v>
      </c>
      <c r="GU211" s="8">
        <v>1786</v>
      </c>
      <c r="GV211" s="8">
        <v>893</v>
      </c>
      <c r="GW211" s="9">
        <f t="shared" si="1086"/>
        <v>109839</v>
      </c>
      <c r="GX211" s="9">
        <f t="shared" si="1087"/>
        <v>8810858.6500000004</v>
      </c>
      <c r="GY211" s="8">
        <v>2445873.0499999998</v>
      </c>
      <c r="GZ211" s="8">
        <v>254437.51</v>
      </c>
      <c r="HA211" s="9">
        <f t="shared" si="1088"/>
        <v>2700310.5599999996</v>
      </c>
      <c r="HB211" s="9">
        <f t="shared" si="1089"/>
        <v>6.6687423081063721E-2</v>
      </c>
      <c r="HC211" s="10">
        <f t="shared" si="1090"/>
        <v>0.72716763783221383</v>
      </c>
      <c r="HD211" s="9">
        <f t="shared" si="1091"/>
        <v>0.92902761525972266</v>
      </c>
      <c r="HE211" s="8">
        <v>5</v>
      </c>
      <c r="HF211" s="8">
        <v>11</v>
      </c>
      <c r="HG211" s="8">
        <v>6</v>
      </c>
      <c r="HH211" s="8">
        <v>5</v>
      </c>
      <c r="HI211" s="8">
        <v>32</v>
      </c>
      <c r="HJ211" s="9">
        <f t="shared" si="1092"/>
        <v>43</v>
      </c>
      <c r="HK211" s="10">
        <f t="shared" si="1093"/>
        <v>1</v>
      </c>
      <c r="HL211" s="8">
        <v>11</v>
      </c>
      <c r="HM211" s="8">
        <v>18</v>
      </c>
      <c r="HN211" s="11">
        <f t="shared" si="1094"/>
        <v>1.6363636363636365</v>
      </c>
    </row>
    <row r="212" spans="1:222" x14ac:dyDescent="0.3">
      <c r="A212" s="12" t="s">
        <v>289</v>
      </c>
      <c r="B212" s="12" t="s">
        <v>290</v>
      </c>
      <c r="C212" s="13" t="s">
        <v>257</v>
      </c>
      <c r="D212" s="13">
        <v>2025</v>
      </c>
      <c r="E212" s="13">
        <v>9</v>
      </c>
      <c r="F212" s="13" t="s">
        <v>265</v>
      </c>
      <c r="G212" s="13" t="s">
        <v>263</v>
      </c>
      <c r="H212" s="14">
        <v>9928</v>
      </c>
      <c r="I212" s="14">
        <v>739</v>
      </c>
      <c r="J212" s="14">
        <v>0</v>
      </c>
      <c r="K212" s="14">
        <v>18</v>
      </c>
      <c r="L212" s="14">
        <v>6</v>
      </c>
      <c r="M212" s="15">
        <f t="shared" si="1034"/>
        <v>763</v>
      </c>
      <c r="N212" s="14">
        <v>6175</v>
      </c>
      <c r="O212" s="14">
        <v>393</v>
      </c>
      <c r="P212" s="14">
        <v>298</v>
      </c>
      <c r="Q212" s="14">
        <v>198</v>
      </c>
      <c r="R212" s="15">
        <f t="shared" si="1035"/>
        <v>7064</v>
      </c>
      <c r="S212" s="15">
        <f t="shared" si="1036"/>
        <v>7827</v>
      </c>
      <c r="T212" s="14">
        <v>2101</v>
      </c>
      <c r="U212" s="16">
        <f t="shared" si="1037"/>
        <v>0.21162369057211927</v>
      </c>
      <c r="V212" s="14">
        <v>16</v>
      </c>
      <c r="W212" s="17">
        <f t="shared" si="1038"/>
        <v>1.6116035455278001E-3</v>
      </c>
      <c r="X212" s="14">
        <v>0</v>
      </c>
      <c r="Y212" s="17">
        <f t="shared" si="1039"/>
        <v>0</v>
      </c>
      <c r="Z212" s="14">
        <v>0</v>
      </c>
      <c r="AA212" s="17">
        <f t="shared" si="1040"/>
        <v>0</v>
      </c>
      <c r="AB212" s="14">
        <v>0</v>
      </c>
      <c r="AC212" s="17">
        <f t="shared" si="1041"/>
        <v>0</v>
      </c>
      <c r="AD212" s="14">
        <v>0</v>
      </c>
      <c r="AE212" s="17">
        <f t="shared" si="1042"/>
        <v>0</v>
      </c>
      <c r="AF212" s="14">
        <v>0</v>
      </c>
      <c r="AG212" s="17">
        <f t="shared" si="1043"/>
        <v>0</v>
      </c>
      <c r="AH212" s="14">
        <v>56404.639999999999</v>
      </c>
      <c r="AI212" s="15">
        <f t="shared" si="1044"/>
        <v>5.6813698630136988</v>
      </c>
      <c r="AJ212" s="14">
        <v>3735</v>
      </c>
      <c r="AK212" s="17">
        <f t="shared" si="1045"/>
        <v>0.37620870265914585</v>
      </c>
      <c r="AL212" s="14">
        <v>534663.35250000004</v>
      </c>
      <c r="AM212" s="15">
        <f t="shared" si="1046"/>
        <v>53.854084659548754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5">
        <f t="shared" si="1047"/>
        <v>591067.99250000005</v>
      </c>
      <c r="AV212" s="15">
        <f t="shared" si="1048"/>
        <v>59.535454522562453</v>
      </c>
      <c r="AW212" s="15">
        <f t="shared" si="1049"/>
        <v>75.516544333716624</v>
      </c>
      <c r="AX212" s="14">
        <v>2</v>
      </c>
      <c r="AY212" s="15">
        <f t="shared" si="1050"/>
        <v>2.4174053182917001</v>
      </c>
      <c r="AZ212" s="14">
        <v>8</v>
      </c>
      <c r="BA212" s="14">
        <v>6</v>
      </c>
      <c r="BB212" s="14">
        <v>31</v>
      </c>
      <c r="BC212" s="14">
        <v>0</v>
      </c>
      <c r="BD212" s="14">
        <v>7</v>
      </c>
      <c r="BE212" s="15">
        <f t="shared" si="1051"/>
        <v>7</v>
      </c>
      <c r="BF212" s="15">
        <f t="shared" si="1052"/>
        <v>30</v>
      </c>
      <c r="BG212" s="14">
        <v>0</v>
      </c>
      <c r="BH212" s="14">
        <v>0</v>
      </c>
      <c r="BI212" s="14">
        <v>0</v>
      </c>
      <c r="BJ212" s="14">
        <v>0</v>
      </c>
      <c r="BK212" s="15">
        <f t="shared" si="1053"/>
        <v>0</v>
      </c>
      <c r="BL212" s="15">
        <f t="shared" si="1054"/>
        <v>0</v>
      </c>
      <c r="BM212" s="14">
        <v>0</v>
      </c>
      <c r="BN212" s="14">
        <v>0</v>
      </c>
      <c r="BO212" s="14">
        <v>0</v>
      </c>
      <c r="BP212" s="14">
        <v>0</v>
      </c>
      <c r="BQ212" s="15">
        <f t="shared" si="1055"/>
        <v>0</v>
      </c>
      <c r="BR212" s="15">
        <f t="shared" si="1056"/>
        <v>0</v>
      </c>
      <c r="BS212" s="14">
        <v>0</v>
      </c>
      <c r="BT212" s="14">
        <v>0</v>
      </c>
      <c r="BU212" s="14">
        <v>0</v>
      </c>
      <c r="BV212" s="14">
        <v>0</v>
      </c>
      <c r="BW212" s="15">
        <f t="shared" si="1057"/>
        <v>0</v>
      </c>
      <c r="BX212" s="15">
        <f t="shared" si="1058"/>
        <v>0</v>
      </c>
      <c r="BY212" s="15">
        <f t="shared" si="1059"/>
        <v>6</v>
      </c>
      <c r="BZ212" s="15">
        <f t="shared" si="1060"/>
        <v>31</v>
      </c>
      <c r="CA212" s="15">
        <f t="shared" si="1061"/>
        <v>7</v>
      </c>
      <c r="CB212" s="15">
        <f t="shared" si="1062"/>
        <v>30</v>
      </c>
      <c r="CC212" s="14">
        <v>0</v>
      </c>
      <c r="CD212" s="14">
        <v>252</v>
      </c>
      <c r="CE212" s="14">
        <v>18</v>
      </c>
      <c r="CF212" s="14">
        <v>13</v>
      </c>
      <c r="CG212" s="14">
        <v>10</v>
      </c>
      <c r="CH212" s="15">
        <f t="shared" si="1063"/>
        <v>293</v>
      </c>
      <c r="CI212" s="14">
        <v>98</v>
      </c>
      <c r="CJ212" s="14">
        <v>0</v>
      </c>
      <c r="CK212" s="14">
        <v>0</v>
      </c>
      <c r="CL212" s="14">
        <v>1</v>
      </c>
      <c r="CM212" s="15">
        <f t="shared" si="1064"/>
        <v>99</v>
      </c>
      <c r="CN212" s="14">
        <v>733</v>
      </c>
      <c r="CO212" s="14">
        <v>35</v>
      </c>
      <c r="CP212" s="14">
        <v>25</v>
      </c>
      <c r="CQ212" s="14">
        <v>18</v>
      </c>
      <c r="CR212" s="15">
        <f t="shared" si="1065"/>
        <v>811</v>
      </c>
      <c r="CS212" s="15">
        <f t="shared" si="1066"/>
        <v>910</v>
      </c>
      <c r="CT212" s="14">
        <v>1203</v>
      </c>
      <c r="CU212" s="14">
        <v>11736</v>
      </c>
      <c r="CV212" s="14">
        <v>7444</v>
      </c>
      <c r="CW212" s="16">
        <f t="shared" si="1067"/>
        <v>0.63428766189502384</v>
      </c>
      <c r="CX212" s="14">
        <v>0</v>
      </c>
      <c r="CY212" s="14"/>
      <c r="CZ212" s="14"/>
      <c r="DA212" s="14"/>
      <c r="DB212" s="15">
        <f t="shared" si="1068"/>
        <v>0</v>
      </c>
      <c r="DC212" s="14">
        <v>0</v>
      </c>
      <c r="DD212" s="14">
        <v>0</v>
      </c>
      <c r="DE212" s="14">
        <v>0</v>
      </c>
      <c r="DF212" s="14">
        <v>0</v>
      </c>
      <c r="DG212" s="15">
        <f t="shared" si="1069"/>
        <v>0</v>
      </c>
      <c r="DH212" s="14">
        <v>0</v>
      </c>
      <c r="DI212" s="14">
        <v>0</v>
      </c>
      <c r="DJ212" s="14">
        <v>0</v>
      </c>
      <c r="DK212" s="14">
        <v>0</v>
      </c>
      <c r="DL212" s="15">
        <f t="shared" si="1070"/>
        <v>0</v>
      </c>
      <c r="DM212" s="14">
        <v>0</v>
      </c>
      <c r="DN212" s="14">
        <v>0</v>
      </c>
      <c r="DO212" s="14">
        <v>0</v>
      </c>
      <c r="DP212" s="14">
        <v>0</v>
      </c>
      <c r="DQ212" s="15">
        <f t="shared" si="1071"/>
        <v>0</v>
      </c>
      <c r="DR212" s="15">
        <f t="shared" si="1072"/>
        <v>0</v>
      </c>
      <c r="DS212" s="15">
        <f t="shared" si="1073"/>
        <v>0</v>
      </c>
      <c r="DT212" s="15">
        <f t="shared" si="1074"/>
        <v>0</v>
      </c>
      <c r="DU212" s="15">
        <f t="shared" si="1075"/>
        <v>0</v>
      </c>
      <c r="DV212" s="15">
        <f t="shared" si="1076"/>
        <v>0</v>
      </c>
      <c r="DW212" s="14">
        <v>25</v>
      </c>
      <c r="DX212" s="14">
        <v>10</v>
      </c>
      <c r="DY212" s="14">
        <v>3</v>
      </c>
      <c r="DZ212" s="14">
        <v>5</v>
      </c>
      <c r="EA212" s="14">
        <v>1</v>
      </c>
      <c r="EB212" s="14">
        <v>0</v>
      </c>
      <c r="EC212" s="14">
        <v>0</v>
      </c>
      <c r="ED212" s="14">
        <v>0</v>
      </c>
      <c r="EE212" s="14">
        <v>0</v>
      </c>
      <c r="EF212" s="14">
        <v>0</v>
      </c>
      <c r="EG212" s="14">
        <v>0</v>
      </c>
      <c r="EH212" s="14">
        <v>0</v>
      </c>
      <c r="EI212" s="14">
        <v>0</v>
      </c>
      <c r="EJ212" s="14">
        <v>8</v>
      </c>
      <c r="EK212" s="14">
        <v>0</v>
      </c>
      <c r="EL212" s="14">
        <v>0</v>
      </c>
      <c r="EM212" s="14">
        <v>0</v>
      </c>
      <c r="EN212" s="14">
        <v>0</v>
      </c>
      <c r="EO212" s="14">
        <v>0</v>
      </c>
      <c r="EP212" s="14">
        <v>0</v>
      </c>
      <c r="EQ212" s="14">
        <v>0</v>
      </c>
      <c r="ER212" s="14">
        <v>0</v>
      </c>
      <c r="ES212" s="14">
        <v>0</v>
      </c>
      <c r="ET212" s="14">
        <v>0</v>
      </c>
      <c r="EU212" s="14">
        <v>0</v>
      </c>
      <c r="EV212" s="14">
        <v>0</v>
      </c>
      <c r="EW212" s="14">
        <v>0</v>
      </c>
      <c r="EX212" s="14">
        <v>0</v>
      </c>
      <c r="EY212" s="14">
        <v>0</v>
      </c>
      <c r="EZ212" s="14">
        <v>0</v>
      </c>
      <c r="FA212" s="14">
        <v>0</v>
      </c>
      <c r="FB212" s="14">
        <v>0</v>
      </c>
      <c r="FC212" s="14">
        <v>0</v>
      </c>
      <c r="FD212" s="14">
        <v>0</v>
      </c>
      <c r="FE212" s="14">
        <v>0</v>
      </c>
      <c r="FF212" s="14">
        <v>0</v>
      </c>
      <c r="FG212" s="15">
        <f t="shared" si="1077"/>
        <v>52</v>
      </c>
      <c r="FH212" s="14">
        <v>0</v>
      </c>
      <c r="FI212" s="14">
        <v>0</v>
      </c>
      <c r="FJ212" s="14">
        <v>0</v>
      </c>
      <c r="FK212" s="14">
        <v>0</v>
      </c>
      <c r="FL212" s="14">
        <v>0</v>
      </c>
      <c r="FM212" s="14">
        <v>0</v>
      </c>
      <c r="FN212" s="14">
        <v>0</v>
      </c>
      <c r="FO212" s="14">
        <v>0</v>
      </c>
      <c r="FP212" s="14">
        <v>0</v>
      </c>
      <c r="FQ212" s="15">
        <f t="shared" si="1078"/>
        <v>0</v>
      </c>
      <c r="FR212" s="14">
        <v>669265</v>
      </c>
      <c r="FS212" s="14">
        <v>0</v>
      </c>
      <c r="FT212" s="14">
        <v>0</v>
      </c>
      <c r="FU212" s="14">
        <v>0</v>
      </c>
      <c r="FV212" s="15">
        <f t="shared" si="1079"/>
        <v>669265</v>
      </c>
      <c r="FW212" s="14">
        <v>6845913</v>
      </c>
      <c r="FX212" s="14">
        <v>116100</v>
      </c>
      <c r="FY212" s="14">
        <v>1288500</v>
      </c>
      <c r="FZ212" s="14">
        <v>768900</v>
      </c>
      <c r="GA212" s="15">
        <f t="shared" si="1080"/>
        <v>9019413</v>
      </c>
      <c r="GB212" s="15">
        <f t="shared" si="1081"/>
        <v>9688678</v>
      </c>
      <c r="GC212" s="14">
        <v>736339.57</v>
      </c>
      <c r="GD212" s="14">
        <v>0</v>
      </c>
      <c r="GE212" s="14">
        <v>61649.919999999998</v>
      </c>
      <c r="GF212" s="14">
        <v>15182.27</v>
      </c>
      <c r="GG212" s="15">
        <f t="shared" si="1082"/>
        <v>813171.76</v>
      </c>
      <c r="GH212" s="14">
        <v>6565858.5999999996</v>
      </c>
      <c r="GI212" s="14">
        <v>116100</v>
      </c>
      <c r="GJ212" s="14">
        <v>729900</v>
      </c>
      <c r="GK212" s="14">
        <v>1214460</v>
      </c>
      <c r="GL212" s="15">
        <f t="shared" si="1083"/>
        <v>8626318.5999999996</v>
      </c>
      <c r="GM212" s="15">
        <f t="shared" si="1084"/>
        <v>9439490.3599999994</v>
      </c>
      <c r="GN212" s="14">
        <v>72415.16</v>
      </c>
      <c r="GO212" s="14">
        <v>0</v>
      </c>
      <c r="GP212" s="14">
        <v>13574.56</v>
      </c>
      <c r="GQ212" s="14">
        <v>4637.34</v>
      </c>
      <c r="GR212" s="15">
        <f t="shared" si="1085"/>
        <v>90627.06</v>
      </c>
      <c r="GS212" s="14">
        <v>113411</v>
      </c>
      <c r="GT212" s="14">
        <v>0</v>
      </c>
      <c r="GU212" s="14">
        <v>3572</v>
      </c>
      <c r="GV212" s="14">
        <v>893</v>
      </c>
      <c r="GW212" s="15">
        <f t="shared" si="1086"/>
        <v>117876</v>
      </c>
      <c r="GX212" s="15">
        <f t="shared" si="1087"/>
        <v>9647993.4199999999</v>
      </c>
      <c r="GY212" s="14">
        <v>2660753.23</v>
      </c>
      <c r="GZ212" s="14">
        <v>418729.43</v>
      </c>
      <c r="HA212" s="15">
        <f t="shared" si="1088"/>
        <v>3079482.66</v>
      </c>
      <c r="HB212" s="15">
        <f t="shared" si="1089"/>
        <v>6.1263308002960898E-2</v>
      </c>
      <c r="HC212" s="16">
        <f t="shared" si="1090"/>
        <v>0.78713765710662342</v>
      </c>
      <c r="HD212" s="15">
        <f t="shared" si="1091"/>
        <v>1.004216895496183</v>
      </c>
      <c r="HE212" s="14">
        <v>31</v>
      </c>
      <c r="HF212" s="14">
        <v>2</v>
      </c>
      <c r="HG212" s="14">
        <v>30</v>
      </c>
      <c r="HH212" s="14">
        <v>31</v>
      </c>
      <c r="HI212" s="14">
        <v>42</v>
      </c>
      <c r="HJ212" s="15">
        <f t="shared" si="1092"/>
        <v>44</v>
      </c>
      <c r="HK212" s="16">
        <f t="shared" si="1093"/>
        <v>1</v>
      </c>
      <c r="HL212" s="14">
        <v>20</v>
      </c>
      <c r="HM212" s="14">
        <v>18</v>
      </c>
      <c r="HN212" s="17">
        <f t="shared" si="1094"/>
        <v>0.9</v>
      </c>
    </row>
    <row r="213" spans="1:222" x14ac:dyDescent="0.3">
      <c r="A213" s="6" t="s">
        <v>289</v>
      </c>
      <c r="B213" s="6" t="s">
        <v>290</v>
      </c>
      <c r="C213" s="7" t="s">
        <v>257</v>
      </c>
      <c r="D213" s="7">
        <v>2025</v>
      </c>
      <c r="E213" s="7">
        <v>10</v>
      </c>
      <c r="F213" s="7" t="s">
        <v>266</v>
      </c>
      <c r="G213" s="7" t="s">
        <v>267</v>
      </c>
      <c r="H213" s="8">
        <v>9690</v>
      </c>
      <c r="I213" s="8">
        <v>706</v>
      </c>
      <c r="J213" s="8">
        <v>0</v>
      </c>
      <c r="K213" s="8">
        <v>45</v>
      </c>
      <c r="L213" s="8">
        <v>13</v>
      </c>
      <c r="M213" s="9">
        <f t="shared" si="1034"/>
        <v>764</v>
      </c>
      <c r="N213" s="8">
        <v>5582</v>
      </c>
      <c r="O213" s="8">
        <v>633</v>
      </c>
      <c r="P213" s="8">
        <v>290</v>
      </c>
      <c r="Q213" s="8">
        <v>249</v>
      </c>
      <c r="R213" s="9">
        <f t="shared" si="1035"/>
        <v>6754</v>
      </c>
      <c r="S213" s="9">
        <f t="shared" si="1036"/>
        <v>7518</v>
      </c>
      <c r="T213" s="8">
        <v>2172</v>
      </c>
      <c r="U213" s="10">
        <f t="shared" si="1037"/>
        <v>0.22414860681114551</v>
      </c>
      <c r="V213" s="8">
        <v>10</v>
      </c>
      <c r="W213" s="11">
        <f t="shared" si="1038"/>
        <v>1.0319917440660474E-3</v>
      </c>
      <c r="X213" s="8">
        <v>0</v>
      </c>
      <c r="Y213" s="11">
        <f t="shared" si="1039"/>
        <v>0</v>
      </c>
      <c r="Z213" s="8">
        <v>0</v>
      </c>
      <c r="AA213" s="11">
        <f t="shared" si="1040"/>
        <v>0</v>
      </c>
      <c r="AB213" s="8">
        <v>0</v>
      </c>
      <c r="AC213" s="11">
        <f t="shared" si="1041"/>
        <v>0</v>
      </c>
      <c r="AD213" s="8">
        <v>0</v>
      </c>
      <c r="AE213" s="11">
        <f t="shared" si="1042"/>
        <v>0</v>
      </c>
      <c r="AF213" s="8">
        <v>0</v>
      </c>
      <c r="AG213" s="11">
        <f t="shared" si="1043"/>
        <v>0</v>
      </c>
      <c r="AH213" s="8">
        <v>35252.9</v>
      </c>
      <c r="AI213" s="9">
        <f t="shared" si="1044"/>
        <v>3.6380701754385965</v>
      </c>
      <c r="AJ213" s="8">
        <v>3567.38</v>
      </c>
      <c r="AK213" s="11">
        <f t="shared" si="1045"/>
        <v>0.36815067079463365</v>
      </c>
      <c r="AL213" s="8">
        <v>511405.82607000001</v>
      </c>
      <c r="AM213" s="9">
        <f t="shared" si="1046"/>
        <v>52.776659037151703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9">
        <f t="shared" si="1047"/>
        <v>546658.72606999998</v>
      </c>
      <c r="AV213" s="9">
        <f t="shared" si="1048"/>
        <v>56.414729212590295</v>
      </c>
      <c r="AW213" s="9">
        <f t="shared" si="1049"/>
        <v>72.713318179036975</v>
      </c>
      <c r="AX213" s="8">
        <v>2</v>
      </c>
      <c r="AY213" s="9">
        <f t="shared" si="1050"/>
        <v>2.4767801857585141</v>
      </c>
      <c r="AZ213" s="8">
        <v>8</v>
      </c>
      <c r="BA213" s="8">
        <v>30</v>
      </c>
      <c r="BB213" s="8">
        <v>7</v>
      </c>
      <c r="BC213" s="8">
        <v>6</v>
      </c>
      <c r="BD213" s="8">
        <v>0</v>
      </c>
      <c r="BE213" s="9">
        <f t="shared" si="1051"/>
        <v>6</v>
      </c>
      <c r="BF213" s="9">
        <f t="shared" si="1052"/>
        <v>31</v>
      </c>
      <c r="BG213" s="8">
        <v>0</v>
      </c>
      <c r="BH213" s="8">
        <v>0</v>
      </c>
      <c r="BI213" s="8">
        <v>0</v>
      </c>
      <c r="BJ213" s="8">
        <v>0</v>
      </c>
      <c r="BK213" s="9">
        <f t="shared" si="1053"/>
        <v>0</v>
      </c>
      <c r="BL213" s="9">
        <f t="shared" si="1054"/>
        <v>0</v>
      </c>
      <c r="BM213" s="8">
        <v>0</v>
      </c>
      <c r="BN213" s="8">
        <v>0</v>
      </c>
      <c r="BO213" s="8">
        <v>0</v>
      </c>
      <c r="BP213" s="8">
        <v>0</v>
      </c>
      <c r="BQ213" s="9">
        <f t="shared" si="1055"/>
        <v>0</v>
      </c>
      <c r="BR213" s="9">
        <f t="shared" si="1056"/>
        <v>0</v>
      </c>
      <c r="BS213" s="8">
        <v>0</v>
      </c>
      <c r="BT213" s="8">
        <v>0</v>
      </c>
      <c r="BU213" s="8">
        <v>0</v>
      </c>
      <c r="BV213" s="8">
        <v>0</v>
      </c>
      <c r="BW213" s="9">
        <f t="shared" si="1057"/>
        <v>0</v>
      </c>
      <c r="BX213" s="9">
        <f t="shared" si="1058"/>
        <v>0</v>
      </c>
      <c r="BY213" s="9">
        <f t="shared" si="1059"/>
        <v>30</v>
      </c>
      <c r="BZ213" s="9">
        <f t="shared" si="1060"/>
        <v>7</v>
      </c>
      <c r="CA213" s="9">
        <f t="shared" si="1061"/>
        <v>6</v>
      </c>
      <c r="CB213" s="9">
        <f t="shared" si="1062"/>
        <v>31</v>
      </c>
      <c r="CC213" s="8">
        <v>0</v>
      </c>
      <c r="CD213" s="8">
        <v>251</v>
      </c>
      <c r="CE213" s="8">
        <v>18</v>
      </c>
      <c r="CF213" s="8">
        <v>13</v>
      </c>
      <c r="CG213" s="8">
        <v>10</v>
      </c>
      <c r="CH213" s="9">
        <f t="shared" si="1063"/>
        <v>292</v>
      </c>
      <c r="CI213" s="8">
        <v>105</v>
      </c>
      <c r="CJ213" s="8">
        <v>0</v>
      </c>
      <c r="CK213" s="8">
        <v>0</v>
      </c>
      <c r="CL213" s="8">
        <v>1</v>
      </c>
      <c r="CM213" s="9">
        <f t="shared" si="1064"/>
        <v>106</v>
      </c>
      <c r="CN213" s="8">
        <v>733</v>
      </c>
      <c r="CO213" s="8">
        <v>35</v>
      </c>
      <c r="CP213" s="8">
        <v>25</v>
      </c>
      <c r="CQ213" s="8">
        <v>18</v>
      </c>
      <c r="CR213" s="9">
        <f t="shared" si="1065"/>
        <v>811</v>
      </c>
      <c r="CS213" s="9">
        <f t="shared" si="1066"/>
        <v>917</v>
      </c>
      <c r="CT213" s="8">
        <v>1209</v>
      </c>
      <c r="CU213" s="8">
        <v>11756.203008860501</v>
      </c>
      <c r="CV213" s="8">
        <v>7456</v>
      </c>
      <c r="CW213" s="10">
        <f t="shared" si="1067"/>
        <v>0.63421837768372213</v>
      </c>
      <c r="CX213" s="8">
        <v>0</v>
      </c>
      <c r="CY213" s="8"/>
      <c r="CZ213" s="8"/>
      <c r="DA213" s="8"/>
      <c r="DB213" s="9">
        <f t="shared" si="1068"/>
        <v>0</v>
      </c>
      <c r="DC213" s="8">
        <v>0</v>
      </c>
      <c r="DD213" s="8">
        <v>0</v>
      </c>
      <c r="DE213" s="8">
        <v>0</v>
      </c>
      <c r="DF213" s="8">
        <v>0</v>
      </c>
      <c r="DG213" s="9">
        <f t="shared" si="1069"/>
        <v>0</v>
      </c>
      <c r="DH213" s="8">
        <v>0</v>
      </c>
      <c r="DI213" s="8">
        <v>0</v>
      </c>
      <c r="DJ213" s="8">
        <v>0</v>
      </c>
      <c r="DK213" s="8">
        <v>0</v>
      </c>
      <c r="DL213" s="9">
        <f t="shared" si="1070"/>
        <v>0</v>
      </c>
      <c r="DM213" s="8">
        <v>0</v>
      </c>
      <c r="DN213" s="8">
        <v>0</v>
      </c>
      <c r="DO213" s="8">
        <v>0</v>
      </c>
      <c r="DP213" s="8">
        <v>0</v>
      </c>
      <c r="DQ213" s="9">
        <f t="shared" si="1071"/>
        <v>0</v>
      </c>
      <c r="DR213" s="9">
        <f t="shared" si="1072"/>
        <v>0</v>
      </c>
      <c r="DS213" s="9">
        <f t="shared" si="1073"/>
        <v>0</v>
      </c>
      <c r="DT213" s="9">
        <f t="shared" si="1074"/>
        <v>0</v>
      </c>
      <c r="DU213" s="9">
        <f t="shared" si="1075"/>
        <v>0</v>
      </c>
      <c r="DV213" s="9">
        <f t="shared" si="1076"/>
        <v>0</v>
      </c>
      <c r="DW213" s="8">
        <v>20</v>
      </c>
      <c r="DX213" s="8">
        <v>6</v>
      </c>
      <c r="DY213" s="8">
        <v>6</v>
      </c>
      <c r="DZ213" s="8">
        <v>4</v>
      </c>
      <c r="EA213" s="8">
        <v>2</v>
      </c>
      <c r="EB213" s="8">
        <v>3</v>
      </c>
      <c r="EC213" s="8">
        <v>0</v>
      </c>
      <c r="ED213" s="8">
        <v>0</v>
      </c>
      <c r="EE213" s="8">
        <v>0</v>
      </c>
      <c r="EF213" s="8">
        <v>0</v>
      </c>
      <c r="EG213" s="8">
        <v>0</v>
      </c>
      <c r="EH213" s="8">
        <v>0</v>
      </c>
      <c r="EI213" s="8">
        <v>0</v>
      </c>
      <c r="EJ213" s="8">
        <v>7</v>
      </c>
      <c r="EK213" s="8">
        <v>0</v>
      </c>
      <c r="EL213" s="8">
        <v>0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8">
        <v>0</v>
      </c>
      <c r="ES213" s="8">
        <v>0</v>
      </c>
      <c r="ET213" s="8">
        <v>0</v>
      </c>
      <c r="EU213" s="8">
        <v>0</v>
      </c>
      <c r="EV213" s="8">
        <v>0</v>
      </c>
      <c r="EW213" s="8">
        <v>0</v>
      </c>
      <c r="EX213" s="8">
        <v>0</v>
      </c>
      <c r="EY213" s="8">
        <v>0</v>
      </c>
      <c r="EZ213" s="8">
        <v>0</v>
      </c>
      <c r="FA213" s="8">
        <v>0</v>
      </c>
      <c r="FB213" s="8">
        <v>0</v>
      </c>
      <c r="FC213" s="8">
        <v>0</v>
      </c>
      <c r="FD213" s="8">
        <v>0</v>
      </c>
      <c r="FE213" s="8">
        <v>0</v>
      </c>
      <c r="FF213" s="8">
        <v>0</v>
      </c>
      <c r="FG213" s="9">
        <f t="shared" si="1077"/>
        <v>48</v>
      </c>
      <c r="FH213" s="8">
        <v>0</v>
      </c>
      <c r="FI213" s="8">
        <v>0</v>
      </c>
      <c r="FJ213" s="8">
        <v>0</v>
      </c>
      <c r="FK213" s="8">
        <v>0</v>
      </c>
      <c r="FL213" s="8">
        <v>0</v>
      </c>
      <c r="FM213" s="8">
        <v>0</v>
      </c>
      <c r="FN213" s="8">
        <v>0</v>
      </c>
      <c r="FO213" s="8">
        <v>0</v>
      </c>
      <c r="FP213" s="8">
        <v>0</v>
      </c>
      <c r="FQ213" s="9">
        <f t="shared" si="1078"/>
        <v>0</v>
      </c>
      <c r="FR213" s="8">
        <v>572322</v>
      </c>
      <c r="FS213" s="8">
        <v>0</v>
      </c>
      <c r="FT213" s="8">
        <v>54000</v>
      </c>
      <c r="FU213" s="8">
        <v>0</v>
      </c>
      <c r="FV213" s="9">
        <f t="shared" si="1079"/>
        <v>626322</v>
      </c>
      <c r="FW213" s="8">
        <v>7193305</v>
      </c>
      <c r="FX213" s="8">
        <v>134500</v>
      </c>
      <c r="FY213" s="8">
        <v>1184700</v>
      </c>
      <c r="FZ213" s="8">
        <v>886889</v>
      </c>
      <c r="GA213" s="9">
        <f t="shared" si="1080"/>
        <v>9399394</v>
      </c>
      <c r="GB213" s="9">
        <f t="shared" si="1081"/>
        <v>10025716</v>
      </c>
      <c r="GC213" s="8">
        <v>701647.25</v>
      </c>
      <c r="GD213" s="8">
        <v>0</v>
      </c>
      <c r="GE213" s="8">
        <v>151144.92000000001</v>
      </c>
      <c r="GF213" s="8">
        <v>41014.69</v>
      </c>
      <c r="GG213" s="9">
        <f t="shared" si="1082"/>
        <v>893806.8600000001</v>
      </c>
      <c r="GH213" s="8">
        <v>6942754.1500000004</v>
      </c>
      <c r="GI213" s="8">
        <v>134500</v>
      </c>
      <c r="GJ213" s="8">
        <v>880889.4</v>
      </c>
      <c r="GK213" s="8">
        <v>1178880</v>
      </c>
      <c r="GL213" s="9">
        <f t="shared" si="1083"/>
        <v>9137023.5500000007</v>
      </c>
      <c r="GM213" s="9">
        <f t="shared" si="1084"/>
        <v>10030830.41</v>
      </c>
      <c r="GN213" s="8">
        <v>65590.13</v>
      </c>
      <c r="GO213" s="8">
        <v>0</v>
      </c>
      <c r="GP213" s="8">
        <v>13574.56</v>
      </c>
      <c r="GQ213" s="8">
        <v>4637.34</v>
      </c>
      <c r="GR213" s="9">
        <f t="shared" si="1085"/>
        <v>83802.03</v>
      </c>
      <c r="GS213" s="8">
        <v>102695</v>
      </c>
      <c r="GT213" s="8">
        <v>0</v>
      </c>
      <c r="GU213" s="8">
        <v>3572</v>
      </c>
      <c r="GV213" s="8">
        <v>893</v>
      </c>
      <c r="GW213" s="9">
        <f t="shared" si="1086"/>
        <v>107160</v>
      </c>
      <c r="GX213" s="9">
        <f t="shared" si="1087"/>
        <v>10221792.439999999</v>
      </c>
      <c r="GY213" s="8">
        <v>2371150.29</v>
      </c>
      <c r="GZ213" s="8">
        <v>587020.91</v>
      </c>
      <c r="HA213" s="9">
        <f t="shared" si="1088"/>
        <v>2958171.2</v>
      </c>
      <c r="HB213" s="9">
        <f t="shared" si="1089"/>
        <v>5.347973256929095E-2</v>
      </c>
      <c r="HC213" s="10">
        <f t="shared" si="1090"/>
        <v>0.79613766336885416</v>
      </c>
      <c r="HD213" s="9">
        <f t="shared" si="1091"/>
        <v>0.98081780263579688</v>
      </c>
      <c r="HE213" s="8">
        <v>7</v>
      </c>
      <c r="HF213" s="8">
        <v>2</v>
      </c>
      <c r="HG213" s="8">
        <v>31</v>
      </c>
      <c r="HH213" s="8">
        <v>7</v>
      </c>
      <c r="HI213" s="8">
        <v>38</v>
      </c>
      <c r="HJ213" s="9">
        <f t="shared" si="1092"/>
        <v>40</v>
      </c>
      <c r="HK213" s="10">
        <f t="shared" si="1093"/>
        <v>1</v>
      </c>
      <c r="HL213" s="8">
        <v>16</v>
      </c>
      <c r="HM213" s="8">
        <v>18</v>
      </c>
      <c r="HN213" s="11">
        <f t="shared" si="1094"/>
        <v>1.125</v>
      </c>
    </row>
    <row r="214" spans="1:222" x14ac:dyDescent="0.3">
      <c r="A214" s="12" t="s">
        <v>289</v>
      </c>
      <c r="B214" s="12" t="s">
        <v>290</v>
      </c>
      <c r="C214" s="13" t="s">
        <v>257</v>
      </c>
      <c r="D214" s="13">
        <v>2025</v>
      </c>
      <c r="E214" s="13">
        <v>11</v>
      </c>
      <c r="F214" s="13" t="s">
        <v>268</v>
      </c>
      <c r="G214" s="13" t="s">
        <v>267</v>
      </c>
      <c r="H214" s="14">
        <v>10704</v>
      </c>
      <c r="I214" s="14">
        <v>829</v>
      </c>
      <c r="J214" s="14">
        <v>0</v>
      </c>
      <c r="K214" s="14">
        <v>52</v>
      </c>
      <c r="L214" s="14">
        <v>0</v>
      </c>
      <c r="M214" s="15">
        <f t="shared" si="1034"/>
        <v>881</v>
      </c>
      <c r="N214" s="14">
        <v>6868</v>
      </c>
      <c r="O214" s="14">
        <v>666</v>
      </c>
      <c r="P214" s="14">
        <v>440</v>
      </c>
      <c r="Q214" s="14">
        <v>224</v>
      </c>
      <c r="R214" s="15">
        <f t="shared" si="1035"/>
        <v>8198</v>
      </c>
      <c r="S214" s="15">
        <f t="shared" si="1036"/>
        <v>9079</v>
      </c>
      <c r="T214" s="14">
        <v>1625</v>
      </c>
      <c r="U214" s="16">
        <f t="shared" si="1037"/>
        <v>0.15181240657698056</v>
      </c>
      <c r="V214" s="14">
        <v>10</v>
      </c>
      <c r="W214" s="17">
        <f t="shared" si="1038"/>
        <v>9.3423019431988037E-4</v>
      </c>
      <c r="X214" s="14">
        <v>0</v>
      </c>
      <c r="Y214" s="17">
        <f t="shared" si="1039"/>
        <v>0</v>
      </c>
      <c r="Z214" s="14">
        <v>0</v>
      </c>
      <c r="AA214" s="17">
        <f t="shared" si="1040"/>
        <v>0</v>
      </c>
      <c r="AB214" s="14">
        <v>0</v>
      </c>
      <c r="AC214" s="17">
        <f t="shared" si="1041"/>
        <v>0</v>
      </c>
      <c r="AD214" s="14">
        <v>0</v>
      </c>
      <c r="AE214" s="17">
        <f t="shared" si="1042"/>
        <v>0</v>
      </c>
      <c r="AF214" s="14">
        <v>0</v>
      </c>
      <c r="AG214" s="17">
        <f t="shared" si="1043"/>
        <v>0</v>
      </c>
      <c r="AH214" s="14">
        <v>35252.9</v>
      </c>
      <c r="AI214" s="15">
        <f t="shared" si="1044"/>
        <v>3.2934323617339314</v>
      </c>
      <c r="AJ214" s="14">
        <v>3642.42</v>
      </c>
      <c r="AK214" s="17">
        <f t="shared" si="1045"/>
        <v>0.3402858744394619</v>
      </c>
      <c r="AL214" s="14">
        <v>521817.73862999998</v>
      </c>
      <c r="AM214" s="15">
        <f t="shared" si="1046"/>
        <v>48.749788735986542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5">
        <f t="shared" si="1047"/>
        <v>557070.63862999994</v>
      </c>
      <c r="AV214" s="15">
        <f t="shared" si="1048"/>
        <v>52.043221097720476</v>
      </c>
      <c r="AW214" s="15">
        <f t="shared" si="1049"/>
        <v>61.358149425046804</v>
      </c>
      <c r="AX214" s="14">
        <v>2</v>
      </c>
      <c r="AY214" s="15">
        <f t="shared" si="1050"/>
        <v>2.2421524663677128</v>
      </c>
      <c r="AZ214" s="14">
        <v>8</v>
      </c>
      <c r="BA214" s="14">
        <v>31</v>
      </c>
      <c r="BB214" s="14">
        <v>7</v>
      </c>
      <c r="BC214" s="14">
        <v>9</v>
      </c>
      <c r="BD214" s="14">
        <v>0</v>
      </c>
      <c r="BE214" s="15">
        <f t="shared" si="1051"/>
        <v>9</v>
      </c>
      <c r="BF214" s="15">
        <f t="shared" si="1052"/>
        <v>29</v>
      </c>
      <c r="BG214" s="14">
        <v>0</v>
      </c>
      <c r="BH214" s="14">
        <v>0</v>
      </c>
      <c r="BI214" s="14">
        <v>0</v>
      </c>
      <c r="BJ214" s="14">
        <v>0</v>
      </c>
      <c r="BK214" s="15">
        <f t="shared" si="1053"/>
        <v>0</v>
      </c>
      <c r="BL214" s="15">
        <f t="shared" si="1054"/>
        <v>0</v>
      </c>
      <c r="BM214" s="14">
        <v>0</v>
      </c>
      <c r="BN214" s="14">
        <v>0</v>
      </c>
      <c r="BO214" s="14">
        <v>0</v>
      </c>
      <c r="BP214" s="14">
        <v>0</v>
      </c>
      <c r="BQ214" s="15">
        <f t="shared" si="1055"/>
        <v>0</v>
      </c>
      <c r="BR214" s="15">
        <f t="shared" si="1056"/>
        <v>0</v>
      </c>
      <c r="BS214" s="14">
        <v>0</v>
      </c>
      <c r="BT214" s="14">
        <v>0</v>
      </c>
      <c r="BU214" s="14">
        <v>0</v>
      </c>
      <c r="BV214" s="14">
        <v>0</v>
      </c>
      <c r="BW214" s="15">
        <f t="shared" si="1057"/>
        <v>0</v>
      </c>
      <c r="BX214" s="15">
        <f t="shared" si="1058"/>
        <v>0</v>
      </c>
      <c r="BY214" s="15">
        <f t="shared" si="1059"/>
        <v>31</v>
      </c>
      <c r="BZ214" s="15">
        <f t="shared" si="1060"/>
        <v>7</v>
      </c>
      <c r="CA214" s="15">
        <f t="shared" si="1061"/>
        <v>9</v>
      </c>
      <c r="CB214" s="15">
        <f t="shared" si="1062"/>
        <v>29</v>
      </c>
      <c r="CC214" s="14">
        <v>0</v>
      </c>
      <c r="CD214" s="14">
        <v>243</v>
      </c>
      <c r="CE214" s="14">
        <v>18</v>
      </c>
      <c r="CF214" s="14">
        <v>13</v>
      </c>
      <c r="CG214" s="14">
        <v>9</v>
      </c>
      <c r="CH214" s="15">
        <f t="shared" si="1063"/>
        <v>283</v>
      </c>
      <c r="CI214" s="14">
        <v>123</v>
      </c>
      <c r="CJ214" s="14">
        <v>0</v>
      </c>
      <c r="CK214" s="14">
        <v>0</v>
      </c>
      <c r="CL214" s="14">
        <v>1</v>
      </c>
      <c r="CM214" s="15">
        <f t="shared" si="1064"/>
        <v>124</v>
      </c>
      <c r="CN214" s="14">
        <v>733</v>
      </c>
      <c r="CO214" s="14">
        <v>35</v>
      </c>
      <c r="CP214" s="14">
        <v>25</v>
      </c>
      <c r="CQ214" s="14">
        <v>18</v>
      </c>
      <c r="CR214" s="15">
        <f t="shared" si="1065"/>
        <v>811</v>
      </c>
      <c r="CS214" s="15">
        <f t="shared" si="1066"/>
        <v>935</v>
      </c>
      <c r="CT214" s="14">
        <v>1218</v>
      </c>
      <c r="CU214" s="14">
        <v>11776.1885539756</v>
      </c>
      <c r="CV214" s="14">
        <v>7456</v>
      </c>
      <c r="CW214" s="16">
        <f t="shared" si="1067"/>
        <v>0.63314203622214249</v>
      </c>
      <c r="CX214" s="14">
        <v>0</v>
      </c>
      <c r="CY214" s="14"/>
      <c r="CZ214" s="14"/>
      <c r="DA214" s="14"/>
      <c r="DB214" s="15">
        <f t="shared" si="1068"/>
        <v>0</v>
      </c>
      <c r="DC214" s="14">
        <v>0</v>
      </c>
      <c r="DD214" s="14">
        <v>0</v>
      </c>
      <c r="DE214" s="14">
        <v>0</v>
      </c>
      <c r="DF214" s="14">
        <v>0</v>
      </c>
      <c r="DG214" s="15">
        <f t="shared" si="1069"/>
        <v>0</v>
      </c>
      <c r="DH214" s="14">
        <v>0</v>
      </c>
      <c r="DI214" s="14">
        <v>0</v>
      </c>
      <c r="DJ214" s="14">
        <v>0</v>
      </c>
      <c r="DK214" s="14">
        <v>0</v>
      </c>
      <c r="DL214" s="15">
        <f t="shared" si="1070"/>
        <v>0</v>
      </c>
      <c r="DM214" s="14">
        <v>0</v>
      </c>
      <c r="DN214" s="14">
        <v>0</v>
      </c>
      <c r="DO214" s="14">
        <v>0</v>
      </c>
      <c r="DP214" s="14">
        <v>0</v>
      </c>
      <c r="DQ214" s="15">
        <f t="shared" si="1071"/>
        <v>0</v>
      </c>
      <c r="DR214" s="15">
        <f t="shared" si="1072"/>
        <v>0</v>
      </c>
      <c r="DS214" s="15">
        <f t="shared" si="1073"/>
        <v>0</v>
      </c>
      <c r="DT214" s="15">
        <f t="shared" si="1074"/>
        <v>0</v>
      </c>
      <c r="DU214" s="15">
        <f t="shared" si="1075"/>
        <v>0</v>
      </c>
      <c r="DV214" s="15">
        <f t="shared" si="1076"/>
        <v>0</v>
      </c>
      <c r="DW214" s="14">
        <v>25</v>
      </c>
      <c r="DX214" s="14">
        <v>4</v>
      </c>
      <c r="DY214" s="14">
        <v>4</v>
      </c>
      <c r="DZ214" s="14">
        <v>5</v>
      </c>
      <c r="EA214" s="14">
        <v>1</v>
      </c>
      <c r="EB214" s="14">
        <v>2</v>
      </c>
      <c r="EC214" s="14">
        <v>0</v>
      </c>
      <c r="ED214" s="14">
        <v>0</v>
      </c>
      <c r="EE214" s="14">
        <v>0</v>
      </c>
      <c r="EF214" s="14">
        <v>0</v>
      </c>
      <c r="EG214" s="14">
        <v>0</v>
      </c>
      <c r="EH214" s="14">
        <v>0</v>
      </c>
      <c r="EI214" s="14">
        <v>0</v>
      </c>
      <c r="EJ214" s="14">
        <v>6</v>
      </c>
      <c r="EK214" s="14">
        <v>0</v>
      </c>
      <c r="EL214" s="14">
        <v>0</v>
      </c>
      <c r="EM214" s="14">
        <v>0</v>
      </c>
      <c r="EN214" s="14">
        <v>0</v>
      </c>
      <c r="EO214" s="14">
        <v>0</v>
      </c>
      <c r="EP214" s="14">
        <v>0</v>
      </c>
      <c r="EQ214" s="14">
        <v>0</v>
      </c>
      <c r="ER214" s="14">
        <v>0</v>
      </c>
      <c r="ES214" s="14">
        <v>0</v>
      </c>
      <c r="ET214" s="14">
        <v>0</v>
      </c>
      <c r="EU214" s="14">
        <v>0</v>
      </c>
      <c r="EV214" s="14">
        <v>0</v>
      </c>
      <c r="EW214" s="14">
        <v>0</v>
      </c>
      <c r="EX214" s="14">
        <v>0</v>
      </c>
      <c r="EY214" s="14">
        <v>0</v>
      </c>
      <c r="EZ214" s="14">
        <v>0</v>
      </c>
      <c r="FA214" s="14">
        <v>0</v>
      </c>
      <c r="FB214" s="14">
        <v>0</v>
      </c>
      <c r="FC214" s="14">
        <v>0</v>
      </c>
      <c r="FD214" s="14">
        <v>0</v>
      </c>
      <c r="FE214" s="14">
        <v>0</v>
      </c>
      <c r="FF214" s="14">
        <v>0</v>
      </c>
      <c r="FG214" s="15">
        <f t="shared" si="1077"/>
        <v>47</v>
      </c>
      <c r="FH214" s="14">
        <v>0</v>
      </c>
      <c r="FI214" s="14">
        <v>0</v>
      </c>
      <c r="FJ214" s="14">
        <v>0</v>
      </c>
      <c r="FK214" s="14">
        <v>0</v>
      </c>
      <c r="FL214" s="14">
        <v>0</v>
      </c>
      <c r="FM214" s="14">
        <v>0</v>
      </c>
      <c r="FN214" s="14">
        <v>0</v>
      </c>
      <c r="FO214" s="14">
        <v>0</v>
      </c>
      <c r="FP214" s="14">
        <v>0</v>
      </c>
      <c r="FQ214" s="15">
        <f t="shared" si="1078"/>
        <v>0</v>
      </c>
      <c r="FR214" s="14">
        <v>331262</v>
      </c>
      <c r="FS214" s="14">
        <v>0</v>
      </c>
      <c r="FT214" s="14">
        <v>0</v>
      </c>
      <c r="FU214" s="14">
        <v>0</v>
      </c>
      <c r="FV214" s="15">
        <f t="shared" si="1079"/>
        <v>331262</v>
      </c>
      <c r="FW214" s="14">
        <v>7251628</v>
      </c>
      <c r="FX214" s="14">
        <v>104400</v>
      </c>
      <c r="FY214" s="14">
        <v>722828</v>
      </c>
      <c r="FZ214" s="14">
        <v>136818</v>
      </c>
      <c r="GA214" s="15">
        <f t="shared" si="1080"/>
        <v>8215674</v>
      </c>
      <c r="GB214" s="15">
        <f t="shared" si="1081"/>
        <v>8546936</v>
      </c>
      <c r="GC214" s="14">
        <v>795805.45</v>
      </c>
      <c r="GD214" s="14">
        <v>0</v>
      </c>
      <c r="GE214" s="14">
        <v>175836.58</v>
      </c>
      <c r="GF214" s="14">
        <v>0</v>
      </c>
      <c r="GG214" s="15">
        <f t="shared" si="1082"/>
        <v>971642.02999999991</v>
      </c>
      <c r="GH214" s="14">
        <v>7096841.0899999999</v>
      </c>
      <c r="GI214" s="14">
        <v>96660</v>
      </c>
      <c r="GJ214" s="14">
        <v>131118.20000000001</v>
      </c>
      <c r="GK214" s="14">
        <v>720008.09</v>
      </c>
      <c r="GL214" s="15">
        <f t="shared" si="1083"/>
        <v>8044627.3799999999</v>
      </c>
      <c r="GM214" s="15">
        <f t="shared" si="1084"/>
        <v>9016269.4100000001</v>
      </c>
      <c r="GN214" s="14">
        <v>62960.69</v>
      </c>
      <c r="GO214" s="14">
        <v>0</v>
      </c>
      <c r="GP214" s="14">
        <v>6787.28</v>
      </c>
      <c r="GQ214" s="14">
        <v>0</v>
      </c>
      <c r="GR214" s="15">
        <f t="shared" si="1085"/>
        <v>69747.97</v>
      </c>
      <c r="GS214" s="14">
        <v>99123</v>
      </c>
      <c r="GT214" s="14">
        <v>0</v>
      </c>
      <c r="GU214" s="14">
        <v>1786</v>
      </c>
      <c r="GV214" s="14">
        <v>0</v>
      </c>
      <c r="GW214" s="15">
        <f t="shared" si="1086"/>
        <v>100909</v>
      </c>
      <c r="GX214" s="15">
        <f t="shared" si="1087"/>
        <v>9186926.3800000008</v>
      </c>
      <c r="GY214" s="14">
        <v>2460341.13</v>
      </c>
      <c r="GZ214" s="14">
        <v>635141.81000000006</v>
      </c>
      <c r="HA214" s="15">
        <f t="shared" si="1088"/>
        <v>3095482.94</v>
      </c>
      <c r="HB214" s="15">
        <f t="shared" si="1089"/>
        <v>6.0637324779563531E-2</v>
      </c>
      <c r="HC214" s="16">
        <f t="shared" si="1090"/>
        <v>0.7338146902405952</v>
      </c>
      <c r="HD214" s="15">
        <f t="shared" si="1091"/>
        <v>0.93033683372131248</v>
      </c>
      <c r="HE214" s="14">
        <v>7</v>
      </c>
      <c r="HF214" s="14">
        <v>2</v>
      </c>
      <c r="HG214" s="14">
        <v>29</v>
      </c>
      <c r="HH214" s="14">
        <v>7</v>
      </c>
      <c r="HI214" s="14">
        <v>45</v>
      </c>
      <c r="HJ214" s="15">
        <f t="shared" si="1092"/>
        <v>47</v>
      </c>
      <c r="HK214" s="16">
        <f t="shared" si="1093"/>
        <v>1</v>
      </c>
      <c r="HL214" s="14">
        <v>10</v>
      </c>
      <c r="HM214" s="14">
        <v>18</v>
      </c>
      <c r="HN214" s="17">
        <f t="shared" si="1094"/>
        <v>1.8</v>
      </c>
    </row>
    <row r="215" spans="1:222" x14ac:dyDescent="0.3">
      <c r="A215" s="6" t="s">
        <v>289</v>
      </c>
      <c r="B215" s="6" t="s">
        <v>290</v>
      </c>
      <c r="C215" s="7" t="s">
        <v>257</v>
      </c>
      <c r="D215" s="7">
        <v>2025</v>
      </c>
      <c r="E215" s="7">
        <v>12</v>
      </c>
      <c r="F215" s="7" t="s">
        <v>269</v>
      </c>
      <c r="G215" s="7" t="s">
        <v>267</v>
      </c>
      <c r="H215" s="8">
        <v>8167</v>
      </c>
      <c r="I215" s="8">
        <v>701</v>
      </c>
      <c r="J215" s="8">
        <v>0</v>
      </c>
      <c r="K215" s="8">
        <v>56</v>
      </c>
      <c r="L215" s="8">
        <v>0</v>
      </c>
      <c r="M215" s="9">
        <f t="shared" si="1034"/>
        <v>757</v>
      </c>
      <c r="N215" s="8">
        <v>5020</v>
      </c>
      <c r="O215" s="8">
        <v>302</v>
      </c>
      <c r="P215" s="8">
        <v>265</v>
      </c>
      <c r="Q215" s="8">
        <v>74</v>
      </c>
      <c r="R215" s="9">
        <f t="shared" si="1035"/>
        <v>5661</v>
      </c>
      <c r="S215" s="9">
        <f t="shared" si="1036"/>
        <v>6418</v>
      </c>
      <c r="T215" s="8">
        <v>1749</v>
      </c>
      <c r="U215" s="10">
        <f t="shared" si="1037"/>
        <v>0.21415452430513041</v>
      </c>
      <c r="V215" s="8">
        <v>10</v>
      </c>
      <c r="W215" s="11">
        <f t="shared" si="1038"/>
        <v>1.2244398187829068E-3</v>
      </c>
      <c r="X215" s="8">
        <v>0</v>
      </c>
      <c r="Y215" s="11">
        <f t="shared" si="1039"/>
        <v>0</v>
      </c>
      <c r="Z215" s="8">
        <v>0</v>
      </c>
      <c r="AA215" s="11">
        <f t="shared" si="1040"/>
        <v>0</v>
      </c>
      <c r="AB215" s="8">
        <v>0</v>
      </c>
      <c r="AC215" s="11">
        <f t="shared" si="1041"/>
        <v>0</v>
      </c>
      <c r="AD215" s="8">
        <v>0</v>
      </c>
      <c r="AE215" s="11">
        <f t="shared" si="1042"/>
        <v>0</v>
      </c>
      <c r="AF215" s="8">
        <v>0</v>
      </c>
      <c r="AG215" s="11">
        <f t="shared" si="1043"/>
        <v>0</v>
      </c>
      <c r="AH215" s="8">
        <v>35252.9</v>
      </c>
      <c r="AI215" s="9">
        <f t="shared" si="1044"/>
        <v>4.3165054487571934</v>
      </c>
      <c r="AJ215" s="8">
        <v>2155.4</v>
      </c>
      <c r="AK215" s="11">
        <f t="shared" si="1045"/>
        <v>0.26391575854046773</v>
      </c>
      <c r="AL215" s="8">
        <v>315491.48310000001</v>
      </c>
      <c r="AM215" s="9">
        <f t="shared" si="1046"/>
        <v>38.630033439451452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9">
        <f t="shared" si="1047"/>
        <v>350744.38310000004</v>
      </c>
      <c r="AV215" s="9">
        <f t="shared" si="1048"/>
        <v>42.94653888820865</v>
      </c>
      <c r="AW215" s="9">
        <f t="shared" si="1049"/>
        <v>54.650106435026494</v>
      </c>
      <c r="AX215" s="8">
        <v>2</v>
      </c>
      <c r="AY215" s="9">
        <f t="shared" si="1050"/>
        <v>2.9386555650789763</v>
      </c>
      <c r="AZ215" s="8">
        <v>8</v>
      </c>
      <c r="BA215" s="8">
        <v>29</v>
      </c>
      <c r="BB215" s="8">
        <v>10</v>
      </c>
      <c r="BC215" s="8">
        <v>9</v>
      </c>
      <c r="BD215" s="8">
        <v>0</v>
      </c>
      <c r="BE215" s="9">
        <f t="shared" si="1051"/>
        <v>9</v>
      </c>
      <c r="BF215" s="9">
        <f t="shared" si="1052"/>
        <v>30</v>
      </c>
      <c r="BG215" s="8">
        <v>0</v>
      </c>
      <c r="BH215" s="8">
        <v>0</v>
      </c>
      <c r="BI215" s="8">
        <v>0</v>
      </c>
      <c r="BJ215" s="8">
        <v>0</v>
      </c>
      <c r="BK215" s="9">
        <f t="shared" si="1053"/>
        <v>0</v>
      </c>
      <c r="BL215" s="9">
        <f t="shared" si="1054"/>
        <v>0</v>
      </c>
      <c r="BM215" s="8">
        <v>0</v>
      </c>
      <c r="BN215" s="8">
        <v>0</v>
      </c>
      <c r="BO215" s="8">
        <v>0</v>
      </c>
      <c r="BP215" s="8">
        <v>0</v>
      </c>
      <c r="BQ215" s="9">
        <f t="shared" si="1055"/>
        <v>0</v>
      </c>
      <c r="BR215" s="9">
        <f t="shared" si="1056"/>
        <v>0</v>
      </c>
      <c r="BS215" s="8">
        <v>0</v>
      </c>
      <c r="BT215" s="8">
        <v>0</v>
      </c>
      <c r="BU215" s="8">
        <v>0</v>
      </c>
      <c r="BV215" s="8">
        <v>0</v>
      </c>
      <c r="BW215" s="9">
        <f t="shared" si="1057"/>
        <v>0</v>
      </c>
      <c r="BX215" s="9">
        <f t="shared" si="1058"/>
        <v>0</v>
      </c>
      <c r="BY215" s="9">
        <f t="shared" si="1059"/>
        <v>29</v>
      </c>
      <c r="BZ215" s="9">
        <f t="shared" si="1060"/>
        <v>10</v>
      </c>
      <c r="CA215" s="9">
        <f t="shared" si="1061"/>
        <v>9</v>
      </c>
      <c r="CB215" s="9">
        <f t="shared" si="1062"/>
        <v>30</v>
      </c>
      <c r="CC215" s="8">
        <v>0</v>
      </c>
      <c r="CD215" s="8">
        <v>231</v>
      </c>
      <c r="CE215" s="8">
        <v>18</v>
      </c>
      <c r="CF215" s="8">
        <v>13</v>
      </c>
      <c r="CG215" s="8">
        <v>9</v>
      </c>
      <c r="CH215" s="9">
        <f t="shared" si="1063"/>
        <v>271</v>
      </c>
      <c r="CI215" s="8">
        <v>144</v>
      </c>
      <c r="CJ215" s="8">
        <v>0</v>
      </c>
      <c r="CK215" s="8">
        <v>0</v>
      </c>
      <c r="CL215" s="8">
        <v>1</v>
      </c>
      <c r="CM215" s="9">
        <f t="shared" si="1064"/>
        <v>145</v>
      </c>
      <c r="CN215" s="8">
        <v>733</v>
      </c>
      <c r="CO215" s="8">
        <v>35</v>
      </c>
      <c r="CP215" s="8">
        <v>25</v>
      </c>
      <c r="CQ215" s="8">
        <v>18</v>
      </c>
      <c r="CR215" s="9">
        <f t="shared" si="1065"/>
        <v>811</v>
      </c>
      <c r="CS215" s="9">
        <f t="shared" si="1066"/>
        <v>956</v>
      </c>
      <c r="CT215" s="8">
        <v>1227</v>
      </c>
      <c r="CU215" s="8">
        <v>11796.208074517301</v>
      </c>
      <c r="CV215" s="8">
        <v>7456</v>
      </c>
      <c r="CW215" s="10">
        <f t="shared" si="1067"/>
        <v>0.63206752143570499</v>
      </c>
      <c r="CX215" s="8">
        <v>0</v>
      </c>
      <c r="CY215" s="8"/>
      <c r="CZ215" s="8"/>
      <c r="DA215" s="8"/>
      <c r="DB215" s="9">
        <f t="shared" si="1068"/>
        <v>0</v>
      </c>
      <c r="DC215" s="8">
        <v>0</v>
      </c>
      <c r="DD215" s="8">
        <v>0</v>
      </c>
      <c r="DE215" s="8">
        <v>0</v>
      </c>
      <c r="DF215" s="8">
        <v>0</v>
      </c>
      <c r="DG215" s="9">
        <f t="shared" si="1069"/>
        <v>0</v>
      </c>
      <c r="DH215" s="8">
        <v>0</v>
      </c>
      <c r="DI215" s="8">
        <v>0</v>
      </c>
      <c r="DJ215" s="8">
        <v>0</v>
      </c>
      <c r="DK215" s="8">
        <v>0</v>
      </c>
      <c r="DL215" s="9">
        <f t="shared" si="1070"/>
        <v>0</v>
      </c>
      <c r="DM215" s="8">
        <v>0</v>
      </c>
      <c r="DN215" s="8">
        <v>0</v>
      </c>
      <c r="DO215" s="8">
        <v>0</v>
      </c>
      <c r="DP215" s="8">
        <v>0</v>
      </c>
      <c r="DQ215" s="9">
        <f t="shared" si="1071"/>
        <v>0</v>
      </c>
      <c r="DR215" s="9">
        <f t="shared" si="1072"/>
        <v>0</v>
      </c>
      <c r="DS215" s="9">
        <f t="shared" si="1073"/>
        <v>0</v>
      </c>
      <c r="DT215" s="9">
        <f t="shared" si="1074"/>
        <v>0</v>
      </c>
      <c r="DU215" s="9">
        <f t="shared" si="1075"/>
        <v>0</v>
      </c>
      <c r="DV215" s="9">
        <f t="shared" si="1076"/>
        <v>0</v>
      </c>
      <c r="DW215" s="8">
        <v>10</v>
      </c>
      <c r="DX215" s="8">
        <v>2</v>
      </c>
      <c r="DY215" s="8">
        <v>1</v>
      </c>
      <c r="DZ215" s="8">
        <v>3</v>
      </c>
      <c r="EA215" s="8">
        <v>0</v>
      </c>
      <c r="EB215" s="8">
        <v>2</v>
      </c>
      <c r="EC215" s="8">
        <v>0</v>
      </c>
      <c r="ED215" s="8">
        <v>0</v>
      </c>
      <c r="EE215" s="8">
        <v>1</v>
      </c>
      <c r="EF215" s="8">
        <v>0</v>
      </c>
      <c r="EG215" s="8">
        <v>0</v>
      </c>
      <c r="EH215" s="8">
        <v>0</v>
      </c>
      <c r="EI215" s="8">
        <v>0</v>
      </c>
      <c r="EJ215" s="8">
        <v>5</v>
      </c>
      <c r="EK215" s="8">
        <v>0</v>
      </c>
      <c r="EL215" s="8">
        <v>0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8">
        <v>0</v>
      </c>
      <c r="ES215" s="8">
        <v>0</v>
      </c>
      <c r="ET215" s="8">
        <v>0</v>
      </c>
      <c r="EU215" s="8">
        <v>0</v>
      </c>
      <c r="EV215" s="8">
        <v>0</v>
      </c>
      <c r="EW215" s="8">
        <v>0</v>
      </c>
      <c r="EX215" s="8">
        <v>0</v>
      </c>
      <c r="EY215" s="8">
        <v>0</v>
      </c>
      <c r="EZ215" s="8">
        <v>0</v>
      </c>
      <c r="FA215" s="8">
        <v>0</v>
      </c>
      <c r="FB215" s="8">
        <v>0</v>
      </c>
      <c r="FC215" s="8">
        <v>0</v>
      </c>
      <c r="FD215" s="8">
        <v>0</v>
      </c>
      <c r="FE215" s="8">
        <v>0</v>
      </c>
      <c r="FF215" s="8">
        <v>0</v>
      </c>
      <c r="FG215" s="9">
        <f t="shared" si="1077"/>
        <v>24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9">
        <f t="shared" si="1078"/>
        <v>0</v>
      </c>
      <c r="FR215" s="8">
        <v>1059959</v>
      </c>
      <c r="FS215" s="8">
        <v>0</v>
      </c>
      <c r="FT215" s="8">
        <v>0</v>
      </c>
      <c r="FU215" s="8">
        <v>0</v>
      </c>
      <c r="FV215" s="9">
        <f t="shared" si="1079"/>
        <v>1059959</v>
      </c>
      <c r="FW215" s="8">
        <v>5169531</v>
      </c>
      <c r="FX215" s="8">
        <v>86700</v>
      </c>
      <c r="FY215" s="8">
        <v>667400</v>
      </c>
      <c r="FZ215" s="8">
        <v>642669</v>
      </c>
      <c r="GA215" s="9">
        <f t="shared" si="1080"/>
        <v>6566300</v>
      </c>
      <c r="GB215" s="9">
        <f t="shared" si="1081"/>
        <v>7626259</v>
      </c>
      <c r="GC215" s="8">
        <v>562433.75</v>
      </c>
      <c r="GD215" s="8">
        <v>0</v>
      </c>
      <c r="GE215" s="8">
        <v>182755.52</v>
      </c>
      <c r="GF215" s="8">
        <v>0</v>
      </c>
      <c r="GG215" s="9">
        <f t="shared" si="1082"/>
        <v>745189.27</v>
      </c>
      <c r="GH215" s="8">
        <v>5070433.63</v>
      </c>
      <c r="GI215" s="8">
        <v>86700</v>
      </c>
      <c r="GJ215" s="8">
        <v>642669</v>
      </c>
      <c r="GK215" s="8">
        <v>652100</v>
      </c>
      <c r="GL215" s="9">
        <f t="shared" si="1083"/>
        <v>6451902.6299999999</v>
      </c>
      <c r="GM215" s="9">
        <f t="shared" si="1084"/>
        <v>7197091.9000000004</v>
      </c>
      <c r="GN215" s="8">
        <v>62286.11</v>
      </c>
      <c r="GO215" s="8">
        <v>0</v>
      </c>
      <c r="GP215" s="8">
        <v>6787.28</v>
      </c>
      <c r="GQ215" s="8">
        <v>0</v>
      </c>
      <c r="GR215" s="9">
        <f t="shared" si="1085"/>
        <v>69073.39</v>
      </c>
      <c r="GS215" s="8">
        <v>99123</v>
      </c>
      <c r="GT215" s="8">
        <v>0</v>
      </c>
      <c r="GU215" s="8">
        <v>1786</v>
      </c>
      <c r="GV215" s="8">
        <v>0</v>
      </c>
      <c r="GW215" s="9">
        <f t="shared" si="1086"/>
        <v>100909</v>
      </c>
      <c r="GX215" s="9">
        <f t="shared" si="1087"/>
        <v>7367074.29</v>
      </c>
      <c r="GY215" s="8">
        <v>1685089.6</v>
      </c>
      <c r="GZ215" s="8">
        <v>191328.8</v>
      </c>
      <c r="HA215" s="9">
        <f t="shared" si="1088"/>
        <v>1876418.4000000001</v>
      </c>
      <c r="HB215" s="9">
        <f t="shared" si="1089"/>
        <v>4.7609725284852536E-2</v>
      </c>
      <c r="HC215" s="10">
        <f t="shared" si="1090"/>
        <v>0.84247911247218921</v>
      </c>
      <c r="HD215" s="9">
        <f t="shared" si="1091"/>
        <v>1.0351814980815133</v>
      </c>
      <c r="HE215" s="8">
        <v>10</v>
      </c>
      <c r="HF215" s="8">
        <v>2</v>
      </c>
      <c r="HG215" s="8">
        <v>30</v>
      </c>
      <c r="HH215" s="8">
        <v>10</v>
      </c>
      <c r="HI215" s="8">
        <v>42</v>
      </c>
      <c r="HJ215" s="9">
        <f t="shared" si="1092"/>
        <v>44</v>
      </c>
      <c r="HK215" s="10">
        <f t="shared" si="1093"/>
        <v>1</v>
      </c>
      <c r="HL215" s="8">
        <v>5</v>
      </c>
      <c r="HM215" s="8">
        <v>18</v>
      </c>
      <c r="HN215" s="11">
        <f t="shared" si="1094"/>
        <v>3.6</v>
      </c>
    </row>
    <row r="216" spans="1:222" x14ac:dyDescent="0.3">
      <c r="A216" s="12" t="s">
        <v>289</v>
      </c>
      <c r="B216" s="12" t="s">
        <v>290</v>
      </c>
      <c r="C216" s="13" t="s">
        <v>257</v>
      </c>
      <c r="D216" s="13">
        <v>2026</v>
      </c>
      <c r="E216" s="13">
        <v>1</v>
      </c>
      <c r="F216" s="13" t="s">
        <v>270</v>
      </c>
      <c r="G216" s="13" t="s">
        <v>271</v>
      </c>
      <c r="H216" s="14">
        <v>7564</v>
      </c>
      <c r="I216" s="14">
        <v>672</v>
      </c>
      <c r="J216" s="14">
        <v>0</v>
      </c>
      <c r="K216" s="14">
        <v>52</v>
      </c>
      <c r="L216" s="14">
        <v>0</v>
      </c>
      <c r="M216" s="15">
        <v>724</v>
      </c>
      <c r="N216" s="14">
        <v>4960</v>
      </c>
      <c r="O216" s="14">
        <v>323</v>
      </c>
      <c r="P216" s="14">
        <v>55</v>
      </c>
      <c r="Q216" s="14">
        <v>114</v>
      </c>
      <c r="R216" s="15">
        <v>5452</v>
      </c>
      <c r="S216" s="15">
        <v>6176</v>
      </c>
      <c r="T216" s="14">
        <v>1388</v>
      </c>
      <c r="U216" s="16">
        <v>0.18350079323109469</v>
      </c>
      <c r="V216" s="14">
        <v>10</v>
      </c>
      <c r="W216" s="17">
        <v>1.322051824431518</v>
      </c>
      <c r="X216" s="14">
        <v>0</v>
      </c>
      <c r="Y216" s="17">
        <v>0</v>
      </c>
      <c r="Z216" s="14">
        <v>0</v>
      </c>
      <c r="AA216" s="17">
        <v>0</v>
      </c>
      <c r="AB216" s="14">
        <v>0</v>
      </c>
      <c r="AC216" s="17">
        <v>0</v>
      </c>
      <c r="AD216" s="14">
        <v>0</v>
      </c>
      <c r="AE216" s="17">
        <v>0</v>
      </c>
      <c r="AF216" s="14">
        <v>0</v>
      </c>
      <c r="AG216" s="17">
        <v>0</v>
      </c>
      <c r="AH216" s="14">
        <v>35252.9</v>
      </c>
      <c r="AI216" s="15">
        <v>4.6606160761501849</v>
      </c>
      <c r="AJ216" s="14">
        <v>2061</v>
      </c>
      <c r="AK216" s="17">
        <v>0.27247488101533579</v>
      </c>
      <c r="AL216" s="14">
        <v>302393.34149999998</v>
      </c>
      <c r="AM216" s="15">
        <v>39.977966882601798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5">
        <v>337646.2415</v>
      </c>
      <c r="AV216" s="15">
        <v>44.638582958751982</v>
      </c>
      <c r="AW216" s="15">
        <v>54.670699724740928</v>
      </c>
      <c r="AX216" s="14">
        <v>2</v>
      </c>
      <c r="AY216" s="15">
        <v>8.1967213114754092</v>
      </c>
      <c r="AZ216" s="14">
        <v>8</v>
      </c>
      <c r="BA216" s="14">
        <v>30</v>
      </c>
      <c r="BB216" s="14">
        <v>7</v>
      </c>
      <c r="BC216" s="14">
        <v>7</v>
      </c>
      <c r="BD216" s="14">
        <v>0</v>
      </c>
      <c r="BE216" s="15">
        <v>7</v>
      </c>
      <c r="BF216" s="15">
        <v>30</v>
      </c>
      <c r="BG216" s="14">
        <v>0</v>
      </c>
      <c r="BH216" s="14">
        <v>0</v>
      </c>
      <c r="BI216" s="14">
        <v>0</v>
      </c>
      <c r="BJ216" s="14">
        <v>0</v>
      </c>
      <c r="BK216" s="15">
        <v>0</v>
      </c>
      <c r="BL216" s="15">
        <v>0</v>
      </c>
      <c r="BM216" s="14">
        <v>0</v>
      </c>
      <c r="BN216" s="14">
        <v>0</v>
      </c>
      <c r="BO216" s="14">
        <v>0</v>
      </c>
      <c r="BP216" s="14">
        <v>0</v>
      </c>
      <c r="BQ216" s="15">
        <v>0</v>
      </c>
      <c r="BR216" s="15">
        <v>0</v>
      </c>
      <c r="BS216" s="14">
        <v>0</v>
      </c>
      <c r="BT216" s="14">
        <v>0</v>
      </c>
      <c r="BU216" s="14">
        <v>0</v>
      </c>
      <c r="BV216" s="14">
        <v>0</v>
      </c>
      <c r="BW216" s="15">
        <v>0</v>
      </c>
      <c r="BX216" s="15">
        <v>0</v>
      </c>
      <c r="BY216" s="15">
        <v>30</v>
      </c>
      <c r="BZ216" s="15">
        <v>7</v>
      </c>
      <c r="CA216" s="15">
        <v>7</v>
      </c>
      <c r="CB216" s="15">
        <v>30</v>
      </c>
      <c r="CC216" s="14">
        <v>0</v>
      </c>
      <c r="CD216" s="14">
        <v>226</v>
      </c>
      <c r="CE216" s="14">
        <v>18</v>
      </c>
      <c r="CF216" s="14">
        <v>13</v>
      </c>
      <c r="CG216" s="14">
        <v>8</v>
      </c>
      <c r="CH216" s="15">
        <v>265</v>
      </c>
      <c r="CI216" s="14">
        <v>144</v>
      </c>
      <c r="CJ216" s="14">
        <v>0</v>
      </c>
      <c r="CK216" s="14">
        <v>0</v>
      </c>
      <c r="CL216" s="14">
        <v>1</v>
      </c>
      <c r="CM216" s="15">
        <v>145</v>
      </c>
      <c r="CN216" s="14">
        <v>763</v>
      </c>
      <c r="CO216" s="14">
        <v>35</v>
      </c>
      <c r="CP216" s="14">
        <v>25</v>
      </c>
      <c r="CQ216" s="14">
        <v>18</v>
      </c>
      <c r="CR216" s="15">
        <v>841</v>
      </c>
      <c r="CS216" s="15">
        <v>986</v>
      </c>
      <c r="CT216" s="14">
        <v>1251</v>
      </c>
      <c r="CU216" s="14">
        <v>11816.261628244019</v>
      </c>
      <c r="CV216" s="14">
        <v>7456</v>
      </c>
      <c r="CW216" s="16">
        <v>0.63099483022432157</v>
      </c>
      <c r="CX216" s="14">
        <v>0</v>
      </c>
      <c r="CY216" s="14">
        <v>0</v>
      </c>
      <c r="CZ216" s="14">
        <v>0</v>
      </c>
      <c r="DA216" s="14">
        <v>0</v>
      </c>
      <c r="DB216" s="15">
        <v>0</v>
      </c>
      <c r="DC216" s="14">
        <v>0</v>
      </c>
      <c r="DD216" s="14">
        <v>0</v>
      </c>
      <c r="DE216" s="14">
        <v>0</v>
      </c>
      <c r="DF216" s="14">
        <v>0</v>
      </c>
      <c r="DG216" s="15">
        <v>0</v>
      </c>
      <c r="DH216" s="14">
        <v>0</v>
      </c>
      <c r="DI216" s="14">
        <v>0</v>
      </c>
      <c r="DJ216" s="14">
        <v>0</v>
      </c>
      <c r="DK216" s="14">
        <v>0</v>
      </c>
      <c r="DL216" s="15">
        <v>0</v>
      </c>
      <c r="DM216" s="14">
        <v>0</v>
      </c>
      <c r="DN216" s="14">
        <v>0</v>
      </c>
      <c r="DO216" s="14">
        <v>0</v>
      </c>
      <c r="DP216" s="14">
        <v>0</v>
      </c>
      <c r="DQ216" s="15">
        <v>0</v>
      </c>
      <c r="DR216" s="15">
        <v>0</v>
      </c>
      <c r="DS216" s="15">
        <v>0</v>
      </c>
      <c r="DT216" s="15">
        <v>0</v>
      </c>
      <c r="DU216" s="15">
        <v>0</v>
      </c>
      <c r="DV216" s="15">
        <v>0</v>
      </c>
      <c r="DW216" s="14">
        <v>20</v>
      </c>
      <c r="DX216" s="14">
        <v>5</v>
      </c>
      <c r="DY216" s="14">
        <v>4</v>
      </c>
      <c r="DZ216" s="14">
        <v>2</v>
      </c>
      <c r="EA216" s="14">
        <v>0</v>
      </c>
      <c r="EB216" s="14">
        <v>2</v>
      </c>
      <c r="EC216" s="14">
        <v>0</v>
      </c>
      <c r="ED216" s="14">
        <v>0</v>
      </c>
      <c r="EE216" s="14">
        <v>0</v>
      </c>
      <c r="EF216" s="14">
        <v>0</v>
      </c>
      <c r="EG216" s="14">
        <v>0</v>
      </c>
      <c r="EH216" s="14">
        <v>0</v>
      </c>
      <c r="EI216" s="14">
        <v>0</v>
      </c>
      <c r="EJ216" s="14">
        <v>5</v>
      </c>
      <c r="EK216" s="14">
        <v>0</v>
      </c>
      <c r="EL216" s="14">
        <v>0</v>
      </c>
      <c r="EM216" s="14">
        <v>0</v>
      </c>
      <c r="EN216" s="14">
        <v>0</v>
      </c>
      <c r="EO216" s="14">
        <v>0</v>
      </c>
      <c r="EP216" s="14">
        <v>0</v>
      </c>
      <c r="EQ216" s="14">
        <v>0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0</v>
      </c>
      <c r="FF216" s="14">
        <v>0</v>
      </c>
      <c r="FG216" s="15">
        <v>38</v>
      </c>
      <c r="FH216" s="14">
        <v>0</v>
      </c>
      <c r="FI216" s="14">
        <v>0</v>
      </c>
      <c r="FJ216" s="14">
        <v>0</v>
      </c>
      <c r="FK216" s="14">
        <v>0</v>
      </c>
      <c r="FL216" s="14">
        <v>0</v>
      </c>
      <c r="FM216" s="14">
        <v>0</v>
      </c>
      <c r="FN216" s="14">
        <v>0</v>
      </c>
      <c r="FO216" s="14">
        <v>0</v>
      </c>
      <c r="FP216" s="14">
        <v>0</v>
      </c>
      <c r="FQ216" s="15">
        <v>0</v>
      </c>
      <c r="FR216" s="14">
        <v>376235.89</v>
      </c>
      <c r="FS216" s="14">
        <v>0</v>
      </c>
      <c r="FT216" s="14">
        <v>0</v>
      </c>
      <c r="FU216" s="14">
        <v>0</v>
      </c>
      <c r="FV216" s="15">
        <v>376235.89</v>
      </c>
      <c r="FW216" s="14">
        <v>5528122</v>
      </c>
      <c r="FX216" s="14">
        <v>97500</v>
      </c>
      <c r="FY216" s="14">
        <v>761170</v>
      </c>
      <c r="FZ216" s="14">
        <v>15990750</v>
      </c>
      <c r="GA216" s="15">
        <v>22377542</v>
      </c>
      <c r="GB216" s="15">
        <v>22753777.890000001</v>
      </c>
      <c r="GC216" s="14">
        <v>641431.5</v>
      </c>
      <c r="GD216" s="14">
        <v>0</v>
      </c>
      <c r="GE216" s="14">
        <v>158160.82</v>
      </c>
      <c r="GF216" s="14">
        <v>0</v>
      </c>
      <c r="GG216" s="15">
        <v>799592.32000000007</v>
      </c>
      <c r="GH216" s="14">
        <v>5528122</v>
      </c>
      <c r="GI216" s="14">
        <v>97500</v>
      </c>
      <c r="GJ216" s="14">
        <v>15990750</v>
      </c>
      <c r="GK216" s="14">
        <v>761170</v>
      </c>
      <c r="GL216" s="15">
        <v>22377542</v>
      </c>
      <c r="GM216" s="15">
        <v>23177134.32</v>
      </c>
      <c r="GN216" s="14">
        <v>62831.040000000001</v>
      </c>
      <c r="GO216" s="14">
        <v>0</v>
      </c>
      <c r="GP216" s="14">
        <v>6787.28</v>
      </c>
      <c r="GQ216" s="14">
        <v>0</v>
      </c>
      <c r="GR216" s="15">
        <v>69618.320000000007</v>
      </c>
      <c r="GS216" s="14">
        <v>99016</v>
      </c>
      <c r="GT216" s="14">
        <v>0</v>
      </c>
      <c r="GU216" s="14">
        <v>1786</v>
      </c>
      <c r="GV216" s="14">
        <v>0</v>
      </c>
      <c r="GW216" s="15">
        <v>100802</v>
      </c>
      <c r="GX216" s="15">
        <v>23347554.640000001</v>
      </c>
      <c r="GY216" s="14">
        <v>2001523.21</v>
      </c>
      <c r="GZ216" s="14">
        <v>348062.9</v>
      </c>
      <c r="HA216" s="15">
        <v>2349586.11</v>
      </c>
      <c r="HB216" s="15">
        <v>23347554.640000001</v>
      </c>
      <c r="HC216" s="16">
        <v>2001523.21</v>
      </c>
      <c r="HD216" s="15">
        <v>348062.9</v>
      </c>
      <c r="HE216" s="14">
        <v>7</v>
      </c>
      <c r="HF216" s="14">
        <v>2</v>
      </c>
      <c r="HG216" s="14">
        <v>30</v>
      </c>
      <c r="HH216" s="14">
        <v>7</v>
      </c>
      <c r="HI216" s="14">
        <v>41</v>
      </c>
      <c r="HJ216" s="15">
        <v>5.8571428571428568</v>
      </c>
      <c r="HK216" s="16">
        <v>23.333333333333329</v>
      </c>
      <c r="HL216" s="14">
        <v>7</v>
      </c>
      <c r="HM216" s="14">
        <v>18</v>
      </c>
      <c r="HN216" s="17">
        <v>0.3888888888888889</v>
      </c>
    </row>
    <row r="217" spans="1:222" x14ac:dyDescent="0.3">
      <c r="A217" s="6" t="s">
        <v>289</v>
      </c>
      <c r="B217" s="6" t="s">
        <v>290</v>
      </c>
      <c r="C217" s="7" t="s">
        <v>257</v>
      </c>
      <c r="D217" s="7">
        <v>2026</v>
      </c>
      <c r="E217" s="7">
        <v>2</v>
      </c>
      <c r="F217" s="7" t="s">
        <v>272</v>
      </c>
      <c r="G217" s="7" t="s">
        <v>271</v>
      </c>
      <c r="H217" s="8">
        <v>8167</v>
      </c>
      <c r="I217" s="8">
        <v>701</v>
      </c>
      <c r="J217" s="8">
        <v>0</v>
      </c>
      <c r="K217" s="8">
        <v>56</v>
      </c>
      <c r="L217" s="8">
        <v>0</v>
      </c>
      <c r="M217" s="9">
        <f t="shared" ref="M217:M227" si="1095">SUM(I217,J217,K217,L217)</f>
        <v>757</v>
      </c>
      <c r="N217" s="8">
        <v>5020</v>
      </c>
      <c r="O217" s="8">
        <v>302</v>
      </c>
      <c r="P217" s="8">
        <v>265</v>
      </c>
      <c r="Q217" s="8">
        <v>74</v>
      </c>
      <c r="R217" s="9">
        <f t="shared" ref="R217:R227" si="1096">SUM(N217,O217,P217,Q217)</f>
        <v>5661</v>
      </c>
      <c r="S217" s="9">
        <f t="shared" ref="S217:S227" si="1097">M217+R217</f>
        <v>6418</v>
      </c>
      <c r="T217" s="8">
        <v>1749</v>
      </c>
      <c r="U217" s="10">
        <f t="shared" ref="U217:U227" si="1098">IF(H217=0,"",T217/H217)</f>
        <v>0.21415452430513041</v>
      </c>
      <c r="V217" s="8">
        <v>10</v>
      </c>
      <c r="W217" s="11">
        <f t="shared" ref="W217:W227" si="1099">IF(H217=0,"",V217/H217)</f>
        <v>1.2244398187829068E-3</v>
      </c>
      <c r="X217" s="8">
        <v>0</v>
      </c>
      <c r="Y217" s="11">
        <f t="shared" ref="Y217:Y227" si="1100">IF(H217=0,"",X217/H217)</f>
        <v>0</v>
      </c>
      <c r="Z217" s="8">
        <v>0</v>
      </c>
      <c r="AA217" s="11">
        <f t="shared" ref="AA217:AA227" si="1101">IF(H217=0,"",Z217/H217)</f>
        <v>0</v>
      </c>
      <c r="AB217" s="8">
        <v>0</v>
      </c>
      <c r="AC217" s="11">
        <f t="shared" ref="AC217:AC227" si="1102">IF(H217=0,"",AB217/H217)</f>
        <v>0</v>
      </c>
      <c r="AD217" s="8">
        <v>0</v>
      </c>
      <c r="AE217" s="11">
        <f t="shared" ref="AE217:AE227" si="1103">IF(H217=0,"",AD217/H217)</f>
        <v>0</v>
      </c>
      <c r="AF217" s="8">
        <v>0</v>
      </c>
      <c r="AG217" s="11">
        <f t="shared" ref="AG217:AG227" si="1104">IF(H217=0,"",AF217/H217)</f>
        <v>0</v>
      </c>
      <c r="AH217" s="8">
        <v>35252.9</v>
      </c>
      <c r="AI217" s="9">
        <f t="shared" ref="AI217:AI227" si="1105">IF(H217=0,"",AH217/H217)</f>
        <v>4.3165054487571934</v>
      </c>
      <c r="AJ217" s="8">
        <v>2155</v>
      </c>
      <c r="AK217" s="11">
        <f t="shared" ref="AK217:AK227" si="1106">IF(H217=0,"",AJ217/H217)</f>
        <v>0.26386678094771643</v>
      </c>
      <c r="AL217" s="8">
        <v>315435.98249999998</v>
      </c>
      <c r="AM217" s="9">
        <f t="shared" ref="AM217:AM227" si="1107">IF(H217=0,"",AL217/H217)</f>
        <v>38.623237724990815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9">
        <f t="shared" ref="AU217:AU227" si="1108">AH217+AL217+AP217+AQ217+AR217+AS217+AT217</f>
        <v>350688.88250000001</v>
      </c>
      <c r="AV217" s="9">
        <f t="shared" ref="AV217:AV227" si="1109">IF(H217=0,"",AU217/H217)</f>
        <v>42.939743173748013</v>
      </c>
      <c r="AW217" s="9">
        <f t="shared" ref="AW217:AW227" si="1110">IF(S217=0,"",AU217/S217)</f>
        <v>54.641458787784359</v>
      </c>
      <c r="AX217" s="8">
        <v>2</v>
      </c>
      <c r="AY217" s="9">
        <f t="shared" ref="AY217:AY227" si="1111">IF(H217=0,"",AX217/(H217/1000/12))</f>
        <v>2.9386555650789763</v>
      </c>
      <c r="AZ217" s="8">
        <v>8</v>
      </c>
      <c r="BA217" s="8">
        <v>30</v>
      </c>
      <c r="BB217" s="8">
        <v>10</v>
      </c>
      <c r="BC217" s="8">
        <v>9</v>
      </c>
      <c r="BD217" s="8">
        <v>0</v>
      </c>
      <c r="BE217" s="9">
        <f t="shared" ref="BE217:BE227" si="1112">BC217+BD217</f>
        <v>9</v>
      </c>
      <c r="BF217" s="9">
        <f t="shared" ref="BF217:BF227" si="1113">BA217+BB217-BE217</f>
        <v>31</v>
      </c>
      <c r="BG217" s="8">
        <v>0</v>
      </c>
      <c r="BH217" s="8">
        <v>0</v>
      </c>
      <c r="BI217" s="8">
        <v>0</v>
      </c>
      <c r="BJ217" s="8">
        <v>0</v>
      </c>
      <c r="BK217" s="9">
        <f t="shared" ref="BK217:BK227" si="1114">BI217+BJ217</f>
        <v>0</v>
      </c>
      <c r="BL217" s="9">
        <f t="shared" ref="BL217:BL227" si="1115">BG217+BH217-BK217</f>
        <v>0</v>
      </c>
      <c r="BM217" s="8">
        <v>0</v>
      </c>
      <c r="BN217" s="8">
        <v>0</v>
      </c>
      <c r="BO217" s="8">
        <v>0</v>
      </c>
      <c r="BP217" s="8">
        <v>0</v>
      </c>
      <c r="BQ217" s="9">
        <f t="shared" ref="BQ217:BQ227" si="1116">BO217+BP217</f>
        <v>0</v>
      </c>
      <c r="BR217" s="9">
        <f t="shared" ref="BR217:BR227" si="1117">BM217+BN217-BQ217</f>
        <v>0</v>
      </c>
      <c r="BS217" s="8">
        <v>0</v>
      </c>
      <c r="BT217" s="8">
        <v>0</v>
      </c>
      <c r="BU217" s="8">
        <v>0</v>
      </c>
      <c r="BV217" s="8">
        <v>0</v>
      </c>
      <c r="BW217" s="9">
        <f t="shared" ref="BW217:BW227" si="1118">BU217+BV217</f>
        <v>0</v>
      </c>
      <c r="BX217" s="9">
        <f t="shared" ref="BX217:BX227" si="1119">BS217+BT217-BW217</f>
        <v>0</v>
      </c>
      <c r="BY217" s="9">
        <f t="shared" ref="BY217:BY227" si="1120">BA217+BG217+BM217+BS217</f>
        <v>30</v>
      </c>
      <c r="BZ217" s="9">
        <f t="shared" ref="BZ217:BZ227" si="1121">BB217+BH217+BN217+BT217</f>
        <v>10</v>
      </c>
      <c r="CA217" s="9">
        <f t="shared" ref="CA217:CA227" si="1122">BE217+BK217+BQ217+BW217</f>
        <v>9</v>
      </c>
      <c r="CB217" s="9">
        <f t="shared" ref="CB217:CB227" si="1123">BF217+BL217+BR217+BX217</f>
        <v>31</v>
      </c>
      <c r="CC217" s="8">
        <v>0</v>
      </c>
      <c r="CD217" s="8">
        <v>231</v>
      </c>
      <c r="CE217" s="8">
        <v>18</v>
      </c>
      <c r="CF217" s="8">
        <v>13</v>
      </c>
      <c r="CG217" s="8">
        <v>9</v>
      </c>
      <c r="CH217" s="9">
        <f t="shared" ref="CH217:CH227" si="1124">CD217+CE217+CF217+CG217</f>
        <v>271</v>
      </c>
      <c r="CI217" s="8">
        <v>160</v>
      </c>
      <c r="CJ217" s="8">
        <v>0</v>
      </c>
      <c r="CK217" s="8">
        <v>0</v>
      </c>
      <c r="CL217" s="8">
        <v>1</v>
      </c>
      <c r="CM217" s="9">
        <f t="shared" ref="CM217:CM227" si="1125">CI217+CJ217+CK217+CL217</f>
        <v>161</v>
      </c>
      <c r="CN217" s="8">
        <v>733</v>
      </c>
      <c r="CO217" s="8">
        <v>35</v>
      </c>
      <c r="CP217" s="8">
        <v>25</v>
      </c>
      <c r="CQ217" s="8">
        <v>18</v>
      </c>
      <c r="CR217" s="9">
        <f t="shared" ref="CR217:CR227" si="1126">CN217+CO217+CP217+CQ217</f>
        <v>811</v>
      </c>
      <c r="CS217" s="9">
        <f t="shared" ref="CS217:CS227" si="1127">CM217+CR217</f>
        <v>972</v>
      </c>
      <c r="CT217" s="8">
        <v>1243</v>
      </c>
      <c r="CU217" s="8">
        <v>11836.349273012031</v>
      </c>
      <c r="CV217" s="8">
        <v>7524</v>
      </c>
      <c r="CW217" s="10">
        <f t="shared" ref="CW217:CW227" si="1128">IF(CU217=0,"",CV217/CU217)</f>
        <v>0.63566897414521339</v>
      </c>
      <c r="CX217" s="8">
        <v>0</v>
      </c>
      <c r="CY217" s="8"/>
      <c r="CZ217" s="8"/>
      <c r="DA217" s="8"/>
      <c r="DB217" s="9">
        <f t="shared" ref="DB217:DB227" si="1129">CX217+CY217-CZ217-DA217</f>
        <v>0</v>
      </c>
      <c r="DC217" s="8">
        <v>0</v>
      </c>
      <c r="DD217" s="8">
        <v>0</v>
      </c>
      <c r="DE217" s="8">
        <v>0</v>
      </c>
      <c r="DF217" s="8">
        <v>0</v>
      </c>
      <c r="DG217" s="9">
        <f t="shared" ref="DG217:DG227" si="1130">DC217+DD217-DE217-DF217</f>
        <v>0</v>
      </c>
      <c r="DH217" s="8">
        <v>0</v>
      </c>
      <c r="DI217" s="8">
        <v>0</v>
      </c>
      <c r="DJ217" s="8">
        <v>0</v>
      </c>
      <c r="DK217" s="8">
        <v>0</v>
      </c>
      <c r="DL217" s="9">
        <f t="shared" ref="DL217:DL227" si="1131">DH217+DI217-DJ217-DK217</f>
        <v>0</v>
      </c>
      <c r="DM217" s="8">
        <v>0</v>
      </c>
      <c r="DN217" s="8">
        <v>0</v>
      </c>
      <c r="DO217" s="8">
        <v>0</v>
      </c>
      <c r="DP217" s="8">
        <v>0</v>
      </c>
      <c r="DQ217" s="9">
        <f t="shared" ref="DQ217:DQ227" si="1132">DM217+DN217-DO217-DP217</f>
        <v>0</v>
      </c>
      <c r="DR217" s="9">
        <f t="shared" ref="DR217:DR227" si="1133">CX217+DC217+DH217+DM217</f>
        <v>0</v>
      </c>
      <c r="DS217" s="9">
        <f t="shared" ref="DS217:DS227" si="1134">CY217+DD217+DI217+DN217</f>
        <v>0</v>
      </c>
      <c r="DT217" s="9">
        <f t="shared" ref="DT217:DT227" si="1135">CZ217+DE217+DJ217+DO217</f>
        <v>0</v>
      </c>
      <c r="DU217" s="9">
        <f t="shared" ref="DU217:DU227" si="1136">DA217+DF217+DK217+DP217</f>
        <v>0</v>
      </c>
      <c r="DV217" s="9">
        <f t="shared" ref="DV217:DV227" si="1137">DB217+DG217+DL217+DQ217</f>
        <v>0</v>
      </c>
      <c r="DW217" s="8">
        <v>20</v>
      </c>
      <c r="DX217" s="8">
        <v>2</v>
      </c>
      <c r="DY217" s="8">
        <v>2</v>
      </c>
      <c r="DZ217" s="8">
        <v>1</v>
      </c>
      <c r="EA217" s="8">
        <v>1</v>
      </c>
      <c r="EB217" s="8">
        <v>2</v>
      </c>
      <c r="EC217" s="8">
        <v>0</v>
      </c>
      <c r="ED217" s="8">
        <v>0</v>
      </c>
      <c r="EE217" s="8">
        <v>1</v>
      </c>
      <c r="EF217" s="8">
        <v>0</v>
      </c>
      <c r="EG217" s="8">
        <v>0</v>
      </c>
      <c r="EH217" s="8">
        <v>0</v>
      </c>
      <c r="EI217" s="8">
        <v>0</v>
      </c>
      <c r="EJ217" s="8">
        <v>6</v>
      </c>
      <c r="EK217" s="8">
        <v>0</v>
      </c>
      <c r="EL217" s="8">
        <v>0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8">
        <v>0</v>
      </c>
      <c r="ES217" s="8">
        <v>0</v>
      </c>
      <c r="ET217" s="8">
        <v>0</v>
      </c>
      <c r="EU217" s="8">
        <v>0</v>
      </c>
      <c r="EV217" s="8">
        <v>0</v>
      </c>
      <c r="EW217" s="8">
        <v>0</v>
      </c>
      <c r="EX217" s="8">
        <v>0</v>
      </c>
      <c r="EY217" s="8">
        <v>0</v>
      </c>
      <c r="EZ217" s="8">
        <v>0</v>
      </c>
      <c r="FA217" s="8">
        <v>0</v>
      </c>
      <c r="FB217" s="8">
        <v>0</v>
      </c>
      <c r="FC217" s="8">
        <v>0</v>
      </c>
      <c r="FD217" s="8">
        <v>0</v>
      </c>
      <c r="FE217" s="8">
        <v>0</v>
      </c>
      <c r="FF217" s="8">
        <v>0</v>
      </c>
      <c r="FG217" s="9">
        <f t="shared" ref="FG217:FG227" si="1138">SUM(DW217,DX217,DY217,DZ217,EA217,EB217,EC217,ED217,EE217,EF217,EG217,EH217,EI217,EJ217,EK217,EL217,EM217,EN217,EO217,EP217,EQ217,ER217,ES217,ET217,EU217,EV217,EW217,EX217,EY217,EZ217,FA217,FB217,FC217,FD217,FE217,FF217)</f>
        <v>35</v>
      </c>
      <c r="FH217" s="8">
        <v>0</v>
      </c>
      <c r="FI217" s="8">
        <v>0</v>
      </c>
      <c r="FJ217" s="8">
        <v>0</v>
      </c>
      <c r="FK217" s="8">
        <v>0</v>
      </c>
      <c r="FL217" s="8">
        <v>0</v>
      </c>
      <c r="FM217" s="8">
        <v>0</v>
      </c>
      <c r="FN217" s="8">
        <v>0</v>
      </c>
      <c r="FO217" s="8">
        <v>0</v>
      </c>
      <c r="FP217" s="8">
        <v>0</v>
      </c>
      <c r="FQ217" s="9">
        <f t="shared" ref="FQ217:FQ227" si="1139">FL217+FM217+FN217+FO217+FP217</f>
        <v>0</v>
      </c>
      <c r="FR217" s="8">
        <v>195478</v>
      </c>
      <c r="FS217" s="8">
        <v>0</v>
      </c>
      <c r="FT217" s="8">
        <v>0</v>
      </c>
      <c r="FU217" s="8">
        <v>0</v>
      </c>
      <c r="FV217" s="9">
        <f t="shared" ref="FV217:FV227" si="1140">FR217+FS217+FT217+FU217</f>
        <v>195478</v>
      </c>
      <c r="FW217" s="8">
        <v>6023840.879999999</v>
      </c>
      <c r="FX217" s="8">
        <v>114050</v>
      </c>
      <c r="FY217" s="8">
        <v>560070</v>
      </c>
      <c r="FZ217" s="8">
        <v>534150</v>
      </c>
      <c r="GA217" s="9">
        <f t="shared" ref="GA217:GA227" si="1141">FW217+FX217+FY217+FZ217</f>
        <v>7232110.879999999</v>
      </c>
      <c r="GB217" s="9">
        <f t="shared" ref="GB217:GB227" si="1142">FV217+GA217</f>
        <v>7427588.879999999</v>
      </c>
      <c r="GC217" s="8">
        <v>661030.04</v>
      </c>
      <c r="GD217" s="8">
        <v>0</v>
      </c>
      <c r="GE217" s="8">
        <v>82430.89</v>
      </c>
      <c r="GF217" s="8">
        <v>0</v>
      </c>
      <c r="GG217" s="9">
        <f t="shared" ref="GG217:GG227" si="1143">GC217+GD217+GE217+GF217</f>
        <v>743460.93</v>
      </c>
      <c r="GH217" s="8">
        <v>6028840.8799999999</v>
      </c>
      <c r="GI217" s="8">
        <v>114050</v>
      </c>
      <c r="GJ217" s="8">
        <v>534150</v>
      </c>
      <c r="GK217" s="8">
        <v>560070</v>
      </c>
      <c r="GL217" s="9">
        <f t="shared" ref="GL217:GL227" si="1144">GH217+GI217+GJ217+GK217</f>
        <v>7237110.8799999999</v>
      </c>
      <c r="GM217" s="9">
        <f t="shared" ref="GM217:GM227" si="1145">GG217+GL217</f>
        <v>7980571.8099999996</v>
      </c>
      <c r="GN217" s="8">
        <v>66325.48</v>
      </c>
      <c r="GO217" s="8">
        <v>0</v>
      </c>
      <c r="GP217" s="8">
        <v>6787.28</v>
      </c>
      <c r="GQ217" s="8">
        <v>0</v>
      </c>
      <c r="GR217" s="9">
        <f t="shared" ref="GR217:GR227" si="1146">GN217+GO217+GP217+GQ217</f>
        <v>73112.759999999995</v>
      </c>
      <c r="GS217" s="8">
        <v>105374</v>
      </c>
      <c r="GT217" s="8">
        <v>0</v>
      </c>
      <c r="GU217" s="8">
        <v>1786</v>
      </c>
      <c r="GV217" s="8">
        <v>0</v>
      </c>
      <c r="GW217" s="9">
        <f t="shared" ref="GW217:GW227" si="1147">GS217+GT217+GU217+GV217</f>
        <v>107160</v>
      </c>
      <c r="GX217" s="9">
        <f t="shared" ref="GX217:GX227" si="1148">GM217+GR217+GW217</f>
        <v>8160844.5699999994</v>
      </c>
      <c r="GY217" s="8">
        <v>2606691.11</v>
      </c>
      <c r="GZ217" s="8">
        <v>439067.07</v>
      </c>
      <c r="HA217" s="9">
        <f t="shared" ref="HA217:HA227" si="1149">GY217+GZ217</f>
        <v>3045758.1799999997</v>
      </c>
      <c r="HB217" s="9">
        <f t="shared" ref="HB217:HB227" si="1150">IF(GX217=0,"",AU217/GX217)</f>
        <v>4.2972131069517479E-2</v>
      </c>
      <c r="HC217" s="10">
        <f t="shared" ref="HC217:HC227" si="1151">IF((GX217+GY217)=0,"",GB217/(GX217+GY217))</f>
        <v>0.68981325910962754</v>
      </c>
      <c r="HD217" s="9">
        <f t="shared" ref="HD217:HD227" si="1152">IF(GX217=0,"",GB217/GX217)</f>
        <v>0.91014953370200014</v>
      </c>
      <c r="HE217" s="8">
        <v>10</v>
      </c>
      <c r="HF217" s="8">
        <v>2</v>
      </c>
      <c r="HG217" s="8">
        <v>31</v>
      </c>
      <c r="HH217" s="8">
        <v>10</v>
      </c>
      <c r="HI217" s="8">
        <v>42</v>
      </c>
      <c r="HJ217" s="9">
        <f t="shared" ref="HJ217:HJ227" si="1153">HF217+HI217</f>
        <v>44</v>
      </c>
      <c r="HK217" s="10">
        <f t="shared" ref="HK217:HK227" si="1154">IF(HE217=0,"",HH217/HE217)</f>
        <v>1</v>
      </c>
      <c r="HL217" s="8">
        <v>5</v>
      </c>
      <c r="HM217" s="8">
        <v>18</v>
      </c>
      <c r="HN217" s="11">
        <f t="shared" ref="HN217:HN227" si="1155">IF(HL217=0,"",HM217/HL217)</f>
        <v>3.6</v>
      </c>
    </row>
    <row r="218" spans="1:222" x14ac:dyDescent="0.3">
      <c r="A218" s="12" t="s">
        <v>289</v>
      </c>
      <c r="B218" s="12" t="s">
        <v>290</v>
      </c>
      <c r="C218" s="13" t="s">
        <v>257</v>
      </c>
      <c r="D218" s="13">
        <v>2026</v>
      </c>
      <c r="E218" s="13">
        <v>3</v>
      </c>
      <c r="F218" s="13" t="s">
        <v>273</v>
      </c>
      <c r="G218" s="13" t="s">
        <v>271</v>
      </c>
      <c r="H218" s="14">
        <v>7509</v>
      </c>
      <c r="I218" s="14">
        <v>698</v>
      </c>
      <c r="J218" s="14">
        <v>0</v>
      </c>
      <c r="K218" s="14">
        <v>56</v>
      </c>
      <c r="L218" s="14">
        <v>0</v>
      </c>
      <c r="M218" s="15">
        <f t="shared" si="1095"/>
        <v>754</v>
      </c>
      <c r="N218" s="14">
        <v>4950</v>
      </c>
      <c r="O218" s="14">
        <v>400</v>
      </c>
      <c r="P218" s="14">
        <v>514</v>
      </c>
      <c r="Q218" s="14">
        <v>245</v>
      </c>
      <c r="R218" s="15">
        <f t="shared" si="1096"/>
        <v>6109</v>
      </c>
      <c r="S218" s="15">
        <f t="shared" si="1097"/>
        <v>6863</v>
      </c>
      <c r="T218" s="14">
        <v>646</v>
      </c>
      <c r="U218" s="16">
        <f t="shared" si="1098"/>
        <v>8.6030097216673332E-2</v>
      </c>
      <c r="V218" s="14">
        <v>10</v>
      </c>
      <c r="W218" s="17">
        <f t="shared" si="1099"/>
        <v>1.3317352510320948E-3</v>
      </c>
      <c r="X218" s="14">
        <v>0</v>
      </c>
      <c r="Y218" s="17">
        <f t="shared" si="1100"/>
        <v>0</v>
      </c>
      <c r="Z218" s="14">
        <v>0</v>
      </c>
      <c r="AA218" s="17">
        <f t="shared" si="1101"/>
        <v>0</v>
      </c>
      <c r="AB218" s="14">
        <v>0</v>
      </c>
      <c r="AC218" s="17">
        <f t="shared" si="1102"/>
        <v>0</v>
      </c>
      <c r="AD218" s="14">
        <v>0</v>
      </c>
      <c r="AE218" s="17">
        <f t="shared" si="1103"/>
        <v>0</v>
      </c>
      <c r="AF218" s="14">
        <v>0</v>
      </c>
      <c r="AG218" s="17">
        <f t="shared" si="1104"/>
        <v>0</v>
      </c>
      <c r="AH218" s="14">
        <v>35252.9</v>
      </c>
      <c r="AI218" s="15">
        <f t="shared" si="1105"/>
        <v>4.6947529631109335</v>
      </c>
      <c r="AJ218" s="14">
        <v>2066</v>
      </c>
      <c r="AK218" s="17">
        <f t="shared" si="1106"/>
        <v>0.27513650286323077</v>
      </c>
      <c r="AL218" s="14">
        <v>16426.5</v>
      </c>
      <c r="AM218" s="15">
        <f t="shared" si="1107"/>
        <v>2.1875749101078705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5">
        <f t="shared" si="1108"/>
        <v>51679.4</v>
      </c>
      <c r="AV218" s="15">
        <f t="shared" si="1109"/>
        <v>6.882327873218804</v>
      </c>
      <c r="AW218" s="15">
        <f t="shared" si="1110"/>
        <v>7.5301471659624077</v>
      </c>
      <c r="AX218" s="14">
        <v>2</v>
      </c>
      <c r="AY218" s="15">
        <f t="shared" si="1111"/>
        <v>3.1961646024770274</v>
      </c>
      <c r="AZ218" s="14">
        <v>8</v>
      </c>
      <c r="BA218" s="14">
        <v>31</v>
      </c>
      <c r="BB218" s="14">
        <v>6</v>
      </c>
      <c r="BC218" s="14">
        <v>5</v>
      </c>
      <c r="BD218" s="14">
        <v>0</v>
      </c>
      <c r="BE218" s="15">
        <f t="shared" si="1112"/>
        <v>5</v>
      </c>
      <c r="BF218" s="15">
        <f t="shared" si="1113"/>
        <v>32</v>
      </c>
      <c r="BG218" s="14">
        <v>0</v>
      </c>
      <c r="BH218" s="14">
        <v>0</v>
      </c>
      <c r="BI218" s="14">
        <v>0</v>
      </c>
      <c r="BJ218" s="14">
        <v>0</v>
      </c>
      <c r="BK218" s="15">
        <f t="shared" si="1114"/>
        <v>0</v>
      </c>
      <c r="BL218" s="15">
        <f t="shared" si="1115"/>
        <v>0</v>
      </c>
      <c r="BM218" s="14">
        <v>0</v>
      </c>
      <c r="BN218" s="14">
        <v>0</v>
      </c>
      <c r="BO218" s="14">
        <v>0</v>
      </c>
      <c r="BP218" s="14">
        <v>0</v>
      </c>
      <c r="BQ218" s="15">
        <f t="shared" si="1116"/>
        <v>0</v>
      </c>
      <c r="BR218" s="15">
        <f t="shared" si="1117"/>
        <v>0</v>
      </c>
      <c r="BS218" s="14">
        <v>0</v>
      </c>
      <c r="BT218" s="14">
        <v>0</v>
      </c>
      <c r="BU218" s="14">
        <v>0</v>
      </c>
      <c r="BV218" s="14">
        <v>0</v>
      </c>
      <c r="BW218" s="15">
        <f t="shared" si="1118"/>
        <v>0</v>
      </c>
      <c r="BX218" s="15">
        <f t="shared" si="1119"/>
        <v>0</v>
      </c>
      <c r="BY218" s="15">
        <f t="shared" si="1120"/>
        <v>31</v>
      </c>
      <c r="BZ218" s="15">
        <f t="shared" si="1121"/>
        <v>6</v>
      </c>
      <c r="CA218" s="15">
        <f t="shared" si="1122"/>
        <v>5</v>
      </c>
      <c r="CB218" s="15">
        <f t="shared" si="1123"/>
        <v>32</v>
      </c>
      <c r="CC218" s="14">
        <v>0</v>
      </c>
      <c r="CD218" s="14">
        <v>210</v>
      </c>
      <c r="CE218" s="14">
        <v>18</v>
      </c>
      <c r="CF218" s="14">
        <v>13</v>
      </c>
      <c r="CG218" s="14">
        <v>8</v>
      </c>
      <c r="CH218" s="15">
        <f t="shared" si="1124"/>
        <v>249</v>
      </c>
      <c r="CI218" s="14">
        <v>187</v>
      </c>
      <c r="CJ218" s="14">
        <v>0</v>
      </c>
      <c r="CK218" s="14">
        <v>0</v>
      </c>
      <c r="CL218" s="14">
        <v>1</v>
      </c>
      <c r="CM218" s="15">
        <f t="shared" si="1125"/>
        <v>188</v>
      </c>
      <c r="CN218" s="14">
        <v>733</v>
      </c>
      <c r="CO218" s="14">
        <v>35</v>
      </c>
      <c r="CP218" s="14">
        <v>25</v>
      </c>
      <c r="CQ218" s="14">
        <v>18</v>
      </c>
      <c r="CR218" s="15">
        <f t="shared" si="1126"/>
        <v>811</v>
      </c>
      <c r="CS218" s="15">
        <f t="shared" si="1127"/>
        <v>999</v>
      </c>
      <c r="CT218" s="14">
        <v>1248</v>
      </c>
      <c r="CU218" s="14">
        <v>11856.47106677615</v>
      </c>
      <c r="CV218" s="14">
        <v>7534</v>
      </c>
      <c r="CW218" s="16">
        <f t="shared" si="1128"/>
        <v>0.63543359213447159</v>
      </c>
      <c r="CX218" s="14"/>
      <c r="CY218" s="14"/>
      <c r="CZ218" s="14"/>
      <c r="DA218" s="14"/>
      <c r="DB218" s="15">
        <f t="shared" si="1129"/>
        <v>0</v>
      </c>
      <c r="DC218" s="14">
        <v>0</v>
      </c>
      <c r="DD218" s="14">
        <v>0</v>
      </c>
      <c r="DE218" s="14">
        <v>0</v>
      </c>
      <c r="DF218" s="14">
        <v>0</v>
      </c>
      <c r="DG218" s="15">
        <f t="shared" si="1130"/>
        <v>0</v>
      </c>
      <c r="DH218" s="14">
        <v>0</v>
      </c>
      <c r="DI218" s="14">
        <v>0</v>
      </c>
      <c r="DJ218" s="14">
        <v>0</v>
      </c>
      <c r="DK218" s="14">
        <v>0</v>
      </c>
      <c r="DL218" s="15">
        <f t="shared" si="1131"/>
        <v>0</v>
      </c>
      <c r="DM218" s="14">
        <v>0</v>
      </c>
      <c r="DN218" s="14">
        <v>0</v>
      </c>
      <c r="DO218" s="14">
        <v>0</v>
      </c>
      <c r="DP218" s="14">
        <v>0</v>
      </c>
      <c r="DQ218" s="15">
        <f t="shared" si="1132"/>
        <v>0</v>
      </c>
      <c r="DR218" s="15">
        <f t="shared" si="1133"/>
        <v>0</v>
      </c>
      <c r="DS218" s="15">
        <f t="shared" si="1134"/>
        <v>0</v>
      </c>
      <c r="DT218" s="15">
        <f t="shared" si="1135"/>
        <v>0</v>
      </c>
      <c r="DU218" s="15">
        <f t="shared" si="1136"/>
        <v>0</v>
      </c>
      <c r="DV218" s="15">
        <f t="shared" si="1137"/>
        <v>0</v>
      </c>
      <c r="DW218" s="14">
        <v>30</v>
      </c>
      <c r="DX218" s="14">
        <v>3</v>
      </c>
      <c r="DY218" s="14">
        <v>3</v>
      </c>
      <c r="DZ218" s="14">
        <v>5</v>
      </c>
      <c r="EA218" s="14">
        <v>1</v>
      </c>
      <c r="EB218" s="14">
        <v>0</v>
      </c>
      <c r="EC218" s="14">
        <v>0</v>
      </c>
      <c r="ED218" s="14">
        <v>0</v>
      </c>
      <c r="EE218" s="14">
        <v>1</v>
      </c>
      <c r="EF218" s="14">
        <v>0</v>
      </c>
      <c r="EG218" s="14">
        <v>0</v>
      </c>
      <c r="EH218" s="14">
        <v>0</v>
      </c>
      <c r="EI218" s="14">
        <v>0</v>
      </c>
      <c r="EJ218" s="14">
        <v>6</v>
      </c>
      <c r="EK218" s="14">
        <v>1</v>
      </c>
      <c r="EL218" s="14">
        <v>0</v>
      </c>
      <c r="EM218" s="14">
        <v>0</v>
      </c>
      <c r="EN218" s="14">
        <v>0</v>
      </c>
      <c r="EO218" s="14">
        <v>0</v>
      </c>
      <c r="EP218" s="14">
        <v>0</v>
      </c>
      <c r="EQ218" s="14">
        <v>0</v>
      </c>
      <c r="ER218" s="14">
        <v>0</v>
      </c>
      <c r="ES218" s="14">
        <v>0</v>
      </c>
      <c r="ET218" s="14">
        <v>0</v>
      </c>
      <c r="EU218" s="14">
        <v>0</v>
      </c>
      <c r="EV218" s="14">
        <v>0</v>
      </c>
      <c r="EW218" s="14">
        <v>0</v>
      </c>
      <c r="EX218" s="14">
        <v>0</v>
      </c>
      <c r="EY218" s="14">
        <v>0</v>
      </c>
      <c r="EZ218" s="14">
        <v>0</v>
      </c>
      <c r="FA218" s="14">
        <v>0</v>
      </c>
      <c r="FB218" s="14">
        <v>0</v>
      </c>
      <c r="FC218" s="14">
        <v>0</v>
      </c>
      <c r="FD218" s="14">
        <v>0</v>
      </c>
      <c r="FE218" s="14">
        <v>0</v>
      </c>
      <c r="FF218" s="14">
        <v>0</v>
      </c>
      <c r="FG218" s="15">
        <f t="shared" si="1138"/>
        <v>50</v>
      </c>
      <c r="FH218" s="14">
        <v>0</v>
      </c>
      <c r="FI218" s="14">
        <v>0</v>
      </c>
      <c r="FJ218" s="14">
        <v>0</v>
      </c>
      <c r="FK218" s="14">
        <v>0</v>
      </c>
      <c r="FL218" s="14">
        <v>0</v>
      </c>
      <c r="FM218" s="14">
        <v>0</v>
      </c>
      <c r="FN218" s="14">
        <v>0</v>
      </c>
      <c r="FO218" s="14">
        <v>0</v>
      </c>
      <c r="FP218" s="14">
        <v>0</v>
      </c>
      <c r="FQ218" s="15">
        <f t="shared" si="1139"/>
        <v>0</v>
      </c>
      <c r="FR218" s="14">
        <v>436075</v>
      </c>
      <c r="FS218" s="14">
        <v>0</v>
      </c>
      <c r="FT218" s="14">
        <v>0</v>
      </c>
      <c r="FU218" s="14">
        <v>0</v>
      </c>
      <c r="FV218" s="15">
        <f t="shared" si="1140"/>
        <v>436075</v>
      </c>
      <c r="FW218" s="14">
        <v>5297276</v>
      </c>
      <c r="FX218" s="14">
        <v>85750</v>
      </c>
      <c r="FY218" s="14">
        <v>237590</v>
      </c>
      <c r="FZ218" s="14">
        <v>417740</v>
      </c>
      <c r="GA218" s="15">
        <f t="shared" si="1141"/>
        <v>6038356</v>
      </c>
      <c r="GB218" s="15">
        <f t="shared" si="1142"/>
        <v>6474431</v>
      </c>
      <c r="GC218" s="14">
        <v>661030.04</v>
      </c>
      <c r="GD218" s="14">
        <v>0</v>
      </c>
      <c r="GE218" s="14">
        <v>82430.89</v>
      </c>
      <c r="GF218" s="14">
        <v>0</v>
      </c>
      <c r="GG218" s="15">
        <f t="shared" si="1143"/>
        <v>743460.93</v>
      </c>
      <c r="GH218" s="14">
        <v>5197588.38</v>
      </c>
      <c r="GI218" s="14">
        <v>85750</v>
      </c>
      <c r="GJ218" s="14">
        <v>236390</v>
      </c>
      <c r="GK218" s="14">
        <v>417740</v>
      </c>
      <c r="GL218" s="15">
        <f t="shared" si="1144"/>
        <v>5937468.3799999999</v>
      </c>
      <c r="GM218" s="15">
        <f t="shared" si="1145"/>
        <v>6680929.3099999996</v>
      </c>
      <c r="GN218" s="14">
        <v>66325.48</v>
      </c>
      <c r="GO218" s="14">
        <v>0</v>
      </c>
      <c r="GP218" s="14">
        <v>6787.28</v>
      </c>
      <c r="GQ218" s="14">
        <v>0</v>
      </c>
      <c r="GR218" s="15">
        <f t="shared" si="1146"/>
        <v>73112.759999999995</v>
      </c>
      <c r="GS218" s="14">
        <v>105374</v>
      </c>
      <c r="GT218" s="14">
        <v>0</v>
      </c>
      <c r="GU218" s="14">
        <v>1786</v>
      </c>
      <c r="GV218" s="14">
        <v>0</v>
      </c>
      <c r="GW218" s="15">
        <f t="shared" si="1147"/>
        <v>107160</v>
      </c>
      <c r="GX218" s="15">
        <f t="shared" si="1148"/>
        <v>6861202.0699999994</v>
      </c>
      <c r="GY218" s="14">
        <v>2946385.62</v>
      </c>
      <c r="GZ218" s="14">
        <v>191328.8</v>
      </c>
      <c r="HA218" s="15">
        <f t="shared" si="1149"/>
        <v>3137714.42</v>
      </c>
      <c r="HB218" s="15">
        <f t="shared" si="1150"/>
        <v>7.5321203883447216E-3</v>
      </c>
      <c r="HC218" s="16">
        <f t="shared" si="1151"/>
        <v>0.66014510444820707</v>
      </c>
      <c r="HD218" s="15">
        <f t="shared" si="1152"/>
        <v>0.94362925533251352</v>
      </c>
      <c r="HE218" s="14">
        <v>15</v>
      </c>
      <c r="HF218" s="14">
        <v>2</v>
      </c>
      <c r="HG218" s="14">
        <v>32</v>
      </c>
      <c r="HH218" s="14">
        <v>6</v>
      </c>
      <c r="HI218" s="14">
        <v>30</v>
      </c>
      <c r="HJ218" s="15">
        <f t="shared" si="1153"/>
        <v>32</v>
      </c>
      <c r="HK218" s="16">
        <f t="shared" si="1154"/>
        <v>0.4</v>
      </c>
      <c r="HL218" s="14">
        <v>18</v>
      </c>
      <c r="HM218" s="14">
        <v>12</v>
      </c>
      <c r="HN218" s="17">
        <f t="shared" si="1155"/>
        <v>0.66666666666666663</v>
      </c>
    </row>
    <row r="219" spans="1:222" x14ac:dyDescent="0.3">
      <c r="A219" s="6" t="s">
        <v>289</v>
      </c>
      <c r="B219" s="6" t="s">
        <v>291</v>
      </c>
      <c r="C219" s="7" t="s">
        <v>257</v>
      </c>
      <c r="D219" s="7">
        <v>2025</v>
      </c>
      <c r="E219" s="7">
        <v>4</v>
      </c>
      <c r="F219" s="7" t="s">
        <v>258</v>
      </c>
      <c r="G219" s="7" t="s">
        <v>259</v>
      </c>
      <c r="H219" s="8">
        <v>27891</v>
      </c>
      <c r="I219" s="8">
        <v>12961</v>
      </c>
      <c r="J219" s="8">
        <v>1260</v>
      </c>
      <c r="K219" s="8">
        <v>1511</v>
      </c>
      <c r="L219" s="8">
        <v>623</v>
      </c>
      <c r="M219" s="9">
        <f t="shared" si="1095"/>
        <v>16355</v>
      </c>
      <c r="N219" s="8">
        <v>1502</v>
      </c>
      <c r="O219" s="8">
        <v>0</v>
      </c>
      <c r="P219" s="8">
        <v>2029</v>
      </c>
      <c r="Q219" s="8">
        <v>595</v>
      </c>
      <c r="R219" s="9">
        <f t="shared" si="1096"/>
        <v>4126</v>
      </c>
      <c r="S219" s="9">
        <f t="shared" si="1097"/>
        <v>20481</v>
      </c>
      <c r="T219" s="8">
        <v>7410</v>
      </c>
      <c r="U219" s="10">
        <f t="shared" si="1098"/>
        <v>0.26567710013983004</v>
      </c>
      <c r="V219" s="8">
        <v>31</v>
      </c>
      <c r="W219" s="11">
        <f t="shared" si="1099"/>
        <v>1.111469649707791E-3</v>
      </c>
      <c r="X219" s="8">
        <v>0</v>
      </c>
      <c r="Y219" s="11">
        <f t="shared" si="1100"/>
        <v>0</v>
      </c>
      <c r="Z219" s="8">
        <v>0</v>
      </c>
      <c r="AA219" s="11">
        <f t="shared" si="1101"/>
        <v>0</v>
      </c>
      <c r="AB219" s="8">
        <v>0</v>
      </c>
      <c r="AC219" s="11">
        <f t="shared" si="1102"/>
        <v>0</v>
      </c>
      <c r="AD219" s="8">
        <v>0</v>
      </c>
      <c r="AE219" s="11">
        <f t="shared" si="1103"/>
        <v>0</v>
      </c>
      <c r="AF219" s="8">
        <v>0</v>
      </c>
      <c r="AG219" s="11">
        <f t="shared" si="1104"/>
        <v>0</v>
      </c>
      <c r="AH219" s="8">
        <v>109283.99</v>
      </c>
      <c r="AI219" s="9">
        <f t="shared" si="1105"/>
        <v>3.9182528414183788</v>
      </c>
      <c r="AJ219" s="8">
        <v>16369</v>
      </c>
      <c r="AK219" s="11">
        <f t="shared" si="1106"/>
        <v>0.58689182890538172</v>
      </c>
      <c r="AL219" s="8">
        <v>2287649.8034999999</v>
      </c>
      <c r="AM219" s="9">
        <f t="shared" si="1107"/>
        <v>82.021075024201352</v>
      </c>
      <c r="AN219" s="8">
        <v>2021</v>
      </c>
      <c r="AO219" s="8">
        <v>160</v>
      </c>
      <c r="AP219" s="8">
        <v>437440</v>
      </c>
      <c r="AQ219" s="8">
        <v>0</v>
      </c>
      <c r="AR219" s="8">
        <v>0</v>
      </c>
      <c r="AS219" s="8">
        <v>0</v>
      </c>
      <c r="AT219" s="8">
        <v>0</v>
      </c>
      <c r="AU219" s="9">
        <f t="shared" si="1108"/>
        <v>2834373.7935000001</v>
      </c>
      <c r="AV219" s="9">
        <f t="shared" si="1109"/>
        <v>101.62324023878671</v>
      </c>
      <c r="AW219" s="9">
        <f t="shared" si="1110"/>
        <v>138.39040054196573</v>
      </c>
      <c r="AX219" s="8">
        <v>7</v>
      </c>
      <c r="AY219" s="9">
        <f t="shared" si="1111"/>
        <v>3.0117242121114343</v>
      </c>
      <c r="AZ219" s="8">
        <v>6</v>
      </c>
      <c r="BA219" s="8">
        <v>197</v>
      </c>
      <c r="BB219" s="8">
        <v>9</v>
      </c>
      <c r="BC219" s="8">
        <v>15</v>
      </c>
      <c r="BD219" s="8">
        <v>0</v>
      </c>
      <c r="BE219" s="9">
        <f t="shared" si="1112"/>
        <v>15</v>
      </c>
      <c r="BF219" s="9">
        <f t="shared" si="1113"/>
        <v>191</v>
      </c>
      <c r="BG219" s="8">
        <v>0</v>
      </c>
      <c r="BH219" s="8">
        <v>0</v>
      </c>
      <c r="BI219" s="8">
        <v>0</v>
      </c>
      <c r="BJ219" s="8">
        <v>0</v>
      </c>
      <c r="BK219" s="9">
        <f t="shared" si="1114"/>
        <v>0</v>
      </c>
      <c r="BL219" s="9">
        <f t="shared" si="1115"/>
        <v>0</v>
      </c>
      <c r="BM219" s="8">
        <v>0</v>
      </c>
      <c r="BN219" s="8">
        <v>0</v>
      </c>
      <c r="BO219" s="8">
        <v>0</v>
      </c>
      <c r="BP219" s="8">
        <v>0</v>
      </c>
      <c r="BQ219" s="9">
        <f t="shared" si="1116"/>
        <v>0</v>
      </c>
      <c r="BR219" s="9">
        <f t="shared" si="1117"/>
        <v>0</v>
      </c>
      <c r="BS219" s="8">
        <v>0</v>
      </c>
      <c r="BT219" s="8">
        <v>0</v>
      </c>
      <c r="BU219" s="8">
        <v>0</v>
      </c>
      <c r="BV219" s="8">
        <v>0</v>
      </c>
      <c r="BW219" s="9">
        <f t="shared" si="1118"/>
        <v>0</v>
      </c>
      <c r="BX219" s="9">
        <f t="shared" si="1119"/>
        <v>0</v>
      </c>
      <c r="BY219" s="9">
        <f t="shared" si="1120"/>
        <v>197</v>
      </c>
      <c r="BZ219" s="9">
        <f t="shared" si="1121"/>
        <v>9</v>
      </c>
      <c r="CA219" s="9">
        <f t="shared" si="1122"/>
        <v>15</v>
      </c>
      <c r="CB219" s="9">
        <f t="shared" si="1123"/>
        <v>191</v>
      </c>
      <c r="CC219" s="8">
        <v>0</v>
      </c>
      <c r="CD219" s="8">
        <v>967</v>
      </c>
      <c r="CE219" s="8">
        <v>11</v>
      </c>
      <c r="CF219" s="8">
        <v>13</v>
      </c>
      <c r="CG219" s="8">
        <v>16</v>
      </c>
      <c r="CH219" s="9">
        <f t="shared" si="1124"/>
        <v>1007</v>
      </c>
      <c r="CI219" s="8">
        <v>2084</v>
      </c>
      <c r="CJ219" s="8">
        <v>23</v>
      </c>
      <c r="CK219" s="8">
        <v>15</v>
      </c>
      <c r="CL219" s="8">
        <v>9</v>
      </c>
      <c r="CM219" s="9">
        <f t="shared" si="1125"/>
        <v>2131</v>
      </c>
      <c r="CN219" s="8">
        <v>636</v>
      </c>
      <c r="CO219" s="8">
        <v>42</v>
      </c>
      <c r="CP219" s="8">
        <v>56</v>
      </c>
      <c r="CQ219" s="8">
        <v>3</v>
      </c>
      <c r="CR219" s="9">
        <f t="shared" si="1126"/>
        <v>737</v>
      </c>
      <c r="CS219" s="9">
        <f t="shared" si="1127"/>
        <v>2868</v>
      </c>
      <c r="CT219" s="8">
        <v>3875</v>
      </c>
      <c r="CU219" s="8">
        <v>22129</v>
      </c>
      <c r="CV219" s="8">
        <v>16982</v>
      </c>
      <c r="CW219" s="10">
        <f t="shared" si="1128"/>
        <v>0.76740928193772873</v>
      </c>
      <c r="CX219" s="8">
        <v>0</v>
      </c>
      <c r="CY219" s="8">
        <v>0</v>
      </c>
      <c r="CZ219" s="8">
        <v>0</v>
      </c>
      <c r="DA219" s="8">
        <v>0</v>
      </c>
      <c r="DB219" s="9">
        <f t="shared" si="1129"/>
        <v>0</v>
      </c>
      <c r="DC219" s="8">
        <v>0</v>
      </c>
      <c r="DD219" s="8">
        <v>0</v>
      </c>
      <c r="DE219" s="8">
        <v>0</v>
      </c>
      <c r="DF219" s="8">
        <v>0</v>
      </c>
      <c r="DG219" s="9">
        <f t="shared" si="1130"/>
        <v>0</v>
      </c>
      <c r="DH219" s="8">
        <v>0</v>
      </c>
      <c r="DI219" s="8">
        <v>0</v>
      </c>
      <c r="DJ219" s="8">
        <v>0</v>
      </c>
      <c r="DK219" s="8">
        <v>0</v>
      </c>
      <c r="DL219" s="9">
        <f t="shared" si="1131"/>
        <v>0</v>
      </c>
      <c r="DM219" s="8">
        <v>178</v>
      </c>
      <c r="DN219" s="8">
        <v>22</v>
      </c>
      <c r="DO219" s="8">
        <v>16</v>
      </c>
      <c r="DP219" s="8">
        <v>0</v>
      </c>
      <c r="DQ219" s="9">
        <f t="shared" si="1132"/>
        <v>184</v>
      </c>
      <c r="DR219" s="9">
        <f t="shared" si="1133"/>
        <v>178</v>
      </c>
      <c r="DS219" s="9">
        <f t="shared" si="1134"/>
        <v>22</v>
      </c>
      <c r="DT219" s="9">
        <f t="shared" si="1135"/>
        <v>16</v>
      </c>
      <c r="DU219" s="9">
        <f t="shared" si="1136"/>
        <v>0</v>
      </c>
      <c r="DV219" s="9">
        <f t="shared" si="1137"/>
        <v>184</v>
      </c>
      <c r="DW219" s="8">
        <v>55</v>
      </c>
      <c r="DX219" s="8">
        <v>13</v>
      </c>
      <c r="DY219" s="8">
        <v>3</v>
      </c>
      <c r="DZ219" s="8">
        <v>1</v>
      </c>
      <c r="EA219" s="8">
        <v>0</v>
      </c>
      <c r="EB219" s="8">
        <v>0</v>
      </c>
      <c r="EC219" s="8">
        <v>0</v>
      </c>
      <c r="ED219" s="8">
        <v>0</v>
      </c>
      <c r="EE219" s="8">
        <v>3</v>
      </c>
      <c r="EF219" s="8">
        <v>1</v>
      </c>
      <c r="EG219" s="8">
        <v>0</v>
      </c>
      <c r="EH219" s="8">
        <v>0</v>
      </c>
      <c r="EI219" s="8">
        <v>0</v>
      </c>
      <c r="EJ219" s="8">
        <v>0</v>
      </c>
      <c r="EK219" s="8">
        <v>0</v>
      </c>
      <c r="EL219" s="8">
        <v>0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8">
        <v>0</v>
      </c>
      <c r="ES219" s="8">
        <v>0</v>
      </c>
      <c r="ET219" s="8">
        <v>0</v>
      </c>
      <c r="EU219" s="8">
        <v>0</v>
      </c>
      <c r="EV219" s="8">
        <v>0</v>
      </c>
      <c r="EW219" s="8">
        <v>0</v>
      </c>
      <c r="EX219" s="8">
        <v>0</v>
      </c>
      <c r="EY219" s="8">
        <v>0</v>
      </c>
      <c r="EZ219" s="8">
        <v>0</v>
      </c>
      <c r="FA219" s="8">
        <v>0</v>
      </c>
      <c r="FB219" s="8">
        <v>0</v>
      </c>
      <c r="FC219" s="8">
        <v>0</v>
      </c>
      <c r="FD219" s="8">
        <v>0</v>
      </c>
      <c r="FE219" s="8">
        <v>0</v>
      </c>
      <c r="FF219" s="8">
        <v>0</v>
      </c>
      <c r="FG219" s="9">
        <f t="shared" si="1138"/>
        <v>76</v>
      </c>
      <c r="FH219" s="8">
        <v>0</v>
      </c>
      <c r="FI219" s="8">
        <v>60</v>
      </c>
      <c r="FJ219" s="8">
        <v>0</v>
      </c>
      <c r="FK219" s="8">
        <v>0</v>
      </c>
      <c r="FL219" s="8">
        <v>0</v>
      </c>
      <c r="FM219" s="8">
        <v>0</v>
      </c>
      <c r="FN219" s="8">
        <v>0</v>
      </c>
      <c r="FO219" s="8">
        <v>0</v>
      </c>
      <c r="FP219" s="8">
        <v>0</v>
      </c>
      <c r="FQ219" s="9">
        <f t="shared" si="1139"/>
        <v>0</v>
      </c>
      <c r="FR219" s="8">
        <v>7666633</v>
      </c>
      <c r="FS219" s="8">
        <v>84700</v>
      </c>
      <c r="FT219" s="8">
        <v>183600</v>
      </c>
      <c r="FU219" s="8">
        <v>469660</v>
      </c>
      <c r="FV219" s="9">
        <f t="shared" si="1140"/>
        <v>8404593</v>
      </c>
      <c r="FW219" s="8">
        <v>3481837</v>
      </c>
      <c r="FX219" s="8">
        <v>10000</v>
      </c>
      <c r="FY219" s="8">
        <v>702184</v>
      </c>
      <c r="FZ219" s="8">
        <v>7879439</v>
      </c>
      <c r="GA219" s="9">
        <f t="shared" si="1141"/>
        <v>12073460</v>
      </c>
      <c r="GB219" s="9">
        <f t="shared" si="1142"/>
        <v>20478053</v>
      </c>
      <c r="GC219" s="8">
        <v>10404831.57</v>
      </c>
      <c r="GD219" s="8">
        <v>77277.119999999995</v>
      </c>
      <c r="GE219" s="8">
        <v>767388.49</v>
      </c>
      <c r="GF219" s="8">
        <v>391303.52</v>
      </c>
      <c r="GG219" s="9">
        <f t="shared" si="1143"/>
        <v>11640800.699999999</v>
      </c>
      <c r="GH219" s="8">
        <v>3457451.06</v>
      </c>
      <c r="GI219" s="8">
        <v>10000</v>
      </c>
      <c r="GJ219" s="8">
        <v>7863982.8099999996</v>
      </c>
      <c r="GK219" s="8">
        <v>702184.27</v>
      </c>
      <c r="GL219" s="9">
        <f t="shared" si="1144"/>
        <v>12033618.139999999</v>
      </c>
      <c r="GM219" s="9">
        <f t="shared" si="1145"/>
        <v>23674418.839999996</v>
      </c>
      <c r="GN219" s="8">
        <v>1170979.21</v>
      </c>
      <c r="GO219" s="8">
        <v>1530.24</v>
      </c>
      <c r="GP219" s="8">
        <v>78053.72</v>
      </c>
      <c r="GQ219" s="8">
        <v>83472.12</v>
      </c>
      <c r="GR219" s="9">
        <f t="shared" si="1146"/>
        <v>1334035.29</v>
      </c>
      <c r="GS219" s="8">
        <v>1967279</v>
      </c>
      <c r="GT219" s="8">
        <v>7144</v>
      </c>
      <c r="GU219" s="8">
        <v>20539</v>
      </c>
      <c r="GV219" s="8">
        <v>16074</v>
      </c>
      <c r="GW219" s="9">
        <f t="shared" si="1147"/>
        <v>2011036</v>
      </c>
      <c r="GX219" s="9">
        <f t="shared" si="1148"/>
        <v>27019490.129999995</v>
      </c>
      <c r="GY219" s="8">
        <v>0</v>
      </c>
      <c r="GZ219" s="8">
        <v>0</v>
      </c>
      <c r="HA219" s="9">
        <f t="shared" si="1149"/>
        <v>0</v>
      </c>
      <c r="HB219" s="9">
        <f t="shared" si="1150"/>
        <v>0.10490108362011495</v>
      </c>
      <c r="HC219" s="10">
        <f t="shared" si="1151"/>
        <v>0.7578993127358471</v>
      </c>
      <c r="HD219" s="9">
        <f t="shared" si="1152"/>
        <v>0.7578993127358471</v>
      </c>
      <c r="HE219" s="8">
        <v>9</v>
      </c>
      <c r="HF219" s="8">
        <v>1</v>
      </c>
      <c r="HG219" s="8">
        <v>191</v>
      </c>
      <c r="HH219" s="8">
        <v>9</v>
      </c>
      <c r="HI219" s="8">
        <v>30</v>
      </c>
      <c r="HJ219" s="9">
        <f t="shared" si="1153"/>
        <v>31</v>
      </c>
      <c r="HK219" s="10">
        <f t="shared" si="1154"/>
        <v>1</v>
      </c>
      <c r="HL219" s="8">
        <v>10</v>
      </c>
      <c r="HM219" s="8">
        <v>60</v>
      </c>
      <c r="HN219" s="11">
        <f t="shared" si="1155"/>
        <v>6</v>
      </c>
    </row>
    <row r="220" spans="1:222" x14ac:dyDescent="0.3">
      <c r="A220" s="12" t="s">
        <v>289</v>
      </c>
      <c r="B220" s="12" t="s">
        <v>291</v>
      </c>
      <c r="C220" s="13" t="s">
        <v>257</v>
      </c>
      <c r="D220" s="13">
        <v>2025</v>
      </c>
      <c r="E220" s="13">
        <v>5</v>
      </c>
      <c r="F220" s="13" t="s">
        <v>260</v>
      </c>
      <c r="G220" s="13" t="s">
        <v>259</v>
      </c>
      <c r="H220" s="14">
        <v>27956</v>
      </c>
      <c r="I220" s="14">
        <v>13296</v>
      </c>
      <c r="J220" s="14">
        <v>1321</v>
      </c>
      <c r="K220" s="14">
        <v>1605</v>
      </c>
      <c r="L220" s="14">
        <v>529</v>
      </c>
      <c r="M220" s="15">
        <f t="shared" si="1095"/>
        <v>16751</v>
      </c>
      <c r="N220" s="14">
        <v>1639</v>
      </c>
      <c r="O220" s="14">
        <v>0</v>
      </c>
      <c r="P220" s="14">
        <v>2032</v>
      </c>
      <c r="Q220" s="14">
        <v>601</v>
      </c>
      <c r="R220" s="15">
        <f t="shared" si="1096"/>
        <v>4272</v>
      </c>
      <c r="S220" s="15">
        <f t="shared" si="1097"/>
        <v>21023</v>
      </c>
      <c r="T220" s="14">
        <v>6933</v>
      </c>
      <c r="U220" s="16">
        <f t="shared" si="1098"/>
        <v>0.24799685219630849</v>
      </c>
      <c r="V220" s="14">
        <v>30</v>
      </c>
      <c r="W220" s="17">
        <f t="shared" si="1099"/>
        <v>1.0731148948347404E-3</v>
      </c>
      <c r="X220" s="14">
        <v>0</v>
      </c>
      <c r="Y220" s="17">
        <f t="shared" si="1100"/>
        <v>0</v>
      </c>
      <c r="Z220" s="14">
        <v>0</v>
      </c>
      <c r="AA220" s="17">
        <f t="shared" si="1101"/>
        <v>0</v>
      </c>
      <c r="AB220" s="14">
        <v>0</v>
      </c>
      <c r="AC220" s="17">
        <f t="shared" si="1102"/>
        <v>0</v>
      </c>
      <c r="AD220" s="14">
        <v>0</v>
      </c>
      <c r="AE220" s="17">
        <f t="shared" si="1103"/>
        <v>0</v>
      </c>
      <c r="AF220" s="14">
        <v>0</v>
      </c>
      <c r="AG220" s="17">
        <f t="shared" si="1104"/>
        <v>0</v>
      </c>
      <c r="AH220" s="14">
        <v>105758.7</v>
      </c>
      <c r="AI220" s="15">
        <f t="shared" si="1105"/>
        <v>3.7830412076119617</v>
      </c>
      <c r="AJ220" s="14">
        <v>17051</v>
      </c>
      <c r="AK220" s="17">
        <f t="shared" si="1106"/>
        <v>0.60992273572757194</v>
      </c>
      <c r="AL220" s="14">
        <v>2382278.3265</v>
      </c>
      <c r="AM220" s="15">
        <f t="shared" si="1107"/>
        <v>85.215278526970948</v>
      </c>
      <c r="AN220" s="14">
        <v>1070</v>
      </c>
      <c r="AO220" s="14">
        <v>72</v>
      </c>
      <c r="AP220" s="14">
        <v>196848</v>
      </c>
      <c r="AQ220" s="14">
        <v>0</v>
      </c>
      <c r="AR220" s="14">
        <v>0</v>
      </c>
      <c r="AS220" s="14">
        <v>0</v>
      </c>
      <c r="AT220" s="14">
        <v>0</v>
      </c>
      <c r="AU220" s="15">
        <f t="shared" si="1108"/>
        <v>2684885.0265000002</v>
      </c>
      <c r="AV220" s="15">
        <f t="shared" si="1109"/>
        <v>96.039670428530556</v>
      </c>
      <c r="AW220" s="15">
        <f t="shared" si="1110"/>
        <v>127.71179310754889</v>
      </c>
      <c r="AX220" s="14">
        <v>7</v>
      </c>
      <c r="AY220" s="15">
        <f t="shared" si="1111"/>
        <v>3.0047217055372726</v>
      </c>
      <c r="AZ220" s="14">
        <v>6</v>
      </c>
      <c r="BA220" s="14">
        <v>191</v>
      </c>
      <c r="BB220" s="14">
        <v>15</v>
      </c>
      <c r="BC220" s="14">
        <v>17</v>
      </c>
      <c r="BD220" s="14">
        <v>0</v>
      </c>
      <c r="BE220" s="15">
        <f t="shared" si="1112"/>
        <v>17</v>
      </c>
      <c r="BF220" s="15">
        <f t="shared" si="1113"/>
        <v>189</v>
      </c>
      <c r="BG220" s="14">
        <v>0</v>
      </c>
      <c r="BH220" s="14">
        <v>0</v>
      </c>
      <c r="BI220" s="14">
        <v>0</v>
      </c>
      <c r="BJ220" s="14">
        <v>0</v>
      </c>
      <c r="BK220" s="15">
        <f t="shared" si="1114"/>
        <v>0</v>
      </c>
      <c r="BL220" s="15">
        <f t="shared" si="1115"/>
        <v>0</v>
      </c>
      <c r="BM220" s="14">
        <v>0</v>
      </c>
      <c r="BN220" s="14">
        <v>0</v>
      </c>
      <c r="BO220" s="14">
        <v>0</v>
      </c>
      <c r="BP220" s="14">
        <v>0</v>
      </c>
      <c r="BQ220" s="15">
        <f t="shared" si="1116"/>
        <v>0</v>
      </c>
      <c r="BR220" s="15">
        <f t="shared" si="1117"/>
        <v>0</v>
      </c>
      <c r="BS220" s="14">
        <v>0</v>
      </c>
      <c r="BT220" s="14">
        <v>0</v>
      </c>
      <c r="BU220" s="14">
        <v>0</v>
      </c>
      <c r="BV220" s="14">
        <v>0</v>
      </c>
      <c r="BW220" s="15">
        <f t="shared" si="1118"/>
        <v>0</v>
      </c>
      <c r="BX220" s="15">
        <f t="shared" si="1119"/>
        <v>0</v>
      </c>
      <c r="BY220" s="15">
        <f t="shared" si="1120"/>
        <v>191</v>
      </c>
      <c r="BZ220" s="15">
        <f t="shared" si="1121"/>
        <v>15</v>
      </c>
      <c r="CA220" s="15">
        <f t="shared" si="1122"/>
        <v>17</v>
      </c>
      <c r="CB220" s="15">
        <f t="shared" si="1123"/>
        <v>189</v>
      </c>
      <c r="CC220" s="14">
        <v>0</v>
      </c>
      <c r="CD220" s="14">
        <v>968</v>
      </c>
      <c r="CE220" s="14">
        <v>11</v>
      </c>
      <c r="CF220" s="14">
        <v>13</v>
      </c>
      <c r="CG220" s="14">
        <v>16</v>
      </c>
      <c r="CH220" s="15">
        <f t="shared" si="1124"/>
        <v>1008</v>
      </c>
      <c r="CI220" s="14">
        <v>2100</v>
      </c>
      <c r="CJ220" s="14">
        <v>23</v>
      </c>
      <c r="CK220" s="14">
        <v>15</v>
      </c>
      <c r="CL220" s="14">
        <v>9</v>
      </c>
      <c r="CM220" s="15">
        <f t="shared" si="1125"/>
        <v>2147</v>
      </c>
      <c r="CN220" s="14">
        <v>636</v>
      </c>
      <c r="CO220" s="14">
        <v>42</v>
      </c>
      <c r="CP220" s="14">
        <v>56</v>
      </c>
      <c r="CQ220" s="14">
        <v>3</v>
      </c>
      <c r="CR220" s="15">
        <f t="shared" si="1126"/>
        <v>737</v>
      </c>
      <c r="CS220" s="15">
        <f t="shared" si="1127"/>
        <v>2884</v>
      </c>
      <c r="CT220" s="14">
        <v>3892</v>
      </c>
      <c r="CU220" s="14">
        <v>22173.258000000002</v>
      </c>
      <c r="CV220" s="14">
        <v>16999</v>
      </c>
      <c r="CW220" s="16">
        <f t="shared" si="1128"/>
        <v>0.76664421619953182</v>
      </c>
      <c r="CX220" s="14">
        <v>0</v>
      </c>
      <c r="CY220" s="14"/>
      <c r="CZ220" s="14"/>
      <c r="DA220" s="14"/>
      <c r="DB220" s="15">
        <f t="shared" si="1129"/>
        <v>0</v>
      </c>
      <c r="DC220" s="14">
        <v>0</v>
      </c>
      <c r="DD220" s="14">
        <v>0</v>
      </c>
      <c r="DE220" s="14">
        <v>0</v>
      </c>
      <c r="DF220" s="14">
        <v>0</v>
      </c>
      <c r="DG220" s="15">
        <f t="shared" si="1130"/>
        <v>0</v>
      </c>
      <c r="DH220" s="14">
        <v>0</v>
      </c>
      <c r="DI220" s="14">
        <v>0</v>
      </c>
      <c r="DJ220" s="14">
        <v>0</v>
      </c>
      <c r="DK220" s="14">
        <v>0</v>
      </c>
      <c r="DL220" s="15">
        <f t="shared" si="1131"/>
        <v>0</v>
      </c>
      <c r="DM220" s="14">
        <v>184</v>
      </c>
      <c r="DN220" s="14">
        <v>11</v>
      </c>
      <c r="DO220" s="14">
        <v>14</v>
      </c>
      <c r="DP220" s="14">
        <v>0</v>
      </c>
      <c r="DQ220" s="15">
        <f t="shared" si="1132"/>
        <v>181</v>
      </c>
      <c r="DR220" s="15">
        <f t="shared" si="1133"/>
        <v>184</v>
      </c>
      <c r="DS220" s="15">
        <f t="shared" si="1134"/>
        <v>11</v>
      </c>
      <c r="DT220" s="15">
        <f t="shared" si="1135"/>
        <v>14</v>
      </c>
      <c r="DU220" s="15">
        <f t="shared" si="1136"/>
        <v>0</v>
      </c>
      <c r="DV220" s="15">
        <f t="shared" si="1137"/>
        <v>181</v>
      </c>
      <c r="DW220" s="14">
        <v>62</v>
      </c>
      <c r="DX220" s="14">
        <v>10</v>
      </c>
      <c r="DY220" s="14">
        <v>4</v>
      </c>
      <c r="DZ220" s="14">
        <v>0</v>
      </c>
      <c r="EA220" s="14">
        <v>0</v>
      </c>
      <c r="EB220" s="14">
        <v>2</v>
      </c>
      <c r="EC220" s="14">
        <v>0</v>
      </c>
      <c r="ED220" s="14">
        <v>0</v>
      </c>
      <c r="EE220" s="14">
        <v>3</v>
      </c>
      <c r="EF220" s="14">
        <v>0</v>
      </c>
      <c r="EG220" s="14">
        <v>0</v>
      </c>
      <c r="EH220" s="14">
        <v>0</v>
      </c>
      <c r="EI220" s="14">
        <v>0</v>
      </c>
      <c r="EJ220" s="14">
        <v>0</v>
      </c>
      <c r="EK220" s="14">
        <v>0</v>
      </c>
      <c r="EL220" s="14">
        <v>0</v>
      </c>
      <c r="EM220" s="14">
        <v>0</v>
      </c>
      <c r="EN220" s="14">
        <v>0</v>
      </c>
      <c r="EO220" s="14">
        <v>0</v>
      </c>
      <c r="EP220" s="14">
        <v>0</v>
      </c>
      <c r="EQ220" s="14">
        <v>0</v>
      </c>
      <c r="ER220" s="14">
        <v>0</v>
      </c>
      <c r="ES220" s="14">
        <v>0</v>
      </c>
      <c r="ET220" s="14">
        <v>0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4">
        <v>0</v>
      </c>
      <c r="FA220" s="14">
        <v>0</v>
      </c>
      <c r="FB220" s="14">
        <v>0</v>
      </c>
      <c r="FC220" s="14">
        <v>0</v>
      </c>
      <c r="FD220" s="14">
        <v>0</v>
      </c>
      <c r="FE220" s="14">
        <v>0</v>
      </c>
      <c r="FF220" s="14">
        <v>0</v>
      </c>
      <c r="FG220" s="15">
        <f t="shared" si="1138"/>
        <v>81</v>
      </c>
      <c r="FH220" s="14">
        <v>0</v>
      </c>
      <c r="FI220" s="14">
        <v>0</v>
      </c>
      <c r="FJ220" s="14">
        <v>0</v>
      </c>
      <c r="FK220" s="14">
        <v>0</v>
      </c>
      <c r="FL220" s="14">
        <v>0</v>
      </c>
      <c r="FM220" s="14">
        <v>0</v>
      </c>
      <c r="FN220" s="14">
        <v>0</v>
      </c>
      <c r="FO220" s="14">
        <v>0</v>
      </c>
      <c r="FP220" s="14">
        <v>0</v>
      </c>
      <c r="FQ220" s="15">
        <f t="shared" si="1139"/>
        <v>0</v>
      </c>
      <c r="FR220" s="14">
        <v>12272480</v>
      </c>
      <c r="FS220" s="14">
        <v>76150</v>
      </c>
      <c r="FT220" s="14">
        <v>73100</v>
      </c>
      <c r="FU220" s="14">
        <v>113400</v>
      </c>
      <c r="FV220" s="15">
        <f t="shared" si="1140"/>
        <v>12535130</v>
      </c>
      <c r="FW220" s="14">
        <v>3259273</v>
      </c>
      <c r="FX220" s="14">
        <v>2000</v>
      </c>
      <c r="FY220" s="14">
        <v>3383000</v>
      </c>
      <c r="FZ220" s="14">
        <v>2371479</v>
      </c>
      <c r="GA220" s="15">
        <f t="shared" si="1141"/>
        <v>9015752</v>
      </c>
      <c r="GB220" s="15">
        <f t="shared" si="1142"/>
        <v>21550882</v>
      </c>
      <c r="GC220" s="14">
        <v>12483381.58</v>
      </c>
      <c r="GD220" s="14">
        <v>79572.479999999996</v>
      </c>
      <c r="GE220" s="14">
        <v>551087.35999999999</v>
      </c>
      <c r="GF220" s="14">
        <v>212721.04</v>
      </c>
      <c r="GG220" s="15">
        <f t="shared" si="1143"/>
        <v>13326762.459999999</v>
      </c>
      <c r="GH220" s="14">
        <v>3237564.41</v>
      </c>
      <c r="GI220" s="14">
        <v>2000</v>
      </c>
      <c r="GJ220" s="14">
        <v>2192679.4</v>
      </c>
      <c r="GK220" s="14">
        <v>3383000</v>
      </c>
      <c r="GL220" s="15">
        <f t="shared" si="1144"/>
        <v>8815243.8100000005</v>
      </c>
      <c r="GM220" s="15">
        <f t="shared" si="1145"/>
        <v>22142006.27</v>
      </c>
      <c r="GN220" s="14">
        <v>1162873.8999999999</v>
      </c>
      <c r="GO220" s="14">
        <v>1530.24</v>
      </c>
      <c r="GP220" s="14">
        <v>67872.800000000003</v>
      </c>
      <c r="GQ220" s="14">
        <v>64922.76</v>
      </c>
      <c r="GR220" s="15">
        <f t="shared" si="1146"/>
        <v>1297199.7</v>
      </c>
      <c r="GS220" s="14">
        <v>1952991</v>
      </c>
      <c r="GT220" s="14">
        <v>7144</v>
      </c>
      <c r="GU220" s="14">
        <v>17860</v>
      </c>
      <c r="GV220" s="14">
        <v>12502</v>
      </c>
      <c r="GW220" s="15">
        <f t="shared" si="1147"/>
        <v>1990497</v>
      </c>
      <c r="GX220" s="15">
        <f t="shared" si="1148"/>
        <v>25429702.969999999</v>
      </c>
      <c r="GY220" s="14">
        <v>67351313.959999993</v>
      </c>
      <c r="GZ220" s="14">
        <v>2104411.3199999998</v>
      </c>
      <c r="HA220" s="15">
        <f t="shared" si="1149"/>
        <v>69455725.279999986</v>
      </c>
      <c r="HB220" s="15">
        <f t="shared" si="1150"/>
        <v>0.10558066799550983</v>
      </c>
      <c r="HC220" s="16">
        <f t="shared" si="1151"/>
        <v>0.23227684620291866</v>
      </c>
      <c r="HD220" s="15">
        <f t="shared" si="1152"/>
        <v>0.84746888414009658</v>
      </c>
      <c r="HE220" s="14">
        <v>15</v>
      </c>
      <c r="HF220" s="14">
        <v>1</v>
      </c>
      <c r="HG220" s="14">
        <v>189</v>
      </c>
      <c r="HH220" s="14">
        <v>15</v>
      </c>
      <c r="HI220" s="14">
        <v>30</v>
      </c>
      <c r="HJ220" s="15">
        <f t="shared" si="1153"/>
        <v>31</v>
      </c>
      <c r="HK220" s="16">
        <f t="shared" si="1154"/>
        <v>1</v>
      </c>
      <c r="HL220" s="14">
        <v>6</v>
      </c>
      <c r="HM220" s="14">
        <v>60</v>
      </c>
      <c r="HN220" s="17">
        <f t="shared" si="1155"/>
        <v>10</v>
      </c>
    </row>
    <row r="221" spans="1:222" x14ac:dyDescent="0.3">
      <c r="A221" s="6" t="s">
        <v>289</v>
      </c>
      <c r="B221" s="6" t="s">
        <v>291</v>
      </c>
      <c r="C221" s="7" t="s">
        <v>257</v>
      </c>
      <c r="D221" s="7">
        <v>2025</v>
      </c>
      <c r="E221" s="7">
        <v>6</v>
      </c>
      <c r="F221" s="7" t="s">
        <v>261</v>
      </c>
      <c r="G221" s="7" t="s">
        <v>259</v>
      </c>
      <c r="H221" s="8">
        <v>27151</v>
      </c>
      <c r="I221" s="8">
        <v>13455</v>
      </c>
      <c r="J221" s="8">
        <v>478</v>
      </c>
      <c r="K221" s="8">
        <v>323</v>
      </c>
      <c r="L221" s="8">
        <v>101</v>
      </c>
      <c r="M221" s="9">
        <f t="shared" si="1095"/>
        <v>14357</v>
      </c>
      <c r="N221" s="8">
        <v>1008</v>
      </c>
      <c r="O221" s="8">
        <v>0</v>
      </c>
      <c r="P221" s="8">
        <v>4406</v>
      </c>
      <c r="Q221" s="8">
        <v>711</v>
      </c>
      <c r="R221" s="9">
        <f t="shared" si="1096"/>
        <v>6125</v>
      </c>
      <c r="S221" s="9">
        <f t="shared" si="1097"/>
        <v>20482</v>
      </c>
      <c r="T221" s="8">
        <v>6669</v>
      </c>
      <c r="U221" s="10">
        <f t="shared" si="1098"/>
        <v>0.24562631210636809</v>
      </c>
      <c r="V221" s="8">
        <v>31</v>
      </c>
      <c r="W221" s="11">
        <f t="shared" si="1099"/>
        <v>1.1417627343375935E-3</v>
      </c>
      <c r="X221" s="8">
        <v>0</v>
      </c>
      <c r="Y221" s="11">
        <f t="shared" si="1100"/>
        <v>0</v>
      </c>
      <c r="Z221" s="8">
        <v>0</v>
      </c>
      <c r="AA221" s="11">
        <f t="shared" si="1101"/>
        <v>0</v>
      </c>
      <c r="AB221" s="8">
        <v>0</v>
      </c>
      <c r="AC221" s="11">
        <f t="shared" si="1102"/>
        <v>0</v>
      </c>
      <c r="AD221" s="8">
        <v>0</v>
      </c>
      <c r="AE221" s="11">
        <f t="shared" si="1103"/>
        <v>0</v>
      </c>
      <c r="AF221" s="8">
        <v>0</v>
      </c>
      <c r="AG221" s="11">
        <f t="shared" si="1104"/>
        <v>0</v>
      </c>
      <c r="AH221" s="8">
        <v>109283.99</v>
      </c>
      <c r="AI221" s="9">
        <f t="shared" si="1105"/>
        <v>4.0250447497329747</v>
      </c>
      <c r="AJ221" s="8">
        <v>17600</v>
      </c>
      <c r="AK221" s="11">
        <f t="shared" si="1106"/>
        <v>0.6482265846561821</v>
      </c>
      <c r="AL221" s="8">
        <v>2458452.9</v>
      </c>
      <c r="AM221" s="9">
        <f t="shared" si="1107"/>
        <v>90.547416301425358</v>
      </c>
      <c r="AN221" s="8">
        <v>1165</v>
      </c>
      <c r="AO221" s="8">
        <v>90</v>
      </c>
      <c r="AP221" s="8">
        <v>246060</v>
      </c>
      <c r="AQ221" s="8">
        <v>0</v>
      </c>
      <c r="AR221" s="8">
        <v>0</v>
      </c>
      <c r="AS221" s="8">
        <v>0</v>
      </c>
      <c r="AT221" s="8">
        <v>0</v>
      </c>
      <c r="AU221" s="9">
        <f t="shared" si="1108"/>
        <v>2813796.89</v>
      </c>
      <c r="AV221" s="9">
        <f t="shared" si="1109"/>
        <v>103.63511067732313</v>
      </c>
      <c r="AW221" s="9">
        <f t="shared" si="1110"/>
        <v>137.37901035055171</v>
      </c>
      <c r="AX221" s="8">
        <v>7</v>
      </c>
      <c r="AY221" s="9">
        <f t="shared" si="1111"/>
        <v>3.0938086994954146</v>
      </c>
      <c r="AZ221" s="8">
        <v>6</v>
      </c>
      <c r="BA221" s="8">
        <v>189</v>
      </c>
      <c r="BB221" s="8">
        <v>12</v>
      </c>
      <c r="BC221" s="8">
        <v>13</v>
      </c>
      <c r="BD221" s="8">
        <v>0</v>
      </c>
      <c r="BE221" s="9">
        <f t="shared" si="1112"/>
        <v>13</v>
      </c>
      <c r="BF221" s="9">
        <f t="shared" si="1113"/>
        <v>188</v>
      </c>
      <c r="BG221" s="8">
        <v>0</v>
      </c>
      <c r="BH221" s="8">
        <v>0</v>
      </c>
      <c r="BI221" s="8">
        <v>0</v>
      </c>
      <c r="BJ221" s="8">
        <v>0</v>
      </c>
      <c r="BK221" s="9">
        <f t="shared" si="1114"/>
        <v>0</v>
      </c>
      <c r="BL221" s="9">
        <f t="shared" si="1115"/>
        <v>0</v>
      </c>
      <c r="BM221" s="8">
        <v>0</v>
      </c>
      <c r="BN221" s="8">
        <v>0</v>
      </c>
      <c r="BO221" s="8">
        <v>0</v>
      </c>
      <c r="BP221" s="8">
        <v>0</v>
      </c>
      <c r="BQ221" s="9">
        <f t="shared" si="1116"/>
        <v>0</v>
      </c>
      <c r="BR221" s="9">
        <f t="shared" si="1117"/>
        <v>0</v>
      </c>
      <c r="BS221" s="8">
        <v>0</v>
      </c>
      <c r="BT221" s="8">
        <v>0</v>
      </c>
      <c r="BU221" s="8">
        <v>0</v>
      </c>
      <c r="BV221" s="8">
        <v>0</v>
      </c>
      <c r="BW221" s="9">
        <f t="shared" si="1118"/>
        <v>0</v>
      </c>
      <c r="BX221" s="9">
        <f t="shared" si="1119"/>
        <v>0</v>
      </c>
      <c r="BY221" s="9">
        <f t="shared" si="1120"/>
        <v>189</v>
      </c>
      <c r="BZ221" s="9">
        <f t="shared" si="1121"/>
        <v>12</v>
      </c>
      <c r="CA221" s="9">
        <f t="shared" si="1122"/>
        <v>13</v>
      </c>
      <c r="CB221" s="9">
        <f t="shared" si="1123"/>
        <v>188</v>
      </c>
      <c r="CC221" s="8">
        <v>0</v>
      </c>
      <c r="CD221" s="8">
        <v>1061</v>
      </c>
      <c r="CE221" s="8">
        <v>11</v>
      </c>
      <c r="CF221" s="8">
        <v>13</v>
      </c>
      <c r="CG221" s="8">
        <v>16</v>
      </c>
      <c r="CH221" s="9">
        <f t="shared" si="1124"/>
        <v>1101</v>
      </c>
      <c r="CI221" s="8">
        <v>2020</v>
      </c>
      <c r="CJ221" s="8">
        <v>23</v>
      </c>
      <c r="CK221" s="8">
        <v>15</v>
      </c>
      <c r="CL221" s="8">
        <v>9</v>
      </c>
      <c r="CM221" s="9">
        <f t="shared" si="1125"/>
        <v>2067</v>
      </c>
      <c r="CN221" s="8">
        <v>636</v>
      </c>
      <c r="CO221" s="8">
        <v>42</v>
      </c>
      <c r="CP221" s="8">
        <v>56</v>
      </c>
      <c r="CQ221" s="8">
        <v>3</v>
      </c>
      <c r="CR221" s="9">
        <f t="shared" si="1126"/>
        <v>737</v>
      </c>
      <c r="CS221" s="9">
        <f t="shared" si="1127"/>
        <v>2804</v>
      </c>
      <c r="CT221" s="8">
        <v>3905</v>
      </c>
      <c r="CU221" s="8">
        <v>22217.604515999999</v>
      </c>
      <c r="CV221" s="8">
        <v>17012</v>
      </c>
      <c r="CW221" s="10">
        <f t="shared" si="1128"/>
        <v>0.76569910980946732</v>
      </c>
      <c r="CX221" s="8">
        <v>0</v>
      </c>
      <c r="CY221" s="8"/>
      <c r="CZ221" s="8"/>
      <c r="DA221" s="8"/>
      <c r="DB221" s="9">
        <f t="shared" si="1129"/>
        <v>0</v>
      </c>
      <c r="DC221" s="8">
        <v>0</v>
      </c>
      <c r="DD221" s="8">
        <v>0</v>
      </c>
      <c r="DE221" s="8">
        <v>0</v>
      </c>
      <c r="DF221" s="8">
        <v>0</v>
      </c>
      <c r="DG221" s="9">
        <f t="shared" si="1130"/>
        <v>0</v>
      </c>
      <c r="DH221" s="8">
        <v>0</v>
      </c>
      <c r="DI221" s="8">
        <v>0</v>
      </c>
      <c r="DJ221" s="8">
        <v>0</v>
      </c>
      <c r="DK221" s="8">
        <v>0</v>
      </c>
      <c r="DL221" s="9">
        <f t="shared" si="1131"/>
        <v>0</v>
      </c>
      <c r="DM221" s="8">
        <v>181</v>
      </c>
      <c r="DN221" s="8">
        <v>16</v>
      </c>
      <c r="DO221" s="8">
        <v>21</v>
      </c>
      <c r="DP221" s="8">
        <v>0</v>
      </c>
      <c r="DQ221" s="9">
        <f t="shared" si="1132"/>
        <v>176</v>
      </c>
      <c r="DR221" s="9">
        <f t="shared" si="1133"/>
        <v>181</v>
      </c>
      <c r="DS221" s="9">
        <f t="shared" si="1134"/>
        <v>16</v>
      </c>
      <c r="DT221" s="9">
        <f t="shared" si="1135"/>
        <v>21</v>
      </c>
      <c r="DU221" s="9">
        <f t="shared" si="1136"/>
        <v>0</v>
      </c>
      <c r="DV221" s="9">
        <f t="shared" si="1137"/>
        <v>176</v>
      </c>
      <c r="DW221" s="8">
        <v>56</v>
      </c>
      <c r="DX221" s="8">
        <v>9</v>
      </c>
      <c r="DY221" s="8">
        <v>0</v>
      </c>
      <c r="DZ221" s="8">
        <v>3</v>
      </c>
      <c r="EA221" s="8">
        <v>0</v>
      </c>
      <c r="EB221" s="8">
        <v>2</v>
      </c>
      <c r="EC221" s="8">
        <v>0</v>
      </c>
      <c r="ED221" s="8">
        <v>0</v>
      </c>
      <c r="EE221" s="8">
        <v>0</v>
      </c>
      <c r="EF221" s="8">
        <v>2</v>
      </c>
      <c r="EG221" s="8">
        <v>0</v>
      </c>
      <c r="EH221" s="8">
        <v>0</v>
      </c>
      <c r="EI221" s="8">
        <v>0</v>
      </c>
      <c r="EJ221" s="8">
        <v>0</v>
      </c>
      <c r="EK221" s="8">
        <v>0</v>
      </c>
      <c r="EL221" s="8">
        <v>0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8">
        <v>0</v>
      </c>
      <c r="ES221" s="8">
        <v>0</v>
      </c>
      <c r="ET221" s="8">
        <v>0</v>
      </c>
      <c r="EU221" s="8">
        <v>0</v>
      </c>
      <c r="EV221" s="8">
        <v>0</v>
      </c>
      <c r="EW221" s="8">
        <v>0</v>
      </c>
      <c r="EX221" s="8">
        <v>0</v>
      </c>
      <c r="EY221" s="8">
        <v>0</v>
      </c>
      <c r="EZ221" s="8">
        <v>0</v>
      </c>
      <c r="FA221" s="8">
        <v>0</v>
      </c>
      <c r="FB221" s="8">
        <v>0</v>
      </c>
      <c r="FC221" s="8">
        <v>0</v>
      </c>
      <c r="FD221" s="8">
        <v>0</v>
      </c>
      <c r="FE221" s="8">
        <v>0</v>
      </c>
      <c r="FF221" s="8">
        <v>0</v>
      </c>
      <c r="FG221" s="9">
        <f t="shared" si="1138"/>
        <v>72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9">
        <f t="shared" si="1139"/>
        <v>0</v>
      </c>
      <c r="FR221" s="8">
        <v>10462218</v>
      </c>
      <c r="FS221" s="8">
        <v>45000</v>
      </c>
      <c r="FT221" s="8">
        <v>58500</v>
      </c>
      <c r="FU221" s="8">
        <v>227000</v>
      </c>
      <c r="FV221" s="9">
        <f t="shared" si="1140"/>
        <v>10792718</v>
      </c>
      <c r="FW221" s="8">
        <v>2696767</v>
      </c>
      <c r="FX221" s="8">
        <v>0</v>
      </c>
      <c r="FY221" s="8">
        <v>255000</v>
      </c>
      <c r="FZ221" s="8">
        <v>3101700</v>
      </c>
      <c r="GA221" s="9">
        <f t="shared" si="1141"/>
        <v>6053467</v>
      </c>
      <c r="GB221" s="9">
        <f t="shared" si="1142"/>
        <v>16846185</v>
      </c>
      <c r="GC221" s="8">
        <v>13668607</v>
      </c>
      <c r="GD221" s="8">
        <v>91431.84</v>
      </c>
      <c r="GE221" s="8">
        <v>1091671.1100000001</v>
      </c>
      <c r="GF221" s="8">
        <v>341973.8</v>
      </c>
      <c r="GG221" s="9">
        <f t="shared" si="1143"/>
        <v>15193683.75</v>
      </c>
      <c r="GH221" s="8">
        <v>2662582.7400000002</v>
      </c>
      <c r="GI221" s="8">
        <v>0</v>
      </c>
      <c r="GJ221" s="8">
        <v>2990805.03</v>
      </c>
      <c r="GK221" s="8">
        <v>255000</v>
      </c>
      <c r="GL221" s="9">
        <f t="shared" si="1144"/>
        <v>5908387.7699999996</v>
      </c>
      <c r="GM221" s="9">
        <f t="shared" si="1145"/>
        <v>21102071.52</v>
      </c>
      <c r="GN221" s="8">
        <v>1135570.1000000001</v>
      </c>
      <c r="GO221" s="8">
        <v>1147.68</v>
      </c>
      <c r="GP221" s="8">
        <v>71266.44</v>
      </c>
      <c r="GQ221" s="8">
        <v>55648.08</v>
      </c>
      <c r="GR221" s="9">
        <f t="shared" si="1146"/>
        <v>1263632.3</v>
      </c>
      <c r="GS221" s="8">
        <v>1905662</v>
      </c>
      <c r="GT221" s="8">
        <v>5358</v>
      </c>
      <c r="GU221" s="8">
        <v>18753</v>
      </c>
      <c r="GV221" s="8">
        <v>10716</v>
      </c>
      <c r="GW221" s="9">
        <f t="shared" si="1147"/>
        <v>1940489</v>
      </c>
      <c r="GX221" s="9">
        <f t="shared" si="1148"/>
        <v>24306192.82</v>
      </c>
      <c r="GY221" s="8">
        <v>69280393.620000005</v>
      </c>
      <c r="GZ221" s="8">
        <v>3258489.86</v>
      </c>
      <c r="HA221" s="9">
        <f t="shared" si="1149"/>
        <v>72538883.480000004</v>
      </c>
      <c r="HB221" s="9">
        <f t="shared" si="1150"/>
        <v>0.11576460825591361</v>
      </c>
      <c r="HC221" s="10">
        <f t="shared" si="1151"/>
        <v>0.18000640519996297</v>
      </c>
      <c r="HD221" s="9">
        <f t="shared" si="1152"/>
        <v>0.69308201102306566</v>
      </c>
      <c r="HE221" s="8">
        <v>12</v>
      </c>
      <c r="HF221" s="8">
        <v>1</v>
      </c>
      <c r="HG221" s="8">
        <v>188</v>
      </c>
      <c r="HH221" s="8">
        <v>12</v>
      </c>
      <c r="HI221" s="8">
        <v>30</v>
      </c>
      <c r="HJ221" s="9">
        <f t="shared" si="1153"/>
        <v>31</v>
      </c>
      <c r="HK221" s="10">
        <f t="shared" si="1154"/>
        <v>1</v>
      </c>
      <c r="HL221" s="8">
        <v>12</v>
      </c>
      <c r="HM221" s="8">
        <v>60</v>
      </c>
      <c r="HN221" s="11">
        <f t="shared" si="1155"/>
        <v>5</v>
      </c>
    </row>
    <row r="222" spans="1:222" x14ac:dyDescent="0.3">
      <c r="A222" s="12" t="s">
        <v>289</v>
      </c>
      <c r="B222" s="12" t="s">
        <v>291</v>
      </c>
      <c r="C222" s="13" t="s">
        <v>257</v>
      </c>
      <c r="D222" s="13">
        <v>2025</v>
      </c>
      <c r="E222" s="13">
        <v>7</v>
      </c>
      <c r="F222" s="13" t="s">
        <v>262</v>
      </c>
      <c r="G222" s="13" t="s">
        <v>263</v>
      </c>
      <c r="H222" s="14">
        <v>27725</v>
      </c>
      <c r="I222" s="14">
        <v>13238</v>
      </c>
      <c r="J222" s="14">
        <v>1214</v>
      </c>
      <c r="K222" s="14">
        <v>1522</v>
      </c>
      <c r="L222" s="14">
        <v>495</v>
      </c>
      <c r="M222" s="15">
        <f t="shared" si="1095"/>
        <v>16469</v>
      </c>
      <c r="N222" s="14">
        <v>1193</v>
      </c>
      <c r="O222" s="14">
        <v>0</v>
      </c>
      <c r="P222" s="14">
        <v>2511</v>
      </c>
      <c r="Q222" s="14">
        <v>621</v>
      </c>
      <c r="R222" s="15">
        <f t="shared" si="1096"/>
        <v>4325</v>
      </c>
      <c r="S222" s="15">
        <f t="shared" si="1097"/>
        <v>20794</v>
      </c>
      <c r="T222" s="14">
        <v>6931</v>
      </c>
      <c r="U222" s="16">
        <f t="shared" si="1098"/>
        <v>0.24999098286744814</v>
      </c>
      <c r="V222" s="14">
        <v>31</v>
      </c>
      <c r="W222" s="17">
        <f t="shared" si="1099"/>
        <v>1.1181244364292155E-3</v>
      </c>
      <c r="X222" s="14">
        <v>0</v>
      </c>
      <c r="Y222" s="17">
        <f t="shared" si="1100"/>
        <v>0</v>
      </c>
      <c r="Z222" s="14">
        <v>0</v>
      </c>
      <c r="AA222" s="17">
        <f t="shared" si="1101"/>
        <v>0</v>
      </c>
      <c r="AB222" s="14">
        <v>0</v>
      </c>
      <c r="AC222" s="17">
        <f t="shared" si="1102"/>
        <v>0</v>
      </c>
      <c r="AD222" s="14">
        <v>0</v>
      </c>
      <c r="AE222" s="17">
        <f t="shared" si="1103"/>
        <v>0</v>
      </c>
      <c r="AF222" s="14">
        <v>0</v>
      </c>
      <c r="AG222" s="17">
        <f t="shared" si="1104"/>
        <v>0</v>
      </c>
      <c r="AH222" s="14">
        <v>109283.99</v>
      </c>
      <c r="AI222" s="15">
        <f t="shared" si="1105"/>
        <v>3.9417128944995494</v>
      </c>
      <c r="AJ222" s="14">
        <v>16151</v>
      </c>
      <c r="AK222" s="17">
        <f t="shared" si="1106"/>
        <v>0.58254283137962126</v>
      </c>
      <c r="AL222" s="14">
        <v>2257401.9764999999</v>
      </c>
      <c r="AM222" s="15">
        <f t="shared" si="1107"/>
        <v>81.421171379621271</v>
      </c>
      <c r="AN222" s="14">
        <v>853</v>
      </c>
      <c r="AO222" s="14">
        <v>130</v>
      </c>
      <c r="AP222" s="14">
        <v>355420</v>
      </c>
      <c r="AQ222" s="14">
        <v>0</v>
      </c>
      <c r="AR222" s="14">
        <v>0</v>
      </c>
      <c r="AS222" s="14">
        <v>0</v>
      </c>
      <c r="AT222" s="14">
        <v>0</v>
      </c>
      <c r="AU222" s="15">
        <f t="shared" si="1108"/>
        <v>2722105.9665000001</v>
      </c>
      <c r="AV222" s="15">
        <f t="shared" si="1109"/>
        <v>98.182361280432829</v>
      </c>
      <c r="AW222" s="15">
        <f t="shared" si="1110"/>
        <v>130.90824115129365</v>
      </c>
      <c r="AX222" s="14">
        <v>7</v>
      </c>
      <c r="AY222" s="15">
        <f t="shared" si="1111"/>
        <v>3.0297565374211</v>
      </c>
      <c r="AZ222" s="14">
        <v>6</v>
      </c>
      <c r="BA222" s="14">
        <v>188</v>
      </c>
      <c r="BB222" s="14">
        <v>9</v>
      </c>
      <c r="BC222" s="14">
        <v>43</v>
      </c>
      <c r="BD222" s="14">
        <v>0</v>
      </c>
      <c r="BE222" s="15">
        <f t="shared" si="1112"/>
        <v>43</v>
      </c>
      <c r="BF222" s="15">
        <f t="shared" si="1113"/>
        <v>154</v>
      </c>
      <c r="BG222" s="14">
        <v>0</v>
      </c>
      <c r="BH222" s="14">
        <v>0</v>
      </c>
      <c r="BI222" s="14">
        <v>0</v>
      </c>
      <c r="BJ222" s="14">
        <v>0</v>
      </c>
      <c r="BK222" s="15">
        <f t="shared" si="1114"/>
        <v>0</v>
      </c>
      <c r="BL222" s="15">
        <f t="shared" si="1115"/>
        <v>0</v>
      </c>
      <c r="BM222" s="14">
        <v>0</v>
      </c>
      <c r="BN222" s="14">
        <v>0</v>
      </c>
      <c r="BO222" s="14">
        <v>0</v>
      </c>
      <c r="BP222" s="14">
        <v>0</v>
      </c>
      <c r="BQ222" s="15">
        <f t="shared" si="1116"/>
        <v>0</v>
      </c>
      <c r="BR222" s="15">
        <f t="shared" si="1117"/>
        <v>0</v>
      </c>
      <c r="BS222" s="14">
        <v>0</v>
      </c>
      <c r="BT222" s="14">
        <v>0</v>
      </c>
      <c r="BU222" s="14">
        <v>0</v>
      </c>
      <c r="BV222" s="14">
        <v>0</v>
      </c>
      <c r="BW222" s="15">
        <f t="shared" si="1118"/>
        <v>0</v>
      </c>
      <c r="BX222" s="15">
        <f t="shared" si="1119"/>
        <v>0</v>
      </c>
      <c r="BY222" s="15">
        <f t="shared" si="1120"/>
        <v>188</v>
      </c>
      <c r="BZ222" s="15">
        <f t="shared" si="1121"/>
        <v>9</v>
      </c>
      <c r="CA222" s="15">
        <f t="shared" si="1122"/>
        <v>43</v>
      </c>
      <c r="CB222" s="15">
        <f t="shared" si="1123"/>
        <v>154</v>
      </c>
      <c r="CC222" s="14">
        <v>0</v>
      </c>
      <c r="CD222" s="14">
        <v>1596</v>
      </c>
      <c r="CE222" s="14">
        <v>11</v>
      </c>
      <c r="CF222" s="14">
        <v>13</v>
      </c>
      <c r="CG222" s="14">
        <v>21</v>
      </c>
      <c r="CH222" s="15">
        <f t="shared" si="1124"/>
        <v>1641</v>
      </c>
      <c r="CI222" s="14">
        <v>1523</v>
      </c>
      <c r="CJ222" s="14">
        <v>23</v>
      </c>
      <c r="CK222" s="14">
        <v>15</v>
      </c>
      <c r="CL222" s="14">
        <v>9</v>
      </c>
      <c r="CM222" s="15">
        <f t="shared" si="1125"/>
        <v>1570</v>
      </c>
      <c r="CN222" s="14">
        <v>636</v>
      </c>
      <c r="CO222" s="14">
        <v>42</v>
      </c>
      <c r="CP222" s="14">
        <v>56</v>
      </c>
      <c r="CQ222" s="14">
        <v>3</v>
      </c>
      <c r="CR222" s="15">
        <f t="shared" si="1126"/>
        <v>737</v>
      </c>
      <c r="CS222" s="15">
        <f t="shared" si="1127"/>
        <v>2307</v>
      </c>
      <c r="CT222" s="14">
        <v>3948</v>
      </c>
      <c r="CU222" s="14">
        <v>22262.039725031998</v>
      </c>
      <c r="CV222" s="14">
        <v>17055</v>
      </c>
      <c r="CW222" s="16">
        <f t="shared" si="1128"/>
        <v>0.76610230736507623</v>
      </c>
      <c r="CX222" s="14">
        <v>0</v>
      </c>
      <c r="CY222" s="14"/>
      <c r="CZ222" s="14"/>
      <c r="DA222" s="14"/>
      <c r="DB222" s="15">
        <f t="shared" si="1129"/>
        <v>0</v>
      </c>
      <c r="DC222" s="14">
        <v>0</v>
      </c>
      <c r="DD222" s="14">
        <v>0</v>
      </c>
      <c r="DE222" s="14">
        <v>0</v>
      </c>
      <c r="DF222" s="14">
        <v>0</v>
      </c>
      <c r="DG222" s="15">
        <f t="shared" si="1130"/>
        <v>0</v>
      </c>
      <c r="DH222" s="14">
        <v>0</v>
      </c>
      <c r="DI222" s="14">
        <v>0</v>
      </c>
      <c r="DJ222" s="14">
        <v>0</v>
      </c>
      <c r="DK222" s="14">
        <v>0</v>
      </c>
      <c r="DL222" s="15">
        <f t="shared" si="1131"/>
        <v>0</v>
      </c>
      <c r="DM222" s="14">
        <v>176</v>
      </c>
      <c r="DN222" s="14">
        <v>17</v>
      </c>
      <c r="DO222" s="14">
        <v>25</v>
      </c>
      <c r="DP222" s="14">
        <v>0</v>
      </c>
      <c r="DQ222" s="15">
        <f t="shared" si="1132"/>
        <v>168</v>
      </c>
      <c r="DR222" s="15">
        <f t="shared" si="1133"/>
        <v>176</v>
      </c>
      <c r="DS222" s="15">
        <f t="shared" si="1134"/>
        <v>17</v>
      </c>
      <c r="DT222" s="15">
        <f t="shared" si="1135"/>
        <v>25</v>
      </c>
      <c r="DU222" s="15">
        <f t="shared" si="1136"/>
        <v>0</v>
      </c>
      <c r="DV222" s="15">
        <f t="shared" si="1137"/>
        <v>168</v>
      </c>
      <c r="DW222" s="14">
        <v>61</v>
      </c>
      <c r="DX222" s="14">
        <v>11</v>
      </c>
      <c r="DY222" s="14">
        <v>2</v>
      </c>
      <c r="DZ222" s="14">
        <v>5</v>
      </c>
      <c r="EA222" s="14">
        <v>0</v>
      </c>
      <c r="EB222" s="14">
        <v>3</v>
      </c>
      <c r="EC222" s="14">
        <v>0</v>
      </c>
      <c r="ED222" s="14">
        <v>0</v>
      </c>
      <c r="EE222" s="14">
        <v>0</v>
      </c>
      <c r="EF222" s="14">
        <v>0</v>
      </c>
      <c r="EG222" s="14">
        <v>0</v>
      </c>
      <c r="EH222" s="14">
        <v>0</v>
      </c>
      <c r="EI222" s="14">
        <v>0</v>
      </c>
      <c r="EJ222" s="14">
        <v>0</v>
      </c>
      <c r="EK222" s="14">
        <v>0</v>
      </c>
      <c r="EL222" s="14">
        <v>0</v>
      </c>
      <c r="EM222" s="14">
        <v>0</v>
      </c>
      <c r="EN222" s="14">
        <v>0</v>
      </c>
      <c r="EO222" s="14">
        <v>0</v>
      </c>
      <c r="EP222" s="14">
        <v>0</v>
      </c>
      <c r="EQ222" s="14">
        <v>0</v>
      </c>
      <c r="ER222" s="14">
        <v>0</v>
      </c>
      <c r="ES222" s="14">
        <v>0</v>
      </c>
      <c r="ET222" s="14">
        <v>0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5">
        <f t="shared" si="1138"/>
        <v>82</v>
      </c>
      <c r="FH222" s="14">
        <v>0</v>
      </c>
      <c r="FI222" s="14">
        <v>0</v>
      </c>
      <c r="FJ222" s="14">
        <v>0</v>
      </c>
      <c r="FK222" s="14">
        <v>0</v>
      </c>
      <c r="FL222" s="14">
        <v>0</v>
      </c>
      <c r="FM222" s="14">
        <v>0</v>
      </c>
      <c r="FN222" s="14">
        <v>0</v>
      </c>
      <c r="FO222" s="14">
        <v>0</v>
      </c>
      <c r="FP222" s="14">
        <v>0</v>
      </c>
      <c r="FQ222" s="15">
        <f t="shared" si="1139"/>
        <v>0</v>
      </c>
      <c r="FR222" s="14">
        <v>36541474</v>
      </c>
      <c r="FS222" s="14">
        <v>315100</v>
      </c>
      <c r="FT222" s="14">
        <v>982534</v>
      </c>
      <c r="FU222" s="14">
        <v>748567</v>
      </c>
      <c r="FV222" s="15">
        <f t="shared" si="1140"/>
        <v>38587675</v>
      </c>
      <c r="FW222" s="14">
        <v>3211328</v>
      </c>
      <c r="FX222" s="14">
        <v>0</v>
      </c>
      <c r="FY222" s="14">
        <v>412000</v>
      </c>
      <c r="FZ222" s="14">
        <v>14140650</v>
      </c>
      <c r="GA222" s="15">
        <f t="shared" si="1141"/>
        <v>17763978</v>
      </c>
      <c r="GB222" s="15">
        <f t="shared" si="1142"/>
        <v>56351653</v>
      </c>
      <c r="GC222" s="14">
        <v>8809079.9299999997</v>
      </c>
      <c r="GD222" s="14">
        <v>39786.239999999998</v>
      </c>
      <c r="GE222" s="14">
        <v>642749.80000000005</v>
      </c>
      <c r="GF222" s="14">
        <v>140301.54999999999</v>
      </c>
      <c r="GG222" s="15">
        <f t="shared" si="1143"/>
        <v>9631917.5200000014</v>
      </c>
      <c r="GH222" s="14">
        <v>3186891.2</v>
      </c>
      <c r="GI222" s="14">
        <v>0</v>
      </c>
      <c r="GJ222" s="14">
        <v>13960650</v>
      </c>
      <c r="GK222" s="14">
        <v>412000</v>
      </c>
      <c r="GL222" s="15">
        <f t="shared" si="1144"/>
        <v>17559541.199999999</v>
      </c>
      <c r="GM222" s="15">
        <f t="shared" si="1145"/>
        <v>27191458.719999999</v>
      </c>
      <c r="GN222" s="14">
        <v>879185.23</v>
      </c>
      <c r="GO222" s="14">
        <v>956.4</v>
      </c>
      <c r="GP222" s="14">
        <v>50904.6</v>
      </c>
      <c r="GQ222" s="14">
        <v>32461.38</v>
      </c>
      <c r="GR222" s="15">
        <f t="shared" si="1146"/>
        <v>963507.61</v>
      </c>
      <c r="GS222" s="14">
        <v>1470771</v>
      </c>
      <c r="GT222" s="14">
        <v>4465</v>
      </c>
      <c r="GU222" s="14">
        <v>13395</v>
      </c>
      <c r="GV222" s="14">
        <v>6251</v>
      </c>
      <c r="GW222" s="15">
        <f t="shared" si="1147"/>
        <v>1494882</v>
      </c>
      <c r="GX222" s="15">
        <f t="shared" si="1148"/>
        <v>29649848.329999998</v>
      </c>
      <c r="GY222" s="14">
        <v>16111280.66</v>
      </c>
      <c r="GZ222" s="14">
        <v>2139435.31</v>
      </c>
      <c r="HA222" s="15">
        <f t="shared" si="1149"/>
        <v>18250715.969999999</v>
      </c>
      <c r="HB222" s="15">
        <f t="shared" si="1150"/>
        <v>9.1808428029823932E-2</v>
      </c>
      <c r="HC222" s="16">
        <f t="shared" si="1151"/>
        <v>1.2314305665910104</v>
      </c>
      <c r="HD222" s="15">
        <f t="shared" si="1152"/>
        <v>1.900571374693437</v>
      </c>
      <c r="HE222" s="14">
        <v>9</v>
      </c>
      <c r="HF222" s="14">
        <v>1</v>
      </c>
      <c r="HG222" s="14">
        <v>154</v>
      </c>
      <c r="HH222" s="14">
        <v>9</v>
      </c>
      <c r="HI222" s="14">
        <v>30</v>
      </c>
      <c r="HJ222" s="15">
        <f t="shared" si="1153"/>
        <v>31</v>
      </c>
      <c r="HK222" s="16">
        <f t="shared" si="1154"/>
        <v>1</v>
      </c>
      <c r="HL222" s="14">
        <v>8</v>
      </c>
      <c r="HM222" s="14">
        <v>60</v>
      </c>
      <c r="HN222" s="17">
        <f t="shared" si="1155"/>
        <v>7.5</v>
      </c>
    </row>
    <row r="223" spans="1:222" x14ac:dyDescent="0.3">
      <c r="A223" s="6" t="s">
        <v>289</v>
      </c>
      <c r="B223" s="6" t="s">
        <v>291</v>
      </c>
      <c r="C223" s="7" t="s">
        <v>257</v>
      </c>
      <c r="D223" s="7">
        <v>2025</v>
      </c>
      <c r="E223" s="7">
        <v>8</v>
      </c>
      <c r="F223" s="7" t="s">
        <v>264</v>
      </c>
      <c r="G223" s="7" t="s">
        <v>263</v>
      </c>
      <c r="H223" s="8">
        <v>27654</v>
      </c>
      <c r="I223" s="8">
        <v>12739</v>
      </c>
      <c r="J223" s="8">
        <v>146</v>
      </c>
      <c r="K223" s="8">
        <v>235</v>
      </c>
      <c r="L223" s="8">
        <v>52</v>
      </c>
      <c r="M223" s="9">
        <f t="shared" si="1095"/>
        <v>13172</v>
      </c>
      <c r="N223" s="8">
        <v>3043</v>
      </c>
      <c r="O223" s="8">
        <v>24</v>
      </c>
      <c r="P223" s="8">
        <v>4264</v>
      </c>
      <c r="Q223" s="8">
        <v>144</v>
      </c>
      <c r="R223" s="9">
        <f t="shared" si="1096"/>
        <v>7475</v>
      </c>
      <c r="S223" s="9">
        <f t="shared" si="1097"/>
        <v>20647</v>
      </c>
      <c r="T223" s="8">
        <v>7007</v>
      </c>
      <c r="U223" s="10">
        <f t="shared" si="1098"/>
        <v>0.25338106603023069</v>
      </c>
      <c r="V223" s="8">
        <v>30</v>
      </c>
      <c r="W223" s="11">
        <f t="shared" si="1099"/>
        <v>1.0848340203948796E-3</v>
      </c>
      <c r="X223" s="8">
        <v>0</v>
      </c>
      <c r="Y223" s="11">
        <f t="shared" si="1100"/>
        <v>0</v>
      </c>
      <c r="Z223" s="8">
        <v>0</v>
      </c>
      <c r="AA223" s="11">
        <f t="shared" si="1101"/>
        <v>0</v>
      </c>
      <c r="AB223" s="8">
        <v>0</v>
      </c>
      <c r="AC223" s="11">
        <f t="shared" si="1102"/>
        <v>0</v>
      </c>
      <c r="AD223" s="8">
        <v>0</v>
      </c>
      <c r="AE223" s="11">
        <f t="shared" si="1103"/>
        <v>0</v>
      </c>
      <c r="AF223" s="8">
        <v>0</v>
      </c>
      <c r="AG223" s="11">
        <f t="shared" si="1104"/>
        <v>0</v>
      </c>
      <c r="AH223" s="8">
        <v>105758.7</v>
      </c>
      <c r="AI223" s="9">
        <f t="shared" si="1105"/>
        <v>3.8243545237578651</v>
      </c>
      <c r="AJ223" s="8">
        <v>16000</v>
      </c>
      <c r="AK223" s="11">
        <f t="shared" si="1106"/>
        <v>0.5785781442106025</v>
      </c>
      <c r="AL223" s="8">
        <v>2236450.5</v>
      </c>
      <c r="AM223" s="9">
        <f t="shared" si="1107"/>
        <v>80.872586244304628</v>
      </c>
      <c r="AN223" s="8">
        <v>1329</v>
      </c>
      <c r="AO223" s="8">
        <v>125</v>
      </c>
      <c r="AP223" s="8">
        <v>341750</v>
      </c>
      <c r="AQ223" s="8">
        <v>0</v>
      </c>
      <c r="AR223" s="8">
        <v>0</v>
      </c>
      <c r="AS223" s="8">
        <v>0</v>
      </c>
      <c r="AT223" s="8">
        <v>0</v>
      </c>
      <c r="AU223" s="9">
        <f t="shared" si="1108"/>
        <v>2683959.2000000002</v>
      </c>
      <c r="AV223" s="9">
        <f t="shared" si="1109"/>
        <v>97.055008317060825</v>
      </c>
      <c r="AW223" s="9">
        <f t="shared" si="1110"/>
        <v>129.99269627548799</v>
      </c>
      <c r="AX223" s="8">
        <v>7</v>
      </c>
      <c r="AY223" s="9">
        <f t="shared" si="1111"/>
        <v>3.0375352571056626</v>
      </c>
      <c r="AZ223" s="8">
        <v>6</v>
      </c>
      <c r="BA223" s="8">
        <v>154</v>
      </c>
      <c r="BB223" s="8">
        <v>4</v>
      </c>
      <c r="BC223" s="8">
        <v>27</v>
      </c>
      <c r="BD223" s="8">
        <v>0</v>
      </c>
      <c r="BE223" s="9">
        <f t="shared" si="1112"/>
        <v>27</v>
      </c>
      <c r="BF223" s="9">
        <f t="shared" si="1113"/>
        <v>131</v>
      </c>
      <c r="BG223" s="8">
        <v>0</v>
      </c>
      <c r="BH223" s="8">
        <v>0</v>
      </c>
      <c r="BI223" s="8">
        <v>0</v>
      </c>
      <c r="BJ223" s="8">
        <v>0</v>
      </c>
      <c r="BK223" s="9">
        <f t="shared" si="1114"/>
        <v>0</v>
      </c>
      <c r="BL223" s="9">
        <f t="shared" si="1115"/>
        <v>0</v>
      </c>
      <c r="BM223" s="8">
        <v>0</v>
      </c>
      <c r="BN223" s="8">
        <v>0</v>
      </c>
      <c r="BO223" s="8">
        <v>0</v>
      </c>
      <c r="BP223" s="8">
        <v>0</v>
      </c>
      <c r="BQ223" s="9">
        <f t="shared" si="1116"/>
        <v>0</v>
      </c>
      <c r="BR223" s="9">
        <f t="shared" si="1117"/>
        <v>0</v>
      </c>
      <c r="BS223" s="8">
        <v>0</v>
      </c>
      <c r="BT223" s="8">
        <v>0</v>
      </c>
      <c r="BU223" s="8">
        <v>0</v>
      </c>
      <c r="BV223" s="8">
        <v>0</v>
      </c>
      <c r="BW223" s="9">
        <f t="shared" si="1118"/>
        <v>0</v>
      </c>
      <c r="BX223" s="9">
        <f t="shared" si="1119"/>
        <v>0</v>
      </c>
      <c r="BY223" s="9">
        <f t="shared" si="1120"/>
        <v>154</v>
      </c>
      <c r="BZ223" s="9">
        <f t="shared" si="1121"/>
        <v>4</v>
      </c>
      <c r="CA223" s="9">
        <f t="shared" si="1122"/>
        <v>27</v>
      </c>
      <c r="CB223" s="9">
        <f t="shared" si="1123"/>
        <v>131</v>
      </c>
      <c r="CC223" s="8">
        <v>0</v>
      </c>
      <c r="CD223" s="8">
        <v>1580</v>
      </c>
      <c r="CE223" s="8">
        <v>11</v>
      </c>
      <c r="CF223" s="8">
        <v>13</v>
      </c>
      <c r="CG223" s="8">
        <v>21</v>
      </c>
      <c r="CH223" s="9">
        <f t="shared" si="1124"/>
        <v>1625</v>
      </c>
      <c r="CI223" s="8">
        <v>1566</v>
      </c>
      <c r="CJ223" s="8">
        <v>23</v>
      </c>
      <c r="CK223" s="8">
        <v>15</v>
      </c>
      <c r="CL223" s="8">
        <v>9</v>
      </c>
      <c r="CM223" s="9">
        <f t="shared" si="1125"/>
        <v>1613</v>
      </c>
      <c r="CN223" s="8">
        <v>636</v>
      </c>
      <c r="CO223" s="8">
        <v>42</v>
      </c>
      <c r="CP223" s="8">
        <v>56</v>
      </c>
      <c r="CQ223" s="8">
        <v>3</v>
      </c>
      <c r="CR223" s="9">
        <f t="shared" si="1126"/>
        <v>737</v>
      </c>
      <c r="CS223" s="9">
        <f t="shared" si="1127"/>
        <v>2350</v>
      </c>
      <c r="CT223" s="8">
        <v>3975</v>
      </c>
      <c r="CU223" s="8">
        <v>22306.563804482099</v>
      </c>
      <c r="CV223" s="8">
        <v>17082</v>
      </c>
      <c r="CW223" s="10">
        <f t="shared" si="1128"/>
        <v>0.76578356710268758</v>
      </c>
      <c r="CX223" s="8">
        <v>0</v>
      </c>
      <c r="CY223" s="8"/>
      <c r="CZ223" s="8"/>
      <c r="DA223" s="8"/>
      <c r="DB223" s="9">
        <f t="shared" si="1129"/>
        <v>0</v>
      </c>
      <c r="DC223" s="8">
        <v>0</v>
      </c>
      <c r="DD223" s="8">
        <v>0</v>
      </c>
      <c r="DE223" s="8">
        <v>0</v>
      </c>
      <c r="DF223" s="8">
        <v>0</v>
      </c>
      <c r="DG223" s="9">
        <f t="shared" si="1130"/>
        <v>0</v>
      </c>
      <c r="DH223" s="8">
        <v>0</v>
      </c>
      <c r="DI223" s="8">
        <v>0</v>
      </c>
      <c r="DJ223" s="8">
        <v>0</v>
      </c>
      <c r="DK223" s="8">
        <v>0</v>
      </c>
      <c r="DL223" s="9">
        <f t="shared" si="1131"/>
        <v>0</v>
      </c>
      <c r="DM223" s="8">
        <v>168</v>
      </c>
      <c r="DN223" s="8">
        <v>0</v>
      </c>
      <c r="DO223" s="8">
        <v>0</v>
      </c>
      <c r="DP223" s="8">
        <v>0</v>
      </c>
      <c r="DQ223" s="9">
        <f t="shared" si="1132"/>
        <v>168</v>
      </c>
      <c r="DR223" s="9">
        <f t="shared" si="1133"/>
        <v>168</v>
      </c>
      <c r="DS223" s="9">
        <f t="shared" si="1134"/>
        <v>0</v>
      </c>
      <c r="DT223" s="9">
        <f t="shared" si="1135"/>
        <v>0</v>
      </c>
      <c r="DU223" s="9">
        <f t="shared" si="1136"/>
        <v>0</v>
      </c>
      <c r="DV223" s="9">
        <f t="shared" si="1137"/>
        <v>168</v>
      </c>
      <c r="DW223" s="8">
        <v>53</v>
      </c>
      <c r="DX223" s="8">
        <v>14</v>
      </c>
      <c r="DY223" s="8">
        <v>0</v>
      </c>
      <c r="DZ223" s="8">
        <v>0</v>
      </c>
      <c r="EA223" s="8">
        <v>3</v>
      </c>
      <c r="EB223" s="8">
        <v>0</v>
      </c>
      <c r="EC223" s="8">
        <v>0</v>
      </c>
      <c r="ED223" s="8">
        <v>1</v>
      </c>
      <c r="EE223" s="8">
        <v>0</v>
      </c>
      <c r="EF223" s="8">
        <v>0</v>
      </c>
      <c r="EG223" s="8">
        <v>0</v>
      </c>
      <c r="EH223" s="8">
        <v>0</v>
      </c>
      <c r="EI223" s="8">
        <v>0</v>
      </c>
      <c r="EJ223" s="8">
        <v>0</v>
      </c>
      <c r="EK223" s="8">
        <v>0</v>
      </c>
      <c r="EL223" s="8">
        <v>0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8">
        <v>0</v>
      </c>
      <c r="ES223" s="8">
        <v>0</v>
      </c>
      <c r="ET223" s="8">
        <v>0</v>
      </c>
      <c r="EU223" s="8">
        <v>0</v>
      </c>
      <c r="EV223" s="8">
        <v>0</v>
      </c>
      <c r="EW223" s="8">
        <v>0</v>
      </c>
      <c r="EX223" s="8">
        <v>0</v>
      </c>
      <c r="EY223" s="8">
        <v>0</v>
      </c>
      <c r="EZ223" s="8">
        <v>0</v>
      </c>
      <c r="FA223" s="8">
        <v>0</v>
      </c>
      <c r="FB223" s="8">
        <v>0</v>
      </c>
      <c r="FC223" s="8">
        <v>0</v>
      </c>
      <c r="FD223" s="8">
        <v>0</v>
      </c>
      <c r="FE223" s="8">
        <v>0</v>
      </c>
      <c r="FF223" s="8">
        <v>0</v>
      </c>
      <c r="FG223" s="9">
        <f t="shared" si="1138"/>
        <v>71</v>
      </c>
      <c r="FH223" s="8">
        <v>0</v>
      </c>
      <c r="FI223" s="8">
        <v>0</v>
      </c>
      <c r="FJ223" s="8">
        <v>0</v>
      </c>
      <c r="FK223" s="8">
        <v>0</v>
      </c>
      <c r="FL223" s="8">
        <v>0</v>
      </c>
      <c r="FM223" s="8">
        <v>0</v>
      </c>
      <c r="FN223" s="8">
        <v>0</v>
      </c>
      <c r="FO223" s="8">
        <v>0</v>
      </c>
      <c r="FP223" s="8">
        <v>0</v>
      </c>
      <c r="FQ223" s="9">
        <f t="shared" si="1139"/>
        <v>0</v>
      </c>
      <c r="FR223" s="8">
        <v>10276730</v>
      </c>
      <c r="FS223" s="8">
        <v>28000</v>
      </c>
      <c r="FT223" s="8">
        <v>126500</v>
      </c>
      <c r="FU223" s="8">
        <v>903003</v>
      </c>
      <c r="FV223" s="9">
        <f t="shared" si="1140"/>
        <v>11334233</v>
      </c>
      <c r="FW223" s="8">
        <v>3803286</v>
      </c>
      <c r="FX223" s="8">
        <v>5000</v>
      </c>
      <c r="FY223" s="8">
        <v>685000</v>
      </c>
      <c r="FZ223" s="8">
        <v>13079250</v>
      </c>
      <c r="GA223" s="9">
        <f t="shared" si="1141"/>
        <v>17572536</v>
      </c>
      <c r="GB223" s="9">
        <f t="shared" si="1142"/>
        <v>28906769</v>
      </c>
      <c r="GC223" s="8">
        <v>12359522.539999999</v>
      </c>
      <c r="GD223" s="8">
        <v>27926.880000000001</v>
      </c>
      <c r="GE223" s="8">
        <v>726503.65</v>
      </c>
      <c r="GF223" s="8">
        <v>153568.63</v>
      </c>
      <c r="GG223" s="9">
        <f t="shared" si="1143"/>
        <v>13267521.700000001</v>
      </c>
      <c r="GH223" s="8">
        <v>3795425.62</v>
      </c>
      <c r="GI223" s="8">
        <v>5000</v>
      </c>
      <c r="GJ223" s="8">
        <v>12959250</v>
      </c>
      <c r="GK223" s="8">
        <v>679000</v>
      </c>
      <c r="GL223" s="9">
        <f t="shared" si="1144"/>
        <v>17438675.620000001</v>
      </c>
      <c r="GM223" s="9">
        <f t="shared" si="1145"/>
        <v>30706197.32</v>
      </c>
      <c r="GN223" s="8">
        <v>900273.65</v>
      </c>
      <c r="GO223" s="8">
        <v>956.4</v>
      </c>
      <c r="GP223" s="8">
        <v>57691.88</v>
      </c>
      <c r="GQ223" s="8">
        <v>41736.06</v>
      </c>
      <c r="GR223" s="9">
        <f t="shared" si="1146"/>
        <v>1000657.99</v>
      </c>
      <c r="GS223" s="8">
        <v>1505598</v>
      </c>
      <c r="GT223" s="8">
        <v>4465</v>
      </c>
      <c r="GU223" s="8">
        <v>15181</v>
      </c>
      <c r="GV223" s="8">
        <v>8037</v>
      </c>
      <c r="GW223" s="9">
        <f t="shared" si="1147"/>
        <v>1533281</v>
      </c>
      <c r="GX223" s="9">
        <f t="shared" si="1148"/>
        <v>33240136.309999999</v>
      </c>
      <c r="GY223" s="8">
        <v>55248980.780000001</v>
      </c>
      <c r="GZ223" s="8">
        <v>2640952.2599999998</v>
      </c>
      <c r="HA223" s="9">
        <f t="shared" si="1149"/>
        <v>57889933.039999999</v>
      </c>
      <c r="HB223" s="9">
        <f t="shared" si="1150"/>
        <v>8.0744530496782443E-2</v>
      </c>
      <c r="HC223" s="10">
        <f t="shared" si="1151"/>
        <v>0.32667032908238502</v>
      </c>
      <c r="HD223" s="9">
        <f t="shared" si="1152"/>
        <v>0.86963449037673335</v>
      </c>
      <c r="HE223" s="8">
        <v>4</v>
      </c>
      <c r="HF223" s="8">
        <v>1</v>
      </c>
      <c r="HG223" s="8">
        <v>131</v>
      </c>
      <c r="HH223" s="8">
        <v>4</v>
      </c>
      <c r="HI223" s="8">
        <v>30</v>
      </c>
      <c r="HJ223" s="9">
        <f t="shared" si="1153"/>
        <v>31</v>
      </c>
      <c r="HK223" s="10">
        <f t="shared" si="1154"/>
        <v>1</v>
      </c>
      <c r="HL223" s="8">
        <v>10</v>
      </c>
      <c r="HM223" s="8">
        <v>60</v>
      </c>
      <c r="HN223" s="11">
        <f t="shared" si="1155"/>
        <v>6</v>
      </c>
    </row>
    <row r="224" spans="1:222" x14ac:dyDescent="0.3">
      <c r="A224" s="12" t="s">
        <v>289</v>
      </c>
      <c r="B224" s="12" t="s">
        <v>291</v>
      </c>
      <c r="C224" s="13" t="s">
        <v>257</v>
      </c>
      <c r="D224" s="13">
        <v>2025</v>
      </c>
      <c r="E224" s="13">
        <v>9</v>
      </c>
      <c r="F224" s="13" t="s">
        <v>265</v>
      </c>
      <c r="G224" s="13" t="s">
        <v>263</v>
      </c>
      <c r="H224" s="14">
        <v>27201</v>
      </c>
      <c r="I224" s="14">
        <v>13478</v>
      </c>
      <c r="J224" s="14">
        <v>747</v>
      </c>
      <c r="K224" s="14">
        <v>3252</v>
      </c>
      <c r="L224" s="14">
        <v>106</v>
      </c>
      <c r="M224" s="15">
        <f t="shared" si="1095"/>
        <v>17583</v>
      </c>
      <c r="N224" s="14">
        <v>1101</v>
      </c>
      <c r="O224" s="14">
        <v>0</v>
      </c>
      <c r="P224" s="14">
        <v>2491</v>
      </c>
      <c r="Q224" s="14">
        <v>421</v>
      </c>
      <c r="R224" s="15">
        <f t="shared" si="1096"/>
        <v>4013</v>
      </c>
      <c r="S224" s="15">
        <f t="shared" si="1097"/>
        <v>21596</v>
      </c>
      <c r="T224" s="14">
        <v>5605</v>
      </c>
      <c r="U224" s="16">
        <f t="shared" si="1098"/>
        <v>0.20605860078673577</v>
      </c>
      <c r="V224" s="14">
        <v>31</v>
      </c>
      <c r="W224" s="17">
        <f t="shared" si="1099"/>
        <v>1.1396639829418036E-3</v>
      </c>
      <c r="X224" s="14">
        <v>0</v>
      </c>
      <c r="Y224" s="17">
        <f t="shared" si="1100"/>
        <v>0</v>
      </c>
      <c r="Z224" s="14">
        <v>0</v>
      </c>
      <c r="AA224" s="17">
        <f t="shared" si="1101"/>
        <v>0</v>
      </c>
      <c r="AB224" s="14">
        <v>0</v>
      </c>
      <c r="AC224" s="17">
        <f t="shared" si="1102"/>
        <v>0</v>
      </c>
      <c r="AD224" s="14">
        <v>0</v>
      </c>
      <c r="AE224" s="17">
        <f t="shared" si="1103"/>
        <v>0</v>
      </c>
      <c r="AF224" s="14">
        <v>0</v>
      </c>
      <c r="AG224" s="17">
        <f t="shared" si="1104"/>
        <v>0</v>
      </c>
      <c r="AH224" s="14">
        <v>109283.99</v>
      </c>
      <c r="AI224" s="15">
        <f t="shared" si="1105"/>
        <v>4.0176460424249107</v>
      </c>
      <c r="AJ224" s="14">
        <v>15651</v>
      </c>
      <c r="AK224" s="17">
        <f t="shared" si="1106"/>
        <v>0.57538325796845702</v>
      </c>
      <c r="AL224" s="14">
        <v>2188026.2264999999</v>
      </c>
      <c r="AM224" s="15">
        <f t="shared" si="1107"/>
        <v>80.43918335722951</v>
      </c>
      <c r="AN224" s="14">
        <v>809</v>
      </c>
      <c r="AO224" s="14">
        <v>60</v>
      </c>
      <c r="AP224" s="14">
        <v>164040</v>
      </c>
      <c r="AQ224" s="14">
        <v>0</v>
      </c>
      <c r="AR224" s="14">
        <v>0</v>
      </c>
      <c r="AS224" s="14">
        <v>0</v>
      </c>
      <c r="AT224" s="14">
        <v>0</v>
      </c>
      <c r="AU224" s="15">
        <f t="shared" si="1108"/>
        <v>2461350.2165000001</v>
      </c>
      <c r="AV224" s="15">
        <f t="shared" si="1109"/>
        <v>90.487490037130996</v>
      </c>
      <c r="AW224" s="15">
        <f t="shared" si="1110"/>
        <v>113.97250493146879</v>
      </c>
      <c r="AX224" s="14">
        <v>7</v>
      </c>
      <c r="AY224" s="15">
        <f t="shared" si="1111"/>
        <v>3.0881217602294031</v>
      </c>
      <c r="AZ224" s="14">
        <v>6</v>
      </c>
      <c r="BA224" s="14">
        <v>131</v>
      </c>
      <c r="BB224" s="14">
        <v>4</v>
      </c>
      <c r="BC224" s="14">
        <v>32</v>
      </c>
      <c r="BD224" s="14">
        <v>0</v>
      </c>
      <c r="BE224" s="15">
        <f t="shared" si="1112"/>
        <v>32</v>
      </c>
      <c r="BF224" s="15">
        <f t="shared" si="1113"/>
        <v>103</v>
      </c>
      <c r="BG224" s="14">
        <v>0</v>
      </c>
      <c r="BH224" s="14">
        <v>0</v>
      </c>
      <c r="BI224" s="14">
        <v>0</v>
      </c>
      <c r="BJ224" s="14">
        <v>0</v>
      </c>
      <c r="BK224" s="15">
        <f t="shared" si="1114"/>
        <v>0</v>
      </c>
      <c r="BL224" s="15">
        <f t="shared" si="1115"/>
        <v>0</v>
      </c>
      <c r="BM224" s="14">
        <v>0</v>
      </c>
      <c r="BN224" s="14">
        <v>0</v>
      </c>
      <c r="BO224" s="14">
        <v>0</v>
      </c>
      <c r="BP224" s="14">
        <v>0</v>
      </c>
      <c r="BQ224" s="15">
        <f t="shared" si="1116"/>
        <v>0</v>
      </c>
      <c r="BR224" s="15">
        <f t="shared" si="1117"/>
        <v>0</v>
      </c>
      <c r="BS224" s="14">
        <v>0</v>
      </c>
      <c r="BT224" s="14">
        <v>0</v>
      </c>
      <c r="BU224" s="14">
        <v>0</v>
      </c>
      <c r="BV224" s="14">
        <v>0</v>
      </c>
      <c r="BW224" s="15">
        <f t="shared" si="1118"/>
        <v>0</v>
      </c>
      <c r="BX224" s="15">
        <f t="shared" si="1119"/>
        <v>0</v>
      </c>
      <c r="BY224" s="15">
        <f t="shared" si="1120"/>
        <v>131</v>
      </c>
      <c r="BZ224" s="15">
        <f t="shared" si="1121"/>
        <v>4</v>
      </c>
      <c r="CA224" s="15">
        <f t="shared" si="1122"/>
        <v>32</v>
      </c>
      <c r="CB224" s="15">
        <f t="shared" si="1123"/>
        <v>103</v>
      </c>
      <c r="CC224" s="14">
        <v>0</v>
      </c>
      <c r="CD224" s="14">
        <v>1425</v>
      </c>
      <c r="CE224" s="14">
        <v>11</v>
      </c>
      <c r="CF224" s="14">
        <v>13</v>
      </c>
      <c r="CG224" s="14">
        <v>20</v>
      </c>
      <c r="CH224" s="15">
        <f t="shared" si="1124"/>
        <v>1469</v>
      </c>
      <c r="CI224" s="14">
        <v>1754</v>
      </c>
      <c r="CJ224" s="14">
        <v>23</v>
      </c>
      <c r="CK224" s="14">
        <v>15</v>
      </c>
      <c r="CL224" s="14">
        <v>9</v>
      </c>
      <c r="CM224" s="15">
        <f t="shared" si="1125"/>
        <v>1801</v>
      </c>
      <c r="CN224" s="14">
        <v>636</v>
      </c>
      <c r="CO224" s="14">
        <v>42</v>
      </c>
      <c r="CP224" s="14">
        <v>56</v>
      </c>
      <c r="CQ224" s="14">
        <v>3</v>
      </c>
      <c r="CR224" s="15">
        <f t="shared" si="1126"/>
        <v>737</v>
      </c>
      <c r="CS224" s="15">
        <f t="shared" si="1127"/>
        <v>2538</v>
      </c>
      <c r="CT224" s="14">
        <v>4007</v>
      </c>
      <c r="CU224" s="14">
        <v>22351</v>
      </c>
      <c r="CV224" s="14">
        <v>17114</v>
      </c>
      <c r="CW224" s="16">
        <f t="shared" si="1128"/>
        <v>0.76569281016509327</v>
      </c>
      <c r="CX224" s="14">
        <v>0</v>
      </c>
      <c r="CY224" s="14"/>
      <c r="CZ224" s="14"/>
      <c r="DA224" s="14"/>
      <c r="DB224" s="15">
        <f t="shared" si="1129"/>
        <v>0</v>
      </c>
      <c r="DC224" s="14">
        <v>0</v>
      </c>
      <c r="DD224" s="14">
        <v>0</v>
      </c>
      <c r="DE224" s="14">
        <v>0</v>
      </c>
      <c r="DF224" s="14">
        <v>0</v>
      </c>
      <c r="DG224" s="15">
        <f t="shared" si="1130"/>
        <v>0</v>
      </c>
      <c r="DH224" s="14">
        <v>0</v>
      </c>
      <c r="DI224" s="14">
        <v>0</v>
      </c>
      <c r="DJ224" s="14">
        <v>0</v>
      </c>
      <c r="DK224" s="14">
        <v>0</v>
      </c>
      <c r="DL224" s="15">
        <f t="shared" si="1131"/>
        <v>0</v>
      </c>
      <c r="DM224" s="14">
        <v>168</v>
      </c>
      <c r="DN224" s="14">
        <v>14</v>
      </c>
      <c r="DO224" s="14">
        <v>22</v>
      </c>
      <c r="DP224" s="14">
        <v>0</v>
      </c>
      <c r="DQ224" s="15">
        <f t="shared" si="1132"/>
        <v>160</v>
      </c>
      <c r="DR224" s="15">
        <f t="shared" si="1133"/>
        <v>168</v>
      </c>
      <c r="DS224" s="15">
        <f t="shared" si="1134"/>
        <v>14</v>
      </c>
      <c r="DT224" s="15">
        <f t="shared" si="1135"/>
        <v>22</v>
      </c>
      <c r="DU224" s="15">
        <f t="shared" si="1136"/>
        <v>0</v>
      </c>
      <c r="DV224" s="15">
        <f t="shared" si="1137"/>
        <v>160</v>
      </c>
      <c r="DW224" s="14">
        <v>49</v>
      </c>
      <c r="DX224" s="14">
        <v>12</v>
      </c>
      <c r="DY224" s="14">
        <v>0</v>
      </c>
      <c r="DZ224" s="14">
        <v>2</v>
      </c>
      <c r="EA224" s="14">
        <v>3</v>
      </c>
      <c r="EB224" s="14">
        <v>0</v>
      </c>
      <c r="EC224" s="14">
        <v>0</v>
      </c>
      <c r="ED224" s="14">
        <v>0</v>
      </c>
      <c r="EE224" s="14">
        <v>0</v>
      </c>
      <c r="EF224" s="14">
        <v>1</v>
      </c>
      <c r="EG224" s="14">
        <v>0</v>
      </c>
      <c r="EH224" s="14">
        <v>0</v>
      </c>
      <c r="EI224" s="14">
        <v>0</v>
      </c>
      <c r="EJ224" s="14">
        <v>0</v>
      </c>
      <c r="EK224" s="14">
        <v>0</v>
      </c>
      <c r="EL224" s="14">
        <v>0</v>
      </c>
      <c r="EM224" s="14">
        <v>0</v>
      </c>
      <c r="EN224" s="14">
        <v>0</v>
      </c>
      <c r="EO224" s="14">
        <v>0</v>
      </c>
      <c r="EP224" s="14">
        <v>0</v>
      </c>
      <c r="EQ224" s="14">
        <v>0</v>
      </c>
      <c r="ER224" s="14">
        <v>0</v>
      </c>
      <c r="ES224" s="14">
        <v>0</v>
      </c>
      <c r="ET224" s="14">
        <v>0</v>
      </c>
      <c r="EU224" s="14">
        <v>0</v>
      </c>
      <c r="EV224" s="14">
        <v>0</v>
      </c>
      <c r="EW224" s="14">
        <v>0</v>
      </c>
      <c r="EX224" s="14">
        <v>0</v>
      </c>
      <c r="EY224" s="14">
        <v>0</v>
      </c>
      <c r="EZ224" s="14">
        <v>0</v>
      </c>
      <c r="FA224" s="14">
        <v>0</v>
      </c>
      <c r="FB224" s="14">
        <v>0</v>
      </c>
      <c r="FC224" s="14">
        <v>0</v>
      </c>
      <c r="FD224" s="14">
        <v>0</v>
      </c>
      <c r="FE224" s="14">
        <v>0</v>
      </c>
      <c r="FF224" s="14">
        <v>0</v>
      </c>
      <c r="FG224" s="15">
        <f t="shared" si="1138"/>
        <v>67</v>
      </c>
      <c r="FH224" s="14">
        <v>0</v>
      </c>
      <c r="FI224" s="14">
        <v>0</v>
      </c>
      <c r="FJ224" s="14">
        <v>0</v>
      </c>
      <c r="FK224" s="14">
        <v>0</v>
      </c>
      <c r="FL224" s="14">
        <v>0</v>
      </c>
      <c r="FM224" s="14">
        <v>0</v>
      </c>
      <c r="FN224" s="14">
        <v>0</v>
      </c>
      <c r="FO224" s="14">
        <v>0</v>
      </c>
      <c r="FP224" s="14">
        <v>0</v>
      </c>
      <c r="FQ224" s="15">
        <f t="shared" si="1139"/>
        <v>0</v>
      </c>
      <c r="FR224" s="14">
        <v>8502968</v>
      </c>
      <c r="FS224" s="14">
        <v>32000</v>
      </c>
      <c r="FT224" s="14">
        <v>519500</v>
      </c>
      <c r="FU224" s="14">
        <v>158700</v>
      </c>
      <c r="FV224" s="15">
        <f t="shared" si="1140"/>
        <v>9213168</v>
      </c>
      <c r="FW224" s="14">
        <v>2886978</v>
      </c>
      <c r="FX224" s="14">
        <v>0</v>
      </c>
      <c r="FY224" s="14">
        <v>425228</v>
      </c>
      <c r="FZ224" s="14">
        <v>12121897</v>
      </c>
      <c r="GA224" s="15">
        <f t="shared" si="1141"/>
        <v>15434103</v>
      </c>
      <c r="GB224" s="15">
        <f t="shared" si="1142"/>
        <v>24647271</v>
      </c>
      <c r="GC224" s="14">
        <v>13191927.25</v>
      </c>
      <c r="GD224" s="14">
        <v>142886.16</v>
      </c>
      <c r="GE224" s="14">
        <v>11124818.66</v>
      </c>
      <c r="GF224" s="14">
        <v>344806.32</v>
      </c>
      <c r="GG224" s="15">
        <f t="shared" si="1143"/>
        <v>24804438.390000001</v>
      </c>
      <c r="GH224" s="14">
        <v>2878208.24</v>
      </c>
      <c r="GI224" s="14">
        <v>0</v>
      </c>
      <c r="GJ224" s="14">
        <v>11995897</v>
      </c>
      <c r="GK224" s="14">
        <v>425228.09</v>
      </c>
      <c r="GL224" s="15">
        <f t="shared" si="1144"/>
        <v>15299333.33</v>
      </c>
      <c r="GM224" s="15">
        <f t="shared" si="1145"/>
        <v>40103771.719999999</v>
      </c>
      <c r="GN224" s="14">
        <v>993632.29</v>
      </c>
      <c r="GO224" s="14">
        <v>1721.52</v>
      </c>
      <c r="GP224" s="14">
        <v>64479.16</v>
      </c>
      <c r="GQ224" s="14">
        <v>64922.76</v>
      </c>
      <c r="GR224" s="15">
        <f t="shared" si="1146"/>
        <v>1124755.73</v>
      </c>
      <c r="GS224" s="14">
        <v>1663659</v>
      </c>
      <c r="GT224" s="14">
        <v>8037</v>
      </c>
      <c r="GU224" s="14">
        <v>16967</v>
      </c>
      <c r="GV224" s="14">
        <v>12502</v>
      </c>
      <c r="GW224" s="15">
        <f t="shared" si="1147"/>
        <v>1701165</v>
      </c>
      <c r="GX224" s="15">
        <f t="shared" si="1148"/>
        <v>42929692.449999996</v>
      </c>
      <c r="GY224" s="14">
        <v>48693060.189999998</v>
      </c>
      <c r="GZ224" s="14">
        <v>13369936.32</v>
      </c>
      <c r="HA224" s="15">
        <f t="shared" si="1149"/>
        <v>62062996.509999998</v>
      </c>
      <c r="HB224" s="15">
        <f t="shared" si="1150"/>
        <v>5.7334447931736823E-2</v>
      </c>
      <c r="HC224" s="16">
        <f t="shared" si="1151"/>
        <v>0.26900819163164585</v>
      </c>
      <c r="HD224" s="15">
        <f t="shared" si="1152"/>
        <v>0.57413108721210981</v>
      </c>
      <c r="HE224" s="14">
        <v>4</v>
      </c>
      <c r="HF224" s="14">
        <v>1</v>
      </c>
      <c r="HG224" s="14">
        <v>103</v>
      </c>
      <c r="HH224" s="14">
        <v>4</v>
      </c>
      <c r="HI224" s="14">
        <v>30</v>
      </c>
      <c r="HJ224" s="15">
        <f t="shared" si="1153"/>
        <v>31</v>
      </c>
      <c r="HK224" s="16">
        <f t="shared" si="1154"/>
        <v>1</v>
      </c>
      <c r="HL224" s="14">
        <v>60</v>
      </c>
      <c r="HM224" s="14">
        <v>60</v>
      </c>
      <c r="HN224" s="17">
        <f t="shared" si="1155"/>
        <v>1</v>
      </c>
    </row>
    <row r="225" spans="1:222" x14ac:dyDescent="0.3">
      <c r="A225" s="6" t="s">
        <v>289</v>
      </c>
      <c r="B225" s="6" t="s">
        <v>291</v>
      </c>
      <c r="C225" s="7" t="s">
        <v>257</v>
      </c>
      <c r="D225" s="7">
        <v>2025</v>
      </c>
      <c r="E225" s="7">
        <v>10</v>
      </c>
      <c r="F225" s="7" t="s">
        <v>266</v>
      </c>
      <c r="G225" s="7" t="s">
        <v>267</v>
      </c>
      <c r="H225" s="8">
        <v>27557</v>
      </c>
      <c r="I225" s="8">
        <v>13492</v>
      </c>
      <c r="J225" s="8">
        <v>855</v>
      </c>
      <c r="K225" s="8">
        <v>1275</v>
      </c>
      <c r="L225" s="8">
        <v>480</v>
      </c>
      <c r="M225" s="9">
        <f t="shared" si="1095"/>
        <v>16102</v>
      </c>
      <c r="N225" s="8">
        <v>2924</v>
      </c>
      <c r="O225" s="8">
        <v>0</v>
      </c>
      <c r="P225" s="8">
        <v>3350</v>
      </c>
      <c r="Q225" s="8">
        <v>93</v>
      </c>
      <c r="R225" s="9">
        <f t="shared" si="1096"/>
        <v>6367</v>
      </c>
      <c r="S225" s="9">
        <f t="shared" si="1097"/>
        <v>22469</v>
      </c>
      <c r="T225" s="8">
        <v>5088</v>
      </c>
      <c r="U225" s="10">
        <f t="shared" si="1098"/>
        <v>0.18463548281743294</v>
      </c>
      <c r="V225" s="8">
        <v>31</v>
      </c>
      <c r="W225" s="11">
        <f t="shared" si="1099"/>
        <v>1.1249410313169067E-3</v>
      </c>
      <c r="X225" s="8">
        <v>0</v>
      </c>
      <c r="Y225" s="11">
        <f t="shared" si="1100"/>
        <v>0</v>
      </c>
      <c r="Z225" s="8">
        <v>0</v>
      </c>
      <c r="AA225" s="11">
        <f t="shared" si="1101"/>
        <v>0</v>
      </c>
      <c r="AB225" s="8">
        <v>0</v>
      </c>
      <c r="AC225" s="11">
        <f t="shared" si="1102"/>
        <v>0</v>
      </c>
      <c r="AD225" s="8">
        <v>0</v>
      </c>
      <c r="AE225" s="11">
        <f t="shared" si="1103"/>
        <v>0</v>
      </c>
      <c r="AF225" s="8">
        <v>0</v>
      </c>
      <c r="AG225" s="11">
        <f t="shared" si="1104"/>
        <v>0</v>
      </c>
      <c r="AH225" s="8">
        <v>109283.99</v>
      </c>
      <c r="AI225" s="9">
        <f t="shared" si="1105"/>
        <v>3.9657433682911787</v>
      </c>
      <c r="AJ225" s="8">
        <v>18123</v>
      </c>
      <c r="AK225" s="11">
        <f t="shared" si="1106"/>
        <v>0.65765504227600968</v>
      </c>
      <c r="AL225" s="8">
        <v>2531019.9345</v>
      </c>
      <c r="AM225" s="9">
        <f t="shared" si="1107"/>
        <v>91.846715335486451</v>
      </c>
      <c r="AN225" s="8">
        <v>720</v>
      </c>
      <c r="AO225" s="8">
        <v>88</v>
      </c>
      <c r="AP225" s="8">
        <v>240592</v>
      </c>
      <c r="AQ225" s="8">
        <v>0</v>
      </c>
      <c r="AR225" s="8">
        <v>0</v>
      </c>
      <c r="AS225" s="8">
        <v>0</v>
      </c>
      <c r="AT225" s="8">
        <v>0</v>
      </c>
      <c r="AU225" s="9">
        <f t="shared" si="1108"/>
        <v>2880895.9245000002</v>
      </c>
      <c r="AV225" s="9">
        <f t="shared" si="1109"/>
        <v>104.54316233624851</v>
      </c>
      <c r="AW225" s="9">
        <f t="shared" si="1110"/>
        <v>128.21647267346123</v>
      </c>
      <c r="AX225" s="8">
        <v>7</v>
      </c>
      <c r="AY225" s="9">
        <f t="shared" si="1111"/>
        <v>3.0482273106651667</v>
      </c>
      <c r="AZ225" s="8">
        <v>6</v>
      </c>
      <c r="BA225" s="8">
        <v>103</v>
      </c>
      <c r="BB225" s="8">
        <v>8</v>
      </c>
      <c r="BC225" s="8">
        <v>13</v>
      </c>
      <c r="BD225" s="8">
        <v>0</v>
      </c>
      <c r="BE225" s="9">
        <f t="shared" si="1112"/>
        <v>13</v>
      </c>
      <c r="BF225" s="9">
        <f t="shared" si="1113"/>
        <v>98</v>
      </c>
      <c r="BG225" s="8">
        <v>0</v>
      </c>
      <c r="BH225" s="8">
        <v>0</v>
      </c>
      <c r="BI225" s="8">
        <v>0</v>
      </c>
      <c r="BJ225" s="8">
        <v>0</v>
      </c>
      <c r="BK225" s="9">
        <f t="shared" si="1114"/>
        <v>0</v>
      </c>
      <c r="BL225" s="9">
        <f t="shared" si="1115"/>
        <v>0</v>
      </c>
      <c r="BM225" s="8">
        <v>0</v>
      </c>
      <c r="BN225" s="8">
        <v>0</v>
      </c>
      <c r="BO225" s="8">
        <v>0</v>
      </c>
      <c r="BP225" s="8">
        <v>0</v>
      </c>
      <c r="BQ225" s="9">
        <f t="shared" si="1116"/>
        <v>0</v>
      </c>
      <c r="BR225" s="9">
        <f t="shared" si="1117"/>
        <v>0</v>
      </c>
      <c r="BS225" s="8">
        <v>0</v>
      </c>
      <c r="BT225" s="8">
        <v>0</v>
      </c>
      <c r="BU225" s="8">
        <v>0</v>
      </c>
      <c r="BV225" s="8">
        <v>0</v>
      </c>
      <c r="BW225" s="9">
        <f t="shared" si="1118"/>
        <v>0</v>
      </c>
      <c r="BX225" s="9">
        <f t="shared" si="1119"/>
        <v>0</v>
      </c>
      <c r="BY225" s="9">
        <f t="shared" si="1120"/>
        <v>103</v>
      </c>
      <c r="BZ225" s="9">
        <f t="shared" si="1121"/>
        <v>8</v>
      </c>
      <c r="CA225" s="9">
        <f t="shared" si="1122"/>
        <v>13</v>
      </c>
      <c r="CB225" s="9">
        <f t="shared" si="1123"/>
        <v>98</v>
      </c>
      <c r="CC225" s="8">
        <v>0</v>
      </c>
      <c r="CD225" s="8">
        <v>1427</v>
      </c>
      <c r="CE225" s="8">
        <v>11</v>
      </c>
      <c r="CF225" s="8">
        <v>13</v>
      </c>
      <c r="CG225" s="8">
        <v>20</v>
      </c>
      <c r="CH225" s="9">
        <f t="shared" si="1124"/>
        <v>1471</v>
      </c>
      <c r="CI225" s="8">
        <v>1765</v>
      </c>
      <c r="CJ225" s="8">
        <v>23</v>
      </c>
      <c r="CK225" s="8">
        <v>15</v>
      </c>
      <c r="CL225" s="8">
        <v>9</v>
      </c>
      <c r="CM225" s="9">
        <f t="shared" si="1125"/>
        <v>1812</v>
      </c>
      <c r="CN225" s="8">
        <v>636</v>
      </c>
      <c r="CO225" s="8">
        <v>42</v>
      </c>
      <c r="CP225" s="8">
        <v>56</v>
      </c>
      <c r="CQ225" s="8">
        <v>3</v>
      </c>
      <c r="CR225" s="9">
        <f t="shared" si="1126"/>
        <v>737</v>
      </c>
      <c r="CS225" s="9">
        <f t="shared" si="1127"/>
        <v>2549</v>
      </c>
      <c r="CT225" s="8">
        <v>4020</v>
      </c>
      <c r="CU225" s="8">
        <v>22395.879285955201</v>
      </c>
      <c r="CV225" s="8">
        <v>17127</v>
      </c>
      <c r="CW225" s="10">
        <f t="shared" si="1128"/>
        <v>0.76473889599595246</v>
      </c>
      <c r="CX225" s="8">
        <v>0</v>
      </c>
      <c r="CY225" s="8"/>
      <c r="CZ225" s="8"/>
      <c r="DA225" s="8"/>
      <c r="DB225" s="9">
        <f t="shared" si="1129"/>
        <v>0</v>
      </c>
      <c r="DC225" s="8">
        <v>0</v>
      </c>
      <c r="DD225" s="8">
        <v>0</v>
      </c>
      <c r="DE225" s="8">
        <v>0</v>
      </c>
      <c r="DF225" s="8">
        <v>0</v>
      </c>
      <c r="DG225" s="9">
        <f t="shared" si="1130"/>
        <v>0</v>
      </c>
      <c r="DH225" s="8">
        <v>0</v>
      </c>
      <c r="DI225" s="8">
        <v>0</v>
      </c>
      <c r="DJ225" s="8">
        <v>0</v>
      </c>
      <c r="DK225" s="8">
        <v>0</v>
      </c>
      <c r="DL225" s="9">
        <f t="shared" si="1131"/>
        <v>0</v>
      </c>
      <c r="DM225" s="8">
        <v>160</v>
      </c>
      <c r="DN225" s="8">
        <v>9</v>
      </c>
      <c r="DO225" s="8">
        <v>15</v>
      </c>
      <c r="DP225" s="8">
        <v>0</v>
      </c>
      <c r="DQ225" s="9">
        <f t="shared" si="1132"/>
        <v>154</v>
      </c>
      <c r="DR225" s="9">
        <f t="shared" si="1133"/>
        <v>160</v>
      </c>
      <c r="DS225" s="9">
        <f t="shared" si="1134"/>
        <v>9</v>
      </c>
      <c r="DT225" s="9">
        <f t="shared" si="1135"/>
        <v>15</v>
      </c>
      <c r="DU225" s="9">
        <f t="shared" si="1136"/>
        <v>0</v>
      </c>
      <c r="DV225" s="9">
        <f t="shared" si="1137"/>
        <v>154</v>
      </c>
      <c r="DW225" s="8">
        <v>52</v>
      </c>
      <c r="DX225" s="8">
        <v>14</v>
      </c>
      <c r="DY225" s="8">
        <v>2</v>
      </c>
      <c r="DZ225" s="8">
        <v>2</v>
      </c>
      <c r="EA225" s="8">
        <v>0</v>
      </c>
      <c r="EB225" s="8">
        <v>0</v>
      </c>
      <c r="EC225" s="8">
        <v>0</v>
      </c>
      <c r="ED225" s="8">
        <v>1</v>
      </c>
      <c r="EE225" s="8">
        <v>0</v>
      </c>
      <c r="EF225" s="8">
        <v>1</v>
      </c>
      <c r="EG225" s="8">
        <v>0</v>
      </c>
      <c r="EH225" s="8">
        <v>0</v>
      </c>
      <c r="EI225" s="8">
        <v>0</v>
      </c>
      <c r="EJ225" s="8">
        <v>0</v>
      </c>
      <c r="EK225" s="8">
        <v>0</v>
      </c>
      <c r="EL225" s="8">
        <v>0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8">
        <v>0</v>
      </c>
      <c r="ES225" s="8">
        <v>0</v>
      </c>
      <c r="ET225" s="8">
        <v>0</v>
      </c>
      <c r="EU225" s="8">
        <v>0</v>
      </c>
      <c r="EV225" s="8">
        <v>0</v>
      </c>
      <c r="EW225" s="8">
        <v>0</v>
      </c>
      <c r="EX225" s="8">
        <v>0</v>
      </c>
      <c r="EY225" s="8">
        <v>0</v>
      </c>
      <c r="EZ225" s="8">
        <v>0</v>
      </c>
      <c r="FA225" s="8">
        <v>0</v>
      </c>
      <c r="FB225" s="8">
        <v>0</v>
      </c>
      <c r="FC225" s="8">
        <v>0</v>
      </c>
      <c r="FD225" s="8">
        <v>0</v>
      </c>
      <c r="FE225" s="8">
        <v>0</v>
      </c>
      <c r="FF225" s="8">
        <v>0</v>
      </c>
      <c r="FG225" s="9">
        <f t="shared" si="1138"/>
        <v>72</v>
      </c>
      <c r="FH225" s="8">
        <v>0</v>
      </c>
      <c r="FI225" s="8">
        <v>0</v>
      </c>
      <c r="FJ225" s="8">
        <v>0</v>
      </c>
      <c r="FK225" s="8">
        <v>0</v>
      </c>
      <c r="FL225" s="8">
        <v>0</v>
      </c>
      <c r="FM225" s="8">
        <v>0</v>
      </c>
      <c r="FN225" s="8">
        <v>0</v>
      </c>
      <c r="FO225" s="8">
        <v>0</v>
      </c>
      <c r="FP225" s="8">
        <v>0</v>
      </c>
      <c r="FQ225" s="9">
        <f t="shared" si="1139"/>
        <v>0</v>
      </c>
      <c r="FR225" s="8">
        <v>19216766</v>
      </c>
      <c r="FS225" s="8">
        <v>59500</v>
      </c>
      <c r="FT225" s="8">
        <v>147600</v>
      </c>
      <c r="FU225" s="8">
        <v>6819900</v>
      </c>
      <c r="FV225" s="9">
        <f t="shared" si="1140"/>
        <v>26243766</v>
      </c>
      <c r="FW225" s="8">
        <v>3654207</v>
      </c>
      <c r="FX225" s="8">
        <v>0</v>
      </c>
      <c r="FY225" s="8">
        <v>446500</v>
      </c>
      <c r="FZ225" s="8">
        <v>10300701</v>
      </c>
      <c r="GA225" s="9">
        <f t="shared" si="1141"/>
        <v>14401408</v>
      </c>
      <c r="GB225" s="9">
        <f t="shared" si="1142"/>
        <v>40645174</v>
      </c>
      <c r="GC225" s="8">
        <v>11715902.52</v>
      </c>
      <c r="GD225" s="8">
        <v>65226.48</v>
      </c>
      <c r="GE225" s="8">
        <v>2983857.74</v>
      </c>
      <c r="GF225" s="8">
        <v>304351.07</v>
      </c>
      <c r="GG225" s="9">
        <f t="shared" si="1143"/>
        <v>15069337.810000001</v>
      </c>
      <c r="GH225" s="8">
        <v>3648207.4</v>
      </c>
      <c r="GI225" s="8">
        <v>0</v>
      </c>
      <c r="GJ225" s="8">
        <v>10180701.42</v>
      </c>
      <c r="GK225" s="8">
        <v>440500</v>
      </c>
      <c r="GL225" s="9">
        <f t="shared" si="1144"/>
        <v>14269408.82</v>
      </c>
      <c r="GM225" s="9">
        <f t="shared" si="1145"/>
        <v>29338746.630000003</v>
      </c>
      <c r="GN225" s="8">
        <v>1002568.4</v>
      </c>
      <c r="GO225" s="8">
        <v>1530.24</v>
      </c>
      <c r="GP225" s="8">
        <v>64479.16</v>
      </c>
      <c r="GQ225" s="8">
        <v>69560.100000000006</v>
      </c>
      <c r="GR225" s="9">
        <f t="shared" si="1146"/>
        <v>1138137.9000000001</v>
      </c>
      <c r="GS225" s="8">
        <v>1678840</v>
      </c>
      <c r="GT225" s="8">
        <v>7144</v>
      </c>
      <c r="GU225" s="8">
        <v>16967</v>
      </c>
      <c r="GV225" s="8">
        <v>13395</v>
      </c>
      <c r="GW225" s="9">
        <f t="shared" si="1147"/>
        <v>1716346</v>
      </c>
      <c r="GX225" s="9">
        <f t="shared" si="1148"/>
        <v>32193230.530000001</v>
      </c>
      <c r="GY225" s="8">
        <v>45036848.619999997</v>
      </c>
      <c r="GZ225" s="8">
        <v>9662140.2200000007</v>
      </c>
      <c r="HA225" s="9">
        <f t="shared" si="1149"/>
        <v>54698988.839999996</v>
      </c>
      <c r="HB225" s="9">
        <f t="shared" si="1150"/>
        <v>8.9487630693520212E-2</v>
      </c>
      <c r="HC225" s="10">
        <f t="shared" si="1151"/>
        <v>0.52628683600151405</v>
      </c>
      <c r="HD225" s="9">
        <f t="shared" si="1152"/>
        <v>1.2625379103263297</v>
      </c>
      <c r="HE225" s="8">
        <v>8</v>
      </c>
      <c r="HF225" s="8">
        <v>1</v>
      </c>
      <c r="HG225" s="8">
        <v>98</v>
      </c>
      <c r="HH225" s="8">
        <v>8</v>
      </c>
      <c r="HI225" s="8">
        <v>30</v>
      </c>
      <c r="HJ225" s="9">
        <f t="shared" si="1153"/>
        <v>31</v>
      </c>
      <c r="HK225" s="10">
        <f t="shared" si="1154"/>
        <v>1</v>
      </c>
      <c r="HL225" s="8">
        <v>60</v>
      </c>
      <c r="HM225" s="8">
        <v>60</v>
      </c>
      <c r="HN225" s="11">
        <f t="shared" si="1155"/>
        <v>1</v>
      </c>
    </row>
    <row r="226" spans="1:222" x14ac:dyDescent="0.3">
      <c r="A226" s="12" t="s">
        <v>289</v>
      </c>
      <c r="B226" s="12" t="s">
        <v>291</v>
      </c>
      <c r="C226" s="13" t="s">
        <v>257</v>
      </c>
      <c r="D226" s="13">
        <v>2025</v>
      </c>
      <c r="E226" s="13">
        <v>11</v>
      </c>
      <c r="F226" s="13" t="s">
        <v>268</v>
      </c>
      <c r="G226" s="13" t="s">
        <v>267</v>
      </c>
      <c r="H226" s="14">
        <v>27105</v>
      </c>
      <c r="I226" s="14">
        <v>13015</v>
      </c>
      <c r="J226" s="14">
        <v>420</v>
      </c>
      <c r="K226" s="14">
        <v>1288</v>
      </c>
      <c r="L226" s="14">
        <v>91</v>
      </c>
      <c r="M226" s="15">
        <f t="shared" si="1095"/>
        <v>14814</v>
      </c>
      <c r="N226" s="14">
        <v>3115</v>
      </c>
      <c r="O226" s="14">
        <v>0</v>
      </c>
      <c r="P226" s="14">
        <v>5925</v>
      </c>
      <c r="Q226" s="14">
        <v>973</v>
      </c>
      <c r="R226" s="15">
        <f t="shared" si="1096"/>
        <v>10013</v>
      </c>
      <c r="S226" s="15">
        <f t="shared" si="1097"/>
        <v>24827</v>
      </c>
      <c r="T226" s="14">
        <v>2278</v>
      </c>
      <c r="U226" s="16">
        <f t="shared" si="1098"/>
        <v>8.4043534403246634E-2</v>
      </c>
      <c r="V226" s="14">
        <v>30</v>
      </c>
      <c r="W226" s="17">
        <f t="shared" si="1099"/>
        <v>1.1068068622025456E-3</v>
      </c>
      <c r="X226" s="14">
        <v>0</v>
      </c>
      <c r="Y226" s="17">
        <f t="shared" si="1100"/>
        <v>0</v>
      </c>
      <c r="Z226" s="14">
        <v>0</v>
      </c>
      <c r="AA226" s="17">
        <f t="shared" si="1101"/>
        <v>0</v>
      </c>
      <c r="AB226" s="14">
        <v>0</v>
      </c>
      <c r="AC226" s="17">
        <f t="shared" si="1102"/>
        <v>0</v>
      </c>
      <c r="AD226" s="14">
        <v>0</v>
      </c>
      <c r="AE226" s="17">
        <f t="shared" si="1103"/>
        <v>0</v>
      </c>
      <c r="AF226" s="14">
        <v>0</v>
      </c>
      <c r="AG226" s="17">
        <f t="shared" si="1104"/>
        <v>0</v>
      </c>
      <c r="AH226" s="14">
        <v>105758.7</v>
      </c>
      <c r="AI226" s="15">
        <f t="shared" si="1105"/>
        <v>3.9018151632540121</v>
      </c>
      <c r="AJ226" s="14">
        <v>17524</v>
      </c>
      <c r="AK226" s="17">
        <f t="shared" si="1106"/>
        <v>0.64652278177458034</v>
      </c>
      <c r="AL226" s="14">
        <v>2447907.7859999998</v>
      </c>
      <c r="AM226" s="15">
        <f t="shared" si="1107"/>
        <v>90.312037852794688</v>
      </c>
      <c r="AN226" s="14">
        <v>1740</v>
      </c>
      <c r="AO226" s="14">
        <v>100</v>
      </c>
      <c r="AP226" s="14">
        <v>273400</v>
      </c>
      <c r="AQ226" s="14">
        <v>0</v>
      </c>
      <c r="AR226" s="14">
        <v>0</v>
      </c>
      <c r="AS226" s="14">
        <v>0</v>
      </c>
      <c r="AT226" s="14">
        <v>0</v>
      </c>
      <c r="AU226" s="15">
        <f t="shared" si="1108"/>
        <v>2827066.486</v>
      </c>
      <c r="AV226" s="15">
        <f t="shared" si="1109"/>
        <v>104.30055288692124</v>
      </c>
      <c r="AW226" s="15">
        <f t="shared" si="1110"/>
        <v>113.87064429854594</v>
      </c>
      <c r="AX226" s="14">
        <v>7</v>
      </c>
      <c r="AY226" s="15">
        <f t="shared" si="1111"/>
        <v>3.0990592141671276</v>
      </c>
      <c r="AZ226" s="14">
        <v>6</v>
      </c>
      <c r="BA226" s="14">
        <v>98</v>
      </c>
      <c r="BB226" s="14">
        <v>7</v>
      </c>
      <c r="BC226" s="14">
        <v>12</v>
      </c>
      <c r="BD226" s="14">
        <v>0</v>
      </c>
      <c r="BE226" s="15">
        <f t="shared" si="1112"/>
        <v>12</v>
      </c>
      <c r="BF226" s="15">
        <f t="shared" si="1113"/>
        <v>93</v>
      </c>
      <c r="BG226" s="14">
        <v>0</v>
      </c>
      <c r="BH226" s="14">
        <v>0</v>
      </c>
      <c r="BI226" s="14">
        <v>0</v>
      </c>
      <c r="BJ226" s="14">
        <v>0</v>
      </c>
      <c r="BK226" s="15">
        <f t="shared" si="1114"/>
        <v>0</v>
      </c>
      <c r="BL226" s="15">
        <f t="shared" si="1115"/>
        <v>0</v>
      </c>
      <c r="BM226" s="14">
        <v>0</v>
      </c>
      <c r="BN226" s="14">
        <v>0</v>
      </c>
      <c r="BO226" s="14">
        <v>0</v>
      </c>
      <c r="BP226" s="14">
        <v>0</v>
      </c>
      <c r="BQ226" s="15">
        <f t="shared" si="1116"/>
        <v>0</v>
      </c>
      <c r="BR226" s="15">
        <f t="shared" si="1117"/>
        <v>0</v>
      </c>
      <c r="BS226" s="14">
        <v>0</v>
      </c>
      <c r="BT226" s="14">
        <v>0</v>
      </c>
      <c r="BU226" s="14">
        <v>0</v>
      </c>
      <c r="BV226" s="14">
        <v>0</v>
      </c>
      <c r="BW226" s="15">
        <f t="shared" si="1118"/>
        <v>0</v>
      </c>
      <c r="BX226" s="15">
        <f t="shared" si="1119"/>
        <v>0</v>
      </c>
      <c r="BY226" s="15">
        <f t="shared" si="1120"/>
        <v>98</v>
      </c>
      <c r="BZ226" s="15">
        <f t="shared" si="1121"/>
        <v>7</v>
      </c>
      <c r="CA226" s="15">
        <f t="shared" si="1122"/>
        <v>12</v>
      </c>
      <c r="CB226" s="15">
        <f t="shared" si="1123"/>
        <v>93</v>
      </c>
      <c r="CC226" s="14">
        <v>0</v>
      </c>
      <c r="CD226" s="14">
        <v>1420</v>
      </c>
      <c r="CE226" s="14">
        <v>11</v>
      </c>
      <c r="CF226" s="14">
        <v>13</v>
      </c>
      <c r="CG226" s="14">
        <v>20</v>
      </c>
      <c r="CH226" s="15">
        <f t="shared" si="1124"/>
        <v>1464</v>
      </c>
      <c r="CI226" s="14">
        <v>1784</v>
      </c>
      <c r="CJ226" s="14">
        <v>23</v>
      </c>
      <c r="CK226" s="14">
        <v>15</v>
      </c>
      <c r="CL226" s="14">
        <v>9</v>
      </c>
      <c r="CM226" s="15">
        <f t="shared" si="1125"/>
        <v>1831</v>
      </c>
      <c r="CN226" s="14">
        <v>636</v>
      </c>
      <c r="CO226" s="14">
        <v>42</v>
      </c>
      <c r="CP226" s="14">
        <v>56</v>
      </c>
      <c r="CQ226" s="14">
        <v>3</v>
      </c>
      <c r="CR226" s="15">
        <f t="shared" si="1126"/>
        <v>737</v>
      </c>
      <c r="CS226" s="15">
        <f t="shared" si="1127"/>
        <v>2568</v>
      </c>
      <c r="CT226" s="14">
        <v>4032</v>
      </c>
      <c r="CU226" s="14">
        <v>22440.671044527098</v>
      </c>
      <c r="CV226" s="14">
        <v>17127</v>
      </c>
      <c r="CW226" s="16">
        <f t="shared" si="1128"/>
        <v>0.76321247105384515</v>
      </c>
      <c r="CX226" s="14">
        <v>0</v>
      </c>
      <c r="CY226" s="14"/>
      <c r="CZ226" s="14"/>
      <c r="DA226" s="14"/>
      <c r="DB226" s="15">
        <f t="shared" si="1129"/>
        <v>0</v>
      </c>
      <c r="DC226" s="14">
        <v>0</v>
      </c>
      <c r="DD226" s="14">
        <v>0</v>
      </c>
      <c r="DE226" s="14">
        <v>0</v>
      </c>
      <c r="DF226" s="14">
        <v>0</v>
      </c>
      <c r="DG226" s="15">
        <f t="shared" si="1130"/>
        <v>0</v>
      </c>
      <c r="DH226" s="14">
        <v>0</v>
      </c>
      <c r="DI226" s="14">
        <v>0</v>
      </c>
      <c r="DJ226" s="14">
        <v>0</v>
      </c>
      <c r="DK226" s="14">
        <v>0</v>
      </c>
      <c r="DL226" s="15">
        <f t="shared" si="1131"/>
        <v>0</v>
      </c>
      <c r="DM226" s="14">
        <v>154</v>
      </c>
      <c r="DN226" s="14">
        <v>11</v>
      </c>
      <c r="DO226" s="14">
        <v>22</v>
      </c>
      <c r="DP226" s="14">
        <v>0</v>
      </c>
      <c r="DQ226" s="15">
        <f t="shared" si="1132"/>
        <v>143</v>
      </c>
      <c r="DR226" s="15">
        <f t="shared" si="1133"/>
        <v>154</v>
      </c>
      <c r="DS226" s="15">
        <f t="shared" si="1134"/>
        <v>11</v>
      </c>
      <c r="DT226" s="15">
        <f t="shared" si="1135"/>
        <v>22</v>
      </c>
      <c r="DU226" s="15">
        <f t="shared" si="1136"/>
        <v>0</v>
      </c>
      <c r="DV226" s="15">
        <f t="shared" si="1137"/>
        <v>143</v>
      </c>
      <c r="DW226" s="14">
        <v>49</v>
      </c>
      <c r="DX226" s="14">
        <v>15</v>
      </c>
      <c r="DY226" s="14">
        <v>0</v>
      </c>
      <c r="DZ226" s="14">
        <v>0</v>
      </c>
      <c r="EA226" s="14">
        <v>2</v>
      </c>
      <c r="EB226" s="14">
        <v>3</v>
      </c>
      <c r="EC226" s="14">
        <v>0</v>
      </c>
      <c r="ED226" s="14">
        <v>0</v>
      </c>
      <c r="EE226" s="14">
        <v>2</v>
      </c>
      <c r="EF226" s="14">
        <v>2</v>
      </c>
      <c r="EG226" s="14">
        <v>0</v>
      </c>
      <c r="EH226" s="14">
        <v>0</v>
      </c>
      <c r="EI226" s="14">
        <v>0</v>
      </c>
      <c r="EJ226" s="14">
        <v>0</v>
      </c>
      <c r="EK226" s="14">
        <v>0</v>
      </c>
      <c r="EL226" s="14">
        <v>0</v>
      </c>
      <c r="EM226" s="14">
        <v>0</v>
      </c>
      <c r="EN226" s="14">
        <v>0</v>
      </c>
      <c r="EO226" s="14">
        <v>0</v>
      </c>
      <c r="EP226" s="14">
        <v>0</v>
      </c>
      <c r="EQ226" s="14">
        <v>0</v>
      </c>
      <c r="ER226" s="14">
        <v>0</v>
      </c>
      <c r="ES226" s="14">
        <v>0</v>
      </c>
      <c r="ET226" s="14">
        <v>0</v>
      </c>
      <c r="EU226" s="14">
        <v>0</v>
      </c>
      <c r="EV226" s="14">
        <v>0</v>
      </c>
      <c r="EW226" s="14">
        <v>0</v>
      </c>
      <c r="EX226" s="14">
        <v>0</v>
      </c>
      <c r="EY226" s="14">
        <v>0</v>
      </c>
      <c r="EZ226" s="14">
        <v>0</v>
      </c>
      <c r="FA226" s="14">
        <v>0</v>
      </c>
      <c r="FB226" s="14">
        <v>0</v>
      </c>
      <c r="FC226" s="14">
        <v>0</v>
      </c>
      <c r="FD226" s="14">
        <v>0</v>
      </c>
      <c r="FE226" s="14">
        <v>0</v>
      </c>
      <c r="FF226" s="14">
        <v>0</v>
      </c>
      <c r="FG226" s="15">
        <f t="shared" si="1138"/>
        <v>73</v>
      </c>
      <c r="FH226" s="14">
        <v>0</v>
      </c>
      <c r="FI226" s="14">
        <v>0</v>
      </c>
      <c r="FJ226" s="14">
        <v>0</v>
      </c>
      <c r="FK226" s="14">
        <v>0</v>
      </c>
      <c r="FL226" s="14">
        <v>0</v>
      </c>
      <c r="FM226" s="14">
        <v>0</v>
      </c>
      <c r="FN226" s="14">
        <v>0</v>
      </c>
      <c r="FO226" s="14">
        <v>0</v>
      </c>
      <c r="FP226" s="14">
        <v>0</v>
      </c>
      <c r="FQ226" s="15">
        <f t="shared" si="1139"/>
        <v>0</v>
      </c>
      <c r="FR226" s="14">
        <v>8792440</v>
      </c>
      <c r="FS226" s="14">
        <v>26000</v>
      </c>
      <c r="FT226" s="14">
        <v>281000</v>
      </c>
      <c r="FU226" s="14">
        <v>836287</v>
      </c>
      <c r="FV226" s="15">
        <f t="shared" si="1140"/>
        <v>9935727</v>
      </c>
      <c r="FW226" s="14">
        <v>3942357</v>
      </c>
      <c r="FX226" s="14">
        <v>0</v>
      </c>
      <c r="FY226" s="14">
        <v>4606820</v>
      </c>
      <c r="FZ226" s="14">
        <v>18792449</v>
      </c>
      <c r="GA226" s="15">
        <f t="shared" si="1141"/>
        <v>27341626</v>
      </c>
      <c r="GB226" s="15">
        <f t="shared" si="1142"/>
        <v>37277353</v>
      </c>
      <c r="GC226" s="14">
        <v>12810973.720000001</v>
      </c>
      <c r="GD226" s="14">
        <v>80337.600000000006</v>
      </c>
      <c r="GE226" s="14">
        <v>4380231.05</v>
      </c>
      <c r="GF226" s="14">
        <v>282073.55</v>
      </c>
      <c r="GG226" s="15">
        <f t="shared" si="1143"/>
        <v>17553615.920000002</v>
      </c>
      <c r="GH226" s="14">
        <v>3933116.8</v>
      </c>
      <c r="GI226" s="14">
        <v>0</v>
      </c>
      <c r="GJ226" s="14">
        <v>18010078.800000001</v>
      </c>
      <c r="GK226" s="14">
        <v>4599728.09</v>
      </c>
      <c r="GL226" s="15">
        <f t="shared" si="1144"/>
        <v>26542923.690000001</v>
      </c>
      <c r="GM226" s="15">
        <f t="shared" si="1145"/>
        <v>44096539.609999999</v>
      </c>
      <c r="GN226" s="14">
        <v>1023942.69</v>
      </c>
      <c r="GO226" s="14">
        <v>1530.24</v>
      </c>
      <c r="GP226" s="14">
        <v>57691.88</v>
      </c>
      <c r="GQ226" s="14">
        <v>69560.100000000006</v>
      </c>
      <c r="GR226" s="15">
        <f t="shared" si="1146"/>
        <v>1152724.9099999999</v>
      </c>
      <c r="GS226" s="14">
        <v>1713667</v>
      </c>
      <c r="GT226" s="14">
        <v>7144</v>
      </c>
      <c r="GU226" s="14">
        <v>15181</v>
      </c>
      <c r="GV226" s="14">
        <v>13395</v>
      </c>
      <c r="GW226" s="15">
        <f t="shared" si="1147"/>
        <v>1749387</v>
      </c>
      <c r="GX226" s="15">
        <f t="shared" si="1148"/>
        <v>46998651.519999996</v>
      </c>
      <c r="GY226" s="14">
        <v>53225224.960000001</v>
      </c>
      <c r="GZ226" s="14">
        <v>13047988.029999999</v>
      </c>
      <c r="HA226" s="15">
        <f t="shared" si="1149"/>
        <v>66273212.990000002</v>
      </c>
      <c r="HB226" s="15">
        <f t="shared" si="1150"/>
        <v>6.0152076593026481E-2</v>
      </c>
      <c r="HC226" s="16">
        <f t="shared" si="1151"/>
        <v>0.37194084193539273</v>
      </c>
      <c r="HD226" s="15">
        <f t="shared" si="1152"/>
        <v>0.79315792675746977</v>
      </c>
      <c r="HE226" s="14">
        <v>7</v>
      </c>
      <c r="HF226" s="14">
        <v>1</v>
      </c>
      <c r="HG226" s="14">
        <v>93</v>
      </c>
      <c r="HH226" s="14">
        <v>7</v>
      </c>
      <c r="HI226" s="14">
        <v>35</v>
      </c>
      <c r="HJ226" s="15">
        <f t="shared" si="1153"/>
        <v>36</v>
      </c>
      <c r="HK226" s="16">
        <f t="shared" si="1154"/>
        <v>1</v>
      </c>
      <c r="HL226" s="14">
        <v>60</v>
      </c>
      <c r="HM226" s="14">
        <v>60</v>
      </c>
      <c r="HN226" s="17">
        <f t="shared" si="1155"/>
        <v>1</v>
      </c>
    </row>
    <row r="227" spans="1:222" x14ac:dyDescent="0.3">
      <c r="A227" s="6" t="s">
        <v>289</v>
      </c>
      <c r="B227" s="6" t="s">
        <v>291</v>
      </c>
      <c r="C227" s="7" t="s">
        <v>257</v>
      </c>
      <c r="D227" s="7">
        <v>2025</v>
      </c>
      <c r="E227" s="7">
        <v>12</v>
      </c>
      <c r="F227" s="7" t="s">
        <v>269</v>
      </c>
      <c r="G227" s="7" t="s">
        <v>267</v>
      </c>
      <c r="H227" s="8">
        <v>27351</v>
      </c>
      <c r="I227" s="8">
        <v>13941</v>
      </c>
      <c r="J227" s="8">
        <v>705</v>
      </c>
      <c r="K227" s="8">
        <v>1305</v>
      </c>
      <c r="L227" s="8">
        <v>601</v>
      </c>
      <c r="M227" s="9">
        <f t="shared" si="1095"/>
        <v>16552</v>
      </c>
      <c r="N227" s="8">
        <v>969</v>
      </c>
      <c r="O227" s="8">
        <v>28</v>
      </c>
      <c r="P227" s="8">
        <v>2622</v>
      </c>
      <c r="Q227" s="8">
        <v>258</v>
      </c>
      <c r="R227" s="9">
        <f t="shared" si="1096"/>
        <v>3877</v>
      </c>
      <c r="S227" s="9">
        <f t="shared" si="1097"/>
        <v>20429</v>
      </c>
      <c r="T227" s="8">
        <v>6922</v>
      </c>
      <c r="U227" s="10">
        <f t="shared" si="1098"/>
        <v>0.25308032613067166</v>
      </c>
      <c r="V227" s="8">
        <v>31</v>
      </c>
      <c r="W227" s="11">
        <f t="shared" si="1099"/>
        <v>1.1334137691492085E-3</v>
      </c>
      <c r="X227" s="8">
        <v>0</v>
      </c>
      <c r="Y227" s="11">
        <f t="shared" si="1100"/>
        <v>0</v>
      </c>
      <c r="Z227" s="8">
        <v>0</v>
      </c>
      <c r="AA227" s="11">
        <f t="shared" si="1101"/>
        <v>0</v>
      </c>
      <c r="AB227" s="8">
        <v>0</v>
      </c>
      <c r="AC227" s="11">
        <f t="shared" si="1102"/>
        <v>0</v>
      </c>
      <c r="AD227" s="8">
        <v>0</v>
      </c>
      <c r="AE227" s="11">
        <f t="shared" si="1103"/>
        <v>0</v>
      </c>
      <c r="AF227" s="8">
        <v>0</v>
      </c>
      <c r="AG227" s="11">
        <f t="shared" si="1104"/>
        <v>0</v>
      </c>
      <c r="AH227" s="8">
        <v>109283.99</v>
      </c>
      <c r="AI227" s="9">
        <f t="shared" si="1105"/>
        <v>3.9956122262440132</v>
      </c>
      <c r="AJ227" s="8">
        <v>19211</v>
      </c>
      <c r="AK227" s="11">
        <f t="shared" si="1106"/>
        <v>0.70238748126211104</v>
      </c>
      <c r="AL227" s="8">
        <v>2681981.5665000002</v>
      </c>
      <c r="AM227" s="9">
        <f t="shared" si="1107"/>
        <v>98.057897937918185</v>
      </c>
      <c r="AN227" s="8">
        <v>1270</v>
      </c>
      <c r="AO227" s="8">
        <v>70</v>
      </c>
      <c r="AP227" s="8">
        <v>191380</v>
      </c>
      <c r="AQ227" s="8">
        <v>0</v>
      </c>
      <c r="AR227" s="8">
        <v>0</v>
      </c>
      <c r="AS227" s="8">
        <v>0</v>
      </c>
      <c r="AT227" s="8">
        <v>0</v>
      </c>
      <c r="AU227" s="9">
        <f t="shared" si="1108"/>
        <v>2982645.5565000004</v>
      </c>
      <c r="AV227" s="9">
        <f t="shared" si="1109"/>
        <v>109.05069491060658</v>
      </c>
      <c r="AW227" s="9">
        <f t="shared" si="1110"/>
        <v>146.00056569092959</v>
      </c>
      <c r="AX227" s="8">
        <v>7</v>
      </c>
      <c r="AY227" s="9">
        <f t="shared" si="1111"/>
        <v>3.0711856970494682</v>
      </c>
      <c r="AZ227" s="8">
        <v>6</v>
      </c>
      <c r="BA227" s="8">
        <v>93</v>
      </c>
      <c r="BB227" s="8">
        <v>5</v>
      </c>
      <c r="BC227" s="8">
        <v>11</v>
      </c>
      <c r="BD227" s="8">
        <v>0</v>
      </c>
      <c r="BE227" s="9">
        <f t="shared" si="1112"/>
        <v>11</v>
      </c>
      <c r="BF227" s="9">
        <f t="shared" si="1113"/>
        <v>87</v>
      </c>
      <c r="BG227" s="8">
        <v>0</v>
      </c>
      <c r="BH227" s="8">
        <v>0</v>
      </c>
      <c r="BI227" s="8">
        <v>0</v>
      </c>
      <c r="BJ227" s="8">
        <v>0</v>
      </c>
      <c r="BK227" s="9">
        <f t="shared" si="1114"/>
        <v>0</v>
      </c>
      <c r="BL227" s="9">
        <f t="shared" si="1115"/>
        <v>0</v>
      </c>
      <c r="BM227" s="8">
        <v>0</v>
      </c>
      <c r="BN227" s="8">
        <v>0</v>
      </c>
      <c r="BO227" s="8">
        <v>0</v>
      </c>
      <c r="BP227" s="8">
        <v>0</v>
      </c>
      <c r="BQ227" s="9">
        <f t="shared" si="1116"/>
        <v>0</v>
      </c>
      <c r="BR227" s="9">
        <f t="shared" si="1117"/>
        <v>0</v>
      </c>
      <c r="BS227" s="8">
        <v>0</v>
      </c>
      <c r="BT227" s="8">
        <v>0</v>
      </c>
      <c r="BU227" s="8">
        <v>0</v>
      </c>
      <c r="BV227" s="8">
        <v>0</v>
      </c>
      <c r="BW227" s="9">
        <f t="shared" si="1118"/>
        <v>0</v>
      </c>
      <c r="BX227" s="9">
        <f t="shared" si="1119"/>
        <v>0</v>
      </c>
      <c r="BY227" s="9">
        <f t="shared" si="1120"/>
        <v>93</v>
      </c>
      <c r="BZ227" s="9">
        <f t="shared" si="1121"/>
        <v>5</v>
      </c>
      <c r="CA227" s="9">
        <f t="shared" si="1122"/>
        <v>11</v>
      </c>
      <c r="CB227" s="9">
        <f t="shared" si="1123"/>
        <v>87</v>
      </c>
      <c r="CC227" s="8">
        <v>0</v>
      </c>
      <c r="CD227" s="8">
        <v>118</v>
      </c>
      <c r="CE227" s="8">
        <v>11</v>
      </c>
      <c r="CF227" s="8">
        <v>13</v>
      </c>
      <c r="CG227" s="8">
        <v>20</v>
      </c>
      <c r="CH227" s="9">
        <f t="shared" si="1124"/>
        <v>162</v>
      </c>
      <c r="CI227" s="8">
        <v>3097</v>
      </c>
      <c r="CJ227" s="8">
        <v>23</v>
      </c>
      <c r="CK227" s="8">
        <v>15</v>
      </c>
      <c r="CL227" s="8">
        <v>9</v>
      </c>
      <c r="CM227" s="9">
        <f t="shared" si="1125"/>
        <v>3144</v>
      </c>
      <c r="CN227" s="8">
        <v>636</v>
      </c>
      <c r="CO227" s="8">
        <v>42</v>
      </c>
      <c r="CP227" s="8">
        <v>56</v>
      </c>
      <c r="CQ227" s="8">
        <v>3</v>
      </c>
      <c r="CR227" s="9">
        <f t="shared" si="1126"/>
        <v>737</v>
      </c>
      <c r="CS227" s="9">
        <f t="shared" si="1127"/>
        <v>3881</v>
      </c>
      <c r="CT227" s="8">
        <v>4043</v>
      </c>
      <c r="CU227" s="8">
        <v>22485.5523866162</v>
      </c>
      <c r="CV227" s="8">
        <v>17127</v>
      </c>
      <c r="CW227" s="10">
        <f t="shared" si="1128"/>
        <v>0.76168909286810738</v>
      </c>
      <c r="CX227" s="8">
        <v>0</v>
      </c>
      <c r="CY227" s="8"/>
      <c r="CZ227" s="8"/>
      <c r="DA227" s="8"/>
      <c r="DB227" s="9">
        <f t="shared" si="1129"/>
        <v>0</v>
      </c>
      <c r="DC227" s="8">
        <v>0</v>
      </c>
      <c r="DD227" s="8">
        <v>0</v>
      </c>
      <c r="DE227" s="8">
        <v>0</v>
      </c>
      <c r="DF227" s="8">
        <v>0</v>
      </c>
      <c r="DG227" s="9">
        <f t="shared" si="1130"/>
        <v>0</v>
      </c>
      <c r="DH227" s="8">
        <v>0</v>
      </c>
      <c r="DI227" s="8">
        <v>0</v>
      </c>
      <c r="DJ227" s="8">
        <v>0</v>
      </c>
      <c r="DK227" s="8">
        <v>0</v>
      </c>
      <c r="DL227" s="9">
        <f t="shared" si="1131"/>
        <v>0</v>
      </c>
      <c r="DM227" s="8">
        <v>143</v>
      </c>
      <c r="DN227" s="8">
        <v>12</v>
      </c>
      <c r="DO227" s="8">
        <v>126</v>
      </c>
      <c r="DP227" s="8">
        <v>0</v>
      </c>
      <c r="DQ227" s="9">
        <f t="shared" si="1132"/>
        <v>29</v>
      </c>
      <c r="DR227" s="9">
        <f t="shared" si="1133"/>
        <v>143</v>
      </c>
      <c r="DS227" s="9">
        <f t="shared" si="1134"/>
        <v>12</v>
      </c>
      <c r="DT227" s="9">
        <f t="shared" si="1135"/>
        <v>126</v>
      </c>
      <c r="DU227" s="9">
        <f t="shared" si="1136"/>
        <v>0</v>
      </c>
      <c r="DV227" s="9">
        <f t="shared" si="1137"/>
        <v>29</v>
      </c>
      <c r="DW227" s="8">
        <v>52</v>
      </c>
      <c r="DX227" s="8">
        <v>9</v>
      </c>
      <c r="DY227" s="8">
        <v>4</v>
      </c>
      <c r="DZ227" s="8">
        <v>2</v>
      </c>
      <c r="EA227" s="8">
        <v>2</v>
      </c>
      <c r="EB227" s="8">
        <v>0</v>
      </c>
      <c r="EC227" s="8">
        <v>0</v>
      </c>
      <c r="ED227" s="8">
        <v>0</v>
      </c>
      <c r="EE227" s="8">
        <v>0</v>
      </c>
      <c r="EF227" s="8">
        <v>0</v>
      </c>
      <c r="EG227" s="8">
        <v>0</v>
      </c>
      <c r="EH227" s="8">
        <v>0</v>
      </c>
      <c r="EI227" s="8">
        <v>0</v>
      </c>
      <c r="EJ227" s="8">
        <v>0</v>
      </c>
      <c r="EK227" s="8">
        <v>0</v>
      </c>
      <c r="EL227" s="8">
        <v>0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8">
        <v>0</v>
      </c>
      <c r="ES227" s="8">
        <v>0</v>
      </c>
      <c r="ET227" s="8">
        <v>0</v>
      </c>
      <c r="EU227" s="8">
        <v>0</v>
      </c>
      <c r="EV227" s="8">
        <v>0</v>
      </c>
      <c r="EW227" s="8">
        <v>0</v>
      </c>
      <c r="EX227" s="8">
        <v>0</v>
      </c>
      <c r="EY227" s="8">
        <v>0</v>
      </c>
      <c r="EZ227" s="8">
        <v>0</v>
      </c>
      <c r="FA227" s="8">
        <v>0</v>
      </c>
      <c r="FB227" s="8">
        <v>0</v>
      </c>
      <c r="FC227" s="8">
        <v>0</v>
      </c>
      <c r="FD227" s="8">
        <v>0</v>
      </c>
      <c r="FE227" s="8">
        <v>0</v>
      </c>
      <c r="FF227" s="8">
        <v>0</v>
      </c>
      <c r="FG227" s="9">
        <f t="shared" si="1138"/>
        <v>69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9">
        <f t="shared" si="1139"/>
        <v>0</v>
      </c>
      <c r="FR227" s="8">
        <v>22783185</v>
      </c>
      <c r="FS227" s="8">
        <v>66300</v>
      </c>
      <c r="FT227" s="8">
        <v>995000</v>
      </c>
      <c r="FU227" s="8">
        <v>6187200</v>
      </c>
      <c r="FV227" s="9">
        <f t="shared" si="1140"/>
        <v>30031685</v>
      </c>
      <c r="FW227" s="8">
        <v>3233005</v>
      </c>
      <c r="FX227" s="8">
        <v>6000</v>
      </c>
      <c r="FY227" s="8">
        <v>72456</v>
      </c>
      <c r="FZ227" s="8">
        <v>4056936</v>
      </c>
      <c r="GA227" s="9">
        <f t="shared" si="1141"/>
        <v>7368397</v>
      </c>
      <c r="GB227" s="9">
        <f t="shared" si="1142"/>
        <v>37400082</v>
      </c>
      <c r="GC227" s="8">
        <v>10548523.460000001</v>
      </c>
      <c r="GD227" s="8">
        <v>53367.12</v>
      </c>
      <c r="GE227" s="8">
        <v>3391163.6</v>
      </c>
      <c r="GF227" s="8">
        <v>306417.8</v>
      </c>
      <c r="GG227" s="9">
        <f t="shared" si="1143"/>
        <v>14299471.98</v>
      </c>
      <c r="GH227" s="8">
        <v>3226585.26</v>
      </c>
      <c r="GI227" s="8">
        <v>6000</v>
      </c>
      <c r="GJ227" s="8">
        <v>4047818.2</v>
      </c>
      <c r="GK227" s="8">
        <v>72456.179999999993</v>
      </c>
      <c r="GL227" s="9">
        <f t="shared" si="1144"/>
        <v>7352859.6399999997</v>
      </c>
      <c r="GM227" s="9">
        <f t="shared" si="1145"/>
        <v>21652331.620000001</v>
      </c>
      <c r="GN227" s="8">
        <v>1030760.09</v>
      </c>
      <c r="GO227" s="8">
        <v>1338.96</v>
      </c>
      <c r="GP227" s="8">
        <v>50904.6</v>
      </c>
      <c r="GQ227" s="8">
        <v>55648.08</v>
      </c>
      <c r="GR227" s="9">
        <f t="shared" si="1146"/>
        <v>1138651.73</v>
      </c>
      <c r="GS227" s="8">
        <v>1725276</v>
      </c>
      <c r="GT227" s="8">
        <v>6251</v>
      </c>
      <c r="GU227" s="8">
        <v>13395</v>
      </c>
      <c r="GV227" s="8">
        <v>10716</v>
      </c>
      <c r="GW227" s="9">
        <f t="shared" si="1147"/>
        <v>1755638</v>
      </c>
      <c r="GX227" s="9">
        <f t="shared" si="1148"/>
        <v>24546621.350000001</v>
      </c>
      <c r="GY227" s="8">
        <v>33969868.119999997</v>
      </c>
      <c r="GZ227" s="8">
        <v>12662270.699999999</v>
      </c>
      <c r="HA227" s="9">
        <f t="shared" si="1149"/>
        <v>46632138.819999993</v>
      </c>
      <c r="HB227" s="9">
        <f t="shared" si="1150"/>
        <v>0.12150941320891806</v>
      </c>
      <c r="HC227" s="10">
        <f t="shared" si="1151"/>
        <v>0.63913748652290781</v>
      </c>
      <c r="HD227" s="9">
        <f t="shared" si="1152"/>
        <v>1.5236346162157262</v>
      </c>
      <c r="HE227" s="8">
        <v>5</v>
      </c>
      <c r="HF227" s="8">
        <v>1</v>
      </c>
      <c r="HG227" s="8">
        <v>87</v>
      </c>
      <c r="HH227" s="8">
        <v>5</v>
      </c>
      <c r="HI227" s="8">
        <v>40</v>
      </c>
      <c r="HJ227" s="9">
        <f t="shared" si="1153"/>
        <v>41</v>
      </c>
      <c r="HK227" s="10">
        <f t="shared" si="1154"/>
        <v>1</v>
      </c>
      <c r="HL227" s="8">
        <v>8</v>
      </c>
      <c r="HM227" s="8">
        <v>60</v>
      </c>
      <c r="HN227" s="11">
        <f t="shared" si="1155"/>
        <v>7.5</v>
      </c>
    </row>
    <row r="228" spans="1:222" x14ac:dyDescent="0.3">
      <c r="A228" s="12" t="s">
        <v>289</v>
      </c>
      <c r="B228" s="12" t="s">
        <v>291</v>
      </c>
      <c r="C228" s="13" t="s">
        <v>257</v>
      </c>
      <c r="D228" s="13">
        <v>2026</v>
      </c>
      <c r="E228" s="13">
        <v>1</v>
      </c>
      <c r="F228" s="13" t="s">
        <v>270</v>
      </c>
      <c r="G228" s="13" t="s">
        <v>271</v>
      </c>
      <c r="H228" s="14">
        <v>27432</v>
      </c>
      <c r="I228" s="14">
        <v>13312</v>
      </c>
      <c r="J228" s="14">
        <v>811</v>
      </c>
      <c r="K228" s="14">
        <v>1892</v>
      </c>
      <c r="L228" s="14">
        <v>596</v>
      </c>
      <c r="M228" s="15">
        <v>16611</v>
      </c>
      <c r="N228" s="14">
        <v>901</v>
      </c>
      <c r="O228" s="14">
        <v>0</v>
      </c>
      <c r="P228" s="14">
        <v>2521</v>
      </c>
      <c r="Q228" s="14">
        <v>279</v>
      </c>
      <c r="R228" s="15">
        <v>3701</v>
      </c>
      <c r="S228" s="15">
        <v>20312</v>
      </c>
      <c r="T228" s="14">
        <v>7120</v>
      </c>
      <c r="U228" s="16">
        <v>0.25955088947214933</v>
      </c>
      <c r="V228" s="14">
        <v>31</v>
      </c>
      <c r="W228" s="17">
        <v>1.130067074948965</v>
      </c>
      <c r="X228" s="14">
        <v>0</v>
      </c>
      <c r="Y228" s="17">
        <v>0</v>
      </c>
      <c r="Z228" s="14">
        <v>0</v>
      </c>
      <c r="AA228" s="17">
        <v>0</v>
      </c>
      <c r="AB228" s="14">
        <v>0</v>
      </c>
      <c r="AC228" s="17">
        <v>0</v>
      </c>
      <c r="AD228" s="14">
        <v>0</v>
      </c>
      <c r="AE228" s="17">
        <v>0</v>
      </c>
      <c r="AF228" s="14">
        <v>0</v>
      </c>
      <c r="AG228" s="17">
        <v>0</v>
      </c>
      <c r="AH228" s="14">
        <v>109283.99</v>
      </c>
      <c r="AI228" s="15">
        <v>3.9838141586468359</v>
      </c>
      <c r="AJ228" s="14">
        <v>19420</v>
      </c>
      <c r="AK228" s="17">
        <v>0.70793234179060949</v>
      </c>
      <c r="AL228" s="14">
        <v>2710980.63</v>
      </c>
      <c r="AM228" s="15">
        <v>98.825482283464567</v>
      </c>
      <c r="AN228" s="14">
        <v>912</v>
      </c>
      <c r="AO228" s="14">
        <v>52</v>
      </c>
      <c r="AP228" s="14">
        <v>142168</v>
      </c>
      <c r="AQ228" s="14">
        <v>0</v>
      </c>
      <c r="AR228" s="14">
        <v>0</v>
      </c>
      <c r="AS228" s="14">
        <v>0</v>
      </c>
      <c r="AT228" s="14">
        <v>0</v>
      </c>
      <c r="AU228" s="15">
        <v>2962432.62</v>
      </c>
      <c r="AV228" s="15">
        <v>107.9918569553806</v>
      </c>
      <c r="AW228" s="15">
        <v>145.8464267428121</v>
      </c>
      <c r="AX228" s="14">
        <v>7</v>
      </c>
      <c r="AY228" s="15">
        <v>7.9104695246427532</v>
      </c>
      <c r="AZ228" s="14">
        <v>6</v>
      </c>
      <c r="BA228" s="14">
        <v>87</v>
      </c>
      <c r="BB228" s="14">
        <v>11</v>
      </c>
      <c r="BC228" s="14">
        <v>15</v>
      </c>
      <c r="BD228" s="14">
        <v>0</v>
      </c>
      <c r="BE228" s="15">
        <v>15</v>
      </c>
      <c r="BF228" s="15">
        <v>83</v>
      </c>
      <c r="BG228" s="14">
        <v>0</v>
      </c>
      <c r="BH228" s="14">
        <v>0</v>
      </c>
      <c r="BI228" s="14">
        <v>0</v>
      </c>
      <c r="BJ228" s="14">
        <v>0</v>
      </c>
      <c r="BK228" s="15">
        <v>0</v>
      </c>
      <c r="BL228" s="15">
        <v>0</v>
      </c>
      <c r="BM228" s="14">
        <v>0</v>
      </c>
      <c r="BN228" s="14">
        <v>0</v>
      </c>
      <c r="BO228" s="14">
        <v>0</v>
      </c>
      <c r="BP228" s="14">
        <v>0</v>
      </c>
      <c r="BQ228" s="15">
        <v>0</v>
      </c>
      <c r="BR228" s="15">
        <v>0</v>
      </c>
      <c r="BS228" s="14">
        <v>0</v>
      </c>
      <c r="BT228" s="14">
        <v>0</v>
      </c>
      <c r="BU228" s="14">
        <v>0</v>
      </c>
      <c r="BV228" s="14">
        <v>0</v>
      </c>
      <c r="BW228" s="15">
        <v>0</v>
      </c>
      <c r="BX228" s="15">
        <v>0</v>
      </c>
      <c r="BY228" s="15">
        <v>87</v>
      </c>
      <c r="BZ228" s="15">
        <v>11</v>
      </c>
      <c r="CA228" s="15">
        <v>15</v>
      </c>
      <c r="CB228" s="15">
        <v>83</v>
      </c>
      <c r="CC228" s="14">
        <v>0</v>
      </c>
      <c r="CD228" s="14">
        <v>119</v>
      </c>
      <c r="CE228" s="14">
        <v>11</v>
      </c>
      <c r="CF228" s="14">
        <v>13</v>
      </c>
      <c r="CG228" s="14">
        <v>20</v>
      </c>
      <c r="CH228" s="15">
        <v>163</v>
      </c>
      <c r="CI228" s="14">
        <v>3097</v>
      </c>
      <c r="CJ228" s="14">
        <v>23</v>
      </c>
      <c r="CK228" s="14">
        <v>15</v>
      </c>
      <c r="CL228" s="14">
        <v>9</v>
      </c>
      <c r="CM228" s="15">
        <v>3144</v>
      </c>
      <c r="CN228" s="14">
        <v>719</v>
      </c>
      <c r="CO228" s="14">
        <v>42</v>
      </c>
      <c r="CP228" s="14">
        <v>56</v>
      </c>
      <c r="CQ228" s="14">
        <v>3</v>
      </c>
      <c r="CR228" s="15">
        <v>820</v>
      </c>
      <c r="CS228" s="15">
        <v>3964</v>
      </c>
      <c r="CT228" s="14">
        <v>4127</v>
      </c>
      <c r="CU228" s="14">
        <v>22530.523491389409</v>
      </c>
      <c r="CV228" s="14">
        <v>17127</v>
      </c>
      <c r="CW228" s="16">
        <v>0.76016875535739337</v>
      </c>
      <c r="CX228" s="14">
        <v>0</v>
      </c>
      <c r="CY228" s="14">
        <v>0</v>
      </c>
      <c r="CZ228" s="14">
        <v>0</v>
      </c>
      <c r="DA228" s="14">
        <v>0</v>
      </c>
      <c r="DB228" s="15">
        <v>0</v>
      </c>
      <c r="DC228" s="14">
        <v>0</v>
      </c>
      <c r="DD228" s="14">
        <v>0</v>
      </c>
      <c r="DE228" s="14">
        <v>0</v>
      </c>
      <c r="DF228" s="14">
        <v>0</v>
      </c>
      <c r="DG228" s="15">
        <v>0</v>
      </c>
      <c r="DH228" s="14">
        <v>0</v>
      </c>
      <c r="DI228" s="14">
        <v>0</v>
      </c>
      <c r="DJ228" s="14">
        <v>0</v>
      </c>
      <c r="DK228" s="14">
        <v>0</v>
      </c>
      <c r="DL228" s="15">
        <v>0</v>
      </c>
      <c r="DM228" s="14">
        <v>29</v>
      </c>
      <c r="DN228" s="14">
        <v>6</v>
      </c>
      <c r="DO228" s="14">
        <v>14</v>
      </c>
      <c r="DP228" s="14">
        <v>0</v>
      </c>
      <c r="DQ228" s="15">
        <v>21</v>
      </c>
      <c r="DR228" s="15">
        <v>29</v>
      </c>
      <c r="DS228" s="15">
        <v>6</v>
      </c>
      <c r="DT228" s="15">
        <v>14</v>
      </c>
      <c r="DU228" s="15">
        <v>0</v>
      </c>
      <c r="DV228" s="15">
        <v>21</v>
      </c>
      <c r="DW228" s="14">
        <v>46</v>
      </c>
      <c r="DX228" s="14">
        <v>10</v>
      </c>
      <c r="DY228" s="14">
        <v>5</v>
      </c>
      <c r="DZ228" s="14">
        <v>0</v>
      </c>
      <c r="EA228" s="14">
        <v>0</v>
      </c>
      <c r="EB228" s="14">
        <v>3</v>
      </c>
      <c r="EC228" s="14">
        <v>0</v>
      </c>
      <c r="ED228" s="14">
        <v>0</v>
      </c>
      <c r="EE228" s="14">
        <v>2</v>
      </c>
      <c r="EF228" s="14">
        <v>2</v>
      </c>
      <c r="EG228" s="14">
        <v>0</v>
      </c>
      <c r="EH228" s="14">
        <v>0</v>
      </c>
      <c r="EI228" s="14">
        <v>0</v>
      </c>
      <c r="EJ228" s="14">
        <v>0</v>
      </c>
      <c r="EK228" s="14">
        <v>0</v>
      </c>
      <c r="EL228" s="14">
        <v>0</v>
      </c>
      <c r="EM228" s="14">
        <v>0</v>
      </c>
      <c r="EN228" s="14">
        <v>0</v>
      </c>
      <c r="EO228" s="14">
        <v>0</v>
      </c>
      <c r="EP228" s="14">
        <v>0</v>
      </c>
      <c r="EQ228" s="14">
        <v>0</v>
      </c>
      <c r="ER228" s="14">
        <v>0</v>
      </c>
      <c r="ES228" s="14">
        <v>0</v>
      </c>
      <c r="ET228" s="14">
        <v>0</v>
      </c>
      <c r="EU228" s="14">
        <v>0</v>
      </c>
      <c r="EV228" s="14">
        <v>0</v>
      </c>
      <c r="EW228" s="14">
        <v>0</v>
      </c>
      <c r="EX228" s="14">
        <v>0</v>
      </c>
      <c r="EY228" s="14">
        <v>0</v>
      </c>
      <c r="EZ228" s="14">
        <v>0</v>
      </c>
      <c r="FA228" s="14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5">
        <v>68</v>
      </c>
      <c r="FH228" s="14">
        <v>0</v>
      </c>
      <c r="FI228" s="14">
        <v>0</v>
      </c>
      <c r="FJ228" s="14">
        <v>0</v>
      </c>
      <c r="FK228" s="14">
        <v>0</v>
      </c>
      <c r="FL228" s="14">
        <v>0</v>
      </c>
      <c r="FM228" s="14">
        <v>0</v>
      </c>
      <c r="FN228" s="14">
        <v>0</v>
      </c>
      <c r="FO228" s="14">
        <v>0</v>
      </c>
      <c r="FP228" s="14">
        <v>0</v>
      </c>
      <c r="FQ228" s="15">
        <v>0</v>
      </c>
      <c r="FR228" s="14">
        <v>16567851.880000001</v>
      </c>
      <c r="FS228" s="14">
        <v>33000</v>
      </c>
      <c r="FT228" s="14">
        <v>773900</v>
      </c>
      <c r="FU228" s="14">
        <v>282180</v>
      </c>
      <c r="FV228" s="15">
        <v>17656931.879999999</v>
      </c>
      <c r="FW228" s="14">
        <v>3075015</v>
      </c>
      <c r="FX228" s="14">
        <v>10000</v>
      </c>
      <c r="FY228" s="14">
        <v>676000</v>
      </c>
      <c r="FZ228" s="14">
        <v>5138000</v>
      </c>
      <c r="GA228" s="15">
        <v>8899015</v>
      </c>
      <c r="GB228" s="15">
        <v>26555946.879999999</v>
      </c>
      <c r="GC228" s="14">
        <v>12420077.32</v>
      </c>
      <c r="GD228" s="14">
        <v>27544.32</v>
      </c>
      <c r="GE228" s="14">
        <v>2794609.45</v>
      </c>
      <c r="GF228" s="14">
        <v>163401.57999999999</v>
      </c>
      <c r="GG228" s="15">
        <v>15405632.67</v>
      </c>
      <c r="GH228" s="14">
        <v>3075015</v>
      </c>
      <c r="GI228" s="14">
        <v>10000</v>
      </c>
      <c r="GJ228" s="14">
        <v>5138000</v>
      </c>
      <c r="GK228" s="14">
        <v>676000</v>
      </c>
      <c r="GL228" s="15">
        <v>8899015</v>
      </c>
      <c r="GM228" s="15">
        <v>24304647.670000002</v>
      </c>
      <c r="GN228" s="14">
        <v>1008029.04</v>
      </c>
      <c r="GO228" s="14">
        <v>1338.96</v>
      </c>
      <c r="GP228" s="14">
        <v>44117.32</v>
      </c>
      <c r="GQ228" s="14">
        <v>46373.4</v>
      </c>
      <c r="GR228" s="15">
        <v>1099858.72</v>
      </c>
      <c r="GS228" s="14">
        <v>1683798</v>
      </c>
      <c r="GT228" s="14">
        <v>6251</v>
      </c>
      <c r="GU228" s="14">
        <v>11109</v>
      </c>
      <c r="GV228" s="14">
        <v>8930</v>
      </c>
      <c r="GW228" s="15">
        <v>1710088</v>
      </c>
      <c r="GX228" s="15">
        <v>27114594.390000001</v>
      </c>
      <c r="GY228" s="14">
        <v>30849509.960000001</v>
      </c>
      <c r="GZ228" s="14">
        <v>14747111.16</v>
      </c>
      <c r="HA228" s="15">
        <v>45596621.119999997</v>
      </c>
      <c r="HB228" s="15">
        <v>27114594.390000001</v>
      </c>
      <c r="HC228" s="16">
        <v>30849509.960000001</v>
      </c>
      <c r="HD228" s="15">
        <v>14747111.16</v>
      </c>
      <c r="HE228" s="14">
        <v>11</v>
      </c>
      <c r="HF228" s="14">
        <v>1</v>
      </c>
      <c r="HG228" s="14">
        <v>83</v>
      </c>
      <c r="HH228" s="14">
        <v>11</v>
      </c>
      <c r="HI228" s="14">
        <v>30</v>
      </c>
      <c r="HJ228" s="15">
        <v>2.7272727272727271</v>
      </c>
      <c r="HK228" s="16">
        <v>18.07228915662651</v>
      </c>
      <c r="HL228" s="14">
        <v>6</v>
      </c>
      <c r="HM228" s="14">
        <v>60</v>
      </c>
      <c r="HN228" s="17">
        <v>0.1</v>
      </c>
    </row>
    <row r="229" spans="1:222" x14ac:dyDescent="0.3">
      <c r="A229" s="6" t="s">
        <v>289</v>
      </c>
      <c r="B229" s="6" t="s">
        <v>291</v>
      </c>
      <c r="C229" s="7" t="s">
        <v>257</v>
      </c>
      <c r="D229" s="7">
        <v>2026</v>
      </c>
      <c r="E229" s="7">
        <v>2</v>
      </c>
      <c r="F229" s="7" t="s">
        <v>272</v>
      </c>
      <c r="G229" s="7" t="s">
        <v>271</v>
      </c>
      <c r="H229" s="8">
        <v>26151</v>
      </c>
      <c r="I229" s="8">
        <v>12956</v>
      </c>
      <c r="J229" s="8">
        <v>705</v>
      </c>
      <c r="K229" s="8">
        <v>1801</v>
      </c>
      <c r="L229" s="8">
        <v>571</v>
      </c>
      <c r="M229" s="9">
        <f t="shared" ref="M229:M239" si="1156">SUM(I229,J229,K229,L229)</f>
        <v>16033</v>
      </c>
      <c r="N229" s="8">
        <v>405</v>
      </c>
      <c r="O229" s="8">
        <v>0</v>
      </c>
      <c r="P229" s="8">
        <v>2456</v>
      </c>
      <c r="Q229" s="8">
        <v>261</v>
      </c>
      <c r="R229" s="9">
        <f t="shared" ref="R229:R239" si="1157">SUM(N229,O229,P229,Q229)</f>
        <v>3122</v>
      </c>
      <c r="S229" s="9">
        <f t="shared" ref="S229:S239" si="1158">M229+R229</f>
        <v>19155</v>
      </c>
      <c r="T229" s="8">
        <v>6996</v>
      </c>
      <c r="U229" s="10">
        <f t="shared" ref="U229:U239" si="1159">IF(H229=0,"",T229/H229)</f>
        <v>0.26752323046919813</v>
      </c>
      <c r="V229" s="8">
        <v>28</v>
      </c>
      <c r="W229" s="11">
        <f t="shared" ref="W229:W239" si="1160">IF(H229=0,"",V229/H229)</f>
        <v>1.070704753164315E-3</v>
      </c>
      <c r="X229" s="8">
        <v>0</v>
      </c>
      <c r="Y229" s="11">
        <f t="shared" ref="Y229:Y239" si="1161">IF(H229=0,"",X229/H229)</f>
        <v>0</v>
      </c>
      <c r="Z229" s="8">
        <v>0</v>
      </c>
      <c r="AA229" s="11">
        <f t="shared" ref="AA229:AA239" si="1162">IF(H229=0,"",Z229/H229)</f>
        <v>0</v>
      </c>
      <c r="AB229" s="8">
        <v>0</v>
      </c>
      <c r="AC229" s="11">
        <f t="shared" ref="AC229:AC239" si="1163">IF(H229=0,"",AB229/H229)</f>
        <v>0</v>
      </c>
      <c r="AD229" s="8">
        <v>0</v>
      </c>
      <c r="AE229" s="11">
        <f t="shared" ref="AE229:AE239" si="1164">IF(H229=0,"",AD229/H229)</f>
        <v>0</v>
      </c>
      <c r="AF229" s="8">
        <v>0</v>
      </c>
      <c r="AG229" s="11">
        <f t="shared" ref="AG229:AG239" si="1165">IF(H229=0,"",AF229/H229)</f>
        <v>0</v>
      </c>
      <c r="AH229" s="8">
        <v>98708.12</v>
      </c>
      <c r="AI229" s="9">
        <f t="shared" ref="AI229:AI239" si="1166">IF(H229=0,"",AH229/H229)</f>
        <v>3.7745447592826276</v>
      </c>
      <c r="AJ229" s="8">
        <v>18156</v>
      </c>
      <c r="AK229" s="11">
        <f t="shared" ref="AK229:AK239" si="1167">IF(H229=0,"",AJ229/H229)</f>
        <v>0.69427555351611792</v>
      </c>
      <c r="AL229" s="8">
        <v>2535598.7340000002</v>
      </c>
      <c r="AM229" s="9">
        <f t="shared" ref="AM229:AM239" si="1168">IF(H229=0,"",AL229/H229)</f>
        <v>96.959914878972128</v>
      </c>
      <c r="AN229" s="8">
        <v>151</v>
      </c>
      <c r="AO229" s="8">
        <v>60</v>
      </c>
      <c r="AP229" s="8">
        <v>164040</v>
      </c>
      <c r="AQ229" s="8">
        <v>0</v>
      </c>
      <c r="AR229" s="8">
        <v>0</v>
      </c>
      <c r="AS229" s="8">
        <v>0</v>
      </c>
      <c r="AT229" s="8">
        <v>0</v>
      </c>
      <c r="AU229" s="9">
        <f t="shared" ref="AU229:AU239" si="1169">AH229+AL229+AP229+AQ229+AR229+AS229+AT229</f>
        <v>2798346.8540000003</v>
      </c>
      <c r="AV229" s="9">
        <f t="shared" ref="AV229:AV239" si="1170">IF(H229=0,"",AU229/H229)</f>
        <v>107.00725991357884</v>
      </c>
      <c r="AW229" s="9">
        <f t="shared" ref="AW229:AW239" si="1171">IF(S229=0,"",AU229/S229)</f>
        <v>146.08962954842079</v>
      </c>
      <c r="AX229" s="8">
        <v>0</v>
      </c>
      <c r="AY229" s="9">
        <f t="shared" ref="AY229:AY239" si="1172">IF(H229=0,"",AX229/(H229/1000/12))</f>
        <v>0</v>
      </c>
      <c r="AZ229" s="8">
        <v>0</v>
      </c>
      <c r="BA229" s="8">
        <v>83</v>
      </c>
      <c r="BB229" s="8">
        <v>27</v>
      </c>
      <c r="BC229" s="8">
        <v>10</v>
      </c>
      <c r="BD229" s="8">
        <v>0</v>
      </c>
      <c r="BE229" s="9">
        <f t="shared" ref="BE229:BE239" si="1173">BC229+BD229</f>
        <v>10</v>
      </c>
      <c r="BF229" s="9">
        <f t="shared" ref="BF229:BF239" si="1174">BA229+BB229-BE229</f>
        <v>100</v>
      </c>
      <c r="BG229" s="8">
        <v>0</v>
      </c>
      <c r="BH229" s="8">
        <v>0</v>
      </c>
      <c r="BI229" s="8">
        <v>0</v>
      </c>
      <c r="BJ229" s="8">
        <v>0</v>
      </c>
      <c r="BK229" s="9">
        <f t="shared" ref="BK229:BK239" si="1175">BI229+BJ229</f>
        <v>0</v>
      </c>
      <c r="BL229" s="9">
        <f t="shared" ref="BL229:BL239" si="1176">BG229+BH229-BK229</f>
        <v>0</v>
      </c>
      <c r="BM229" s="8">
        <v>0</v>
      </c>
      <c r="BN229" s="8">
        <v>0</v>
      </c>
      <c r="BO229" s="8">
        <v>0</v>
      </c>
      <c r="BP229" s="8">
        <v>0</v>
      </c>
      <c r="BQ229" s="9">
        <f t="shared" ref="BQ229:BQ239" si="1177">BO229+BP229</f>
        <v>0</v>
      </c>
      <c r="BR229" s="9">
        <f t="shared" ref="BR229:BR239" si="1178">BM229+BN229-BQ229</f>
        <v>0</v>
      </c>
      <c r="BS229" s="8">
        <v>0</v>
      </c>
      <c r="BT229" s="8">
        <v>0</v>
      </c>
      <c r="BU229" s="8">
        <v>0</v>
      </c>
      <c r="BV229" s="8">
        <v>0</v>
      </c>
      <c r="BW229" s="9">
        <f t="shared" ref="BW229:BW239" si="1179">BU229+BV229</f>
        <v>0</v>
      </c>
      <c r="BX229" s="9">
        <f t="shared" ref="BX229:BX239" si="1180">BS229+BT229-BW229</f>
        <v>0</v>
      </c>
      <c r="BY229" s="9">
        <f t="shared" ref="BY229:BY239" si="1181">BA229+BG229+BM229+BS229</f>
        <v>83</v>
      </c>
      <c r="BZ229" s="9">
        <f t="shared" ref="BZ229:BZ239" si="1182">BB229+BH229+BN229+BT229</f>
        <v>27</v>
      </c>
      <c r="CA229" s="9">
        <f t="shared" ref="CA229:CA239" si="1183">BE229+BK229+BQ229+BW229</f>
        <v>10</v>
      </c>
      <c r="CB229" s="9">
        <f t="shared" ref="CB229:CB239" si="1184">BF229+BL229+BR229+BX229</f>
        <v>100</v>
      </c>
      <c r="CC229" s="8">
        <v>0</v>
      </c>
      <c r="CD229" s="8">
        <v>1545</v>
      </c>
      <c r="CE229" s="8">
        <v>8</v>
      </c>
      <c r="CF229" s="8">
        <v>11</v>
      </c>
      <c r="CG229" s="8">
        <v>22</v>
      </c>
      <c r="CH229" s="9">
        <f t="shared" ref="CH229:CH239" si="1185">CD229+CE229+CF229+CG229</f>
        <v>1586</v>
      </c>
      <c r="CI229" s="8">
        <v>1698</v>
      </c>
      <c r="CJ229" s="8">
        <v>23</v>
      </c>
      <c r="CK229" s="8">
        <v>15</v>
      </c>
      <c r="CL229" s="8">
        <v>9</v>
      </c>
      <c r="CM229" s="9">
        <f t="shared" ref="CM229:CM239" si="1186">CI229+CJ229+CK229+CL229</f>
        <v>1745</v>
      </c>
      <c r="CN229" s="8">
        <v>636</v>
      </c>
      <c r="CO229" s="8">
        <v>42</v>
      </c>
      <c r="CP229" s="8">
        <v>56</v>
      </c>
      <c r="CQ229" s="8">
        <v>3</v>
      </c>
      <c r="CR229" s="9">
        <f t="shared" ref="CR229:CR239" si="1187">CN229+CO229+CP229+CQ229</f>
        <v>737</v>
      </c>
      <c r="CS229" s="9">
        <f t="shared" ref="CS229:CS239" si="1188">CM229+CR229</f>
        <v>2482</v>
      </c>
      <c r="CT229" s="8">
        <v>4068</v>
      </c>
      <c r="CU229" s="8">
        <v>22575.58453837219</v>
      </c>
      <c r="CV229" s="8">
        <v>17127</v>
      </c>
      <c r="CW229" s="10">
        <f t="shared" ref="CW229:CW239" si="1189">IF(CU229=0,"",CV229/CU229)</f>
        <v>0.75865145245248833</v>
      </c>
      <c r="CX229" s="8">
        <v>0</v>
      </c>
      <c r="CY229" s="8"/>
      <c r="CZ229" s="8"/>
      <c r="DA229" s="8"/>
      <c r="DB229" s="9">
        <f t="shared" ref="DB229:DB239" si="1190">CX229+CY229-CZ229-DA229</f>
        <v>0</v>
      </c>
      <c r="DC229" s="8">
        <v>0</v>
      </c>
      <c r="DD229" s="8">
        <v>0</v>
      </c>
      <c r="DE229" s="8">
        <v>0</v>
      </c>
      <c r="DF229" s="8">
        <v>0</v>
      </c>
      <c r="DG229" s="9">
        <f t="shared" ref="DG229:DG239" si="1191">DC229+DD229-DE229-DF229</f>
        <v>0</v>
      </c>
      <c r="DH229" s="8">
        <v>0</v>
      </c>
      <c r="DI229" s="8">
        <v>0</v>
      </c>
      <c r="DJ229" s="8">
        <v>0</v>
      </c>
      <c r="DK229" s="8">
        <v>0</v>
      </c>
      <c r="DL229" s="9">
        <f t="shared" ref="DL229:DL239" si="1192">DH229+DI229-DJ229-DK229</f>
        <v>0</v>
      </c>
      <c r="DM229" s="8">
        <v>21</v>
      </c>
      <c r="DN229" s="8">
        <v>11</v>
      </c>
      <c r="DO229" s="8">
        <v>19</v>
      </c>
      <c r="DP229" s="8">
        <v>0</v>
      </c>
      <c r="DQ229" s="9">
        <f t="shared" ref="DQ229:DQ239" si="1193">DM229+DN229-DO229-DP229</f>
        <v>13</v>
      </c>
      <c r="DR229" s="9">
        <f t="shared" ref="DR229:DR239" si="1194">CX229+DC229+DH229+DM229</f>
        <v>21</v>
      </c>
      <c r="DS229" s="9">
        <f t="shared" ref="DS229:DS239" si="1195">CY229+DD229+DI229+DN229</f>
        <v>11</v>
      </c>
      <c r="DT229" s="9">
        <f t="shared" ref="DT229:DT239" si="1196">CZ229+DE229+DJ229+DO229</f>
        <v>19</v>
      </c>
      <c r="DU229" s="9">
        <f t="shared" ref="DU229:DU239" si="1197">DA229+DF229+DK229+DP229</f>
        <v>0</v>
      </c>
      <c r="DV229" s="9">
        <f t="shared" ref="DV229:DV239" si="1198">DB229+DG229+DL229+DQ229</f>
        <v>13</v>
      </c>
      <c r="DW229" s="8">
        <v>38</v>
      </c>
      <c r="DX229" s="8">
        <v>8</v>
      </c>
      <c r="DY229" s="8">
        <v>0</v>
      </c>
      <c r="DZ229" s="8">
        <v>3</v>
      </c>
      <c r="EA229" s="8">
        <v>0</v>
      </c>
      <c r="EB229" s="8">
        <v>3</v>
      </c>
      <c r="EC229" s="8">
        <v>0</v>
      </c>
      <c r="ED229" s="8">
        <v>0</v>
      </c>
      <c r="EE229" s="8">
        <v>2</v>
      </c>
      <c r="EF229" s="8">
        <v>1</v>
      </c>
      <c r="EG229" s="8">
        <v>0</v>
      </c>
      <c r="EH229" s="8">
        <v>0</v>
      </c>
      <c r="EI229" s="8">
        <v>0</v>
      </c>
      <c r="EJ229" s="8">
        <v>0</v>
      </c>
      <c r="EK229" s="8">
        <v>0</v>
      </c>
      <c r="EL229" s="8">
        <v>0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8">
        <v>0</v>
      </c>
      <c r="ES229" s="8">
        <v>0</v>
      </c>
      <c r="ET229" s="8">
        <v>0</v>
      </c>
      <c r="EU229" s="8">
        <v>0</v>
      </c>
      <c r="EV229" s="8">
        <v>0</v>
      </c>
      <c r="EW229" s="8">
        <v>0</v>
      </c>
      <c r="EX229" s="8">
        <v>0</v>
      </c>
      <c r="EY229" s="8">
        <v>0</v>
      </c>
      <c r="EZ229" s="8">
        <v>0</v>
      </c>
      <c r="FA229" s="8">
        <v>0</v>
      </c>
      <c r="FB229" s="8">
        <v>0</v>
      </c>
      <c r="FC229" s="8">
        <v>0</v>
      </c>
      <c r="FD229" s="8">
        <v>0</v>
      </c>
      <c r="FE229" s="8">
        <v>0</v>
      </c>
      <c r="FF229" s="8">
        <v>0</v>
      </c>
      <c r="FG229" s="9">
        <f t="shared" ref="FG229:FG239" si="1199">SUM(DW229,DX229,DY229,DZ229,EA229,EB229,EC229,ED229,EE229,EF229,EG229,EH229,EI229,EJ229,EK229,EL229,EM229,EN229,EO229,EP229,EQ229,ER229,ES229,ET229,EU229,EV229,EW229,EX229,EY229,EZ229,FA229,FB229,FC229,FD229,FE229,FF229)</f>
        <v>55</v>
      </c>
      <c r="FH229" s="8">
        <v>0</v>
      </c>
      <c r="FI229" s="8">
        <v>0</v>
      </c>
      <c r="FJ229" s="8">
        <v>0</v>
      </c>
      <c r="FK229" s="8">
        <v>0</v>
      </c>
      <c r="FL229" s="8">
        <v>0</v>
      </c>
      <c r="FM229" s="8">
        <v>0</v>
      </c>
      <c r="FN229" s="8">
        <v>0</v>
      </c>
      <c r="FO229" s="8">
        <v>0</v>
      </c>
      <c r="FP229" s="8">
        <v>0</v>
      </c>
      <c r="FQ229" s="9">
        <f t="shared" ref="FQ229:FQ239" si="1200">FL229+FM229+FN229+FO229+FP229</f>
        <v>0</v>
      </c>
      <c r="FR229" s="8">
        <v>9904133</v>
      </c>
      <c r="FS229" s="8">
        <v>60300</v>
      </c>
      <c r="FT229" s="8">
        <v>169800</v>
      </c>
      <c r="FU229" s="8">
        <v>1036000</v>
      </c>
      <c r="FV229" s="9">
        <f t="shared" ref="FV229:FV239" si="1201">FR229+FS229+FT229+FU229</f>
        <v>11170233</v>
      </c>
      <c r="FW229" s="8">
        <v>4237376</v>
      </c>
      <c r="FX229" s="8">
        <v>0</v>
      </c>
      <c r="FY229" s="8">
        <v>2332000</v>
      </c>
      <c r="FZ229" s="8">
        <v>3083000</v>
      </c>
      <c r="GA229" s="9">
        <f t="shared" ref="GA229:GA239" si="1202">FW229+FX229+FY229+FZ229</f>
        <v>9652376</v>
      </c>
      <c r="GB229" s="9">
        <f t="shared" ref="GB229:GB239" si="1203">FV229+GA229</f>
        <v>20822609</v>
      </c>
      <c r="GC229" s="8">
        <v>10771070</v>
      </c>
      <c r="GD229" s="8">
        <v>40933.919999999998</v>
      </c>
      <c r="GE229" s="8">
        <v>532880.12</v>
      </c>
      <c r="GF229" s="8">
        <v>170172.86</v>
      </c>
      <c r="GG229" s="9">
        <f t="shared" ref="GG229:GG239" si="1204">GC229+GD229+GE229+GF229</f>
        <v>11515056.899999999</v>
      </c>
      <c r="GH229" s="8">
        <v>4237376</v>
      </c>
      <c r="GI229" s="8">
        <v>0</v>
      </c>
      <c r="GJ229" s="8">
        <v>3088000</v>
      </c>
      <c r="GK229" s="8">
        <v>2332000</v>
      </c>
      <c r="GL229" s="9">
        <f t="shared" ref="GL229:GL239" si="1205">GH229+GI229+GJ229+GK229</f>
        <v>9657376</v>
      </c>
      <c r="GM229" s="9">
        <f t="shared" ref="GM229:GM239" si="1206">GG229+GL229</f>
        <v>21172432.899999999</v>
      </c>
      <c r="GN229" s="8">
        <v>999630</v>
      </c>
      <c r="GO229" s="8">
        <v>1338.96</v>
      </c>
      <c r="GP229" s="8">
        <v>40723.68</v>
      </c>
      <c r="GQ229" s="8">
        <v>46373.4</v>
      </c>
      <c r="GR229" s="9">
        <f t="shared" ref="GR229:GR239" si="1207">GN229+GO229+GP229+GQ229</f>
        <v>1088066.04</v>
      </c>
      <c r="GS229" s="8">
        <v>1670803</v>
      </c>
      <c r="GT229" s="8">
        <v>6251</v>
      </c>
      <c r="GU229" s="8">
        <v>10716</v>
      </c>
      <c r="GV229" s="8">
        <v>8930</v>
      </c>
      <c r="GW229" s="9">
        <f t="shared" ref="GW229:GW239" si="1208">GS229+GT229+GU229+GV229</f>
        <v>1696700</v>
      </c>
      <c r="GX229" s="9">
        <f t="shared" ref="GX229:GX239" si="1209">GM229+GR229+GW229</f>
        <v>23957198.939999998</v>
      </c>
      <c r="GY229" s="8">
        <v>32969386.109999999</v>
      </c>
      <c r="GZ229" s="8">
        <v>1536765.96</v>
      </c>
      <c r="HA229" s="9">
        <f t="shared" ref="HA229:HA239" si="1210">GY229+GZ229</f>
        <v>34506152.07</v>
      </c>
      <c r="HB229" s="9">
        <f t="shared" ref="HB229:HB239" si="1211">IF(GX229=0,"",AU229/GX229)</f>
        <v>0.11680609494492099</v>
      </c>
      <c r="HC229" s="10">
        <f t="shared" ref="HC229:HC239" si="1212">IF((GX229+GY229)=0,"",GB229/(GX229+GY229))</f>
        <v>0.36578004778805895</v>
      </c>
      <c r="HD229" s="9">
        <f t="shared" ref="HD229:HD239" si="1213">IF(GX229=0,"",GB229/GX229)</f>
        <v>0.86915874648574432</v>
      </c>
      <c r="HE229" s="8">
        <v>27</v>
      </c>
      <c r="HF229" s="8">
        <v>1</v>
      </c>
      <c r="HG229" s="8">
        <v>100</v>
      </c>
      <c r="HH229" s="8">
        <v>27</v>
      </c>
      <c r="HI229" s="8">
        <v>30</v>
      </c>
      <c r="HJ229" s="9">
        <f t="shared" ref="HJ229:HJ239" si="1214">HF229+HI229</f>
        <v>31</v>
      </c>
      <c r="HK229" s="10">
        <f t="shared" ref="HK229:HK239" si="1215">IF(HE229=0,"",HH229/HE229)</f>
        <v>1</v>
      </c>
      <c r="HL229" s="8">
        <v>8</v>
      </c>
      <c r="HM229" s="8">
        <v>30</v>
      </c>
      <c r="HN229" s="11">
        <f t="shared" ref="HN229:HN239" si="1216">IF(HL229=0,"",HM229/HL229)</f>
        <v>3.75</v>
      </c>
    </row>
    <row r="230" spans="1:222" x14ac:dyDescent="0.3">
      <c r="A230" s="12" t="s">
        <v>289</v>
      </c>
      <c r="B230" s="12" t="s">
        <v>291</v>
      </c>
      <c r="C230" s="13" t="s">
        <v>257</v>
      </c>
      <c r="D230" s="13">
        <v>2026</v>
      </c>
      <c r="E230" s="13">
        <v>3</v>
      </c>
      <c r="F230" s="13" t="s">
        <v>273</v>
      </c>
      <c r="G230" s="13" t="s">
        <v>271</v>
      </c>
      <c r="H230" s="14">
        <v>25222</v>
      </c>
      <c r="I230" s="14">
        <v>11986</v>
      </c>
      <c r="J230" s="14">
        <v>811</v>
      </c>
      <c r="K230" s="14">
        <v>854</v>
      </c>
      <c r="L230" s="14">
        <v>511</v>
      </c>
      <c r="M230" s="15">
        <f t="shared" si="1156"/>
        <v>14162</v>
      </c>
      <c r="N230" s="14">
        <v>679</v>
      </c>
      <c r="O230" s="14">
        <v>0</v>
      </c>
      <c r="P230" s="14">
        <v>3181</v>
      </c>
      <c r="Q230" s="14">
        <v>279</v>
      </c>
      <c r="R230" s="15">
        <f t="shared" si="1157"/>
        <v>4139</v>
      </c>
      <c r="S230" s="15">
        <f t="shared" si="1158"/>
        <v>18301</v>
      </c>
      <c r="T230" s="14">
        <v>6921</v>
      </c>
      <c r="U230" s="16">
        <f t="shared" si="1159"/>
        <v>0.27440329870747759</v>
      </c>
      <c r="V230" s="14">
        <v>25</v>
      </c>
      <c r="W230" s="17">
        <f t="shared" si="1160"/>
        <v>9.9119816033621435E-4</v>
      </c>
      <c r="X230" s="14">
        <v>0</v>
      </c>
      <c r="Y230" s="17">
        <f t="shared" si="1161"/>
        <v>0</v>
      </c>
      <c r="Z230" s="14">
        <v>0</v>
      </c>
      <c r="AA230" s="17">
        <f t="shared" si="1162"/>
        <v>0</v>
      </c>
      <c r="AB230" s="14">
        <v>0</v>
      </c>
      <c r="AC230" s="17">
        <f t="shared" si="1163"/>
        <v>0</v>
      </c>
      <c r="AD230" s="14">
        <v>0</v>
      </c>
      <c r="AE230" s="17">
        <f t="shared" si="1164"/>
        <v>0</v>
      </c>
      <c r="AF230" s="14">
        <v>0</v>
      </c>
      <c r="AG230" s="17">
        <f t="shared" si="1165"/>
        <v>0</v>
      </c>
      <c r="AH230" s="14">
        <v>88132.25</v>
      </c>
      <c r="AI230" s="15">
        <f t="shared" si="1166"/>
        <v>3.4942609626516532</v>
      </c>
      <c r="AJ230" s="14">
        <v>16255</v>
      </c>
      <c r="AK230" s="17">
        <f t="shared" si="1167"/>
        <v>0.64447704385060667</v>
      </c>
      <c r="AL230" s="14">
        <v>16426.5</v>
      </c>
      <c r="AM230" s="15">
        <f t="shared" si="1168"/>
        <v>0.65127666323051303</v>
      </c>
      <c r="AN230" s="14">
        <v>465</v>
      </c>
      <c r="AO230" s="14">
        <v>90</v>
      </c>
      <c r="AP230" s="14">
        <v>246060</v>
      </c>
      <c r="AQ230" s="14">
        <v>0</v>
      </c>
      <c r="AR230" s="14">
        <v>0</v>
      </c>
      <c r="AS230" s="14">
        <v>0</v>
      </c>
      <c r="AT230" s="14">
        <v>0</v>
      </c>
      <c r="AU230" s="15">
        <f t="shared" si="1169"/>
        <v>350618.75</v>
      </c>
      <c r="AV230" s="15">
        <f t="shared" si="1170"/>
        <v>13.901306399175324</v>
      </c>
      <c r="AW230" s="15">
        <f t="shared" si="1171"/>
        <v>19.158447625812798</v>
      </c>
      <c r="AX230" s="14">
        <v>7</v>
      </c>
      <c r="AY230" s="15">
        <f t="shared" si="1172"/>
        <v>3.3304258187296805</v>
      </c>
      <c r="AZ230" s="14">
        <v>6</v>
      </c>
      <c r="BA230" s="14">
        <v>100</v>
      </c>
      <c r="BB230" s="14">
        <v>13</v>
      </c>
      <c r="BC230" s="14">
        <v>11</v>
      </c>
      <c r="BD230" s="14">
        <v>0</v>
      </c>
      <c r="BE230" s="15">
        <f t="shared" si="1173"/>
        <v>11</v>
      </c>
      <c r="BF230" s="15">
        <f t="shared" si="1174"/>
        <v>102</v>
      </c>
      <c r="BG230" s="14">
        <v>0</v>
      </c>
      <c r="BH230" s="14">
        <v>0</v>
      </c>
      <c r="BI230" s="14">
        <v>0</v>
      </c>
      <c r="BJ230" s="14">
        <v>0</v>
      </c>
      <c r="BK230" s="15">
        <f t="shared" si="1175"/>
        <v>0</v>
      </c>
      <c r="BL230" s="15">
        <f t="shared" si="1176"/>
        <v>0</v>
      </c>
      <c r="BM230" s="14">
        <v>0</v>
      </c>
      <c r="BN230" s="14">
        <v>0</v>
      </c>
      <c r="BO230" s="14">
        <v>0</v>
      </c>
      <c r="BP230" s="14">
        <v>0</v>
      </c>
      <c r="BQ230" s="15">
        <f t="shared" si="1177"/>
        <v>0</v>
      </c>
      <c r="BR230" s="15">
        <f t="shared" si="1178"/>
        <v>0</v>
      </c>
      <c r="BS230" s="14">
        <v>0</v>
      </c>
      <c r="BT230" s="14">
        <v>0</v>
      </c>
      <c r="BU230" s="14">
        <v>0</v>
      </c>
      <c r="BV230" s="14">
        <v>0</v>
      </c>
      <c r="BW230" s="15">
        <f t="shared" si="1179"/>
        <v>0</v>
      </c>
      <c r="BX230" s="15">
        <f t="shared" si="1180"/>
        <v>0</v>
      </c>
      <c r="BY230" s="15">
        <f t="shared" si="1181"/>
        <v>100</v>
      </c>
      <c r="BZ230" s="15">
        <f t="shared" si="1182"/>
        <v>13</v>
      </c>
      <c r="CA230" s="15">
        <f t="shared" si="1183"/>
        <v>11</v>
      </c>
      <c r="CB230" s="15">
        <f t="shared" si="1184"/>
        <v>102</v>
      </c>
      <c r="CC230" s="14">
        <v>0</v>
      </c>
      <c r="CD230" s="14">
        <v>1560</v>
      </c>
      <c r="CE230" s="14">
        <v>8</v>
      </c>
      <c r="CF230" s="14">
        <v>11</v>
      </c>
      <c r="CG230" s="14">
        <v>22</v>
      </c>
      <c r="CH230" s="15">
        <f t="shared" si="1185"/>
        <v>1601</v>
      </c>
      <c r="CI230" s="14">
        <v>1694</v>
      </c>
      <c r="CJ230" s="14">
        <v>23</v>
      </c>
      <c r="CK230" s="14">
        <v>15</v>
      </c>
      <c r="CL230" s="14">
        <v>9</v>
      </c>
      <c r="CM230" s="15">
        <f t="shared" si="1186"/>
        <v>1741</v>
      </c>
      <c r="CN230" s="14">
        <v>636</v>
      </c>
      <c r="CO230" s="14">
        <v>42</v>
      </c>
      <c r="CP230" s="14">
        <v>56</v>
      </c>
      <c r="CQ230" s="14">
        <v>3</v>
      </c>
      <c r="CR230" s="15">
        <f t="shared" si="1187"/>
        <v>737</v>
      </c>
      <c r="CS230" s="15">
        <f t="shared" si="1188"/>
        <v>2478</v>
      </c>
      <c r="CT230" s="14">
        <v>4079</v>
      </c>
      <c r="CU230" s="14">
        <v>22620.73570744893</v>
      </c>
      <c r="CV230" s="14">
        <v>17127</v>
      </c>
      <c r="CW230" s="16">
        <f t="shared" si="1189"/>
        <v>0.75713717809629588</v>
      </c>
      <c r="CX230" s="14"/>
      <c r="CY230" s="14"/>
      <c r="CZ230" s="14"/>
      <c r="DA230" s="14"/>
      <c r="DB230" s="15">
        <f t="shared" si="1190"/>
        <v>0</v>
      </c>
      <c r="DC230" s="14">
        <v>0</v>
      </c>
      <c r="DD230" s="14">
        <v>0</v>
      </c>
      <c r="DE230" s="14">
        <v>0</v>
      </c>
      <c r="DF230" s="14">
        <v>0</v>
      </c>
      <c r="DG230" s="15">
        <f t="shared" si="1191"/>
        <v>0</v>
      </c>
      <c r="DH230" s="14">
        <v>0</v>
      </c>
      <c r="DI230" s="14">
        <v>0</v>
      </c>
      <c r="DJ230" s="14">
        <v>0</v>
      </c>
      <c r="DK230" s="14">
        <v>0</v>
      </c>
      <c r="DL230" s="15">
        <f t="shared" si="1192"/>
        <v>0</v>
      </c>
      <c r="DM230" s="14">
        <v>13</v>
      </c>
      <c r="DN230" s="14">
        <v>8</v>
      </c>
      <c r="DO230" s="14">
        <v>15</v>
      </c>
      <c r="DP230" s="14">
        <v>0</v>
      </c>
      <c r="DQ230" s="15">
        <f t="shared" si="1193"/>
        <v>6</v>
      </c>
      <c r="DR230" s="15">
        <f t="shared" si="1194"/>
        <v>13</v>
      </c>
      <c r="DS230" s="15">
        <f t="shared" si="1195"/>
        <v>8</v>
      </c>
      <c r="DT230" s="15">
        <f t="shared" si="1196"/>
        <v>15</v>
      </c>
      <c r="DU230" s="15">
        <f t="shared" si="1197"/>
        <v>0</v>
      </c>
      <c r="DV230" s="15">
        <f t="shared" si="1198"/>
        <v>6</v>
      </c>
      <c r="DW230" s="14">
        <v>32</v>
      </c>
      <c r="DX230" s="14">
        <v>12</v>
      </c>
      <c r="DY230" s="14">
        <v>2</v>
      </c>
      <c r="DZ230" s="14">
        <v>0</v>
      </c>
      <c r="EA230" s="14">
        <v>3</v>
      </c>
      <c r="EB230" s="14">
        <v>0</v>
      </c>
      <c r="EC230" s="14">
        <v>0</v>
      </c>
      <c r="ED230" s="14">
        <v>0</v>
      </c>
      <c r="EE230" s="14">
        <v>0</v>
      </c>
      <c r="EF230" s="14">
        <v>2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5">
        <f t="shared" si="1199"/>
        <v>51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5">
        <f t="shared" si="1200"/>
        <v>0</v>
      </c>
      <c r="FR230" s="14">
        <v>10426644</v>
      </c>
      <c r="FS230" s="14">
        <v>56200</v>
      </c>
      <c r="FT230" s="14">
        <v>14000</v>
      </c>
      <c r="FU230" s="14">
        <v>290300</v>
      </c>
      <c r="FV230" s="15">
        <f t="shared" si="1201"/>
        <v>10787144</v>
      </c>
      <c r="FW230" s="14">
        <v>3749973</v>
      </c>
      <c r="FX230" s="14">
        <v>10000</v>
      </c>
      <c r="FY230" s="14">
        <v>198000</v>
      </c>
      <c r="FZ230" s="14">
        <v>4399000</v>
      </c>
      <c r="GA230" s="15">
        <f t="shared" si="1202"/>
        <v>8356973</v>
      </c>
      <c r="GB230" s="15">
        <f t="shared" si="1203"/>
        <v>19144117</v>
      </c>
      <c r="GC230" s="14">
        <v>11835634</v>
      </c>
      <c r="GD230" s="14">
        <v>42081.599999999999</v>
      </c>
      <c r="GE230" s="14">
        <v>564450.68000000005</v>
      </c>
      <c r="GF230" s="14">
        <v>191908.66</v>
      </c>
      <c r="GG230" s="15">
        <f t="shared" si="1204"/>
        <v>12634074.939999999</v>
      </c>
      <c r="GH230" s="14">
        <v>3717525.73</v>
      </c>
      <c r="GI230" s="14">
        <v>10000</v>
      </c>
      <c r="GJ230" s="14">
        <v>4395340</v>
      </c>
      <c r="GK230" s="14">
        <v>198000</v>
      </c>
      <c r="GL230" s="15">
        <f t="shared" si="1205"/>
        <v>8320865.7300000004</v>
      </c>
      <c r="GM230" s="15">
        <f t="shared" si="1206"/>
        <v>20954940.670000002</v>
      </c>
      <c r="GN230" s="14">
        <v>999630</v>
      </c>
      <c r="GO230" s="14">
        <v>1338.96</v>
      </c>
      <c r="GP230" s="14">
        <v>40723.68</v>
      </c>
      <c r="GQ230" s="14">
        <v>46373.4</v>
      </c>
      <c r="GR230" s="15">
        <f t="shared" si="1207"/>
        <v>1088066.04</v>
      </c>
      <c r="GS230" s="14">
        <v>1670803</v>
      </c>
      <c r="GT230" s="14">
        <v>6251</v>
      </c>
      <c r="GU230" s="14">
        <v>10716</v>
      </c>
      <c r="GV230" s="14">
        <v>8930</v>
      </c>
      <c r="GW230" s="15">
        <f t="shared" si="1208"/>
        <v>1696700</v>
      </c>
      <c r="GX230" s="15">
        <f t="shared" si="1209"/>
        <v>23739706.710000001</v>
      </c>
      <c r="GY230" s="14">
        <v>38707870.770000003</v>
      </c>
      <c r="GZ230" s="14">
        <v>752619.53</v>
      </c>
      <c r="HA230" s="15">
        <f t="shared" si="1210"/>
        <v>39460490.300000004</v>
      </c>
      <c r="HB230" s="15">
        <f t="shared" si="1211"/>
        <v>1.4769295774505378E-2</v>
      </c>
      <c r="HC230" s="16">
        <f t="shared" si="1212"/>
        <v>0.30656300488407673</v>
      </c>
      <c r="HD230" s="15">
        <f t="shared" si="1213"/>
        <v>0.80641758695088783</v>
      </c>
      <c r="HE230" s="14">
        <v>13</v>
      </c>
      <c r="HF230" s="14">
        <v>1</v>
      </c>
      <c r="HG230" s="14">
        <v>102</v>
      </c>
      <c r="HH230" s="14">
        <v>13</v>
      </c>
      <c r="HI230" s="14">
        <v>30</v>
      </c>
      <c r="HJ230" s="15">
        <f t="shared" si="1214"/>
        <v>31</v>
      </c>
      <c r="HK230" s="16">
        <f t="shared" si="1215"/>
        <v>1</v>
      </c>
      <c r="HL230" s="14">
        <v>10</v>
      </c>
      <c r="HM230" s="14">
        <v>30</v>
      </c>
      <c r="HN230" s="17">
        <f t="shared" si="1216"/>
        <v>3</v>
      </c>
    </row>
    <row r="231" spans="1:222" x14ac:dyDescent="0.3">
      <c r="A231" s="6" t="s">
        <v>289</v>
      </c>
      <c r="B231" s="6" t="s">
        <v>292</v>
      </c>
      <c r="C231" s="7" t="s">
        <v>257</v>
      </c>
      <c r="D231" s="7">
        <v>2025</v>
      </c>
      <c r="E231" s="7">
        <v>4</v>
      </c>
      <c r="F231" s="7" t="s">
        <v>258</v>
      </c>
      <c r="G231" s="7" t="s">
        <v>259</v>
      </c>
      <c r="H231" s="8">
        <v>3408</v>
      </c>
      <c r="I231" s="8">
        <v>5</v>
      </c>
      <c r="J231" s="8">
        <v>156</v>
      </c>
      <c r="K231" s="8">
        <v>0</v>
      </c>
      <c r="L231" s="8">
        <v>36</v>
      </c>
      <c r="M231" s="9">
        <f t="shared" si="1156"/>
        <v>197</v>
      </c>
      <c r="N231" s="8">
        <v>2337</v>
      </c>
      <c r="O231" s="8">
        <v>318</v>
      </c>
      <c r="P231" s="8">
        <v>3</v>
      </c>
      <c r="Q231" s="8">
        <v>22</v>
      </c>
      <c r="R231" s="9">
        <f t="shared" si="1157"/>
        <v>2680</v>
      </c>
      <c r="S231" s="9">
        <f t="shared" si="1158"/>
        <v>2877</v>
      </c>
      <c r="T231" s="8">
        <v>531</v>
      </c>
      <c r="U231" s="10">
        <f t="shared" si="1159"/>
        <v>0.15580985915492956</v>
      </c>
      <c r="V231" s="8">
        <v>6</v>
      </c>
      <c r="W231" s="11">
        <f t="shared" si="1160"/>
        <v>1.7605633802816902E-3</v>
      </c>
      <c r="X231" s="8">
        <v>0</v>
      </c>
      <c r="Y231" s="11">
        <f t="shared" si="1161"/>
        <v>0</v>
      </c>
      <c r="Z231" s="8">
        <v>0</v>
      </c>
      <c r="AA231" s="11">
        <f t="shared" si="1162"/>
        <v>0</v>
      </c>
      <c r="AB231" s="8">
        <v>0</v>
      </c>
      <c r="AC231" s="11">
        <f t="shared" si="1163"/>
        <v>0</v>
      </c>
      <c r="AD231" s="8">
        <v>0</v>
      </c>
      <c r="AE231" s="11">
        <f t="shared" si="1164"/>
        <v>0</v>
      </c>
      <c r="AF231" s="8">
        <v>0</v>
      </c>
      <c r="AG231" s="11">
        <f t="shared" si="1165"/>
        <v>0</v>
      </c>
      <c r="AH231" s="8">
        <v>21151.74</v>
      </c>
      <c r="AI231" s="9">
        <f t="shared" si="1166"/>
        <v>6.2064964788732402</v>
      </c>
      <c r="AJ231" s="8">
        <v>1009</v>
      </c>
      <c r="AK231" s="11">
        <f t="shared" si="1167"/>
        <v>0.29606807511737088</v>
      </c>
      <c r="AL231" s="8">
        <v>156426.7635</v>
      </c>
      <c r="AM231" s="9">
        <f t="shared" si="1168"/>
        <v>45.899871919014082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9">
        <f t="shared" si="1169"/>
        <v>177578.50349999999</v>
      </c>
      <c r="AV231" s="9">
        <f t="shared" si="1170"/>
        <v>52.106368397887323</v>
      </c>
      <c r="AW231" s="9">
        <f t="shared" si="1171"/>
        <v>61.72349791449426</v>
      </c>
      <c r="AX231" s="8">
        <v>7</v>
      </c>
      <c r="AY231" s="9">
        <f t="shared" si="1172"/>
        <v>24.647887323943664</v>
      </c>
      <c r="AZ231" s="8">
        <v>6</v>
      </c>
      <c r="BA231" s="8">
        <v>233</v>
      </c>
      <c r="BB231" s="8">
        <v>12</v>
      </c>
      <c r="BC231" s="8">
        <v>1</v>
      </c>
      <c r="BD231" s="8">
        <v>2</v>
      </c>
      <c r="BE231" s="9">
        <f t="shared" si="1173"/>
        <v>3</v>
      </c>
      <c r="BF231" s="9">
        <f t="shared" si="1174"/>
        <v>242</v>
      </c>
      <c r="BG231" s="8">
        <v>0</v>
      </c>
      <c r="BH231" s="8">
        <v>0</v>
      </c>
      <c r="BI231" s="8">
        <v>0</v>
      </c>
      <c r="BJ231" s="8">
        <v>0</v>
      </c>
      <c r="BK231" s="9">
        <f t="shared" si="1175"/>
        <v>0</v>
      </c>
      <c r="BL231" s="9">
        <f t="shared" si="1176"/>
        <v>0</v>
      </c>
      <c r="BM231" s="8">
        <v>0</v>
      </c>
      <c r="BN231" s="8">
        <v>0</v>
      </c>
      <c r="BO231" s="8">
        <v>0</v>
      </c>
      <c r="BP231" s="8">
        <v>0</v>
      </c>
      <c r="BQ231" s="9">
        <f t="shared" si="1177"/>
        <v>0</v>
      </c>
      <c r="BR231" s="9">
        <f t="shared" si="1178"/>
        <v>0</v>
      </c>
      <c r="BS231" s="8">
        <v>0</v>
      </c>
      <c r="BT231" s="8">
        <v>0</v>
      </c>
      <c r="BU231" s="8">
        <v>0</v>
      </c>
      <c r="BV231" s="8">
        <v>0</v>
      </c>
      <c r="BW231" s="9">
        <f t="shared" si="1179"/>
        <v>0</v>
      </c>
      <c r="BX231" s="9">
        <f t="shared" si="1180"/>
        <v>0</v>
      </c>
      <c r="BY231" s="9">
        <f t="shared" si="1181"/>
        <v>233</v>
      </c>
      <c r="BZ231" s="9">
        <f t="shared" si="1182"/>
        <v>12</v>
      </c>
      <c r="CA231" s="9">
        <f t="shared" si="1183"/>
        <v>3</v>
      </c>
      <c r="CB231" s="9">
        <f t="shared" si="1184"/>
        <v>242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9">
        <f t="shared" si="1185"/>
        <v>0</v>
      </c>
      <c r="CI231" s="8">
        <v>18</v>
      </c>
      <c r="CJ231" s="8">
        <v>0</v>
      </c>
      <c r="CK231" s="8">
        <v>0</v>
      </c>
      <c r="CL231" s="8">
        <v>0</v>
      </c>
      <c r="CM231" s="9">
        <f t="shared" si="1186"/>
        <v>18</v>
      </c>
      <c r="CN231" s="8">
        <v>680</v>
      </c>
      <c r="CO231" s="8">
        <v>10</v>
      </c>
      <c r="CP231" s="8">
        <v>6</v>
      </c>
      <c r="CQ231" s="8">
        <v>14</v>
      </c>
      <c r="CR231" s="9">
        <f t="shared" si="1187"/>
        <v>710</v>
      </c>
      <c r="CS231" s="9">
        <f t="shared" si="1188"/>
        <v>728</v>
      </c>
      <c r="CT231" s="8">
        <v>728</v>
      </c>
      <c r="CU231" s="8">
        <v>7192</v>
      </c>
      <c r="CV231" s="8">
        <v>5303</v>
      </c>
      <c r="CW231" s="10">
        <f t="shared" si="1189"/>
        <v>0.7373470522803115</v>
      </c>
      <c r="CX231" s="8">
        <v>0</v>
      </c>
      <c r="CY231" s="8">
        <v>0</v>
      </c>
      <c r="CZ231" s="8">
        <v>0</v>
      </c>
      <c r="DA231" s="8">
        <v>0</v>
      </c>
      <c r="DB231" s="9">
        <f t="shared" si="1190"/>
        <v>0</v>
      </c>
      <c r="DC231" s="8">
        <v>0</v>
      </c>
      <c r="DD231" s="8">
        <v>0</v>
      </c>
      <c r="DE231" s="8">
        <v>0</v>
      </c>
      <c r="DF231" s="8">
        <v>0</v>
      </c>
      <c r="DG231" s="9">
        <f t="shared" si="1191"/>
        <v>0</v>
      </c>
      <c r="DH231" s="8">
        <v>0</v>
      </c>
      <c r="DI231" s="8">
        <v>0</v>
      </c>
      <c r="DJ231" s="8">
        <v>0</v>
      </c>
      <c r="DK231" s="8">
        <v>0</v>
      </c>
      <c r="DL231" s="9">
        <f t="shared" si="1192"/>
        <v>0</v>
      </c>
      <c r="DM231" s="8">
        <v>0</v>
      </c>
      <c r="DN231" s="8">
        <v>0</v>
      </c>
      <c r="DO231" s="8">
        <v>0</v>
      </c>
      <c r="DP231" s="8">
        <v>0</v>
      </c>
      <c r="DQ231" s="9">
        <f t="shared" si="1193"/>
        <v>0</v>
      </c>
      <c r="DR231" s="9">
        <f t="shared" si="1194"/>
        <v>0</v>
      </c>
      <c r="DS231" s="9">
        <f t="shared" si="1195"/>
        <v>0</v>
      </c>
      <c r="DT231" s="9">
        <f t="shared" si="1196"/>
        <v>0</v>
      </c>
      <c r="DU231" s="9">
        <f t="shared" si="1197"/>
        <v>0</v>
      </c>
      <c r="DV231" s="9">
        <f t="shared" si="1198"/>
        <v>0</v>
      </c>
      <c r="DW231" s="8">
        <v>9</v>
      </c>
      <c r="DX231" s="8">
        <v>5</v>
      </c>
      <c r="DY231" s="8">
        <v>3</v>
      </c>
      <c r="DZ231" s="8">
        <v>1</v>
      </c>
      <c r="EA231" s="8">
        <v>0</v>
      </c>
      <c r="EB231" s="8">
        <v>3</v>
      </c>
      <c r="EC231" s="8">
        <v>0</v>
      </c>
      <c r="ED231" s="8">
        <v>2</v>
      </c>
      <c r="EE231" s="8">
        <v>3</v>
      </c>
      <c r="EF231" s="8">
        <v>0</v>
      </c>
      <c r="EG231" s="8">
        <v>0</v>
      </c>
      <c r="EH231" s="8">
        <v>0</v>
      </c>
      <c r="EI231" s="8">
        <v>0</v>
      </c>
      <c r="EJ231" s="8">
        <v>4</v>
      </c>
      <c r="EK231" s="8">
        <v>1</v>
      </c>
      <c r="EL231" s="8">
        <v>0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8">
        <v>0</v>
      </c>
      <c r="FC231" s="8">
        <v>0</v>
      </c>
      <c r="FD231" s="8">
        <v>0</v>
      </c>
      <c r="FE231" s="8">
        <v>0</v>
      </c>
      <c r="FF231" s="8">
        <v>0</v>
      </c>
      <c r="FG231" s="9">
        <f t="shared" si="1199"/>
        <v>31</v>
      </c>
      <c r="FH231" s="8">
        <v>0</v>
      </c>
      <c r="FI231" s="8">
        <v>0</v>
      </c>
      <c r="FJ231" s="8">
        <v>21</v>
      </c>
      <c r="FK231" s="8">
        <v>129</v>
      </c>
      <c r="FL231" s="8">
        <v>0</v>
      </c>
      <c r="FM231" s="8">
        <v>0</v>
      </c>
      <c r="FN231" s="8">
        <v>0</v>
      </c>
      <c r="FO231" s="8">
        <v>0</v>
      </c>
      <c r="FP231" s="8">
        <v>0</v>
      </c>
      <c r="FQ231" s="9">
        <f t="shared" si="1200"/>
        <v>0</v>
      </c>
      <c r="FR231" s="8">
        <v>260450</v>
      </c>
      <c r="FS231" s="8">
        <v>0</v>
      </c>
      <c r="FT231" s="8">
        <v>0</v>
      </c>
      <c r="FU231" s="8">
        <v>0</v>
      </c>
      <c r="FV231" s="9">
        <f t="shared" si="1201"/>
        <v>260450</v>
      </c>
      <c r="FW231" s="8">
        <v>2902686</v>
      </c>
      <c r="FX231" s="8">
        <v>67606</v>
      </c>
      <c r="FY231" s="8">
        <v>107628</v>
      </c>
      <c r="FZ231" s="8">
        <v>9600</v>
      </c>
      <c r="GA231" s="9">
        <f t="shared" si="1202"/>
        <v>3087520</v>
      </c>
      <c r="GB231" s="9">
        <f t="shared" si="1203"/>
        <v>3347970</v>
      </c>
      <c r="GC231" s="8">
        <v>11073.15</v>
      </c>
      <c r="GD231" s="8">
        <v>29839.68</v>
      </c>
      <c r="GE231" s="8">
        <v>0</v>
      </c>
      <c r="GF231" s="8">
        <v>585171.65</v>
      </c>
      <c r="GG231" s="9">
        <f t="shared" si="1204"/>
        <v>626084.48</v>
      </c>
      <c r="GH231" s="8">
        <v>2902686.29</v>
      </c>
      <c r="GI231" s="8">
        <v>67606.22</v>
      </c>
      <c r="GJ231" s="8">
        <v>9600</v>
      </c>
      <c r="GK231" s="8">
        <v>107628.09</v>
      </c>
      <c r="GL231" s="9">
        <f t="shared" si="1205"/>
        <v>3087520.6</v>
      </c>
      <c r="GM231" s="9">
        <f t="shared" si="1206"/>
        <v>3713605.08</v>
      </c>
      <c r="GN231" s="8">
        <v>3393.64</v>
      </c>
      <c r="GO231" s="8">
        <v>956.4</v>
      </c>
      <c r="GP231" s="8">
        <v>0</v>
      </c>
      <c r="GQ231" s="8">
        <v>42504.54</v>
      </c>
      <c r="GR231" s="9">
        <f t="shared" si="1207"/>
        <v>46854.58</v>
      </c>
      <c r="GS231" s="8">
        <v>893</v>
      </c>
      <c r="GT231" s="8">
        <v>4465</v>
      </c>
      <c r="GU231" s="8">
        <v>0</v>
      </c>
      <c r="GV231" s="8">
        <v>69654</v>
      </c>
      <c r="GW231" s="9">
        <f t="shared" si="1208"/>
        <v>75012</v>
      </c>
      <c r="GX231" s="9">
        <f t="shared" si="1209"/>
        <v>3835471.66</v>
      </c>
      <c r="GY231" s="8">
        <v>0</v>
      </c>
      <c r="GZ231" s="8">
        <v>0</v>
      </c>
      <c r="HA231" s="9">
        <f t="shared" si="1210"/>
        <v>0</v>
      </c>
      <c r="HB231" s="9">
        <f t="shared" si="1211"/>
        <v>4.6299000290358029E-2</v>
      </c>
      <c r="HC231" s="10">
        <f t="shared" si="1212"/>
        <v>0.87289655530918453</v>
      </c>
      <c r="HD231" s="9">
        <f t="shared" si="1213"/>
        <v>0.87289655530918453</v>
      </c>
      <c r="HE231" s="8">
        <v>12</v>
      </c>
      <c r="HF231" s="8">
        <v>3</v>
      </c>
      <c r="HG231" s="8">
        <v>242</v>
      </c>
      <c r="HH231" s="8">
        <v>12</v>
      </c>
      <c r="HI231" s="8">
        <v>3</v>
      </c>
      <c r="HJ231" s="9">
        <f t="shared" si="1214"/>
        <v>6</v>
      </c>
      <c r="HK231" s="10">
        <f t="shared" si="1215"/>
        <v>1</v>
      </c>
      <c r="HL231" s="8">
        <v>10</v>
      </c>
      <c r="HM231" s="8">
        <v>5</v>
      </c>
      <c r="HN231" s="11">
        <f t="shared" si="1216"/>
        <v>0.5</v>
      </c>
    </row>
    <row r="232" spans="1:222" x14ac:dyDescent="0.3">
      <c r="A232" s="12" t="s">
        <v>289</v>
      </c>
      <c r="B232" s="12" t="s">
        <v>292</v>
      </c>
      <c r="C232" s="13" t="s">
        <v>257</v>
      </c>
      <c r="D232" s="13">
        <v>2025</v>
      </c>
      <c r="E232" s="13">
        <v>5</v>
      </c>
      <c r="F232" s="13" t="s">
        <v>260</v>
      </c>
      <c r="G232" s="13" t="s">
        <v>259</v>
      </c>
      <c r="H232" s="14">
        <v>3880</v>
      </c>
      <c r="I232" s="14">
        <v>663</v>
      </c>
      <c r="J232" s="14">
        <v>105</v>
      </c>
      <c r="K232" s="14">
        <v>1</v>
      </c>
      <c r="L232" s="14">
        <v>0</v>
      </c>
      <c r="M232" s="15">
        <f t="shared" si="1156"/>
        <v>769</v>
      </c>
      <c r="N232" s="14">
        <v>1829</v>
      </c>
      <c r="O232" s="14">
        <v>199</v>
      </c>
      <c r="P232" s="14">
        <v>3</v>
      </c>
      <c r="Q232" s="14">
        <v>26</v>
      </c>
      <c r="R232" s="15">
        <f t="shared" si="1157"/>
        <v>2057</v>
      </c>
      <c r="S232" s="15">
        <f t="shared" si="1158"/>
        <v>2826</v>
      </c>
      <c r="T232" s="14">
        <v>1054</v>
      </c>
      <c r="U232" s="16">
        <f t="shared" si="1159"/>
        <v>0.27164948453608245</v>
      </c>
      <c r="V232" s="14">
        <v>7</v>
      </c>
      <c r="W232" s="17">
        <f t="shared" si="1160"/>
        <v>1.8041237113402063E-3</v>
      </c>
      <c r="X232" s="14">
        <v>0</v>
      </c>
      <c r="Y232" s="17">
        <f t="shared" si="1161"/>
        <v>0</v>
      </c>
      <c r="Z232" s="14">
        <v>0</v>
      </c>
      <c r="AA232" s="17">
        <f t="shared" si="1162"/>
        <v>0</v>
      </c>
      <c r="AB232" s="14">
        <v>0</v>
      </c>
      <c r="AC232" s="17">
        <f t="shared" si="1163"/>
        <v>0</v>
      </c>
      <c r="AD232" s="14">
        <v>0</v>
      </c>
      <c r="AE232" s="17">
        <f t="shared" si="1164"/>
        <v>0</v>
      </c>
      <c r="AF232" s="14">
        <v>0</v>
      </c>
      <c r="AG232" s="17">
        <f t="shared" si="1165"/>
        <v>0</v>
      </c>
      <c r="AH232" s="14">
        <v>24677.03</v>
      </c>
      <c r="AI232" s="15">
        <f t="shared" si="1166"/>
        <v>6.3600592783505148</v>
      </c>
      <c r="AJ232" s="14">
        <v>1157</v>
      </c>
      <c r="AK232" s="17">
        <f t="shared" si="1167"/>
        <v>0.29819587628865979</v>
      </c>
      <c r="AL232" s="14">
        <v>176961.98550000001</v>
      </c>
      <c r="AM232" s="15">
        <f t="shared" si="1168"/>
        <v>45.608759149484541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5">
        <f t="shared" si="1169"/>
        <v>201639.01550000001</v>
      </c>
      <c r="AV232" s="15">
        <f t="shared" si="1170"/>
        <v>51.968818427835053</v>
      </c>
      <c r="AW232" s="15">
        <f t="shared" si="1171"/>
        <v>71.35138552724699</v>
      </c>
      <c r="AX232" s="14">
        <v>7</v>
      </c>
      <c r="AY232" s="15">
        <f t="shared" si="1172"/>
        <v>21.649484536082475</v>
      </c>
      <c r="AZ232" s="14">
        <v>3</v>
      </c>
      <c r="BA232" s="14">
        <v>242</v>
      </c>
      <c r="BB232" s="14">
        <v>15</v>
      </c>
      <c r="BC232" s="14">
        <v>9</v>
      </c>
      <c r="BD232" s="14">
        <v>1</v>
      </c>
      <c r="BE232" s="15">
        <f t="shared" si="1173"/>
        <v>10</v>
      </c>
      <c r="BF232" s="15">
        <f t="shared" si="1174"/>
        <v>247</v>
      </c>
      <c r="BG232" s="14">
        <v>0</v>
      </c>
      <c r="BH232" s="14">
        <v>0</v>
      </c>
      <c r="BI232" s="14">
        <v>0</v>
      </c>
      <c r="BJ232" s="14">
        <v>0</v>
      </c>
      <c r="BK232" s="15">
        <f t="shared" si="1175"/>
        <v>0</v>
      </c>
      <c r="BL232" s="15">
        <f t="shared" si="1176"/>
        <v>0</v>
      </c>
      <c r="BM232" s="14">
        <v>0</v>
      </c>
      <c r="BN232" s="14">
        <v>0</v>
      </c>
      <c r="BO232" s="14">
        <v>0</v>
      </c>
      <c r="BP232" s="14">
        <v>0</v>
      </c>
      <c r="BQ232" s="15">
        <f t="shared" si="1177"/>
        <v>0</v>
      </c>
      <c r="BR232" s="15">
        <f t="shared" si="1178"/>
        <v>0</v>
      </c>
      <c r="BS232" s="14">
        <v>0</v>
      </c>
      <c r="BT232" s="14">
        <v>0</v>
      </c>
      <c r="BU232" s="14">
        <v>0</v>
      </c>
      <c r="BV232" s="14">
        <v>0</v>
      </c>
      <c r="BW232" s="15">
        <f t="shared" si="1179"/>
        <v>0</v>
      </c>
      <c r="BX232" s="15">
        <f t="shared" si="1180"/>
        <v>0</v>
      </c>
      <c r="BY232" s="15">
        <f t="shared" si="1181"/>
        <v>242</v>
      </c>
      <c r="BZ232" s="15">
        <f t="shared" si="1182"/>
        <v>15</v>
      </c>
      <c r="CA232" s="15">
        <f t="shared" si="1183"/>
        <v>10</v>
      </c>
      <c r="CB232" s="15">
        <f t="shared" si="1184"/>
        <v>247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5">
        <f t="shared" si="1185"/>
        <v>0</v>
      </c>
      <c r="CI232" s="14">
        <v>27</v>
      </c>
      <c r="CJ232" s="14">
        <v>0</v>
      </c>
      <c r="CK232" s="14">
        <v>0</v>
      </c>
      <c r="CL232" s="14">
        <v>0</v>
      </c>
      <c r="CM232" s="15">
        <f t="shared" si="1186"/>
        <v>27</v>
      </c>
      <c r="CN232" s="14">
        <v>680</v>
      </c>
      <c r="CO232" s="14">
        <v>10</v>
      </c>
      <c r="CP232" s="14">
        <v>6</v>
      </c>
      <c r="CQ232" s="14">
        <v>14</v>
      </c>
      <c r="CR232" s="15">
        <f t="shared" si="1187"/>
        <v>710</v>
      </c>
      <c r="CS232" s="15">
        <f t="shared" si="1188"/>
        <v>737</v>
      </c>
      <c r="CT232" s="14">
        <v>737</v>
      </c>
      <c r="CU232" s="14">
        <v>7206.384</v>
      </c>
      <c r="CV232" s="14">
        <v>5303</v>
      </c>
      <c r="CW232" s="16">
        <f t="shared" si="1189"/>
        <v>0.73587530167695758</v>
      </c>
      <c r="CX232" s="14">
        <v>0</v>
      </c>
      <c r="CY232" s="14"/>
      <c r="CZ232" s="14"/>
      <c r="DA232" s="14"/>
      <c r="DB232" s="15">
        <f t="shared" si="1190"/>
        <v>0</v>
      </c>
      <c r="DC232" s="14">
        <v>0</v>
      </c>
      <c r="DD232" s="14">
        <v>0</v>
      </c>
      <c r="DE232" s="14">
        <v>0</v>
      </c>
      <c r="DF232" s="14">
        <v>0</v>
      </c>
      <c r="DG232" s="15">
        <f t="shared" si="1191"/>
        <v>0</v>
      </c>
      <c r="DH232" s="14">
        <v>0</v>
      </c>
      <c r="DI232" s="14">
        <v>0</v>
      </c>
      <c r="DJ232" s="14">
        <v>0</v>
      </c>
      <c r="DK232" s="14">
        <v>0</v>
      </c>
      <c r="DL232" s="15">
        <f t="shared" si="1192"/>
        <v>0</v>
      </c>
      <c r="DM232" s="14">
        <v>0</v>
      </c>
      <c r="DN232" s="14">
        <v>0</v>
      </c>
      <c r="DO232" s="14">
        <v>0</v>
      </c>
      <c r="DP232" s="14">
        <v>0</v>
      </c>
      <c r="DQ232" s="15">
        <f t="shared" si="1193"/>
        <v>0</v>
      </c>
      <c r="DR232" s="15">
        <f t="shared" si="1194"/>
        <v>0</v>
      </c>
      <c r="DS232" s="15">
        <f t="shared" si="1195"/>
        <v>0</v>
      </c>
      <c r="DT232" s="15">
        <f t="shared" si="1196"/>
        <v>0</v>
      </c>
      <c r="DU232" s="15">
        <f t="shared" si="1197"/>
        <v>0</v>
      </c>
      <c r="DV232" s="15">
        <f t="shared" si="1198"/>
        <v>0</v>
      </c>
      <c r="DW232" s="14">
        <v>10</v>
      </c>
      <c r="DX232" s="14">
        <v>2</v>
      </c>
      <c r="DY232" s="14">
        <v>0</v>
      </c>
      <c r="DZ232" s="14">
        <v>0</v>
      </c>
      <c r="EA232" s="14">
        <v>1</v>
      </c>
      <c r="EB232" s="14">
        <v>0</v>
      </c>
      <c r="EC232" s="14">
        <v>0</v>
      </c>
      <c r="ED232" s="14">
        <v>2</v>
      </c>
      <c r="EE232" s="14">
        <v>1</v>
      </c>
      <c r="EF232" s="14">
        <v>0</v>
      </c>
      <c r="EG232" s="14">
        <v>0</v>
      </c>
      <c r="EH232" s="14">
        <v>0</v>
      </c>
      <c r="EI232" s="14">
        <v>0</v>
      </c>
      <c r="EJ232" s="14">
        <v>5</v>
      </c>
      <c r="EK232" s="14">
        <v>2</v>
      </c>
      <c r="EL232" s="14">
        <v>0</v>
      </c>
      <c r="EM232" s="14">
        <v>0</v>
      </c>
      <c r="EN232" s="14">
        <v>0</v>
      </c>
      <c r="EO232" s="14">
        <v>0</v>
      </c>
      <c r="EP232" s="14">
        <v>0</v>
      </c>
      <c r="EQ232" s="14">
        <v>0</v>
      </c>
      <c r="ER232" s="14">
        <v>0</v>
      </c>
      <c r="ES232" s="14">
        <v>0</v>
      </c>
      <c r="ET232" s="14">
        <v>0</v>
      </c>
      <c r="EU232" s="14">
        <v>0</v>
      </c>
      <c r="EV232" s="14">
        <v>0</v>
      </c>
      <c r="EW232" s="14">
        <v>0</v>
      </c>
      <c r="EX232" s="14">
        <v>0</v>
      </c>
      <c r="EY232" s="14">
        <v>0</v>
      </c>
      <c r="EZ232" s="14">
        <v>0</v>
      </c>
      <c r="FA232" s="14">
        <v>0</v>
      </c>
      <c r="FB232" s="14">
        <v>0</v>
      </c>
      <c r="FC232" s="14">
        <v>0</v>
      </c>
      <c r="FD232" s="14">
        <v>0</v>
      </c>
      <c r="FE232" s="14">
        <v>0</v>
      </c>
      <c r="FF232" s="14">
        <v>0</v>
      </c>
      <c r="FG232" s="15">
        <f t="shared" si="1199"/>
        <v>23</v>
      </c>
      <c r="FH232" s="14">
        <v>0</v>
      </c>
      <c r="FI232" s="14">
        <v>0</v>
      </c>
      <c r="FJ232" s="14">
        <v>0</v>
      </c>
      <c r="FK232" s="14">
        <v>0</v>
      </c>
      <c r="FL232" s="14">
        <v>0</v>
      </c>
      <c r="FM232" s="14">
        <v>0</v>
      </c>
      <c r="FN232" s="14">
        <v>0</v>
      </c>
      <c r="FO232" s="14">
        <v>0</v>
      </c>
      <c r="FP232" s="14">
        <v>0</v>
      </c>
      <c r="FQ232" s="15">
        <f t="shared" si="1200"/>
        <v>0</v>
      </c>
      <c r="FR232" s="14">
        <v>45000</v>
      </c>
      <c r="FS232" s="14">
        <v>0</v>
      </c>
      <c r="FT232" s="14">
        <v>0</v>
      </c>
      <c r="FU232" s="14">
        <v>0</v>
      </c>
      <c r="FV232" s="15">
        <f t="shared" si="1201"/>
        <v>45000</v>
      </c>
      <c r="FW232" s="14">
        <v>2277712</v>
      </c>
      <c r="FX232" s="14">
        <v>42319</v>
      </c>
      <c r="FY232" s="14">
        <v>120750</v>
      </c>
      <c r="FZ232" s="14">
        <v>9650</v>
      </c>
      <c r="GA232" s="15">
        <f t="shared" si="1202"/>
        <v>2450431</v>
      </c>
      <c r="GB232" s="15">
        <f t="shared" si="1203"/>
        <v>2495431</v>
      </c>
      <c r="GC232" s="14">
        <v>633039.64</v>
      </c>
      <c r="GD232" s="14">
        <v>20084.400000000001</v>
      </c>
      <c r="GE232" s="14">
        <v>8410.99</v>
      </c>
      <c r="GF232" s="14">
        <v>0</v>
      </c>
      <c r="GG232" s="15">
        <f t="shared" si="1204"/>
        <v>661535.03</v>
      </c>
      <c r="GH232" s="14">
        <v>2271712.1800000002</v>
      </c>
      <c r="GI232" s="14">
        <v>42318.66</v>
      </c>
      <c r="GJ232" s="14">
        <v>9650</v>
      </c>
      <c r="GK232" s="14">
        <v>120750</v>
      </c>
      <c r="GL232" s="15">
        <f t="shared" si="1205"/>
        <v>2444430.8400000003</v>
      </c>
      <c r="GM232" s="15">
        <f t="shared" si="1206"/>
        <v>3105965.87</v>
      </c>
      <c r="GN232" s="14">
        <v>53948.07</v>
      </c>
      <c r="GO232" s="14">
        <v>956.4</v>
      </c>
      <c r="GP232" s="14">
        <v>3393.64</v>
      </c>
      <c r="GQ232" s="14">
        <v>0</v>
      </c>
      <c r="GR232" s="15">
        <f t="shared" si="1207"/>
        <v>58298.11</v>
      </c>
      <c r="GS232" s="14">
        <v>88407</v>
      </c>
      <c r="GT232" s="14">
        <v>4465</v>
      </c>
      <c r="GU232" s="14">
        <v>893</v>
      </c>
      <c r="GV232" s="14">
        <v>0</v>
      </c>
      <c r="GW232" s="15">
        <f t="shared" si="1208"/>
        <v>93765</v>
      </c>
      <c r="GX232" s="15">
        <f t="shared" si="1209"/>
        <v>3258028.98</v>
      </c>
      <c r="GY232" s="14">
        <v>5025296.72</v>
      </c>
      <c r="GZ232" s="14">
        <v>0</v>
      </c>
      <c r="HA232" s="15">
        <f t="shared" si="1210"/>
        <v>5025296.72</v>
      </c>
      <c r="HB232" s="15">
        <f t="shared" si="1211"/>
        <v>6.1889877818091112E-2</v>
      </c>
      <c r="HC232" s="16">
        <f t="shared" si="1212"/>
        <v>0.30125955327339116</v>
      </c>
      <c r="HD232" s="15">
        <f t="shared" si="1213"/>
        <v>0.76593272046340111</v>
      </c>
      <c r="HE232" s="14">
        <v>15</v>
      </c>
      <c r="HF232" s="14">
        <v>10</v>
      </c>
      <c r="HG232" s="14">
        <v>247</v>
      </c>
      <c r="HH232" s="14">
        <v>15</v>
      </c>
      <c r="HI232" s="14">
        <v>10</v>
      </c>
      <c r="HJ232" s="15">
        <f t="shared" si="1214"/>
        <v>20</v>
      </c>
      <c r="HK232" s="16">
        <f t="shared" si="1215"/>
        <v>1</v>
      </c>
      <c r="HL232" s="14">
        <v>6</v>
      </c>
      <c r="HM232" s="14">
        <v>3</v>
      </c>
      <c r="HN232" s="17">
        <f t="shared" si="1216"/>
        <v>0.5</v>
      </c>
    </row>
    <row r="233" spans="1:222" x14ac:dyDescent="0.3">
      <c r="A233" s="6" t="s">
        <v>289</v>
      </c>
      <c r="B233" s="6" t="s">
        <v>292</v>
      </c>
      <c r="C233" s="7" t="s">
        <v>257</v>
      </c>
      <c r="D233" s="7">
        <v>2025</v>
      </c>
      <c r="E233" s="7">
        <v>6</v>
      </c>
      <c r="F233" s="7" t="s">
        <v>261</v>
      </c>
      <c r="G233" s="7" t="s">
        <v>259</v>
      </c>
      <c r="H233" s="8">
        <v>3852</v>
      </c>
      <c r="I233" s="8">
        <v>632</v>
      </c>
      <c r="J233" s="8">
        <v>140</v>
      </c>
      <c r="K233" s="8">
        <v>0</v>
      </c>
      <c r="L233" s="8">
        <v>10</v>
      </c>
      <c r="M233" s="9">
        <f t="shared" si="1156"/>
        <v>782</v>
      </c>
      <c r="N233" s="8">
        <v>1835</v>
      </c>
      <c r="O233" s="8">
        <v>146</v>
      </c>
      <c r="P233" s="8">
        <v>1</v>
      </c>
      <c r="Q233" s="8">
        <v>20</v>
      </c>
      <c r="R233" s="9">
        <f t="shared" si="1157"/>
        <v>2002</v>
      </c>
      <c r="S233" s="9">
        <f t="shared" si="1158"/>
        <v>2784</v>
      </c>
      <c r="T233" s="8">
        <v>1068</v>
      </c>
      <c r="U233" s="10">
        <f t="shared" si="1159"/>
        <v>0.27725856697819312</v>
      </c>
      <c r="V233" s="8">
        <v>7</v>
      </c>
      <c r="W233" s="11">
        <f t="shared" si="1160"/>
        <v>1.8172377985462098E-3</v>
      </c>
      <c r="X233" s="8">
        <v>0</v>
      </c>
      <c r="Y233" s="11">
        <f t="shared" si="1161"/>
        <v>0</v>
      </c>
      <c r="Z233" s="8">
        <v>0</v>
      </c>
      <c r="AA233" s="11">
        <f t="shared" si="1162"/>
        <v>0</v>
      </c>
      <c r="AB233" s="8">
        <v>0</v>
      </c>
      <c r="AC233" s="11">
        <f t="shared" si="1163"/>
        <v>0</v>
      </c>
      <c r="AD233" s="8">
        <v>0</v>
      </c>
      <c r="AE233" s="11">
        <f t="shared" si="1164"/>
        <v>0</v>
      </c>
      <c r="AF233" s="8">
        <v>0</v>
      </c>
      <c r="AG233" s="11">
        <f t="shared" si="1165"/>
        <v>0</v>
      </c>
      <c r="AH233" s="8">
        <v>24677.03</v>
      </c>
      <c r="AI233" s="9">
        <f t="shared" si="1166"/>
        <v>6.4062902388369674</v>
      </c>
      <c r="AJ233" s="8">
        <v>1125</v>
      </c>
      <c r="AK233" s="11">
        <f t="shared" si="1167"/>
        <v>0.29205607476635514</v>
      </c>
      <c r="AL233" s="8">
        <v>172521.9375</v>
      </c>
      <c r="AM233" s="9">
        <f t="shared" si="1168"/>
        <v>44.7876265576324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9">
        <f t="shared" si="1169"/>
        <v>197198.9675</v>
      </c>
      <c r="AV233" s="9">
        <f t="shared" si="1170"/>
        <v>51.193916796469367</v>
      </c>
      <c r="AW233" s="9">
        <f t="shared" si="1171"/>
        <v>70.832962464080452</v>
      </c>
      <c r="AX233" s="8">
        <v>7</v>
      </c>
      <c r="AY233" s="9">
        <f t="shared" si="1172"/>
        <v>21.806853582554517</v>
      </c>
      <c r="AZ233" s="8">
        <v>3</v>
      </c>
      <c r="BA233" s="8">
        <v>247</v>
      </c>
      <c r="BB233" s="8">
        <v>12</v>
      </c>
      <c r="BC233" s="8">
        <v>6</v>
      </c>
      <c r="BD233" s="8">
        <v>0</v>
      </c>
      <c r="BE233" s="9">
        <f t="shared" si="1173"/>
        <v>6</v>
      </c>
      <c r="BF233" s="9">
        <f t="shared" si="1174"/>
        <v>253</v>
      </c>
      <c r="BG233" s="8">
        <v>0</v>
      </c>
      <c r="BH233" s="8">
        <v>0</v>
      </c>
      <c r="BI233" s="8">
        <v>0</v>
      </c>
      <c r="BJ233" s="8">
        <v>0</v>
      </c>
      <c r="BK233" s="9">
        <f t="shared" si="1175"/>
        <v>0</v>
      </c>
      <c r="BL233" s="9">
        <f t="shared" si="1176"/>
        <v>0</v>
      </c>
      <c r="BM233" s="8">
        <v>0</v>
      </c>
      <c r="BN233" s="8">
        <v>0</v>
      </c>
      <c r="BO233" s="8">
        <v>0</v>
      </c>
      <c r="BP233" s="8">
        <v>0</v>
      </c>
      <c r="BQ233" s="9">
        <f t="shared" si="1177"/>
        <v>0</v>
      </c>
      <c r="BR233" s="9">
        <f t="shared" si="1178"/>
        <v>0</v>
      </c>
      <c r="BS233" s="8">
        <v>0</v>
      </c>
      <c r="BT233" s="8">
        <v>0</v>
      </c>
      <c r="BU233" s="8">
        <v>0</v>
      </c>
      <c r="BV233" s="8">
        <v>0</v>
      </c>
      <c r="BW233" s="9">
        <f t="shared" si="1179"/>
        <v>0</v>
      </c>
      <c r="BX233" s="9">
        <f t="shared" si="1180"/>
        <v>0</v>
      </c>
      <c r="BY233" s="9">
        <f t="shared" si="1181"/>
        <v>247</v>
      </c>
      <c r="BZ233" s="9">
        <f t="shared" si="1182"/>
        <v>12</v>
      </c>
      <c r="CA233" s="9">
        <f t="shared" si="1183"/>
        <v>6</v>
      </c>
      <c r="CB233" s="9">
        <f t="shared" si="1184"/>
        <v>253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9">
        <f t="shared" si="1185"/>
        <v>0</v>
      </c>
      <c r="CI233" s="8">
        <v>33</v>
      </c>
      <c r="CJ233" s="8">
        <v>0</v>
      </c>
      <c r="CK233" s="8">
        <v>0</v>
      </c>
      <c r="CL233" s="8">
        <v>0</v>
      </c>
      <c r="CM233" s="9">
        <f t="shared" si="1186"/>
        <v>33</v>
      </c>
      <c r="CN233" s="8">
        <v>680</v>
      </c>
      <c r="CO233" s="8">
        <v>10</v>
      </c>
      <c r="CP233" s="8">
        <v>6</v>
      </c>
      <c r="CQ233" s="8">
        <v>14</v>
      </c>
      <c r="CR233" s="9">
        <f t="shared" si="1187"/>
        <v>710</v>
      </c>
      <c r="CS233" s="9">
        <f t="shared" si="1188"/>
        <v>743</v>
      </c>
      <c r="CT233" s="8">
        <v>743</v>
      </c>
      <c r="CU233" s="8">
        <v>7220.7967680000002</v>
      </c>
      <c r="CV233" s="8">
        <v>5303</v>
      </c>
      <c r="CW233" s="10">
        <f t="shared" si="1189"/>
        <v>0.73440648869955838</v>
      </c>
      <c r="CX233" s="8">
        <v>0</v>
      </c>
      <c r="CY233" s="8"/>
      <c r="CZ233" s="8"/>
      <c r="DA233" s="8"/>
      <c r="DB233" s="9">
        <f t="shared" si="1190"/>
        <v>0</v>
      </c>
      <c r="DC233" s="8">
        <v>0</v>
      </c>
      <c r="DD233" s="8">
        <v>0</v>
      </c>
      <c r="DE233" s="8">
        <v>0</v>
      </c>
      <c r="DF233" s="8">
        <v>0</v>
      </c>
      <c r="DG233" s="9">
        <f t="shared" si="1191"/>
        <v>0</v>
      </c>
      <c r="DH233" s="8">
        <v>0</v>
      </c>
      <c r="DI233" s="8">
        <v>0</v>
      </c>
      <c r="DJ233" s="8">
        <v>0</v>
      </c>
      <c r="DK233" s="8">
        <v>0</v>
      </c>
      <c r="DL233" s="9">
        <f t="shared" si="1192"/>
        <v>0</v>
      </c>
      <c r="DM233" s="8">
        <v>0</v>
      </c>
      <c r="DN233" s="8">
        <v>0</v>
      </c>
      <c r="DO233" s="8">
        <v>0</v>
      </c>
      <c r="DP233" s="8">
        <v>0</v>
      </c>
      <c r="DQ233" s="9">
        <f t="shared" si="1193"/>
        <v>0</v>
      </c>
      <c r="DR233" s="9">
        <f t="shared" si="1194"/>
        <v>0</v>
      </c>
      <c r="DS233" s="9">
        <f t="shared" si="1195"/>
        <v>0</v>
      </c>
      <c r="DT233" s="9">
        <f t="shared" si="1196"/>
        <v>0</v>
      </c>
      <c r="DU233" s="9">
        <f t="shared" si="1197"/>
        <v>0</v>
      </c>
      <c r="DV233" s="9">
        <f t="shared" si="1198"/>
        <v>0</v>
      </c>
      <c r="DW233" s="8">
        <v>11</v>
      </c>
      <c r="DX233" s="8">
        <v>6</v>
      </c>
      <c r="DY233" s="8">
        <v>0</v>
      </c>
      <c r="DZ233" s="8">
        <v>0</v>
      </c>
      <c r="EA233" s="8">
        <v>4</v>
      </c>
      <c r="EB233" s="8">
        <v>1</v>
      </c>
      <c r="EC233" s="8">
        <v>0</v>
      </c>
      <c r="ED233" s="8">
        <v>4</v>
      </c>
      <c r="EE233" s="8">
        <v>1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8">
        <v>0</v>
      </c>
      <c r="FC233" s="8">
        <v>0</v>
      </c>
      <c r="FD233" s="8">
        <v>0</v>
      </c>
      <c r="FE233" s="8">
        <v>0</v>
      </c>
      <c r="FF233" s="8">
        <v>0</v>
      </c>
      <c r="FG233" s="9">
        <f t="shared" si="1199"/>
        <v>27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9">
        <f t="shared" si="1200"/>
        <v>0</v>
      </c>
      <c r="FR233" s="8">
        <v>1093450</v>
      </c>
      <c r="FS233" s="8">
        <v>0</v>
      </c>
      <c r="FT233" s="8">
        <v>0</v>
      </c>
      <c r="FU233" s="8">
        <v>0</v>
      </c>
      <c r="FV233" s="9">
        <f t="shared" si="1201"/>
        <v>1093450</v>
      </c>
      <c r="FW233" s="8">
        <v>2281312</v>
      </c>
      <c r="FX233" s="8">
        <v>31000</v>
      </c>
      <c r="FY233" s="8">
        <v>93800</v>
      </c>
      <c r="FZ233" s="8">
        <v>3500</v>
      </c>
      <c r="GA233" s="9">
        <f t="shared" si="1202"/>
        <v>2409612</v>
      </c>
      <c r="GB233" s="9">
        <f t="shared" si="1203"/>
        <v>3503062</v>
      </c>
      <c r="GC233" s="8">
        <v>627575.61</v>
      </c>
      <c r="GD233" s="8">
        <v>26779.200000000001</v>
      </c>
      <c r="GE233" s="8">
        <v>8410.99</v>
      </c>
      <c r="GF233" s="8">
        <v>28724.83</v>
      </c>
      <c r="GG233" s="9">
        <f t="shared" si="1204"/>
        <v>691490.62999999989</v>
      </c>
      <c r="GH233" s="8">
        <v>2281312</v>
      </c>
      <c r="GI233" s="8">
        <v>31000</v>
      </c>
      <c r="GJ233" s="8">
        <v>3500</v>
      </c>
      <c r="GK233" s="8">
        <v>93800</v>
      </c>
      <c r="GL233" s="9">
        <f t="shared" si="1205"/>
        <v>2409612</v>
      </c>
      <c r="GM233" s="9">
        <f t="shared" si="1206"/>
        <v>3101102.63</v>
      </c>
      <c r="GN233" s="8">
        <v>58307.51</v>
      </c>
      <c r="GO233" s="8">
        <v>1147.68</v>
      </c>
      <c r="GP233" s="8">
        <v>3393.64</v>
      </c>
      <c r="GQ233" s="8">
        <v>4637.34</v>
      </c>
      <c r="GR233" s="9">
        <f t="shared" si="1207"/>
        <v>67486.17</v>
      </c>
      <c r="GS233" s="8">
        <v>95551</v>
      </c>
      <c r="GT233" s="8">
        <v>5358</v>
      </c>
      <c r="GU233" s="8">
        <v>893</v>
      </c>
      <c r="GV233" s="8">
        <v>893</v>
      </c>
      <c r="GW233" s="9">
        <f t="shared" si="1208"/>
        <v>102695</v>
      </c>
      <c r="GX233" s="9">
        <f t="shared" si="1209"/>
        <v>3271283.8</v>
      </c>
      <c r="GY233" s="8">
        <v>5143435.5599999996</v>
      </c>
      <c r="GZ233" s="8">
        <v>56735.79</v>
      </c>
      <c r="HA233" s="9">
        <f t="shared" si="1210"/>
        <v>5200171.3499999996</v>
      </c>
      <c r="HB233" s="9">
        <f t="shared" si="1211"/>
        <v>6.0281828039499358E-2</v>
      </c>
      <c r="HC233" s="10">
        <f t="shared" si="1212"/>
        <v>0.41630170301960018</v>
      </c>
      <c r="HD233" s="9">
        <f t="shared" si="1213"/>
        <v>1.0708523668903323</v>
      </c>
      <c r="HE233" s="8">
        <v>12</v>
      </c>
      <c r="HF233" s="8">
        <v>5</v>
      </c>
      <c r="HG233" s="8">
        <v>253</v>
      </c>
      <c r="HH233" s="8">
        <v>12</v>
      </c>
      <c r="HI233" s="8">
        <v>6</v>
      </c>
      <c r="HJ233" s="9">
        <f t="shared" si="1214"/>
        <v>11</v>
      </c>
      <c r="HK233" s="10">
        <f t="shared" si="1215"/>
        <v>1</v>
      </c>
      <c r="HL233" s="8">
        <v>5</v>
      </c>
      <c r="HM233" s="8">
        <v>3</v>
      </c>
      <c r="HN233" s="11">
        <f t="shared" si="1216"/>
        <v>0.6</v>
      </c>
    </row>
    <row r="234" spans="1:222" x14ac:dyDescent="0.3">
      <c r="A234" s="12" t="s">
        <v>289</v>
      </c>
      <c r="B234" s="12" t="s">
        <v>292</v>
      </c>
      <c r="C234" s="13" t="s">
        <v>257</v>
      </c>
      <c r="D234" s="13">
        <v>2025</v>
      </c>
      <c r="E234" s="13">
        <v>7</v>
      </c>
      <c r="F234" s="13" t="s">
        <v>262</v>
      </c>
      <c r="G234" s="13" t="s">
        <v>263</v>
      </c>
      <c r="H234" s="14">
        <v>3725</v>
      </c>
      <c r="I234" s="14">
        <v>776</v>
      </c>
      <c r="J234" s="14">
        <v>208</v>
      </c>
      <c r="K234" s="14">
        <v>1</v>
      </c>
      <c r="L234" s="14">
        <v>13</v>
      </c>
      <c r="M234" s="15">
        <f t="shared" si="1156"/>
        <v>998</v>
      </c>
      <c r="N234" s="14">
        <v>2303</v>
      </c>
      <c r="O234" s="14">
        <v>191</v>
      </c>
      <c r="P234" s="14">
        <v>2</v>
      </c>
      <c r="Q234" s="14">
        <v>20</v>
      </c>
      <c r="R234" s="15">
        <f t="shared" si="1157"/>
        <v>2516</v>
      </c>
      <c r="S234" s="15">
        <f t="shared" si="1158"/>
        <v>3514</v>
      </c>
      <c r="T234" s="14">
        <v>211</v>
      </c>
      <c r="U234" s="16">
        <f t="shared" si="1159"/>
        <v>5.6644295302013425E-2</v>
      </c>
      <c r="V234" s="14">
        <v>7</v>
      </c>
      <c r="W234" s="17">
        <f t="shared" si="1160"/>
        <v>1.8791946308724832E-3</v>
      </c>
      <c r="X234" s="14">
        <v>0</v>
      </c>
      <c r="Y234" s="17">
        <f t="shared" si="1161"/>
        <v>0</v>
      </c>
      <c r="Z234" s="14">
        <v>0</v>
      </c>
      <c r="AA234" s="17">
        <f t="shared" si="1162"/>
        <v>0</v>
      </c>
      <c r="AB234" s="14">
        <v>0</v>
      </c>
      <c r="AC234" s="17">
        <f t="shared" si="1163"/>
        <v>0</v>
      </c>
      <c r="AD234" s="14">
        <v>0</v>
      </c>
      <c r="AE234" s="17">
        <f t="shared" si="1164"/>
        <v>0</v>
      </c>
      <c r="AF234" s="14">
        <v>0</v>
      </c>
      <c r="AG234" s="17">
        <f t="shared" si="1165"/>
        <v>0</v>
      </c>
      <c r="AH234" s="14">
        <v>24677.03</v>
      </c>
      <c r="AI234" s="15">
        <f t="shared" si="1166"/>
        <v>6.6247060402684559</v>
      </c>
      <c r="AJ234" s="14">
        <v>1130</v>
      </c>
      <c r="AK234" s="17">
        <f t="shared" si="1167"/>
        <v>0.30335570469798656</v>
      </c>
      <c r="AL234" s="14">
        <v>173215.69500000001</v>
      </c>
      <c r="AM234" s="15">
        <f t="shared" si="1168"/>
        <v>46.500857718120805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5">
        <f t="shared" si="1169"/>
        <v>197892.72500000001</v>
      </c>
      <c r="AV234" s="15">
        <f t="shared" si="1170"/>
        <v>53.125563758389262</v>
      </c>
      <c r="AW234" s="15">
        <f t="shared" si="1171"/>
        <v>56.315516505406947</v>
      </c>
      <c r="AX234" s="14">
        <v>7</v>
      </c>
      <c r="AY234" s="15">
        <f t="shared" si="1172"/>
        <v>22.550335570469798</v>
      </c>
      <c r="AZ234" s="14">
        <v>3</v>
      </c>
      <c r="BA234" s="14">
        <v>253</v>
      </c>
      <c r="BB234" s="14">
        <v>10</v>
      </c>
      <c r="BC234" s="14">
        <v>11</v>
      </c>
      <c r="BD234" s="14">
        <v>0</v>
      </c>
      <c r="BE234" s="15">
        <f t="shared" si="1173"/>
        <v>11</v>
      </c>
      <c r="BF234" s="15">
        <f t="shared" si="1174"/>
        <v>252</v>
      </c>
      <c r="BG234" s="14">
        <v>0</v>
      </c>
      <c r="BH234" s="14">
        <v>0</v>
      </c>
      <c r="BI234" s="14">
        <v>0</v>
      </c>
      <c r="BJ234" s="14">
        <v>0</v>
      </c>
      <c r="BK234" s="15">
        <f t="shared" si="1175"/>
        <v>0</v>
      </c>
      <c r="BL234" s="15">
        <f t="shared" si="1176"/>
        <v>0</v>
      </c>
      <c r="BM234" s="14">
        <v>0</v>
      </c>
      <c r="BN234" s="14">
        <v>0</v>
      </c>
      <c r="BO234" s="14">
        <v>0</v>
      </c>
      <c r="BP234" s="14">
        <v>0</v>
      </c>
      <c r="BQ234" s="15">
        <f t="shared" si="1177"/>
        <v>0</v>
      </c>
      <c r="BR234" s="15">
        <f t="shared" si="1178"/>
        <v>0</v>
      </c>
      <c r="BS234" s="14">
        <v>0</v>
      </c>
      <c r="BT234" s="14">
        <v>0</v>
      </c>
      <c r="BU234" s="14">
        <v>0</v>
      </c>
      <c r="BV234" s="14">
        <v>0</v>
      </c>
      <c r="BW234" s="15">
        <f t="shared" si="1179"/>
        <v>0</v>
      </c>
      <c r="BX234" s="15">
        <f t="shared" si="1180"/>
        <v>0</v>
      </c>
      <c r="BY234" s="15">
        <f t="shared" si="1181"/>
        <v>253</v>
      </c>
      <c r="BZ234" s="15">
        <f t="shared" si="1182"/>
        <v>10</v>
      </c>
      <c r="CA234" s="15">
        <f t="shared" si="1183"/>
        <v>11</v>
      </c>
      <c r="CB234" s="15">
        <f t="shared" si="1184"/>
        <v>252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5">
        <f t="shared" si="1185"/>
        <v>0</v>
      </c>
      <c r="CI234" s="14">
        <v>44</v>
      </c>
      <c r="CJ234" s="14">
        <v>0</v>
      </c>
      <c r="CK234" s="14">
        <v>0</v>
      </c>
      <c r="CL234" s="14">
        <v>0</v>
      </c>
      <c r="CM234" s="15">
        <f t="shared" si="1186"/>
        <v>44</v>
      </c>
      <c r="CN234" s="14">
        <v>680</v>
      </c>
      <c r="CO234" s="14">
        <v>10</v>
      </c>
      <c r="CP234" s="14">
        <v>6</v>
      </c>
      <c r="CQ234" s="14">
        <v>14</v>
      </c>
      <c r="CR234" s="15">
        <f t="shared" si="1187"/>
        <v>710</v>
      </c>
      <c r="CS234" s="15">
        <f t="shared" si="1188"/>
        <v>754</v>
      </c>
      <c r="CT234" s="14">
        <v>754</v>
      </c>
      <c r="CU234" s="14">
        <v>7235.2383615360004</v>
      </c>
      <c r="CV234" s="14">
        <v>5303</v>
      </c>
      <c r="CW234" s="16">
        <f t="shared" si="1189"/>
        <v>0.73294060748458922</v>
      </c>
      <c r="CX234" s="14">
        <v>0</v>
      </c>
      <c r="CY234" s="14"/>
      <c r="CZ234" s="14"/>
      <c r="DA234" s="14"/>
      <c r="DB234" s="15">
        <f t="shared" si="1190"/>
        <v>0</v>
      </c>
      <c r="DC234" s="14">
        <v>0</v>
      </c>
      <c r="DD234" s="14">
        <v>0</v>
      </c>
      <c r="DE234" s="14">
        <v>0</v>
      </c>
      <c r="DF234" s="14">
        <v>0</v>
      </c>
      <c r="DG234" s="15">
        <f t="shared" si="1191"/>
        <v>0</v>
      </c>
      <c r="DH234" s="14">
        <v>0</v>
      </c>
      <c r="DI234" s="14">
        <v>0</v>
      </c>
      <c r="DJ234" s="14">
        <v>0</v>
      </c>
      <c r="DK234" s="14">
        <v>0</v>
      </c>
      <c r="DL234" s="15">
        <f t="shared" si="1192"/>
        <v>0</v>
      </c>
      <c r="DM234" s="14">
        <v>0</v>
      </c>
      <c r="DN234" s="14">
        <v>0</v>
      </c>
      <c r="DO234" s="14">
        <v>0</v>
      </c>
      <c r="DP234" s="14">
        <v>0</v>
      </c>
      <c r="DQ234" s="15">
        <f t="shared" si="1193"/>
        <v>0</v>
      </c>
      <c r="DR234" s="15">
        <f t="shared" si="1194"/>
        <v>0</v>
      </c>
      <c r="DS234" s="15">
        <f t="shared" si="1195"/>
        <v>0</v>
      </c>
      <c r="DT234" s="15">
        <f t="shared" si="1196"/>
        <v>0</v>
      </c>
      <c r="DU234" s="15">
        <f t="shared" si="1197"/>
        <v>0</v>
      </c>
      <c r="DV234" s="15">
        <f t="shared" si="1198"/>
        <v>0</v>
      </c>
      <c r="DW234" s="14">
        <v>9</v>
      </c>
      <c r="DX234" s="14">
        <v>3</v>
      </c>
      <c r="DY234" s="14">
        <v>1</v>
      </c>
      <c r="DZ234" s="14">
        <v>0</v>
      </c>
      <c r="EA234" s="14">
        <v>3</v>
      </c>
      <c r="EB234" s="14">
        <v>1</v>
      </c>
      <c r="EC234" s="14">
        <v>0</v>
      </c>
      <c r="ED234" s="14">
        <v>5</v>
      </c>
      <c r="EE234" s="14">
        <v>1</v>
      </c>
      <c r="EF234" s="14">
        <v>0</v>
      </c>
      <c r="EG234" s="14">
        <v>0</v>
      </c>
      <c r="EH234" s="14">
        <v>0</v>
      </c>
      <c r="EI234" s="14">
        <v>0</v>
      </c>
      <c r="EJ234" s="14">
        <v>5</v>
      </c>
      <c r="EK234" s="14">
        <v>1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5">
        <f t="shared" si="1199"/>
        <v>29</v>
      </c>
      <c r="FH234" s="14">
        <v>0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0</v>
      </c>
      <c r="FQ234" s="15">
        <f t="shared" si="1200"/>
        <v>0</v>
      </c>
      <c r="FR234" s="14">
        <v>1785850</v>
      </c>
      <c r="FS234" s="14">
        <v>142650</v>
      </c>
      <c r="FT234" s="14">
        <v>0</v>
      </c>
      <c r="FU234" s="14">
        <v>20000</v>
      </c>
      <c r="FV234" s="15">
        <f t="shared" si="1201"/>
        <v>1948500</v>
      </c>
      <c r="FW234" s="14">
        <v>2862843</v>
      </c>
      <c r="FX234" s="14">
        <v>40550</v>
      </c>
      <c r="FY234" s="14">
        <v>93100</v>
      </c>
      <c r="FZ234" s="14">
        <v>4600</v>
      </c>
      <c r="GA234" s="15">
        <f t="shared" si="1202"/>
        <v>3001093</v>
      </c>
      <c r="GB234" s="15">
        <f t="shared" si="1203"/>
        <v>4949593</v>
      </c>
      <c r="GC234" s="14">
        <v>748849.7</v>
      </c>
      <c r="GD234" s="14">
        <v>39786.239999999998</v>
      </c>
      <c r="GE234" s="14">
        <v>16821.98</v>
      </c>
      <c r="GF234" s="14">
        <v>41014.69</v>
      </c>
      <c r="GG234" s="15">
        <f t="shared" si="1204"/>
        <v>846472.60999999987</v>
      </c>
      <c r="GH234" s="14">
        <v>2860623</v>
      </c>
      <c r="GI234" s="14">
        <v>40550</v>
      </c>
      <c r="GJ234" s="14">
        <v>4600</v>
      </c>
      <c r="GK234" s="14">
        <v>93100</v>
      </c>
      <c r="GL234" s="15">
        <f t="shared" si="1205"/>
        <v>2998873</v>
      </c>
      <c r="GM234" s="15">
        <f t="shared" si="1206"/>
        <v>3845345.61</v>
      </c>
      <c r="GN234" s="14">
        <v>58307.51</v>
      </c>
      <c r="GO234" s="14">
        <v>1147.68</v>
      </c>
      <c r="GP234" s="14">
        <v>6787.28</v>
      </c>
      <c r="GQ234" s="14">
        <v>4637.34</v>
      </c>
      <c r="GR234" s="15">
        <f t="shared" si="1207"/>
        <v>70879.81</v>
      </c>
      <c r="GS234" s="14">
        <v>95551</v>
      </c>
      <c r="GT234" s="14">
        <v>5358</v>
      </c>
      <c r="GU234" s="14">
        <v>1786</v>
      </c>
      <c r="GV234" s="14">
        <v>893</v>
      </c>
      <c r="GW234" s="15">
        <f t="shared" si="1208"/>
        <v>103588</v>
      </c>
      <c r="GX234" s="15">
        <f t="shared" si="1209"/>
        <v>4019813.42</v>
      </c>
      <c r="GY234" s="14">
        <v>3872696.7</v>
      </c>
      <c r="GZ234" s="14">
        <v>90178.37</v>
      </c>
      <c r="HA234" s="15">
        <f t="shared" si="1210"/>
        <v>3962875.0700000003</v>
      </c>
      <c r="HB234" s="15">
        <f t="shared" si="1211"/>
        <v>4.9229330897651469E-2</v>
      </c>
      <c r="HC234" s="16">
        <f t="shared" si="1212"/>
        <v>0.62712532828529333</v>
      </c>
      <c r="HD234" s="15">
        <f t="shared" si="1213"/>
        <v>1.2312991880105719</v>
      </c>
      <c r="HE234" s="14">
        <v>10</v>
      </c>
      <c r="HF234" s="14">
        <v>3</v>
      </c>
      <c r="HG234" s="14">
        <v>252</v>
      </c>
      <c r="HH234" s="14">
        <v>10</v>
      </c>
      <c r="HI234" s="14">
        <v>11</v>
      </c>
      <c r="HJ234" s="15">
        <f t="shared" si="1214"/>
        <v>14</v>
      </c>
      <c r="HK234" s="16">
        <f t="shared" si="1215"/>
        <v>1</v>
      </c>
      <c r="HL234" s="14">
        <v>3</v>
      </c>
      <c r="HM234" s="14">
        <v>5</v>
      </c>
      <c r="HN234" s="17">
        <f t="shared" si="1216"/>
        <v>1.6666666666666667</v>
      </c>
    </row>
    <row r="235" spans="1:222" x14ac:dyDescent="0.3">
      <c r="A235" s="6" t="s">
        <v>289</v>
      </c>
      <c r="B235" s="6" t="s">
        <v>292</v>
      </c>
      <c r="C235" s="7" t="s">
        <v>257</v>
      </c>
      <c r="D235" s="7">
        <v>2025</v>
      </c>
      <c r="E235" s="7">
        <v>8</v>
      </c>
      <c r="F235" s="7" t="s">
        <v>264</v>
      </c>
      <c r="G235" s="7" t="s">
        <v>263</v>
      </c>
      <c r="H235" s="8">
        <v>3580</v>
      </c>
      <c r="I235" s="8">
        <v>97</v>
      </c>
      <c r="J235" s="8">
        <v>215</v>
      </c>
      <c r="K235" s="8">
        <v>4</v>
      </c>
      <c r="L235" s="8">
        <v>155</v>
      </c>
      <c r="M235" s="9">
        <f t="shared" si="1156"/>
        <v>471</v>
      </c>
      <c r="N235" s="8">
        <v>2542</v>
      </c>
      <c r="O235" s="8">
        <v>193</v>
      </c>
      <c r="P235" s="8">
        <v>6</v>
      </c>
      <c r="Q235" s="8">
        <v>22</v>
      </c>
      <c r="R235" s="9">
        <f t="shared" si="1157"/>
        <v>2763</v>
      </c>
      <c r="S235" s="9">
        <f t="shared" si="1158"/>
        <v>3234</v>
      </c>
      <c r="T235" s="8">
        <v>346</v>
      </c>
      <c r="U235" s="10">
        <f t="shared" si="1159"/>
        <v>9.6648044692737425E-2</v>
      </c>
      <c r="V235" s="8">
        <v>7</v>
      </c>
      <c r="W235" s="11">
        <f t="shared" si="1160"/>
        <v>1.9553072625698325E-3</v>
      </c>
      <c r="X235" s="8">
        <v>0</v>
      </c>
      <c r="Y235" s="11">
        <f t="shared" si="1161"/>
        <v>0</v>
      </c>
      <c r="Z235" s="8">
        <v>0</v>
      </c>
      <c r="AA235" s="11">
        <f t="shared" si="1162"/>
        <v>0</v>
      </c>
      <c r="AB235" s="8">
        <v>0</v>
      </c>
      <c r="AC235" s="11">
        <f t="shared" si="1163"/>
        <v>0</v>
      </c>
      <c r="AD235" s="8">
        <v>0</v>
      </c>
      <c r="AE235" s="11">
        <f t="shared" si="1164"/>
        <v>0</v>
      </c>
      <c r="AF235" s="8">
        <v>0</v>
      </c>
      <c r="AG235" s="11">
        <f t="shared" si="1165"/>
        <v>0</v>
      </c>
      <c r="AH235" s="8">
        <v>24677.03</v>
      </c>
      <c r="AI235" s="9">
        <f t="shared" si="1166"/>
        <v>6.8930251396648039</v>
      </c>
      <c r="AJ235" s="8">
        <v>1105</v>
      </c>
      <c r="AK235" s="11">
        <f t="shared" si="1167"/>
        <v>0.30865921787709499</v>
      </c>
      <c r="AL235" s="8">
        <v>169746.9075</v>
      </c>
      <c r="AM235" s="9">
        <f t="shared" si="1168"/>
        <v>47.415337290502791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9">
        <f t="shared" si="1169"/>
        <v>194423.9375</v>
      </c>
      <c r="AV235" s="9">
        <f t="shared" si="1170"/>
        <v>54.308362430167598</v>
      </c>
      <c r="AW235" s="9">
        <f t="shared" si="1171"/>
        <v>60.118719078540508</v>
      </c>
      <c r="AX235" s="8">
        <v>7</v>
      </c>
      <c r="AY235" s="9">
        <f t="shared" si="1172"/>
        <v>23.463687150837988</v>
      </c>
      <c r="AZ235" s="8">
        <v>3</v>
      </c>
      <c r="BA235" s="8">
        <v>252</v>
      </c>
      <c r="BB235" s="8">
        <v>6</v>
      </c>
      <c r="BC235" s="8">
        <v>18</v>
      </c>
      <c r="BD235" s="8">
        <v>0</v>
      </c>
      <c r="BE235" s="9">
        <f t="shared" si="1173"/>
        <v>18</v>
      </c>
      <c r="BF235" s="9">
        <f t="shared" si="1174"/>
        <v>240</v>
      </c>
      <c r="BG235" s="8">
        <v>0</v>
      </c>
      <c r="BH235" s="8">
        <v>0</v>
      </c>
      <c r="BI235" s="8">
        <v>0</v>
      </c>
      <c r="BJ235" s="8">
        <v>0</v>
      </c>
      <c r="BK235" s="9">
        <f t="shared" si="1175"/>
        <v>0</v>
      </c>
      <c r="BL235" s="9">
        <f t="shared" si="1176"/>
        <v>0</v>
      </c>
      <c r="BM235" s="8">
        <v>0</v>
      </c>
      <c r="BN235" s="8">
        <v>0</v>
      </c>
      <c r="BO235" s="8">
        <v>0</v>
      </c>
      <c r="BP235" s="8">
        <v>0</v>
      </c>
      <c r="BQ235" s="9">
        <f t="shared" si="1177"/>
        <v>0</v>
      </c>
      <c r="BR235" s="9">
        <f t="shared" si="1178"/>
        <v>0</v>
      </c>
      <c r="BS235" s="8">
        <v>0</v>
      </c>
      <c r="BT235" s="8">
        <v>0</v>
      </c>
      <c r="BU235" s="8">
        <v>0</v>
      </c>
      <c r="BV235" s="8">
        <v>0</v>
      </c>
      <c r="BW235" s="9">
        <f t="shared" si="1179"/>
        <v>0</v>
      </c>
      <c r="BX235" s="9">
        <f t="shared" si="1180"/>
        <v>0</v>
      </c>
      <c r="BY235" s="9">
        <f t="shared" si="1181"/>
        <v>252</v>
      </c>
      <c r="BZ235" s="9">
        <f t="shared" si="1182"/>
        <v>6</v>
      </c>
      <c r="CA235" s="9">
        <f t="shared" si="1183"/>
        <v>18</v>
      </c>
      <c r="CB235" s="9">
        <f t="shared" si="1184"/>
        <v>240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9">
        <f t="shared" si="1185"/>
        <v>0</v>
      </c>
      <c r="CI235" s="8">
        <v>62</v>
      </c>
      <c r="CJ235" s="8">
        <v>0</v>
      </c>
      <c r="CK235" s="8">
        <v>0</v>
      </c>
      <c r="CL235" s="8">
        <v>0</v>
      </c>
      <c r="CM235" s="9">
        <f t="shared" si="1186"/>
        <v>62</v>
      </c>
      <c r="CN235" s="8">
        <v>680</v>
      </c>
      <c r="CO235" s="8">
        <v>10</v>
      </c>
      <c r="CP235" s="8">
        <v>6</v>
      </c>
      <c r="CQ235" s="8">
        <v>14</v>
      </c>
      <c r="CR235" s="9">
        <f t="shared" si="1187"/>
        <v>710</v>
      </c>
      <c r="CS235" s="9">
        <f t="shared" si="1188"/>
        <v>772</v>
      </c>
      <c r="CT235" s="8">
        <v>772</v>
      </c>
      <c r="CU235" s="8">
        <v>7249.70883825907</v>
      </c>
      <c r="CV235" s="8">
        <v>5303</v>
      </c>
      <c r="CW235" s="10">
        <f t="shared" si="1189"/>
        <v>0.73147765218022898</v>
      </c>
      <c r="CX235" s="8">
        <v>0</v>
      </c>
      <c r="CY235" s="8"/>
      <c r="CZ235" s="8"/>
      <c r="DA235" s="8"/>
      <c r="DB235" s="9">
        <f t="shared" si="1190"/>
        <v>0</v>
      </c>
      <c r="DC235" s="8">
        <v>0</v>
      </c>
      <c r="DD235" s="8">
        <v>0</v>
      </c>
      <c r="DE235" s="8">
        <v>0</v>
      </c>
      <c r="DF235" s="8">
        <v>0</v>
      </c>
      <c r="DG235" s="9">
        <f t="shared" si="1191"/>
        <v>0</v>
      </c>
      <c r="DH235" s="8">
        <v>0</v>
      </c>
      <c r="DI235" s="8">
        <v>0</v>
      </c>
      <c r="DJ235" s="8">
        <v>0</v>
      </c>
      <c r="DK235" s="8">
        <v>0</v>
      </c>
      <c r="DL235" s="9">
        <f t="shared" si="1192"/>
        <v>0</v>
      </c>
      <c r="DM235" s="8">
        <v>0</v>
      </c>
      <c r="DN235" s="8">
        <v>0</v>
      </c>
      <c r="DO235" s="8">
        <v>0</v>
      </c>
      <c r="DP235" s="8">
        <v>0</v>
      </c>
      <c r="DQ235" s="9">
        <f t="shared" si="1193"/>
        <v>0</v>
      </c>
      <c r="DR235" s="9">
        <f t="shared" si="1194"/>
        <v>0</v>
      </c>
      <c r="DS235" s="9">
        <f t="shared" si="1195"/>
        <v>0</v>
      </c>
      <c r="DT235" s="9">
        <f t="shared" si="1196"/>
        <v>0</v>
      </c>
      <c r="DU235" s="9">
        <f t="shared" si="1197"/>
        <v>0</v>
      </c>
      <c r="DV235" s="9">
        <f t="shared" si="1198"/>
        <v>0</v>
      </c>
      <c r="DW235" s="8">
        <v>7</v>
      </c>
      <c r="DX235" s="8">
        <v>2</v>
      </c>
      <c r="DY235" s="8">
        <v>0</v>
      </c>
      <c r="DZ235" s="8">
        <v>0</v>
      </c>
      <c r="EA235" s="8">
        <v>4</v>
      </c>
      <c r="EB235" s="8">
        <v>0</v>
      </c>
      <c r="EC235" s="8">
        <v>0</v>
      </c>
      <c r="ED235" s="8">
        <v>2</v>
      </c>
      <c r="EE235" s="8">
        <v>2</v>
      </c>
      <c r="EF235" s="8">
        <v>0</v>
      </c>
      <c r="EG235" s="8">
        <v>0</v>
      </c>
      <c r="EH235" s="8">
        <v>0</v>
      </c>
      <c r="EI235" s="8">
        <v>0</v>
      </c>
      <c r="EJ235" s="8">
        <v>4</v>
      </c>
      <c r="EK235" s="8">
        <v>3</v>
      </c>
      <c r="EL235" s="8">
        <v>0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8">
        <v>0</v>
      </c>
      <c r="FC235" s="8">
        <v>0</v>
      </c>
      <c r="FD235" s="8">
        <v>0</v>
      </c>
      <c r="FE235" s="8">
        <v>0</v>
      </c>
      <c r="FF235" s="8">
        <v>0</v>
      </c>
      <c r="FG235" s="9">
        <f t="shared" si="1199"/>
        <v>24</v>
      </c>
      <c r="FH235" s="8">
        <v>0</v>
      </c>
      <c r="FI235" s="8">
        <v>0</v>
      </c>
      <c r="FJ235" s="8">
        <v>0</v>
      </c>
      <c r="FK235" s="8">
        <v>0</v>
      </c>
      <c r="FL235" s="8">
        <v>0</v>
      </c>
      <c r="FM235" s="8">
        <v>0</v>
      </c>
      <c r="FN235" s="8">
        <v>0</v>
      </c>
      <c r="FO235" s="8">
        <v>0</v>
      </c>
      <c r="FP235" s="8">
        <v>0</v>
      </c>
      <c r="FQ235" s="9">
        <f t="shared" si="1200"/>
        <v>0</v>
      </c>
      <c r="FR235" s="8">
        <v>217450</v>
      </c>
      <c r="FS235" s="8">
        <v>16000</v>
      </c>
      <c r="FT235" s="8">
        <v>0</v>
      </c>
      <c r="FU235" s="8">
        <v>20800</v>
      </c>
      <c r="FV235" s="9">
        <f t="shared" si="1201"/>
        <v>254250</v>
      </c>
      <c r="FW235" s="8">
        <v>3155825</v>
      </c>
      <c r="FX235" s="8">
        <v>40950</v>
      </c>
      <c r="FY235" s="8">
        <v>105900</v>
      </c>
      <c r="FZ235" s="8">
        <v>19000</v>
      </c>
      <c r="GA235" s="9">
        <f t="shared" si="1202"/>
        <v>3321675</v>
      </c>
      <c r="GB235" s="9">
        <f t="shared" si="1203"/>
        <v>3575925</v>
      </c>
      <c r="GC235" s="8">
        <v>1072736.6399999999</v>
      </c>
      <c r="GD235" s="8">
        <v>41125.199999999997</v>
      </c>
      <c r="GE235" s="8">
        <v>25235.97</v>
      </c>
      <c r="GF235" s="8">
        <v>723150.86</v>
      </c>
      <c r="GG235" s="9">
        <f t="shared" si="1204"/>
        <v>1862248.67</v>
      </c>
      <c r="GH235" s="8">
        <v>3155825</v>
      </c>
      <c r="GI235" s="8">
        <v>40950</v>
      </c>
      <c r="GJ235" s="8">
        <v>19000</v>
      </c>
      <c r="GK235" s="8">
        <v>105900</v>
      </c>
      <c r="GL235" s="9">
        <f t="shared" si="1205"/>
        <v>3321675</v>
      </c>
      <c r="GM235" s="9">
        <f t="shared" si="1206"/>
        <v>5183923.67</v>
      </c>
      <c r="GN235" s="8">
        <v>88278.66</v>
      </c>
      <c r="GO235" s="8">
        <v>1147.68</v>
      </c>
      <c r="GP235" s="8">
        <v>10180.92</v>
      </c>
      <c r="GQ235" s="8">
        <v>9274.68</v>
      </c>
      <c r="GR235" s="9">
        <f t="shared" si="1207"/>
        <v>108881.94</v>
      </c>
      <c r="GS235" s="8">
        <v>144666</v>
      </c>
      <c r="GT235" s="8">
        <v>5358</v>
      </c>
      <c r="GU235" s="8">
        <v>2679</v>
      </c>
      <c r="GV235" s="8">
        <v>1786</v>
      </c>
      <c r="GW235" s="9">
        <f t="shared" si="1208"/>
        <v>154489</v>
      </c>
      <c r="GX235" s="9">
        <f t="shared" si="1209"/>
        <v>5447294.6100000003</v>
      </c>
      <c r="GY235" s="8">
        <v>6481503.2400000002</v>
      </c>
      <c r="GZ235" s="8">
        <v>146291.67000000001</v>
      </c>
      <c r="HA235" s="9">
        <f t="shared" si="1210"/>
        <v>6627794.9100000001</v>
      </c>
      <c r="HB235" s="9">
        <f t="shared" si="1211"/>
        <v>3.5691834464594889E-2</v>
      </c>
      <c r="HC235" s="10">
        <f t="shared" si="1212"/>
        <v>0.29977245360059473</v>
      </c>
      <c r="HD235" s="9">
        <f t="shared" si="1213"/>
        <v>0.65645889492288723</v>
      </c>
      <c r="HE235" s="8">
        <v>6</v>
      </c>
      <c r="HF235" s="8">
        <v>3</v>
      </c>
      <c r="HG235" s="8">
        <v>240</v>
      </c>
      <c r="HH235" s="8">
        <v>6</v>
      </c>
      <c r="HI235" s="8">
        <v>5</v>
      </c>
      <c r="HJ235" s="9">
        <f t="shared" si="1214"/>
        <v>8</v>
      </c>
      <c r="HK235" s="10">
        <f t="shared" si="1215"/>
        <v>1</v>
      </c>
      <c r="HL235" s="8">
        <v>6</v>
      </c>
      <c r="HM235" s="8">
        <v>2</v>
      </c>
      <c r="HN235" s="11">
        <f t="shared" si="1216"/>
        <v>0.33333333333333331</v>
      </c>
    </row>
    <row r="236" spans="1:222" x14ac:dyDescent="0.3">
      <c r="A236" s="12" t="s">
        <v>289</v>
      </c>
      <c r="B236" s="12" t="s">
        <v>292</v>
      </c>
      <c r="C236" s="13" t="s">
        <v>257</v>
      </c>
      <c r="D236" s="13">
        <v>2025</v>
      </c>
      <c r="E236" s="13">
        <v>9</v>
      </c>
      <c r="F236" s="13" t="s">
        <v>265</v>
      </c>
      <c r="G236" s="13" t="s">
        <v>263</v>
      </c>
      <c r="H236" s="14">
        <v>6587</v>
      </c>
      <c r="I236" s="14">
        <v>1548</v>
      </c>
      <c r="J236" s="14">
        <v>186</v>
      </c>
      <c r="K236" s="14">
        <v>16</v>
      </c>
      <c r="L236" s="14">
        <v>16</v>
      </c>
      <c r="M236" s="15">
        <f t="shared" si="1156"/>
        <v>1766</v>
      </c>
      <c r="N236" s="14">
        <v>2686</v>
      </c>
      <c r="O236" s="14">
        <v>318</v>
      </c>
      <c r="P236" s="14">
        <v>4</v>
      </c>
      <c r="Q236" s="14">
        <v>27</v>
      </c>
      <c r="R236" s="15">
        <f t="shared" si="1157"/>
        <v>3035</v>
      </c>
      <c r="S236" s="15">
        <f t="shared" si="1158"/>
        <v>4801</v>
      </c>
      <c r="T236" s="14">
        <v>1786</v>
      </c>
      <c r="U236" s="16">
        <f t="shared" si="1159"/>
        <v>0.27114012448762714</v>
      </c>
      <c r="V236" s="14">
        <v>7</v>
      </c>
      <c r="W236" s="17">
        <f t="shared" si="1160"/>
        <v>1.0626992561105207E-3</v>
      </c>
      <c r="X236" s="14">
        <v>0</v>
      </c>
      <c r="Y236" s="17">
        <f t="shared" si="1161"/>
        <v>0</v>
      </c>
      <c r="Z236" s="14">
        <v>0</v>
      </c>
      <c r="AA236" s="17">
        <f t="shared" si="1162"/>
        <v>0</v>
      </c>
      <c r="AB236" s="14">
        <v>0</v>
      </c>
      <c r="AC236" s="17">
        <f t="shared" si="1163"/>
        <v>0</v>
      </c>
      <c r="AD236" s="14">
        <v>0</v>
      </c>
      <c r="AE236" s="17">
        <f t="shared" si="1164"/>
        <v>0</v>
      </c>
      <c r="AF236" s="14">
        <v>0</v>
      </c>
      <c r="AG236" s="17">
        <f t="shared" si="1165"/>
        <v>0</v>
      </c>
      <c r="AH236" s="14">
        <v>24677.03</v>
      </c>
      <c r="AI236" s="15">
        <f t="shared" si="1166"/>
        <v>3.7463230605738573</v>
      </c>
      <c r="AJ236" s="14">
        <v>1924</v>
      </c>
      <c r="AK236" s="17">
        <f t="shared" si="1167"/>
        <v>0.29209048125094883</v>
      </c>
      <c r="AL236" s="14">
        <v>283384.386</v>
      </c>
      <c r="AM236" s="15">
        <f t="shared" si="1168"/>
        <v>43.02176802793381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5">
        <f t="shared" si="1169"/>
        <v>308061.41599999997</v>
      </c>
      <c r="AV236" s="15">
        <f t="shared" si="1170"/>
        <v>46.76809108850766</v>
      </c>
      <c r="AW236" s="15">
        <f t="shared" si="1171"/>
        <v>64.166093730472809</v>
      </c>
      <c r="AX236" s="14">
        <v>7</v>
      </c>
      <c r="AY236" s="15">
        <f t="shared" si="1172"/>
        <v>12.752391073326249</v>
      </c>
      <c r="AZ236" s="14">
        <v>3</v>
      </c>
      <c r="BA236" s="14">
        <v>240</v>
      </c>
      <c r="BB236" s="14">
        <v>12</v>
      </c>
      <c r="BC236" s="14">
        <v>0</v>
      </c>
      <c r="BD236" s="14">
        <v>14</v>
      </c>
      <c r="BE236" s="15">
        <f t="shared" si="1173"/>
        <v>14</v>
      </c>
      <c r="BF236" s="15">
        <f t="shared" si="1174"/>
        <v>238</v>
      </c>
      <c r="BG236" s="14">
        <v>0</v>
      </c>
      <c r="BH236" s="14">
        <v>0</v>
      </c>
      <c r="BI236" s="14">
        <v>0</v>
      </c>
      <c r="BJ236" s="14">
        <v>0</v>
      </c>
      <c r="BK236" s="15">
        <f t="shared" si="1175"/>
        <v>0</v>
      </c>
      <c r="BL236" s="15">
        <f t="shared" si="1176"/>
        <v>0</v>
      </c>
      <c r="BM236" s="14">
        <v>0</v>
      </c>
      <c r="BN236" s="14">
        <v>0</v>
      </c>
      <c r="BO236" s="14">
        <v>0</v>
      </c>
      <c r="BP236" s="14">
        <v>0</v>
      </c>
      <c r="BQ236" s="15">
        <f t="shared" si="1177"/>
        <v>0</v>
      </c>
      <c r="BR236" s="15">
        <f t="shared" si="1178"/>
        <v>0</v>
      </c>
      <c r="BS236" s="14">
        <v>0</v>
      </c>
      <c r="BT236" s="14">
        <v>0</v>
      </c>
      <c r="BU236" s="14">
        <v>0</v>
      </c>
      <c r="BV236" s="14">
        <v>0</v>
      </c>
      <c r="BW236" s="15">
        <f t="shared" si="1179"/>
        <v>0</v>
      </c>
      <c r="BX236" s="15">
        <f t="shared" si="1180"/>
        <v>0</v>
      </c>
      <c r="BY236" s="15">
        <f t="shared" si="1181"/>
        <v>240</v>
      </c>
      <c r="BZ236" s="15">
        <f t="shared" si="1182"/>
        <v>12</v>
      </c>
      <c r="CA236" s="15">
        <f t="shared" si="1183"/>
        <v>14</v>
      </c>
      <c r="CB236" s="15">
        <f t="shared" si="1184"/>
        <v>238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5">
        <f t="shared" si="1185"/>
        <v>0</v>
      </c>
      <c r="CI236" s="14">
        <v>62</v>
      </c>
      <c r="CJ236" s="14">
        <v>0</v>
      </c>
      <c r="CK236" s="14">
        <v>0</v>
      </c>
      <c r="CL236" s="14">
        <v>0</v>
      </c>
      <c r="CM236" s="15">
        <f t="shared" si="1186"/>
        <v>62</v>
      </c>
      <c r="CN236" s="14">
        <v>680</v>
      </c>
      <c r="CO236" s="14">
        <v>10</v>
      </c>
      <c r="CP236" s="14">
        <v>6</v>
      </c>
      <c r="CQ236" s="14">
        <v>14</v>
      </c>
      <c r="CR236" s="15">
        <f t="shared" si="1187"/>
        <v>710</v>
      </c>
      <c r="CS236" s="15">
        <f t="shared" si="1188"/>
        <v>772</v>
      </c>
      <c r="CT236" s="14">
        <v>772</v>
      </c>
      <c r="CU236" s="14">
        <v>7264.2082559355904</v>
      </c>
      <c r="CV236" s="14">
        <v>5421</v>
      </c>
      <c r="CW236" s="16">
        <f t="shared" si="1189"/>
        <v>0.74626164462871736</v>
      </c>
      <c r="CX236" s="14">
        <v>0</v>
      </c>
      <c r="CY236" s="14"/>
      <c r="CZ236" s="14"/>
      <c r="DA236" s="14"/>
      <c r="DB236" s="15">
        <f t="shared" si="1190"/>
        <v>0</v>
      </c>
      <c r="DC236" s="14">
        <v>0</v>
      </c>
      <c r="DD236" s="14">
        <v>0</v>
      </c>
      <c r="DE236" s="14">
        <v>0</v>
      </c>
      <c r="DF236" s="14">
        <v>0</v>
      </c>
      <c r="DG236" s="15">
        <f t="shared" si="1191"/>
        <v>0</v>
      </c>
      <c r="DH236" s="14">
        <v>0</v>
      </c>
      <c r="DI236" s="14">
        <v>0</v>
      </c>
      <c r="DJ236" s="14">
        <v>0</v>
      </c>
      <c r="DK236" s="14">
        <v>0</v>
      </c>
      <c r="DL236" s="15">
        <f t="shared" si="1192"/>
        <v>0</v>
      </c>
      <c r="DM236" s="14">
        <v>0</v>
      </c>
      <c r="DN236" s="14">
        <v>0</v>
      </c>
      <c r="DO236" s="14">
        <v>0</v>
      </c>
      <c r="DP236" s="14">
        <v>0</v>
      </c>
      <c r="DQ236" s="15">
        <f t="shared" si="1193"/>
        <v>0</v>
      </c>
      <c r="DR236" s="15">
        <f t="shared" si="1194"/>
        <v>0</v>
      </c>
      <c r="DS236" s="15">
        <f t="shared" si="1195"/>
        <v>0</v>
      </c>
      <c r="DT236" s="15">
        <f t="shared" si="1196"/>
        <v>0</v>
      </c>
      <c r="DU236" s="15">
        <f t="shared" si="1197"/>
        <v>0</v>
      </c>
      <c r="DV236" s="15">
        <f t="shared" si="1198"/>
        <v>0</v>
      </c>
      <c r="DW236" s="14">
        <v>6</v>
      </c>
      <c r="DX236" s="14">
        <v>0</v>
      </c>
      <c r="DY236" s="14">
        <v>3</v>
      </c>
      <c r="DZ236" s="14">
        <v>0</v>
      </c>
      <c r="EA236" s="14">
        <v>3</v>
      </c>
      <c r="EB236" s="14">
        <v>1</v>
      </c>
      <c r="EC236" s="14">
        <v>0</v>
      </c>
      <c r="ED236" s="14">
        <v>1</v>
      </c>
      <c r="EE236" s="14">
        <v>1</v>
      </c>
      <c r="EF236" s="14">
        <v>0</v>
      </c>
      <c r="EG236" s="14">
        <v>0</v>
      </c>
      <c r="EH236" s="14">
        <v>0</v>
      </c>
      <c r="EI236" s="14">
        <v>0</v>
      </c>
      <c r="EJ236" s="14">
        <v>7</v>
      </c>
      <c r="EK236" s="14">
        <v>1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14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14">
        <v>0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5">
        <f t="shared" si="1199"/>
        <v>23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5">
        <f t="shared" si="1200"/>
        <v>0</v>
      </c>
      <c r="FR236" s="14">
        <v>48950</v>
      </c>
      <c r="FS236" s="14">
        <v>0</v>
      </c>
      <c r="FT236" s="14">
        <v>70000</v>
      </c>
      <c r="FU236" s="14">
        <v>0</v>
      </c>
      <c r="FV236" s="15">
        <f t="shared" si="1201"/>
        <v>118950</v>
      </c>
      <c r="FW236" s="14">
        <v>3353292</v>
      </c>
      <c r="FX236" s="14">
        <v>67650</v>
      </c>
      <c r="FY236" s="14">
        <v>131000</v>
      </c>
      <c r="FZ236" s="14">
        <v>10700</v>
      </c>
      <c r="GA236" s="15">
        <f t="shared" si="1202"/>
        <v>3562642</v>
      </c>
      <c r="GB236" s="15">
        <f t="shared" si="1203"/>
        <v>3681592</v>
      </c>
      <c r="GC236" s="14">
        <v>1454007.48</v>
      </c>
      <c r="GD236" s="14">
        <v>35578.080000000002</v>
      </c>
      <c r="GE236" s="14">
        <v>43868.09</v>
      </c>
      <c r="GF236" s="14">
        <v>54205.81</v>
      </c>
      <c r="GG236" s="15">
        <f t="shared" si="1204"/>
        <v>1587659.4600000002</v>
      </c>
      <c r="GH236" s="14">
        <v>3335852</v>
      </c>
      <c r="GI236" s="14">
        <v>67650</v>
      </c>
      <c r="GJ236" s="14">
        <v>10700</v>
      </c>
      <c r="GK236" s="14">
        <v>131000</v>
      </c>
      <c r="GL236" s="15">
        <f t="shared" si="1205"/>
        <v>3545202</v>
      </c>
      <c r="GM236" s="15">
        <f t="shared" si="1206"/>
        <v>5132861.46</v>
      </c>
      <c r="GN236" s="14">
        <v>105171.49</v>
      </c>
      <c r="GO236" s="14">
        <v>1147.68</v>
      </c>
      <c r="GP236" s="14">
        <v>10180.92</v>
      </c>
      <c r="GQ236" s="14">
        <v>4637.34</v>
      </c>
      <c r="GR236" s="15">
        <f t="shared" si="1207"/>
        <v>121137.43</v>
      </c>
      <c r="GS236" s="14">
        <v>172349</v>
      </c>
      <c r="GT236" s="14">
        <v>5358</v>
      </c>
      <c r="GU236" s="14">
        <v>2679</v>
      </c>
      <c r="GV236" s="14">
        <v>893</v>
      </c>
      <c r="GW236" s="15">
        <f t="shared" si="1208"/>
        <v>181279</v>
      </c>
      <c r="GX236" s="15">
        <f t="shared" si="1209"/>
        <v>5435277.8899999997</v>
      </c>
      <c r="GY236" s="14">
        <v>7219990.6100000003</v>
      </c>
      <c r="GZ236" s="14">
        <v>1794788.74</v>
      </c>
      <c r="HA236" s="15">
        <f t="shared" si="1210"/>
        <v>9014779.3499999996</v>
      </c>
      <c r="HB236" s="15">
        <f t="shared" si="1211"/>
        <v>5.6678135365770599E-2</v>
      </c>
      <c r="HC236" s="16">
        <f t="shared" si="1212"/>
        <v>0.29091378029632481</v>
      </c>
      <c r="HD236" s="15">
        <f t="shared" si="1213"/>
        <v>0.67735119979302483</v>
      </c>
      <c r="HE236" s="14">
        <v>12</v>
      </c>
      <c r="HF236" s="14">
        <v>3</v>
      </c>
      <c r="HG236" s="14">
        <v>238</v>
      </c>
      <c r="HH236" s="14">
        <v>12</v>
      </c>
      <c r="HI236" s="14">
        <v>14</v>
      </c>
      <c r="HJ236" s="15">
        <f t="shared" si="1214"/>
        <v>17</v>
      </c>
      <c r="HK236" s="16">
        <f t="shared" si="1215"/>
        <v>1</v>
      </c>
      <c r="HL236" s="14">
        <v>2</v>
      </c>
      <c r="HM236" s="14">
        <v>3</v>
      </c>
      <c r="HN236" s="17">
        <f t="shared" si="1216"/>
        <v>1.5</v>
      </c>
    </row>
    <row r="237" spans="1:222" x14ac:dyDescent="0.3">
      <c r="A237" s="6" t="s">
        <v>289</v>
      </c>
      <c r="B237" s="6" t="s">
        <v>292</v>
      </c>
      <c r="C237" s="7" t="s">
        <v>257</v>
      </c>
      <c r="D237" s="7">
        <v>2025</v>
      </c>
      <c r="E237" s="7">
        <v>10</v>
      </c>
      <c r="F237" s="7" t="s">
        <v>266</v>
      </c>
      <c r="G237" s="7" t="s">
        <v>267</v>
      </c>
      <c r="H237" s="8">
        <v>6998</v>
      </c>
      <c r="I237" s="8">
        <v>1753</v>
      </c>
      <c r="J237" s="8">
        <v>178</v>
      </c>
      <c r="K237" s="8">
        <v>16</v>
      </c>
      <c r="L237" s="8">
        <v>19</v>
      </c>
      <c r="M237" s="9">
        <f t="shared" si="1156"/>
        <v>1966</v>
      </c>
      <c r="N237" s="8">
        <v>2586</v>
      </c>
      <c r="O237" s="8">
        <v>162</v>
      </c>
      <c r="P237" s="8">
        <v>4</v>
      </c>
      <c r="Q237" s="8">
        <v>30</v>
      </c>
      <c r="R237" s="9">
        <f t="shared" si="1157"/>
        <v>2782</v>
      </c>
      <c r="S237" s="9">
        <f t="shared" si="1158"/>
        <v>4748</v>
      </c>
      <c r="T237" s="8">
        <v>2250</v>
      </c>
      <c r="U237" s="10">
        <f t="shared" si="1159"/>
        <v>0.32152043440983136</v>
      </c>
      <c r="V237" s="8">
        <v>8</v>
      </c>
      <c r="W237" s="11">
        <f t="shared" si="1160"/>
        <v>1.1431837667905116E-3</v>
      </c>
      <c r="X237" s="8">
        <v>0</v>
      </c>
      <c r="Y237" s="11">
        <f t="shared" si="1161"/>
        <v>0</v>
      </c>
      <c r="Z237" s="8">
        <v>0</v>
      </c>
      <c r="AA237" s="11">
        <f t="shared" si="1162"/>
        <v>0</v>
      </c>
      <c r="AB237" s="8">
        <v>0</v>
      </c>
      <c r="AC237" s="11">
        <f t="shared" si="1163"/>
        <v>0</v>
      </c>
      <c r="AD237" s="8">
        <v>0</v>
      </c>
      <c r="AE237" s="11">
        <f t="shared" si="1164"/>
        <v>0</v>
      </c>
      <c r="AF237" s="8">
        <v>0</v>
      </c>
      <c r="AG237" s="11">
        <f t="shared" si="1165"/>
        <v>0</v>
      </c>
      <c r="AH237" s="8">
        <v>28202.32</v>
      </c>
      <c r="AI237" s="9">
        <f t="shared" si="1166"/>
        <v>4.0300543012289225</v>
      </c>
      <c r="AJ237" s="8">
        <v>1965</v>
      </c>
      <c r="AK237" s="11">
        <f t="shared" si="1167"/>
        <v>0.28079451271791939</v>
      </c>
      <c r="AL237" s="8">
        <v>289073.19750000001</v>
      </c>
      <c r="AM237" s="9">
        <f t="shared" si="1168"/>
        <v>41.307973349528439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9">
        <f t="shared" si="1169"/>
        <v>317275.51750000002</v>
      </c>
      <c r="AV237" s="9">
        <f t="shared" si="1170"/>
        <v>45.338027650757361</v>
      </c>
      <c r="AW237" s="9">
        <f t="shared" si="1171"/>
        <v>66.822981781802866</v>
      </c>
      <c r="AX237" s="8">
        <v>7</v>
      </c>
      <c r="AY237" s="9">
        <f t="shared" si="1172"/>
        <v>12.003429551300371</v>
      </c>
      <c r="AZ237" s="8">
        <v>3</v>
      </c>
      <c r="BA237" s="8">
        <v>238</v>
      </c>
      <c r="BB237" s="8">
        <v>15</v>
      </c>
      <c r="BC237" s="8">
        <v>7</v>
      </c>
      <c r="BD237" s="8">
        <v>0</v>
      </c>
      <c r="BE237" s="9">
        <f t="shared" si="1173"/>
        <v>7</v>
      </c>
      <c r="BF237" s="9">
        <f t="shared" si="1174"/>
        <v>246</v>
      </c>
      <c r="BG237" s="8">
        <v>0</v>
      </c>
      <c r="BH237" s="8">
        <v>0</v>
      </c>
      <c r="BI237" s="8">
        <v>0</v>
      </c>
      <c r="BJ237" s="8">
        <v>0</v>
      </c>
      <c r="BK237" s="9">
        <f t="shared" si="1175"/>
        <v>0</v>
      </c>
      <c r="BL237" s="9">
        <f t="shared" si="1176"/>
        <v>0</v>
      </c>
      <c r="BM237" s="8">
        <v>0</v>
      </c>
      <c r="BN237" s="8">
        <v>0</v>
      </c>
      <c r="BO237" s="8">
        <v>0</v>
      </c>
      <c r="BP237" s="8">
        <v>0</v>
      </c>
      <c r="BQ237" s="9">
        <f t="shared" si="1177"/>
        <v>0</v>
      </c>
      <c r="BR237" s="9">
        <f t="shared" si="1178"/>
        <v>0</v>
      </c>
      <c r="BS237" s="8">
        <v>0</v>
      </c>
      <c r="BT237" s="8">
        <v>0</v>
      </c>
      <c r="BU237" s="8">
        <v>0</v>
      </c>
      <c r="BV237" s="8">
        <v>0</v>
      </c>
      <c r="BW237" s="9">
        <f t="shared" si="1179"/>
        <v>0</v>
      </c>
      <c r="BX237" s="9">
        <f t="shared" si="1180"/>
        <v>0</v>
      </c>
      <c r="BY237" s="9">
        <f t="shared" si="1181"/>
        <v>238</v>
      </c>
      <c r="BZ237" s="9">
        <f t="shared" si="1182"/>
        <v>15</v>
      </c>
      <c r="CA237" s="9">
        <f t="shared" si="1183"/>
        <v>7</v>
      </c>
      <c r="CB237" s="9">
        <f t="shared" si="1184"/>
        <v>246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9">
        <f t="shared" si="1185"/>
        <v>0</v>
      </c>
      <c r="CI237" s="8">
        <v>69</v>
      </c>
      <c r="CJ237" s="8">
        <v>0</v>
      </c>
      <c r="CK237" s="8">
        <v>0</v>
      </c>
      <c r="CL237" s="8">
        <v>0</v>
      </c>
      <c r="CM237" s="9">
        <f t="shared" si="1186"/>
        <v>69</v>
      </c>
      <c r="CN237" s="8">
        <v>680</v>
      </c>
      <c r="CO237" s="8">
        <v>10</v>
      </c>
      <c r="CP237" s="8">
        <v>6</v>
      </c>
      <c r="CQ237" s="8">
        <v>14</v>
      </c>
      <c r="CR237" s="9">
        <f t="shared" si="1187"/>
        <v>710</v>
      </c>
      <c r="CS237" s="9">
        <f t="shared" si="1188"/>
        <v>779</v>
      </c>
      <c r="CT237" s="8">
        <v>779</v>
      </c>
      <c r="CU237" s="8">
        <v>7278.7366724474596</v>
      </c>
      <c r="CV237" s="8">
        <v>5421</v>
      </c>
      <c r="CW237" s="10">
        <f t="shared" si="1189"/>
        <v>0.74477210042786179</v>
      </c>
      <c r="CX237" s="8">
        <v>0</v>
      </c>
      <c r="CY237" s="8"/>
      <c r="CZ237" s="8"/>
      <c r="DA237" s="8"/>
      <c r="DB237" s="9">
        <f t="shared" si="1190"/>
        <v>0</v>
      </c>
      <c r="DC237" s="8">
        <v>0</v>
      </c>
      <c r="DD237" s="8">
        <v>0</v>
      </c>
      <c r="DE237" s="8">
        <v>0</v>
      </c>
      <c r="DF237" s="8">
        <v>0</v>
      </c>
      <c r="DG237" s="9">
        <f t="shared" si="1191"/>
        <v>0</v>
      </c>
      <c r="DH237" s="8">
        <v>0</v>
      </c>
      <c r="DI237" s="8">
        <v>0</v>
      </c>
      <c r="DJ237" s="8">
        <v>0</v>
      </c>
      <c r="DK237" s="8">
        <v>0</v>
      </c>
      <c r="DL237" s="9">
        <f t="shared" si="1192"/>
        <v>0</v>
      </c>
      <c r="DM237" s="8">
        <v>0</v>
      </c>
      <c r="DN237" s="8">
        <v>0</v>
      </c>
      <c r="DO237" s="8">
        <v>0</v>
      </c>
      <c r="DP237" s="8">
        <v>0</v>
      </c>
      <c r="DQ237" s="9">
        <f t="shared" si="1193"/>
        <v>0</v>
      </c>
      <c r="DR237" s="9">
        <f t="shared" si="1194"/>
        <v>0</v>
      </c>
      <c r="DS237" s="9">
        <f t="shared" si="1195"/>
        <v>0</v>
      </c>
      <c r="DT237" s="9">
        <f t="shared" si="1196"/>
        <v>0</v>
      </c>
      <c r="DU237" s="9">
        <f t="shared" si="1197"/>
        <v>0</v>
      </c>
      <c r="DV237" s="9">
        <f t="shared" si="1198"/>
        <v>0</v>
      </c>
      <c r="DW237" s="8">
        <v>9</v>
      </c>
      <c r="DX237" s="8">
        <v>6</v>
      </c>
      <c r="DY237" s="8">
        <v>0</v>
      </c>
      <c r="DZ237" s="8">
        <v>0</v>
      </c>
      <c r="EA237" s="8">
        <v>4</v>
      </c>
      <c r="EB237" s="8">
        <v>0</v>
      </c>
      <c r="EC237" s="8">
        <v>0</v>
      </c>
      <c r="ED237" s="8">
        <v>3</v>
      </c>
      <c r="EE237" s="8">
        <v>4</v>
      </c>
      <c r="EF237" s="8">
        <v>0</v>
      </c>
      <c r="EG237" s="8">
        <v>0</v>
      </c>
      <c r="EH237" s="8">
        <v>0</v>
      </c>
      <c r="EI237" s="8">
        <v>0</v>
      </c>
      <c r="EJ237" s="8">
        <v>4</v>
      </c>
      <c r="EK237" s="8">
        <v>2</v>
      </c>
      <c r="EL237" s="8">
        <v>0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8">
        <v>0</v>
      </c>
      <c r="FC237" s="8">
        <v>0</v>
      </c>
      <c r="FD237" s="8">
        <v>0</v>
      </c>
      <c r="FE237" s="8">
        <v>0</v>
      </c>
      <c r="FF237" s="8">
        <v>0</v>
      </c>
      <c r="FG237" s="9">
        <f t="shared" si="1199"/>
        <v>32</v>
      </c>
      <c r="FH237" s="8">
        <v>0</v>
      </c>
      <c r="FI237" s="8">
        <v>0</v>
      </c>
      <c r="FJ237" s="8">
        <v>0</v>
      </c>
      <c r="FK237" s="8">
        <v>0</v>
      </c>
      <c r="FL237" s="8">
        <v>0</v>
      </c>
      <c r="FM237" s="8">
        <v>0</v>
      </c>
      <c r="FN237" s="8">
        <v>0</v>
      </c>
      <c r="FO237" s="8">
        <v>0</v>
      </c>
      <c r="FP237" s="8">
        <v>0</v>
      </c>
      <c r="FQ237" s="9">
        <f t="shared" si="1200"/>
        <v>0</v>
      </c>
      <c r="FR237" s="8">
        <v>898200</v>
      </c>
      <c r="FS237" s="8">
        <v>40700</v>
      </c>
      <c r="FT237" s="8">
        <v>60000</v>
      </c>
      <c r="FU237" s="8">
        <v>42000</v>
      </c>
      <c r="FV237" s="9">
        <f t="shared" si="1201"/>
        <v>1040900</v>
      </c>
      <c r="FW237" s="8">
        <v>3228168</v>
      </c>
      <c r="FX237" s="8">
        <v>34500</v>
      </c>
      <c r="FY237" s="8">
        <v>145599</v>
      </c>
      <c r="FZ237" s="8">
        <v>11800</v>
      </c>
      <c r="GA237" s="9">
        <f t="shared" si="1202"/>
        <v>3420067</v>
      </c>
      <c r="GB237" s="9">
        <f t="shared" si="1203"/>
        <v>4460967</v>
      </c>
      <c r="GC237" s="8">
        <v>1648794.89</v>
      </c>
      <c r="GD237" s="8">
        <v>34047.839999999997</v>
      </c>
      <c r="GE237" s="8">
        <v>35881.61</v>
      </c>
      <c r="GF237" s="8">
        <v>69199.45</v>
      </c>
      <c r="GG237" s="9">
        <f t="shared" si="1204"/>
        <v>1787923.79</v>
      </c>
      <c r="GH237" s="8">
        <v>3212568.18</v>
      </c>
      <c r="GI237" s="8">
        <v>34500</v>
      </c>
      <c r="GJ237" s="8">
        <v>11800</v>
      </c>
      <c r="GK237" s="8">
        <v>145599</v>
      </c>
      <c r="GL237" s="9">
        <f t="shared" si="1205"/>
        <v>3404467.18</v>
      </c>
      <c r="GM237" s="9">
        <f t="shared" si="1206"/>
        <v>5192390.9700000007</v>
      </c>
      <c r="GN237" s="8">
        <v>117159.95</v>
      </c>
      <c r="GO237" s="8">
        <v>1147.68</v>
      </c>
      <c r="GP237" s="8">
        <v>10180.92</v>
      </c>
      <c r="GQ237" s="8">
        <v>4637.34</v>
      </c>
      <c r="GR237" s="9">
        <f t="shared" si="1207"/>
        <v>133125.88999999998</v>
      </c>
      <c r="GS237" s="8">
        <v>191995</v>
      </c>
      <c r="GT237" s="8">
        <v>5358</v>
      </c>
      <c r="GU237" s="8">
        <v>2679</v>
      </c>
      <c r="GV237" s="8">
        <v>893</v>
      </c>
      <c r="GW237" s="9">
        <f t="shared" si="1208"/>
        <v>200925</v>
      </c>
      <c r="GX237" s="9">
        <f t="shared" si="1209"/>
        <v>5526441.8600000003</v>
      </c>
      <c r="GY237" s="8">
        <v>841315.5</v>
      </c>
      <c r="GZ237" s="8">
        <v>209761.21</v>
      </c>
      <c r="HA237" s="9">
        <f t="shared" si="1210"/>
        <v>1051076.71</v>
      </c>
      <c r="HB237" s="9">
        <f t="shared" si="1211"/>
        <v>5.7410450618582999E-2</v>
      </c>
      <c r="HC237" s="10">
        <f t="shared" si="1212"/>
        <v>0.70055543071132342</v>
      </c>
      <c r="HD237" s="9">
        <f t="shared" si="1213"/>
        <v>0.8072041854431089</v>
      </c>
      <c r="HE237" s="8">
        <v>15</v>
      </c>
      <c r="HF237" s="8">
        <v>3</v>
      </c>
      <c r="HG237" s="8">
        <v>246</v>
      </c>
      <c r="HH237" s="8">
        <v>15</v>
      </c>
      <c r="HI237" s="8">
        <v>7</v>
      </c>
      <c r="HJ237" s="9">
        <f t="shared" si="1214"/>
        <v>10</v>
      </c>
      <c r="HK237" s="10">
        <f t="shared" si="1215"/>
        <v>1</v>
      </c>
      <c r="HL237" s="8">
        <v>4</v>
      </c>
      <c r="HM237" s="8">
        <v>3</v>
      </c>
      <c r="HN237" s="11">
        <f t="shared" si="1216"/>
        <v>0.75</v>
      </c>
    </row>
    <row r="238" spans="1:222" x14ac:dyDescent="0.3">
      <c r="A238" s="12" t="s">
        <v>289</v>
      </c>
      <c r="B238" s="12" t="s">
        <v>292</v>
      </c>
      <c r="C238" s="13" t="s">
        <v>257</v>
      </c>
      <c r="D238" s="13">
        <v>2025</v>
      </c>
      <c r="E238" s="13">
        <v>11</v>
      </c>
      <c r="F238" s="13" t="s">
        <v>268</v>
      </c>
      <c r="G238" s="13" t="s">
        <v>267</v>
      </c>
      <c r="H238" s="14">
        <v>5438</v>
      </c>
      <c r="I238" s="14">
        <v>1579</v>
      </c>
      <c r="J238" s="14">
        <v>195</v>
      </c>
      <c r="K238" s="14">
        <v>6</v>
      </c>
      <c r="L238" s="14">
        <v>14</v>
      </c>
      <c r="M238" s="15">
        <f t="shared" si="1156"/>
        <v>1794</v>
      </c>
      <c r="N238" s="14">
        <v>2198</v>
      </c>
      <c r="O238" s="14">
        <v>191</v>
      </c>
      <c r="P238" s="14">
        <v>6</v>
      </c>
      <c r="Q238" s="14">
        <v>24</v>
      </c>
      <c r="R238" s="15">
        <f t="shared" si="1157"/>
        <v>2419</v>
      </c>
      <c r="S238" s="15">
        <f t="shared" si="1158"/>
        <v>4213</v>
      </c>
      <c r="T238" s="14">
        <v>1225</v>
      </c>
      <c r="U238" s="16">
        <f t="shared" si="1159"/>
        <v>0.22526664214784847</v>
      </c>
      <c r="V238" s="14">
        <v>7</v>
      </c>
      <c r="W238" s="17">
        <f t="shared" si="1160"/>
        <v>1.2872379551305626E-3</v>
      </c>
      <c r="X238" s="14">
        <v>0</v>
      </c>
      <c r="Y238" s="17">
        <f t="shared" si="1161"/>
        <v>0</v>
      </c>
      <c r="Z238" s="14">
        <v>0</v>
      </c>
      <c r="AA238" s="17">
        <f t="shared" si="1162"/>
        <v>0</v>
      </c>
      <c r="AB238" s="14">
        <v>0</v>
      </c>
      <c r="AC238" s="17">
        <f t="shared" si="1163"/>
        <v>0</v>
      </c>
      <c r="AD238" s="14">
        <v>0</v>
      </c>
      <c r="AE238" s="17">
        <f t="shared" si="1164"/>
        <v>0</v>
      </c>
      <c r="AF238" s="14">
        <v>0</v>
      </c>
      <c r="AG238" s="17">
        <f t="shared" si="1165"/>
        <v>0</v>
      </c>
      <c r="AH238" s="14">
        <v>24677.03</v>
      </c>
      <c r="AI238" s="15">
        <f t="shared" si="1166"/>
        <v>4.5378870908422213</v>
      </c>
      <c r="AJ238" s="14">
        <v>1644</v>
      </c>
      <c r="AK238" s="17">
        <f t="shared" si="1167"/>
        <v>0.30231702831923501</v>
      </c>
      <c r="AL238" s="14">
        <v>244533.96599999999</v>
      </c>
      <c r="AM238" s="15">
        <f t="shared" si="1168"/>
        <v>44.967628907686645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5">
        <f t="shared" si="1169"/>
        <v>269210.99599999998</v>
      </c>
      <c r="AV238" s="15">
        <f t="shared" si="1170"/>
        <v>49.505515998528871</v>
      </c>
      <c r="AW238" s="15">
        <f t="shared" si="1171"/>
        <v>63.900070258722998</v>
      </c>
      <c r="AX238" s="14">
        <v>7</v>
      </c>
      <c r="AY238" s="15">
        <f t="shared" si="1172"/>
        <v>15.446855461566752</v>
      </c>
      <c r="AZ238" s="14">
        <v>3</v>
      </c>
      <c r="BA238" s="14">
        <v>246</v>
      </c>
      <c r="BB238" s="14">
        <v>12</v>
      </c>
      <c r="BC238" s="14">
        <v>5</v>
      </c>
      <c r="BD238" s="14">
        <v>0</v>
      </c>
      <c r="BE238" s="15">
        <f t="shared" si="1173"/>
        <v>5</v>
      </c>
      <c r="BF238" s="15">
        <f t="shared" si="1174"/>
        <v>253</v>
      </c>
      <c r="BG238" s="14">
        <v>0</v>
      </c>
      <c r="BH238" s="14">
        <v>0</v>
      </c>
      <c r="BI238" s="14">
        <v>0</v>
      </c>
      <c r="BJ238" s="14">
        <v>0</v>
      </c>
      <c r="BK238" s="15">
        <f t="shared" si="1175"/>
        <v>0</v>
      </c>
      <c r="BL238" s="15">
        <f t="shared" si="1176"/>
        <v>0</v>
      </c>
      <c r="BM238" s="14">
        <v>0</v>
      </c>
      <c r="BN238" s="14">
        <v>0</v>
      </c>
      <c r="BO238" s="14">
        <v>0</v>
      </c>
      <c r="BP238" s="14">
        <v>0</v>
      </c>
      <c r="BQ238" s="15">
        <f t="shared" si="1177"/>
        <v>0</v>
      </c>
      <c r="BR238" s="15">
        <f t="shared" si="1178"/>
        <v>0</v>
      </c>
      <c r="BS238" s="14">
        <v>0</v>
      </c>
      <c r="BT238" s="14">
        <v>0</v>
      </c>
      <c r="BU238" s="14">
        <v>0</v>
      </c>
      <c r="BV238" s="14">
        <v>0</v>
      </c>
      <c r="BW238" s="15">
        <f t="shared" si="1179"/>
        <v>0</v>
      </c>
      <c r="BX238" s="15">
        <f t="shared" si="1180"/>
        <v>0</v>
      </c>
      <c r="BY238" s="15">
        <f t="shared" si="1181"/>
        <v>246</v>
      </c>
      <c r="BZ238" s="15">
        <f t="shared" si="1182"/>
        <v>12</v>
      </c>
      <c r="CA238" s="15">
        <f t="shared" si="1183"/>
        <v>5</v>
      </c>
      <c r="CB238" s="15">
        <f t="shared" si="1184"/>
        <v>253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5">
        <f t="shared" si="1185"/>
        <v>0</v>
      </c>
      <c r="CI238" s="14">
        <v>74</v>
      </c>
      <c r="CJ238" s="14">
        <v>0</v>
      </c>
      <c r="CK238" s="14">
        <v>0</v>
      </c>
      <c r="CL238" s="14">
        <v>0</v>
      </c>
      <c r="CM238" s="15">
        <f t="shared" si="1186"/>
        <v>74</v>
      </c>
      <c r="CN238" s="14">
        <v>680</v>
      </c>
      <c r="CO238" s="14">
        <v>10</v>
      </c>
      <c r="CP238" s="14">
        <v>6</v>
      </c>
      <c r="CQ238" s="14">
        <v>14</v>
      </c>
      <c r="CR238" s="15">
        <f t="shared" si="1187"/>
        <v>710</v>
      </c>
      <c r="CS238" s="15">
        <f t="shared" si="1188"/>
        <v>784</v>
      </c>
      <c r="CT238" s="14">
        <v>784</v>
      </c>
      <c r="CU238" s="14">
        <v>7293.2941457923598</v>
      </c>
      <c r="CV238" s="14">
        <v>5421</v>
      </c>
      <c r="CW238" s="16">
        <f t="shared" si="1189"/>
        <v>0.74328552936912307</v>
      </c>
      <c r="CX238" s="14">
        <v>0</v>
      </c>
      <c r="CY238" s="14"/>
      <c r="CZ238" s="14"/>
      <c r="DA238" s="14"/>
      <c r="DB238" s="15">
        <f t="shared" si="1190"/>
        <v>0</v>
      </c>
      <c r="DC238" s="14">
        <v>0</v>
      </c>
      <c r="DD238" s="14">
        <v>0</v>
      </c>
      <c r="DE238" s="14">
        <v>0</v>
      </c>
      <c r="DF238" s="14">
        <v>0</v>
      </c>
      <c r="DG238" s="15">
        <f t="shared" si="1191"/>
        <v>0</v>
      </c>
      <c r="DH238" s="14">
        <v>0</v>
      </c>
      <c r="DI238" s="14">
        <v>0</v>
      </c>
      <c r="DJ238" s="14">
        <v>0</v>
      </c>
      <c r="DK238" s="14">
        <v>0</v>
      </c>
      <c r="DL238" s="15">
        <f t="shared" si="1192"/>
        <v>0</v>
      </c>
      <c r="DM238" s="14">
        <v>0</v>
      </c>
      <c r="DN238" s="14">
        <v>0</v>
      </c>
      <c r="DO238" s="14">
        <v>0</v>
      </c>
      <c r="DP238" s="14">
        <v>0</v>
      </c>
      <c r="DQ238" s="15">
        <f t="shared" si="1193"/>
        <v>0</v>
      </c>
      <c r="DR238" s="15">
        <f t="shared" si="1194"/>
        <v>0</v>
      </c>
      <c r="DS238" s="15">
        <f t="shared" si="1195"/>
        <v>0</v>
      </c>
      <c r="DT238" s="15">
        <f t="shared" si="1196"/>
        <v>0</v>
      </c>
      <c r="DU238" s="15">
        <f t="shared" si="1197"/>
        <v>0</v>
      </c>
      <c r="DV238" s="15">
        <f t="shared" si="1198"/>
        <v>0</v>
      </c>
      <c r="DW238" s="14">
        <v>14</v>
      </c>
      <c r="DX238" s="14">
        <v>6</v>
      </c>
      <c r="DY238" s="14">
        <v>0</v>
      </c>
      <c r="DZ238" s="14">
        <v>3</v>
      </c>
      <c r="EA238" s="14">
        <v>1</v>
      </c>
      <c r="EB238" s="14">
        <v>4</v>
      </c>
      <c r="EC238" s="14">
        <v>0</v>
      </c>
      <c r="ED238" s="14">
        <v>4</v>
      </c>
      <c r="EE238" s="14">
        <v>2</v>
      </c>
      <c r="EF238" s="14">
        <v>0</v>
      </c>
      <c r="EG238" s="14">
        <v>0</v>
      </c>
      <c r="EH238" s="14">
        <v>0</v>
      </c>
      <c r="EI238" s="14">
        <v>0</v>
      </c>
      <c r="EJ238" s="14">
        <v>6</v>
      </c>
      <c r="EK238" s="14">
        <v>1</v>
      </c>
      <c r="EL238" s="14">
        <v>0</v>
      </c>
      <c r="EM238" s="14">
        <v>0</v>
      </c>
      <c r="EN238" s="14">
        <v>0</v>
      </c>
      <c r="EO238" s="14">
        <v>0</v>
      </c>
      <c r="EP238" s="14">
        <v>0</v>
      </c>
      <c r="EQ238" s="14">
        <v>0</v>
      </c>
      <c r="ER238" s="14">
        <v>0</v>
      </c>
      <c r="ES238" s="14">
        <v>0</v>
      </c>
      <c r="ET238" s="14">
        <v>0</v>
      </c>
      <c r="EU238" s="14">
        <v>0</v>
      </c>
      <c r="EV238" s="14">
        <v>0</v>
      </c>
      <c r="EW238" s="14">
        <v>0</v>
      </c>
      <c r="EX238" s="14">
        <v>0</v>
      </c>
      <c r="EY238" s="14">
        <v>0</v>
      </c>
      <c r="EZ238" s="14">
        <v>0</v>
      </c>
      <c r="FA238" s="14">
        <v>0</v>
      </c>
      <c r="FB238" s="14">
        <v>0</v>
      </c>
      <c r="FC238" s="14">
        <v>0</v>
      </c>
      <c r="FD238" s="14">
        <v>0</v>
      </c>
      <c r="FE238" s="14">
        <v>0</v>
      </c>
      <c r="FF238" s="14">
        <v>0</v>
      </c>
      <c r="FG238" s="15">
        <f t="shared" si="1199"/>
        <v>41</v>
      </c>
      <c r="FH238" s="14">
        <v>0</v>
      </c>
      <c r="FI238" s="14">
        <v>0</v>
      </c>
      <c r="FJ238" s="14">
        <v>0</v>
      </c>
      <c r="FK238" s="14">
        <v>0</v>
      </c>
      <c r="FL238" s="14">
        <v>0</v>
      </c>
      <c r="FM238" s="14">
        <v>0</v>
      </c>
      <c r="FN238" s="14">
        <v>0</v>
      </c>
      <c r="FO238" s="14">
        <v>0</v>
      </c>
      <c r="FP238" s="14">
        <v>0</v>
      </c>
      <c r="FQ238" s="15">
        <f t="shared" si="1200"/>
        <v>0</v>
      </c>
      <c r="FR238" s="14">
        <v>595050</v>
      </c>
      <c r="FS238" s="14">
        <v>0</v>
      </c>
      <c r="FT238" s="14">
        <v>0</v>
      </c>
      <c r="FU238" s="14">
        <v>13600</v>
      </c>
      <c r="FV238" s="15">
        <f t="shared" si="1201"/>
        <v>608650</v>
      </c>
      <c r="FW238" s="14">
        <v>2743651</v>
      </c>
      <c r="FX238" s="14">
        <v>40700</v>
      </c>
      <c r="FY238" s="14">
        <v>114000</v>
      </c>
      <c r="FZ238" s="14">
        <v>18718</v>
      </c>
      <c r="GA238" s="15">
        <f t="shared" si="1202"/>
        <v>2917069</v>
      </c>
      <c r="GB238" s="15">
        <f t="shared" si="1203"/>
        <v>3525719</v>
      </c>
      <c r="GC238" s="14">
        <v>1478513.65</v>
      </c>
      <c r="GD238" s="14">
        <v>37299.599999999999</v>
      </c>
      <c r="GE238" s="14">
        <v>27895.13</v>
      </c>
      <c r="GF238" s="14">
        <v>45111.31</v>
      </c>
      <c r="GG238" s="15">
        <f t="shared" si="1204"/>
        <v>1588819.69</v>
      </c>
      <c r="GH238" s="14">
        <v>2727811.06</v>
      </c>
      <c r="GI238" s="14">
        <v>40700</v>
      </c>
      <c r="GJ238" s="14">
        <v>18718</v>
      </c>
      <c r="GK238" s="14">
        <v>114000</v>
      </c>
      <c r="GL238" s="15">
        <f t="shared" si="1205"/>
        <v>2901229.06</v>
      </c>
      <c r="GM238" s="15">
        <f t="shared" si="1206"/>
        <v>4490048.75</v>
      </c>
      <c r="GN238" s="14">
        <v>120974.46</v>
      </c>
      <c r="GO238" s="14">
        <v>1338.96</v>
      </c>
      <c r="GP238" s="14">
        <v>10180.92</v>
      </c>
      <c r="GQ238" s="14">
        <v>4637.34</v>
      </c>
      <c r="GR238" s="15">
        <f t="shared" si="1207"/>
        <v>137131.68000000002</v>
      </c>
      <c r="GS238" s="14">
        <v>198246</v>
      </c>
      <c r="GT238" s="14">
        <v>6251</v>
      </c>
      <c r="GU238" s="14">
        <v>2679</v>
      </c>
      <c r="GV238" s="14">
        <v>893</v>
      </c>
      <c r="GW238" s="15">
        <f t="shared" si="1208"/>
        <v>208069</v>
      </c>
      <c r="GX238" s="15">
        <f t="shared" si="1209"/>
        <v>4835249.43</v>
      </c>
      <c r="GY238" s="14">
        <v>9712484.7799999993</v>
      </c>
      <c r="GZ238" s="14">
        <v>236916.26</v>
      </c>
      <c r="HA238" s="15">
        <f t="shared" si="1210"/>
        <v>9949401.0399999991</v>
      </c>
      <c r="HB238" s="15">
        <f t="shared" si="1211"/>
        <v>5.5676754611602319E-2</v>
      </c>
      <c r="HC238" s="16">
        <f t="shared" si="1212"/>
        <v>0.24235519766208324</v>
      </c>
      <c r="HD238" s="15">
        <f t="shared" si="1213"/>
        <v>0.72917003580516426</v>
      </c>
      <c r="HE238" s="14">
        <v>12</v>
      </c>
      <c r="HF238" s="14">
        <v>3</v>
      </c>
      <c r="HG238" s="14">
        <v>253</v>
      </c>
      <c r="HH238" s="14">
        <v>12</v>
      </c>
      <c r="HI238" s="14">
        <v>5</v>
      </c>
      <c r="HJ238" s="15">
        <f t="shared" si="1214"/>
        <v>8</v>
      </c>
      <c r="HK238" s="16">
        <f t="shared" si="1215"/>
        <v>1</v>
      </c>
      <c r="HL238" s="14">
        <v>7</v>
      </c>
      <c r="HM238" s="14">
        <v>2</v>
      </c>
      <c r="HN238" s="17">
        <f t="shared" si="1216"/>
        <v>0.2857142857142857</v>
      </c>
    </row>
    <row r="239" spans="1:222" x14ac:dyDescent="0.3">
      <c r="A239" s="6" t="s">
        <v>289</v>
      </c>
      <c r="B239" s="6" t="s">
        <v>292</v>
      </c>
      <c r="C239" s="7" t="s">
        <v>257</v>
      </c>
      <c r="D239" s="7">
        <v>2025</v>
      </c>
      <c r="E239" s="7">
        <v>12</v>
      </c>
      <c r="F239" s="7" t="s">
        <v>269</v>
      </c>
      <c r="G239" s="7" t="s">
        <v>267</v>
      </c>
      <c r="H239" s="8">
        <v>5006</v>
      </c>
      <c r="I239" s="8">
        <v>1287</v>
      </c>
      <c r="J239" s="8">
        <v>172</v>
      </c>
      <c r="K239" s="8">
        <v>0</v>
      </c>
      <c r="L239" s="8">
        <v>11</v>
      </c>
      <c r="M239" s="9">
        <f t="shared" si="1156"/>
        <v>1470</v>
      </c>
      <c r="N239" s="8">
        <v>2182</v>
      </c>
      <c r="O239" s="8">
        <v>175</v>
      </c>
      <c r="P239" s="8">
        <v>5</v>
      </c>
      <c r="Q239" s="8">
        <v>25</v>
      </c>
      <c r="R239" s="9">
        <f t="shared" si="1157"/>
        <v>2387</v>
      </c>
      <c r="S239" s="9">
        <f t="shared" si="1158"/>
        <v>3857</v>
      </c>
      <c r="T239" s="8">
        <v>1149</v>
      </c>
      <c r="U239" s="10">
        <f t="shared" si="1159"/>
        <v>0.22952457051538155</v>
      </c>
      <c r="V239" s="8">
        <v>7</v>
      </c>
      <c r="W239" s="11">
        <f t="shared" si="1160"/>
        <v>1.3983220135836995E-3</v>
      </c>
      <c r="X239" s="8">
        <v>0</v>
      </c>
      <c r="Y239" s="11">
        <f t="shared" si="1161"/>
        <v>0</v>
      </c>
      <c r="Z239" s="8">
        <v>0</v>
      </c>
      <c r="AA239" s="11">
        <f t="shared" si="1162"/>
        <v>0</v>
      </c>
      <c r="AB239" s="8">
        <v>0</v>
      </c>
      <c r="AC239" s="11">
        <f t="shared" si="1163"/>
        <v>0</v>
      </c>
      <c r="AD239" s="8">
        <v>0</v>
      </c>
      <c r="AE239" s="11">
        <f t="shared" si="1164"/>
        <v>0</v>
      </c>
      <c r="AF239" s="8">
        <v>0</v>
      </c>
      <c r="AG239" s="11">
        <f t="shared" si="1165"/>
        <v>0</v>
      </c>
      <c r="AH239" s="8">
        <v>24677.03</v>
      </c>
      <c r="AI239" s="9">
        <f t="shared" si="1166"/>
        <v>4.9294906112664796</v>
      </c>
      <c r="AJ239" s="8">
        <v>1494</v>
      </c>
      <c r="AK239" s="11">
        <f t="shared" si="1167"/>
        <v>0.29844186975629244</v>
      </c>
      <c r="AL239" s="8">
        <v>223721.24100000001</v>
      </c>
      <c r="AM239" s="9">
        <f t="shared" si="1168"/>
        <v>44.690619456652023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9">
        <f t="shared" si="1169"/>
        <v>248398.27100000001</v>
      </c>
      <c r="AV239" s="9">
        <f t="shared" si="1170"/>
        <v>49.620110067918496</v>
      </c>
      <c r="AW239" s="9">
        <f t="shared" si="1171"/>
        <v>64.401936997666581</v>
      </c>
      <c r="AX239" s="8">
        <v>7</v>
      </c>
      <c r="AY239" s="9">
        <f t="shared" si="1172"/>
        <v>16.779864163004394</v>
      </c>
      <c r="AZ239" s="8">
        <v>3</v>
      </c>
      <c r="BA239" s="8">
        <v>253</v>
      </c>
      <c r="BB239" s="8">
        <v>5</v>
      </c>
      <c r="BC239" s="8">
        <v>3</v>
      </c>
      <c r="BD239" s="8">
        <v>0</v>
      </c>
      <c r="BE239" s="9">
        <f t="shared" si="1173"/>
        <v>3</v>
      </c>
      <c r="BF239" s="9">
        <f t="shared" si="1174"/>
        <v>255</v>
      </c>
      <c r="BG239" s="8">
        <v>0</v>
      </c>
      <c r="BH239" s="8">
        <v>0</v>
      </c>
      <c r="BI239" s="8">
        <v>0</v>
      </c>
      <c r="BJ239" s="8">
        <v>0</v>
      </c>
      <c r="BK239" s="9">
        <f t="shared" si="1175"/>
        <v>0</v>
      </c>
      <c r="BL239" s="9">
        <f t="shared" si="1176"/>
        <v>0</v>
      </c>
      <c r="BM239" s="8">
        <v>0</v>
      </c>
      <c r="BN239" s="8">
        <v>0</v>
      </c>
      <c r="BO239" s="8">
        <v>0</v>
      </c>
      <c r="BP239" s="8">
        <v>0</v>
      </c>
      <c r="BQ239" s="9">
        <f t="shared" si="1177"/>
        <v>0</v>
      </c>
      <c r="BR239" s="9">
        <f t="shared" si="1178"/>
        <v>0</v>
      </c>
      <c r="BS239" s="8">
        <v>0</v>
      </c>
      <c r="BT239" s="8">
        <v>0</v>
      </c>
      <c r="BU239" s="8">
        <v>0</v>
      </c>
      <c r="BV239" s="8">
        <v>0</v>
      </c>
      <c r="BW239" s="9">
        <f t="shared" si="1179"/>
        <v>0</v>
      </c>
      <c r="BX239" s="9">
        <f t="shared" si="1180"/>
        <v>0</v>
      </c>
      <c r="BY239" s="9">
        <f t="shared" si="1181"/>
        <v>253</v>
      </c>
      <c r="BZ239" s="9">
        <f t="shared" si="1182"/>
        <v>5</v>
      </c>
      <c r="CA239" s="9">
        <f t="shared" si="1183"/>
        <v>3</v>
      </c>
      <c r="CB239" s="9">
        <f t="shared" si="1184"/>
        <v>255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9">
        <f t="shared" si="1185"/>
        <v>0</v>
      </c>
      <c r="CI239" s="8">
        <v>77</v>
      </c>
      <c r="CJ239" s="8">
        <v>0</v>
      </c>
      <c r="CK239" s="8">
        <v>0</v>
      </c>
      <c r="CL239" s="8">
        <v>0</v>
      </c>
      <c r="CM239" s="9">
        <f t="shared" si="1186"/>
        <v>77</v>
      </c>
      <c r="CN239" s="8">
        <v>680</v>
      </c>
      <c r="CO239" s="8">
        <v>10</v>
      </c>
      <c r="CP239" s="8">
        <v>6</v>
      </c>
      <c r="CQ239" s="8">
        <v>14</v>
      </c>
      <c r="CR239" s="9">
        <f t="shared" si="1187"/>
        <v>710</v>
      </c>
      <c r="CS239" s="9">
        <f t="shared" si="1188"/>
        <v>787</v>
      </c>
      <c r="CT239" s="8">
        <v>787</v>
      </c>
      <c r="CU239" s="8">
        <v>7307.8807340839403</v>
      </c>
      <c r="CV239" s="8">
        <v>5421</v>
      </c>
      <c r="CW239" s="10">
        <f t="shared" si="1189"/>
        <v>0.74180192551808732</v>
      </c>
      <c r="CX239" s="8">
        <v>0</v>
      </c>
      <c r="CY239" s="8"/>
      <c r="CZ239" s="8"/>
      <c r="DA239" s="8"/>
      <c r="DB239" s="9">
        <f t="shared" si="1190"/>
        <v>0</v>
      </c>
      <c r="DC239" s="8">
        <v>0</v>
      </c>
      <c r="DD239" s="8">
        <v>0</v>
      </c>
      <c r="DE239" s="8">
        <v>0</v>
      </c>
      <c r="DF239" s="8">
        <v>0</v>
      </c>
      <c r="DG239" s="9">
        <f t="shared" si="1191"/>
        <v>0</v>
      </c>
      <c r="DH239" s="8">
        <v>0</v>
      </c>
      <c r="DI239" s="8">
        <v>0</v>
      </c>
      <c r="DJ239" s="8">
        <v>0</v>
      </c>
      <c r="DK239" s="8">
        <v>0</v>
      </c>
      <c r="DL239" s="9">
        <f t="shared" si="1192"/>
        <v>0</v>
      </c>
      <c r="DM239" s="8">
        <v>0</v>
      </c>
      <c r="DN239" s="8">
        <v>0</v>
      </c>
      <c r="DO239" s="8">
        <v>0</v>
      </c>
      <c r="DP239" s="8">
        <v>0</v>
      </c>
      <c r="DQ239" s="9">
        <f t="shared" si="1193"/>
        <v>0</v>
      </c>
      <c r="DR239" s="9">
        <f t="shared" si="1194"/>
        <v>0</v>
      </c>
      <c r="DS239" s="9">
        <f t="shared" si="1195"/>
        <v>0</v>
      </c>
      <c r="DT239" s="9">
        <f t="shared" si="1196"/>
        <v>0</v>
      </c>
      <c r="DU239" s="9">
        <f t="shared" si="1197"/>
        <v>0</v>
      </c>
      <c r="DV239" s="9">
        <f t="shared" si="1198"/>
        <v>0</v>
      </c>
      <c r="DW239" s="8">
        <v>12</v>
      </c>
      <c r="DX239" s="8">
        <v>4</v>
      </c>
      <c r="DY239" s="8">
        <v>0</v>
      </c>
      <c r="DZ239" s="8">
        <v>0</v>
      </c>
      <c r="EA239" s="8">
        <v>3</v>
      </c>
      <c r="EB239" s="8">
        <v>1</v>
      </c>
      <c r="EC239" s="8">
        <v>0</v>
      </c>
      <c r="ED239" s="8">
        <v>3</v>
      </c>
      <c r="EE239" s="8">
        <v>4</v>
      </c>
      <c r="EF239" s="8">
        <v>0</v>
      </c>
      <c r="EG239" s="8">
        <v>0</v>
      </c>
      <c r="EH239" s="8">
        <v>0</v>
      </c>
      <c r="EI239" s="8">
        <v>0</v>
      </c>
      <c r="EJ239" s="8">
        <v>4</v>
      </c>
      <c r="EK239" s="8">
        <v>1</v>
      </c>
      <c r="EL239" s="8">
        <v>0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8">
        <v>0</v>
      </c>
      <c r="FC239" s="8">
        <v>0</v>
      </c>
      <c r="FD239" s="8">
        <v>0</v>
      </c>
      <c r="FE239" s="8">
        <v>0</v>
      </c>
      <c r="FF239" s="8">
        <v>0</v>
      </c>
      <c r="FG239" s="9">
        <f t="shared" si="1199"/>
        <v>32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9">
        <f t="shared" si="1200"/>
        <v>0</v>
      </c>
      <c r="FR239" s="8">
        <v>1806250</v>
      </c>
      <c r="FS239" s="8">
        <v>6200</v>
      </c>
      <c r="FT239" s="8">
        <v>135000</v>
      </c>
      <c r="FU239" s="8">
        <v>0</v>
      </c>
      <c r="FV239" s="9">
        <f t="shared" si="1201"/>
        <v>1947450</v>
      </c>
      <c r="FW239" s="8">
        <v>2723923</v>
      </c>
      <c r="FX239" s="8">
        <v>37100</v>
      </c>
      <c r="FY239" s="8">
        <v>118500</v>
      </c>
      <c r="FZ239" s="8">
        <v>14200</v>
      </c>
      <c r="GA239" s="9">
        <f t="shared" si="1202"/>
        <v>2893723</v>
      </c>
      <c r="GB239" s="9">
        <f t="shared" si="1203"/>
        <v>4841173</v>
      </c>
      <c r="GC239" s="8">
        <v>1225983.73</v>
      </c>
      <c r="GD239" s="8">
        <v>32900.160000000003</v>
      </c>
      <c r="GE239" s="8">
        <v>8410.99</v>
      </c>
      <c r="GF239" s="8">
        <v>32821.449999999997</v>
      </c>
      <c r="GG239" s="9">
        <f t="shared" si="1204"/>
        <v>1300116.3299999998</v>
      </c>
      <c r="GH239" s="8">
        <v>2710902.98</v>
      </c>
      <c r="GI239" s="8">
        <v>37100</v>
      </c>
      <c r="GJ239" s="8">
        <v>14200</v>
      </c>
      <c r="GK239" s="8">
        <v>118500</v>
      </c>
      <c r="GL239" s="9">
        <f t="shared" si="1205"/>
        <v>2880702.98</v>
      </c>
      <c r="GM239" s="9">
        <f t="shared" si="1206"/>
        <v>4180819.3099999996</v>
      </c>
      <c r="GN239" s="8">
        <v>117159.95</v>
      </c>
      <c r="GO239" s="8">
        <v>1338.96</v>
      </c>
      <c r="GP239" s="8">
        <v>3393.64</v>
      </c>
      <c r="GQ239" s="8">
        <v>4637.34</v>
      </c>
      <c r="GR239" s="9">
        <f t="shared" si="1207"/>
        <v>126529.89</v>
      </c>
      <c r="GS239" s="8">
        <v>191995</v>
      </c>
      <c r="GT239" s="8">
        <v>6251</v>
      </c>
      <c r="GU239" s="8">
        <v>893</v>
      </c>
      <c r="GV239" s="8">
        <v>893</v>
      </c>
      <c r="GW239" s="9">
        <f t="shared" si="1208"/>
        <v>200032</v>
      </c>
      <c r="GX239" s="9">
        <f t="shared" si="1209"/>
        <v>4507381.1999999993</v>
      </c>
      <c r="GY239" s="8">
        <v>8545050.0099999998</v>
      </c>
      <c r="GZ239" s="8">
        <v>118281.52</v>
      </c>
      <c r="HA239" s="9">
        <f t="shared" si="1210"/>
        <v>8663331.5299999993</v>
      </c>
      <c r="HB239" s="9">
        <f t="shared" si="1211"/>
        <v>5.5109221957974186E-2</v>
      </c>
      <c r="HC239" s="10">
        <f t="shared" si="1212"/>
        <v>0.37090201220834479</v>
      </c>
      <c r="HD239" s="9">
        <f t="shared" si="1213"/>
        <v>1.0740544864499149</v>
      </c>
      <c r="HE239" s="8">
        <v>5</v>
      </c>
      <c r="HF239" s="8">
        <v>3</v>
      </c>
      <c r="HG239" s="8">
        <v>255</v>
      </c>
      <c r="HH239" s="8">
        <v>5</v>
      </c>
      <c r="HI239" s="8">
        <v>3</v>
      </c>
      <c r="HJ239" s="9">
        <f t="shared" si="1214"/>
        <v>6</v>
      </c>
      <c r="HK239" s="10">
        <f t="shared" si="1215"/>
        <v>1</v>
      </c>
      <c r="HL239" s="8">
        <v>2</v>
      </c>
      <c r="HM239" s="8">
        <v>3</v>
      </c>
      <c r="HN239" s="11">
        <f t="shared" si="1216"/>
        <v>1.5</v>
      </c>
    </row>
    <row r="240" spans="1:222" x14ac:dyDescent="0.3">
      <c r="A240" s="12" t="s">
        <v>289</v>
      </c>
      <c r="B240" s="12" t="s">
        <v>292</v>
      </c>
      <c r="C240" s="13" t="s">
        <v>257</v>
      </c>
      <c r="D240" s="13">
        <v>2026</v>
      </c>
      <c r="E240" s="13">
        <v>1</v>
      </c>
      <c r="F240" s="13" t="s">
        <v>270</v>
      </c>
      <c r="G240" s="13" t="s">
        <v>271</v>
      </c>
      <c r="H240" s="14">
        <v>4579</v>
      </c>
      <c r="I240" s="14">
        <v>1308</v>
      </c>
      <c r="J240" s="14">
        <v>0</v>
      </c>
      <c r="K240" s="14">
        <v>0</v>
      </c>
      <c r="L240" s="14">
        <v>0</v>
      </c>
      <c r="M240" s="15">
        <v>1308</v>
      </c>
      <c r="N240" s="14">
        <v>2184</v>
      </c>
      <c r="O240" s="14">
        <v>0</v>
      </c>
      <c r="P240" s="14">
        <v>0</v>
      </c>
      <c r="Q240" s="14">
        <v>0</v>
      </c>
      <c r="R240" s="15">
        <v>2184</v>
      </c>
      <c r="S240" s="15">
        <v>3492</v>
      </c>
      <c r="T240" s="14">
        <v>1087</v>
      </c>
      <c r="U240" s="16">
        <v>0.23738807599912651</v>
      </c>
      <c r="V240" s="14">
        <v>6.4</v>
      </c>
      <c r="W240" s="17">
        <v>1.397685084079493</v>
      </c>
      <c r="X240" s="14">
        <v>0</v>
      </c>
      <c r="Y240" s="17">
        <v>0</v>
      </c>
      <c r="Z240" s="14">
        <v>0</v>
      </c>
      <c r="AA240" s="17">
        <v>0</v>
      </c>
      <c r="AB240" s="14">
        <v>0</v>
      </c>
      <c r="AC240" s="17">
        <v>0</v>
      </c>
      <c r="AD240" s="14">
        <v>0</v>
      </c>
      <c r="AE240" s="17">
        <v>0</v>
      </c>
      <c r="AF240" s="14">
        <v>0</v>
      </c>
      <c r="AG240" s="17">
        <v>0</v>
      </c>
      <c r="AH240" s="14">
        <v>22561.856</v>
      </c>
      <c r="AI240" s="15">
        <v>4.9272452500545967</v>
      </c>
      <c r="AJ240" s="14">
        <v>1242</v>
      </c>
      <c r="AK240" s="17">
        <v>0.27123826162917669</v>
      </c>
      <c r="AL240" s="14">
        <v>188755.86300000001</v>
      </c>
      <c r="AM240" s="15">
        <v>41.222070976195667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5">
        <v>211317.71900000001</v>
      </c>
      <c r="AV240" s="15">
        <v>46.149316226250271</v>
      </c>
      <c r="AW240" s="15">
        <v>60.514810710194723</v>
      </c>
      <c r="AX240" s="14">
        <v>7</v>
      </c>
      <c r="AY240" s="15">
        <v>47.390259882070318</v>
      </c>
      <c r="AZ240" s="14">
        <v>3</v>
      </c>
      <c r="BA240" s="14">
        <v>255</v>
      </c>
      <c r="BB240" s="14">
        <v>2</v>
      </c>
      <c r="BC240" s="14">
        <v>1</v>
      </c>
      <c r="BD240" s="14">
        <v>0</v>
      </c>
      <c r="BE240" s="15">
        <v>1</v>
      </c>
      <c r="BF240" s="15">
        <v>256</v>
      </c>
      <c r="BG240" s="14">
        <v>0</v>
      </c>
      <c r="BH240" s="14">
        <v>0</v>
      </c>
      <c r="BI240" s="14">
        <v>0</v>
      </c>
      <c r="BJ240" s="14">
        <v>0</v>
      </c>
      <c r="BK240" s="15">
        <v>0</v>
      </c>
      <c r="BL240" s="15">
        <v>0</v>
      </c>
      <c r="BM240" s="14">
        <v>0</v>
      </c>
      <c r="BN240" s="14">
        <v>0</v>
      </c>
      <c r="BO240" s="14">
        <v>0</v>
      </c>
      <c r="BP240" s="14">
        <v>0</v>
      </c>
      <c r="BQ240" s="15">
        <v>0</v>
      </c>
      <c r="BR240" s="15">
        <v>0</v>
      </c>
      <c r="BS240" s="14">
        <v>0</v>
      </c>
      <c r="BT240" s="14">
        <v>0</v>
      </c>
      <c r="BU240" s="14">
        <v>0</v>
      </c>
      <c r="BV240" s="14">
        <v>0</v>
      </c>
      <c r="BW240" s="15">
        <v>0</v>
      </c>
      <c r="BX240" s="15">
        <v>0</v>
      </c>
      <c r="BY240" s="15">
        <v>255</v>
      </c>
      <c r="BZ240" s="15">
        <v>2</v>
      </c>
      <c r="CA240" s="15">
        <v>1</v>
      </c>
      <c r="CB240" s="15">
        <v>256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5">
        <v>0</v>
      </c>
      <c r="CI240" s="14">
        <v>78</v>
      </c>
      <c r="CJ240" s="14">
        <v>0</v>
      </c>
      <c r="CK240" s="14">
        <v>0</v>
      </c>
      <c r="CL240" s="14">
        <v>0</v>
      </c>
      <c r="CM240" s="15">
        <v>78</v>
      </c>
      <c r="CN240" s="14">
        <v>680</v>
      </c>
      <c r="CO240" s="14">
        <v>10</v>
      </c>
      <c r="CP240" s="14">
        <v>6</v>
      </c>
      <c r="CQ240" s="14">
        <v>14</v>
      </c>
      <c r="CR240" s="15">
        <v>710</v>
      </c>
      <c r="CS240" s="15">
        <v>788</v>
      </c>
      <c r="CT240" s="14">
        <v>788</v>
      </c>
      <c r="CU240" s="14">
        <v>7322.49649555211</v>
      </c>
      <c r="CV240" s="14">
        <v>5421</v>
      </c>
      <c r="CW240" s="16">
        <v>0.74032128295218269</v>
      </c>
      <c r="CX240" s="14">
        <v>0</v>
      </c>
      <c r="CY240" s="14">
        <v>0</v>
      </c>
      <c r="CZ240" s="14">
        <v>0</v>
      </c>
      <c r="DA240" s="14">
        <v>0</v>
      </c>
      <c r="DB240" s="15">
        <v>0</v>
      </c>
      <c r="DC240" s="14">
        <v>0</v>
      </c>
      <c r="DD240" s="14">
        <v>0</v>
      </c>
      <c r="DE240" s="14">
        <v>0</v>
      </c>
      <c r="DF240" s="14">
        <v>0</v>
      </c>
      <c r="DG240" s="15">
        <v>0</v>
      </c>
      <c r="DH240" s="14">
        <v>0</v>
      </c>
      <c r="DI240" s="14">
        <v>0</v>
      </c>
      <c r="DJ240" s="14">
        <v>0</v>
      </c>
      <c r="DK240" s="14">
        <v>0</v>
      </c>
      <c r="DL240" s="15">
        <v>0</v>
      </c>
      <c r="DM240" s="14">
        <v>0</v>
      </c>
      <c r="DN240" s="14">
        <v>0</v>
      </c>
      <c r="DO240" s="14">
        <v>0</v>
      </c>
      <c r="DP240" s="14">
        <v>0</v>
      </c>
      <c r="DQ240" s="15">
        <v>0</v>
      </c>
      <c r="DR240" s="15">
        <v>0</v>
      </c>
      <c r="DS240" s="15">
        <v>0</v>
      </c>
      <c r="DT240" s="15">
        <v>0</v>
      </c>
      <c r="DU240" s="15">
        <v>0</v>
      </c>
      <c r="DV240" s="15">
        <v>0</v>
      </c>
      <c r="DW240" s="14">
        <v>10</v>
      </c>
      <c r="DX240" s="14">
        <v>3</v>
      </c>
      <c r="DY240" s="14">
        <v>0</v>
      </c>
      <c r="DZ240" s="14">
        <v>0</v>
      </c>
      <c r="EA240" s="14">
        <v>2</v>
      </c>
      <c r="EB240" s="14">
        <v>1</v>
      </c>
      <c r="EC240" s="14">
        <v>0</v>
      </c>
      <c r="ED240" s="14">
        <v>2</v>
      </c>
      <c r="EE240" s="14">
        <v>3</v>
      </c>
      <c r="EF240" s="14">
        <v>0</v>
      </c>
      <c r="EG240" s="14">
        <v>0</v>
      </c>
      <c r="EH240" s="14">
        <v>0</v>
      </c>
      <c r="EI240" s="14">
        <v>0</v>
      </c>
      <c r="EJ240" s="14">
        <v>5</v>
      </c>
      <c r="EK240" s="14">
        <v>2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5">
        <v>28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5">
        <v>0</v>
      </c>
      <c r="FR240" s="14">
        <v>513700</v>
      </c>
      <c r="FS240" s="14">
        <v>0</v>
      </c>
      <c r="FT240" s="14">
        <v>0</v>
      </c>
      <c r="FU240" s="14">
        <v>0</v>
      </c>
      <c r="FV240" s="15">
        <v>513700</v>
      </c>
      <c r="FW240" s="14">
        <v>1462124</v>
      </c>
      <c r="FX240" s="14">
        <v>51900</v>
      </c>
      <c r="FY240" s="14">
        <v>90550</v>
      </c>
      <c r="FZ240" s="14">
        <v>10800</v>
      </c>
      <c r="GA240" s="15">
        <v>1615374</v>
      </c>
      <c r="GB240" s="15">
        <v>2129074</v>
      </c>
      <c r="GC240" s="14">
        <v>8410.99</v>
      </c>
      <c r="GD240" s="14">
        <v>41232.44</v>
      </c>
      <c r="GE240" s="14">
        <v>323316.89</v>
      </c>
      <c r="GF240" s="14">
        <v>1120475.55</v>
      </c>
      <c r="GG240" s="15">
        <v>1493435.87</v>
      </c>
      <c r="GH240" s="14">
        <v>1462124</v>
      </c>
      <c r="GI240" s="14">
        <v>51900</v>
      </c>
      <c r="GJ240" s="14">
        <v>10800</v>
      </c>
      <c r="GK240" s="14">
        <v>90550</v>
      </c>
      <c r="GL240" s="15">
        <v>1615374</v>
      </c>
      <c r="GM240" s="15">
        <v>3108809.87</v>
      </c>
      <c r="GN240" s="14">
        <v>118794.74</v>
      </c>
      <c r="GO240" s="14">
        <v>1338.96</v>
      </c>
      <c r="GP240" s="14">
        <v>3393.64</v>
      </c>
      <c r="GQ240" s="14">
        <v>9274.68</v>
      </c>
      <c r="GR240" s="15">
        <v>132802.01999999999</v>
      </c>
      <c r="GS240" s="14">
        <v>194674</v>
      </c>
      <c r="GT240" s="14">
        <v>6251</v>
      </c>
      <c r="GU240" s="14">
        <v>893</v>
      </c>
      <c r="GV240" s="14">
        <v>1786</v>
      </c>
      <c r="GW240" s="15">
        <v>203604</v>
      </c>
      <c r="GX240" s="15">
        <v>3445215.89</v>
      </c>
      <c r="GY240" s="14">
        <v>9464803</v>
      </c>
      <c r="GZ240" s="14">
        <v>130979.15</v>
      </c>
      <c r="HA240" s="15">
        <v>9595782.1500000004</v>
      </c>
      <c r="HB240" s="15">
        <v>3445215.89</v>
      </c>
      <c r="HC240" s="16">
        <v>9464803</v>
      </c>
      <c r="HD240" s="15">
        <v>130979.15</v>
      </c>
      <c r="HE240" s="14">
        <v>2</v>
      </c>
      <c r="HF240" s="14">
        <v>3</v>
      </c>
      <c r="HG240" s="14">
        <v>256</v>
      </c>
      <c r="HH240" s="14">
        <v>2</v>
      </c>
      <c r="HI240" s="14">
        <v>1</v>
      </c>
      <c r="HJ240" s="15">
        <v>0.5</v>
      </c>
      <c r="HK240" s="16">
        <v>0.390625</v>
      </c>
      <c r="HL240" s="14">
        <v>3</v>
      </c>
      <c r="HM240" s="14">
        <v>2</v>
      </c>
      <c r="HN240" s="17">
        <v>1.5</v>
      </c>
    </row>
    <row r="241" spans="1:222" x14ac:dyDescent="0.3">
      <c r="A241" s="6" t="s">
        <v>289</v>
      </c>
      <c r="B241" s="6" t="s">
        <v>292</v>
      </c>
      <c r="C241" s="7" t="s">
        <v>257</v>
      </c>
      <c r="D241" s="7">
        <v>2026</v>
      </c>
      <c r="E241" s="7">
        <v>2</v>
      </c>
      <c r="F241" s="7" t="s">
        <v>272</v>
      </c>
      <c r="G241" s="7" t="s">
        <v>271</v>
      </c>
      <c r="H241" s="8">
        <v>1623</v>
      </c>
      <c r="I241" s="8">
        <v>468</v>
      </c>
      <c r="J241" s="8">
        <v>0</v>
      </c>
      <c r="K241" s="8">
        <v>0</v>
      </c>
      <c r="L241" s="8">
        <v>0</v>
      </c>
      <c r="M241" s="9">
        <f t="shared" ref="M241:M251" si="1217">SUM(I241,J241,K241,L241)</f>
        <v>468</v>
      </c>
      <c r="N241" s="8">
        <v>682</v>
      </c>
      <c r="O241" s="8">
        <v>0</v>
      </c>
      <c r="P241" s="8">
        <v>0</v>
      </c>
      <c r="Q241" s="8">
        <v>0</v>
      </c>
      <c r="R241" s="9">
        <f t="shared" ref="R241:R251" si="1218">SUM(N241,O241,P241,Q241)</f>
        <v>682</v>
      </c>
      <c r="S241" s="9">
        <f t="shared" ref="S241:S251" si="1219">M241+R241</f>
        <v>1150</v>
      </c>
      <c r="T241" s="8">
        <v>473</v>
      </c>
      <c r="U241" s="10">
        <f t="shared" ref="U241:U251" si="1220">IF(H241=0,"",T241/H241)</f>
        <v>0.29143561306223043</v>
      </c>
      <c r="V241" s="8">
        <v>4.2</v>
      </c>
      <c r="W241" s="11">
        <f t="shared" ref="W241:W251" si="1221">IF(H241=0,"",V241/H241)</f>
        <v>2.5878003696857672E-3</v>
      </c>
      <c r="X241" s="8">
        <v>0</v>
      </c>
      <c r="Y241" s="11">
        <f t="shared" ref="Y241:Y251" si="1222">IF(H241=0,"",X241/H241)</f>
        <v>0</v>
      </c>
      <c r="Z241" s="8">
        <v>0</v>
      </c>
      <c r="AA241" s="11">
        <f t="shared" ref="AA241:AA251" si="1223">IF(H241=0,"",Z241/H241)</f>
        <v>0</v>
      </c>
      <c r="AB241" s="8">
        <v>0</v>
      </c>
      <c r="AC241" s="11">
        <f t="shared" ref="AC241:AC251" si="1224">IF(H241=0,"",AB241/H241)</f>
        <v>0</v>
      </c>
      <c r="AD241" s="8">
        <v>0</v>
      </c>
      <c r="AE241" s="11">
        <f t="shared" ref="AE241:AE251" si="1225">IF(H241=0,"",AD241/H241)</f>
        <v>0</v>
      </c>
      <c r="AF241" s="8">
        <v>0</v>
      </c>
      <c r="AG241" s="11">
        <f t="shared" ref="AG241:AG251" si="1226">IF(H241=0,"",AF241/H241)</f>
        <v>0</v>
      </c>
      <c r="AH241" s="8">
        <v>14806.218000000001</v>
      </c>
      <c r="AI241" s="9">
        <f t="shared" ref="AI241:AI251" si="1227">IF(H241=0,"",AH241/H241)</f>
        <v>9.1227467652495378</v>
      </c>
      <c r="AJ241" s="8">
        <v>896</v>
      </c>
      <c r="AK241" s="11">
        <f t="shared" ref="AK241:AK251" si="1228">IF(H241=0,"",AJ241/H241)</f>
        <v>0.55206407886629694</v>
      </c>
      <c r="AL241" s="8">
        <v>140747.84400000001</v>
      </c>
      <c r="AM241" s="9">
        <f t="shared" ref="AM241:AM251" si="1229">IF(H241=0,"",AL241/H241)</f>
        <v>86.720791127541602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9">
        <f t="shared" ref="AU241:AU251" si="1230">AH241+AL241+AP241+AQ241+AR241+AS241+AT241</f>
        <v>155554.06200000001</v>
      </c>
      <c r="AV241" s="9">
        <f t="shared" ref="AV241:AV251" si="1231">IF(H241=0,"",AU241/H241)</f>
        <v>95.843537892791133</v>
      </c>
      <c r="AW241" s="9">
        <f t="shared" ref="AW241:AW251" si="1232">IF(S241=0,"",AU241/S241)</f>
        <v>135.26440173913045</v>
      </c>
      <c r="AX241" s="8">
        <v>7</v>
      </c>
      <c r="AY241" s="9">
        <f t="shared" ref="AY241:AY251" si="1233">IF(H241=0,"",AX241/(H241/1000/12))</f>
        <v>51.756007393715336</v>
      </c>
      <c r="AZ241" s="8">
        <v>3</v>
      </c>
      <c r="BA241" s="8">
        <v>256</v>
      </c>
      <c r="BB241" s="8">
        <v>5</v>
      </c>
      <c r="BC241" s="8">
        <v>4</v>
      </c>
      <c r="BD241" s="8">
        <v>0</v>
      </c>
      <c r="BE241" s="9">
        <f t="shared" ref="BE241:BE251" si="1234">BC241+BD241</f>
        <v>4</v>
      </c>
      <c r="BF241" s="9">
        <f t="shared" ref="BF241:BF251" si="1235">BA241+BB241-BE241</f>
        <v>257</v>
      </c>
      <c r="BG241" s="8">
        <v>0</v>
      </c>
      <c r="BH241" s="8">
        <v>0</v>
      </c>
      <c r="BI241" s="8">
        <v>0</v>
      </c>
      <c r="BJ241" s="8">
        <v>0</v>
      </c>
      <c r="BK241" s="9">
        <f t="shared" ref="BK241:BK251" si="1236">BI241+BJ241</f>
        <v>0</v>
      </c>
      <c r="BL241" s="9">
        <f t="shared" ref="BL241:BL251" si="1237">BG241+BH241-BK241</f>
        <v>0</v>
      </c>
      <c r="BM241" s="8">
        <v>0</v>
      </c>
      <c r="BN241" s="8">
        <v>0</v>
      </c>
      <c r="BO241" s="8">
        <v>0</v>
      </c>
      <c r="BP241" s="8">
        <v>0</v>
      </c>
      <c r="BQ241" s="9">
        <f t="shared" ref="BQ241:BQ251" si="1238">BO241+BP241</f>
        <v>0</v>
      </c>
      <c r="BR241" s="9">
        <f t="shared" ref="BR241:BR251" si="1239">BM241+BN241-BQ241</f>
        <v>0</v>
      </c>
      <c r="BS241" s="8">
        <v>0</v>
      </c>
      <c r="BT241" s="8">
        <v>0</v>
      </c>
      <c r="BU241" s="8">
        <v>0</v>
      </c>
      <c r="BV241" s="8">
        <v>0</v>
      </c>
      <c r="BW241" s="9">
        <f t="shared" ref="BW241:BW251" si="1240">BU241+BV241</f>
        <v>0</v>
      </c>
      <c r="BX241" s="9">
        <f t="shared" ref="BX241:BX251" si="1241">BS241+BT241-BW241</f>
        <v>0</v>
      </c>
      <c r="BY241" s="9">
        <f t="shared" ref="BY241:BY251" si="1242">BA241+BG241+BM241+BS241</f>
        <v>256</v>
      </c>
      <c r="BZ241" s="9">
        <f t="shared" ref="BZ241:BZ251" si="1243">BB241+BH241+BN241+BT241</f>
        <v>5</v>
      </c>
      <c r="CA241" s="9">
        <f t="shared" ref="CA241:CA251" si="1244">BE241+BK241+BQ241+BW241</f>
        <v>4</v>
      </c>
      <c r="CB241" s="9">
        <f t="shared" ref="CB241:CB251" si="1245">BF241+BL241+BR241+BX241</f>
        <v>257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9">
        <f t="shared" ref="CH241:CH251" si="1246">CD241+CE241+CF241+CG241</f>
        <v>0</v>
      </c>
      <c r="CI241" s="8">
        <v>82</v>
      </c>
      <c r="CJ241" s="8">
        <v>0</v>
      </c>
      <c r="CK241" s="8">
        <v>0</v>
      </c>
      <c r="CL241" s="8">
        <v>0</v>
      </c>
      <c r="CM241" s="9">
        <f t="shared" ref="CM241:CM251" si="1247">CI241+CJ241+CK241+CL241</f>
        <v>82</v>
      </c>
      <c r="CN241" s="8">
        <v>680</v>
      </c>
      <c r="CO241" s="8">
        <v>10</v>
      </c>
      <c r="CP241" s="8">
        <v>6</v>
      </c>
      <c r="CQ241" s="8">
        <v>14</v>
      </c>
      <c r="CR241" s="9">
        <f t="shared" ref="CR241:CR251" si="1248">CN241+CO241+CP241+CQ241</f>
        <v>710</v>
      </c>
      <c r="CS241" s="9">
        <f t="shared" ref="CS241:CS251" si="1249">CM241+CR241</f>
        <v>792</v>
      </c>
      <c r="CT241" s="8">
        <v>792</v>
      </c>
      <c r="CU241" s="8">
        <v>7337.1414885432096</v>
      </c>
      <c r="CV241" s="8">
        <v>5421</v>
      </c>
      <c r="CW241" s="10">
        <f t="shared" ref="CW241:CW251" si="1250">IF(CU241=0,"",CV241/CU241)</f>
        <v>0.73884359576066183</v>
      </c>
      <c r="CX241" s="8">
        <v>0</v>
      </c>
      <c r="CY241" s="8"/>
      <c r="CZ241" s="8"/>
      <c r="DA241" s="8"/>
      <c r="DB241" s="9">
        <f t="shared" ref="DB241:DB251" si="1251">CX241+CY241-CZ241-DA241</f>
        <v>0</v>
      </c>
      <c r="DC241" s="8">
        <v>0</v>
      </c>
      <c r="DD241" s="8">
        <v>0</v>
      </c>
      <c r="DE241" s="8">
        <v>0</v>
      </c>
      <c r="DF241" s="8">
        <v>0</v>
      </c>
      <c r="DG241" s="9">
        <f t="shared" ref="DG241:DG251" si="1252">DC241+DD241-DE241-DF241</f>
        <v>0</v>
      </c>
      <c r="DH241" s="8">
        <v>0</v>
      </c>
      <c r="DI241" s="8">
        <v>0</v>
      </c>
      <c r="DJ241" s="8">
        <v>0</v>
      </c>
      <c r="DK241" s="8">
        <v>0</v>
      </c>
      <c r="DL241" s="9">
        <f t="shared" ref="DL241:DL251" si="1253">DH241+DI241-DJ241-DK241</f>
        <v>0</v>
      </c>
      <c r="DM241" s="8">
        <v>0</v>
      </c>
      <c r="DN241" s="8">
        <v>0</v>
      </c>
      <c r="DO241" s="8">
        <v>0</v>
      </c>
      <c r="DP241" s="8">
        <v>0</v>
      </c>
      <c r="DQ241" s="9">
        <f t="shared" ref="DQ241:DQ251" si="1254">DM241+DN241-DO241-DP241</f>
        <v>0</v>
      </c>
      <c r="DR241" s="9">
        <f t="shared" ref="DR241:DR251" si="1255">CX241+DC241+DH241+DM241</f>
        <v>0</v>
      </c>
      <c r="DS241" s="9">
        <f t="shared" ref="DS241:DS251" si="1256">CY241+DD241+DI241+DN241</f>
        <v>0</v>
      </c>
      <c r="DT241" s="9">
        <f t="shared" ref="DT241:DT251" si="1257">CZ241+DE241+DJ241+DO241</f>
        <v>0</v>
      </c>
      <c r="DU241" s="9">
        <f t="shared" ref="DU241:DU251" si="1258">DA241+DF241+DK241+DP241</f>
        <v>0</v>
      </c>
      <c r="DV241" s="9">
        <f t="shared" ref="DV241:DV251" si="1259">DB241+DG241+DL241+DQ241</f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8"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8">
        <v>0</v>
      </c>
      <c r="FC241" s="8">
        <v>0</v>
      </c>
      <c r="FD241" s="8">
        <v>0</v>
      </c>
      <c r="FE241" s="8">
        <v>0</v>
      </c>
      <c r="FF241" s="8">
        <v>0</v>
      </c>
      <c r="FG241" s="9">
        <f t="shared" ref="FG241:FG251" si="1260">SUM(DW241,DX241,DY241,DZ241,EA241,EB241,EC241,ED241,EE241,EF241,EG241,EH241,EI241,EJ241,EK241,EL241,EM241,EN241,EO241,EP241,EQ241,ER241,ES241,ET241,EU241,EV241,EW241,EX241,EY241,EZ241,FA241,FB241,FC241,FD241,FE241,FF241)</f>
        <v>0</v>
      </c>
      <c r="FH241" s="8">
        <v>0</v>
      </c>
      <c r="FI241" s="8">
        <v>0</v>
      </c>
      <c r="FJ241" s="8">
        <v>0</v>
      </c>
      <c r="FK241" s="8">
        <v>0</v>
      </c>
      <c r="FL241" s="8">
        <v>0</v>
      </c>
      <c r="FM241" s="8">
        <v>0</v>
      </c>
      <c r="FN241" s="8">
        <v>0</v>
      </c>
      <c r="FO241" s="8">
        <v>0</v>
      </c>
      <c r="FP241" s="8">
        <v>0</v>
      </c>
      <c r="FQ241" s="9">
        <f t="shared" ref="FQ241:FQ251" si="1261">FL241+FM241+FN241+FO241+FP241</f>
        <v>0</v>
      </c>
      <c r="FR241" s="8">
        <v>853584</v>
      </c>
      <c r="FS241" s="8">
        <v>30000</v>
      </c>
      <c r="FT241" s="8">
        <v>0</v>
      </c>
      <c r="FU241" s="8">
        <v>0</v>
      </c>
      <c r="FV241" s="9">
        <f t="shared" ref="FV241:FV251" si="1262">FR241+FS241+FT241+FU241</f>
        <v>883584</v>
      </c>
      <c r="FW241" s="8">
        <v>1259544</v>
      </c>
      <c r="FX241" s="8">
        <v>17000</v>
      </c>
      <c r="FY241" s="8">
        <v>57450</v>
      </c>
      <c r="FZ241" s="8">
        <v>11400</v>
      </c>
      <c r="GA241" s="9">
        <f t="shared" ref="GA241:GA251" si="1263">FW241+FX241+FY241+FZ241</f>
        <v>1345394</v>
      </c>
      <c r="GB241" s="9">
        <f t="shared" ref="GB241:GB251" si="1264">FV241+GA241</f>
        <v>2228978</v>
      </c>
      <c r="GC241" s="8">
        <v>844008.08</v>
      </c>
      <c r="GD241" s="8">
        <v>5164.5600000000004</v>
      </c>
      <c r="GE241" s="8">
        <v>8410.99</v>
      </c>
      <c r="GF241" s="8">
        <v>16821.98</v>
      </c>
      <c r="GG241" s="9">
        <f t="shared" ref="GG241:GG251" si="1265">GC241+GD241+GE241+GF241</f>
        <v>874405.61</v>
      </c>
      <c r="GH241" s="8">
        <v>1259543.6200000001</v>
      </c>
      <c r="GI241" s="8">
        <v>17000</v>
      </c>
      <c r="GJ241" s="8">
        <v>11400</v>
      </c>
      <c r="GK241" s="8">
        <v>57450</v>
      </c>
      <c r="GL241" s="9">
        <f t="shared" ref="GL241:GL251" si="1266">GH241+GI241+GJ241+GK241</f>
        <v>1345393.62</v>
      </c>
      <c r="GM241" s="9">
        <f t="shared" ref="GM241:GM251" si="1267">GG241+GL241</f>
        <v>2219799.23</v>
      </c>
      <c r="GN241" s="8">
        <v>123154.18</v>
      </c>
      <c r="GO241" s="8">
        <v>1338.96</v>
      </c>
      <c r="GP241" s="8">
        <v>3393.64</v>
      </c>
      <c r="GQ241" s="8">
        <v>9274.68</v>
      </c>
      <c r="GR241" s="9">
        <f t="shared" ref="GR241:GR251" si="1268">GN241+GO241+GP241+GQ241</f>
        <v>137161.46</v>
      </c>
      <c r="GS241" s="8">
        <v>201818</v>
      </c>
      <c r="GT241" s="8">
        <v>6251</v>
      </c>
      <c r="GU241" s="8">
        <v>893</v>
      </c>
      <c r="GV241" s="8">
        <v>1786</v>
      </c>
      <c r="GW241" s="9">
        <f t="shared" ref="GW241:GW251" si="1269">GS241+GT241+GU241+GV241</f>
        <v>210748</v>
      </c>
      <c r="GX241" s="9">
        <f t="shared" ref="GX241:GX251" si="1270">GM241+GR241+GW241</f>
        <v>2567708.69</v>
      </c>
      <c r="GY241" s="8">
        <v>9223744.3699999992</v>
      </c>
      <c r="GZ241" s="8">
        <v>728016.28</v>
      </c>
      <c r="HA241" s="9">
        <f t="shared" ref="HA241:HA251" si="1271">GY241+GZ241</f>
        <v>9951760.6499999985</v>
      </c>
      <c r="HB241" s="9">
        <f t="shared" ref="HB241:HB251" si="1272">IF(GX241=0,"",AU241/GX241)</f>
        <v>6.0580883885235443E-2</v>
      </c>
      <c r="HC241" s="10">
        <f t="shared" ref="HC241:HC251" si="1273">IF((GX241+GY241)=0,"",GB241/(GX241+GY241))</f>
        <v>0.18903336074510907</v>
      </c>
      <c r="HD241" s="9">
        <f t="shared" ref="HD241:HD251" si="1274">IF(GX241=0,"",GB241/GX241)</f>
        <v>0.86808056096114239</v>
      </c>
      <c r="HE241" s="8">
        <v>5</v>
      </c>
      <c r="HF241" s="8">
        <v>3</v>
      </c>
      <c r="HG241" s="8">
        <v>257</v>
      </c>
      <c r="HH241" s="8">
        <v>5</v>
      </c>
      <c r="HI241" s="8">
        <v>3</v>
      </c>
      <c r="HJ241" s="9">
        <f t="shared" ref="HJ241:HJ251" si="1275">HF241+HI241</f>
        <v>6</v>
      </c>
      <c r="HK241" s="10">
        <f t="shared" ref="HK241:HK251" si="1276">IF(HE241=0,"",HH241/HE241)</f>
        <v>1</v>
      </c>
      <c r="HL241" s="8">
        <v>4</v>
      </c>
      <c r="HM241" s="8">
        <v>2</v>
      </c>
      <c r="HN241" s="11">
        <f t="shared" ref="HN241:HN251" si="1277">IF(HL241=0,"",HM241/HL241)</f>
        <v>0.5</v>
      </c>
    </row>
    <row r="242" spans="1:222" x14ac:dyDescent="0.3">
      <c r="A242" s="12" t="s">
        <v>289</v>
      </c>
      <c r="B242" s="12" t="s">
        <v>292</v>
      </c>
      <c r="C242" s="13" t="s">
        <v>257</v>
      </c>
      <c r="D242" s="13">
        <v>2026</v>
      </c>
      <c r="E242" s="13">
        <v>3</v>
      </c>
      <c r="F242" s="13" t="s">
        <v>273</v>
      </c>
      <c r="G242" s="13" t="s">
        <v>271</v>
      </c>
      <c r="H242" s="14">
        <v>5839</v>
      </c>
      <c r="I242" s="14">
        <v>602</v>
      </c>
      <c r="J242" s="14">
        <v>34</v>
      </c>
      <c r="K242" s="14">
        <v>0</v>
      </c>
      <c r="L242" s="14">
        <v>9</v>
      </c>
      <c r="M242" s="15">
        <f t="shared" si="1217"/>
        <v>645</v>
      </c>
      <c r="N242" s="14">
        <v>4115</v>
      </c>
      <c r="O242" s="14">
        <v>678</v>
      </c>
      <c r="P242" s="14">
        <v>19</v>
      </c>
      <c r="Q242" s="14">
        <v>53</v>
      </c>
      <c r="R242" s="15">
        <f t="shared" si="1218"/>
        <v>4865</v>
      </c>
      <c r="S242" s="15">
        <f t="shared" si="1219"/>
        <v>5510</v>
      </c>
      <c r="T242" s="14">
        <v>329</v>
      </c>
      <c r="U242" s="16">
        <f t="shared" si="1220"/>
        <v>5.6345264600102758E-2</v>
      </c>
      <c r="V242" s="14">
        <v>7.5</v>
      </c>
      <c r="W242" s="17">
        <f t="shared" si="1221"/>
        <v>1.2844665182394246E-3</v>
      </c>
      <c r="X242" s="14">
        <v>0</v>
      </c>
      <c r="Y242" s="17">
        <f t="shared" si="1222"/>
        <v>0</v>
      </c>
      <c r="Z242" s="14">
        <v>0</v>
      </c>
      <c r="AA242" s="17">
        <f t="shared" si="1223"/>
        <v>0</v>
      </c>
      <c r="AB242" s="14">
        <v>0</v>
      </c>
      <c r="AC242" s="17">
        <f t="shared" si="1224"/>
        <v>0</v>
      </c>
      <c r="AD242" s="14">
        <v>0</v>
      </c>
      <c r="AE242" s="17">
        <f t="shared" si="1225"/>
        <v>0</v>
      </c>
      <c r="AF242" s="14">
        <v>0</v>
      </c>
      <c r="AG242" s="17">
        <f t="shared" si="1226"/>
        <v>0</v>
      </c>
      <c r="AH242" s="14">
        <v>26439.674999999999</v>
      </c>
      <c r="AI242" s="15">
        <f t="shared" si="1227"/>
        <v>4.5281169720842609</v>
      </c>
      <c r="AJ242" s="14">
        <v>1306.1400000000001</v>
      </c>
      <c r="AK242" s="17">
        <f t="shared" si="1228"/>
        <v>0.22369241308443227</v>
      </c>
      <c r="AL242" s="14">
        <v>16426.5</v>
      </c>
      <c r="AM242" s="15">
        <f t="shared" si="1229"/>
        <v>2.8132385682479875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5">
        <f t="shared" si="1230"/>
        <v>42866.175000000003</v>
      </c>
      <c r="AV242" s="15">
        <f t="shared" si="1231"/>
        <v>7.3413555403322492</v>
      </c>
      <c r="AW242" s="15">
        <f t="shared" si="1232"/>
        <v>7.7797050816696922</v>
      </c>
      <c r="AX242" s="14">
        <v>6</v>
      </c>
      <c r="AY242" s="15">
        <f t="shared" si="1233"/>
        <v>12.330878575098476</v>
      </c>
      <c r="AZ242" s="14">
        <v>3</v>
      </c>
      <c r="BA242" s="14">
        <v>257</v>
      </c>
      <c r="BB242" s="14">
        <v>1</v>
      </c>
      <c r="BC242" s="14">
        <v>1</v>
      </c>
      <c r="BD242" s="14">
        <v>0</v>
      </c>
      <c r="BE242" s="15">
        <f t="shared" si="1234"/>
        <v>1</v>
      </c>
      <c r="BF242" s="15">
        <f t="shared" si="1235"/>
        <v>257</v>
      </c>
      <c r="BG242" s="14">
        <v>0</v>
      </c>
      <c r="BH242" s="14">
        <v>0</v>
      </c>
      <c r="BI242" s="14">
        <v>0</v>
      </c>
      <c r="BJ242" s="14">
        <v>0</v>
      </c>
      <c r="BK242" s="15">
        <f t="shared" si="1236"/>
        <v>0</v>
      </c>
      <c r="BL242" s="15">
        <f t="shared" si="1237"/>
        <v>0</v>
      </c>
      <c r="BM242" s="14">
        <v>0</v>
      </c>
      <c r="BN242" s="14">
        <v>0</v>
      </c>
      <c r="BO242" s="14">
        <v>0</v>
      </c>
      <c r="BP242" s="14">
        <v>0</v>
      </c>
      <c r="BQ242" s="15">
        <f t="shared" si="1238"/>
        <v>0</v>
      </c>
      <c r="BR242" s="15">
        <f t="shared" si="1239"/>
        <v>0</v>
      </c>
      <c r="BS242" s="14">
        <v>0</v>
      </c>
      <c r="BT242" s="14">
        <v>0</v>
      </c>
      <c r="BU242" s="14">
        <v>0</v>
      </c>
      <c r="BV242" s="14">
        <v>0</v>
      </c>
      <c r="BW242" s="15">
        <f t="shared" si="1240"/>
        <v>0</v>
      </c>
      <c r="BX242" s="15">
        <f t="shared" si="1241"/>
        <v>0</v>
      </c>
      <c r="BY242" s="15">
        <f t="shared" si="1242"/>
        <v>257</v>
      </c>
      <c r="BZ242" s="15">
        <f t="shared" si="1243"/>
        <v>1</v>
      </c>
      <c r="CA242" s="15">
        <f t="shared" si="1244"/>
        <v>1</v>
      </c>
      <c r="CB242" s="15">
        <f t="shared" si="1245"/>
        <v>257</v>
      </c>
      <c r="CC242" s="14">
        <v>10</v>
      </c>
      <c r="CD242" s="14">
        <v>0</v>
      </c>
      <c r="CE242" s="14">
        <v>0</v>
      </c>
      <c r="CF242" s="14">
        <v>0</v>
      </c>
      <c r="CG242" s="14">
        <v>0</v>
      </c>
      <c r="CH242" s="15">
        <f t="shared" si="1246"/>
        <v>0</v>
      </c>
      <c r="CI242" s="14">
        <v>83</v>
      </c>
      <c r="CJ242" s="14">
        <v>0</v>
      </c>
      <c r="CK242" s="14">
        <v>0</v>
      </c>
      <c r="CL242" s="14">
        <v>0</v>
      </c>
      <c r="CM242" s="15">
        <f t="shared" si="1247"/>
        <v>83</v>
      </c>
      <c r="CN242" s="14">
        <v>680</v>
      </c>
      <c r="CO242" s="14">
        <v>10</v>
      </c>
      <c r="CP242" s="14">
        <v>6</v>
      </c>
      <c r="CQ242" s="14">
        <v>14</v>
      </c>
      <c r="CR242" s="15">
        <f t="shared" si="1248"/>
        <v>710</v>
      </c>
      <c r="CS242" s="15">
        <f t="shared" si="1249"/>
        <v>793</v>
      </c>
      <c r="CT242" s="14">
        <v>793</v>
      </c>
      <c r="CU242" s="14">
        <v>7351.8157715203006</v>
      </c>
      <c r="CV242" s="14">
        <v>5421</v>
      </c>
      <c r="CW242" s="16">
        <f t="shared" si="1250"/>
        <v>0.73736885804457231</v>
      </c>
      <c r="CX242" s="14"/>
      <c r="CY242" s="14"/>
      <c r="CZ242" s="14"/>
      <c r="DA242" s="14"/>
      <c r="DB242" s="15">
        <f t="shared" si="1251"/>
        <v>0</v>
      </c>
      <c r="DC242" s="14">
        <v>0</v>
      </c>
      <c r="DD242" s="14">
        <v>0</v>
      </c>
      <c r="DE242" s="14">
        <v>0</v>
      </c>
      <c r="DF242" s="14">
        <v>0</v>
      </c>
      <c r="DG242" s="15">
        <f t="shared" si="1252"/>
        <v>0</v>
      </c>
      <c r="DH242" s="14">
        <v>0</v>
      </c>
      <c r="DI242" s="14">
        <v>0</v>
      </c>
      <c r="DJ242" s="14">
        <v>0</v>
      </c>
      <c r="DK242" s="14">
        <v>0</v>
      </c>
      <c r="DL242" s="15">
        <f t="shared" si="1253"/>
        <v>0</v>
      </c>
      <c r="DM242" s="14">
        <v>0</v>
      </c>
      <c r="DN242" s="14">
        <v>0</v>
      </c>
      <c r="DO242" s="14">
        <v>0</v>
      </c>
      <c r="DP242" s="14">
        <v>0</v>
      </c>
      <c r="DQ242" s="15">
        <f t="shared" si="1254"/>
        <v>0</v>
      </c>
      <c r="DR242" s="15">
        <f t="shared" si="1255"/>
        <v>0</v>
      </c>
      <c r="DS242" s="15">
        <f t="shared" si="1256"/>
        <v>0</v>
      </c>
      <c r="DT242" s="15">
        <f t="shared" si="1257"/>
        <v>0</v>
      </c>
      <c r="DU242" s="15">
        <f t="shared" si="1258"/>
        <v>0</v>
      </c>
      <c r="DV242" s="15">
        <f t="shared" si="1259"/>
        <v>0</v>
      </c>
      <c r="DW242" s="14">
        <v>9</v>
      </c>
      <c r="DX242" s="14">
        <v>3</v>
      </c>
      <c r="DY242" s="14">
        <v>0</v>
      </c>
      <c r="DZ242" s="14">
        <v>0</v>
      </c>
      <c r="EA242" s="14">
        <v>2</v>
      </c>
      <c r="EB242" s="14">
        <v>2</v>
      </c>
      <c r="EC242" s="14">
        <v>3</v>
      </c>
      <c r="ED242" s="14">
        <v>1</v>
      </c>
      <c r="EE242" s="14">
        <v>0</v>
      </c>
      <c r="EF242" s="14">
        <v>0</v>
      </c>
      <c r="EG242" s="14">
        <v>0</v>
      </c>
      <c r="EH242" s="14">
        <v>0</v>
      </c>
      <c r="EI242" s="14">
        <v>0</v>
      </c>
      <c r="EJ242" s="14">
        <v>4</v>
      </c>
      <c r="EK242" s="14">
        <v>2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5">
        <f t="shared" si="1260"/>
        <v>26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5">
        <f t="shared" si="1261"/>
        <v>0</v>
      </c>
      <c r="FR242" s="14">
        <v>1049400</v>
      </c>
      <c r="FS242" s="14">
        <v>12500</v>
      </c>
      <c r="FT242" s="14">
        <v>0</v>
      </c>
      <c r="FU242" s="14">
        <v>34000</v>
      </c>
      <c r="FV242" s="15">
        <f t="shared" si="1262"/>
        <v>1095900</v>
      </c>
      <c r="FW242" s="14">
        <v>2407935</v>
      </c>
      <c r="FX242" s="14">
        <v>75190</v>
      </c>
      <c r="FY242" s="14">
        <v>103500</v>
      </c>
      <c r="FZ242" s="14">
        <v>42400</v>
      </c>
      <c r="GA242" s="15">
        <f t="shared" si="1263"/>
        <v>2629025</v>
      </c>
      <c r="GB242" s="15">
        <f t="shared" si="1264"/>
        <v>3724925</v>
      </c>
      <c r="GC242" s="14">
        <v>867158.19</v>
      </c>
      <c r="GD242" s="14">
        <v>6503.52</v>
      </c>
      <c r="GE242" s="14">
        <v>8410.99</v>
      </c>
      <c r="GF242" s="14">
        <v>20207.62</v>
      </c>
      <c r="GG242" s="15">
        <f t="shared" si="1265"/>
        <v>902280.32</v>
      </c>
      <c r="GH242" s="14">
        <v>2395875.36</v>
      </c>
      <c r="GI242" s="14">
        <v>75190</v>
      </c>
      <c r="GJ242" s="14">
        <v>35426.65</v>
      </c>
      <c r="GK242" s="14">
        <v>103500</v>
      </c>
      <c r="GL242" s="15">
        <f t="shared" si="1266"/>
        <v>2609992.0099999998</v>
      </c>
      <c r="GM242" s="15">
        <f t="shared" si="1267"/>
        <v>3512272.3299999996</v>
      </c>
      <c r="GN242" s="14">
        <v>123154.18</v>
      </c>
      <c r="GO242" s="14">
        <v>1338.96</v>
      </c>
      <c r="GP242" s="14">
        <v>3393.64</v>
      </c>
      <c r="GQ242" s="14">
        <v>9274.68</v>
      </c>
      <c r="GR242" s="15">
        <f t="shared" si="1268"/>
        <v>137161.46</v>
      </c>
      <c r="GS242" s="14">
        <v>201818</v>
      </c>
      <c r="GT242" s="14">
        <v>6251</v>
      </c>
      <c r="GU242" s="14">
        <v>893</v>
      </c>
      <c r="GV242" s="14">
        <v>1786</v>
      </c>
      <c r="GW242" s="15">
        <f t="shared" si="1269"/>
        <v>210748</v>
      </c>
      <c r="GX242" s="15">
        <f t="shared" si="1270"/>
        <v>3860181.7899999996</v>
      </c>
      <c r="GY242" s="14">
        <v>9758306.0299999993</v>
      </c>
      <c r="GZ242" s="14">
        <v>342821.76</v>
      </c>
      <c r="HA242" s="15">
        <f t="shared" si="1271"/>
        <v>10101127.789999999</v>
      </c>
      <c r="HB242" s="15">
        <f t="shared" si="1272"/>
        <v>1.110470369842349E-2</v>
      </c>
      <c r="HC242" s="16">
        <f t="shared" si="1273"/>
        <v>0.27351972181005341</v>
      </c>
      <c r="HD242" s="15">
        <f t="shared" si="1274"/>
        <v>0.96496103101921538</v>
      </c>
      <c r="HE242" s="14">
        <v>1</v>
      </c>
      <c r="HF242" s="14">
        <v>3</v>
      </c>
      <c r="HG242" s="14">
        <v>257</v>
      </c>
      <c r="HH242" s="14">
        <v>1</v>
      </c>
      <c r="HI242" s="14">
        <v>0</v>
      </c>
      <c r="HJ242" s="15">
        <f t="shared" si="1275"/>
        <v>3</v>
      </c>
      <c r="HK242" s="16">
        <f t="shared" si="1276"/>
        <v>1</v>
      </c>
      <c r="HL242" s="14">
        <v>2</v>
      </c>
      <c r="HM242" s="14">
        <v>2</v>
      </c>
      <c r="HN242" s="17">
        <f t="shared" si="1277"/>
        <v>1</v>
      </c>
    </row>
    <row r="243" spans="1:222" x14ac:dyDescent="0.3">
      <c r="A243" s="6" t="s">
        <v>289</v>
      </c>
      <c r="B243" s="6" t="s">
        <v>293</v>
      </c>
      <c r="C243" s="7" t="s">
        <v>257</v>
      </c>
      <c r="D243" s="7">
        <v>2025</v>
      </c>
      <c r="E243" s="7">
        <v>4</v>
      </c>
      <c r="F243" s="7" t="s">
        <v>258</v>
      </c>
      <c r="G243" s="7" t="s">
        <v>259</v>
      </c>
      <c r="H243" s="8">
        <v>30336</v>
      </c>
      <c r="I243" s="8">
        <v>13644</v>
      </c>
      <c r="J243" s="8">
        <v>628</v>
      </c>
      <c r="K243" s="8">
        <v>38</v>
      </c>
      <c r="L243" s="8">
        <v>15</v>
      </c>
      <c r="M243" s="9">
        <f t="shared" si="1217"/>
        <v>14325</v>
      </c>
      <c r="N243" s="8">
        <v>2580</v>
      </c>
      <c r="O243" s="8">
        <v>1043</v>
      </c>
      <c r="P243" s="8">
        <v>301</v>
      </c>
      <c r="Q243" s="8">
        <v>509</v>
      </c>
      <c r="R243" s="9">
        <f t="shared" si="1218"/>
        <v>4433</v>
      </c>
      <c r="S243" s="9">
        <f t="shared" si="1219"/>
        <v>18758</v>
      </c>
      <c r="T243" s="8">
        <v>11578</v>
      </c>
      <c r="U243" s="10">
        <f t="shared" si="1220"/>
        <v>0.38165875527426163</v>
      </c>
      <c r="V243" s="8">
        <v>18</v>
      </c>
      <c r="W243" s="11">
        <f t="shared" si="1221"/>
        <v>5.9335443037974685E-4</v>
      </c>
      <c r="X243" s="8">
        <v>0</v>
      </c>
      <c r="Y243" s="11">
        <f t="shared" si="1222"/>
        <v>0</v>
      </c>
      <c r="Z243" s="8">
        <v>0</v>
      </c>
      <c r="AA243" s="11">
        <f t="shared" si="1223"/>
        <v>0</v>
      </c>
      <c r="AB243" s="8">
        <v>0</v>
      </c>
      <c r="AC243" s="11">
        <f t="shared" si="1224"/>
        <v>0</v>
      </c>
      <c r="AD243" s="8">
        <v>0</v>
      </c>
      <c r="AE243" s="11">
        <f t="shared" si="1225"/>
        <v>0</v>
      </c>
      <c r="AF243" s="8">
        <v>0</v>
      </c>
      <c r="AG243" s="11">
        <f t="shared" si="1226"/>
        <v>0</v>
      </c>
      <c r="AH243" s="8">
        <v>63455.22</v>
      </c>
      <c r="AI243" s="9">
        <f t="shared" si="1227"/>
        <v>2.0917464398734178</v>
      </c>
      <c r="AJ243" s="8">
        <v>7503</v>
      </c>
      <c r="AK243" s="11">
        <f t="shared" si="1228"/>
        <v>0.24732990506329114</v>
      </c>
      <c r="AL243" s="8">
        <v>1057479.0045</v>
      </c>
      <c r="AM243" s="9">
        <f t="shared" si="1229"/>
        <v>34.858880686313292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9">
        <f t="shared" si="1230"/>
        <v>1120934.2245</v>
      </c>
      <c r="AV243" s="9">
        <f t="shared" si="1231"/>
        <v>36.95062712618671</v>
      </c>
      <c r="AW243" s="9">
        <f t="shared" si="1232"/>
        <v>59.757662037530658</v>
      </c>
      <c r="AX243" s="8">
        <v>6</v>
      </c>
      <c r="AY243" s="9">
        <f t="shared" si="1233"/>
        <v>2.3734177215189871</v>
      </c>
      <c r="AZ243" s="8">
        <v>6</v>
      </c>
      <c r="BA243" s="8">
        <v>11</v>
      </c>
      <c r="BB243" s="8">
        <v>15</v>
      </c>
      <c r="BC243" s="8">
        <v>10</v>
      </c>
      <c r="BD243" s="8">
        <v>0</v>
      </c>
      <c r="BE243" s="9">
        <f t="shared" si="1234"/>
        <v>10</v>
      </c>
      <c r="BF243" s="9">
        <f t="shared" si="1235"/>
        <v>16</v>
      </c>
      <c r="BG243" s="8">
        <v>0</v>
      </c>
      <c r="BH243" s="8">
        <v>0</v>
      </c>
      <c r="BI243" s="8">
        <v>0</v>
      </c>
      <c r="BJ243" s="8">
        <v>0</v>
      </c>
      <c r="BK243" s="9">
        <f t="shared" si="1236"/>
        <v>0</v>
      </c>
      <c r="BL243" s="9">
        <f t="shared" si="1237"/>
        <v>0</v>
      </c>
      <c r="BM243" s="8">
        <v>2</v>
      </c>
      <c r="BN243" s="8">
        <v>0</v>
      </c>
      <c r="BO243" s="8">
        <v>0</v>
      </c>
      <c r="BP243" s="8">
        <v>0</v>
      </c>
      <c r="BQ243" s="9">
        <f t="shared" si="1238"/>
        <v>0</v>
      </c>
      <c r="BR243" s="9">
        <f t="shared" si="1239"/>
        <v>2</v>
      </c>
      <c r="BS243" s="8">
        <v>0</v>
      </c>
      <c r="BT243" s="8">
        <v>0</v>
      </c>
      <c r="BU243" s="8">
        <v>0</v>
      </c>
      <c r="BV243" s="8">
        <v>0</v>
      </c>
      <c r="BW243" s="9">
        <f t="shared" si="1240"/>
        <v>0</v>
      </c>
      <c r="BX243" s="9">
        <f t="shared" si="1241"/>
        <v>0</v>
      </c>
      <c r="BY243" s="9">
        <f t="shared" si="1242"/>
        <v>13</v>
      </c>
      <c r="BZ243" s="9">
        <f t="shared" si="1243"/>
        <v>15</v>
      </c>
      <c r="CA243" s="9">
        <f t="shared" si="1244"/>
        <v>10</v>
      </c>
      <c r="CB243" s="9">
        <f t="shared" si="1245"/>
        <v>18</v>
      </c>
      <c r="CC243" s="8">
        <v>0</v>
      </c>
      <c r="CD243" s="8">
        <v>640</v>
      </c>
      <c r="CE243" s="8">
        <v>17</v>
      </c>
      <c r="CF243" s="8">
        <v>27</v>
      </c>
      <c r="CG243" s="8">
        <v>11</v>
      </c>
      <c r="CH243" s="9">
        <f t="shared" si="1246"/>
        <v>695</v>
      </c>
      <c r="CI243" s="8">
        <v>1659</v>
      </c>
      <c r="CJ243" s="8">
        <v>11</v>
      </c>
      <c r="CK243" s="8">
        <v>10</v>
      </c>
      <c r="CL243" s="8">
        <v>8</v>
      </c>
      <c r="CM243" s="9">
        <f t="shared" si="1247"/>
        <v>1688</v>
      </c>
      <c r="CN243" s="8">
        <v>221</v>
      </c>
      <c r="CO243" s="8">
        <v>25</v>
      </c>
      <c r="CP243" s="8">
        <v>42</v>
      </c>
      <c r="CQ243" s="8">
        <v>1</v>
      </c>
      <c r="CR243" s="9">
        <f t="shared" si="1248"/>
        <v>289</v>
      </c>
      <c r="CS243" s="9">
        <f t="shared" si="1249"/>
        <v>1977</v>
      </c>
      <c r="CT243" s="8">
        <v>2672</v>
      </c>
      <c r="CU243" s="8">
        <v>20989</v>
      </c>
      <c r="CV243" s="8">
        <v>16373</v>
      </c>
      <c r="CW243" s="10">
        <f t="shared" si="1250"/>
        <v>0.78007527752632333</v>
      </c>
      <c r="CX243" s="8">
        <v>0</v>
      </c>
      <c r="CY243" s="8">
        <v>0</v>
      </c>
      <c r="CZ243" s="8">
        <v>0</v>
      </c>
      <c r="DA243" s="8">
        <v>0</v>
      </c>
      <c r="DB243" s="9">
        <f t="shared" si="1251"/>
        <v>0</v>
      </c>
      <c r="DC243" s="8">
        <v>0</v>
      </c>
      <c r="DD243" s="8">
        <v>0</v>
      </c>
      <c r="DE243" s="8">
        <v>0</v>
      </c>
      <c r="DF243" s="8">
        <v>0</v>
      </c>
      <c r="DG243" s="9">
        <f t="shared" si="1252"/>
        <v>0</v>
      </c>
      <c r="DH243" s="8">
        <v>0</v>
      </c>
      <c r="DI243" s="8">
        <v>0</v>
      </c>
      <c r="DJ243" s="8">
        <v>0</v>
      </c>
      <c r="DK243" s="8">
        <v>0</v>
      </c>
      <c r="DL243" s="9">
        <f t="shared" si="1253"/>
        <v>0</v>
      </c>
      <c r="DM243" s="8">
        <v>300</v>
      </c>
      <c r="DN243" s="8">
        <v>0</v>
      </c>
      <c r="DO243" s="8">
        <v>0</v>
      </c>
      <c r="DP243" s="8">
        <v>0</v>
      </c>
      <c r="DQ243" s="9">
        <f t="shared" si="1254"/>
        <v>300</v>
      </c>
      <c r="DR243" s="9">
        <f t="shared" si="1255"/>
        <v>300</v>
      </c>
      <c r="DS243" s="9">
        <f t="shared" si="1256"/>
        <v>0</v>
      </c>
      <c r="DT243" s="9">
        <f t="shared" si="1257"/>
        <v>0</v>
      </c>
      <c r="DU243" s="9">
        <f t="shared" si="1258"/>
        <v>0</v>
      </c>
      <c r="DV243" s="9">
        <f t="shared" si="1259"/>
        <v>300</v>
      </c>
      <c r="DW243" s="8">
        <v>24</v>
      </c>
      <c r="DX243" s="8">
        <v>24</v>
      </c>
      <c r="DY243" s="8">
        <v>10</v>
      </c>
      <c r="DZ243" s="8">
        <v>11</v>
      </c>
      <c r="EA243" s="8">
        <v>9</v>
      </c>
      <c r="EB243" s="8">
        <v>13</v>
      </c>
      <c r="EC243" s="8">
        <v>10</v>
      </c>
      <c r="ED243" s="8">
        <v>5</v>
      </c>
      <c r="EE243" s="8">
        <v>7</v>
      </c>
      <c r="EF243" s="8">
        <v>2</v>
      </c>
      <c r="EG243" s="8">
        <v>0</v>
      </c>
      <c r="EH243" s="8">
        <v>0</v>
      </c>
      <c r="EI243" s="8">
        <v>0</v>
      </c>
      <c r="EJ243" s="8">
        <v>8</v>
      </c>
      <c r="EK243" s="8">
        <v>6</v>
      </c>
      <c r="EL243" s="8">
        <v>0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0</v>
      </c>
      <c r="FA243" s="8">
        <v>0</v>
      </c>
      <c r="FB243" s="8">
        <v>0</v>
      </c>
      <c r="FC243" s="8">
        <v>0</v>
      </c>
      <c r="FD243" s="8">
        <v>0</v>
      </c>
      <c r="FE243" s="8">
        <v>4</v>
      </c>
      <c r="FF243" s="8">
        <v>0</v>
      </c>
      <c r="FG243" s="9">
        <f t="shared" si="1260"/>
        <v>133</v>
      </c>
      <c r="FH243" s="8">
        <v>0</v>
      </c>
      <c r="FI243" s="8">
        <v>0</v>
      </c>
      <c r="FJ243" s="8">
        <v>0</v>
      </c>
      <c r="FK243" s="8">
        <v>0</v>
      </c>
      <c r="FL243" s="8">
        <v>0</v>
      </c>
      <c r="FM243" s="8">
        <v>0</v>
      </c>
      <c r="FN243" s="8">
        <v>0</v>
      </c>
      <c r="FO243" s="8">
        <v>0</v>
      </c>
      <c r="FP243" s="8">
        <v>0</v>
      </c>
      <c r="FQ243" s="9">
        <f t="shared" si="1261"/>
        <v>0</v>
      </c>
      <c r="FR243" s="8">
        <v>9169319</v>
      </c>
      <c r="FS243" s="8">
        <v>93800</v>
      </c>
      <c r="FT243" s="8">
        <v>125000</v>
      </c>
      <c r="FU243" s="8">
        <v>5000</v>
      </c>
      <c r="FV243" s="9">
        <f t="shared" si="1262"/>
        <v>9393119</v>
      </c>
      <c r="FW243" s="8">
        <v>2261717</v>
      </c>
      <c r="FX243" s="8">
        <v>0</v>
      </c>
      <c r="FY243" s="8">
        <v>2929526</v>
      </c>
      <c r="FZ243" s="8">
        <v>527300</v>
      </c>
      <c r="GA243" s="9">
        <f t="shared" si="1263"/>
        <v>5718543</v>
      </c>
      <c r="GB243" s="9">
        <f t="shared" si="1264"/>
        <v>15111662</v>
      </c>
      <c r="GC243" s="8">
        <v>12580596.52</v>
      </c>
      <c r="GD243" s="8">
        <v>120123.84</v>
      </c>
      <c r="GE243" s="8">
        <v>103496.32000000001</v>
      </c>
      <c r="GF243" s="8">
        <v>40521.46</v>
      </c>
      <c r="GG243" s="9">
        <f t="shared" si="1265"/>
        <v>12844738.140000001</v>
      </c>
      <c r="GH243" s="8">
        <v>2120078.63</v>
      </c>
      <c r="GI243" s="8">
        <v>0</v>
      </c>
      <c r="GJ243" s="8">
        <v>522901.5</v>
      </c>
      <c r="GK243" s="8">
        <v>2721921.12</v>
      </c>
      <c r="GL243" s="9">
        <f t="shared" si="1266"/>
        <v>5364901.25</v>
      </c>
      <c r="GM243" s="9">
        <f t="shared" si="1267"/>
        <v>18209639.390000001</v>
      </c>
      <c r="GN243" s="8">
        <v>843609.66</v>
      </c>
      <c r="GO243" s="8">
        <v>1912.8</v>
      </c>
      <c r="GP243" s="8">
        <v>16968.2</v>
      </c>
      <c r="GQ243" s="8">
        <v>9274.68</v>
      </c>
      <c r="GR243" s="9">
        <f t="shared" si="1268"/>
        <v>871765.34000000008</v>
      </c>
      <c r="GS243" s="8">
        <v>1377006</v>
      </c>
      <c r="GT243" s="8">
        <v>8930</v>
      </c>
      <c r="GU243" s="8">
        <v>4465</v>
      </c>
      <c r="GV243" s="8">
        <v>1786</v>
      </c>
      <c r="GW243" s="9">
        <f t="shared" si="1269"/>
        <v>1392187</v>
      </c>
      <c r="GX243" s="9">
        <f t="shared" si="1270"/>
        <v>20473591.73</v>
      </c>
      <c r="GY243" s="8">
        <v>0</v>
      </c>
      <c r="GZ243" s="8">
        <v>0</v>
      </c>
      <c r="HA243" s="9">
        <f t="shared" si="1271"/>
        <v>0</v>
      </c>
      <c r="HB243" s="9">
        <f t="shared" si="1272"/>
        <v>5.4750247991782144E-2</v>
      </c>
      <c r="HC243" s="10">
        <f t="shared" si="1273"/>
        <v>0.73810507698348049</v>
      </c>
      <c r="HD243" s="9">
        <f t="shared" si="1274"/>
        <v>0.73810507698348049</v>
      </c>
      <c r="HE243" s="8">
        <v>15</v>
      </c>
      <c r="HF243" s="8">
        <v>0</v>
      </c>
      <c r="HG243" s="8">
        <v>18</v>
      </c>
      <c r="HH243" s="8">
        <v>15</v>
      </c>
      <c r="HI243" s="8">
        <v>0</v>
      </c>
      <c r="HJ243" s="9">
        <f t="shared" si="1275"/>
        <v>0</v>
      </c>
      <c r="HK243" s="10">
        <f t="shared" si="1276"/>
        <v>1</v>
      </c>
      <c r="HL243" s="8">
        <v>0</v>
      </c>
      <c r="HM243" s="8">
        <v>0</v>
      </c>
      <c r="HN243" s="11" t="str">
        <f t="shared" si="1277"/>
        <v/>
      </c>
    </row>
    <row r="244" spans="1:222" x14ac:dyDescent="0.3">
      <c r="A244" s="12" t="s">
        <v>289</v>
      </c>
      <c r="B244" s="12" t="s">
        <v>293</v>
      </c>
      <c r="C244" s="13" t="s">
        <v>257</v>
      </c>
      <c r="D244" s="13">
        <v>2025</v>
      </c>
      <c r="E244" s="13">
        <v>5</v>
      </c>
      <c r="F244" s="13" t="s">
        <v>260</v>
      </c>
      <c r="G244" s="13" t="s">
        <v>259</v>
      </c>
      <c r="H244" s="14">
        <v>29110</v>
      </c>
      <c r="I244" s="14">
        <v>11858</v>
      </c>
      <c r="J244" s="14">
        <v>493</v>
      </c>
      <c r="K244" s="14">
        <v>23</v>
      </c>
      <c r="L244" s="14">
        <v>20</v>
      </c>
      <c r="M244" s="15">
        <f t="shared" si="1217"/>
        <v>12394</v>
      </c>
      <c r="N244" s="14">
        <v>2034</v>
      </c>
      <c r="O244" s="14">
        <v>0</v>
      </c>
      <c r="P244" s="14">
        <v>659</v>
      </c>
      <c r="Q244" s="14">
        <v>2515</v>
      </c>
      <c r="R244" s="15">
        <f t="shared" si="1218"/>
        <v>5208</v>
      </c>
      <c r="S244" s="15">
        <f t="shared" si="1219"/>
        <v>17602</v>
      </c>
      <c r="T244" s="14">
        <v>11508</v>
      </c>
      <c r="U244" s="16">
        <f t="shared" si="1220"/>
        <v>0.39532806595671588</v>
      </c>
      <c r="V244" s="14">
        <v>17</v>
      </c>
      <c r="W244" s="17">
        <f t="shared" si="1221"/>
        <v>5.8399175541051188E-4</v>
      </c>
      <c r="X244" s="14">
        <v>0</v>
      </c>
      <c r="Y244" s="17">
        <f t="shared" si="1222"/>
        <v>0</v>
      </c>
      <c r="Z244" s="14">
        <v>0</v>
      </c>
      <c r="AA244" s="17">
        <f t="shared" si="1223"/>
        <v>0</v>
      </c>
      <c r="AB244" s="14">
        <v>0</v>
      </c>
      <c r="AC244" s="17">
        <f t="shared" si="1224"/>
        <v>0</v>
      </c>
      <c r="AD244" s="14">
        <v>0</v>
      </c>
      <c r="AE244" s="17">
        <f t="shared" si="1225"/>
        <v>0</v>
      </c>
      <c r="AF244" s="14">
        <v>0</v>
      </c>
      <c r="AG244" s="17">
        <f t="shared" si="1226"/>
        <v>0</v>
      </c>
      <c r="AH244" s="14">
        <v>59929.93</v>
      </c>
      <c r="AI244" s="15">
        <f t="shared" si="1227"/>
        <v>2.0587402954311234</v>
      </c>
      <c r="AJ244" s="14">
        <v>4951</v>
      </c>
      <c r="AK244" s="17">
        <f t="shared" si="1228"/>
        <v>0.17007901064926143</v>
      </c>
      <c r="AL244" s="14">
        <v>703385.17649999994</v>
      </c>
      <c r="AM244" s="15">
        <f t="shared" si="1229"/>
        <v>24.163008467880452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5">
        <f t="shared" si="1230"/>
        <v>763315.10649999999</v>
      </c>
      <c r="AV244" s="15">
        <f t="shared" si="1231"/>
        <v>26.221748763311577</v>
      </c>
      <c r="AW244" s="15">
        <f t="shared" si="1232"/>
        <v>43.365248636518579</v>
      </c>
      <c r="AX244" s="14">
        <v>6</v>
      </c>
      <c r="AY244" s="15">
        <f t="shared" si="1233"/>
        <v>2.4733768464445207</v>
      </c>
      <c r="AZ244" s="14">
        <v>6</v>
      </c>
      <c r="BA244" s="14">
        <v>16</v>
      </c>
      <c r="BB244" s="14">
        <v>17</v>
      </c>
      <c r="BC244" s="14">
        <v>9</v>
      </c>
      <c r="BD244" s="14">
        <v>0</v>
      </c>
      <c r="BE244" s="15">
        <f t="shared" si="1234"/>
        <v>9</v>
      </c>
      <c r="BF244" s="15">
        <f t="shared" si="1235"/>
        <v>24</v>
      </c>
      <c r="BG244" s="14">
        <v>0</v>
      </c>
      <c r="BH244" s="14">
        <v>0</v>
      </c>
      <c r="BI244" s="14">
        <v>0</v>
      </c>
      <c r="BJ244" s="14">
        <v>0</v>
      </c>
      <c r="BK244" s="15">
        <f t="shared" si="1236"/>
        <v>0</v>
      </c>
      <c r="BL244" s="15">
        <f t="shared" si="1237"/>
        <v>0</v>
      </c>
      <c r="BM244" s="14">
        <v>2</v>
      </c>
      <c r="BN244" s="14">
        <v>0</v>
      </c>
      <c r="BO244" s="14">
        <v>0</v>
      </c>
      <c r="BP244" s="14">
        <v>0</v>
      </c>
      <c r="BQ244" s="15">
        <f t="shared" si="1238"/>
        <v>0</v>
      </c>
      <c r="BR244" s="15">
        <f t="shared" si="1239"/>
        <v>2</v>
      </c>
      <c r="BS244" s="14">
        <v>0</v>
      </c>
      <c r="BT244" s="14">
        <v>0</v>
      </c>
      <c r="BU244" s="14">
        <v>0</v>
      </c>
      <c r="BV244" s="14">
        <v>0</v>
      </c>
      <c r="BW244" s="15">
        <f t="shared" si="1240"/>
        <v>0</v>
      </c>
      <c r="BX244" s="15">
        <f t="shared" si="1241"/>
        <v>0</v>
      </c>
      <c r="BY244" s="15">
        <f t="shared" si="1242"/>
        <v>18</v>
      </c>
      <c r="BZ244" s="15">
        <f t="shared" si="1243"/>
        <v>17</v>
      </c>
      <c r="CA244" s="15">
        <f t="shared" si="1244"/>
        <v>9</v>
      </c>
      <c r="CB244" s="15">
        <f t="shared" si="1245"/>
        <v>26</v>
      </c>
      <c r="CC244" s="14">
        <v>0</v>
      </c>
      <c r="CD244" s="14">
        <v>645</v>
      </c>
      <c r="CE244" s="14">
        <v>17</v>
      </c>
      <c r="CF244" s="14">
        <v>27</v>
      </c>
      <c r="CG244" s="14">
        <v>11</v>
      </c>
      <c r="CH244" s="15">
        <f t="shared" si="1246"/>
        <v>700</v>
      </c>
      <c r="CI244" s="14">
        <v>1663</v>
      </c>
      <c r="CJ244" s="14">
        <v>11</v>
      </c>
      <c r="CK244" s="14">
        <v>10</v>
      </c>
      <c r="CL244" s="14">
        <v>8</v>
      </c>
      <c r="CM244" s="15">
        <f t="shared" si="1247"/>
        <v>1692</v>
      </c>
      <c r="CN244" s="14">
        <v>221</v>
      </c>
      <c r="CO244" s="14">
        <v>25</v>
      </c>
      <c r="CP244" s="14">
        <v>42</v>
      </c>
      <c r="CQ244" s="14">
        <v>1</v>
      </c>
      <c r="CR244" s="15">
        <f t="shared" si="1248"/>
        <v>289</v>
      </c>
      <c r="CS244" s="15">
        <f t="shared" si="1249"/>
        <v>1981</v>
      </c>
      <c r="CT244" s="14">
        <v>2681</v>
      </c>
      <c r="CU244" s="14">
        <v>21030.977999999999</v>
      </c>
      <c r="CV244" s="14">
        <v>16373</v>
      </c>
      <c r="CW244" s="16">
        <f t="shared" si="1250"/>
        <v>0.77851824104423484</v>
      </c>
      <c r="CX244" s="14">
        <v>0</v>
      </c>
      <c r="CY244" s="14"/>
      <c r="CZ244" s="14"/>
      <c r="DA244" s="14"/>
      <c r="DB244" s="15">
        <f t="shared" si="1251"/>
        <v>0</v>
      </c>
      <c r="DC244" s="14">
        <v>0</v>
      </c>
      <c r="DD244" s="14">
        <v>0</v>
      </c>
      <c r="DE244" s="14">
        <v>0</v>
      </c>
      <c r="DF244" s="14">
        <v>0</v>
      </c>
      <c r="DG244" s="15">
        <f t="shared" si="1252"/>
        <v>0</v>
      </c>
      <c r="DH244" s="14">
        <v>0</v>
      </c>
      <c r="DI244" s="14">
        <v>0</v>
      </c>
      <c r="DJ244" s="14">
        <v>0</v>
      </c>
      <c r="DK244" s="14">
        <v>0</v>
      </c>
      <c r="DL244" s="15">
        <f t="shared" si="1253"/>
        <v>0</v>
      </c>
      <c r="DM244" s="14">
        <v>300</v>
      </c>
      <c r="DN244" s="14">
        <v>0</v>
      </c>
      <c r="DO244" s="14">
        <v>0</v>
      </c>
      <c r="DP244" s="14">
        <v>0</v>
      </c>
      <c r="DQ244" s="15">
        <f t="shared" si="1254"/>
        <v>300</v>
      </c>
      <c r="DR244" s="15">
        <f t="shared" si="1255"/>
        <v>300</v>
      </c>
      <c r="DS244" s="15">
        <f t="shared" si="1256"/>
        <v>0</v>
      </c>
      <c r="DT244" s="15">
        <f t="shared" si="1257"/>
        <v>0</v>
      </c>
      <c r="DU244" s="15">
        <f t="shared" si="1258"/>
        <v>0</v>
      </c>
      <c r="DV244" s="15">
        <f t="shared" si="1259"/>
        <v>300</v>
      </c>
      <c r="DW244" s="14">
        <v>25</v>
      </c>
      <c r="DX244" s="14">
        <v>16</v>
      </c>
      <c r="DY244" s="14">
        <v>8</v>
      </c>
      <c r="DZ244" s="14">
        <v>5</v>
      </c>
      <c r="EA244" s="14">
        <v>7</v>
      </c>
      <c r="EB244" s="14">
        <v>9</v>
      </c>
      <c r="EC244" s="14">
        <v>10</v>
      </c>
      <c r="ED244" s="14">
        <v>4</v>
      </c>
      <c r="EE244" s="14">
        <v>2</v>
      </c>
      <c r="EF244" s="14">
        <v>3</v>
      </c>
      <c r="EG244" s="14">
        <v>0</v>
      </c>
      <c r="EH244" s="14">
        <v>0</v>
      </c>
      <c r="EI244" s="14">
        <v>0</v>
      </c>
      <c r="EJ244" s="14">
        <v>5</v>
      </c>
      <c r="EK244" s="14">
        <v>4</v>
      </c>
      <c r="EL244" s="14">
        <v>3</v>
      </c>
      <c r="EM244" s="14">
        <v>6</v>
      </c>
      <c r="EN244" s="14">
        <v>8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5">
        <f t="shared" si="1260"/>
        <v>115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5">
        <f t="shared" si="1261"/>
        <v>0</v>
      </c>
      <c r="FR244" s="14">
        <v>11993717</v>
      </c>
      <c r="FS244" s="14">
        <v>103500</v>
      </c>
      <c r="FT244" s="14">
        <v>0</v>
      </c>
      <c r="FU244" s="14">
        <v>18000</v>
      </c>
      <c r="FV244" s="15">
        <f t="shared" si="1262"/>
        <v>12115217</v>
      </c>
      <c r="FW244" s="14">
        <v>2070580</v>
      </c>
      <c r="FX244" s="14">
        <v>0</v>
      </c>
      <c r="FY244" s="14">
        <v>1878700</v>
      </c>
      <c r="FZ244" s="14">
        <v>450400</v>
      </c>
      <c r="GA244" s="15">
        <f t="shared" si="1263"/>
        <v>4399680</v>
      </c>
      <c r="GB244" s="15">
        <f t="shared" si="1264"/>
        <v>16514897</v>
      </c>
      <c r="GC244" s="14">
        <v>10943254.539999999</v>
      </c>
      <c r="GD244" s="14">
        <v>94301.04</v>
      </c>
      <c r="GE244" s="14">
        <v>71606.38</v>
      </c>
      <c r="GF244" s="14">
        <v>57449.66</v>
      </c>
      <c r="GG244" s="15">
        <f t="shared" si="1265"/>
        <v>11166611.619999999</v>
      </c>
      <c r="GH244" s="14">
        <v>1958771.54</v>
      </c>
      <c r="GI244" s="14">
        <v>0</v>
      </c>
      <c r="GJ244" s="14">
        <v>450400</v>
      </c>
      <c r="GK244" s="14">
        <v>1866700</v>
      </c>
      <c r="GL244" s="15">
        <f t="shared" si="1266"/>
        <v>4275871.54</v>
      </c>
      <c r="GM244" s="15">
        <f t="shared" si="1267"/>
        <v>15442483.16</v>
      </c>
      <c r="GN244" s="14">
        <v>851238.68</v>
      </c>
      <c r="GO244" s="14">
        <v>1912.8</v>
      </c>
      <c r="GP244" s="14">
        <v>13574.56</v>
      </c>
      <c r="GQ244" s="14">
        <v>9274.68</v>
      </c>
      <c r="GR244" s="15">
        <f t="shared" si="1268"/>
        <v>876000.7200000002</v>
      </c>
      <c r="GS244" s="14">
        <v>1389508</v>
      </c>
      <c r="GT244" s="14">
        <v>8930</v>
      </c>
      <c r="GU244" s="14">
        <v>3572</v>
      </c>
      <c r="GV244" s="14">
        <v>1786</v>
      </c>
      <c r="GW244" s="15">
        <f t="shared" si="1269"/>
        <v>1403796</v>
      </c>
      <c r="GX244" s="15">
        <f t="shared" si="1270"/>
        <v>17722279.880000003</v>
      </c>
      <c r="GY244" s="14">
        <v>47966118.939999998</v>
      </c>
      <c r="GZ244" s="14">
        <v>707025.83</v>
      </c>
      <c r="HA244" s="15">
        <f t="shared" si="1271"/>
        <v>48673144.769999996</v>
      </c>
      <c r="HB244" s="15">
        <f t="shared" si="1272"/>
        <v>4.3070931712427055E-2</v>
      </c>
      <c r="HC244" s="16">
        <f t="shared" si="1273"/>
        <v>0.25141268925208976</v>
      </c>
      <c r="HD244" s="15">
        <f t="shared" si="1274"/>
        <v>0.93187203406247066</v>
      </c>
      <c r="HE244" s="14">
        <v>17</v>
      </c>
      <c r="HF244" s="14">
        <v>0</v>
      </c>
      <c r="HG244" s="14">
        <v>26</v>
      </c>
      <c r="HH244" s="14">
        <v>17</v>
      </c>
      <c r="HI244" s="14">
        <v>0</v>
      </c>
      <c r="HJ244" s="15">
        <f t="shared" si="1275"/>
        <v>0</v>
      </c>
      <c r="HK244" s="16">
        <f t="shared" si="1276"/>
        <v>1</v>
      </c>
      <c r="HL244" s="14">
        <v>0</v>
      </c>
      <c r="HM244" s="14">
        <v>0</v>
      </c>
      <c r="HN244" s="17" t="str">
        <f t="shared" si="1277"/>
        <v/>
      </c>
    </row>
    <row r="245" spans="1:222" x14ac:dyDescent="0.3">
      <c r="A245" s="6" t="s">
        <v>289</v>
      </c>
      <c r="B245" s="6" t="s">
        <v>293</v>
      </c>
      <c r="C245" s="7" t="s">
        <v>257</v>
      </c>
      <c r="D245" s="7">
        <v>2025</v>
      </c>
      <c r="E245" s="7">
        <v>6</v>
      </c>
      <c r="F245" s="7" t="s">
        <v>261</v>
      </c>
      <c r="G245" s="7" t="s">
        <v>259</v>
      </c>
      <c r="H245" s="8">
        <v>30257</v>
      </c>
      <c r="I245" s="8">
        <v>12807</v>
      </c>
      <c r="J245" s="8">
        <v>585</v>
      </c>
      <c r="K245" s="8">
        <v>27</v>
      </c>
      <c r="L245" s="8">
        <v>25</v>
      </c>
      <c r="M245" s="9">
        <f t="shared" si="1217"/>
        <v>13444</v>
      </c>
      <c r="N245" s="8">
        <v>2154</v>
      </c>
      <c r="O245" s="8">
        <v>0</v>
      </c>
      <c r="P245" s="8">
        <v>604</v>
      </c>
      <c r="Q245" s="8">
        <v>2333</v>
      </c>
      <c r="R245" s="9">
        <f t="shared" si="1218"/>
        <v>5091</v>
      </c>
      <c r="S245" s="9">
        <f t="shared" si="1219"/>
        <v>18535</v>
      </c>
      <c r="T245" s="8">
        <v>11722</v>
      </c>
      <c r="U245" s="10">
        <f t="shared" si="1220"/>
        <v>0.38741448259906797</v>
      </c>
      <c r="V245" s="8">
        <v>18</v>
      </c>
      <c r="W245" s="11">
        <f t="shared" si="1221"/>
        <v>5.9490365865750075E-4</v>
      </c>
      <c r="X245" s="8">
        <v>0</v>
      </c>
      <c r="Y245" s="11">
        <f t="shared" si="1222"/>
        <v>0</v>
      </c>
      <c r="Z245" s="8">
        <v>0</v>
      </c>
      <c r="AA245" s="11">
        <f t="shared" si="1223"/>
        <v>0</v>
      </c>
      <c r="AB245" s="8">
        <v>0</v>
      </c>
      <c r="AC245" s="11">
        <f t="shared" si="1224"/>
        <v>0</v>
      </c>
      <c r="AD245" s="8">
        <v>0</v>
      </c>
      <c r="AE245" s="11">
        <f t="shared" si="1225"/>
        <v>0</v>
      </c>
      <c r="AF245" s="8">
        <v>0</v>
      </c>
      <c r="AG245" s="11">
        <f t="shared" si="1226"/>
        <v>0</v>
      </c>
      <c r="AH245" s="8">
        <v>63455.22</v>
      </c>
      <c r="AI245" s="9">
        <f t="shared" si="1227"/>
        <v>2.0972079188287007</v>
      </c>
      <c r="AJ245" s="8">
        <v>7704</v>
      </c>
      <c r="AK245" s="11">
        <f t="shared" si="1228"/>
        <v>0.25461876590541033</v>
      </c>
      <c r="AL245" s="8">
        <v>1085368.0560000001</v>
      </c>
      <c r="AM245" s="9">
        <f t="shared" si="1229"/>
        <v>35.871634861354401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9">
        <f t="shared" si="1230"/>
        <v>1148823.2760000001</v>
      </c>
      <c r="AV245" s="9">
        <f t="shared" si="1231"/>
        <v>37.968842780183103</v>
      </c>
      <c r="AW245" s="9">
        <f t="shared" si="1232"/>
        <v>61.981293552738066</v>
      </c>
      <c r="AX245" s="8">
        <v>6</v>
      </c>
      <c r="AY245" s="9">
        <f t="shared" si="1233"/>
        <v>2.3796146346300029</v>
      </c>
      <c r="AZ245" s="8">
        <v>6</v>
      </c>
      <c r="BA245" s="8">
        <v>24</v>
      </c>
      <c r="BB245" s="8">
        <v>15</v>
      </c>
      <c r="BC245" s="8">
        <v>13</v>
      </c>
      <c r="BD245" s="8">
        <v>0</v>
      </c>
      <c r="BE245" s="9">
        <f t="shared" si="1234"/>
        <v>13</v>
      </c>
      <c r="BF245" s="9">
        <f t="shared" si="1235"/>
        <v>26</v>
      </c>
      <c r="BG245" s="8">
        <v>0</v>
      </c>
      <c r="BH245" s="8">
        <v>0</v>
      </c>
      <c r="BI245" s="8">
        <v>0</v>
      </c>
      <c r="BJ245" s="8">
        <v>0</v>
      </c>
      <c r="BK245" s="9">
        <f t="shared" si="1236"/>
        <v>0</v>
      </c>
      <c r="BL245" s="9">
        <f t="shared" si="1237"/>
        <v>0</v>
      </c>
      <c r="BM245" s="8">
        <v>2</v>
      </c>
      <c r="BN245" s="8">
        <v>0</v>
      </c>
      <c r="BO245" s="8">
        <v>0</v>
      </c>
      <c r="BP245" s="8">
        <v>0</v>
      </c>
      <c r="BQ245" s="9">
        <f t="shared" si="1238"/>
        <v>0</v>
      </c>
      <c r="BR245" s="9">
        <f t="shared" si="1239"/>
        <v>2</v>
      </c>
      <c r="BS245" s="8">
        <v>0</v>
      </c>
      <c r="BT245" s="8">
        <v>0</v>
      </c>
      <c r="BU245" s="8">
        <v>0</v>
      </c>
      <c r="BV245" s="8">
        <v>0</v>
      </c>
      <c r="BW245" s="9">
        <f t="shared" si="1240"/>
        <v>0</v>
      </c>
      <c r="BX245" s="9">
        <f t="shared" si="1241"/>
        <v>0</v>
      </c>
      <c r="BY245" s="9">
        <f t="shared" si="1242"/>
        <v>26</v>
      </c>
      <c r="BZ245" s="9">
        <f t="shared" si="1243"/>
        <v>15</v>
      </c>
      <c r="CA245" s="9">
        <f t="shared" si="1244"/>
        <v>13</v>
      </c>
      <c r="CB245" s="9">
        <f t="shared" si="1245"/>
        <v>28</v>
      </c>
      <c r="CC245" s="8">
        <v>0</v>
      </c>
      <c r="CD245" s="8">
        <v>666</v>
      </c>
      <c r="CE245" s="8">
        <v>6</v>
      </c>
      <c r="CF245" s="8">
        <v>15</v>
      </c>
      <c r="CG245" s="8">
        <v>6</v>
      </c>
      <c r="CH245" s="9">
        <f t="shared" si="1246"/>
        <v>693</v>
      </c>
      <c r="CI245" s="8">
        <v>1683</v>
      </c>
      <c r="CJ245" s="8">
        <v>11</v>
      </c>
      <c r="CK245" s="8">
        <v>10</v>
      </c>
      <c r="CL245" s="8">
        <v>8</v>
      </c>
      <c r="CM245" s="9">
        <f t="shared" si="1247"/>
        <v>1712</v>
      </c>
      <c r="CN245" s="8">
        <v>221</v>
      </c>
      <c r="CO245" s="8">
        <v>25</v>
      </c>
      <c r="CP245" s="8">
        <v>42</v>
      </c>
      <c r="CQ245" s="8">
        <v>1</v>
      </c>
      <c r="CR245" s="9">
        <f t="shared" si="1248"/>
        <v>289</v>
      </c>
      <c r="CS245" s="9">
        <f t="shared" si="1249"/>
        <v>2001</v>
      </c>
      <c r="CT245" s="8">
        <v>2694</v>
      </c>
      <c r="CU245" s="8">
        <v>21073.039956000001</v>
      </c>
      <c r="CV245" s="8">
        <v>16373</v>
      </c>
      <c r="CW245" s="10">
        <f t="shared" si="1250"/>
        <v>0.77696431241939601</v>
      </c>
      <c r="CX245" s="8">
        <v>0</v>
      </c>
      <c r="CY245" s="8"/>
      <c r="CZ245" s="8"/>
      <c r="DA245" s="8"/>
      <c r="DB245" s="9">
        <f t="shared" si="1251"/>
        <v>0</v>
      </c>
      <c r="DC245" s="8">
        <v>0</v>
      </c>
      <c r="DD245" s="8">
        <v>0</v>
      </c>
      <c r="DE245" s="8">
        <v>0</v>
      </c>
      <c r="DF245" s="8">
        <v>0</v>
      </c>
      <c r="DG245" s="9">
        <f t="shared" si="1252"/>
        <v>0</v>
      </c>
      <c r="DH245" s="8">
        <v>0</v>
      </c>
      <c r="DI245" s="8">
        <v>0</v>
      </c>
      <c r="DJ245" s="8">
        <v>0</v>
      </c>
      <c r="DK245" s="8">
        <v>0</v>
      </c>
      <c r="DL245" s="9">
        <f t="shared" si="1253"/>
        <v>0</v>
      </c>
      <c r="DM245" s="8">
        <v>300</v>
      </c>
      <c r="DN245" s="8">
        <v>0</v>
      </c>
      <c r="DO245" s="8">
        <v>0</v>
      </c>
      <c r="DP245" s="8">
        <v>0</v>
      </c>
      <c r="DQ245" s="9">
        <f t="shared" si="1254"/>
        <v>300</v>
      </c>
      <c r="DR245" s="9">
        <f t="shared" si="1255"/>
        <v>300</v>
      </c>
      <c r="DS245" s="9">
        <f t="shared" si="1256"/>
        <v>0</v>
      </c>
      <c r="DT245" s="9">
        <f t="shared" si="1257"/>
        <v>0</v>
      </c>
      <c r="DU245" s="9">
        <f t="shared" si="1258"/>
        <v>0</v>
      </c>
      <c r="DV245" s="9">
        <f t="shared" si="1259"/>
        <v>300</v>
      </c>
      <c r="DW245" s="8">
        <v>35</v>
      </c>
      <c r="DX245" s="8">
        <v>16</v>
      </c>
      <c r="DY245" s="8">
        <v>8</v>
      </c>
      <c r="DZ245" s="8">
        <v>8</v>
      </c>
      <c r="EA245" s="8">
        <v>6</v>
      </c>
      <c r="EB245" s="8">
        <v>5</v>
      </c>
      <c r="EC245" s="8">
        <v>10</v>
      </c>
      <c r="ED245" s="8">
        <v>7</v>
      </c>
      <c r="EE245" s="8">
        <v>4</v>
      </c>
      <c r="EF245" s="8">
        <v>6</v>
      </c>
      <c r="EG245" s="8">
        <v>2</v>
      </c>
      <c r="EH245" s="8">
        <v>0</v>
      </c>
      <c r="EI245" s="8">
        <v>0</v>
      </c>
      <c r="EJ245" s="8">
        <v>8</v>
      </c>
      <c r="EK245" s="8">
        <v>7</v>
      </c>
      <c r="EL245" s="8">
        <v>7</v>
      </c>
      <c r="EM245" s="8">
        <v>6</v>
      </c>
      <c r="EN245" s="8">
        <v>8</v>
      </c>
      <c r="EO245" s="8"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8">
        <v>0</v>
      </c>
      <c r="FC245" s="8">
        <v>0</v>
      </c>
      <c r="FD245" s="8">
        <v>0</v>
      </c>
      <c r="FE245" s="8">
        <v>0</v>
      </c>
      <c r="FF245" s="8">
        <v>0</v>
      </c>
      <c r="FG245" s="9">
        <f t="shared" si="1260"/>
        <v>143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Q245" s="9">
        <f t="shared" si="1261"/>
        <v>0</v>
      </c>
      <c r="FR245" s="8">
        <v>13148924</v>
      </c>
      <c r="FS245" s="8">
        <v>71900</v>
      </c>
      <c r="FT245" s="8">
        <v>0</v>
      </c>
      <c r="FU245" s="8">
        <v>17500</v>
      </c>
      <c r="FV245" s="9">
        <f t="shared" si="1262"/>
        <v>13238324</v>
      </c>
      <c r="FW245" s="8">
        <v>1940159</v>
      </c>
      <c r="FX245" s="8">
        <v>0</v>
      </c>
      <c r="FY245" s="8">
        <v>1709600</v>
      </c>
      <c r="FZ245" s="8">
        <v>2908159</v>
      </c>
      <c r="GA245" s="9">
        <f t="shared" si="1263"/>
        <v>6557918</v>
      </c>
      <c r="GB245" s="9">
        <f t="shared" si="1264"/>
        <v>19796242</v>
      </c>
      <c r="GC245" s="8">
        <v>11744173.289999999</v>
      </c>
      <c r="GD245" s="8">
        <v>111898.8</v>
      </c>
      <c r="GE245" s="8">
        <v>74346.960000000006</v>
      </c>
      <c r="GF245" s="8">
        <v>64114.720000000001</v>
      </c>
      <c r="GG245" s="9">
        <f t="shared" si="1265"/>
        <v>11994533.770000001</v>
      </c>
      <c r="GH245" s="8">
        <v>1860119</v>
      </c>
      <c r="GI245" s="8">
        <v>0</v>
      </c>
      <c r="GJ245" s="8">
        <v>174200</v>
      </c>
      <c r="GK245" s="8">
        <v>1709600</v>
      </c>
      <c r="GL245" s="9">
        <f t="shared" si="1266"/>
        <v>3743919</v>
      </c>
      <c r="GM245" s="9">
        <f t="shared" si="1267"/>
        <v>15738452.770000001</v>
      </c>
      <c r="GN245" s="8">
        <v>654212.11</v>
      </c>
      <c r="GO245" s="8">
        <v>1530.24</v>
      </c>
      <c r="GP245" s="8">
        <v>10180.92</v>
      </c>
      <c r="GQ245" s="8">
        <v>4637.34</v>
      </c>
      <c r="GR245" s="9">
        <f t="shared" si="1268"/>
        <v>670560.61</v>
      </c>
      <c r="GS245" s="8">
        <v>1416298</v>
      </c>
      <c r="GT245" s="8">
        <v>8930</v>
      </c>
      <c r="GU245" s="8">
        <v>4465</v>
      </c>
      <c r="GV245" s="8">
        <v>3572</v>
      </c>
      <c r="GW245" s="9">
        <f t="shared" si="1269"/>
        <v>1433265</v>
      </c>
      <c r="GX245" s="9">
        <f t="shared" si="1270"/>
        <v>17842278.380000003</v>
      </c>
      <c r="GY245" s="8">
        <v>49782082.090000004</v>
      </c>
      <c r="GZ245" s="8">
        <v>871067.61</v>
      </c>
      <c r="HA245" s="9">
        <f t="shared" si="1271"/>
        <v>50653149.700000003</v>
      </c>
      <c r="HB245" s="9">
        <f t="shared" si="1272"/>
        <v>6.4387700468105796E-2</v>
      </c>
      <c r="HC245" s="10">
        <f t="shared" si="1273"/>
        <v>0.29273832480504047</v>
      </c>
      <c r="HD245" s="9">
        <f t="shared" si="1274"/>
        <v>1.109513122617247</v>
      </c>
      <c r="HE245" s="8">
        <v>15</v>
      </c>
      <c r="HF245" s="8">
        <v>0</v>
      </c>
      <c r="HG245" s="8">
        <v>28</v>
      </c>
      <c r="HH245" s="8">
        <v>15</v>
      </c>
      <c r="HI245" s="8">
        <v>0</v>
      </c>
      <c r="HJ245" s="9">
        <f t="shared" si="1275"/>
        <v>0</v>
      </c>
      <c r="HK245" s="10">
        <f t="shared" si="1276"/>
        <v>1</v>
      </c>
      <c r="HL245" s="8">
        <v>0</v>
      </c>
      <c r="HM245" s="8">
        <v>0</v>
      </c>
      <c r="HN245" s="11" t="str">
        <f t="shared" si="1277"/>
        <v/>
      </c>
    </row>
    <row r="246" spans="1:222" x14ac:dyDescent="0.3">
      <c r="A246" s="12" t="s">
        <v>289</v>
      </c>
      <c r="B246" s="12" t="s">
        <v>293</v>
      </c>
      <c r="C246" s="13" t="s">
        <v>257</v>
      </c>
      <c r="D246" s="13">
        <v>2025</v>
      </c>
      <c r="E246" s="13">
        <v>7</v>
      </c>
      <c r="F246" s="13" t="s">
        <v>262</v>
      </c>
      <c r="G246" s="13" t="s">
        <v>263</v>
      </c>
      <c r="H246" s="14">
        <v>30317</v>
      </c>
      <c r="I246" s="14">
        <v>16240</v>
      </c>
      <c r="J246" s="14">
        <v>504</v>
      </c>
      <c r="K246" s="14">
        <v>478</v>
      </c>
      <c r="L246" s="14">
        <v>257</v>
      </c>
      <c r="M246" s="15">
        <f t="shared" si="1217"/>
        <v>17479</v>
      </c>
      <c r="N246" s="14">
        <v>1472</v>
      </c>
      <c r="O246" s="14">
        <v>0</v>
      </c>
      <c r="P246" s="14">
        <v>309</v>
      </c>
      <c r="Q246" s="14">
        <v>2513</v>
      </c>
      <c r="R246" s="15">
        <f t="shared" si="1218"/>
        <v>4294</v>
      </c>
      <c r="S246" s="15">
        <f t="shared" si="1219"/>
        <v>21773</v>
      </c>
      <c r="T246" s="14">
        <v>8544</v>
      </c>
      <c r="U246" s="16">
        <f t="shared" si="1220"/>
        <v>0.28182208002111026</v>
      </c>
      <c r="V246" s="14">
        <v>19</v>
      </c>
      <c r="W246" s="17">
        <f t="shared" si="1221"/>
        <v>6.2671108618926673E-4</v>
      </c>
      <c r="X246" s="14">
        <v>0</v>
      </c>
      <c r="Y246" s="17">
        <f t="shared" si="1222"/>
        <v>0</v>
      </c>
      <c r="Z246" s="14">
        <v>0</v>
      </c>
      <c r="AA246" s="17">
        <f t="shared" si="1223"/>
        <v>0</v>
      </c>
      <c r="AB246" s="14">
        <v>0</v>
      </c>
      <c r="AC246" s="17">
        <f t="shared" si="1224"/>
        <v>0</v>
      </c>
      <c r="AD246" s="14">
        <v>0</v>
      </c>
      <c r="AE246" s="17">
        <f t="shared" si="1225"/>
        <v>0</v>
      </c>
      <c r="AF246" s="14">
        <v>0</v>
      </c>
      <c r="AG246" s="17">
        <f t="shared" si="1226"/>
        <v>0</v>
      </c>
      <c r="AH246" s="14">
        <v>66980.509999999995</v>
      </c>
      <c r="AI246" s="15">
        <f t="shared" si="1227"/>
        <v>2.2093383250321601</v>
      </c>
      <c r="AJ246" s="14">
        <v>7716</v>
      </c>
      <c r="AK246" s="17">
        <f t="shared" si="1228"/>
        <v>0.25451067058086224</v>
      </c>
      <c r="AL246" s="14">
        <v>1087033.074</v>
      </c>
      <c r="AM246" s="15">
        <f t="shared" si="1229"/>
        <v>35.855562027905137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5">
        <f t="shared" si="1230"/>
        <v>1154013.584</v>
      </c>
      <c r="AV246" s="15">
        <f t="shared" si="1231"/>
        <v>38.0649003529373</v>
      </c>
      <c r="AW246" s="15">
        <f t="shared" si="1232"/>
        <v>53.002047673724341</v>
      </c>
      <c r="AX246" s="14">
        <v>6</v>
      </c>
      <c r="AY246" s="15">
        <f t="shared" si="1233"/>
        <v>2.3749051687172216</v>
      </c>
      <c r="AZ246" s="14">
        <v>6</v>
      </c>
      <c r="BA246" s="14">
        <v>26</v>
      </c>
      <c r="BB246" s="14">
        <v>12</v>
      </c>
      <c r="BC246" s="14">
        <v>9</v>
      </c>
      <c r="BD246" s="14">
        <v>0</v>
      </c>
      <c r="BE246" s="15">
        <f t="shared" si="1234"/>
        <v>9</v>
      </c>
      <c r="BF246" s="15">
        <f t="shared" si="1235"/>
        <v>29</v>
      </c>
      <c r="BG246" s="14">
        <v>0</v>
      </c>
      <c r="BH246" s="14">
        <v>0</v>
      </c>
      <c r="BI246" s="14">
        <v>0</v>
      </c>
      <c r="BJ246" s="14">
        <v>0</v>
      </c>
      <c r="BK246" s="15">
        <f t="shared" si="1236"/>
        <v>0</v>
      </c>
      <c r="BL246" s="15">
        <f t="shared" si="1237"/>
        <v>0</v>
      </c>
      <c r="BM246" s="14">
        <v>2</v>
      </c>
      <c r="BN246" s="14">
        <v>0</v>
      </c>
      <c r="BO246" s="14">
        <v>0</v>
      </c>
      <c r="BP246" s="14">
        <v>0</v>
      </c>
      <c r="BQ246" s="15">
        <f t="shared" si="1238"/>
        <v>0</v>
      </c>
      <c r="BR246" s="15">
        <f t="shared" si="1239"/>
        <v>2</v>
      </c>
      <c r="BS246" s="14">
        <v>0</v>
      </c>
      <c r="BT246" s="14">
        <v>0</v>
      </c>
      <c r="BU246" s="14">
        <v>0</v>
      </c>
      <c r="BV246" s="14">
        <v>0</v>
      </c>
      <c r="BW246" s="15">
        <f t="shared" si="1240"/>
        <v>0</v>
      </c>
      <c r="BX246" s="15">
        <f t="shared" si="1241"/>
        <v>0</v>
      </c>
      <c r="BY246" s="15">
        <f t="shared" si="1242"/>
        <v>28</v>
      </c>
      <c r="BZ246" s="15">
        <f t="shared" si="1243"/>
        <v>12</v>
      </c>
      <c r="CA246" s="15">
        <f t="shared" si="1244"/>
        <v>9</v>
      </c>
      <c r="CB246" s="15">
        <f t="shared" si="1245"/>
        <v>31</v>
      </c>
      <c r="CC246" s="14">
        <v>0</v>
      </c>
      <c r="CD246" s="14">
        <v>670</v>
      </c>
      <c r="CE246" s="14">
        <v>6</v>
      </c>
      <c r="CF246" s="14">
        <v>15</v>
      </c>
      <c r="CG246" s="14">
        <v>6</v>
      </c>
      <c r="CH246" s="15">
        <f t="shared" si="1246"/>
        <v>697</v>
      </c>
      <c r="CI246" s="14">
        <v>1688</v>
      </c>
      <c r="CJ246" s="14">
        <v>11</v>
      </c>
      <c r="CK246" s="14">
        <v>10</v>
      </c>
      <c r="CL246" s="14">
        <v>8</v>
      </c>
      <c r="CM246" s="15">
        <f t="shared" si="1247"/>
        <v>1717</v>
      </c>
      <c r="CN246" s="14">
        <v>221</v>
      </c>
      <c r="CO246" s="14">
        <v>25</v>
      </c>
      <c r="CP246" s="14">
        <v>42</v>
      </c>
      <c r="CQ246" s="14">
        <v>1</v>
      </c>
      <c r="CR246" s="15">
        <f t="shared" si="1248"/>
        <v>289</v>
      </c>
      <c r="CS246" s="15">
        <f t="shared" si="1249"/>
        <v>2006</v>
      </c>
      <c r="CT246" s="14">
        <v>2703</v>
      </c>
      <c r="CU246" s="14">
        <v>21115.186035912</v>
      </c>
      <c r="CV246" s="14">
        <v>16373</v>
      </c>
      <c r="CW246" s="16">
        <f t="shared" si="1250"/>
        <v>0.77541348544849908</v>
      </c>
      <c r="CX246" s="14">
        <v>0</v>
      </c>
      <c r="CY246" s="14"/>
      <c r="CZ246" s="14"/>
      <c r="DA246" s="14"/>
      <c r="DB246" s="15">
        <f t="shared" si="1251"/>
        <v>0</v>
      </c>
      <c r="DC246" s="14">
        <v>0</v>
      </c>
      <c r="DD246" s="14">
        <v>0</v>
      </c>
      <c r="DE246" s="14">
        <v>0</v>
      </c>
      <c r="DF246" s="14">
        <v>0</v>
      </c>
      <c r="DG246" s="15">
        <f t="shared" si="1252"/>
        <v>0</v>
      </c>
      <c r="DH246" s="14">
        <v>0</v>
      </c>
      <c r="DI246" s="14">
        <v>0</v>
      </c>
      <c r="DJ246" s="14">
        <v>0</v>
      </c>
      <c r="DK246" s="14">
        <v>0</v>
      </c>
      <c r="DL246" s="15">
        <f t="shared" si="1253"/>
        <v>0</v>
      </c>
      <c r="DM246" s="14">
        <v>300</v>
      </c>
      <c r="DN246" s="14">
        <v>0</v>
      </c>
      <c r="DO246" s="14">
        <v>0</v>
      </c>
      <c r="DP246" s="14">
        <v>0</v>
      </c>
      <c r="DQ246" s="15">
        <f t="shared" si="1254"/>
        <v>300</v>
      </c>
      <c r="DR246" s="15">
        <f t="shared" si="1255"/>
        <v>300</v>
      </c>
      <c r="DS246" s="15">
        <f t="shared" si="1256"/>
        <v>0</v>
      </c>
      <c r="DT246" s="15">
        <f t="shared" si="1257"/>
        <v>0</v>
      </c>
      <c r="DU246" s="15">
        <f t="shared" si="1258"/>
        <v>0</v>
      </c>
      <c r="DV246" s="15">
        <f t="shared" si="1259"/>
        <v>300</v>
      </c>
      <c r="DW246" s="14">
        <v>32</v>
      </c>
      <c r="DX246" s="14">
        <v>20</v>
      </c>
      <c r="DY246" s="14">
        <v>6</v>
      </c>
      <c r="DZ246" s="14">
        <v>13</v>
      </c>
      <c r="EA246" s="14">
        <v>10</v>
      </c>
      <c r="EB246" s="14">
        <v>12</v>
      </c>
      <c r="EC246" s="14">
        <v>11</v>
      </c>
      <c r="ED246" s="14">
        <v>6</v>
      </c>
      <c r="EE246" s="14">
        <v>9</v>
      </c>
      <c r="EF246" s="14">
        <v>8</v>
      </c>
      <c r="EG246" s="14">
        <v>0</v>
      </c>
      <c r="EH246" s="14">
        <v>0</v>
      </c>
      <c r="EI246" s="14">
        <v>0</v>
      </c>
      <c r="EJ246" s="14">
        <v>10</v>
      </c>
      <c r="EK246" s="14">
        <v>15</v>
      </c>
      <c r="EL246" s="14">
        <v>2</v>
      </c>
      <c r="EM246" s="14">
        <v>5</v>
      </c>
      <c r="EN246" s="14">
        <v>4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14">
        <v>0</v>
      </c>
      <c r="EU246" s="14">
        <v>0</v>
      </c>
      <c r="EV246" s="14">
        <v>0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0</v>
      </c>
      <c r="FE246" s="14">
        <v>0</v>
      </c>
      <c r="FF246" s="14">
        <v>0</v>
      </c>
      <c r="FG246" s="15">
        <f t="shared" si="1260"/>
        <v>163</v>
      </c>
      <c r="FH246" s="14">
        <v>0</v>
      </c>
      <c r="FI246" s="14">
        <v>0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5">
        <f t="shared" si="1261"/>
        <v>0</v>
      </c>
      <c r="FR246" s="14">
        <v>39306648</v>
      </c>
      <c r="FS246" s="14">
        <v>194260</v>
      </c>
      <c r="FT246" s="14">
        <v>473400</v>
      </c>
      <c r="FU246" s="14">
        <v>286634</v>
      </c>
      <c r="FV246" s="15">
        <f t="shared" si="1262"/>
        <v>40260942</v>
      </c>
      <c r="FW246" s="14">
        <v>2025489</v>
      </c>
      <c r="FX246" s="14">
        <v>0</v>
      </c>
      <c r="FY246" s="14">
        <v>1998800</v>
      </c>
      <c r="FZ246" s="14">
        <v>2133900</v>
      </c>
      <c r="GA246" s="15">
        <f t="shared" si="1263"/>
        <v>6158189</v>
      </c>
      <c r="GB246" s="15">
        <f t="shared" si="1264"/>
        <v>46419131</v>
      </c>
      <c r="GC246" s="14">
        <v>10150870.029999999</v>
      </c>
      <c r="GD246" s="14">
        <v>90475.44</v>
      </c>
      <c r="GE246" s="14">
        <v>74000.87</v>
      </c>
      <c r="GF246" s="14">
        <v>153581.17000000001</v>
      </c>
      <c r="GG246" s="15">
        <f t="shared" si="1265"/>
        <v>10468927.509999998</v>
      </c>
      <c r="GH246" s="14">
        <v>1950129</v>
      </c>
      <c r="GI246" s="14">
        <v>0</v>
      </c>
      <c r="GJ246" s="14">
        <v>2133900</v>
      </c>
      <c r="GK246" s="14">
        <v>1986800</v>
      </c>
      <c r="GL246" s="15">
        <f t="shared" si="1266"/>
        <v>6070829</v>
      </c>
      <c r="GM246" s="15">
        <f t="shared" si="1267"/>
        <v>16539756.509999998</v>
      </c>
      <c r="GN246" s="14">
        <v>764800.49</v>
      </c>
      <c r="GO246" s="14">
        <v>1912.8</v>
      </c>
      <c r="GP246" s="14">
        <v>16968.2</v>
      </c>
      <c r="GQ246" s="14">
        <v>13912.02</v>
      </c>
      <c r="GR246" s="15">
        <f t="shared" si="1268"/>
        <v>797593.51</v>
      </c>
      <c r="GS246" s="14">
        <v>1247521</v>
      </c>
      <c r="GT246" s="14">
        <v>8930</v>
      </c>
      <c r="GU246" s="14">
        <v>4465</v>
      </c>
      <c r="GV246" s="14">
        <v>2679</v>
      </c>
      <c r="GW246" s="15">
        <f t="shared" si="1269"/>
        <v>1263595</v>
      </c>
      <c r="GX246" s="15">
        <f t="shared" si="1270"/>
        <v>18600945.02</v>
      </c>
      <c r="GY246" s="14">
        <v>14812968.9</v>
      </c>
      <c r="GZ246" s="14">
        <v>680113.05</v>
      </c>
      <c r="HA246" s="15">
        <f t="shared" si="1271"/>
        <v>15493081.950000001</v>
      </c>
      <c r="HB246" s="15">
        <f t="shared" si="1272"/>
        <v>6.2040588946378171E-2</v>
      </c>
      <c r="HC246" s="16">
        <f t="shared" si="1273"/>
        <v>1.3892156157203628</v>
      </c>
      <c r="HD246" s="15">
        <f t="shared" si="1274"/>
        <v>2.4955254128265789</v>
      </c>
      <c r="HE246" s="14">
        <v>12</v>
      </c>
      <c r="HF246" s="14">
        <v>2</v>
      </c>
      <c r="HG246" s="14">
        <v>31</v>
      </c>
      <c r="HH246" s="14">
        <v>12</v>
      </c>
      <c r="HI246" s="14">
        <v>0</v>
      </c>
      <c r="HJ246" s="15">
        <f t="shared" si="1275"/>
        <v>2</v>
      </c>
      <c r="HK246" s="16">
        <f t="shared" si="1276"/>
        <v>1</v>
      </c>
      <c r="HL246" s="14">
        <v>0</v>
      </c>
      <c r="HM246" s="14">
        <v>0</v>
      </c>
      <c r="HN246" s="17" t="str">
        <f t="shared" si="1277"/>
        <v/>
      </c>
    </row>
    <row r="247" spans="1:222" x14ac:dyDescent="0.3">
      <c r="A247" s="6" t="s">
        <v>289</v>
      </c>
      <c r="B247" s="6" t="s">
        <v>293</v>
      </c>
      <c r="C247" s="7" t="s">
        <v>257</v>
      </c>
      <c r="D247" s="7">
        <v>2025</v>
      </c>
      <c r="E247" s="7">
        <v>8</v>
      </c>
      <c r="F247" s="7" t="s">
        <v>264</v>
      </c>
      <c r="G247" s="7" t="s">
        <v>263</v>
      </c>
      <c r="H247" s="8">
        <v>30569</v>
      </c>
      <c r="I247" s="8">
        <v>15843</v>
      </c>
      <c r="J247" s="8">
        <v>634</v>
      </c>
      <c r="K247" s="8">
        <v>538</v>
      </c>
      <c r="L247" s="8">
        <v>312</v>
      </c>
      <c r="M247" s="9">
        <f t="shared" si="1217"/>
        <v>17327</v>
      </c>
      <c r="N247" s="8">
        <v>2019</v>
      </c>
      <c r="O247" s="8">
        <v>0</v>
      </c>
      <c r="P247" s="8">
        <v>637</v>
      </c>
      <c r="Q247" s="8">
        <v>2714</v>
      </c>
      <c r="R247" s="9">
        <f t="shared" si="1218"/>
        <v>5370</v>
      </c>
      <c r="S247" s="9">
        <f t="shared" si="1219"/>
        <v>22697</v>
      </c>
      <c r="T247" s="8">
        <v>7872</v>
      </c>
      <c r="U247" s="10">
        <f t="shared" si="1220"/>
        <v>0.25751578396414671</v>
      </c>
      <c r="V247" s="8">
        <v>20</v>
      </c>
      <c r="W247" s="11">
        <f t="shared" si="1221"/>
        <v>6.5425758120972227E-4</v>
      </c>
      <c r="X247" s="8">
        <v>0</v>
      </c>
      <c r="Y247" s="11">
        <f t="shared" si="1222"/>
        <v>0</v>
      </c>
      <c r="Z247" s="8">
        <v>0</v>
      </c>
      <c r="AA247" s="11">
        <f t="shared" si="1223"/>
        <v>0</v>
      </c>
      <c r="AB247" s="8">
        <v>0</v>
      </c>
      <c r="AC247" s="11">
        <f t="shared" si="1224"/>
        <v>0</v>
      </c>
      <c r="AD247" s="8">
        <v>0</v>
      </c>
      <c r="AE247" s="11">
        <f t="shared" si="1225"/>
        <v>0</v>
      </c>
      <c r="AF247" s="8">
        <v>0</v>
      </c>
      <c r="AG247" s="11">
        <f t="shared" si="1226"/>
        <v>0</v>
      </c>
      <c r="AH247" s="8">
        <v>70505.8</v>
      </c>
      <c r="AI247" s="9">
        <f t="shared" si="1227"/>
        <v>2.3064477084628221</v>
      </c>
      <c r="AJ247" s="8">
        <v>7664</v>
      </c>
      <c r="AK247" s="11">
        <f t="shared" si="1228"/>
        <v>0.25071150511956558</v>
      </c>
      <c r="AL247" s="8">
        <v>1079817.996</v>
      </c>
      <c r="AM247" s="9">
        <f t="shared" si="1229"/>
        <v>35.323955510484481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9">
        <f t="shared" si="1230"/>
        <v>1150323.7960000001</v>
      </c>
      <c r="AV247" s="9">
        <f t="shared" si="1231"/>
        <v>37.630403218947301</v>
      </c>
      <c r="AW247" s="9">
        <f t="shared" si="1232"/>
        <v>50.68175512182227</v>
      </c>
      <c r="AX247" s="8">
        <v>6</v>
      </c>
      <c r="AY247" s="9">
        <f t="shared" si="1233"/>
        <v>2.3553272923550002</v>
      </c>
      <c r="AZ247" s="8">
        <v>6</v>
      </c>
      <c r="BA247" s="8">
        <v>29</v>
      </c>
      <c r="BB247" s="8">
        <v>20</v>
      </c>
      <c r="BC247" s="8">
        <v>16</v>
      </c>
      <c r="BD247" s="8">
        <v>2</v>
      </c>
      <c r="BE247" s="9">
        <f t="shared" si="1234"/>
        <v>18</v>
      </c>
      <c r="BF247" s="9">
        <f t="shared" si="1235"/>
        <v>31</v>
      </c>
      <c r="BG247" s="8">
        <v>0</v>
      </c>
      <c r="BH247" s="8">
        <v>0</v>
      </c>
      <c r="BI247" s="8">
        <v>0</v>
      </c>
      <c r="BJ247" s="8">
        <v>0</v>
      </c>
      <c r="BK247" s="9">
        <f t="shared" si="1236"/>
        <v>0</v>
      </c>
      <c r="BL247" s="9">
        <f t="shared" si="1237"/>
        <v>0</v>
      </c>
      <c r="BM247" s="8">
        <v>2</v>
      </c>
      <c r="BN247" s="8">
        <v>0</v>
      </c>
      <c r="BO247" s="8">
        <v>0</v>
      </c>
      <c r="BP247" s="8">
        <v>0</v>
      </c>
      <c r="BQ247" s="9">
        <f t="shared" si="1238"/>
        <v>0</v>
      </c>
      <c r="BR247" s="9">
        <f t="shared" si="1239"/>
        <v>2</v>
      </c>
      <c r="BS247" s="8">
        <v>0</v>
      </c>
      <c r="BT247" s="8">
        <v>0</v>
      </c>
      <c r="BU247" s="8">
        <v>0</v>
      </c>
      <c r="BV247" s="8">
        <v>0</v>
      </c>
      <c r="BW247" s="9">
        <f t="shared" si="1240"/>
        <v>0</v>
      </c>
      <c r="BX247" s="9">
        <f t="shared" si="1241"/>
        <v>0</v>
      </c>
      <c r="BY247" s="9">
        <f t="shared" si="1242"/>
        <v>31</v>
      </c>
      <c r="BZ247" s="9">
        <f t="shared" si="1243"/>
        <v>20</v>
      </c>
      <c r="CA247" s="9">
        <f t="shared" si="1244"/>
        <v>18</v>
      </c>
      <c r="CB247" s="9">
        <f t="shared" si="1245"/>
        <v>33</v>
      </c>
      <c r="CC247" s="8">
        <v>0</v>
      </c>
      <c r="CD247" s="8">
        <v>665</v>
      </c>
      <c r="CE247" s="8">
        <v>6</v>
      </c>
      <c r="CF247" s="8">
        <v>15</v>
      </c>
      <c r="CG247" s="8">
        <v>6</v>
      </c>
      <c r="CH247" s="9">
        <f t="shared" si="1246"/>
        <v>692</v>
      </c>
      <c r="CI247" s="8">
        <v>1709</v>
      </c>
      <c r="CJ247" s="8">
        <v>11</v>
      </c>
      <c r="CK247" s="8">
        <v>10</v>
      </c>
      <c r="CL247" s="8">
        <v>8</v>
      </c>
      <c r="CM247" s="9">
        <f t="shared" si="1247"/>
        <v>1738</v>
      </c>
      <c r="CN247" s="8">
        <v>221</v>
      </c>
      <c r="CO247" s="8">
        <v>25</v>
      </c>
      <c r="CP247" s="8">
        <v>42</v>
      </c>
      <c r="CQ247" s="8">
        <v>1</v>
      </c>
      <c r="CR247" s="9">
        <f t="shared" si="1248"/>
        <v>289</v>
      </c>
      <c r="CS247" s="9">
        <f t="shared" si="1249"/>
        <v>2027</v>
      </c>
      <c r="CT247" s="8">
        <v>2719</v>
      </c>
      <c r="CU247" s="8">
        <v>21157.416407983801</v>
      </c>
      <c r="CV247" s="8">
        <v>16373</v>
      </c>
      <c r="CW247" s="10">
        <f t="shared" si="1250"/>
        <v>0.77386575394061863</v>
      </c>
      <c r="CX247" s="8">
        <v>0</v>
      </c>
      <c r="CY247" s="8"/>
      <c r="CZ247" s="8"/>
      <c r="DA247" s="8"/>
      <c r="DB247" s="9">
        <f t="shared" si="1251"/>
        <v>0</v>
      </c>
      <c r="DC247" s="8">
        <v>0</v>
      </c>
      <c r="DD247" s="8">
        <v>0</v>
      </c>
      <c r="DE247" s="8">
        <v>0</v>
      </c>
      <c r="DF247" s="8">
        <v>0</v>
      </c>
      <c r="DG247" s="9">
        <f t="shared" si="1252"/>
        <v>0</v>
      </c>
      <c r="DH247" s="8">
        <v>0</v>
      </c>
      <c r="DI247" s="8">
        <v>0</v>
      </c>
      <c r="DJ247" s="8">
        <v>0</v>
      </c>
      <c r="DK247" s="8">
        <v>0</v>
      </c>
      <c r="DL247" s="9">
        <f t="shared" si="1253"/>
        <v>0</v>
      </c>
      <c r="DM247" s="8">
        <v>300</v>
      </c>
      <c r="DN247" s="8">
        <v>0</v>
      </c>
      <c r="DO247" s="8">
        <v>0</v>
      </c>
      <c r="DP247" s="8">
        <v>0</v>
      </c>
      <c r="DQ247" s="9">
        <f t="shared" si="1254"/>
        <v>300</v>
      </c>
      <c r="DR247" s="9">
        <f t="shared" si="1255"/>
        <v>300</v>
      </c>
      <c r="DS247" s="9">
        <f t="shared" si="1256"/>
        <v>0</v>
      </c>
      <c r="DT247" s="9">
        <f t="shared" si="1257"/>
        <v>0</v>
      </c>
      <c r="DU247" s="9">
        <f t="shared" si="1258"/>
        <v>0</v>
      </c>
      <c r="DV247" s="9">
        <f t="shared" si="1259"/>
        <v>300</v>
      </c>
      <c r="DW247" s="8">
        <v>34</v>
      </c>
      <c r="DX247" s="8">
        <v>34</v>
      </c>
      <c r="DY247" s="8">
        <v>16</v>
      </c>
      <c r="DZ247" s="8">
        <v>14</v>
      </c>
      <c r="EA247" s="8">
        <v>11</v>
      </c>
      <c r="EB247" s="8">
        <v>17</v>
      </c>
      <c r="EC247" s="8">
        <v>9</v>
      </c>
      <c r="ED247" s="8">
        <v>3</v>
      </c>
      <c r="EE247" s="8">
        <v>4</v>
      </c>
      <c r="EF247" s="8">
        <v>3</v>
      </c>
      <c r="EG247" s="8">
        <v>0</v>
      </c>
      <c r="EH247" s="8">
        <v>0</v>
      </c>
      <c r="EI247" s="8">
        <v>0</v>
      </c>
      <c r="EJ247" s="8">
        <v>6</v>
      </c>
      <c r="EK247" s="8">
        <v>5</v>
      </c>
      <c r="EL247" s="8">
        <v>3</v>
      </c>
      <c r="EM247" s="8">
        <v>4</v>
      </c>
      <c r="EN247" s="8">
        <v>5</v>
      </c>
      <c r="EO247" s="8"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8">
        <v>0</v>
      </c>
      <c r="FC247" s="8">
        <v>0</v>
      </c>
      <c r="FD247" s="8">
        <v>0</v>
      </c>
      <c r="FE247" s="8">
        <v>0</v>
      </c>
      <c r="FF247" s="8">
        <v>0</v>
      </c>
      <c r="FG247" s="9">
        <f t="shared" si="1260"/>
        <v>168</v>
      </c>
      <c r="FH247" s="8">
        <v>0</v>
      </c>
      <c r="FI247" s="8">
        <v>0</v>
      </c>
      <c r="FJ247" s="8">
        <v>0</v>
      </c>
      <c r="FK247" s="8">
        <v>0</v>
      </c>
      <c r="FL247" s="8">
        <v>0</v>
      </c>
      <c r="FM247" s="8">
        <v>0</v>
      </c>
      <c r="FN247" s="8">
        <v>0</v>
      </c>
      <c r="FO247" s="8">
        <v>0</v>
      </c>
      <c r="FP247" s="8">
        <v>0</v>
      </c>
      <c r="FQ247" s="9">
        <f t="shared" si="1261"/>
        <v>0</v>
      </c>
      <c r="FR247" s="8">
        <v>8876836</v>
      </c>
      <c r="FS247" s="8">
        <v>79320</v>
      </c>
      <c r="FT247" s="8">
        <v>158000</v>
      </c>
      <c r="FU247" s="8">
        <v>0</v>
      </c>
      <c r="FV247" s="9">
        <f t="shared" si="1262"/>
        <v>9114156</v>
      </c>
      <c r="FW247" s="8">
        <v>2087400</v>
      </c>
      <c r="FX247" s="8">
        <v>0</v>
      </c>
      <c r="FY247" s="8">
        <v>2434200</v>
      </c>
      <c r="FZ247" s="8">
        <v>565700</v>
      </c>
      <c r="GA247" s="9">
        <f t="shared" si="1263"/>
        <v>5087300</v>
      </c>
      <c r="GB247" s="9">
        <f t="shared" si="1264"/>
        <v>14201456</v>
      </c>
      <c r="GC247" s="8">
        <v>11152698.99</v>
      </c>
      <c r="GD247" s="8">
        <v>101760.96000000001</v>
      </c>
      <c r="GE247" s="8">
        <v>134450.56</v>
      </c>
      <c r="GF247" s="8">
        <v>103707.45</v>
      </c>
      <c r="GG247" s="9">
        <f t="shared" si="1265"/>
        <v>11492617.960000001</v>
      </c>
      <c r="GH247" s="8">
        <v>1997580</v>
      </c>
      <c r="GI247" s="8">
        <v>0</v>
      </c>
      <c r="GJ247" s="8">
        <v>565700</v>
      </c>
      <c r="GK247" s="8">
        <v>2342547.59</v>
      </c>
      <c r="GL247" s="9">
        <f t="shared" si="1266"/>
        <v>4905827.59</v>
      </c>
      <c r="GM247" s="9">
        <f t="shared" si="1267"/>
        <v>16398445.550000001</v>
      </c>
      <c r="GN247" s="8">
        <v>789547.2</v>
      </c>
      <c r="GO247" s="8">
        <v>1912.8</v>
      </c>
      <c r="GP247" s="8">
        <v>16968.2</v>
      </c>
      <c r="GQ247" s="8">
        <v>23186.7</v>
      </c>
      <c r="GR247" s="9">
        <f t="shared" si="1268"/>
        <v>831614.89999999991</v>
      </c>
      <c r="GS247" s="8">
        <v>1287706</v>
      </c>
      <c r="GT247" s="8">
        <v>8930</v>
      </c>
      <c r="GU247" s="8">
        <v>4465</v>
      </c>
      <c r="GV247" s="8">
        <v>4465</v>
      </c>
      <c r="GW247" s="9">
        <f t="shared" si="1269"/>
        <v>1305566</v>
      </c>
      <c r="GX247" s="9">
        <f t="shared" si="1270"/>
        <v>18535626.449999999</v>
      </c>
      <c r="GY247" s="8">
        <v>27249072.489999998</v>
      </c>
      <c r="GZ247" s="8">
        <v>1666842.79</v>
      </c>
      <c r="HA247" s="9">
        <f t="shared" si="1271"/>
        <v>28915915.279999997</v>
      </c>
      <c r="HB247" s="9">
        <f t="shared" si="1272"/>
        <v>6.2060152059225389E-2</v>
      </c>
      <c r="HC247" s="10">
        <f t="shared" si="1273"/>
        <v>0.31017908447122794</v>
      </c>
      <c r="HD247" s="9">
        <f t="shared" si="1274"/>
        <v>0.76617081371965179</v>
      </c>
      <c r="HE247" s="8">
        <v>20</v>
      </c>
      <c r="HF247" s="8">
        <v>0</v>
      </c>
      <c r="HG247" s="8">
        <v>33</v>
      </c>
      <c r="HH247" s="8">
        <v>20</v>
      </c>
      <c r="HI247" s="8">
        <v>0</v>
      </c>
      <c r="HJ247" s="9">
        <f t="shared" si="1275"/>
        <v>0</v>
      </c>
      <c r="HK247" s="10">
        <f t="shared" si="1276"/>
        <v>1</v>
      </c>
      <c r="HL247" s="8">
        <v>0</v>
      </c>
      <c r="HM247" s="8">
        <v>0</v>
      </c>
      <c r="HN247" s="11" t="str">
        <f t="shared" si="1277"/>
        <v/>
      </c>
    </row>
    <row r="248" spans="1:222" x14ac:dyDescent="0.3">
      <c r="A248" s="12" t="s">
        <v>289</v>
      </c>
      <c r="B248" s="12" t="s">
        <v>293</v>
      </c>
      <c r="C248" s="13" t="s">
        <v>257</v>
      </c>
      <c r="D248" s="13">
        <v>2025</v>
      </c>
      <c r="E248" s="13">
        <v>9</v>
      </c>
      <c r="F248" s="13" t="s">
        <v>265</v>
      </c>
      <c r="G248" s="13" t="s">
        <v>263</v>
      </c>
      <c r="H248" s="14">
        <v>30839</v>
      </c>
      <c r="I248" s="14">
        <v>14096</v>
      </c>
      <c r="J248" s="14">
        <v>509</v>
      </c>
      <c r="K248" s="14">
        <v>46</v>
      </c>
      <c r="L248" s="14">
        <v>38</v>
      </c>
      <c r="M248" s="15">
        <f t="shared" si="1217"/>
        <v>14689</v>
      </c>
      <c r="N248" s="14">
        <v>3054</v>
      </c>
      <c r="O248" s="14">
        <v>0</v>
      </c>
      <c r="P248" s="14">
        <v>2109</v>
      </c>
      <c r="Q248" s="14">
        <v>3546</v>
      </c>
      <c r="R248" s="15">
        <f t="shared" si="1218"/>
        <v>8709</v>
      </c>
      <c r="S248" s="15">
        <f t="shared" si="1219"/>
        <v>23398</v>
      </c>
      <c r="T248" s="14">
        <v>7441</v>
      </c>
      <c r="U248" s="16">
        <f t="shared" si="1220"/>
        <v>0.24128538538863128</v>
      </c>
      <c r="V248" s="14">
        <v>19</v>
      </c>
      <c r="W248" s="17">
        <f t="shared" si="1221"/>
        <v>6.1610298647816076E-4</v>
      </c>
      <c r="X248" s="14">
        <v>0</v>
      </c>
      <c r="Y248" s="17">
        <f t="shared" si="1222"/>
        <v>0</v>
      </c>
      <c r="Z248" s="14">
        <v>0</v>
      </c>
      <c r="AA248" s="17">
        <f t="shared" si="1223"/>
        <v>0</v>
      </c>
      <c r="AB248" s="14">
        <v>0</v>
      </c>
      <c r="AC248" s="17">
        <f t="shared" si="1224"/>
        <v>0</v>
      </c>
      <c r="AD248" s="14">
        <v>0</v>
      </c>
      <c r="AE248" s="17">
        <f t="shared" si="1225"/>
        <v>0</v>
      </c>
      <c r="AF248" s="14">
        <v>0</v>
      </c>
      <c r="AG248" s="17">
        <f t="shared" si="1226"/>
        <v>0</v>
      </c>
      <c r="AH248" s="14">
        <v>66980.509999999995</v>
      </c>
      <c r="AI248" s="15">
        <f t="shared" si="1227"/>
        <v>2.171941697201595</v>
      </c>
      <c r="AJ248" s="14">
        <v>7604</v>
      </c>
      <c r="AK248" s="17">
        <f t="shared" si="1228"/>
        <v>0.24657090048315444</v>
      </c>
      <c r="AL248" s="14">
        <v>1071492.906</v>
      </c>
      <c r="AM248" s="15">
        <f t="shared" si="1229"/>
        <v>34.744735756671744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5">
        <f t="shared" si="1230"/>
        <v>1138473.416</v>
      </c>
      <c r="AV248" s="15">
        <f t="shared" si="1231"/>
        <v>36.916677453873341</v>
      </c>
      <c r="AW248" s="15">
        <f t="shared" si="1232"/>
        <v>48.656868792204463</v>
      </c>
      <c r="AX248" s="14">
        <v>6</v>
      </c>
      <c r="AY248" s="15">
        <f t="shared" si="1233"/>
        <v>2.3347060540225044</v>
      </c>
      <c r="AZ248" s="14">
        <v>6</v>
      </c>
      <c r="BA248" s="14">
        <v>31</v>
      </c>
      <c r="BB248" s="14">
        <v>15</v>
      </c>
      <c r="BC248" s="14">
        <v>23</v>
      </c>
      <c r="BD248" s="14">
        <v>2</v>
      </c>
      <c r="BE248" s="15">
        <f t="shared" si="1234"/>
        <v>25</v>
      </c>
      <c r="BF248" s="15">
        <f t="shared" si="1235"/>
        <v>21</v>
      </c>
      <c r="BG248" s="14">
        <v>0</v>
      </c>
      <c r="BH248" s="14">
        <v>0</v>
      </c>
      <c r="BI248" s="14">
        <v>0</v>
      </c>
      <c r="BJ248" s="14">
        <v>0</v>
      </c>
      <c r="BK248" s="15">
        <f t="shared" si="1236"/>
        <v>0</v>
      </c>
      <c r="BL248" s="15">
        <f t="shared" si="1237"/>
        <v>0</v>
      </c>
      <c r="BM248" s="14">
        <v>2</v>
      </c>
      <c r="BN248" s="14">
        <v>0</v>
      </c>
      <c r="BO248" s="14">
        <v>0</v>
      </c>
      <c r="BP248" s="14">
        <v>0</v>
      </c>
      <c r="BQ248" s="15">
        <f t="shared" si="1238"/>
        <v>0</v>
      </c>
      <c r="BR248" s="15">
        <f t="shared" si="1239"/>
        <v>2</v>
      </c>
      <c r="BS248" s="14">
        <v>0</v>
      </c>
      <c r="BT248" s="14">
        <v>0</v>
      </c>
      <c r="BU248" s="14">
        <v>0</v>
      </c>
      <c r="BV248" s="14">
        <v>0</v>
      </c>
      <c r="BW248" s="15">
        <f t="shared" si="1240"/>
        <v>0</v>
      </c>
      <c r="BX248" s="15">
        <f t="shared" si="1241"/>
        <v>0</v>
      </c>
      <c r="BY248" s="15">
        <f t="shared" si="1242"/>
        <v>33</v>
      </c>
      <c r="BZ248" s="15">
        <f t="shared" si="1243"/>
        <v>15</v>
      </c>
      <c r="CA248" s="15">
        <f t="shared" si="1244"/>
        <v>25</v>
      </c>
      <c r="CB248" s="15">
        <f t="shared" si="1245"/>
        <v>23</v>
      </c>
      <c r="CC248" s="14">
        <v>0</v>
      </c>
      <c r="CD248" s="14">
        <v>713</v>
      </c>
      <c r="CE248" s="14">
        <v>17</v>
      </c>
      <c r="CF248" s="14">
        <v>32</v>
      </c>
      <c r="CG248" s="14">
        <v>6</v>
      </c>
      <c r="CH248" s="15">
        <f t="shared" si="1246"/>
        <v>768</v>
      </c>
      <c r="CI248" s="14">
        <v>1656</v>
      </c>
      <c r="CJ248" s="14">
        <v>11</v>
      </c>
      <c r="CK248" s="14">
        <v>10</v>
      </c>
      <c r="CL248" s="14">
        <v>8</v>
      </c>
      <c r="CM248" s="15">
        <f t="shared" si="1247"/>
        <v>1685</v>
      </c>
      <c r="CN248" s="14">
        <v>222</v>
      </c>
      <c r="CO248" s="14">
        <v>25</v>
      </c>
      <c r="CP248" s="14">
        <v>42</v>
      </c>
      <c r="CQ248" s="14">
        <v>1</v>
      </c>
      <c r="CR248" s="15">
        <f t="shared" si="1248"/>
        <v>290</v>
      </c>
      <c r="CS248" s="15">
        <f t="shared" si="1249"/>
        <v>1975</v>
      </c>
      <c r="CT248" s="14">
        <v>2743</v>
      </c>
      <c r="CU248" s="14">
        <v>21200</v>
      </c>
      <c r="CV248" s="14">
        <v>16521</v>
      </c>
      <c r="CW248" s="16">
        <f t="shared" si="1250"/>
        <v>0.77929245283018866</v>
      </c>
      <c r="CX248" s="14">
        <v>0</v>
      </c>
      <c r="CY248" s="14"/>
      <c r="CZ248" s="14"/>
      <c r="DA248" s="14"/>
      <c r="DB248" s="15">
        <f t="shared" si="1251"/>
        <v>0</v>
      </c>
      <c r="DC248" s="14">
        <v>0</v>
      </c>
      <c r="DD248" s="14">
        <v>0</v>
      </c>
      <c r="DE248" s="14">
        <v>0</v>
      </c>
      <c r="DF248" s="14">
        <v>0</v>
      </c>
      <c r="DG248" s="15">
        <f t="shared" si="1252"/>
        <v>0</v>
      </c>
      <c r="DH248" s="14">
        <v>0</v>
      </c>
      <c r="DI248" s="14">
        <v>0</v>
      </c>
      <c r="DJ248" s="14">
        <v>0</v>
      </c>
      <c r="DK248" s="14">
        <v>0</v>
      </c>
      <c r="DL248" s="15">
        <f t="shared" si="1253"/>
        <v>0</v>
      </c>
      <c r="DM248" s="14">
        <v>300</v>
      </c>
      <c r="DN248" s="14">
        <v>0</v>
      </c>
      <c r="DO248" s="14">
        <v>0</v>
      </c>
      <c r="DP248" s="14">
        <v>0</v>
      </c>
      <c r="DQ248" s="15">
        <f t="shared" si="1254"/>
        <v>300</v>
      </c>
      <c r="DR248" s="15">
        <f t="shared" si="1255"/>
        <v>300</v>
      </c>
      <c r="DS248" s="15">
        <f t="shared" si="1256"/>
        <v>0</v>
      </c>
      <c r="DT248" s="15">
        <f t="shared" si="1257"/>
        <v>0</v>
      </c>
      <c r="DU248" s="15">
        <f t="shared" si="1258"/>
        <v>0</v>
      </c>
      <c r="DV248" s="15">
        <f t="shared" si="1259"/>
        <v>300</v>
      </c>
      <c r="DW248" s="14">
        <v>38</v>
      </c>
      <c r="DX248" s="14">
        <v>20</v>
      </c>
      <c r="DY248" s="14">
        <v>15</v>
      </c>
      <c r="DZ248" s="14">
        <v>7</v>
      </c>
      <c r="EA248" s="14">
        <v>6</v>
      </c>
      <c r="EB248" s="14">
        <v>10</v>
      </c>
      <c r="EC248" s="14">
        <v>11</v>
      </c>
      <c r="ED248" s="14">
        <v>9</v>
      </c>
      <c r="EE248" s="14">
        <v>11</v>
      </c>
      <c r="EF248" s="14">
        <v>7</v>
      </c>
      <c r="EG248" s="14">
        <v>0</v>
      </c>
      <c r="EH248" s="14">
        <v>0</v>
      </c>
      <c r="EI248" s="14">
        <v>0</v>
      </c>
      <c r="EJ248" s="14">
        <v>9</v>
      </c>
      <c r="EK248" s="14">
        <v>12</v>
      </c>
      <c r="EL248" s="14">
        <v>10</v>
      </c>
      <c r="EM248" s="14">
        <v>11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14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0</v>
      </c>
      <c r="FE248" s="14">
        <v>0</v>
      </c>
      <c r="FF248" s="14">
        <v>0</v>
      </c>
      <c r="FG248" s="15">
        <f t="shared" si="1260"/>
        <v>176</v>
      </c>
      <c r="FH248" s="14">
        <v>0</v>
      </c>
      <c r="FI248" s="14">
        <v>0</v>
      </c>
      <c r="FJ248" s="14">
        <v>0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5">
        <f t="shared" si="1261"/>
        <v>0</v>
      </c>
      <c r="FR248" s="14">
        <v>7449017</v>
      </c>
      <c r="FS248" s="14">
        <v>37620</v>
      </c>
      <c r="FT248" s="14">
        <v>0</v>
      </c>
      <c r="FU248" s="14">
        <v>49067</v>
      </c>
      <c r="FV248" s="15">
        <f t="shared" si="1262"/>
        <v>7535704</v>
      </c>
      <c r="FW248" s="14">
        <v>2080609</v>
      </c>
      <c r="FX248" s="14">
        <v>0</v>
      </c>
      <c r="FY248" s="14">
        <v>1639328</v>
      </c>
      <c r="FZ248" s="14">
        <v>308779</v>
      </c>
      <c r="GA248" s="15">
        <f t="shared" si="1263"/>
        <v>4028716</v>
      </c>
      <c r="GB248" s="15">
        <f t="shared" si="1264"/>
        <v>11564420</v>
      </c>
      <c r="GC248" s="14">
        <v>12919964.51</v>
      </c>
      <c r="GD248" s="14">
        <v>97361.52</v>
      </c>
      <c r="GE248" s="14">
        <v>129926.11</v>
      </c>
      <c r="GF248" s="14">
        <v>104805.44</v>
      </c>
      <c r="GG248" s="15">
        <f t="shared" si="1265"/>
        <v>13252057.579999998</v>
      </c>
      <c r="GH248" s="14">
        <v>2007175.71</v>
      </c>
      <c r="GI248" s="14">
        <v>0</v>
      </c>
      <c r="GJ248" s="14">
        <v>308778.8</v>
      </c>
      <c r="GK248" s="14">
        <v>1564328.09</v>
      </c>
      <c r="GL248" s="15">
        <f t="shared" si="1266"/>
        <v>3880282.5999999996</v>
      </c>
      <c r="GM248" s="15">
        <f t="shared" si="1267"/>
        <v>17132340.18</v>
      </c>
      <c r="GN248" s="14">
        <v>860285.26</v>
      </c>
      <c r="GO248" s="14">
        <v>1912.8</v>
      </c>
      <c r="GP248" s="14">
        <v>20361.84</v>
      </c>
      <c r="GQ248" s="14">
        <v>27824.04</v>
      </c>
      <c r="GR248" s="15">
        <f t="shared" si="1268"/>
        <v>910383.94000000006</v>
      </c>
      <c r="GS248" s="14">
        <v>1403796</v>
      </c>
      <c r="GT248" s="14">
        <v>8930</v>
      </c>
      <c r="GU248" s="14">
        <v>5358</v>
      </c>
      <c r="GV248" s="14">
        <v>5358</v>
      </c>
      <c r="GW248" s="15">
        <f t="shared" si="1269"/>
        <v>1423442</v>
      </c>
      <c r="GX248" s="15">
        <f t="shared" si="1270"/>
        <v>19466166.120000001</v>
      </c>
      <c r="GY248" s="14">
        <v>34704690.789999999</v>
      </c>
      <c r="GZ248" s="14">
        <v>1794788.74</v>
      </c>
      <c r="HA248" s="15">
        <f t="shared" si="1271"/>
        <v>36499479.530000001</v>
      </c>
      <c r="HB248" s="15">
        <f t="shared" si="1272"/>
        <v>5.8484727243250295E-2</v>
      </c>
      <c r="HC248" s="16">
        <f t="shared" si="1273"/>
        <v>0.21348047012092208</v>
      </c>
      <c r="HD248" s="15">
        <f t="shared" si="1274"/>
        <v>0.59407794676726</v>
      </c>
      <c r="HE248" s="14">
        <v>15</v>
      </c>
      <c r="HF248" s="14">
        <v>0</v>
      </c>
      <c r="HG248" s="14">
        <v>23</v>
      </c>
      <c r="HH248" s="14">
        <v>15</v>
      </c>
      <c r="HI248" s="14">
        <v>0</v>
      </c>
      <c r="HJ248" s="15">
        <f t="shared" si="1275"/>
        <v>0</v>
      </c>
      <c r="HK248" s="16">
        <f t="shared" si="1276"/>
        <v>1</v>
      </c>
      <c r="HL248" s="14">
        <v>0</v>
      </c>
      <c r="HM248" s="14">
        <v>0</v>
      </c>
      <c r="HN248" s="17" t="str">
        <f t="shared" si="1277"/>
        <v/>
      </c>
    </row>
    <row r="249" spans="1:222" x14ac:dyDescent="0.3">
      <c r="A249" s="6" t="s">
        <v>289</v>
      </c>
      <c r="B249" s="6" t="s">
        <v>293</v>
      </c>
      <c r="C249" s="7" t="s">
        <v>257</v>
      </c>
      <c r="D249" s="7">
        <v>2025</v>
      </c>
      <c r="E249" s="7">
        <v>10</v>
      </c>
      <c r="F249" s="7" t="s">
        <v>266</v>
      </c>
      <c r="G249" s="7" t="s">
        <v>267</v>
      </c>
      <c r="H249" s="8">
        <v>30375</v>
      </c>
      <c r="I249" s="8">
        <v>15702</v>
      </c>
      <c r="J249" s="8">
        <v>576</v>
      </c>
      <c r="K249" s="8">
        <v>388</v>
      </c>
      <c r="L249" s="8">
        <v>234</v>
      </c>
      <c r="M249" s="9">
        <f t="shared" si="1217"/>
        <v>16900</v>
      </c>
      <c r="N249" s="8">
        <v>2181</v>
      </c>
      <c r="O249" s="8">
        <v>0</v>
      </c>
      <c r="P249" s="8">
        <v>1018</v>
      </c>
      <c r="Q249" s="8">
        <v>2924</v>
      </c>
      <c r="R249" s="9">
        <f t="shared" si="1218"/>
        <v>6123</v>
      </c>
      <c r="S249" s="9">
        <f t="shared" si="1219"/>
        <v>23023</v>
      </c>
      <c r="T249" s="8">
        <v>7352</v>
      </c>
      <c r="U249" s="10">
        <f t="shared" si="1220"/>
        <v>0.2420411522633745</v>
      </c>
      <c r="V249" s="8">
        <v>19</v>
      </c>
      <c r="W249" s="11">
        <f t="shared" si="1221"/>
        <v>6.2551440329218109E-4</v>
      </c>
      <c r="X249" s="8">
        <v>0</v>
      </c>
      <c r="Y249" s="11">
        <f t="shared" si="1222"/>
        <v>0</v>
      </c>
      <c r="Z249" s="8">
        <v>0</v>
      </c>
      <c r="AA249" s="11">
        <f t="shared" si="1223"/>
        <v>0</v>
      </c>
      <c r="AB249" s="8">
        <v>0</v>
      </c>
      <c r="AC249" s="11">
        <f t="shared" si="1224"/>
        <v>0</v>
      </c>
      <c r="AD249" s="8">
        <v>0</v>
      </c>
      <c r="AE249" s="11">
        <f t="shared" si="1225"/>
        <v>0</v>
      </c>
      <c r="AF249" s="8">
        <v>0</v>
      </c>
      <c r="AG249" s="11">
        <f t="shared" si="1226"/>
        <v>0</v>
      </c>
      <c r="AH249" s="8">
        <v>66980.509999999995</v>
      </c>
      <c r="AI249" s="9">
        <f t="shared" si="1227"/>
        <v>2.205119670781893</v>
      </c>
      <c r="AJ249" s="8">
        <v>7661</v>
      </c>
      <c r="AK249" s="11">
        <f t="shared" si="1228"/>
        <v>0.25221399176954734</v>
      </c>
      <c r="AL249" s="8">
        <v>1079401.7415</v>
      </c>
      <c r="AM249" s="9">
        <f t="shared" si="1229"/>
        <v>35.535859802469133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9">
        <f t="shared" si="1230"/>
        <v>1146382.2515</v>
      </c>
      <c r="AV249" s="9">
        <f t="shared" si="1231"/>
        <v>37.740979473251031</v>
      </c>
      <c r="AW249" s="9">
        <f t="shared" si="1232"/>
        <v>49.792913673283238</v>
      </c>
      <c r="AX249" s="8">
        <v>6</v>
      </c>
      <c r="AY249" s="9">
        <f t="shared" si="1233"/>
        <v>2.3703703703703702</v>
      </c>
      <c r="AZ249" s="8">
        <v>6</v>
      </c>
      <c r="BA249" s="8">
        <v>21</v>
      </c>
      <c r="BB249" s="8">
        <v>14</v>
      </c>
      <c r="BC249" s="8">
        <v>23</v>
      </c>
      <c r="BD249" s="8">
        <v>0</v>
      </c>
      <c r="BE249" s="9">
        <f t="shared" si="1234"/>
        <v>23</v>
      </c>
      <c r="BF249" s="9">
        <f t="shared" si="1235"/>
        <v>12</v>
      </c>
      <c r="BG249" s="8">
        <v>0</v>
      </c>
      <c r="BH249" s="8">
        <v>0</v>
      </c>
      <c r="BI249" s="8">
        <v>0</v>
      </c>
      <c r="BJ249" s="8">
        <v>0</v>
      </c>
      <c r="BK249" s="9">
        <f t="shared" si="1236"/>
        <v>0</v>
      </c>
      <c r="BL249" s="9">
        <f t="shared" si="1237"/>
        <v>0</v>
      </c>
      <c r="BM249" s="8">
        <v>2</v>
      </c>
      <c r="BN249" s="8">
        <v>0</v>
      </c>
      <c r="BO249" s="8">
        <v>0</v>
      </c>
      <c r="BP249" s="8">
        <v>0</v>
      </c>
      <c r="BQ249" s="9">
        <f t="shared" si="1238"/>
        <v>0</v>
      </c>
      <c r="BR249" s="9">
        <f t="shared" si="1239"/>
        <v>2</v>
      </c>
      <c r="BS249" s="8">
        <v>0</v>
      </c>
      <c r="BT249" s="8">
        <v>0</v>
      </c>
      <c r="BU249" s="8">
        <v>0</v>
      </c>
      <c r="BV249" s="8">
        <v>0</v>
      </c>
      <c r="BW249" s="9">
        <f t="shared" si="1240"/>
        <v>0</v>
      </c>
      <c r="BX249" s="9">
        <f t="shared" si="1241"/>
        <v>0</v>
      </c>
      <c r="BY249" s="9">
        <f t="shared" si="1242"/>
        <v>23</v>
      </c>
      <c r="BZ249" s="9">
        <f t="shared" si="1243"/>
        <v>14</v>
      </c>
      <c r="CA249" s="9">
        <f t="shared" si="1244"/>
        <v>23</v>
      </c>
      <c r="CB249" s="9">
        <f t="shared" si="1245"/>
        <v>14</v>
      </c>
      <c r="CC249" s="8">
        <v>0</v>
      </c>
      <c r="CD249" s="8">
        <v>712</v>
      </c>
      <c r="CE249" s="8">
        <v>17</v>
      </c>
      <c r="CF249" s="8">
        <v>32</v>
      </c>
      <c r="CG249" s="8">
        <v>6</v>
      </c>
      <c r="CH249" s="9">
        <f t="shared" si="1246"/>
        <v>767</v>
      </c>
      <c r="CI249" s="8">
        <v>1680</v>
      </c>
      <c r="CJ249" s="8">
        <v>11</v>
      </c>
      <c r="CK249" s="8">
        <v>10</v>
      </c>
      <c r="CL249" s="8">
        <v>8</v>
      </c>
      <c r="CM249" s="9">
        <f t="shared" si="1247"/>
        <v>1709</v>
      </c>
      <c r="CN249" s="8">
        <v>221</v>
      </c>
      <c r="CO249" s="8">
        <v>25</v>
      </c>
      <c r="CP249" s="8">
        <v>42</v>
      </c>
      <c r="CQ249" s="8">
        <v>1</v>
      </c>
      <c r="CR249" s="9">
        <f t="shared" si="1248"/>
        <v>289</v>
      </c>
      <c r="CS249" s="9">
        <f t="shared" si="1249"/>
        <v>1998</v>
      </c>
      <c r="CT249" s="8">
        <v>2765</v>
      </c>
      <c r="CU249" s="8">
        <v>21242.400000000001</v>
      </c>
      <c r="CV249" s="8">
        <v>16521</v>
      </c>
      <c r="CW249" s="10">
        <f t="shared" si="1250"/>
        <v>0.77773697887244375</v>
      </c>
      <c r="CX249" s="8">
        <v>0</v>
      </c>
      <c r="CY249" s="8"/>
      <c r="CZ249" s="8"/>
      <c r="DA249" s="8"/>
      <c r="DB249" s="9">
        <f t="shared" si="1251"/>
        <v>0</v>
      </c>
      <c r="DC249" s="8">
        <v>0</v>
      </c>
      <c r="DD249" s="8">
        <v>0</v>
      </c>
      <c r="DE249" s="8">
        <v>0</v>
      </c>
      <c r="DF249" s="8">
        <v>0</v>
      </c>
      <c r="DG249" s="9">
        <f t="shared" si="1252"/>
        <v>0</v>
      </c>
      <c r="DH249" s="8">
        <v>0</v>
      </c>
      <c r="DI249" s="8">
        <v>0</v>
      </c>
      <c r="DJ249" s="8">
        <v>0</v>
      </c>
      <c r="DK249" s="8">
        <v>0</v>
      </c>
      <c r="DL249" s="9">
        <f t="shared" si="1253"/>
        <v>0</v>
      </c>
      <c r="DM249" s="8">
        <v>300</v>
      </c>
      <c r="DN249" s="8">
        <v>0</v>
      </c>
      <c r="DO249" s="8">
        <v>0</v>
      </c>
      <c r="DP249" s="8">
        <v>0</v>
      </c>
      <c r="DQ249" s="9">
        <f t="shared" si="1254"/>
        <v>300</v>
      </c>
      <c r="DR249" s="9">
        <f t="shared" si="1255"/>
        <v>300</v>
      </c>
      <c r="DS249" s="9">
        <f t="shared" si="1256"/>
        <v>0</v>
      </c>
      <c r="DT249" s="9">
        <f t="shared" si="1257"/>
        <v>0</v>
      </c>
      <c r="DU249" s="9">
        <f t="shared" si="1258"/>
        <v>0</v>
      </c>
      <c r="DV249" s="9">
        <f t="shared" si="1259"/>
        <v>300</v>
      </c>
      <c r="DW249" s="8">
        <v>32</v>
      </c>
      <c r="DX249" s="8">
        <v>20</v>
      </c>
      <c r="DY249" s="8">
        <v>6</v>
      </c>
      <c r="DZ249" s="8">
        <v>13</v>
      </c>
      <c r="EA249" s="8">
        <v>10</v>
      </c>
      <c r="EB249" s="8">
        <v>12</v>
      </c>
      <c r="EC249" s="8">
        <v>11</v>
      </c>
      <c r="ED249" s="8">
        <v>6</v>
      </c>
      <c r="EE249" s="8">
        <v>9</v>
      </c>
      <c r="EF249" s="8">
        <v>8</v>
      </c>
      <c r="EG249" s="8">
        <v>0</v>
      </c>
      <c r="EH249" s="8">
        <v>0</v>
      </c>
      <c r="EI249" s="8">
        <v>0</v>
      </c>
      <c r="EJ249" s="8">
        <v>10</v>
      </c>
      <c r="EK249" s="8">
        <v>15</v>
      </c>
      <c r="EL249" s="8">
        <v>2</v>
      </c>
      <c r="EM249" s="8">
        <v>5</v>
      </c>
      <c r="EN249" s="8">
        <v>4</v>
      </c>
      <c r="EO249" s="8"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8">
        <v>0</v>
      </c>
      <c r="FC249" s="8">
        <v>0</v>
      </c>
      <c r="FD249" s="8">
        <v>0</v>
      </c>
      <c r="FE249" s="8">
        <v>7</v>
      </c>
      <c r="FF249" s="8">
        <v>0</v>
      </c>
      <c r="FG249" s="9">
        <f t="shared" si="1260"/>
        <v>170</v>
      </c>
      <c r="FH249" s="8">
        <v>0</v>
      </c>
      <c r="FI249" s="8">
        <v>0</v>
      </c>
      <c r="FJ249" s="8">
        <v>0</v>
      </c>
      <c r="FK249" s="8">
        <v>0</v>
      </c>
      <c r="FL249" s="8">
        <v>0</v>
      </c>
      <c r="FM249" s="8">
        <v>0</v>
      </c>
      <c r="FN249" s="8">
        <v>0</v>
      </c>
      <c r="FO249" s="8">
        <v>0</v>
      </c>
      <c r="FP249" s="8">
        <v>0</v>
      </c>
      <c r="FQ249" s="9">
        <f t="shared" si="1261"/>
        <v>0</v>
      </c>
      <c r="FR249" s="8">
        <v>14843845</v>
      </c>
      <c r="FS249" s="8">
        <v>190620</v>
      </c>
      <c r="FT249" s="8">
        <v>223867</v>
      </c>
      <c r="FU249" s="8">
        <v>21000</v>
      </c>
      <c r="FV249" s="9">
        <f t="shared" si="1262"/>
        <v>15279332</v>
      </c>
      <c r="FW249" s="8">
        <v>2522746</v>
      </c>
      <c r="FX249" s="8">
        <v>0</v>
      </c>
      <c r="FY249" s="8">
        <v>2284328</v>
      </c>
      <c r="FZ249" s="8">
        <v>1232720</v>
      </c>
      <c r="GA249" s="9">
        <f t="shared" si="1263"/>
        <v>6039794</v>
      </c>
      <c r="GB249" s="9">
        <f t="shared" si="1264"/>
        <v>21319126</v>
      </c>
      <c r="GC249" s="8">
        <v>11446617.25</v>
      </c>
      <c r="GD249" s="8">
        <v>101378.4</v>
      </c>
      <c r="GE249" s="8">
        <v>162231.45000000001</v>
      </c>
      <c r="GF249" s="8">
        <v>102672.5</v>
      </c>
      <c r="GG249" s="9">
        <f t="shared" si="1265"/>
        <v>11812899.6</v>
      </c>
      <c r="GH249" s="8">
        <v>2447159.75</v>
      </c>
      <c r="GI249" s="8">
        <v>0</v>
      </c>
      <c r="GJ249" s="8">
        <v>1229120</v>
      </c>
      <c r="GK249" s="8">
        <v>2265474.38</v>
      </c>
      <c r="GL249" s="9">
        <f t="shared" si="1266"/>
        <v>5941754.1299999999</v>
      </c>
      <c r="GM249" s="9">
        <f t="shared" si="1267"/>
        <v>17754653.73</v>
      </c>
      <c r="GN249" s="8">
        <v>873908.51</v>
      </c>
      <c r="GO249" s="8">
        <v>1912.8</v>
      </c>
      <c r="GP249" s="8">
        <v>16968.12</v>
      </c>
      <c r="GQ249" s="8">
        <v>27824.04</v>
      </c>
      <c r="GR249" s="9">
        <f t="shared" si="1268"/>
        <v>920613.47000000009</v>
      </c>
      <c r="GS249" s="8">
        <v>1426121</v>
      </c>
      <c r="GT249" s="8">
        <v>8930</v>
      </c>
      <c r="GU249" s="8">
        <v>4465</v>
      </c>
      <c r="GV249" s="8">
        <v>5358</v>
      </c>
      <c r="GW249" s="9">
        <f t="shared" si="1269"/>
        <v>1444874</v>
      </c>
      <c r="GX249" s="9">
        <f t="shared" si="1270"/>
        <v>20120141.199999999</v>
      </c>
      <c r="GY249" s="8">
        <v>34363986.579999998</v>
      </c>
      <c r="GZ249" s="8">
        <v>1835005.5</v>
      </c>
      <c r="HA249" s="9">
        <f t="shared" si="1271"/>
        <v>36198992.079999998</v>
      </c>
      <c r="HB249" s="9">
        <f t="shared" si="1272"/>
        <v>5.6976849223105849E-2</v>
      </c>
      <c r="HC249" s="10">
        <f t="shared" si="1273"/>
        <v>0.39129058073727319</v>
      </c>
      <c r="HD249" s="9">
        <f t="shared" si="1274"/>
        <v>1.0595912716556881</v>
      </c>
      <c r="HE249" s="8">
        <v>14</v>
      </c>
      <c r="HF249" s="8">
        <v>0</v>
      </c>
      <c r="HG249" s="8">
        <v>14</v>
      </c>
      <c r="HH249" s="8">
        <v>14</v>
      </c>
      <c r="HI249" s="8">
        <v>0</v>
      </c>
      <c r="HJ249" s="9">
        <f t="shared" si="1275"/>
        <v>0</v>
      </c>
      <c r="HK249" s="10">
        <f t="shared" si="1276"/>
        <v>1</v>
      </c>
      <c r="HL249" s="8">
        <v>0</v>
      </c>
      <c r="HM249" s="8">
        <v>0</v>
      </c>
      <c r="HN249" s="11" t="str">
        <f t="shared" si="1277"/>
        <v/>
      </c>
    </row>
    <row r="250" spans="1:222" x14ac:dyDescent="0.3">
      <c r="A250" s="12" t="s">
        <v>289</v>
      </c>
      <c r="B250" s="12" t="s">
        <v>293</v>
      </c>
      <c r="C250" s="13" t="s">
        <v>257</v>
      </c>
      <c r="D250" s="13">
        <v>2025</v>
      </c>
      <c r="E250" s="13">
        <v>11</v>
      </c>
      <c r="F250" s="13" t="s">
        <v>268</v>
      </c>
      <c r="G250" s="13" t="s">
        <v>267</v>
      </c>
      <c r="H250" s="14">
        <v>31617</v>
      </c>
      <c r="I250" s="14">
        <v>15363</v>
      </c>
      <c r="J250" s="14">
        <v>583</v>
      </c>
      <c r="K250" s="14">
        <v>268</v>
      </c>
      <c r="L250" s="14">
        <v>183</v>
      </c>
      <c r="M250" s="15">
        <f t="shared" si="1217"/>
        <v>16397</v>
      </c>
      <c r="N250" s="14">
        <v>2618</v>
      </c>
      <c r="O250" s="14">
        <v>0</v>
      </c>
      <c r="P250" s="14">
        <v>1564</v>
      </c>
      <c r="Q250" s="14">
        <v>3235</v>
      </c>
      <c r="R250" s="15">
        <f t="shared" si="1218"/>
        <v>7417</v>
      </c>
      <c r="S250" s="15">
        <f t="shared" si="1219"/>
        <v>23814</v>
      </c>
      <c r="T250" s="14">
        <v>7803</v>
      </c>
      <c r="U250" s="16">
        <f t="shared" si="1220"/>
        <v>0.24679760888129804</v>
      </c>
      <c r="V250" s="14">
        <v>18</v>
      </c>
      <c r="W250" s="17">
        <f t="shared" si="1221"/>
        <v>5.6931397665812699E-4</v>
      </c>
      <c r="X250" s="14">
        <v>0</v>
      </c>
      <c r="Y250" s="17">
        <f t="shared" si="1222"/>
        <v>0</v>
      </c>
      <c r="Z250" s="14">
        <v>0</v>
      </c>
      <c r="AA250" s="17">
        <f t="shared" si="1223"/>
        <v>0</v>
      </c>
      <c r="AB250" s="14">
        <v>0</v>
      </c>
      <c r="AC250" s="17">
        <f t="shared" si="1224"/>
        <v>0</v>
      </c>
      <c r="AD250" s="14">
        <v>0</v>
      </c>
      <c r="AE250" s="17">
        <f t="shared" si="1225"/>
        <v>0</v>
      </c>
      <c r="AF250" s="14">
        <v>0</v>
      </c>
      <c r="AG250" s="17">
        <f t="shared" si="1226"/>
        <v>0</v>
      </c>
      <c r="AH250" s="14">
        <v>63455.22</v>
      </c>
      <c r="AI250" s="15">
        <f t="shared" si="1227"/>
        <v>2.0069968687731286</v>
      </c>
      <c r="AJ250" s="14">
        <v>7583</v>
      </c>
      <c r="AK250" s="17">
        <f t="shared" si="1228"/>
        <v>0.23983932694436538</v>
      </c>
      <c r="AL250" s="14">
        <v>1068579.1244999999</v>
      </c>
      <c r="AM250" s="15">
        <f t="shared" si="1229"/>
        <v>33.797612819053036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5">
        <f t="shared" si="1230"/>
        <v>1132034.3444999999</v>
      </c>
      <c r="AV250" s="15">
        <f t="shared" si="1231"/>
        <v>35.804609687826165</v>
      </c>
      <c r="AW250" s="15">
        <f t="shared" si="1232"/>
        <v>47.536505605946076</v>
      </c>
      <c r="AX250" s="14">
        <v>6</v>
      </c>
      <c r="AY250" s="15">
        <f t="shared" si="1233"/>
        <v>2.277255906632508</v>
      </c>
      <c r="AZ250" s="14">
        <v>6</v>
      </c>
      <c r="BA250" s="14">
        <v>12</v>
      </c>
      <c r="BB250" s="14">
        <v>13</v>
      </c>
      <c r="BC250" s="14">
        <v>5</v>
      </c>
      <c r="BD250" s="14">
        <v>2</v>
      </c>
      <c r="BE250" s="15">
        <f t="shared" si="1234"/>
        <v>7</v>
      </c>
      <c r="BF250" s="15">
        <f t="shared" si="1235"/>
        <v>18</v>
      </c>
      <c r="BG250" s="14">
        <v>0</v>
      </c>
      <c r="BH250" s="14">
        <v>0</v>
      </c>
      <c r="BI250" s="14">
        <v>0</v>
      </c>
      <c r="BJ250" s="14">
        <v>0</v>
      </c>
      <c r="BK250" s="15">
        <f t="shared" si="1236"/>
        <v>0</v>
      </c>
      <c r="BL250" s="15">
        <f t="shared" si="1237"/>
        <v>0</v>
      </c>
      <c r="BM250" s="14">
        <v>2</v>
      </c>
      <c r="BN250" s="14">
        <v>0</v>
      </c>
      <c r="BO250" s="14">
        <v>0</v>
      </c>
      <c r="BP250" s="14">
        <v>0</v>
      </c>
      <c r="BQ250" s="15">
        <f t="shared" si="1238"/>
        <v>0</v>
      </c>
      <c r="BR250" s="15">
        <f t="shared" si="1239"/>
        <v>2</v>
      </c>
      <c r="BS250" s="14">
        <v>0</v>
      </c>
      <c r="BT250" s="14">
        <v>0</v>
      </c>
      <c r="BU250" s="14">
        <v>0</v>
      </c>
      <c r="BV250" s="14">
        <v>0</v>
      </c>
      <c r="BW250" s="15">
        <f t="shared" si="1240"/>
        <v>0</v>
      </c>
      <c r="BX250" s="15">
        <f t="shared" si="1241"/>
        <v>0</v>
      </c>
      <c r="BY250" s="15">
        <f t="shared" si="1242"/>
        <v>14</v>
      </c>
      <c r="BZ250" s="15">
        <f t="shared" si="1243"/>
        <v>13</v>
      </c>
      <c r="CA250" s="15">
        <f t="shared" si="1244"/>
        <v>7</v>
      </c>
      <c r="CB250" s="15">
        <f t="shared" si="1245"/>
        <v>20</v>
      </c>
      <c r="CC250" s="14">
        <v>0</v>
      </c>
      <c r="CD250" s="14">
        <v>710</v>
      </c>
      <c r="CE250" s="14">
        <v>17</v>
      </c>
      <c r="CF250" s="14">
        <v>32</v>
      </c>
      <c r="CG250" s="14">
        <v>6</v>
      </c>
      <c r="CH250" s="15">
        <f t="shared" si="1246"/>
        <v>765</v>
      </c>
      <c r="CI250" s="14">
        <v>1687</v>
      </c>
      <c r="CJ250" s="14">
        <v>11</v>
      </c>
      <c r="CK250" s="14">
        <v>10</v>
      </c>
      <c r="CL250" s="14">
        <v>8</v>
      </c>
      <c r="CM250" s="15">
        <f t="shared" si="1247"/>
        <v>1716</v>
      </c>
      <c r="CN250" s="14">
        <v>221</v>
      </c>
      <c r="CO250" s="14">
        <v>25</v>
      </c>
      <c r="CP250" s="14">
        <v>42</v>
      </c>
      <c r="CQ250" s="14">
        <v>1</v>
      </c>
      <c r="CR250" s="15">
        <f t="shared" si="1248"/>
        <v>289</v>
      </c>
      <c r="CS250" s="15">
        <f t="shared" si="1249"/>
        <v>2005</v>
      </c>
      <c r="CT250" s="14">
        <v>2770</v>
      </c>
      <c r="CU250" s="14">
        <v>21284.8848</v>
      </c>
      <c r="CV250" s="14">
        <v>16521</v>
      </c>
      <c r="CW250" s="16">
        <f t="shared" si="1250"/>
        <v>0.77618460965313751</v>
      </c>
      <c r="CX250" s="14">
        <v>0</v>
      </c>
      <c r="CY250" s="14"/>
      <c r="CZ250" s="14"/>
      <c r="DA250" s="14"/>
      <c r="DB250" s="15">
        <f t="shared" si="1251"/>
        <v>0</v>
      </c>
      <c r="DC250" s="14">
        <v>0</v>
      </c>
      <c r="DD250" s="14">
        <v>0</v>
      </c>
      <c r="DE250" s="14">
        <v>0</v>
      </c>
      <c r="DF250" s="14">
        <v>0</v>
      </c>
      <c r="DG250" s="15">
        <f t="shared" si="1252"/>
        <v>0</v>
      </c>
      <c r="DH250" s="14">
        <v>0</v>
      </c>
      <c r="DI250" s="14">
        <v>0</v>
      </c>
      <c r="DJ250" s="14">
        <v>0</v>
      </c>
      <c r="DK250" s="14">
        <v>0</v>
      </c>
      <c r="DL250" s="15">
        <f t="shared" si="1253"/>
        <v>0</v>
      </c>
      <c r="DM250" s="14">
        <v>300</v>
      </c>
      <c r="DN250" s="14">
        <v>0</v>
      </c>
      <c r="DO250" s="14">
        <v>0</v>
      </c>
      <c r="DP250" s="14">
        <v>0</v>
      </c>
      <c r="DQ250" s="15">
        <f t="shared" si="1254"/>
        <v>300</v>
      </c>
      <c r="DR250" s="15">
        <f t="shared" si="1255"/>
        <v>300</v>
      </c>
      <c r="DS250" s="15">
        <f t="shared" si="1256"/>
        <v>0</v>
      </c>
      <c r="DT250" s="15">
        <f t="shared" si="1257"/>
        <v>0</v>
      </c>
      <c r="DU250" s="15">
        <f t="shared" si="1258"/>
        <v>0</v>
      </c>
      <c r="DV250" s="15">
        <f t="shared" si="1259"/>
        <v>300</v>
      </c>
      <c r="DW250" s="14">
        <v>16</v>
      </c>
      <c r="DX250" s="14">
        <v>13</v>
      </c>
      <c r="DY250" s="14">
        <v>5</v>
      </c>
      <c r="DZ250" s="14">
        <v>6</v>
      </c>
      <c r="EA250" s="14">
        <v>4</v>
      </c>
      <c r="EB250" s="14">
        <v>9</v>
      </c>
      <c r="EC250" s="14">
        <v>4</v>
      </c>
      <c r="ED250" s="14">
        <v>0</v>
      </c>
      <c r="EE250" s="14">
        <v>2</v>
      </c>
      <c r="EF250" s="14">
        <v>1</v>
      </c>
      <c r="EG250" s="14">
        <v>0</v>
      </c>
      <c r="EH250" s="14">
        <v>0</v>
      </c>
      <c r="EI250" s="14">
        <v>0</v>
      </c>
      <c r="EJ250" s="14">
        <v>5</v>
      </c>
      <c r="EK250" s="14">
        <v>7</v>
      </c>
      <c r="EL250" s="14">
        <v>4</v>
      </c>
      <c r="EM250" s="14">
        <v>3</v>
      </c>
      <c r="EN250" s="14">
        <v>5</v>
      </c>
      <c r="EO250" s="14">
        <v>0</v>
      </c>
      <c r="EP250" s="14">
        <v>0</v>
      </c>
      <c r="EQ250" s="14">
        <v>0</v>
      </c>
      <c r="ER250" s="14">
        <v>0</v>
      </c>
      <c r="ES250" s="14">
        <v>0</v>
      </c>
      <c r="ET250" s="14">
        <v>0</v>
      </c>
      <c r="EU250" s="14">
        <v>0</v>
      </c>
      <c r="EV250" s="14">
        <v>0</v>
      </c>
      <c r="EW250" s="14">
        <v>0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4</v>
      </c>
      <c r="FF250" s="14">
        <v>0</v>
      </c>
      <c r="FG250" s="15">
        <f t="shared" si="1260"/>
        <v>88</v>
      </c>
      <c r="FH250" s="14">
        <v>0</v>
      </c>
      <c r="FI250" s="14">
        <v>0</v>
      </c>
      <c r="FJ250" s="14">
        <v>0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0</v>
      </c>
      <c r="FQ250" s="15">
        <f t="shared" si="1261"/>
        <v>0</v>
      </c>
      <c r="FR250" s="14">
        <v>8570434</v>
      </c>
      <c r="FS250" s="14">
        <v>68100</v>
      </c>
      <c r="FT250" s="14">
        <v>53000</v>
      </c>
      <c r="FU250" s="14">
        <v>901857</v>
      </c>
      <c r="FV250" s="15">
        <f t="shared" si="1262"/>
        <v>9593391</v>
      </c>
      <c r="FW250" s="14">
        <v>2284610</v>
      </c>
      <c r="FX250" s="14">
        <v>0</v>
      </c>
      <c r="FY250" s="14">
        <v>1757450</v>
      </c>
      <c r="FZ250" s="14">
        <v>1600200</v>
      </c>
      <c r="GA250" s="15">
        <f t="shared" si="1263"/>
        <v>5642260</v>
      </c>
      <c r="GB250" s="15">
        <f t="shared" si="1264"/>
        <v>15235651</v>
      </c>
      <c r="GC250" s="14">
        <v>12282362.16</v>
      </c>
      <c r="GD250" s="14">
        <v>108264.48</v>
      </c>
      <c r="GE250" s="14">
        <v>183391.77</v>
      </c>
      <c r="GF250" s="14">
        <v>136538.65</v>
      </c>
      <c r="GG250" s="15">
        <f t="shared" si="1265"/>
        <v>12710557.060000001</v>
      </c>
      <c r="GH250" s="14">
        <v>2228835.08</v>
      </c>
      <c r="GI250" s="14">
        <v>0</v>
      </c>
      <c r="GJ250" s="14">
        <v>1575000</v>
      </c>
      <c r="GK250" s="14">
        <v>1745450</v>
      </c>
      <c r="GL250" s="15">
        <f t="shared" si="1266"/>
        <v>5549285.0800000001</v>
      </c>
      <c r="GM250" s="15">
        <f t="shared" si="1267"/>
        <v>18259842.140000001</v>
      </c>
      <c r="GN250" s="14">
        <v>883561.03</v>
      </c>
      <c r="GO250" s="14">
        <v>1912.8</v>
      </c>
      <c r="GP250" s="14">
        <v>13574.56</v>
      </c>
      <c r="GQ250" s="14">
        <v>23186.7</v>
      </c>
      <c r="GR250" s="15">
        <f t="shared" si="1268"/>
        <v>922235.09000000008</v>
      </c>
      <c r="GS250" s="14">
        <v>1441302</v>
      </c>
      <c r="GT250" s="14">
        <v>8930</v>
      </c>
      <c r="GU250" s="14">
        <v>3572</v>
      </c>
      <c r="GV250" s="14">
        <v>4465</v>
      </c>
      <c r="GW250" s="15">
        <f t="shared" si="1269"/>
        <v>1458269</v>
      </c>
      <c r="GX250" s="15">
        <f t="shared" si="1270"/>
        <v>20640346.23</v>
      </c>
      <c r="GY250" s="14">
        <v>38289183.5</v>
      </c>
      <c r="GZ250" s="14">
        <v>894471.72</v>
      </c>
      <c r="HA250" s="15">
        <f t="shared" si="1271"/>
        <v>39183655.219999999</v>
      </c>
      <c r="HB250" s="15">
        <f t="shared" si="1272"/>
        <v>5.4845705197262083E-2</v>
      </c>
      <c r="HC250" s="16">
        <f t="shared" si="1273"/>
        <v>0.25854017620377839</v>
      </c>
      <c r="HD250" s="15">
        <f t="shared" si="1274"/>
        <v>0.7381490034239605</v>
      </c>
      <c r="HE250" s="14">
        <v>13</v>
      </c>
      <c r="HF250" s="14">
        <v>0</v>
      </c>
      <c r="HG250" s="14">
        <v>20</v>
      </c>
      <c r="HH250" s="14">
        <v>13</v>
      </c>
      <c r="HI250" s="14">
        <v>0</v>
      </c>
      <c r="HJ250" s="15">
        <f t="shared" si="1275"/>
        <v>0</v>
      </c>
      <c r="HK250" s="16">
        <f t="shared" si="1276"/>
        <v>1</v>
      </c>
      <c r="HL250" s="14">
        <v>0</v>
      </c>
      <c r="HM250" s="14">
        <v>0</v>
      </c>
      <c r="HN250" s="17" t="str">
        <f t="shared" si="1277"/>
        <v/>
      </c>
    </row>
    <row r="251" spans="1:222" x14ac:dyDescent="0.3">
      <c r="A251" s="6" t="s">
        <v>289</v>
      </c>
      <c r="B251" s="6" t="s">
        <v>293</v>
      </c>
      <c r="C251" s="7" t="s">
        <v>257</v>
      </c>
      <c r="D251" s="7">
        <v>2025</v>
      </c>
      <c r="E251" s="7">
        <v>12</v>
      </c>
      <c r="F251" s="7" t="s">
        <v>269</v>
      </c>
      <c r="G251" s="7" t="s">
        <v>267</v>
      </c>
      <c r="H251" s="8">
        <v>32244</v>
      </c>
      <c r="I251" s="8">
        <v>15780</v>
      </c>
      <c r="J251" s="8">
        <v>623</v>
      </c>
      <c r="K251" s="8">
        <v>254</v>
      </c>
      <c r="L251" s="8">
        <v>192</v>
      </c>
      <c r="M251" s="9">
        <f t="shared" si="1217"/>
        <v>16849</v>
      </c>
      <c r="N251" s="8">
        <v>3541</v>
      </c>
      <c r="O251" s="8">
        <v>0</v>
      </c>
      <c r="P251" s="8">
        <v>1432</v>
      </c>
      <c r="Q251" s="8">
        <v>3147</v>
      </c>
      <c r="R251" s="9">
        <f t="shared" si="1218"/>
        <v>8120</v>
      </c>
      <c r="S251" s="9">
        <f t="shared" si="1219"/>
        <v>24969</v>
      </c>
      <c r="T251" s="8">
        <v>7275</v>
      </c>
      <c r="U251" s="10">
        <f t="shared" si="1220"/>
        <v>0.22562337179010047</v>
      </c>
      <c r="V251" s="8">
        <v>19</v>
      </c>
      <c r="W251" s="11">
        <f t="shared" si="1221"/>
        <v>5.8925691601538271E-4</v>
      </c>
      <c r="X251" s="8">
        <v>0</v>
      </c>
      <c r="Y251" s="11">
        <f t="shared" si="1222"/>
        <v>0</v>
      </c>
      <c r="Z251" s="8">
        <v>0</v>
      </c>
      <c r="AA251" s="11">
        <f t="shared" si="1223"/>
        <v>0</v>
      </c>
      <c r="AB251" s="8">
        <v>0</v>
      </c>
      <c r="AC251" s="11">
        <f t="shared" si="1224"/>
        <v>0</v>
      </c>
      <c r="AD251" s="8">
        <v>0</v>
      </c>
      <c r="AE251" s="11">
        <f t="shared" si="1225"/>
        <v>0</v>
      </c>
      <c r="AF251" s="8">
        <v>0</v>
      </c>
      <c r="AG251" s="11">
        <f t="shared" si="1226"/>
        <v>0</v>
      </c>
      <c r="AH251" s="8">
        <v>66980.509999999995</v>
      </c>
      <c r="AI251" s="9">
        <f t="shared" si="1227"/>
        <v>2.0773015134598682</v>
      </c>
      <c r="AJ251" s="8">
        <v>7345</v>
      </c>
      <c r="AK251" s="11">
        <f t="shared" si="1228"/>
        <v>0.22779431832278874</v>
      </c>
      <c r="AL251" s="8">
        <v>1035556.2675</v>
      </c>
      <c r="AM251" s="9">
        <f t="shared" si="1229"/>
        <v>32.116246976181614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9">
        <f t="shared" si="1230"/>
        <v>1102536.7774999999</v>
      </c>
      <c r="AV251" s="9">
        <f t="shared" si="1231"/>
        <v>34.193548489641479</v>
      </c>
      <c r="AW251" s="9">
        <f t="shared" si="1232"/>
        <v>44.156224818775279</v>
      </c>
      <c r="AX251" s="8">
        <v>6</v>
      </c>
      <c r="AY251" s="9">
        <f t="shared" si="1233"/>
        <v>2.232973576479345</v>
      </c>
      <c r="AZ251" s="8">
        <v>6</v>
      </c>
      <c r="BA251" s="8">
        <v>18</v>
      </c>
      <c r="BB251" s="8">
        <v>17</v>
      </c>
      <c r="BC251" s="8">
        <v>14</v>
      </c>
      <c r="BD251" s="8">
        <v>2</v>
      </c>
      <c r="BE251" s="9">
        <f t="shared" si="1234"/>
        <v>16</v>
      </c>
      <c r="BF251" s="9">
        <f t="shared" si="1235"/>
        <v>19</v>
      </c>
      <c r="BG251" s="8">
        <v>0</v>
      </c>
      <c r="BH251" s="8">
        <v>0</v>
      </c>
      <c r="BI251" s="8">
        <v>0</v>
      </c>
      <c r="BJ251" s="8">
        <v>0</v>
      </c>
      <c r="BK251" s="9">
        <f t="shared" si="1236"/>
        <v>0</v>
      </c>
      <c r="BL251" s="9">
        <f t="shared" si="1237"/>
        <v>0</v>
      </c>
      <c r="BM251" s="8">
        <v>2</v>
      </c>
      <c r="BN251" s="8">
        <v>0</v>
      </c>
      <c r="BO251" s="8">
        <v>0</v>
      </c>
      <c r="BP251" s="8">
        <v>0</v>
      </c>
      <c r="BQ251" s="9">
        <f t="shared" si="1238"/>
        <v>0</v>
      </c>
      <c r="BR251" s="9">
        <f t="shared" si="1239"/>
        <v>2</v>
      </c>
      <c r="BS251" s="8">
        <v>0</v>
      </c>
      <c r="BT251" s="8">
        <v>0</v>
      </c>
      <c r="BU251" s="8">
        <v>0</v>
      </c>
      <c r="BV251" s="8">
        <v>0</v>
      </c>
      <c r="BW251" s="9">
        <f t="shared" si="1240"/>
        <v>0</v>
      </c>
      <c r="BX251" s="9">
        <f t="shared" si="1241"/>
        <v>0</v>
      </c>
      <c r="BY251" s="9">
        <f t="shared" si="1242"/>
        <v>20</v>
      </c>
      <c r="BZ251" s="9">
        <f t="shared" si="1243"/>
        <v>17</v>
      </c>
      <c r="CA251" s="9">
        <f t="shared" si="1244"/>
        <v>16</v>
      </c>
      <c r="CB251" s="9">
        <f t="shared" si="1245"/>
        <v>21</v>
      </c>
      <c r="CC251" s="8">
        <v>0</v>
      </c>
      <c r="CD251" s="8">
        <v>691</v>
      </c>
      <c r="CE251" s="8">
        <v>17</v>
      </c>
      <c r="CF251" s="8">
        <v>32</v>
      </c>
      <c r="CG251" s="8">
        <v>6</v>
      </c>
      <c r="CH251" s="9">
        <f t="shared" si="1246"/>
        <v>746</v>
      </c>
      <c r="CI251" s="8">
        <v>1720</v>
      </c>
      <c r="CJ251" s="8">
        <v>11</v>
      </c>
      <c r="CK251" s="8">
        <v>10</v>
      </c>
      <c r="CL251" s="8">
        <v>8</v>
      </c>
      <c r="CM251" s="9">
        <f t="shared" si="1247"/>
        <v>1749</v>
      </c>
      <c r="CN251" s="8">
        <v>221</v>
      </c>
      <c r="CO251" s="8">
        <v>25</v>
      </c>
      <c r="CP251" s="8">
        <v>42</v>
      </c>
      <c r="CQ251" s="8">
        <v>1</v>
      </c>
      <c r="CR251" s="9">
        <f t="shared" si="1248"/>
        <v>289</v>
      </c>
      <c r="CS251" s="9">
        <f t="shared" si="1249"/>
        <v>2038</v>
      </c>
      <c r="CT251" s="8">
        <v>2784</v>
      </c>
      <c r="CU251" s="8">
        <v>21327.454569599999</v>
      </c>
      <c r="CV251" s="8">
        <v>16521</v>
      </c>
      <c r="CW251" s="10">
        <f t="shared" si="1250"/>
        <v>0.77463533897518722</v>
      </c>
      <c r="CX251" s="8">
        <v>0</v>
      </c>
      <c r="CY251" s="8"/>
      <c r="CZ251" s="8"/>
      <c r="DA251" s="8"/>
      <c r="DB251" s="9">
        <f t="shared" si="1251"/>
        <v>0</v>
      </c>
      <c r="DC251" s="8">
        <v>0</v>
      </c>
      <c r="DD251" s="8">
        <v>0</v>
      </c>
      <c r="DE251" s="8">
        <v>0</v>
      </c>
      <c r="DF251" s="8">
        <v>0</v>
      </c>
      <c r="DG251" s="9">
        <f t="shared" si="1252"/>
        <v>0</v>
      </c>
      <c r="DH251" s="8">
        <v>0</v>
      </c>
      <c r="DI251" s="8">
        <v>0</v>
      </c>
      <c r="DJ251" s="8">
        <v>0</v>
      </c>
      <c r="DK251" s="8">
        <v>0</v>
      </c>
      <c r="DL251" s="9">
        <f t="shared" si="1253"/>
        <v>0</v>
      </c>
      <c r="DM251" s="8">
        <v>300</v>
      </c>
      <c r="DN251" s="8">
        <v>0</v>
      </c>
      <c r="DO251" s="8">
        <v>0</v>
      </c>
      <c r="DP251" s="8">
        <v>0</v>
      </c>
      <c r="DQ251" s="9">
        <f t="shared" si="1254"/>
        <v>300</v>
      </c>
      <c r="DR251" s="9">
        <f t="shared" si="1255"/>
        <v>300</v>
      </c>
      <c r="DS251" s="9">
        <f t="shared" si="1256"/>
        <v>0</v>
      </c>
      <c r="DT251" s="9">
        <f t="shared" si="1257"/>
        <v>0</v>
      </c>
      <c r="DU251" s="9">
        <f t="shared" si="1258"/>
        <v>0</v>
      </c>
      <c r="DV251" s="9">
        <f t="shared" si="1259"/>
        <v>300</v>
      </c>
      <c r="DW251" s="8">
        <v>9</v>
      </c>
      <c r="DX251" s="8">
        <v>4</v>
      </c>
      <c r="DY251" s="8">
        <v>2</v>
      </c>
      <c r="DZ251" s="8">
        <v>2</v>
      </c>
      <c r="EA251" s="8">
        <v>3</v>
      </c>
      <c r="EB251" s="8">
        <v>4</v>
      </c>
      <c r="EC251" s="8">
        <v>3</v>
      </c>
      <c r="ED251" s="8">
        <v>5</v>
      </c>
      <c r="EE251" s="8">
        <v>8</v>
      </c>
      <c r="EF251" s="8">
        <v>5</v>
      </c>
      <c r="EG251" s="8">
        <v>0</v>
      </c>
      <c r="EH251" s="8">
        <v>0</v>
      </c>
      <c r="EI251" s="8">
        <v>0</v>
      </c>
      <c r="EJ251" s="8">
        <v>10</v>
      </c>
      <c r="EK251" s="8">
        <v>8</v>
      </c>
      <c r="EL251" s="8">
        <v>2</v>
      </c>
      <c r="EM251" s="8">
        <v>9</v>
      </c>
      <c r="EN251" s="8">
        <v>6</v>
      </c>
      <c r="EO251" s="8"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8">
        <v>0</v>
      </c>
      <c r="FC251" s="8">
        <v>0</v>
      </c>
      <c r="FD251" s="8">
        <v>0</v>
      </c>
      <c r="FE251" s="8">
        <v>4</v>
      </c>
      <c r="FF251" s="8">
        <v>0</v>
      </c>
      <c r="FG251" s="9">
        <f t="shared" si="1260"/>
        <v>84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9">
        <f t="shared" si="1261"/>
        <v>0</v>
      </c>
      <c r="FR251" s="8">
        <v>24663580</v>
      </c>
      <c r="FS251" s="8">
        <v>214500</v>
      </c>
      <c r="FT251" s="8">
        <v>168000</v>
      </c>
      <c r="FU251" s="8">
        <v>0</v>
      </c>
      <c r="FV251" s="9">
        <f t="shared" si="1262"/>
        <v>25046080</v>
      </c>
      <c r="FW251" s="8">
        <v>2460859</v>
      </c>
      <c r="FX251" s="8">
        <v>0</v>
      </c>
      <c r="FY251" s="8">
        <v>1965500</v>
      </c>
      <c r="FZ251" s="8">
        <v>530150</v>
      </c>
      <c r="GA251" s="9">
        <f t="shared" si="1263"/>
        <v>4956509</v>
      </c>
      <c r="GB251" s="9">
        <f t="shared" si="1264"/>
        <v>30002589</v>
      </c>
      <c r="GC251" s="8">
        <v>11212101.810000001</v>
      </c>
      <c r="GD251" s="8">
        <v>97170.240000000005</v>
      </c>
      <c r="GE251" s="8">
        <v>95985.21</v>
      </c>
      <c r="GF251" s="8">
        <v>102815.94</v>
      </c>
      <c r="GG251" s="9">
        <f t="shared" si="1265"/>
        <v>11508073.200000001</v>
      </c>
      <c r="GH251" s="8">
        <v>2406138.98</v>
      </c>
      <c r="GI251" s="8">
        <v>0</v>
      </c>
      <c r="GJ251" s="8">
        <v>507195.67</v>
      </c>
      <c r="GK251" s="8">
        <v>1928500</v>
      </c>
      <c r="GL251" s="9">
        <f t="shared" si="1266"/>
        <v>4841834.6500000004</v>
      </c>
      <c r="GM251" s="9">
        <f t="shared" si="1267"/>
        <v>16349907.850000001</v>
      </c>
      <c r="GN251" s="8">
        <v>877349.57</v>
      </c>
      <c r="GO251" s="8">
        <v>1912.8</v>
      </c>
      <c r="GP251" s="8">
        <v>10180.92</v>
      </c>
      <c r="GQ251" s="8">
        <v>18549.36</v>
      </c>
      <c r="GR251" s="9">
        <f t="shared" si="1268"/>
        <v>907992.65</v>
      </c>
      <c r="GS251" s="8">
        <v>1430586</v>
      </c>
      <c r="GT251" s="8">
        <v>8930</v>
      </c>
      <c r="GU251" s="8">
        <v>2679</v>
      </c>
      <c r="GV251" s="8">
        <v>3572</v>
      </c>
      <c r="GW251" s="9">
        <f t="shared" si="1269"/>
        <v>1445767</v>
      </c>
      <c r="GX251" s="9">
        <f t="shared" si="1270"/>
        <v>18703667.5</v>
      </c>
      <c r="GY251" s="8">
        <v>28328823.77</v>
      </c>
      <c r="GZ251" s="8">
        <v>405663.92</v>
      </c>
      <c r="HA251" s="9">
        <f t="shared" si="1271"/>
        <v>28734487.690000001</v>
      </c>
      <c r="HB251" s="9">
        <f t="shared" si="1272"/>
        <v>5.8947624977828537E-2</v>
      </c>
      <c r="HC251" s="10">
        <f t="shared" si="1273"/>
        <v>0.63791196659695892</v>
      </c>
      <c r="HD251" s="9">
        <f t="shared" si="1274"/>
        <v>1.6041019227913456</v>
      </c>
      <c r="HE251" s="8">
        <v>17</v>
      </c>
      <c r="HF251" s="8">
        <v>0</v>
      </c>
      <c r="HG251" s="8">
        <v>21</v>
      </c>
      <c r="HH251" s="8">
        <v>17</v>
      </c>
      <c r="HI251" s="8">
        <v>0</v>
      </c>
      <c r="HJ251" s="9">
        <f t="shared" si="1275"/>
        <v>0</v>
      </c>
      <c r="HK251" s="10">
        <f t="shared" si="1276"/>
        <v>1</v>
      </c>
      <c r="HL251" s="8">
        <v>0</v>
      </c>
      <c r="HM251" s="8">
        <v>0</v>
      </c>
      <c r="HN251" s="11" t="str">
        <f t="shared" si="1277"/>
        <v/>
      </c>
    </row>
    <row r="252" spans="1:222" x14ac:dyDescent="0.3">
      <c r="A252" s="12" t="s">
        <v>289</v>
      </c>
      <c r="B252" s="12" t="s">
        <v>293</v>
      </c>
      <c r="C252" s="13" t="s">
        <v>257</v>
      </c>
      <c r="D252" s="13">
        <v>2026</v>
      </c>
      <c r="E252" s="13">
        <v>1</v>
      </c>
      <c r="F252" s="13" t="s">
        <v>270</v>
      </c>
      <c r="G252" s="13" t="s">
        <v>271</v>
      </c>
      <c r="H252" s="14">
        <v>31123</v>
      </c>
      <c r="I252" s="14">
        <v>15615</v>
      </c>
      <c r="J252" s="14">
        <v>594</v>
      </c>
      <c r="K252" s="14">
        <v>303</v>
      </c>
      <c r="L252" s="14">
        <v>203</v>
      </c>
      <c r="M252" s="15">
        <v>16715</v>
      </c>
      <c r="N252" s="14">
        <v>2780</v>
      </c>
      <c r="O252" s="14">
        <v>0</v>
      </c>
      <c r="P252" s="14">
        <v>1338</v>
      </c>
      <c r="Q252" s="14">
        <v>3102</v>
      </c>
      <c r="R252" s="15">
        <v>7220</v>
      </c>
      <c r="S252" s="15">
        <v>23935</v>
      </c>
      <c r="T252" s="14">
        <v>7188</v>
      </c>
      <c r="U252" s="16">
        <v>0.23095459949233679</v>
      </c>
      <c r="V252" s="14">
        <v>18</v>
      </c>
      <c r="W252" s="17">
        <v>0.5783504160909938</v>
      </c>
      <c r="X252" s="14">
        <v>0</v>
      </c>
      <c r="Y252" s="17">
        <v>0</v>
      </c>
      <c r="Z252" s="14">
        <v>0</v>
      </c>
      <c r="AA252" s="17">
        <v>0</v>
      </c>
      <c r="AB252" s="14">
        <v>0</v>
      </c>
      <c r="AC252" s="17">
        <v>0</v>
      </c>
      <c r="AD252" s="14">
        <v>0</v>
      </c>
      <c r="AE252" s="17">
        <v>0</v>
      </c>
      <c r="AF252" s="14">
        <v>0</v>
      </c>
      <c r="AG252" s="17">
        <v>0</v>
      </c>
      <c r="AH252" s="14">
        <v>63455.22</v>
      </c>
      <c r="AI252" s="15">
        <v>2.03885293834142</v>
      </c>
      <c r="AJ252" s="14">
        <v>7310</v>
      </c>
      <c r="AK252" s="17">
        <v>0.23487453009028689</v>
      </c>
      <c r="AL252" s="14">
        <v>1030699.965</v>
      </c>
      <c r="AM252" s="15">
        <v>33.116986312373491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5">
        <v>1094155.1850000001</v>
      </c>
      <c r="AV252" s="15">
        <v>35.155839250714912</v>
      </c>
      <c r="AW252" s="15">
        <v>45.713607060789641</v>
      </c>
      <c r="AX252" s="14">
        <v>6</v>
      </c>
      <c r="AY252" s="15">
        <v>5.9762876329402692</v>
      </c>
      <c r="AZ252" s="14">
        <v>6</v>
      </c>
      <c r="BA252" s="14">
        <v>19</v>
      </c>
      <c r="BB252" s="14">
        <v>40</v>
      </c>
      <c r="BC252" s="14">
        <v>20</v>
      </c>
      <c r="BD252" s="14">
        <v>14</v>
      </c>
      <c r="BE252" s="15">
        <v>34</v>
      </c>
      <c r="BF252" s="15">
        <v>25</v>
      </c>
      <c r="BG252" s="14">
        <v>0</v>
      </c>
      <c r="BH252" s="14">
        <v>0</v>
      </c>
      <c r="BI252" s="14">
        <v>0</v>
      </c>
      <c r="BJ252" s="14">
        <v>0</v>
      </c>
      <c r="BK252" s="15">
        <v>0</v>
      </c>
      <c r="BL252" s="15">
        <v>0</v>
      </c>
      <c r="BM252" s="14">
        <v>2</v>
      </c>
      <c r="BN252" s="14">
        <v>0</v>
      </c>
      <c r="BO252" s="14">
        <v>0</v>
      </c>
      <c r="BP252" s="14">
        <v>0</v>
      </c>
      <c r="BQ252" s="15">
        <v>0</v>
      </c>
      <c r="BR252" s="15">
        <v>2</v>
      </c>
      <c r="BS252" s="14">
        <v>0</v>
      </c>
      <c r="BT252" s="14">
        <v>0</v>
      </c>
      <c r="BU252" s="14">
        <v>0</v>
      </c>
      <c r="BV252" s="14">
        <v>0</v>
      </c>
      <c r="BW252" s="15">
        <v>0</v>
      </c>
      <c r="BX252" s="15">
        <v>0</v>
      </c>
      <c r="BY252" s="15">
        <v>21</v>
      </c>
      <c r="BZ252" s="15">
        <v>40</v>
      </c>
      <c r="CA252" s="15">
        <v>34</v>
      </c>
      <c r="CB252" s="15">
        <v>27</v>
      </c>
      <c r="CC252" s="14">
        <v>0</v>
      </c>
      <c r="CD252" s="14">
        <v>693</v>
      </c>
      <c r="CE252" s="14">
        <v>17</v>
      </c>
      <c r="CF252" s="14">
        <v>32</v>
      </c>
      <c r="CG252" s="14">
        <v>6</v>
      </c>
      <c r="CH252" s="15">
        <v>748</v>
      </c>
      <c r="CI252" s="14">
        <v>1738</v>
      </c>
      <c r="CJ252" s="14">
        <v>11</v>
      </c>
      <c r="CK252" s="14">
        <v>10</v>
      </c>
      <c r="CL252" s="14">
        <v>8</v>
      </c>
      <c r="CM252" s="15">
        <v>1767</v>
      </c>
      <c r="CN252" s="14">
        <v>221</v>
      </c>
      <c r="CO252" s="14">
        <v>25</v>
      </c>
      <c r="CP252" s="14">
        <v>42</v>
      </c>
      <c r="CQ252" s="14">
        <v>1</v>
      </c>
      <c r="CR252" s="15">
        <v>289</v>
      </c>
      <c r="CS252" s="15">
        <v>2056</v>
      </c>
      <c r="CT252" s="14">
        <v>2804</v>
      </c>
      <c r="CU252" s="14">
        <v>21370.109478739199</v>
      </c>
      <c r="CV252" s="14">
        <v>16521</v>
      </c>
      <c r="CW252" s="16">
        <v>0.77308916065387945</v>
      </c>
      <c r="CX252" s="14">
        <v>0</v>
      </c>
      <c r="CY252" s="14">
        <v>0</v>
      </c>
      <c r="CZ252" s="14">
        <v>0</v>
      </c>
      <c r="DA252" s="14">
        <v>0</v>
      </c>
      <c r="DB252" s="15">
        <v>0</v>
      </c>
      <c r="DC252" s="14">
        <v>0</v>
      </c>
      <c r="DD252" s="14">
        <v>0</v>
      </c>
      <c r="DE252" s="14">
        <v>0</v>
      </c>
      <c r="DF252" s="14">
        <v>0</v>
      </c>
      <c r="DG252" s="15">
        <v>0</v>
      </c>
      <c r="DH252" s="14">
        <v>0</v>
      </c>
      <c r="DI252" s="14">
        <v>0</v>
      </c>
      <c r="DJ252" s="14">
        <v>0</v>
      </c>
      <c r="DK252" s="14">
        <v>0</v>
      </c>
      <c r="DL252" s="15">
        <v>0</v>
      </c>
      <c r="DM252" s="14">
        <v>300</v>
      </c>
      <c r="DN252" s="14">
        <v>0</v>
      </c>
      <c r="DO252" s="14">
        <v>0</v>
      </c>
      <c r="DP252" s="14">
        <v>0</v>
      </c>
      <c r="DQ252" s="15">
        <v>300</v>
      </c>
      <c r="DR252" s="15">
        <v>300</v>
      </c>
      <c r="DS252" s="15">
        <v>0</v>
      </c>
      <c r="DT252" s="15">
        <v>0</v>
      </c>
      <c r="DU252" s="15">
        <v>0</v>
      </c>
      <c r="DV252" s="15">
        <v>300</v>
      </c>
      <c r="DW252" s="14">
        <v>25</v>
      </c>
      <c r="DX252" s="14">
        <v>16</v>
      </c>
      <c r="DY252" s="14">
        <v>8</v>
      </c>
      <c r="DZ252" s="14">
        <v>6</v>
      </c>
      <c r="EA252" s="14">
        <v>7</v>
      </c>
      <c r="EB252" s="14">
        <v>16</v>
      </c>
      <c r="EC252" s="14">
        <v>9</v>
      </c>
      <c r="ED252" s="14">
        <v>4</v>
      </c>
      <c r="EE252" s="14">
        <v>2</v>
      </c>
      <c r="EF252" s="14">
        <v>3</v>
      </c>
      <c r="EG252" s="14">
        <v>0</v>
      </c>
      <c r="EH252" s="14">
        <v>0</v>
      </c>
      <c r="EI252" s="14">
        <v>0</v>
      </c>
      <c r="EJ252" s="14">
        <v>8</v>
      </c>
      <c r="EK252" s="14">
        <v>5</v>
      </c>
      <c r="EL252" s="14">
        <v>5</v>
      </c>
      <c r="EM252" s="14">
        <v>4</v>
      </c>
      <c r="EN252" s="14">
        <v>3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0</v>
      </c>
      <c r="FD252" s="14">
        <v>0</v>
      </c>
      <c r="FE252" s="14">
        <v>2</v>
      </c>
      <c r="FF252" s="14">
        <v>0</v>
      </c>
      <c r="FG252" s="15">
        <v>123</v>
      </c>
      <c r="FH252" s="14">
        <v>0</v>
      </c>
      <c r="FI252" s="14">
        <v>0</v>
      </c>
      <c r="FJ252" s="14">
        <v>0</v>
      </c>
      <c r="FK252" s="14">
        <v>0</v>
      </c>
      <c r="FL252" s="14">
        <v>192</v>
      </c>
      <c r="FM252" s="14">
        <v>0</v>
      </c>
      <c r="FN252" s="14">
        <v>0</v>
      </c>
      <c r="FO252" s="14">
        <v>0</v>
      </c>
      <c r="FP252" s="14">
        <v>0</v>
      </c>
      <c r="FQ252" s="15">
        <v>192</v>
      </c>
      <c r="FR252" s="14">
        <v>19575300.120000001</v>
      </c>
      <c r="FS252" s="14">
        <v>160000</v>
      </c>
      <c r="FT252" s="14">
        <v>219000</v>
      </c>
      <c r="FU252" s="14">
        <v>42000</v>
      </c>
      <c r="FV252" s="15">
        <v>19996300.120000001</v>
      </c>
      <c r="FW252" s="14">
        <v>2750930</v>
      </c>
      <c r="FX252" s="14">
        <v>0</v>
      </c>
      <c r="FY252" s="14">
        <v>2103846</v>
      </c>
      <c r="FZ252" s="14">
        <v>1415788</v>
      </c>
      <c r="GA252" s="15">
        <v>6270564</v>
      </c>
      <c r="GB252" s="15">
        <v>26266864.120000001</v>
      </c>
      <c r="GC252" s="14">
        <v>12565284.619999999</v>
      </c>
      <c r="GD252" s="14">
        <v>223415.04000000001</v>
      </c>
      <c r="GE252" s="14">
        <v>57871.07</v>
      </c>
      <c r="GF252" s="14">
        <v>94432.42</v>
      </c>
      <c r="GG252" s="15">
        <v>12941003.15</v>
      </c>
      <c r="GH252" s="14">
        <v>2750930</v>
      </c>
      <c r="GI252" s="14">
        <v>0</v>
      </c>
      <c r="GJ252" s="14">
        <v>1415788</v>
      </c>
      <c r="GK252" s="14">
        <v>2103846</v>
      </c>
      <c r="GL252" s="15">
        <v>6270564</v>
      </c>
      <c r="GM252" s="15">
        <v>19211567.149999999</v>
      </c>
      <c r="GN252" s="14">
        <v>891456.74</v>
      </c>
      <c r="GO252" s="14">
        <v>1912.8</v>
      </c>
      <c r="GP252" s="14">
        <v>10180.92</v>
      </c>
      <c r="GQ252" s="14">
        <v>18549.36</v>
      </c>
      <c r="GR252" s="15">
        <v>922099.82000000007</v>
      </c>
      <c r="GS252" s="14">
        <v>1453804</v>
      </c>
      <c r="GT252" s="14">
        <v>11609</v>
      </c>
      <c r="GU252" s="14">
        <v>2679</v>
      </c>
      <c r="GV252" s="14">
        <v>3572</v>
      </c>
      <c r="GW252" s="15">
        <v>1471664</v>
      </c>
      <c r="GX252" s="15">
        <v>21605330.969999999</v>
      </c>
      <c r="GY252" s="14">
        <v>26778349.489999998</v>
      </c>
      <c r="GZ252" s="14">
        <v>434394.91</v>
      </c>
      <c r="HA252" s="15">
        <v>27212744.399999999</v>
      </c>
      <c r="HB252" s="15">
        <v>21605330.969999999</v>
      </c>
      <c r="HC252" s="16">
        <v>26778349.489999998</v>
      </c>
      <c r="HD252" s="15">
        <v>434394.91</v>
      </c>
      <c r="HE252" s="14">
        <v>0</v>
      </c>
      <c r="HF252" s="14">
        <v>0</v>
      </c>
      <c r="HG252" s="14">
        <v>27</v>
      </c>
      <c r="HH252" s="14">
        <v>40</v>
      </c>
      <c r="HI252" s="14">
        <v>0</v>
      </c>
      <c r="HJ252" s="15">
        <v>0</v>
      </c>
      <c r="HK252" s="16">
        <v>74.074074074074076</v>
      </c>
      <c r="HL252" s="14">
        <v>0</v>
      </c>
      <c r="HM252" s="14">
        <v>0</v>
      </c>
      <c r="HN252" s="17"/>
    </row>
    <row r="253" spans="1:222" x14ac:dyDescent="0.3">
      <c r="A253" s="6" t="s">
        <v>289</v>
      </c>
      <c r="B253" s="6" t="s">
        <v>293</v>
      </c>
      <c r="C253" s="7" t="s">
        <v>257</v>
      </c>
      <c r="D253" s="7">
        <v>2026</v>
      </c>
      <c r="E253" s="7">
        <v>2</v>
      </c>
      <c r="F253" s="7" t="s">
        <v>272</v>
      </c>
      <c r="G253" s="7" t="s">
        <v>271</v>
      </c>
      <c r="H253" s="8">
        <v>31661</v>
      </c>
      <c r="I253" s="8">
        <v>15586</v>
      </c>
      <c r="J253" s="8">
        <v>600</v>
      </c>
      <c r="K253" s="8">
        <v>275</v>
      </c>
      <c r="L253" s="8">
        <v>193</v>
      </c>
      <c r="M253" s="9">
        <f t="shared" ref="M253:M263" si="1278">SUM(I253,J253,K253,L253)</f>
        <v>16654</v>
      </c>
      <c r="N253" s="8">
        <v>2980</v>
      </c>
      <c r="O253" s="8">
        <v>0</v>
      </c>
      <c r="P253" s="8">
        <v>1447</v>
      </c>
      <c r="Q253" s="8">
        <v>3161</v>
      </c>
      <c r="R253" s="9">
        <f t="shared" ref="R253:R263" si="1279">SUM(N253,O253,P253,Q253)</f>
        <v>7588</v>
      </c>
      <c r="S253" s="9">
        <f t="shared" ref="S253:S263" si="1280">M253+R253</f>
        <v>24242</v>
      </c>
      <c r="T253" s="8">
        <v>7419</v>
      </c>
      <c r="U253" s="10">
        <f t="shared" ref="U253:U263" si="1281">IF(H253=0,"",T253/H253)</f>
        <v>0.23432614257288145</v>
      </c>
      <c r="V253" s="8">
        <v>18</v>
      </c>
      <c r="W253" s="11">
        <f t="shared" ref="W253:W263" si="1282">IF(H253=0,"",V253/H253)</f>
        <v>5.6852278828843053E-4</v>
      </c>
      <c r="X253" s="8">
        <v>0</v>
      </c>
      <c r="Y253" s="11">
        <f t="shared" ref="Y253:Y263" si="1283">IF(H253=0,"",X253/H253)</f>
        <v>0</v>
      </c>
      <c r="Z253" s="8">
        <v>0</v>
      </c>
      <c r="AA253" s="11">
        <f t="shared" ref="AA253:AA263" si="1284">IF(H253=0,"",Z253/H253)</f>
        <v>0</v>
      </c>
      <c r="AB253" s="8">
        <v>0</v>
      </c>
      <c r="AC253" s="11">
        <f t="shared" ref="AC253:AC263" si="1285">IF(H253=0,"",AB253/H253)</f>
        <v>0</v>
      </c>
      <c r="AD253" s="8">
        <v>0</v>
      </c>
      <c r="AE253" s="11">
        <f t="shared" ref="AE253:AE263" si="1286">IF(H253=0,"",AD253/H253)</f>
        <v>0</v>
      </c>
      <c r="AF253" s="8">
        <v>0</v>
      </c>
      <c r="AG253" s="11">
        <f t="shared" ref="AG253:AG263" si="1287">IF(H253=0,"",AF253/H253)</f>
        <v>0</v>
      </c>
      <c r="AH253" s="8">
        <v>63455.22</v>
      </c>
      <c r="AI253" s="9">
        <f t="shared" ref="AI253:AI263" si="1288">IF(H253=0,"",AH253/H253)</f>
        <v>2.0042077003253214</v>
      </c>
      <c r="AJ253" s="8">
        <v>7413</v>
      </c>
      <c r="AK253" s="11">
        <f t="shared" ref="AK253:AK263" si="1289">IF(H253=0,"",AJ253/H253)</f>
        <v>0.23413663497678533</v>
      </c>
      <c r="AL253" s="8">
        <v>1044991.3695</v>
      </c>
      <c r="AM253" s="9">
        <f t="shared" ref="AM253:AM263" si="1290">IF(H253=0,"",AL253/H253)</f>
        <v>33.005633729193647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9">
        <f t="shared" ref="AU253:AU263" si="1291">AH253+AL253+AP253+AQ253+AR253+AS253+AT253</f>
        <v>1108446.5895</v>
      </c>
      <c r="AV253" s="9">
        <f t="shared" ref="AV253:AV263" si="1292">IF(H253=0,"",AU253/H253)</f>
        <v>35.009841429518964</v>
      </c>
      <c r="AW253" s="9">
        <f t="shared" ref="AW253:AW263" si="1293">IF(S253=0,"",AU253/S253)</f>
        <v>45.724221990759837</v>
      </c>
      <c r="AX253" s="8">
        <v>6</v>
      </c>
      <c r="AY253" s="9">
        <f t="shared" ref="AY253:AY263" si="1294">IF(H253=0,"",AX253/(H253/1000/12))</f>
        <v>2.2740911531537225</v>
      </c>
      <c r="AZ253" s="8">
        <v>6</v>
      </c>
      <c r="BA253" s="8">
        <v>25</v>
      </c>
      <c r="BB253" s="8">
        <v>13</v>
      </c>
      <c r="BC253" s="8">
        <v>10</v>
      </c>
      <c r="BD253" s="8">
        <v>6</v>
      </c>
      <c r="BE253" s="9">
        <f t="shared" ref="BE253:BE263" si="1295">BC253+BD253</f>
        <v>16</v>
      </c>
      <c r="BF253" s="9">
        <f t="shared" ref="BF253:BF263" si="1296">BA253+BB253-BE253</f>
        <v>22</v>
      </c>
      <c r="BG253" s="8">
        <v>0</v>
      </c>
      <c r="BH253" s="8">
        <v>0</v>
      </c>
      <c r="BI253" s="8">
        <v>0</v>
      </c>
      <c r="BJ253" s="8">
        <v>0</v>
      </c>
      <c r="BK253" s="9">
        <f t="shared" ref="BK253:BK263" si="1297">BI253+BJ253</f>
        <v>0</v>
      </c>
      <c r="BL253" s="9">
        <f t="shared" ref="BL253:BL263" si="1298">BG253+BH253-BK253</f>
        <v>0</v>
      </c>
      <c r="BM253" s="8">
        <v>2</v>
      </c>
      <c r="BN253" s="8">
        <v>0</v>
      </c>
      <c r="BO253" s="8">
        <v>0</v>
      </c>
      <c r="BP253" s="8">
        <v>0</v>
      </c>
      <c r="BQ253" s="9">
        <f t="shared" ref="BQ253:BQ263" si="1299">BO253+BP253</f>
        <v>0</v>
      </c>
      <c r="BR253" s="9">
        <f t="shared" ref="BR253:BR263" si="1300">BM253+BN253-BQ253</f>
        <v>2</v>
      </c>
      <c r="BS253" s="8">
        <v>0</v>
      </c>
      <c r="BT253" s="8">
        <v>0</v>
      </c>
      <c r="BU253" s="8">
        <v>0</v>
      </c>
      <c r="BV253" s="8">
        <v>0</v>
      </c>
      <c r="BW253" s="9">
        <f t="shared" ref="BW253:BW263" si="1301">BU253+BV253</f>
        <v>0</v>
      </c>
      <c r="BX253" s="9">
        <f t="shared" ref="BX253:BX263" si="1302">BS253+BT253-BW253</f>
        <v>0</v>
      </c>
      <c r="BY253" s="9">
        <f t="shared" ref="BY253:BY263" si="1303">BA253+BG253+BM253+BS253</f>
        <v>27</v>
      </c>
      <c r="BZ253" s="9">
        <f t="shared" ref="BZ253:BZ263" si="1304">BB253+BH253+BN253+BT253</f>
        <v>13</v>
      </c>
      <c r="CA253" s="9">
        <f t="shared" ref="CA253:CA263" si="1305">BE253+BK253+BQ253+BW253</f>
        <v>16</v>
      </c>
      <c r="CB253" s="9">
        <f t="shared" ref="CB253:CB263" si="1306">BF253+BL253+BR253+BX253</f>
        <v>24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9">
        <f t="shared" ref="CH253:CH263" si="1307">CD253+CE253+CF253+CG253</f>
        <v>0</v>
      </c>
      <c r="CI253" s="8">
        <v>2496</v>
      </c>
      <c r="CJ253" s="8">
        <v>11</v>
      </c>
      <c r="CK253" s="8">
        <v>10</v>
      </c>
      <c r="CL253" s="8">
        <v>8</v>
      </c>
      <c r="CM253" s="9">
        <f t="shared" ref="CM253:CM263" si="1308">CI253+CJ253+CK253+CL253</f>
        <v>2525</v>
      </c>
      <c r="CN253" s="8">
        <v>221</v>
      </c>
      <c r="CO253" s="8">
        <v>25</v>
      </c>
      <c r="CP253" s="8">
        <v>42</v>
      </c>
      <c r="CQ253" s="8">
        <v>1</v>
      </c>
      <c r="CR253" s="9">
        <f t="shared" ref="CR253:CR263" si="1309">CN253+CO253+CP253+CQ253</f>
        <v>289</v>
      </c>
      <c r="CS253" s="9">
        <f t="shared" ref="CS253:CS263" si="1310">CM253+CR253</f>
        <v>2814</v>
      </c>
      <c r="CT253" s="8">
        <v>2814</v>
      </c>
      <c r="CU253" s="8">
        <v>21412.8496976967</v>
      </c>
      <c r="CV253" s="8">
        <v>16521</v>
      </c>
      <c r="CW253" s="10">
        <f t="shared" ref="CW253:CW263" si="1311">IF(CU253=0,"",CV253/CU253)</f>
        <v>0.77154606851684493</v>
      </c>
      <c r="CX253" s="8">
        <v>0</v>
      </c>
      <c r="CY253" s="8"/>
      <c r="CZ253" s="8"/>
      <c r="DA253" s="8"/>
      <c r="DB253" s="9">
        <f t="shared" ref="DB253:DB263" si="1312">CX253+CY253-CZ253-DA253</f>
        <v>0</v>
      </c>
      <c r="DC253" s="8">
        <v>0</v>
      </c>
      <c r="DD253" s="8">
        <v>0</v>
      </c>
      <c r="DE253" s="8">
        <v>0</v>
      </c>
      <c r="DF253" s="8">
        <v>0</v>
      </c>
      <c r="DG253" s="9">
        <f t="shared" ref="DG253:DG263" si="1313">DC253+DD253-DE253-DF253</f>
        <v>0</v>
      </c>
      <c r="DH253" s="8">
        <v>0</v>
      </c>
      <c r="DI253" s="8">
        <v>0</v>
      </c>
      <c r="DJ253" s="8">
        <v>0</v>
      </c>
      <c r="DK253" s="8">
        <v>0</v>
      </c>
      <c r="DL253" s="9">
        <f t="shared" ref="DL253:DL263" si="1314">DH253+DI253-DJ253-DK253</f>
        <v>0</v>
      </c>
      <c r="DM253" s="8">
        <v>300</v>
      </c>
      <c r="DN253" s="8">
        <v>0</v>
      </c>
      <c r="DO253" s="8">
        <v>0</v>
      </c>
      <c r="DP253" s="8">
        <v>0</v>
      </c>
      <c r="DQ253" s="9">
        <f t="shared" ref="DQ253:DQ263" si="1315">DM253+DN253-DO253-DP253</f>
        <v>300</v>
      </c>
      <c r="DR253" s="9">
        <f t="shared" ref="DR253:DR263" si="1316">CX253+DC253+DH253+DM253</f>
        <v>300</v>
      </c>
      <c r="DS253" s="9">
        <f t="shared" ref="DS253:DS263" si="1317">CY253+DD253+DI253+DN253</f>
        <v>0</v>
      </c>
      <c r="DT253" s="9">
        <f t="shared" ref="DT253:DT263" si="1318">CZ253+DE253+DJ253+DO253</f>
        <v>0</v>
      </c>
      <c r="DU253" s="9">
        <f t="shared" ref="DU253:DU263" si="1319">DA253+DF253+DK253+DP253</f>
        <v>0</v>
      </c>
      <c r="DV253" s="9">
        <f t="shared" ref="DV253:DV263" si="1320">DB253+DG253+DL253+DQ253</f>
        <v>300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8"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8">
        <v>0</v>
      </c>
      <c r="FC253" s="8">
        <v>0</v>
      </c>
      <c r="FD253" s="8">
        <v>0</v>
      </c>
      <c r="FE253" s="8">
        <v>0</v>
      </c>
      <c r="FF253" s="8">
        <v>0</v>
      </c>
      <c r="FG253" s="9">
        <f t="shared" ref="FG253:FG263" si="1321">SUM(DW253,DX253,DY253,DZ253,EA253,EB253,EC253,ED253,EE253,EF253,EG253,EH253,EI253,EJ253,EK253,EL253,EM253,EN253,EO253,EP253,EQ253,ER253,ES253,ET253,EU253,EV253,EW253,EX253,EY253,EZ253,FA253,FB253,FC253,FD253,FE253,FF253)</f>
        <v>0</v>
      </c>
      <c r="FH253" s="8">
        <v>0</v>
      </c>
      <c r="FI253" s="8">
        <v>0</v>
      </c>
      <c r="FJ253" s="8">
        <v>0</v>
      </c>
      <c r="FK253" s="8">
        <v>0</v>
      </c>
      <c r="FL253" s="8">
        <v>0</v>
      </c>
      <c r="FM253" s="8">
        <v>0</v>
      </c>
      <c r="FN253" s="8">
        <v>0</v>
      </c>
      <c r="FO253" s="8">
        <v>0</v>
      </c>
      <c r="FP253" s="8">
        <v>0</v>
      </c>
      <c r="FQ253" s="9">
        <f t="shared" ref="FQ253:FQ263" si="1322">FL253+FM253+FN253+FO253+FP253</f>
        <v>0</v>
      </c>
      <c r="FR253" s="8">
        <v>7103630</v>
      </c>
      <c r="FS253" s="8">
        <v>32000</v>
      </c>
      <c r="FT253" s="8">
        <v>74000</v>
      </c>
      <c r="FU253" s="8">
        <v>0</v>
      </c>
      <c r="FV253" s="9">
        <f t="shared" ref="FV253:FV263" si="1323">FR253+FS253+FT253+FU253</f>
        <v>7209630</v>
      </c>
      <c r="FW253" s="8">
        <v>2979861</v>
      </c>
      <c r="FX253" s="8">
        <v>0</v>
      </c>
      <c r="FY253" s="8">
        <v>1684881</v>
      </c>
      <c r="FZ253" s="8">
        <v>332150</v>
      </c>
      <c r="GA253" s="9">
        <f t="shared" ref="GA253:GA263" si="1324">FW253+FX253+FY253+FZ253</f>
        <v>4996892</v>
      </c>
      <c r="GB253" s="9">
        <f t="shared" ref="GB253:GB263" si="1325">FV253+GA253</f>
        <v>12206522</v>
      </c>
      <c r="GC253" s="8">
        <v>12416876</v>
      </c>
      <c r="GD253" s="8">
        <v>91240.56</v>
      </c>
      <c r="GE253" s="8">
        <v>63195.39</v>
      </c>
      <c r="GF253" s="8">
        <v>116358.5</v>
      </c>
      <c r="GG253" s="9">
        <f t="shared" ref="GG253:GG263" si="1326">GC253+GD253+GE253+GF253</f>
        <v>12687670.450000001</v>
      </c>
      <c r="GH253" s="8">
        <v>2979861.24</v>
      </c>
      <c r="GI253" s="8">
        <v>0</v>
      </c>
      <c r="GJ253" s="8">
        <v>332150</v>
      </c>
      <c r="GK253" s="8">
        <v>1684881</v>
      </c>
      <c r="GL253" s="9">
        <f t="shared" ref="GL253:GL263" si="1327">GH253+GI253+GJ253+GK253</f>
        <v>4996892.24</v>
      </c>
      <c r="GM253" s="9">
        <f t="shared" ref="GM253:GM263" si="1328">GG253+GL253</f>
        <v>17684562.690000001</v>
      </c>
      <c r="GN253" s="8">
        <v>867091.11</v>
      </c>
      <c r="GO253" s="8">
        <v>112.8</v>
      </c>
      <c r="GP253" s="8">
        <v>10180.92</v>
      </c>
      <c r="GQ253" s="8">
        <v>18549.36</v>
      </c>
      <c r="GR253" s="9">
        <f t="shared" ref="GR253:GR263" si="1329">GN253+GO253+GP253+GQ253</f>
        <v>895934.19000000006</v>
      </c>
      <c r="GS253" s="8">
        <v>1414512</v>
      </c>
      <c r="GT253" s="8">
        <v>8930</v>
      </c>
      <c r="GU253" s="8">
        <v>2679</v>
      </c>
      <c r="GV253" s="8">
        <v>3572</v>
      </c>
      <c r="GW253" s="9">
        <f t="shared" ref="GW253:GW263" si="1330">GS253+GT253+GU253+GV253</f>
        <v>1429693</v>
      </c>
      <c r="GX253" s="9">
        <f t="shared" ref="GX253:GX263" si="1331">GM253+GR253+GW253</f>
        <v>20010189.880000003</v>
      </c>
      <c r="GY253" s="8">
        <v>29323339.149999999</v>
      </c>
      <c r="GZ253" s="8">
        <v>826665.12</v>
      </c>
      <c r="HA253" s="9">
        <f t="shared" ref="HA253:HA263" si="1332">GY253+GZ253</f>
        <v>30150004.27</v>
      </c>
      <c r="HB253" s="9">
        <f t="shared" ref="HB253:HB263" si="1333">IF(GX253=0,"",AU253/GX253)</f>
        <v>5.539410651009774E-2</v>
      </c>
      <c r="HC253" s="10">
        <f t="shared" ref="HC253:HC263" si="1334">IF((GX253+GY253)=0,"",GB253/(GX253+GY253))</f>
        <v>0.24742851849453429</v>
      </c>
      <c r="HD253" s="9">
        <f t="shared" ref="HD253:HD263" si="1335">IF(GX253=0,"",GB253/GX253)</f>
        <v>0.61001530086430134</v>
      </c>
      <c r="HE253" s="8">
        <v>13</v>
      </c>
      <c r="HF253" s="8">
        <v>0</v>
      </c>
      <c r="HG253" s="8">
        <v>24</v>
      </c>
      <c r="HH253" s="8">
        <v>13</v>
      </c>
      <c r="HI253" s="8">
        <v>0</v>
      </c>
      <c r="HJ253" s="9">
        <f t="shared" ref="HJ253:HJ263" si="1336">HF253+HI253</f>
        <v>0</v>
      </c>
      <c r="HK253" s="10">
        <f t="shared" ref="HK253:HK263" si="1337">IF(HE253=0,"",HH253/HE253)</f>
        <v>1</v>
      </c>
      <c r="HL253" s="8">
        <v>0</v>
      </c>
      <c r="HM253" s="8">
        <v>0</v>
      </c>
      <c r="HN253" s="11" t="str">
        <f t="shared" ref="HN253:HN263" si="1338">IF(HL253=0,"",HM253/HL253)</f>
        <v/>
      </c>
    </row>
    <row r="254" spans="1:222" x14ac:dyDescent="0.3">
      <c r="A254" s="12" t="s">
        <v>289</v>
      </c>
      <c r="B254" s="12" t="s">
        <v>293</v>
      </c>
      <c r="C254" s="13" t="s">
        <v>257</v>
      </c>
      <c r="D254" s="13">
        <v>2026</v>
      </c>
      <c r="E254" s="13">
        <v>3</v>
      </c>
      <c r="F254" s="13" t="s">
        <v>273</v>
      </c>
      <c r="G254" s="13" t="s">
        <v>271</v>
      </c>
      <c r="H254" s="14">
        <v>31007</v>
      </c>
      <c r="I254" s="14">
        <v>14983</v>
      </c>
      <c r="J254" s="14">
        <v>574</v>
      </c>
      <c r="K254" s="14">
        <v>312</v>
      </c>
      <c r="L254" s="14">
        <v>216</v>
      </c>
      <c r="M254" s="15">
        <f t="shared" si="1278"/>
        <v>16085</v>
      </c>
      <c r="N254" s="14">
        <v>2641</v>
      </c>
      <c r="O254" s="14">
        <v>0</v>
      </c>
      <c r="P254" s="14">
        <v>1230</v>
      </c>
      <c r="Q254" s="14">
        <v>2845</v>
      </c>
      <c r="R254" s="15">
        <f t="shared" si="1279"/>
        <v>6716</v>
      </c>
      <c r="S254" s="15">
        <f t="shared" si="1280"/>
        <v>22801</v>
      </c>
      <c r="T254" s="14">
        <v>8206</v>
      </c>
      <c r="U254" s="16">
        <f t="shared" si="1281"/>
        <v>0.26464991776050567</v>
      </c>
      <c r="V254" s="14">
        <v>18</v>
      </c>
      <c r="W254" s="17">
        <f t="shared" si="1282"/>
        <v>5.8051407746637855E-4</v>
      </c>
      <c r="X254" s="14">
        <v>0</v>
      </c>
      <c r="Y254" s="17">
        <f t="shared" si="1283"/>
        <v>0</v>
      </c>
      <c r="Z254" s="14">
        <v>0</v>
      </c>
      <c r="AA254" s="17">
        <f t="shared" si="1284"/>
        <v>0</v>
      </c>
      <c r="AB254" s="14">
        <v>0</v>
      </c>
      <c r="AC254" s="17">
        <f t="shared" si="1285"/>
        <v>0</v>
      </c>
      <c r="AD254" s="14">
        <v>0</v>
      </c>
      <c r="AE254" s="17">
        <f t="shared" si="1286"/>
        <v>0</v>
      </c>
      <c r="AF254" s="14">
        <v>0</v>
      </c>
      <c r="AG254" s="17">
        <f t="shared" si="1287"/>
        <v>0</v>
      </c>
      <c r="AH254" s="14">
        <v>63455.22</v>
      </c>
      <c r="AI254" s="15">
        <f t="shared" si="1288"/>
        <v>2.0464804721514498</v>
      </c>
      <c r="AJ254" s="14">
        <v>7132</v>
      </c>
      <c r="AK254" s="17">
        <f t="shared" si="1289"/>
        <v>0.23001257780501178</v>
      </c>
      <c r="AL254" s="14">
        <v>16426.5</v>
      </c>
      <c r="AM254" s="15">
        <f t="shared" si="1290"/>
        <v>0.52976747186119266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5">
        <f t="shared" si="1291"/>
        <v>79881.72</v>
      </c>
      <c r="AV254" s="15">
        <f t="shared" si="1292"/>
        <v>2.5762479440126422</v>
      </c>
      <c r="AW254" s="15">
        <f t="shared" si="1293"/>
        <v>3.50343055129161</v>
      </c>
      <c r="AX254" s="14">
        <v>6</v>
      </c>
      <c r="AY254" s="15">
        <f t="shared" si="1294"/>
        <v>2.3220563098655145</v>
      </c>
      <c r="AZ254" s="14">
        <v>6</v>
      </c>
      <c r="BA254" s="14">
        <v>22</v>
      </c>
      <c r="BB254" s="14">
        <v>20</v>
      </c>
      <c r="BC254" s="14">
        <v>12</v>
      </c>
      <c r="BD254" s="14">
        <v>1</v>
      </c>
      <c r="BE254" s="15">
        <f t="shared" si="1295"/>
        <v>13</v>
      </c>
      <c r="BF254" s="15">
        <f t="shared" si="1296"/>
        <v>29</v>
      </c>
      <c r="BG254" s="14">
        <v>0</v>
      </c>
      <c r="BH254" s="14">
        <v>0</v>
      </c>
      <c r="BI254" s="14">
        <v>0</v>
      </c>
      <c r="BJ254" s="14">
        <v>0</v>
      </c>
      <c r="BK254" s="15">
        <f t="shared" si="1297"/>
        <v>0</v>
      </c>
      <c r="BL254" s="15">
        <f t="shared" si="1298"/>
        <v>0</v>
      </c>
      <c r="BM254" s="14">
        <v>2</v>
      </c>
      <c r="BN254" s="14">
        <v>0</v>
      </c>
      <c r="BO254" s="14">
        <v>0</v>
      </c>
      <c r="BP254" s="14">
        <v>0</v>
      </c>
      <c r="BQ254" s="15">
        <f t="shared" si="1299"/>
        <v>0</v>
      </c>
      <c r="BR254" s="15">
        <f t="shared" si="1300"/>
        <v>2</v>
      </c>
      <c r="BS254" s="14">
        <v>0</v>
      </c>
      <c r="BT254" s="14">
        <v>0</v>
      </c>
      <c r="BU254" s="14">
        <v>0</v>
      </c>
      <c r="BV254" s="14">
        <v>0</v>
      </c>
      <c r="BW254" s="15">
        <f t="shared" si="1301"/>
        <v>0</v>
      </c>
      <c r="BX254" s="15">
        <f t="shared" si="1302"/>
        <v>0</v>
      </c>
      <c r="BY254" s="15">
        <f t="shared" si="1303"/>
        <v>24</v>
      </c>
      <c r="BZ254" s="15">
        <f t="shared" si="1304"/>
        <v>20</v>
      </c>
      <c r="CA254" s="15">
        <f t="shared" si="1305"/>
        <v>13</v>
      </c>
      <c r="CB254" s="15">
        <f t="shared" si="1306"/>
        <v>31</v>
      </c>
      <c r="CC254" s="14">
        <v>0</v>
      </c>
      <c r="CD254" s="14">
        <v>650</v>
      </c>
      <c r="CE254" s="14">
        <v>15</v>
      </c>
      <c r="CF254" s="14">
        <v>30</v>
      </c>
      <c r="CG254" s="14">
        <v>6</v>
      </c>
      <c r="CH254" s="15">
        <f t="shared" si="1307"/>
        <v>701</v>
      </c>
      <c r="CI254" s="14">
        <v>1807</v>
      </c>
      <c r="CJ254" s="14">
        <v>11</v>
      </c>
      <c r="CK254" s="14">
        <v>10</v>
      </c>
      <c r="CL254" s="14">
        <v>8</v>
      </c>
      <c r="CM254" s="15">
        <f t="shared" si="1308"/>
        <v>1836</v>
      </c>
      <c r="CN254" s="14">
        <v>221</v>
      </c>
      <c r="CO254" s="14">
        <v>25</v>
      </c>
      <c r="CP254" s="14">
        <v>42</v>
      </c>
      <c r="CQ254" s="14">
        <v>1</v>
      </c>
      <c r="CR254" s="15">
        <f t="shared" si="1309"/>
        <v>289</v>
      </c>
      <c r="CS254" s="15">
        <f t="shared" si="1310"/>
        <v>2125</v>
      </c>
      <c r="CT254" s="14">
        <v>2826</v>
      </c>
      <c r="CU254" s="14">
        <v>21455.675397092069</v>
      </c>
      <c r="CV254" s="14">
        <v>16521</v>
      </c>
      <c r="CW254" s="16">
        <f t="shared" si="1311"/>
        <v>0.77000605640403774</v>
      </c>
      <c r="CX254" s="14"/>
      <c r="CY254" s="14"/>
      <c r="CZ254" s="14"/>
      <c r="DA254" s="14"/>
      <c r="DB254" s="15">
        <f t="shared" si="1312"/>
        <v>0</v>
      </c>
      <c r="DC254" s="14">
        <v>0</v>
      </c>
      <c r="DD254" s="14">
        <v>0</v>
      </c>
      <c r="DE254" s="14">
        <v>0</v>
      </c>
      <c r="DF254" s="14">
        <v>0</v>
      </c>
      <c r="DG254" s="15">
        <f t="shared" si="1313"/>
        <v>0</v>
      </c>
      <c r="DH254" s="14">
        <v>0</v>
      </c>
      <c r="DI254" s="14">
        <v>0</v>
      </c>
      <c r="DJ254" s="14">
        <v>0</v>
      </c>
      <c r="DK254" s="14">
        <v>0</v>
      </c>
      <c r="DL254" s="15">
        <f t="shared" si="1314"/>
        <v>0</v>
      </c>
      <c r="DM254" s="14">
        <v>300</v>
      </c>
      <c r="DN254" s="14">
        <v>0</v>
      </c>
      <c r="DO254" s="14">
        <v>0</v>
      </c>
      <c r="DP254" s="14">
        <v>0</v>
      </c>
      <c r="DQ254" s="15">
        <f t="shared" si="1315"/>
        <v>300</v>
      </c>
      <c r="DR254" s="15">
        <f t="shared" si="1316"/>
        <v>300</v>
      </c>
      <c r="DS254" s="15">
        <f t="shared" si="1317"/>
        <v>0</v>
      </c>
      <c r="DT254" s="15">
        <f t="shared" si="1318"/>
        <v>0</v>
      </c>
      <c r="DU254" s="15">
        <f t="shared" si="1319"/>
        <v>0</v>
      </c>
      <c r="DV254" s="15">
        <f t="shared" si="1320"/>
        <v>300</v>
      </c>
      <c r="DW254" s="14">
        <v>35</v>
      </c>
      <c r="DX254" s="14">
        <v>18</v>
      </c>
      <c r="DY254" s="14">
        <v>16</v>
      </c>
      <c r="DZ254" s="14">
        <v>14</v>
      </c>
      <c r="EA254" s="14">
        <v>7</v>
      </c>
      <c r="EB254" s="14">
        <v>10</v>
      </c>
      <c r="EC254" s="14">
        <v>12</v>
      </c>
      <c r="ED254" s="14">
        <v>4</v>
      </c>
      <c r="EE254" s="14">
        <v>12</v>
      </c>
      <c r="EF254" s="14">
        <v>8</v>
      </c>
      <c r="EG254" s="14">
        <v>0</v>
      </c>
      <c r="EH254" s="14">
        <v>0</v>
      </c>
      <c r="EI254" s="14">
        <v>0</v>
      </c>
      <c r="EJ254" s="14">
        <v>9</v>
      </c>
      <c r="EK254" s="14">
        <v>8</v>
      </c>
      <c r="EL254" s="14">
        <v>9</v>
      </c>
      <c r="EM254" s="14">
        <v>10</v>
      </c>
      <c r="EN254" s="14">
        <v>7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0</v>
      </c>
      <c r="EX254" s="14">
        <v>0</v>
      </c>
      <c r="EY254" s="14">
        <v>0</v>
      </c>
      <c r="EZ254" s="14">
        <v>0</v>
      </c>
      <c r="FA254" s="14">
        <v>0</v>
      </c>
      <c r="FB254" s="14">
        <v>0</v>
      </c>
      <c r="FC254" s="14">
        <v>0</v>
      </c>
      <c r="FD254" s="14">
        <v>0</v>
      </c>
      <c r="FE254" s="14">
        <v>6</v>
      </c>
      <c r="FF254" s="14">
        <v>0</v>
      </c>
      <c r="FG254" s="15">
        <f t="shared" si="1321"/>
        <v>185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0</v>
      </c>
      <c r="FO254" s="14">
        <v>0</v>
      </c>
      <c r="FP254" s="14">
        <v>0</v>
      </c>
      <c r="FQ254" s="15">
        <f t="shared" si="1322"/>
        <v>0</v>
      </c>
      <c r="FR254" s="14">
        <v>12910465</v>
      </c>
      <c r="FS254" s="14">
        <v>155150</v>
      </c>
      <c r="FT254" s="14">
        <v>194000</v>
      </c>
      <c r="FU254" s="14">
        <v>26000</v>
      </c>
      <c r="FV254" s="15">
        <f t="shared" si="1323"/>
        <v>13285615</v>
      </c>
      <c r="FW254" s="14">
        <v>3069705</v>
      </c>
      <c r="FX254" s="14">
        <v>0</v>
      </c>
      <c r="FY254" s="14">
        <v>2117651</v>
      </c>
      <c r="FZ254" s="14">
        <v>300450</v>
      </c>
      <c r="GA254" s="15">
        <f t="shared" si="1324"/>
        <v>5487806</v>
      </c>
      <c r="GB254" s="15">
        <f t="shared" si="1325"/>
        <v>18773421</v>
      </c>
      <c r="GC254" s="14">
        <v>13413770</v>
      </c>
      <c r="GD254" s="14">
        <v>92962.08</v>
      </c>
      <c r="GE254" s="14">
        <v>69211.89</v>
      </c>
      <c r="GF254" s="14">
        <v>123129.78</v>
      </c>
      <c r="GG254" s="15">
        <f t="shared" si="1326"/>
        <v>13699073.75</v>
      </c>
      <c r="GH254" s="14">
        <v>3035111.48</v>
      </c>
      <c r="GI254" s="14">
        <v>0</v>
      </c>
      <c r="GJ254" s="14">
        <v>300450</v>
      </c>
      <c r="GK254" s="14">
        <v>2105651</v>
      </c>
      <c r="GL254" s="15">
        <f t="shared" si="1327"/>
        <v>5441212.4800000004</v>
      </c>
      <c r="GM254" s="15">
        <f t="shared" si="1328"/>
        <v>19140286.23</v>
      </c>
      <c r="GN254" s="14">
        <v>867091</v>
      </c>
      <c r="GO254" s="14">
        <v>1920.8</v>
      </c>
      <c r="GP254" s="14">
        <v>10180.92</v>
      </c>
      <c r="GQ254" s="14">
        <v>18549.36</v>
      </c>
      <c r="GR254" s="15">
        <f t="shared" si="1329"/>
        <v>897742.08000000007</v>
      </c>
      <c r="GS254" s="14">
        <v>1414512</v>
      </c>
      <c r="GT254" s="14">
        <v>8930</v>
      </c>
      <c r="GU254" s="14">
        <v>2679</v>
      </c>
      <c r="GV254" s="14">
        <v>3572</v>
      </c>
      <c r="GW254" s="15">
        <f t="shared" si="1330"/>
        <v>1429693</v>
      </c>
      <c r="GX254" s="15">
        <f t="shared" si="1331"/>
        <v>21467721.310000002</v>
      </c>
      <c r="GY254" s="14">
        <v>32615138.420000002</v>
      </c>
      <c r="GZ254" s="14">
        <v>496390.49</v>
      </c>
      <c r="HA254" s="15">
        <f t="shared" si="1332"/>
        <v>33111528.91</v>
      </c>
      <c r="HB254" s="15">
        <f t="shared" si="1333"/>
        <v>3.7210153255897655E-3</v>
      </c>
      <c r="HC254" s="16">
        <f t="shared" si="1334"/>
        <v>0.34712330475354469</v>
      </c>
      <c r="HD254" s="15">
        <f t="shared" si="1335"/>
        <v>0.87449528195873516</v>
      </c>
      <c r="HE254" s="14">
        <v>20</v>
      </c>
      <c r="HF254" s="14">
        <v>2</v>
      </c>
      <c r="HG254" s="14">
        <v>31</v>
      </c>
      <c r="HH254" s="14">
        <v>20</v>
      </c>
      <c r="HI254" s="14">
        <v>0</v>
      </c>
      <c r="HJ254" s="15">
        <f t="shared" si="1336"/>
        <v>2</v>
      </c>
      <c r="HK254" s="16">
        <f t="shared" si="1337"/>
        <v>1</v>
      </c>
      <c r="HL254" s="14">
        <v>0</v>
      </c>
      <c r="HM254" s="14">
        <v>0</v>
      </c>
      <c r="HN254" s="17" t="str">
        <f t="shared" si="1338"/>
        <v/>
      </c>
    </row>
    <row r="255" spans="1:222" x14ac:dyDescent="0.3">
      <c r="A255" s="6" t="s">
        <v>289</v>
      </c>
      <c r="B255" s="6" t="s">
        <v>289</v>
      </c>
      <c r="C255" s="7" t="s">
        <v>257</v>
      </c>
      <c r="D255" s="7">
        <v>2025</v>
      </c>
      <c r="E255" s="7">
        <v>4</v>
      </c>
      <c r="F255" s="7" t="s">
        <v>258</v>
      </c>
      <c r="G255" s="7" t="s">
        <v>259</v>
      </c>
      <c r="H255" s="8">
        <v>12800</v>
      </c>
      <c r="I255" s="8">
        <v>6406</v>
      </c>
      <c r="J255" s="8">
        <v>620</v>
      </c>
      <c r="K255" s="8">
        <v>170</v>
      </c>
      <c r="L255" s="8">
        <v>1</v>
      </c>
      <c r="M255" s="9">
        <f t="shared" si="1278"/>
        <v>7197</v>
      </c>
      <c r="N255" s="8">
        <v>1237</v>
      </c>
      <c r="O255" s="8">
        <v>94</v>
      </c>
      <c r="P255" s="8">
        <v>961</v>
      </c>
      <c r="Q255" s="8">
        <v>105</v>
      </c>
      <c r="R255" s="9">
        <f t="shared" si="1279"/>
        <v>2397</v>
      </c>
      <c r="S255" s="9">
        <f t="shared" si="1280"/>
        <v>9594</v>
      </c>
      <c r="T255" s="8">
        <v>3206</v>
      </c>
      <c r="U255" s="10">
        <f t="shared" si="1281"/>
        <v>0.25046875000000002</v>
      </c>
      <c r="V255" s="8">
        <v>12</v>
      </c>
      <c r="W255" s="11">
        <f t="shared" si="1282"/>
        <v>9.3749999999999997E-4</v>
      </c>
      <c r="X255" s="8">
        <v>0</v>
      </c>
      <c r="Y255" s="11">
        <f t="shared" si="1283"/>
        <v>0</v>
      </c>
      <c r="Z255" s="8">
        <v>0</v>
      </c>
      <c r="AA255" s="11">
        <f t="shared" si="1284"/>
        <v>0</v>
      </c>
      <c r="AB255" s="8">
        <v>0</v>
      </c>
      <c r="AC255" s="11">
        <f t="shared" si="1285"/>
        <v>0</v>
      </c>
      <c r="AD255" s="8">
        <v>0</v>
      </c>
      <c r="AE255" s="11">
        <f t="shared" si="1286"/>
        <v>0</v>
      </c>
      <c r="AF255" s="8">
        <v>0</v>
      </c>
      <c r="AG255" s="11">
        <f t="shared" si="1287"/>
        <v>0</v>
      </c>
      <c r="AH255" s="8">
        <v>42303.48</v>
      </c>
      <c r="AI255" s="9">
        <f t="shared" si="1288"/>
        <v>3.3049593750000001</v>
      </c>
      <c r="AJ255" s="8">
        <v>0</v>
      </c>
      <c r="AK255" s="11">
        <f t="shared" si="1289"/>
        <v>0</v>
      </c>
      <c r="AL255" s="8">
        <v>16426.5</v>
      </c>
      <c r="AM255" s="9">
        <f t="shared" si="1290"/>
        <v>1.2833203124999999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9">
        <f t="shared" si="1291"/>
        <v>58729.98</v>
      </c>
      <c r="AV255" s="9">
        <f t="shared" si="1292"/>
        <v>4.5882796875</v>
      </c>
      <c r="AW255" s="9">
        <f t="shared" si="1293"/>
        <v>6.1215322076297687</v>
      </c>
      <c r="AX255" s="8">
        <v>6</v>
      </c>
      <c r="AY255" s="9">
        <f t="shared" si="1294"/>
        <v>5.625</v>
      </c>
      <c r="AZ255" s="8">
        <v>6</v>
      </c>
      <c r="BA255" s="8">
        <v>43</v>
      </c>
      <c r="BB255" s="8">
        <v>0</v>
      </c>
      <c r="BC255" s="8">
        <v>6</v>
      </c>
      <c r="BD255" s="8">
        <v>0</v>
      </c>
      <c r="BE255" s="9">
        <f t="shared" si="1295"/>
        <v>6</v>
      </c>
      <c r="BF255" s="9">
        <f t="shared" si="1296"/>
        <v>37</v>
      </c>
      <c r="BG255" s="8">
        <v>0</v>
      </c>
      <c r="BH255" s="8">
        <v>0</v>
      </c>
      <c r="BI255" s="8">
        <v>0</v>
      </c>
      <c r="BJ255" s="8">
        <v>0</v>
      </c>
      <c r="BK255" s="9">
        <f t="shared" si="1297"/>
        <v>0</v>
      </c>
      <c r="BL255" s="9">
        <f t="shared" si="1298"/>
        <v>0</v>
      </c>
      <c r="BM255" s="8">
        <v>0</v>
      </c>
      <c r="BN255" s="8">
        <v>0</v>
      </c>
      <c r="BO255" s="8">
        <v>0</v>
      </c>
      <c r="BP255" s="8">
        <v>0</v>
      </c>
      <c r="BQ255" s="9">
        <f t="shared" si="1299"/>
        <v>0</v>
      </c>
      <c r="BR255" s="9">
        <f t="shared" si="1300"/>
        <v>0</v>
      </c>
      <c r="BS255" s="8">
        <v>0</v>
      </c>
      <c r="BT255" s="8">
        <v>0</v>
      </c>
      <c r="BU255" s="8">
        <v>0</v>
      </c>
      <c r="BV255" s="8">
        <v>0</v>
      </c>
      <c r="BW255" s="9">
        <f t="shared" si="1301"/>
        <v>0</v>
      </c>
      <c r="BX255" s="9">
        <f t="shared" si="1302"/>
        <v>0</v>
      </c>
      <c r="BY255" s="9">
        <f t="shared" si="1303"/>
        <v>43</v>
      </c>
      <c r="BZ255" s="9">
        <f t="shared" si="1304"/>
        <v>0</v>
      </c>
      <c r="CA255" s="9">
        <f t="shared" si="1305"/>
        <v>6</v>
      </c>
      <c r="CB255" s="9">
        <f t="shared" si="1306"/>
        <v>37</v>
      </c>
      <c r="CC255" s="8">
        <v>0</v>
      </c>
      <c r="CD255" s="8">
        <v>630</v>
      </c>
      <c r="CE255" s="8">
        <v>30</v>
      </c>
      <c r="CF255" s="8">
        <v>46</v>
      </c>
      <c r="CG255" s="8">
        <v>22</v>
      </c>
      <c r="CH255" s="9">
        <f t="shared" si="1307"/>
        <v>728</v>
      </c>
      <c r="CI255" s="8">
        <v>837</v>
      </c>
      <c r="CJ255" s="8">
        <v>0</v>
      </c>
      <c r="CK255" s="8">
        <v>0</v>
      </c>
      <c r="CL255" s="8">
        <v>10</v>
      </c>
      <c r="CM255" s="9">
        <f t="shared" si="1308"/>
        <v>847</v>
      </c>
      <c r="CN255" s="8">
        <v>201</v>
      </c>
      <c r="CO255" s="8">
        <v>30</v>
      </c>
      <c r="CP255" s="8">
        <v>28</v>
      </c>
      <c r="CQ255" s="8">
        <v>1</v>
      </c>
      <c r="CR255" s="9">
        <f t="shared" si="1309"/>
        <v>260</v>
      </c>
      <c r="CS255" s="9">
        <f t="shared" si="1310"/>
        <v>1107</v>
      </c>
      <c r="CT255" s="8">
        <v>1835</v>
      </c>
      <c r="CU255" s="8">
        <v>18325</v>
      </c>
      <c r="CV255" s="8">
        <v>11567</v>
      </c>
      <c r="CW255" s="10">
        <f t="shared" si="1311"/>
        <v>0.63121418826739428</v>
      </c>
      <c r="CX255" s="8">
        <v>0</v>
      </c>
      <c r="CY255" s="8">
        <v>0</v>
      </c>
      <c r="CZ255" s="8">
        <v>0</v>
      </c>
      <c r="DA255" s="8">
        <v>0</v>
      </c>
      <c r="DB255" s="9">
        <f t="shared" si="1312"/>
        <v>0</v>
      </c>
      <c r="DC255" s="8">
        <v>0</v>
      </c>
      <c r="DD255" s="8">
        <v>0</v>
      </c>
      <c r="DE255" s="8">
        <v>0</v>
      </c>
      <c r="DF255" s="8">
        <v>0</v>
      </c>
      <c r="DG255" s="9">
        <f t="shared" si="1313"/>
        <v>0</v>
      </c>
      <c r="DH255" s="8">
        <v>0</v>
      </c>
      <c r="DI255" s="8">
        <v>0</v>
      </c>
      <c r="DJ255" s="8">
        <v>0</v>
      </c>
      <c r="DK255" s="8">
        <v>0</v>
      </c>
      <c r="DL255" s="9">
        <f t="shared" si="1314"/>
        <v>0</v>
      </c>
      <c r="DM255" s="8">
        <v>88</v>
      </c>
      <c r="DN255" s="8">
        <v>0</v>
      </c>
      <c r="DO255" s="8">
        <v>0</v>
      </c>
      <c r="DP255" s="8">
        <v>0</v>
      </c>
      <c r="DQ255" s="9">
        <f t="shared" si="1315"/>
        <v>88</v>
      </c>
      <c r="DR255" s="9">
        <f t="shared" si="1316"/>
        <v>88</v>
      </c>
      <c r="DS255" s="9">
        <f t="shared" si="1317"/>
        <v>0</v>
      </c>
      <c r="DT255" s="9">
        <f t="shared" si="1318"/>
        <v>0</v>
      </c>
      <c r="DU255" s="9">
        <f t="shared" si="1319"/>
        <v>0</v>
      </c>
      <c r="DV255" s="9">
        <f t="shared" si="1320"/>
        <v>88</v>
      </c>
      <c r="DW255" s="8">
        <v>18</v>
      </c>
      <c r="DX255" s="8">
        <v>5</v>
      </c>
      <c r="DY255" s="8">
        <v>5</v>
      </c>
      <c r="DZ255" s="8">
        <v>0</v>
      </c>
      <c r="EA255" s="8">
        <v>4</v>
      </c>
      <c r="EB255" s="8">
        <v>2</v>
      </c>
      <c r="EC255" s="8">
        <v>0</v>
      </c>
      <c r="ED255" s="8">
        <v>3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9">
        <f t="shared" si="1321"/>
        <v>37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9">
        <f t="shared" si="1322"/>
        <v>0</v>
      </c>
      <c r="FR255" s="8">
        <v>3346170</v>
      </c>
      <c r="FS255" s="8">
        <v>74250</v>
      </c>
      <c r="FT255" s="8">
        <v>0</v>
      </c>
      <c r="FU255" s="8">
        <v>30000</v>
      </c>
      <c r="FV255" s="9">
        <f t="shared" si="1323"/>
        <v>3450420</v>
      </c>
      <c r="FW255" s="8">
        <v>1615996</v>
      </c>
      <c r="FX255" s="8">
        <v>20000</v>
      </c>
      <c r="FY255" s="8">
        <v>503557</v>
      </c>
      <c r="FZ255" s="8">
        <v>3019857</v>
      </c>
      <c r="GA255" s="9">
        <f t="shared" si="1324"/>
        <v>5159410</v>
      </c>
      <c r="GB255" s="9">
        <f t="shared" si="1325"/>
        <v>8609830</v>
      </c>
      <c r="GC255" s="8">
        <v>5944711.3899999997</v>
      </c>
      <c r="GD255" s="8">
        <v>118593.60000000001</v>
      </c>
      <c r="GE255" s="8">
        <v>560925.22</v>
      </c>
      <c r="GF255" s="8">
        <v>16821.98</v>
      </c>
      <c r="GG255" s="9">
        <f t="shared" si="1326"/>
        <v>6641052.1899999995</v>
      </c>
      <c r="GH255" s="8">
        <v>1556548.98</v>
      </c>
      <c r="GI255" s="8">
        <v>20000</v>
      </c>
      <c r="GJ255" s="8">
        <v>2919215.02</v>
      </c>
      <c r="GK255" s="8">
        <v>496465.17</v>
      </c>
      <c r="GL255" s="9">
        <f t="shared" si="1327"/>
        <v>4992229.17</v>
      </c>
      <c r="GM255" s="9">
        <f t="shared" si="1328"/>
        <v>11633281.359999999</v>
      </c>
      <c r="GN255" s="8">
        <v>461533.93</v>
      </c>
      <c r="GO255" s="8">
        <v>1912.8</v>
      </c>
      <c r="GP255" s="8">
        <v>13574.56</v>
      </c>
      <c r="GQ255" s="8">
        <v>9274.68</v>
      </c>
      <c r="GR255" s="9">
        <f t="shared" si="1329"/>
        <v>486295.97</v>
      </c>
      <c r="GS255" s="8">
        <v>767087</v>
      </c>
      <c r="GT255" s="8">
        <v>8930</v>
      </c>
      <c r="GU255" s="8">
        <v>3572</v>
      </c>
      <c r="GV255" s="8">
        <v>1786</v>
      </c>
      <c r="GW255" s="9">
        <f t="shared" si="1330"/>
        <v>781375</v>
      </c>
      <c r="GX255" s="9">
        <f t="shared" si="1331"/>
        <v>12900952.33</v>
      </c>
      <c r="GY255" s="8">
        <v>0</v>
      </c>
      <c r="GZ255" s="8">
        <v>0</v>
      </c>
      <c r="HA255" s="9">
        <f t="shared" si="1332"/>
        <v>0</v>
      </c>
      <c r="HB255" s="9">
        <f t="shared" si="1333"/>
        <v>4.5523755531929793E-3</v>
      </c>
      <c r="HC255" s="10">
        <f t="shared" si="1334"/>
        <v>0.66737941353202412</v>
      </c>
      <c r="HD255" s="9">
        <f t="shared" si="1335"/>
        <v>0.66737941353202412</v>
      </c>
      <c r="HE255" s="8">
        <v>0</v>
      </c>
      <c r="HF255" s="8">
        <v>0</v>
      </c>
      <c r="HG255" s="8">
        <v>37</v>
      </c>
      <c r="HH255" s="8">
        <v>0</v>
      </c>
      <c r="HI255" s="8">
        <v>0</v>
      </c>
      <c r="HJ255" s="9">
        <f t="shared" si="1336"/>
        <v>0</v>
      </c>
      <c r="HK255" s="10" t="str">
        <f t="shared" si="1337"/>
        <v/>
      </c>
      <c r="HL255" s="8">
        <v>0</v>
      </c>
      <c r="HM255" s="8">
        <v>0</v>
      </c>
      <c r="HN255" s="11" t="str">
        <f t="shared" si="1338"/>
        <v/>
      </c>
    </row>
    <row r="256" spans="1:222" x14ac:dyDescent="0.3">
      <c r="A256" s="12" t="s">
        <v>289</v>
      </c>
      <c r="B256" s="12" t="s">
        <v>289</v>
      </c>
      <c r="C256" s="13" t="s">
        <v>257</v>
      </c>
      <c r="D256" s="13">
        <v>2025</v>
      </c>
      <c r="E256" s="13">
        <v>5</v>
      </c>
      <c r="F256" s="13" t="s">
        <v>260</v>
      </c>
      <c r="G256" s="13" t="s">
        <v>259</v>
      </c>
      <c r="H256" s="14">
        <v>10000</v>
      </c>
      <c r="I256" s="14">
        <v>5547</v>
      </c>
      <c r="J256" s="14">
        <v>624</v>
      </c>
      <c r="K256" s="14">
        <v>93</v>
      </c>
      <c r="L256" s="14">
        <v>1</v>
      </c>
      <c r="M256" s="15">
        <f t="shared" si="1278"/>
        <v>6265</v>
      </c>
      <c r="N256" s="14">
        <v>1218</v>
      </c>
      <c r="O256" s="14">
        <v>32</v>
      </c>
      <c r="P256" s="14">
        <v>286</v>
      </c>
      <c r="Q256" s="14">
        <v>93</v>
      </c>
      <c r="R256" s="15">
        <f t="shared" si="1279"/>
        <v>1629</v>
      </c>
      <c r="S256" s="15">
        <f t="shared" si="1280"/>
        <v>7894</v>
      </c>
      <c r="T256" s="14">
        <v>2106</v>
      </c>
      <c r="U256" s="16">
        <f t="shared" si="1281"/>
        <v>0.21060000000000001</v>
      </c>
      <c r="V256" s="14">
        <v>12</v>
      </c>
      <c r="W256" s="17">
        <f t="shared" si="1282"/>
        <v>1.1999999999999999E-3</v>
      </c>
      <c r="X256" s="14">
        <v>0</v>
      </c>
      <c r="Y256" s="17">
        <f t="shared" si="1283"/>
        <v>0</v>
      </c>
      <c r="Z256" s="14">
        <v>0</v>
      </c>
      <c r="AA256" s="17">
        <f t="shared" si="1284"/>
        <v>0</v>
      </c>
      <c r="AB256" s="14">
        <v>0</v>
      </c>
      <c r="AC256" s="17">
        <f t="shared" si="1285"/>
        <v>0</v>
      </c>
      <c r="AD256" s="14">
        <v>0</v>
      </c>
      <c r="AE256" s="17">
        <f t="shared" si="1286"/>
        <v>0</v>
      </c>
      <c r="AF256" s="14">
        <v>0</v>
      </c>
      <c r="AG256" s="17">
        <f t="shared" si="1287"/>
        <v>0</v>
      </c>
      <c r="AH256" s="14">
        <v>42303.48</v>
      </c>
      <c r="AI256" s="15">
        <f t="shared" si="1288"/>
        <v>4.2303480000000002</v>
      </c>
      <c r="AJ256" s="14">
        <v>0</v>
      </c>
      <c r="AK256" s="17">
        <f t="shared" si="1289"/>
        <v>0</v>
      </c>
      <c r="AL256" s="14">
        <v>16426.5</v>
      </c>
      <c r="AM256" s="15">
        <f t="shared" si="1290"/>
        <v>1.6426499999999999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5">
        <f t="shared" si="1291"/>
        <v>58729.98</v>
      </c>
      <c r="AV256" s="15">
        <f t="shared" si="1292"/>
        <v>5.8729979999999999</v>
      </c>
      <c r="AW256" s="15">
        <f t="shared" si="1293"/>
        <v>7.4398251836838112</v>
      </c>
      <c r="AX256" s="14">
        <v>6</v>
      </c>
      <c r="AY256" s="15">
        <f t="shared" si="1294"/>
        <v>7.1999999999999993</v>
      </c>
      <c r="AZ256" s="14">
        <v>6</v>
      </c>
      <c r="BA256" s="14">
        <v>37</v>
      </c>
      <c r="BB256" s="14">
        <v>0</v>
      </c>
      <c r="BC256" s="14">
        <v>0</v>
      </c>
      <c r="BD256" s="14">
        <v>0</v>
      </c>
      <c r="BE256" s="15">
        <f t="shared" si="1295"/>
        <v>0</v>
      </c>
      <c r="BF256" s="15">
        <f t="shared" si="1296"/>
        <v>37</v>
      </c>
      <c r="BG256" s="14">
        <v>0</v>
      </c>
      <c r="BH256" s="14">
        <v>0</v>
      </c>
      <c r="BI256" s="14">
        <v>0</v>
      </c>
      <c r="BJ256" s="14">
        <v>0</v>
      </c>
      <c r="BK256" s="15">
        <f t="shared" si="1297"/>
        <v>0</v>
      </c>
      <c r="BL256" s="15">
        <f t="shared" si="1298"/>
        <v>0</v>
      </c>
      <c r="BM256" s="14">
        <v>0</v>
      </c>
      <c r="BN256" s="14">
        <v>0</v>
      </c>
      <c r="BO256" s="14">
        <v>0</v>
      </c>
      <c r="BP256" s="14">
        <v>0</v>
      </c>
      <c r="BQ256" s="15">
        <f t="shared" si="1299"/>
        <v>0</v>
      </c>
      <c r="BR256" s="15">
        <f t="shared" si="1300"/>
        <v>0</v>
      </c>
      <c r="BS256" s="14">
        <v>0</v>
      </c>
      <c r="BT256" s="14">
        <v>0</v>
      </c>
      <c r="BU256" s="14">
        <v>0</v>
      </c>
      <c r="BV256" s="14">
        <v>0</v>
      </c>
      <c r="BW256" s="15">
        <f t="shared" si="1301"/>
        <v>0</v>
      </c>
      <c r="BX256" s="15">
        <f t="shared" si="1302"/>
        <v>0</v>
      </c>
      <c r="BY256" s="15">
        <f t="shared" si="1303"/>
        <v>37</v>
      </c>
      <c r="BZ256" s="15">
        <f t="shared" si="1304"/>
        <v>0</v>
      </c>
      <c r="CA256" s="15">
        <f t="shared" si="1305"/>
        <v>0</v>
      </c>
      <c r="CB256" s="15">
        <f t="shared" si="1306"/>
        <v>37</v>
      </c>
      <c r="CC256" s="14">
        <v>0</v>
      </c>
      <c r="CD256" s="14">
        <v>670</v>
      </c>
      <c r="CE256" s="14">
        <v>32</v>
      </c>
      <c r="CF256" s="14">
        <v>46</v>
      </c>
      <c r="CG256" s="14">
        <v>22</v>
      </c>
      <c r="CH256" s="15">
        <f t="shared" si="1307"/>
        <v>770</v>
      </c>
      <c r="CI256" s="14">
        <v>795</v>
      </c>
      <c r="CJ256" s="14">
        <v>0</v>
      </c>
      <c r="CK256" s="14">
        <v>0</v>
      </c>
      <c r="CL256" s="14">
        <v>10</v>
      </c>
      <c r="CM256" s="15">
        <f t="shared" si="1308"/>
        <v>805</v>
      </c>
      <c r="CN256" s="14">
        <v>201</v>
      </c>
      <c r="CO256" s="14">
        <v>30</v>
      </c>
      <c r="CP256" s="14">
        <v>28</v>
      </c>
      <c r="CQ256" s="14">
        <v>1</v>
      </c>
      <c r="CR256" s="15">
        <f t="shared" si="1309"/>
        <v>260</v>
      </c>
      <c r="CS256" s="15">
        <f t="shared" si="1310"/>
        <v>1065</v>
      </c>
      <c r="CT256" s="14">
        <v>1835</v>
      </c>
      <c r="CU256" s="14">
        <v>18361.650000000001</v>
      </c>
      <c r="CV256" s="14">
        <v>11567</v>
      </c>
      <c r="CW256" s="16">
        <f t="shared" si="1311"/>
        <v>0.62995427970797824</v>
      </c>
      <c r="CX256" s="14">
        <v>0</v>
      </c>
      <c r="CY256" s="14"/>
      <c r="CZ256" s="14"/>
      <c r="DA256" s="14"/>
      <c r="DB256" s="15">
        <f t="shared" si="1312"/>
        <v>0</v>
      </c>
      <c r="DC256" s="14">
        <v>0</v>
      </c>
      <c r="DD256" s="14">
        <v>0</v>
      </c>
      <c r="DE256" s="14">
        <v>0</v>
      </c>
      <c r="DF256" s="14">
        <v>0</v>
      </c>
      <c r="DG256" s="15">
        <f t="shared" si="1313"/>
        <v>0</v>
      </c>
      <c r="DH256" s="14">
        <v>0</v>
      </c>
      <c r="DI256" s="14">
        <v>0</v>
      </c>
      <c r="DJ256" s="14">
        <v>0</v>
      </c>
      <c r="DK256" s="14">
        <v>0</v>
      </c>
      <c r="DL256" s="15">
        <f t="shared" si="1314"/>
        <v>0</v>
      </c>
      <c r="DM256" s="14">
        <v>88</v>
      </c>
      <c r="DN256" s="14">
        <v>0</v>
      </c>
      <c r="DO256" s="14">
        <v>0</v>
      </c>
      <c r="DP256" s="14">
        <v>0</v>
      </c>
      <c r="DQ256" s="15">
        <f t="shared" si="1315"/>
        <v>88</v>
      </c>
      <c r="DR256" s="15">
        <f t="shared" si="1316"/>
        <v>88</v>
      </c>
      <c r="DS256" s="15">
        <f t="shared" si="1317"/>
        <v>0</v>
      </c>
      <c r="DT256" s="15">
        <f t="shared" si="1318"/>
        <v>0</v>
      </c>
      <c r="DU256" s="15">
        <f t="shared" si="1319"/>
        <v>0</v>
      </c>
      <c r="DV256" s="15">
        <f t="shared" si="1320"/>
        <v>88</v>
      </c>
      <c r="DW256" s="14">
        <v>12</v>
      </c>
      <c r="DX256" s="14">
        <v>4</v>
      </c>
      <c r="DY256" s="14">
        <v>2</v>
      </c>
      <c r="DZ256" s="14">
        <v>0</v>
      </c>
      <c r="EA256" s="14">
        <v>3</v>
      </c>
      <c r="EB256" s="14">
        <v>4</v>
      </c>
      <c r="EC256" s="14">
        <v>0</v>
      </c>
      <c r="ED256" s="14">
        <v>2</v>
      </c>
      <c r="EE256" s="14">
        <v>0</v>
      </c>
      <c r="EF256" s="14">
        <v>0</v>
      </c>
      <c r="EG256" s="14">
        <v>0</v>
      </c>
      <c r="EH256" s="14">
        <v>0</v>
      </c>
      <c r="EI256" s="14">
        <v>0</v>
      </c>
      <c r="EJ256" s="14">
        <v>0</v>
      </c>
      <c r="EK256" s="14">
        <v>0</v>
      </c>
      <c r="EL256" s="14">
        <v>0</v>
      </c>
      <c r="EM256" s="14">
        <v>0</v>
      </c>
      <c r="EN256" s="14">
        <v>0</v>
      </c>
      <c r="EO256" s="14">
        <v>0</v>
      </c>
      <c r="EP256" s="14">
        <v>0</v>
      </c>
      <c r="EQ256" s="14">
        <v>0</v>
      </c>
      <c r="ER256" s="14">
        <v>0</v>
      </c>
      <c r="ES256" s="14">
        <v>0</v>
      </c>
      <c r="ET256" s="14">
        <v>0</v>
      </c>
      <c r="EU256" s="14">
        <v>0</v>
      </c>
      <c r="EV256" s="14">
        <v>0</v>
      </c>
      <c r="EW256" s="14">
        <v>0</v>
      </c>
      <c r="EX256" s="14">
        <v>0</v>
      </c>
      <c r="EY256" s="14">
        <v>0</v>
      </c>
      <c r="EZ256" s="14">
        <v>0</v>
      </c>
      <c r="FA256" s="14">
        <v>0</v>
      </c>
      <c r="FB256" s="14">
        <v>0</v>
      </c>
      <c r="FC256" s="14">
        <v>0</v>
      </c>
      <c r="FD256" s="14">
        <v>0</v>
      </c>
      <c r="FE256" s="14">
        <v>0</v>
      </c>
      <c r="FF256" s="14">
        <v>0</v>
      </c>
      <c r="FG256" s="15">
        <f t="shared" si="1321"/>
        <v>27</v>
      </c>
      <c r="FH256" s="14">
        <v>0</v>
      </c>
      <c r="FI256" s="14">
        <v>0</v>
      </c>
      <c r="FJ256" s="14">
        <v>0</v>
      </c>
      <c r="FK256" s="14">
        <v>0</v>
      </c>
      <c r="FL256" s="14">
        <v>0</v>
      </c>
      <c r="FM256" s="14">
        <v>0</v>
      </c>
      <c r="FN256" s="14">
        <v>0</v>
      </c>
      <c r="FO256" s="14">
        <v>0</v>
      </c>
      <c r="FP256" s="14">
        <v>0</v>
      </c>
      <c r="FQ256" s="15">
        <f t="shared" si="1322"/>
        <v>0</v>
      </c>
      <c r="FR256" s="14">
        <v>4508834</v>
      </c>
      <c r="FS256" s="14">
        <v>73550</v>
      </c>
      <c r="FT256" s="14">
        <v>14000</v>
      </c>
      <c r="FU256" s="14">
        <v>68055</v>
      </c>
      <c r="FV256" s="15">
        <f t="shared" si="1323"/>
        <v>4664439</v>
      </c>
      <c r="FW256" s="14">
        <v>1744871</v>
      </c>
      <c r="FX256" s="14">
        <v>28000</v>
      </c>
      <c r="FY256" s="14">
        <v>1401900</v>
      </c>
      <c r="FZ256" s="14">
        <v>255750</v>
      </c>
      <c r="GA256" s="15">
        <f t="shared" si="1324"/>
        <v>3430521</v>
      </c>
      <c r="GB256" s="15">
        <f t="shared" si="1325"/>
        <v>8094960</v>
      </c>
      <c r="GC256" s="14">
        <v>5205416.5999999996</v>
      </c>
      <c r="GD256" s="14">
        <v>119358.72</v>
      </c>
      <c r="GE256" s="14">
        <v>312942.7</v>
      </c>
      <c r="GF256" s="14">
        <v>16821.98</v>
      </c>
      <c r="GG256" s="15">
        <f t="shared" si="1326"/>
        <v>5654540</v>
      </c>
      <c r="GH256" s="14">
        <v>1708511</v>
      </c>
      <c r="GI256" s="14">
        <v>28000</v>
      </c>
      <c r="GJ256" s="14">
        <v>243399.67999999999</v>
      </c>
      <c r="GK256" s="14">
        <v>1401900</v>
      </c>
      <c r="GL256" s="15">
        <f t="shared" si="1327"/>
        <v>3381810.6799999997</v>
      </c>
      <c r="GM256" s="15">
        <f t="shared" si="1328"/>
        <v>9036350.6799999997</v>
      </c>
      <c r="GN256" s="14">
        <v>462684.8</v>
      </c>
      <c r="GO256" s="14">
        <v>1721.52</v>
      </c>
      <c r="GP256" s="14">
        <v>13574.56</v>
      </c>
      <c r="GQ256" s="14">
        <v>9274.68</v>
      </c>
      <c r="GR256" s="15">
        <f t="shared" si="1329"/>
        <v>487255.56</v>
      </c>
      <c r="GS256" s="14">
        <v>768873</v>
      </c>
      <c r="GT256" s="14">
        <v>8037</v>
      </c>
      <c r="GU256" s="14">
        <v>3572</v>
      </c>
      <c r="GV256" s="14">
        <v>1786</v>
      </c>
      <c r="GW256" s="15">
        <f t="shared" si="1330"/>
        <v>782268</v>
      </c>
      <c r="GX256" s="15">
        <f t="shared" si="1331"/>
        <v>10305874.24</v>
      </c>
      <c r="GY256" s="14">
        <v>40366543.200000003</v>
      </c>
      <c r="GZ256" s="14">
        <v>1112733.08</v>
      </c>
      <c r="HA256" s="15">
        <f t="shared" si="1332"/>
        <v>41479276.280000001</v>
      </c>
      <c r="HB256" s="15">
        <f t="shared" si="1333"/>
        <v>5.6986897600644505E-3</v>
      </c>
      <c r="HC256" s="16">
        <f t="shared" si="1334"/>
        <v>0.15975081531456534</v>
      </c>
      <c r="HD256" s="15">
        <f t="shared" si="1335"/>
        <v>0.78547048134753872</v>
      </c>
      <c r="HE256" s="14">
        <v>0</v>
      </c>
      <c r="HF256" s="14">
        <v>0</v>
      </c>
      <c r="HG256" s="14">
        <v>37</v>
      </c>
      <c r="HH256" s="14">
        <v>0</v>
      </c>
      <c r="HI256" s="14">
        <v>0</v>
      </c>
      <c r="HJ256" s="15">
        <f t="shared" si="1336"/>
        <v>0</v>
      </c>
      <c r="HK256" s="16" t="str">
        <f t="shared" si="1337"/>
        <v/>
      </c>
      <c r="HL256" s="14">
        <v>0</v>
      </c>
      <c r="HM256" s="14">
        <v>0</v>
      </c>
      <c r="HN256" s="17" t="str">
        <f t="shared" si="1338"/>
        <v/>
      </c>
    </row>
    <row r="257" spans="1:222" x14ac:dyDescent="0.3">
      <c r="A257" s="6" t="s">
        <v>289</v>
      </c>
      <c r="B257" s="6" t="s">
        <v>289</v>
      </c>
      <c r="C257" s="7" t="s">
        <v>257</v>
      </c>
      <c r="D257" s="7">
        <v>2025</v>
      </c>
      <c r="E257" s="7">
        <v>6</v>
      </c>
      <c r="F257" s="7" t="s">
        <v>261</v>
      </c>
      <c r="G257" s="7" t="s">
        <v>259</v>
      </c>
      <c r="H257" s="8">
        <v>8500</v>
      </c>
      <c r="I257" s="8">
        <v>4420</v>
      </c>
      <c r="J257" s="8">
        <v>470</v>
      </c>
      <c r="K257" s="8">
        <v>95</v>
      </c>
      <c r="L257" s="8">
        <v>1</v>
      </c>
      <c r="M257" s="9">
        <f t="shared" si="1278"/>
        <v>4986</v>
      </c>
      <c r="N257" s="8">
        <v>1214</v>
      </c>
      <c r="O257" s="8">
        <v>24</v>
      </c>
      <c r="P257" s="8">
        <v>211</v>
      </c>
      <c r="Q257" s="8">
        <v>71</v>
      </c>
      <c r="R257" s="9">
        <f t="shared" si="1279"/>
        <v>1520</v>
      </c>
      <c r="S257" s="9">
        <f t="shared" si="1280"/>
        <v>6506</v>
      </c>
      <c r="T257" s="8">
        <v>1994</v>
      </c>
      <c r="U257" s="10">
        <f t="shared" si="1281"/>
        <v>0.23458823529411765</v>
      </c>
      <c r="V257" s="8">
        <v>12</v>
      </c>
      <c r="W257" s="11">
        <f t="shared" si="1282"/>
        <v>1.411764705882353E-3</v>
      </c>
      <c r="X257" s="8">
        <v>0</v>
      </c>
      <c r="Y257" s="11">
        <f t="shared" si="1283"/>
        <v>0</v>
      </c>
      <c r="Z257" s="8">
        <v>0</v>
      </c>
      <c r="AA257" s="11">
        <f t="shared" si="1284"/>
        <v>0</v>
      </c>
      <c r="AB257" s="8">
        <v>0</v>
      </c>
      <c r="AC257" s="11">
        <f t="shared" si="1285"/>
        <v>0</v>
      </c>
      <c r="AD257" s="8">
        <v>0</v>
      </c>
      <c r="AE257" s="11">
        <f t="shared" si="1286"/>
        <v>0</v>
      </c>
      <c r="AF257" s="8">
        <v>0</v>
      </c>
      <c r="AG257" s="11">
        <f t="shared" si="1287"/>
        <v>0</v>
      </c>
      <c r="AH257" s="8">
        <v>42303.48</v>
      </c>
      <c r="AI257" s="9">
        <f t="shared" si="1288"/>
        <v>4.9768800000000004</v>
      </c>
      <c r="AJ257" s="8">
        <v>0</v>
      </c>
      <c r="AK257" s="11">
        <f t="shared" si="1289"/>
        <v>0</v>
      </c>
      <c r="AL257" s="8">
        <v>16426.5</v>
      </c>
      <c r="AM257" s="9">
        <f t="shared" si="1290"/>
        <v>1.9325294117647058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9">
        <f t="shared" si="1291"/>
        <v>58729.98</v>
      </c>
      <c r="AV257" s="9">
        <f t="shared" si="1292"/>
        <v>6.909409411764706</v>
      </c>
      <c r="AW257" s="9">
        <f t="shared" si="1293"/>
        <v>9.0270488779588085</v>
      </c>
      <c r="AX257" s="8">
        <v>6</v>
      </c>
      <c r="AY257" s="9">
        <f t="shared" si="1294"/>
        <v>8.4705882352941178</v>
      </c>
      <c r="AZ257" s="8">
        <v>6</v>
      </c>
      <c r="BA257" s="8">
        <v>37</v>
      </c>
      <c r="BB257" s="8">
        <v>0</v>
      </c>
      <c r="BC257" s="8">
        <v>0</v>
      </c>
      <c r="BD257" s="8">
        <v>0</v>
      </c>
      <c r="BE257" s="9">
        <f t="shared" si="1295"/>
        <v>0</v>
      </c>
      <c r="BF257" s="9">
        <f t="shared" si="1296"/>
        <v>37</v>
      </c>
      <c r="BG257" s="8">
        <v>0</v>
      </c>
      <c r="BH257" s="8">
        <v>0</v>
      </c>
      <c r="BI257" s="8">
        <v>0</v>
      </c>
      <c r="BJ257" s="8">
        <v>0</v>
      </c>
      <c r="BK257" s="9">
        <f t="shared" si="1297"/>
        <v>0</v>
      </c>
      <c r="BL257" s="9">
        <f t="shared" si="1298"/>
        <v>0</v>
      </c>
      <c r="BM257" s="8">
        <v>0</v>
      </c>
      <c r="BN257" s="8">
        <v>0</v>
      </c>
      <c r="BO257" s="8">
        <v>0</v>
      </c>
      <c r="BP257" s="8">
        <v>0</v>
      </c>
      <c r="BQ257" s="9">
        <f t="shared" si="1299"/>
        <v>0</v>
      </c>
      <c r="BR257" s="9">
        <f t="shared" si="1300"/>
        <v>0</v>
      </c>
      <c r="BS257" s="8">
        <v>0</v>
      </c>
      <c r="BT257" s="8">
        <v>0</v>
      </c>
      <c r="BU257" s="8">
        <v>0</v>
      </c>
      <c r="BV257" s="8">
        <v>0</v>
      </c>
      <c r="BW257" s="9">
        <f t="shared" si="1301"/>
        <v>0</v>
      </c>
      <c r="BX257" s="9">
        <f t="shared" si="1302"/>
        <v>0</v>
      </c>
      <c r="BY257" s="9">
        <f t="shared" si="1303"/>
        <v>37</v>
      </c>
      <c r="BZ257" s="9">
        <f t="shared" si="1304"/>
        <v>0</v>
      </c>
      <c r="CA257" s="9">
        <f t="shared" si="1305"/>
        <v>0</v>
      </c>
      <c r="CB257" s="9">
        <f t="shared" si="1306"/>
        <v>37</v>
      </c>
      <c r="CC257" s="8">
        <v>0</v>
      </c>
      <c r="CD257" s="8">
        <v>665</v>
      </c>
      <c r="CE257" s="8">
        <v>30</v>
      </c>
      <c r="CF257" s="8">
        <v>48</v>
      </c>
      <c r="CG257" s="8">
        <v>20</v>
      </c>
      <c r="CH257" s="9">
        <f t="shared" si="1307"/>
        <v>763</v>
      </c>
      <c r="CI257" s="8">
        <v>802</v>
      </c>
      <c r="CJ257" s="8">
        <v>0</v>
      </c>
      <c r="CK257" s="8">
        <v>0</v>
      </c>
      <c r="CL257" s="8">
        <v>10</v>
      </c>
      <c r="CM257" s="9">
        <f t="shared" si="1308"/>
        <v>812</v>
      </c>
      <c r="CN257" s="8">
        <v>201</v>
      </c>
      <c r="CO257" s="8">
        <v>30</v>
      </c>
      <c r="CP257" s="8">
        <v>28</v>
      </c>
      <c r="CQ257" s="8">
        <v>1</v>
      </c>
      <c r="CR257" s="9">
        <f t="shared" si="1309"/>
        <v>260</v>
      </c>
      <c r="CS257" s="9">
        <f t="shared" si="1310"/>
        <v>1072</v>
      </c>
      <c r="CT257" s="8">
        <v>1835</v>
      </c>
      <c r="CU257" s="8">
        <v>18398.373299999999</v>
      </c>
      <c r="CV257" s="8">
        <v>11567</v>
      </c>
      <c r="CW257" s="10">
        <f t="shared" si="1311"/>
        <v>0.62869688593610618</v>
      </c>
      <c r="CX257" s="8">
        <v>0</v>
      </c>
      <c r="CY257" s="8"/>
      <c r="CZ257" s="8"/>
      <c r="DA257" s="8"/>
      <c r="DB257" s="9">
        <f t="shared" si="1312"/>
        <v>0</v>
      </c>
      <c r="DC257" s="8">
        <v>0</v>
      </c>
      <c r="DD257" s="8">
        <v>0</v>
      </c>
      <c r="DE257" s="8">
        <v>0</v>
      </c>
      <c r="DF257" s="8">
        <v>0</v>
      </c>
      <c r="DG257" s="9">
        <f t="shared" si="1313"/>
        <v>0</v>
      </c>
      <c r="DH257" s="8">
        <v>0</v>
      </c>
      <c r="DI257" s="8">
        <v>0</v>
      </c>
      <c r="DJ257" s="8">
        <v>0</v>
      </c>
      <c r="DK257" s="8">
        <v>0</v>
      </c>
      <c r="DL257" s="9">
        <f t="shared" si="1314"/>
        <v>0</v>
      </c>
      <c r="DM257" s="8">
        <v>88</v>
      </c>
      <c r="DN257" s="8">
        <v>3</v>
      </c>
      <c r="DO257" s="8">
        <v>0</v>
      </c>
      <c r="DP257" s="8">
        <v>0</v>
      </c>
      <c r="DQ257" s="9">
        <f t="shared" si="1315"/>
        <v>91</v>
      </c>
      <c r="DR257" s="9">
        <f t="shared" si="1316"/>
        <v>88</v>
      </c>
      <c r="DS257" s="9">
        <f t="shared" si="1317"/>
        <v>3</v>
      </c>
      <c r="DT257" s="9">
        <f t="shared" si="1318"/>
        <v>0</v>
      </c>
      <c r="DU257" s="9">
        <f t="shared" si="1319"/>
        <v>0</v>
      </c>
      <c r="DV257" s="9">
        <f t="shared" si="1320"/>
        <v>91</v>
      </c>
      <c r="DW257" s="8">
        <v>13</v>
      </c>
      <c r="DX257" s="8">
        <v>6</v>
      </c>
      <c r="DY257" s="8">
        <v>7</v>
      </c>
      <c r="DZ257" s="8">
        <v>0</v>
      </c>
      <c r="EA257" s="8">
        <v>8</v>
      </c>
      <c r="EB257" s="8">
        <v>6</v>
      </c>
      <c r="EC257" s="8">
        <v>0</v>
      </c>
      <c r="ED257" s="8">
        <v>4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8">
        <v>0</v>
      </c>
      <c r="FC257" s="8">
        <v>0</v>
      </c>
      <c r="FD257" s="8">
        <v>0</v>
      </c>
      <c r="FE257" s="8">
        <v>0</v>
      </c>
      <c r="FF257" s="8">
        <v>0</v>
      </c>
      <c r="FG257" s="9">
        <f t="shared" si="1321"/>
        <v>44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9">
        <f t="shared" si="1322"/>
        <v>0</v>
      </c>
      <c r="FR257" s="8">
        <v>4508311</v>
      </c>
      <c r="FS257" s="8">
        <v>78550</v>
      </c>
      <c r="FT257" s="8">
        <v>0</v>
      </c>
      <c r="FU257" s="8">
        <v>0</v>
      </c>
      <c r="FV257" s="9">
        <f t="shared" si="1323"/>
        <v>4586861</v>
      </c>
      <c r="FW257" s="8">
        <v>1230200</v>
      </c>
      <c r="FX257" s="8">
        <v>35400</v>
      </c>
      <c r="FY257" s="8">
        <v>482100</v>
      </c>
      <c r="FZ257" s="8">
        <v>2686834</v>
      </c>
      <c r="GA257" s="9">
        <f t="shared" si="1324"/>
        <v>4434534</v>
      </c>
      <c r="GB257" s="9">
        <f t="shared" si="1325"/>
        <v>9021395</v>
      </c>
      <c r="GC257" s="8">
        <v>4393038.3</v>
      </c>
      <c r="GD257" s="8">
        <v>89901.6</v>
      </c>
      <c r="GE257" s="8">
        <v>312145.39</v>
      </c>
      <c r="GF257" s="8">
        <v>16821.98</v>
      </c>
      <c r="GG257" s="9">
        <f t="shared" si="1326"/>
        <v>4811907.2699999996</v>
      </c>
      <c r="GH257" s="8">
        <v>1189967.6100000001</v>
      </c>
      <c r="GI257" s="8">
        <v>35400</v>
      </c>
      <c r="GJ257" s="8">
        <v>2686834</v>
      </c>
      <c r="GK257" s="8">
        <v>482100</v>
      </c>
      <c r="GL257" s="9">
        <f t="shared" si="1327"/>
        <v>4394301.6100000003</v>
      </c>
      <c r="GM257" s="9">
        <f t="shared" si="1328"/>
        <v>9206208.879999999</v>
      </c>
      <c r="GN257" s="8">
        <v>474916.94</v>
      </c>
      <c r="GO257" s="8">
        <v>1721.52</v>
      </c>
      <c r="GP257" s="8">
        <v>13574.56</v>
      </c>
      <c r="GQ257" s="8">
        <v>9274.68</v>
      </c>
      <c r="GR257" s="9">
        <f t="shared" si="1329"/>
        <v>499487.7</v>
      </c>
      <c r="GS257" s="8">
        <v>788519</v>
      </c>
      <c r="GT257" s="8">
        <v>8037</v>
      </c>
      <c r="GU257" s="8">
        <v>3572</v>
      </c>
      <c r="GV257" s="8">
        <v>1786</v>
      </c>
      <c r="GW257" s="9">
        <f t="shared" si="1330"/>
        <v>801914</v>
      </c>
      <c r="GX257" s="9">
        <f t="shared" si="1331"/>
        <v>10507610.579999998</v>
      </c>
      <c r="GY257" s="8">
        <v>42286438.490000002</v>
      </c>
      <c r="GZ257" s="8">
        <v>1475687.77</v>
      </c>
      <c r="HA257" s="9">
        <f t="shared" si="1332"/>
        <v>43762126.260000005</v>
      </c>
      <c r="HB257" s="9">
        <f t="shared" si="1333"/>
        <v>5.5892802224499659E-3</v>
      </c>
      <c r="HC257" s="10">
        <f t="shared" si="1334"/>
        <v>0.17087901305009717</v>
      </c>
      <c r="HD257" s="9">
        <f t="shared" si="1335"/>
        <v>0.85855817850455607</v>
      </c>
      <c r="HE257" s="8">
        <v>0</v>
      </c>
      <c r="HF257" s="8">
        <v>0</v>
      </c>
      <c r="HG257" s="8">
        <v>37</v>
      </c>
      <c r="HH257" s="8">
        <v>0</v>
      </c>
      <c r="HI257" s="8">
        <v>0</v>
      </c>
      <c r="HJ257" s="9">
        <f t="shared" si="1336"/>
        <v>0</v>
      </c>
      <c r="HK257" s="10" t="str">
        <f t="shared" si="1337"/>
        <v/>
      </c>
      <c r="HL257" s="8">
        <v>0</v>
      </c>
      <c r="HM257" s="8">
        <v>0</v>
      </c>
      <c r="HN257" s="11" t="str">
        <f t="shared" si="1338"/>
        <v/>
      </c>
    </row>
    <row r="258" spans="1:222" x14ac:dyDescent="0.3">
      <c r="A258" s="12" t="s">
        <v>289</v>
      </c>
      <c r="B258" s="12" t="s">
        <v>289</v>
      </c>
      <c r="C258" s="13" t="s">
        <v>257</v>
      </c>
      <c r="D258" s="13">
        <v>2025</v>
      </c>
      <c r="E258" s="13">
        <v>7</v>
      </c>
      <c r="F258" s="13" t="s">
        <v>262</v>
      </c>
      <c r="G258" s="13" t="s">
        <v>263</v>
      </c>
      <c r="H258" s="14">
        <v>10053</v>
      </c>
      <c r="I258" s="14">
        <v>4486</v>
      </c>
      <c r="J258" s="14">
        <v>351</v>
      </c>
      <c r="K258" s="14">
        <v>195</v>
      </c>
      <c r="L258" s="14">
        <v>20</v>
      </c>
      <c r="M258" s="15">
        <f t="shared" si="1278"/>
        <v>5052</v>
      </c>
      <c r="N258" s="14">
        <v>1654</v>
      </c>
      <c r="O258" s="14">
        <v>29</v>
      </c>
      <c r="P258" s="14">
        <v>1061</v>
      </c>
      <c r="Q258" s="14">
        <v>184</v>
      </c>
      <c r="R258" s="15">
        <f t="shared" si="1279"/>
        <v>2928</v>
      </c>
      <c r="S258" s="15">
        <f t="shared" si="1280"/>
        <v>7980</v>
      </c>
      <c r="T258" s="14">
        <v>2073</v>
      </c>
      <c r="U258" s="16">
        <f t="shared" si="1281"/>
        <v>0.20620710235750522</v>
      </c>
      <c r="V258" s="14">
        <v>12</v>
      </c>
      <c r="W258" s="17">
        <f t="shared" si="1282"/>
        <v>1.1936735302894659E-3</v>
      </c>
      <c r="X258" s="14">
        <v>0</v>
      </c>
      <c r="Y258" s="17">
        <f t="shared" si="1283"/>
        <v>0</v>
      </c>
      <c r="Z258" s="14">
        <v>0</v>
      </c>
      <c r="AA258" s="17">
        <f t="shared" si="1284"/>
        <v>0</v>
      </c>
      <c r="AB258" s="14">
        <v>0</v>
      </c>
      <c r="AC258" s="17">
        <f t="shared" si="1285"/>
        <v>0</v>
      </c>
      <c r="AD258" s="14">
        <v>0</v>
      </c>
      <c r="AE258" s="17">
        <f t="shared" si="1286"/>
        <v>0</v>
      </c>
      <c r="AF258" s="14">
        <v>0</v>
      </c>
      <c r="AG258" s="17">
        <f t="shared" si="1287"/>
        <v>0</v>
      </c>
      <c r="AH258" s="14">
        <v>42303.48</v>
      </c>
      <c r="AI258" s="15">
        <f t="shared" si="1288"/>
        <v>4.2080453595941512</v>
      </c>
      <c r="AJ258" s="14">
        <v>0</v>
      </c>
      <c r="AK258" s="17">
        <f t="shared" si="1289"/>
        <v>0</v>
      </c>
      <c r="AL258" s="14">
        <v>16426.5</v>
      </c>
      <c r="AM258" s="15">
        <f t="shared" si="1290"/>
        <v>1.6339898537749926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5">
        <f t="shared" si="1291"/>
        <v>58729.98</v>
      </c>
      <c r="AV258" s="15">
        <f t="shared" si="1292"/>
        <v>5.8420352133691438</v>
      </c>
      <c r="AW258" s="15">
        <f t="shared" si="1293"/>
        <v>7.3596466165413537</v>
      </c>
      <c r="AX258" s="14">
        <v>6</v>
      </c>
      <c r="AY258" s="15">
        <f t="shared" si="1294"/>
        <v>7.1620411817367939</v>
      </c>
      <c r="AZ258" s="14">
        <v>6</v>
      </c>
      <c r="BA258" s="14">
        <v>37</v>
      </c>
      <c r="BB258" s="14">
        <v>0</v>
      </c>
      <c r="BC258" s="14">
        <v>0</v>
      </c>
      <c r="BD258" s="14">
        <v>0</v>
      </c>
      <c r="BE258" s="15">
        <f t="shared" si="1295"/>
        <v>0</v>
      </c>
      <c r="BF258" s="15">
        <f t="shared" si="1296"/>
        <v>37</v>
      </c>
      <c r="BG258" s="14">
        <v>0</v>
      </c>
      <c r="BH258" s="14">
        <v>0</v>
      </c>
      <c r="BI258" s="14">
        <v>0</v>
      </c>
      <c r="BJ258" s="14">
        <v>0</v>
      </c>
      <c r="BK258" s="15">
        <f t="shared" si="1297"/>
        <v>0</v>
      </c>
      <c r="BL258" s="15">
        <f t="shared" si="1298"/>
        <v>0</v>
      </c>
      <c r="BM258" s="14">
        <v>0</v>
      </c>
      <c r="BN258" s="14">
        <v>0</v>
      </c>
      <c r="BO258" s="14">
        <v>0</v>
      </c>
      <c r="BP258" s="14">
        <v>0</v>
      </c>
      <c r="BQ258" s="15">
        <f t="shared" si="1299"/>
        <v>0</v>
      </c>
      <c r="BR258" s="15">
        <f t="shared" si="1300"/>
        <v>0</v>
      </c>
      <c r="BS258" s="14">
        <v>0</v>
      </c>
      <c r="BT258" s="14">
        <v>0</v>
      </c>
      <c r="BU258" s="14">
        <v>0</v>
      </c>
      <c r="BV258" s="14">
        <v>0</v>
      </c>
      <c r="BW258" s="15">
        <f t="shared" si="1301"/>
        <v>0</v>
      </c>
      <c r="BX258" s="15">
        <f t="shared" si="1302"/>
        <v>0</v>
      </c>
      <c r="BY258" s="15">
        <f t="shared" si="1303"/>
        <v>37</v>
      </c>
      <c r="BZ258" s="15">
        <f t="shared" si="1304"/>
        <v>0</v>
      </c>
      <c r="CA258" s="15">
        <f t="shared" si="1305"/>
        <v>0</v>
      </c>
      <c r="CB258" s="15">
        <f t="shared" si="1306"/>
        <v>37</v>
      </c>
      <c r="CC258" s="14">
        <v>0</v>
      </c>
      <c r="CD258" s="14">
        <v>667</v>
      </c>
      <c r="CE258" s="14">
        <v>18</v>
      </c>
      <c r="CF258" s="14">
        <v>52</v>
      </c>
      <c r="CG258" s="14">
        <v>20</v>
      </c>
      <c r="CH258" s="15">
        <f t="shared" si="1307"/>
        <v>757</v>
      </c>
      <c r="CI258" s="14">
        <v>808</v>
      </c>
      <c r="CJ258" s="14">
        <v>0</v>
      </c>
      <c r="CK258" s="14">
        <v>0</v>
      </c>
      <c r="CL258" s="14">
        <v>10</v>
      </c>
      <c r="CM258" s="15">
        <f t="shared" si="1308"/>
        <v>818</v>
      </c>
      <c r="CN258" s="14">
        <v>201</v>
      </c>
      <c r="CO258" s="14">
        <v>30</v>
      </c>
      <c r="CP258" s="14">
        <v>28</v>
      </c>
      <c r="CQ258" s="14">
        <v>1</v>
      </c>
      <c r="CR258" s="15">
        <f t="shared" si="1309"/>
        <v>260</v>
      </c>
      <c r="CS258" s="15">
        <f t="shared" si="1310"/>
        <v>1078</v>
      </c>
      <c r="CT258" s="14">
        <v>1835</v>
      </c>
      <c r="CU258" s="14">
        <v>18435.1700466</v>
      </c>
      <c r="CV258" s="14">
        <v>11567</v>
      </c>
      <c r="CW258" s="16">
        <f t="shared" si="1311"/>
        <v>0.62744200193224164</v>
      </c>
      <c r="CX258" s="14">
        <v>0</v>
      </c>
      <c r="CY258" s="14"/>
      <c r="CZ258" s="14"/>
      <c r="DA258" s="14"/>
      <c r="DB258" s="15">
        <f t="shared" si="1312"/>
        <v>0</v>
      </c>
      <c r="DC258" s="14">
        <v>0</v>
      </c>
      <c r="DD258" s="14">
        <v>0</v>
      </c>
      <c r="DE258" s="14">
        <v>0</v>
      </c>
      <c r="DF258" s="14">
        <v>0</v>
      </c>
      <c r="DG258" s="15">
        <f t="shared" si="1313"/>
        <v>0</v>
      </c>
      <c r="DH258" s="14">
        <v>0</v>
      </c>
      <c r="DI258" s="14">
        <v>0</v>
      </c>
      <c r="DJ258" s="14">
        <v>0</v>
      </c>
      <c r="DK258" s="14">
        <v>0</v>
      </c>
      <c r="DL258" s="15">
        <f t="shared" si="1314"/>
        <v>0</v>
      </c>
      <c r="DM258" s="14">
        <v>91</v>
      </c>
      <c r="DN258" s="14">
        <v>5</v>
      </c>
      <c r="DO258" s="14">
        <v>0</v>
      </c>
      <c r="DP258" s="14">
        <v>0</v>
      </c>
      <c r="DQ258" s="15">
        <f t="shared" si="1315"/>
        <v>96</v>
      </c>
      <c r="DR258" s="15">
        <f t="shared" si="1316"/>
        <v>91</v>
      </c>
      <c r="DS258" s="15">
        <f t="shared" si="1317"/>
        <v>5</v>
      </c>
      <c r="DT258" s="15">
        <f t="shared" si="1318"/>
        <v>0</v>
      </c>
      <c r="DU258" s="15">
        <f t="shared" si="1319"/>
        <v>0</v>
      </c>
      <c r="DV258" s="15">
        <f t="shared" si="1320"/>
        <v>96</v>
      </c>
      <c r="DW258" s="14">
        <v>20</v>
      </c>
      <c r="DX258" s="14">
        <v>4</v>
      </c>
      <c r="DY258" s="14">
        <v>3</v>
      </c>
      <c r="DZ258" s="14">
        <v>4</v>
      </c>
      <c r="EA258" s="14">
        <v>7</v>
      </c>
      <c r="EB258" s="14">
        <v>4</v>
      </c>
      <c r="EC258" s="14">
        <v>0</v>
      </c>
      <c r="ED258" s="14">
        <v>0</v>
      </c>
      <c r="EE258" s="14">
        <v>0</v>
      </c>
      <c r="EF258" s="14">
        <v>0</v>
      </c>
      <c r="EG258" s="14">
        <v>0</v>
      </c>
      <c r="EH258" s="14">
        <v>0</v>
      </c>
      <c r="EI258" s="14">
        <v>0</v>
      </c>
      <c r="EJ258" s="14">
        <v>0</v>
      </c>
      <c r="EK258" s="14">
        <v>0</v>
      </c>
      <c r="EL258" s="14">
        <v>0</v>
      </c>
      <c r="EM258" s="14">
        <v>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14">
        <v>0</v>
      </c>
      <c r="EU258" s="14">
        <v>0</v>
      </c>
      <c r="EV258" s="14">
        <v>0</v>
      </c>
      <c r="EW258" s="14">
        <v>0</v>
      </c>
      <c r="EX258" s="14">
        <v>0</v>
      </c>
      <c r="EY258" s="14">
        <v>0</v>
      </c>
      <c r="EZ258" s="14">
        <v>0</v>
      </c>
      <c r="FA258" s="14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5">
        <f t="shared" si="1321"/>
        <v>42</v>
      </c>
      <c r="FH258" s="14">
        <v>0</v>
      </c>
      <c r="FI258" s="14">
        <v>0</v>
      </c>
      <c r="FJ258" s="14">
        <v>0</v>
      </c>
      <c r="FK258" s="14">
        <v>0</v>
      </c>
      <c r="FL258" s="14">
        <v>0</v>
      </c>
      <c r="FM258" s="14">
        <v>0</v>
      </c>
      <c r="FN258" s="14">
        <v>0</v>
      </c>
      <c r="FO258" s="14">
        <v>0</v>
      </c>
      <c r="FP258" s="14">
        <v>0</v>
      </c>
      <c r="FQ258" s="15">
        <f t="shared" si="1322"/>
        <v>0</v>
      </c>
      <c r="FR258" s="14">
        <v>23856602</v>
      </c>
      <c r="FS258" s="14">
        <v>274652</v>
      </c>
      <c r="FT258" s="14">
        <v>0</v>
      </c>
      <c r="FU258" s="14">
        <v>134100</v>
      </c>
      <c r="FV258" s="15">
        <f t="shared" si="1323"/>
        <v>24265354</v>
      </c>
      <c r="FW258" s="14">
        <v>1030000</v>
      </c>
      <c r="FX258" s="14">
        <v>45000</v>
      </c>
      <c r="FY258" s="14">
        <v>871800</v>
      </c>
      <c r="FZ258" s="14">
        <v>3225289</v>
      </c>
      <c r="GA258" s="15">
        <f t="shared" si="1324"/>
        <v>5172089</v>
      </c>
      <c r="GB258" s="15">
        <f t="shared" si="1325"/>
        <v>29437443</v>
      </c>
      <c r="GC258" s="14">
        <v>4183665.26</v>
      </c>
      <c r="GD258" s="14">
        <v>67139.28</v>
      </c>
      <c r="GE258" s="14">
        <v>652138.42000000004</v>
      </c>
      <c r="GF258" s="14">
        <v>74197.33</v>
      </c>
      <c r="GG258" s="15">
        <f t="shared" si="1326"/>
        <v>4977140.29</v>
      </c>
      <c r="GH258" s="14">
        <v>988540</v>
      </c>
      <c r="GI258" s="14">
        <v>45000</v>
      </c>
      <c r="GJ258" s="14">
        <v>3224089.4</v>
      </c>
      <c r="GK258" s="14">
        <v>871800</v>
      </c>
      <c r="GL258" s="15">
        <f t="shared" si="1327"/>
        <v>5129429.4000000004</v>
      </c>
      <c r="GM258" s="15">
        <f t="shared" si="1328"/>
        <v>10106569.690000001</v>
      </c>
      <c r="GN258" s="14">
        <v>391116.18</v>
      </c>
      <c r="GO258" s="14">
        <v>1338.96</v>
      </c>
      <c r="GP258" s="14">
        <v>16968.2</v>
      </c>
      <c r="GQ258" s="14">
        <v>4637.34</v>
      </c>
      <c r="GR258" s="15">
        <f t="shared" si="1329"/>
        <v>414060.68000000005</v>
      </c>
      <c r="GS258" s="14">
        <v>649211</v>
      </c>
      <c r="GT258" s="14">
        <v>6251</v>
      </c>
      <c r="GU258" s="14">
        <v>4465</v>
      </c>
      <c r="GV258" s="14">
        <v>893</v>
      </c>
      <c r="GW258" s="15">
        <f t="shared" si="1330"/>
        <v>660820</v>
      </c>
      <c r="GX258" s="15">
        <f t="shared" si="1331"/>
        <v>11181450.370000001</v>
      </c>
      <c r="GY258" s="14">
        <v>11437912.9</v>
      </c>
      <c r="GZ258" s="14">
        <v>2102465.1800000002</v>
      </c>
      <c r="HA258" s="15">
        <f t="shared" si="1332"/>
        <v>13540378.08</v>
      </c>
      <c r="HB258" s="15">
        <f t="shared" si="1333"/>
        <v>5.2524474067848492E-3</v>
      </c>
      <c r="HC258" s="16">
        <f t="shared" si="1334"/>
        <v>1.301426686888344</v>
      </c>
      <c r="HD258" s="15">
        <f t="shared" si="1335"/>
        <v>2.6327034531209925</v>
      </c>
      <c r="HE258" s="14">
        <v>0</v>
      </c>
      <c r="HF258" s="14">
        <v>0</v>
      </c>
      <c r="HG258" s="14">
        <v>37</v>
      </c>
      <c r="HH258" s="14">
        <v>0</v>
      </c>
      <c r="HI258" s="14">
        <v>0</v>
      </c>
      <c r="HJ258" s="15">
        <f t="shared" si="1336"/>
        <v>0</v>
      </c>
      <c r="HK258" s="16" t="str">
        <f t="shared" si="1337"/>
        <v/>
      </c>
      <c r="HL258" s="14">
        <v>0</v>
      </c>
      <c r="HM258" s="14">
        <v>0</v>
      </c>
      <c r="HN258" s="17" t="str">
        <f t="shared" si="1338"/>
        <v/>
      </c>
    </row>
    <row r="259" spans="1:222" x14ac:dyDescent="0.3">
      <c r="A259" s="6" t="s">
        <v>289</v>
      </c>
      <c r="B259" s="6" t="s">
        <v>289</v>
      </c>
      <c r="C259" s="7" t="s">
        <v>257</v>
      </c>
      <c r="D259" s="7">
        <v>2025</v>
      </c>
      <c r="E259" s="7">
        <v>8</v>
      </c>
      <c r="F259" s="7" t="s">
        <v>264</v>
      </c>
      <c r="G259" s="7" t="s">
        <v>263</v>
      </c>
      <c r="H259" s="8">
        <v>11600</v>
      </c>
      <c r="I259" s="8">
        <v>6830</v>
      </c>
      <c r="J259" s="8">
        <v>621</v>
      </c>
      <c r="K259" s="8">
        <v>182</v>
      </c>
      <c r="L259" s="8">
        <v>0</v>
      </c>
      <c r="M259" s="9">
        <f t="shared" si="1278"/>
        <v>7633</v>
      </c>
      <c r="N259" s="8">
        <v>2433</v>
      </c>
      <c r="O259" s="8">
        <v>33</v>
      </c>
      <c r="P259" s="8">
        <v>265</v>
      </c>
      <c r="Q259" s="8">
        <v>82</v>
      </c>
      <c r="R259" s="9">
        <f t="shared" si="1279"/>
        <v>2813</v>
      </c>
      <c r="S259" s="9">
        <f t="shared" si="1280"/>
        <v>10446</v>
      </c>
      <c r="T259" s="8">
        <v>1154</v>
      </c>
      <c r="U259" s="10">
        <f t="shared" si="1281"/>
        <v>9.9482758620689657E-2</v>
      </c>
      <c r="V259" s="8">
        <v>12</v>
      </c>
      <c r="W259" s="11">
        <f t="shared" si="1282"/>
        <v>1.0344827586206897E-3</v>
      </c>
      <c r="X259" s="8">
        <v>0</v>
      </c>
      <c r="Y259" s="11">
        <f t="shared" si="1283"/>
        <v>0</v>
      </c>
      <c r="Z259" s="8">
        <v>0</v>
      </c>
      <c r="AA259" s="11">
        <f t="shared" si="1284"/>
        <v>0</v>
      </c>
      <c r="AB259" s="8">
        <v>0</v>
      </c>
      <c r="AC259" s="11">
        <f t="shared" si="1285"/>
        <v>0</v>
      </c>
      <c r="AD259" s="8">
        <v>0</v>
      </c>
      <c r="AE259" s="11">
        <f t="shared" si="1286"/>
        <v>0</v>
      </c>
      <c r="AF259" s="8">
        <v>0</v>
      </c>
      <c r="AG259" s="11">
        <f t="shared" si="1287"/>
        <v>0</v>
      </c>
      <c r="AH259" s="8">
        <v>42303.48</v>
      </c>
      <c r="AI259" s="9">
        <f t="shared" si="1288"/>
        <v>3.6468517241379312</v>
      </c>
      <c r="AJ259" s="8">
        <v>0</v>
      </c>
      <c r="AK259" s="11">
        <f t="shared" si="1289"/>
        <v>0</v>
      </c>
      <c r="AL259" s="8">
        <v>16426.5</v>
      </c>
      <c r="AM259" s="9">
        <f t="shared" si="1290"/>
        <v>1.4160775862068966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9">
        <f t="shared" si="1291"/>
        <v>58729.98</v>
      </c>
      <c r="AV259" s="9">
        <f t="shared" si="1292"/>
        <v>5.0629293103448276</v>
      </c>
      <c r="AW259" s="9">
        <f t="shared" si="1293"/>
        <v>5.6222458357265941</v>
      </c>
      <c r="AX259" s="8">
        <v>6</v>
      </c>
      <c r="AY259" s="9">
        <f t="shared" si="1294"/>
        <v>6.2068965517241379</v>
      </c>
      <c r="AZ259" s="8">
        <v>6</v>
      </c>
      <c r="BA259" s="8">
        <v>37</v>
      </c>
      <c r="BB259" s="8">
        <v>0</v>
      </c>
      <c r="BC259" s="8">
        <v>0</v>
      </c>
      <c r="BD259" s="8">
        <v>0</v>
      </c>
      <c r="BE259" s="9">
        <f t="shared" si="1295"/>
        <v>0</v>
      </c>
      <c r="BF259" s="9">
        <f t="shared" si="1296"/>
        <v>37</v>
      </c>
      <c r="BG259" s="8">
        <v>0</v>
      </c>
      <c r="BH259" s="8">
        <v>0</v>
      </c>
      <c r="BI259" s="8">
        <v>0</v>
      </c>
      <c r="BJ259" s="8">
        <v>0</v>
      </c>
      <c r="BK259" s="9">
        <f t="shared" si="1297"/>
        <v>0</v>
      </c>
      <c r="BL259" s="9">
        <f t="shared" si="1298"/>
        <v>0</v>
      </c>
      <c r="BM259" s="8">
        <v>0</v>
      </c>
      <c r="BN259" s="8">
        <v>0</v>
      </c>
      <c r="BO259" s="8">
        <v>0</v>
      </c>
      <c r="BP259" s="8">
        <v>0</v>
      </c>
      <c r="BQ259" s="9">
        <f t="shared" si="1299"/>
        <v>0</v>
      </c>
      <c r="BR259" s="9">
        <f t="shared" si="1300"/>
        <v>0</v>
      </c>
      <c r="BS259" s="8">
        <v>0</v>
      </c>
      <c r="BT259" s="8">
        <v>0</v>
      </c>
      <c r="BU259" s="8">
        <v>0</v>
      </c>
      <c r="BV259" s="8">
        <v>0</v>
      </c>
      <c r="BW259" s="9">
        <f t="shared" si="1301"/>
        <v>0</v>
      </c>
      <c r="BX259" s="9">
        <f t="shared" si="1302"/>
        <v>0</v>
      </c>
      <c r="BY259" s="9">
        <f t="shared" si="1303"/>
        <v>37</v>
      </c>
      <c r="BZ259" s="9">
        <f t="shared" si="1304"/>
        <v>0</v>
      </c>
      <c r="CA259" s="9">
        <f t="shared" si="1305"/>
        <v>0</v>
      </c>
      <c r="CB259" s="9">
        <f t="shared" si="1306"/>
        <v>37</v>
      </c>
      <c r="CC259" s="8">
        <v>0</v>
      </c>
      <c r="CD259" s="8">
        <v>718</v>
      </c>
      <c r="CE259" s="8">
        <v>23</v>
      </c>
      <c r="CF259" s="8">
        <v>68</v>
      </c>
      <c r="CG259" s="8">
        <v>18</v>
      </c>
      <c r="CH259" s="9">
        <f t="shared" si="1307"/>
        <v>827</v>
      </c>
      <c r="CI259" s="8">
        <v>738</v>
      </c>
      <c r="CJ259" s="8">
        <v>0</v>
      </c>
      <c r="CK259" s="8">
        <v>0</v>
      </c>
      <c r="CL259" s="8">
        <v>10</v>
      </c>
      <c r="CM259" s="9">
        <f t="shared" si="1308"/>
        <v>748</v>
      </c>
      <c r="CN259" s="8">
        <v>201</v>
      </c>
      <c r="CO259" s="8">
        <v>30</v>
      </c>
      <c r="CP259" s="8">
        <v>28</v>
      </c>
      <c r="CQ259" s="8">
        <v>1</v>
      </c>
      <c r="CR259" s="9">
        <f t="shared" si="1309"/>
        <v>260</v>
      </c>
      <c r="CS259" s="9">
        <f t="shared" si="1310"/>
        <v>1008</v>
      </c>
      <c r="CT259" s="8">
        <v>1835</v>
      </c>
      <c r="CU259" s="8">
        <v>18472.040386693199</v>
      </c>
      <c r="CV259" s="8">
        <v>11567</v>
      </c>
      <c r="CW259" s="10">
        <f t="shared" si="1311"/>
        <v>0.62618962268686795</v>
      </c>
      <c r="CX259" s="8">
        <v>0</v>
      </c>
      <c r="CY259" s="8"/>
      <c r="CZ259" s="8"/>
      <c r="DA259" s="8"/>
      <c r="DB259" s="9">
        <f t="shared" si="1312"/>
        <v>0</v>
      </c>
      <c r="DC259" s="8">
        <v>0</v>
      </c>
      <c r="DD259" s="8">
        <v>0</v>
      </c>
      <c r="DE259" s="8">
        <v>0</v>
      </c>
      <c r="DF259" s="8">
        <v>0</v>
      </c>
      <c r="DG259" s="9">
        <f t="shared" si="1313"/>
        <v>0</v>
      </c>
      <c r="DH259" s="8">
        <v>0</v>
      </c>
      <c r="DI259" s="8">
        <v>0</v>
      </c>
      <c r="DJ259" s="8">
        <v>0</v>
      </c>
      <c r="DK259" s="8">
        <v>0</v>
      </c>
      <c r="DL259" s="9">
        <f t="shared" si="1314"/>
        <v>0</v>
      </c>
      <c r="DM259" s="8">
        <v>96</v>
      </c>
      <c r="DN259" s="8">
        <v>0</v>
      </c>
      <c r="DO259" s="8">
        <v>0</v>
      </c>
      <c r="DP259" s="8">
        <v>0</v>
      </c>
      <c r="DQ259" s="9">
        <f t="shared" si="1315"/>
        <v>96</v>
      </c>
      <c r="DR259" s="9">
        <f t="shared" si="1316"/>
        <v>96</v>
      </c>
      <c r="DS259" s="9">
        <f t="shared" si="1317"/>
        <v>0</v>
      </c>
      <c r="DT259" s="9">
        <f t="shared" si="1318"/>
        <v>0</v>
      </c>
      <c r="DU259" s="9">
        <f t="shared" si="1319"/>
        <v>0</v>
      </c>
      <c r="DV259" s="9">
        <f t="shared" si="1320"/>
        <v>96</v>
      </c>
      <c r="DW259" s="8">
        <v>15</v>
      </c>
      <c r="DX259" s="8">
        <v>8</v>
      </c>
      <c r="DY259" s="8">
        <v>6</v>
      </c>
      <c r="DZ259" s="8">
        <v>4</v>
      </c>
      <c r="EA259" s="8">
        <v>1</v>
      </c>
      <c r="EB259" s="8">
        <v>4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8">
        <v>0</v>
      </c>
      <c r="FC259" s="8">
        <v>0</v>
      </c>
      <c r="FD259" s="8">
        <v>0</v>
      </c>
      <c r="FE259" s="8">
        <v>0</v>
      </c>
      <c r="FF259" s="8">
        <v>0</v>
      </c>
      <c r="FG259" s="9">
        <f t="shared" si="1321"/>
        <v>38</v>
      </c>
      <c r="FH259" s="8">
        <v>0</v>
      </c>
      <c r="FI259" s="8">
        <v>0</v>
      </c>
      <c r="FJ259" s="8">
        <v>0</v>
      </c>
      <c r="FK259" s="8">
        <v>0</v>
      </c>
      <c r="FL259" s="8">
        <v>0</v>
      </c>
      <c r="FM259" s="8">
        <v>0</v>
      </c>
      <c r="FN259" s="8">
        <v>0</v>
      </c>
      <c r="FO259" s="8">
        <v>0</v>
      </c>
      <c r="FP259" s="8">
        <v>0</v>
      </c>
      <c r="FQ259" s="9">
        <f t="shared" si="1322"/>
        <v>0</v>
      </c>
      <c r="FR259" s="8">
        <v>3958666</v>
      </c>
      <c r="FS259" s="8">
        <v>335234</v>
      </c>
      <c r="FT259" s="8">
        <v>0</v>
      </c>
      <c r="FU259" s="8">
        <v>16000</v>
      </c>
      <c r="FV259" s="9">
        <f t="shared" si="1323"/>
        <v>4309900</v>
      </c>
      <c r="FW259" s="8">
        <v>1342950</v>
      </c>
      <c r="FX259" s="8">
        <v>32400</v>
      </c>
      <c r="FY259" s="8">
        <v>1868100</v>
      </c>
      <c r="FZ259" s="8">
        <v>1376250</v>
      </c>
      <c r="GA259" s="9">
        <f t="shared" si="1324"/>
        <v>4619700</v>
      </c>
      <c r="GB259" s="9">
        <f t="shared" si="1325"/>
        <v>8929600</v>
      </c>
      <c r="GC259" s="8">
        <v>6229177.8499999996</v>
      </c>
      <c r="GD259" s="8">
        <v>118784.88</v>
      </c>
      <c r="GE259" s="8">
        <v>575992.6</v>
      </c>
      <c r="GF259" s="8">
        <v>0</v>
      </c>
      <c r="GG259" s="9">
        <f t="shared" si="1326"/>
        <v>6923955.3299999991</v>
      </c>
      <c r="GH259" s="8">
        <v>1303200</v>
      </c>
      <c r="GI259" s="8">
        <v>32400</v>
      </c>
      <c r="GJ259" s="8">
        <v>1376250</v>
      </c>
      <c r="GK259" s="8">
        <v>1868100</v>
      </c>
      <c r="GL259" s="9">
        <f t="shared" si="1327"/>
        <v>4579950</v>
      </c>
      <c r="GM259" s="9">
        <f t="shared" si="1328"/>
        <v>11503905.329999998</v>
      </c>
      <c r="GN259" s="8">
        <v>405809.22</v>
      </c>
      <c r="GO259" s="8">
        <v>1530.24</v>
      </c>
      <c r="GP259" s="8">
        <v>27149.119999999999</v>
      </c>
      <c r="GQ259" s="8">
        <v>0</v>
      </c>
      <c r="GR259" s="9">
        <f t="shared" si="1329"/>
        <v>434488.57999999996</v>
      </c>
      <c r="GS259" s="8">
        <v>672429</v>
      </c>
      <c r="GT259" s="8">
        <v>7144</v>
      </c>
      <c r="GU259" s="8">
        <v>7144</v>
      </c>
      <c r="GV259" s="8">
        <v>0</v>
      </c>
      <c r="GW259" s="9">
        <f t="shared" si="1330"/>
        <v>686717</v>
      </c>
      <c r="GX259" s="9">
        <f t="shared" si="1331"/>
        <v>12625110.909999998</v>
      </c>
      <c r="GY259" s="8">
        <v>33979538.310000002</v>
      </c>
      <c r="GZ259" s="8">
        <v>3066137.79</v>
      </c>
      <c r="HA259" s="9">
        <f t="shared" si="1332"/>
        <v>37045676.100000001</v>
      </c>
      <c r="HB259" s="9">
        <f t="shared" si="1333"/>
        <v>4.6518387377873748E-3</v>
      </c>
      <c r="HC259" s="10">
        <f t="shared" si="1334"/>
        <v>0.19160320160006561</v>
      </c>
      <c r="HD259" s="9">
        <f t="shared" si="1335"/>
        <v>0.70728883600754056</v>
      </c>
      <c r="HE259" s="8">
        <v>0</v>
      </c>
      <c r="HF259" s="8">
        <v>0</v>
      </c>
      <c r="HG259" s="8">
        <v>37</v>
      </c>
      <c r="HH259" s="8">
        <v>0</v>
      </c>
      <c r="HI259" s="8">
        <v>0</v>
      </c>
      <c r="HJ259" s="9">
        <f t="shared" si="1336"/>
        <v>0</v>
      </c>
      <c r="HK259" s="10" t="str">
        <f t="shared" si="1337"/>
        <v/>
      </c>
      <c r="HL259" s="8">
        <v>0</v>
      </c>
      <c r="HM259" s="8">
        <v>0</v>
      </c>
      <c r="HN259" s="11" t="str">
        <f t="shared" si="1338"/>
        <v/>
      </c>
    </row>
    <row r="260" spans="1:222" x14ac:dyDescent="0.3">
      <c r="A260" s="12" t="s">
        <v>289</v>
      </c>
      <c r="B260" s="12" t="s">
        <v>289</v>
      </c>
      <c r="C260" s="13" t="s">
        <v>257</v>
      </c>
      <c r="D260" s="13">
        <v>2025</v>
      </c>
      <c r="E260" s="13">
        <v>9</v>
      </c>
      <c r="F260" s="13" t="s">
        <v>265</v>
      </c>
      <c r="G260" s="13" t="s">
        <v>263</v>
      </c>
      <c r="H260" s="14">
        <v>12900</v>
      </c>
      <c r="I260" s="14">
        <v>7397</v>
      </c>
      <c r="J260" s="14">
        <v>556</v>
      </c>
      <c r="K260" s="14">
        <v>146</v>
      </c>
      <c r="L260" s="14">
        <v>0</v>
      </c>
      <c r="M260" s="15">
        <f t="shared" si="1278"/>
        <v>8099</v>
      </c>
      <c r="N260" s="14">
        <v>984</v>
      </c>
      <c r="O260" s="14">
        <v>130</v>
      </c>
      <c r="P260" s="14">
        <v>377</v>
      </c>
      <c r="Q260" s="14">
        <v>174</v>
      </c>
      <c r="R260" s="15">
        <f t="shared" si="1279"/>
        <v>1665</v>
      </c>
      <c r="S260" s="15">
        <f t="shared" si="1280"/>
        <v>9764</v>
      </c>
      <c r="T260" s="14">
        <v>3136</v>
      </c>
      <c r="U260" s="16">
        <f t="shared" si="1281"/>
        <v>0.24310077519379844</v>
      </c>
      <c r="V260" s="14">
        <v>12</v>
      </c>
      <c r="W260" s="17">
        <f t="shared" si="1282"/>
        <v>9.3023255813953494E-4</v>
      </c>
      <c r="X260" s="14">
        <v>0</v>
      </c>
      <c r="Y260" s="17">
        <f t="shared" si="1283"/>
        <v>0</v>
      </c>
      <c r="Z260" s="14">
        <v>0</v>
      </c>
      <c r="AA260" s="17">
        <f t="shared" si="1284"/>
        <v>0</v>
      </c>
      <c r="AB260" s="14">
        <v>0</v>
      </c>
      <c r="AC260" s="17">
        <f t="shared" si="1285"/>
        <v>0</v>
      </c>
      <c r="AD260" s="14">
        <v>0</v>
      </c>
      <c r="AE260" s="17">
        <f t="shared" si="1286"/>
        <v>0</v>
      </c>
      <c r="AF260" s="14">
        <v>0</v>
      </c>
      <c r="AG260" s="17">
        <f t="shared" si="1287"/>
        <v>0</v>
      </c>
      <c r="AH260" s="14">
        <v>42303.48</v>
      </c>
      <c r="AI260" s="15">
        <f t="shared" si="1288"/>
        <v>3.2793395348837211</v>
      </c>
      <c r="AJ260" s="14">
        <v>0</v>
      </c>
      <c r="AK260" s="17">
        <f t="shared" si="1289"/>
        <v>0</v>
      </c>
      <c r="AL260" s="14">
        <v>16426.5</v>
      </c>
      <c r="AM260" s="15">
        <f t="shared" si="1290"/>
        <v>1.2733720930232557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5">
        <f t="shared" si="1291"/>
        <v>58729.98</v>
      </c>
      <c r="AV260" s="15">
        <f t="shared" si="1292"/>
        <v>4.5527116279069766</v>
      </c>
      <c r="AW260" s="15">
        <f t="shared" si="1293"/>
        <v>6.014950839819746</v>
      </c>
      <c r="AX260" s="14">
        <v>6</v>
      </c>
      <c r="AY260" s="15">
        <f t="shared" si="1294"/>
        <v>5.5813953488372094</v>
      </c>
      <c r="AZ260" s="14">
        <v>6</v>
      </c>
      <c r="BA260" s="14">
        <v>37</v>
      </c>
      <c r="BB260" s="14">
        <v>0</v>
      </c>
      <c r="BC260" s="14">
        <v>7</v>
      </c>
      <c r="BD260" s="14">
        <v>0</v>
      </c>
      <c r="BE260" s="15">
        <f t="shared" si="1295"/>
        <v>7</v>
      </c>
      <c r="BF260" s="15">
        <f t="shared" si="1296"/>
        <v>30</v>
      </c>
      <c r="BG260" s="14">
        <v>0</v>
      </c>
      <c r="BH260" s="14">
        <v>0</v>
      </c>
      <c r="BI260" s="14">
        <v>0</v>
      </c>
      <c r="BJ260" s="14">
        <v>0</v>
      </c>
      <c r="BK260" s="15">
        <f t="shared" si="1297"/>
        <v>0</v>
      </c>
      <c r="BL260" s="15">
        <f t="shared" si="1298"/>
        <v>0</v>
      </c>
      <c r="BM260" s="14">
        <v>0</v>
      </c>
      <c r="BN260" s="14">
        <v>0</v>
      </c>
      <c r="BO260" s="14">
        <v>0</v>
      </c>
      <c r="BP260" s="14">
        <v>0</v>
      </c>
      <c r="BQ260" s="15">
        <f t="shared" si="1299"/>
        <v>0</v>
      </c>
      <c r="BR260" s="15">
        <f t="shared" si="1300"/>
        <v>0</v>
      </c>
      <c r="BS260" s="14">
        <v>0</v>
      </c>
      <c r="BT260" s="14">
        <v>0</v>
      </c>
      <c r="BU260" s="14">
        <v>0</v>
      </c>
      <c r="BV260" s="14">
        <v>0</v>
      </c>
      <c r="BW260" s="15">
        <f t="shared" si="1301"/>
        <v>0</v>
      </c>
      <c r="BX260" s="15">
        <f t="shared" si="1302"/>
        <v>0</v>
      </c>
      <c r="BY260" s="15">
        <f t="shared" si="1303"/>
        <v>37</v>
      </c>
      <c r="BZ260" s="15">
        <f t="shared" si="1304"/>
        <v>0</v>
      </c>
      <c r="CA260" s="15">
        <f t="shared" si="1305"/>
        <v>7</v>
      </c>
      <c r="CB260" s="15">
        <f t="shared" si="1306"/>
        <v>30</v>
      </c>
      <c r="CC260" s="14">
        <v>0</v>
      </c>
      <c r="CD260" s="14">
        <v>714</v>
      </c>
      <c r="CE260" s="14">
        <v>20</v>
      </c>
      <c r="CF260" s="14">
        <v>63</v>
      </c>
      <c r="CG260" s="14">
        <v>19</v>
      </c>
      <c r="CH260" s="15">
        <f t="shared" si="1307"/>
        <v>816</v>
      </c>
      <c r="CI260" s="14">
        <v>756</v>
      </c>
      <c r="CJ260" s="14">
        <v>0</v>
      </c>
      <c r="CK260" s="14">
        <v>0</v>
      </c>
      <c r="CL260" s="14">
        <v>10</v>
      </c>
      <c r="CM260" s="15">
        <f t="shared" si="1308"/>
        <v>766</v>
      </c>
      <c r="CN260" s="14">
        <v>201</v>
      </c>
      <c r="CO260" s="14">
        <v>30</v>
      </c>
      <c r="CP260" s="14">
        <v>28</v>
      </c>
      <c r="CQ260" s="14">
        <v>1</v>
      </c>
      <c r="CR260" s="15">
        <f t="shared" si="1309"/>
        <v>260</v>
      </c>
      <c r="CS260" s="15">
        <f t="shared" si="1310"/>
        <v>1026</v>
      </c>
      <c r="CT260" s="14">
        <v>1842</v>
      </c>
      <c r="CU260" s="14">
        <v>18508.984467466598</v>
      </c>
      <c r="CV260" s="14">
        <v>11581</v>
      </c>
      <c r="CW260" s="16">
        <f t="shared" si="1311"/>
        <v>0.62569613261905443</v>
      </c>
      <c r="CX260" s="14">
        <v>0</v>
      </c>
      <c r="CY260" s="14"/>
      <c r="CZ260" s="14"/>
      <c r="DA260" s="14"/>
      <c r="DB260" s="15">
        <f t="shared" si="1312"/>
        <v>0</v>
      </c>
      <c r="DC260" s="14">
        <v>0</v>
      </c>
      <c r="DD260" s="14">
        <v>0</v>
      </c>
      <c r="DE260" s="14">
        <v>0</v>
      </c>
      <c r="DF260" s="14">
        <v>0</v>
      </c>
      <c r="DG260" s="15">
        <f t="shared" si="1313"/>
        <v>0</v>
      </c>
      <c r="DH260" s="14">
        <v>0</v>
      </c>
      <c r="DI260" s="14">
        <v>0</v>
      </c>
      <c r="DJ260" s="14">
        <v>0</v>
      </c>
      <c r="DK260" s="14">
        <v>0</v>
      </c>
      <c r="DL260" s="15">
        <f t="shared" si="1314"/>
        <v>0</v>
      </c>
      <c r="DM260" s="14">
        <v>96</v>
      </c>
      <c r="DN260" s="14">
        <v>0</v>
      </c>
      <c r="DO260" s="14">
        <v>0</v>
      </c>
      <c r="DP260" s="14">
        <v>0</v>
      </c>
      <c r="DQ260" s="15">
        <f t="shared" si="1315"/>
        <v>96</v>
      </c>
      <c r="DR260" s="15">
        <f t="shared" si="1316"/>
        <v>96</v>
      </c>
      <c r="DS260" s="15">
        <f t="shared" si="1317"/>
        <v>0</v>
      </c>
      <c r="DT260" s="15">
        <f t="shared" si="1318"/>
        <v>0</v>
      </c>
      <c r="DU260" s="15">
        <f t="shared" si="1319"/>
        <v>0</v>
      </c>
      <c r="DV260" s="15">
        <f t="shared" si="1320"/>
        <v>96</v>
      </c>
      <c r="DW260" s="14">
        <v>12</v>
      </c>
      <c r="DX260" s="14">
        <v>4</v>
      </c>
      <c r="DY260" s="14">
        <v>2</v>
      </c>
      <c r="DZ260" s="14">
        <v>3</v>
      </c>
      <c r="EA260" s="14">
        <v>1</v>
      </c>
      <c r="EB260" s="14">
        <v>3</v>
      </c>
      <c r="EC260" s="14">
        <v>0</v>
      </c>
      <c r="ED260" s="14">
        <v>0</v>
      </c>
      <c r="EE260" s="14">
        <v>0</v>
      </c>
      <c r="EF260" s="14">
        <v>0</v>
      </c>
      <c r="EG260" s="14">
        <v>0</v>
      </c>
      <c r="EH260" s="14">
        <v>0</v>
      </c>
      <c r="EI260" s="14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14">
        <v>0</v>
      </c>
      <c r="EU260" s="14">
        <v>0</v>
      </c>
      <c r="EV260" s="14">
        <v>0</v>
      </c>
      <c r="EW260" s="14">
        <v>0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5">
        <f t="shared" si="1321"/>
        <v>25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0</v>
      </c>
      <c r="FN260" s="14">
        <v>0</v>
      </c>
      <c r="FO260" s="14">
        <v>0</v>
      </c>
      <c r="FP260" s="14">
        <v>0</v>
      </c>
      <c r="FQ260" s="15">
        <f t="shared" si="1322"/>
        <v>0</v>
      </c>
      <c r="FR260" s="14">
        <v>2798521</v>
      </c>
      <c r="FS260" s="14">
        <v>67100</v>
      </c>
      <c r="FT260" s="14">
        <v>0</v>
      </c>
      <c r="FU260" s="14">
        <v>73500</v>
      </c>
      <c r="FV260" s="15">
        <f t="shared" si="1323"/>
        <v>2939121</v>
      </c>
      <c r="FW260" s="14">
        <v>1257964</v>
      </c>
      <c r="FX260" s="14">
        <v>27700</v>
      </c>
      <c r="FY260" s="14">
        <v>825400</v>
      </c>
      <c r="FZ260" s="14">
        <v>1749328</v>
      </c>
      <c r="GA260" s="15">
        <f t="shared" si="1324"/>
        <v>3860392</v>
      </c>
      <c r="GB260" s="15">
        <f t="shared" si="1325"/>
        <v>6799513</v>
      </c>
      <c r="GC260" s="14">
        <v>7120490.6500000004</v>
      </c>
      <c r="GD260" s="14">
        <v>106351.67999999999</v>
      </c>
      <c r="GE260" s="14">
        <v>468903.31</v>
      </c>
      <c r="GF260" s="14">
        <v>0</v>
      </c>
      <c r="GG260" s="15">
        <f t="shared" si="1326"/>
        <v>7695745.6399999997</v>
      </c>
      <c r="GH260" s="14">
        <v>1226644.08</v>
      </c>
      <c r="GI260" s="14">
        <v>27700</v>
      </c>
      <c r="GJ260" s="14">
        <v>1149328.0900000001</v>
      </c>
      <c r="GK260" s="14">
        <v>825400</v>
      </c>
      <c r="GL260" s="15">
        <f t="shared" si="1327"/>
        <v>3229072.17</v>
      </c>
      <c r="GM260" s="15">
        <f t="shared" si="1328"/>
        <v>10924817.809999999</v>
      </c>
      <c r="GN260" s="14">
        <v>437552.81</v>
      </c>
      <c r="GO260" s="14">
        <v>1721.52</v>
      </c>
      <c r="GP260" s="14">
        <v>30542.76</v>
      </c>
      <c r="GQ260" s="14">
        <v>0</v>
      </c>
      <c r="GR260" s="15">
        <f t="shared" si="1329"/>
        <v>469817.09</v>
      </c>
      <c r="GS260" s="14">
        <v>713507</v>
      </c>
      <c r="GT260" s="14">
        <v>8037</v>
      </c>
      <c r="GU260" s="14">
        <v>8037</v>
      </c>
      <c r="GV260" s="14">
        <v>0</v>
      </c>
      <c r="GW260" s="15">
        <f t="shared" si="1330"/>
        <v>729581</v>
      </c>
      <c r="GX260" s="15">
        <f t="shared" si="1331"/>
        <v>12124215.899999999</v>
      </c>
      <c r="GY260" s="14">
        <v>25685392.379999999</v>
      </c>
      <c r="GZ260" s="14">
        <v>4022963.21</v>
      </c>
      <c r="HA260" s="15">
        <f t="shared" si="1332"/>
        <v>29708355.59</v>
      </c>
      <c r="HB260" s="15">
        <f t="shared" si="1333"/>
        <v>4.8440229441971596E-3</v>
      </c>
      <c r="HC260" s="16">
        <f t="shared" si="1334"/>
        <v>0.1798355843743748</v>
      </c>
      <c r="HD260" s="15">
        <f t="shared" si="1335"/>
        <v>0.56082084450508674</v>
      </c>
      <c r="HE260" s="14">
        <v>0</v>
      </c>
      <c r="HF260" s="14">
        <v>0</v>
      </c>
      <c r="HG260" s="14">
        <v>30</v>
      </c>
      <c r="HH260" s="14">
        <v>0</v>
      </c>
      <c r="HI260" s="14">
        <v>0</v>
      </c>
      <c r="HJ260" s="15">
        <f t="shared" si="1336"/>
        <v>0</v>
      </c>
      <c r="HK260" s="16" t="str">
        <f t="shared" si="1337"/>
        <v/>
      </c>
      <c r="HL260" s="14">
        <v>0</v>
      </c>
      <c r="HM260" s="14">
        <v>0</v>
      </c>
      <c r="HN260" s="17" t="str">
        <f t="shared" si="1338"/>
        <v/>
      </c>
    </row>
    <row r="261" spans="1:222" x14ac:dyDescent="0.3">
      <c r="A261" s="6" t="s">
        <v>289</v>
      </c>
      <c r="B261" s="6" t="s">
        <v>289</v>
      </c>
      <c r="C261" s="7" t="s">
        <v>257</v>
      </c>
      <c r="D261" s="7">
        <v>2025</v>
      </c>
      <c r="E261" s="7">
        <v>10</v>
      </c>
      <c r="F261" s="7" t="s">
        <v>266</v>
      </c>
      <c r="G261" s="7" t="s">
        <v>267</v>
      </c>
      <c r="H261" s="8">
        <v>10295</v>
      </c>
      <c r="I261" s="8">
        <v>3457</v>
      </c>
      <c r="J261" s="8">
        <v>388</v>
      </c>
      <c r="K261" s="8">
        <v>95</v>
      </c>
      <c r="L261" s="8">
        <v>5</v>
      </c>
      <c r="M261" s="9">
        <f t="shared" si="1278"/>
        <v>3945</v>
      </c>
      <c r="N261" s="8">
        <v>684</v>
      </c>
      <c r="O261" s="8">
        <v>113</v>
      </c>
      <c r="P261" s="8">
        <v>1376</v>
      </c>
      <c r="Q261" s="8">
        <v>264</v>
      </c>
      <c r="R261" s="9">
        <f t="shared" si="1279"/>
        <v>2437</v>
      </c>
      <c r="S261" s="9">
        <f t="shared" si="1280"/>
        <v>6382</v>
      </c>
      <c r="T261" s="8">
        <v>3913</v>
      </c>
      <c r="U261" s="10">
        <f t="shared" si="1281"/>
        <v>0.38008742107819332</v>
      </c>
      <c r="V261" s="8">
        <v>12</v>
      </c>
      <c r="W261" s="11">
        <f t="shared" si="1282"/>
        <v>1.1656143759106363E-3</v>
      </c>
      <c r="X261" s="8">
        <v>0</v>
      </c>
      <c r="Y261" s="11">
        <f t="shared" si="1283"/>
        <v>0</v>
      </c>
      <c r="Z261" s="8">
        <v>0</v>
      </c>
      <c r="AA261" s="11">
        <f t="shared" si="1284"/>
        <v>0</v>
      </c>
      <c r="AB261" s="8">
        <v>0</v>
      </c>
      <c r="AC261" s="11">
        <f t="shared" si="1285"/>
        <v>0</v>
      </c>
      <c r="AD261" s="8">
        <v>0</v>
      </c>
      <c r="AE261" s="11">
        <f t="shared" si="1286"/>
        <v>0</v>
      </c>
      <c r="AF261" s="8">
        <v>0</v>
      </c>
      <c r="AG261" s="11">
        <f t="shared" si="1287"/>
        <v>0</v>
      </c>
      <c r="AH261" s="8">
        <v>42303.48</v>
      </c>
      <c r="AI261" s="9">
        <f t="shared" si="1288"/>
        <v>4.1091287032540071</v>
      </c>
      <c r="AJ261" s="8">
        <v>0</v>
      </c>
      <c r="AK261" s="11">
        <f t="shared" si="1289"/>
        <v>0</v>
      </c>
      <c r="AL261" s="8">
        <v>16426.5</v>
      </c>
      <c r="AM261" s="9">
        <f t="shared" si="1290"/>
        <v>1.5955803788246721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9">
        <f t="shared" si="1291"/>
        <v>58729.98</v>
      </c>
      <c r="AV261" s="9">
        <f t="shared" si="1292"/>
        <v>5.7047090820786792</v>
      </c>
      <c r="AW261" s="9">
        <f t="shared" si="1293"/>
        <v>9.2024412409902858</v>
      </c>
      <c r="AX261" s="8">
        <v>6</v>
      </c>
      <c r="AY261" s="9">
        <f t="shared" si="1294"/>
        <v>6.9936862554638175</v>
      </c>
      <c r="AZ261" s="8">
        <v>6</v>
      </c>
      <c r="BA261" s="8">
        <v>30</v>
      </c>
      <c r="BB261" s="8">
        <v>0</v>
      </c>
      <c r="BC261" s="8">
        <v>6</v>
      </c>
      <c r="BD261" s="8">
        <v>0</v>
      </c>
      <c r="BE261" s="9">
        <f t="shared" si="1295"/>
        <v>6</v>
      </c>
      <c r="BF261" s="9">
        <f t="shared" si="1296"/>
        <v>24</v>
      </c>
      <c r="BG261" s="8">
        <v>0</v>
      </c>
      <c r="BH261" s="8">
        <v>0</v>
      </c>
      <c r="BI261" s="8">
        <v>0</v>
      </c>
      <c r="BJ261" s="8">
        <v>0</v>
      </c>
      <c r="BK261" s="9">
        <f t="shared" si="1297"/>
        <v>0</v>
      </c>
      <c r="BL261" s="9">
        <f t="shared" si="1298"/>
        <v>0</v>
      </c>
      <c r="BM261" s="8">
        <v>0</v>
      </c>
      <c r="BN261" s="8">
        <v>0</v>
      </c>
      <c r="BO261" s="8">
        <v>0</v>
      </c>
      <c r="BP261" s="8">
        <v>0</v>
      </c>
      <c r="BQ261" s="9">
        <f t="shared" si="1299"/>
        <v>0</v>
      </c>
      <c r="BR261" s="9">
        <f t="shared" si="1300"/>
        <v>0</v>
      </c>
      <c r="BS261" s="8">
        <v>0</v>
      </c>
      <c r="BT261" s="8">
        <v>0</v>
      </c>
      <c r="BU261" s="8">
        <v>0</v>
      </c>
      <c r="BV261" s="8">
        <v>0</v>
      </c>
      <c r="BW261" s="9">
        <f t="shared" si="1301"/>
        <v>0</v>
      </c>
      <c r="BX261" s="9">
        <f t="shared" si="1302"/>
        <v>0</v>
      </c>
      <c r="BY261" s="9">
        <f t="shared" si="1303"/>
        <v>30</v>
      </c>
      <c r="BZ261" s="9">
        <f t="shared" si="1304"/>
        <v>0</v>
      </c>
      <c r="CA261" s="9">
        <f t="shared" si="1305"/>
        <v>6</v>
      </c>
      <c r="CB261" s="9">
        <f t="shared" si="1306"/>
        <v>24</v>
      </c>
      <c r="CC261" s="8">
        <v>0</v>
      </c>
      <c r="CD261" s="8">
        <v>719</v>
      </c>
      <c r="CE261" s="8">
        <v>20</v>
      </c>
      <c r="CF261" s="8">
        <v>63</v>
      </c>
      <c r="CG261" s="8">
        <v>19</v>
      </c>
      <c r="CH261" s="9">
        <f t="shared" si="1307"/>
        <v>821</v>
      </c>
      <c r="CI261" s="8">
        <v>757</v>
      </c>
      <c r="CJ261" s="8">
        <v>0</v>
      </c>
      <c r="CK261" s="8">
        <v>0</v>
      </c>
      <c r="CL261" s="8">
        <v>10</v>
      </c>
      <c r="CM261" s="9">
        <f t="shared" si="1308"/>
        <v>767</v>
      </c>
      <c r="CN261" s="8">
        <v>201</v>
      </c>
      <c r="CO261" s="8">
        <v>30</v>
      </c>
      <c r="CP261" s="8">
        <v>28</v>
      </c>
      <c r="CQ261" s="8">
        <v>1</v>
      </c>
      <c r="CR261" s="9">
        <f t="shared" si="1309"/>
        <v>260</v>
      </c>
      <c r="CS261" s="9">
        <f t="shared" si="1310"/>
        <v>1027</v>
      </c>
      <c r="CT261" s="8">
        <v>1848</v>
      </c>
      <c r="CU261" s="8">
        <v>18546.002436401501</v>
      </c>
      <c r="CV261" s="8">
        <v>11581</v>
      </c>
      <c r="CW261" s="10">
        <f t="shared" si="1311"/>
        <v>0.62444723814276992</v>
      </c>
      <c r="CX261" s="8">
        <v>0</v>
      </c>
      <c r="CY261" s="8"/>
      <c r="CZ261" s="8"/>
      <c r="DA261" s="8"/>
      <c r="DB261" s="9">
        <f t="shared" si="1312"/>
        <v>0</v>
      </c>
      <c r="DC261" s="8">
        <v>0</v>
      </c>
      <c r="DD261" s="8">
        <v>0</v>
      </c>
      <c r="DE261" s="8">
        <v>0</v>
      </c>
      <c r="DF261" s="8">
        <v>0</v>
      </c>
      <c r="DG261" s="9">
        <f t="shared" si="1313"/>
        <v>0</v>
      </c>
      <c r="DH261" s="8">
        <v>0</v>
      </c>
      <c r="DI261" s="8">
        <v>0</v>
      </c>
      <c r="DJ261" s="8">
        <v>0</v>
      </c>
      <c r="DK261" s="8">
        <v>0</v>
      </c>
      <c r="DL261" s="9">
        <f t="shared" si="1314"/>
        <v>0</v>
      </c>
      <c r="DM261" s="8">
        <v>96</v>
      </c>
      <c r="DN261" s="8">
        <v>0</v>
      </c>
      <c r="DO261" s="8">
        <v>0</v>
      </c>
      <c r="DP261" s="8">
        <v>0</v>
      </c>
      <c r="DQ261" s="9">
        <f t="shared" si="1315"/>
        <v>96</v>
      </c>
      <c r="DR261" s="9">
        <f t="shared" si="1316"/>
        <v>96</v>
      </c>
      <c r="DS261" s="9">
        <f t="shared" si="1317"/>
        <v>0</v>
      </c>
      <c r="DT261" s="9">
        <f t="shared" si="1318"/>
        <v>0</v>
      </c>
      <c r="DU261" s="9">
        <f t="shared" si="1319"/>
        <v>0</v>
      </c>
      <c r="DV261" s="9">
        <f t="shared" si="1320"/>
        <v>96</v>
      </c>
      <c r="DW261" s="8">
        <v>19</v>
      </c>
      <c r="DX261" s="8">
        <v>3</v>
      </c>
      <c r="DY261" s="8">
        <v>1</v>
      </c>
      <c r="DZ261" s="8">
        <v>4</v>
      </c>
      <c r="EA261" s="8">
        <v>1</v>
      </c>
      <c r="EB261" s="8">
        <v>4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8">
        <v>0</v>
      </c>
      <c r="FC261" s="8">
        <v>0</v>
      </c>
      <c r="FD261" s="8">
        <v>0</v>
      </c>
      <c r="FE261" s="8">
        <v>0</v>
      </c>
      <c r="FF261" s="8">
        <v>0</v>
      </c>
      <c r="FG261" s="9">
        <f t="shared" si="1321"/>
        <v>32</v>
      </c>
      <c r="FH261" s="8">
        <v>0</v>
      </c>
      <c r="FI261" s="8">
        <v>0</v>
      </c>
      <c r="FJ261" s="8">
        <v>0</v>
      </c>
      <c r="FK261" s="8">
        <v>0</v>
      </c>
      <c r="FL261" s="8">
        <v>0</v>
      </c>
      <c r="FM261" s="8">
        <v>0</v>
      </c>
      <c r="FN261" s="8">
        <v>0</v>
      </c>
      <c r="FO261" s="8">
        <v>0</v>
      </c>
      <c r="FP261" s="8">
        <v>0</v>
      </c>
      <c r="FQ261" s="9">
        <f t="shared" si="1322"/>
        <v>0</v>
      </c>
      <c r="FR261" s="8">
        <v>6084451</v>
      </c>
      <c r="FS261" s="8">
        <v>84100</v>
      </c>
      <c r="FT261" s="8">
        <v>0</v>
      </c>
      <c r="FU261" s="8">
        <v>0</v>
      </c>
      <c r="FV261" s="9">
        <f t="shared" si="1323"/>
        <v>6168551</v>
      </c>
      <c r="FW261" s="8">
        <v>887949</v>
      </c>
      <c r="FX261" s="8">
        <v>24000</v>
      </c>
      <c r="FY261" s="8">
        <v>1248100</v>
      </c>
      <c r="FZ261" s="8">
        <v>4187804</v>
      </c>
      <c r="GA261" s="9">
        <f t="shared" si="1324"/>
        <v>6347853</v>
      </c>
      <c r="GB261" s="9">
        <f t="shared" si="1325"/>
        <v>12516404</v>
      </c>
      <c r="GC261" s="8">
        <v>3785127.49</v>
      </c>
      <c r="GD261" s="8">
        <v>74216.639999999999</v>
      </c>
      <c r="GE261" s="8">
        <v>315227.84000000003</v>
      </c>
      <c r="GF261" s="8">
        <v>11796.63</v>
      </c>
      <c r="GG261" s="9">
        <f t="shared" si="1326"/>
        <v>4186368.6</v>
      </c>
      <c r="GH261" s="8">
        <v>853599.04</v>
      </c>
      <c r="GI261" s="8">
        <v>24000</v>
      </c>
      <c r="GJ261" s="8">
        <v>4181804.42</v>
      </c>
      <c r="GK261" s="8">
        <v>1248100</v>
      </c>
      <c r="GL261" s="9">
        <f t="shared" si="1327"/>
        <v>6307503.46</v>
      </c>
      <c r="GM261" s="9">
        <f t="shared" si="1328"/>
        <v>10493872.060000001</v>
      </c>
      <c r="GN261" s="8">
        <v>440335.28</v>
      </c>
      <c r="GO261" s="8">
        <v>1721.52</v>
      </c>
      <c r="GP261" s="8">
        <v>30542.76</v>
      </c>
      <c r="GQ261" s="8">
        <v>4637.34</v>
      </c>
      <c r="GR261" s="9">
        <f t="shared" si="1329"/>
        <v>477236.90000000008</v>
      </c>
      <c r="GS261" s="8">
        <v>730474</v>
      </c>
      <c r="GT261" s="8">
        <v>8037</v>
      </c>
      <c r="GU261" s="8">
        <v>8037</v>
      </c>
      <c r="GV261" s="8">
        <v>893</v>
      </c>
      <c r="GW261" s="9">
        <f t="shared" si="1330"/>
        <v>747441</v>
      </c>
      <c r="GX261" s="9">
        <f t="shared" si="1331"/>
        <v>11718549.960000001</v>
      </c>
      <c r="GY261" s="8">
        <v>23782670.050000001</v>
      </c>
      <c r="GZ261" s="8">
        <v>4381549</v>
      </c>
      <c r="HA261" s="9">
        <f t="shared" si="1332"/>
        <v>28164219.050000001</v>
      </c>
      <c r="HB261" s="9">
        <f t="shared" si="1333"/>
        <v>5.0117105102993479E-3</v>
      </c>
      <c r="HC261" s="10">
        <f t="shared" si="1334"/>
        <v>0.3525626442267159</v>
      </c>
      <c r="HD261" s="9">
        <f t="shared" si="1335"/>
        <v>1.0680847069580612</v>
      </c>
      <c r="HE261" s="8">
        <v>0</v>
      </c>
      <c r="HF261" s="8">
        <v>0</v>
      </c>
      <c r="HG261" s="8">
        <v>24</v>
      </c>
      <c r="HH261" s="8">
        <v>0</v>
      </c>
      <c r="HI261" s="8">
        <v>0</v>
      </c>
      <c r="HJ261" s="9">
        <f t="shared" si="1336"/>
        <v>0</v>
      </c>
      <c r="HK261" s="10" t="str">
        <f t="shared" si="1337"/>
        <v/>
      </c>
      <c r="HL261" s="8">
        <v>0</v>
      </c>
      <c r="HM261" s="8">
        <v>0</v>
      </c>
      <c r="HN261" s="11" t="str">
        <f t="shared" si="1338"/>
        <v/>
      </c>
    </row>
    <row r="262" spans="1:222" x14ac:dyDescent="0.3">
      <c r="A262" s="12" t="s">
        <v>289</v>
      </c>
      <c r="B262" s="12" t="s">
        <v>289</v>
      </c>
      <c r="C262" s="13" t="s">
        <v>257</v>
      </c>
      <c r="D262" s="13">
        <v>2025</v>
      </c>
      <c r="E262" s="13">
        <v>11</v>
      </c>
      <c r="F262" s="13" t="s">
        <v>268</v>
      </c>
      <c r="G262" s="13" t="s">
        <v>267</v>
      </c>
      <c r="H262" s="14">
        <v>11325</v>
      </c>
      <c r="I262" s="14">
        <v>4745</v>
      </c>
      <c r="J262" s="14">
        <v>442</v>
      </c>
      <c r="K262" s="14">
        <v>129</v>
      </c>
      <c r="L262" s="14">
        <v>16</v>
      </c>
      <c r="M262" s="15">
        <f t="shared" si="1278"/>
        <v>5332</v>
      </c>
      <c r="N262" s="14">
        <v>769</v>
      </c>
      <c r="O262" s="14">
        <v>37</v>
      </c>
      <c r="P262" s="14">
        <v>748</v>
      </c>
      <c r="Q262" s="14">
        <v>226</v>
      </c>
      <c r="R262" s="15">
        <f t="shared" si="1279"/>
        <v>1780</v>
      </c>
      <c r="S262" s="15">
        <f t="shared" si="1280"/>
        <v>7112</v>
      </c>
      <c r="T262" s="14">
        <v>4213</v>
      </c>
      <c r="U262" s="16">
        <f t="shared" si="1281"/>
        <v>0.37200883002207508</v>
      </c>
      <c r="V262" s="14">
        <v>12</v>
      </c>
      <c r="W262" s="17">
        <f t="shared" si="1282"/>
        <v>1.0596026490066225E-3</v>
      </c>
      <c r="X262" s="14">
        <v>0</v>
      </c>
      <c r="Y262" s="17">
        <f t="shared" si="1283"/>
        <v>0</v>
      </c>
      <c r="Z262" s="14">
        <v>0</v>
      </c>
      <c r="AA262" s="17">
        <f t="shared" si="1284"/>
        <v>0</v>
      </c>
      <c r="AB262" s="14">
        <v>0</v>
      </c>
      <c r="AC262" s="17">
        <f t="shared" si="1285"/>
        <v>0</v>
      </c>
      <c r="AD262" s="14">
        <v>0</v>
      </c>
      <c r="AE262" s="17">
        <f t="shared" si="1286"/>
        <v>0</v>
      </c>
      <c r="AF262" s="14">
        <v>0</v>
      </c>
      <c r="AG262" s="17">
        <f t="shared" si="1287"/>
        <v>0</v>
      </c>
      <c r="AH262" s="14">
        <v>42303.48</v>
      </c>
      <c r="AI262" s="15">
        <f t="shared" si="1288"/>
        <v>3.7354066225165568</v>
      </c>
      <c r="AJ262" s="14">
        <v>0</v>
      </c>
      <c r="AK262" s="17">
        <f t="shared" si="1289"/>
        <v>0</v>
      </c>
      <c r="AL262" s="14">
        <v>16426.5</v>
      </c>
      <c r="AM262" s="15">
        <f t="shared" si="1290"/>
        <v>1.4504635761589404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5">
        <f t="shared" si="1291"/>
        <v>58729.98</v>
      </c>
      <c r="AV262" s="15">
        <f t="shared" si="1292"/>
        <v>5.1858701986754969</v>
      </c>
      <c r="AW262" s="15">
        <f t="shared" si="1293"/>
        <v>8.2578712035995512</v>
      </c>
      <c r="AX262" s="14">
        <v>6</v>
      </c>
      <c r="AY262" s="15">
        <f t="shared" si="1294"/>
        <v>6.3576158940397356</v>
      </c>
      <c r="AZ262" s="14">
        <v>6</v>
      </c>
      <c r="BA262" s="14">
        <v>24</v>
      </c>
      <c r="BB262" s="14">
        <v>11</v>
      </c>
      <c r="BC262" s="14">
        <v>3</v>
      </c>
      <c r="BD262" s="14">
        <v>0</v>
      </c>
      <c r="BE262" s="15">
        <f t="shared" si="1295"/>
        <v>3</v>
      </c>
      <c r="BF262" s="15">
        <f t="shared" si="1296"/>
        <v>32</v>
      </c>
      <c r="BG262" s="14">
        <v>0</v>
      </c>
      <c r="BH262" s="14">
        <v>0</v>
      </c>
      <c r="BI262" s="14">
        <v>0</v>
      </c>
      <c r="BJ262" s="14">
        <v>0</v>
      </c>
      <c r="BK262" s="15">
        <f t="shared" si="1297"/>
        <v>0</v>
      </c>
      <c r="BL262" s="15">
        <f t="shared" si="1298"/>
        <v>0</v>
      </c>
      <c r="BM262" s="14">
        <v>0</v>
      </c>
      <c r="BN262" s="14">
        <v>0</v>
      </c>
      <c r="BO262" s="14">
        <v>0</v>
      </c>
      <c r="BP262" s="14">
        <v>0</v>
      </c>
      <c r="BQ262" s="15">
        <f t="shared" si="1299"/>
        <v>0</v>
      </c>
      <c r="BR262" s="15">
        <f t="shared" si="1300"/>
        <v>0</v>
      </c>
      <c r="BS262" s="14">
        <v>0</v>
      </c>
      <c r="BT262" s="14">
        <v>0</v>
      </c>
      <c r="BU262" s="14">
        <v>0</v>
      </c>
      <c r="BV262" s="14">
        <v>0</v>
      </c>
      <c r="BW262" s="15">
        <f t="shared" si="1301"/>
        <v>0</v>
      </c>
      <c r="BX262" s="15">
        <f t="shared" si="1302"/>
        <v>0</v>
      </c>
      <c r="BY262" s="15">
        <f t="shared" si="1303"/>
        <v>24</v>
      </c>
      <c r="BZ262" s="15">
        <f t="shared" si="1304"/>
        <v>11</v>
      </c>
      <c r="CA262" s="15">
        <f t="shared" si="1305"/>
        <v>3</v>
      </c>
      <c r="CB262" s="15">
        <f t="shared" si="1306"/>
        <v>32</v>
      </c>
      <c r="CC262" s="14">
        <v>0</v>
      </c>
      <c r="CD262" s="14">
        <v>718</v>
      </c>
      <c r="CE262" s="14">
        <v>20</v>
      </c>
      <c r="CF262" s="14">
        <v>63</v>
      </c>
      <c r="CG262" s="14">
        <v>19</v>
      </c>
      <c r="CH262" s="15">
        <f t="shared" si="1307"/>
        <v>820</v>
      </c>
      <c r="CI262" s="14">
        <v>761</v>
      </c>
      <c r="CJ262" s="14">
        <v>0</v>
      </c>
      <c r="CK262" s="14">
        <v>0</v>
      </c>
      <c r="CL262" s="14">
        <v>10</v>
      </c>
      <c r="CM262" s="15">
        <f t="shared" si="1308"/>
        <v>771</v>
      </c>
      <c r="CN262" s="14">
        <v>201</v>
      </c>
      <c r="CO262" s="14">
        <v>30</v>
      </c>
      <c r="CP262" s="14">
        <v>28</v>
      </c>
      <c r="CQ262" s="14">
        <v>1</v>
      </c>
      <c r="CR262" s="15">
        <f t="shared" si="1309"/>
        <v>260</v>
      </c>
      <c r="CS262" s="15">
        <f t="shared" si="1310"/>
        <v>1031</v>
      </c>
      <c r="CT262" s="14">
        <v>1851</v>
      </c>
      <c r="CU262" s="14">
        <v>18583.094441274301</v>
      </c>
      <c r="CV262" s="14">
        <v>11581</v>
      </c>
      <c r="CW262" s="16">
        <f t="shared" si="1311"/>
        <v>0.62320083646983038</v>
      </c>
      <c r="CX262" s="14">
        <v>0</v>
      </c>
      <c r="CY262" s="14"/>
      <c r="CZ262" s="14"/>
      <c r="DA262" s="14"/>
      <c r="DB262" s="15">
        <f t="shared" si="1312"/>
        <v>0</v>
      </c>
      <c r="DC262" s="14">
        <v>0</v>
      </c>
      <c r="DD262" s="14">
        <v>0</v>
      </c>
      <c r="DE262" s="14">
        <v>0</v>
      </c>
      <c r="DF262" s="14">
        <v>0</v>
      </c>
      <c r="DG262" s="15">
        <f t="shared" si="1313"/>
        <v>0</v>
      </c>
      <c r="DH262" s="14">
        <v>0</v>
      </c>
      <c r="DI262" s="14">
        <v>0</v>
      </c>
      <c r="DJ262" s="14">
        <v>0</v>
      </c>
      <c r="DK262" s="14">
        <v>0</v>
      </c>
      <c r="DL262" s="15">
        <f t="shared" si="1314"/>
        <v>0</v>
      </c>
      <c r="DM262" s="14">
        <v>96</v>
      </c>
      <c r="DN262" s="14">
        <v>0</v>
      </c>
      <c r="DO262" s="14">
        <v>0</v>
      </c>
      <c r="DP262" s="14">
        <v>0</v>
      </c>
      <c r="DQ262" s="15">
        <f t="shared" si="1315"/>
        <v>96</v>
      </c>
      <c r="DR262" s="15">
        <f t="shared" si="1316"/>
        <v>96</v>
      </c>
      <c r="DS262" s="15">
        <f t="shared" si="1317"/>
        <v>0</v>
      </c>
      <c r="DT262" s="15">
        <f t="shared" si="1318"/>
        <v>0</v>
      </c>
      <c r="DU262" s="15">
        <f t="shared" si="1319"/>
        <v>0</v>
      </c>
      <c r="DV262" s="15">
        <f t="shared" si="1320"/>
        <v>96</v>
      </c>
      <c r="DW262" s="14">
        <v>17</v>
      </c>
      <c r="DX262" s="14">
        <v>2</v>
      </c>
      <c r="DY262" s="14">
        <v>3</v>
      </c>
      <c r="DZ262" s="14">
        <v>4</v>
      </c>
      <c r="EA262" s="14">
        <v>1</v>
      </c>
      <c r="EB262" s="14">
        <v>3</v>
      </c>
      <c r="EC262" s="14">
        <v>0</v>
      </c>
      <c r="ED262" s="14">
        <v>0</v>
      </c>
      <c r="EE262" s="14">
        <v>0</v>
      </c>
      <c r="EF262" s="14">
        <v>0</v>
      </c>
      <c r="EG262" s="14">
        <v>0</v>
      </c>
      <c r="EH262" s="14">
        <v>0</v>
      </c>
      <c r="EI262" s="14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14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5">
        <f t="shared" si="1321"/>
        <v>30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5">
        <f t="shared" si="1322"/>
        <v>0</v>
      </c>
      <c r="FR262" s="14">
        <v>2845123</v>
      </c>
      <c r="FS262" s="14">
        <v>61800</v>
      </c>
      <c r="FT262" s="14">
        <v>30000</v>
      </c>
      <c r="FU262" s="14">
        <v>640294</v>
      </c>
      <c r="FV262" s="15">
        <f t="shared" si="1323"/>
        <v>3577217</v>
      </c>
      <c r="FW262" s="14">
        <v>994593</v>
      </c>
      <c r="FX262" s="14">
        <v>7800</v>
      </c>
      <c r="FY262" s="14">
        <v>1072600</v>
      </c>
      <c r="FZ262" s="14">
        <v>2277200</v>
      </c>
      <c r="GA262" s="15">
        <f t="shared" si="1324"/>
        <v>4352193</v>
      </c>
      <c r="GB262" s="15">
        <f t="shared" si="1325"/>
        <v>7929410</v>
      </c>
      <c r="GC262" s="14">
        <v>4676386.7699999996</v>
      </c>
      <c r="GD262" s="14">
        <v>84545.76</v>
      </c>
      <c r="GE262" s="14">
        <v>405290.01</v>
      </c>
      <c r="GF262" s="14">
        <v>54205.81</v>
      </c>
      <c r="GG262" s="15">
        <f t="shared" si="1326"/>
        <v>5220428.3499999987</v>
      </c>
      <c r="GH262" s="14">
        <v>959192.72</v>
      </c>
      <c r="GI262" s="14">
        <v>7800</v>
      </c>
      <c r="GJ262" s="14">
        <v>2274200</v>
      </c>
      <c r="GK262" s="14">
        <v>1072600</v>
      </c>
      <c r="GL262" s="15">
        <f t="shared" si="1327"/>
        <v>4313792.72</v>
      </c>
      <c r="GM262" s="15">
        <f t="shared" si="1328"/>
        <v>9534221.0699999984</v>
      </c>
      <c r="GN262" s="14">
        <v>440716.36</v>
      </c>
      <c r="GO262" s="14">
        <v>2104.08</v>
      </c>
      <c r="GP262" s="14">
        <v>27149.119999999999</v>
      </c>
      <c r="GQ262" s="14">
        <v>4637.34</v>
      </c>
      <c r="GR262" s="15">
        <f t="shared" si="1329"/>
        <v>474606.9</v>
      </c>
      <c r="GS262" s="14">
        <v>731367</v>
      </c>
      <c r="GT262" s="14">
        <v>9823</v>
      </c>
      <c r="GU262" s="14">
        <v>7144</v>
      </c>
      <c r="GV262" s="14">
        <v>893</v>
      </c>
      <c r="GW262" s="15">
        <f t="shared" si="1330"/>
        <v>749227</v>
      </c>
      <c r="GX262" s="15">
        <f t="shared" si="1331"/>
        <v>10758054.969999999</v>
      </c>
      <c r="GY262" s="14">
        <v>25425802.52</v>
      </c>
      <c r="GZ262" s="14">
        <v>4283633.7</v>
      </c>
      <c r="HA262" s="15">
        <f t="shared" si="1332"/>
        <v>29709436.219999999</v>
      </c>
      <c r="HB262" s="15">
        <f t="shared" si="1333"/>
        <v>5.4591634048882362E-3</v>
      </c>
      <c r="HC262" s="16">
        <f t="shared" si="1334"/>
        <v>0.21914219627333606</v>
      </c>
      <c r="HD262" s="15">
        <f t="shared" si="1335"/>
        <v>0.73706725073556678</v>
      </c>
      <c r="HE262" s="14">
        <v>11</v>
      </c>
      <c r="HF262" s="14">
        <v>0</v>
      </c>
      <c r="HG262" s="14">
        <v>32</v>
      </c>
      <c r="HH262" s="14">
        <v>11</v>
      </c>
      <c r="HI262" s="14">
        <v>0</v>
      </c>
      <c r="HJ262" s="15">
        <f t="shared" si="1336"/>
        <v>0</v>
      </c>
      <c r="HK262" s="16">
        <f t="shared" si="1337"/>
        <v>1</v>
      </c>
      <c r="HL262" s="14">
        <v>0</v>
      </c>
      <c r="HM262" s="14">
        <v>0</v>
      </c>
      <c r="HN262" s="17" t="str">
        <f t="shared" si="1338"/>
        <v/>
      </c>
    </row>
    <row r="263" spans="1:222" x14ac:dyDescent="0.3">
      <c r="A263" s="6" t="s">
        <v>289</v>
      </c>
      <c r="B263" s="6" t="s">
        <v>289</v>
      </c>
      <c r="C263" s="7" t="s">
        <v>257</v>
      </c>
      <c r="D263" s="7">
        <v>2025</v>
      </c>
      <c r="E263" s="7">
        <v>12</v>
      </c>
      <c r="F263" s="7" t="s">
        <v>269</v>
      </c>
      <c r="G263" s="7" t="s">
        <v>267</v>
      </c>
      <c r="H263" s="8">
        <v>5900</v>
      </c>
      <c r="I263" s="8">
        <v>2927</v>
      </c>
      <c r="J263" s="8">
        <v>431</v>
      </c>
      <c r="K263" s="8">
        <v>48</v>
      </c>
      <c r="L263" s="8">
        <v>4</v>
      </c>
      <c r="M263" s="9">
        <f t="shared" si="1278"/>
        <v>3410</v>
      </c>
      <c r="N263" s="8">
        <v>827</v>
      </c>
      <c r="O263" s="8">
        <v>8</v>
      </c>
      <c r="P263" s="8">
        <v>334</v>
      </c>
      <c r="Q263" s="8">
        <v>136</v>
      </c>
      <c r="R263" s="9">
        <f t="shared" si="1279"/>
        <v>1305</v>
      </c>
      <c r="S263" s="9">
        <f t="shared" si="1280"/>
        <v>4715</v>
      </c>
      <c r="T263" s="8">
        <v>1185</v>
      </c>
      <c r="U263" s="10">
        <f t="shared" si="1281"/>
        <v>0.20084745762711864</v>
      </c>
      <c r="V263" s="8">
        <v>12</v>
      </c>
      <c r="W263" s="11">
        <f t="shared" si="1282"/>
        <v>2.0338983050847458E-3</v>
      </c>
      <c r="X263" s="8">
        <v>0</v>
      </c>
      <c r="Y263" s="11">
        <f t="shared" si="1283"/>
        <v>0</v>
      </c>
      <c r="Z263" s="8">
        <v>0</v>
      </c>
      <c r="AA263" s="11">
        <f t="shared" si="1284"/>
        <v>0</v>
      </c>
      <c r="AB263" s="8">
        <v>0</v>
      </c>
      <c r="AC263" s="11">
        <f t="shared" si="1285"/>
        <v>0</v>
      </c>
      <c r="AD263" s="8">
        <v>0</v>
      </c>
      <c r="AE263" s="11">
        <f t="shared" si="1286"/>
        <v>0</v>
      </c>
      <c r="AF263" s="8">
        <v>0</v>
      </c>
      <c r="AG263" s="11">
        <f t="shared" si="1287"/>
        <v>0</v>
      </c>
      <c r="AH263" s="8">
        <v>42303.48</v>
      </c>
      <c r="AI263" s="9">
        <f t="shared" si="1288"/>
        <v>7.1700813559322043</v>
      </c>
      <c r="AJ263" s="8">
        <v>0</v>
      </c>
      <c r="AK263" s="11">
        <f t="shared" si="1289"/>
        <v>0</v>
      </c>
      <c r="AL263" s="8">
        <v>16426.5</v>
      </c>
      <c r="AM263" s="9">
        <f t="shared" si="1290"/>
        <v>2.7841525423728815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9">
        <f t="shared" si="1291"/>
        <v>58729.98</v>
      </c>
      <c r="AV263" s="9">
        <f t="shared" si="1292"/>
        <v>9.9542338983050858</v>
      </c>
      <c r="AW263" s="9">
        <f t="shared" si="1293"/>
        <v>12.455987274655357</v>
      </c>
      <c r="AX263" s="8">
        <v>6</v>
      </c>
      <c r="AY263" s="9">
        <f t="shared" si="1294"/>
        <v>12.203389830508474</v>
      </c>
      <c r="AZ263" s="8">
        <v>6</v>
      </c>
      <c r="BA263" s="8">
        <v>32</v>
      </c>
      <c r="BB263" s="8">
        <v>0</v>
      </c>
      <c r="BC263" s="8">
        <v>0</v>
      </c>
      <c r="BD263" s="8">
        <v>0</v>
      </c>
      <c r="BE263" s="9">
        <f t="shared" si="1295"/>
        <v>0</v>
      </c>
      <c r="BF263" s="9">
        <f t="shared" si="1296"/>
        <v>32</v>
      </c>
      <c r="BG263" s="8">
        <v>0</v>
      </c>
      <c r="BH263" s="8">
        <v>0</v>
      </c>
      <c r="BI263" s="8">
        <v>0</v>
      </c>
      <c r="BJ263" s="8">
        <v>0</v>
      </c>
      <c r="BK263" s="9">
        <f t="shared" si="1297"/>
        <v>0</v>
      </c>
      <c r="BL263" s="9">
        <f t="shared" si="1298"/>
        <v>0</v>
      </c>
      <c r="BM263" s="8">
        <v>0</v>
      </c>
      <c r="BN263" s="8">
        <v>0</v>
      </c>
      <c r="BO263" s="8">
        <v>0</v>
      </c>
      <c r="BP263" s="8">
        <v>0</v>
      </c>
      <c r="BQ263" s="9">
        <f t="shared" si="1299"/>
        <v>0</v>
      </c>
      <c r="BR263" s="9">
        <f t="shared" si="1300"/>
        <v>0</v>
      </c>
      <c r="BS263" s="8">
        <v>0</v>
      </c>
      <c r="BT263" s="8">
        <v>0</v>
      </c>
      <c r="BU263" s="8">
        <v>0</v>
      </c>
      <c r="BV263" s="8">
        <v>0</v>
      </c>
      <c r="BW263" s="9">
        <f t="shared" si="1301"/>
        <v>0</v>
      </c>
      <c r="BX263" s="9">
        <f t="shared" si="1302"/>
        <v>0</v>
      </c>
      <c r="BY263" s="9">
        <f t="shared" si="1303"/>
        <v>32</v>
      </c>
      <c r="BZ263" s="9">
        <f t="shared" si="1304"/>
        <v>0</v>
      </c>
      <c r="CA263" s="9">
        <f t="shared" si="1305"/>
        <v>0</v>
      </c>
      <c r="CB263" s="9">
        <f t="shared" si="1306"/>
        <v>32</v>
      </c>
      <c r="CC263" s="8">
        <v>0</v>
      </c>
      <c r="CD263" s="8">
        <v>784</v>
      </c>
      <c r="CE263" s="8">
        <v>21</v>
      </c>
      <c r="CF263" s="8">
        <v>55</v>
      </c>
      <c r="CG263" s="8">
        <v>15</v>
      </c>
      <c r="CH263" s="9">
        <f t="shared" si="1307"/>
        <v>875</v>
      </c>
      <c r="CI263" s="8">
        <v>706</v>
      </c>
      <c r="CJ263" s="8">
        <v>0</v>
      </c>
      <c r="CK263" s="8">
        <v>0</v>
      </c>
      <c r="CL263" s="8">
        <v>10</v>
      </c>
      <c r="CM263" s="9">
        <f t="shared" si="1308"/>
        <v>716</v>
      </c>
      <c r="CN263" s="8">
        <v>201</v>
      </c>
      <c r="CO263" s="8">
        <v>30</v>
      </c>
      <c r="CP263" s="8">
        <v>28</v>
      </c>
      <c r="CQ263" s="8">
        <v>1</v>
      </c>
      <c r="CR263" s="9">
        <f t="shared" si="1309"/>
        <v>260</v>
      </c>
      <c r="CS263" s="9">
        <f t="shared" si="1310"/>
        <v>976</v>
      </c>
      <c r="CT263" s="8">
        <v>1851</v>
      </c>
      <c r="CU263" s="8">
        <v>18620.260630156899</v>
      </c>
      <c r="CV263" s="8">
        <v>11581</v>
      </c>
      <c r="CW263" s="10">
        <f t="shared" si="1311"/>
        <v>0.62195692262457958</v>
      </c>
      <c r="CX263" s="8">
        <v>0</v>
      </c>
      <c r="CY263" s="8"/>
      <c r="CZ263" s="8"/>
      <c r="DA263" s="8"/>
      <c r="DB263" s="9">
        <f t="shared" si="1312"/>
        <v>0</v>
      </c>
      <c r="DC263" s="8">
        <v>0</v>
      </c>
      <c r="DD263" s="8">
        <v>0</v>
      </c>
      <c r="DE263" s="8">
        <v>0</v>
      </c>
      <c r="DF263" s="8">
        <v>0</v>
      </c>
      <c r="DG263" s="9">
        <f t="shared" si="1313"/>
        <v>0</v>
      </c>
      <c r="DH263" s="8">
        <v>0</v>
      </c>
      <c r="DI263" s="8">
        <v>0</v>
      </c>
      <c r="DJ263" s="8">
        <v>0</v>
      </c>
      <c r="DK263" s="8">
        <v>0</v>
      </c>
      <c r="DL263" s="9">
        <f t="shared" si="1314"/>
        <v>0</v>
      </c>
      <c r="DM263" s="8">
        <v>96</v>
      </c>
      <c r="DN263" s="8">
        <v>0</v>
      </c>
      <c r="DO263" s="8">
        <v>0</v>
      </c>
      <c r="DP263" s="8">
        <v>0</v>
      </c>
      <c r="DQ263" s="9">
        <f t="shared" si="1315"/>
        <v>96</v>
      </c>
      <c r="DR263" s="9">
        <f t="shared" si="1316"/>
        <v>96</v>
      </c>
      <c r="DS263" s="9">
        <f t="shared" si="1317"/>
        <v>0</v>
      </c>
      <c r="DT263" s="9">
        <f t="shared" si="1318"/>
        <v>0</v>
      </c>
      <c r="DU263" s="9">
        <f t="shared" si="1319"/>
        <v>0</v>
      </c>
      <c r="DV263" s="9">
        <f t="shared" si="1320"/>
        <v>96</v>
      </c>
      <c r="DW263" s="8">
        <v>11</v>
      </c>
      <c r="DX263" s="8">
        <v>3</v>
      </c>
      <c r="DY263" s="8">
        <v>0</v>
      </c>
      <c r="DZ263" s="8">
        <v>2</v>
      </c>
      <c r="EA263" s="8">
        <v>1</v>
      </c>
      <c r="EB263" s="8">
        <v>1</v>
      </c>
      <c r="EC263" s="8">
        <v>0</v>
      </c>
      <c r="ED263" s="8">
        <v>0</v>
      </c>
      <c r="EE263" s="8">
        <v>0</v>
      </c>
      <c r="EF263" s="8">
        <v>0</v>
      </c>
      <c r="EG263" s="8">
        <v>0</v>
      </c>
      <c r="EH263" s="8">
        <v>0</v>
      </c>
      <c r="EI263" s="8">
        <v>0</v>
      </c>
      <c r="EJ263" s="8">
        <v>0</v>
      </c>
      <c r="EK263" s="8">
        <v>0</v>
      </c>
      <c r="EL263" s="8">
        <v>0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8">
        <v>0</v>
      </c>
      <c r="ES263" s="8">
        <v>0</v>
      </c>
      <c r="ET263" s="8">
        <v>0</v>
      </c>
      <c r="EU263" s="8">
        <v>0</v>
      </c>
      <c r="EV263" s="8">
        <v>0</v>
      </c>
      <c r="EW263" s="8">
        <v>0</v>
      </c>
      <c r="EX263" s="8">
        <v>0</v>
      </c>
      <c r="EY263" s="8">
        <v>0</v>
      </c>
      <c r="EZ263" s="8">
        <v>0</v>
      </c>
      <c r="FA263" s="8">
        <v>0</v>
      </c>
      <c r="FB263" s="8">
        <v>0</v>
      </c>
      <c r="FC263" s="8">
        <v>0</v>
      </c>
      <c r="FD263" s="8">
        <v>0</v>
      </c>
      <c r="FE263" s="8">
        <v>0</v>
      </c>
      <c r="FF263" s="8">
        <v>0</v>
      </c>
      <c r="FG263" s="9">
        <f t="shared" si="1321"/>
        <v>18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9">
        <f t="shared" si="1322"/>
        <v>0</v>
      </c>
      <c r="FR263" s="8">
        <v>4210412</v>
      </c>
      <c r="FS263" s="8">
        <v>154600</v>
      </c>
      <c r="FT263" s="8">
        <v>77237</v>
      </c>
      <c r="FU263" s="8">
        <v>40280</v>
      </c>
      <c r="FV263" s="9">
        <f t="shared" si="1323"/>
        <v>4482529</v>
      </c>
      <c r="FW263" s="8">
        <v>1056850</v>
      </c>
      <c r="FX263" s="8">
        <v>1600</v>
      </c>
      <c r="FY263" s="8">
        <v>642900</v>
      </c>
      <c r="FZ263" s="8">
        <v>1014250</v>
      </c>
      <c r="GA263" s="9">
        <f t="shared" si="1324"/>
        <v>2715600</v>
      </c>
      <c r="GB263" s="9">
        <f t="shared" si="1325"/>
        <v>7198129</v>
      </c>
      <c r="GC263" s="8">
        <v>1056850</v>
      </c>
      <c r="GD263" s="8">
        <v>1600</v>
      </c>
      <c r="GE263" s="8">
        <v>642900</v>
      </c>
      <c r="GF263" s="8">
        <v>1014250</v>
      </c>
      <c r="GG263" s="9">
        <f t="shared" si="1326"/>
        <v>2715600</v>
      </c>
      <c r="GH263" s="8">
        <v>1030150</v>
      </c>
      <c r="GI263" s="8">
        <v>1600</v>
      </c>
      <c r="GJ263" s="8">
        <v>1014250</v>
      </c>
      <c r="GK263" s="8">
        <v>642900</v>
      </c>
      <c r="GL263" s="9">
        <f t="shared" si="1327"/>
        <v>2688900</v>
      </c>
      <c r="GM263" s="9">
        <f t="shared" si="1328"/>
        <v>5404500</v>
      </c>
      <c r="GN263" s="8">
        <v>445102.37</v>
      </c>
      <c r="GO263" s="8">
        <v>2295.36</v>
      </c>
      <c r="GP263" s="8">
        <v>27149.119999999999</v>
      </c>
      <c r="GQ263" s="8">
        <v>4637.34</v>
      </c>
      <c r="GR263" s="9">
        <f t="shared" si="1329"/>
        <v>479184.19</v>
      </c>
      <c r="GS263" s="8">
        <v>740297</v>
      </c>
      <c r="GT263" s="8">
        <v>10716</v>
      </c>
      <c r="GU263" s="8">
        <v>7144</v>
      </c>
      <c r="GV263" s="8">
        <v>893</v>
      </c>
      <c r="GW263" s="9">
        <f t="shared" si="1330"/>
        <v>759050</v>
      </c>
      <c r="GX263" s="9">
        <f t="shared" si="1331"/>
        <v>6642734.1900000004</v>
      </c>
      <c r="GY263" s="8">
        <v>25423116.93</v>
      </c>
      <c r="GZ263" s="8">
        <v>1354907.76</v>
      </c>
      <c r="HA263" s="9">
        <f t="shared" si="1332"/>
        <v>26778024.690000001</v>
      </c>
      <c r="HB263" s="9">
        <f t="shared" si="1333"/>
        <v>8.841235900785005E-3</v>
      </c>
      <c r="HC263" s="10">
        <f t="shared" si="1334"/>
        <v>0.22447958649413202</v>
      </c>
      <c r="HD263" s="9">
        <f t="shared" si="1335"/>
        <v>1.0836093683887116</v>
      </c>
      <c r="HE263" s="8">
        <v>0</v>
      </c>
      <c r="HF263" s="8">
        <v>0</v>
      </c>
      <c r="HG263" s="8">
        <v>32</v>
      </c>
      <c r="HH263" s="8">
        <v>0</v>
      </c>
      <c r="HI263" s="8">
        <v>0</v>
      </c>
      <c r="HJ263" s="9">
        <f t="shared" si="1336"/>
        <v>0</v>
      </c>
      <c r="HK263" s="10" t="str">
        <f t="shared" si="1337"/>
        <v/>
      </c>
      <c r="HL263" s="8">
        <v>0</v>
      </c>
      <c r="HM263" s="8">
        <v>0</v>
      </c>
      <c r="HN263" s="11" t="str">
        <f t="shared" si="1338"/>
        <v/>
      </c>
    </row>
    <row r="264" spans="1:222" x14ac:dyDescent="0.3">
      <c r="A264" s="12" t="s">
        <v>289</v>
      </c>
      <c r="B264" s="12" t="s">
        <v>289</v>
      </c>
      <c r="C264" s="13" t="s">
        <v>257</v>
      </c>
      <c r="D264" s="13">
        <v>2026</v>
      </c>
      <c r="E264" s="13">
        <v>1</v>
      </c>
      <c r="F264" s="13" t="s">
        <v>270</v>
      </c>
      <c r="G264" s="13" t="s">
        <v>271</v>
      </c>
      <c r="H264" s="14">
        <v>8600</v>
      </c>
      <c r="I264" s="14">
        <v>3720</v>
      </c>
      <c r="J264" s="14">
        <v>1133</v>
      </c>
      <c r="K264" s="14">
        <v>365</v>
      </c>
      <c r="L264" s="14">
        <v>211</v>
      </c>
      <c r="M264" s="15">
        <v>5429</v>
      </c>
      <c r="N264" s="14">
        <v>986</v>
      </c>
      <c r="O264" s="14">
        <v>19</v>
      </c>
      <c r="P264" s="14">
        <v>203</v>
      </c>
      <c r="Q264" s="14">
        <v>61</v>
      </c>
      <c r="R264" s="15">
        <v>1269</v>
      </c>
      <c r="S264" s="15">
        <v>6698</v>
      </c>
      <c r="T264" s="14">
        <v>1902</v>
      </c>
      <c r="U264" s="16">
        <v>0.22116279069767439</v>
      </c>
      <c r="V264" s="14">
        <v>12</v>
      </c>
      <c r="W264" s="17">
        <v>1.3953488372093019</v>
      </c>
      <c r="X264" s="14">
        <v>0</v>
      </c>
      <c r="Y264" s="17">
        <v>0</v>
      </c>
      <c r="Z264" s="14">
        <v>0</v>
      </c>
      <c r="AA264" s="17">
        <v>0</v>
      </c>
      <c r="AB264" s="14">
        <v>0</v>
      </c>
      <c r="AC264" s="17">
        <v>0</v>
      </c>
      <c r="AD264" s="14">
        <v>0</v>
      </c>
      <c r="AE264" s="17">
        <v>0</v>
      </c>
      <c r="AF264" s="14">
        <v>0</v>
      </c>
      <c r="AG264" s="17">
        <v>0</v>
      </c>
      <c r="AH264" s="14">
        <v>42303.48</v>
      </c>
      <c r="AI264" s="15">
        <v>4.9190093023255814</v>
      </c>
      <c r="AJ264" s="14">
        <v>7847.93</v>
      </c>
      <c r="AK264" s="17">
        <v>0.91255000000000008</v>
      </c>
      <c r="AL264" s="14">
        <v>1105338.5593950001</v>
      </c>
      <c r="AM264" s="15">
        <v>128.5277394645349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5">
        <v>1147642.0393950001</v>
      </c>
      <c r="AV264" s="15">
        <v>133.44674876686051</v>
      </c>
      <c r="AW264" s="15">
        <v>171.34100319423709</v>
      </c>
      <c r="AX264" s="14">
        <v>6</v>
      </c>
      <c r="AY264" s="15">
        <v>21.627906976744189</v>
      </c>
      <c r="AZ264" s="14">
        <v>6</v>
      </c>
      <c r="BA264" s="14">
        <v>32</v>
      </c>
      <c r="BB264" s="14">
        <v>5</v>
      </c>
      <c r="BC264" s="14">
        <v>4</v>
      </c>
      <c r="BD264" s="14">
        <v>0</v>
      </c>
      <c r="BE264" s="15">
        <v>4</v>
      </c>
      <c r="BF264" s="15">
        <v>33</v>
      </c>
      <c r="BG264" s="14">
        <v>0</v>
      </c>
      <c r="BH264" s="14">
        <v>0</v>
      </c>
      <c r="BI264" s="14">
        <v>0</v>
      </c>
      <c r="BJ264" s="14">
        <v>0</v>
      </c>
      <c r="BK264" s="15">
        <v>0</v>
      </c>
      <c r="BL264" s="15">
        <v>0</v>
      </c>
      <c r="BM264" s="14">
        <v>0</v>
      </c>
      <c r="BN264" s="14">
        <v>0</v>
      </c>
      <c r="BO264" s="14">
        <v>0</v>
      </c>
      <c r="BP264" s="14">
        <v>0</v>
      </c>
      <c r="BQ264" s="15">
        <v>0</v>
      </c>
      <c r="BR264" s="15">
        <v>0</v>
      </c>
      <c r="BS264" s="14">
        <v>0</v>
      </c>
      <c r="BT264" s="14">
        <v>0</v>
      </c>
      <c r="BU264" s="14">
        <v>0</v>
      </c>
      <c r="BV264" s="14">
        <v>0</v>
      </c>
      <c r="BW264" s="15">
        <v>0</v>
      </c>
      <c r="BX264" s="15">
        <v>0</v>
      </c>
      <c r="BY264" s="15">
        <v>32</v>
      </c>
      <c r="BZ264" s="15">
        <v>5</v>
      </c>
      <c r="CA264" s="15">
        <v>4</v>
      </c>
      <c r="CB264" s="15">
        <v>33</v>
      </c>
      <c r="CC264" s="14">
        <v>0</v>
      </c>
      <c r="CD264" s="14">
        <v>776</v>
      </c>
      <c r="CE264" s="14">
        <v>19</v>
      </c>
      <c r="CF264" s="14">
        <v>52</v>
      </c>
      <c r="CG264" s="14">
        <v>19</v>
      </c>
      <c r="CH264" s="15">
        <v>866</v>
      </c>
      <c r="CI264" s="14">
        <v>719</v>
      </c>
      <c r="CJ264" s="14">
        <v>0</v>
      </c>
      <c r="CK264" s="14">
        <v>0</v>
      </c>
      <c r="CL264" s="14">
        <v>10</v>
      </c>
      <c r="CM264" s="15">
        <v>729</v>
      </c>
      <c r="CN264" s="14">
        <v>201</v>
      </c>
      <c r="CO264" s="14">
        <v>30</v>
      </c>
      <c r="CP264" s="14">
        <v>28</v>
      </c>
      <c r="CQ264" s="14">
        <v>1</v>
      </c>
      <c r="CR264" s="15">
        <v>260</v>
      </c>
      <c r="CS264" s="15">
        <v>989</v>
      </c>
      <c r="CT264" s="14">
        <v>1855</v>
      </c>
      <c r="CU264" s="14">
        <v>18657.501151417189</v>
      </c>
      <c r="CV264" s="14">
        <v>11581</v>
      </c>
      <c r="CW264" s="16">
        <v>0.6207154916412978</v>
      </c>
      <c r="CX264" s="14">
        <v>0</v>
      </c>
      <c r="CY264" s="14">
        <v>0</v>
      </c>
      <c r="CZ264" s="14">
        <v>0</v>
      </c>
      <c r="DA264" s="14">
        <v>0</v>
      </c>
      <c r="DB264" s="15">
        <v>0</v>
      </c>
      <c r="DC264" s="14">
        <v>0</v>
      </c>
      <c r="DD264" s="14">
        <v>0</v>
      </c>
      <c r="DE264" s="14">
        <v>0</v>
      </c>
      <c r="DF264" s="14">
        <v>0</v>
      </c>
      <c r="DG264" s="15">
        <v>0</v>
      </c>
      <c r="DH264" s="14">
        <v>0</v>
      </c>
      <c r="DI264" s="14">
        <v>0</v>
      </c>
      <c r="DJ264" s="14">
        <v>0</v>
      </c>
      <c r="DK264" s="14">
        <v>0</v>
      </c>
      <c r="DL264" s="15">
        <v>0</v>
      </c>
      <c r="DM264" s="14">
        <v>96</v>
      </c>
      <c r="DN264" s="14">
        <v>1</v>
      </c>
      <c r="DO264" s="14">
        <v>0</v>
      </c>
      <c r="DP264" s="14">
        <v>0</v>
      </c>
      <c r="DQ264" s="15">
        <v>97</v>
      </c>
      <c r="DR264" s="15">
        <v>96</v>
      </c>
      <c r="DS264" s="15">
        <v>1</v>
      </c>
      <c r="DT264" s="15">
        <v>0</v>
      </c>
      <c r="DU264" s="15">
        <v>0</v>
      </c>
      <c r="DV264" s="15">
        <v>97</v>
      </c>
      <c r="DW264" s="14">
        <v>12</v>
      </c>
      <c r="DX264" s="14">
        <v>8</v>
      </c>
      <c r="DY264" s="14">
        <v>4</v>
      </c>
      <c r="DZ264" s="14">
        <v>0</v>
      </c>
      <c r="EA264" s="14">
        <v>0</v>
      </c>
      <c r="EB264" s="14">
        <v>0</v>
      </c>
      <c r="EC264" s="14">
        <v>1</v>
      </c>
      <c r="ED264" s="14">
        <v>9</v>
      </c>
      <c r="EE264" s="14">
        <v>1</v>
      </c>
      <c r="EF264" s="14">
        <v>0</v>
      </c>
      <c r="EG264" s="14">
        <v>0</v>
      </c>
      <c r="EH264" s="14">
        <v>0</v>
      </c>
      <c r="EI264" s="14">
        <v>0</v>
      </c>
      <c r="EJ264" s="14">
        <v>3</v>
      </c>
      <c r="EK264" s="14">
        <v>1</v>
      </c>
      <c r="EL264" s="14">
        <v>0</v>
      </c>
      <c r="EM264" s="14">
        <v>0</v>
      </c>
      <c r="EN264" s="14">
        <v>0</v>
      </c>
      <c r="EO264" s="14">
        <v>0</v>
      </c>
      <c r="EP264" s="14">
        <v>0</v>
      </c>
      <c r="EQ264" s="14">
        <v>0</v>
      </c>
      <c r="ER264" s="14">
        <v>0</v>
      </c>
      <c r="ES264" s="14">
        <v>0</v>
      </c>
      <c r="ET264" s="14">
        <v>0</v>
      </c>
      <c r="EU264" s="14">
        <v>0</v>
      </c>
      <c r="EV264" s="14">
        <v>0</v>
      </c>
      <c r="EW264" s="14">
        <v>0</v>
      </c>
      <c r="EX264" s="14">
        <v>0</v>
      </c>
      <c r="EY264" s="14">
        <v>0</v>
      </c>
      <c r="EZ264" s="14">
        <v>0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5">
        <v>39</v>
      </c>
      <c r="FH264" s="14">
        <v>0</v>
      </c>
      <c r="FI264" s="14">
        <v>0</v>
      </c>
      <c r="FJ264" s="14">
        <v>0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14">
        <v>0</v>
      </c>
      <c r="FQ264" s="15">
        <v>0</v>
      </c>
      <c r="FR264" s="14">
        <v>10498795.539999999</v>
      </c>
      <c r="FS264" s="14">
        <v>129200</v>
      </c>
      <c r="FT264" s="14">
        <v>0</v>
      </c>
      <c r="FU264" s="14">
        <v>253153.61</v>
      </c>
      <c r="FV264" s="15">
        <v>10881149.15</v>
      </c>
      <c r="FW264" s="14">
        <v>761400</v>
      </c>
      <c r="FX264" s="14">
        <v>700</v>
      </c>
      <c r="FY264" s="14">
        <v>974100</v>
      </c>
      <c r="FZ264" s="14">
        <v>1196250</v>
      </c>
      <c r="GA264" s="15">
        <v>2932450</v>
      </c>
      <c r="GB264" s="15">
        <v>13813599.15</v>
      </c>
      <c r="GC264" s="14">
        <v>606497.21</v>
      </c>
      <c r="GD264" s="14">
        <v>51454.32</v>
      </c>
      <c r="GE264" s="14">
        <v>4160017.64</v>
      </c>
      <c r="GF264" s="14">
        <v>215858.17</v>
      </c>
      <c r="GG264" s="15">
        <v>5033827.34</v>
      </c>
      <c r="GH264" s="14">
        <v>761400</v>
      </c>
      <c r="GI264" s="14">
        <v>700</v>
      </c>
      <c r="GJ264" s="14">
        <v>1196250</v>
      </c>
      <c r="GK264" s="14">
        <v>974100</v>
      </c>
      <c r="GL264" s="15">
        <v>2932450</v>
      </c>
      <c r="GM264" s="15">
        <v>7966277.3399999999</v>
      </c>
      <c r="GN264" s="14">
        <v>454209.97</v>
      </c>
      <c r="GO264" s="14">
        <v>2104.08</v>
      </c>
      <c r="GP264" s="14">
        <v>27149.11</v>
      </c>
      <c r="GQ264" s="14">
        <v>3393.64</v>
      </c>
      <c r="GR264" s="15">
        <v>486856.8</v>
      </c>
      <c r="GS264" s="14">
        <v>753906</v>
      </c>
      <c r="GT264" s="14">
        <v>9723</v>
      </c>
      <c r="GU264" s="14">
        <v>7144</v>
      </c>
      <c r="GV264" s="14">
        <v>893</v>
      </c>
      <c r="GW264" s="15">
        <v>771666</v>
      </c>
      <c r="GX264" s="15">
        <v>9224800.1400000006</v>
      </c>
      <c r="GY264" s="14">
        <v>20162097.989999998</v>
      </c>
      <c r="GZ264" s="14">
        <v>1465233.78</v>
      </c>
      <c r="HA264" s="15">
        <v>21627331.77</v>
      </c>
      <c r="HB264" s="15">
        <v>9224800.1400000006</v>
      </c>
      <c r="HC264" s="16">
        <v>20162097.989999998</v>
      </c>
      <c r="HD264" s="15">
        <v>1465233.78</v>
      </c>
      <c r="HE264" s="14">
        <v>5</v>
      </c>
      <c r="HF264" s="14">
        <v>0</v>
      </c>
      <c r="HG264" s="14">
        <v>33</v>
      </c>
      <c r="HH264" s="14">
        <v>5</v>
      </c>
      <c r="HI264" s="14">
        <v>0</v>
      </c>
      <c r="HJ264" s="15">
        <v>0</v>
      </c>
      <c r="HK264" s="16">
        <v>12.121212121212119</v>
      </c>
      <c r="HL264" s="14">
        <v>0</v>
      </c>
      <c r="HM264" s="14">
        <v>0</v>
      </c>
      <c r="HN264" s="17"/>
    </row>
    <row r="265" spans="1:222" x14ac:dyDescent="0.3">
      <c r="A265" s="6" t="s">
        <v>289</v>
      </c>
      <c r="B265" s="6" t="s">
        <v>289</v>
      </c>
      <c r="C265" s="7" t="s">
        <v>257</v>
      </c>
      <c r="D265" s="7">
        <v>2026</v>
      </c>
      <c r="E265" s="7">
        <v>2</v>
      </c>
      <c r="F265" s="7" t="s">
        <v>272</v>
      </c>
      <c r="G265" s="7" t="s">
        <v>271</v>
      </c>
      <c r="H265" s="8">
        <v>8400</v>
      </c>
      <c r="I265" s="8">
        <v>3941</v>
      </c>
      <c r="J265" s="8">
        <v>1196</v>
      </c>
      <c r="K265" s="8">
        <v>371</v>
      </c>
      <c r="L265" s="8">
        <v>232</v>
      </c>
      <c r="M265" s="9">
        <f t="shared" ref="M265:M275" si="1339">SUM(I265,J265,K265,L265)</f>
        <v>5740</v>
      </c>
      <c r="N265" s="8">
        <v>1475</v>
      </c>
      <c r="O265" s="8">
        <v>29</v>
      </c>
      <c r="P265" s="8">
        <v>254</v>
      </c>
      <c r="Q265" s="8">
        <v>82</v>
      </c>
      <c r="R265" s="9">
        <f t="shared" ref="R265:R275" si="1340">SUM(N265,O265,P265,Q265)</f>
        <v>1840</v>
      </c>
      <c r="S265" s="9">
        <f t="shared" ref="S265:S275" si="1341">M265+R265</f>
        <v>7580</v>
      </c>
      <c r="T265" s="8">
        <v>820</v>
      </c>
      <c r="U265" s="10">
        <f t="shared" ref="U265:U275" si="1342">IF(H265=0,"",T265/H265)</f>
        <v>9.7619047619047619E-2</v>
      </c>
      <c r="V265" s="8">
        <v>18</v>
      </c>
      <c r="W265" s="11">
        <f t="shared" ref="W265:W275" si="1343">IF(H265=0,"",V265/H265)</f>
        <v>2.142857142857143E-3</v>
      </c>
      <c r="X265" s="8">
        <v>0</v>
      </c>
      <c r="Y265" s="11">
        <f t="shared" ref="Y265:Y275" si="1344">IF(H265=0,"",X265/H265)</f>
        <v>0</v>
      </c>
      <c r="Z265" s="8">
        <v>0</v>
      </c>
      <c r="AA265" s="11">
        <f t="shared" ref="AA265:AA275" si="1345">IF(H265=0,"",Z265/H265)</f>
        <v>0</v>
      </c>
      <c r="AB265" s="8">
        <v>0</v>
      </c>
      <c r="AC265" s="11">
        <f t="shared" ref="AC265:AC275" si="1346">IF(H265=0,"",AB265/H265)</f>
        <v>0</v>
      </c>
      <c r="AD265" s="8">
        <v>0</v>
      </c>
      <c r="AE265" s="11">
        <f t="shared" ref="AE265:AE275" si="1347">IF(H265=0,"",AD265/H265)</f>
        <v>0</v>
      </c>
      <c r="AF265" s="8">
        <v>0</v>
      </c>
      <c r="AG265" s="11">
        <f t="shared" ref="AG265:AG275" si="1348">IF(H265=0,"",AF265/H265)</f>
        <v>0</v>
      </c>
      <c r="AH265" s="8">
        <v>63455.22</v>
      </c>
      <c r="AI265" s="9">
        <f t="shared" ref="AI265:AI275" si="1349">IF(H265=0,"",AH265/H265)</f>
        <v>7.5541928571428576</v>
      </c>
      <c r="AJ265" s="8">
        <v>7544</v>
      </c>
      <c r="AK265" s="11">
        <f t="shared" ref="AK265:AK275" si="1350">IF(H265=0,"",AJ265/H265)</f>
        <v>0.89809523809523806</v>
      </c>
      <c r="AL265" s="8">
        <v>1063167.8160000001</v>
      </c>
      <c r="AM265" s="9">
        <f t="shared" ref="AM265:AM275" si="1351">IF(H265=0,"",AL265/H265)</f>
        <v>126.56759714285715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9">
        <f t="shared" ref="AU265:AU275" si="1352">AH265+AL265+AP265+AQ265+AR265+AS265+AT265</f>
        <v>1126623.0360000001</v>
      </c>
      <c r="AV265" s="9">
        <f t="shared" ref="AV265:AV275" si="1353">IF(H265=0,"",AU265/H265)</f>
        <v>134.12179</v>
      </c>
      <c r="AW265" s="9">
        <f t="shared" ref="AW265:AW275" si="1354">IF(S265=0,"",AU265/S265)</f>
        <v>148.63100738786281</v>
      </c>
      <c r="AX265" s="8">
        <v>6</v>
      </c>
      <c r="AY265" s="9">
        <f t="shared" ref="AY265:AY275" si="1355">IF(H265=0,"",AX265/(H265/1000/12))</f>
        <v>8.5714285714285712</v>
      </c>
      <c r="AZ265" s="8">
        <v>6</v>
      </c>
      <c r="BA265" s="8">
        <v>33</v>
      </c>
      <c r="BB265" s="8">
        <v>0</v>
      </c>
      <c r="BC265" s="8">
        <v>3</v>
      </c>
      <c r="BD265" s="8">
        <v>0</v>
      </c>
      <c r="BE265" s="9">
        <f t="shared" ref="BE265:BE275" si="1356">BC265+BD265</f>
        <v>3</v>
      </c>
      <c r="BF265" s="9">
        <f t="shared" ref="BF265:BF275" si="1357">BA265+BB265-BE265</f>
        <v>30</v>
      </c>
      <c r="BG265" s="8">
        <v>0</v>
      </c>
      <c r="BH265" s="8">
        <v>0</v>
      </c>
      <c r="BI265" s="8">
        <v>0</v>
      </c>
      <c r="BJ265" s="8">
        <v>0</v>
      </c>
      <c r="BK265" s="9">
        <f t="shared" ref="BK265:BK275" si="1358">BI265+BJ265</f>
        <v>0</v>
      </c>
      <c r="BL265" s="9">
        <f t="shared" ref="BL265:BL275" si="1359">BG265+BH265-BK265</f>
        <v>0</v>
      </c>
      <c r="BM265" s="8">
        <v>0</v>
      </c>
      <c r="BN265" s="8">
        <v>0</v>
      </c>
      <c r="BO265" s="8">
        <v>0</v>
      </c>
      <c r="BP265" s="8">
        <v>0</v>
      </c>
      <c r="BQ265" s="9">
        <f t="shared" ref="BQ265:BQ275" si="1360">BO265+BP265</f>
        <v>0</v>
      </c>
      <c r="BR265" s="9">
        <f t="shared" ref="BR265:BR275" si="1361">BM265+BN265-BQ265</f>
        <v>0</v>
      </c>
      <c r="BS265" s="8">
        <v>0</v>
      </c>
      <c r="BT265" s="8">
        <v>0</v>
      </c>
      <c r="BU265" s="8">
        <v>0</v>
      </c>
      <c r="BV265" s="8">
        <v>0</v>
      </c>
      <c r="BW265" s="9">
        <f t="shared" ref="BW265:BW275" si="1362">BU265+BV265</f>
        <v>0</v>
      </c>
      <c r="BX265" s="9">
        <f t="shared" ref="BX265:BX275" si="1363">BS265+BT265-BW265</f>
        <v>0</v>
      </c>
      <c r="BY265" s="9">
        <f t="shared" ref="BY265:BY275" si="1364">BA265+BG265+BM265+BS265</f>
        <v>33</v>
      </c>
      <c r="BZ265" s="9">
        <f t="shared" ref="BZ265:BZ275" si="1365">BB265+BH265+BN265+BT265</f>
        <v>0</v>
      </c>
      <c r="CA265" s="9">
        <f t="shared" ref="CA265:CA275" si="1366">BE265+BK265+BQ265+BW265</f>
        <v>3</v>
      </c>
      <c r="CB265" s="9">
        <f t="shared" ref="CB265:CB275" si="1367">BF265+BL265+BR265+BX265</f>
        <v>30</v>
      </c>
      <c r="CC265" s="8">
        <v>0</v>
      </c>
      <c r="CD265" s="8">
        <v>777</v>
      </c>
      <c r="CE265" s="8">
        <v>26</v>
      </c>
      <c r="CF265" s="8">
        <v>52</v>
      </c>
      <c r="CG265" s="8">
        <v>19</v>
      </c>
      <c r="CH265" s="9">
        <f t="shared" ref="CH265:CH275" si="1368">CD265+CE265+CF265+CG265</f>
        <v>874</v>
      </c>
      <c r="CI265" s="8">
        <v>714</v>
      </c>
      <c r="CJ265" s="8">
        <v>0</v>
      </c>
      <c r="CK265" s="8">
        <v>0</v>
      </c>
      <c r="CL265" s="8">
        <v>10</v>
      </c>
      <c r="CM265" s="9">
        <f t="shared" ref="CM265:CM275" si="1369">CI265+CJ265+CK265+CL265</f>
        <v>724</v>
      </c>
      <c r="CN265" s="8">
        <v>201</v>
      </c>
      <c r="CO265" s="8">
        <v>30</v>
      </c>
      <c r="CP265" s="8">
        <v>28</v>
      </c>
      <c r="CQ265" s="8">
        <v>1</v>
      </c>
      <c r="CR265" s="9">
        <f t="shared" ref="CR265:CR275" si="1370">CN265+CO265+CP265+CQ265</f>
        <v>260</v>
      </c>
      <c r="CS265" s="9">
        <f t="shared" ref="CS265:CS275" si="1371">CM265+CR265</f>
        <v>984</v>
      </c>
      <c r="CT265" s="8">
        <v>1858</v>
      </c>
      <c r="CU265" s="8">
        <v>18694.816153720021</v>
      </c>
      <c r="CV265" s="8">
        <v>11581</v>
      </c>
      <c r="CW265" s="10">
        <f t="shared" ref="CW265:CW275" si="1372">IF(CU265=0,"",CV265/CU265)</f>
        <v>0.61947653856416951</v>
      </c>
      <c r="CX265" s="8">
        <v>0</v>
      </c>
      <c r="CY265" s="8"/>
      <c r="CZ265" s="8"/>
      <c r="DA265" s="8"/>
      <c r="DB265" s="9">
        <f t="shared" ref="DB265:DB275" si="1373">CX265+CY265-CZ265-DA265</f>
        <v>0</v>
      </c>
      <c r="DC265" s="8">
        <v>0</v>
      </c>
      <c r="DD265" s="8">
        <v>0</v>
      </c>
      <c r="DE265" s="8">
        <v>0</v>
      </c>
      <c r="DF265" s="8">
        <v>0</v>
      </c>
      <c r="DG265" s="9">
        <f t="shared" ref="DG265:DG275" si="1374">DC265+DD265-DE265-DF265</f>
        <v>0</v>
      </c>
      <c r="DH265" s="8">
        <v>0</v>
      </c>
      <c r="DI265" s="8">
        <v>0</v>
      </c>
      <c r="DJ265" s="8">
        <v>0</v>
      </c>
      <c r="DK265" s="8">
        <v>0</v>
      </c>
      <c r="DL265" s="9">
        <f t="shared" ref="DL265:DL275" si="1375">DH265+DI265-DJ265-DK265</f>
        <v>0</v>
      </c>
      <c r="DM265" s="8">
        <v>97</v>
      </c>
      <c r="DN265" s="8">
        <v>1</v>
      </c>
      <c r="DO265" s="8">
        <v>0</v>
      </c>
      <c r="DP265" s="8">
        <v>0</v>
      </c>
      <c r="DQ265" s="9">
        <f t="shared" ref="DQ265:DQ275" si="1376">DM265+DN265-DO265-DP265</f>
        <v>98</v>
      </c>
      <c r="DR265" s="9">
        <f t="shared" ref="DR265:DR275" si="1377">CX265+DC265+DH265+DM265</f>
        <v>97</v>
      </c>
      <c r="DS265" s="9">
        <f t="shared" ref="DS265:DS275" si="1378">CY265+DD265+DI265+DN265</f>
        <v>1</v>
      </c>
      <c r="DT265" s="9">
        <f t="shared" ref="DT265:DT275" si="1379">CZ265+DE265+DJ265+DO265</f>
        <v>0</v>
      </c>
      <c r="DU265" s="9">
        <f t="shared" ref="DU265:DU275" si="1380">DA265+DF265+DK265+DP265</f>
        <v>0</v>
      </c>
      <c r="DV265" s="9">
        <f t="shared" ref="DV265:DV275" si="1381">DB265+DG265+DL265+DQ265</f>
        <v>98</v>
      </c>
      <c r="DW265" s="8">
        <v>16</v>
      </c>
      <c r="DX265" s="8">
        <v>4</v>
      </c>
      <c r="DY265" s="8">
        <v>0</v>
      </c>
      <c r="DZ265" s="8">
        <v>1</v>
      </c>
      <c r="EA265" s="8">
        <v>2</v>
      </c>
      <c r="EB265" s="8">
        <v>3</v>
      </c>
      <c r="EC265" s="8">
        <v>1</v>
      </c>
      <c r="ED265" s="8">
        <v>0</v>
      </c>
      <c r="EE265" s="8">
        <v>0</v>
      </c>
      <c r="EF265" s="8">
        <v>0</v>
      </c>
      <c r="EG265" s="8">
        <v>0</v>
      </c>
      <c r="EH265" s="8">
        <v>0</v>
      </c>
      <c r="EI265" s="8">
        <v>0</v>
      </c>
      <c r="EJ265" s="8">
        <v>0</v>
      </c>
      <c r="EK265" s="8">
        <v>1</v>
      </c>
      <c r="EL265" s="8">
        <v>0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8">
        <v>0</v>
      </c>
      <c r="ES265" s="8">
        <v>0</v>
      </c>
      <c r="ET265" s="8">
        <v>0</v>
      </c>
      <c r="EU265" s="8">
        <v>0</v>
      </c>
      <c r="EV265" s="8">
        <v>0</v>
      </c>
      <c r="EW265" s="8">
        <v>0</v>
      </c>
      <c r="EX265" s="8">
        <v>0</v>
      </c>
      <c r="EY265" s="8">
        <v>0</v>
      </c>
      <c r="EZ265" s="8">
        <v>0</v>
      </c>
      <c r="FA265" s="8">
        <v>0</v>
      </c>
      <c r="FB265" s="8">
        <v>0</v>
      </c>
      <c r="FC265" s="8">
        <v>0</v>
      </c>
      <c r="FD265" s="8">
        <v>0</v>
      </c>
      <c r="FE265" s="8">
        <v>0</v>
      </c>
      <c r="FF265" s="8">
        <v>0</v>
      </c>
      <c r="FG265" s="9">
        <f t="shared" ref="FG265:FG275" si="1382">SUM(DW265,DX265,DY265,DZ265,EA265,EB265,EC265,ED265,EE265,EF265,EG265,EH265,EI265,EJ265,EK265,EL265,EM265,EN265,EO265,EP265,EQ265,ER265,ES265,ET265,EU265,EV265,EW265,EX265,EY265,EZ265,FA265,FB265,FC265,FD265,FE265,FF265)</f>
        <v>28</v>
      </c>
      <c r="FH265" s="8">
        <v>0</v>
      </c>
      <c r="FI265" s="8">
        <v>0</v>
      </c>
      <c r="FJ265" s="8">
        <v>0</v>
      </c>
      <c r="FK265" s="8">
        <v>0</v>
      </c>
      <c r="FL265" s="8">
        <v>0</v>
      </c>
      <c r="FM265" s="8">
        <v>0</v>
      </c>
      <c r="FN265" s="8">
        <v>0</v>
      </c>
      <c r="FO265" s="8">
        <v>0</v>
      </c>
      <c r="FP265" s="8">
        <v>0</v>
      </c>
      <c r="FQ265" s="9">
        <f t="shared" ref="FQ265:FQ275" si="1383">FL265+FM265+FN265+FO265+FP265</f>
        <v>0</v>
      </c>
      <c r="FR265" s="8">
        <v>1975043</v>
      </c>
      <c r="FS265" s="8">
        <v>119870</v>
      </c>
      <c r="FT265" s="8">
        <v>0</v>
      </c>
      <c r="FU265" s="8">
        <v>191667</v>
      </c>
      <c r="FV265" s="9">
        <f t="shared" ref="FV265:FV275" si="1384">FR265+FS265+FT265+FU265</f>
        <v>2286580</v>
      </c>
      <c r="FW265" s="8">
        <v>769282</v>
      </c>
      <c r="FX265" s="8">
        <v>3100</v>
      </c>
      <c r="FY265" s="8">
        <v>554300</v>
      </c>
      <c r="FZ265" s="8">
        <v>201250</v>
      </c>
      <c r="GA265" s="9">
        <f t="shared" ref="GA265:GA275" si="1385">FW265+FX265+FY265+FZ265</f>
        <v>1527932</v>
      </c>
      <c r="GB265" s="9">
        <f t="shared" ref="GB265:GB275" si="1386">FV265+GA265</f>
        <v>3814512</v>
      </c>
      <c r="GC265" s="8">
        <v>4938626</v>
      </c>
      <c r="GD265" s="8">
        <v>145755.35999999999</v>
      </c>
      <c r="GE265" s="8">
        <v>302187.27</v>
      </c>
      <c r="GF265" s="8">
        <v>61004.56</v>
      </c>
      <c r="GG265" s="9">
        <f t="shared" ref="GG265:GG275" si="1387">GC265+GD265+GE265+GF265</f>
        <v>5447573.1900000004</v>
      </c>
      <c r="GH265" s="8">
        <v>769282.18</v>
      </c>
      <c r="GI265" s="8">
        <v>3100</v>
      </c>
      <c r="GJ265" s="8">
        <v>201250</v>
      </c>
      <c r="GK265" s="8">
        <v>554300</v>
      </c>
      <c r="GL265" s="9">
        <f t="shared" ref="GL265:GL275" si="1388">GH265+GI265+GJ265+GK265</f>
        <v>1527932.1800000002</v>
      </c>
      <c r="GM265" s="9">
        <f t="shared" ref="GM265:GM275" si="1389">GG265+GL265</f>
        <v>6975505.370000001</v>
      </c>
      <c r="GN265" s="8">
        <v>448440.59</v>
      </c>
      <c r="GO265" s="8">
        <v>2104.08</v>
      </c>
      <c r="GP265" s="8">
        <v>30542.76</v>
      </c>
      <c r="GQ265" s="8">
        <v>9274.68</v>
      </c>
      <c r="GR265" s="9">
        <f t="shared" ref="GR265:GR275" si="1390">GN265+GO265+GP265+GQ265</f>
        <v>490362.11000000004</v>
      </c>
      <c r="GS265" s="8">
        <v>744762</v>
      </c>
      <c r="GT265" s="8">
        <v>9823</v>
      </c>
      <c r="GU265" s="8">
        <v>8037</v>
      </c>
      <c r="GV265" s="8">
        <v>1786</v>
      </c>
      <c r="GW265" s="9">
        <f t="shared" ref="GW265:GW275" si="1391">GS265+GT265+GU265+GV265</f>
        <v>764408</v>
      </c>
      <c r="GX265" s="9">
        <f t="shared" ref="GX265:GX275" si="1392">GM265+GR265+GW265</f>
        <v>8230275.4800000014</v>
      </c>
      <c r="GY265" s="8">
        <v>22199082.59</v>
      </c>
      <c r="GZ265" s="8">
        <v>1937571.27</v>
      </c>
      <c r="HA265" s="9">
        <f t="shared" ref="HA265:HA275" si="1393">GY265+GZ265</f>
        <v>24136653.859999999</v>
      </c>
      <c r="HB265" s="9">
        <f t="shared" ref="HB265:HB275" si="1394">IF(GX265=0,"",AU265/GX265)</f>
        <v>0.13688764595276948</v>
      </c>
      <c r="HC265" s="10">
        <f t="shared" ref="HC265:HC275" si="1395">IF((GX265+GY265)=0,"",GB265/(GX265+GY265))</f>
        <v>0.12535630857624594</v>
      </c>
      <c r="HD265" s="9">
        <f t="shared" ref="HD265:HD275" si="1396">IF(GX265=0,"",GB265/GX265)</f>
        <v>0.46347318619765077</v>
      </c>
      <c r="HE265" s="8">
        <v>0</v>
      </c>
      <c r="HF265" s="8">
        <v>0</v>
      </c>
      <c r="HG265" s="8">
        <v>30</v>
      </c>
      <c r="HH265" s="8">
        <v>0</v>
      </c>
      <c r="HI265" s="8">
        <v>0</v>
      </c>
      <c r="HJ265" s="9">
        <f t="shared" ref="HJ265:HJ275" si="1397">HF265+HI265</f>
        <v>0</v>
      </c>
      <c r="HK265" s="10" t="str">
        <f t="shared" ref="HK265:HK275" si="1398">IF(HE265=0,"",HH265/HE265)</f>
        <v/>
      </c>
      <c r="HL265" s="8">
        <v>0</v>
      </c>
      <c r="HM265" s="8">
        <v>0</v>
      </c>
      <c r="HN265" s="11" t="str">
        <f t="shared" ref="HN265:HN275" si="1399">IF(HL265=0,"",HM265/HL265)</f>
        <v/>
      </c>
    </row>
    <row r="266" spans="1:222" x14ac:dyDescent="0.3">
      <c r="A266" s="12" t="s">
        <v>289</v>
      </c>
      <c r="B266" s="12" t="s">
        <v>289</v>
      </c>
      <c r="C266" s="13" t="s">
        <v>257</v>
      </c>
      <c r="D266" s="13">
        <v>2026</v>
      </c>
      <c r="E266" s="13">
        <v>3</v>
      </c>
      <c r="F266" s="13" t="s">
        <v>273</v>
      </c>
      <c r="G266" s="13" t="s">
        <v>271</v>
      </c>
      <c r="H266" s="14">
        <v>11600</v>
      </c>
      <c r="I266" s="14">
        <v>5542</v>
      </c>
      <c r="J266" s="14">
        <v>773</v>
      </c>
      <c r="K266" s="14">
        <v>140</v>
      </c>
      <c r="L266" s="14">
        <v>22</v>
      </c>
      <c r="M266" s="15">
        <f t="shared" si="1339"/>
        <v>6477</v>
      </c>
      <c r="N266" s="14">
        <v>1649</v>
      </c>
      <c r="O266" s="14">
        <v>31</v>
      </c>
      <c r="P266" s="14">
        <v>674</v>
      </c>
      <c r="Q266" s="14">
        <v>396</v>
      </c>
      <c r="R266" s="15">
        <f t="shared" si="1340"/>
        <v>2750</v>
      </c>
      <c r="S266" s="15">
        <f t="shared" si="1341"/>
        <v>9227</v>
      </c>
      <c r="T266" s="14">
        <v>2373</v>
      </c>
      <c r="U266" s="16">
        <f t="shared" si="1342"/>
        <v>0.20456896551724138</v>
      </c>
      <c r="V266" s="14">
        <v>15</v>
      </c>
      <c r="W266" s="17">
        <f t="shared" si="1343"/>
        <v>1.2931034482758621E-3</v>
      </c>
      <c r="X266" s="14">
        <v>0</v>
      </c>
      <c r="Y266" s="17">
        <f t="shared" si="1344"/>
        <v>0</v>
      </c>
      <c r="Z266" s="14">
        <v>0</v>
      </c>
      <c r="AA266" s="17">
        <f t="shared" si="1345"/>
        <v>0</v>
      </c>
      <c r="AB266" s="14">
        <v>0</v>
      </c>
      <c r="AC266" s="17">
        <f t="shared" si="1346"/>
        <v>0</v>
      </c>
      <c r="AD266" s="14">
        <v>0</v>
      </c>
      <c r="AE266" s="17">
        <f t="shared" si="1347"/>
        <v>0</v>
      </c>
      <c r="AF266" s="14">
        <v>0</v>
      </c>
      <c r="AG266" s="17">
        <f t="shared" si="1348"/>
        <v>0</v>
      </c>
      <c r="AH266" s="14">
        <v>52879.35</v>
      </c>
      <c r="AI266" s="15">
        <f t="shared" si="1349"/>
        <v>4.5585646551724137</v>
      </c>
      <c r="AJ266" s="14">
        <v>6514.84</v>
      </c>
      <c r="AK266" s="17">
        <f t="shared" si="1350"/>
        <v>0.56162413793103449</v>
      </c>
      <c r="AL266" s="14">
        <v>16426.5</v>
      </c>
      <c r="AM266" s="15">
        <f t="shared" si="1351"/>
        <v>1.4160775862068966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5">
        <f t="shared" si="1352"/>
        <v>69305.850000000006</v>
      </c>
      <c r="AV266" s="15">
        <f t="shared" si="1353"/>
        <v>5.9746422413793105</v>
      </c>
      <c r="AW266" s="15">
        <f t="shared" si="1354"/>
        <v>7.5112008236696655</v>
      </c>
      <c r="AX266" s="14">
        <v>6</v>
      </c>
      <c r="AY266" s="15">
        <f t="shared" si="1355"/>
        <v>6.2068965517241379</v>
      </c>
      <c r="AZ266" s="14">
        <v>9</v>
      </c>
      <c r="BA266" s="14">
        <v>30</v>
      </c>
      <c r="BB266" s="14">
        <v>0</v>
      </c>
      <c r="BC266" s="14">
        <v>1</v>
      </c>
      <c r="BD266" s="14">
        <v>0</v>
      </c>
      <c r="BE266" s="15">
        <f t="shared" si="1356"/>
        <v>1</v>
      </c>
      <c r="BF266" s="15">
        <f t="shared" si="1357"/>
        <v>29</v>
      </c>
      <c r="BG266" s="14">
        <v>0</v>
      </c>
      <c r="BH266" s="14">
        <v>0</v>
      </c>
      <c r="BI266" s="14">
        <v>0</v>
      </c>
      <c r="BJ266" s="14">
        <v>0</v>
      </c>
      <c r="BK266" s="15">
        <f t="shared" si="1358"/>
        <v>0</v>
      </c>
      <c r="BL266" s="15">
        <f t="shared" si="1359"/>
        <v>0</v>
      </c>
      <c r="BM266" s="14">
        <v>0</v>
      </c>
      <c r="BN266" s="14">
        <v>0</v>
      </c>
      <c r="BO266" s="14">
        <v>0</v>
      </c>
      <c r="BP266" s="14">
        <v>0</v>
      </c>
      <c r="BQ266" s="15">
        <f t="shared" si="1360"/>
        <v>0</v>
      </c>
      <c r="BR266" s="15">
        <f t="shared" si="1361"/>
        <v>0</v>
      </c>
      <c r="BS266" s="14">
        <v>0</v>
      </c>
      <c r="BT266" s="14">
        <v>0</v>
      </c>
      <c r="BU266" s="14">
        <v>0</v>
      </c>
      <c r="BV266" s="14">
        <v>0</v>
      </c>
      <c r="BW266" s="15">
        <f t="shared" si="1362"/>
        <v>0</v>
      </c>
      <c r="BX266" s="15">
        <f t="shared" si="1363"/>
        <v>0</v>
      </c>
      <c r="BY266" s="15">
        <f t="shared" si="1364"/>
        <v>30</v>
      </c>
      <c r="BZ266" s="15">
        <f t="shared" si="1365"/>
        <v>0</v>
      </c>
      <c r="CA266" s="15">
        <f t="shared" si="1366"/>
        <v>1</v>
      </c>
      <c r="CB266" s="15">
        <f t="shared" si="1367"/>
        <v>29</v>
      </c>
      <c r="CC266" s="14">
        <v>0</v>
      </c>
      <c r="CD266" s="14">
        <v>777</v>
      </c>
      <c r="CE266" s="14">
        <v>26</v>
      </c>
      <c r="CF266" s="14">
        <v>52</v>
      </c>
      <c r="CG266" s="14">
        <v>19</v>
      </c>
      <c r="CH266" s="15">
        <f t="shared" si="1368"/>
        <v>874</v>
      </c>
      <c r="CI266" s="14">
        <v>715</v>
      </c>
      <c r="CJ266" s="14">
        <v>0</v>
      </c>
      <c r="CK266" s="14">
        <v>0</v>
      </c>
      <c r="CL266" s="14">
        <v>10</v>
      </c>
      <c r="CM266" s="15">
        <f t="shared" si="1369"/>
        <v>725</v>
      </c>
      <c r="CN266" s="14">
        <v>201</v>
      </c>
      <c r="CO266" s="14">
        <v>30</v>
      </c>
      <c r="CP266" s="14">
        <v>28</v>
      </c>
      <c r="CQ266" s="14">
        <v>1</v>
      </c>
      <c r="CR266" s="15">
        <f t="shared" si="1370"/>
        <v>260</v>
      </c>
      <c r="CS266" s="15">
        <f t="shared" si="1371"/>
        <v>985</v>
      </c>
      <c r="CT266" s="14">
        <v>1859</v>
      </c>
      <c r="CU266" s="14">
        <v>18732.205786027469</v>
      </c>
      <c r="CV266" s="14">
        <v>11581</v>
      </c>
      <c r="CW266" s="16">
        <f t="shared" si="1372"/>
        <v>0.6182400584472747</v>
      </c>
      <c r="CX266" s="14"/>
      <c r="CY266" s="14"/>
      <c r="CZ266" s="14"/>
      <c r="DA266" s="14"/>
      <c r="DB266" s="15">
        <f t="shared" si="1373"/>
        <v>0</v>
      </c>
      <c r="DC266" s="14">
        <v>0</v>
      </c>
      <c r="DD266" s="14">
        <v>0</v>
      </c>
      <c r="DE266" s="14">
        <v>0</v>
      </c>
      <c r="DF266" s="14">
        <v>0</v>
      </c>
      <c r="DG266" s="15">
        <f t="shared" si="1374"/>
        <v>0</v>
      </c>
      <c r="DH266" s="14">
        <v>0</v>
      </c>
      <c r="DI266" s="14">
        <v>0</v>
      </c>
      <c r="DJ266" s="14">
        <v>0</v>
      </c>
      <c r="DK266" s="14">
        <v>0</v>
      </c>
      <c r="DL266" s="15">
        <f t="shared" si="1375"/>
        <v>0</v>
      </c>
      <c r="DM266" s="14">
        <v>98</v>
      </c>
      <c r="DN266" s="14">
        <v>0</v>
      </c>
      <c r="DO266" s="14">
        <v>0</v>
      </c>
      <c r="DP266" s="14">
        <v>0</v>
      </c>
      <c r="DQ266" s="15">
        <f t="shared" si="1376"/>
        <v>98</v>
      </c>
      <c r="DR266" s="15">
        <f t="shared" si="1377"/>
        <v>98</v>
      </c>
      <c r="DS266" s="15">
        <f t="shared" si="1378"/>
        <v>0</v>
      </c>
      <c r="DT266" s="15">
        <f t="shared" si="1379"/>
        <v>0</v>
      </c>
      <c r="DU266" s="15">
        <f t="shared" si="1380"/>
        <v>0</v>
      </c>
      <c r="DV266" s="15">
        <f t="shared" si="1381"/>
        <v>98</v>
      </c>
      <c r="DW266" s="14">
        <v>12</v>
      </c>
      <c r="DX266" s="14">
        <v>10</v>
      </c>
      <c r="DY266" s="14">
        <v>8</v>
      </c>
      <c r="DZ266" s="14">
        <v>0</v>
      </c>
      <c r="EA266" s="14">
        <v>0</v>
      </c>
      <c r="EB266" s="14">
        <v>4</v>
      </c>
      <c r="EC266" s="14">
        <v>1</v>
      </c>
      <c r="ED266" s="14">
        <v>0</v>
      </c>
      <c r="EE266" s="14">
        <v>0</v>
      </c>
      <c r="EF266" s="14">
        <v>0</v>
      </c>
      <c r="EG266" s="14">
        <v>0</v>
      </c>
      <c r="EH266" s="14">
        <v>0</v>
      </c>
      <c r="EI266" s="14">
        <v>0</v>
      </c>
      <c r="EJ266" s="14">
        <v>4</v>
      </c>
      <c r="EK266" s="14">
        <v>0</v>
      </c>
      <c r="EL266" s="14">
        <v>2</v>
      </c>
      <c r="EM266" s="14">
        <v>0</v>
      </c>
      <c r="EN266" s="14">
        <v>0</v>
      </c>
      <c r="EO266" s="14">
        <v>0</v>
      </c>
      <c r="EP266" s="14">
        <v>0</v>
      </c>
      <c r="EQ266" s="14">
        <v>0</v>
      </c>
      <c r="ER266" s="14">
        <v>0</v>
      </c>
      <c r="ES266" s="14">
        <v>0</v>
      </c>
      <c r="ET266" s="14">
        <v>0</v>
      </c>
      <c r="EU266" s="14">
        <v>0</v>
      </c>
      <c r="EV266" s="14">
        <v>0</v>
      </c>
      <c r="EW266" s="14">
        <v>0</v>
      </c>
      <c r="EX266" s="14">
        <v>0</v>
      </c>
      <c r="EY266" s="14">
        <v>0</v>
      </c>
      <c r="EZ266" s="14">
        <v>0</v>
      </c>
      <c r="FA266" s="14">
        <v>0</v>
      </c>
      <c r="FB266" s="14">
        <v>0</v>
      </c>
      <c r="FC266" s="14">
        <v>0</v>
      </c>
      <c r="FD266" s="14">
        <v>0</v>
      </c>
      <c r="FE266" s="14">
        <v>0</v>
      </c>
      <c r="FF266" s="14">
        <v>0</v>
      </c>
      <c r="FG266" s="15">
        <f t="shared" si="1382"/>
        <v>41</v>
      </c>
      <c r="FH266" s="14">
        <v>0</v>
      </c>
      <c r="FI266" s="14">
        <v>0</v>
      </c>
      <c r="FJ266" s="14">
        <v>0</v>
      </c>
      <c r="FK266" s="14">
        <v>0</v>
      </c>
      <c r="FL266" s="14">
        <v>0</v>
      </c>
      <c r="FM266" s="14">
        <v>0</v>
      </c>
      <c r="FN266" s="14">
        <v>0</v>
      </c>
      <c r="FO266" s="14">
        <v>0</v>
      </c>
      <c r="FP266" s="14">
        <v>0</v>
      </c>
      <c r="FQ266" s="15">
        <f t="shared" si="1383"/>
        <v>0</v>
      </c>
      <c r="FR266" s="14">
        <v>1801390</v>
      </c>
      <c r="FS266" s="14">
        <v>76200</v>
      </c>
      <c r="FT266" s="14">
        <v>128300</v>
      </c>
      <c r="FU266" s="14">
        <v>0</v>
      </c>
      <c r="FV266" s="15">
        <f t="shared" si="1384"/>
        <v>2005890</v>
      </c>
      <c r="FW266" s="14">
        <v>577100</v>
      </c>
      <c r="FX266" s="14">
        <v>2700</v>
      </c>
      <c r="FY266" s="14">
        <v>342600</v>
      </c>
      <c r="FZ266" s="14">
        <v>652000</v>
      </c>
      <c r="GA266" s="15">
        <f t="shared" si="1385"/>
        <v>1574400</v>
      </c>
      <c r="GB266" s="15">
        <f t="shared" si="1386"/>
        <v>3580290</v>
      </c>
      <c r="GC266" s="14">
        <v>5333510.92</v>
      </c>
      <c r="GD266" s="14">
        <v>147859.44</v>
      </c>
      <c r="GE266" s="14">
        <v>314430.53000000003</v>
      </c>
      <c r="GF266" s="14">
        <v>69388.08</v>
      </c>
      <c r="GG266" s="15">
        <f t="shared" si="1387"/>
        <v>5865188.9700000007</v>
      </c>
      <c r="GH266" s="14">
        <v>571247.78</v>
      </c>
      <c r="GI266" s="14">
        <v>2700</v>
      </c>
      <c r="GJ266" s="14">
        <v>650800</v>
      </c>
      <c r="GK266" s="14">
        <v>342600</v>
      </c>
      <c r="GL266" s="15">
        <f t="shared" si="1388"/>
        <v>1567347.78</v>
      </c>
      <c r="GM266" s="15">
        <f t="shared" si="1389"/>
        <v>7432536.7500000009</v>
      </c>
      <c r="GN266" s="14">
        <v>448440.59</v>
      </c>
      <c r="GO266" s="14">
        <v>2104.08</v>
      </c>
      <c r="GP266" s="14">
        <v>30542.76</v>
      </c>
      <c r="GQ266" s="14">
        <v>9274.68</v>
      </c>
      <c r="GR266" s="15">
        <f t="shared" si="1390"/>
        <v>490362.11000000004</v>
      </c>
      <c r="GS266" s="14">
        <v>744762</v>
      </c>
      <c r="GT266" s="14">
        <v>9823</v>
      </c>
      <c r="GU266" s="14">
        <v>80377</v>
      </c>
      <c r="GV266" s="14">
        <v>1786</v>
      </c>
      <c r="GW266" s="15">
        <f t="shared" si="1391"/>
        <v>836748</v>
      </c>
      <c r="GX266" s="15">
        <f t="shared" si="1392"/>
        <v>8759646.8600000013</v>
      </c>
      <c r="GY266" s="14">
        <v>26703377.41</v>
      </c>
      <c r="GZ266" s="14">
        <v>1772741.86</v>
      </c>
      <c r="HA266" s="15">
        <f t="shared" si="1393"/>
        <v>28476119.27</v>
      </c>
      <c r="HB266" s="15">
        <f t="shared" si="1394"/>
        <v>7.9119456648963585E-3</v>
      </c>
      <c r="HC266" s="16">
        <f t="shared" si="1395"/>
        <v>0.10095839465752365</v>
      </c>
      <c r="HD266" s="15">
        <f t="shared" si="1396"/>
        <v>0.40872538096815464</v>
      </c>
      <c r="HE266" s="14">
        <v>0</v>
      </c>
      <c r="HF266" s="14">
        <v>0</v>
      </c>
      <c r="HG266" s="14">
        <v>29</v>
      </c>
      <c r="HH266" s="14">
        <v>0</v>
      </c>
      <c r="HI266" s="14">
        <v>0</v>
      </c>
      <c r="HJ266" s="15">
        <f t="shared" si="1397"/>
        <v>0</v>
      </c>
      <c r="HK266" s="16" t="str">
        <f t="shared" si="1398"/>
        <v/>
      </c>
      <c r="HL266" s="14">
        <v>0</v>
      </c>
      <c r="HM266" s="14">
        <v>0</v>
      </c>
      <c r="HN266" s="17" t="str">
        <f t="shared" si="1399"/>
        <v/>
      </c>
    </row>
    <row r="267" spans="1:222" x14ac:dyDescent="0.3">
      <c r="A267" s="6" t="s">
        <v>289</v>
      </c>
      <c r="B267" s="6" t="s">
        <v>294</v>
      </c>
      <c r="C267" s="7" t="s">
        <v>257</v>
      </c>
      <c r="D267" s="7">
        <v>2025</v>
      </c>
      <c r="E267" s="7">
        <v>4</v>
      </c>
      <c r="F267" s="7" t="s">
        <v>258</v>
      </c>
      <c r="G267" s="7" t="s">
        <v>259</v>
      </c>
      <c r="H267" s="8">
        <v>19105</v>
      </c>
      <c r="I267" s="8">
        <v>7880</v>
      </c>
      <c r="J267" s="8">
        <v>612</v>
      </c>
      <c r="K267" s="8">
        <v>29</v>
      </c>
      <c r="L267" s="8">
        <v>9</v>
      </c>
      <c r="M267" s="9">
        <f t="shared" si="1339"/>
        <v>8530</v>
      </c>
      <c r="N267" s="8">
        <v>3630</v>
      </c>
      <c r="O267" s="8">
        <v>0</v>
      </c>
      <c r="P267" s="8">
        <v>1771</v>
      </c>
      <c r="Q267" s="8">
        <v>411</v>
      </c>
      <c r="R267" s="9">
        <f t="shared" si="1340"/>
        <v>5812</v>
      </c>
      <c r="S267" s="9">
        <f t="shared" si="1341"/>
        <v>14342</v>
      </c>
      <c r="T267" s="8">
        <v>4763</v>
      </c>
      <c r="U267" s="10">
        <f t="shared" si="1342"/>
        <v>0.24930646427636743</v>
      </c>
      <c r="V267" s="8">
        <v>10</v>
      </c>
      <c r="W267" s="11">
        <f t="shared" si="1343"/>
        <v>5.2342318764721273E-4</v>
      </c>
      <c r="X267" s="8">
        <v>0</v>
      </c>
      <c r="Y267" s="11">
        <f t="shared" si="1344"/>
        <v>0</v>
      </c>
      <c r="Z267" s="8">
        <v>0</v>
      </c>
      <c r="AA267" s="11">
        <f t="shared" si="1345"/>
        <v>0</v>
      </c>
      <c r="AB267" s="8">
        <v>0</v>
      </c>
      <c r="AC267" s="11">
        <f t="shared" si="1346"/>
        <v>0</v>
      </c>
      <c r="AD267" s="8">
        <v>0</v>
      </c>
      <c r="AE267" s="11">
        <f t="shared" si="1347"/>
        <v>0</v>
      </c>
      <c r="AF267" s="8">
        <v>0</v>
      </c>
      <c r="AG267" s="11">
        <f t="shared" si="1348"/>
        <v>0</v>
      </c>
      <c r="AH267" s="8">
        <v>35252.9</v>
      </c>
      <c r="AI267" s="9">
        <f t="shared" si="1349"/>
        <v>1.8452185291808427</v>
      </c>
      <c r="AJ267" s="8">
        <v>14138</v>
      </c>
      <c r="AK267" s="11">
        <f t="shared" si="1350"/>
        <v>0.74001570269562944</v>
      </c>
      <c r="AL267" s="8">
        <v>1978095.2069999999</v>
      </c>
      <c r="AM267" s="9">
        <f t="shared" si="1351"/>
        <v>103.53808987176131</v>
      </c>
      <c r="AN267" s="8">
        <v>643</v>
      </c>
      <c r="AO267" s="8">
        <v>75</v>
      </c>
      <c r="AP267" s="8">
        <v>205050</v>
      </c>
      <c r="AQ267" s="8">
        <v>0</v>
      </c>
      <c r="AR267" s="8">
        <v>0</v>
      </c>
      <c r="AS267" s="8">
        <v>0</v>
      </c>
      <c r="AT267" s="8">
        <v>0</v>
      </c>
      <c r="AU267" s="9">
        <f t="shared" si="1352"/>
        <v>2218398.1069999998</v>
      </c>
      <c r="AV267" s="9">
        <f t="shared" si="1353"/>
        <v>116.11610086364826</v>
      </c>
      <c r="AW267" s="9">
        <f t="shared" si="1354"/>
        <v>154.67843445823453</v>
      </c>
      <c r="AX267" s="8">
        <v>7</v>
      </c>
      <c r="AY267" s="9">
        <f t="shared" si="1355"/>
        <v>4.3967547762365875</v>
      </c>
      <c r="AZ267" s="8">
        <v>9</v>
      </c>
      <c r="BA267" s="8">
        <v>11</v>
      </c>
      <c r="BB267" s="8">
        <v>4</v>
      </c>
      <c r="BC267" s="8">
        <v>0</v>
      </c>
      <c r="BD267" s="8">
        <v>0</v>
      </c>
      <c r="BE267" s="9">
        <f t="shared" si="1356"/>
        <v>0</v>
      </c>
      <c r="BF267" s="9">
        <f t="shared" si="1357"/>
        <v>15</v>
      </c>
      <c r="BG267" s="8">
        <v>0</v>
      </c>
      <c r="BH267" s="8">
        <v>0</v>
      </c>
      <c r="BI267" s="8">
        <v>0</v>
      </c>
      <c r="BJ267" s="8">
        <v>0</v>
      </c>
      <c r="BK267" s="9">
        <f t="shared" si="1358"/>
        <v>0</v>
      </c>
      <c r="BL267" s="9">
        <f t="shared" si="1359"/>
        <v>0</v>
      </c>
      <c r="BM267" s="8">
        <v>0</v>
      </c>
      <c r="BN267" s="8">
        <v>0</v>
      </c>
      <c r="BO267" s="8">
        <v>0</v>
      </c>
      <c r="BP267" s="8">
        <v>0</v>
      </c>
      <c r="BQ267" s="9">
        <f t="shared" si="1360"/>
        <v>0</v>
      </c>
      <c r="BR267" s="9">
        <f t="shared" si="1361"/>
        <v>0</v>
      </c>
      <c r="BS267" s="8">
        <v>0</v>
      </c>
      <c r="BT267" s="8">
        <v>0</v>
      </c>
      <c r="BU267" s="8">
        <v>0</v>
      </c>
      <c r="BV267" s="8">
        <v>0</v>
      </c>
      <c r="BW267" s="9">
        <f t="shared" si="1362"/>
        <v>0</v>
      </c>
      <c r="BX267" s="9">
        <f t="shared" si="1363"/>
        <v>0</v>
      </c>
      <c r="BY267" s="9">
        <f t="shared" si="1364"/>
        <v>11</v>
      </c>
      <c r="BZ267" s="9">
        <f t="shared" si="1365"/>
        <v>4</v>
      </c>
      <c r="CA267" s="9">
        <f t="shared" si="1366"/>
        <v>0</v>
      </c>
      <c r="CB267" s="9">
        <f t="shared" si="1367"/>
        <v>15</v>
      </c>
      <c r="CC267" s="8">
        <v>0</v>
      </c>
      <c r="CD267" s="8">
        <v>526</v>
      </c>
      <c r="CE267" s="8">
        <v>20</v>
      </c>
      <c r="CF267" s="8">
        <v>3</v>
      </c>
      <c r="CG267" s="8">
        <v>25</v>
      </c>
      <c r="CH267" s="9">
        <f t="shared" si="1368"/>
        <v>574</v>
      </c>
      <c r="CI267" s="8">
        <v>1275</v>
      </c>
      <c r="CJ267" s="8">
        <v>10</v>
      </c>
      <c r="CK267" s="8">
        <v>3</v>
      </c>
      <c r="CL267" s="8">
        <v>8</v>
      </c>
      <c r="CM267" s="9">
        <f t="shared" si="1369"/>
        <v>1296</v>
      </c>
      <c r="CN267" s="8">
        <v>506</v>
      </c>
      <c r="CO267" s="8">
        <v>52</v>
      </c>
      <c r="CP267" s="8">
        <v>49</v>
      </c>
      <c r="CQ267" s="8">
        <v>1</v>
      </c>
      <c r="CR267" s="9">
        <f t="shared" si="1370"/>
        <v>608</v>
      </c>
      <c r="CS267" s="9">
        <f t="shared" si="1371"/>
        <v>1904</v>
      </c>
      <c r="CT267" s="8">
        <v>2478</v>
      </c>
      <c r="CU267" s="8">
        <v>25745</v>
      </c>
      <c r="CV267" s="8">
        <v>17998</v>
      </c>
      <c r="CW267" s="10">
        <f t="shared" si="1372"/>
        <v>0.69908720139832981</v>
      </c>
      <c r="CX267" s="8">
        <v>0</v>
      </c>
      <c r="CY267" s="8">
        <v>0</v>
      </c>
      <c r="CZ267" s="8">
        <v>0</v>
      </c>
      <c r="DA267" s="8">
        <v>0</v>
      </c>
      <c r="DB267" s="9">
        <f t="shared" si="1373"/>
        <v>0</v>
      </c>
      <c r="DC267" s="8">
        <v>0</v>
      </c>
      <c r="DD267" s="8">
        <v>0</v>
      </c>
      <c r="DE267" s="8">
        <v>0</v>
      </c>
      <c r="DF267" s="8">
        <v>0</v>
      </c>
      <c r="DG267" s="9">
        <f t="shared" si="1374"/>
        <v>0</v>
      </c>
      <c r="DH267" s="8">
        <v>1</v>
      </c>
      <c r="DI267" s="8">
        <v>0</v>
      </c>
      <c r="DJ267" s="8">
        <v>0</v>
      </c>
      <c r="DK267" s="8">
        <v>0</v>
      </c>
      <c r="DL267" s="9">
        <f t="shared" si="1375"/>
        <v>1</v>
      </c>
      <c r="DM267" s="8">
        <v>121</v>
      </c>
      <c r="DN267" s="8">
        <v>3</v>
      </c>
      <c r="DO267" s="8">
        <v>0</v>
      </c>
      <c r="DP267" s="8">
        <v>0</v>
      </c>
      <c r="DQ267" s="9">
        <f t="shared" si="1376"/>
        <v>124</v>
      </c>
      <c r="DR267" s="9">
        <f t="shared" si="1377"/>
        <v>122</v>
      </c>
      <c r="DS267" s="9">
        <f t="shared" si="1378"/>
        <v>3</v>
      </c>
      <c r="DT267" s="9">
        <f t="shared" si="1379"/>
        <v>0</v>
      </c>
      <c r="DU267" s="9">
        <f t="shared" si="1380"/>
        <v>0</v>
      </c>
      <c r="DV267" s="9">
        <f t="shared" si="1381"/>
        <v>125</v>
      </c>
      <c r="DW267" s="8">
        <v>119</v>
      </c>
      <c r="DX267" s="8">
        <v>70</v>
      </c>
      <c r="DY267" s="8">
        <v>30</v>
      </c>
      <c r="DZ267" s="8">
        <v>18</v>
      </c>
      <c r="EA267" s="8">
        <v>6</v>
      </c>
      <c r="EB267" s="8">
        <v>2</v>
      </c>
      <c r="EC267" s="8">
        <v>2</v>
      </c>
      <c r="ED267" s="8">
        <v>0</v>
      </c>
      <c r="EE267" s="8">
        <v>1</v>
      </c>
      <c r="EF267" s="8">
        <v>1</v>
      </c>
      <c r="EG267" s="8">
        <v>0</v>
      </c>
      <c r="EH267" s="8">
        <v>0</v>
      </c>
      <c r="EI267" s="8">
        <v>0</v>
      </c>
      <c r="EJ267" s="8">
        <v>12</v>
      </c>
      <c r="EK267" s="8">
        <v>5</v>
      </c>
      <c r="EL267" s="8">
        <v>0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8">
        <v>0</v>
      </c>
      <c r="ES267" s="8">
        <v>0</v>
      </c>
      <c r="ET267" s="8">
        <v>0</v>
      </c>
      <c r="EU267" s="8">
        <v>0</v>
      </c>
      <c r="EV267" s="8">
        <v>0</v>
      </c>
      <c r="EW267" s="8">
        <v>0</v>
      </c>
      <c r="EX267" s="8">
        <v>0</v>
      </c>
      <c r="EY267" s="8">
        <v>0</v>
      </c>
      <c r="EZ267" s="8">
        <v>0</v>
      </c>
      <c r="FA267" s="8">
        <v>0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9">
        <f t="shared" si="1382"/>
        <v>266</v>
      </c>
      <c r="FH267" s="8">
        <v>0</v>
      </c>
      <c r="FI267" s="8">
        <v>0</v>
      </c>
      <c r="FJ267" s="8">
        <v>30</v>
      </c>
      <c r="FK267" s="8">
        <v>185</v>
      </c>
      <c r="FL267" s="8">
        <v>0</v>
      </c>
      <c r="FM267" s="8">
        <v>0</v>
      </c>
      <c r="FN267" s="8">
        <v>0</v>
      </c>
      <c r="FO267" s="8">
        <v>0</v>
      </c>
      <c r="FP267" s="8">
        <v>0</v>
      </c>
      <c r="FQ267" s="9">
        <f t="shared" si="1383"/>
        <v>0</v>
      </c>
      <c r="FR267" s="8">
        <v>3303573</v>
      </c>
      <c r="FS267" s="8">
        <v>0</v>
      </c>
      <c r="FT267" s="8">
        <v>0</v>
      </c>
      <c r="FU267" s="8">
        <v>0</v>
      </c>
      <c r="FV267" s="9">
        <f t="shared" si="1384"/>
        <v>3303573</v>
      </c>
      <c r="FW267" s="8">
        <v>4709138</v>
      </c>
      <c r="FX267" s="8">
        <v>0</v>
      </c>
      <c r="FY267" s="8">
        <v>1929571</v>
      </c>
      <c r="FZ267" s="8">
        <v>9702812</v>
      </c>
      <c r="GA267" s="9">
        <f t="shared" si="1385"/>
        <v>16341521</v>
      </c>
      <c r="GB267" s="9">
        <f t="shared" si="1386"/>
        <v>19645094</v>
      </c>
      <c r="GC267" s="8">
        <v>7466802.4299999997</v>
      </c>
      <c r="GD267" s="8">
        <v>117063.36</v>
      </c>
      <c r="GE267" s="8">
        <v>92809.3</v>
      </c>
      <c r="GF267" s="8">
        <v>25339.19</v>
      </c>
      <c r="GG267" s="9">
        <f t="shared" si="1387"/>
        <v>7702014.2800000003</v>
      </c>
      <c r="GH267" s="8">
        <v>4570903.0999999996</v>
      </c>
      <c r="GI267" s="8">
        <v>0</v>
      </c>
      <c r="GJ267" s="8">
        <v>5382811.5</v>
      </c>
      <c r="GK267" s="8">
        <v>1929571.27</v>
      </c>
      <c r="GL267" s="9">
        <f t="shared" si="1388"/>
        <v>11883285.869999999</v>
      </c>
      <c r="GM267" s="9">
        <f t="shared" si="1389"/>
        <v>19585300.149999999</v>
      </c>
      <c r="GN267" s="8">
        <v>633729.63</v>
      </c>
      <c r="GO267" s="8">
        <v>1530.24</v>
      </c>
      <c r="GP267" s="8">
        <v>6787.28</v>
      </c>
      <c r="GQ267" s="8">
        <v>4637.34</v>
      </c>
      <c r="GR267" s="9">
        <f t="shared" si="1390"/>
        <v>646684.49</v>
      </c>
      <c r="GS267" s="8">
        <v>1014448</v>
      </c>
      <c r="GT267" s="8">
        <v>7144</v>
      </c>
      <c r="GU267" s="8">
        <v>1786</v>
      </c>
      <c r="GV267" s="8">
        <v>893</v>
      </c>
      <c r="GW267" s="9">
        <f t="shared" si="1391"/>
        <v>1024271</v>
      </c>
      <c r="GX267" s="9">
        <f t="shared" si="1392"/>
        <v>21256255.639999997</v>
      </c>
      <c r="GY267" s="8">
        <v>0</v>
      </c>
      <c r="GZ267" s="8">
        <v>0</v>
      </c>
      <c r="HA267" s="9">
        <f t="shared" si="1393"/>
        <v>0</v>
      </c>
      <c r="HB267" s="9">
        <f t="shared" si="1394"/>
        <v>0.1043644818998799</v>
      </c>
      <c r="HC267" s="10">
        <f t="shared" si="1395"/>
        <v>0.92420294207564413</v>
      </c>
      <c r="HD267" s="9">
        <f t="shared" si="1396"/>
        <v>0.92420294207564413</v>
      </c>
      <c r="HE267" s="8">
        <v>4</v>
      </c>
      <c r="HF267" s="8">
        <v>10</v>
      </c>
      <c r="HG267" s="8">
        <v>15</v>
      </c>
      <c r="HH267" s="8">
        <v>4</v>
      </c>
      <c r="HI267" s="8">
        <v>0</v>
      </c>
      <c r="HJ267" s="9">
        <f t="shared" si="1397"/>
        <v>10</v>
      </c>
      <c r="HK267" s="10">
        <f t="shared" si="1398"/>
        <v>1</v>
      </c>
      <c r="HL267" s="8">
        <v>9</v>
      </c>
      <c r="HM267" s="8">
        <v>18</v>
      </c>
      <c r="HN267" s="11">
        <f t="shared" si="1399"/>
        <v>2</v>
      </c>
    </row>
    <row r="268" spans="1:222" x14ac:dyDescent="0.3">
      <c r="A268" s="12" t="s">
        <v>289</v>
      </c>
      <c r="B268" s="12" t="s">
        <v>294</v>
      </c>
      <c r="C268" s="13" t="s">
        <v>257</v>
      </c>
      <c r="D268" s="13">
        <v>2025</v>
      </c>
      <c r="E268" s="13">
        <v>5</v>
      </c>
      <c r="F268" s="13" t="s">
        <v>260</v>
      </c>
      <c r="G268" s="13" t="s">
        <v>259</v>
      </c>
      <c r="H268" s="14">
        <v>20921</v>
      </c>
      <c r="I268" s="14">
        <v>8073</v>
      </c>
      <c r="J268" s="14">
        <v>582</v>
      </c>
      <c r="K268" s="14">
        <v>22</v>
      </c>
      <c r="L268" s="14">
        <v>28</v>
      </c>
      <c r="M268" s="15">
        <f t="shared" si="1339"/>
        <v>8705</v>
      </c>
      <c r="N268" s="14">
        <v>4464</v>
      </c>
      <c r="O268" s="14">
        <v>0</v>
      </c>
      <c r="P268" s="14">
        <v>1552</v>
      </c>
      <c r="Q268" s="14">
        <v>548</v>
      </c>
      <c r="R268" s="15">
        <f t="shared" si="1340"/>
        <v>6564</v>
      </c>
      <c r="S268" s="15">
        <f t="shared" si="1341"/>
        <v>15269</v>
      </c>
      <c r="T268" s="14">
        <v>5652</v>
      </c>
      <c r="U268" s="16">
        <f t="shared" si="1342"/>
        <v>0.27015917021174896</v>
      </c>
      <c r="V268" s="14">
        <v>13</v>
      </c>
      <c r="W268" s="17">
        <f t="shared" si="1343"/>
        <v>6.2138521103197739E-4</v>
      </c>
      <c r="X268" s="14">
        <v>0</v>
      </c>
      <c r="Y268" s="17">
        <f t="shared" si="1344"/>
        <v>0</v>
      </c>
      <c r="Z268" s="14">
        <v>0</v>
      </c>
      <c r="AA268" s="17">
        <f t="shared" si="1345"/>
        <v>0</v>
      </c>
      <c r="AB268" s="14">
        <v>0</v>
      </c>
      <c r="AC268" s="17">
        <f t="shared" si="1346"/>
        <v>0</v>
      </c>
      <c r="AD268" s="14">
        <v>0</v>
      </c>
      <c r="AE268" s="17">
        <f t="shared" si="1347"/>
        <v>0</v>
      </c>
      <c r="AF268" s="14">
        <v>0</v>
      </c>
      <c r="AG268" s="17">
        <f t="shared" si="1348"/>
        <v>0</v>
      </c>
      <c r="AH268" s="14">
        <v>45828.77</v>
      </c>
      <c r="AI268" s="15">
        <f t="shared" si="1349"/>
        <v>2.1905630705989196</v>
      </c>
      <c r="AJ268" s="14">
        <v>12624</v>
      </c>
      <c r="AK268" s="17">
        <f t="shared" si="1350"/>
        <v>0.60341283877443719</v>
      </c>
      <c r="AL268" s="14">
        <v>1768025.436</v>
      </c>
      <c r="AM268" s="15">
        <f t="shared" si="1351"/>
        <v>84.509604512212604</v>
      </c>
      <c r="AN268" s="14">
        <v>1416</v>
      </c>
      <c r="AO268" s="14">
        <v>129</v>
      </c>
      <c r="AP268" s="14">
        <v>352686</v>
      </c>
      <c r="AQ268" s="14">
        <v>0</v>
      </c>
      <c r="AR268" s="14">
        <v>0</v>
      </c>
      <c r="AS268" s="14">
        <v>0</v>
      </c>
      <c r="AT268" s="14">
        <v>0</v>
      </c>
      <c r="AU268" s="15">
        <f t="shared" si="1352"/>
        <v>2166540.2060000002</v>
      </c>
      <c r="AV268" s="15">
        <f t="shared" si="1353"/>
        <v>103.55815716265954</v>
      </c>
      <c r="AW268" s="15">
        <f t="shared" si="1354"/>
        <v>141.89142746741766</v>
      </c>
      <c r="AX268" s="14">
        <v>7</v>
      </c>
      <c r="AY268" s="15">
        <f t="shared" si="1355"/>
        <v>4.0151044405143157</v>
      </c>
      <c r="AZ268" s="14">
        <v>9</v>
      </c>
      <c r="BA268" s="14">
        <v>15</v>
      </c>
      <c r="BB268" s="14">
        <v>6</v>
      </c>
      <c r="BC268" s="14">
        <v>2</v>
      </c>
      <c r="BD268" s="14">
        <v>0</v>
      </c>
      <c r="BE268" s="15">
        <f t="shared" si="1356"/>
        <v>2</v>
      </c>
      <c r="BF268" s="15">
        <f t="shared" si="1357"/>
        <v>19</v>
      </c>
      <c r="BG268" s="14">
        <v>0</v>
      </c>
      <c r="BH268" s="14">
        <v>0</v>
      </c>
      <c r="BI268" s="14">
        <v>0</v>
      </c>
      <c r="BJ268" s="14">
        <v>0</v>
      </c>
      <c r="BK268" s="15">
        <f t="shared" si="1358"/>
        <v>0</v>
      </c>
      <c r="BL268" s="15">
        <f t="shared" si="1359"/>
        <v>0</v>
      </c>
      <c r="BM268" s="14">
        <v>0</v>
      </c>
      <c r="BN268" s="14">
        <v>0</v>
      </c>
      <c r="BO268" s="14">
        <v>0</v>
      </c>
      <c r="BP268" s="14">
        <v>0</v>
      </c>
      <c r="BQ268" s="15">
        <f t="shared" si="1360"/>
        <v>0</v>
      </c>
      <c r="BR268" s="15">
        <f t="shared" si="1361"/>
        <v>0</v>
      </c>
      <c r="BS268" s="14">
        <v>0</v>
      </c>
      <c r="BT268" s="14">
        <v>0</v>
      </c>
      <c r="BU268" s="14">
        <v>0</v>
      </c>
      <c r="BV268" s="14">
        <v>0</v>
      </c>
      <c r="BW268" s="15">
        <f t="shared" si="1362"/>
        <v>0</v>
      </c>
      <c r="BX268" s="15">
        <f t="shared" si="1363"/>
        <v>0</v>
      </c>
      <c r="BY268" s="15">
        <f t="shared" si="1364"/>
        <v>15</v>
      </c>
      <c r="BZ268" s="15">
        <f t="shared" si="1365"/>
        <v>6</v>
      </c>
      <c r="CA268" s="15">
        <f t="shared" si="1366"/>
        <v>2</v>
      </c>
      <c r="CB268" s="15">
        <f t="shared" si="1367"/>
        <v>19</v>
      </c>
      <c r="CC268" s="14">
        <v>0</v>
      </c>
      <c r="CD268" s="14">
        <v>520</v>
      </c>
      <c r="CE268" s="14">
        <v>20</v>
      </c>
      <c r="CF268" s="14">
        <v>3</v>
      </c>
      <c r="CG268" s="14">
        <v>25</v>
      </c>
      <c r="CH268" s="15">
        <f t="shared" si="1368"/>
        <v>568</v>
      </c>
      <c r="CI268" s="14">
        <v>1283</v>
      </c>
      <c r="CJ268" s="14">
        <v>10</v>
      </c>
      <c r="CK268" s="14">
        <v>3</v>
      </c>
      <c r="CL268" s="14">
        <v>8</v>
      </c>
      <c r="CM268" s="15">
        <f t="shared" si="1369"/>
        <v>1304</v>
      </c>
      <c r="CN268" s="14">
        <v>506</v>
      </c>
      <c r="CO268" s="14">
        <v>52</v>
      </c>
      <c r="CP268" s="14">
        <v>49</v>
      </c>
      <c r="CQ268" s="14">
        <v>1</v>
      </c>
      <c r="CR268" s="15">
        <f t="shared" si="1370"/>
        <v>608</v>
      </c>
      <c r="CS268" s="15">
        <f t="shared" si="1371"/>
        <v>1912</v>
      </c>
      <c r="CT268" s="14">
        <v>2480</v>
      </c>
      <c r="CU268" s="14">
        <v>25788.766500000002</v>
      </c>
      <c r="CV268" s="14">
        <v>17998</v>
      </c>
      <c r="CW268" s="16">
        <f t="shared" si="1372"/>
        <v>0.69790077008917817</v>
      </c>
      <c r="CX268" s="14">
        <v>0</v>
      </c>
      <c r="CY268" s="14"/>
      <c r="CZ268" s="14"/>
      <c r="DA268" s="14"/>
      <c r="DB268" s="15">
        <f t="shared" si="1373"/>
        <v>0</v>
      </c>
      <c r="DC268" s="14">
        <v>0</v>
      </c>
      <c r="DD268" s="14">
        <v>0</v>
      </c>
      <c r="DE268" s="14">
        <v>0</v>
      </c>
      <c r="DF268" s="14">
        <v>0</v>
      </c>
      <c r="DG268" s="15">
        <f t="shared" si="1374"/>
        <v>0</v>
      </c>
      <c r="DH268" s="14">
        <v>1</v>
      </c>
      <c r="DI268" s="14">
        <v>0</v>
      </c>
      <c r="DJ268" s="14">
        <v>0</v>
      </c>
      <c r="DK268" s="14">
        <v>0</v>
      </c>
      <c r="DL268" s="15">
        <f t="shared" si="1375"/>
        <v>1</v>
      </c>
      <c r="DM268" s="14">
        <v>124</v>
      </c>
      <c r="DN268" s="14">
        <v>13</v>
      </c>
      <c r="DO268" s="14">
        <v>0</v>
      </c>
      <c r="DP268" s="14">
        <v>0</v>
      </c>
      <c r="DQ268" s="15">
        <f t="shared" si="1376"/>
        <v>137</v>
      </c>
      <c r="DR268" s="15">
        <f t="shared" si="1377"/>
        <v>125</v>
      </c>
      <c r="DS268" s="15">
        <f t="shared" si="1378"/>
        <v>13</v>
      </c>
      <c r="DT268" s="15">
        <f t="shared" si="1379"/>
        <v>0</v>
      </c>
      <c r="DU268" s="15">
        <f t="shared" si="1380"/>
        <v>0</v>
      </c>
      <c r="DV268" s="15">
        <f t="shared" si="1381"/>
        <v>138</v>
      </c>
      <c r="DW268" s="14">
        <v>137</v>
      </c>
      <c r="DX268" s="14">
        <v>77</v>
      </c>
      <c r="DY268" s="14">
        <v>33</v>
      </c>
      <c r="DZ268" s="14">
        <v>15</v>
      </c>
      <c r="EA268" s="14">
        <v>6</v>
      </c>
      <c r="EB268" s="14">
        <v>1</v>
      </c>
      <c r="EC268" s="14">
        <v>2</v>
      </c>
      <c r="ED268" s="14">
        <v>0</v>
      </c>
      <c r="EE268" s="14">
        <v>2</v>
      </c>
      <c r="EF268" s="14">
        <v>1</v>
      </c>
      <c r="EG268" s="14">
        <v>0</v>
      </c>
      <c r="EH268" s="14">
        <v>0</v>
      </c>
      <c r="EI268" s="14">
        <v>0</v>
      </c>
      <c r="EJ268" s="14">
        <v>13</v>
      </c>
      <c r="EK268" s="14">
        <v>7</v>
      </c>
      <c r="EL268" s="14">
        <v>0</v>
      </c>
      <c r="EM268" s="14">
        <v>0</v>
      </c>
      <c r="EN268" s="14">
        <v>0</v>
      </c>
      <c r="EO268" s="14">
        <v>0</v>
      </c>
      <c r="EP268" s="14">
        <v>0</v>
      </c>
      <c r="EQ268" s="14">
        <v>0</v>
      </c>
      <c r="ER268" s="14">
        <v>0</v>
      </c>
      <c r="ES268" s="14">
        <v>0</v>
      </c>
      <c r="ET268" s="14">
        <v>0</v>
      </c>
      <c r="EU268" s="14">
        <v>0</v>
      </c>
      <c r="EV268" s="14">
        <v>0</v>
      </c>
      <c r="EW268" s="14">
        <v>0</v>
      </c>
      <c r="EX268" s="14">
        <v>0</v>
      </c>
      <c r="EY268" s="14">
        <v>0</v>
      </c>
      <c r="EZ268" s="14">
        <v>0</v>
      </c>
      <c r="FA268" s="14">
        <v>0</v>
      </c>
      <c r="FB268" s="14">
        <v>0</v>
      </c>
      <c r="FC268" s="14">
        <v>0</v>
      </c>
      <c r="FD268" s="14">
        <v>0</v>
      </c>
      <c r="FE268" s="14">
        <v>0</v>
      </c>
      <c r="FF268" s="14">
        <v>0</v>
      </c>
      <c r="FG268" s="15">
        <f t="shared" si="1382"/>
        <v>294</v>
      </c>
      <c r="FH268" s="14">
        <v>0</v>
      </c>
      <c r="FI268" s="14">
        <v>0</v>
      </c>
      <c r="FJ268" s="14">
        <v>0</v>
      </c>
      <c r="FK268" s="14">
        <v>0</v>
      </c>
      <c r="FL268" s="14">
        <v>0</v>
      </c>
      <c r="FM268" s="14">
        <v>0</v>
      </c>
      <c r="FN268" s="14">
        <v>0</v>
      </c>
      <c r="FO268" s="14">
        <v>0</v>
      </c>
      <c r="FP268" s="14">
        <v>0</v>
      </c>
      <c r="FQ268" s="15">
        <f t="shared" si="1383"/>
        <v>0</v>
      </c>
      <c r="FR268" s="14">
        <v>7505974</v>
      </c>
      <c r="FS268" s="14">
        <v>95900</v>
      </c>
      <c r="FT268" s="14">
        <v>3000</v>
      </c>
      <c r="FU268" s="14">
        <v>0</v>
      </c>
      <c r="FV268" s="15">
        <f t="shared" si="1384"/>
        <v>7604874</v>
      </c>
      <c r="FW268" s="14">
        <v>4678713</v>
      </c>
      <c r="FX268" s="14">
        <v>0</v>
      </c>
      <c r="FY268" s="14">
        <v>1938225</v>
      </c>
      <c r="FZ268" s="14">
        <v>4934330</v>
      </c>
      <c r="GA268" s="15">
        <f t="shared" si="1385"/>
        <v>11551268</v>
      </c>
      <c r="GB268" s="15">
        <f t="shared" si="1386"/>
        <v>19156142</v>
      </c>
      <c r="GC268" s="14">
        <v>7644036.0300000003</v>
      </c>
      <c r="GD268" s="14">
        <v>111324.96</v>
      </c>
      <c r="GE268" s="14">
        <v>58214.6</v>
      </c>
      <c r="GF268" s="14">
        <v>114180.37</v>
      </c>
      <c r="GG268" s="15">
        <f t="shared" si="1387"/>
        <v>7927755.96</v>
      </c>
      <c r="GH268" s="14">
        <v>4562251.6100000003</v>
      </c>
      <c r="GI268" s="14">
        <v>0</v>
      </c>
      <c r="GJ268" s="14">
        <v>4934330</v>
      </c>
      <c r="GK268" s="14">
        <v>1938225</v>
      </c>
      <c r="GL268" s="15">
        <f t="shared" si="1388"/>
        <v>11434806.609999999</v>
      </c>
      <c r="GM268" s="15">
        <f t="shared" si="1389"/>
        <v>19362562.57</v>
      </c>
      <c r="GN268" s="14">
        <v>648217.88</v>
      </c>
      <c r="GO268" s="14">
        <v>1530.24</v>
      </c>
      <c r="GP268" s="14">
        <v>6787.28</v>
      </c>
      <c r="GQ268" s="14">
        <v>4637.34</v>
      </c>
      <c r="GR268" s="15">
        <f t="shared" si="1390"/>
        <v>661172.74</v>
      </c>
      <c r="GS268" s="14">
        <v>1038559</v>
      </c>
      <c r="GT268" s="14">
        <v>7144</v>
      </c>
      <c r="GU268" s="14">
        <v>1786</v>
      </c>
      <c r="GV268" s="14">
        <v>893</v>
      </c>
      <c r="GW268" s="15">
        <f t="shared" si="1391"/>
        <v>1048382</v>
      </c>
      <c r="GX268" s="15">
        <f t="shared" si="1392"/>
        <v>21072117.309999999</v>
      </c>
      <c r="GY268" s="14">
        <v>29557096.93</v>
      </c>
      <c r="GZ268" s="14">
        <v>361424.94</v>
      </c>
      <c r="HA268" s="15">
        <f t="shared" si="1393"/>
        <v>29918521.870000001</v>
      </c>
      <c r="HB268" s="15">
        <f t="shared" si="1394"/>
        <v>0.10281549661703171</v>
      </c>
      <c r="HC268" s="16">
        <f t="shared" si="1395"/>
        <v>0.37836143198259525</v>
      </c>
      <c r="HD268" s="15">
        <f t="shared" si="1396"/>
        <v>0.90907533012400454</v>
      </c>
      <c r="HE268" s="14">
        <v>6</v>
      </c>
      <c r="HF268" s="14">
        <v>10</v>
      </c>
      <c r="HG268" s="14">
        <v>19</v>
      </c>
      <c r="HH268" s="14">
        <v>6</v>
      </c>
      <c r="HI268" s="14">
        <v>0</v>
      </c>
      <c r="HJ268" s="15">
        <f t="shared" si="1397"/>
        <v>10</v>
      </c>
      <c r="HK268" s="16">
        <f t="shared" si="1398"/>
        <v>1</v>
      </c>
      <c r="HL268" s="14">
        <v>6</v>
      </c>
      <c r="HM268" s="14">
        <v>12</v>
      </c>
      <c r="HN268" s="17">
        <f t="shared" si="1399"/>
        <v>2</v>
      </c>
    </row>
    <row r="269" spans="1:222" x14ac:dyDescent="0.3">
      <c r="A269" s="6" t="s">
        <v>289</v>
      </c>
      <c r="B269" s="6" t="s">
        <v>294</v>
      </c>
      <c r="C269" s="7" t="s">
        <v>257</v>
      </c>
      <c r="D269" s="7">
        <v>2025</v>
      </c>
      <c r="E269" s="7">
        <v>6</v>
      </c>
      <c r="F269" s="7" t="s">
        <v>261</v>
      </c>
      <c r="G269" s="7" t="s">
        <v>259</v>
      </c>
      <c r="H269" s="8">
        <v>20001</v>
      </c>
      <c r="I269" s="8">
        <v>7298</v>
      </c>
      <c r="J269" s="8">
        <v>579</v>
      </c>
      <c r="K269" s="8">
        <v>145</v>
      </c>
      <c r="L269" s="8">
        <v>26</v>
      </c>
      <c r="M269" s="9">
        <f t="shared" si="1339"/>
        <v>8048</v>
      </c>
      <c r="N269" s="8">
        <v>4296</v>
      </c>
      <c r="O269" s="8">
        <v>0</v>
      </c>
      <c r="P269" s="8">
        <v>1488</v>
      </c>
      <c r="Q269" s="8">
        <v>611</v>
      </c>
      <c r="R269" s="9">
        <f t="shared" si="1340"/>
        <v>6395</v>
      </c>
      <c r="S269" s="9">
        <f t="shared" si="1341"/>
        <v>14443</v>
      </c>
      <c r="T269" s="8">
        <v>5558</v>
      </c>
      <c r="U269" s="10">
        <f t="shared" si="1342"/>
        <v>0.27788610569471528</v>
      </c>
      <c r="V269" s="8">
        <v>12</v>
      </c>
      <c r="W269" s="11">
        <f t="shared" si="1343"/>
        <v>5.9997000149992498E-4</v>
      </c>
      <c r="X269" s="8">
        <v>0</v>
      </c>
      <c r="Y269" s="11">
        <f t="shared" si="1344"/>
        <v>0</v>
      </c>
      <c r="Z269" s="8">
        <v>0</v>
      </c>
      <c r="AA269" s="11">
        <f t="shared" si="1345"/>
        <v>0</v>
      </c>
      <c r="AB269" s="8">
        <v>0</v>
      </c>
      <c r="AC269" s="11">
        <f t="shared" si="1346"/>
        <v>0</v>
      </c>
      <c r="AD269" s="8">
        <v>0</v>
      </c>
      <c r="AE269" s="11">
        <f t="shared" si="1347"/>
        <v>0</v>
      </c>
      <c r="AF269" s="8">
        <v>0</v>
      </c>
      <c r="AG269" s="11">
        <f t="shared" si="1348"/>
        <v>0</v>
      </c>
      <c r="AH269" s="8">
        <v>42303.48</v>
      </c>
      <c r="AI269" s="9">
        <f t="shared" si="1349"/>
        <v>2.1150682465876707</v>
      </c>
      <c r="AJ269" s="8">
        <v>18411</v>
      </c>
      <c r="AK269" s="11">
        <f t="shared" si="1350"/>
        <v>0.92050397480125989</v>
      </c>
      <c r="AL269" s="8">
        <v>2570980.3665</v>
      </c>
      <c r="AM269" s="9">
        <f t="shared" si="1351"/>
        <v>128.54259119544022</v>
      </c>
      <c r="AN269" s="8">
        <v>1574</v>
      </c>
      <c r="AO269" s="8">
        <v>199.8</v>
      </c>
      <c r="AP269" s="8">
        <v>546253.19999999995</v>
      </c>
      <c r="AQ269" s="8">
        <v>0</v>
      </c>
      <c r="AR269" s="8">
        <v>0</v>
      </c>
      <c r="AS269" s="8">
        <v>0</v>
      </c>
      <c r="AT269" s="8">
        <v>0</v>
      </c>
      <c r="AU269" s="9">
        <f t="shared" si="1352"/>
        <v>3159537.0465000002</v>
      </c>
      <c r="AV269" s="9">
        <f t="shared" si="1353"/>
        <v>157.96895387730615</v>
      </c>
      <c r="AW269" s="9">
        <f t="shared" si="1354"/>
        <v>218.75905604791251</v>
      </c>
      <c r="AX269" s="8">
        <v>7</v>
      </c>
      <c r="AY269" s="9">
        <f t="shared" si="1355"/>
        <v>4.1997900104994743</v>
      </c>
      <c r="AZ269" s="8">
        <v>8</v>
      </c>
      <c r="BA269" s="8">
        <v>19</v>
      </c>
      <c r="BB269" s="8">
        <v>2</v>
      </c>
      <c r="BC269" s="8">
        <v>4</v>
      </c>
      <c r="BD269" s="8">
        <v>0</v>
      </c>
      <c r="BE269" s="9">
        <f t="shared" si="1356"/>
        <v>4</v>
      </c>
      <c r="BF269" s="9">
        <f t="shared" si="1357"/>
        <v>17</v>
      </c>
      <c r="BG269" s="8">
        <v>0</v>
      </c>
      <c r="BH269" s="8">
        <v>0</v>
      </c>
      <c r="BI269" s="8">
        <v>0</v>
      </c>
      <c r="BJ269" s="8">
        <v>0</v>
      </c>
      <c r="BK269" s="9">
        <f t="shared" si="1358"/>
        <v>0</v>
      </c>
      <c r="BL269" s="9">
        <f t="shared" si="1359"/>
        <v>0</v>
      </c>
      <c r="BM269" s="8">
        <v>0</v>
      </c>
      <c r="BN269" s="8">
        <v>0</v>
      </c>
      <c r="BO269" s="8">
        <v>0</v>
      </c>
      <c r="BP269" s="8">
        <v>0</v>
      </c>
      <c r="BQ269" s="9">
        <f t="shared" si="1360"/>
        <v>0</v>
      </c>
      <c r="BR269" s="9">
        <f t="shared" si="1361"/>
        <v>0</v>
      </c>
      <c r="BS269" s="8">
        <v>0</v>
      </c>
      <c r="BT269" s="8">
        <v>0</v>
      </c>
      <c r="BU269" s="8">
        <v>0</v>
      </c>
      <c r="BV269" s="8">
        <v>0</v>
      </c>
      <c r="BW269" s="9">
        <f t="shared" si="1362"/>
        <v>0</v>
      </c>
      <c r="BX269" s="9">
        <f t="shared" si="1363"/>
        <v>0</v>
      </c>
      <c r="BY269" s="9">
        <f t="shared" si="1364"/>
        <v>19</v>
      </c>
      <c r="BZ269" s="9">
        <f t="shared" si="1365"/>
        <v>2</v>
      </c>
      <c r="CA269" s="9">
        <f t="shared" si="1366"/>
        <v>4</v>
      </c>
      <c r="CB269" s="9">
        <f t="shared" si="1367"/>
        <v>17</v>
      </c>
      <c r="CC269" s="8">
        <v>0</v>
      </c>
      <c r="CD269" s="8">
        <v>515</v>
      </c>
      <c r="CE269" s="8">
        <v>20</v>
      </c>
      <c r="CF269" s="8">
        <v>3</v>
      </c>
      <c r="CG269" s="8">
        <v>25</v>
      </c>
      <c r="CH269" s="9">
        <f t="shared" si="1368"/>
        <v>563</v>
      </c>
      <c r="CI269" s="8">
        <v>1292</v>
      </c>
      <c r="CJ269" s="8">
        <v>10</v>
      </c>
      <c r="CK269" s="8">
        <v>3</v>
      </c>
      <c r="CL269" s="8">
        <v>8</v>
      </c>
      <c r="CM269" s="9">
        <f t="shared" si="1369"/>
        <v>1313</v>
      </c>
      <c r="CN269" s="8">
        <v>506</v>
      </c>
      <c r="CO269" s="8">
        <v>52</v>
      </c>
      <c r="CP269" s="8">
        <v>49</v>
      </c>
      <c r="CQ269" s="8">
        <v>1</v>
      </c>
      <c r="CR269" s="9">
        <f t="shared" si="1370"/>
        <v>608</v>
      </c>
      <c r="CS269" s="9">
        <f t="shared" si="1371"/>
        <v>1921</v>
      </c>
      <c r="CT269" s="8">
        <v>2484</v>
      </c>
      <c r="CU269" s="8">
        <v>25832.607403049999</v>
      </c>
      <c r="CV269" s="8">
        <v>17998</v>
      </c>
      <c r="CW269" s="10">
        <f t="shared" si="1372"/>
        <v>0.69671635229028472</v>
      </c>
      <c r="CX269" s="8">
        <v>0</v>
      </c>
      <c r="CY269" s="8"/>
      <c r="CZ269" s="8"/>
      <c r="DA269" s="8"/>
      <c r="DB269" s="9">
        <f t="shared" si="1373"/>
        <v>0</v>
      </c>
      <c r="DC269" s="8">
        <v>0</v>
      </c>
      <c r="DD269" s="8">
        <v>0</v>
      </c>
      <c r="DE269" s="8">
        <v>0</v>
      </c>
      <c r="DF269" s="8">
        <v>0</v>
      </c>
      <c r="DG269" s="9">
        <f t="shared" si="1374"/>
        <v>0</v>
      </c>
      <c r="DH269" s="8">
        <v>1</v>
      </c>
      <c r="DI269" s="8">
        <v>0</v>
      </c>
      <c r="DJ269" s="8">
        <v>0</v>
      </c>
      <c r="DK269" s="8">
        <v>0</v>
      </c>
      <c r="DL269" s="9">
        <f t="shared" si="1375"/>
        <v>1</v>
      </c>
      <c r="DM269" s="8">
        <v>137</v>
      </c>
      <c r="DN269" s="8">
        <v>0</v>
      </c>
      <c r="DO269" s="8">
        <v>0</v>
      </c>
      <c r="DP269" s="8">
        <v>0</v>
      </c>
      <c r="DQ269" s="9">
        <f t="shared" si="1376"/>
        <v>137</v>
      </c>
      <c r="DR269" s="9">
        <f t="shared" si="1377"/>
        <v>138</v>
      </c>
      <c r="DS269" s="9">
        <f t="shared" si="1378"/>
        <v>0</v>
      </c>
      <c r="DT269" s="9">
        <f t="shared" si="1379"/>
        <v>0</v>
      </c>
      <c r="DU269" s="9">
        <f t="shared" si="1380"/>
        <v>0</v>
      </c>
      <c r="DV269" s="9">
        <f t="shared" si="1381"/>
        <v>138</v>
      </c>
      <c r="DW269" s="8">
        <v>131</v>
      </c>
      <c r="DX269" s="8">
        <v>70</v>
      </c>
      <c r="DY269" s="8">
        <v>35</v>
      </c>
      <c r="DZ269" s="8">
        <v>23</v>
      </c>
      <c r="EA269" s="8">
        <v>12</v>
      </c>
      <c r="EB269" s="8">
        <v>9</v>
      </c>
      <c r="EC269" s="8">
        <v>0</v>
      </c>
      <c r="ED269" s="8">
        <v>0</v>
      </c>
      <c r="EE269" s="8">
        <v>11</v>
      </c>
      <c r="EF269" s="8">
        <v>3</v>
      </c>
      <c r="EG269" s="8">
        <v>0</v>
      </c>
      <c r="EH269" s="8">
        <v>0</v>
      </c>
      <c r="EI269" s="8">
        <v>0</v>
      </c>
      <c r="EJ269" s="8">
        <v>14</v>
      </c>
      <c r="EK269" s="8">
        <v>11</v>
      </c>
      <c r="EL269" s="8">
        <v>0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9">
        <f t="shared" si="1382"/>
        <v>319</v>
      </c>
      <c r="FH269" s="8">
        <v>0</v>
      </c>
      <c r="FI269" s="8">
        <v>0</v>
      </c>
      <c r="FJ269" s="8">
        <v>0</v>
      </c>
      <c r="FK269" s="8">
        <v>0</v>
      </c>
      <c r="FL269" s="8">
        <v>0</v>
      </c>
      <c r="FM269" s="8">
        <v>0</v>
      </c>
      <c r="FN269" s="8">
        <v>0</v>
      </c>
      <c r="FO269" s="8">
        <v>0</v>
      </c>
      <c r="FP269" s="8">
        <v>0</v>
      </c>
      <c r="FQ269" s="9">
        <f t="shared" si="1383"/>
        <v>0</v>
      </c>
      <c r="FR269" s="8">
        <v>2074397</v>
      </c>
      <c r="FS269" s="8">
        <v>32800</v>
      </c>
      <c r="FT269" s="8">
        <v>0</v>
      </c>
      <c r="FU269" s="8">
        <v>0</v>
      </c>
      <c r="FV269" s="9">
        <f t="shared" si="1384"/>
        <v>2107197</v>
      </c>
      <c r="FW269" s="8">
        <v>4228638</v>
      </c>
      <c r="FX269" s="8">
        <v>0</v>
      </c>
      <c r="FY269" s="8">
        <v>1814456</v>
      </c>
      <c r="FZ269" s="8">
        <v>4323299</v>
      </c>
      <c r="GA269" s="9">
        <f t="shared" si="1385"/>
        <v>10366393</v>
      </c>
      <c r="GB269" s="9">
        <f t="shared" si="1386"/>
        <v>12473590</v>
      </c>
      <c r="GC269" s="8">
        <v>7039345.4299999997</v>
      </c>
      <c r="GD269" s="8">
        <v>110751.12</v>
      </c>
      <c r="GE269" s="8">
        <v>492140.4</v>
      </c>
      <c r="GF269" s="8">
        <v>104184.61</v>
      </c>
      <c r="GG269" s="9">
        <f t="shared" si="1387"/>
        <v>7746421.5600000005</v>
      </c>
      <c r="GH269" s="8">
        <v>4166742.54</v>
      </c>
      <c r="GI269" s="8">
        <v>0</v>
      </c>
      <c r="GJ269" s="8">
        <v>2376298.7999999998</v>
      </c>
      <c r="GK269" s="8">
        <v>1814156.18</v>
      </c>
      <c r="GL269" s="9">
        <f t="shared" si="1388"/>
        <v>8357197.5199999996</v>
      </c>
      <c r="GM269" s="9">
        <f t="shared" si="1389"/>
        <v>16103619.08</v>
      </c>
      <c r="GN269" s="8">
        <v>654212.11</v>
      </c>
      <c r="GO269" s="8">
        <v>1530.24</v>
      </c>
      <c r="GP269" s="8">
        <v>10180.92</v>
      </c>
      <c r="GQ269" s="8">
        <v>4637.34</v>
      </c>
      <c r="GR269" s="9">
        <f t="shared" si="1390"/>
        <v>670560.61</v>
      </c>
      <c r="GS269" s="8">
        <v>1048382</v>
      </c>
      <c r="GT269" s="8">
        <v>7144</v>
      </c>
      <c r="GU269" s="8">
        <v>2679</v>
      </c>
      <c r="GV269" s="8">
        <v>893</v>
      </c>
      <c r="GW269" s="9">
        <f t="shared" si="1391"/>
        <v>1059098</v>
      </c>
      <c r="GX269" s="9">
        <f t="shared" si="1392"/>
        <v>17833277.689999998</v>
      </c>
      <c r="GY269" s="8">
        <v>36020925.890000001</v>
      </c>
      <c r="GZ269" s="8">
        <v>1007897.84</v>
      </c>
      <c r="HA269" s="9">
        <f t="shared" si="1393"/>
        <v>37028823.730000004</v>
      </c>
      <c r="HB269" s="9">
        <f t="shared" si="1394"/>
        <v>0.17717085447907926</v>
      </c>
      <c r="HC269" s="10">
        <f t="shared" si="1395"/>
        <v>0.23161776000401862</v>
      </c>
      <c r="HD269" s="9">
        <f t="shared" si="1396"/>
        <v>0.6994558272927337</v>
      </c>
      <c r="HE269" s="8">
        <v>2</v>
      </c>
      <c r="HF269" s="8">
        <v>6</v>
      </c>
      <c r="HG269" s="8">
        <v>17</v>
      </c>
      <c r="HH269" s="8">
        <v>2</v>
      </c>
      <c r="HI269" s="8">
        <v>20</v>
      </c>
      <c r="HJ269" s="9">
        <f t="shared" si="1397"/>
        <v>26</v>
      </c>
      <c r="HK269" s="10">
        <f t="shared" si="1398"/>
        <v>1</v>
      </c>
      <c r="HL269" s="8">
        <v>17</v>
      </c>
      <c r="HM269" s="8">
        <v>34</v>
      </c>
      <c r="HN269" s="11">
        <f t="shared" si="1399"/>
        <v>2</v>
      </c>
    </row>
    <row r="270" spans="1:222" x14ac:dyDescent="0.3">
      <c r="A270" s="12" t="s">
        <v>289</v>
      </c>
      <c r="B270" s="12" t="s">
        <v>294</v>
      </c>
      <c r="C270" s="13" t="s">
        <v>257</v>
      </c>
      <c r="D270" s="13">
        <v>2025</v>
      </c>
      <c r="E270" s="13">
        <v>7</v>
      </c>
      <c r="F270" s="13" t="s">
        <v>262</v>
      </c>
      <c r="G270" s="13" t="s">
        <v>263</v>
      </c>
      <c r="H270" s="14">
        <v>19762</v>
      </c>
      <c r="I270" s="14">
        <v>7931</v>
      </c>
      <c r="J270" s="14">
        <v>593</v>
      </c>
      <c r="K270" s="14">
        <v>6</v>
      </c>
      <c r="L270" s="14">
        <v>0</v>
      </c>
      <c r="M270" s="15">
        <f t="shared" si="1339"/>
        <v>8530</v>
      </c>
      <c r="N270" s="14">
        <v>3847</v>
      </c>
      <c r="O270" s="14">
        <v>0</v>
      </c>
      <c r="P270" s="14">
        <v>1352</v>
      </c>
      <c r="Q270" s="14">
        <v>401</v>
      </c>
      <c r="R270" s="15">
        <f t="shared" si="1340"/>
        <v>5600</v>
      </c>
      <c r="S270" s="15">
        <f t="shared" si="1341"/>
        <v>14130</v>
      </c>
      <c r="T270" s="14">
        <v>5632</v>
      </c>
      <c r="U270" s="16">
        <f t="shared" si="1342"/>
        <v>0.28499139763181863</v>
      </c>
      <c r="V270" s="14">
        <v>12</v>
      </c>
      <c r="W270" s="17">
        <f t="shared" si="1343"/>
        <v>6.0722598927234089E-4</v>
      </c>
      <c r="X270" s="14">
        <v>0</v>
      </c>
      <c r="Y270" s="17">
        <f t="shared" si="1344"/>
        <v>0</v>
      </c>
      <c r="Z270" s="14">
        <v>0</v>
      </c>
      <c r="AA270" s="17">
        <f t="shared" si="1345"/>
        <v>0</v>
      </c>
      <c r="AB270" s="14">
        <v>0</v>
      </c>
      <c r="AC270" s="17">
        <f t="shared" si="1346"/>
        <v>0</v>
      </c>
      <c r="AD270" s="14">
        <v>0</v>
      </c>
      <c r="AE270" s="17">
        <f t="shared" si="1347"/>
        <v>0</v>
      </c>
      <c r="AF270" s="14">
        <v>0</v>
      </c>
      <c r="AG270" s="17">
        <f t="shared" si="1348"/>
        <v>0</v>
      </c>
      <c r="AH270" s="14">
        <v>42303.48</v>
      </c>
      <c r="AI270" s="15">
        <f t="shared" si="1349"/>
        <v>2.1406477077218908</v>
      </c>
      <c r="AJ270" s="14">
        <v>17127</v>
      </c>
      <c r="AK270" s="17">
        <f t="shared" si="1350"/>
        <v>0.86666329318894852</v>
      </c>
      <c r="AL270" s="14">
        <v>2392823.4405</v>
      </c>
      <c r="AM270" s="15">
        <f t="shared" si="1351"/>
        <v>121.08204840097156</v>
      </c>
      <c r="AN270" s="14">
        <v>1360</v>
      </c>
      <c r="AO270" s="14">
        <v>183</v>
      </c>
      <c r="AP270" s="14">
        <v>500322</v>
      </c>
      <c r="AQ270" s="14">
        <v>0</v>
      </c>
      <c r="AR270" s="14">
        <v>0</v>
      </c>
      <c r="AS270" s="14">
        <v>0</v>
      </c>
      <c r="AT270" s="14">
        <v>0</v>
      </c>
      <c r="AU270" s="15">
        <f t="shared" si="1352"/>
        <v>2935448.9205</v>
      </c>
      <c r="AV270" s="15">
        <f t="shared" si="1353"/>
        <v>148.5400728924198</v>
      </c>
      <c r="AW270" s="15">
        <f t="shared" si="1354"/>
        <v>207.74585424628449</v>
      </c>
      <c r="AX270" s="14">
        <v>7</v>
      </c>
      <c r="AY270" s="15">
        <f t="shared" si="1355"/>
        <v>4.2505819249063856</v>
      </c>
      <c r="AZ270" s="14">
        <v>8</v>
      </c>
      <c r="BA270" s="14">
        <v>17</v>
      </c>
      <c r="BB270" s="14">
        <v>3</v>
      </c>
      <c r="BC270" s="14">
        <v>0</v>
      </c>
      <c r="BD270" s="14">
        <v>0</v>
      </c>
      <c r="BE270" s="15">
        <f t="shared" si="1356"/>
        <v>0</v>
      </c>
      <c r="BF270" s="15">
        <f t="shared" si="1357"/>
        <v>20</v>
      </c>
      <c r="BG270" s="14">
        <v>0</v>
      </c>
      <c r="BH270" s="14">
        <v>0</v>
      </c>
      <c r="BI270" s="14">
        <v>0</v>
      </c>
      <c r="BJ270" s="14">
        <v>0</v>
      </c>
      <c r="BK270" s="15">
        <f t="shared" si="1358"/>
        <v>0</v>
      </c>
      <c r="BL270" s="15">
        <f t="shared" si="1359"/>
        <v>0</v>
      </c>
      <c r="BM270" s="14">
        <v>0</v>
      </c>
      <c r="BN270" s="14">
        <v>0</v>
      </c>
      <c r="BO270" s="14">
        <v>0</v>
      </c>
      <c r="BP270" s="14">
        <v>0</v>
      </c>
      <c r="BQ270" s="15">
        <f t="shared" si="1360"/>
        <v>0</v>
      </c>
      <c r="BR270" s="15">
        <f t="shared" si="1361"/>
        <v>0</v>
      </c>
      <c r="BS270" s="14">
        <v>0</v>
      </c>
      <c r="BT270" s="14">
        <v>0</v>
      </c>
      <c r="BU270" s="14">
        <v>0</v>
      </c>
      <c r="BV270" s="14">
        <v>0</v>
      </c>
      <c r="BW270" s="15">
        <f t="shared" si="1362"/>
        <v>0</v>
      </c>
      <c r="BX270" s="15">
        <f t="shared" si="1363"/>
        <v>0</v>
      </c>
      <c r="BY270" s="15">
        <f t="shared" si="1364"/>
        <v>17</v>
      </c>
      <c r="BZ270" s="15">
        <f t="shared" si="1365"/>
        <v>3</v>
      </c>
      <c r="CA270" s="15">
        <f t="shared" si="1366"/>
        <v>0</v>
      </c>
      <c r="CB270" s="15">
        <f t="shared" si="1367"/>
        <v>20</v>
      </c>
      <c r="CC270" s="14">
        <v>0</v>
      </c>
      <c r="CD270" s="14">
        <v>532</v>
      </c>
      <c r="CE270" s="14">
        <v>20</v>
      </c>
      <c r="CF270" s="14">
        <v>3</v>
      </c>
      <c r="CG270" s="14">
        <v>25</v>
      </c>
      <c r="CH270" s="15">
        <f t="shared" si="1368"/>
        <v>580</v>
      </c>
      <c r="CI270" s="14">
        <v>1275</v>
      </c>
      <c r="CJ270" s="14">
        <v>10</v>
      </c>
      <c r="CK270" s="14">
        <v>3</v>
      </c>
      <c r="CL270" s="14">
        <v>8</v>
      </c>
      <c r="CM270" s="15">
        <f t="shared" si="1369"/>
        <v>1296</v>
      </c>
      <c r="CN270" s="14">
        <v>506</v>
      </c>
      <c r="CO270" s="14">
        <v>52</v>
      </c>
      <c r="CP270" s="14">
        <v>49</v>
      </c>
      <c r="CQ270" s="14">
        <v>1</v>
      </c>
      <c r="CR270" s="15">
        <f t="shared" si="1370"/>
        <v>608</v>
      </c>
      <c r="CS270" s="15">
        <f t="shared" si="1371"/>
        <v>1904</v>
      </c>
      <c r="CT270" s="14">
        <v>2484</v>
      </c>
      <c r="CU270" s="14">
        <v>25876.522835635202</v>
      </c>
      <c r="CV270" s="14">
        <v>18010</v>
      </c>
      <c r="CW270" s="16">
        <f t="shared" si="1372"/>
        <v>0.6959976854076384</v>
      </c>
      <c r="CX270" s="14">
        <v>0</v>
      </c>
      <c r="CY270" s="14"/>
      <c r="CZ270" s="14"/>
      <c r="DA270" s="14"/>
      <c r="DB270" s="15">
        <f t="shared" si="1373"/>
        <v>0</v>
      </c>
      <c r="DC270" s="14">
        <v>0</v>
      </c>
      <c r="DD270" s="14">
        <v>0</v>
      </c>
      <c r="DE270" s="14">
        <v>0</v>
      </c>
      <c r="DF270" s="14">
        <v>0</v>
      </c>
      <c r="DG270" s="15">
        <f t="shared" si="1374"/>
        <v>0</v>
      </c>
      <c r="DH270" s="14">
        <v>1</v>
      </c>
      <c r="DI270" s="14">
        <v>0</v>
      </c>
      <c r="DJ270" s="14">
        <v>0</v>
      </c>
      <c r="DK270" s="14">
        <v>0</v>
      </c>
      <c r="DL270" s="15">
        <f t="shared" si="1375"/>
        <v>1</v>
      </c>
      <c r="DM270" s="14">
        <v>137</v>
      </c>
      <c r="DN270" s="14">
        <v>0</v>
      </c>
      <c r="DO270" s="14">
        <v>0</v>
      </c>
      <c r="DP270" s="14">
        <v>0</v>
      </c>
      <c r="DQ270" s="15">
        <f t="shared" si="1376"/>
        <v>137</v>
      </c>
      <c r="DR270" s="15">
        <f t="shared" si="1377"/>
        <v>138</v>
      </c>
      <c r="DS270" s="15">
        <f t="shared" si="1378"/>
        <v>0</v>
      </c>
      <c r="DT270" s="15">
        <f t="shared" si="1379"/>
        <v>0</v>
      </c>
      <c r="DU270" s="15">
        <f t="shared" si="1380"/>
        <v>0</v>
      </c>
      <c r="DV270" s="15">
        <f t="shared" si="1381"/>
        <v>138</v>
      </c>
      <c r="DW270" s="14">
        <v>135</v>
      </c>
      <c r="DX270" s="14">
        <v>71</v>
      </c>
      <c r="DY270" s="14">
        <v>32</v>
      </c>
      <c r="DZ270" s="14">
        <v>21</v>
      </c>
      <c r="EA270" s="14">
        <v>10</v>
      </c>
      <c r="EB270" s="14">
        <v>15</v>
      </c>
      <c r="EC270" s="14">
        <v>3</v>
      </c>
      <c r="ED270" s="14">
        <v>7</v>
      </c>
      <c r="EE270" s="14">
        <v>9</v>
      </c>
      <c r="EF270" s="14">
        <v>4</v>
      </c>
      <c r="EG270" s="14">
        <v>0</v>
      </c>
      <c r="EH270" s="14">
        <v>0</v>
      </c>
      <c r="EI270" s="14">
        <v>0</v>
      </c>
      <c r="EJ270" s="14">
        <v>9</v>
      </c>
      <c r="EK270" s="14">
        <v>9</v>
      </c>
      <c r="EL270" s="14">
        <v>0</v>
      </c>
      <c r="EM270" s="14">
        <v>0</v>
      </c>
      <c r="EN270" s="14">
        <v>0</v>
      </c>
      <c r="EO270" s="14">
        <v>0</v>
      </c>
      <c r="EP270" s="14">
        <v>0</v>
      </c>
      <c r="EQ270" s="14">
        <v>0</v>
      </c>
      <c r="ER270" s="14">
        <v>0</v>
      </c>
      <c r="ES270" s="14">
        <v>0</v>
      </c>
      <c r="ET270" s="14">
        <v>0</v>
      </c>
      <c r="EU270" s="14">
        <v>0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5">
        <f t="shared" si="1382"/>
        <v>325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0</v>
      </c>
      <c r="FQ270" s="15">
        <f t="shared" si="1383"/>
        <v>0</v>
      </c>
      <c r="FR270" s="14">
        <v>32344535</v>
      </c>
      <c r="FS270" s="14">
        <v>1418360</v>
      </c>
      <c r="FT270" s="14">
        <v>210000</v>
      </c>
      <c r="FU270" s="14">
        <v>174000</v>
      </c>
      <c r="FV270" s="15">
        <f t="shared" si="1384"/>
        <v>34146895</v>
      </c>
      <c r="FW270" s="14">
        <v>4310683</v>
      </c>
      <c r="FX270" s="14">
        <v>0</v>
      </c>
      <c r="FY270" s="14">
        <v>2279509</v>
      </c>
      <c r="FZ270" s="14">
        <v>4852950</v>
      </c>
      <c r="GA270" s="15">
        <f t="shared" si="1385"/>
        <v>11443142</v>
      </c>
      <c r="GB270" s="15">
        <f t="shared" si="1386"/>
        <v>45590037</v>
      </c>
      <c r="GC270" s="14">
        <v>6431055.4299999997</v>
      </c>
      <c r="GD270" s="14">
        <v>71730</v>
      </c>
      <c r="GE270" s="14">
        <v>22146.3</v>
      </c>
      <c r="GF270" s="14">
        <v>628191.14</v>
      </c>
      <c r="GG270" s="15">
        <f t="shared" si="1387"/>
        <v>7153122.8699999992</v>
      </c>
      <c r="GH270" s="14">
        <v>4255624.3</v>
      </c>
      <c r="GI270" s="14">
        <v>0</v>
      </c>
      <c r="GJ270" s="14">
        <v>3505950</v>
      </c>
      <c r="GK270" s="14">
        <v>2279509</v>
      </c>
      <c r="GL270" s="15">
        <f t="shared" si="1388"/>
        <v>10041083.300000001</v>
      </c>
      <c r="GM270" s="15">
        <f t="shared" si="1389"/>
        <v>17194206.170000002</v>
      </c>
      <c r="GN270" s="14">
        <v>581526.57999999996</v>
      </c>
      <c r="GO270" s="14">
        <v>956.4</v>
      </c>
      <c r="GP270" s="14">
        <v>6787.28</v>
      </c>
      <c r="GQ270" s="14">
        <v>9274.68</v>
      </c>
      <c r="GR270" s="15">
        <f t="shared" si="1390"/>
        <v>598544.94000000006</v>
      </c>
      <c r="GS270" s="14">
        <v>930506</v>
      </c>
      <c r="GT270" s="14">
        <v>4465</v>
      </c>
      <c r="GU270" s="14">
        <v>1786</v>
      </c>
      <c r="GV270" s="14">
        <v>1786</v>
      </c>
      <c r="GW270" s="15">
        <f t="shared" si="1391"/>
        <v>938543</v>
      </c>
      <c r="GX270" s="15">
        <f t="shared" si="1392"/>
        <v>18731294.110000003</v>
      </c>
      <c r="GY270" s="14">
        <v>7712097.6399999997</v>
      </c>
      <c r="GZ270" s="14">
        <v>864447.21</v>
      </c>
      <c r="HA270" s="15">
        <f t="shared" si="1393"/>
        <v>8576544.8499999996</v>
      </c>
      <c r="HB270" s="15">
        <f t="shared" si="1394"/>
        <v>0.15671362070669018</v>
      </c>
      <c r="HC270" s="16">
        <f t="shared" si="1395"/>
        <v>1.7240616268523872</v>
      </c>
      <c r="HD270" s="15">
        <f t="shared" si="1396"/>
        <v>2.4338968109876093</v>
      </c>
      <c r="HE270" s="14">
        <v>3</v>
      </c>
      <c r="HF270" s="14">
        <v>2</v>
      </c>
      <c r="HG270" s="14">
        <v>20</v>
      </c>
      <c r="HH270" s="14">
        <v>3</v>
      </c>
      <c r="HI270" s="14">
        <v>0</v>
      </c>
      <c r="HJ270" s="15">
        <f t="shared" si="1397"/>
        <v>2</v>
      </c>
      <c r="HK270" s="16">
        <f t="shared" si="1398"/>
        <v>1</v>
      </c>
      <c r="HL270" s="14">
        <v>9</v>
      </c>
      <c r="HM270" s="14">
        <v>38</v>
      </c>
      <c r="HN270" s="17">
        <f t="shared" si="1399"/>
        <v>4.2222222222222223</v>
      </c>
    </row>
    <row r="271" spans="1:222" x14ac:dyDescent="0.3">
      <c r="A271" s="6" t="s">
        <v>289</v>
      </c>
      <c r="B271" s="6" t="s">
        <v>294</v>
      </c>
      <c r="C271" s="7" t="s">
        <v>257</v>
      </c>
      <c r="D271" s="7">
        <v>2025</v>
      </c>
      <c r="E271" s="7">
        <v>8</v>
      </c>
      <c r="F271" s="7" t="s">
        <v>264</v>
      </c>
      <c r="G271" s="7" t="s">
        <v>263</v>
      </c>
      <c r="H271" s="8">
        <v>24679</v>
      </c>
      <c r="I271" s="8">
        <v>9114</v>
      </c>
      <c r="J271" s="8">
        <v>527</v>
      </c>
      <c r="K271" s="8">
        <v>76</v>
      </c>
      <c r="L271" s="8">
        <v>118</v>
      </c>
      <c r="M271" s="9">
        <f t="shared" si="1339"/>
        <v>9835</v>
      </c>
      <c r="N271" s="8">
        <v>5588</v>
      </c>
      <c r="O271" s="8">
        <v>0</v>
      </c>
      <c r="P271" s="8">
        <v>1356</v>
      </c>
      <c r="Q271" s="8">
        <v>554</v>
      </c>
      <c r="R271" s="9">
        <f t="shared" si="1340"/>
        <v>7498</v>
      </c>
      <c r="S271" s="9">
        <f t="shared" si="1341"/>
        <v>17333</v>
      </c>
      <c r="T271" s="8">
        <v>7346</v>
      </c>
      <c r="U271" s="10">
        <f t="shared" si="1342"/>
        <v>0.29766197982090037</v>
      </c>
      <c r="V271" s="8">
        <v>16</v>
      </c>
      <c r="W271" s="11">
        <f t="shared" si="1343"/>
        <v>6.483244864054459E-4</v>
      </c>
      <c r="X271" s="8">
        <v>0</v>
      </c>
      <c r="Y271" s="11">
        <f t="shared" si="1344"/>
        <v>0</v>
      </c>
      <c r="Z271" s="8">
        <v>0</v>
      </c>
      <c r="AA271" s="11">
        <f t="shared" si="1345"/>
        <v>0</v>
      </c>
      <c r="AB271" s="8">
        <v>0</v>
      </c>
      <c r="AC271" s="11">
        <f t="shared" si="1346"/>
        <v>0</v>
      </c>
      <c r="AD271" s="8">
        <v>0</v>
      </c>
      <c r="AE271" s="11">
        <f t="shared" si="1347"/>
        <v>0</v>
      </c>
      <c r="AF271" s="8">
        <v>0</v>
      </c>
      <c r="AG271" s="11">
        <f t="shared" si="1348"/>
        <v>0</v>
      </c>
      <c r="AH271" s="8">
        <v>56404.639999999999</v>
      </c>
      <c r="AI271" s="9">
        <f t="shared" si="1349"/>
        <v>2.2855318286802544</v>
      </c>
      <c r="AJ271" s="8">
        <v>19180</v>
      </c>
      <c r="AK271" s="11">
        <f t="shared" si="1350"/>
        <v>0.77717897807852832</v>
      </c>
      <c r="AL271" s="8">
        <v>2677680.27</v>
      </c>
      <c r="AM271" s="9">
        <f t="shared" si="1351"/>
        <v>108.50035536285911</v>
      </c>
      <c r="AN271" s="8">
        <v>306</v>
      </c>
      <c r="AO271" s="8">
        <v>76</v>
      </c>
      <c r="AP271" s="8">
        <v>207784</v>
      </c>
      <c r="AQ271" s="8">
        <v>0</v>
      </c>
      <c r="AR271" s="8">
        <v>0</v>
      </c>
      <c r="AS271" s="8">
        <v>0</v>
      </c>
      <c r="AT271" s="8">
        <v>0</v>
      </c>
      <c r="AU271" s="9">
        <f t="shared" si="1352"/>
        <v>2941868.91</v>
      </c>
      <c r="AV271" s="9">
        <f t="shared" si="1353"/>
        <v>119.20535313424369</v>
      </c>
      <c r="AW271" s="9">
        <f t="shared" si="1354"/>
        <v>169.72647031673688</v>
      </c>
      <c r="AX271" s="8">
        <v>7</v>
      </c>
      <c r="AY271" s="9">
        <f t="shared" si="1355"/>
        <v>3.4037035536285911</v>
      </c>
      <c r="AZ271" s="8">
        <v>8</v>
      </c>
      <c r="BA271" s="8">
        <v>20</v>
      </c>
      <c r="BB271" s="8">
        <v>5</v>
      </c>
      <c r="BC271" s="8">
        <v>4</v>
      </c>
      <c r="BD271" s="8">
        <v>0</v>
      </c>
      <c r="BE271" s="9">
        <f t="shared" si="1356"/>
        <v>4</v>
      </c>
      <c r="BF271" s="9">
        <f t="shared" si="1357"/>
        <v>21</v>
      </c>
      <c r="BG271" s="8">
        <v>0</v>
      </c>
      <c r="BH271" s="8">
        <v>0</v>
      </c>
      <c r="BI271" s="8">
        <v>0</v>
      </c>
      <c r="BJ271" s="8">
        <v>0</v>
      </c>
      <c r="BK271" s="9">
        <f t="shared" si="1358"/>
        <v>0</v>
      </c>
      <c r="BL271" s="9">
        <f t="shared" si="1359"/>
        <v>0</v>
      </c>
      <c r="BM271" s="8">
        <v>0</v>
      </c>
      <c r="BN271" s="8">
        <v>0</v>
      </c>
      <c r="BO271" s="8">
        <v>0</v>
      </c>
      <c r="BP271" s="8">
        <v>0</v>
      </c>
      <c r="BQ271" s="9">
        <f t="shared" si="1360"/>
        <v>0</v>
      </c>
      <c r="BR271" s="9">
        <f t="shared" si="1361"/>
        <v>0</v>
      </c>
      <c r="BS271" s="8">
        <v>0</v>
      </c>
      <c r="BT271" s="8">
        <v>0</v>
      </c>
      <c r="BU271" s="8">
        <v>0</v>
      </c>
      <c r="BV271" s="8">
        <v>0</v>
      </c>
      <c r="BW271" s="9">
        <f t="shared" si="1362"/>
        <v>0</v>
      </c>
      <c r="BX271" s="9">
        <f t="shared" si="1363"/>
        <v>0</v>
      </c>
      <c r="BY271" s="9">
        <f t="shared" si="1364"/>
        <v>20</v>
      </c>
      <c r="BZ271" s="9">
        <f t="shared" si="1365"/>
        <v>5</v>
      </c>
      <c r="CA271" s="9">
        <f t="shared" si="1366"/>
        <v>4</v>
      </c>
      <c r="CB271" s="9">
        <f t="shared" si="1367"/>
        <v>21</v>
      </c>
      <c r="CC271" s="8">
        <v>0</v>
      </c>
      <c r="CD271" s="8">
        <v>649</v>
      </c>
      <c r="CE271" s="8">
        <v>20</v>
      </c>
      <c r="CF271" s="8">
        <v>3</v>
      </c>
      <c r="CG271" s="8">
        <v>25</v>
      </c>
      <c r="CH271" s="9">
        <f t="shared" si="1368"/>
        <v>697</v>
      </c>
      <c r="CI271" s="8">
        <v>1162</v>
      </c>
      <c r="CJ271" s="8">
        <v>10</v>
      </c>
      <c r="CK271" s="8">
        <v>3</v>
      </c>
      <c r="CL271" s="8">
        <v>8</v>
      </c>
      <c r="CM271" s="9">
        <f t="shared" si="1369"/>
        <v>1183</v>
      </c>
      <c r="CN271" s="8">
        <v>506</v>
      </c>
      <c r="CO271" s="8">
        <v>52</v>
      </c>
      <c r="CP271" s="8">
        <v>49</v>
      </c>
      <c r="CQ271" s="8">
        <v>1</v>
      </c>
      <c r="CR271" s="9">
        <f t="shared" si="1370"/>
        <v>608</v>
      </c>
      <c r="CS271" s="9">
        <f t="shared" si="1371"/>
        <v>1791</v>
      </c>
      <c r="CT271" s="8">
        <v>2488</v>
      </c>
      <c r="CU271" s="8">
        <v>25876.522835635202</v>
      </c>
      <c r="CV271" s="8">
        <v>18010</v>
      </c>
      <c r="CW271" s="10">
        <f t="shared" si="1372"/>
        <v>0.6959976854076384</v>
      </c>
      <c r="CX271" s="8">
        <v>0</v>
      </c>
      <c r="CY271" s="8"/>
      <c r="CZ271" s="8"/>
      <c r="DA271" s="8"/>
      <c r="DB271" s="9">
        <f t="shared" si="1373"/>
        <v>0</v>
      </c>
      <c r="DC271" s="8">
        <v>0</v>
      </c>
      <c r="DD271" s="8">
        <v>0</v>
      </c>
      <c r="DE271" s="8">
        <v>0</v>
      </c>
      <c r="DF271" s="8">
        <v>0</v>
      </c>
      <c r="DG271" s="9">
        <f t="shared" si="1374"/>
        <v>0</v>
      </c>
      <c r="DH271" s="8">
        <v>8</v>
      </c>
      <c r="DI271" s="8">
        <v>0</v>
      </c>
      <c r="DJ271" s="8">
        <v>0</v>
      </c>
      <c r="DK271" s="8">
        <v>0</v>
      </c>
      <c r="DL271" s="9">
        <f t="shared" si="1375"/>
        <v>8</v>
      </c>
      <c r="DM271" s="8">
        <v>137</v>
      </c>
      <c r="DN271" s="8">
        <v>0</v>
      </c>
      <c r="DO271" s="8">
        <v>5</v>
      </c>
      <c r="DP271" s="8">
        <v>0</v>
      </c>
      <c r="DQ271" s="9">
        <f t="shared" si="1376"/>
        <v>132</v>
      </c>
      <c r="DR271" s="9">
        <f t="shared" si="1377"/>
        <v>145</v>
      </c>
      <c r="DS271" s="9">
        <f t="shared" si="1378"/>
        <v>0</v>
      </c>
      <c r="DT271" s="9">
        <f t="shared" si="1379"/>
        <v>5</v>
      </c>
      <c r="DU271" s="9">
        <f t="shared" si="1380"/>
        <v>0</v>
      </c>
      <c r="DV271" s="9">
        <f t="shared" si="1381"/>
        <v>140</v>
      </c>
      <c r="DW271" s="8">
        <v>133</v>
      </c>
      <c r="DX271" s="8">
        <v>71</v>
      </c>
      <c r="DY271" s="8">
        <v>33</v>
      </c>
      <c r="DZ271" s="8">
        <v>20</v>
      </c>
      <c r="EA271" s="8">
        <v>7</v>
      </c>
      <c r="EB271" s="8">
        <v>6</v>
      </c>
      <c r="EC271" s="8">
        <v>0</v>
      </c>
      <c r="ED271" s="8">
        <v>1</v>
      </c>
      <c r="EE271" s="8">
        <v>6</v>
      </c>
      <c r="EF271" s="8">
        <v>2</v>
      </c>
      <c r="EG271" s="8">
        <v>0</v>
      </c>
      <c r="EH271" s="8">
        <v>0</v>
      </c>
      <c r="EI271" s="8">
        <v>0</v>
      </c>
      <c r="EJ271" s="8">
        <v>11</v>
      </c>
      <c r="EK271" s="8">
        <v>7</v>
      </c>
      <c r="EL271" s="8">
        <v>0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9">
        <f t="shared" si="1382"/>
        <v>297</v>
      </c>
      <c r="FH271" s="8">
        <v>0</v>
      </c>
      <c r="FI271" s="8">
        <v>0</v>
      </c>
      <c r="FJ271" s="8">
        <v>0</v>
      </c>
      <c r="FK271" s="8">
        <v>0</v>
      </c>
      <c r="FL271" s="8">
        <v>0</v>
      </c>
      <c r="FM271" s="8">
        <v>0</v>
      </c>
      <c r="FN271" s="8">
        <v>0</v>
      </c>
      <c r="FO271" s="8">
        <v>0</v>
      </c>
      <c r="FP271" s="8">
        <v>0</v>
      </c>
      <c r="FQ271" s="9">
        <f t="shared" si="1383"/>
        <v>0</v>
      </c>
      <c r="FR271" s="8">
        <v>5999285</v>
      </c>
      <c r="FS271" s="8">
        <v>302250</v>
      </c>
      <c r="FT271" s="8">
        <v>76000</v>
      </c>
      <c r="FU271" s="8">
        <v>30000</v>
      </c>
      <c r="FV271" s="9">
        <f t="shared" si="1384"/>
        <v>6407535</v>
      </c>
      <c r="FW271" s="8">
        <v>4689935</v>
      </c>
      <c r="FX271" s="8">
        <v>0</v>
      </c>
      <c r="FY271" s="8">
        <v>2165340</v>
      </c>
      <c r="FZ271" s="8">
        <v>1119290</v>
      </c>
      <c r="GA271" s="9">
        <f t="shared" si="1385"/>
        <v>7974565</v>
      </c>
      <c r="GB271" s="9">
        <f t="shared" si="1386"/>
        <v>14382100</v>
      </c>
      <c r="GC271" s="8">
        <v>8606716.0299999993</v>
      </c>
      <c r="GD271" s="8">
        <v>100804.56</v>
      </c>
      <c r="GE271" s="8">
        <v>244228.67</v>
      </c>
      <c r="GF271" s="8">
        <v>538229.30000000005</v>
      </c>
      <c r="GG271" s="9">
        <f t="shared" si="1387"/>
        <v>9489978.5600000005</v>
      </c>
      <c r="GH271" s="8">
        <v>4622942.96</v>
      </c>
      <c r="GI271" s="8">
        <v>0</v>
      </c>
      <c r="GJ271" s="8">
        <v>1119290.43</v>
      </c>
      <c r="GK271" s="8">
        <v>2165340</v>
      </c>
      <c r="GL271" s="9">
        <f t="shared" si="1388"/>
        <v>7907573.3899999997</v>
      </c>
      <c r="GM271" s="9">
        <f t="shared" si="1389"/>
        <v>17397551.949999999</v>
      </c>
      <c r="GN271" s="8">
        <v>597996.5</v>
      </c>
      <c r="GO271" s="8">
        <v>1338.96</v>
      </c>
      <c r="GP271" s="8">
        <v>6787.28</v>
      </c>
      <c r="GQ271" s="8">
        <v>9274.68</v>
      </c>
      <c r="GR271" s="9">
        <f t="shared" si="1390"/>
        <v>615397.42000000004</v>
      </c>
      <c r="GS271" s="8">
        <v>957296</v>
      </c>
      <c r="GT271" s="8">
        <v>6251</v>
      </c>
      <c r="GU271" s="8">
        <v>1786</v>
      </c>
      <c r="GV271" s="8">
        <v>1786</v>
      </c>
      <c r="GW271" s="9">
        <f t="shared" si="1391"/>
        <v>967119</v>
      </c>
      <c r="GX271" s="9">
        <f t="shared" si="1392"/>
        <v>18980068.370000001</v>
      </c>
      <c r="GY271" s="8">
        <v>22984132.07</v>
      </c>
      <c r="GZ271" s="8">
        <v>1130117</v>
      </c>
      <c r="HA271" s="9">
        <f t="shared" si="1393"/>
        <v>24114249.07</v>
      </c>
      <c r="HB271" s="9">
        <f t="shared" si="1394"/>
        <v>0.15499780362487703</v>
      </c>
      <c r="HC271" s="10">
        <f t="shared" si="1395"/>
        <v>0.34272307941535513</v>
      </c>
      <c r="HD271" s="9">
        <f t="shared" si="1396"/>
        <v>0.7577475338672871</v>
      </c>
      <c r="HE271" s="8">
        <v>5</v>
      </c>
      <c r="HF271" s="8">
        <v>10</v>
      </c>
      <c r="HG271" s="8">
        <v>21</v>
      </c>
      <c r="HH271" s="8">
        <v>5</v>
      </c>
      <c r="HI271" s="8">
        <v>21</v>
      </c>
      <c r="HJ271" s="9">
        <f t="shared" si="1397"/>
        <v>31</v>
      </c>
      <c r="HK271" s="10">
        <f t="shared" si="1398"/>
        <v>1</v>
      </c>
      <c r="HL271" s="8">
        <v>11</v>
      </c>
      <c r="HM271" s="8">
        <v>22</v>
      </c>
      <c r="HN271" s="11">
        <f t="shared" si="1399"/>
        <v>2</v>
      </c>
    </row>
    <row r="272" spans="1:222" x14ac:dyDescent="0.3">
      <c r="A272" s="12" t="s">
        <v>289</v>
      </c>
      <c r="B272" s="12" t="s">
        <v>294</v>
      </c>
      <c r="C272" s="13" t="s">
        <v>257</v>
      </c>
      <c r="D272" s="13">
        <v>2025</v>
      </c>
      <c r="E272" s="13">
        <v>9</v>
      </c>
      <c r="F272" s="13" t="s">
        <v>265</v>
      </c>
      <c r="G272" s="13" t="s">
        <v>263</v>
      </c>
      <c r="H272" s="14">
        <v>22644</v>
      </c>
      <c r="I272" s="14">
        <v>9665</v>
      </c>
      <c r="J272" s="14">
        <v>560</v>
      </c>
      <c r="K272" s="14">
        <v>87</v>
      </c>
      <c r="L272" s="14">
        <v>58</v>
      </c>
      <c r="M272" s="15">
        <f t="shared" si="1339"/>
        <v>10370</v>
      </c>
      <c r="N272" s="14">
        <v>4320</v>
      </c>
      <c r="O272" s="14">
        <v>0</v>
      </c>
      <c r="P272" s="14">
        <v>1068</v>
      </c>
      <c r="Q272" s="14">
        <v>463</v>
      </c>
      <c r="R272" s="15">
        <f t="shared" si="1340"/>
        <v>5851</v>
      </c>
      <c r="S272" s="15">
        <f t="shared" si="1341"/>
        <v>16221</v>
      </c>
      <c r="T272" s="14">
        <v>6423</v>
      </c>
      <c r="U272" s="16">
        <f t="shared" si="1342"/>
        <v>0.28365129835718073</v>
      </c>
      <c r="V272" s="14">
        <v>13.5</v>
      </c>
      <c r="W272" s="17">
        <f t="shared" si="1343"/>
        <v>5.9618441971383144E-4</v>
      </c>
      <c r="X272" s="14">
        <v>0</v>
      </c>
      <c r="Y272" s="17">
        <f t="shared" si="1344"/>
        <v>0</v>
      </c>
      <c r="Z272" s="14">
        <v>0</v>
      </c>
      <c r="AA272" s="17">
        <f t="shared" si="1345"/>
        <v>0</v>
      </c>
      <c r="AB272" s="14">
        <v>0</v>
      </c>
      <c r="AC272" s="17">
        <f t="shared" si="1346"/>
        <v>0</v>
      </c>
      <c r="AD272" s="14">
        <v>0</v>
      </c>
      <c r="AE272" s="17">
        <f t="shared" si="1347"/>
        <v>0</v>
      </c>
      <c r="AF272" s="14">
        <v>0</v>
      </c>
      <c r="AG272" s="17">
        <f t="shared" si="1348"/>
        <v>0</v>
      </c>
      <c r="AH272" s="14">
        <v>47591.415000000001</v>
      </c>
      <c r="AI272" s="15">
        <f t="shared" si="1349"/>
        <v>2.1017229729729729</v>
      </c>
      <c r="AJ272" s="14">
        <v>13551</v>
      </c>
      <c r="AK272" s="17">
        <f t="shared" si="1350"/>
        <v>0.59843667196608374</v>
      </c>
      <c r="AL272" s="14">
        <v>1896648.0765</v>
      </c>
      <c r="AM272" s="15">
        <f t="shared" si="1351"/>
        <v>83.7594098436672</v>
      </c>
      <c r="AN272" s="14">
        <v>1880</v>
      </c>
      <c r="AO272" s="14">
        <v>153</v>
      </c>
      <c r="AP272" s="14">
        <v>418302</v>
      </c>
      <c r="AQ272" s="14">
        <v>0</v>
      </c>
      <c r="AR272" s="14">
        <v>0</v>
      </c>
      <c r="AS272" s="14">
        <v>0</v>
      </c>
      <c r="AT272" s="14">
        <v>0</v>
      </c>
      <c r="AU272" s="15">
        <f t="shared" si="1352"/>
        <v>2362541.4915</v>
      </c>
      <c r="AV272" s="15">
        <f t="shared" si="1353"/>
        <v>104.33410578961315</v>
      </c>
      <c r="AW272" s="15">
        <f t="shared" si="1354"/>
        <v>145.64709275013871</v>
      </c>
      <c r="AX272" s="14">
        <v>7</v>
      </c>
      <c r="AY272" s="15">
        <f t="shared" si="1355"/>
        <v>3.7095919448860628</v>
      </c>
      <c r="AZ272" s="14">
        <v>8</v>
      </c>
      <c r="BA272" s="14">
        <v>21</v>
      </c>
      <c r="BB272" s="14">
        <v>0</v>
      </c>
      <c r="BC272" s="14">
        <v>1</v>
      </c>
      <c r="BD272" s="14">
        <v>0</v>
      </c>
      <c r="BE272" s="15">
        <f t="shared" si="1356"/>
        <v>1</v>
      </c>
      <c r="BF272" s="15">
        <f t="shared" si="1357"/>
        <v>20</v>
      </c>
      <c r="BG272" s="14">
        <v>0</v>
      </c>
      <c r="BH272" s="14">
        <v>0</v>
      </c>
      <c r="BI272" s="14">
        <v>0</v>
      </c>
      <c r="BJ272" s="14">
        <v>0</v>
      </c>
      <c r="BK272" s="15">
        <f t="shared" si="1358"/>
        <v>0</v>
      </c>
      <c r="BL272" s="15">
        <f t="shared" si="1359"/>
        <v>0</v>
      </c>
      <c r="BM272" s="14">
        <v>0</v>
      </c>
      <c r="BN272" s="14">
        <v>0</v>
      </c>
      <c r="BO272" s="14">
        <v>0</v>
      </c>
      <c r="BP272" s="14">
        <v>0</v>
      </c>
      <c r="BQ272" s="15">
        <f t="shared" si="1360"/>
        <v>0</v>
      </c>
      <c r="BR272" s="15">
        <f t="shared" si="1361"/>
        <v>0</v>
      </c>
      <c r="BS272" s="14">
        <v>0</v>
      </c>
      <c r="BT272" s="14">
        <v>0</v>
      </c>
      <c r="BU272" s="14">
        <v>0</v>
      </c>
      <c r="BV272" s="14">
        <v>0</v>
      </c>
      <c r="BW272" s="15">
        <f t="shared" si="1362"/>
        <v>0</v>
      </c>
      <c r="BX272" s="15">
        <f t="shared" si="1363"/>
        <v>0</v>
      </c>
      <c r="BY272" s="15">
        <f t="shared" si="1364"/>
        <v>21</v>
      </c>
      <c r="BZ272" s="15">
        <f t="shared" si="1365"/>
        <v>0</v>
      </c>
      <c r="CA272" s="15">
        <f t="shared" si="1366"/>
        <v>1</v>
      </c>
      <c r="CB272" s="15">
        <f t="shared" si="1367"/>
        <v>20</v>
      </c>
      <c r="CC272" s="14">
        <v>0</v>
      </c>
      <c r="CD272" s="14">
        <v>686</v>
      </c>
      <c r="CE272" s="14">
        <v>20</v>
      </c>
      <c r="CF272" s="14">
        <v>3</v>
      </c>
      <c r="CG272" s="14">
        <v>21</v>
      </c>
      <c r="CH272" s="15">
        <f t="shared" si="1368"/>
        <v>730</v>
      </c>
      <c r="CI272" s="14">
        <v>1130</v>
      </c>
      <c r="CJ272" s="14">
        <v>10</v>
      </c>
      <c r="CK272" s="14">
        <v>3</v>
      </c>
      <c r="CL272" s="14">
        <v>8</v>
      </c>
      <c r="CM272" s="15">
        <f t="shared" si="1369"/>
        <v>1151</v>
      </c>
      <c r="CN272" s="14">
        <v>506</v>
      </c>
      <c r="CO272" s="14">
        <v>52</v>
      </c>
      <c r="CP272" s="14">
        <v>49</v>
      </c>
      <c r="CQ272" s="14">
        <v>1</v>
      </c>
      <c r="CR272" s="15">
        <f t="shared" si="1370"/>
        <v>608</v>
      </c>
      <c r="CS272" s="15">
        <f t="shared" si="1371"/>
        <v>1759</v>
      </c>
      <c r="CT272" s="14">
        <v>2489</v>
      </c>
      <c r="CU272" s="14">
        <v>25964.5777964273</v>
      </c>
      <c r="CV272" s="14">
        <v>18020</v>
      </c>
      <c r="CW272" s="16">
        <f t="shared" si="1372"/>
        <v>0.69402245402501916</v>
      </c>
      <c r="CX272" s="14">
        <v>0</v>
      </c>
      <c r="CY272" s="14"/>
      <c r="CZ272" s="14"/>
      <c r="DA272" s="14"/>
      <c r="DB272" s="15">
        <f t="shared" si="1373"/>
        <v>0</v>
      </c>
      <c r="DC272" s="14">
        <v>0</v>
      </c>
      <c r="DD272" s="14">
        <v>0</v>
      </c>
      <c r="DE272" s="14">
        <v>0</v>
      </c>
      <c r="DF272" s="14">
        <v>0</v>
      </c>
      <c r="DG272" s="15">
        <f t="shared" si="1374"/>
        <v>0</v>
      </c>
      <c r="DH272" s="14">
        <v>7</v>
      </c>
      <c r="DI272" s="14">
        <v>7</v>
      </c>
      <c r="DJ272" s="14">
        <v>10</v>
      </c>
      <c r="DK272" s="14">
        <v>0</v>
      </c>
      <c r="DL272" s="15">
        <f t="shared" si="1375"/>
        <v>4</v>
      </c>
      <c r="DM272" s="14">
        <v>132</v>
      </c>
      <c r="DN272" s="14">
        <v>0</v>
      </c>
      <c r="DO272" s="14">
        <v>0</v>
      </c>
      <c r="DP272" s="14">
        <v>0</v>
      </c>
      <c r="DQ272" s="15">
        <f t="shared" si="1376"/>
        <v>132</v>
      </c>
      <c r="DR272" s="15">
        <f t="shared" si="1377"/>
        <v>139</v>
      </c>
      <c r="DS272" s="15">
        <f t="shared" si="1378"/>
        <v>7</v>
      </c>
      <c r="DT272" s="15">
        <f t="shared" si="1379"/>
        <v>10</v>
      </c>
      <c r="DU272" s="15">
        <f t="shared" si="1380"/>
        <v>0</v>
      </c>
      <c r="DV272" s="15">
        <f t="shared" si="1381"/>
        <v>136</v>
      </c>
      <c r="DW272" s="14">
        <v>131</v>
      </c>
      <c r="DX272" s="14">
        <v>72</v>
      </c>
      <c r="DY272" s="14">
        <v>26</v>
      </c>
      <c r="DZ272" s="14">
        <v>15</v>
      </c>
      <c r="EA272" s="14">
        <v>4</v>
      </c>
      <c r="EB272" s="14">
        <v>3</v>
      </c>
      <c r="EC272" s="14">
        <v>0</v>
      </c>
      <c r="ED272" s="14">
        <v>2</v>
      </c>
      <c r="EE272" s="14">
        <v>4</v>
      </c>
      <c r="EF272" s="14">
        <v>1</v>
      </c>
      <c r="EG272" s="14">
        <v>0</v>
      </c>
      <c r="EH272" s="14">
        <v>0</v>
      </c>
      <c r="EI272" s="14">
        <v>0</v>
      </c>
      <c r="EJ272" s="14">
        <v>7</v>
      </c>
      <c r="EK272" s="14">
        <v>5</v>
      </c>
      <c r="EL272" s="14">
        <v>0</v>
      </c>
      <c r="EM272" s="14">
        <v>0</v>
      </c>
      <c r="EN272" s="14">
        <v>0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0</v>
      </c>
      <c r="EU272" s="14">
        <v>0</v>
      </c>
      <c r="EV272" s="14">
        <v>0</v>
      </c>
      <c r="EW272" s="14">
        <v>0</v>
      </c>
      <c r="EX272" s="14">
        <v>0</v>
      </c>
      <c r="EY272" s="14">
        <v>0</v>
      </c>
      <c r="EZ272" s="14">
        <v>0</v>
      </c>
      <c r="FA272" s="14">
        <v>0</v>
      </c>
      <c r="FB272" s="14">
        <v>0</v>
      </c>
      <c r="FC272" s="14">
        <v>0</v>
      </c>
      <c r="FD272" s="14">
        <v>0</v>
      </c>
      <c r="FE272" s="14">
        <v>0</v>
      </c>
      <c r="FF272" s="14">
        <v>0</v>
      </c>
      <c r="FG272" s="15">
        <f t="shared" si="1382"/>
        <v>270</v>
      </c>
      <c r="FH272" s="14">
        <v>0</v>
      </c>
      <c r="FI272" s="14">
        <v>0</v>
      </c>
      <c r="FJ272" s="14">
        <v>0</v>
      </c>
      <c r="FK272" s="14">
        <v>0</v>
      </c>
      <c r="FL272" s="14">
        <v>0</v>
      </c>
      <c r="FM272" s="14">
        <v>0</v>
      </c>
      <c r="FN272" s="14">
        <v>0</v>
      </c>
      <c r="FO272" s="14">
        <v>0</v>
      </c>
      <c r="FP272" s="14">
        <v>0</v>
      </c>
      <c r="FQ272" s="15">
        <f t="shared" si="1383"/>
        <v>0</v>
      </c>
      <c r="FR272" s="14">
        <v>393150</v>
      </c>
      <c r="FS272" s="14">
        <v>59800</v>
      </c>
      <c r="FT272" s="14">
        <v>0</v>
      </c>
      <c r="FU272" s="14">
        <v>4244802</v>
      </c>
      <c r="FV272" s="15">
        <f t="shared" si="1384"/>
        <v>4697752</v>
      </c>
      <c r="FW272" s="14">
        <v>5481250</v>
      </c>
      <c r="FX272" s="14">
        <v>0</v>
      </c>
      <c r="FY272" s="14">
        <v>2173283</v>
      </c>
      <c r="FZ272" s="14">
        <v>5346639</v>
      </c>
      <c r="GA272" s="15">
        <f t="shared" si="1385"/>
        <v>13001172</v>
      </c>
      <c r="GB272" s="15">
        <f t="shared" si="1386"/>
        <v>17698924</v>
      </c>
      <c r="GC272" s="14">
        <v>9241208.0099999998</v>
      </c>
      <c r="GD272" s="14">
        <v>107116.8</v>
      </c>
      <c r="GE272" s="14">
        <v>273869.40000000002</v>
      </c>
      <c r="GF272" s="14">
        <v>238356.5</v>
      </c>
      <c r="GG272" s="15">
        <f t="shared" si="1387"/>
        <v>9860550.7100000009</v>
      </c>
      <c r="GH272" s="14">
        <v>5386726</v>
      </c>
      <c r="GI272" s="14">
        <v>0</v>
      </c>
      <c r="GJ272" s="14">
        <v>3246638.97</v>
      </c>
      <c r="GK272" s="14">
        <v>2173283</v>
      </c>
      <c r="GL272" s="15">
        <f t="shared" si="1388"/>
        <v>10806647.970000001</v>
      </c>
      <c r="GM272" s="15">
        <f t="shared" si="1389"/>
        <v>20667198.68</v>
      </c>
      <c r="GN272" s="14">
        <v>656658.52</v>
      </c>
      <c r="GO272" s="14">
        <v>2295.36</v>
      </c>
      <c r="GP272" s="14">
        <v>10180.92</v>
      </c>
      <c r="GQ272" s="14">
        <v>9274.68</v>
      </c>
      <c r="GR272" s="15">
        <f t="shared" si="1390"/>
        <v>678409.4800000001</v>
      </c>
      <c r="GS272" s="14">
        <v>1051957</v>
      </c>
      <c r="GT272" s="14">
        <v>10716</v>
      </c>
      <c r="GU272" s="14">
        <v>2679</v>
      </c>
      <c r="GV272" s="14">
        <v>1786</v>
      </c>
      <c r="GW272" s="15">
        <f t="shared" si="1391"/>
        <v>1067138</v>
      </c>
      <c r="GX272" s="15">
        <f t="shared" si="1392"/>
        <v>22412746.16</v>
      </c>
      <c r="GY272" s="14">
        <v>23298298.789999999</v>
      </c>
      <c r="GZ272" s="14">
        <v>1415846.32</v>
      </c>
      <c r="HA272" s="15">
        <f t="shared" si="1393"/>
        <v>24714145.109999999</v>
      </c>
      <c r="HB272" s="15">
        <f t="shared" si="1394"/>
        <v>0.10541062102048096</v>
      </c>
      <c r="HC272" s="16">
        <f t="shared" si="1395"/>
        <v>0.38719141116462269</v>
      </c>
      <c r="HD272" s="15">
        <f t="shared" si="1396"/>
        <v>0.78968118737663873</v>
      </c>
      <c r="HE272" s="14">
        <v>0</v>
      </c>
      <c r="HF272" s="14">
        <v>0</v>
      </c>
      <c r="HG272" s="14">
        <v>20</v>
      </c>
      <c r="HH272" s="14">
        <v>0</v>
      </c>
      <c r="HI272" s="14">
        <v>0</v>
      </c>
      <c r="HJ272" s="15">
        <f t="shared" si="1397"/>
        <v>0</v>
      </c>
      <c r="HK272" s="16" t="str">
        <f t="shared" si="1398"/>
        <v/>
      </c>
      <c r="HL272" s="14">
        <v>9</v>
      </c>
      <c r="HM272" s="14">
        <v>18</v>
      </c>
      <c r="HN272" s="17">
        <f t="shared" si="1399"/>
        <v>2</v>
      </c>
    </row>
    <row r="273" spans="1:222" x14ac:dyDescent="0.3">
      <c r="A273" s="6" t="s">
        <v>289</v>
      </c>
      <c r="B273" s="6" t="s">
        <v>294</v>
      </c>
      <c r="C273" s="7" t="s">
        <v>257</v>
      </c>
      <c r="D273" s="7">
        <v>2025</v>
      </c>
      <c r="E273" s="7">
        <v>10</v>
      </c>
      <c r="F273" s="7" t="s">
        <v>266</v>
      </c>
      <c r="G273" s="7" t="s">
        <v>267</v>
      </c>
      <c r="H273" s="8">
        <v>22513</v>
      </c>
      <c r="I273" s="8">
        <v>8383</v>
      </c>
      <c r="J273" s="8">
        <v>1049</v>
      </c>
      <c r="K273" s="8">
        <v>99</v>
      </c>
      <c r="L273" s="8">
        <v>37</v>
      </c>
      <c r="M273" s="9">
        <f t="shared" si="1339"/>
        <v>9568</v>
      </c>
      <c r="N273" s="8">
        <v>4955</v>
      </c>
      <c r="O273" s="8">
        <v>0</v>
      </c>
      <c r="P273" s="8">
        <v>1368</v>
      </c>
      <c r="Q273" s="8">
        <v>847</v>
      </c>
      <c r="R273" s="9">
        <f t="shared" si="1340"/>
        <v>7170</v>
      </c>
      <c r="S273" s="9">
        <f t="shared" si="1341"/>
        <v>16738</v>
      </c>
      <c r="T273" s="8">
        <v>5775</v>
      </c>
      <c r="U273" s="10">
        <f t="shared" si="1342"/>
        <v>0.25651845600319817</v>
      </c>
      <c r="V273" s="8">
        <v>12.5</v>
      </c>
      <c r="W273" s="11">
        <f t="shared" si="1343"/>
        <v>5.5523475325367562E-4</v>
      </c>
      <c r="X273" s="8">
        <v>0</v>
      </c>
      <c r="Y273" s="11">
        <f t="shared" si="1344"/>
        <v>0</v>
      </c>
      <c r="Z273" s="8">
        <v>0</v>
      </c>
      <c r="AA273" s="11">
        <f t="shared" si="1345"/>
        <v>0</v>
      </c>
      <c r="AB273" s="8">
        <v>0</v>
      </c>
      <c r="AC273" s="11">
        <f t="shared" si="1346"/>
        <v>0</v>
      </c>
      <c r="AD273" s="8">
        <v>0</v>
      </c>
      <c r="AE273" s="11">
        <f t="shared" si="1347"/>
        <v>0</v>
      </c>
      <c r="AF273" s="8">
        <v>0</v>
      </c>
      <c r="AG273" s="11">
        <f t="shared" si="1348"/>
        <v>0</v>
      </c>
      <c r="AH273" s="8">
        <v>44066.125</v>
      </c>
      <c r="AI273" s="9">
        <f t="shared" si="1349"/>
        <v>1.9573635232976503</v>
      </c>
      <c r="AJ273" s="8">
        <v>13209</v>
      </c>
      <c r="AK273" s="11">
        <f t="shared" si="1350"/>
        <v>0.58672766845822411</v>
      </c>
      <c r="AL273" s="8">
        <v>1849195.0634999999</v>
      </c>
      <c r="AM273" s="9">
        <f t="shared" si="1351"/>
        <v>82.138989184026997</v>
      </c>
      <c r="AN273" s="8">
        <v>213</v>
      </c>
      <c r="AO273" s="8">
        <v>55</v>
      </c>
      <c r="AP273" s="8">
        <v>150370</v>
      </c>
      <c r="AQ273" s="8">
        <v>0</v>
      </c>
      <c r="AR273" s="8">
        <v>0</v>
      </c>
      <c r="AS273" s="8">
        <v>0</v>
      </c>
      <c r="AT273" s="8">
        <v>0</v>
      </c>
      <c r="AU273" s="9">
        <f t="shared" si="1352"/>
        <v>2043631.1884999999</v>
      </c>
      <c r="AV273" s="9">
        <f t="shared" si="1353"/>
        <v>90.77560469506507</v>
      </c>
      <c r="AW273" s="9">
        <f t="shared" si="1354"/>
        <v>122.0953034113992</v>
      </c>
      <c r="AX273" s="8">
        <v>8</v>
      </c>
      <c r="AY273" s="9">
        <f t="shared" si="1355"/>
        <v>4.2642029049882284</v>
      </c>
      <c r="AZ273" s="8">
        <v>8</v>
      </c>
      <c r="BA273" s="8">
        <v>20</v>
      </c>
      <c r="BB273" s="8">
        <v>22</v>
      </c>
      <c r="BC273" s="8">
        <v>13</v>
      </c>
      <c r="BD273" s="8">
        <v>0</v>
      </c>
      <c r="BE273" s="9">
        <f t="shared" si="1356"/>
        <v>13</v>
      </c>
      <c r="BF273" s="9">
        <f t="shared" si="1357"/>
        <v>29</v>
      </c>
      <c r="BG273" s="8">
        <v>0</v>
      </c>
      <c r="BH273" s="8">
        <v>0</v>
      </c>
      <c r="BI273" s="8">
        <v>0</v>
      </c>
      <c r="BJ273" s="8">
        <v>0</v>
      </c>
      <c r="BK273" s="9">
        <f t="shared" si="1358"/>
        <v>0</v>
      </c>
      <c r="BL273" s="9">
        <f t="shared" si="1359"/>
        <v>0</v>
      </c>
      <c r="BM273" s="8">
        <v>0</v>
      </c>
      <c r="BN273" s="8">
        <v>0</v>
      </c>
      <c r="BO273" s="8">
        <v>0</v>
      </c>
      <c r="BP273" s="8">
        <v>0</v>
      </c>
      <c r="BQ273" s="9">
        <f t="shared" si="1360"/>
        <v>0</v>
      </c>
      <c r="BR273" s="9">
        <f t="shared" si="1361"/>
        <v>0</v>
      </c>
      <c r="BS273" s="8">
        <v>0</v>
      </c>
      <c r="BT273" s="8">
        <v>0</v>
      </c>
      <c r="BU273" s="8">
        <v>0</v>
      </c>
      <c r="BV273" s="8">
        <v>0</v>
      </c>
      <c r="BW273" s="9">
        <f t="shared" si="1362"/>
        <v>0</v>
      </c>
      <c r="BX273" s="9">
        <f t="shared" si="1363"/>
        <v>0</v>
      </c>
      <c r="BY273" s="9">
        <f t="shared" si="1364"/>
        <v>20</v>
      </c>
      <c r="BZ273" s="9">
        <f t="shared" si="1365"/>
        <v>22</v>
      </c>
      <c r="CA273" s="9">
        <f t="shared" si="1366"/>
        <v>13</v>
      </c>
      <c r="CB273" s="9">
        <f t="shared" si="1367"/>
        <v>29</v>
      </c>
      <c r="CC273" s="8">
        <v>0</v>
      </c>
      <c r="CD273" s="8">
        <v>670</v>
      </c>
      <c r="CE273" s="8">
        <v>20</v>
      </c>
      <c r="CF273" s="8">
        <v>3</v>
      </c>
      <c r="CG273" s="8">
        <v>21</v>
      </c>
      <c r="CH273" s="9">
        <f t="shared" si="1368"/>
        <v>714</v>
      </c>
      <c r="CI273" s="8">
        <v>1159</v>
      </c>
      <c r="CJ273" s="8">
        <v>10</v>
      </c>
      <c r="CK273" s="8">
        <v>3</v>
      </c>
      <c r="CL273" s="8">
        <v>8</v>
      </c>
      <c r="CM273" s="9">
        <f t="shared" si="1369"/>
        <v>1180</v>
      </c>
      <c r="CN273" s="8">
        <v>506</v>
      </c>
      <c r="CO273" s="8">
        <v>52</v>
      </c>
      <c r="CP273" s="8">
        <v>49</v>
      </c>
      <c r="CQ273" s="8">
        <v>1</v>
      </c>
      <c r="CR273" s="9">
        <f t="shared" si="1370"/>
        <v>608</v>
      </c>
      <c r="CS273" s="9">
        <f t="shared" si="1371"/>
        <v>1788</v>
      </c>
      <c r="CT273" s="8">
        <v>2502</v>
      </c>
      <c r="CU273" s="8">
        <v>26008.717578681299</v>
      </c>
      <c r="CV273" s="8">
        <v>18046</v>
      </c>
      <c r="CW273" s="10">
        <f t="shared" si="1372"/>
        <v>0.69384428299501621</v>
      </c>
      <c r="CX273" s="8">
        <v>0</v>
      </c>
      <c r="CY273" s="8"/>
      <c r="CZ273" s="8"/>
      <c r="DA273" s="8"/>
      <c r="DB273" s="9">
        <f t="shared" si="1373"/>
        <v>0</v>
      </c>
      <c r="DC273" s="8">
        <v>0</v>
      </c>
      <c r="DD273" s="8">
        <v>0</v>
      </c>
      <c r="DE273" s="8">
        <v>0</v>
      </c>
      <c r="DF273" s="8">
        <v>0</v>
      </c>
      <c r="DG273" s="9">
        <f t="shared" si="1374"/>
        <v>0</v>
      </c>
      <c r="DH273" s="8">
        <v>4</v>
      </c>
      <c r="DI273" s="8">
        <v>0</v>
      </c>
      <c r="DJ273" s="8">
        <v>0</v>
      </c>
      <c r="DK273" s="8">
        <v>0</v>
      </c>
      <c r="DL273" s="9">
        <f t="shared" si="1375"/>
        <v>4</v>
      </c>
      <c r="DM273" s="8">
        <v>132</v>
      </c>
      <c r="DN273" s="8">
        <v>9</v>
      </c>
      <c r="DO273" s="8">
        <v>6</v>
      </c>
      <c r="DP273" s="8">
        <v>0</v>
      </c>
      <c r="DQ273" s="9">
        <f t="shared" si="1376"/>
        <v>135</v>
      </c>
      <c r="DR273" s="9">
        <f t="shared" si="1377"/>
        <v>136</v>
      </c>
      <c r="DS273" s="9">
        <f t="shared" si="1378"/>
        <v>9</v>
      </c>
      <c r="DT273" s="9">
        <f t="shared" si="1379"/>
        <v>6</v>
      </c>
      <c r="DU273" s="9">
        <f t="shared" si="1380"/>
        <v>0</v>
      </c>
      <c r="DV273" s="9">
        <f t="shared" si="1381"/>
        <v>139</v>
      </c>
      <c r="DW273" s="8">
        <v>135</v>
      </c>
      <c r="DX273" s="8">
        <v>79</v>
      </c>
      <c r="DY273" s="8">
        <v>22</v>
      </c>
      <c r="DZ273" s="8">
        <v>17</v>
      </c>
      <c r="EA273" s="8">
        <v>3</v>
      </c>
      <c r="EB273" s="8">
        <v>3</v>
      </c>
      <c r="EC273" s="8">
        <v>0</v>
      </c>
      <c r="ED273" s="8">
        <v>1</v>
      </c>
      <c r="EE273" s="8">
        <v>3</v>
      </c>
      <c r="EF273" s="8">
        <v>2</v>
      </c>
      <c r="EG273" s="8">
        <v>0</v>
      </c>
      <c r="EH273" s="8">
        <v>0</v>
      </c>
      <c r="EI273" s="8">
        <v>0</v>
      </c>
      <c r="EJ273" s="8">
        <v>9</v>
      </c>
      <c r="EK273" s="8">
        <v>6</v>
      </c>
      <c r="EL273" s="8">
        <v>0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9">
        <f t="shared" si="1382"/>
        <v>280</v>
      </c>
      <c r="FH273" s="8">
        <v>0</v>
      </c>
      <c r="FI273" s="8">
        <v>0</v>
      </c>
      <c r="FJ273" s="8">
        <v>0</v>
      </c>
      <c r="FK273" s="8">
        <v>0</v>
      </c>
      <c r="FL273" s="8">
        <v>0</v>
      </c>
      <c r="FM273" s="8">
        <v>0</v>
      </c>
      <c r="FN273" s="8">
        <v>0</v>
      </c>
      <c r="FO273" s="8">
        <v>0</v>
      </c>
      <c r="FP273" s="8">
        <v>0</v>
      </c>
      <c r="FQ273" s="9">
        <f t="shared" si="1383"/>
        <v>0</v>
      </c>
      <c r="FR273" s="8">
        <v>8893575</v>
      </c>
      <c r="FS273" s="8">
        <v>166600</v>
      </c>
      <c r="FT273" s="8">
        <v>197000</v>
      </c>
      <c r="FU273" s="8">
        <v>20000</v>
      </c>
      <c r="FV273" s="9">
        <f t="shared" si="1384"/>
        <v>9277175</v>
      </c>
      <c r="FW273" s="8">
        <v>4569292</v>
      </c>
      <c r="FX273" s="8">
        <v>0</v>
      </c>
      <c r="FY273" s="8">
        <v>1685628</v>
      </c>
      <c r="FZ273" s="8">
        <v>10917494</v>
      </c>
      <c r="GA273" s="9">
        <f t="shared" si="1385"/>
        <v>17172414</v>
      </c>
      <c r="GB273" s="9">
        <f t="shared" si="1386"/>
        <v>26449589</v>
      </c>
      <c r="GC273" s="8">
        <v>8167879.8200000003</v>
      </c>
      <c r="GD273" s="8">
        <v>200652.72</v>
      </c>
      <c r="GE273" s="8">
        <v>311193.8</v>
      </c>
      <c r="GF273" s="8">
        <v>134302.28</v>
      </c>
      <c r="GG273" s="9">
        <f t="shared" si="1387"/>
        <v>8814028.6199999992</v>
      </c>
      <c r="GH273" s="8">
        <v>4513580.1500000004</v>
      </c>
      <c r="GI273" s="8">
        <v>0</v>
      </c>
      <c r="GJ273" s="8">
        <v>7617493.9000000004</v>
      </c>
      <c r="GK273" s="8">
        <v>1685628.09</v>
      </c>
      <c r="GL273" s="9">
        <f t="shared" si="1388"/>
        <v>13816702.140000001</v>
      </c>
      <c r="GM273" s="9">
        <f t="shared" si="1389"/>
        <v>22630730.759999998</v>
      </c>
      <c r="GN273" s="8">
        <v>677815.58</v>
      </c>
      <c r="GO273" s="8">
        <v>2295.36</v>
      </c>
      <c r="GP273" s="8">
        <v>10180.92</v>
      </c>
      <c r="GQ273" s="8">
        <v>9274.68</v>
      </c>
      <c r="GR273" s="9">
        <f t="shared" si="1390"/>
        <v>699566.54</v>
      </c>
      <c r="GS273" s="8">
        <v>1085888</v>
      </c>
      <c r="GT273" s="8">
        <v>10716</v>
      </c>
      <c r="GU273" s="8">
        <v>2679</v>
      </c>
      <c r="GV273" s="8">
        <v>1786</v>
      </c>
      <c r="GW273" s="9">
        <f t="shared" si="1391"/>
        <v>1101069</v>
      </c>
      <c r="GX273" s="9">
        <f t="shared" si="1392"/>
        <v>24431366.299999997</v>
      </c>
      <c r="GY273" s="8">
        <v>25196003.949999999</v>
      </c>
      <c r="GZ273" s="8">
        <v>1719900.04</v>
      </c>
      <c r="HA273" s="9">
        <f t="shared" si="1393"/>
        <v>26915903.989999998</v>
      </c>
      <c r="HB273" s="9">
        <f t="shared" si="1394"/>
        <v>8.3647846927824093E-2</v>
      </c>
      <c r="HC273" s="10">
        <f t="shared" si="1395"/>
        <v>0.53296374292570947</v>
      </c>
      <c r="HD273" s="9">
        <f t="shared" si="1396"/>
        <v>1.0826078523492157</v>
      </c>
      <c r="HE273" s="8">
        <v>22</v>
      </c>
      <c r="HF273" s="8">
        <v>2</v>
      </c>
      <c r="HG273" s="8">
        <v>29</v>
      </c>
      <c r="HH273" s="8">
        <v>22</v>
      </c>
      <c r="HI273" s="8">
        <v>60</v>
      </c>
      <c r="HJ273" s="9">
        <f t="shared" si="1397"/>
        <v>62</v>
      </c>
      <c r="HK273" s="10">
        <f t="shared" si="1398"/>
        <v>1</v>
      </c>
      <c r="HL273" s="8">
        <v>11</v>
      </c>
      <c r="HM273" s="8">
        <v>22</v>
      </c>
      <c r="HN273" s="11">
        <f t="shared" si="1399"/>
        <v>2</v>
      </c>
    </row>
    <row r="274" spans="1:222" x14ac:dyDescent="0.3">
      <c r="A274" s="12" t="s">
        <v>289</v>
      </c>
      <c r="B274" s="12" t="s">
        <v>294</v>
      </c>
      <c r="C274" s="13" t="s">
        <v>257</v>
      </c>
      <c r="D274" s="13">
        <v>2025</v>
      </c>
      <c r="E274" s="13">
        <v>11</v>
      </c>
      <c r="F274" s="13" t="s">
        <v>268</v>
      </c>
      <c r="G274" s="13" t="s">
        <v>267</v>
      </c>
      <c r="H274" s="14">
        <v>25401</v>
      </c>
      <c r="I274" s="14">
        <v>10483</v>
      </c>
      <c r="J274" s="14">
        <v>983</v>
      </c>
      <c r="K274" s="14">
        <v>78</v>
      </c>
      <c r="L274" s="14">
        <v>0</v>
      </c>
      <c r="M274" s="15">
        <f t="shared" si="1339"/>
        <v>11544</v>
      </c>
      <c r="N274" s="14">
        <v>5001</v>
      </c>
      <c r="O274" s="14">
        <v>0</v>
      </c>
      <c r="P274" s="14">
        <v>1716</v>
      </c>
      <c r="Q274" s="14">
        <v>436</v>
      </c>
      <c r="R274" s="15">
        <f t="shared" si="1340"/>
        <v>7153</v>
      </c>
      <c r="S274" s="15">
        <f t="shared" si="1341"/>
        <v>18697</v>
      </c>
      <c r="T274" s="14">
        <v>6704</v>
      </c>
      <c r="U274" s="16">
        <f t="shared" si="1342"/>
        <v>0.2639266170623204</v>
      </c>
      <c r="V274" s="14">
        <v>15</v>
      </c>
      <c r="W274" s="17">
        <f t="shared" si="1343"/>
        <v>5.9052793197118228E-4</v>
      </c>
      <c r="X274" s="14">
        <v>0</v>
      </c>
      <c r="Y274" s="17">
        <f t="shared" si="1344"/>
        <v>0</v>
      </c>
      <c r="Z274" s="14">
        <v>0</v>
      </c>
      <c r="AA274" s="17">
        <f t="shared" si="1345"/>
        <v>0</v>
      </c>
      <c r="AB274" s="14">
        <v>0</v>
      </c>
      <c r="AC274" s="17">
        <f t="shared" si="1346"/>
        <v>0</v>
      </c>
      <c r="AD274" s="14">
        <v>0</v>
      </c>
      <c r="AE274" s="17">
        <f t="shared" si="1347"/>
        <v>0</v>
      </c>
      <c r="AF274" s="14">
        <v>0</v>
      </c>
      <c r="AG274" s="17">
        <f t="shared" si="1348"/>
        <v>0</v>
      </c>
      <c r="AH274" s="14">
        <v>52879.35</v>
      </c>
      <c r="AI274" s="15">
        <f t="shared" si="1349"/>
        <v>2.081782213298689</v>
      </c>
      <c r="AJ274" s="14">
        <v>16606</v>
      </c>
      <c r="AK274" s="17">
        <f t="shared" si="1350"/>
        <v>0.65375378922089677</v>
      </c>
      <c r="AL274" s="14">
        <v>2320533.909</v>
      </c>
      <c r="AM274" s="15">
        <f t="shared" si="1351"/>
        <v>91.356006023384907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5">
        <f t="shared" si="1352"/>
        <v>2373413.2590000001</v>
      </c>
      <c r="AV274" s="15">
        <f t="shared" si="1353"/>
        <v>93.437788236683602</v>
      </c>
      <c r="AW274" s="15">
        <f t="shared" si="1354"/>
        <v>126.9408599775365</v>
      </c>
      <c r="AX274" s="14">
        <v>8</v>
      </c>
      <c r="AY274" s="15">
        <f t="shared" si="1355"/>
        <v>3.7793787646155659</v>
      </c>
      <c r="AZ274" s="14">
        <v>8</v>
      </c>
      <c r="BA274" s="14">
        <v>29</v>
      </c>
      <c r="BB274" s="14">
        <v>8</v>
      </c>
      <c r="BC274" s="14">
        <v>13</v>
      </c>
      <c r="BD274" s="14">
        <v>1</v>
      </c>
      <c r="BE274" s="15">
        <f t="shared" si="1356"/>
        <v>14</v>
      </c>
      <c r="BF274" s="15">
        <f t="shared" si="1357"/>
        <v>23</v>
      </c>
      <c r="BG274" s="14">
        <v>0</v>
      </c>
      <c r="BH274" s="14">
        <v>0</v>
      </c>
      <c r="BI274" s="14">
        <v>0</v>
      </c>
      <c r="BJ274" s="14">
        <v>0</v>
      </c>
      <c r="BK274" s="15">
        <f t="shared" si="1358"/>
        <v>0</v>
      </c>
      <c r="BL274" s="15">
        <f t="shared" si="1359"/>
        <v>0</v>
      </c>
      <c r="BM274" s="14">
        <v>0</v>
      </c>
      <c r="BN274" s="14">
        <v>0</v>
      </c>
      <c r="BO274" s="14">
        <v>0</v>
      </c>
      <c r="BP274" s="14">
        <v>0</v>
      </c>
      <c r="BQ274" s="15">
        <f t="shared" si="1360"/>
        <v>0</v>
      </c>
      <c r="BR274" s="15">
        <f t="shared" si="1361"/>
        <v>0</v>
      </c>
      <c r="BS274" s="14">
        <v>0</v>
      </c>
      <c r="BT274" s="14">
        <v>0</v>
      </c>
      <c r="BU274" s="14">
        <v>0</v>
      </c>
      <c r="BV274" s="14">
        <v>0</v>
      </c>
      <c r="BW274" s="15">
        <f t="shared" si="1362"/>
        <v>0</v>
      </c>
      <c r="BX274" s="15">
        <f t="shared" si="1363"/>
        <v>0</v>
      </c>
      <c r="BY274" s="15">
        <f t="shared" si="1364"/>
        <v>29</v>
      </c>
      <c r="BZ274" s="15">
        <f t="shared" si="1365"/>
        <v>8</v>
      </c>
      <c r="CA274" s="15">
        <f t="shared" si="1366"/>
        <v>14</v>
      </c>
      <c r="CB274" s="15">
        <f t="shared" si="1367"/>
        <v>23</v>
      </c>
      <c r="CC274" s="14">
        <v>0</v>
      </c>
      <c r="CD274" s="14">
        <v>658</v>
      </c>
      <c r="CE274" s="14">
        <v>20</v>
      </c>
      <c r="CF274" s="14">
        <v>3</v>
      </c>
      <c r="CG274" s="14">
        <v>21</v>
      </c>
      <c r="CH274" s="15">
        <f t="shared" si="1368"/>
        <v>702</v>
      </c>
      <c r="CI274" s="14">
        <v>1184</v>
      </c>
      <c r="CJ274" s="14">
        <v>10</v>
      </c>
      <c r="CK274" s="14">
        <v>3</v>
      </c>
      <c r="CL274" s="14">
        <v>8</v>
      </c>
      <c r="CM274" s="15">
        <f t="shared" si="1369"/>
        <v>1205</v>
      </c>
      <c r="CN274" s="14">
        <v>507</v>
      </c>
      <c r="CO274" s="14">
        <v>52</v>
      </c>
      <c r="CP274" s="14">
        <v>49</v>
      </c>
      <c r="CQ274" s="14">
        <v>1</v>
      </c>
      <c r="CR274" s="15">
        <f t="shared" si="1370"/>
        <v>609</v>
      </c>
      <c r="CS274" s="15">
        <f t="shared" si="1371"/>
        <v>1814</v>
      </c>
      <c r="CT274" s="14">
        <v>2516</v>
      </c>
      <c r="CU274" s="14">
        <v>26052.932398565001</v>
      </c>
      <c r="CV274" s="14">
        <v>18046</v>
      </c>
      <c r="CW274" s="16">
        <f t="shared" si="1372"/>
        <v>0.69266674952083229</v>
      </c>
      <c r="CX274" s="14">
        <v>0</v>
      </c>
      <c r="CY274" s="14"/>
      <c r="CZ274" s="14"/>
      <c r="DA274" s="14"/>
      <c r="DB274" s="15">
        <f t="shared" si="1373"/>
        <v>0</v>
      </c>
      <c r="DC274" s="14">
        <v>0</v>
      </c>
      <c r="DD274" s="14">
        <v>0</v>
      </c>
      <c r="DE274" s="14">
        <v>0</v>
      </c>
      <c r="DF274" s="14">
        <v>0</v>
      </c>
      <c r="DG274" s="15">
        <f t="shared" si="1374"/>
        <v>0</v>
      </c>
      <c r="DH274" s="14">
        <v>4</v>
      </c>
      <c r="DI274" s="14">
        <v>0</v>
      </c>
      <c r="DJ274" s="14">
        <v>0</v>
      </c>
      <c r="DK274" s="14">
        <v>0</v>
      </c>
      <c r="DL274" s="15">
        <f t="shared" si="1375"/>
        <v>4</v>
      </c>
      <c r="DM274" s="14">
        <v>135</v>
      </c>
      <c r="DN274" s="14">
        <v>7</v>
      </c>
      <c r="DO274" s="14">
        <v>5</v>
      </c>
      <c r="DP274" s="14">
        <v>11</v>
      </c>
      <c r="DQ274" s="15">
        <f t="shared" si="1376"/>
        <v>126</v>
      </c>
      <c r="DR274" s="15">
        <f t="shared" si="1377"/>
        <v>139</v>
      </c>
      <c r="DS274" s="15">
        <f t="shared" si="1378"/>
        <v>7</v>
      </c>
      <c r="DT274" s="15">
        <f t="shared" si="1379"/>
        <v>5</v>
      </c>
      <c r="DU274" s="15">
        <f t="shared" si="1380"/>
        <v>11</v>
      </c>
      <c r="DV274" s="15">
        <f t="shared" si="1381"/>
        <v>130</v>
      </c>
      <c r="DW274" s="14">
        <v>141</v>
      </c>
      <c r="DX274" s="14">
        <v>81</v>
      </c>
      <c r="DY274" s="14">
        <v>21</v>
      </c>
      <c r="DZ274" s="14">
        <v>16</v>
      </c>
      <c r="EA274" s="14">
        <v>3</v>
      </c>
      <c r="EB274" s="14">
        <v>2</v>
      </c>
      <c r="EC274" s="14">
        <v>0</v>
      </c>
      <c r="ED274" s="14">
        <v>1</v>
      </c>
      <c r="EE274" s="14">
        <v>2</v>
      </c>
      <c r="EF274" s="14">
        <v>1</v>
      </c>
      <c r="EG274" s="14">
        <v>0</v>
      </c>
      <c r="EH274" s="14">
        <v>0</v>
      </c>
      <c r="EI274" s="14">
        <v>0</v>
      </c>
      <c r="EJ274" s="14">
        <v>10</v>
      </c>
      <c r="EK274" s="14">
        <v>6</v>
      </c>
      <c r="EL274" s="14">
        <v>0</v>
      </c>
      <c r="EM274" s="14">
        <v>0</v>
      </c>
      <c r="EN274" s="14">
        <v>0</v>
      </c>
      <c r="EO274" s="14">
        <v>0</v>
      </c>
      <c r="EP274" s="14">
        <v>0</v>
      </c>
      <c r="EQ274" s="14">
        <v>0</v>
      </c>
      <c r="ER274" s="14">
        <v>0</v>
      </c>
      <c r="ES274" s="14">
        <v>0</v>
      </c>
      <c r="ET274" s="14">
        <v>0</v>
      </c>
      <c r="EU274" s="14">
        <v>0</v>
      </c>
      <c r="EV274" s="14">
        <v>0</v>
      </c>
      <c r="EW274" s="14">
        <v>0</v>
      </c>
      <c r="EX274" s="14">
        <v>0</v>
      </c>
      <c r="EY274" s="14">
        <v>0</v>
      </c>
      <c r="EZ274" s="14">
        <v>0</v>
      </c>
      <c r="FA274" s="14">
        <v>0</v>
      </c>
      <c r="FB274" s="14">
        <v>0</v>
      </c>
      <c r="FC274" s="14">
        <v>0</v>
      </c>
      <c r="FD274" s="14">
        <v>0</v>
      </c>
      <c r="FE274" s="14">
        <v>0</v>
      </c>
      <c r="FF274" s="14">
        <v>0</v>
      </c>
      <c r="FG274" s="15">
        <f t="shared" si="1382"/>
        <v>284</v>
      </c>
      <c r="FH274" s="14">
        <v>0</v>
      </c>
      <c r="FI274" s="14">
        <v>0</v>
      </c>
      <c r="FJ274" s="14">
        <v>0</v>
      </c>
      <c r="FK274" s="14">
        <v>0</v>
      </c>
      <c r="FL274" s="14">
        <v>0</v>
      </c>
      <c r="FM274" s="14">
        <v>0</v>
      </c>
      <c r="FN274" s="14">
        <v>0</v>
      </c>
      <c r="FO274" s="14">
        <v>0</v>
      </c>
      <c r="FP274" s="14">
        <v>0</v>
      </c>
      <c r="FQ274" s="15">
        <f t="shared" si="1383"/>
        <v>0</v>
      </c>
      <c r="FR274" s="14">
        <v>5907167</v>
      </c>
      <c r="FS274" s="14">
        <v>8000</v>
      </c>
      <c r="FT274" s="14">
        <v>0</v>
      </c>
      <c r="FU274" s="14">
        <v>0</v>
      </c>
      <c r="FV274" s="15">
        <f t="shared" si="1384"/>
        <v>5915167</v>
      </c>
      <c r="FW274" s="14">
        <v>5238016</v>
      </c>
      <c r="FX274" s="14">
        <v>0</v>
      </c>
      <c r="FY274" s="14">
        <v>1740500</v>
      </c>
      <c r="FZ274" s="14">
        <v>1371260</v>
      </c>
      <c r="GA274" s="15">
        <f t="shared" si="1385"/>
        <v>8349776</v>
      </c>
      <c r="GB274" s="15">
        <f t="shared" si="1386"/>
        <v>14264943</v>
      </c>
      <c r="GC274" s="14">
        <v>9894577.6600000001</v>
      </c>
      <c r="GD274" s="14">
        <v>188028.24</v>
      </c>
      <c r="GE274" s="14">
        <v>257371.81</v>
      </c>
      <c r="GF274" s="14">
        <v>0</v>
      </c>
      <c r="GG274" s="15">
        <f t="shared" si="1387"/>
        <v>10339977.710000001</v>
      </c>
      <c r="GH274" s="14">
        <v>5102876.78</v>
      </c>
      <c r="GI274" s="14">
        <v>0</v>
      </c>
      <c r="GJ274" s="14">
        <v>1371260.11</v>
      </c>
      <c r="GK274" s="14">
        <v>1740500</v>
      </c>
      <c r="GL274" s="15">
        <f t="shared" si="1388"/>
        <v>8214636.8900000006</v>
      </c>
      <c r="GM274" s="15">
        <f t="shared" si="1389"/>
        <v>18554614.600000001</v>
      </c>
      <c r="GN274" s="14">
        <v>674321.14</v>
      </c>
      <c r="GO274" s="14">
        <v>2295.36</v>
      </c>
      <c r="GP274" s="14">
        <v>3393.64</v>
      </c>
      <c r="GQ274" s="14">
        <v>0</v>
      </c>
      <c r="GR274" s="15">
        <f t="shared" si="1390"/>
        <v>680010.14</v>
      </c>
      <c r="GS274" s="14">
        <v>1080530</v>
      </c>
      <c r="GT274" s="14">
        <v>10716</v>
      </c>
      <c r="GU274" s="14">
        <v>893</v>
      </c>
      <c r="GV274" s="14">
        <v>0</v>
      </c>
      <c r="GW274" s="15">
        <f t="shared" si="1391"/>
        <v>1092139</v>
      </c>
      <c r="GX274" s="15">
        <f t="shared" si="1392"/>
        <v>20326763.740000002</v>
      </c>
      <c r="GY274" s="14">
        <v>30091404.27</v>
      </c>
      <c r="GZ274" s="14">
        <v>1861852.89</v>
      </c>
      <c r="HA274" s="15">
        <f t="shared" si="1393"/>
        <v>31953257.16</v>
      </c>
      <c r="HB274" s="15">
        <f t="shared" si="1394"/>
        <v>0.11676296774825405</v>
      </c>
      <c r="HC274" s="16">
        <f t="shared" si="1395"/>
        <v>0.28293259281397676</v>
      </c>
      <c r="HD274" s="15">
        <f t="shared" si="1396"/>
        <v>0.70178131563209667</v>
      </c>
      <c r="HE274" s="14">
        <v>8</v>
      </c>
      <c r="HF274" s="14">
        <v>16</v>
      </c>
      <c r="HG274" s="14">
        <v>23</v>
      </c>
      <c r="HH274" s="14">
        <v>8</v>
      </c>
      <c r="HI274" s="14">
        <v>30</v>
      </c>
      <c r="HJ274" s="15">
        <f t="shared" si="1397"/>
        <v>46</v>
      </c>
      <c r="HK274" s="16">
        <f t="shared" si="1398"/>
        <v>1</v>
      </c>
      <c r="HL274" s="14">
        <v>6</v>
      </c>
      <c r="HM274" s="14">
        <v>12</v>
      </c>
      <c r="HN274" s="17">
        <f t="shared" si="1399"/>
        <v>2</v>
      </c>
    </row>
    <row r="275" spans="1:222" x14ac:dyDescent="0.3">
      <c r="A275" s="6" t="s">
        <v>289</v>
      </c>
      <c r="B275" s="6" t="s">
        <v>294</v>
      </c>
      <c r="C275" s="7" t="s">
        <v>257</v>
      </c>
      <c r="D275" s="7">
        <v>2025</v>
      </c>
      <c r="E275" s="7">
        <v>12</v>
      </c>
      <c r="F275" s="7" t="s">
        <v>269</v>
      </c>
      <c r="G275" s="7" t="s">
        <v>267</v>
      </c>
      <c r="H275" s="8">
        <v>21546</v>
      </c>
      <c r="I275" s="8">
        <v>8141</v>
      </c>
      <c r="J275" s="8">
        <v>1043</v>
      </c>
      <c r="K275" s="8">
        <v>75</v>
      </c>
      <c r="L275" s="8">
        <v>0</v>
      </c>
      <c r="M275" s="9">
        <f t="shared" si="1339"/>
        <v>9259</v>
      </c>
      <c r="N275" s="8">
        <v>4401</v>
      </c>
      <c r="O275" s="8">
        <v>0</v>
      </c>
      <c r="P275" s="8">
        <v>1563</v>
      </c>
      <c r="Q275" s="8">
        <v>315</v>
      </c>
      <c r="R275" s="9">
        <f t="shared" si="1340"/>
        <v>6279</v>
      </c>
      <c r="S275" s="9">
        <f t="shared" si="1341"/>
        <v>15538</v>
      </c>
      <c r="T275" s="8">
        <v>6008</v>
      </c>
      <c r="U275" s="10">
        <f t="shared" si="1342"/>
        <v>0.27884526130140164</v>
      </c>
      <c r="V275" s="8">
        <v>13</v>
      </c>
      <c r="W275" s="11">
        <f t="shared" si="1343"/>
        <v>6.0336025248305947E-4</v>
      </c>
      <c r="X275" s="8">
        <v>0</v>
      </c>
      <c r="Y275" s="11">
        <f t="shared" si="1344"/>
        <v>0</v>
      </c>
      <c r="Z275" s="8">
        <v>0</v>
      </c>
      <c r="AA275" s="11">
        <f t="shared" si="1345"/>
        <v>0</v>
      </c>
      <c r="AB275" s="8">
        <v>0</v>
      </c>
      <c r="AC275" s="11">
        <f t="shared" si="1346"/>
        <v>0</v>
      </c>
      <c r="AD275" s="8">
        <v>0</v>
      </c>
      <c r="AE275" s="11">
        <f t="shared" si="1347"/>
        <v>0</v>
      </c>
      <c r="AF275" s="8">
        <v>0</v>
      </c>
      <c r="AG275" s="11">
        <f t="shared" si="1348"/>
        <v>0</v>
      </c>
      <c r="AH275" s="8">
        <v>45828.77</v>
      </c>
      <c r="AI275" s="9">
        <f t="shared" si="1349"/>
        <v>2.1270198644760048</v>
      </c>
      <c r="AJ275" s="8">
        <v>14411</v>
      </c>
      <c r="AK275" s="11">
        <f t="shared" si="1350"/>
        <v>0.66884804604102854</v>
      </c>
      <c r="AL275" s="8">
        <v>2015974.3665</v>
      </c>
      <c r="AM275" s="9">
        <f t="shared" si="1351"/>
        <v>93.566061751601225</v>
      </c>
      <c r="AN275" s="8">
        <v>484</v>
      </c>
      <c r="AO275" s="8">
        <v>55</v>
      </c>
      <c r="AP275" s="8">
        <v>150370</v>
      </c>
      <c r="AQ275" s="8">
        <v>0</v>
      </c>
      <c r="AR275" s="8">
        <v>0</v>
      </c>
      <c r="AS275" s="8">
        <v>0</v>
      </c>
      <c r="AT275" s="8">
        <v>0</v>
      </c>
      <c r="AU275" s="9">
        <f t="shared" si="1352"/>
        <v>2212173.1365</v>
      </c>
      <c r="AV275" s="9">
        <f t="shared" si="1353"/>
        <v>102.67210324422166</v>
      </c>
      <c r="AW275" s="9">
        <f t="shared" si="1354"/>
        <v>142.37180695713735</v>
      </c>
      <c r="AX275" s="8">
        <v>8</v>
      </c>
      <c r="AY275" s="9">
        <f t="shared" si="1355"/>
        <v>4.4555834029518246</v>
      </c>
      <c r="AZ275" s="8">
        <v>7</v>
      </c>
      <c r="BA275" s="8">
        <v>23</v>
      </c>
      <c r="BB275" s="8">
        <v>41</v>
      </c>
      <c r="BC275" s="8">
        <v>20</v>
      </c>
      <c r="BD275" s="8">
        <v>0</v>
      </c>
      <c r="BE275" s="9">
        <f t="shared" si="1356"/>
        <v>20</v>
      </c>
      <c r="BF275" s="9">
        <f t="shared" si="1357"/>
        <v>44</v>
      </c>
      <c r="BG275" s="8">
        <v>0</v>
      </c>
      <c r="BH275" s="8">
        <v>0</v>
      </c>
      <c r="BI275" s="8">
        <v>0</v>
      </c>
      <c r="BJ275" s="8">
        <v>0</v>
      </c>
      <c r="BK275" s="9">
        <f t="shared" si="1358"/>
        <v>0</v>
      </c>
      <c r="BL275" s="9">
        <f t="shared" si="1359"/>
        <v>0</v>
      </c>
      <c r="BM275" s="8">
        <v>0</v>
      </c>
      <c r="BN275" s="8">
        <v>0</v>
      </c>
      <c r="BO275" s="8">
        <v>0</v>
      </c>
      <c r="BP275" s="8">
        <v>0</v>
      </c>
      <c r="BQ275" s="9">
        <f t="shared" si="1360"/>
        <v>0</v>
      </c>
      <c r="BR275" s="9">
        <f t="shared" si="1361"/>
        <v>0</v>
      </c>
      <c r="BS275" s="8">
        <v>0</v>
      </c>
      <c r="BT275" s="8">
        <v>0</v>
      </c>
      <c r="BU275" s="8">
        <v>0</v>
      </c>
      <c r="BV275" s="8">
        <v>0</v>
      </c>
      <c r="BW275" s="9">
        <f t="shared" si="1362"/>
        <v>0</v>
      </c>
      <c r="BX275" s="9">
        <f t="shared" si="1363"/>
        <v>0</v>
      </c>
      <c r="BY275" s="9">
        <f t="shared" si="1364"/>
        <v>23</v>
      </c>
      <c r="BZ275" s="9">
        <f t="shared" si="1365"/>
        <v>41</v>
      </c>
      <c r="CA275" s="9">
        <f t="shared" si="1366"/>
        <v>20</v>
      </c>
      <c r="CB275" s="9">
        <f t="shared" si="1367"/>
        <v>44</v>
      </c>
      <c r="CC275" s="8">
        <v>45</v>
      </c>
      <c r="CD275" s="8">
        <v>540</v>
      </c>
      <c r="CE275" s="8">
        <v>20</v>
      </c>
      <c r="CF275" s="8">
        <v>3</v>
      </c>
      <c r="CG275" s="8">
        <v>21</v>
      </c>
      <c r="CH275" s="9">
        <f t="shared" si="1368"/>
        <v>584</v>
      </c>
      <c r="CI275" s="8">
        <v>1322</v>
      </c>
      <c r="CJ275" s="8">
        <v>10</v>
      </c>
      <c r="CK275" s="8">
        <v>3</v>
      </c>
      <c r="CL275" s="8">
        <v>8</v>
      </c>
      <c r="CM275" s="9">
        <f t="shared" si="1369"/>
        <v>1343</v>
      </c>
      <c r="CN275" s="8">
        <v>507</v>
      </c>
      <c r="CO275" s="8">
        <v>52</v>
      </c>
      <c r="CP275" s="8">
        <v>49</v>
      </c>
      <c r="CQ275" s="8">
        <v>1</v>
      </c>
      <c r="CR275" s="9">
        <f t="shared" si="1370"/>
        <v>609</v>
      </c>
      <c r="CS275" s="9">
        <f t="shared" si="1371"/>
        <v>1952</v>
      </c>
      <c r="CT275" s="8">
        <v>2536</v>
      </c>
      <c r="CU275" s="8">
        <v>26097.222383642598</v>
      </c>
      <c r="CV275" s="8">
        <v>18046</v>
      </c>
      <c r="CW275" s="10">
        <f t="shared" si="1372"/>
        <v>0.69149121445625572</v>
      </c>
      <c r="CX275" s="8">
        <v>0</v>
      </c>
      <c r="CY275" s="8"/>
      <c r="CZ275" s="8"/>
      <c r="DA275" s="8"/>
      <c r="DB275" s="9">
        <f t="shared" si="1373"/>
        <v>0</v>
      </c>
      <c r="DC275" s="8">
        <v>0</v>
      </c>
      <c r="DD275" s="8">
        <v>0</v>
      </c>
      <c r="DE275" s="8">
        <v>0</v>
      </c>
      <c r="DF275" s="8">
        <v>0</v>
      </c>
      <c r="DG275" s="9">
        <f t="shared" si="1374"/>
        <v>0</v>
      </c>
      <c r="DH275" s="8">
        <v>4</v>
      </c>
      <c r="DI275" s="8">
        <v>0</v>
      </c>
      <c r="DJ275" s="8">
        <v>0</v>
      </c>
      <c r="DK275" s="8">
        <v>0</v>
      </c>
      <c r="DL275" s="9">
        <f t="shared" si="1375"/>
        <v>4</v>
      </c>
      <c r="DM275" s="8">
        <v>126</v>
      </c>
      <c r="DN275" s="8">
        <v>12</v>
      </c>
      <c r="DO275" s="8">
        <v>3</v>
      </c>
      <c r="DP275" s="8">
        <v>5</v>
      </c>
      <c r="DQ275" s="9">
        <f t="shared" si="1376"/>
        <v>130</v>
      </c>
      <c r="DR275" s="9">
        <f t="shared" si="1377"/>
        <v>130</v>
      </c>
      <c r="DS275" s="9">
        <f t="shared" si="1378"/>
        <v>12</v>
      </c>
      <c r="DT275" s="9">
        <f t="shared" si="1379"/>
        <v>3</v>
      </c>
      <c r="DU275" s="9">
        <f t="shared" si="1380"/>
        <v>5</v>
      </c>
      <c r="DV275" s="9">
        <f t="shared" si="1381"/>
        <v>134</v>
      </c>
      <c r="DW275" s="8">
        <v>133</v>
      </c>
      <c r="DX275" s="8">
        <v>92</v>
      </c>
      <c r="DY275" s="8">
        <v>20</v>
      </c>
      <c r="DZ275" s="8">
        <v>14</v>
      </c>
      <c r="EA275" s="8">
        <v>2</v>
      </c>
      <c r="EB275" s="8">
        <v>3</v>
      </c>
      <c r="EC275" s="8">
        <v>0</v>
      </c>
      <c r="ED275" s="8">
        <v>1</v>
      </c>
      <c r="EE275" s="8">
        <v>1</v>
      </c>
      <c r="EF275" s="8">
        <v>0</v>
      </c>
      <c r="EG275" s="8">
        <v>0</v>
      </c>
      <c r="EH275" s="8">
        <v>0</v>
      </c>
      <c r="EI275" s="8">
        <v>0</v>
      </c>
      <c r="EJ275" s="8">
        <v>11</v>
      </c>
      <c r="EK275" s="8">
        <v>4</v>
      </c>
      <c r="EL275" s="8">
        <v>0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0</v>
      </c>
      <c r="FA275" s="8">
        <v>0</v>
      </c>
      <c r="FB275" s="8">
        <v>0</v>
      </c>
      <c r="FC275" s="8">
        <v>0</v>
      </c>
      <c r="FD275" s="8">
        <v>0</v>
      </c>
      <c r="FE275" s="8">
        <v>0</v>
      </c>
      <c r="FF275" s="8">
        <v>0</v>
      </c>
      <c r="FG275" s="9">
        <f t="shared" si="1382"/>
        <v>281</v>
      </c>
      <c r="FH275" s="8">
        <v>0</v>
      </c>
      <c r="FI275" s="8">
        <v>0</v>
      </c>
      <c r="FJ275" s="8">
        <v>0</v>
      </c>
      <c r="FK275" s="8">
        <v>0</v>
      </c>
      <c r="FL275" s="8">
        <v>0</v>
      </c>
      <c r="FM275" s="8">
        <v>0</v>
      </c>
      <c r="FN275" s="8">
        <v>0</v>
      </c>
      <c r="FO275" s="8">
        <v>0</v>
      </c>
      <c r="FP275" s="8">
        <v>0</v>
      </c>
      <c r="FQ275" s="9">
        <f t="shared" si="1383"/>
        <v>0</v>
      </c>
      <c r="FR275" s="8">
        <v>17237426</v>
      </c>
      <c r="FS275" s="8">
        <v>376700</v>
      </c>
      <c r="FT275" s="8">
        <v>0</v>
      </c>
      <c r="FU275" s="8">
        <v>0</v>
      </c>
      <c r="FV275" s="9">
        <f t="shared" si="1384"/>
        <v>17614126</v>
      </c>
      <c r="FW275" s="8">
        <v>5217419</v>
      </c>
      <c r="FX275" s="8">
        <v>0</v>
      </c>
      <c r="FY275" s="8">
        <v>1873405</v>
      </c>
      <c r="FZ275" s="8">
        <v>4972661</v>
      </c>
      <c r="GA275" s="9">
        <f t="shared" si="1385"/>
        <v>12063485</v>
      </c>
      <c r="GB275" s="9">
        <f t="shared" si="1386"/>
        <v>29677611</v>
      </c>
      <c r="GC275" s="8">
        <v>7959416.96</v>
      </c>
      <c r="GD275" s="8">
        <v>199505.04</v>
      </c>
      <c r="GE275" s="8">
        <v>246993.4</v>
      </c>
      <c r="GF275" s="8">
        <v>0</v>
      </c>
      <c r="GG275" s="9">
        <f t="shared" si="1387"/>
        <v>8405915.4000000004</v>
      </c>
      <c r="GH275" s="8">
        <v>5079026.58</v>
      </c>
      <c r="GI275" s="8">
        <v>0</v>
      </c>
      <c r="GJ275" s="8">
        <v>3025661</v>
      </c>
      <c r="GK275" s="8">
        <v>1873405.09</v>
      </c>
      <c r="GL275" s="9">
        <f t="shared" si="1388"/>
        <v>9978092.6699999999</v>
      </c>
      <c r="GM275" s="9">
        <f t="shared" si="1389"/>
        <v>18384008.07</v>
      </c>
      <c r="GN275" s="8">
        <v>684510.96</v>
      </c>
      <c r="GO275" s="8">
        <v>2486.64</v>
      </c>
      <c r="GP275" s="8">
        <v>3393.64</v>
      </c>
      <c r="GQ275" s="8">
        <v>0</v>
      </c>
      <c r="GR275" s="9">
        <f t="shared" si="1390"/>
        <v>690391.24</v>
      </c>
      <c r="GS275" s="8">
        <v>1097497</v>
      </c>
      <c r="GT275" s="8">
        <v>11609</v>
      </c>
      <c r="GU275" s="8">
        <v>893</v>
      </c>
      <c r="GV275" s="8">
        <v>0</v>
      </c>
      <c r="GW275" s="9">
        <f t="shared" si="1391"/>
        <v>1109999</v>
      </c>
      <c r="GX275" s="9">
        <f t="shared" si="1392"/>
        <v>20184398.309999999</v>
      </c>
      <c r="GY275" s="8">
        <v>23093566.870000001</v>
      </c>
      <c r="GZ275" s="8">
        <v>344330.93</v>
      </c>
      <c r="HA275" s="9">
        <f t="shared" si="1393"/>
        <v>23437897.800000001</v>
      </c>
      <c r="HB275" s="9">
        <f t="shared" si="1394"/>
        <v>0.1095981709498875</v>
      </c>
      <c r="HC275" s="10">
        <f t="shared" si="1395"/>
        <v>0.68574413969247527</v>
      </c>
      <c r="HD275" s="9">
        <f t="shared" si="1396"/>
        <v>1.4703242843407802</v>
      </c>
      <c r="HE275" s="8">
        <v>45</v>
      </c>
      <c r="HF275" s="8">
        <v>50</v>
      </c>
      <c r="HG275" s="8">
        <v>44</v>
      </c>
      <c r="HH275" s="8">
        <v>41</v>
      </c>
      <c r="HI275" s="8">
        <v>30</v>
      </c>
      <c r="HJ275" s="9">
        <f t="shared" si="1397"/>
        <v>80</v>
      </c>
      <c r="HK275" s="10">
        <f t="shared" si="1398"/>
        <v>0.91111111111111109</v>
      </c>
      <c r="HL275" s="8">
        <v>7</v>
      </c>
      <c r="HM275" s="8">
        <v>14</v>
      </c>
      <c r="HN275" s="11">
        <f t="shared" si="1399"/>
        <v>2</v>
      </c>
    </row>
    <row r="276" spans="1:222" x14ac:dyDescent="0.3">
      <c r="A276" s="12" t="s">
        <v>289</v>
      </c>
      <c r="B276" s="12" t="s">
        <v>294</v>
      </c>
      <c r="C276" s="13" t="s">
        <v>257</v>
      </c>
      <c r="D276" s="13">
        <v>2026</v>
      </c>
      <c r="E276" s="13">
        <v>1</v>
      </c>
      <c r="F276" s="13" t="s">
        <v>270</v>
      </c>
      <c r="G276" s="13" t="s">
        <v>271</v>
      </c>
      <c r="H276" s="14">
        <v>22406</v>
      </c>
      <c r="I276" s="14">
        <v>10065</v>
      </c>
      <c r="J276" s="14">
        <v>703</v>
      </c>
      <c r="K276" s="14">
        <v>66</v>
      </c>
      <c r="L276" s="14">
        <v>0</v>
      </c>
      <c r="M276" s="15">
        <v>10834</v>
      </c>
      <c r="N276" s="14">
        <v>4498</v>
      </c>
      <c r="O276" s="14">
        <v>0</v>
      </c>
      <c r="P276" s="14">
        <v>1008</v>
      </c>
      <c r="Q276" s="14">
        <v>246</v>
      </c>
      <c r="R276" s="15">
        <v>5752</v>
      </c>
      <c r="S276" s="15">
        <v>16586</v>
      </c>
      <c r="T276" s="14">
        <v>5820</v>
      </c>
      <c r="U276" s="16">
        <v>0.25975185218245112</v>
      </c>
      <c r="V276" s="14">
        <v>13</v>
      </c>
      <c r="W276" s="17">
        <v>0.58020173167901457</v>
      </c>
      <c r="X276" s="14">
        <v>0</v>
      </c>
      <c r="Y276" s="17">
        <v>0</v>
      </c>
      <c r="Z276" s="14">
        <v>0</v>
      </c>
      <c r="AA276" s="17">
        <v>0</v>
      </c>
      <c r="AB276" s="14">
        <v>0</v>
      </c>
      <c r="AC276" s="17">
        <v>0</v>
      </c>
      <c r="AD276" s="14">
        <v>0</v>
      </c>
      <c r="AE276" s="17">
        <v>0</v>
      </c>
      <c r="AF276" s="14">
        <v>0</v>
      </c>
      <c r="AG276" s="17">
        <v>0</v>
      </c>
      <c r="AH276" s="14">
        <v>45828.77</v>
      </c>
      <c r="AI276" s="15">
        <v>2.0453793626707131</v>
      </c>
      <c r="AJ276" s="14">
        <v>14411</v>
      </c>
      <c r="AK276" s="17">
        <v>0.643175935017406</v>
      </c>
      <c r="AL276" s="14">
        <v>2015974.3665</v>
      </c>
      <c r="AM276" s="15">
        <v>89.974755266446493</v>
      </c>
      <c r="AN276" s="14">
        <v>726</v>
      </c>
      <c r="AO276" s="14">
        <v>118</v>
      </c>
      <c r="AP276" s="14">
        <v>322612</v>
      </c>
      <c r="AQ276" s="14">
        <v>0</v>
      </c>
      <c r="AR276" s="14">
        <v>0</v>
      </c>
      <c r="AS276" s="14">
        <v>0</v>
      </c>
      <c r="AT276" s="14">
        <v>0</v>
      </c>
      <c r="AU276" s="15">
        <v>2384415.1365</v>
      </c>
      <c r="AV276" s="15">
        <v>106.41859932607341</v>
      </c>
      <c r="AW276" s="15">
        <v>143.76071002652839</v>
      </c>
      <c r="AX276" s="14">
        <v>8</v>
      </c>
      <c r="AY276" s="15">
        <v>9.6849058287958574</v>
      </c>
      <c r="AZ276" s="14">
        <v>7</v>
      </c>
      <c r="BA276" s="14">
        <v>44</v>
      </c>
      <c r="BB276" s="14">
        <v>17</v>
      </c>
      <c r="BC276" s="14">
        <v>30</v>
      </c>
      <c r="BD276" s="14">
        <v>2</v>
      </c>
      <c r="BE276" s="15">
        <v>32</v>
      </c>
      <c r="BF276" s="15">
        <v>29</v>
      </c>
      <c r="BG276" s="14">
        <v>0</v>
      </c>
      <c r="BH276" s="14">
        <v>0</v>
      </c>
      <c r="BI276" s="14">
        <v>0</v>
      </c>
      <c r="BJ276" s="14">
        <v>0</v>
      </c>
      <c r="BK276" s="15">
        <v>0</v>
      </c>
      <c r="BL276" s="15">
        <v>0</v>
      </c>
      <c r="BM276" s="14">
        <v>0</v>
      </c>
      <c r="BN276" s="14">
        <v>0</v>
      </c>
      <c r="BO276" s="14">
        <v>0</v>
      </c>
      <c r="BP276" s="14">
        <v>0</v>
      </c>
      <c r="BQ276" s="15">
        <v>0</v>
      </c>
      <c r="BR276" s="15">
        <v>0</v>
      </c>
      <c r="BS276" s="14">
        <v>0</v>
      </c>
      <c r="BT276" s="14">
        <v>0</v>
      </c>
      <c r="BU276" s="14">
        <v>0</v>
      </c>
      <c r="BV276" s="14">
        <v>0</v>
      </c>
      <c r="BW276" s="15">
        <v>0</v>
      </c>
      <c r="BX276" s="15">
        <v>0</v>
      </c>
      <c r="BY276" s="15">
        <v>44</v>
      </c>
      <c r="BZ276" s="15">
        <v>17</v>
      </c>
      <c r="CA276" s="15">
        <v>32</v>
      </c>
      <c r="CB276" s="15">
        <v>29</v>
      </c>
      <c r="CC276" s="14">
        <v>0</v>
      </c>
      <c r="CD276" s="14">
        <v>530</v>
      </c>
      <c r="CE276" s="14">
        <v>20</v>
      </c>
      <c r="CF276" s="14">
        <v>3</v>
      </c>
      <c r="CG276" s="14">
        <v>21</v>
      </c>
      <c r="CH276" s="15">
        <v>574</v>
      </c>
      <c r="CI276" s="14">
        <v>1362</v>
      </c>
      <c r="CJ276" s="14">
        <v>10</v>
      </c>
      <c r="CK276" s="14">
        <v>3</v>
      </c>
      <c r="CL276" s="14">
        <v>8</v>
      </c>
      <c r="CM276" s="15">
        <v>1383</v>
      </c>
      <c r="CN276" s="14">
        <v>509</v>
      </c>
      <c r="CO276" s="14">
        <v>52</v>
      </c>
      <c r="CP276" s="14">
        <v>49</v>
      </c>
      <c r="CQ276" s="14">
        <v>1</v>
      </c>
      <c r="CR276" s="15">
        <v>611</v>
      </c>
      <c r="CS276" s="15">
        <v>1994</v>
      </c>
      <c r="CT276" s="14">
        <v>2568</v>
      </c>
      <c r="CU276" s="14">
        <v>26141.587661694779</v>
      </c>
      <c r="CV276" s="14">
        <v>18046</v>
      </c>
      <c r="CW276" s="16">
        <v>0.69031767440975933</v>
      </c>
      <c r="CX276" s="14">
        <v>0</v>
      </c>
      <c r="CY276" s="14">
        <v>0</v>
      </c>
      <c r="CZ276" s="14">
        <v>0</v>
      </c>
      <c r="DA276" s="14">
        <v>0</v>
      </c>
      <c r="DB276" s="15">
        <v>0</v>
      </c>
      <c r="DC276" s="14">
        <v>0</v>
      </c>
      <c r="DD276" s="14">
        <v>0</v>
      </c>
      <c r="DE276" s="14">
        <v>0</v>
      </c>
      <c r="DF276" s="14">
        <v>0</v>
      </c>
      <c r="DG276" s="15">
        <v>0</v>
      </c>
      <c r="DH276" s="14">
        <v>4</v>
      </c>
      <c r="DI276" s="14">
        <v>0</v>
      </c>
      <c r="DJ276" s="14">
        <v>0</v>
      </c>
      <c r="DK276" s="14">
        <v>0</v>
      </c>
      <c r="DL276" s="15">
        <v>4</v>
      </c>
      <c r="DM276" s="14">
        <v>130</v>
      </c>
      <c r="DN276" s="14">
        <v>9</v>
      </c>
      <c r="DO276" s="14">
        <v>0</v>
      </c>
      <c r="DP276" s="14">
        <v>11</v>
      </c>
      <c r="DQ276" s="15">
        <v>128</v>
      </c>
      <c r="DR276" s="15">
        <v>134</v>
      </c>
      <c r="DS276" s="15">
        <v>9</v>
      </c>
      <c r="DT276" s="15">
        <v>0</v>
      </c>
      <c r="DU276" s="15">
        <v>11</v>
      </c>
      <c r="DV276" s="15">
        <v>132</v>
      </c>
      <c r="DW276" s="14">
        <v>130</v>
      </c>
      <c r="DX276" s="14">
        <v>91</v>
      </c>
      <c r="DY276" s="14">
        <v>18</v>
      </c>
      <c r="DZ276" s="14">
        <v>13</v>
      </c>
      <c r="EA276" s="14">
        <v>1</v>
      </c>
      <c r="EB276" s="14">
        <v>1</v>
      </c>
      <c r="EC276" s="14">
        <v>0</v>
      </c>
      <c r="ED276" s="14">
        <v>0</v>
      </c>
      <c r="EE276" s="14">
        <v>1</v>
      </c>
      <c r="EF276" s="14">
        <v>0</v>
      </c>
      <c r="EG276" s="14">
        <v>0</v>
      </c>
      <c r="EH276" s="14">
        <v>0</v>
      </c>
      <c r="EI276" s="14">
        <v>0</v>
      </c>
      <c r="EJ276" s="14">
        <v>10</v>
      </c>
      <c r="EK276" s="14">
        <v>2</v>
      </c>
      <c r="EL276" s="14">
        <v>0</v>
      </c>
      <c r="EM276" s="14">
        <v>0</v>
      </c>
      <c r="EN276" s="14">
        <v>0</v>
      </c>
      <c r="EO276" s="14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5">
        <v>267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0</v>
      </c>
      <c r="FQ276" s="15">
        <v>0</v>
      </c>
      <c r="FR276" s="14">
        <v>15491547.550000001</v>
      </c>
      <c r="FS276" s="14">
        <v>205300</v>
      </c>
      <c r="FT276" s="14">
        <v>0</v>
      </c>
      <c r="FU276" s="14">
        <v>0</v>
      </c>
      <c r="FV276" s="15">
        <v>15696847.550000001</v>
      </c>
      <c r="FW276" s="14">
        <v>5013067</v>
      </c>
      <c r="FX276" s="14">
        <v>0</v>
      </c>
      <c r="FY276" s="14">
        <v>1679256</v>
      </c>
      <c r="FZ276" s="14">
        <v>4879759</v>
      </c>
      <c r="GA276" s="15">
        <v>11572082</v>
      </c>
      <c r="GB276" s="15">
        <v>27268929.550000001</v>
      </c>
      <c r="GC276" s="14">
        <v>9062899.1699999999</v>
      </c>
      <c r="GD276" s="14">
        <v>4590.72</v>
      </c>
      <c r="GE276" s="14">
        <v>215858.17</v>
      </c>
      <c r="GF276" s="14">
        <v>8410.99</v>
      </c>
      <c r="GG276" s="15">
        <v>9291759.0500000007</v>
      </c>
      <c r="GH276" s="14">
        <v>5013066.8</v>
      </c>
      <c r="GI276" s="14">
        <v>0</v>
      </c>
      <c r="GJ276" s="14">
        <v>4879759.4000000004</v>
      </c>
      <c r="GK276" s="14">
        <v>1679256.18</v>
      </c>
      <c r="GL276" s="15">
        <v>11572082.380000001</v>
      </c>
      <c r="GM276" s="15">
        <v>20863841.43</v>
      </c>
      <c r="GN276" s="14">
        <v>688775.19</v>
      </c>
      <c r="GO276" s="14">
        <v>2486.64</v>
      </c>
      <c r="GP276" s="14">
        <v>3393.64</v>
      </c>
      <c r="GQ276" s="14">
        <v>4637.34</v>
      </c>
      <c r="GR276" s="15">
        <v>699292.80999999994</v>
      </c>
      <c r="GS276" s="14">
        <v>1103748</v>
      </c>
      <c r="GT276" s="14">
        <v>11609</v>
      </c>
      <c r="GU276" s="14">
        <v>893</v>
      </c>
      <c r="GV276" s="14">
        <v>893</v>
      </c>
      <c r="GW276" s="15">
        <v>1117143</v>
      </c>
      <c r="GX276" s="15">
        <v>22680277.239999998</v>
      </c>
      <c r="GY276" s="14">
        <v>19845451.190000001</v>
      </c>
      <c r="GZ276" s="14">
        <v>564475.74</v>
      </c>
      <c r="HA276" s="15">
        <v>20409926.93</v>
      </c>
      <c r="HB276" s="15">
        <v>22680277.239999998</v>
      </c>
      <c r="HC276" s="16">
        <v>19845451.190000001</v>
      </c>
      <c r="HD276" s="15">
        <v>564475.74</v>
      </c>
      <c r="HE276" s="14">
        <v>17</v>
      </c>
      <c r="HF276" s="14">
        <v>34</v>
      </c>
      <c r="HG276" s="14">
        <v>29</v>
      </c>
      <c r="HH276" s="14">
        <v>17</v>
      </c>
      <c r="HI276" s="14">
        <v>30</v>
      </c>
      <c r="HJ276" s="15">
        <v>1.7647058823529409</v>
      </c>
      <c r="HK276" s="16">
        <v>103.448275862069</v>
      </c>
      <c r="HL276" s="14">
        <v>5</v>
      </c>
      <c r="HM276" s="14">
        <v>10</v>
      </c>
      <c r="HN276" s="17">
        <v>0.5</v>
      </c>
    </row>
    <row r="277" spans="1:222" x14ac:dyDescent="0.3">
      <c r="A277" s="6" t="s">
        <v>289</v>
      </c>
      <c r="B277" s="6" t="s">
        <v>294</v>
      </c>
      <c r="C277" s="7" t="s">
        <v>257</v>
      </c>
      <c r="D277" s="7">
        <v>2026</v>
      </c>
      <c r="E277" s="7">
        <v>2</v>
      </c>
      <c r="F277" s="7" t="s">
        <v>272</v>
      </c>
      <c r="G277" s="7" t="s">
        <v>271</v>
      </c>
      <c r="H277" s="8">
        <v>20444</v>
      </c>
      <c r="I277" s="8">
        <v>8312</v>
      </c>
      <c r="J277" s="8">
        <v>627</v>
      </c>
      <c r="K277" s="8">
        <v>80</v>
      </c>
      <c r="L277" s="8">
        <v>0</v>
      </c>
      <c r="M277" s="9">
        <f t="shared" ref="M277:M287" si="1400">SUM(I277,J277,K277,L277)</f>
        <v>9019</v>
      </c>
      <c r="N277" s="8">
        <v>4498</v>
      </c>
      <c r="O277" s="8">
        <v>0</v>
      </c>
      <c r="P277" s="8">
        <v>1008</v>
      </c>
      <c r="Q277" s="8">
        <v>246</v>
      </c>
      <c r="R277" s="9">
        <f t="shared" ref="R277:R287" si="1401">SUM(N277,O277,P277,Q277)</f>
        <v>5752</v>
      </c>
      <c r="S277" s="9">
        <f t="shared" ref="S277:S287" si="1402">M277+R277</f>
        <v>14771</v>
      </c>
      <c r="T277" s="8">
        <v>5673</v>
      </c>
      <c r="U277" s="10">
        <f t="shared" ref="U277:U287" si="1403">IF(H277=0,"",T277/H277)</f>
        <v>0.27748972803756605</v>
      </c>
      <c r="V277" s="8">
        <v>12</v>
      </c>
      <c r="W277" s="11">
        <f t="shared" ref="W277:W287" si="1404">IF(H277=0,"",V277/H277)</f>
        <v>5.8696928194091171E-4</v>
      </c>
      <c r="X277" s="8">
        <v>0</v>
      </c>
      <c r="Y277" s="11">
        <f t="shared" ref="Y277:Y287" si="1405">IF(H277=0,"",X277/H277)</f>
        <v>0</v>
      </c>
      <c r="Z277" s="8">
        <v>0</v>
      </c>
      <c r="AA277" s="11">
        <f t="shared" ref="AA277:AA287" si="1406">IF(H277=0,"",Z277/H277)</f>
        <v>0</v>
      </c>
      <c r="AB277" s="8">
        <v>0</v>
      </c>
      <c r="AC277" s="11">
        <f t="shared" ref="AC277:AC287" si="1407">IF(H277=0,"",AB277/H277)</f>
        <v>0</v>
      </c>
      <c r="AD277" s="8">
        <v>0</v>
      </c>
      <c r="AE277" s="11">
        <f t="shared" ref="AE277:AE287" si="1408">IF(H277=0,"",AD277/H277)</f>
        <v>0</v>
      </c>
      <c r="AF277" s="8">
        <v>0</v>
      </c>
      <c r="AG277" s="11">
        <f t="shared" ref="AG277:AG287" si="1409">IF(H277=0,"",AF277/H277)</f>
        <v>0</v>
      </c>
      <c r="AH277" s="8">
        <v>42303.48</v>
      </c>
      <c r="AI277" s="9">
        <f t="shared" ref="AI277:AI287" si="1410">IF(H277=0,"",AH277/H277)</f>
        <v>2.0692369399334769</v>
      </c>
      <c r="AJ277" s="8">
        <v>12314</v>
      </c>
      <c r="AK277" s="11">
        <f t="shared" ref="AK277:AK287" si="1411">IF(H277=0,"",AJ277/H277)</f>
        <v>0.6023283114850323</v>
      </c>
      <c r="AL277" s="8">
        <v>1725012.4709999999</v>
      </c>
      <c r="AM277" s="9">
        <f t="shared" ref="AM277:AM287" si="1412">IF(H277=0,"",AL277/H277)</f>
        <v>84.377444286832315</v>
      </c>
      <c r="AN277" s="8">
        <v>923</v>
      </c>
      <c r="AO277" s="8">
        <v>100</v>
      </c>
      <c r="AP277" s="8">
        <v>459500</v>
      </c>
      <c r="AQ277" s="8">
        <v>0</v>
      </c>
      <c r="AR277" s="8">
        <v>0</v>
      </c>
      <c r="AS277" s="8">
        <v>0</v>
      </c>
      <c r="AT277" s="8">
        <v>0</v>
      </c>
      <c r="AU277" s="9">
        <f t="shared" ref="AU277:AU287" si="1413">AH277+AL277+AP277+AQ277+AR277+AS277+AT277</f>
        <v>2226815.9509999999</v>
      </c>
      <c r="AV277" s="9">
        <f t="shared" ref="AV277:AV287" si="1414">IF(H277=0,"",AU277/H277)</f>
        <v>108.92271331441987</v>
      </c>
      <c r="AW277" s="9">
        <f t="shared" ref="AW277:AW287" si="1415">IF(S277=0,"",AU277/S277)</f>
        <v>150.75593737729335</v>
      </c>
      <c r="AX277" s="8">
        <v>8</v>
      </c>
      <c r="AY277" s="9">
        <f t="shared" ref="AY277:AY287" si="1416">IF(H277=0,"",AX277/(H277/1000/12))</f>
        <v>4.6957542555272944</v>
      </c>
      <c r="AZ277" s="8">
        <v>7</v>
      </c>
      <c r="BA277" s="8">
        <v>29</v>
      </c>
      <c r="BB277" s="8">
        <v>20</v>
      </c>
      <c r="BC277" s="8">
        <v>0</v>
      </c>
      <c r="BD277" s="8">
        <v>22</v>
      </c>
      <c r="BE277" s="9">
        <f t="shared" ref="BE277:BE287" si="1417">BC277+BD277</f>
        <v>22</v>
      </c>
      <c r="BF277" s="9">
        <f t="shared" ref="BF277:BF287" si="1418">BA277+BB277-BE277</f>
        <v>27</v>
      </c>
      <c r="BG277" s="8">
        <v>0</v>
      </c>
      <c r="BH277" s="8">
        <v>0</v>
      </c>
      <c r="BI277" s="8">
        <v>0</v>
      </c>
      <c r="BJ277" s="8">
        <v>0</v>
      </c>
      <c r="BK277" s="9">
        <f t="shared" ref="BK277:BK287" si="1419">BI277+BJ277</f>
        <v>0</v>
      </c>
      <c r="BL277" s="9">
        <f t="shared" ref="BL277:BL287" si="1420">BG277+BH277-BK277</f>
        <v>0</v>
      </c>
      <c r="BM277" s="8">
        <v>0</v>
      </c>
      <c r="BN277" s="8">
        <v>0</v>
      </c>
      <c r="BO277" s="8">
        <v>0</v>
      </c>
      <c r="BP277" s="8">
        <v>0</v>
      </c>
      <c r="BQ277" s="9">
        <f t="shared" ref="BQ277:BQ287" si="1421">BO277+BP277</f>
        <v>0</v>
      </c>
      <c r="BR277" s="9">
        <f t="shared" ref="BR277:BR287" si="1422">BM277+BN277-BQ277</f>
        <v>0</v>
      </c>
      <c r="BS277" s="8">
        <v>0</v>
      </c>
      <c r="BT277" s="8">
        <v>0</v>
      </c>
      <c r="BU277" s="8">
        <v>0</v>
      </c>
      <c r="BV277" s="8">
        <v>0</v>
      </c>
      <c r="BW277" s="9">
        <f t="shared" ref="BW277:BW287" si="1423">BU277+BV277</f>
        <v>0</v>
      </c>
      <c r="BX277" s="9">
        <f t="shared" ref="BX277:BX287" si="1424">BS277+BT277-BW277</f>
        <v>0</v>
      </c>
      <c r="BY277" s="9">
        <f t="shared" ref="BY277:BY287" si="1425">BA277+BG277+BM277+BS277</f>
        <v>29</v>
      </c>
      <c r="BZ277" s="9">
        <f t="shared" ref="BZ277:BZ287" si="1426">BB277+BH277+BN277+BT277</f>
        <v>20</v>
      </c>
      <c r="CA277" s="9">
        <f t="shared" ref="CA277:CA287" si="1427">BE277+BK277+BQ277+BW277</f>
        <v>22</v>
      </c>
      <c r="CB277" s="9">
        <f t="shared" ref="CB277:CB287" si="1428">BF277+BL277+BR277+BX277</f>
        <v>27</v>
      </c>
      <c r="CC277" s="8">
        <v>0</v>
      </c>
      <c r="CD277" s="8">
        <v>573</v>
      </c>
      <c r="CE277" s="8">
        <v>20</v>
      </c>
      <c r="CF277" s="8">
        <v>3</v>
      </c>
      <c r="CG277" s="8">
        <v>21</v>
      </c>
      <c r="CH277" s="9">
        <f t="shared" ref="CH277:CH287" si="1429">CD277+CE277+CF277+CG277</f>
        <v>617</v>
      </c>
      <c r="CI277" s="8">
        <v>1319</v>
      </c>
      <c r="CJ277" s="8">
        <v>10</v>
      </c>
      <c r="CK277" s="8">
        <v>3</v>
      </c>
      <c r="CL277" s="8">
        <v>8</v>
      </c>
      <c r="CM277" s="9">
        <f t="shared" ref="CM277:CM287" si="1430">CI277+CJ277+CK277+CL277</f>
        <v>1340</v>
      </c>
      <c r="CN277" s="8">
        <v>531</v>
      </c>
      <c r="CO277" s="8">
        <v>52</v>
      </c>
      <c r="CP277" s="8">
        <v>49</v>
      </c>
      <c r="CQ277" s="8">
        <v>1</v>
      </c>
      <c r="CR277" s="9">
        <f t="shared" ref="CR277:CR287" si="1431">CN277+CO277+CP277+CQ277</f>
        <v>633</v>
      </c>
      <c r="CS277" s="9">
        <f t="shared" ref="CS277:CS287" si="1432">CM277+CR277</f>
        <v>1973</v>
      </c>
      <c r="CT277" s="8">
        <v>2590</v>
      </c>
      <c r="CU277" s="8">
        <v>26186.028360719669</v>
      </c>
      <c r="CV277" s="8">
        <v>18046</v>
      </c>
      <c r="CW277" s="10">
        <f t="shared" ref="CW277:CW287" si="1433">IF(CU277=0,"",CV277/CU277)</f>
        <v>0.68914612599556668</v>
      </c>
      <c r="CX277" s="8">
        <v>0</v>
      </c>
      <c r="CY277" s="8"/>
      <c r="CZ277" s="8"/>
      <c r="DA277" s="8"/>
      <c r="DB277" s="9">
        <f t="shared" ref="DB277:DB287" si="1434">CX277+CY277-CZ277-DA277</f>
        <v>0</v>
      </c>
      <c r="DC277" s="8">
        <v>0</v>
      </c>
      <c r="DD277" s="8">
        <v>0</v>
      </c>
      <c r="DE277" s="8">
        <v>0</v>
      </c>
      <c r="DF277" s="8">
        <v>0</v>
      </c>
      <c r="DG277" s="9">
        <f t="shared" ref="DG277:DG287" si="1435">DC277+DD277-DE277-DF277</f>
        <v>0</v>
      </c>
      <c r="DH277" s="8">
        <v>4</v>
      </c>
      <c r="DI277" s="8">
        <v>0</v>
      </c>
      <c r="DJ277" s="8">
        <v>0</v>
      </c>
      <c r="DK277" s="8">
        <v>0</v>
      </c>
      <c r="DL277" s="9">
        <f t="shared" ref="DL277:DL287" si="1436">DH277+DI277-DJ277-DK277</f>
        <v>4</v>
      </c>
      <c r="DM277" s="8">
        <v>128</v>
      </c>
      <c r="DN277" s="8">
        <v>17</v>
      </c>
      <c r="DO277" s="8">
        <v>0</v>
      </c>
      <c r="DP277" s="8">
        <v>0</v>
      </c>
      <c r="DQ277" s="9">
        <f t="shared" ref="DQ277:DQ287" si="1437">DM277+DN277-DO277-DP277</f>
        <v>145</v>
      </c>
      <c r="DR277" s="9">
        <f t="shared" ref="DR277:DR287" si="1438">CX277+DC277+DH277+DM277</f>
        <v>132</v>
      </c>
      <c r="DS277" s="9">
        <f t="shared" ref="DS277:DS287" si="1439">CY277+DD277+DI277+DN277</f>
        <v>17</v>
      </c>
      <c r="DT277" s="9">
        <f t="shared" ref="DT277:DT287" si="1440">CZ277+DE277+DJ277+DO277</f>
        <v>0</v>
      </c>
      <c r="DU277" s="9">
        <f t="shared" ref="DU277:DU287" si="1441">DA277+DF277+DK277+DP277</f>
        <v>0</v>
      </c>
      <c r="DV277" s="9">
        <f t="shared" ref="DV277:DV287" si="1442">DB277+DG277+DL277+DQ277</f>
        <v>149</v>
      </c>
      <c r="DW277" s="8">
        <v>129</v>
      </c>
      <c r="DX277" s="8">
        <v>90</v>
      </c>
      <c r="DY277" s="8">
        <v>21</v>
      </c>
      <c r="DZ277" s="8">
        <v>12</v>
      </c>
      <c r="EA277" s="8">
        <v>0</v>
      </c>
      <c r="EB277" s="8">
        <v>1</v>
      </c>
      <c r="EC277" s="8">
        <v>0</v>
      </c>
      <c r="ED277" s="8">
        <v>0</v>
      </c>
      <c r="EE277" s="8">
        <v>1</v>
      </c>
      <c r="EF277" s="8">
        <v>0</v>
      </c>
      <c r="EG277" s="8">
        <v>0</v>
      </c>
      <c r="EH277" s="8">
        <v>0</v>
      </c>
      <c r="EI277" s="8">
        <v>0</v>
      </c>
      <c r="EJ277" s="8">
        <v>9</v>
      </c>
      <c r="EK277" s="8">
        <v>3</v>
      </c>
      <c r="EL277" s="8">
        <v>0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8">
        <v>0</v>
      </c>
      <c r="FC277" s="8">
        <v>0</v>
      </c>
      <c r="FD277" s="8">
        <v>0</v>
      </c>
      <c r="FE277" s="8">
        <v>0</v>
      </c>
      <c r="FF277" s="8">
        <v>0</v>
      </c>
      <c r="FG277" s="9">
        <f t="shared" ref="FG277:FG287" si="1443">SUM(DW277,DX277,DY277,DZ277,EA277,EB277,EC277,ED277,EE277,EF277,EG277,EH277,EI277,EJ277,EK277,EL277,EM277,EN277,EO277,EP277,EQ277,ER277,ES277,ET277,EU277,EV277,EW277,EX277,EY277,EZ277,FA277,FB277,FC277,FD277,FE277,FF277)</f>
        <v>266</v>
      </c>
      <c r="FH277" s="8">
        <v>0</v>
      </c>
      <c r="FI277" s="8">
        <v>0</v>
      </c>
      <c r="FJ277" s="8">
        <v>0</v>
      </c>
      <c r="FK277" s="8">
        <v>0</v>
      </c>
      <c r="FL277" s="8">
        <v>0</v>
      </c>
      <c r="FM277" s="8">
        <v>0</v>
      </c>
      <c r="FN277" s="8">
        <v>0</v>
      </c>
      <c r="FO277" s="8">
        <v>0</v>
      </c>
      <c r="FP277" s="8">
        <v>0</v>
      </c>
      <c r="FQ277" s="9">
        <f t="shared" ref="FQ277:FQ287" si="1444">FL277+FM277+FN277+FO277+FP277</f>
        <v>0</v>
      </c>
      <c r="FR277" s="8">
        <v>4554488</v>
      </c>
      <c r="FS277" s="8">
        <v>106500</v>
      </c>
      <c r="FT277" s="8">
        <v>0</v>
      </c>
      <c r="FU277" s="8">
        <v>702050</v>
      </c>
      <c r="FV277" s="9">
        <f t="shared" ref="FV277:FV287" si="1445">FR277+FS277+FT277+FU277</f>
        <v>5363038</v>
      </c>
      <c r="FW277" s="8">
        <v>5299668</v>
      </c>
      <c r="FX277" s="8">
        <v>0</v>
      </c>
      <c r="FY277" s="8">
        <v>2532207</v>
      </c>
      <c r="FZ277" s="8">
        <v>1487198</v>
      </c>
      <c r="GA277" s="9">
        <f t="shared" ref="GA277:GA287" si="1446">FW277+FX277+FY277+FZ277</f>
        <v>9319073</v>
      </c>
      <c r="GB277" s="9">
        <f t="shared" ref="GB277:GB287" si="1447">FV277+GA277</f>
        <v>14682111</v>
      </c>
      <c r="GC277" s="8">
        <v>7241534</v>
      </c>
      <c r="GD277" s="8">
        <v>271426.32</v>
      </c>
      <c r="GE277" s="8">
        <v>264290.75</v>
      </c>
      <c r="GF277" s="8">
        <v>0</v>
      </c>
      <c r="GG277" s="9">
        <f t="shared" ref="GG277:GG287" si="1448">GC277+GD277+GE277+GF277</f>
        <v>7777251.0700000003</v>
      </c>
      <c r="GH277" s="8">
        <v>5299667.79</v>
      </c>
      <c r="GI277" s="8">
        <v>0</v>
      </c>
      <c r="GJ277" s="8">
        <v>2532207</v>
      </c>
      <c r="GK277" s="8">
        <v>1487198.39</v>
      </c>
      <c r="GL277" s="9">
        <f t="shared" ref="GL277:GL287" si="1449">GH277+GI277+GJ277+GK277</f>
        <v>9319073.1799999997</v>
      </c>
      <c r="GM277" s="9">
        <f t="shared" ref="GM277:GM287" si="1450">GG277+GL277</f>
        <v>17096324.25</v>
      </c>
      <c r="GN277" s="8">
        <v>699735</v>
      </c>
      <c r="GO277" s="8">
        <v>2486.64</v>
      </c>
      <c r="GP277" s="8">
        <v>3393.64</v>
      </c>
      <c r="GQ277" s="8">
        <v>0</v>
      </c>
      <c r="GR277" s="9">
        <f t="shared" ref="GR277:GR287" si="1451">GN277+GO277+GP277+GQ277</f>
        <v>705615.28</v>
      </c>
      <c r="GS277" s="8">
        <v>1121608</v>
      </c>
      <c r="GT277" s="8">
        <v>11609</v>
      </c>
      <c r="GU277" s="8">
        <v>893</v>
      </c>
      <c r="GV277" s="8">
        <v>0</v>
      </c>
      <c r="GW277" s="9">
        <f t="shared" ref="GW277:GW287" si="1452">GS277+GT277+GU277+GV277</f>
        <v>1134110</v>
      </c>
      <c r="GX277" s="9">
        <f t="shared" ref="GX277:GX287" si="1453">GM277+GR277+GW277</f>
        <v>18936049.530000001</v>
      </c>
      <c r="GY277" s="8">
        <v>24166906.469999999</v>
      </c>
      <c r="GZ277" s="8">
        <v>1303754.94</v>
      </c>
      <c r="HA277" s="9">
        <f t="shared" ref="HA277:HA308" si="1454">GY277+GZ277</f>
        <v>25470661.41</v>
      </c>
      <c r="HB277" s="9">
        <f t="shared" ref="HB277:HB287" si="1455">IF(GX277=0,"",AU277/GX277)</f>
        <v>0.11759664799524844</v>
      </c>
      <c r="HC277" s="10">
        <f t="shared" ref="HC277:HC287" si="1456">IF((GX277+GY277)=0,"",GB277/(GX277+GY277))</f>
        <v>0.34062886545414656</v>
      </c>
      <c r="HD277" s="9">
        <f t="shared" ref="HD277:HD287" si="1457">IF(GX277=0,"",GB277/GX277)</f>
        <v>0.7753523762566964</v>
      </c>
      <c r="HE277" s="8">
        <v>20</v>
      </c>
      <c r="HF277" s="8">
        <v>46</v>
      </c>
      <c r="HG277" s="8">
        <v>27</v>
      </c>
      <c r="HH277" s="8">
        <v>20</v>
      </c>
      <c r="HI277" s="8">
        <v>30</v>
      </c>
      <c r="HJ277" s="9">
        <f t="shared" ref="HJ277:HJ287" si="1458">HF277+HI277</f>
        <v>76</v>
      </c>
      <c r="HK277" s="10">
        <f t="shared" ref="HK277:HK287" si="1459">IF(HE277=0,"",HH277/HE277)</f>
        <v>1</v>
      </c>
      <c r="HL277" s="8">
        <v>0</v>
      </c>
      <c r="HM277" s="8">
        <v>0</v>
      </c>
      <c r="HN277" s="11" t="str">
        <f t="shared" ref="HN277:HN287" si="1460">IF(HL277=0,"",HM277/HL277)</f>
        <v/>
      </c>
    </row>
    <row r="278" spans="1:222" x14ac:dyDescent="0.3">
      <c r="A278" s="12" t="s">
        <v>289</v>
      </c>
      <c r="B278" s="12" t="s">
        <v>294</v>
      </c>
      <c r="C278" s="13" t="s">
        <v>257</v>
      </c>
      <c r="D278" s="13">
        <v>2026</v>
      </c>
      <c r="E278" s="13">
        <v>3</v>
      </c>
      <c r="F278" s="13" t="s">
        <v>273</v>
      </c>
      <c r="G278" s="13" t="s">
        <v>271</v>
      </c>
      <c r="H278" s="14">
        <v>20128</v>
      </c>
      <c r="I278" s="14">
        <v>8599</v>
      </c>
      <c r="J278" s="14">
        <v>1432</v>
      </c>
      <c r="K278" s="14">
        <v>81</v>
      </c>
      <c r="L278" s="14">
        <v>0</v>
      </c>
      <c r="M278" s="15">
        <f t="shared" si="1400"/>
        <v>10112</v>
      </c>
      <c r="N278" s="14">
        <v>4466</v>
      </c>
      <c r="O278" s="14">
        <v>0</v>
      </c>
      <c r="P278" s="14">
        <v>1193</v>
      </c>
      <c r="Q278" s="14">
        <v>269</v>
      </c>
      <c r="R278" s="15">
        <f t="shared" si="1401"/>
        <v>5928</v>
      </c>
      <c r="S278" s="15">
        <f t="shared" si="1402"/>
        <v>16040</v>
      </c>
      <c r="T278" s="14">
        <v>4088</v>
      </c>
      <c r="U278" s="16">
        <f t="shared" si="1403"/>
        <v>0.20310015898251194</v>
      </c>
      <c r="V278" s="14">
        <v>11</v>
      </c>
      <c r="W278" s="17">
        <f t="shared" si="1404"/>
        <v>5.4650238473767882E-4</v>
      </c>
      <c r="X278" s="14">
        <v>0</v>
      </c>
      <c r="Y278" s="17">
        <f t="shared" si="1405"/>
        <v>0</v>
      </c>
      <c r="Z278" s="14">
        <v>0</v>
      </c>
      <c r="AA278" s="17">
        <f t="shared" si="1406"/>
        <v>0</v>
      </c>
      <c r="AB278" s="14">
        <v>0</v>
      </c>
      <c r="AC278" s="17">
        <f t="shared" si="1407"/>
        <v>0</v>
      </c>
      <c r="AD278" s="14">
        <v>0</v>
      </c>
      <c r="AE278" s="17">
        <f t="shared" si="1408"/>
        <v>0</v>
      </c>
      <c r="AF278" s="14">
        <v>0</v>
      </c>
      <c r="AG278" s="17">
        <f t="shared" si="1409"/>
        <v>0</v>
      </c>
      <c r="AH278" s="14">
        <v>38778.19</v>
      </c>
      <c r="AI278" s="15">
        <f t="shared" si="1410"/>
        <v>1.9265793918918921</v>
      </c>
      <c r="AJ278" s="14">
        <v>12055</v>
      </c>
      <c r="AK278" s="17">
        <f t="shared" si="1411"/>
        <v>0.59891693163751991</v>
      </c>
      <c r="AL278" s="14">
        <v>16426.5</v>
      </c>
      <c r="AM278" s="15">
        <f t="shared" si="1412"/>
        <v>0.81610194753577103</v>
      </c>
      <c r="AN278" s="14">
        <v>436</v>
      </c>
      <c r="AO278" s="14">
        <v>60</v>
      </c>
      <c r="AP278" s="14">
        <v>275700</v>
      </c>
      <c r="AQ278" s="14">
        <v>0</v>
      </c>
      <c r="AR278" s="14">
        <v>0</v>
      </c>
      <c r="AS278" s="14">
        <v>0</v>
      </c>
      <c r="AT278" s="14">
        <v>0</v>
      </c>
      <c r="AU278" s="15">
        <f t="shared" si="1413"/>
        <v>330904.69</v>
      </c>
      <c r="AV278" s="15">
        <f t="shared" si="1414"/>
        <v>16.440018382352942</v>
      </c>
      <c r="AW278" s="15">
        <f t="shared" si="1415"/>
        <v>20.62996820448878</v>
      </c>
      <c r="AX278" s="14">
        <v>8</v>
      </c>
      <c r="AY278" s="15">
        <f t="shared" si="1416"/>
        <v>4.7694753577106521</v>
      </c>
      <c r="AZ278" s="14">
        <v>7</v>
      </c>
      <c r="BA278" s="14">
        <v>27</v>
      </c>
      <c r="BB278" s="14">
        <v>15</v>
      </c>
      <c r="BC278" s="14">
        <v>26</v>
      </c>
      <c r="BD278" s="14">
        <v>0</v>
      </c>
      <c r="BE278" s="15">
        <f t="shared" si="1417"/>
        <v>26</v>
      </c>
      <c r="BF278" s="15">
        <f t="shared" si="1418"/>
        <v>16</v>
      </c>
      <c r="BG278" s="14">
        <v>0</v>
      </c>
      <c r="BH278" s="14">
        <v>0</v>
      </c>
      <c r="BI278" s="14">
        <v>0</v>
      </c>
      <c r="BJ278" s="14">
        <v>0</v>
      </c>
      <c r="BK278" s="15">
        <f t="shared" si="1419"/>
        <v>0</v>
      </c>
      <c r="BL278" s="15">
        <f t="shared" si="1420"/>
        <v>0</v>
      </c>
      <c r="BM278" s="14">
        <v>0</v>
      </c>
      <c r="BN278" s="14">
        <v>0</v>
      </c>
      <c r="BO278" s="14">
        <v>0</v>
      </c>
      <c r="BP278" s="14">
        <v>0</v>
      </c>
      <c r="BQ278" s="15">
        <f t="shared" si="1421"/>
        <v>0</v>
      </c>
      <c r="BR278" s="15">
        <f t="shared" si="1422"/>
        <v>0</v>
      </c>
      <c r="BS278" s="14">
        <v>0</v>
      </c>
      <c r="BT278" s="14">
        <v>0</v>
      </c>
      <c r="BU278" s="14">
        <v>0</v>
      </c>
      <c r="BV278" s="14">
        <v>0</v>
      </c>
      <c r="BW278" s="15">
        <f t="shared" si="1423"/>
        <v>0</v>
      </c>
      <c r="BX278" s="15">
        <f t="shared" si="1424"/>
        <v>0</v>
      </c>
      <c r="BY278" s="15">
        <f t="shared" si="1425"/>
        <v>27</v>
      </c>
      <c r="BZ278" s="15">
        <f t="shared" si="1426"/>
        <v>15</v>
      </c>
      <c r="CA278" s="15">
        <f t="shared" si="1427"/>
        <v>26</v>
      </c>
      <c r="CB278" s="15">
        <f t="shared" si="1428"/>
        <v>16</v>
      </c>
      <c r="CC278" s="14">
        <v>0</v>
      </c>
      <c r="CD278" s="14">
        <v>559</v>
      </c>
      <c r="CE278" s="14">
        <v>20</v>
      </c>
      <c r="CF278" s="14">
        <v>3</v>
      </c>
      <c r="CG278" s="14">
        <v>21</v>
      </c>
      <c r="CH278" s="15">
        <f t="shared" si="1429"/>
        <v>603</v>
      </c>
      <c r="CI278" s="14">
        <v>1359</v>
      </c>
      <c r="CJ278" s="14">
        <v>10</v>
      </c>
      <c r="CK278" s="14">
        <v>3</v>
      </c>
      <c r="CL278" s="14">
        <v>8</v>
      </c>
      <c r="CM278" s="15">
        <f t="shared" si="1430"/>
        <v>1380</v>
      </c>
      <c r="CN278" s="14">
        <v>531</v>
      </c>
      <c r="CO278" s="14">
        <v>52</v>
      </c>
      <c r="CP278" s="14">
        <v>49</v>
      </c>
      <c r="CQ278" s="14">
        <v>1</v>
      </c>
      <c r="CR278" s="15">
        <f t="shared" si="1431"/>
        <v>633</v>
      </c>
      <c r="CS278" s="15">
        <f t="shared" si="1432"/>
        <v>2013</v>
      </c>
      <c r="CT278" s="14">
        <v>2616</v>
      </c>
      <c r="CU278" s="14">
        <v>26230.544608932891</v>
      </c>
      <c r="CV278" s="14">
        <v>18046</v>
      </c>
      <c r="CW278" s="16">
        <f t="shared" si="1433"/>
        <v>0.68797656583364952</v>
      </c>
      <c r="CX278" s="14"/>
      <c r="CY278" s="14"/>
      <c r="CZ278" s="14"/>
      <c r="DA278" s="14"/>
      <c r="DB278" s="15">
        <f t="shared" si="1434"/>
        <v>0</v>
      </c>
      <c r="DC278" s="14">
        <v>0</v>
      </c>
      <c r="DD278" s="14">
        <v>0</v>
      </c>
      <c r="DE278" s="14">
        <v>0</v>
      </c>
      <c r="DF278" s="14">
        <v>0</v>
      </c>
      <c r="DG278" s="15">
        <f t="shared" si="1435"/>
        <v>0</v>
      </c>
      <c r="DH278" s="14">
        <v>4</v>
      </c>
      <c r="DI278" s="14">
        <v>0</v>
      </c>
      <c r="DJ278" s="14">
        <v>0</v>
      </c>
      <c r="DK278" s="14">
        <v>0</v>
      </c>
      <c r="DL278" s="15">
        <f t="shared" si="1436"/>
        <v>4</v>
      </c>
      <c r="DM278" s="14">
        <v>145</v>
      </c>
      <c r="DN278" s="14">
        <v>3</v>
      </c>
      <c r="DO278" s="14">
        <v>0</v>
      </c>
      <c r="DP278" s="14">
        <v>0</v>
      </c>
      <c r="DQ278" s="15">
        <f t="shared" si="1437"/>
        <v>148</v>
      </c>
      <c r="DR278" s="15">
        <f t="shared" si="1438"/>
        <v>149</v>
      </c>
      <c r="DS278" s="15">
        <f t="shared" si="1439"/>
        <v>3</v>
      </c>
      <c r="DT278" s="15">
        <f t="shared" si="1440"/>
        <v>0</v>
      </c>
      <c r="DU278" s="15">
        <f t="shared" si="1441"/>
        <v>0</v>
      </c>
      <c r="DV278" s="15">
        <f t="shared" si="1442"/>
        <v>152</v>
      </c>
      <c r="DW278" s="14">
        <v>130</v>
      </c>
      <c r="DX278" s="14">
        <v>81</v>
      </c>
      <c r="DY278" s="14">
        <v>20</v>
      </c>
      <c r="DZ278" s="14">
        <v>15</v>
      </c>
      <c r="EA278" s="14">
        <v>6</v>
      </c>
      <c r="EB278" s="14">
        <v>3</v>
      </c>
      <c r="EC278" s="14">
        <v>0</v>
      </c>
      <c r="ED278" s="14">
        <v>5</v>
      </c>
      <c r="EE278" s="14">
        <v>2</v>
      </c>
      <c r="EF278" s="14">
        <v>0</v>
      </c>
      <c r="EG278" s="14">
        <v>0</v>
      </c>
      <c r="EH278" s="14">
        <v>0</v>
      </c>
      <c r="EI278" s="14">
        <v>0</v>
      </c>
      <c r="EJ278" s="14">
        <v>20</v>
      </c>
      <c r="EK278" s="14">
        <v>1</v>
      </c>
      <c r="EL278" s="14">
        <v>0</v>
      </c>
      <c r="EM278" s="14">
        <v>0</v>
      </c>
      <c r="EN278" s="14">
        <v>0</v>
      </c>
      <c r="EO278" s="14">
        <v>0</v>
      </c>
      <c r="EP278" s="14">
        <v>0</v>
      </c>
      <c r="EQ278" s="14">
        <v>0</v>
      </c>
      <c r="ER278" s="14">
        <v>0</v>
      </c>
      <c r="ES278" s="14">
        <v>0</v>
      </c>
      <c r="ET278" s="14">
        <v>0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5">
        <f t="shared" si="1443"/>
        <v>283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0</v>
      </c>
      <c r="FN278" s="14">
        <v>0</v>
      </c>
      <c r="FO278" s="14">
        <v>0</v>
      </c>
      <c r="FP278" s="14">
        <v>0</v>
      </c>
      <c r="FQ278" s="15">
        <f t="shared" si="1444"/>
        <v>0</v>
      </c>
      <c r="FR278" s="14">
        <v>6898798.3300000001</v>
      </c>
      <c r="FS278" s="14">
        <v>44000</v>
      </c>
      <c r="FT278" s="14">
        <v>0</v>
      </c>
      <c r="FU278" s="14">
        <v>0</v>
      </c>
      <c r="FV278" s="15">
        <f t="shared" si="1445"/>
        <v>6942798.3300000001</v>
      </c>
      <c r="FW278" s="14">
        <v>6159994</v>
      </c>
      <c r="FX278" s="14">
        <v>0</v>
      </c>
      <c r="FY278" s="14">
        <v>7691911</v>
      </c>
      <c r="FZ278" s="14">
        <v>1802200</v>
      </c>
      <c r="GA278" s="15">
        <f t="shared" si="1446"/>
        <v>15654105</v>
      </c>
      <c r="GB278" s="15">
        <f t="shared" si="1447"/>
        <v>22596903.329999998</v>
      </c>
      <c r="GC278" s="14">
        <v>7884278.4199999999</v>
      </c>
      <c r="GD278" s="14">
        <v>273912.96000000002</v>
      </c>
      <c r="GE278" s="14">
        <v>267750.21999999997</v>
      </c>
      <c r="GF278" s="14">
        <v>0</v>
      </c>
      <c r="GG278" s="15">
        <f t="shared" si="1448"/>
        <v>8425941.5999999996</v>
      </c>
      <c r="GH278" s="14">
        <v>6084803.9199999999</v>
      </c>
      <c r="GI278" s="14">
        <v>0</v>
      </c>
      <c r="GJ278" s="14">
        <v>5744911.1200000001</v>
      </c>
      <c r="GK278" s="14">
        <v>1802200</v>
      </c>
      <c r="GL278" s="15">
        <f t="shared" si="1449"/>
        <v>13631915.039999999</v>
      </c>
      <c r="GM278" s="15">
        <f t="shared" si="1450"/>
        <v>22057856.640000001</v>
      </c>
      <c r="GN278" s="14">
        <v>699734.8</v>
      </c>
      <c r="GO278" s="14">
        <v>2486.64</v>
      </c>
      <c r="GP278" s="14">
        <v>3393.64</v>
      </c>
      <c r="GQ278" s="14">
        <v>0</v>
      </c>
      <c r="GR278" s="15">
        <f t="shared" si="1451"/>
        <v>705615.08000000007</v>
      </c>
      <c r="GS278" s="14">
        <v>1121608</v>
      </c>
      <c r="GT278" s="14">
        <v>11609</v>
      </c>
      <c r="GU278" s="14">
        <v>893</v>
      </c>
      <c r="GV278" s="14">
        <v>0</v>
      </c>
      <c r="GW278" s="15">
        <f t="shared" si="1452"/>
        <v>1134110</v>
      </c>
      <c r="GX278" s="15">
        <f t="shared" si="1453"/>
        <v>23897581.719999999</v>
      </c>
      <c r="GY278" s="14">
        <v>26894534.059999999</v>
      </c>
      <c r="GZ278" s="14">
        <v>1058929.8899999999</v>
      </c>
      <c r="HA278" s="15">
        <f t="shared" si="1454"/>
        <v>27953463.949999999</v>
      </c>
      <c r="HB278" s="15">
        <f t="shared" si="1455"/>
        <v>1.3846785581783963E-2</v>
      </c>
      <c r="HC278" s="16">
        <f t="shared" si="1456"/>
        <v>0.44488997914313694</v>
      </c>
      <c r="HD278" s="15">
        <f t="shared" si="1457"/>
        <v>0.9455728029204119</v>
      </c>
      <c r="HE278" s="14">
        <v>15</v>
      </c>
      <c r="HF278" s="14">
        <v>5</v>
      </c>
      <c r="HG278" s="14">
        <v>16</v>
      </c>
      <c r="HH278" s="14">
        <v>15</v>
      </c>
      <c r="HI278" s="14">
        <v>5</v>
      </c>
      <c r="HJ278" s="15">
        <f t="shared" si="1458"/>
        <v>10</v>
      </c>
      <c r="HK278" s="16">
        <f t="shared" si="1459"/>
        <v>1</v>
      </c>
      <c r="HL278" s="14">
        <v>15</v>
      </c>
      <c r="HM278" s="14">
        <v>5</v>
      </c>
      <c r="HN278" s="17">
        <f t="shared" si="1460"/>
        <v>0.33333333333333331</v>
      </c>
    </row>
    <row r="279" spans="1:222" x14ac:dyDescent="0.3">
      <c r="A279" s="6" t="s">
        <v>295</v>
      </c>
      <c r="B279" s="6" t="s">
        <v>296</v>
      </c>
      <c r="C279" s="7" t="s">
        <v>257</v>
      </c>
      <c r="D279" s="7">
        <v>2025</v>
      </c>
      <c r="E279" s="7">
        <v>4</v>
      </c>
      <c r="F279" s="7" t="s">
        <v>258</v>
      </c>
      <c r="G279" s="7" t="s">
        <v>259</v>
      </c>
      <c r="H279" s="8">
        <v>2574</v>
      </c>
      <c r="I279" s="8">
        <v>123</v>
      </c>
      <c r="J279" s="8">
        <v>0</v>
      </c>
      <c r="K279" s="8">
        <v>25</v>
      </c>
      <c r="L279" s="8">
        <v>9</v>
      </c>
      <c r="M279" s="9">
        <f t="shared" si="1400"/>
        <v>157</v>
      </c>
      <c r="N279" s="8">
        <v>2017.49999999999</v>
      </c>
      <c r="O279" s="8">
        <v>0</v>
      </c>
      <c r="P279" s="8">
        <v>17.3</v>
      </c>
      <c r="Q279" s="8">
        <v>21.8</v>
      </c>
      <c r="R279" s="9">
        <f t="shared" si="1401"/>
        <v>2056.5999999999899</v>
      </c>
      <c r="S279" s="9">
        <f t="shared" si="1402"/>
        <v>2213.5999999999899</v>
      </c>
      <c r="T279" s="8">
        <v>360.40000000000902</v>
      </c>
      <c r="U279" s="10">
        <f t="shared" si="1403"/>
        <v>0.1400155400155435</v>
      </c>
      <c r="V279" s="8">
        <v>6.5</v>
      </c>
      <c r="W279" s="11">
        <f t="shared" si="1404"/>
        <v>2.5252525252525255E-3</v>
      </c>
      <c r="X279" s="8">
        <v>0</v>
      </c>
      <c r="Y279" s="11">
        <f t="shared" si="1405"/>
        <v>0</v>
      </c>
      <c r="Z279" s="8">
        <v>0</v>
      </c>
      <c r="AA279" s="11">
        <f t="shared" si="1406"/>
        <v>0</v>
      </c>
      <c r="AB279" s="8">
        <v>0</v>
      </c>
      <c r="AC279" s="11">
        <f t="shared" si="1407"/>
        <v>0</v>
      </c>
      <c r="AD279" s="8">
        <v>0</v>
      </c>
      <c r="AE279" s="11">
        <f t="shared" si="1408"/>
        <v>0</v>
      </c>
      <c r="AF279" s="8">
        <v>0</v>
      </c>
      <c r="AG279" s="11">
        <f t="shared" si="1409"/>
        <v>0</v>
      </c>
      <c r="AH279" s="8">
        <v>169000</v>
      </c>
      <c r="AI279" s="9">
        <f t="shared" si="1410"/>
        <v>65.656565656565661</v>
      </c>
      <c r="AJ279" s="8">
        <v>15.12</v>
      </c>
      <c r="AK279" s="11">
        <f t="shared" si="1411"/>
        <v>5.8741258741258741E-3</v>
      </c>
      <c r="AL279" s="8">
        <v>35738.882080000003</v>
      </c>
      <c r="AM279" s="9">
        <f t="shared" si="1412"/>
        <v>13.884569572649573</v>
      </c>
      <c r="AN279" s="8">
        <v>0</v>
      </c>
      <c r="AO279" s="8">
        <v>0</v>
      </c>
      <c r="AP279" s="8">
        <v>0</v>
      </c>
      <c r="AQ279" s="8">
        <v>0</v>
      </c>
      <c r="AR279" s="8">
        <v>3138458.73</v>
      </c>
      <c r="AS279" s="8">
        <v>562148.93000000005</v>
      </c>
      <c r="AT279" s="8">
        <v>0</v>
      </c>
      <c r="AU279" s="9">
        <f t="shared" si="1413"/>
        <v>3905346.54208</v>
      </c>
      <c r="AV279" s="9">
        <f t="shared" si="1414"/>
        <v>1517.2286488267289</v>
      </c>
      <c r="AW279" s="9">
        <f t="shared" si="1415"/>
        <v>1764.2512387423283</v>
      </c>
      <c r="AX279" s="8">
        <v>4</v>
      </c>
      <c r="AY279" s="9">
        <f t="shared" si="1416"/>
        <v>18.648018648018649</v>
      </c>
      <c r="AZ279" s="8">
        <v>6</v>
      </c>
      <c r="BA279" s="8">
        <v>12</v>
      </c>
      <c r="BB279" s="8">
        <v>1</v>
      </c>
      <c r="BC279" s="8">
        <v>11</v>
      </c>
      <c r="BD279" s="8">
        <v>0</v>
      </c>
      <c r="BE279" s="9">
        <f t="shared" si="1417"/>
        <v>11</v>
      </c>
      <c r="BF279" s="9">
        <f t="shared" si="1418"/>
        <v>2</v>
      </c>
      <c r="BG279" s="8">
        <v>0</v>
      </c>
      <c r="BH279" s="8">
        <v>0</v>
      </c>
      <c r="BI279" s="8">
        <v>0</v>
      </c>
      <c r="BJ279" s="8">
        <v>0</v>
      </c>
      <c r="BK279" s="9">
        <f t="shared" si="1419"/>
        <v>0</v>
      </c>
      <c r="BL279" s="9">
        <f t="shared" si="1420"/>
        <v>0</v>
      </c>
      <c r="BM279" s="8">
        <v>0</v>
      </c>
      <c r="BN279" s="8">
        <v>0</v>
      </c>
      <c r="BO279" s="8">
        <v>0</v>
      </c>
      <c r="BP279" s="8">
        <v>0</v>
      </c>
      <c r="BQ279" s="9">
        <f t="shared" si="1421"/>
        <v>0</v>
      </c>
      <c r="BR279" s="9">
        <f t="shared" si="1422"/>
        <v>0</v>
      </c>
      <c r="BS279" s="8">
        <v>0</v>
      </c>
      <c r="BT279" s="8">
        <v>0</v>
      </c>
      <c r="BU279" s="8">
        <v>0</v>
      </c>
      <c r="BV279" s="8">
        <v>0</v>
      </c>
      <c r="BW279" s="9">
        <f t="shared" si="1423"/>
        <v>0</v>
      </c>
      <c r="BX279" s="9">
        <f t="shared" si="1424"/>
        <v>0</v>
      </c>
      <c r="BY279" s="9">
        <f t="shared" si="1425"/>
        <v>12</v>
      </c>
      <c r="BZ279" s="9">
        <f t="shared" si="1426"/>
        <v>1</v>
      </c>
      <c r="CA279" s="9">
        <f t="shared" si="1427"/>
        <v>11</v>
      </c>
      <c r="CB279" s="9">
        <f t="shared" si="1428"/>
        <v>2</v>
      </c>
      <c r="CC279" s="8">
        <v>3</v>
      </c>
      <c r="CD279" s="8">
        <v>129</v>
      </c>
      <c r="CE279" s="8">
        <v>47</v>
      </c>
      <c r="CF279" s="8">
        <v>9</v>
      </c>
      <c r="CG279" s="8">
        <v>0</v>
      </c>
      <c r="CH279" s="9">
        <f t="shared" si="1429"/>
        <v>185</v>
      </c>
      <c r="CI279" s="8">
        <v>22</v>
      </c>
      <c r="CJ279" s="8">
        <v>3</v>
      </c>
      <c r="CK279" s="8">
        <v>2</v>
      </c>
      <c r="CL279" s="8">
        <v>0</v>
      </c>
      <c r="CM279" s="9">
        <f t="shared" si="1430"/>
        <v>27</v>
      </c>
      <c r="CN279" s="8">
        <v>241</v>
      </c>
      <c r="CO279" s="8">
        <v>14</v>
      </c>
      <c r="CP279" s="8">
        <v>2</v>
      </c>
      <c r="CQ279" s="8">
        <v>0</v>
      </c>
      <c r="CR279" s="9">
        <f t="shared" si="1431"/>
        <v>257</v>
      </c>
      <c r="CS279" s="9">
        <f t="shared" si="1432"/>
        <v>284</v>
      </c>
      <c r="CT279" s="8">
        <v>469</v>
      </c>
      <c r="CU279" s="8">
        <v>3398</v>
      </c>
      <c r="CV279" s="8">
        <v>2524.3000000000002</v>
      </c>
      <c r="CW279" s="10">
        <f t="shared" si="1433"/>
        <v>0.74287816362566217</v>
      </c>
      <c r="CX279" s="8">
        <v>0</v>
      </c>
      <c r="CY279" s="8">
        <v>0</v>
      </c>
      <c r="CZ279" s="8">
        <v>0</v>
      </c>
      <c r="DA279" s="8">
        <v>0</v>
      </c>
      <c r="DB279" s="9">
        <f t="shared" si="1434"/>
        <v>0</v>
      </c>
      <c r="DC279" s="8">
        <v>0</v>
      </c>
      <c r="DD279" s="8">
        <v>0</v>
      </c>
      <c r="DE279" s="8">
        <v>0</v>
      </c>
      <c r="DF279" s="8">
        <v>0</v>
      </c>
      <c r="DG279" s="9">
        <f t="shared" si="1435"/>
        <v>0</v>
      </c>
      <c r="DH279" s="8">
        <v>0</v>
      </c>
      <c r="DI279" s="8">
        <v>0</v>
      </c>
      <c r="DJ279" s="8">
        <v>0</v>
      </c>
      <c r="DK279" s="8">
        <v>0</v>
      </c>
      <c r="DL279" s="9">
        <f t="shared" si="1436"/>
        <v>0</v>
      </c>
      <c r="DM279" s="8">
        <v>0</v>
      </c>
      <c r="DN279" s="8">
        <v>0</v>
      </c>
      <c r="DO279" s="8">
        <v>0</v>
      </c>
      <c r="DP279" s="8">
        <v>0</v>
      </c>
      <c r="DQ279" s="9">
        <f t="shared" si="1437"/>
        <v>0</v>
      </c>
      <c r="DR279" s="9">
        <f t="shared" si="1438"/>
        <v>0</v>
      </c>
      <c r="DS279" s="9">
        <f t="shared" si="1439"/>
        <v>0</v>
      </c>
      <c r="DT279" s="9">
        <f t="shared" si="1440"/>
        <v>0</v>
      </c>
      <c r="DU279" s="9">
        <f t="shared" si="1441"/>
        <v>0</v>
      </c>
      <c r="DV279" s="9">
        <f t="shared" si="1442"/>
        <v>0</v>
      </c>
      <c r="DW279" s="8">
        <v>6</v>
      </c>
      <c r="DX279" s="8">
        <v>3</v>
      </c>
      <c r="DY279" s="8">
        <v>3</v>
      </c>
      <c r="DZ279" s="8">
        <v>2</v>
      </c>
      <c r="EA279" s="8">
        <v>1</v>
      </c>
      <c r="EB279" s="8">
        <v>1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9">
        <f t="shared" si="1443"/>
        <v>16</v>
      </c>
      <c r="FH279" s="8">
        <v>0</v>
      </c>
      <c r="FI279" s="8">
        <v>0</v>
      </c>
      <c r="FJ279" s="8">
        <v>15</v>
      </c>
      <c r="FK279" s="8">
        <v>0</v>
      </c>
      <c r="FL279" s="8">
        <v>0</v>
      </c>
      <c r="FM279" s="8">
        <v>0</v>
      </c>
      <c r="FN279" s="8">
        <v>0</v>
      </c>
      <c r="FO279" s="8">
        <v>0</v>
      </c>
      <c r="FP279" s="8">
        <v>0</v>
      </c>
      <c r="FQ279" s="9">
        <f t="shared" si="1444"/>
        <v>0</v>
      </c>
      <c r="FR279" s="8">
        <v>0</v>
      </c>
      <c r="FS279" s="8">
        <v>0</v>
      </c>
      <c r="FT279" s="8">
        <v>0</v>
      </c>
      <c r="FU279" s="8">
        <v>0</v>
      </c>
      <c r="FV279" s="9">
        <f t="shared" si="1445"/>
        <v>0</v>
      </c>
      <c r="FW279" s="8">
        <v>2620434</v>
      </c>
      <c r="FX279" s="8">
        <v>0</v>
      </c>
      <c r="FY279" s="8">
        <v>102864.05</v>
      </c>
      <c r="FZ279" s="8">
        <v>62600</v>
      </c>
      <c r="GA279" s="9">
        <f t="shared" si="1446"/>
        <v>2785898.05</v>
      </c>
      <c r="GB279" s="9">
        <f t="shared" si="1447"/>
        <v>2785898.05</v>
      </c>
      <c r="GC279" s="8">
        <v>128951.83</v>
      </c>
      <c r="GD279" s="8">
        <v>0</v>
      </c>
      <c r="GE279" s="8">
        <v>80463.47</v>
      </c>
      <c r="GF279" s="8">
        <v>20207.62</v>
      </c>
      <c r="GG279" s="9">
        <f t="shared" si="1448"/>
        <v>229622.91999999998</v>
      </c>
      <c r="GH279" s="8">
        <v>2517256.7200000002</v>
      </c>
      <c r="GI279" s="8">
        <v>0</v>
      </c>
      <c r="GJ279" s="8">
        <v>53600</v>
      </c>
      <c r="GK279" s="8">
        <v>102864.04</v>
      </c>
      <c r="GL279" s="9">
        <f t="shared" si="1449"/>
        <v>2673720.7600000002</v>
      </c>
      <c r="GM279" s="9">
        <f t="shared" si="1450"/>
        <v>2903343.68</v>
      </c>
      <c r="GN279" s="8">
        <v>11496.91</v>
      </c>
      <c r="GO279" s="8">
        <v>0</v>
      </c>
      <c r="GP279" s="8">
        <v>10180.92</v>
      </c>
      <c r="GQ279" s="8">
        <v>9274.68</v>
      </c>
      <c r="GR279" s="9">
        <f t="shared" si="1451"/>
        <v>30952.510000000002</v>
      </c>
      <c r="GS279" s="8">
        <v>19646</v>
      </c>
      <c r="GT279" s="8">
        <v>0</v>
      </c>
      <c r="GU279" s="8">
        <v>2679</v>
      </c>
      <c r="GV279" s="8">
        <v>1786</v>
      </c>
      <c r="GW279" s="9">
        <f t="shared" si="1452"/>
        <v>24111</v>
      </c>
      <c r="GX279" s="9">
        <f t="shared" si="1453"/>
        <v>2958407.19</v>
      </c>
      <c r="GY279" s="8">
        <v>11717196.319999989</v>
      </c>
      <c r="GZ279" s="8">
        <v>-30403.8</v>
      </c>
      <c r="HA279" s="9">
        <f t="shared" si="1454"/>
        <v>11686792.519999988</v>
      </c>
      <c r="HB279" s="9">
        <f t="shared" si="1455"/>
        <v>1.3200841842464559</v>
      </c>
      <c r="HC279" s="10">
        <f t="shared" si="1456"/>
        <v>0.18983192398879425</v>
      </c>
      <c r="HD279" s="9">
        <f t="shared" si="1457"/>
        <v>0.94168850705098506</v>
      </c>
      <c r="HE279" s="8">
        <v>1</v>
      </c>
      <c r="HF279" s="8">
        <v>1</v>
      </c>
      <c r="HG279" s="8">
        <v>2</v>
      </c>
      <c r="HH279" s="8">
        <v>1</v>
      </c>
      <c r="HI279" s="8">
        <v>1</v>
      </c>
      <c r="HJ279" s="9">
        <f t="shared" si="1458"/>
        <v>2</v>
      </c>
      <c r="HK279" s="10">
        <f t="shared" si="1459"/>
        <v>1</v>
      </c>
      <c r="HL279" s="8">
        <v>0</v>
      </c>
      <c r="HM279" s="8">
        <v>0</v>
      </c>
      <c r="HN279" s="11" t="str">
        <f t="shared" si="1460"/>
        <v/>
      </c>
    </row>
    <row r="280" spans="1:222" x14ac:dyDescent="0.3">
      <c r="A280" s="12" t="s">
        <v>295</v>
      </c>
      <c r="B280" s="12" t="s">
        <v>296</v>
      </c>
      <c r="C280" s="13" t="s">
        <v>257</v>
      </c>
      <c r="D280" s="13">
        <v>2025</v>
      </c>
      <c r="E280" s="13">
        <v>5</v>
      </c>
      <c r="F280" s="13" t="s">
        <v>260</v>
      </c>
      <c r="G280" s="13" t="s">
        <v>259</v>
      </c>
      <c r="H280" s="14">
        <v>3044</v>
      </c>
      <c r="I280" s="14">
        <v>169</v>
      </c>
      <c r="J280" s="14">
        <v>0</v>
      </c>
      <c r="K280" s="14">
        <v>18</v>
      </c>
      <c r="L280" s="14">
        <v>5</v>
      </c>
      <c r="M280" s="15">
        <f t="shared" si="1400"/>
        <v>192</v>
      </c>
      <c r="N280" s="14">
        <v>1743.8</v>
      </c>
      <c r="O280" s="14">
        <v>0</v>
      </c>
      <c r="P280" s="14">
        <v>124.4</v>
      </c>
      <c r="Q280" s="14">
        <v>35.6</v>
      </c>
      <c r="R280" s="15">
        <f t="shared" si="1401"/>
        <v>1903.8</v>
      </c>
      <c r="S280" s="15">
        <f t="shared" si="1402"/>
        <v>2095.8000000000002</v>
      </c>
      <c r="T280" s="14">
        <v>948.20000000000198</v>
      </c>
      <c r="U280" s="16">
        <f t="shared" si="1403"/>
        <v>0.31149802890933048</v>
      </c>
      <c r="V280" s="14">
        <v>6.5</v>
      </c>
      <c r="W280" s="17">
        <f t="shared" si="1404"/>
        <v>2.1353482260183967E-3</v>
      </c>
      <c r="X280" s="14">
        <v>0</v>
      </c>
      <c r="Y280" s="17">
        <f t="shared" si="1405"/>
        <v>0</v>
      </c>
      <c r="Z280" s="14">
        <v>0</v>
      </c>
      <c r="AA280" s="17">
        <f t="shared" si="1406"/>
        <v>0</v>
      </c>
      <c r="AB280" s="14">
        <v>0</v>
      </c>
      <c r="AC280" s="17">
        <f t="shared" si="1407"/>
        <v>0</v>
      </c>
      <c r="AD280" s="14">
        <v>0</v>
      </c>
      <c r="AE280" s="17">
        <f t="shared" si="1408"/>
        <v>0</v>
      </c>
      <c r="AF280" s="14">
        <v>0</v>
      </c>
      <c r="AG280" s="17">
        <f t="shared" si="1409"/>
        <v>0</v>
      </c>
      <c r="AH280" s="14">
        <v>169000</v>
      </c>
      <c r="AI280" s="15">
        <f t="shared" si="1410"/>
        <v>55.519053876478317</v>
      </c>
      <c r="AJ280" s="14">
        <v>14.01</v>
      </c>
      <c r="AK280" s="17">
        <f t="shared" si="1411"/>
        <v>4.6024967148488834E-3</v>
      </c>
      <c r="AL280" s="14">
        <v>35435.50909</v>
      </c>
      <c r="AM280" s="15">
        <f t="shared" si="1412"/>
        <v>11.641100226675427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5">
        <f t="shared" si="1413"/>
        <v>204435.50909000001</v>
      </c>
      <c r="AV280" s="15">
        <f t="shared" si="1414"/>
        <v>67.160154103153744</v>
      </c>
      <c r="AW280" s="15">
        <f t="shared" si="1415"/>
        <v>97.545333089989498</v>
      </c>
      <c r="AX280" s="14">
        <v>4</v>
      </c>
      <c r="AY280" s="15">
        <f t="shared" si="1416"/>
        <v>15.768725361366624</v>
      </c>
      <c r="AZ280" s="14">
        <v>6</v>
      </c>
      <c r="BA280" s="14">
        <v>2</v>
      </c>
      <c r="BB280" s="14">
        <v>0</v>
      </c>
      <c r="BC280" s="14">
        <v>2</v>
      </c>
      <c r="BD280" s="14">
        <v>0</v>
      </c>
      <c r="BE280" s="15">
        <f t="shared" si="1417"/>
        <v>2</v>
      </c>
      <c r="BF280" s="15">
        <f t="shared" si="1418"/>
        <v>0</v>
      </c>
      <c r="BG280" s="14">
        <v>0</v>
      </c>
      <c r="BH280" s="14">
        <v>0</v>
      </c>
      <c r="BI280" s="14">
        <v>0</v>
      </c>
      <c r="BJ280" s="14">
        <v>0</v>
      </c>
      <c r="BK280" s="15">
        <f t="shared" si="1419"/>
        <v>0</v>
      </c>
      <c r="BL280" s="15">
        <f t="shared" si="1420"/>
        <v>0</v>
      </c>
      <c r="BM280" s="14">
        <v>0</v>
      </c>
      <c r="BN280" s="14">
        <v>0</v>
      </c>
      <c r="BO280" s="14">
        <v>0</v>
      </c>
      <c r="BP280" s="14">
        <v>0</v>
      </c>
      <c r="BQ280" s="15">
        <f t="shared" si="1421"/>
        <v>0</v>
      </c>
      <c r="BR280" s="15">
        <f t="shared" si="1422"/>
        <v>0</v>
      </c>
      <c r="BS280" s="14">
        <v>0</v>
      </c>
      <c r="BT280" s="14">
        <v>0</v>
      </c>
      <c r="BU280" s="14">
        <v>0</v>
      </c>
      <c r="BV280" s="14">
        <v>0</v>
      </c>
      <c r="BW280" s="15">
        <f t="shared" si="1423"/>
        <v>0</v>
      </c>
      <c r="BX280" s="15">
        <f t="shared" si="1424"/>
        <v>0</v>
      </c>
      <c r="BY280" s="15">
        <f t="shared" si="1425"/>
        <v>2</v>
      </c>
      <c r="BZ280" s="15">
        <f t="shared" si="1426"/>
        <v>0</v>
      </c>
      <c r="CA280" s="15">
        <f t="shared" si="1427"/>
        <v>2</v>
      </c>
      <c r="CB280" s="15">
        <f t="shared" si="1428"/>
        <v>0</v>
      </c>
      <c r="CC280" s="14">
        <v>61</v>
      </c>
      <c r="CD280" s="14">
        <v>67</v>
      </c>
      <c r="CE280" s="14">
        <v>47</v>
      </c>
      <c r="CF280" s="14">
        <v>10</v>
      </c>
      <c r="CG280" s="14">
        <v>0</v>
      </c>
      <c r="CH280" s="15">
        <f t="shared" si="1429"/>
        <v>124</v>
      </c>
      <c r="CI280" s="14">
        <v>25</v>
      </c>
      <c r="CJ280" s="14">
        <v>3</v>
      </c>
      <c r="CK280" s="14">
        <v>1</v>
      </c>
      <c r="CL280" s="14">
        <v>0</v>
      </c>
      <c r="CM280" s="15">
        <f t="shared" si="1430"/>
        <v>29</v>
      </c>
      <c r="CN280" s="14">
        <v>302</v>
      </c>
      <c r="CO280" s="14">
        <v>14</v>
      </c>
      <c r="CP280" s="14">
        <v>2</v>
      </c>
      <c r="CQ280" s="14">
        <v>0</v>
      </c>
      <c r="CR280" s="15">
        <f t="shared" si="1431"/>
        <v>318</v>
      </c>
      <c r="CS280" s="15">
        <f t="shared" si="1432"/>
        <v>347</v>
      </c>
      <c r="CT280" s="14">
        <v>471</v>
      </c>
      <c r="CU280" s="14">
        <v>3403</v>
      </c>
      <c r="CV280" s="14">
        <v>2532.6</v>
      </c>
      <c r="CW280" s="16">
        <f t="shared" si="1433"/>
        <v>0.74422568322068761</v>
      </c>
      <c r="CX280" s="14">
        <v>0</v>
      </c>
      <c r="CY280" s="14">
        <v>0</v>
      </c>
      <c r="CZ280" s="14">
        <v>0</v>
      </c>
      <c r="DA280" s="14">
        <v>0</v>
      </c>
      <c r="DB280" s="15">
        <f t="shared" si="1434"/>
        <v>0</v>
      </c>
      <c r="DC280" s="14">
        <v>0</v>
      </c>
      <c r="DD280" s="14">
        <v>0</v>
      </c>
      <c r="DE280" s="14">
        <v>0</v>
      </c>
      <c r="DF280" s="14">
        <v>0</v>
      </c>
      <c r="DG280" s="15">
        <f t="shared" si="1435"/>
        <v>0</v>
      </c>
      <c r="DH280" s="14">
        <v>0</v>
      </c>
      <c r="DI280" s="14">
        <v>0</v>
      </c>
      <c r="DJ280" s="14">
        <v>0</v>
      </c>
      <c r="DK280" s="14">
        <v>0</v>
      </c>
      <c r="DL280" s="15">
        <f t="shared" si="1436"/>
        <v>0</v>
      </c>
      <c r="DM280" s="14">
        <v>0</v>
      </c>
      <c r="DN280" s="14">
        <v>0</v>
      </c>
      <c r="DO280" s="14">
        <v>0</v>
      </c>
      <c r="DP280" s="14">
        <v>0</v>
      </c>
      <c r="DQ280" s="15">
        <f t="shared" si="1437"/>
        <v>0</v>
      </c>
      <c r="DR280" s="15">
        <f t="shared" si="1438"/>
        <v>0</v>
      </c>
      <c r="DS280" s="15">
        <f t="shared" si="1439"/>
        <v>0</v>
      </c>
      <c r="DT280" s="15">
        <f t="shared" si="1440"/>
        <v>0</v>
      </c>
      <c r="DU280" s="15">
        <f t="shared" si="1441"/>
        <v>0</v>
      </c>
      <c r="DV280" s="15">
        <f t="shared" si="1442"/>
        <v>0</v>
      </c>
      <c r="DW280" s="14">
        <v>8</v>
      </c>
      <c r="DX280" s="14">
        <v>1</v>
      </c>
      <c r="DY280" s="14">
        <v>3</v>
      </c>
      <c r="DZ280" s="14">
        <v>0</v>
      </c>
      <c r="EA280" s="14">
        <v>0</v>
      </c>
      <c r="EB280" s="14">
        <v>0</v>
      </c>
      <c r="EC280" s="14">
        <v>0</v>
      </c>
      <c r="ED280" s="14">
        <v>0</v>
      </c>
      <c r="EE280" s="14">
        <v>1</v>
      </c>
      <c r="EF280" s="14">
        <v>0</v>
      </c>
      <c r="EG280" s="14">
        <v>0</v>
      </c>
      <c r="EH280" s="14">
        <v>0</v>
      </c>
      <c r="EI280" s="14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5">
        <f t="shared" si="1443"/>
        <v>13</v>
      </c>
      <c r="FH280" s="14">
        <v>0</v>
      </c>
      <c r="FI280" s="14">
        <v>0</v>
      </c>
      <c r="FJ280" s="14">
        <v>15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5">
        <f t="shared" si="1444"/>
        <v>0</v>
      </c>
      <c r="FR280" s="14">
        <v>5651.89</v>
      </c>
      <c r="FS280" s="14">
        <v>0</v>
      </c>
      <c r="FT280" s="14">
        <v>0</v>
      </c>
      <c r="FU280" s="14">
        <v>0</v>
      </c>
      <c r="FV280" s="15">
        <f t="shared" si="1445"/>
        <v>5651.89</v>
      </c>
      <c r="FW280" s="14">
        <v>2279460</v>
      </c>
      <c r="FX280" s="14">
        <v>0</v>
      </c>
      <c r="FY280" s="14">
        <v>168000</v>
      </c>
      <c r="FZ280" s="14">
        <v>405540</v>
      </c>
      <c r="GA280" s="15">
        <f t="shared" si="1446"/>
        <v>2853000</v>
      </c>
      <c r="GB280" s="15">
        <f t="shared" si="1447"/>
        <v>2858651.89</v>
      </c>
      <c r="GC280" s="14">
        <v>166763.71</v>
      </c>
      <c r="GD280" s="14">
        <v>0</v>
      </c>
      <c r="GE280" s="14">
        <v>59706.65</v>
      </c>
      <c r="GF280" s="14">
        <v>11796.63</v>
      </c>
      <c r="GG280" s="15">
        <f t="shared" si="1448"/>
        <v>238266.99</v>
      </c>
      <c r="GH280" s="14">
        <v>2174755.38</v>
      </c>
      <c r="GI280" s="14">
        <v>0</v>
      </c>
      <c r="GJ280" s="14">
        <v>377940</v>
      </c>
      <c r="GK280" s="14">
        <v>168000</v>
      </c>
      <c r="GL280" s="15">
        <f t="shared" si="1449"/>
        <v>2720695.38</v>
      </c>
      <c r="GM280" s="15">
        <f t="shared" si="1450"/>
        <v>2958962.37</v>
      </c>
      <c r="GN280" s="14">
        <v>13131.7</v>
      </c>
      <c r="GO280" s="14">
        <v>0</v>
      </c>
      <c r="GP280" s="14">
        <v>10180.92</v>
      </c>
      <c r="GQ280" s="14">
        <v>4637.34</v>
      </c>
      <c r="GR280" s="15">
        <f t="shared" si="1451"/>
        <v>27949.960000000003</v>
      </c>
      <c r="GS280" s="14">
        <v>22325</v>
      </c>
      <c r="GT280" s="14">
        <v>0</v>
      </c>
      <c r="GU280" s="14">
        <v>2679</v>
      </c>
      <c r="GV280" s="14">
        <v>893</v>
      </c>
      <c r="GW280" s="15">
        <f t="shared" si="1452"/>
        <v>25897</v>
      </c>
      <c r="GX280" s="15">
        <f t="shared" si="1453"/>
        <v>3012809.33</v>
      </c>
      <c r="GY280" s="14">
        <v>12099924.880000001</v>
      </c>
      <c r="GZ280" s="14">
        <v>-30403.8</v>
      </c>
      <c r="HA280" s="9">
        <f t="shared" si="1454"/>
        <v>12069521.08</v>
      </c>
      <c r="HB280" s="15">
        <f t="shared" si="1455"/>
        <v>6.7855442113225264E-2</v>
      </c>
      <c r="HC280" s="16">
        <f t="shared" si="1456"/>
        <v>0.18915517538239032</v>
      </c>
      <c r="HD280" s="15">
        <f t="shared" si="1457"/>
        <v>0.9488326597820248</v>
      </c>
      <c r="HE280" s="14">
        <v>2</v>
      </c>
      <c r="HF280" s="14">
        <v>1</v>
      </c>
      <c r="HG280" s="14">
        <v>0</v>
      </c>
      <c r="HH280" s="14">
        <v>0</v>
      </c>
      <c r="HI280" s="14">
        <v>2</v>
      </c>
      <c r="HJ280" s="15">
        <f t="shared" si="1458"/>
        <v>3</v>
      </c>
      <c r="HK280" s="16">
        <f t="shared" si="1459"/>
        <v>0</v>
      </c>
      <c r="HL280" s="14">
        <v>0</v>
      </c>
      <c r="HM280" s="14">
        <v>0</v>
      </c>
      <c r="HN280" s="17" t="str">
        <f t="shared" si="1460"/>
        <v/>
      </c>
    </row>
    <row r="281" spans="1:222" x14ac:dyDescent="0.3">
      <c r="A281" s="6" t="s">
        <v>295</v>
      </c>
      <c r="B281" s="6" t="s">
        <v>296</v>
      </c>
      <c r="C281" s="7" t="s">
        <v>257</v>
      </c>
      <c r="D281" s="7">
        <v>2025</v>
      </c>
      <c r="E281" s="7">
        <v>6</v>
      </c>
      <c r="F281" s="7" t="s">
        <v>261</v>
      </c>
      <c r="G281" s="7" t="s">
        <v>259</v>
      </c>
      <c r="H281" s="8">
        <v>2774</v>
      </c>
      <c r="I281" s="8">
        <v>126</v>
      </c>
      <c r="J281" s="8">
        <v>0</v>
      </c>
      <c r="K281" s="8">
        <v>7</v>
      </c>
      <c r="L281" s="8">
        <v>5</v>
      </c>
      <c r="M281" s="9">
        <f t="shared" si="1400"/>
        <v>138</v>
      </c>
      <c r="N281" s="8">
        <v>1671.8</v>
      </c>
      <c r="O281" s="8">
        <v>0</v>
      </c>
      <c r="P281" s="8">
        <v>90</v>
      </c>
      <c r="Q281" s="8">
        <v>31.7</v>
      </c>
      <c r="R281" s="9">
        <f t="shared" si="1401"/>
        <v>1793.5</v>
      </c>
      <c r="S281" s="9">
        <f t="shared" si="1402"/>
        <v>1931.5</v>
      </c>
      <c r="T281" s="8">
        <v>842.50000000000205</v>
      </c>
      <c r="U281" s="10">
        <f t="shared" si="1403"/>
        <v>0.30371304974765756</v>
      </c>
      <c r="V281" s="8">
        <v>7.5</v>
      </c>
      <c r="W281" s="11">
        <f t="shared" si="1404"/>
        <v>2.7036770007209804E-3</v>
      </c>
      <c r="X281" s="8">
        <v>0</v>
      </c>
      <c r="Y281" s="11">
        <f t="shared" si="1405"/>
        <v>0</v>
      </c>
      <c r="Z281" s="8">
        <v>0</v>
      </c>
      <c r="AA281" s="11">
        <f t="shared" si="1406"/>
        <v>0</v>
      </c>
      <c r="AB281" s="8">
        <v>0</v>
      </c>
      <c r="AC281" s="11">
        <f t="shared" si="1407"/>
        <v>0</v>
      </c>
      <c r="AD281" s="8">
        <v>0</v>
      </c>
      <c r="AE281" s="11">
        <f t="shared" si="1408"/>
        <v>0</v>
      </c>
      <c r="AF281" s="8">
        <v>0</v>
      </c>
      <c r="AG281" s="11">
        <f t="shared" si="1409"/>
        <v>0</v>
      </c>
      <c r="AH281" s="8">
        <v>195000</v>
      </c>
      <c r="AI281" s="9">
        <f t="shared" si="1410"/>
        <v>70.295602018745498</v>
      </c>
      <c r="AJ281" s="8">
        <v>7</v>
      </c>
      <c r="AK281" s="11">
        <f t="shared" si="1411"/>
        <v>2.5234318673395817E-3</v>
      </c>
      <c r="AL281" s="8">
        <v>33519.612999999998</v>
      </c>
      <c r="AM281" s="9">
        <f t="shared" si="1412"/>
        <v>12.083494232155731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9">
        <f t="shared" si="1413"/>
        <v>228519.61300000001</v>
      </c>
      <c r="AV281" s="9">
        <f t="shared" si="1414"/>
        <v>82.379096250901227</v>
      </c>
      <c r="AW281" s="9">
        <f t="shared" si="1415"/>
        <v>118.31199223401502</v>
      </c>
      <c r="AX281" s="8">
        <v>4</v>
      </c>
      <c r="AY281" s="9">
        <f t="shared" si="1416"/>
        <v>17.303532804614274</v>
      </c>
      <c r="AZ281" s="8">
        <v>6</v>
      </c>
      <c r="BA281" s="8">
        <v>0</v>
      </c>
      <c r="BB281" s="8">
        <v>12</v>
      </c>
      <c r="BC281" s="8">
        <v>0</v>
      </c>
      <c r="BD281" s="8">
        <v>0</v>
      </c>
      <c r="BE281" s="9">
        <f t="shared" si="1417"/>
        <v>0</v>
      </c>
      <c r="BF281" s="9">
        <f t="shared" si="1418"/>
        <v>12</v>
      </c>
      <c r="BG281" s="8">
        <v>0</v>
      </c>
      <c r="BH281" s="8">
        <v>0</v>
      </c>
      <c r="BI281" s="8">
        <v>0</v>
      </c>
      <c r="BJ281" s="8">
        <v>0</v>
      </c>
      <c r="BK281" s="9">
        <f t="shared" si="1419"/>
        <v>0</v>
      </c>
      <c r="BL281" s="9">
        <f t="shared" si="1420"/>
        <v>0</v>
      </c>
      <c r="BM281" s="8">
        <v>0</v>
      </c>
      <c r="BN281" s="8">
        <v>0</v>
      </c>
      <c r="BO281" s="8">
        <v>0</v>
      </c>
      <c r="BP281" s="8">
        <v>0</v>
      </c>
      <c r="BQ281" s="9">
        <f t="shared" si="1421"/>
        <v>0</v>
      </c>
      <c r="BR281" s="9">
        <f t="shared" si="1422"/>
        <v>0</v>
      </c>
      <c r="BS281" s="8">
        <v>0</v>
      </c>
      <c r="BT281" s="8">
        <v>0</v>
      </c>
      <c r="BU281" s="8">
        <v>0</v>
      </c>
      <c r="BV281" s="8">
        <v>0</v>
      </c>
      <c r="BW281" s="9">
        <f t="shared" si="1423"/>
        <v>0</v>
      </c>
      <c r="BX281" s="9">
        <f t="shared" si="1424"/>
        <v>0</v>
      </c>
      <c r="BY281" s="9">
        <f t="shared" si="1425"/>
        <v>0</v>
      </c>
      <c r="BZ281" s="9">
        <f t="shared" si="1426"/>
        <v>12</v>
      </c>
      <c r="CA281" s="9">
        <f t="shared" si="1427"/>
        <v>0</v>
      </c>
      <c r="CB281" s="9">
        <f t="shared" si="1428"/>
        <v>12</v>
      </c>
      <c r="CC281" s="8">
        <v>0</v>
      </c>
      <c r="CD281" s="8">
        <v>65</v>
      </c>
      <c r="CE281" s="8">
        <v>47</v>
      </c>
      <c r="CF281" s="8">
        <v>10</v>
      </c>
      <c r="CG281" s="8">
        <v>0</v>
      </c>
      <c r="CH281" s="9">
        <f t="shared" si="1429"/>
        <v>122</v>
      </c>
      <c r="CI281" s="8">
        <v>27</v>
      </c>
      <c r="CJ281" s="8">
        <v>3</v>
      </c>
      <c r="CK281" s="8">
        <v>1</v>
      </c>
      <c r="CL281" s="8">
        <v>0</v>
      </c>
      <c r="CM281" s="9">
        <f t="shared" si="1430"/>
        <v>31</v>
      </c>
      <c r="CN281" s="8">
        <v>302</v>
      </c>
      <c r="CO281" s="8">
        <v>14</v>
      </c>
      <c r="CP281" s="8">
        <v>2</v>
      </c>
      <c r="CQ281" s="8">
        <v>0</v>
      </c>
      <c r="CR281" s="9">
        <f t="shared" si="1431"/>
        <v>318</v>
      </c>
      <c r="CS281" s="9">
        <f t="shared" si="1432"/>
        <v>349</v>
      </c>
      <c r="CT281" s="8">
        <v>471</v>
      </c>
      <c r="CU281" s="8">
        <v>3408</v>
      </c>
      <c r="CV281" s="8">
        <v>2533</v>
      </c>
      <c r="CW281" s="10">
        <f t="shared" si="1433"/>
        <v>0.74325117370892024</v>
      </c>
      <c r="CX281" s="8">
        <v>0</v>
      </c>
      <c r="CY281" s="8">
        <v>0</v>
      </c>
      <c r="CZ281" s="8">
        <v>0</v>
      </c>
      <c r="DA281" s="8">
        <v>0</v>
      </c>
      <c r="DB281" s="9">
        <f t="shared" si="1434"/>
        <v>0</v>
      </c>
      <c r="DC281" s="8">
        <v>0</v>
      </c>
      <c r="DD281" s="8">
        <v>0</v>
      </c>
      <c r="DE281" s="8">
        <v>0</v>
      </c>
      <c r="DF281" s="8">
        <v>0</v>
      </c>
      <c r="DG281" s="9">
        <f t="shared" si="1435"/>
        <v>0</v>
      </c>
      <c r="DH281" s="8">
        <v>0</v>
      </c>
      <c r="DI281" s="8">
        <v>0</v>
      </c>
      <c r="DJ281" s="8">
        <v>0</v>
      </c>
      <c r="DK281" s="8">
        <v>0</v>
      </c>
      <c r="DL281" s="9">
        <f t="shared" si="1436"/>
        <v>0</v>
      </c>
      <c r="DM281" s="8">
        <v>0</v>
      </c>
      <c r="DN281" s="8">
        <v>0</v>
      </c>
      <c r="DO281" s="8">
        <v>0</v>
      </c>
      <c r="DP281" s="8">
        <v>0</v>
      </c>
      <c r="DQ281" s="9">
        <f t="shared" si="1437"/>
        <v>0</v>
      </c>
      <c r="DR281" s="9">
        <f t="shared" si="1438"/>
        <v>0</v>
      </c>
      <c r="DS281" s="9">
        <f t="shared" si="1439"/>
        <v>0</v>
      </c>
      <c r="DT281" s="9">
        <f t="shared" si="1440"/>
        <v>0</v>
      </c>
      <c r="DU281" s="9">
        <f t="shared" si="1441"/>
        <v>0</v>
      </c>
      <c r="DV281" s="9">
        <f t="shared" si="1442"/>
        <v>0</v>
      </c>
      <c r="DW281" s="8">
        <v>4</v>
      </c>
      <c r="DX281" s="8">
        <v>2</v>
      </c>
      <c r="DY281" s="8">
        <v>3</v>
      </c>
      <c r="DZ281" s="8">
        <v>0</v>
      </c>
      <c r="EA281" s="8">
        <v>0</v>
      </c>
      <c r="EB281" s="8">
        <v>3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2</v>
      </c>
      <c r="EK281" s="8">
        <v>0</v>
      </c>
      <c r="EL281" s="8">
        <v>0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9">
        <f t="shared" si="1443"/>
        <v>14</v>
      </c>
      <c r="FH281" s="8">
        <v>0</v>
      </c>
      <c r="FI281" s="8">
        <v>0</v>
      </c>
      <c r="FJ281" s="8">
        <v>14</v>
      </c>
      <c r="FK281" s="8">
        <v>0</v>
      </c>
      <c r="FL281" s="8">
        <v>0</v>
      </c>
      <c r="FM281" s="8">
        <v>0</v>
      </c>
      <c r="FN281" s="8">
        <v>0</v>
      </c>
      <c r="FO281" s="8">
        <v>0</v>
      </c>
      <c r="FP281" s="8">
        <v>0</v>
      </c>
      <c r="FQ281" s="9">
        <f t="shared" si="1444"/>
        <v>0</v>
      </c>
      <c r="FR281" s="8">
        <v>338161.21</v>
      </c>
      <c r="FS281" s="8">
        <v>0</v>
      </c>
      <c r="FT281" s="8">
        <v>0</v>
      </c>
      <c r="FU281" s="8">
        <v>0</v>
      </c>
      <c r="FV281" s="9">
        <f t="shared" si="1445"/>
        <v>338161.21</v>
      </c>
      <c r="FW281" s="8">
        <v>2147640</v>
      </c>
      <c r="FX281" s="8">
        <v>0</v>
      </c>
      <c r="FY281" s="8">
        <v>149900</v>
      </c>
      <c r="FZ281" s="8">
        <v>347100</v>
      </c>
      <c r="GA281" s="9">
        <f t="shared" si="1446"/>
        <v>2644640</v>
      </c>
      <c r="GB281" s="9">
        <f t="shared" si="1447"/>
        <v>2982801.21</v>
      </c>
      <c r="GC281" s="8">
        <v>126289.9</v>
      </c>
      <c r="GD281" s="8">
        <v>0</v>
      </c>
      <c r="GE281" s="8">
        <v>25232.97</v>
      </c>
      <c r="GF281" s="8">
        <v>11796.63</v>
      </c>
      <c r="GG281" s="9">
        <f t="shared" si="1448"/>
        <v>163319.5</v>
      </c>
      <c r="GH281" s="8">
        <v>2085856.53</v>
      </c>
      <c r="GI281" s="8">
        <v>0</v>
      </c>
      <c r="GJ281" s="8">
        <v>273000</v>
      </c>
      <c r="GK281" s="8">
        <v>149900</v>
      </c>
      <c r="GL281" s="9">
        <f t="shared" si="1449"/>
        <v>2508756.5300000003</v>
      </c>
      <c r="GM281" s="9">
        <f t="shared" si="1450"/>
        <v>2672076.0300000003</v>
      </c>
      <c r="GN281" s="8">
        <v>14446.42</v>
      </c>
      <c r="GO281" s="8">
        <v>0</v>
      </c>
      <c r="GP281" s="8">
        <v>10180.92</v>
      </c>
      <c r="GQ281" s="8">
        <v>4637.34</v>
      </c>
      <c r="GR281" s="9">
        <f t="shared" si="1451"/>
        <v>29264.68</v>
      </c>
      <c r="GS281" s="8">
        <v>24111</v>
      </c>
      <c r="GT281" s="8">
        <v>0</v>
      </c>
      <c r="GU281" s="8">
        <v>2679</v>
      </c>
      <c r="GV281" s="8">
        <v>893</v>
      </c>
      <c r="GW281" s="9">
        <f t="shared" si="1452"/>
        <v>27683</v>
      </c>
      <c r="GX281" s="9">
        <f t="shared" si="1453"/>
        <v>2729023.7100000004</v>
      </c>
      <c r="GY281" s="8">
        <v>11893646.6</v>
      </c>
      <c r="GZ281" s="8">
        <v>-30403.8</v>
      </c>
      <c r="HA281" s="9">
        <f t="shared" si="1454"/>
        <v>11863242.799999999</v>
      </c>
      <c r="HB281" s="9">
        <f t="shared" si="1455"/>
        <v>8.3736763503604733E-2</v>
      </c>
      <c r="HC281" s="10">
        <f t="shared" si="1456"/>
        <v>0.20398471324079245</v>
      </c>
      <c r="HD281" s="9">
        <f t="shared" si="1457"/>
        <v>1.0929920465953005</v>
      </c>
      <c r="HE281" s="8">
        <v>5</v>
      </c>
      <c r="HF281" s="8">
        <v>1</v>
      </c>
      <c r="HG281" s="8">
        <v>12</v>
      </c>
      <c r="HH281" s="8">
        <v>12</v>
      </c>
      <c r="HI281" s="8">
        <v>0</v>
      </c>
      <c r="HJ281" s="9">
        <f t="shared" si="1458"/>
        <v>1</v>
      </c>
      <c r="HK281" s="10">
        <f t="shared" si="1459"/>
        <v>2.4</v>
      </c>
      <c r="HL281" s="8">
        <v>0</v>
      </c>
      <c r="HM281" s="8">
        <v>0</v>
      </c>
      <c r="HN281" s="11" t="str">
        <f t="shared" si="1460"/>
        <v/>
      </c>
    </row>
    <row r="282" spans="1:222" x14ac:dyDescent="0.3">
      <c r="A282" s="12" t="s">
        <v>295</v>
      </c>
      <c r="B282" s="12" t="s">
        <v>296</v>
      </c>
      <c r="C282" s="13" t="s">
        <v>257</v>
      </c>
      <c r="D282" s="13">
        <v>2025</v>
      </c>
      <c r="E282" s="13">
        <v>7</v>
      </c>
      <c r="F282" s="13" t="s">
        <v>262</v>
      </c>
      <c r="G282" s="13" t="s">
        <v>263</v>
      </c>
      <c r="H282" s="14">
        <v>2596</v>
      </c>
      <c r="I282" s="14">
        <v>166</v>
      </c>
      <c r="J282" s="14">
        <v>0</v>
      </c>
      <c r="K282" s="14">
        <v>8</v>
      </c>
      <c r="L282" s="14">
        <v>4</v>
      </c>
      <c r="M282" s="15">
        <f t="shared" si="1400"/>
        <v>178</v>
      </c>
      <c r="N282" s="14">
        <v>1856.2</v>
      </c>
      <c r="O282" s="14">
        <v>0</v>
      </c>
      <c r="P282" s="14">
        <v>464</v>
      </c>
      <c r="Q282" s="14">
        <v>44</v>
      </c>
      <c r="R282" s="15">
        <f t="shared" si="1401"/>
        <v>2364.1999999999998</v>
      </c>
      <c r="S282" s="15">
        <f t="shared" si="1402"/>
        <v>2542.1999999999998</v>
      </c>
      <c r="T282" s="14">
        <v>53.800000000003799</v>
      </c>
      <c r="U282" s="16">
        <f t="shared" si="1403"/>
        <v>2.0724191063175579E-2</v>
      </c>
      <c r="V282" s="14">
        <v>7</v>
      </c>
      <c r="W282" s="17">
        <f t="shared" si="1404"/>
        <v>2.6964560862865949E-3</v>
      </c>
      <c r="X282" s="14">
        <v>0</v>
      </c>
      <c r="Y282" s="17">
        <f t="shared" si="1405"/>
        <v>0</v>
      </c>
      <c r="Z282" s="14">
        <v>0</v>
      </c>
      <c r="AA282" s="17">
        <f t="shared" si="1406"/>
        <v>0</v>
      </c>
      <c r="AB282" s="14">
        <v>0</v>
      </c>
      <c r="AC282" s="17">
        <f t="shared" si="1407"/>
        <v>0</v>
      </c>
      <c r="AD282" s="14">
        <v>0</v>
      </c>
      <c r="AE282" s="17">
        <f t="shared" si="1408"/>
        <v>0</v>
      </c>
      <c r="AF282" s="14">
        <v>0</v>
      </c>
      <c r="AG282" s="17">
        <f t="shared" si="1409"/>
        <v>0</v>
      </c>
      <c r="AH282" s="14">
        <v>182000</v>
      </c>
      <c r="AI282" s="15">
        <f t="shared" si="1410"/>
        <v>70.10785824345146</v>
      </c>
      <c r="AJ282" s="14">
        <v>16.43</v>
      </c>
      <c r="AK282" s="17">
        <f t="shared" si="1411"/>
        <v>6.3289676425269644E-3</v>
      </c>
      <c r="AL282" s="14">
        <v>36096.916870000001</v>
      </c>
      <c r="AM282" s="15">
        <f t="shared" si="1412"/>
        <v>13.904821598613252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5">
        <f t="shared" si="1413"/>
        <v>218096.91687000002</v>
      </c>
      <c r="AV282" s="15">
        <f t="shared" si="1414"/>
        <v>84.012679842064728</v>
      </c>
      <c r="AW282" s="15">
        <f t="shared" si="1415"/>
        <v>85.790621064432401</v>
      </c>
      <c r="AX282" s="14">
        <v>4</v>
      </c>
      <c r="AY282" s="15">
        <f t="shared" si="1416"/>
        <v>18.489984591679505</v>
      </c>
      <c r="AZ282" s="14">
        <v>6</v>
      </c>
      <c r="BA282" s="14">
        <v>12</v>
      </c>
      <c r="BB282" s="14">
        <v>3</v>
      </c>
      <c r="BC282" s="14">
        <v>11</v>
      </c>
      <c r="BD282" s="14">
        <v>0</v>
      </c>
      <c r="BE282" s="15">
        <f t="shared" si="1417"/>
        <v>11</v>
      </c>
      <c r="BF282" s="15">
        <f t="shared" si="1418"/>
        <v>4</v>
      </c>
      <c r="BG282" s="14">
        <v>0</v>
      </c>
      <c r="BH282" s="14">
        <v>0</v>
      </c>
      <c r="BI282" s="14">
        <v>0</v>
      </c>
      <c r="BJ282" s="14">
        <v>0</v>
      </c>
      <c r="BK282" s="15">
        <f t="shared" si="1419"/>
        <v>0</v>
      </c>
      <c r="BL282" s="15">
        <f t="shared" si="1420"/>
        <v>0</v>
      </c>
      <c r="BM282" s="14">
        <v>0</v>
      </c>
      <c r="BN282" s="14">
        <v>0</v>
      </c>
      <c r="BO282" s="14">
        <v>0</v>
      </c>
      <c r="BP282" s="14">
        <v>0</v>
      </c>
      <c r="BQ282" s="15">
        <f t="shared" si="1421"/>
        <v>0</v>
      </c>
      <c r="BR282" s="15">
        <f t="shared" si="1422"/>
        <v>0</v>
      </c>
      <c r="BS282" s="14">
        <v>0</v>
      </c>
      <c r="BT282" s="14">
        <v>0</v>
      </c>
      <c r="BU282" s="14">
        <v>0</v>
      </c>
      <c r="BV282" s="14">
        <v>0</v>
      </c>
      <c r="BW282" s="15">
        <f t="shared" si="1423"/>
        <v>0</v>
      </c>
      <c r="BX282" s="15">
        <f t="shared" si="1424"/>
        <v>0</v>
      </c>
      <c r="BY282" s="15">
        <f t="shared" si="1425"/>
        <v>12</v>
      </c>
      <c r="BZ282" s="15">
        <f t="shared" si="1426"/>
        <v>3</v>
      </c>
      <c r="CA282" s="15">
        <f t="shared" si="1427"/>
        <v>11</v>
      </c>
      <c r="CB282" s="15">
        <f t="shared" si="1428"/>
        <v>4</v>
      </c>
      <c r="CC282" s="14">
        <v>0</v>
      </c>
      <c r="CD282" s="14">
        <v>64</v>
      </c>
      <c r="CE282" s="14">
        <v>47</v>
      </c>
      <c r="CF282" s="14">
        <v>10</v>
      </c>
      <c r="CG282" s="14">
        <v>0</v>
      </c>
      <c r="CH282" s="15">
        <f t="shared" si="1429"/>
        <v>121</v>
      </c>
      <c r="CI282" s="14">
        <v>39</v>
      </c>
      <c r="CJ282" s="14">
        <v>3</v>
      </c>
      <c r="CK282" s="14">
        <v>1</v>
      </c>
      <c r="CL282" s="14">
        <v>0</v>
      </c>
      <c r="CM282" s="15">
        <f t="shared" si="1430"/>
        <v>43</v>
      </c>
      <c r="CN282" s="14">
        <v>302</v>
      </c>
      <c r="CO282" s="14">
        <v>14</v>
      </c>
      <c r="CP282" s="14">
        <v>2</v>
      </c>
      <c r="CQ282" s="14">
        <v>0</v>
      </c>
      <c r="CR282" s="15">
        <f t="shared" si="1431"/>
        <v>318</v>
      </c>
      <c r="CS282" s="15">
        <f t="shared" si="1432"/>
        <v>361</v>
      </c>
      <c r="CT282" s="14">
        <v>482</v>
      </c>
      <c r="CU282" s="14">
        <v>3413</v>
      </c>
      <c r="CV282" s="14">
        <v>2580.3000000000002</v>
      </c>
      <c r="CW282" s="16">
        <f t="shared" si="1433"/>
        <v>0.75602109581013777</v>
      </c>
      <c r="CX282" s="14">
        <v>0</v>
      </c>
      <c r="CY282" s="14">
        <v>0</v>
      </c>
      <c r="CZ282" s="14">
        <v>0</v>
      </c>
      <c r="DA282" s="14">
        <v>0</v>
      </c>
      <c r="DB282" s="15">
        <f t="shared" si="1434"/>
        <v>0</v>
      </c>
      <c r="DC282" s="14">
        <v>0</v>
      </c>
      <c r="DD282" s="14">
        <v>0</v>
      </c>
      <c r="DE282" s="14">
        <v>0</v>
      </c>
      <c r="DF282" s="14">
        <v>0</v>
      </c>
      <c r="DG282" s="15">
        <f t="shared" si="1435"/>
        <v>0</v>
      </c>
      <c r="DH282" s="14">
        <v>0</v>
      </c>
      <c r="DI282" s="14">
        <v>0</v>
      </c>
      <c r="DJ282" s="14">
        <v>0</v>
      </c>
      <c r="DK282" s="14">
        <v>0</v>
      </c>
      <c r="DL282" s="15">
        <f t="shared" si="1436"/>
        <v>0</v>
      </c>
      <c r="DM282" s="14">
        <v>0</v>
      </c>
      <c r="DN282" s="14">
        <v>0</v>
      </c>
      <c r="DO282" s="14">
        <v>0</v>
      </c>
      <c r="DP282" s="14">
        <v>0</v>
      </c>
      <c r="DQ282" s="15">
        <f t="shared" si="1437"/>
        <v>0</v>
      </c>
      <c r="DR282" s="15">
        <f t="shared" si="1438"/>
        <v>0</v>
      </c>
      <c r="DS282" s="15">
        <f t="shared" si="1439"/>
        <v>0</v>
      </c>
      <c r="DT282" s="15">
        <f t="shared" si="1440"/>
        <v>0</v>
      </c>
      <c r="DU282" s="15">
        <f t="shared" si="1441"/>
        <v>0</v>
      </c>
      <c r="DV282" s="15">
        <f t="shared" si="1442"/>
        <v>0</v>
      </c>
      <c r="DW282" s="14">
        <v>7</v>
      </c>
      <c r="DX282" s="14">
        <v>2</v>
      </c>
      <c r="DY282" s="14">
        <v>2</v>
      </c>
      <c r="DZ282" s="14">
        <v>1</v>
      </c>
      <c r="EA282" s="14">
        <v>0</v>
      </c>
      <c r="EB282" s="14">
        <v>1</v>
      </c>
      <c r="EC282" s="14">
        <v>0</v>
      </c>
      <c r="ED282" s="14">
        <v>0</v>
      </c>
      <c r="EE282" s="14">
        <v>0</v>
      </c>
      <c r="EF282" s="14">
        <v>0</v>
      </c>
      <c r="EG282" s="14">
        <v>0</v>
      </c>
      <c r="EH282" s="14">
        <v>0</v>
      </c>
      <c r="EI282" s="14">
        <v>0</v>
      </c>
      <c r="EJ282" s="14">
        <v>1</v>
      </c>
      <c r="EK282" s="14">
        <v>0</v>
      </c>
      <c r="EL282" s="14">
        <v>0</v>
      </c>
      <c r="EM282" s="14">
        <v>0</v>
      </c>
      <c r="EN282" s="14">
        <v>0</v>
      </c>
      <c r="EO282" s="14">
        <v>0</v>
      </c>
      <c r="EP282" s="14">
        <v>0</v>
      </c>
      <c r="EQ282" s="14">
        <v>0</v>
      </c>
      <c r="ER282" s="14">
        <v>0</v>
      </c>
      <c r="ES282" s="14">
        <v>0</v>
      </c>
      <c r="ET282" s="14">
        <v>0</v>
      </c>
      <c r="EU282" s="14">
        <v>0</v>
      </c>
      <c r="EV282" s="14">
        <v>0</v>
      </c>
      <c r="EW282" s="14">
        <v>0</v>
      </c>
      <c r="EX282" s="14">
        <v>0</v>
      </c>
      <c r="EY282" s="14">
        <v>0</v>
      </c>
      <c r="EZ282" s="14">
        <v>0</v>
      </c>
      <c r="FA282" s="14">
        <v>0</v>
      </c>
      <c r="FB282" s="14">
        <v>0</v>
      </c>
      <c r="FC282" s="14">
        <v>0</v>
      </c>
      <c r="FD282" s="14">
        <v>0</v>
      </c>
      <c r="FE282" s="14">
        <v>0</v>
      </c>
      <c r="FF282" s="14">
        <v>0</v>
      </c>
      <c r="FG282" s="15">
        <f t="shared" si="1443"/>
        <v>14</v>
      </c>
      <c r="FH282" s="14">
        <v>0</v>
      </c>
      <c r="FI282" s="14">
        <v>0</v>
      </c>
      <c r="FJ282" s="14">
        <v>14</v>
      </c>
      <c r="FK282" s="14">
        <v>0</v>
      </c>
      <c r="FL282" s="14">
        <v>0</v>
      </c>
      <c r="FM282" s="14">
        <v>0</v>
      </c>
      <c r="FN282" s="14">
        <v>0</v>
      </c>
      <c r="FO282" s="14">
        <v>0</v>
      </c>
      <c r="FP282" s="14">
        <v>0</v>
      </c>
      <c r="FQ282" s="15">
        <f t="shared" si="1444"/>
        <v>0</v>
      </c>
      <c r="FR282" s="14">
        <v>441139.07</v>
      </c>
      <c r="FS282" s="14">
        <v>0</v>
      </c>
      <c r="FT282" s="14">
        <v>0</v>
      </c>
      <c r="FU282" s="14">
        <v>50000</v>
      </c>
      <c r="FV282" s="15">
        <f t="shared" si="1445"/>
        <v>491139.07</v>
      </c>
      <c r="FW282" s="14">
        <v>2347749</v>
      </c>
      <c r="FX282" s="14">
        <v>0</v>
      </c>
      <c r="FY282" s="14">
        <v>207400</v>
      </c>
      <c r="FZ282" s="14">
        <v>1493950</v>
      </c>
      <c r="GA282" s="15">
        <f t="shared" si="1446"/>
        <v>4049099</v>
      </c>
      <c r="GB282" s="15">
        <f t="shared" si="1447"/>
        <v>4540238.07</v>
      </c>
      <c r="GC282" s="14">
        <v>170736.34</v>
      </c>
      <c r="GD282" s="14">
        <v>0</v>
      </c>
      <c r="GE282" s="14">
        <v>25232.97</v>
      </c>
      <c r="GF282" s="14">
        <v>8410.99</v>
      </c>
      <c r="GG282" s="15">
        <f t="shared" si="1448"/>
        <v>204380.3</v>
      </c>
      <c r="GH282" s="14">
        <v>2315994.52</v>
      </c>
      <c r="GI282" s="14">
        <v>0</v>
      </c>
      <c r="GJ282" s="14">
        <v>1409068.81</v>
      </c>
      <c r="GK282" s="14">
        <v>207400</v>
      </c>
      <c r="GL282" s="15">
        <f t="shared" si="1449"/>
        <v>3932463.33</v>
      </c>
      <c r="GM282" s="15">
        <f t="shared" si="1450"/>
        <v>4136843.63</v>
      </c>
      <c r="GN282" s="14">
        <v>20985.58</v>
      </c>
      <c r="GO282" s="14">
        <v>0</v>
      </c>
      <c r="GP282" s="14">
        <v>10180.92</v>
      </c>
      <c r="GQ282" s="14">
        <v>4637.34</v>
      </c>
      <c r="GR282" s="15">
        <f t="shared" si="1451"/>
        <v>35803.839999999997</v>
      </c>
      <c r="GS282" s="14">
        <v>34827</v>
      </c>
      <c r="GT282" s="14">
        <v>0</v>
      </c>
      <c r="GU282" s="14">
        <v>2679</v>
      </c>
      <c r="GV282" s="14">
        <v>893</v>
      </c>
      <c r="GW282" s="15">
        <f t="shared" si="1452"/>
        <v>38399</v>
      </c>
      <c r="GX282" s="15">
        <f t="shared" si="1453"/>
        <v>4211046.47</v>
      </c>
      <c r="GY282" s="14">
        <v>-881642854.22999883</v>
      </c>
      <c r="GZ282" s="14">
        <v>-30403.8</v>
      </c>
      <c r="HA282" s="9">
        <f t="shared" si="1454"/>
        <v>-881673258.02999878</v>
      </c>
      <c r="HB282" s="15">
        <f t="shared" si="1455"/>
        <v>5.1791619594736986E-2</v>
      </c>
      <c r="HC282" s="16">
        <f t="shared" si="1456"/>
        <v>-5.1744625962338916E-3</v>
      </c>
      <c r="HD282" s="15">
        <f t="shared" si="1457"/>
        <v>1.0781733477284567</v>
      </c>
      <c r="HE282" s="14">
        <v>7</v>
      </c>
      <c r="HF282" s="14">
        <v>1</v>
      </c>
      <c r="HG282" s="14">
        <v>4</v>
      </c>
      <c r="HH282" s="14">
        <v>3</v>
      </c>
      <c r="HI282" s="14">
        <v>2</v>
      </c>
      <c r="HJ282" s="15">
        <f t="shared" si="1458"/>
        <v>3</v>
      </c>
      <c r="HK282" s="16">
        <f t="shared" si="1459"/>
        <v>0.42857142857142855</v>
      </c>
      <c r="HL282" s="14">
        <v>0</v>
      </c>
      <c r="HM282" s="14">
        <v>0</v>
      </c>
      <c r="HN282" s="17" t="str">
        <f t="shared" si="1460"/>
        <v/>
      </c>
    </row>
    <row r="283" spans="1:222" x14ac:dyDescent="0.3">
      <c r="A283" s="6" t="s">
        <v>295</v>
      </c>
      <c r="B283" s="6" t="s">
        <v>296</v>
      </c>
      <c r="C283" s="7" t="s">
        <v>257</v>
      </c>
      <c r="D283" s="7">
        <v>2025</v>
      </c>
      <c r="E283" s="7">
        <v>8</v>
      </c>
      <c r="F283" s="7" t="s">
        <v>264</v>
      </c>
      <c r="G283" s="7" t="s">
        <v>263</v>
      </c>
      <c r="H283" s="8">
        <v>2374</v>
      </c>
      <c r="I283" s="8">
        <v>176</v>
      </c>
      <c r="J283" s="8">
        <v>0</v>
      </c>
      <c r="K283" s="8">
        <v>12</v>
      </c>
      <c r="L283" s="8">
        <v>5</v>
      </c>
      <c r="M283" s="9">
        <f t="shared" si="1400"/>
        <v>193</v>
      </c>
      <c r="N283" s="8">
        <v>1794.99999999999</v>
      </c>
      <c r="O283" s="8">
        <v>0</v>
      </c>
      <c r="P283" s="8">
        <v>59.3</v>
      </c>
      <c r="Q283" s="8">
        <v>25.8</v>
      </c>
      <c r="R283" s="9">
        <f t="shared" si="1401"/>
        <v>1880.0999999999899</v>
      </c>
      <c r="S283" s="9">
        <f t="shared" si="1402"/>
        <v>2073.0999999999899</v>
      </c>
      <c r="T283" s="8">
        <v>300.900000000006</v>
      </c>
      <c r="U283" s="10">
        <f t="shared" si="1403"/>
        <v>0.12674810446504045</v>
      </c>
      <c r="V283" s="8">
        <v>7</v>
      </c>
      <c r="W283" s="11">
        <f t="shared" si="1404"/>
        <v>2.9486099410278013E-3</v>
      </c>
      <c r="X283" s="8">
        <v>0</v>
      </c>
      <c r="Y283" s="11">
        <f t="shared" si="1405"/>
        <v>0</v>
      </c>
      <c r="Z283" s="8">
        <v>0</v>
      </c>
      <c r="AA283" s="11">
        <f t="shared" si="1406"/>
        <v>0</v>
      </c>
      <c r="AB283" s="8">
        <v>0</v>
      </c>
      <c r="AC283" s="11">
        <f t="shared" si="1407"/>
        <v>0</v>
      </c>
      <c r="AD283" s="8">
        <v>0</v>
      </c>
      <c r="AE283" s="11">
        <f t="shared" si="1408"/>
        <v>0</v>
      </c>
      <c r="AF283" s="8">
        <v>0</v>
      </c>
      <c r="AG283" s="11">
        <f t="shared" si="1409"/>
        <v>0</v>
      </c>
      <c r="AH283" s="8">
        <v>182000</v>
      </c>
      <c r="AI283" s="9">
        <f t="shared" si="1410"/>
        <v>76.663858466722829</v>
      </c>
      <c r="AJ283" s="8">
        <v>20.260000000000002</v>
      </c>
      <c r="AK283" s="11">
        <f t="shared" si="1411"/>
        <v>8.5341196293176082E-3</v>
      </c>
      <c r="AL283" s="8">
        <v>37143.690340000001</v>
      </c>
      <c r="AM283" s="9">
        <f t="shared" si="1412"/>
        <v>15.646036368997473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9">
        <f t="shared" si="1413"/>
        <v>219143.69034</v>
      </c>
      <c r="AV283" s="9">
        <f t="shared" si="1414"/>
        <v>92.3098948357203</v>
      </c>
      <c r="AW283" s="9">
        <f t="shared" si="1415"/>
        <v>105.70821009116833</v>
      </c>
      <c r="AX283" s="8">
        <v>4</v>
      </c>
      <c r="AY283" s="9">
        <f t="shared" si="1416"/>
        <v>20.219039595619208</v>
      </c>
      <c r="AZ283" s="8">
        <v>6</v>
      </c>
      <c r="BA283" s="8">
        <v>4</v>
      </c>
      <c r="BB283" s="8">
        <v>5</v>
      </c>
      <c r="BC283" s="8">
        <v>0</v>
      </c>
      <c r="BD283" s="8">
        <v>0</v>
      </c>
      <c r="BE283" s="9">
        <f t="shared" si="1417"/>
        <v>0</v>
      </c>
      <c r="BF283" s="9">
        <f t="shared" si="1418"/>
        <v>9</v>
      </c>
      <c r="BG283" s="8">
        <v>0</v>
      </c>
      <c r="BH283" s="8">
        <v>0</v>
      </c>
      <c r="BI283" s="8">
        <v>0</v>
      </c>
      <c r="BJ283" s="8">
        <v>0</v>
      </c>
      <c r="BK283" s="9">
        <f t="shared" si="1419"/>
        <v>0</v>
      </c>
      <c r="BL283" s="9">
        <f t="shared" si="1420"/>
        <v>0</v>
      </c>
      <c r="BM283" s="8">
        <v>0</v>
      </c>
      <c r="BN283" s="8">
        <v>0</v>
      </c>
      <c r="BO283" s="8">
        <v>0</v>
      </c>
      <c r="BP283" s="8">
        <v>0</v>
      </c>
      <c r="BQ283" s="9">
        <f t="shared" si="1421"/>
        <v>0</v>
      </c>
      <c r="BR283" s="9">
        <f t="shared" si="1422"/>
        <v>0</v>
      </c>
      <c r="BS283" s="8">
        <v>0</v>
      </c>
      <c r="BT283" s="8">
        <v>0</v>
      </c>
      <c r="BU283" s="8">
        <v>0</v>
      </c>
      <c r="BV283" s="8">
        <v>0</v>
      </c>
      <c r="BW283" s="9">
        <f t="shared" si="1423"/>
        <v>0</v>
      </c>
      <c r="BX283" s="9">
        <f t="shared" si="1424"/>
        <v>0</v>
      </c>
      <c r="BY283" s="9">
        <f t="shared" si="1425"/>
        <v>4</v>
      </c>
      <c r="BZ283" s="9">
        <f t="shared" si="1426"/>
        <v>5</v>
      </c>
      <c r="CA283" s="9">
        <f t="shared" si="1427"/>
        <v>0</v>
      </c>
      <c r="CB283" s="9">
        <f t="shared" si="1428"/>
        <v>9</v>
      </c>
      <c r="CC283" s="8">
        <v>0</v>
      </c>
      <c r="CD283" s="8">
        <v>60</v>
      </c>
      <c r="CE283" s="8">
        <v>47</v>
      </c>
      <c r="CF283" s="8">
        <v>10</v>
      </c>
      <c r="CG283" s="8">
        <v>0</v>
      </c>
      <c r="CH283" s="9">
        <f t="shared" si="1429"/>
        <v>117</v>
      </c>
      <c r="CI283" s="8">
        <v>43</v>
      </c>
      <c r="CJ283" s="8">
        <v>3</v>
      </c>
      <c r="CK283" s="8">
        <v>1</v>
      </c>
      <c r="CL283" s="8">
        <v>0</v>
      </c>
      <c r="CM283" s="9">
        <f t="shared" si="1430"/>
        <v>47</v>
      </c>
      <c r="CN283" s="8">
        <v>302</v>
      </c>
      <c r="CO283" s="8">
        <v>14</v>
      </c>
      <c r="CP283" s="8">
        <v>2</v>
      </c>
      <c r="CQ283" s="8">
        <v>0</v>
      </c>
      <c r="CR283" s="9">
        <f t="shared" si="1431"/>
        <v>318</v>
      </c>
      <c r="CS283" s="9">
        <f t="shared" si="1432"/>
        <v>365</v>
      </c>
      <c r="CT283" s="8">
        <v>482</v>
      </c>
      <c r="CU283" s="8">
        <v>3418</v>
      </c>
      <c r="CV283" s="8">
        <v>2580</v>
      </c>
      <c r="CW283" s="10">
        <f t="shared" si="1433"/>
        <v>0.75482738443534225</v>
      </c>
      <c r="CX283" s="8">
        <v>0</v>
      </c>
      <c r="CY283" s="8">
        <v>0</v>
      </c>
      <c r="CZ283" s="8">
        <v>0</v>
      </c>
      <c r="DA283" s="8">
        <v>0</v>
      </c>
      <c r="DB283" s="9">
        <f t="shared" si="1434"/>
        <v>0</v>
      </c>
      <c r="DC283" s="8">
        <v>0</v>
      </c>
      <c r="DD283" s="8">
        <v>0</v>
      </c>
      <c r="DE283" s="8">
        <v>0</v>
      </c>
      <c r="DF283" s="8">
        <v>0</v>
      </c>
      <c r="DG283" s="9">
        <f t="shared" si="1435"/>
        <v>0</v>
      </c>
      <c r="DH283" s="8">
        <v>0</v>
      </c>
      <c r="DI283" s="8">
        <v>0</v>
      </c>
      <c r="DJ283" s="8">
        <v>0</v>
      </c>
      <c r="DK283" s="8">
        <v>0</v>
      </c>
      <c r="DL283" s="9">
        <f t="shared" si="1436"/>
        <v>0</v>
      </c>
      <c r="DM283" s="8">
        <v>0</v>
      </c>
      <c r="DN283" s="8">
        <v>0</v>
      </c>
      <c r="DO283" s="8">
        <v>0</v>
      </c>
      <c r="DP283" s="8">
        <v>0</v>
      </c>
      <c r="DQ283" s="9">
        <f t="shared" si="1437"/>
        <v>0</v>
      </c>
      <c r="DR283" s="9">
        <f t="shared" si="1438"/>
        <v>0</v>
      </c>
      <c r="DS283" s="9">
        <f t="shared" si="1439"/>
        <v>0</v>
      </c>
      <c r="DT283" s="9">
        <f t="shared" si="1440"/>
        <v>0</v>
      </c>
      <c r="DU283" s="9">
        <f t="shared" si="1441"/>
        <v>0</v>
      </c>
      <c r="DV283" s="9">
        <f t="shared" si="1442"/>
        <v>0</v>
      </c>
      <c r="DW283" s="8">
        <v>5</v>
      </c>
      <c r="DX283" s="8">
        <v>3</v>
      </c>
      <c r="DY283" s="8">
        <v>0</v>
      </c>
      <c r="DZ283" s="8">
        <v>2</v>
      </c>
      <c r="EA283" s="8">
        <v>1</v>
      </c>
      <c r="EB283" s="8">
        <v>2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9">
        <f t="shared" si="1443"/>
        <v>13</v>
      </c>
      <c r="FH283" s="8">
        <v>0</v>
      </c>
      <c r="FI283" s="8">
        <v>0</v>
      </c>
      <c r="FJ283" s="8">
        <v>12</v>
      </c>
      <c r="FK283" s="8">
        <v>21.3</v>
      </c>
      <c r="FL283" s="8">
        <v>0</v>
      </c>
      <c r="FM283" s="8">
        <v>0</v>
      </c>
      <c r="FN283" s="8">
        <v>0</v>
      </c>
      <c r="FO283" s="8">
        <v>0</v>
      </c>
      <c r="FP283" s="8">
        <v>0</v>
      </c>
      <c r="FQ283" s="9">
        <f t="shared" si="1444"/>
        <v>0</v>
      </c>
      <c r="FR283" s="8">
        <v>213157.22</v>
      </c>
      <c r="FS283" s="8">
        <v>0</v>
      </c>
      <c r="FT283" s="8">
        <v>0</v>
      </c>
      <c r="FU283" s="8">
        <v>0</v>
      </c>
      <c r="FV283" s="9">
        <f t="shared" si="1445"/>
        <v>213157.22</v>
      </c>
      <c r="FW283" s="8">
        <v>2251666.42</v>
      </c>
      <c r="FX283" s="8">
        <v>0</v>
      </c>
      <c r="FY283" s="8">
        <v>122000</v>
      </c>
      <c r="FZ283" s="8">
        <v>179205.7</v>
      </c>
      <c r="GA283" s="9">
        <f t="shared" si="1446"/>
        <v>2552872.12</v>
      </c>
      <c r="GB283" s="9">
        <f t="shared" si="1447"/>
        <v>2766029.3400000003</v>
      </c>
      <c r="GC283" s="8">
        <v>185047.44</v>
      </c>
      <c r="GD283" s="8">
        <v>0</v>
      </c>
      <c r="GE283" s="8">
        <v>35881.61</v>
      </c>
      <c r="GF283" s="8">
        <v>11796.63</v>
      </c>
      <c r="GG283" s="9">
        <f t="shared" si="1448"/>
        <v>232725.68</v>
      </c>
      <c r="GH283" s="8">
        <v>2238236.4300000002</v>
      </c>
      <c r="GI283" s="8">
        <v>0</v>
      </c>
      <c r="GJ283" s="8">
        <v>179205.7</v>
      </c>
      <c r="GK283" s="8">
        <v>122000</v>
      </c>
      <c r="GL283" s="9">
        <f t="shared" si="1449"/>
        <v>2539442.1300000004</v>
      </c>
      <c r="GM283" s="9">
        <f t="shared" si="1450"/>
        <v>2772167.8100000005</v>
      </c>
      <c r="GN283" s="8">
        <v>23165.3</v>
      </c>
      <c r="GO283" s="8">
        <v>0</v>
      </c>
      <c r="GP283" s="8">
        <v>10180.92</v>
      </c>
      <c r="GQ283" s="8">
        <v>4637.34</v>
      </c>
      <c r="GR283" s="9">
        <f t="shared" si="1451"/>
        <v>37983.56</v>
      </c>
      <c r="GS283" s="8">
        <v>38399</v>
      </c>
      <c r="GT283" s="8">
        <v>0</v>
      </c>
      <c r="GU283" s="8">
        <v>2679</v>
      </c>
      <c r="GV283" s="8">
        <v>893</v>
      </c>
      <c r="GW283" s="9">
        <f t="shared" si="1452"/>
        <v>41971</v>
      </c>
      <c r="GX283" s="9">
        <f t="shared" si="1453"/>
        <v>2852122.3700000006</v>
      </c>
      <c r="GY283" s="8">
        <v>-881543331.20999908</v>
      </c>
      <c r="GZ283" s="8">
        <v>-30403.8</v>
      </c>
      <c r="HA283" s="9">
        <f t="shared" si="1454"/>
        <v>-881573735.00999904</v>
      </c>
      <c r="HB283" s="9">
        <f t="shared" si="1455"/>
        <v>7.6835304349160846E-2</v>
      </c>
      <c r="HC283" s="10">
        <f t="shared" si="1456"/>
        <v>-3.1478969086894174E-3</v>
      </c>
      <c r="HD283" s="9">
        <f t="shared" si="1457"/>
        <v>0.96981439825108195</v>
      </c>
      <c r="HE283" s="8">
        <v>4</v>
      </c>
      <c r="HF283" s="8">
        <v>1</v>
      </c>
      <c r="HG283" s="8">
        <v>9</v>
      </c>
      <c r="HH283" s="8">
        <v>5</v>
      </c>
      <c r="HI283" s="8">
        <v>0</v>
      </c>
      <c r="HJ283" s="9">
        <f t="shared" si="1458"/>
        <v>1</v>
      </c>
      <c r="HK283" s="10">
        <f t="shared" si="1459"/>
        <v>1.25</v>
      </c>
      <c r="HL283" s="8">
        <v>0</v>
      </c>
      <c r="HM283" s="8">
        <v>0</v>
      </c>
      <c r="HN283" s="11" t="str">
        <f t="shared" si="1460"/>
        <v/>
      </c>
    </row>
    <row r="284" spans="1:222" x14ac:dyDescent="0.3">
      <c r="A284" s="12" t="s">
        <v>295</v>
      </c>
      <c r="B284" s="12" t="s">
        <v>296</v>
      </c>
      <c r="C284" s="13" t="s">
        <v>257</v>
      </c>
      <c r="D284" s="13">
        <v>2025</v>
      </c>
      <c r="E284" s="13">
        <v>9</v>
      </c>
      <c r="F284" s="13" t="s">
        <v>265</v>
      </c>
      <c r="G284" s="13" t="s">
        <v>263</v>
      </c>
      <c r="H284" s="14">
        <v>2532</v>
      </c>
      <c r="I284" s="14">
        <v>121</v>
      </c>
      <c r="J284" s="14">
        <v>0</v>
      </c>
      <c r="K284" s="14">
        <v>2</v>
      </c>
      <c r="L284" s="14">
        <v>2</v>
      </c>
      <c r="M284" s="15">
        <f t="shared" si="1400"/>
        <v>125</v>
      </c>
      <c r="N284" s="14">
        <v>1437.5</v>
      </c>
      <c r="O284" s="14">
        <v>0</v>
      </c>
      <c r="P284" s="14">
        <v>62.6</v>
      </c>
      <c r="Q284" s="14">
        <v>13.5</v>
      </c>
      <c r="R284" s="15">
        <f t="shared" si="1401"/>
        <v>1513.6</v>
      </c>
      <c r="S284" s="15">
        <f t="shared" si="1402"/>
        <v>1638.6</v>
      </c>
      <c r="T284" s="14">
        <v>893.40000000000396</v>
      </c>
      <c r="U284" s="16">
        <f t="shared" si="1403"/>
        <v>0.35284360189573616</v>
      </c>
      <c r="V284" s="14">
        <v>6.2</v>
      </c>
      <c r="W284" s="17">
        <f t="shared" si="1404"/>
        <v>2.4486571879936809E-3</v>
      </c>
      <c r="X284" s="14">
        <v>0</v>
      </c>
      <c r="Y284" s="17">
        <f t="shared" si="1405"/>
        <v>0</v>
      </c>
      <c r="Z284" s="14">
        <v>0</v>
      </c>
      <c r="AA284" s="17">
        <f t="shared" si="1406"/>
        <v>0</v>
      </c>
      <c r="AB284" s="14">
        <v>0</v>
      </c>
      <c r="AC284" s="17">
        <f t="shared" si="1407"/>
        <v>0</v>
      </c>
      <c r="AD284" s="14">
        <v>0</v>
      </c>
      <c r="AE284" s="17">
        <f t="shared" si="1408"/>
        <v>0</v>
      </c>
      <c r="AF284" s="14">
        <v>0</v>
      </c>
      <c r="AG284" s="17">
        <f t="shared" si="1409"/>
        <v>0</v>
      </c>
      <c r="AH284" s="14">
        <v>161200</v>
      </c>
      <c r="AI284" s="15">
        <f t="shared" si="1410"/>
        <v>63.665086887835706</v>
      </c>
      <c r="AJ284" s="14">
        <v>13.45</v>
      </c>
      <c r="AK284" s="17">
        <f t="shared" si="1411"/>
        <v>5.3120063191153238E-3</v>
      </c>
      <c r="AL284" s="14">
        <v>35282.456050000001</v>
      </c>
      <c r="AM284" s="15">
        <f t="shared" si="1412"/>
        <v>13.934619293048973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5">
        <f t="shared" si="1413"/>
        <v>196482.45605000001</v>
      </c>
      <c r="AV284" s="15">
        <f t="shared" si="1414"/>
        <v>77.599706180884681</v>
      </c>
      <c r="AW284" s="15">
        <f t="shared" si="1415"/>
        <v>119.90873675698768</v>
      </c>
      <c r="AX284" s="14">
        <v>4</v>
      </c>
      <c r="AY284" s="15">
        <f t="shared" si="1416"/>
        <v>18.957345971563981</v>
      </c>
      <c r="AZ284" s="14">
        <v>6</v>
      </c>
      <c r="BA284" s="14">
        <v>9</v>
      </c>
      <c r="BB284" s="14">
        <v>7</v>
      </c>
      <c r="BC284" s="14">
        <v>0</v>
      </c>
      <c r="BD284" s="14">
        <v>0</v>
      </c>
      <c r="BE284" s="15">
        <f t="shared" si="1417"/>
        <v>0</v>
      </c>
      <c r="BF284" s="15">
        <f t="shared" si="1418"/>
        <v>16</v>
      </c>
      <c r="BG284" s="14">
        <v>0</v>
      </c>
      <c r="BH284" s="14">
        <v>0</v>
      </c>
      <c r="BI284" s="14">
        <v>0</v>
      </c>
      <c r="BJ284" s="14">
        <v>0</v>
      </c>
      <c r="BK284" s="15">
        <f t="shared" si="1419"/>
        <v>0</v>
      </c>
      <c r="BL284" s="15">
        <f t="shared" si="1420"/>
        <v>0</v>
      </c>
      <c r="BM284" s="14">
        <v>0</v>
      </c>
      <c r="BN284" s="14">
        <v>0</v>
      </c>
      <c r="BO284" s="14">
        <v>0</v>
      </c>
      <c r="BP284" s="14">
        <v>0</v>
      </c>
      <c r="BQ284" s="15">
        <f t="shared" si="1421"/>
        <v>0</v>
      </c>
      <c r="BR284" s="15">
        <f t="shared" si="1422"/>
        <v>0</v>
      </c>
      <c r="BS284" s="14">
        <v>0</v>
      </c>
      <c r="BT284" s="14">
        <v>0</v>
      </c>
      <c r="BU284" s="14">
        <v>0</v>
      </c>
      <c r="BV284" s="14">
        <v>0</v>
      </c>
      <c r="BW284" s="15">
        <f t="shared" si="1423"/>
        <v>0</v>
      </c>
      <c r="BX284" s="15">
        <f t="shared" si="1424"/>
        <v>0</v>
      </c>
      <c r="BY284" s="15">
        <f t="shared" si="1425"/>
        <v>9</v>
      </c>
      <c r="BZ284" s="15">
        <f t="shared" si="1426"/>
        <v>7</v>
      </c>
      <c r="CA284" s="15">
        <f t="shared" si="1427"/>
        <v>0</v>
      </c>
      <c r="CB284" s="15">
        <f t="shared" si="1428"/>
        <v>16</v>
      </c>
      <c r="CC284" s="14">
        <v>0</v>
      </c>
      <c r="CD284" s="14">
        <v>78</v>
      </c>
      <c r="CE284" s="14">
        <v>48</v>
      </c>
      <c r="CF284" s="14">
        <v>10</v>
      </c>
      <c r="CG284" s="14">
        <v>0</v>
      </c>
      <c r="CH284" s="15">
        <f t="shared" si="1429"/>
        <v>136</v>
      </c>
      <c r="CI284" s="14">
        <v>25</v>
      </c>
      <c r="CJ284" s="14">
        <v>2</v>
      </c>
      <c r="CK284" s="14">
        <v>1</v>
      </c>
      <c r="CL284" s="14">
        <v>0</v>
      </c>
      <c r="CM284" s="15">
        <f t="shared" si="1430"/>
        <v>28</v>
      </c>
      <c r="CN284" s="14">
        <v>302</v>
      </c>
      <c r="CO284" s="14">
        <v>14</v>
      </c>
      <c r="CP284" s="14">
        <v>2</v>
      </c>
      <c r="CQ284" s="14">
        <v>0</v>
      </c>
      <c r="CR284" s="15">
        <f t="shared" si="1431"/>
        <v>318</v>
      </c>
      <c r="CS284" s="15">
        <f t="shared" si="1432"/>
        <v>346</v>
      </c>
      <c r="CT284" s="14">
        <v>482</v>
      </c>
      <c r="CU284" s="14">
        <v>3423</v>
      </c>
      <c r="CV284" s="14">
        <v>2580</v>
      </c>
      <c r="CW284" s="16">
        <f t="shared" si="1433"/>
        <v>0.75372480280455745</v>
      </c>
      <c r="CX284" s="14">
        <v>0</v>
      </c>
      <c r="CY284" s="14">
        <v>0</v>
      </c>
      <c r="CZ284" s="14">
        <v>0</v>
      </c>
      <c r="DA284" s="14">
        <v>0</v>
      </c>
      <c r="DB284" s="15">
        <f t="shared" si="1434"/>
        <v>0</v>
      </c>
      <c r="DC284" s="14">
        <v>0</v>
      </c>
      <c r="DD284" s="14">
        <v>0</v>
      </c>
      <c r="DE284" s="14">
        <v>0</v>
      </c>
      <c r="DF284" s="14">
        <v>0</v>
      </c>
      <c r="DG284" s="15">
        <f t="shared" si="1435"/>
        <v>0</v>
      </c>
      <c r="DH284" s="14">
        <v>0</v>
      </c>
      <c r="DI284" s="14">
        <v>0</v>
      </c>
      <c r="DJ284" s="14">
        <v>0</v>
      </c>
      <c r="DK284" s="14">
        <v>0</v>
      </c>
      <c r="DL284" s="15">
        <f t="shared" si="1436"/>
        <v>0</v>
      </c>
      <c r="DM284" s="14">
        <v>0</v>
      </c>
      <c r="DN284" s="14">
        <v>0</v>
      </c>
      <c r="DO284" s="14">
        <v>0</v>
      </c>
      <c r="DP284" s="14">
        <v>0</v>
      </c>
      <c r="DQ284" s="15">
        <f t="shared" si="1437"/>
        <v>0</v>
      </c>
      <c r="DR284" s="15">
        <f t="shared" si="1438"/>
        <v>0</v>
      </c>
      <c r="DS284" s="15">
        <f t="shared" si="1439"/>
        <v>0</v>
      </c>
      <c r="DT284" s="15">
        <f t="shared" si="1440"/>
        <v>0</v>
      </c>
      <c r="DU284" s="15">
        <f t="shared" si="1441"/>
        <v>0</v>
      </c>
      <c r="DV284" s="15">
        <f t="shared" si="1442"/>
        <v>0</v>
      </c>
      <c r="DW284" s="14">
        <v>4</v>
      </c>
      <c r="DX284" s="14">
        <v>1</v>
      </c>
      <c r="DY284" s="14">
        <v>4</v>
      </c>
      <c r="DZ284" s="14">
        <v>2</v>
      </c>
      <c r="EA284" s="14">
        <v>1</v>
      </c>
      <c r="EB284" s="14">
        <v>0</v>
      </c>
      <c r="EC284" s="14">
        <v>0</v>
      </c>
      <c r="ED284" s="14">
        <v>0</v>
      </c>
      <c r="EE284" s="14">
        <v>0</v>
      </c>
      <c r="EF284" s="14">
        <v>0</v>
      </c>
      <c r="EG284" s="14">
        <v>0</v>
      </c>
      <c r="EH284" s="14">
        <v>0</v>
      </c>
      <c r="EI284" s="14">
        <v>0</v>
      </c>
      <c r="EJ284" s="14">
        <v>0</v>
      </c>
      <c r="EK284" s="14">
        <v>0</v>
      </c>
      <c r="EL284" s="14">
        <v>0</v>
      </c>
      <c r="EM284" s="14">
        <v>0</v>
      </c>
      <c r="EN284" s="14">
        <v>0</v>
      </c>
      <c r="EO284" s="14">
        <v>0</v>
      </c>
      <c r="EP284" s="14">
        <v>0</v>
      </c>
      <c r="EQ284" s="14">
        <v>0</v>
      </c>
      <c r="ER284" s="14">
        <v>0</v>
      </c>
      <c r="ES284" s="14">
        <v>0</v>
      </c>
      <c r="ET284" s="14">
        <v>0</v>
      </c>
      <c r="EU284" s="14">
        <v>0</v>
      </c>
      <c r="EV284" s="14">
        <v>0</v>
      </c>
      <c r="EW284" s="14">
        <v>0</v>
      </c>
      <c r="EX284" s="14">
        <v>0</v>
      </c>
      <c r="EY284" s="14">
        <v>0</v>
      </c>
      <c r="EZ284" s="14">
        <v>0</v>
      </c>
      <c r="FA284" s="14">
        <v>0</v>
      </c>
      <c r="FB284" s="14">
        <v>0</v>
      </c>
      <c r="FC284" s="14">
        <v>0</v>
      </c>
      <c r="FD284" s="14">
        <v>0</v>
      </c>
      <c r="FE284" s="14">
        <v>0</v>
      </c>
      <c r="FF284" s="14">
        <v>0</v>
      </c>
      <c r="FG284" s="15">
        <f t="shared" si="1443"/>
        <v>12</v>
      </c>
      <c r="FH284" s="14">
        <v>0</v>
      </c>
      <c r="FI284" s="14">
        <v>0</v>
      </c>
      <c r="FJ284" s="14">
        <v>10</v>
      </c>
      <c r="FK284" s="14">
        <v>7</v>
      </c>
      <c r="FL284" s="14">
        <v>0</v>
      </c>
      <c r="FM284" s="14">
        <v>0</v>
      </c>
      <c r="FN284" s="14">
        <v>0</v>
      </c>
      <c r="FO284" s="14">
        <v>0</v>
      </c>
      <c r="FP284" s="14">
        <v>0</v>
      </c>
      <c r="FQ284" s="15">
        <f t="shared" si="1444"/>
        <v>0</v>
      </c>
      <c r="FR284" s="14">
        <v>215847.57</v>
      </c>
      <c r="FS284" s="14">
        <v>0</v>
      </c>
      <c r="FT284" s="14">
        <v>0</v>
      </c>
      <c r="FU284" s="14">
        <v>0</v>
      </c>
      <c r="FV284" s="15">
        <f t="shared" si="1445"/>
        <v>215847.57</v>
      </c>
      <c r="FW284" s="14">
        <v>1844649.28</v>
      </c>
      <c r="FX284" s="14">
        <v>0</v>
      </c>
      <c r="FY284" s="14">
        <v>63700</v>
      </c>
      <c r="FZ284" s="14">
        <v>267300</v>
      </c>
      <c r="GA284" s="15">
        <f t="shared" si="1446"/>
        <v>2175649.2800000003</v>
      </c>
      <c r="GB284" s="15">
        <f t="shared" si="1447"/>
        <v>2391496.85</v>
      </c>
      <c r="GC284" s="14">
        <v>123163.36</v>
      </c>
      <c r="GD284" s="14">
        <v>0</v>
      </c>
      <c r="GE284" s="14">
        <v>16821.98</v>
      </c>
      <c r="GF284" s="14">
        <v>8410.99</v>
      </c>
      <c r="GG284" s="15">
        <f t="shared" si="1448"/>
        <v>148396.32999999999</v>
      </c>
      <c r="GH284" s="14">
        <v>1793225.5</v>
      </c>
      <c r="GI284" s="14">
        <v>0</v>
      </c>
      <c r="GJ284" s="14">
        <v>189300</v>
      </c>
      <c r="GK284" s="14">
        <v>63700</v>
      </c>
      <c r="GL284" s="15">
        <f t="shared" si="1449"/>
        <v>2046225.5</v>
      </c>
      <c r="GM284" s="15">
        <f t="shared" si="1450"/>
        <v>2194621.83</v>
      </c>
      <c r="GN284" s="14">
        <v>13295.55</v>
      </c>
      <c r="GO284" s="14">
        <v>0</v>
      </c>
      <c r="GP284" s="14">
        <v>6787.28</v>
      </c>
      <c r="GQ284" s="14">
        <v>4637.34</v>
      </c>
      <c r="GR284" s="15">
        <f t="shared" si="1451"/>
        <v>24720.17</v>
      </c>
      <c r="GS284" s="14">
        <v>22325</v>
      </c>
      <c r="GT284" s="14">
        <v>0</v>
      </c>
      <c r="GU284" s="14">
        <v>1786</v>
      </c>
      <c r="GV284" s="14">
        <v>893</v>
      </c>
      <c r="GW284" s="15">
        <f t="shared" si="1452"/>
        <v>25004</v>
      </c>
      <c r="GX284" s="15">
        <f t="shared" si="1453"/>
        <v>2244346</v>
      </c>
      <c r="GY284" s="14">
        <v>-881669640.27999949</v>
      </c>
      <c r="GZ284" s="14">
        <v>-30403.8</v>
      </c>
      <c r="HA284" s="9">
        <f t="shared" si="1454"/>
        <v>-881700044.07999945</v>
      </c>
      <c r="HB284" s="15">
        <f t="shared" si="1455"/>
        <v>8.754552820732632E-2</v>
      </c>
      <c r="HC284" s="16">
        <f t="shared" si="1456"/>
        <v>-2.719386018977268E-3</v>
      </c>
      <c r="HD284" s="15">
        <f t="shared" si="1457"/>
        <v>1.0655651356787235</v>
      </c>
      <c r="HE284" s="14">
        <v>2</v>
      </c>
      <c r="HF284" s="14">
        <v>1</v>
      </c>
      <c r="HG284" s="14">
        <v>16</v>
      </c>
      <c r="HH284" s="14">
        <v>7</v>
      </c>
      <c r="HI284" s="14">
        <v>0</v>
      </c>
      <c r="HJ284" s="15">
        <f t="shared" si="1458"/>
        <v>1</v>
      </c>
      <c r="HK284" s="16">
        <f t="shared" si="1459"/>
        <v>3.5</v>
      </c>
      <c r="HL284" s="14">
        <v>0</v>
      </c>
      <c r="HM284" s="14">
        <v>0</v>
      </c>
      <c r="HN284" s="17" t="str">
        <f t="shared" si="1460"/>
        <v/>
      </c>
    </row>
    <row r="285" spans="1:222" x14ac:dyDescent="0.3">
      <c r="A285" s="6" t="s">
        <v>295</v>
      </c>
      <c r="B285" s="6" t="s">
        <v>296</v>
      </c>
      <c r="C285" s="7" t="s">
        <v>257</v>
      </c>
      <c r="D285" s="7">
        <v>2025</v>
      </c>
      <c r="E285" s="7">
        <v>10</v>
      </c>
      <c r="F285" s="7" t="s">
        <v>266</v>
      </c>
      <c r="G285" s="7" t="s">
        <v>267</v>
      </c>
      <c r="H285" s="8">
        <v>1457</v>
      </c>
      <c r="I285" s="8">
        <v>115</v>
      </c>
      <c r="J285" s="8">
        <v>0</v>
      </c>
      <c r="K285" s="8">
        <v>2</v>
      </c>
      <c r="L285" s="8">
        <v>1</v>
      </c>
      <c r="M285" s="9">
        <f t="shared" si="1400"/>
        <v>118</v>
      </c>
      <c r="N285" s="8">
        <v>1030.0999999999999</v>
      </c>
      <c r="O285" s="8">
        <v>0</v>
      </c>
      <c r="P285" s="8">
        <v>205.3</v>
      </c>
      <c r="Q285" s="8">
        <v>2.1</v>
      </c>
      <c r="R285" s="9">
        <f t="shared" si="1401"/>
        <v>1237.4999999999998</v>
      </c>
      <c r="S285" s="9">
        <f t="shared" si="1402"/>
        <v>1355.4999999999998</v>
      </c>
      <c r="T285" s="8">
        <v>101.50000000000099</v>
      </c>
      <c r="U285" s="10">
        <f t="shared" si="1403"/>
        <v>6.9663692518875081E-2</v>
      </c>
      <c r="V285" s="8">
        <v>8.5</v>
      </c>
      <c r="W285" s="11">
        <f t="shared" si="1404"/>
        <v>5.8339052848318459E-3</v>
      </c>
      <c r="X285" s="8">
        <v>0</v>
      </c>
      <c r="Y285" s="11">
        <f t="shared" si="1405"/>
        <v>0</v>
      </c>
      <c r="Z285" s="8">
        <v>0</v>
      </c>
      <c r="AA285" s="11">
        <f t="shared" si="1406"/>
        <v>0</v>
      </c>
      <c r="AB285" s="8">
        <v>0</v>
      </c>
      <c r="AC285" s="11">
        <f t="shared" si="1407"/>
        <v>0</v>
      </c>
      <c r="AD285" s="8">
        <v>0</v>
      </c>
      <c r="AE285" s="11">
        <f t="shared" si="1408"/>
        <v>0</v>
      </c>
      <c r="AF285" s="8">
        <v>0</v>
      </c>
      <c r="AG285" s="11">
        <f t="shared" si="1409"/>
        <v>0</v>
      </c>
      <c r="AH285" s="8">
        <v>221000</v>
      </c>
      <c r="AI285" s="9">
        <f t="shared" si="1410"/>
        <v>151.68153740562801</v>
      </c>
      <c r="AJ285" s="8">
        <v>13.13</v>
      </c>
      <c r="AK285" s="11">
        <f t="shared" si="1411"/>
        <v>9.0116678105696645E-3</v>
      </c>
      <c r="AL285" s="8">
        <v>35194.997170000002</v>
      </c>
      <c r="AM285" s="9">
        <f t="shared" si="1412"/>
        <v>24.155797645847635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9">
        <f t="shared" si="1413"/>
        <v>256194.99716999999</v>
      </c>
      <c r="AV285" s="9">
        <f t="shared" si="1414"/>
        <v>175.83733505147563</v>
      </c>
      <c r="AW285" s="9">
        <f t="shared" si="1415"/>
        <v>189.00405545555148</v>
      </c>
      <c r="AX285" s="8">
        <v>4</v>
      </c>
      <c r="AY285" s="9">
        <f t="shared" si="1416"/>
        <v>32.94440631434454</v>
      </c>
      <c r="AZ285" s="8">
        <v>6</v>
      </c>
      <c r="BA285" s="8">
        <v>16</v>
      </c>
      <c r="BB285" s="8">
        <v>0</v>
      </c>
      <c r="BC285" s="8">
        <v>11</v>
      </c>
      <c r="BD285" s="8">
        <v>0</v>
      </c>
      <c r="BE285" s="9">
        <f t="shared" si="1417"/>
        <v>11</v>
      </c>
      <c r="BF285" s="9">
        <f t="shared" si="1418"/>
        <v>5</v>
      </c>
      <c r="BG285" s="8">
        <v>0</v>
      </c>
      <c r="BH285" s="8">
        <v>0</v>
      </c>
      <c r="BI285" s="8">
        <v>0</v>
      </c>
      <c r="BJ285" s="8">
        <v>0</v>
      </c>
      <c r="BK285" s="9">
        <f t="shared" si="1419"/>
        <v>0</v>
      </c>
      <c r="BL285" s="9">
        <f t="shared" si="1420"/>
        <v>0</v>
      </c>
      <c r="BM285" s="8">
        <v>0</v>
      </c>
      <c r="BN285" s="8">
        <v>0</v>
      </c>
      <c r="BO285" s="8">
        <v>0</v>
      </c>
      <c r="BP285" s="8">
        <v>0</v>
      </c>
      <c r="BQ285" s="9">
        <f t="shared" si="1421"/>
        <v>0</v>
      </c>
      <c r="BR285" s="9">
        <f t="shared" si="1422"/>
        <v>0</v>
      </c>
      <c r="BS285" s="8">
        <v>0</v>
      </c>
      <c r="BT285" s="8">
        <v>0</v>
      </c>
      <c r="BU285" s="8">
        <v>0</v>
      </c>
      <c r="BV285" s="8">
        <v>0</v>
      </c>
      <c r="BW285" s="9">
        <f t="shared" si="1423"/>
        <v>0</v>
      </c>
      <c r="BX285" s="9">
        <f t="shared" si="1424"/>
        <v>0</v>
      </c>
      <c r="BY285" s="9">
        <f t="shared" si="1425"/>
        <v>16</v>
      </c>
      <c r="BZ285" s="9">
        <f t="shared" si="1426"/>
        <v>0</v>
      </c>
      <c r="CA285" s="9">
        <f t="shared" si="1427"/>
        <v>11</v>
      </c>
      <c r="CB285" s="9">
        <f t="shared" si="1428"/>
        <v>5</v>
      </c>
      <c r="CC285" s="8">
        <v>20</v>
      </c>
      <c r="CD285" s="8">
        <v>55</v>
      </c>
      <c r="CE285" s="8">
        <v>48</v>
      </c>
      <c r="CF285" s="8">
        <v>10</v>
      </c>
      <c r="CG285" s="8">
        <v>0</v>
      </c>
      <c r="CH285" s="9">
        <f t="shared" si="1429"/>
        <v>113</v>
      </c>
      <c r="CI285" s="8">
        <v>39</v>
      </c>
      <c r="CJ285" s="8">
        <v>2</v>
      </c>
      <c r="CK285" s="8">
        <v>1</v>
      </c>
      <c r="CL285" s="8">
        <v>0</v>
      </c>
      <c r="CM285" s="9">
        <f t="shared" si="1430"/>
        <v>42</v>
      </c>
      <c r="CN285" s="8">
        <v>322</v>
      </c>
      <c r="CO285" s="8">
        <v>14</v>
      </c>
      <c r="CP285" s="8">
        <v>2</v>
      </c>
      <c r="CQ285" s="8">
        <v>0</v>
      </c>
      <c r="CR285" s="9">
        <f t="shared" si="1431"/>
        <v>338</v>
      </c>
      <c r="CS285" s="9">
        <f t="shared" si="1432"/>
        <v>380</v>
      </c>
      <c r="CT285" s="8">
        <v>493</v>
      </c>
      <c r="CU285" s="8">
        <v>3428</v>
      </c>
      <c r="CV285" s="8">
        <v>2627.3</v>
      </c>
      <c r="CW285" s="10">
        <f t="shared" si="1433"/>
        <v>0.76642357059509925</v>
      </c>
      <c r="CX285" s="8">
        <v>0</v>
      </c>
      <c r="CY285" s="8">
        <v>0</v>
      </c>
      <c r="CZ285" s="8">
        <v>0</v>
      </c>
      <c r="DA285" s="8">
        <v>0</v>
      </c>
      <c r="DB285" s="9">
        <f t="shared" si="1434"/>
        <v>0</v>
      </c>
      <c r="DC285" s="8">
        <v>0</v>
      </c>
      <c r="DD285" s="8">
        <v>0</v>
      </c>
      <c r="DE285" s="8">
        <v>0</v>
      </c>
      <c r="DF285" s="8">
        <v>0</v>
      </c>
      <c r="DG285" s="9">
        <f t="shared" si="1435"/>
        <v>0</v>
      </c>
      <c r="DH285" s="8">
        <v>0</v>
      </c>
      <c r="DI285" s="8">
        <v>0</v>
      </c>
      <c r="DJ285" s="8">
        <v>0</v>
      </c>
      <c r="DK285" s="8">
        <v>0</v>
      </c>
      <c r="DL285" s="9">
        <f t="shared" si="1436"/>
        <v>0</v>
      </c>
      <c r="DM285" s="8">
        <v>0</v>
      </c>
      <c r="DN285" s="8">
        <v>0</v>
      </c>
      <c r="DO285" s="8">
        <v>0</v>
      </c>
      <c r="DP285" s="8">
        <v>0</v>
      </c>
      <c r="DQ285" s="9">
        <f t="shared" si="1437"/>
        <v>0</v>
      </c>
      <c r="DR285" s="9">
        <f t="shared" si="1438"/>
        <v>0</v>
      </c>
      <c r="DS285" s="9">
        <f t="shared" si="1439"/>
        <v>0</v>
      </c>
      <c r="DT285" s="9">
        <f t="shared" si="1440"/>
        <v>0</v>
      </c>
      <c r="DU285" s="9">
        <f t="shared" si="1441"/>
        <v>0</v>
      </c>
      <c r="DV285" s="9">
        <f t="shared" si="1442"/>
        <v>0</v>
      </c>
      <c r="DW285" s="8">
        <v>2</v>
      </c>
      <c r="DX285" s="8">
        <v>1</v>
      </c>
      <c r="DY285" s="8">
        <v>2</v>
      </c>
      <c r="DZ285" s="8">
        <v>0</v>
      </c>
      <c r="EA285" s="8">
        <v>1</v>
      </c>
      <c r="EB285" s="8">
        <v>0</v>
      </c>
      <c r="EC285" s="8">
        <v>0</v>
      </c>
      <c r="ED285" s="8">
        <v>0</v>
      </c>
      <c r="EE285" s="8">
        <v>1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8">
        <v>0</v>
      </c>
      <c r="FC285" s="8">
        <v>0</v>
      </c>
      <c r="FD285" s="8">
        <v>0</v>
      </c>
      <c r="FE285" s="8">
        <v>0</v>
      </c>
      <c r="FF285" s="8">
        <v>0</v>
      </c>
      <c r="FG285" s="9">
        <f t="shared" si="1443"/>
        <v>7</v>
      </c>
      <c r="FH285" s="8">
        <v>0</v>
      </c>
      <c r="FI285" s="8">
        <v>0</v>
      </c>
      <c r="FJ285" s="8">
        <v>4</v>
      </c>
      <c r="FK285" s="8">
        <v>18</v>
      </c>
      <c r="FL285" s="8">
        <v>0</v>
      </c>
      <c r="FM285" s="8">
        <v>0</v>
      </c>
      <c r="FN285" s="8">
        <v>0</v>
      </c>
      <c r="FO285" s="8">
        <v>0</v>
      </c>
      <c r="FP285" s="8">
        <v>0</v>
      </c>
      <c r="FQ285" s="9">
        <f t="shared" si="1444"/>
        <v>0</v>
      </c>
      <c r="FR285" s="8">
        <v>51500</v>
      </c>
      <c r="FS285" s="8">
        <v>0</v>
      </c>
      <c r="FT285" s="8">
        <v>0</v>
      </c>
      <c r="FU285" s="8">
        <v>0</v>
      </c>
      <c r="FV285" s="9">
        <f t="shared" si="1445"/>
        <v>51500</v>
      </c>
      <c r="FW285" s="8">
        <v>1359369.59</v>
      </c>
      <c r="FX285" s="8">
        <v>0</v>
      </c>
      <c r="FY285" s="8">
        <v>10000</v>
      </c>
      <c r="FZ285" s="8">
        <v>653800</v>
      </c>
      <c r="GA285" s="9">
        <f t="shared" si="1446"/>
        <v>2023169.59</v>
      </c>
      <c r="GB285" s="9">
        <f t="shared" si="1447"/>
        <v>2074669.59</v>
      </c>
      <c r="GC285" s="8">
        <v>159971.91</v>
      </c>
      <c r="GD285" s="8">
        <v>0</v>
      </c>
      <c r="GE285" s="8">
        <v>16821.98</v>
      </c>
      <c r="GF285" s="8">
        <v>8410.99</v>
      </c>
      <c r="GG285" s="9">
        <f t="shared" si="1448"/>
        <v>185204.88</v>
      </c>
      <c r="GH285" s="8">
        <v>1295214.5900000001</v>
      </c>
      <c r="GI285" s="8">
        <v>0</v>
      </c>
      <c r="GJ285" s="8">
        <v>623800</v>
      </c>
      <c r="GK285" s="8">
        <v>10000</v>
      </c>
      <c r="GL285" s="9">
        <f t="shared" si="1449"/>
        <v>1929014.59</v>
      </c>
      <c r="GM285" s="9">
        <f t="shared" si="1450"/>
        <v>2114219.4700000002</v>
      </c>
      <c r="GN285" s="8">
        <v>20924.57</v>
      </c>
      <c r="GO285" s="8">
        <v>0</v>
      </c>
      <c r="GP285" s="8">
        <v>6787.28</v>
      </c>
      <c r="GQ285" s="8">
        <v>4637.34</v>
      </c>
      <c r="GR285" s="9">
        <f t="shared" si="1451"/>
        <v>32349.19</v>
      </c>
      <c r="GS285" s="8">
        <v>34827</v>
      </c>
      <c r="GT285" s="8">
        <v>0</v>
      </c>
      <c r="GU285" s="8">
        <v>1786</v>
      </c>
      <c r="GV285" s="8">
        <v>893</v>
      </c>
      <c r="GW285" s="9">
        <f t="shared" si="1452"/>
        <v>37506</v>
      </c>
      <c r="GX285" s="9">
        <f t="shared" si="1453"/>
        <v>2184074.66</v>
      </c>
      <c r="GY285" s="8">
        <v>11770358.56000001</v>
      </c>
      <c r="GZ285" s="8">
        <v>-30403.8</v>
      </c>
      <c r="HA285" s="9">
        <f t="shared" si="1454"/>
        <v>11739954.760000009</v>
      </c>
      <c r="HB285" s="9">
        <f t="shared" si="1455"/>
        <v>0.11730139168868887</v>
      </c>
      <c r="HC285" s="10">
        <f t="shared" si="1456"/>
        <v>0.14867458658417648</v>
      </c>
      <c r="HD285" s="9">
        <f t="shared" si="1457"/>
        <v>0.94990781588025019</v>
      </c>
      <c r="HE285" s="8">
        <v>1</v>
      </c>
      <c r="HF285" s="8">
        <v>1</v>
      </c>
      <c r="HG285" s="8">
        <v>5</v>
      </c>
      <c r="HH285" s="8">
        <v>0</v>
      </c>
      <c r="HI285" s="8">
        <v>1</v>
      </c>
      <c r="HJ285" s="9">
        <f t="shared" si="1458"/>
        <v>2</v>
      </c>
      <c r="HK285" s="10">
        <f t="shared" si="1459"/>
        <v>0</v>
      </c>
      <c r="HL285" s="8">
        <v>87</v>
      </c>
      <c r="HM285" s="8">
        <v>31</v>
      </c>
      <c r="HN285" s="11">
        <f t="shared" si="1460"/>
        <v>0.35632183908045978</v>
      </c>
    </row>
    <row r="286" spans="1:222" x14ac:dyDescent="0.3">
      <c r="A286" s="12" t="s">
        <v>295</v>
      </c>
      <c r="B286" s="12" t="s">
        <v>296</v>
      </c>
      <c r="C286" s="13" t="s">
        <v>257</v>
      </c>
      <c r="D286" s="13">
        <v>2025</v>
      </c>
      <c r="E286" s="13">
        <v>11</v>
      </c>
      <c r="F286" s="13" t="s">
        <v>268</v>
      </c>
      <c r="G286" s="13" t="s">
        <v>267</v>
      </c>
      <c r="H286" s="14">
        <v>1440</v>
      </c>
      <c r="I286" s="14">
        <v>157</v>
      </c>
      <c r="J286" s="14">
        <v>0</v>
      </c>
      <c r="K286" s="14">
        <v>8</v>
      </c>
      <c r="L286" s="14">
        <v>5</v>
      </c>
      <c r="M286" s="15">
        <f t="shared" si="1400"/>
        <v>170</v>
      </c>
      <c r="N286" s="14">
        <v>836.1</v>
      </c>
      <c r="O286" s="14">
        <v>0</v>
      </c>
      <c r="P286" s="14">
        <v>340.5</v>
      </c>
      <c r="Q286" s="14">
        <v>13.3</v>
      </c>
      <c r="R286" s="15">
        <f t="shared" si="1401"/>
        <v>1189.8999999999999</v>
      </c>
      <c r="S286" s="15">
        <f t="shared" si="1402"/>
        <v>1359.8999999999999</v>
      </c>
      <c r="T286" s="14">
        <v>80.100000000000406</v>
      </c>
      <c r="U286" s="16">
        <f t="shared" si="1403"/>
        <v>5.5625000000000285E-2</v>
      </c>
      <c r="V286" s="14">
        <v>3</v>
      </c>
      <c r="W286" s="17">
        <f t="shared" si="1404"/>
        <v>2.0833333333333333E-3</v>
      </c>
      <c r="X286" s="14">
        <v>0</v>
      </c>
      <c r="Y286" s="17">
        <f t="shared" si="1405"/>
        <v>0</v>
      </c>
      <c r="Z286" s="14">
        <v>0</v>
      </c>
      <c r="AA286" s="17">
        <f t="shared" si="1406"/>
        <v>0</v>
      </c>
      <c r="AB286" s="14">
        <v>0</v>
      </c>
      <c r="AC286" s="17">
        <f t="shared" si="1407"/>
        <v>0</v>
      </c>
      <c r="AD286" s="14">
        <v>0</v>
      </c>
      <c r="AE286" s="17">
        <f t="shared" si="1408"/>
        <v>0</v>
      </c>
      <c r="AF286" s="14">
        <v>0</v>
      </c>
      <c r="AG286" s="17">
        <f t="shared" si="1409"/>
        <v>0</v>
      </c>
      <c r="AH286" s="14">
        <v>78000</v>
      </c>
      <c r="AI286" s="15">
        <f t="shared" si="1410"/>
        <v>54.166666666666664</v>
      </c>
      <c r="AJ286" s="14">
        <v>14.4</v>
      </c>
      <c r="AK286" s="17">
        <f t="shared" si="1411"/>
        <v>0.01</v>
      </c>
      <c r="AL286" s="14">
        <v>35542.099600000001</v>
      </c>
      <c r="AM286" s="15">
        <f t="shared" si="1412"/>
        <v>24.682013611111113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5">
        <f t="shared" si="1413"/>
        <v>113542.0996</v>
      </c>
      <c r="AV286" s="15">
        <f t="shared" si="1414"/>
        <v>78.848680277777774</v>
      </c>
      <c r="AW286" s="15">
        <f t="shared" si="1415"/>
        <v>83.492977130671377</v>
      </c>
      <c r="AX286" s="14">
        <v>4</v>
      </c>
      <c r="AY286" s="15">
        <f t="shared" si="1416"/>
        <v>33.333333333333336</v>
      </c>
      <c r="AZ286" s="14">
        <v>6</v>
      </c>
      <c r="BA286" s="14">
        <v>5</v>
      </c>
      <c r="BB286" s="14">
        <v>0</v>
      </c>
      <c r="BC286" s="14">
        <v>2</v>
      </c>
      <c r="BD286" s="14">
        <v>0</v>
      </c>
      <c r="BE286" s="15">
        <f t="shared" si="1417"/>
        <v>2</v>
      </c>
      <c r="BF286" s="15">
        <f t="shared" si="1418"/>
        <v>3</v>
      </c>
      <c r="BG286" s="14">
        <v>0</v>
      </c>
      <c r="BH286" s="14">
        <v>0</v>
      </c>
      <c r="BI286" s="14">
        <v>0</v>
      </c>
      <c r="BJ286" s="14">
        <v>0</v>
      </c>
      <c r="BK286" s="15">
        <f t="shared" si="1419"/>
        <v>0</v>
      </c>
      <c r="BL286" s="15">
        <f t="shared" si="1420"/>
        <v>0</v>
      </c>
      <c r="BM286" s="14">
        <v>0</v>
      </c>
      <c r="BN286" s="14">
        <v>0</v>
      </c>
      <c r="BO286" s="14">
        <v>0</v>
      </c>
      <c r="BP286" s="14">
        <v>0</v>
      </c>
      <c r="BQ286" s="15">
        <f t="shared" si="1421"/>
        <v>0</v>
      </c>
      <c r="BR286" s="15">
        <f t="shared" si="1422"/>
        <v>0</v>
      </c>
      <c r="BS286" s="14">
        <v>0</v>
      </c>
      <c r="BT286" s="14">
        <v>0</v>
      </c>
      <c r="BU286" s="14">
        <v>0</v>
      </c>
      <c r="BV286" s="14">
        <v>0</v>
      </c>
      <c r="BW286" s="15">
        <f t="shared" si="1423"/>
        <v>0</v>
      </c>
      <c r="BX286" s="15">
        <f t="shared" si="1424"/>
        <v>0</v>
      </c>
      <c r="BY286" s="15">
        <f t="shared" si="1425"/>
        <v>5</v>
      </c>
      <c r="BZ286" s="15">
        <f t="shared" si="1426"/>
        <v>0</v>
      </c>
      <c r="CA286" s="15">
        <f t="shared" si="1427"/>
        <v>2</v>
      </c>
      <c r="CB286" s="15">
        <f t="shared" si="1428"/>
        <v>3</v>
      </c>
      <c r="CC286" s="14">
        <v>0</v>
      </c>
      <c r="CD286" s="14">
        <v>54</v>
      </c>
      <c r="CE286" s="14">
        <v>48</v>
      </c>
      <c r="CF286" s="14">
        <v>10</v>
      </c>
      <c r="CG286" s="14">
        <v>0</v>
      </c>
      <c r="CH286" s="15">
        <f t="shared" si="1429"/>
        <v>112</v>
      </c>
      <c r="CI286" s="14">
        <v>42</v>
      </c>
      <c r="CJ286" s="14">
        <v>2</v>
      </c>
      <c r="CK286" s="14">
        <v>1</v>
      </c>
      <c r="CL286" s="14">
        <v>0</v>
      </c>
      <c r="CM286" s="15">
        <f t="shared" si="1430"/>
        <v>45</v>
      </c>
      <c r="CN286" s="14">
        <v>322</v>
      </c>
      <c r="CO286" s="14">
        <v>14</v>
      </c>
      <c r="CP286" s="14">
        <v>2</v>
      </c>
      <c r="CQ286" s="14">
        <v>0</v>
      </c>
      <c r="CR286" s="15">
        <f t="shared" si="1431"/>
        <v>338</v>
      </c>
      <c r="CS286" s="15">
        <f t="shared" si="1432"/>
        <v>383</v>
      </c>
      <c r="CT286" s="14">
        <v>495</v>
      </c>
      <c r="CU286" s="14">
        <v>3433</v>
      </c>
      <c r="CV286" s="14">
        <v>2627</v>
      </c>
      <c r="CW286" s="16">
        <f t="shared" si="1433"/>
        <v>0.7652199242644917</v>
      </c>
      <c r="CX286" s="14">
        <v>0</v>
      </c>
      <c r="CY286" s="14">
        <v>0</v>
      </c>
      <c r="CZ286" s="14">
        <v>0</v>
      </c>
      <c r="DA286" s="14">
        <v>0</v>
      </c>
      <c r="DB286" s="15">
        <f t="shared" si="1434"/>
        <v>0</v>
      </c>
      <c r="DC286" s="14">
        <v>0</v>
      </c>
      <c r="DD286" s="14">
        <v>0</v>
      </c>
      <c r="DE286" s="14">
        <v>0</v>
      </c>
      <c r="DF286" s="14">
        <v>0</v>
      </c>
      <c r="DG286" s="15">
        <f t="shared" si="1435"/>
        <v>0</v>
      </c>
      <c r="DH286" s="14">
        <v>0</v>
      </c>
      <c r="DI286" s="14">
        <v>0</v>
      </c>
      <c r="DJ286" s="14">
        <v>0</v>
      </c>
      <c r="DK286" s="14">
        <v>0</v>
      </c>
      <c r="DL286" s="15">
        <f t="shared" si="1436"/>
        <v>0</v>
      </c>
      <c r="DM286" s="14">
        <v>0</v>
      </c>
      <c r="DN286" s="14">
        <v>0</v>
      </c>
      <c r="DO286" s="14">
        <v>0</v>
      </c>
      <c r="DP286" s="14">
        <v>0</v>
      </c>
      <c r="DQ286" s="15">
        <f t="shared" si="1437"/>
        <v>0</v>
      </c>
      <c r="DR286" s="15">
        <f t="shared" si="1438"/>
        <v>0</v>
      </c>
      <c r="DS286" s="15">
        <f t="shared" si="1439"/>
        <v>0</v>
      </c>
      <c r="DT286" s="15">
        <f t="shared" si="1440"/>
        <v>0</v>
      </c>
      <c r="DU286" s="15">
        <f t="shared" si="1441"/>
        <v>0</v>
      </c>
      <c r="DV286" s="15">
        <f t="shared" si="1442"/>
        <v>0</v>
      </c>
      <c r="DW286" s="14">
        <v>4</v>
      </c>
      <c r="DX286" s="14">
        <v>1</v>
      </c>
      <c r="DY286" s="14">
        <v>2</v>
      </c>
      <c r="DZ286" s="14">
        <v>1</v>
      </c>
      <c r="EA286" s="14">
        <v>2</v>
      </c>
      <c r="EB286" s="14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5">
        <f t="shared" si="1443"/>
        <v>10</v>
      </c>
      <c r="FH286" s="14">
        <v>0</v>
      </c>
      <c r="FI286" s="14">
        <v>0</v>
      </c>
      <c r="FJ286" s="14">
        <v>5</v>
      </c>
      <c r="FK286" s="14">
        <v>9.5</v>
      </c>
      <c r="FL286" s="14">
        <v>0</v>
      </c>
      <c r="FM286" s="14">
        <v>0</v>
      </c>
      <c r="FN286" s="14">
        <v>0</v>
      </c>
      <c r="FO286" s="14">
        <v>0</v>
      </c>
      <c r="FP286" s="14">
        <v>0</v>
      </c>
      <c r="FQ286" s="15">
        <f t="shared" si="1444"/>
        <v>0</v>
      </c>
      <c r="FR286" s="14">
        <v>48192</v>
      </c>
      <c r="FS286" s="14">
        <v>0</v>
      </c>
      <c r="FT286" s="14">
        <v>300000</v>
      </c>
      <c r="FU286" s="14">
        <v>0</v>
      </c>
      <c r="FV286" s="15">
        <f t="shared" si="1445"/>
        <v>348192</v>
      </c>
      <c r="FW286" s="14">
        <v>1111836.78</v>
      </c>
      <c r="FX286" s="14">
        <v>0</v>
      </c>
      <c r="FY286" s="14">
        <v>63000</v>
      </c>
      <c r="FZ286" s="14">
        <v>1039000</v>
      </c>
      <c r="GA286" s="15">
        <f t="shared" si="1446"/>
        <v>2213836.7800000003</v>
      </c>
      <c r="GB286" s="15">
        <f t="shared" si="1447"/>
        <v>2562028.7800000003</v>
      </c>
      <c r="GC286" s="14">
        <v>184557.36</v>
      </c>
      <c r="GD286" s="14">
        <v>0</v>
      </c>
      <c r="GE286" s="14">
        <v>22146.3</v>
      </c>
      <c r="GF286" s="14">
        <v>11796.63</v>
      </c>
      <c r="GG286" s="15">
        <f t="shared" si="1448"/>
        <v>218500.28999999998</v>
      </c>
      <c r="GH286" s="14">
        <v>1042536.78</v>
      </c>
      <c r="GI286" s="14">
        <v>0</v>
      </c>
      <c r="GJ286" s="14">
        <v>1034760.85</v>
      </c>
      <c r="GK286" s="14">
        <v>63000</v>
      </c>
      <c r="GL286" s="15">
        <f t="shared" si="1449"/>
        <v>2140297.63</v>
      </c>
      <c r="GM286" s="15">
        <f t="shared" si="1450"/>
        <v>2358797.92</v>
      </c>
      <c r="GN286" s="14">
        <v>22559.360000000001</v>
      </c>
      <c r="GO286" s="14">
        <v>0</v>
      </c>
      <c r="GP286" s="14">
        <v>6787.28</v>
      </c>
      <c r="GQ286" s="14">
        <v>4637.34</v>
      </c>
      <c r="GR286" s="15">
        <f t="shared" si="1451"/>
        <v>33983.979999999996</v>
      </c>
      <c r="GS286" s="14">
        <v>37506</v>
      </c>
      <c r="GT286" s="14">
        <v>0</v>
      </c>
      <c r="GU286" s="14">
        <v>1786</v>
      </c>
      <c r="GV286" s="14">
        <v>893</v>
      </c>
      <c r="GW286" s="15">
        <f t="shared" si="1452"/>
        <v>40185</v>
      </c>
      <c r="GX286" s="15">
        <f t="shared" si="1453"/>
        <v>2432966.9</v>
      </c>
      <c r="GY286" s="14">
        <v>9320178.7800000012</v>
      </c>
      <c r="GZ286" s="14">
        <v>0</v>
      </c>
      <c r="HA286" s="9">
        <f t="shared" si="1454"/>
        <v>9320178.7800000012</v>
      </c>
      <c r="HB286" s="15">
        <f t="shared" si="1455"/>
        <v>4.6668164536065003E-2</v>
      </c>
      <c r="HC286" s="16">
        <f t="shared" si="1456"/>
        <v>0.21798664372549495</v>
      </c>
      <c r="HD286" s="15">
        <f t="shared" si="1457"/>
        <v>1.0530471170816176</v>
      </c>
      <c r="HE286" s="14">
        <v>0</v>
      </c>
      <c r="HF286" s="14">
        <v>0</v>
      </c>
      <c r="HG286" s="14">
        <v>3</v>
      </c>
      <c r="HH286" s="14">
        <v>0</v>
      </c>
      <c r="HI286" s="14">
        <v>0</v>
      </c>
      <c r="HJ286" s="15">
        <f t="shared" si="1458"/>
        <v>0</v>
      </c>
      <c r="HK286" s="16" t="str">
        <f t="shared" si="1459"/>
        <v/>
      </c>
      <c r="HL286" s="14">
        <v>111</v>
      </c>
      <c r="HM286" s="14">
        <v>30</v>
      </c>
      <c r="HN286" s="17">
        <f t="shared" si="1460"/>
        <v>0.27027027027027029</v>
      </c>
    </row>
    <row r="287" spans="1:222" x14ac:dyDescent="0.3">
      <c r="A287" s="6" t="s">
        <v>295</v>
      </c>
      <c r="B287" s="6" t="s">
        <v>296</v>
      </c>
      <c r="C287" s="7" t="s">
        <v>257</v>
      </c>
      <c r="D287" s="7">
        <v>2025</v>
      </c>
      <c r="E287" s="7">
        <v>12</v>
      </c>
      <c r="F287" s="7" t="s">
        <v>269</v>
      </c>
      <c r="G287" s="7" t="s">
        <v>267</v>
      </c>
      <c r="H287" s="8">
        <v>1730</v>
      </c>
      <c r="I287" s="8">
        <v>74</v>
      </c>
      <c r="J287" s="8">
        <v>0</v>
      </c>
      <c r="K287" s="8">
        <v>6</v>
      </c>
      <c r="L287" s="8">
        <v>2</v>
      </c>
      <c r="M287" s="9">
        <f t="shared" si="1400"/>
        <v>82</v>
      </c>
      <c r="N287" s="8">
        <v>1388.2</v>
      </c>
      <c r="O287" s="8">
        <v>0</v>
      </c>
      <c r="P287" s="8">
        <v>91</v>
      </c>
      <c r="Q287" s="8">
        <v>2.2000000000000002</v>
      </c>
      <c r="R287" s="9">
        <f t="shared" si="1401"/>
        <v>1481.4</v>
      </c>
      <c r="S287" s="9">
        <f t="shared" si="1402"/>
        <v>1563.4</v>
      </c>
      <c r="T287" s="8">
        <v>166.60000000000099</v>
      </c>
      <c r="U287" s="10">
        <f t="shared" si="1403"/>
        <v>9.6300578034682657E-2</v>
      </c>
      <c r="V287" s="8">
        <v>8</v>
      </c>
      <c r="W287" s="11">
        <f t="shared" si="1404"/>
        <v>4.6242774566473991E-3</v>
      </c>
      <c r="X287" s="8">
        <v>0</v>
      </c>
      <c r="Y287" s="11">
        <f t="shared" si="1405"/>
        <v>0</v>
      </c>
      <c r="Z287" s="8">
        <v>0</v>
      </c>
      <c r="AA287" s="11">
        <f t="shared" si="1406"/>
        <v>0</v>
      </c>
      <c r="AB287" s="8">
        <v>0</v>
      </c>
      <c r="AC287" s="11">
        <f t="shared" si="1407"/>
        <v>0</v>
      </c>
      <c r="AD287" s="8">
        <v>0</v>
      </c>
      <c r="AE287" s="11">
        <f t="shared" si="1408"/>
        <v>0</v>
      </c>
      <c r="AF287" s="8">
        <v>0</v>
      </c>
      <c r="AG287" s="11">
        <f t="shared" si="1409"/>
        <v>0</v>
      </c>
      <c r="AH287" s="8">
        <v>208000</v>
      </c>
      <c r="AI287" s="9">
        <f t="shared" si="1410"/>
        <v>120.23121387283237</v>
      </c>
      <c r="AJ287" s="8">
        <v>5.19</v>
      </c>
      <c r="AK287" s="11">
        <f t="shared" si="1411"/>
        <v>3.0000000000000001E-3</v>
      </c>
      <c r="AL287" s="8">
        <v>33024.923710000003</v>
      </c>
      <c r="AM287" s="9">
        <f t="shared" si="1412"/>
        <v>19.08955127745665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9">
        <f t="shared" si="1413"/>
        <v>241024.92371</v>
      </c>
      <c r="AV287" s="9">
        <f t="shared" si="1414"/>
        <v>139.32076515028902</v>
      </c>
      <c r="AW287" s="9">
        <f t="shared" si="1415"/>
        <v>154.16715089548418</v>
      </c>
      <c r="AX287" s="8">
        <v>4</v>
      </c>
      <c r="AY287" s="9">
        <f t="shared" si="1416"/>
        <v>27.745664739884393</v>
      </c>
      <c r="AZ287" s="8">
        <v>6</v>
      </c>
      <c r="BA287" s="8">
        <v>3</v>
      </c>
      <c r="BB287" s="8">
        <v>1</v>
      </c>
      <c r="BC287" s="8">
        <v>1</v>
      </c>
      <c r="BD287" s="8">
        <v>0</v>
      </c>
      <c r="BE287" s="9">
        <f t="shared" si="1417"/>
        <v>1</v>
      </c>
      <c r="BF287" s="9">
        <f t="shared" si="1418"/>
        <v>3</v>
      </c>
      <c r="BG287" s="8">
        <v>0</v>
      </c>
      <c r="BH287" s="8">
        <v>0</v>
      </c>
      <c r="BI287" s="8">
        <v>0</v>
      </c>
      <c r="BJ287" s="8">
        <v>0</v>
      </c>
      <c r="BK287" s="9">
        <f t="shared" si="1419"/>
        <v>0</v>
      </c>
      <c r="BL287" s="9">
        <f t="shared" si="1420"/>
        <v>0</v>
      </c>
      <c r="BM287" s="8">
        <v>0</v>
      </c>
      <c r="BN287" s="8">
        <v>0</v>
      </c>
      <c r="BO287" s="8">
        <v>0</v>
      </c>
      <c r="BP287" s="8">
        <v>0</v>
      </c>
      <c r="BQ287" s="9">
        <f t="shared" si="1421"/>
        <v>0</v>
      </c>
      <c r="BR287" s="9">
        <f t="shared" si="1422"/>
        <v>0</v>
      </c>
      <c r="BS287" s="8">
        <v>0</v>
      </c>
      <c r="BT287" s="8">
        <v>0</v>
      </c>
      <c r="BU287" s="8">
        <v>0</v>
      </c>
      <c r="BV287" s="8">
        <v>0</v>
      </c>
      <c r="BW287" s="9">
        <f t="shared" si="1423"/>
        <v>0</v>
      </c>
      <c r="BX287" s="9">
        <f t="shared" si="1424"/>
        <v>0</v>
      </c>
      <c r="BY287" s="9">
        <f t="shared" si="1425"/>
        <v>3</v>
      </c>
      <c r="BZ287" s="9">
        <f t="shared" si="1426"/>
        <v>1</v>
      </c>
      <c r="CA287" s="9">
        <f t="shared" si="1427"/>
        <v>1</v>
      </c>
      <c r="CB287" s="9">
        <f t="shared" si="1428"/>
        <v>3</v>
      </c>
      <c r="CC287" s="8">
        <v>0</v>
      </c>
      <c r="CD287" s="8">
        <v>55</v>
      </c>
      <c r="CE287" s="8">
        <v>48</v>
      </c>
      <c r="CF287" s="8">
        <v>10</v>
      </c>
      <c r="CG287" s="8">
        <v>0</v>
      </c>
      <c r="CH287" s="9">
        <f t="shared" si="1429"/>
        <v>113</v>
      </c>
      <c r="CI287" s="8">
        <v>21</v>
      </c>
      <c r="CJ287" s="8">
        <v>2</v>
      </c>
      <c r="CK287" s="8">
        <v>1</v>
      </c>
      <c r="CL287" s="8">
        <v>0</v>
      </c>
      <c r="CM287" s="9">
        <f t="shared" si="1430"/>
        <v>24</v>
      </c>
      <c r="CN287" s="8">
        <v>343</v>
      </c>
      <c r="CO287" s="8">
        <v>14</v>
      </c>
      <c r="CP287" s="8">
        <v>2</v>
      </c>
      <c r="CQ287" s="8">
        <v>0</v>
      </c>
      <c r="CR287" s="9">
        <f t="shared" si="1431"/>
        <v>359</v>
      </c>
      <c r="CS287" s="9">
        <f t="shared" si="1432"/>
        <v>383</v>
      </c>
      <c r="CT287" s="8">
        <v>496</v>
      </c>
      <c r="CU287" s="8">
        <v>3438</v>
      </c>
      <c r="CV287" s="8">
        <v>2631.3</v>
      </c>
      <c r="CW287" s="10">
        <f t="shared" si="1433"/>
        <v>0.76535776614310647</v>
      </c>
      <c r="CX287" s="8">
        <v>0</v>
      </c>
      <c r="CY287" s="8">
        <v>0</v>
      </c>
      <c r="CZ287" s="8">
        <v>0</v>
      </c>
      <c r="DA287" s="8">
        <v>0</v>
      </c>
      <c r="DB287" s="9">
        <f t="shared" si="1434"/>
        <v>0</v>
      </c>
      <c r="DC287" s="8">
        <v>0</v>
      </c>
      <c r="DD287" s="8">
        <v>0</v>
      </c>
      <c r="DE287" s="8">
        <v>0</v>
      </c>
      <c r="DF287" s="8">
        <v>0</v>
      </c>
      <c r="DG287" s="9">
        <f t="shared" si="1435"/>
        <v>0</v>
      </c>
      <c r="DH287" s="8">
        <v>0</v>
      </c>
      <c r="DI287" s="8">
        <v>0</v>
      </c>
      <c r="DJ287" s="8">
        <v>0</v>
      </c>
      <c r="DK287" s="8">
        <v>0</v>
      </c>
      <c r="DL287" s="9">
        <f t="shared" si="1436"/>
        <v>0</v>
      </c>
      <c r="DM287" s="8">
        <v>0</v>
      </c>
      <c r="DN287" s="8">
        <v>0</v>
      </c>
      <c r="DO287" s="8">
        <v>0</v>
      </c>
      <c r="DP287" s="8">
        <v>0</v>
      </c>
      <c r="DQ287" s="9">
        <f t="shared" si="1437"/>
        <v>0</v>
      </c>
      <c r="DR287" s="9">
        <f t="shared" si="1438"/>
        <v>0</v>
      </c>
      <c r="DS287" s="9">
        <f t="shared" si="1439"/>
        <v>0</v>
      </c>
      <c r="DT287" s="9">
        <f t="shared" si="1440"/>
        <v>0</v>
      </c>
      <c r="DU287" s="9">
        <f t="shared" si="1441"/>
        <v>0</v>
      </c>
      <c r="DV287" s="9">
        <f t="shared" si="1442"/>
        <v>0</v>
      </c>
      <c r="DW287" s="8">
        <v>5</v>
      </c>
      <c r="DX287" s="8">
        <v>6</v>
      </c>
      <c r="DY287" s="8">
        <v>4</v>
      </c>
      <c r="DZ287" s="8">
        <v>1</v>
      </c>
      <c r="EA287" s="8">
        <v>0</v>
      </c>
      <c r="EB287" s="8">
        <v>2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8">
        <v>0</v>
      </c>
      <c r="FC287" s="8">
        <v>0</v>
      </c>
      <c r="FD287" s="8">
        <v>0</v>
      </c>
      <c r="FE287" s="8">
        <v>0</v>
      </c>
      <c r="FF287" s="8">
        <v>0</v>
      </c>
      <c r="FG287" s="9">
        <f t="shared" si="1443"/>
        <v>18</v>
      </c>
      <c r="FH287" s="8">
        <v>0</v>
      </c>
      <c r="FI287" s="8">
        <v>0</v>
      </c>
      <c r="FJ287" s="8">
        <v>12</v>
      </c>
      <c r="FK287" s="8">
        <v>264</v>
      </c>
      <c r="FL287" s="8">
        <v>0</v>
      </c>
      <c r="FM287" s="8">
        <v>0</v>
      </c>
      <c r="FN287" s="8">
        <v>0</v>
      </c>
      <c r="FO287" s="8">
        <v>0</v>
      </c>
      <c r="FP287" s="8">
        <v>0</v>
      </c>
      <c r="FQ287" s="9">
        <f t="shared" si="1444"/>
        <v>0</v>
      </c>
      <c r="FR287" s="8">
        <v>43778</v>
      </c>
      <c r="FS287" s="8">
        <v>0</v>
      </c>
      <c r="FT287" s="8">
        <v>0</v>
      </c>
      <c r="FU287" s="8">
        <v>150000</v>
      </c>
      <c r="FV287" s="9">
        <f t="shared" si="1445"/>
        <v>193778</v>
      </c>
      <c r="FW287" s="8">
        <v>1791230.42</v>
      </c>
      <c r="FX287" s="8">
        <v>0</v>
      </c>
      <c r="FY287" s="8">
        <v>10000</v>
      </c>
      <c r="FZ287" s="8">
        <v>276919.7</v>
      </c>
      <c r="GA287" s="9">
        <f t="shared" si="1446"/>
        <v>2078150.1199999999</v>
      </c>
      <c r="GB287" s="9">
        <f t="shared" si="1447"/>
        <v>2271928.12</v>
      </c>
      <c r="GC287" s="8">
        <v>83340.960000000006</v>
      </c>
      <c r="GD287" s="8">
        <v>0</v>
      </c>
      <c r="GE287" s="8">
        <v>16821.98</v>
      </c>
      <c r="GF287" s="8">
        <v>8410.99</v>
      </c>
      <c r="GG287" s="9">
        <f t="shared" si="1448"/>
        <v>108573.93000000001</v>
      </c>
      <c r="GH287" s="8">
        <v>1731975.18</v>
      </c>
      <c r="GI287" s="8">
        <v>0</v>
      </c>
      <c r="GJ287" s="8">
        <v>276919.7</v>
      </c>
      <c r="GK287" s="8">
        <v>10000</v>
      </c>
      <c r="GL287" s="9">
        <f t="shared" si="1449"/>
        <v>2018894.88</v>
      </c>
      <c r="GM287" s="9">
        <f t="shared" si="1450"/>
        <v>2127468.81</v>
      </c>
      <c r="GN287" s="8">
        <v>11443.53</v>
      </c>
      <c r="GO287" s="8">
        <v>0</v>
      </c>
      <c r="GP287" s="8">
        <v>6787.28</v>
      </c>
      <c r="GQ287" s="8">
        <v>4637.34</v>
      </c>
      <c r="GR287" s="9">
        <f t="shared" si="1451"/>
        <v>22868.15</v>
      </c>
      <c r="GS287" s="8">
        <v>18753</v>
      </c>
      <c r="GT287" s="8">
        <v>0</v>
      </c>
      <c r="GU287" s="8">
        <v>1786</v>
      </c>
      <c r="GV287" s="8">
        <v>893</v>
      </c>
      <c r="GW287" s="9">
        <f t="shared" si="1452"/>
        <v>21432</v>
      </c>
      <c r="GX287" s="9">
        <f t="shared" si="1453"/>
        <v>2171768.96</v>
      </c>
      <c r="GY287" s="8">
        <v>11410024.260000009</v>
      </c>
      <c r="GZ287" s="8">
        <v>0</v>
      </c>
      <c r="HA287" s="9">
        <f t="shared" si="1454"/>
        <v>11410024.260000009</v>
      </c>
      <c r="HB287" s="9">
        <f t="shared" si="1455"/>
        <v>0.11098092299376082</v>
      </c>
      <c r="HC287" s="10">
        <f t="shared" si="1456"/>
        <v>0.16727747825334646</v>
      </c>
      <c r="HD287" s="9">
        <f t="shared" si="1457"/>
        <v>1.0461186994771305</v>
      </c>
      <c r="HE287" s="8">
        <v>2</v>
      </c>
      <c r="HF287" s="8">
        <v>1</v>
      </c>
      <c r="HG287" s="8">
        <v>3</v>
      </c>
      <c r="HH287" s="8">
        <v>1</v>
      </c>
      <c r="HI287" s="8">
        <v>1</v>
      </c>
      <c r="HJ287" s="9">
        <f t="shared" si="1458"/>
        <v>2</v>
      </c>
      <c r="HK287" s="10">
        <f t="shared" si="1459"/>
        <v>0.5</v>
      </c>
      <c r="HL287" s="8">
        <v>0</v>
      </c>
      <c r="HM287" s="8">
        <v>0</v>
      </c>
      <c r="HN287" s="11" t="str">
        <f t="shared" si="1460"/>
        <v/>
      </c>
    </row>
    <row r="288" spans="1:222" x14ac:dyDescent="0.3">
      <c r="A288" s="12" t="s">
        <v>295</v>
      </c>
      <c r="B288" s="12" t="s">
        <v>296</v>
      </c>
      <c r="C288" s="13" t="s">
        <v>257</v>
      </c>
      <c r="D288" s="13">
        <v>2026</v>
      </c>
      <c r="E288" s="13">
        <v>1</v>
      </c>
      <c r="F288" s="13" t="s">
        <v>270</v>
      </c>
      <c r="G288" s="13" t="s">
        <v>271</v>
      </c>
      <c r="H288" s="14">
        <v>2340</v>
      </c>
      <c r="I288" s="14">
        <v>163</v>
      </c>
      <c r="J288" s="14">
        <v>0</v>
      </c>
      <c r="K288" s="14">
        <v>8</v>
      </c>
      <c r="L288" s="14">
        <v>3</v>
      </c>
      <c r="M288" s="15">
        <v>174</v>
      </c>
      <c r="N288" s="14">
        <v>1892.199999999991</v>
      </c>
      <c r="O288" s="14">
        <v>0</v>
      </c>
      <c r="P288" s="14">
        <v>45.900000000000013</v>
      </c>
      <c r="Q288" s="14">
        <v>10.6</v>
      </c>
      <c r="R288" s="15">
        <v>1948.699999999991</v>
      </c>
      <c r="S288" s="15">
        <v>2122.6999999999912</v>
      </c>
      <c r="T288" s="14">
        <v>217.30000000000931</v>
      </c>
      <c r="U288" s="16">
        <v>9.2863247863251827E-2</v>
      </c>
      <c r="V288" s="14">
        <v>7</v>
      </c>
      <c r="W288" s="17">
        <v>2.991452991452991</v>
      </c>
      <c r="X288" s="14">
        <v>0</v>
      </c>
      <c r="Y288" s="17">
        <v>0</v>
      </c>
      <c r="Z288" s="14">
        <v>0</v>
      </c>
      <c r="AA288" s="17">
        <v>0</v>
      </c>
      <c r="AB288" s="14">
        <v>0</v>
      </c>
      <c r="AC288" s="17">
        <v>0</v>
      </c>
      <c r="AD288" s="14">
        <v>0</v>
      </c>
      <c r="AE288" s="17">
        <v>0</v>
      </c>
      <c r="AF288" s="14">
        <v>0</v>
      </c>
      <c r="AG288" s="17">
        <v>0</v>
      </c>
      <c r="AH288" s="14">
        <v>182000</v>
      </c>
      <c r="AI288" s="15">
        <v>77.777777777777771</v>
      </c>
      <c r="AJ288" s="14">
        <v>6.52</v>
      </c>
      <c r="AK288" s="17">
        <v>2.7863247863247858E-3</v>
      </c>
      <c r="AL288" s="14">
        <v>33388.424679999996</v>
      </c>
      <c r="AM288" s="15">
        <v>14.26855755555556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5">
        <v>215388.42468</v>
      </c>
      <c r="AV288" s="15">
        <v>92.046335333333332</v>
      </c>
      <c r="AW288" s="15">
        <v>101.46908403448479</v>
      </c>
      <c r="AX288" s="14">
        <v>4</v>
      </c>
      <c r="AY288" s="15">
        <v>52.991452991452988</v>
      </c>
      <c r="AZ288" s="14">
        <v>6</v>
      </c>
      <c r="BA288" s="14">
        <v>3</v>
      </c>
      <c r="BB288" s="14">
        <v>1</v>
      </c>
      <c r="BC288" s="14">
        <v>0</v>
      </c>
      <c r="BD288" s="14">
        <v>0</v>
      </c>
      <c r="BE288" s="15">
        <v>0</v>
      </c>
      <c r="BF288" s="15">
        <v>4</v>
      </c>
      <c r="BG288" s="14">
        <v>0</v>
      </c>
      <c r="BH288" s="14">
        <v>0</v>
      </c>
      <c r="BI288" s="14">
        <v>0</v>
      </c>
      <c r="BJ288" s="14">
        <v>0</v>
      </c>
      <c r="BK288" s="15">
        <v>0</v>
      </c>
      <c r="BL288" s="15">
        <v>0</v>
      </c>
      <c r="BM288" s="14">
        <v>0</v>
      </c>
      <c r="BN288" s="14">
        <v>0</v>
      </c>
      <c r="BO288" s="14">
        <v>0</v>
      </c>
      <c r="BP288" s="14">
        <v>0</v>
      </c>
      <c r="BQ288" s="15">
        <v>0</v>
      </c>
      <c r="BR288" s="15">
        <v>0</v>
      </c>
      <c r="BS288" s="14">
        <v>0</v>
      </c>
      <c r="BT288" s="14">
        <v>0</v>
      </c>
      <c r="BU288" s="14">
        <v>0</v>
      </c>
      <c r="BV288" s="14">
        <v>0</v>
      </c>
      <c r="BW288" s="15">
        <v>0</v>
      </c>
      <c r="BX288" s="15">
        <v>0</v>
      </c>
      <c r="BY288" s="15">
        <v>3</v>
      </c>
      <c r="BZ288" s="15">
        <v>1</v>
      </c>
      <c r="CA288" s="15">
        <v>0</v>
      </c>
      <c r="CB288" s="15">
        <v>4</v>
      </c>
      <c r="CC288" s="14">
        <v>0</v>
      </c>
      <c r="CD288" s="14">
        <v>53</v>
      </c>
      <c r="CE288" s="14">
        <v>48</v>
      </c>
      <c r="CF288" s="14">
        <v>10</v>
      </c>
      <c r="CG288" s="14">
        <v>0</v>
      </c>
      <c r="CH288" s="15">
        <v>111</v>
      </c>
      <c r="CI288" s="14">
        <v>23</v>
      </c>
      <c r="CJ288" s="14">
        <v>2</v>
      </c>
      <c r="CK288" s="14">
        <v>1</v>
      </c>
      <c r="CL288" s="14">
        <v>0</v>
      </c>
      <c r="CM288" s="15">
        <v>26</v>
      </c>
      <c r="CN288" s="14">
        <v>343</v>
      </c>
      <c r="CO288" s="14">
        <v>14</v>
      </c>
      <c r="CP288" s="14">
        <v>2</v>
      </c>
      <c r="CQ288" s="14">
        <v>0</v>
      </c>
      <c r="CR288" s="15">
        <v>359</v>
      </c>
      <c r="CS288" s="15">
        <v>385</v>
      </c>
      <c r="CT288" s="14">
        <v>496</v>
      </c>
      <c r="CU288" s="14">
        <v>3443</v>
      </c>
      <c r="CV288" s="14">
        <v>2631</v>
      </c>
      <c r="CW288" s="16">
        <v>0.76415916352018587</v>
      </c>
      <c r="CX288" s="14">
        <v>0</v>
      </c>
      <c r="CY288" s="14">
        <v>0</v>
      </c>
      <c r="CZ288" s="14">
        <v>0</v>
      </c>
      <c r="DA288" s="14">
        <v>0</v>
      </c>
      <c r="DB288" s="15">
        <v>0</v>
      </c>
      <c r="DC288" s="14">
        <v>0</v>
      </c>
      <c r="DD288" s="14">
        <v>0</v>
      </c>
      <c r="DE288" s="14">
        <v>0</v>
      </c>
      <c r="DF288" s="14">
        <v>0</v>
      </c>
      <c r="DG288" s="15">
        <v>0</v>
      </c>
      <c r="DH288" s="14">
        <v>0</v>
      </c>
      <c r="DI288" s="14">
        <v>0</v>
      </c>
      <c r="DJ288" s="14">
        <v>0</v>
      </c>
      <c r="DK288" s="14">
        <v>0</v>
      </c>
      <c r="DL288" s="15">
        <v>0</v>
      </c>
      <c r="DM288" s="14">
        <v>0</v>
      </c>
      <c r="DN288" s="14">
        <v>0</v>
      </c>
      <c r="DO288" s="14">
        <v>0</v>
      </c>
      <c r="DP288" s="14">
        <v>0</v>
      </c>
      <c r="DQ288" s="15">
        <v>0</v>
      </c>
      <c r="DR288" s="15">
        <v>0</v>
      </c>
      <c r="DS288" s="15">
        <v>0</v>
      </c>
      <c r="DT288" s="15">
        <v>0</v>
      </c>
      <c r="DU288" s="15">
        <v>0</v>
      </c>
      <c r="DV288" s="15">
        <v>0</v>
      </c>
      <c r="DW288" s="14">
        <v>9</v>
      </c>
      <c r="DX288" s="14">
        <v>3</v>
      </c>
      <c r="DY288" s="14">
        <v>4</v>
      </c>
      <c r="DZ288" s="14">
        <v>3</v>
      </c>
      <c r="EA288" s="14">
        <v>2</v>
      </c>
      <c r="EB288" s="14">
        <v>4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5">
        <v>25</v>
      </c>
      <c r="FH288" s="14">
        <v>0</v>
      </c>
      <c r="FI288" s="14">
        <v>0</v>
      </c>
      <c r="FJ288" s="14">
        <v>18</v>
      </c>
      <c r="FK288" s="14">
        <v>12.83</v>
      </c>
      <c r="FL288" s="14">
        <v>0</v>
      </c>
      <c r="FM288" s="14">
        <v>0</v>
      </c>
      <c r="FN288" s="14">
        <v>0</v>
      </c>
      <c r="FO288" s="14">
        <v>0</v>
      </c>
      <c r="FP288" s="14">
        <v>0</v>
      </c>
      <c r="FQ288" s="15">
        <v>0</v>
      </c>
      <c r="FR288" s="14">
        <v>42000</v>
      </c>
      <c r="FS288" s="14">
        <v>0</v>
      </c>
      <c r="FT288" s="14">
        <v>0</v>
      </c>
      <c r="FU288" s="14">
        <v>0</v>
      </c>
      <c r="FV288" s="15">
        <v>42000</v>
      </c>
      <c r="FW288" s="14">
        <v>2415500</v>
      </c>
      <c r="FX288" s="14">
        <v>0</v>
      </c>
      <c r="FY288" s="14">
        <v>50000</v>
      </c>
      <c r="FZ288" s="14">
        <v>138902.94</v>
      </c>
      <c r="GA288" s="15">
        <v>2604402.94</v>
      </c>
      <c r="GB288" s="15">
        <v>2646402.94</v>
      </c>
      <c r="GC288" s="14">
        <v>160663.88</v>
      </c>
      <c r="GD288" s="14">
        <v>0</v>
      </c>
      <c r="GE288" s="14">
        <v>22146.3</v>
      </c>
      <c r="GF288" s="14">
        <v>8410.99</v>
      </c>
      <c r="GG288" s="15">
        <v>191221.17</v>
      </c>
      <c r="GH288" s="14">
        <v>2358848.52</v>
      </c>
      <c r="GI288" s="14">
        <v>0</v>
      </c>
      <c r="GJ288" s="14">
        <v>138902.94</v>
      </c>
      <c r="GK288" s="14">
        <v>50000</v>
      </c>
      <c r="GL288" s="15">
        <v>2547751.46</v>
      </c>
      <c r="GM288" s="15">
        <v>2738972.63</v>
      </c>
      <c r="GN288" s="14">
        <v>12533.39</v>
      </c>
      <c r="GO288" s="14">
        <v>0</v>
      </c>
      <c r="GP288" s="14">
        <v>6787.28</v>
      </c>
      <c r="GQ288" s="14">
        <v>4637.34</v>
      </c>
      <c r="GR288" s="15">
        <v>23958.01</v>
      </c>
      <c r="GS288" s="14">
        <v>20539</v>
      </c>
      <c r="GT288" s="14">
        <v>0</v>
      </c>
      <c r="GU288" s="14">
        <v>1786</v>
      </c>
      <c r="GV288" s="14">
        <v>893</v>
      </c>
      <c r="GW288" s="15">
        <v>23218</v>
      </c>
      <c r="GX288" s="15">
        <v>2786148.64</v>
      </c>
      <c r="GY288" s="14">
        <v>9548373.5100000035</v>
      </c>
      <c r="GZ288" s="14">
        <v>0</v>
      </c>
      <c r="HA288" s="9">
        <f t="shared" si="1454"/>
        <v>9548373.5100000035</v>
      </c>
      <c r="HB288" s="15">
        <v>2786148.64</v>
      </c>
      <c r="HC288" s="16">
        <v>0</v>
      </c>
      <c r="HD288" s="15">
        <v>0</v>
      </c>
      <c r="HE288" s="14">
        <v>2</v>
      </c>
      <c r="HF288" s="14">
        <v>1</v>
      </c>
      <c r="HG288" s="14">
        <v>4</v>
      </c>
      <c r="HH288" s="14">
        <v>1</v>
      </c>
      <c r="HI288" s="14">
        <v>0</v>
      </c>
      <c r="HJ288" s="15">
        <v>0</v>
      </c>
      <c r="HK288" s="16">
        <v>0</v>
      </c>
      <c r="HL288" s="14">
        <v>0</v>
      </c>
      <c r="HM288" s="14">
        <v>0</v>
      </c>
      <c r="HN288" s="17"/>
    </row>
    <row r="289" spans="1:222" x14ac:dyDescent="0.3">
      <c r="A289" s="6" t="s">
        <v>295</v>
      </c>
      <c r="B289" s="6" t="s">
        <v>296</v>
      </c>
      <c r="C289" s="7" t="s">
        <v>257</v>
      </c>
      <c r="D289" s="7">
        <v>2026</v>
      </c>
      <c r="E289" s="7">
        <v>2</v>
      </c>
      <c r="F289" s="7" t="s">
        <v>272</v>
      </c>
      <c r="G289" s="7" t="s">
        <v>271</v>
      </c>
      <c r="H289" s="8">
        <v>1920</v>
      </c>
      <c r="I289" s="8">
        <v>101</v>
      </c>
      <c r="J289" s="8">
        <v>0</v>
      </c>
      <c r="K289" s="8">
        <v>5</v>
      </c>
      <c r="L289" s="8">
        <v>3</v>
      </c>
      <c r="M289" s="9">
        <f t="shared" ref="M289:M299" si="1461">SUM(I289,J289,K289,L289)</f>
        <v>109</v>
      </c>
      <c r="N289" s="8">
        <v>1502.299999999995</v>
      </c>
      <c r="O289" s="8">
        <v>0</v>
      </c>
      <c r="P289" s="8">
        <v>115.9</v>
      </c>
      <c r="Q289" s="8">
        <v>12.7</v>
      </c>
      <c r="R289" s="9">
        <f t="shared" ref="R289:R299" si="1462">SUM(N289,O289,P289,Q289)</f>
        <v>1630.8999999999951</v>
      </c>
      <c r="S289" s="9">
        <f t="shared" ref="S289:S299" si="1463">M289+R289</f>
        <v>1739.8999999999951</v>
      </c>
      <c r="T289" s="8">
        <v>180.10000000000511</v>
      </c>
      <c r="U289" s="10">
        <f t="shared" ref="U289:U299" si="1464">IF(H289=0,"",T289/H289)</f>
        <v>9.3802083333335992E-2</v>
      </c>
      <c r="V289" s="8">
        <v>8.5</v>
      </c>
      <c r="W289" s="11">
        <f t="shared" ref="W289:W299" si="1465">IF(H289=0,"",V289/H289)</f>
        <v>4.4270833333333332E-3</v>
      </c>
      <c r="X289" s="8">
        <v>0</v>
      </c>
      <c r="Y289" s="11">
        <f t="shared" ref="Y289:Y299" si="1466">IF(H289=0,"",X289/H289)</f>
        <v>0</v>
      </c>
      <c r="Z289" s="8">
        <v>0</v>
      </c>
      <c r="AA289" s="11">
        <f t="shared" ref="AA289:AA299" si="1467">IF(H289=0,"",Z289/H289)</f>
        <v>0</v>
      </c>
      <c r="AB289" s="8">
        <v>0</v>
      </c>
      <c r="AC289" s="11">
        <f t="shared" ref="AC289:AC299" si="1468">IF(H289=0,"",AB289/H289)</f>
        <v>0</v>
      </c>
      <c r="AD289" s="8">
        <v>0</v>
      </c>
      <c r="AE289" s="11">
        <f t="shared" ref="AE289:AE299" si="1469">IF(H289=0,"",AD289/H289)</f>
        <v>0</v>
      </c>
      <c r="AF289" s="8">
        <v>0</v>
      </c>
      <c r="AG289" s="11">
        <f t="shared" ref="AG289:AG299" si="1470">IF(H289=0,"",AF289/H289)</f>
        <v>0</v>
      </c>
      <c r="AH289" s="8">
        <v>221000</v>
      </c>
      <c r="AI289" s="9">
        <f t="shared" ref="AI289:AI299" si="1471">IF(H289=0,"",AH289/H289)</f>
        <v>115.10416666666667</v>
      </c>
      <c r="AJ289" s="8">
        <v>8.7200000000000006</v>
      </c>
      <c r="AK289" s="11">
        <f t="shared" ref="AK289:AK299" si="1472">IF(H289=0,"",AJ289/H289)</f>
        <v>4.5416666666666669E-3</v>
      </c>
      <c r="AL289" s="8">
        <v>33989.70448</v>
      </c>
      <c r="AM289" s="9">
        <f t="shared" ref="AM289:AM299" si="1473">IF(H289=0,"",AL289/H289)</f>
        <v>17.702971083333335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9">
        <f t="shared" ref="AU289:AU299" si="1474">AH289+AL289+AP289+AQ289+AR289+AS289+AT289</f>
        <v>254989.70448000001</v>
      </c>
      <c r="AV289" s="9">
        <f t="shared" ref="AV289:AV299" si="1475">IF(H289=0,"",AU289/H289)</f>
        <v>132.80713775000001</v>
      </c>
      <c r="AW289" s="9">
        <f t="shared" ref="AW289:AW299" si="1476">IF(S289=0,"",AU289/S289)</f>
        <v>146.55422982930097</v>
      </c>
      <c r="AX289" s="8">
        <v>4</v>
      </c>
      <c r="AY289" s="9">
        <f t="shared" ref="AY289:AY299" si="1477">IF(H289=0,"",AX289/(H289/1000/12))</f>
        <v>25</v>
      </c>
      <c r="AZ289" s="8">
        <v>6</v>
      </c>
      <c r="BA289" s="8">
        <v>4</v>
      </c>
      <c r="BB289" s="8">
        <v>0</v>
      </c>
      <c r="BC289" s="8">
        <v>0</v>
      </c>
      <c r="BD289" s="8">
        <v>0</v>
      </c>
      <c r="BE289" s="9">
        <f t="shared" ref="BE289:BE299" si="1478">BC289+BD289</f>
        <v>0</v>
      </c>
      <c r="BF289" s="9">
        <f t="shared" ref="BF289:BF299" si="1479">BA289+BB289-BE289</f>
        <v>4</v>
      </c>
      <c r="BG289" s="8">
        <v>0</v>
      </c>
      <c r="BH289" s="8">
        <v>0</v>
      </c>
      <c r="BI289" s="8">
        <v>0</v>
      </c>
      <c r="BJ289" s="8">
        <v>0</v>
      </c>
      <c r="BK289" s="9">
        <f t="shared" ref="BK289:BK299" si="1480">BI289+BJ289</f>
        <v>0</v>
      </c>
      <c r="BL289" s="9">
        <f t="shared" ref="BL289:BL299" si="1481">BG289+BH289-BK289</f>
        <v>0</v>
      </c>
      <c r="BM289" s="8">
        <v>0</v>
      </c>
      <c r="BN289" s="8">
        <v>0</v>
      </c>
      <c r="BO289" s="8">
        <v>0</v>
      </c>
      <c r="BP289" s="8">
        <v>0</v>
      </c>
      <c r="BQ289" s="9">
        <f t="shared" ref="BQ289:BQ299" si="1482">BO289+BP289</f>
        <v>0</v>
      </c>
      <c r="BR289" s="9">
        <f t="shared" ref="BR289:BR299" si="1483">BM289+BN289-BQ289</f>
        <v>0</v>
      </c>
      <c r="BS289" s="8">
        <v>0</v>
      </c>
      <c r="BT289" s="8">
        <v>0</v>
      </c>
      <c r="BU289" s="8">
        <v>0</v>
      </c>
      <c r="BV289" s="8">
        <v>0</v>
      </c>
      <c r="BW289" s="9">
        <f t="shared" ref="BW289:BW299" si="1484">BU289+BV289</f>
        <v>0</v>
      </c>
      <c r="BX289" s="9">
        <f t="shared" ref="BX289:BX299" si="1485">BS289+BT289-BW289</f>
        <v>0</v>
      </c>
      <c r="BY289" s="9">
        <f t="shared" ref="BY289:BY299" si="1486">BA289+BG289+BM289+BS289</f>
        <v>4</v>
      </c>
      <c r="BZ289" s="9">
        <f t="shared" ref="BZ289:BZ299" si="1487">BB289+BH289+BN289+BT289</f>
        <v>0</v>
      </c>
      <c r="CA289" s="9">
        <f t="shared" ref="CA289:CA299" si="1488">BE289+BK289+BQ289+BW289</f>
        <v>0</v>
      </c>
      <c r="CB289" s="9">
        <f t="shared" ref="CB289:CB299" si="1489">BF289+BL289+BR289+BX289</f>
        <v>4</v>
      </c>
      <c r="CC289" s="8">
        <v>0</v>
      </c>
      <c r="CD289" s="8">
        <v>53</v>
      </c>
      <c r="CE289" s="8">
        <v>48</v>
      </c>
      <c r="CF289" s="8">
        <v>10</v>
      </c>
      <c r="CG289" s="8">
        <v>0</v>
      </c>
      <c r="CH289" s="9">
        <f t="shared" ref="CH289:CH299" si="1490">CD289+CE289+CF289+CG289</f>
        <v>111</v>
      </c>
      <c r="CI289" s="8">
        <v>23</v>
      </c>
      <c r="CJ289" s="8">
        <v>2</v>
      </c>
      <c r="CK289" s="8">
        <v>1</v>
      </c>
      <c r="CL289" s="8">
        <v>0</v>
      </c>
      <c r="CM289" s="9">
        <f t="shared" ref="CM289:CM299" si="1491">CI289+CJ289+CK289+CL289</f>
        <v>26</v>
      </c>
      <c r="CN289" s="8">
        <v>343</v>
      </c>
      <c r="CO289" s="8">
        <v>14</v>
      </c>
      <c r="CP289" s="8">
        <v>2</v>
      </c>
      <c r="CQ289" s="8">
        <v>0</v>
      </c>
      <c r="CR289" s="9">
        <f t="shared" ref="CR289:CR299" si="1492">CN289+CO289+CP289+CQ289</f>
        <v>359</v>
      </c>
      <c r="CS289" s="9">
        <f t="shared" ref="CS289:CS299" si="1493">CM289+CR289</f>
        <v>385</v>
      </c>
      <c r="CT289" s="8">
        <v>496</v>
      </c>
      <c r="CU289" s="8">
        <v>3448</v>
      </c>
      <c r="CV289" s="8">
        <v>2631</v>
      </c>
      <c r="CW289" s="10">
        <f t="shared" ref="CW289:CW299" si="1494">IF(CU289=0,"",CV289/CU289)</f>
        <v>0.76305104408352664</v>
      </c>
      <c r="CX289" s="8">
        <v>0</v>
      </c>
      <c r="CY289" s="8">
        <v>0</v>
      </c>
      <c r="CZ289" s="8">
        <v>0</v>
      </c>
      <c r="DA289" s="8">
        <v>0</v>
      </c>
      <c r="DB289" s="9">
        <f t="shared" ref="DB289:DB299" si="1495">CX289+CY289-CZ289-DA289</f>
        <v>0</v>
      </c>
      <c r="DC289" s="8">
        <v>0</v>
      </c>
      <c r="DD289" s="8">
        <v>0</v>
      </c>
      <c r="DE289" s="8">
        <v>0</v>
      </c>
      <c r="DF289" s="8">
        <v>0</v>
      </c>
      <c r="DG289" s="9">
        <f t="shared" ref="DG289:DG299" si="1496">DC289+DD289-DE289-DF289</f>
        <v>0</v>
      </c>
      <c r="DH289" s="8">
        <v>0</v>
      </c>
      <c r="DI289" s="8">
        <v>0</v>
      </c>
      <c r="DJ289" s="8">
        <v>0</v>
      </c>
      <c r="DK289" s="8">
        <v>0</v>
      </c>
      <c r="DL289" s="9">
        <f t="shared" ref="DL289:DL299" si="1497">DH289+DI289-DJ289-DK289</f>
        <v>0</v>
      </c>
      <c r="DM289" s="8">
        <v>0</v>
      </c>
      <c r="DN289" s="8">
        <v>0</v>
      </c>
      <c r="DO289" s="8">
        <v>0</v>
      </c>
      <c r="DP289" s="8">
        <v>0</v>
      </c>
      <c r="DQ289" s="9">
        <f t="shared" ref="DQ289:DQ299" si="1498">DM289+DN289-DO289-DP289</f>
        <v>0</v>
      </c>
      <c r="DR289" s="9">
        <f t="shared" ref="DR289:DR299" si="1499">CX289+DC289+DH289+DM289</f>
        <v>0</v>
      </c>
      <c r="DS289" s="9">
        <f t="shared" ref="DS289:DS299" si="1500">CY289+DD289+DI289+DN289</f>
        <v>0</v>
      </c>
      <c r="DT289" s="9">
        <f t="shared" ref="DT289:DT299" si="1501">CZ289+DE289+DJ289+DO289</f>
        <v>0</v>
      </c>
      <c r="DU289" s="9">
        <f t="shared" ref="DU289:DU299" si="1502">DA289+DF289+DK289+DP289</f>
        <v>0</v>
      </c>
      <c r="DV289" s="9">
        <f t="shared" ref="DV289:DV299" si="1503">DB289+DG289+DL289+DQ289</f>
        <v>0</v>
      </c>
      <c r="DW289" s="8">
        <v>7</v>
      </c>
      <c r="DX289" s="8">
        <v>2</v>
      </c>
      <c r="DY289" s="8">
        <v>2</v>
      </c>
      <c r="DZ289" s="8">
        <v>1</v>
      </c>
      <c r="EA289" s="8">
        <v>1</v>
      </c>
      <c r="EB289" s="8"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1</v>
      </c>
      <c r="EK289" s="8">
        <v>0</v>
      </c>
      <c r="EL289" s="8">
        <v>0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8">
        <v>0</v>
      </c>
      <c r="FB289" s="8">
        <v>0</v>
      </c>
      <c r="FC289" s="8">
        <v>0</v>
      </c>
      <c r="FD289" s="8">
        <v>0</v>
      </c>
      <c r="FE289" s="8">
        <v>0</v>
      </c>
      <c r="FF289" s="8">
        <v>0</v>
      </c>
      <c r="FG289" s="9">
        <f t="shared" ref="FG289:FG299" si="1504">SUM(DW289,DX289,DY289,DZ289,EA289,EB289,EC289,ED289,EE289,EF289,EG289,EH289,EI289,EJ289,EK289,EL289,EM289,EN289,EO289,EP289,EQ289,ER289,ES289,ET289,EU289,EV289,EW289,EX289,EY289,EZ289,FA289,FB289,FC289,FD289,FE289,FF289)</f>
        <v>14</v>
      </c>
      <c r="FH289" s="8">
        <v>0</v>
      </c>
      <c r="FI289" s="8">
        <v>0</v>
      </c>
      <c r="FJ289" s="8">
        <v>18</v>
      </c>
      <c r="FK289" s="8">
        <v>8</v>
      </c>
      <c r="FL289" s="8">
        <v>0</v>
      </c>
      <c r="FM289" s="8">
        <v>0</v>
      </c>
      <c r="FN289" s="8">
        <v>0</v>
      </c>
      <c r="FO289" s="8">
        <v>0</v>
      </c>
      <c r="FP289" s="8">
        <v>0</v>
      </c>
      <c r="FQ289" s="9">
        <f t="shared" ref="FQ289:FQ299" si="1505">FL289+FM289+FN289+FO289+FP289</f>
        <v>0</v>
      </c>
      <c r="FR289" s="8">
        <v>176723.79</v>
      </c>
      <c r="FS289" s="8">
        <v>0</v>
      </c>
      <c r="FT289" s="8">
        <v>0</v>
      </c>
      <c r="FU289" s="8">
        <v>0</v>
      </c>
      <c r="FV289" s="9">
        <f t="shared" ref="FV289:FV299" si="1506">FR289+FS289+FT289+FU289</f>
        <v>176723.79</v>
      </c>
      <c r="FW289" s="8">
        <v>1918599.64</v>
      </c>
      <c r="FX289" s="8">
        <v>0</v>
      </c>
      <c r="FY289" s="8">
        <v>60000</v>
      </c>
      <c r="FZ289" s="8">
        <v>393650</v>
      </c>
      <c r="GA289" s="9">
        <f t="shared" ref="GA289:GA299" si="1507">FW289+FX289+FY289+FZ289</f>
        <v>2372249.6399999997</v>
      </c>
      <c r="GB289" s="9">
        <f t="shared" ref="GB289:GB299" si="1508">FV289+GA289</f>
        <v>2548973.4299999997</v>
      </c>
      <c r="GC289" s="8">
        <v>102442.82</v>
      </c>
      <c r="GD289" s="8">
        <v>0</v>
      </c>
      <c r="GE289" s="8">
        <v>16821.98</v>
      </c>
      <c r="GF289" s="8">
        <v>8410.99</v>
      </c>
      <c r="GG289" s="9">
        <f t="shared" ref="GG289:GG299" si="1509">GC289+GD289+GE289+GF289</f>
        <v>127675.79000000001</v>
      </c>
      <c r="GH289" s="8">
        <v>1872439.64</v>
      </c>
      <c r="GI289" s="8">
        <v>0</v>
      </c>
      <c r="GJ289" s="8">
        <v>351650</v>
      </c>
      <c r="GK289" s="8">
        <v>60000</v>
      </c>
      <c r="GL289" s="9">
        <f t="shared" ref="GL289:GL299" si="1510">GH289+GI289+GJ289+GK289</f>
        <v>2284089.6399999997</v>
      </c>
      <c r="GM289" s="9">
        <f t="shared" ref="GM289:GM299" si="1511">GG289+GL289</f>
        <v>2411765.4299999997</v>
      </c>
      <c r="GN289" s="8">
        <v>12533.39</v>
      </c>
      <c r="GO289" s="8">
        <v>0</v>
      </c>
      <c r="GP289" s="8">
        <v>6787.28</v>
      </c>
      <c r="GQ289" s="8">
        <v>4637.34</v>
      </c>
      <c r="GR289" s="9">
        <f t="shared" ref="GR289:GR299" si="1512">GN289+GO289+GP289+GQ289</f>
        <v>23958.01</v>
      </c>
      <c r="GS289" s="8">
        <v>20539</v>
      </c>
      <c r="GT289" s="8">
        <v>0</v>
      </c>
      <c r="GU289" s="8">
        <v>1786</v>
      </c>
      <c r="GV289" s="8">
        <v>893</v>
      </c>
      <c r="GW289" s="9">
        <f t="shared" ref="GW289:GW299" si="1513">GS289+GT289+GU289+GV289</f>
        <v>23218</v>
      </c>
      <c r="GX289" s="9">
        <f t="shared" ref="GX289:GX299" si="1514">GM289+GR289+GW289</f>
        <v>2458941.4399999995</v>
      </c>
      <c r="GY289" s="8">
        <v>11709299.059999989</v>
      </c>
      <c r="GZ289" s="8">
        <v>-30403.8</v>
      </c>
      <c r="HA289" s="9">
        <f t="shared" si="1454"/>
        <v>11678895.259999989</v>
      </c>
      <c r="HB289" s="9">
        <f t="shared" ref="HB289:HB299" si="1515">IF(GX289=0,"",AU289/GX289)</f>
        <v>0.10369897401054011</v>
      </c>
      <c r="HC289" s="10">
        <f t="shared" ref="HC289:HC299" si="1516">IF((GX289+GY289)=0,"",GB289/(GX289+GY289))</f>
        <v>0.1799075495648173</v>
      </c>
      <c r="HD289" s="9">
        <f t="shared" ref="HD289:HD299" si="1517">IF(GX289=0,"",GB289/GX289)</f>
        <v>1.0366141253042611</v>
      </c>
      <c r="HE289" s="8">
        <v>2</v>
      </c>
      <c r="HF289" s="8">
        <v>1</v>
      </c>
      <c r="HG289" s="8">
        <v>4</v>
      </c>
      <c r="HH289" s="8">
        <v>0</v>
      </c>
      <c r="HI289" s="8">
        <v>0</v>
      </c>
      <c r="HJ289" s="9">
        <f t="shared" ref="HJ289:HJ299" si="1518">HF289+HI289</f>
        <v>1</v>
      </c>
      <c r="HK289" s="10">
        <f t="shared" ref="HK289:HK299" si="1519">IF(HE289=0,"",HH289/HE289)</f>
        <v>0</v>
      </c>
      <c r="HL289" s="8">
        <v>0</v>
      </c>
      <c r="HM289" s="8">
        <v>0</v>
      </c>
      <c r="HN289" s="11" t="str">
        <f t="shared" ref="HN289:HN299" si="1520">IF(HL289=0,"",HM289/HL289)</f>
        <v/>
      </c>
    </row>
    <row r="290" spans="1:222" x14ac:dyDescent="0.3">
      <c r="A290" s="12" t="s">
        <v>295</v>
      </c>
      <c r="B290" s="12" t="s">
        <v>296</v>
      </c>
      <c r="C290" s="13" t="s">
        <v>257</v>
      </c>
      <c r="D290" s="13">
        <v>2026</v>
      </c>
      <c r="E290" s="13">
        <v>3</v>
      </c>
      <c r="F290" s="13" t="s">
        <v>273</v>
      </c>
      <c r="G290" s="13" t="s">
        <v>271</v>
      </c>
      <c r="H290" s="14">
        <v>2188</v>
      </c>
      <c r="I290" s="14">
        <v>176</v>
      </c>
      <c r="J290" s="14">
        <v>0</v>
      </c>
      <c r="K290" s="14">
        <v>33</v>
      </c>
      <c r="L290" s="14">
        <v>1</v>
      </c>
      <c r="M290" s="15">
        <f t="shared" si="1461"/>
        <v>210</v>
      </c>
      <c r="N290" s="14">
        <v>1837.9999999999959</v>
      </c>
      <c r="O290" s="14">
        <v>0</v>
      </c>
      <c r="P290" s="14">
        <v>84.9</v>
      </c>
      <c r="Q290" s="14">
        <v>3.1</v>
      </c>
      <c r="R290" s="15">
        <f t="shared" si="1462"/>
        <v>1925.9999999999959</v>
      </c>
      <c r="S290" s="15">
        <f t="shared" si="1463"/>
        <v>2135.9999999999959</v>
      </c>
      <c r="T290" s="14">
        <v>52.000000000003638</v>
      </c>
      <c r="U290" s="16">
        <f t="shared" si="1464"/>
        <v>2.3765996343694532E-2</v>
      </c>
      <c r="V290" s="14">
        <v>9.5</v>
      </c>
      <c r="W290" s="17">
        <f t="shared" si="1465"/>
        <v>4.3418647166361974E-3</v>
      </c>
      <c r="X290" s="14">
        <v>0</v>
      </c>
      <c r="Y290" s="17">
        <f t="shared" si="1466"/>
        <v>0</v>
      </c>
      <c r="Z290" s="14">
        <v>0</v>
      </c>
      <c r="AA290" s="17">
        <f t="shared" si="1467"/>
        <v>0</v>
      </c>
      <c r="AB290" s="14">
        <v>0</v>
      </c>
      <c r="AC290" s="17">
        <f t="shared" si="1468"/>
        <v>0</v>
      </c>
      <c r="AD290" s="14">
        <v>0</v>
      </c>
      <c r="AE290" s="17">
        <f t="shared" si="1469"/>
        <v>0</v>
      </c>
      <c r="AF290" s="14">
        <v>0</v>
      </c>
      <c r="AG290" s="17">
        <f t="shared" si="1470"/>
        <v>0</v>
      </c>
      <c r="AH290" s="14">
        <v>247000</v>
      </c>
      <c r="AI290" s="15">
        <f t="shared" si="1471"/>
        <v>112.88848263254113</v>
      </c>
      <c r="AJ290" s="14">
        <v>11.03</v>
      </c>
      <c r="AK290" s="17">
        <f t="shared" si="1472"/>
        <v>5.0411334552102373E-3</v>
      </c>
      <c r="AL290" s="14">
        <v>34621.048269999999</v>
      </c>
      <c r="AM290" s="15">
        <f t="shared" si="1473"/>
        <v>15.823148203839121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5">
        <f t="shared" si="1474"/>
        <v>281621.04827000003</v>
      </c>
      <c r="AV290" s="15">
        <f t="shared" si="1475"/>
        <v>128.71163083638027</v>
      </c>
      <c r="AW290" s="15">
        <f t="shared" si="1476"/>
        <v>131.84506005149839</v>
      </c>
      <c r="AX290" s="14">
        <v>4</v>
      </c>
      <c r="AY290" s="15">
        <f t="shared" si="1477"/>
        <v>21.937842778793417</v>
      </c>
      <c r="AZ290" s="14">
        <v>6</v>
      </c>
      <c r="BA290" s="14">
        <v>4</v>
      </c>
      <c r="BB290" s="14">
        <v>3</v>
      </c>
      <c r="BC290" s="14">
        <v>0</v>
      </c>
      <c r="BD290" s="14">
        <v>0</v>
      </c>
      <c r="BE290" s="15">
        <f t="shared" si="1478"/>
        <v>0</v>
      </c>
      <c r="BF290" s="15">
        <f t="shared" si="1479"/>
        <v>7</v>
      </c>
      <c r="BG290" s="14">
        <v>0</v>
      </c>
      <c r="BH290" s="14">
        <v>0</v>
      </c>
      <c r="BI290" s="14">
        <v>0</v>
      </c>
      <c r="BJ290" s="14">
        <v>0</v>
      </c>
      <c r="BK290" s="15">
        <f t="shared" si="1480"/>
        <v>0</v>
      </c>
      <c r="BL290" s="15">
        <f t="shared" si="1481"/>
        <v>0</v>
      </c>
      <c r="BM290" s="14">
        <v>0</v>
      </c>
      <c r="BN290" s="14">
        <v>0</v>
      </c>
      <c r="BO290" s="14">
        <v>0</v>
      </c>
      <c r="BP290" s="14">
        <v>0</v>
      </c>
      <c r="BQ290" s="15">
        <f t="shared" si="1482"/>
        <v>0</v>
      </c>
      <c r="BR290" s="15">
        <f t="shared" si="1483"/>
        <v>0</v>
      </c>
      <c r="BS290" s="14">
        <v>0</v>
      </c>
      <c r="BT290" s="14">
        <v>0</v>
      </c>
      <c r="BU290" s="14">
        <v>0</v>
      </c>
      <c r="BV290" s="14">
        <v>0</v>
      </c>
      <c r="BW290" s="15">
        <f t="shared" si="1484"/>
        <v>0</v>
      </c>
      <c r="BX290" s="15">
        <f t="shared" si="1485"/>
        <v>0</v>
      </c>
      <c r="BY290" s="15">
        <f t="shared" si="1486"/>
        <v>4</v>
      </c>
      <c r="BZ290" s="15">
        <f t="shared" si="1487"/>
        <v>3</v>
      </c>
      <c r="CA290" s="15">
        <f t="shared" si="1488"/>
        <v>0</v>
      </c>
      <c r="CB290" s="15">
        <f t="shared" si="1489"/>
        <v>7</v>
      </c>
      <c r="CC290" s="14">
        <v>0</v>
      </c>
      <c r="CD290" s="14">
        <v>53</v>
      </c>
      <c r="CE290" s="14">
        <v>48</v>
      </c>
      <c r="CF290" s="14">
        <v>10</v>
      </c>
      <c r="CG290" s="14">
        <v>0</v>
      </c>
      <c r="CH290" s="15">
        <f t="shared" si="1490"/>
        <v>111</v>
      </c>
      <c r="CI290" s="14">
        <v>23</v>
      </c>
      <c r="CJ290" s="14">
        <v>2</v>
      </c>
      <c r="CK290" s="14">
        <v>1</v>
      </c>
      <c r="CL290" s="14">
        <v>0</v>
      </c>
      <c r="CM290" s="15">
        <f t="shared" si="1491"/>
        <v>26</v>
      </c>
      <c r="CN290" s="14">
        <v>343</v>
      </c>
      <c r="CO290" s="14">
        <v>14</v>
      </c>
      <c r="CP290" s="14">
        <v>2</v>
      </c>
      <c r="CQ290" s="14">
        <v>0</v>
      </c>
      <c r="CR290" s="15">
        <f t="shared" si="1492"/>
        <v>359</v>
      </c>
      <c r="CS290" s="15">
        <f t="shared" si="1493"/>
        <v>385</v>
      </c>
      <c r="CT290" s="14">
        <v>496</v>
      </c>
      <c r="CU290" s="14">
        <v>3453</v>
      </c>
      <c r="CV290" s="14">
        <v>2631</v>
      </c>
      <c r="CW290" s="16">
        <f t="shared" si="1494"/>
        <v>0.76194613379669851</v>
      </c>
      <c r="CX290" s="14"/>
      <c r="CY290" s="14"/>
      <c r="CZ290" s="14"/>
      <c r="DA290" s="14"/>
      <c r="DB290" s="15">
        <f t="shared" si="1495"/>
        <v>0</v>
      </c>
      <c r="DC290" s="14">
        <v>0</v>
      </c>
      <c r="DD290" s="14">
        <v>0</v>
      </c>
      <c r="DE290" s="14">
        <v>0</v>
      </c>
      <c r="DF290" s="14">
        <v>0</v>
      </c>
      <c r="DG290" s="15">
        <f t="shared" si="1496"/>
        <v>0</v>
      </c>
      <c r="DH290" s="14">
        <v>0</v>
      </c>
      <c r="DI290" s="14">
        <v>0</v>
      </c>
      <c r="DJ290" s="14">
        <v>0</v>
      </c>
      <c r="DK290" s="14">
        <v>0</v>
      </c>
      <c r="DL290" s="15">
        <f t="shared" si="1497"/>
        <v>0</v>
      </c>
      <c r="DM290" s="14">
        <v>0</v>
      </c>
      <c r="DN290" s="14">
        <v>0</v>
      </c>
      <c r="DO290" s="14">
        <v>0</v>
      </c>
      <c r="DP290" s="14">
        <v>0</v>
      </c>
      <c r="DQ290" s="15">
        <f t="shared" si="1498"/>
        <v>0</v>
      </c>
      <c r="DR290" s="15">
        <f t="shared" si="1499"/>
        <v>0</v>
      </c>
      <c r="DS290" s="15">
        <f t="shared" si="1500"/>
        <v>0</v>
      </c>
      <c r="DT290" s="15">
        <f t="shared" si="1501"/>
        <v>0</v>
      </c>
      <c r="DU290" s="15">
        <f t="shared" si="1502"/>
        <v>0</v>
      </c>
      <c r="DV290" s="15">
        <f t="shared" si="1503"/>
        <v>0</v>
      </c>
      <c r="DW290" s="14">
        <v>5</v>
      </c>
      <c r="DX290" s="14">
        <v>4</v>
      </c>
      <c r="DY290" s="14">
        <v>4</v>
      </c>
      <c r="DZ290" s="14">
        <v>2</v>
      </c>
      <c r="EA290" s="14">
        <v>1</v>
      </c>
      <c r="EB290" s="14">
        <v>1</v>
      </c>
      <c r="EC290" s="14">
        <v>0</v>
      </c>
      <c r="ED290" s="14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0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0</v>
      </c>
      <c r="FE290" s="14">
        <v>0</v>
      </c>
      <c r="FF290" s="14">
        <v>0</v>
      </c>
      <c r="FG290" s="15">
        <f t="shared" si="1504"/>
        <v>17</v>
      </c>
      <c r="FH290" s="14">
        <v>0</v>
      </c>
      <c r="FI290" s="14">
        <v>0</v>
      </c>
      <c r="FJ290" s="14">
        <v>18</v>
      </c>
      <c r="FK290" s="14">
        <v>10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5">
        <f t="shared" si="1505"/>
        <v>0</v>
      </c>
      <c r="FR290" s="14">
        <v>10000</v>
      </c>
      <c r="FS290" s="14">
        <v>0</v>
      </c>
      <c r="FT290" s="14">
        <v>0</v>
      </c>
      <c r="FU290" s="14">
        <v>0</v>
      </c>
      <c r="FV290" s="15">
        <f t="shared" si="1506"/>
        <v>10000</v>
      </c>
      <c r="FW290" s="14">
        <v>2337804.7999999998</v>
      </c>
      <c r="FX290" s="14">
        <v>0</v>
      </c>
      <c r="FY290" s="14">
        <v>14400</v>
      </c>
      <c r="FZ290" s="14">
        <v>259800</v>
      </c>
      <c r="GA290" s="15">
        <f t="shared" si="1507"/>
        <v>2612004.7999999998</v>
      </c>
      <c r="GB290" s="15">
        <f t="shared" si="1508"/>
        <v>2622004.7999999998</v>
      </c>
      <c r="GC290" s="14">
        <v>173289.52</v>
      </c>
      <c r="GD290" s="14">
        <v>0</v>
      </c>
      <c r="GE290" s="14">
        <v>106647.18</v>
      </c>
      <c r="GF290" s="14">
        <v>8410.99</v>
      </c>
      <c r="GG290" s="15">
        <f t="shared" si="1509"/>
        <v>288347.68999999994</v>
      </c>
      <c r="GH290" s="14">
        <v>2292399.4300000002</v>
      </c>
      <c r="GI290" s="14">
        <v>0</v>
      </c>
      <c r="GJ290" s="14">
        <v>257100</v>
      </c>
      <c r="GK290" s="14">
        <v>14400</v>
      </c>
      <c r="GL290" s="15">
        <f t="shared" si="1510"/>
        <v>2563899.4300000002</v>
      </c>
      <c r="GM290" s="15">
        <f t="shared" si="1511"/>
        <v>2852247.12</v>
      </c>
      <c r="GN290" s="14">
        <v>12533.39</v>
      </c>
      <c r="GO290" s="14">
        <v>0</v>
      </c>
      <c r="GP290" s="14">
        <v>6787.28</v>
      </c>
      <c r="GQ290" s="14">
        <v>4637.34</v>
      </c>
      <c r="GR290" s="15">
        <f t="shared" si="1512"/>
        <v>23958.01</v>
      </c>
      <c r="GS290" s="14">
        <v>20539</v>
      </c>
      <c r="GT290" s="14">
        <v>0</v>
      </c>
      <c r="GU290" s="14">
        <v>1786</v>
      </c>
      <c r="GV290" s="14">
        <v>893</v>
      </c>
      <c r="GW290" s="15">
        <f t="shared" si="1513"/>
        <v>23218</v>
      </c>
      <c r="GX290" s="15">
        <f t="shared" si="1514"/>
        <v>2899423.13</v>
      </c>
      <c r="GY290" s="14">
        <v>11809466.600000011</v>
      </c>
      <c r="GZ290" s="14">
        <v>-30403.8</v>
      </c>
      <c r="HA290" s="9">
        <f t="shared" si="1454"/>
        <v>11779062.80000001</v>
      </c>
      <c r="HB290" s="15">
        <f t="shared" si="1515"/>
        <v>9.7130027472050975E-2</v>
      </c>
      <c r="HC290" s="16">
        <f t="shared" si="1516"/>
        <v>0.17825987196383705</v>
      </c>
      <c r="HD290" s="15">
        <f t="shared" si="1517"/>
        <v>0.90431947406034519</v>
      </c>
      <c r="HE290" s="14">
        <v>3</v>
      </c>
      <c r="HF290" s="14">
        <v>1</v>
      </c>
      <c r="HG290" s="14">
        <v>7</v>
      </c>
      <c r="HH290" s="14">
        <v>3</v>
      </c>
      <c r="HI290" s="14">
        <v>0</v>
      </c>
      <c r="HJ290" s="15">
        <f t="shared" si="1518"/>
        <v>1</v>
      </c>
      <c r="HK290" s="16">
        <f t="shared" si="1519"/>
        <v>1</v>
      </c>
      <c r="HL290" s="14">
        <v>0</v>
      </c>
      <c r="HM290" s="14">
        <v>0</v>
      </c>
      <c r="HN290" s="17" t="str">
        <f t="shared" si="1520"/>
        <v/>
      </c>
    </row>
    <row r="291" spans="1:222" x14ac:dyDescent="0.3">
      <c r="A291" s="6" t="s">
        <v>295</v>
      </c>
      <c r="B291" s="6" t="s">
        <v>297</v>
      </c>
      <c r="C291" s="7" t="s">
        <v>257</v>
      </c>
      <c r="D291" s="7">
        <v>2025</v>
      </c>
      <c r="E291" s="7">
        <v>4</v>
      </c>
      <c r="F291" s="7" t="s">
        <v>258</v>
      </c>
      <c r="G291" s="7" t="s">
        <v>259</v>
      </c>
      <c r="H291" s="8">
        <v>27112</v>
      </c>
      <c r="I291" s="8">
        <v>10212</v>
      </c>
      <c r="J291" s="8">
        <v>8</v>
      </c>
      <c r="K291" s="8">
        <v>42</v>
      </c>
      <c r="L291" s="8">
        <v>13</v>
      </c>
      <c r="M291" s="9">
        <f t="shared" si="1461"/>
        <v>10275</v>
      </c>
      <c r="N291" s="8">
        <v>5743.8000000000202</v>
      </c>
      <c r="O291" s="8">
        <v>114.1</v>
      </c>
      <c r="P291" s="8">
        <v>8375.7999999999993</v>
      </c>
      <c r="Q291" s="8">
        <v>183.3</v>
      </c>
      <c r="R291" s="9">
        <f t="shared" si="1462"/>
        <v>14417.000000000018</v>
      </c>
      <c r="S291" s="9">
        <f t="shared" si="1463"/>
        <v>24692.000000000018</v>
      </c>
      <c r="T291" s="8">
        <v>2419.99999999998</v>
      </c>
      <c r="U291" s="10">
        <f t="shared" si="1464"/>
        <v>8.9259368545292858E-2</v>
      </c>
      <c r="V291" s="8">
        <v>52</v>
      </c>
      <c r="W291" s="11">
        <f t="shared" si="1465"/>
        <v>1.9179699026261434E-3</v>
      </c>
      <c r="X291" s="8">
        <v>0</v>
      </c>
      <c r="Y291" s="11">
        <f t="shared" si="1466"/>
        <v>0</v>
      </c>
      <c r="Z291" s="8">
        <v>0</v>
      </c>
      <c r="AA291" s="11">
        <f t="shared" si="1467"/>
        <v>0</v>
      </c>
      <c r="AB291" s="8">
        <v>0</v>
      </c>
      <c r="AC291" s="11">
        <f t="shared" si="1468"/>
        <v>0</v>
      </c>
      <c r="AD291" s="8">
        <v>0</v>
      </c>
      <c r="AE291" s="11">
        <f t="shared" si="1469"/>
        <v>0</v>
      </c>
      <c r="AF291" s="8">
        <v>0</v>
      </c>
      <c r="AG291" s="11">
        <f t="shared" si="1470"/>
        <v>0</v>
      </c>
      <c r="AH291" s="8">
        <v>1352000</v>
      </c>
      <c r="AI291" s="9">
        <f t="shared" si="1471"/>
        <v>49.867217468279726</v>
      </c>
      <c r="AJ291" s="8">
        <v>140.33000000000001</v>
      </c>
      <c r="AK291" s="11">
        <f t="shared" si="1472"/>
        <v>5.1759368545293604E-3</v>
      </c>
      <c r="AL291" s="8">
        <v>69959.901970000006</v>
      </c>
      <c r="AM291" s="9">
        <f t="shared" si="1473"/>
        <v>2.5804035840218358</v>
      </c>
      <c r="AN291" s="8">
        <v>0</v>
      </c>
      <c r="AO291" s="8">
        <v>0</v>
      </c>
      <c r="AP291" s="8">
        <v>0</v>
      </c>
      <c r="AQ291" s="8">
        <v>0</v>
      </c>
      <c r="AR291" s="8">
        <v>4703176.13</v>
      </c>
      <c r="AS291" s="8">
        <v>1534601.93</v>
      </c>
      <c r="AT291" s="8">
        <v>0</v>
      </c>
      <c r="AU291" s="9">
        <f t="shared" si="1474"/>
        <v>7659737.9619699996</v>
      </c>
      <c r="AV291" s="9">
        <f t="shared" si="1475"/>
        <v>282.52205525118029</v>
      </c>
      <c r="AW291" s="9">
        <f t="shared" si="1476"/>
        <v>310.21132196541367</v>
      </c>
      <c r="AX291" s="8">
        <v>7</v>
      </c>
      <c r="AY291" s="9">
        <f t="shared" si="1477"/>
        <v>3.0982590734730011</v>
      </c>
      <c r="AZ291" s="8">
        <v>17</v>
      </c>
      <c r="BA291" s="8">
        <v>49</v>
      </c>
      <c r="BB291" s="8">
        <v>13</v>
      </c>
      <c r="BC291" s="8">
        <v>13</v>
      </c>
      <c r="BD291" s="8">
        <v>0</v>
      </c>
      <c r="BE291" s="9">
        <f t="shared" si="1478"/>
        <v>13</v>
      </c>
      <c r="BF291" s="9">
        <f t="shared" si="1479"/>
        <v>49</v>
      </c>
      <c r="BG291" s="8">
        <v>2</v>
      </c>
      <c r="BH291" s="8">
        <v>0</v>
      </c>
      <c r="BI291" s="8">
        <v>0</v>
      </c>
      <c r="BJ291" s="8">
        <v>0</v>
      </c>
      <c r="BK291" s="9">
        <f t="shared" si="1480"/>
        <v>0</v>
      </c>
      <c r="BL291" s="9">
        <f t="shared" si="1481"/>
        <v>2</v>
      </c>
      <c r="BM291" s="8">
        <v>4</v>
      </c>
      <c r="BN291" s="8">
        <v>1</v>
      </c>
      <c r="BO291" s="8">
        <v>0</v>
      </c>
      <c r="BP291" s="8">
        <v>0</v>
      </c>
      <c r="BQ291" s="9">
        <f t="shared" si="1482"/>
        <v>0</v>
      </c>
      <c r="BR291" s="9">
        <f t="shared" si="1483"/>
        <v>5</v>
      </c>
      <c r="BS291" s="8">
        <v>0</v>
      </c>
      <c r="BT291" s="8">
        <v>0</v>
      </c>
      <c r="BU291" s="8">
        <v>0</v>
      </c>
      <c r="BV291" s="8">
        <v>0</v>
      </c>
      <c r="BW291" s="9">
        <f t="shared" si="1484"/>
        <v>0</v>
      </c>
      <c r="BX291" s="9">
        <f t="shared" si="1485"/>
        <v>0</v>
      </c>
      <c r="BY291" s="9">
        <f t="shared" si="1486"/>
        <v>55</v>
      </c>
      <c r="BZ291" s="9">
        <f t="shared" si="1487"/>
        <v>14</v>
      </c>
      <c r="CA291" s="9">
        <f t="shared" si="1488"/>
        <v>13</v>
      </c>
      <c r="CB291" s="9">
        <f t="shared" si="1489"/>
        <v>56</v>
      </c>
      <c r="CC291" s="8">
        <v>0</v>
      </c>
      <c r="CD291" s="8">
        <v>721</v>
      </c>
      <c r="CE291" s="8">
        <v>15</v>
      </c>
      <c r="CF291" s="8">
        <v>7</v>
      </c>
      <c r="CG291" s="8">
        <v>3</v>
      </c>
      <c r="CH291" s="9">
        <f t="shared" si="1490"/>
        <v>746</v>
      </c>
      <c r="CI291" s="8">
        <v>876</v>
      </c>
      <c r="CJ291" s="8">
        <v>6</v>
      </c>
      <c r="CK291" s="8">
        <v>3</v>
      </c>
      <c r="CL291" s="8">
        <v>2</v>
      </c>
      <c r="CM291" s="9">
        <f t="shared" si="1491"/>
        <v>887</v>
      </c>
      <c r="CN291" s="8">
        <v>365</v>
      </c>
      <c r="CO291" s="8">
        <v>21</v>
      </c>
      <c r="CP291" s="8">
        <v>25</v>
      </c>
      <c r="CQ291" s="8">
        <v>2</v>
      </c>
      <c r="CR291" s="9">
        <f t="shared" si="1492"/>
        <v>413</v>
      </c>
      <c r="CS291" s="9">
        <f t="shared" si="1493"/>
        <v>1300</v>
      </c>
      <c r="CT291" s="8">
        <v>2046</v>
      </c>
      <c r="CU291" s="8">
        <v>10628</v>
      </c>
      <c r="CV291" s="8">
        <v>10447</v>
      </c>
      <c r="CW291" s="10">
        <f t="shared" si="1494"/>
        <v>0.98296951449002634</v>
      </c>
      <c r="CX291" s="8">
        <v>0</v>
      </c>
      <c r="CY291" s="8">
        <v>0</v>
      </c>
      <c r="CZ291" s="8">
        <v>0</v>
      </c>
      <c r="DA291" s="8">
        <v>0</v>
      </c>
      <c r="DB291" s="9">
        <f t="shared" si="1495"/>
        <v>0</v>
      </c>
      <c r="DC291" s="8">
        <v>0</v>
      </c>
      <c r="DD291" s="8">
        <v>0</v>
      </c>
      <c r="DE291" s="8">
        <v>0</v>
      </c>
      <c r="DF291" s="8">
        <v>0</v>
      </c>
      <c r="DG291" s="9">
        <f t="shared" si="1496"/>
        <v>0</v>
      </c>
      <c r="DH291" s="8">
        <v>0</v>
      </c>
      <c r="DI291" s="8">
        <v>0</v>
      </c>
      <c r="DJ291" s="8">
        <v>0</v>
      </c>
      <c r="DK291" s="8">
        <v>0</v>
      </c>
      <c r="DL291" s="9">
        <f t="shared" si="1497"/>
        <v>0</v>
      </c>
      <c r="DM291" s="8">
        <v>5</v>
      </c>
      <c r="DN291" s="8">
        <v>2</v>
      </c>
      <c r="DO291" s="8">
        <v>7</v>
      </c>
      <c r="DP291" s="8">
        <v>0</v>
      </c>
      <c r="DQ291" s="9">
        <f t="shared" si="1498"/>
        <v>0</v>
      </c>
      <c r="DR291" s="9">
        <f t="shared" si="1499"/>
        <v>5</v>
      </c>
      <c r="DS291" s="9">
        <f t="shared" si="1500"/>
        <v>2</v>
      </c>
      <c r="DT291" s="9">
        <f t="shared" si="1501"/>
        <v>7</v>
      </c>
      <c r="DU291" s="9">
        <f t="shared" si="1502"/>
        <v>0</v>
      </c>
      <c r="DV291" s="9">
        <f t="shared" si="1503"/>
        <v>0</v>
      </c>
      <c r="DW291" s="8">
        <v>11</v>
      </c>
      <c r="DX291" s="8">
        <v>11</v>
      </c>
      <c r="DY291" s="8">
        <v>4</v>
      </c>
      <c r="DZ291" s="8">
        <v>1</v>
      </c>
      <c r="EA291" s="8">
        <v>2</v>
      </c>
      <c r="EB291" s="8">
        <v>4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6</v>
      </c>
      <c r="EK291" s="8">
        <v>2</v>
      </c>
      <c r="EL291" s="8">
        <v>2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8">
        <v>0</v>
      </c>
      <c r="FA291" s="8">
        <v>0</v>
      </c>
      <c r="FB291" s="8">
        <v>0</v>
      </c>
      <c r="FC291" s="8">
        <v>0</v>
      </c>
      <c r="FD291" s="8">
        <v>0</v>
      </c>
      <c r="FE291" s="8">
        <v>0</v>
      </c>
      <c r="FF291" s="8">
        <v>0</v>
      </c>
      <c r="FG291" s="9">
        <f t="shared" si="1504"/>
        <v>43</v>
      </c>
      <c r="FH291" s="8">
        <v>0</v>
      </c>
      <c r="FI291" s="8">
        <v>0</v>
      </c>
      <c r="FJ291" s="8">
        <v>21</v>
      </c>
      <c r="FK291" s="8">
        <v>36</v>
      </c>
      <c r="FL291" s="8">
        <v>0</v>
      </c>
      <c r="FM291" s="8">
        <v>0</v>
      </c>
      <c r="FN291" s="8">
        <v>0</v>
      </c>
      <c r="FO291" s="8">
        <v>0</v>
      </c>
      <c r="FP291" s="8">
        <v>0</v>
      </c>
      <c r="FQ291" s="9">
        <f t="shared" si="1505"/>
        <v>0</v>
      </c>
      <c r="FR291" s="8">
        <v>5126468.8</v>
      </c>
      <c r="FS291" s="8">
        <v>0</v>
      </c>
      <c r="FT291" s="8">
        <v>0</v>
      </c>
      <c r="FU291" s="8">
        <v>0</v>
      </c>
      <c r="FV291" s="9">
        <f t="shared" si="1506"/>
        <v>5126468.8</v>
      </c>
      <c r="FW291" s="8">
        <v>8081439.9900000002</v>
      </c>
      <c r="FX291" s="8">
        <v>31900</v>
      </c>
      <c r="FY291" s="8">
        <v>1029376.45</v>
      </c>
      <c r="FZ291" s="8">
        <v>43473637.900000021</v>
      </c>
      <c r="GA291" s="9">
        <f t="shared" si="1507"/>
        <v>52616354.340000018</v>
      </c>
      <c r="GB291" s="9">
        <f t="shared" si="1508"/>
        <v>57742823.140000015</v>
      </c>
      <c r="GC291" s="8">
        <v>9185023.2799999993</v>
      </c>
      <c r="GD291" s="8">
        <v>1530.24</v>
      </c>
      <c r="GE291" s="8">
        <v>99423.09</v>
      </c>
      <c r="GF291" s="8">
        <v>28618.61</v>
      </c>
      <c r="GG291" s="9">
        <f t="shared" si="1509"/>
        <v>9314595.2199999988</v>
      </c>
      <c r="GH291" s="8">
        <v>7165208.9000000004</v>
      </c>
      <c r="GI291" s="8">
        <v>24220</v>
      </c>
      <c r="GJ291" s="8">
        <v>25457137.899999991</v>
      </c>
      <c r="GK291" s="8">
        <v>868069.93</v>
      </c>
      <c r="GL291" s="9">
        <f t="shared" si="1510"/>
        <v>33514636.729999989</v>
      </c>
      <c r="GM291" s="9">
        <f t="shared" si="1511"/>
        <v>42829231.949999988</v>
      </c>
      <c r="GN291" s="8">
        <v>476837.54</v>
      </c>
      <c r="GO291" s="8">
        <v>382.56</v>
      </c>
      <c r="GP291" s="8">
        <v>20361.84</v>
      </c>
      <c r="GQ291" s="8">
        <v>13912.02</v>
      </c>
      <c r="GR291" s="9">
        <f t="shared" si="1512"/>
        <v>511493.96</v>
      </c>
      <c r="GS291" s="8">
        <v>782268</v>
      </c>
      <c r="GT291" s="8">
        <v>1786</v>
      </c>
      <c r="GU291" s="8">
        <v>5358</v>
      </c>
      <c r="GV291" s="8">
        <v>2679</v>
      </c>
      <c r="GW291" s="9">
        <f t="shared" si="1513"/>
        <v>792091</v>
      </c>
      <c r="GX291" s="9">
        <f t="shared" si="1514"/>
        <v>44132816.909999989</v>
      </c>
      <c r="GY291" s="8">
        <v>92118047.839999855</v>
      </c>
      <c r="GZ291" s="8">
        <v>0</v>
      </c>
      <c r="HA291" s="9">
        <f t="shared" si="1454"/>
        <v>92118047.839999855</v>
      </c>
      <c r="HB291" s="9">
        <f t="shared" si="1515"/>
        <v>0.17356104817851295</v>
      </c>
      <c r="HC291" s="10">
        <f t="shared" si="1516"/>
        <v>0.42379784705183005</v>
      </c>
      <c r="HD291" s="9">
        <f t="shared" si="1517"/>
        <v>1.3083874355392926</v>
      </c>
      <c r="HE291" s="8">
        <v>14</v>
      </c>
      <c r="HF291" s="8">
        <v>2</v>
      </c>
      <c r="HG291" s="8">
        <v>56</v>
      </c>
      <c r="HH291" s="8">
        <v>14</v>
      </c>
      <c r="HI291" s="8">
        <v>5</v>
      </c>
      <c r="HJ291" s="9">
        <f t="shared" si="1518"/>
        <v>7</v>
      </c>
      <c r="HK291" s="10">
        <f t="shared" si="1519"/>
        <v>1</v>
      </c>
      <c r="HL291" s="8">
        <v>12</v>
      </c>
      <c r="HM291" s="8">
        <v>5</v>
      </c>
      <c r="HN291" s="11">
        <f t="shared" si="1520"/>
        <v>0.41666666666666669</v>
      </c>
    </row>
    <row r="292" spans="1:222" x14ac:dyDescent="0.3">
      <c r="A292" s="12" t="s">
        <v>295</v>
      </c>
      <c r="B292" s="12" t="s">
        <v>297</v>
      </c>
      <c r="C292" s="13" t="s">
        <v>257</v>
      </c>
      <c r="D292" s="13">
        <v>2025</v>
      </c>
      <c r="E292" s="13">
        <v>5</v>
      </c>
      <c r="F292" s="13" t="s">
        <v>260</v>
      </c>
      <c r="G292" s="13" t="s">
        <v>259</v>
      </c>
      <c r="H292" s="14">
        <v>28311</v>
      </c>
      <c r="I292" s="14">
        <v>9196</v>
      </c>
      <c r="J292" s="14">
        <v>23</v>
      </c>
      <c r="K292" s="14">
        <v>55</v>
      </c>
      <c r="L292" s="14">
        <v>4</v>
      </c>
      <c r="M292" s="15">
        <f t="shared" si="1461"/>
        <v>9278</v>
      </c>
      <c r="N292" s="14">
        <v>6278.8000000000302</v>
      </c>
      <c r="O292" s="14">
        <v>95.4</v>
      </c>
      <c r="P292" s="14">
        <v>7748.5</v>
      </c>
      <c r="Q292" s="14">
        <v>234.7</v>
      </c>
      <c r="R292" s="15">
        <f t="shared" si="1462"/>
        <v>14357.400000000031</v>
      </c>
      <c r="S292" s="15">
        <f t="shared" si="1463"/>
        <v>23635.400000000031</v>
      </c>
      <c r="T292" s="14">
        <v>4675.5999999999704</v>
      </c>
      <c r="U292" s="16">
        <f t="shared" si="1464"/>
        <v>0.16515135459715199</v>
      </c>
      <c r="V292" s="14">
        <v>62.5</v>
      </c>
      <c r="W292" s="17">
        <f t="shared" si="1465"/>
        <v>2.2076224788951291E-3</v>
      </c>
      <c r="X292" s="14">
        <v>0</v>
      </c>
      <c r="Y292" s="17">
        <f t="shared" si="1466"/>
        <v>0</v>
      </c>
      <c r="Z292" s="14">
        <v>0</v>
      </c>
      <c r="AA292" s="17">
        <f t="shared" si="1467"/>
        <v>0</v>
      </c>
      <c r="AB292" s="14">
        <v>0</v>
      </c>
      <c r="AC292" s="17">
        <f t="shared" si="1468"/>
        <v>0</v>
      </c>
      <c r="AD292" s="14">
        <v>0</v>
      </c>
      <c r="AE292" s="17">
        <f t="shared" si="1469"/>
        <v>0</v>
      </c>
      <c r="AF292" s="14">
        <v>0</v>
      </c>
      <c r="AG292" s="17">
        <f t="shared" si="1470"/>
        <v>0</v>
      </c>
      <c r="AH292" s="14">
        <v>1625000</v>
      </c>
      <c r="AI292" s="15">
        <f t="shared" si="1471"/>
        <v>57.398184451273359</v>
      </c>
      <c r="AJ292" s="14">
        <v>128.86000000000001</v>
      </c>
      <c r="AK292" s="17">
        <f t="shared" si="1472"/>
        <v>4.5515877220868219E-3</v>
      </c>
      <c r="AL292" s="14">
        <v>66825.047739999995</v>
      </c>
      <c r="AM292" s="15">
        <f t="shared" si="1473"/>
        <v>2.3603916407050263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5">
        <f t="shared" si="1474"/>
        <v>1691825.0477400001</v>
      </c>
      <c r="AV292" s="15">
        <f t="shared" si="1475"/>
        <v>59.758576091978384</v>
      </c>
      <c r="AW292" s="15">
        <f t="shared" si="1476"/>
        <v>71.580131825143553</v>
      </c>
      <c r="AX292" s="14">
        <v>7</v>
      </c>
      <c r="AY292" s="15">
        <f t="shared" si="1477"/>
        <v>2.9670446116350537</v>
      </c>
      <c r="AZ292" s="14">
        <v>17</v>
      </c>
      <c r="BA292" s="14">
        <v>49</v>
      </c>
      <c r="BB292" s="14">
        <v>14</v>
      </c>
      <c r="BC292" s="14">
        <v>13</v>
      </c>
      <c r="BD292" s="14">
        <v>0</v>
      </c>
      <c r="BE292" s="15">
        <f t="shared" si="1478"/>
        <v>13</v>
      </c>
      <c r="BF292" s="15">
        <f t="shared" si="1479"/>
        <v>50</v>
      </c>
      <c r="BG292" s="14">
        <v>2</v>
      </c>
      <c r="BH292" s="14">
        <v>0</v>
      </c>
      <c r="BI292" s="14">
        <v>0</v>
      </c>
      <c r="BJ292" s="14">
        <v>0</v>
      </c>
      <c r="BK292" s="15">
        <f t="shared" si="1480"/>
        <v>0</v>
      </c>
      <c r="BL292" s="15">
        <f t="shared" si="1481"/>
        <v>2</v>
      </c>
      <c r="BM292" s="14">
        <v>5</v>
      </c>
      <c r="BN292" s="14">
        <v>0</v>
      </c>
      <c r="BO292" s="14">
        <v>0</v>
      </c>
      <c r="BP292" s="14">
        <v>0</v>
      </c>
      <c r="BQ292" s="15">
        <f t="shared" si="1482"/>
        <v>0</v>
      </c>
      <c r="BR292" s="15">
        <f t="shared" si="1483"/>
        <v>5</v>
      </c>
      <c r="BS292" s="14">
        <v>0</v>
      </c>
      <c r="BT292" s="14">
        <v>0</v>
      </c>
      <c r="BU292" s="14">
        <v>0</v>
      </c>
      <c r="BV292" s="14">
        <v>0</v>
      </c>
      <c r="BW292" s="15">
        <f t="shared" si="1484"/>
        <v>0</v>
      </c>
      <c r="BX292" s="15">
        <f t="shared" si="1485"/>
        <v>0</v>
      </c>
      <c r="BY292" s="15">
        <f t="shared" si="1486"/>
        <v>56</v>
      </c>
      <c r="BZ292" s="15">
        <f t="shared" si="1487"/>
        <v>14</v>
      </c>
      <c r="CA292" s="15">
        <f t="shared" si="1488"/>
        <v>13</v>
      </c>
      <c r="CB292" s="15">
        <f t="shared" si="1489"/>
        <v>57</v>
      </c>
      <c r="CC292" s="14">
        <v>37</v>
      </c>
      <c r="CD292" s="14">
        <v>725</v>
      </c>
      <c r="CE292" s="14">
        <v>10</v>
      </c>
      <c r="CF292" s="14">
        <v>5</v>
      </c>
      <c r="CG292" s="14">
        <v>3</v>
      </c>
      <c r="CH292" s="15">
        <f t="shared" si="1490"/>
        <v>743</v>
      </c>
      <c r="CI292" s="14">
        <v>859</v>
      </c>
      <c r="CJ292" s="14">
        <v>4</v>
      </c>
      <c r="CK292" s="14">
        <v>1</v>
      </c>
      <c r="CL292" s="14">
        <v>2</v>
      </c>
      <c r="CM292" s="15">
        <f t="shared" si="1491"/>
        <v>866</v>
      </c>
      <c r="CN292" s="14">
        <v>391</v>
      </c>
      <c r="CO292" s="14">
        <v>28</v>
      </c>
      <c r="CP292" s="14">
        <v>29</v>
      </c>
      <c r="CQ292" s="14">
        <v>2</v>
      </c>
      <c r="CR292" s="15">
        <f t="shared" si="1492"/>
        <v>450</v>
      </c>
      <c r="CS292" s="15">
        <f t="shared" si="1493"/>
        <v>1316</v>
      </c>
      <c r="CT292" s="14">
        <v>2059</v>
      </c>
      <c r="CU292" s="14">
        <v>10637</v>
      </c>
      <c r="CV292" s="14">
        <v>10502.9</v>
      </c>
      <c r="CW292" s="16">
        <f t="shared" si="1494"/>
        <v>0.98739306195355825</v>
      </c>
      <c r="CX292" s="14">
        <v>0</v>
      </c>
      <c r="CY292" s="14">
        <v>0</v>
      </c>
      <c r="CZ292" s="14">
        <v>0</v>
      </c>
      <c r="DA292" s="14">
        <v>0</v>
      </c>
      <c r="DB292" s="15">
        <f t="shared" si="1495"/>
        <v>0</v>
      </c>
      <c r="DC292" s="14">
        <v>0</v>
      </c>
      <c r="DD292" s="14">
        <v>0</v>
      </c>
      <c r="DE292" s="14">
        <v>0</v>
      </c>
      <c r="DF292" s="14">
        <v>0</v>
      </c>
      <c r="DG292" s="15">
        <f t="shared" si="1496"/>
        <v>0</v>
      </c>
      <c r="DH292" s="14">
        <v>0</v>
      </c>
      <c r="DI292" s="14">
        <v>0</v>
      </c>
      <c r="DJ292" s="14">
        <v>0</v>
      </c>
      <c r="DK292" s="14">
        <v>0</v>
      </c>
      <c r="DL292" s="15">
        <f t="shared" si="1497"/>
        <v>0</v>
      </c>
      <c r="DM292" s="14">
        <v>0</v>
      </c>
      <c r="DN292" s="14">
        <v>34</v>
      </c>
      <c r="DO292" s="14">
        <v>10</v>
      </c>
      <c r="DP292" s="14">
        <v>0</v>
      </c>
      <c r="DQ292" s="15">
        <f t="shared" si="1498"/>
        <v>24</v>
      </c>
      <c r="DR292" s="15">
        <f t="shared" si="1499"/>
        <v>0</v>
      </c>
      <c r="DS292" s="15">
        <f t="shared" si="1500"/>
        <v>34</v>
      </c>
      <c r="DT292" s="15">
        <f t="shared" si="1501"/>
        <v>10</v>
      </c>
      <c r="DU292" s="15">
        <f t="shared" si="1502"/>
        <v>0</v>
      </c>
      <c r="DV292" s="15">
        <f t="shared" si="1503"/>
        <v>24</v>
      </c>
      <c r="DW292" s="14">
        <v>0</v>
      </c>
      <c r="DX292" s="14">
        <v>0</v>
      </c>
      <c r="DY292" s="14">
        <v>0</v>
      </c>
      <c r="DZ292" s="14">
        <v>0</v>
      </c>
      <c r="EA292" s="14">
        <v>1</v>
      </c>
      <c r="EB292" s="14">
        <v>1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5">
        <f t="shared" si="1504"/>
        <v>2</v>
      </c>
      <c r="FH292" s="14">
        <v>0</v>
      </c>
      <c r="FI292" s="14">
        <v>0</v>
      </c>
      <c r="FJ292" s="14">
        <v>20</v>
      </c>
      <c r="FK292" s="14">
        <v>48</v>
      </c>
      <c r="FL292" s="14">
        <v>0</v>
      </c>
      <c r="FM292" s="14">
        <v>0</v>
      </c>
      <c r="FN292" s="14">
        <v>0</v>
      </c>
      <c r="FO292" s="14">
        <v>0</v>
      </c>
      <c r="FP292" s="14">
        <v>0</v>
      </c>
      <c r="FQ292" s="15">
        <f t="shared" si="1505"/>
        <v>0</v>
      </c>
      <c r="FR292" s="14">
        <v>13643201.24</v>
      </c>
      <c r="FS292" s="14">
        <v>0</v>
      </c>
      <c r="FT292" s="14">
        <v>96000</v>
      </c>
      <c r="FU292" s="14">
        <v>26000</v>
      </c>
      <c r="FV292" s="15">
        <f t="shared" si="1506"/>
        <v>13765201.24</v>
      </c>
      <c r="FW292" s="14">
        <v>8380157.9400000004</v>
      </c>
      <c r="FX292" s="14">
        <v>20400</v>
      </c>
      <c r="FY292" s="14">
        <v>1339700</v>
      </c>
      <c r="FZ292" s="14">
        <v>41551028</v>
      </c>
      <c r="GA292" s="15">
        <f t="shared" si="1507"/>
        <v>51291285.939999998</v>
      </c>
      <c r="GB292" s="15">
        <f t="shared" si="1508"/>
        <v>65056487.18</v>
      </c>
      <c r="GC292" s="14">
        <v>8194847.6399999997</v>
      </c>
      <c r="GD292" s="14">
        <v>4399.4399999999996</v>
      </c>
      <c r="GE292" s="14">
        <v>159928.71</v>
      </c>
      <c r="GF292" s="14">
        <v>8410.99</v>
      </c>
      <c r="GG292" s="15">
        <f t="shared" si="1509"/>
        <v>8367586.7800000003</v>
      </c>
      <c r="GH292" s="14">
        <v>7832757.5899999999</v>
      </c>
      <c r="GI292" s="14">
        <v>20271.189999999999</v>
      </c>
      <c r="GJ292" s="14">
        <v>23550668.120000001</v>
      </c>
      <c r="GK292" s="14">
        <v>1113500</v>
      </c>
      <c r="GL292" s="15">
        <f t="shared" si="1510"/>
        <v>32517196.900000002</v>
      </c>
      <c r="GM292" s="15">
        <f t="shared" si="1511"/>
        <v>40884783.68</v>
      </c>
      <c r="GN292" s="14">
        <v>467287.86</v>
      </c>
      <c r="GO292" s="14">
        <v>382.56</v>
      </c>
      <c r="GP292" s="14">
        <v>13574.56</v>
      </c>
      <c r="GQ292" s="14">
        <v>4637.34</v>
      </c>
      <c r="GR292" s="15">
        <f t="shared" si="1512"/>
        <v>485882.32</v>
      </c>
      <c r="GS292" s="14">
        <v>767087</v>
      </c>
      <c r="GT292" s="14">
        <v>1786</v>
      </c>
      <c r="GU292" s="14">
        <v>3572</v>
      </c>
      <c r="GV292" s="14">
        <v>893</v>
      </c>
      <c r="GW292" s="15">
        <f t="shared" si="1513"/>
        <v>773338</v>
      </c>
      <c r="GX292" s="15">
        <f t="shared" si="1514"/>
        <v>42144004</v>
      </c>
      <c r="GY292" s="14">
        <v>93191268.359999895</v>
      </c>
      <c r="GZ292" s="14">
        <v>0</v>
      </c>
      <c r="HA292" s="9">
        <f t="shared" si="1454"/>
        <v>93191268.359999895</v>
      </c>
      <c r="HB292" s="15">
        <f t="shared" si="1515"/>
        <v>4.0143908674173438E-2</v>
      </c>
      <c r="HC292" s="16">
        <f t="shared" si="1516"/>
        <v>0.48070607200572119</v>
      </c>
      <c r="HD292" s="15">
        <f t="shared" si="1517"/>
        <v>1.5436712463296083</v>
      </c>
      <c r="HE292" s="14">
        <v>14</v>
      </c>
      <c r="HF292" s="14">
        <v>2</v>
      </c>
      <c r="HG292" s="14">
        <v>57</v>
      </c>
      <c r="HH292" s="14">
        <v>14</v>
      </c>
      <c r="HI292" s="14">
        <v>5</v>
      </c>
      <c r="HJ292" s="15">
        <f t="shared" si="1518"/>
        <v>7</v>
      </c>
      <c r="HK292" s="16">
        <f t="shared" si="1519"/>
        <v>1</v>
      </c>
      <c r="HL292" s="14">
        <v>11</v>
      </c>
      <c r="HM292" s="14">
        <v>5</v>
      </c>
      <c r="HN292" s="17">
        <f t="shared" si="1520"/>
        <v>0.45454545454545453</v>
      </c>
    </row>
    <row r="293" spans="1:222" x14ac:dyDescent="0.3">
      <c r="A293" s="6" t="s">
        <v>295</v>
      </c>
      <c r="B293" s="6" t="s">
        <v>297</v>
      </c>
      <c r="C293" s="7" t="s">
        <v>257</v>
      </c>
      <c r="D293" s="7">
        <v>2025</v>
      </c>
      <c r="E293" s="7">
        <v>6</v>
      </c>
      <c r="F293" s="7" t="s">
        <v>261</v>
      </c>
      <c r="G293" s="7" t="s">
        <v>259</v>
      </c>
      <c r="H293" s="8">
        <v>26129</v>
      </c>
      <c r="I293" s="8">
        <v>7031</v>
      </c>
      <c r="J293" s="8">
        <v>66</v>
      </c>
      <c r="K293" s="8">
        <v>30</v>
      </c>
      <c r="L293" s="8">
        <v>7</v>
      </c>
      <c r="M293" s="9">
        <f t="shared" si="1461"/>
        <v>7134</v>
      </c>
      <c r="N293" s="8">
        <v>12018.2</v>
      </c>
      <c r="O293" s="8">
        <v>98.3</v>
      </c>
      <c r="P293" s="8">
        <v>2357.3000000000002</v>
      </c>
      <c r="Q293" s="8">
        <v>1376</v>
      </c>
      <c r="R293" s="9">
        <f t="shared" si="1462"/>
        <v>15849.8</v>
      </c>
      <c r="S293" s="9">
        <f t="shared" si="1463"/>
        <v>22983.8</v>
      </c>
      <c r="T293" s="8">
        <v>3145.2</v>
      </c>
      <c r="U293" s="10">
        <f t="shared" si="1464"/>
        <v>0.12037200045925982</v>
      </c>
      <c r="V293" s="8">
        <v>50</v>
      </c>
      <c r="W293" s="11">
        <f t="shared" si="1465"/>
        <v>1.9135826093612462E-3</v>
      </c>
      <c r="X293" s="8">
        <v>25</v>
      </c>
      <c r="Y293" s="11">
        <f t="shared" si="1466"/>
        <v>9.5679130468062309E-4</v>
      </c>
      <c r="Z293" s="8">
        <v>12.5</v>
      </c>
      <c r="AA293" s="11">
        <f t="shared" si="1467"/>
        <v>4.7839565234031155E-4</v>
      </c>
      <c r="AB293" s="8">
        <v>0</v>
      </c>
      <c r="AC293" s="11">
        <f t="shared" si="1468"/>
        <v>0</v>
      </c>
      <c r="AD293" s="8">
        <v>0</v>
      </c>
      <c r="AE293" s="11">
        <f t="shared" si="1469"/>
        <v>0</v>
      </c>
      <c r="AF293" s="8">
        <v>0</v>
      </c>
      <c r="AG293" s="11">
        <f t="shared" si="1470"/>
        <v>0</v>
      </c>
      <c r="AH293" s="8">
        <v>1668950</v>
      </c>
      <c r="AI293" s="9">
        <f t="shared" si="1471"/>
        <v>63.873473917869035</v>
      </c>
      <c r="AJ293" s="8">
        <v>106.31</v>
      </c>
      <c r="AK293" s="11">
        <f t="shared" si="1472"/>
        <v>4.0686593440238819E-3</v>
      </c>
      <c r="AL293" s="8">
        <v>60661.929790000002</v>
      </c>
      <c r="AM293" s="9">
        <f t="shared" si="1473"/>
        <v>2.3216322779287384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9">
        <f t="shared" si="1474"/>
        <v>1729611.92979</v>
      </c>
      <c r="AV293" s="9">
        <f t="shared" si="1475"/>
        <v>66.195106195797777</v>
      </c>
      <c r="AW293" s="9">
        <f t="shared" si="1476"/>
        <v>75.253523342093132</v>
      </c>
      <c r="AX293" s="8">
        <v>7</v>
      </c>
      <c r="AY293" s="9">
        <f t="shared" si="1477"/>
        <v>3.2148187837268933</v>
      </c>
      <c r="AZ293" s="8">
        <v>17</v>
      </c>
      <c r="BA293" s="8">
        <v>50</v>
      </c>
      <c r="BB293" s="8">
        <v>16</v>
      </c>
      <c r="BC293" s="8">
        <v>11</v>
      </c>
      <c r="BD293" s="8">
        <v>0</v>
      </c>
      <c r="BE293" s="9">
        <f t="shared" si="1478"/>
        <v>11</v>
      </c>
      <c r="BF293" s="9">
        <f t="shared" si="1479"/>
        <v>55</v>
      </c>
      <c r="BG293" s="8">
        <v>2</v>
      </c>
      <c r="BH293" s="8">
        <v>0</v>
      </c>
      <c r="BI293" s="8">
        <v>0</v>
      </c>
      <c r="BJ293" s="8">
        <v>0</v>
      </c>
      <c r="BK293" s="9">
        <f t="shared" si="1480"/>
        <v>0</v>
      </c>
      <c r="BL293" s="9">
        <f t="shared" si="1481"/>
        <v>2</v>
      </c>
      <c r="BM293" s="8">
        <v>5</v>
      </c>
      <c r="BN293" s="8">
        <v>0</v>
      </c>
      <c r="BO293" s="8">
        <v>1</v>
      </c>
      <c r="BP293" s="8">
        <v>0</v>
      </c>
      <c r="BQ293" s="9">
        <f t="shared" si="1482"/>
        <v>1</v>
      </c>
      <c r="BR293" s="9">
        <f t="shared" si="1483"/>
        <v>4</v>
      </c>
      <c r="BS293" s="8">
        <v>0</v>
      </c>
      <c r="BT293" s="8">
        <v>0</v>
      </c>
      <c r="BU293" s="8">
        <v>0</v>
      </c>
      <c r="BV293" s="8">
        <v>0</v>
      </c>
      <c r="BW293" s="9">
        <f t="shared" si="1484"/>
        <v>0</v>
      </c>
      <c r="BX293" s="9">
        <f t="shared" si="1485"/>
        <v>0</v>
      </c>
      <c r="BY293" s="9">
        <f t="shared" si="1486"/>
        <v>57</v>
      </c>
      <c r="BZ293" s="9">
        <f t="shared" si="1487"/>
        <v>16</v>
      </c>
      <c r="CA293" s="9">
        <f t="shared" si="1488"/>
        <v>12</v>
      </c>
      <c r="CB293" s="9">
        <f t="shared" si="1489"/>
        <v>61</v>
      </c>
      <c r="CC293" s="8">
        <v>19</v>
      </c>
      <c r="CD293" s="8">
        <v>723</v>
      </c>
      <c r="CE293" s="8">
        <v>8</v>
      </c>
      <c r="CF293" s="8">
        <v>3</v>
      </c>
      <c r="CG293" s="8">
        <v>3</v>
      </c>
      <c r="CH293" s="9">
        <f t="shared" si="1490"/>
        <v>737</v>
      </c>
      <c r="CI293" s="8">
        <v>857</v>
      </c>
      <c r="CJ293" s="8">
        <v>4</v>
      </c>
      <c r="CK293" s="8">
        <v>2</v>
      </c>
      <c r="CL293" s="8">
        <v>2</v>
      </c>
      <c r="CM293" s="9">
        <f t="shared" si="1491"/>
        <v>865</v>
      </c>
      <c r="CN293" s="8">
        <v>406</v>
      </c>
      <c r="CO293" s="8">
        <v>30</v>
      </c>
      <c r="CP293" s="8">
        <v>31</v>
      </c>
      <c r="CQ293" s="8">
        <v>2</v>
      </c>
      <c r="CR293" s="9">
        <f t="shared" si="1492"/>
        <v>469</v>
      </c>
      <c r="CS293" s="9">
        <f t="shared" si="1493"/>
        <v>1334</v>
      </c>
      <c r="CT293" s="8">
        <v>2071</v>
      </c>
      <c r="CU293" s="8">
        <v>10646</v>
      </c>
      <c r="CV293" s="8">
        <v>10550.3</v>
      </c>
      <c r="CW293" s="10">
        <f t="shared" si="1494"/>
        <v>0.99101070824722892</v>
      </c>
      <c r="CX293" s="8">
        <v>0</v>
      </c>
      <c r="CY293" s="8">
        <v>0</v>
      </c>
      <c r="CZ293" s="8">
        <v>0</v>
      </c>
      <c r="DA293" s="8">
        <v>0</v>
      </c>
      <c r="DB293" s="9">
        <f t="shared" si="1495"/>
        <v>0</v>
      </c>
      <c r="DC293" s="8">
        <v>0</v>
      </c>
      <c r="DD293" s="8">
        <v>0</v>
      </c>
      <c r="DE293" s="8">
        <v>0</v>
      </c>
      <c r="DF293" s="8">
        <v>0</v>
      </c>
      <c r="DG293" s="9">
        <f t="shared" si="1496"/>
        <v>0</v>
      </c>
      <c r="DH293" s="8">
        <v>0</v>
      </c>
      <c r="DI293" s="8">
        <v>0</v>
      </c>
      <c r="DJ293" s="8">
        <v>0</v>
      </c>
      <c r="DK293" s="8">
        <v>0</v>
      </c>
      <c r="DL293" s="9">
        <f t="shared" si="1497"/>
        <v>0</v>
      </c>
      <c r="DM293" s="8">
        <v>24</v>
      </c>
      <c r="DN293" s="8">
        <v>0</v>
      </c>
      <c r="DO293" s="8">
        <v>14</v>
      </c>
      <c r="DP293" s="8">
        <v>0</v>
      </c>
      <c r="DQ293" s="9">
        <f t="shared" si="1498"/>
        <v>10</v>
      </c>
      <c r="DR293" s="9">
        <f t="shared" si="1499"/>
        <v>24</v>
      </c>
      <c r="DS293" s="9">
        <f t="shared" si="1500"/>
        <v>0</v>
      </c>
      <c r="DT293" s="9">
        <f t="shared" si="1501"/>
        <v>14</v>
      </c>
      <c r="DU293" s="9">
        <f t="shared" si="1502"/>
        <v>0</v>
      </c>
      <c r="DV293" s="9">
        <f t="shared" si="1503"/>
        <v>10</v>
      </c>
      <c r="DW293" s="8">
        <v>18</v>
      </c>
      <c r="DX293" s="8">
        <v>7</v>
      </c>
      <c r="DY293" s="8">
        <v>9</v>
      </c>
      <c r="DZ293" s="8">
        <v>0</v>
      </c>
      <c r="EA293" s="8">
        <v>2</v>
      </c>
      <c r="EB293" s="8">
        <v>5</v>
      </c>
      <c r="EC293" s="8">
        <v>1</v>
      </c>
      <c r="ED293" s="8">
        <v>1</v>
      </c>
      <c r="EE293" s="8">
        <v>0</v>
      </c>
      <c r="EF293" s="8">
        <v>0</v>
      </c>
      <c r="EG293" s="8">
        <v>1</v>
      </c>
      <c r="EH293" s="8">
        <v>0</v>
      </c>
      <c r="EI293" s="8">
        <v>0</v>
      </c>
      <c r="EJ293" s="8">
        <v>2</v>
      </c>
      <c r="EK293" s="8">
        <v>1</v>
      </c>
      <c r="EL293" s="8">
        <v>0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8">
        <v>0</v>
      </c>
      <c r="FC293" s="8">
        <v>0</v>
      </c>
      <c r="FD293" s="8">
        <v>0</v>
      </c>
      <c r="FE293" s="8">
        <v>0</v>
      </c>
      <c r="FF293" s="8">
        <v>0</v>
      </c>
      <c r="FG293" s="9">
        <f t="shared" si="1504"/>
        <v>47</v>
      </c>
      <c r="FH293" s="8">
        <v>0</v>
      </c>
      <c r="FI293" s="8">
        <v>0</v>
      </c>
      <c r="FJ293" s="8">
        <v>22</v>
      </c>
      <c r="FK293" s="8">
        <v>29</v>
      </c>
      <c r="FL293" s="8">
        <v>0</v>
      </c>
      <c r="FM293" s="8">
        <v>0</v>
      </c>
      <c r="FN293" s="8">
        <v>0</v>
      </c>
      <c r="FO293" s="8">
        <v>0</v>
      </c>
      <c r="FP293" s="8">
        <v>0</v>
      </c>
      <c r="FQ293" s="9">
        <f t="shared" si="1505"/>
        <v>0</v>
      </c>
      <c r="FR293" s="8">
        <v>9403880.4899999984</v>
      </c>
      <c r="FS293" s="8">
        <v>40000</v>
      </c>
      <c r="FT293" s="8">
        <v>0</v>
      </c>
      <c r="FU293" s="8">
        <v>13000</v>
      </c>
      <c r="FV293" s="9">
        <f t="shared" si="1506"/>
        <v>9456880.4899999984</v>
      </c>
      <c r="FW293" s="8">
        <v>32095778</v>
      </c>
      <c r="FX293" s="8">
        <v>20900</v>
      </c>
      <c r="FY293" s="8">
        <v>6549500</v>
      </c>
      <c r="FZ293" s="8">
        <v>8394700</v>
      </c>
      <c r="GA293" s="9">
        <f t="shared" si="1507"/>
        <v>47060878</v>
      </c>
      <c r="GB293" s="9">
        <f t="shared" si="1508"/>
        <v>56517758.489999995</v>
      </c>
      <c r="GC293" s="8">
        <v>6197359.2000000002</v>
      </c>
      <c r="GD293" s="8">
        <v>12624.48</v>
      </c>
      <c r="GE293" s="8">
        <v>71606.38</v>
      </c>
      <c r="GF293" s="8">
        <v>16821.98</v>
      </c>
      <c r="GG293" s="9">
        <f t="shared" si="1509"/>
        <v>6298412.040000001</v>
      </c>
      <c r="GH293" s="8">
        <v>29473264.609999999</v>
      </c>
      <c r="GI293" s="8">
        <v>20900</v>
      </c>
      <c r="GJ293" s="8">
        <v>7164700</v>
      </c>
      <c r="GK293" s="8">
        <v>6507960.5800000001</v>
      </c>
      <c r="GL293" s="9">
        <f t="shared" si="1510"/>
        <v>43166825.189999998</v>
      </c>
      <c r="GM293" s="9">
        <f t="shared" si="1511"/>
        <v>49465237.229999997</v>
      </c>
      <c r="GN293" s="8">
        <v>466198</v>
      </c>
      <c r="GO293" s="8">
        <v>382.56</v>
      </c>
      <c r="GP293" s="8">
        <v>13574.56</v>
      </c>
      <c r="GQ293" s="8">
        <v>9274.68</v>
      </c>
      <c r="GR293" s="9">
        <f t="shared" si="1512"/>
        <v>489429.8</v>
      </c>
      <c r="GS293" s="8">
        <v>765301</v>
      </c>
      <c r="GT293" s="8">
        <v>1786</v>
      </c>
      <c r="GU293" s="8">
        <v>3572</v>
      </c>
      <c r="GV293" s="8">
        <v>1786</v>
      </c>
      <c r="GW293" s="9">
        <f t="shared" si="1513"/>
        <v>772445</v>
      </c>
      <c r="GX293" s="9">
        <f t="shared" si="1514"/>
        <v>50727112.029999994</v>
      </c>
      <c r="GY293" s="8">
        <v>91054226.45999983</v>
      </c>
      <c r="GZ293" s="8">
        <v>0</v>
      </c>
      <c r="HA293" s="9">
        <f t="shared" si="1454"/>
        <v>91054226.45999983</v>
      </c>
      <c r="HB293" s="9">
        <f t="shared" si="1515"/>
        <v>3.4096400535617091E-2</v>
      </c>
      <c r="HC293" s="10">
        <f t="shared" si="1516"/>
        <v>0.39862621619971744</v>
      </c>
      <c r="HD293" s="9">
        <f t="shared" si="1517"/>
        <v>1.1141528904025804</v>
      </c>
      <c r="HE293" s="8">
        <v>16</v>
      </c>
      <c r="HF293" s="8">
        <v>2</v>
      </c>
      <c r="HG293" s="8">
        <v>61</v>
      </c>
      <c r="HH293" s="8">
        <v>16</v>
      </c>
      <c r="HI293" s="8">
        <v>5</v>
      </c>
      <c r="HJ293" s="9">
        <f t="shared" si="1518"/>
        <v>7</v>
      </c>
      <c r="HK293" s="10">
        <f t="shared" si="1519"/>
        <v>1</v>
      </c>
      <c r="HL293" s="8">
        <v>12</v>
      </c>
      <c r="HM293" s="8">
        <v>6</v>
      </c>
      <c r="HN293" s="11">
        <f t="shared" si="1520"/>
        <v>0.5</v>
      </c>
    </row>
    <row r="294" spans="1:222" x14ac:dyDescent="0.3">
      <c r="A294" s="12" t="s">
        <v>295</v>
      </c>
      <c r="B294" s="12" t="s">
        <v>297</v>
      </c>
      <c r="C294" s="13" t="s">
        <v>257</v>
      </c>
      <c r="D294" s="13">
        <v>2025</v>
      </c>
      <c r="E294" s="13">
        <v>7</v>
      </c>
      <c r="F294" s="13" t="s">
        <v>262</v>
      </c>
      <c r="G294" s="13" t="s">
        <v>263</v>
      </c>
      <c r="H294" s="14">
        <v>28006</v>
      </c>
      <c r="I294" s="14">
        <v>8084</v>
      </c>
      <c r="J294" s="14">
        <v>37</v>
      </c>
      <c r="K294" s="14">
        <v>60</v>
      </c>
      <c r="L294" s="14">
        <v>8</v>
      </c>
      <c r="M294" s="15">
        <f t="shared" si="1461"/>
        <v>8189</v>
      </c>
      <c r="N294" s="14">
        <v>4105.5</v>
      </c>
      <c r="O294" s="14">
        <v>93.7</v>
      </c>
      <c r="P294" s="14">
        <v>8290.2999999999993</v>
      </c>
      <c r="Q294" s="14">
        <v>250.6</v>
      </c>
      <c r="R294" s="15">
        <f t="shared" si="1462"/>
        <v>12740.1</v>
      </c>
      <c r="S294" s="15">
        <f t="shared" si="1463"/>
        <v>20929.099999999999</v>
      </c>
      <c r="T294" s="14">
        <v>7076.8999999999896</v>
      </c>
      <c r="U294" s="16">
        <f t="shared" si="1464"/>
        <v>0.25269228022566553</v>
      </c>
      <c r="V294" s="14">
        <v>52</v>
      </c>
      <c r="W294" s="17">
        <f t="shared" si="1465"/>
        <v>1.8567449832178819E-3</v>
      </c>
      <c r="X294" s="14">
        <v>0</v>
      </c>
      <c r="Y294" s="17">
        <f t="shared" si="1466"/>
        <v>0</v>
      </c>
      <c r="Z294" s="14">
        <v>0</v>
      </c>
      <c r="AA294" s="17">
        <f t="shared" si="1467"/>
        <v>0</v>
      </c>
      <c r="AB294" s="14">
        <v>0</v>
      </c>
      <c r="AC294" s="17">
        <f t="shared" si="1468"/>
        <v>0</v>
      </c>
      <c r="AD294" s="14">
        <v>0</v>
      </c>
      <c r="AE294" s="17">
        <f t="shared" si="1469"/>
        <v>0</v>
      </c>
      <c r="AF294" s="14">
        <v>0</v>
      </c>
      <c r="AG294" s="17">
        <f t="shared" si="1470"/>
        <v>0</v>
      </c>
      <c r="AH294" s="14">
        <v>1352000</v>
      </c>
      <c r="AI294" s="15">
        <f t="shared" si="1471"/>
        <v>48.275369563664931</v>
      </c>
      <c r="AJ294" s="14">
        <v>91.66</v>
      </c>
      <c r="AK294" s="17">
        <f t="shared" si="1472"/>
        <v>3.2728700992644432E-3</v>
      </c>
      <c r="AL294" s="14">
        <v>56657.952940000003</v>
      </c>
      <c r="AM294" s="15">
        <f t="shared" si="1473"/>
        <v>2.0230648053988434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5">
        <f t="shared" si="1474"/>
        <v>1408657.95294</v>
      </c>
      <c r="AV294" s="15">
        <f t="shared" si="1475"/>
        <v>50.29843436906377</v>
      </c>
      <c r="AW294" s="15">
        <f t="shared" si="1476"/>
        <v>67.306188653119349</v>
      </c>
      <c r="AX294" s="14">
        <v>7</v>
      </c>
      <c r="AY294" s="15">
        <f t="shared" si="1477"/>
        <v>2.9993572805827324</v>
      </c>
      <c r="AZ294" s="14">
        <v>17</v>
      </c>
      <c r="BA294" s="14">
        <v>55</v>
      </c>
      <c r="BB294" s="14">
        <v>19</v>
      </c>
      <c r="BC294" s="14">
        <v>17</v>
      </c>
      <c r="BD294" s="14">
        <v>0</v>
      </c>
      <c r="BE294" s="15">
        <f t="shared" si="1478"/>
        <v>17</v>
      </c>
      <c r="BF294" s="15">
        <f t="shared" si="1479"/>
        <v>57</v>
      </c>
      <c r="BG294" s="14">
        <v>2</v>
      </c>
      <c r="BH294" s="14">
        <v>0</v>
      </c>
      <c r="BI294" s="14">
        <v>0</v>
      </c>
      <c r="BJ294" s="14">
        <v>0</v>
      </c>
      <c r="BK294" s="15">
        <f t="shared" si="1480"/>
        <v>0</v>
      </c>
      <c r="BL294" s="15">
        <f t="shared" si="1481"/>
        <v>2</v>
      </c>
      <c r="BM294" s="14">
        <v>4</v>
      </c>
      <c r="BN294" s="14">
        <v>0</v>
      </c>
      <c r="BO294" s="14">
        <v>0</v>
      </c>
      <c r="BP294" s="14">
        <v>0</v>
      </c>
      <c r="BQ294" s="15">
        <f t="shared" si="1482"/>
        <v>0</v>
      </c>
      <c r="BR294" s="15">
        <f t="shared" si="1483"/>
        <v>4</v>
      </c>
      <c r="BS294" s="14">
        <v>0</v>
      </c>
      <c r="BT294" s="14">
        <v>0</v>
      </c>
      <c r="BU294" s="14">
        <v>0</v>
      </c>
      <c r="BV294" s="14">
        <v>0</v>
      </c>
      <c r="BW294" s="15">
        <f t="shared" si="1484"/>
        <v>0</v>
      </c>
      <c r="BX294" s="15">
        <f t="shared" si="1485"/>
        <v>0</v>
      </c>
      <c r="BY294" s="15">
        <f t="shared" si="1486"/>
        <v>61</v>
      </c>
      <c r="BZ294" s="15">
        <f t="shared" si="1487"/>
        <v>19</v>
      </c>
      <c r="CA294" s="15">
        <f t="shared" si="1488"/>
        <v>17</v>
      </c>
      <c r="CB294" s="15">
        <f t="shared" si="1489"/>
        <v>63</v>
      </c>
      <c r="CC294" s="14">
        <v>0</v>
      </c>
      <c r="CD294" s="14">
        <v>721</v>
      </c>
      <c r="CE294" s="14">
        <v>8</v>
      </c>
      <c r="CF294" s="14">
        <v>7</v>
      </c>
      <c r="CG294" s="14">
        <v>3</v>
      </c>
      <c r="CH294" s="15">
        <f t="shared" si="1490"/>
        <v>739</v>
      </c>
      <c r="CI294" s="14">
        <v>883</v>
      </c>
      <c r="CJ294" s="14">
        <v>4</v>
      </c>
      <c r="CK294" s="14">
        <v>2</v>
      </c>
      <c r="CL294" s="14">
        <v>2</v>
      </c>
      <c r="CM294" s="15">
        <f t="shared" si="1491"/>
        <v>891</v>
      </c>
      <c r="CN294" s="14">
        <v>399</v>
      </c>
      <c r="CO294" s="14">
        <v>30</v>
      </c>
      <c r="CP294" s="14">
        <v>27</v>
      </c>
      <c r="CQ294" s="14">
        <v>2</v>
      </c>
      <c r="CR294" s="15">
        <f t="shared" si="1492"/>
        <v>458</v>
      </c>
      <c r="CS294" s="15">
        <f t="shared" si="1493"/>
        <v>1349</v>
      </c>
      <c r="CT294" s="14">
        <v>2088</v>
      </c>
      <c r="CU294" s="14">
        <v>10655</v>
      </c>
      <c r="CV294" s="14">
        <v>10631.7</v>
      </c>
      <c r="CW294" s="16">
        <f t="shared" si="1494"/>
        <v>0.99781323322383864</v>
      </c>
      <c r="CX294" s="14">
        <v>0</v>
      </c>
      <c r="CY294" s="14">
        <v>2</v>
      </c>
      <c r="CZ294" s="14">
        <v>2</v>
      </c>
      <c r="DA294" s="14">
        <v>0</v>
      </c>
      <c r="DB294" s="15">
        <f t="shared" si="1495"/>
        <v>0</v>
      </c>
      <c r="DC294" s="14">
        <v>0</v>
      </c>
      <c r="DD294" s="14">
        <v>1</v>
      </c>
      <c r="DE294" s="14">
        <v>1</v>
      </c>
      <c r="DF294" s="14">
        <v>0</v>
      </c>
      <c r="DG294" s="15">
        <f t="shared" si="1496"/>
        <v>0</v>
      </c>
      <c r="DH294" s="14">
        <v>0</v>
      </c>
      <c r="DI294" s="14">
        <v>0</v>
      </c>
      <c r="DJ294" s="14">
        <v>0</v>
      </c>
      <c r="DK294" s="14">
        <v>0</v>
      </c>
      <c r="DL294" s="15">
        <f t="shared" si="1497"/>
        <v>0</v>
      </c>
      <c r="DM294" s="14">
        <v>10</v>
      </c>
      <c r="DN294" s="14">
        <v>17</v>
      </c>
      <c r="DO294" s="14">
        <v>7</v>
      </c>
      <c r="DP294" s="14">
        <v>0</v>
      </c>
      <c r="DQ294" s="15">
        <f t="shared" si="1498"/>
        <v>20</v>
      </c>
      <c r="DR294" s="15">
        <f t="shared" si="1499"/>
        <v>10</v>
      </c>
      <c r="DS294" s="15">
        <f t="shared" si="1500"/>
        <v>20</v>
      </c>
      <c r="DT294" s="15">
        <f t="shared" si="1501"/>
        <v>10</v>
      </c>
      <c r="DU294" s="15">
        <f t="shared" si="1502"/>
        <v>0</v>
      </c>
      <c r="DV294" s="15">
        <f t="shared" si="1503"/>
        <v>20</v>
      </c>
      <c r="DW294" s="14">
        <v>14</v>
      </c>
      <c r="DX294" s="14">
        <v>6</v>
      </c>
      <c r="DY294" s="14">
        <v>7</v>
      </c>
      <c r="DZ294" s="14">
        <v>2</v>
      </c>
      <c r="EA294" s="14">
        <v>3</v>
      </c>
      <c r="EB294" s="14">
        <v>3</v>
      </c>
      <c r="EC294" s="14">
        <v>0</v>
      </c>
      <c r="ED294" s="14">
        <v>2</v>
      </c>
      <c r="EE294" s="14">
        <v>0</v>
      </c>
      <c r="EF294" s="14">
        <v>0</v>
      </c>
      <c r="EG294" s="14">
        <v>0</v>
      </c>
      <c r="EH294" s="14">
        <v>0</v>
      </c>
      <c r="EI294" s="14">
        <v>0</v>
      </c>
      <c r="EJ294" s="14">
        <v>3</v>
      </c>
      <c r="EK294" s="14">
        <v>1</v>
      </c>
      <c r="EL294" s="14">
        <v>1</v>
      </c>
      <c r="EM294" s="14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5">
        <f t="shared" si="1504"/>
        <v>42</v>
      </c>
      <c r="FH294" s="14">
        <v>0</v>
      </c>
      <c r="FI294" s="14">
        <v>0</v>
      </c>
      <c r="FJ294" s="14">
        <v>22</v>
      </c>
      <c r="FK294" s="14">
        <v>36</v>
      </c>
      <c r="FL294" s="14">
        <v>0</v>
      </c>
      <c r="FM294" s="14">
        <v>0</v>
      </c>
      <c r="FN294" s="14">
        <v>0</v>
      </c>
      <c r="FO294" s="14">
        <v>0</v>
      </c>
      <c r="FP294" s="14">
        <v>0</v>
      </c>
      <c r="FQ294" s="15">
        <f t="shared" si="1505"/>
        <v>0</v>
      </c>
      <c r="FR294" s="14">
        <v>9274568.8100000005</v>
      </c>
      <c r="FS294" s="14">
        <v>0</v>
      </c>
      <c r="FT294" s="14">
        <v>30000</v>
      </c>
      <c r="FU294" s="14">
        <v>0</v>
      </c>
      <c r="FV294" s="15">
        <f t="shared" si="1506"/>
        <v>9304568.8100000005</v>
      </c>
      <c r="FW294" s="14">
        <v>5306407.24</v>
      </c>
      <c r="FX294" s="14">
        <v>19912.439999999999</v>
      </c>
      <c r="FY294" s="14">
        <v>1223100</v>
      </c>
      <c r="FZ294" s="14">
        <v>25197900</v>
      </c>
      <c r="GA294" s="15">
        <f t="shared" si="1507"/>
        <v>31747319.68</v>
      </c>
      <c r="GB294" s="15">
        <f t="shared" si="1508"/>
        <v>41051888.490000002</v>
      </c>
      <c r="GC294" s="14">
        <v>7224108.0899999999</v>
      </c>
      <c r="GD294" s="14">
        <v>7077.36</v>
      </c>
      <c r="GE294" s="14">
        <v>185739.62</v>
      </c>
      <c r="GF294" s="14">
        <v>16821.98</v>
      </c>
      <c r="GG294" s="15">
        <f t="shared" si="1509"/>
        <v>7433747.0500000007</v>
      </c>
      <c r="GH294" s="14">
        <v>5123534.9800000004</v>
      </c>
      <c r="GI294" s="14">
        <v>19912.439999999999</v>
      </c>
      <c r="GJ294" s="14">
        <v>25197900</v>
      </c>
      <c r="GK294" s="14">
        <v>1187100</v>
      </c>
      <c r="GL294" s="15">
        <f t="shared" si="1510"/>
        <v>31528447.420000002</v>
      </c>
      <c r="GM294" s="15">
        <f t="shared" si="1511"/>
        <v>38962194.469999999</v>
      </c>
      <c r="GN294" s="14">
        <v>480202.33</v>
      </c>
      <c r="GO294" s="14">
        <v>382.56</v>
      </c>
      <c r="GP294" s="14">
        <v>13574.56</v>
      </c>
      <c r="GQ294" s="14">
        <v>9274.68</v>
      </c>
      <c r="GR294" s="15">
        <f t="shared" si="1512"/>
        <v>503434.13</v>
      </c>
      <c r="GS294" s="14">
        <v>788519</v>
      </c>
      <c r="GT294" s="14">
        <v>1786</v>
      </c>
      <c r="GU294" s="14">
        <v>3572</v>
      </c>
      <c r="GV294" s="14">
        <v>1786</v>
      </c>
      <c r="GW294" s="15">
        <f t="shared" si="1513"/>
        <v>795663</v>
      </c>
      <c r="GX294" s="15">
        <f t="shared" si="1514"/>
        <v>40261291.600000001</v>
      </c>
      <c r="GY294" s="14">
        <v>90302429.999999851</v>
      </c>
      <c r="GZ294" s="14">
        <v>0</v>
      </c>
      <c r="HA294" s="9">
        <f t="shared" si="1454"/>
        <v>90302429.999999851</v>
      </c>
      <c r="HB294" s="15">
        <f t="shared" si="1515"/>
        <v>3.4987897729043545E-2</v>
      </c>
      <c r="HC294" s="16">
        <f t="shared" si="1516"/>
        <v>0.31442033044805651</v>
      </c>
      <c r="HD294" s="15">
        <f t="shared" si="1517"/>
        <v>1.0196366499578469</v>
      </c>
      <c r="HE294" s="14">
        <v>19</v>
      </c>
      <c r="HF294" s="14">
        <v>2</v>
      </c>
      <c r="HG294" s="14">
        <v>63</v>
      </c>
      <c r="HH294" s="14">
        <v>19</v>
      </c>
      <c r="HI294" s="14">
        <v>5</v>
      </c>
      <c r="HJ294" s="15">
        <f t="shared" si="1518"/>
        <v>7</v>
      </c>
      <c r="HK294" s="16">
        <f t="shared" si="1519"/>
        <v>1</v>
      </c>
      <c r="HL294" s="14">
        <v>9</v>
      </c>
      <c r="HM294" s="14">
        <v>7</v>
      </c>
      <c r="HN294" s="17">
        <f t="shared" si="1520"/>
        <v>0.77777777777777779</v>
      </c>
    </row>
    <row r="295" spans="1:222" x14ac:dyDescent="0.3">
      <c r="A295" s="6" t="s">
        <v>295</v>
      </c>
      <c r="B295" s="6" t="s">
        <v>297</v>
      </c>
      <c r="C295" s="7" t="s">
        <v>257</v>
      </c>
      <c r="D295" s="7">
        <v>2025</v>
      </c>
      <c r="E295" s="7">
        <v>8</v>
      </c>
      <c r="F295" s="7" t="s">
        <v>264</v>
      </c>
      <c r="G295" s="7" t="s">
        <v>263</v>
      </c>
      <c r="H295" s="8">
        <v>26538</v>
      </c>
      <c r="I295" s="8">
        <v>6698</v>
      </c>
      <c r="J295" s="8">
        <v>14</v>
      </c>
      <c r="K295" s="8">
        <v>75</v>
      </c>
      <c r="L295" s="8">
        <v>8</v>
      </c>
      <c r="M295" s="9">
        <f t="shared" si="1461"/>
        <v>6795</v>
      </c>
      <c r="N295" s="8">
        <v>5942.6000000000304</v>
      </c>
      <c r="O295" s="8">
        <v>93.2</v>
      </c>
      <c r="P295" s="8">
        <v>11026.5</v>
      </c>
      <c r="Q295" s="8">
        <v>403.9</v>
      </c>
      <c r="R295" s="9">
        <f t="shared" si="1462"/>
        <v>17466.200000000033</v>
      </c>
      <c r="S295" s="9">
        <f t="shared" si="1463"/>
        <v>24261.200000000033</v>
      </c>
      <c r="T295" s="8">
        <v>2276.7999999999702</v>
      </c>
      <c r="U295" s="10">
        <f t="shared" si="1464"/>
        <v>8.5793955836911975E-2</v>
      </c>
      <c r="V295" s="8">
        <v>50</v>
      </c>
      <c r="W295" s="11">
        <f t="shared" si="1465"/>
        <v>1.8840907378099329E-3</v>
      </c>
      <c r="X295" s="8">
        <v>0</v>
      </c>
      <c r="Y295" s="11">
        <f t="shared" si="1466"/>
        <v>0</v>
      </c>
      <c r="Z295" s="8">
        <v>0</v>
      </c>
      <c r="AA295" s="11">
        <f t="shared" si="1467"/>
        <v>0</v>
      </c>
      <c r="AB295" s="8">
        <v>0</v>
      </c>
      <c r="AC295" s="11">
        <f t="shared" si="1468"/>
        <v>0</v>
      </c>
      <c r="AD295" s="8">
        <v>0</v>
      </c>
      <c r="AE295" s="11">
        <f t="shared" si="1469"/>
        <v>0</v>
      </c>
      <c r="AF295" s="8">
        <v>0</v>
      </c>
      <c r="AG295" s="11">
        <f t="shared" si="1470"/>
        <v>0</v>
      </c>
      <c r="AH295" s="8">
        <v>1300000</v>
      </c>
      <c r="AI295" s="9">
        <f t="shared" si="1471"/>
        <v>48.986359183058255</v>
      </c>
      <c r="AJ295" s="8">
        <v>96.19</v>
      </c>
      <c r="AK295" s="11">
        <f t="shared" si="1472"/>
        <v>3.6246137613987488E-3</v>
      </c>
      <c r="AL295" s="8">
        <v>57896.042710000002</v>
      </c>
      <c r="AM295" s="9">
        <f t="shared" si="1473"/>
        <v>2.1816279565151859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9">
        <f t="shared" si="1474"/>
        <v>1357896.04271</v>
      </c>
      <c r="AV295" s="9">
        <f t="shared" si="1475"/>
        <v>51.167987139573441</v>
      </c>
      <c r="AW295" s="9">
        <f t="shared" si="1476"/>
        <v>55.969863102814294</v>
      </c>
      <c r="AX295" s="8">
        <v>7</v>
      </c>
      <c r="AY295" s="9">
        <f t="shared" si="1477"/>
        <v>3.1652724395206873</v>
      </c>
      <c r="AZ295" s="8">
        <v>17</v>
      </c>
      <c r="BA295" s="8">
        <v>57</v>
      </c>
      <c r="BB295" s="8">
        <v>16</v>
      </c>
      <c r="BC295" s="8">
        <v>14</v>
      </c>
      <c r="BD295" s="8">
        <v>0</v>
      </c>
      <c r="BE295" s="9">
        <f t="shared" si="1478"/>
        <v>14</v>
      </c>
      <c r="BF295" s="9">
        <f t="shared" si="1479"/>
        <v>59</v>
      </c>
      <c r="BG295" s="8">
        <v>2</v>
      </c>
      <c r="BH295" s="8">
        <v>0</v>
      </c>
      <c r="BI295" s="8">
        <v>0</v>
      </c>
      <c r="BJ295" s="8">
        <v>0</v>
      </c>
      <c r="BK295" s="9">
        <f t="shared" si="1480"/>
        <v>0</v>
      </c>
      <c r="BL295" s="9">
        <f t="shared" si="1481"/>
        <v>2</v>
      </c>
      <c r="BM295" s="8">
        <v>4</v>
      </c>
      <c r="BN295" s="8">
        <v>0</v>
      </c>
      <c r="BO295" s="8">
        <v>0</v>
      </c>
      <c r="BP295" s="8">
        <v>0</v>
      </c>
      <c r="BQ295" s="9">
        <f t="shared" si="1482"/>
        <v>0</v>
      </c>
      <c r="BR295" s="9">
        <f t="shared" si="1483"/>
        <v>4</v>
      </c>
      <c r="BS295" s="8">
        <v>0</v>
      </c>
      <c r="BT295" s="8">
        <v>0</v>
      </c>
      <c r="BU295" s="8">
        <v>0</v>
      </c>
      <c r="BV295" s="8">
        <v>0</v>
      </c>
      <c r="BW295" s="9">
        <f t="shared" si="1484"/>
        <v>0</v>
      </c>
      <c r="BX295" s="9">
        <f t="shared" si="1485"/>
        <v>0</v>
      </c>
      <c r="BY295" s="9">
        <f t="shared" si="1486"/>
        <v>63</v>
      </c>
      <c r="BZ295" s="9">
        <f t="shared" si="1487"/>
        <v>16</v>
      </c>
      <c r="CA295" s="9">
        <f t="shared" si="1488"/>
        <v>14</v>
      </c>
      <c r="CB295" s="9">
        <f t="shared" si="1489"/>
        <v>65</v>
      </c>
      <c r="CC295" s="8">
        <v>0</v>
      </c>
      <c r="CD295" s="8">
        <v>788</v>
      </c>
      <c r="CE295" s="8">
        <v>8</v>
      </c>
      <c r="CF295" s="8">
        <v>7</v>
      </c>
      <c r="CG295" s="8">
        <v>5</v>
      </c>
      <c r="CH295" s="9">
        <f t="shared" si="1490"/>
        <v>808</v>
      </c>
      <c r="CI295" s="8">
        <v>831</v>
      </c>
      <c r="CJ295" s="8">
        <v>4</v>
      </c>
      <c r="CK295" s="8">
        <v>2</v>
      </c>
      <c r="CL295" s="8">
        <v>2</v>
      </c>
      <c r="CM295" s="9">
        <f t="shared" si="1491"/>
        <v>839</v>
      </c>
      <c r="CN295" s="8">
        <v>398</v>
      </c>
      <c r="CO295" s="8">
        <v>30</v>
      </c>
      <c r="CP295" s="8">
        <v>27</v>
      </c>
      <c r="CQ295" s="8">
        <v>0</v>
      </c>
      <c r="CR295" s="9">
        <f t="shared" si="1492"/>
        <v>455</v>
      </c>
      <c r="CS295" s="9">
        <f t="shared" si="1493"/>
        <v>1294</v>
      </c>
      <c r="CT295" s="8">
        <v>2102</v>
      </c>
      <c r="CU295" s="8">
        <v>10664</v>
      </c>
      <c r="CV295" s="8">
        <v>10662.1</v>
      </c>
      <c r="CW295" s="10">
        <f t="shared" si="1494"/>
        <v>0.99982183045761441</v>
      </c>
      <c r="CX295" s="8">
        <v>0</v>
      </c>
      <c r="CY295" s="8">
        <v>1</v>
      </c>
      <c r="CZ295" s="8">
        <v>1</v>
      </c>
      <c r="DA295" s="8">
        <v>0</v>
      </c>
      <c r="DB295" s="9">
        <f t="shared" si="1495"/>
        <v>0</v>
      </c>
      <c r="DC295" s="8">
        <v>0</v>
      </c>
      <c r="DD295" s="8">
        <v>0</v>
      </c>
      <c r="DE295" s="8">
        <v>0</v>
      </c>
      <c r="DF295" s="8">
        <v>0</v>
      </c>
      <c r="DG295" s="9">
        <f t="shared" si="1496"/>
        <v>0</v>
      </c>
      <c r="DH295" s="8">
        <v>0</v>
      </c>
      <c r="DI295" s="8">
        <v>0</v>
      </c>
      <c r="DJ295" s="8">
        <v>0</v>
      </c>
      <c r="DK295" s="8">
        <v>0</v>
      </c>
      <c r="DL295" s="9">
        <f t="shared" si="1497"/>
        <v>0</v>
      </c>
      <c r="DM295" s="8">
        <v>20</v>
      </c>
      <c r="DN295" s="8">
        <v>14</v>
      </c>
      <c r="DO295" s="8">
        <v>11</v>
      </c>
      <c r="DP295" s="8">
        <v>0</v>
      </c>
      <c r="DQ295" s="9">
        <f t="shared" si="1498"/>
        <v>23</v>
      </c>
      <c r="DR295" s="9">
        <f t="shared" si="1499"/>
        <v>20</v>
      </c>
      <c r="DS295" s="9">
        <f t="shared" si="1500"/>
        <v>15</v>
      </c>
      <c r="DT295" s="9">
        <f t="shared" si="1501"/>
        <v>12</v>
      </c>
      <c r="DU295" s="9">
        <f t="shared" si="1502"/>
        <v>0</v>
      </c>
      <c r="DV295" s="9">
        <f t="shared" si="1503"/>
        <v>23</v>
      </c>
      <c r="DW295" s="8">
        <v>11</v>
      </c>
      <c r="DX295" s="8">
        <v>6</v>
      </c>
      <c r="DY295" s="8">
        <v>5</v>
      </c>
      <c r="DZ295" s="8">
        <v>3</v>
      </c>
      <c r="EA295" s="8">
        <v>2</v>
      </c>
      <c r="EB295" s="8">
        <v>5</v>
      </c>
      <c r="EC295" s="8">
        <v>3</v>
      </c>
      <c r="ED295" s="8">
        <v>2</v>
      </c>
      <c r="EE295" s="8">
        <v>0</v>
      </c>
      <c r="EF295" s="8">
        <v>0</v>
      </c>
      <c r="EG295" s="8">
        <v>2</v>
      </c>
      <c r="EH295" s="8">
        <v>0</v>
      </c>
      <c r="EI295" s="8">
        <v>0</v>
      </c>
      <c r="EJ295" s="8">
        <v>4</v>
      </c>
      <c r="EK295" s="8">
        <v>0</v>
      </c>
      <c r="EL295" s="8">
        <v>1</v>
      </c>
      <c r="EM295" s="8">
        <v>0</v>
      </c>
      <c r="EN295" s="8">
        <v>0</v>
      </c>
      <c r="EO295" s="8">
        <v>2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8">
        <v>0</v>
      </c>
      <c r="FC295" s="8">
        <v>0</v>
      </c>
      <c r="FD295" s="8">
        <v>0</v>
      </c>
      <c r="FE295" s="8">
        <v>0</v>
      </c>
      <c r="FF295" s="8">
        <v>0</v>
      </c>
      <c r="FG295" s="9">
        <f t="shared" si="1504"/>
        <v>46</v>
      </c>
      <c r="FH295" s="8">
        <v>0</v>
      </c>
      <c r="FI295" s="8">
        <v>0</v>
      </c>
      <c r="FJ295" s="8">
        <v>22</v>
      </c>
      <c r="FK295" s="8">
        <v>46</v>
      </c>
      <c r="FL295" s="8">
        <v>0</v>
      </c>
      <c r="FM295" s="8">
        <v>0</v>
      </c>
      <c r="FN295" s="8">
        <v>0</v>
      </c>
      <c r="FO295" s="8">
        <v>0</v>
      </c>
      <c r="FP295" s="8">
        <v>0</v>
      </c>
      <c r="FQ295" s="9">
        <f t="shared" si="1505"/>
        <v>0</v>
      </c>
      <c r="FR295" s="8">
        <v>8558665.2100000009</v>
      </c>
      <c r="FS295" s="8">
        <v>0</v>
      </c>
      <c r="FT295" s="8">
        <v>18500</v>
      </c>
      <c r="FU295" s="8">
        <v>24000</v>
      </c>
      <c r="FV295" s="9">
        <f t="shared" si="1506"/>
        <v>8601165.2100000009</v>
      </c>
      <c r="FW295" s="8">
        <v>7635838.5899999999</v>
      </c>
      <c r="FX295" s="8">
        <v>19800</v>
      </c>
      <c r="FY295" s="8">
        <v>1959200</v>
      </c>
      <c r="FZ295" s="8">
        <v>33513600</v>
      </c>
      <c r="GA295" s="9">
        <f t="shared" si="1507"/>
        <v>43128438.590000004</v>
      </c>
      <c r="GB295" s="9">
        <f t="shared" si="1508"/>
        <v>51729603.800000004</v>
      </c>
      <c r="GC295" s="8">
        <v>5932095.5999999996</v>
      </c>
      <c r="GD295" s="8">
        <v>2677.92</v>
      </c>
      <c r="GE295" s="8">
        <v>228320.8</v>
      </c>
      <c r="GF295" s="8">
        <v>16821.98</v>
      </c>
      <c r="GG295" s="9">
        <f t="shared" si="1509"/>
        <v>6179916.2999999998</v>
      </c>
      <c r="GH295" s="8">
        <v>7415141.3099999996</v>
      </c>
      <c r="GI295" s="8">
        <v>19800</v>
      </c>
      <c r="GJ295" s="8">
        <v>33513600</v>
      </c>
      <c r="GK295" s="8">
        <v>1911200</v>
      </c>
      <c r="GL295" s="9">
        <f t="shared" si="1510"/>
        <v>42859741.310000002</v>
      </c>
      <c r="GM295" s="9">
        <f t="shared" si="1511"/>
        <v>49039657.609999999</v>
      </c>
      <c r="GN295" s="8">
        <v>451233.22</v>
      </c>
      <c r="GO295" s="8">
        <v>382.56</v>
      </c>
      <c r="GP295" s="8">
        <v>13574.56</v>
      </c>
      <c r="GQ295" s="8">
        <v>9274.68</v>
      </c>
      <c r="GR295" s="9">
        <f t="shared" si="1512"/>
        <v>474465.01999999996</v>
      </c>
      <c r="GS295" s="8">
        <v>742083</v>
      </c>
      <c r="GT295" s="8">
        <v>1786</v>
      </c>
      <c r="GU295" s="8">
        <v>3572</v>
      </c>
      <c r="GV295" s="8">
        <v>1786</v>
      </c>
      <c r="GW295" s="9">
        <f t="shared" si="1513"/>
        <v>749227</v>
      </c>
      <c r="GX295" s="9">
        <f t="shared" si="1514"/>
        <v>50263349.630000003</v>
      </c>
      <c r="GY295" s="8">
        <v>89104873.109999955</v>
      </c>
      <c r="GZ295" s="8">
        <v>0</v>
      </c>
      <c r="HA295" s="9">
        <f t="shared" si="1454"/>
        <v>89104873.109999955</v>
      </c>
      <c r="HB295" s="9">
        <f t="shared" si="1515"/>
        <v>2.7015629732315551E-2</v>
      </c>
      <c r="HC295" s="10">
        <f t="shared" si="1516"/>
        <v>0.3711721566293113</v>
      </c>
      <c r="HD295" s="9">
        <f t="shared" si="1517"/>
        <v>1.0291714376537464</v>
      </c>
      <c r="HE295" s="8">
        <v>19</v>
      </c>
      <c r="HF295" s="8">
        <v>2</v>
      </c>
      <c r="HG295" s="8">
        <v>65</v>
      </c>
      <c r="HH295" s="8">
        <v>16</v>
      </c>
      <c r="HI295" s="8">
        <v>6</v>
      </c>
      <c r="HJ295" s="9">
        <f t="shared" si="1518"/>
        <v>8</v>
      </c>
      <c r="HK295" s="10">
        <f t="shared" si="1519"/>
        <v>0.84210526315789469</v>
      </c>
      <c r="HL295" s="8">
        <v>11</v>
      </c>
      <c r="HM295" s="8">
        <v>7</v>
      </c>
      <c r="HN295" s="11">
        <f t="shared" si="1520"/>
        <v>0.63636363636363635</v>
      </c>
    </row>
    <row r="296" spans="1:222" x14ac:dyDescent="0.3">
      <c r="A296" s="12" t="s">
        <v>295</v>
      </c>
      <c r="B296" s="12" t="s">
        <v>297</v>
      </c>
      <c r="C296" s="13" t="s">
        <v>257</v>
      </c>
      <c r="D296" s="13">
        <v>2025</v>
      </c>
      <c r="E296" s="13">
        <v>9</v>
      </c>
      <c r="F296" s="13" t="s">
        <v>265</v>
      </c>
      <c r="G296" s="13" t="s">
        <v>263</v>
      </c>
      <c r="H296" s="14">
        <v>34630</v>
      </c>
      <c r="I296" s="14">
        <v>8145</v>
      </c>
      <c r="J296" s="14">
        <v>45</v>
      </c>
      <c r="K296" s="14">
        <v>79</v>
      </c>
      <c r="L296" s="14">
        <v>332</v>
      </c>
      <c r="M296" s="15">
        <f t="shared" si="1461"/>
        <v>8601</v>
      </c>
      <c r="N296" s="14">
        <v>7737.9000000000397</v>
      </c>
      <c r="O296" s="14">
        <v>116.2</v>
      </c>
      <c r="P296" s="14">
        <v>13420.6</v>
      </c>
      <c r="Q296" s="14">
        <v>2711.4</v>
      </c>
      <c r="R296" s="15">
        <f t="shared" si="1462"/>
        <v>23986.100000000042</v>
      </c>
      <c r="S296" s="15">
        <f t="shared" si="1463"/>
        <v>32587.100000000042</v>
      </c>
      <c r="T296" s="14">
        <v>2042.8999999999601</v>
      </c>
      <c r="U296" s="16">
        <f t="shared" si="1464"/>
        <v>5.8992203291942248E-2</v>
      </c>
      <c r="V296" s="14">
        <v>62</v>
      </c>
      <c r="W296" s="17">
        <f t="shared" si="1465"/>
        <v>1.7903551833670227E-3</v>
      </c>
      <c r="X296" s="14">
        <v>0</v>
      </c>
      <c r="Y296" s="17">
        <f t="shared" si="1466"/>
        <v>0</v>
      </c>
      <c r="Z296" s="14">
        <v>0</v>
      </c>
      <c r="AA296" s="17">
        <f t="shared" si="1467"/>
        <v>0</v>
      </c>
      <c r="AB296" s="14">
        <v>0</v>
      </c>
      <c r="AC296" s="17">
        <f t="shared" si="1468"/>
        <v>0</v>
      </c>
      <c r="AD296" s="14">
        <v>0</v>
      </c>
      <c r="AE296" s="17">
        <f t="shared" si="1469"/>
        <v>0</v>
      </c>
      <c r="AF296" s="14">
        <v>0</v>
      </c>
      <c r="AG296" s="17">
        <f t="shared" si="1470"/>
        <v>0</v>
      </c>
      <c r="AH296" s="14">
        <v>1612000</v>
      </c>
      <c r="AI296" s="15">
        <f t="shared" si="1471"/>
        <v>46.549234767542593</v>
      </c>
      <c r="AJ296" s="14">
        <v>99.01</v>
      </c>
      <c r="AK296" s="17">
        <f t="shared" si="1472"/>
        <v>2.8590817210511119E-3</v>
      </c>
      <c r="AL296" s="14">
        <v>58666.774089999999</v>
      </c>
      <c r="AM296" s="15">
        <f t="shared" si="1473"/>
        <v>1.6941026303782847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5">
        <f t="shared" si="1474"/>
        <v>1670666.77409</v>
      </c>
      <c r="AV296" s="15">
        <f t="shared" si="1475"/>
        <v>48.243337397920875</v>
      </c>
      <c r="AW296" s="15">
        <f t="shared" si="1476"/>
        <v>51.267733983385995</v>
      </c>
      <c r="AX296" s="14">
        <v>7</v>
      </c>
      <c r="AY296" s="15">
        <f t="shared" si="1477"/>
        <v>2.4256425064972564</v>
      </c>
      <c r="AZ296" s="14">
        <v>17</v>
      </c>
      <c r="BA296" s="14">
        <v>59</v>
      </c>
      <c r="BB296" s="14">
        <v>19</v>
      </c>
      <c r="BC296" s="14">
        <v>20</v>
      </c>
      <c r="BD296" s="14">
        <v>0</v>
      </c>
      <c r="BE296" s="15">
        <f t="shared" si="1478"/>
        <v>20</v>
      </c>
      <c r="BF296" s="15">
        <f t="shared" si="1479"/>
        <v>58</v>
      </c>
      <c r="BG296" s="14">
        <v>2</v>
      </c>
      <c r="BH296" s="14">
        <v>1</v>
      </c>
      <c r="BI296" s="14">
        <v>1</v>
      </c>
      <c r="BJ296" s="14">
        <v>0</v>
      </c>
      <c r="BK296" s="15">
        <f t="shared" si="1480"/>
        <v>1</v>
      </c>
      <c r="BL296" s="15">
        <f t="shared" si="1481"/>
        <v>2</v>
      </c>
      <c r="BM296" s="14">
        <v>4</v>
      </c>
      <c r="BN296" s="14">
        <v>1</v>
      </c>
      <c r="BO296" s="14">
        <v>1</v>
      </c>
      <c r="BP296" s="14">
        <v>0</v>
      </c>
      <c r="BQ296" s="15">
        <f t="shared" si="1482"/>
        <v>1</v>
      </c>
      <c r="BR296" s="15">
        <f t="shared" si="1483"/>
        <v>4</v>
      </c>
      <c r="BS296" s="14">
        <v>0</v>
      </c>
      <c r="BT296" s="14">
        <v>0</v>
      </c>
      <c r="BU296" s="14">
        <v>0</v>
      </c>
      <c r="BV296" s="14">
        <v>0</v>
      </c>
      <c r="BW296" s="15">
        <f t="shared" si="1484"/>
        <v>0</v>
      </c>
      <c r="BX296" s="15">
        <f t="shared" si="1485"/>
        <v>0</v>
      </c>
      <c r="BY296" s="15">
        <f t="shared" si="1486"/>
        <v>65</v>
      </c>
      <c r="BZ296" s="15">
        <f t="shared" si="1487"/>
        <v>21</v>
      </c>
      <c r="CA296" s="15">
        <f t="shared" si="1488"/>
        <v>22</v>
      </c>
      <c r="CB296" s="15">
        <f t="shared" si="1489"/>
        <v>64</v>
      </c>
      <c r="CC296" s="14">
        <v>16</v>
      </c>
      <c r="CD296" s="14">
        <v>784</v>
      </c>
      <c r="CE296" s="14">
        <v>10</v>
      </c>
      <c r="CF296" s="14">
        <v>6</v>
      </c>
      <c r="CG296" s="14">
        <v>3</v>
      </c>
      <c r="CH296" s="15">
        <f t="shared" si="1490"/>
        <v>803</v>
      </c>
      <c r="CI296" s="14">
        <v>840</v>
      </c>
      <c r="CJ296" s="14">
        <v>5</v>
      </c>
      <c r="CK296" s="14">
        <v>3</v>
      </c>
      <c r="CL296" s="14">
        <v>2</v>
      </c>
      <c r="CM296" s="15">
        <f t="shared" si="1491"/>
        <v>850</v>
      </c>
      <c r="CN296" s="14">
        <v>413</v>
      </c>
      <c r="CO296" s="14">
        <v>28</v>
      </c>
      <c r="CP296" s="14">
        <v>28</v>
      </c>
      <c r="CQ296" s="14">
        <v>2</v>
      </c>
      <c r="CR296" s="15">
        <f t="shared" si="1492"/>
        <v>471</v>
      </c>
      <c r="CS296" s="15">
        <f t="shared" si="1493"/>
        <v>1321</v>
      </c>
      <c r="CT296" s="14">
        <v>2124</v>
      </c>
      <c r="CU296" s="14">
        <v>10673</v>
      </c>
      <c r="CV296" s="14">
        <v>10670.6</v>
      </c>
      <c r="CW296" s="16">
        <f t="shared" si="1494"/>
        <v>0.99977513351447578</v>
      </c>
      <c r="CX296" s="14">
        <v>0</v>
      </c>
      <c r="CY296" s="14">
        <v>0</v>
      </c>
      <c r="CZ296" s="14">
        <v>0</v>
      </c>
      <c r="DA296" s="14">
        <v>0</v>
      </c>
      <c r="DB296" s="15">
        <f t="shared" si="1495"/>
        <v>0</v>
      </c>
      <c r="DC296" s="14">
        <v>0</v>
      </c>
      <c r="DD296" s="14">
        <v>1</v>
      </c>
      <c r="DE296" s="14">
        <v>0</v>
      </c>
      <c r="DF296" s="14">
        <v>0</v>
      </c>
      <c r="DG296" s="15">
        <f t="shared" si="1496"/>
        <v>1</v>
      </c>
      <c r="DH296" s="14">
        <v>0</v>
      </c>
      <c r="DI296" s="14">
        <v>0</v>
      </c>
      <c r="DJ296" s="14">
        <v>0</v>
      </c>
      <c r="DK296" s="14">
        <v>0</v>
      </c>
      <c r="DL296" s="15">
        <f t="shared" si="1497"/>
        <v>0</v>
      </c>
      <c r="DM296" s="14">
        <v>23</v>
      </c>
      <c r="DN296" s="14">
        <v>10</v>
      </c>
      <c r="DO296" s="14">
        <v>13</v>
      </c>
      <c r="DP296" s="14">
        <v>0</v>
      </c>
      <c r="DQ296" s="15">
        <f t="shared" si="1498"/>
        <v>20</v>
      </c>
      <c r="DR296" s="15">
        <f t="shared" si="1499"/>
        <v>23</v>
      </c>
      <c r="DS296" s="15">
        <f t="shared" si="1500"/>
        <v>11</v>
      </c>
      <c r="DT296" s="15">
        <f t="shared" si="1501"/>
        <v>13</v>
      </c>
      <c r="DU296" s="15">
        <f t="shared" si="1502"/>
        <v>0</v>
      </c>
      <c r="DV296" s="15">
        <f t="shared" si="1503"/>
        <v>21</v>
      </c>
      <c r="DW296" s="14">
        <v>9</v>
      </c>
      <c r="DX296" s="14">
        <v>11</v>
      </c>
      <c r="DY296" s="14">
        <v>0</v>
      </c>
      <c r="DZ296" s="14">
        <v>2</v>
      </c>
      <c r="EA296" s="14">
        <v>3</v>
      </c>
      <c r="EB296" s="14">
        <v>2</v>
      </c>
      <c r="EC296" s="14">
        <v>2</v>
      </c>
      <c r="ED296" s="14">
        <v>4</v>
      </c>
      <c r="EE296" s="14">
        <v>0</v>
      </c>
      <c r="EF296" s="14">
        <v>0</v>
      </c>
      <c r="EG296" s="14">
        <v>1</v>
      </c>
      <c r="EH296" s="14">
        <v>0</v>
      </c>
      <c r="EI296" s="14">
        <v>0</v>
      </c>
      <c r="EJ296" s="14">
        <v>2</v>
      </c>
      <c r="EK296" s="14">
        <v>2</v>
      </c>
      <c r="EL296" s="14">
        <v>0</v>
      </c>
      <c r="EM296" s="14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0</v>
      </c>
      <c r="FD296" s="14">
        <v>0</v>
      </c>
      <c r="FE296" s="14">
        <v>0</v>
      </c>
      <c r="FF296" s="14">
        <v>0</v>
      </c>
      <c r="FG296" s="15">
        <f t="shared" si="1504"/>
        <v>38</v>
      </c>
      <c r="FH296" s="14">
        <v>0</v>
      </c>
      <c r="FI296" s="14">
        <v>0</v>
      </c>
      <c r="FJ296" s="14">
        <v>23</v>
      </c>
      <c r="FK296" s="14">
        <v>27</v>
      </c>
      <c r="FL296" s="14">
        <v>0</v>
      </c>
      <c r="FM296" s="14">
        <v>0</v>
      </c>
      <c r="FN296" s="14">
        <v>0</v>
      </c>
      <c r="FO296" s="14">
        <v>0</v>
      </c>
      <c r="FP296" s="14">
        <v>0</v>
      </c>
      <c r="FQ296" s="15">
        <f t="shared" si="1505"/>
        <v>0</v>
      </c>
      <c r="FR296" s="14">
        <v>6168799.3399999999</v>
      </c>
      <c r="FS296" s="14">
        <v>0</v>
      </c>
      <c r="FT296" s="14">
        <v>0</v>
      </c>
      <c r="FU296" s="14">
        <v>0</v>
      </c>
      <c r="FV296" s="15">
        <f t="shared" si="1506"/>
        <v>6168799.3399999999</v>
      </c>
      <c r="FW296" s="14">
        <v>9847746.4900000002</v>
      </c>
      <c r="FX296" s="14">
        <v>24700</v>
      </c>
      <c r="FY296" s="14">
        <v>13281464.050000001</v>
      </c>
      <c r="FZ296" s="14">
        <v>40791407.880000003</v>
      </c>
      <c r="GA296" s="15">
        <f t="shared" si="1507"/>
        <v>63945318.420000002</v>
      </c>
      <c r="GB296" s="15">
        <f t="shared" si="1508"/>
        <v>70114117.760000005</v>
      </c>
      <c r="GC296" s="14">
        <v>7227910.1299999999</v>
      </c>
      <c r="GD296" s="14">
        <v>8607.6</v>
      </c>
      <c r="GE296" s="14">
        <v>248704.82</v>
      </c>
      <c r="GF296" s="14">
        <v>1605538.11</v>
      </c>
      <c r="GG296" s="15">
        <f t="shared" si="1509"/>
        <v>9090760.6600000001</v>
      </c>
      <c r="GH296" s="14">
        <v>9653999.5399999991</v>
      </c>
      <c r="GI296" s="14">
        <v>24700</v>
      </c>
      <c r="GJ296" s="14">
        <v>40765187.880000003</v>
      </c>
      <c r="GK296" s="14">
        <v>12822464.039999999</v>
      </c>
      <c r="GL296" s="15">
        <f t="shared" si="1510"/>
        <v>63266351.460000001</v>
      </c>
      <c r="GM296" s="15">
        <f t="shared" si="1511"/>
        <v>72357112.120000005</v>
      </c>
      <c r="GN296" s="14">
        <v>456301.44</v>
      </c>
      <c r="GO296" s="14">
        <v>382.56</v>
      </c>
      <c r="GP296" s="14">
        <v>16968.2</v>
      </c>
      <c r="GQ296" s="14">
        <v>13912.02</v>
      </c>
      <c r="GR296" s="15">
        <f t="shared" si="1512"/>
        <v>487564.22000000003</v>
      </c>
      <c r="GS296" s="14">
        <v>750120</v>
      </c>
      <c r="GT296" s="14">
        <v>1786</v>
      </c>
      <c r="GU296" s="14">
        <v>4465</v>
      </c>
      <c r="GV296" s="14">
        <v>2679</v>
      </c>
      <c r="GW296" s="15">
        <f t="shared" si="1513"/>
        <v>759050</v>
      </c>
      <c r="GX296" s="15">
        <f t="shared" si="1514"/>
        <v>73603726.340000004</v>
      </c>
      <c r="GY296" s="14">
        <v>92758708.419999942</v>
      </c>
      <c r="GZ296" s="14">
        <v>0</v>
      </c>
      <c r="HA296" s="9">
        <f t="shared" si="1454"/>
        <v>92758708.419999942</v>
      </c>
      <c r="HB296" s="15">
        <f t="shared" si="1515"/>
        <v>2.2698127624308537E-2</v>
      </c>
      <c r="HC296" s="16">
        <f t="shared" si="1516"/>
        <v>0.42145402512982572</v>
      </c>
      <c r="HD296" s="15">
        <f t="shared" si="1517"/>
        <v>0.95258924033437742</v>
      </c>
      <c r="HE296" s="14">
        <v>21</v>
      </c>
      <c r="HF296" s="14">
        <v>2</v>
      </c>
      <c r="HG296" s="14">
        <v>64</v>
      </c>
      <c r="HH296" s="14">
        <v>21</v>
      </c>
      <c r="HI296" s="14">
        <v>5</v>
      </c>
      <c r="HJ296" s="15">
        <f t="shared" si="1518"/>
        <v>7</v>
      </c>
      <c r="HK296" s="16">
        <f t="shared" si="1519"/>
        <v>1</v>
      </c>
      <c r="HL296" s="14">
        <v>13</v>
      </c>
      <c r="HM296" s="14">
        <v>6</v>
      </c>
      <c r="HN296" s="17">
        <f t="shared" si="1520"/>
        <v>0.46153846153846156</v>
      </c>
    </row>
    <row r="297" spans="1:222" x14ac:dyDescent="0.3">
      <c r="A297" s="6" t="s">
        <v>295</v>
      </c>
      <c r="B297" s="6" t="s">
        <v>297</v>
      </c>
      <c r="C297" s="7" t="s">
        <v>257</v>
      </c>
      <c r="D297" s="7">
        <v>2025</v>
      </c>
      <c r="E297" s="7">
        <v>10</v>
      </c>
      <c r="F297" s="7" t="s">
        <v>266</v>
      </c>
      <c r="G297" s="7" t="s">
        <v>267</v>
      </c>
      <c r="H297" s="8">
        <v>26146</v>
      </c>
      <c r="I297" s="8">
        <v>7569</v>
      </c>
      <c r="J297" s="8">
        <v>195</v>
      </c>
      <c r="K297" s="8">
        <v>46</v>
      </c>
      <c r="L297" s="8">
        <v>10</v>
      </c>
      <c r="M297" s="9">
        <f t="shared" si="1461"/>
        <v>7820</v>
      </c>
      <c r="N297" s="8">
        <v>9626.6000000000295</v>
      </c>
      <c r="O297" s="8">
        <v>203.3</v>
      </c>
      <c r="P297" s="8">
        <v>2099.4</v>
      </c>
      <c r="Q297" s="8">
        <v>657.9</v>
      </c>
      <c r="R297" s="9">
        <f t="shared" si="1462"/>
        <v>12587.200000000028</v>
      </c>
      <c r="S297" s="9">
        <f t="shared" si="1463"/>
        <v>20407.200000000026</v>
      </c>
      <c r="T297" s="8">
        <v>5738.7999999999802</v>
      </c>
      <c r="U297" s="10">
        <f t="shared" si="1464"/>
        <v>0.21949055304826667</v>
      </c>
      <c r="V297" s="8">
        <v>50</v>
      </c>
      <c r="W297" s="11">
        <f t="shared" si="1465"/>
        <v>1.9123384074045742E-3</v>
      </c>
      <c r="X297" s="8">
        <v>0</v>
      </c>
      <c r="Y297" s="11">
        <f t="shared" si="1466"/>
        <v>0</v>
      </c>
      <c r="Z297" s="8">
        <v>0</v>
      </c>
      <c r="AA297" s="11">
        <f t="shared" si="1467"/>
        <v>0</v>
      </c>
      <c r="AB297" s="8">
        <v>0</v>
      </c>
      <c r="AC297" s="11">
        <f t="shared" si="1468"/>
        <v>0</v>
      </c>
      <c r="AD297" s="8">
        <v>0</v>
      </c>
      <c r="AE297" s="11">
        <f t="shared" si="1469"/>
        <v>0</v>
      </c>
      <c r="AF297" s="8">
        <v>0</v>
      </c>
      <c r="AG297" s="11">
        <f t="shared" si="1470"/>
        <v>0</v>
      </c>
      <c r="AH297" s="8">
        <v>1300000</v>
      </c>
      <c r="AI297" s="9">
        <f t="shared" si="1471"/>
        <v>49.720798592518932</v>
      </c>
      <c r="AJ297" s="8">
        <v>89.26</v>
      </c>
      <c r="AK297" s="11">
        <f t="shared" si="1472"/>
        <v>3.4139065248986462E-3</v>
      </c>
      <c r="AL297" s="8">
        <v>56002.011339999997</v>
      </c>
      <c r="AM297" s="9">
        <f t="shared" si="1473"/>
        <v>2.14189594354777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9">
        <f t="shared" si="1474"/>
        <v>1356002.01134</v>
      </c>
      <c r="AV297" s="9">
        <f t="shared" si="1475"/>
        <v>51.862694536066698</v>
      </c>
      <c r="AW297" s="9">
        <f t="shared" si="1476"/>
        <v>66.447234865145546</v>
      </c>
      <c r="AX297" s="8">
        <v>7</v>
      </c>
      <c r="AY297" s="9">
        <f t="shared" si="1477"/>
        <v>3.2127285244396848</v>
      </c>
      <c r="AZ297" s="8">
        <v>17</v>
      </c>
      <c r="BA297" s="8">
        <v>58</v>
      </c>
      <c r="BB297" s="8">
        <v>10</v>
      </c>
      <c r="BC297" s="8">
        <v>20</v>
      </c>
      <c r="BD297" s="8">
        <v>0</v>
      </c>
      <c r="BE297" s="9">
        <f t="shared" si="1478"/>
        <v>20</v>
      </c>
      <c r="BF297" s="9">
        <f t="shared" si="1479"/>
        <v>48</v>
      </c>
      <c r="BG297" s="8">
        <v>2</v>
      </c>
      <c r="BH297" s="8">
        <v>1</v>
      </c>
      <c r="BI297" s="8">
        <v>1</v>
      </c>
      <c r="BJ297" s="8">
        <v>0</v>
      </c>
      <c r="BK297" s="9">
        <f t="shared" si="1480"/>
        <v>1</v>
      </c>
      <c r="BL297" s="9">
        <f t="shared" si="1481"/>
        <v>2</v>
      </c>
      <c r="BM297" s="8">
        <v>4</v>
      </c>
      <c r="BN297" s="8">
        <v>1</v>
      </c>
      <c r="BO297" s="8">
        <v>0</v>
      </c>
      <c r="BP297" s="8">
        <v>0</v>
      </c>
      <c r="BQ297" s="9">
        <f t="shared" si="1482"/>
        <v>0</v>
      </c>
      <c r="BR297" s="9">
        <f t="shared" si="1483"/>
        <v>5</v>
      </c>
      <c r="BS297" s="8">
        <v>0</v>
      </c>
      <c r="BT297" s="8">
        <v>0</v>
      </c>
      <c r="BU297" s="8">
        <v>0</v>
      </c>
      <c r="BV297" s="8">
        <v>0</v>
      </c>
      <c r="BW297" s="9">
        <f t="shared" si="1484"/>
        <v>0</v>
      </c>
      <c r="BX297" s="9">
        <f t="shared" si="1485"/>
        <v>0</v>
      </c>
      <c r="BY297" s="9">
        <f t="shared" si="1486"/>
        <v>64</v>
      </c>
      <c r="BZ297" s="9">
        <f t="shared" si="1487"/>
        <v>12</v>
      </c>
      <c r="CA297" s="9">
        <f t="shared" si="1488"/>
        <v>21</v>
      </c>
      <c r="CB297" s="9">
        <f t="shared" si="1489"/>
        <v>55</v>
      </c>
      <c r="CC297" s="8">
        <v>126</v>
      </c>
      <c r="CD297" s="8">
        <v>688</v>
      </c>
      <c r="CE297" s="8">
        <v>5</v>
      </c>
      <c r="CF297" s="8">
        <v>7</v>
      </c>
      <c r="CG297" s="8">
        <v>1</v>
      </c>
      <c r="CH297" s="9">
        <f t="shared" si="1490"/>
        <v>701</v>
      </c>
      <c r="CI297" s="8">
        <v>836</v>
      </c>
      <c r="CJ297" s="8">
        <v>6</v>
      </c>
      <c r="CK297" s="8">
        <v>3</v>
      </c>
      <c r="CL297" s="8">
        <v>2</v>
      </c>
      <c r="CM297" s="9">
        <f t="shared" si="1491"/>
        <v>847</v>
      </c>
      <c r="CN297" s="8">
        <v>533</v>
      </c>
      <c r="CO297" s="8">
        <v>33</v>
      </c>
      <c r="CP297" s="8">
        <v>27</v>
      </c>
      <c r="CQ297" s="8">
        <v>4</v>
      </c>
      <c r="CR297" s="9">
        <f t="shared" si="1492"/>
        <v>597</v>
      </c>
      <c r="CS297" s="9">
        <f t="shared" si="1493"/>
        <v>1444</v>
      </c>
      <c r="CT297" s="8">
        <v>2145</v>
      </c>
      <c r="CU297" s="8">
        <v>10682</v>
      </c>
      <c r="CV297" s="8">
        <v>10679.6</v>
      </c>
      <c r="CW297" s="10">
        <f t="shared" si="1494"/>
        <v>0.99977532297322602</v>
      </c>
      <c r="CX297" s="8">
        <v>0</v>
      </c>
      <c r="CY297" s="8">
        <v>0</v>
      </c>
      <c r="CZ297" s="8">
        <v>0</v>
      </c>
      <c r="DA297" s="8">
        <v>0</v>
      </c>
      <c r="DB297" s="9">
        <f t="shared" si="1495"/>
        <v>0</v>
      </c>
      <c r="DC297" s="8">
        <v>1</v>
      </c>
      <c r="DD297" s="8">
        <v>0</v>
      </c>
      <c r="DE297" s="8">
        <v>1</v>
      </c>
      <c r="DF297" s="8">
        <v>0</v>
      </c>
      <c r="DG297" s="9">
        <f t="shared" si="1496"/>
        <v>0</v>
      </c>
      <c r="DH297" s="8">
        <v>0</v>
      </c>
      <c r="DI297" s="8">
        <v>0</v>
      </c>
      <c r="DJ297" s="8">
        <v>0</v>
      </c>
      <c r="DK297" s="8">
        <v>0</v>
      </c>
      <c r="DL297" s="9">
        <f t="shared" si="1497"/>
        <v>0</v>
      </c>
      <c r="DM297" s="8">
        <v>20</v>
      </c>
      <c r="DN297" s="8">
        <v>9</v>
      </c>
      <c r="DO297" s="8">
        <v>3</v>
      </c>
      <c r="DP297" s="8">
        <v>0</v>
      </c>
      <c r="DQ297" s="9">
        <f t="shared" si="1498"/>
        <v>26</v>
      </c>
      <c r="DR297" s="9">
        <f t="shared" si="1499"/>
        <v>21</v>
      </c>
      <c r="DS297" s="9">
        <f t="shared" si="1500"/>
        <v>9</v>
      </c>
      <c r="DT297" s="9">
        <f t="shared" si="1501"/>
        <v>4</v>
      </c>
      <c r="DU297" s="9">
        <f t="shared" si="1502"/>
        <v>0</v>
      </c>
      <c r="DV297" s="9">
        <f t="shared" si="1503"/>
        <v>26</v>
      </c>
      <c r="DW297" s="8">
        <v>11</v>
      </c>
      <c r="DX297" s="8">
        <v>13</v>
      </c>
      <c r="DY297" s="8">
        <v>3</v>
      </c>
      <c r="DZ297" s="8">
        <v>3</v>
      </c>
      <c r="EA297" s="8">
        <v>1</v>
      </c>
      <c r="EB297" s="8">
        <v>3</v>
      </c>
      <c r="EC297" s="8">
        <v>1</v>
      </c>
      <c r="ED297" s="8">
        <v>2</v>
      </c>
      <c r="EE297" s="8">
        <v>3</v>
      </c>
      <c r="EF297" s="8">
        <v>0</v>
      </c>
      <c r="EG297" s="8">
        <v>1</v>
      </c>
      <c r="EH297" s="8">
        <v>0</v>
      </c>
      <c r="EI297" s="8">
        <v>0</v>
      </c>
      <c r="EJ297" s="8">
        <v>3</v>
      </c>
      <c r="EK297" s="8">
        <v>2</v>
      </c>
      <c r="EL297" s="8">
        <v>0</v>
      </c>
      <c r="EM297" s="8">
        <v>0</v>
      </c>
      <c r="EN297" s="8">
        <v>0</v>
      </c>
      <c r="EO297" s="8">
        <v>0</v>
      </c>
      <c r="EP297" s="8">
        <v>0</v>
      </c>
      <c r="EQ297" s="8">
        <v>0</v>
      </c>
      <c r="ER297" s="8">
        <v>0</v>
      </c>
      <c r="ES297" s="8">
        <v>0</v>
      </c>
      <c r="ET297" s="8">
        <v>0</v>
      </c>
      <c r="EU297" s="8">
        <v>0</v>
      </c>
      <c r="EV297" s="8">
        <v>0</v>
      </c>
      <c r="EW297" s="8">
        <v>0</v>
      </c>
      <c r="EX297" s="8">
        <v>0</v>
      </c>
      <c r="EY297" s="8">
        <v>0</v>
      </c>
      <c r="EZ297" s="8">
        <v>0</v>
      </c>
      <c r="FA297" s="8">
        <v>0</v>
      </c>
      <c r="FB297" s="8">
        <v>0</v>
      </c>
      <c r="FC297" s="8">
        <v>0</v>
      </c>
      <c r="FD297" s="8">
        <v>0</v>
      </c>
      <c r="FE297" s="8">
        <v>0</v>
      </c>
      <c r="FF297" s="8">
        <v>0</v>
      </c>
      <c r="FG297" s="9">
        <f t="shared" si="1504"/>
        <v>46</v>
      </c>
      <c r="FH297" s="8">
        <v>0</v>
      </c>
      <c r="FI297" s="8">
        <v>0</v>
      </c>
      <c r="FJ297" s="8">
        <v>20</v>
      </c>
      <c r="FK297" s="8">
        <v>48</v>
      </c>
      <c r="FL297" s="8">
        <v>0</v>
      </c>
      <c r="FM297" s="8">
        <v>0</v>
      </c>
      <c r="FN297" s="8">
        <v>0</v>
      </c>
      <c r="FO297" s="8">
        <v>0</v>
      </c>
      <c r="FP297" s="8">
        <v>0</v>
      </c>
      <c r="FQ297" s="9">
        <f t="shared" si="1505"/>
        <v>0</v>
      </c>
      <c r="FR297" s="8">
        <v>6101860.5099999998</v>
      </c>
      <c r="FS297" s="8">
        <v>0</v>
      </c>
      <c r="FT297" s="8">
        <v>0</v>
      </c>
      <c r="FU297" s="8">
        <v>0</v>
      </c>
      <c r="FV297" s="9">
        <f t="shared" si="1506"/>
        <v>6101860.5099999998</v>
      </c>
      <c r="FW297" s="8">
        <v>12231341.880000001</v>
      </c>
      <c r="FX297" s="8">
        <v>43200</v>
      </c>
      <c r="FY297" s="8">
        <v>3234900</v>
      </c>
      <c r="FZ297" s="8">
        <v>6379800</v>
      </c>
      <c r="GA297" s="9">
        <f t="shared" si="1507"/>
        <v>21889241.880000003</v>
      </c>
      <c r="GB297" s="9">
        <f t="shared" si="1508"/>
        <v>27991102.390000001</v>
      </c>
      <c r="GC297" s="8">
        <v>6702087.1100000003</v>
      </c>
      <c r="GD297" s="8">
        <v>37299.599999999999</v>
      </c>
      <c r="GE297" s="8">
        <v>120098.4</v>
      </c>
      <c r="GF297" s="8">
        <v>28618.61</v>
      </c>
      <c r="GG297" s="9">
        <f t="shared" si="1509"/>
        <v>6888103.7200000007</v>
      </c>
      <c r="GH297" s="8">
        <v>12012140.539999999</v>
      </c>
      <c r="GI297" s="8">
        <v>43200</v>
      </c>
      <c r="GJ297" s="8">
        <v>6379800</v>
      </c>
      <c r="GK297" s="8">
        <v>3112609.14</v>
      </c>
      <c r="GL297" s="9">
        <f t="shared" si="1510"/>
        <v>21547749.68</v>
      </c>
      <c r="GM297" s="9">
        <f t="shared" si="1511"/>
        <v>28435853.399999999</v>
      </c>
      <c r="GN297" s="8">
        <v>453957.87</v>
      </c>
      <c r="GO297" s="8">
        <v>382.56</v>
      </c>
      <c r="GP297" s="8">
        <v>17159.48</v>
      </c>
      <c r="GQ297" s="8">
        <v>13912.02</v>
      </c>
      <c r="GR297" s="9">
        <f t="shared" si="1512"/>
        <v>485411.93</v>
      </c>
      <c r="GS297" s="8">
        <v>746548</v>
      </c>
      <c r="GT297" s="8">
        <v>1786</v>
      </c>
      <c r="GU297" s="8">
        <v>5358</v>
      </c>
      <c r="GV297" s="8">
        <v>2679</v>
      </c>
      <c r="GW297" s="9">
        <f t="shared" si="1513"/>
        <v>756371</v>
      </c>
      <c r="GX297" s="9">
        <f t="shared" si="1514"/>
        <v>29677636.329999998</v>
      </c>
      <c r="GY297" s="8">
        <v>94647218.73999995</v>
      </c>
      <c r="GZ297" s="8">
        <v>0</v>
      </c>
      <c r="HA297" s="9">
        <f t="shared" si="1454"/>
        <v>94647218.73999995</v>
      </c>
      <c r="HB297" s="9">
        <f t="shared" si="1515"/>
        <v>4.5691038068596757E-2</v>
      </c>
      <c r="HC297" s="10">
        <f t="shared" si="1516"/>
        <v>0.2251448624190221</v>
      </c>
      <c r="HD297" s="9">
        <f t="shared" si="1517"/>
        <v>0.94317155445782097</v>
      </c>
      <c r="HE297" s="8">
        <v>14</v>
      </c>
      <c r="HF297" s="8">
        <v>3</v>
      </c>
      <c r="HG297" s="8">
        <v>55</v>
      </c>
      <c r="HH297" s="8">
        <v>12</v>
      </c>
      <c r="HI297" s="8">
        <v>5</v>
      </c>
      <c r="HJ297" s="9">
        <f t="shared" si="1518"/>
        <v>8</v>
      </c>
      <c r="HK297" s="10">
        <f t="shared" si="1519"/>
        <v>0.8571428571428571</v>
      </c>
      <c r="HL297" s="8">
        <v>16</v>
      </c>
      <c r="HM297" s="8">
        <v>5</v>
      </c>
      <c r="HN297" s="11">
        <f t="shared" si="1520"/>
        <v>0.3125</v>
      </c>
    </row>
    <row r="298" spans="1:222" x14ac:dyDescent="0.3">
      <c r="A298" s="12" t="s">
        <v>295</v>
      </c>
      <c r="B298" s="12" t="s">
        <v>297</v>
      </c>
      <c r="C298" s="13" t="s">
        <v>257</v>
      </c>
      <c r="D298" s="13">
        <v>2025</v>
      </c>
      <c r="E298" s="13">
        <v>11</v>
      </c>
      <c r="F298" s="13" t="s">
        <v>268</v>
      </c>
      <c r="G298" s="13" t="s">
        <v>267</v>
      </c>
      <c r="H298" s="14">
        <v>31637</v>
      </c>
      <c r="I298" s="14">
        <v>9045</v>
      </c>
      <c r="J298" s="14">
        <v>156</v>
      </c>
      <c r="K298" s="14">
        <v>54</v>
      </c>
      <c r="L298" s="14">
        <v>74</v>
      </c>
      <c r="M298" s="15">
        <f t="shared" si="1461"/>
        <v>9329</v>
      </c>
      <c r="N298" s="14">
        <v>9564.8000000000193</v>
      </c>
      <c r="O298" s="14">
        <v>200.5</v>
      </c>
      <c r="P298" s="14">
        <v>9967.2999999999993</v>
      </c>
      <c r="Q298" s="14">
        <v>230.2</v>
      </c>
      <c r="R298" s="15">
        <f t="shared" si="1462"/>
        <v>19962.800000000021</v>
      </c>
      <c r="S298" s="15">
        <f t="shared" si="1463"/>
        <v>29291.800000000021</v>
      </c>
      <c r="T298" s="14">
        <v>2345.1999999999798</v>
      </c>
      <c r="U298" s="16">
        <f t="shared" si="1464"/>
        <v>7.4128393969086187E-2</v>
      </c>
      <c r="V298" s="14">
        <v>25</v>
      </c>
      <c r="W298" s="17">
        <f t="shared" si="1465"/>
        <v>7.9021398994847801E-4</v>
      </c>
      <c r="X298" s="14">
        <v>75</v>
      </c>
      <c r="Y298" s="17">
        <f t="shared" si="1466"/>
        <v>2.3706419698454342E-3</v>
      </c>
      <c r="Z298" s="14">
        <v>37.5</v>
      </c>
      <c r="AA298" s="17">
        <f t="shared" si="1467"/>
        <v>1.1853209849227171E-3</v>
      </c>
      <c r="AB298" s="14">
        <v>0</v>
      </c>
      <c r="AC298" s="17">
        <f t="shared" si="1468"/>
        <v>0</v>
      </c>
      <c r="AD298" s="14">
        <v>0</v>
      </c>
      <c r="AE298" s="17">
        <f t="shared" si="1469"/>
        <v>0</v>
      </c>
      <c r="AF298" s="14">
        <v>0</v>
      </c>
      <c r="AG298" s="17">
        <f t="shared" si="1470"/>
        <v>0</v>
      </c>
      <c r="AH298" s="14">
        <v>1756850</v>
      </c>
      <c r="AI298" s="15">
        <f t="shared" si="1471"/>
        <v>55.531497929639343</v>
      </c>
      <c r="AJ298" s="14">
        <v>103.68</v>
      </c>
      <c r="AK298" s="17">
        <f t="shared" si="1472"/>
        <v>3.2771754591143284E-3</v>
      </c>
      <c r="AL298" s="14">
        <v>59943.127119999997</v>
      </c>
      <c r="AM298" s="15">
        <f t="shared" si="1473"/>
        <v>1.8947159060593608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5">
        <f t="shared" si="1474"/>
        <v>1816793.1271200001</v>
      </c>
      <c r="AV298" s="15">
        <f t="shared" si="1475"/>
        <v>57.426213835698711</v>
      </c>
      <c r="AW298" s="15">
        <f t="shared" si="1476"/>
        <v>62.023949607740008</v>
      </c>
      <c r="AX298" s="14">
        <v>7</v>
      </c>
      <c r="AY298" s="15">
        <f t="shared" si="1477"/>
        <v>2.6551190062268861</v>
      </c>
      <c r="AZ298" s="14">
        <v>17</v>
      </c>
      <c r="BA298" s="14">
        <v>48</v>
      </c>
      <c r="BB298" s="14">
        <v>17</v>
      </c>
      <c r="BC298" s="14">
        <v>15</v>
      </c>
      <c r="BD298" s="14">
        <v>0</v>
      </c>
      <c r="BE298" s="15">
        <f t="shared" si="1478"/>
        <v>15</v>
      </c>
      <c r="BF298" s="15">
        <f t="shared" si="1479"/>
        <v>50</v>
      </c>
      <c r="BG298" s="14">
        <v>2</v>
      </c>
      <c r="BH298" s="14">
        <v>0</v>
      </c>
      <c r="BI298" s="14">
        <v>0</v>
      </c>
      <c r="BJ298" s="14">
        <v>0</v>
      </c>
      <c r="BK298" s="15">
        <f t="shared" si="1480"/>
        <v>0</v>
      </c>
      <c r="BL298" s="15">
        <f t="shared" si="1481"/>
        <v>2</v>
      </c>
      <c r="BM298" s="14">
        <v>5</v>
      </c>
      <c r="BN298" s="14">
        <v>0</v>
      </c>
      <c r="BO298" s="14">
        <v>0</v>
      </c>
      <c r="BP298" s="14">
        <v>0</v>
      </c>
      <c r="BQ298" s="15">
        <f t="shared" si="1482"/>
        <v>0</v>
      </c>
      <c r="BR298" s="15">
        <f t="shared" si="1483"/>
        <v>5</v>
      </c>
      <c r="BS298" s="14">
        <v>0</v>
      </c>
      <c r="BT298" s="14">
        <v>0</v>
      </c>
      <c r="BU298" s="14">
        <v>0</v>
      </c>
      <c r="BV298" s="14">
        <v>0</v>
      </c>
      <c r="BW298" s="15">
        <f t="shared" si="1484"/>
        <v>0</v>
      </c>
      <c r="BX298" s="15">
        <f t="shared" si="1485"/>
        <v>0</v>
      </c>
      <c r="BY298" s="15">
        <f t="shared" si="1486"/>
        <v>55</v>
      </c>
      <c r="BZ298" s="15">
        <f t="shared" si="1487"/>
        <v>17</v>
      </c>
      <c r="CA298" s="15">
        <f t="shared" si="1488"/>
        <v>15</v>
      </c>
      <c r="CB298" s="15">
        <f t="shared" si="1489"/>
        <v>57</v>
      </c>
      <c r="CC298" s="14">
        <v>48</v>
      </c>
      <c r="CD298" s="14">
        <v>651</v>
      </c>
      <c r="CE298" s="14">
        <v>7</v>
      </c>
      <c r="CF298" s="14">
        <v>3</v>
      </c>
      <c r="CG298" s="14">
        <v>3</v>
      </c>
      <c r="CH298" s="15">
        <f t="shared" si="1490"/>
        <v>664</v>
      </c>
      <c r="CI298" s="14">
        <v>840</v>
      </c>
      <c r="CJ298" s="14">
        <v>6</v>
      </c>
      <c r="CK298" s="14">
        <v>3</v>
      </c>
      <c r="CL298" s="14">
        <v>2</v>
      </c>
      <c r="CM298" s="15">
        <f t="shared" si="1491"/>
        <v>851</v>
      </c>
      <c r="CN298" s="14">
        <v>581</v>
      </c>
      <c r="CO298" s="14">
        <v>31</v>
      </c>
      <c r="CP298" s="14">
        <v>31</v>
      </c>
      <c r="CQ298" s="14">
        <v>2</v>
      </c>
      <c r="CR298" s="15">
        <f t="shared" si="1492"/>
        <v>645</v>
      </c>
      <c r="CS298" s="15">
        <f t="shared" si="1493"/>
        <v>1496</v>
      </c>
      <c r="CT298" s="14">
        <v>2160</v>
      </c>
      <c r="CU298" s="14">
        <v>10682</v>
      </c>
      <c r="CV298" s="14">
        <v>10679.6</v>
      </c>
      <c r="CW298" s="16">
        <f t="shared" si="1494"/>
        <v>0.99977532297322602</v>
      </c>
      <c r="CX298" s="14">
        <v>0</v>
      </c>
      <c r="CY298" s="14">
        <v>0</v>
      </c>
      <c r="CZ298" s="14">
        <v>0</v>
      </c>
      <c r="DA298" s="14">
        <v>0</v>
      </c>
      <c r="DB298" s="15">
        <f t="shared" si="1495"/>
        <v>0</v>
      </c>
      <c r="DC298" s="14">
        <v>0</v>
      </c>
      <c r="DD298" s="14">
        <v>0</v>
      </c>
      <c r="DE298" s="14">
        <v>0</v>
      </c>
      <c r="DF298" s="14">
        <v>0</v>
      </c>
      <c r="DG298" s="15">
        <f t="shared" si="1496"/>
        <v>0</v>
      </c>
      <c r="DH298" s="14">
        <v>0</v>
      </c>
      <c r="DI298" s="14">
        <v>0</v>
      </c>
      <c r="DJ298" s="14">
        <v>0</v>
      </c>
      <c r="DK298" s="14">
        <v>0</v>
      </c>
      <c r="DL298" s="15">
        <f t="shared" si="1497"/>
        <v>0</v>
      </c>
      <c r="DM298" s="14">
        <v>26</v>
      </c>
      <c r="DN298" s="14">
        <v>5</v>
      </c>
      <c r="DO298" s="14">
        <v>12</v>
      </c>
      <c r="DP298" s="14">
        <v>0</v>
      </c>
      <c r="DQ298" s="15">
        <f t="shared" si="1498"/>
        <v>19</v>
      </c>
      <c r="DR298" s="15">
        <f t="shared" si="1499"/>
        <v>26</v>
      </c>
      <c r="DS298" s="15">
        <f t="shared" si="1500"/>
        <v>5</v>
      </c>
      <c r="DT298" s="15">
        <f t="shared" si="1501"/>
        <v>12</v>
      </c>
      <c r="DU298" s="15">
        <f t="shared" si="1502"/>
        <v>0</v>
      </c>
      <c r="DV298" s="15">
        <f t="shared" si="1503"/>
        <v>19</v>
      </c>
      <c r="DW298" s="14">
        <v>9</v>
      </c>
      <c r="DX298" s="14">
        <v>9</v>
      </c>
      <c r="DY298" s="14">
        <v>5</v>
      </c>
      <c r="DZ298" s="14">
        <v>1</v>
      </c>
      <c r="EA298" s="14">
        <v>0</v>
      </c>
      <c r="EB298" s="14">
        <v>4</v>
      </c>
      <c r="EC298" s="14">
        <v>0</v>
      </c>
      <c r="ED298" s="14">
        <v>2</v>
      </c>
      <c r="EE298" s="14">
        <v>0</v>
      </c>
      <c r="EF298" s="14">
        <v>0</v>
      </c>
      <c r="EG298" s="14">
        <v>2</v>
      </c>
      <c r="EH298" s="14">
        <v>0</v>
      </c>
      <c r="EI298" s="14">
        <v>0</v>
      </c>
      <c r="EJ298" s="14">
        <v>6</v>
      </c>
      <c r="EK298" s="14">
        <v>2</v>
      </c>
      <c r="EL298" s="14">
        <v>0</v>
      </c>
      <c r="EM298" s="14">
        <v>0</v>
      </c>
      <c r="EN298" s="14">
        <v>0</v>
      </c>
      <c r="EO298" s="14">
        <v>0</v>
      </c>
      <c r="EP298" s="14">
        <v>0</v>
      </c>
      <c r="EQ298" s="14">
        <v>0</v>
      </c>
      <c r="ER298" s="14">
        <v>0</v>
      </c>
      <c r="ES298" s="14">
        <v>0</v>
      </c>
      <c r="ET298" s="14">
        <v>0</v>
      </c>
      <c r="EU298" s="14">
        <v>0</v>
      </c>
      <c r="EV298" s="14">
        <v>0</v>
      </c>
      <c r="EW298" s="14">
        <v>0</v>
      </c>
      <c r="EX298" s="14">
        <v>0</v>
      </c>
      <c r="EY298" s="14">
        <v>0</v>
      </c>
      <c r="EZ298" s="14">
        <v>0</v>
      </c>
      <c r="FA298" s="14">
        <v>0</v>
      </c>
      <c r="FB298" s="14">
        <v>0</v>
      </c>
      <c r="FC298" s="14">
        <v>0</v>
      </c>
      <c r="FD298" s="14">
        <v>0</v>
      </c>
      <c r="FE298" s="14">
        <v>0</v>
      </c>
      <c r="FF298" s="14">
        <v>0</v>
      </c>
      <c r="FG298" s="15">
        <f t="shared" si="1504"/>
        <v>40</v>
      </c>
      <c r="FH298" s="14">
        <v>0</v>
      </c>
      <c r="FI298" s="14">
        <v>0</v>
      </c>
      <c r="FJ298" s="14">
        <v>22</v>
      </c>
      <c r="FK298" s="14">
        <v>42</v>
      </c>
      <c r="FL298" s="14">
        <v>0</v>
      </c>
      <c r="FM298" s="14">
        <v>0</v>
      </c>
      <c r="FN298" s="14">
        <v>0</v>
      </c>
      <c r="FO298" s="14">
        <v>0</v>
      </c>
      <c r="FP298" s="14">
        <v>0</v>
      </c>
      <c r="FQ298" s="15">
        <f t="shared" si="1505"/>
        <v>0</v>
      </c>
      <c r="FR298" s="14">
        <v>7696787.2699999996</v>
      </c>
      <c r="FS298" s="14">
        <v>0</v>
      </c>
      <c r="FT298" s="14">
        <v>50000</v>
      </c>
      <c r="FU298" s="14">
        <v>100000</v>
      </c>
      <c r="FV298" s="15">
        <f t="shared" si="1506"/>
        <v>7846787.2699999996</v>
      </c>
      <c r="FW298" s="14">
        <v>12161562.460000001</v>
      </c>
      <c r="FX298" s="14">
        <v>42600</v>
      </c>
      <c r="FY298" s="14">
        <v>1091464.05</v>
      </c>
      <c r="FZ298" s="14">
        <v>30296483.370000001</v>
      </c>
      <c r="GA298" s="15">
        <f t="shared" si="1507"/>
        <v>43592109.880000003</v>
      </c>
      <c r="GB298" s="15">
        <f t="shared" si="1508"/>
        <v>51438897.150000006</v>
      </c>
      <c r="GC298" s="14">
        <v>8037710.4000000004</v>
      </c>
      <c r="GD298" s="14">
        <v>29839.68</v>
      </c>
      <c r="GE298" s="14">
        <v>135386.26</v>
      </c>
      <c r="GF298" s="14">
        <v>311248.34999999998</v>
      </c>
      <c r="GG298" s="15">
        <f t="shared" si="1509"/>
        <v>8514184.6899999995</v>
      </c>
      <c r="GH298" s="14">
        <v>11932122.460000001</v>
      </c>
      <c r="GI298" s="14">
        <v>42600</v>
      </c>
      <c r="GJ298" s="14">
        <v>30269663.370000001</v>
      </c>
      <c r="GK298" s="14">
        <v>1089756.06</v>
      </c>
      <c r="GL298" s="15">
        <f t="shared" si="1510"/>
        <v>43334141.890000001</v>
      </c>
      <c r="GM298" s="15">
        <f t="shared" si="1511"/>
        <v>51848326.579999998</v>
      </c>
      <c r="GN298" s="14">
        <v>456137.59</v>
      </c>
      <c r="GO298" s="14">
        <v>382.56</v>
      </c>
      <c r="GP298" s="14">
        <v>20361.84</v>
      </c>
      <c r="GQ298" s="14">
        <v>13912.02</v>
      </c>
      <c r="GR298" s="15">
        <f t="shared" si="1512"/>
        <v>490794.01000000007</v>
      </c>
      <c r="GS298" s="14">
        <v>750120</v>
      </c>
      <c r="GT298" s="14">
        <v>1786</v>
      </c>
      <c r="GU298" s="14">
        <v>5358</v>
      </c>
      <c r="GV298" s="14">
        <v>2679</v>
      </c>
      <c r="GW298" s="15">
        <f t="shared" si="1513"/>
        <v>759943</v>
      </c>
      <c r="GX298" s="15">
        <f t="shared" si="1514"/>
        <v>53099063.589999996</v>
      </c>
      <c r="GY298" s="14">
        <v>59745048.709999941</v>
      </c>
      <c r="GZ298" s="14">
        <v>0</v>
      </c>
      <c r="HA298" s="9">
        <f t="shared" si="1454"/>
        <v>59745048.709999941</v>
      </c>
      <c r="HB298" s="15">
        <f t="shared" si="1515"/>
        <v>3.4215163211694599E-2</v>
      </c>
      <c r="HC298" s="16">
        <f t="shared" si="1516"/>
        <v>0.45584032787858647</v>
      </c>
      <c r="HD298" s="15">
        <f t="shared" si="1517"/>
        <v>0.96873454393058933</v>
      </c>
      <c r="HE298" s="14">
        <v>17</v>
      </c>
      <c r="HF298" s="14">
        <v>2</v>
      </c>
      <c r="HG298" s="14">
        <v>57</v>
      </c>
      <c r="HH298" s="14">
        <v>17</v>
      </c>
      <c r="HI298" s="14">
        <v>5</v>
      </c>
      <c r="HJ298" s="15">
        <f t="shared" si="1518"/>
        <v>7</v>
      </c>
      <c r="HK298" s="16">
        <f t="shared" si="1519"/>
        <v>1</v>
      </c>
      <c r="HL298" s="14">
        <v>11</v>
      </c>
      <c r="HM298" s="14">
        <v>6</v>
      </c>
      <c r="HN298" s="17">
        <f t="shared" si="1520"/>
        <v>0.54545454545454541</v>
      </c>
    </row>
    <row r="299" spans="1:222" x14ac:dyDescent="0.3">
      <c r="A299" s="6" t="s">
        <v>295</v>
      </c>
      <c r="B299" s="6" t="s">
        <v>297</v>
      </c>
      <c r="C299" s="7" t="s">
        <v>257</v>
      </c>
      <c r="D299" s="7">
        <v>2025</v>
      </c>
      <c r="E299" s="7">
        <v>12</v>
      </c>
      <c r="F299" s="7" t="s">
        <v>269</v>
      </c>
      <c r="G299" s="7" t="s">
        <v>267</v>
      </c>
      <c r="H299" s="8">
        <v>25131</v>
      </c>
      <c r="I299" s="8">
        <v>6173</v>
      </c>
      <c r="J299" s="8">
        <v>0</v>
      </c>
      <c r="K299" s="8">
        <v>37</v>
      </c>
      <c r="L299" s="8">
        <v>20</v>
      </c>
      <c r="M299" s="9">
        <f t="shared" si="1461"/>
        <v>6230</v>
      </c>
      <c r="N299" s="8">
        <v>6507.2000000000298</v>
      </c>
      <c r="O299" s="8">
        <v>155.80000000000001</v>
      </c>
      <c r="P299" s="8">
        <v>2406</v>
      </c>
      <c r="Q299" s="8">
        <v>242.8</v>
      </c>
      <c r="R299" s="9">
        <f t="shared" si="1462"/>
        <v>9311.8000000000284</v>
      </c>
      <c r="S299" s="9">
        <f t="shared" si="1463"/>
        <v>15541.800000000028</v>
      </c>
      <c r="T299" s="8">
        <v>9589.1999999999698</v>
      </c>
      <c r="U299" s="10">
        <f t="shared" si="1464"/>
        <v>0.38156858063745852</v>
      </c>
      <c r="V299" s="8">
        <v>50</v>
      </c>
      <c r="W299" s="11">
        <f t="shared" si="1465"/>
        <v>1.9895746289443315E-3</v>
      </c>
      <c r="X299" s="8">
        <v>200</v>
      </c>
      <c r="Y299" s="11">
        <f t="shared" si="1466"/>
        <v>7.9582985157773262E-3</v>
      </c>
      <c r="Z299" s="8">
        <v>100</v>
      </c>
      <c r="AA299" s="11">
        <f t="shared" si="1467"/>
        <v>3.9791492578886631E-3</v>
      </c>
      <c r="AB299" s="8">
        <v>0</v>
      </c>
      <c r="AC299" s="11">
        <f t="shared" si="1468"/>
        <v>0</v>
      </c>
      <c r="AD299" s="8">
        <v>0</v>
      </c>
      <c r="AE299" s="11">
        <f t="shared" si="1469"/>
        <v>0</v>
      </c>
      <c r="AF299" s="8">
        <v>0</v>
      </c>
      <c r="AG299" s="11">
        <f t="shared" si="1470"/>
        <v>0</v>
      </c>
      <c r="AH299" s="8">
        <v>4251600</v>
      </c>
      <c r="AI299" s="9">
        <f t="shared" si="1471"/>
        <v>169.17750984839441</v>
      </c>
      <c r="AJ299" s="8">
        <v>94.11</v>
      </c>
      <c r="AK299" s="11">
        <f t="shared" si="1472"/>
        <v>3.744777366599021E-3</v>
      </c>
      <c r="AL299" s="8">
        <v>57327.559990000002</v>
      </c>
      <c r="AM299" s="9">
        <f t="shared" si="1473"/>
        <v>2.2811491779077633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9">
        <f t="shared" si="1474"/>
        <v>4308927.55999</v>
      </c>
      <c r="AV299" s="9">
        <f t="shared" si="1475"/>
        <v>171.45865902630217</v>
      </c>
      <c r="AW299" s="9">
        <f t="shared" si="1476"/>
        <v>277.24765213746105</v>
      </c>
      <c r="AX299" s="8">
        <v>7</v>
      </c>
      <c r="AY299" s="9">
        <f t="shared" si="1477"/>
        <v>3.342485376626477</v>
      </c>
      <c r="AZ299" s="8">
        <v>17</v>
      </c>
      <c r="BA299" s="8">
        <v>50</v>
      </c>
      <c r="BB299" s="8">
        <v>12</v>
      </c>
      <c r="BC299" s="8">
        <v>9</v>
      </c>
      <c r="BD299" s="8">
        <v>0</v>
      </c>
      <c r="BE299" s="9">
        <f t="shared" si="1478"/>
        <v>9</v>
      </c>
      <c r="BF299" s="9">
        <f t="shared" si="1479"/>
        <v>53</v>
      </c>
      <c r="BG299" s="8">
        <v>2</v>
      </c>
      <c r="BH299" s="8">
        <v>0</v>
      </c>
      <c r="BI299" s="8">
        <v>0</v>
      </c>
      <c r="BJ299" s="8">
        <v>0</v>
      </c>
      <c r="BK299" s="9">
        <f t="shared" si="1480"/>
        <v>0</v>
      </c>
      <c r="BL299" s="9">
        <f t="shared" si="1481"/>
        <v>2</v>
      </c>
      <c r="BM299" s="8">
        <v>5</v>
      </c>
      <c r="BN299" s="8">
        <v>0</v>
      </c>
      <c r="BO299" s="8">
        <v>0</v>
      </c>
      <c r="BP299" s="8">
        <v>0</v>
      </c>
      <c r="BQ299" s="9">
        <f t="shared" si="1482"/>
        <v>0</v>
      </c>
      <c r="BR299" s="9">
        <f t="shared" si="1483"/>
        <v>5</v>
      </c>
      <c r="BS299" s="8">
        <v>0</v>
      </c>
      <c r="BT299" s="8">
        <v>1</v>
      </c>
      <c r="BU299" s="8">
        <v>0</v>
      </c>
      <c r="BV299" s="8">
        <v>0</v>
      </c>
      <c r="BW299" s="9">
        <f t="shared" si="1484"/>
        <v>0</v>
      </c>
      <c r="BX299" s="9">
        <f t="shared" si="1485"/>
        <v>1</v>
      </c>
      <c r="BY299" s="9">
        <f t="shared" si="1486"/>
        <v>57</v>
      </c>
      <c r="BZ299" s="9">
        <f t="shared" si="1487"/>
        <v>13</v>
      </c>
      <c r="CA299" s="9">
        <f t="shared" si="1488"/>
        <v>9</v>
      </c>
      <c r="CB299" s="9">
        <f t="shared" si="1489"/>
        <v>61</v>
      </c>
      <c r="CC299" s="8">
        <v>0</v>
      </c>
      <c r="CD299" s="8">
        <v>709</v>
      </c>
      <c r="CE299" s="8">
        <v>7</v>
      </c>
      <c r="CF299" s="8">
        <v>3</v>
      </c>
      <c r="CG299" s="8">
        <v>3</v>
      </c>
      <c r="CH299" s="9">
        <f t="shared" si="1490"/>
        <v>722</v>
      </c>
      <c r="CI299" s="8">
        <v>787</v>
      </c>
      <c r="CJ299" s="8">
        <v>5</v>
      </c>
      <c r="CK299" s="8">
        <v>2</v>
      </c>
      <c r="CL299" s="8">
        <v>0</v>
      </c>
      <c r="CM299" s="9">
        <f t="shared" si="1491"/>
        <v>794</v>
      </c>
      <c r="CN299" s="8">
        <v>585</v>
      </c>
      <c r="CO299" s="8">
        <v>32</v>
      </c>
      <c r="CP299" s="8">
        <v>32</v>
      </c>
      <c r="CQ299" s="8">
        <v>4</v>
      </c>
      <c r="CR299" s="9">
        <f t="shared" si="1492"/>
        <v>653</v>
      </c>
      <c r="CS299" s="9">
        <f t="shared" si="1493"/>
        <v>1447</v>
      </c>
      <c r="CT299" s="8">
        <v>2169</v>
      </c>
      <c r="CU299" s="8">
        <v>10691</v>
      </c>
      <c r="CV299" s="8">
        <v>10688.6</v>
      </c>
      <c r="CW299" s="10">
        <f t="shared" si="1494"/>
        <v>0.99977551211299232</v>
      </c>
      <c r="CX299" s="8">
        <v>0</v>
      </c>
      <c r="CY299" s="8">
        <v>0</v>
      </c>
      <c r="CZ299" s="8">
        <v>0</v>
      </c>
      <c r="DA299" s="8">
        <v>0</v>
      </c>
      <c r="DB299" s="9">
        <f t="shared" si="1495"/>
        <v>0</v>
      </c>
      <c r="DC299" s="8">
        <v>0</v>
      </c>
      <c r="DD299" s="8">
        <v>0</v>
      </c>
      <c r="DE299" s="8">
        <v>0</v>
      </c>
      <c r="DF299" s="8">
        <v>0</v>
      </c>
      <c r="DG299" s="9">
        <f t="shared" si="1496"/>
        <v>0</v>
      </c>
      <c r="DH299" s="8">
        <v>0</v>
      </c>
      <c r="DI299" s="8">
        <v>0</v>
      </c>
      <c r="DJ299" s="8">
        <v>0</v>
      </c>
      <c r="DK299" s="8">
        <v>0</v>
      </c>
      <c r="DL299" s="9">
        <f t="shared" si="1497"/>
        <v>0</v>
      </c>
      <c r="DM299" s="8">
        <v>19</v>
      </c>
      <c r="DN299" s="8">
        <v>17</v>
      </c>
      <c r="DO299" s="8">
        <v>16</v>
      </c>
      <c r="DP299" s="8">
        <v>0</v>
      </c>
      <c r="DQ299" s="9">
        <f t="shared" si="1498"/>
        <v>20</v>
      </c>
      <c r="DR299" s="9">
        <f t="shared" si="1499"/>
        <v>19</v>
      </c>
      <c r="DS299" s="9">
        <f t="shared" si="1500"/>
        <v>17</v>
      </c>
      <c r="DT299" s="9">
        <f t="shared" si="1501"/>
        <v>16</v>
      </c>
      <c r="DU299" s="9">
        <f t="shared" si="1502"/>
        <v>0</v>
      </c>
      <c r="DV299" s="9">
        <f t="shared" si="1503"/>
        <v>20</v>
      </c>
      <c r="DW299" s="8">
        <v>16</v>
      </c>
      <c r="DX299" s="8">
        <v>12</v>
      </c>
      <c r="DY299" s="8">
        <v>2</v>
      </c>
      <c r="DZ299" s="8">
        <v>1</v>
      </c>
      <c r="EA299" s="8">
        <v>0</v>
      </c>
      <c r="EB299" s="8">
        <v>2</v>
      </c>
      <c r="EC299" s="8">
        <v>1</v>
      </c>
      <c r="ED299" s="8">
        <v>3</v>
      </c>
      <c r="EE299" s="8">
        <v>2</v>
      </c>
      <c r="EF299" s="8">
        <v>0</v>
      </c>
      <c r="EG299" s="8">
        <v>0</v>
      </c>
      <c r="EH299" s="8">
        <v>0</v>
      </c>
      <c r="EI299" s="8">
        <v>0</v>
      </c>
      <c r="EJ299" s="8">
        <v>4</v>
      </c>
      <c r="EK299" s="8">
        <v>2</v>
      </c>
      <c r="EL299" s="8">
        <v>0</v>
      </c>
      <c r="EM299" s="8">
        <v>0</v>
      </c>
      <c r="EN299" s="8">
        <v>0</v>
      </c>
      <c r="EO299" s="8">
        <v>1</v>
      </c>
      <c r="EP299" s="8">
        <v>0</v>
      </c>
      <c r="EQ299" s="8">
        <v>0</v>
      </c>
      <c r="ER299" s="8">
        <v>0</v>
      </c>
      <c r="ES299" s="8">
        <v>0</v>
      </c>
      <c r="ET299" s="8">
        <v>0</v>
      </c>
      <c r="EU299" s="8">
        <v>0</v>
      </c>
      <c r="EV299" s="8">
        <v>0</v>
      </c>
      <c r="EW299" s="8">
        <v>0</v>
      </c>
      <c r="EX299" s="8">
        <v>0</v>
      </c>
      <c r="EY299" s="8">
        <v>0</v>
      </c>
      <c r="EZ299" s="8">
        <v>0</v>
      </c>
      <c r="FA299" s="8">
        <v>0</v>
      </c>
      <c r="FB299" s="8">
        <v>0</v>
      </c>
      <c r="FC299" s="8">
        <v>0</v>
      </c>
      <c r="FD299" s="8">
        <v>0</v>
      </c>
      <c r="FE299" s="8">
        <v>0</v>
      </c>
      <c r="FF299" s="8">
        <v>0</v>
      </c>
      <c r="FG299" s="9">
        <f t="shared" si="1504"/>
        <v>46</v>
      </c>
      <c r="FH299" s="8">
        <v>0</v>
      </c>
      <c r="FI299" s="8">
        <v>0</v>
      </c>
      <c r="FJ299" s="8">
        <v>20</v>
      </c>
      <c r="FK299" s="8">
        <v>121</v>
      </c>
      <c r="FL299" s="8">
        <v>0</v>
      </c>
      <c r="FM299" s="8">
        <v>0</v>
      </c>
      <c r="FN299" s="8">
        <v>0</v>
      </c>
      <c r="FO299" s="8">
        <v>0</v>
      </c>
      <c r="FP299" s="8">
        <v>0</v>
      </c>
      <c r="FQ299" s="9">
        <f t="shared" si="1505"/>
        <v>0</v>
      </c>
      <c r="FR299" s="8">
        <v>8753189.5899999999</v>
      </c>
      <c r="FS299" s="8">
        <v>0</v>
      </c>
      <c r="FT299" s="8">
        <v>15000</v>
      </c>
      <c r="FU299" s="8">
        <v>20000</v>
      </c>
      <c r="FV299" s="9">
        <f t="shared" si="1506"/>
        <v>8788189.5899999999</v>
      </c>
      <c r="FW299" s="8">
        <v>8215548.2800000003</v>
      </c>
      <c r="FX299" s="8">
        <v>33100</v>
      </c>
      <c r="FY299" s="8">
        <v>1148800</v>
      </c>
      <c r="FZ299" s="8">
        <v>7311600</v>
      </c>
      <c r="GA299" s="9">
        <f t="shared" si="1507"/>
        <v>16709048.280000001</v>
      </c>
      <c r="GB299" s="9">
        <f t="shared" si="1508"/>
        <v>25497237.870000001</v>
      </c>
      <c r="GC299" s="8">
        <v>5406523.2800000003</v>
      </c>
      <c r="GD299" s="8">
        <v>0</v>
      </c>
      <c r="GE299" s="8">
        <v>92231.360000000001</v>
      </c>
      <c r="GF299" s="8">
        <v>60293.58</v>
      </c>
      <c r="GG299" s="9">
        <f t="shared" si="1509"/>
        <v>5559048.2200000007</v>
      </c>
      <c r="GH299" s="8">
        <v>8119098.0999999996</v>
      </c>
      <c r="GI299" s="8">
        <v>33100</v>
      </c>
      <c r="GJ299" s="8">
        <v>7311600</v>
      </c>
      <c r="GK299" s="8">
        <v>1148800</v>
      </c>
      <c r="GL299" s="9">
        <f t="shared" si="1510"/>
        <v>16612598.1</v>
      </c>
      <c r="GM299" s="9">
        <f t="shared" si="1511"/>
        <v>22171646.32</v>
      </c>
      <c r="GN299" s="8">
        <v>427359.14</v>
      </c>
      <c r="GO299" s="8">
        <v>0</v>
      </c>
      <c r="GP299" s="8">
        <v>16968.2</v>
      </c>
      <c r="GQ299" s="8">
        <v>9274.68</v>
      </c>
      <c r="GR299" s="9">
        <f t="shared" si="1512"/>
        <v>453602.02</v>
      </c>
      <c r="GS299" s="8">
        <v>702791</v>
      </c>
      <c r="GT299" s="8">
        <v>0</v>
      </c>
      <c r="GU299" s="8">
        <v>4465</v>
      </c>
      <c r="GV299" s="8">
        <v>1786</v>
      </c>
      <c r="GW299" s="9">
        <f t="shared" si="1513"/>
        <v>709042</v>
      </c>
      <c r="GX299" s="9">
        <f t="shared" si="1514"/>
        <v>23334290.34</v>
      </c>
      <c r="GY299" s="8">
        <v>93174249.019999966</v>
      </c>
      <c r="GZ299" s="8">
        <v>0</v>
      </c>
      <c r="HA299" s="9">
        <f t="shared" si="1454"/>
        <v>93174249.019999966</v>
      </c>
      <c r="HB299" s="9">
        <f t="shared" si="1515"/>
        <v>0.18466075021804157</v>
      </c>
      <c r="HC299" s="10">
        <f t="shared" si="1516"/>
        <v>0.21884436977804722</v>
      </c>
      <c r="HD299" s="9">
        <f t="shared" si="1517"/>
        <v>1.0926939494831023</v>
      </c>
      <c r="HE299" s="8">
        <v>13</v>
      </c>
      <c r="HF299" s="8">
        <v>2</v>
      </c>
      <c r="HG299" s="8">
        <v>61</v>
      </c>
      <c r="HH299" s="8">
        <v>13</v>
      </c>
      <c r="HI299" s="8">
        <v>4</v>
      </c>
      <c r="HJ299" s="9">
        <f t="shared" si="1518"/>
        <v>6</v>
      </c>
      <c r="HK299" s="10">
        <f t="shared" si="1519"/>
        <v>1</v>
      </c>
      <c r="HL299" s="8">
        <v>61</v>
      </c>
      <c r="HM299" s="8">
        <v>4</v>
      </c>
      <c r="HN299" s="11">
        <f t="shared" si="1520"/>
        <v>6.5573770491803282E-2</v>
      </c>
    </row>
    <row r="300" spans="1:222" x14ac:dyDescent="0.3">
      <c r="A300" s="12" t="s">
        <v>295</v>
      </c>
      <c r="B300" s="12" t="s">
        <v>297</v>
      </c>
      <c r="C300" s="13" t="s">
        <v>257</v>
      </c>
      <c r="D300" s="13">
        <v>2026</v>
      </c>
      <c r="E300" s="13">
        <v>1</v>
      </c>
      <c r="F300" s="13" t="s">
        <v>270</v>
      </c>
      <c r="G300" s="13" t="s">
        <v>271</v>
      </c>
      <c r="H300" s="14">
        <v>27149</v>
      </c>
      <c r="I300" s="14">
        <v>6250</v>
      </c>
      <c r="J300" s="14">
        <v>5</v>
      </c>
      <c r="K300" s="14">
        <v>33</v>
      </c>
      <c r="L300" s="14">
        <v>8</v>
      </c>
      <c r="M300" s="15">
        <v>6296</v>
      </c>
      <c r="N300" s="14">
        <v>6367.2000000000271</v>
      </c>
      <c r="O300" s="14">
        <v>164.2</v>
      </c>
      <c r="P300" s="14">
        <v>10449.4</v>
      </c>
      <c r="Q300" s="14">
        <v>1687.7</v>
      </c>
      <c r="R300" s="15">
        <v>18668.500000000029</v>
      </c>
      <c r="S300" s="15">
        <v>24964.500000000029</v>
      </c>
      <c r="T300" s="14">
        <v>2184.4999999999709</v>
      </c>
      <c r="U300" s="16">
        <v>8.046336881652992E-2</v>
      </c>
      <c r="V300" s="14">
        <v>50</v>
      </c>
      <c r="W300" s="17">
        <v>1.84168845998011</v>
      </c>
      <c r="X300" s="14">
        <v>200</v>
      </c>
      <c r="Y300" s="17">
        <v>7.3667538399204391</v>
      </c>
      <c r="Z300" s="14">
        <v>100</v>
      </c>
      <c r="AA300" s="17">
        <v>3.68337691996022</v>
      </c>
      <c r="AB300" s="14">
        <v>0</v>
      </c>
      <c r="AC300" s="17">
        <v>0</v>
      </c>
      <c r="AD300" s="14">
        <v>0</v>
      </c>
      <c r="AE300" s="17">
        <v>0</v>
      </c>
      <c r="AF300" s="14">
        <v>0</v>
      </c>
      <c r="AG300" s="17">
        <v>0</v>
      </c>
      <c r="AH300" s="14">
        <v>4251600</v>
      </c>
      <c r="AI300" s="15">
        <v>156.6024531290287</v>
      </c>
      <c r="AJ300" s="14">
        <v>102.86</v>
      </c>
      <c r="AK300" s="17">
        <v>3.7887214998710821E-3</v>
      </c>
      <c r="AL300" s="14">
        <v>59719.013740000002</v>
      </c>
      <c r="AM300" s="15">
        <v>2.1996763689270322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5">
        <v>4311319.0137400003</v>
      </c>
      <c r="AV300" s="15">
        <v>158.80212949795569</v>
      </c>
      <c r="AW300" s="15">
        <v>172.69799169781069</v>
      </c>
      <c r="AX300" s="14">
        <v>7</v>
      </c>
      <c r="AY300" s="15">
        <v>7.9929279163136764</v>
      </c>
      <c r="AZ300" s="14">
        <v>17</v>
      </c>
      <c r="BA300" s="14">
        <v>53</v>
      </c>
      <c r="BB300" s="14">
        <v>13</v>
      </c>
      <c r="BC300" s="14">
        <v>5</v>
      </c>
      <c r="BD300" s="14">
        <v>0</v>
      </c>
      <c r="BE300" s="15">
        <v>5</v>
      </c>
      <c r="BF300" s="15">
        <v>61</v>
      </c>
      <c r="BG300" s="14">
        <v>2</v>
      </c>
      <c r="BH300" s="14">
        <v>0</v>
      </c>
      <c r="BI300" s="14">
        <v>0</v>
      </c>
      <c r="BJ300" s="14">
        <v>0</v>
      </c>
      <c r="BK300" s="15">
        <v>0</v>
      </c>
      <c r="BL300" s="15">
        <v>2</v>
      </c>
      <c r="BM300" s="14">
        <v>5</v>
      </c>
      <c r="BN300" s="14">
        <v>1</v>
      </c>
      <c r="BO300" s="14">
        <v>0</v>
      </c>
      <c r="BP300" s="14">
        <v>0</v>
      </c>
      <c r="BQ300" s="15">
        <v>0</v>
      </c>
      <c r="BR300" s="15">
        <v>6</v>
      </c>
      <c r="BS300" s="14">
        <v>1</v>
      </c>
      <c r="BT300" s="14">
        <v>0</v>
      </c>
      <c r="BU300" s="14">
        <v>1</v>
      </c>
      <c r="BV300" s="14">
        <v>0</v>
      </c>
      <c r="BW300" s="15">
        <v>1</v>
      </c>
      <c r="BX300" s="15">
        <v>0</v>
      </c>
      <c r="BY300" s="15">
        <v>61</v>
      </c>
      <c r="BZ300" s="15">
        <v>14</v>
      </c>
      <c r="CA300" s="15">
        <v>6</v>
      </c>
      <c r="CB300" s="15">
        <v>69</v>
      </c>
      <c r="CC300" s="14">
        <v>0</v>
      </c>
      <c r="CD300" s="14">
        <v>719</v>
      </c>
      <c r="CE300" s="14">
        <v>6</v>
      </c>
      <c r="CF300" s="14">
        <v>3</v>
      </c>
      <c r="CG300" s="14">
        <v>3</v>
      </c>
      <c r="CH300" s="15">
        <v>731</v>
      </c>
      <c r="CI300" s="14">
        <v>789</v>
      </c>
      <c r="CJ300" s="14">
        <v>6</v>
      </c>
      <c r="CK300" s="14">
        <v>2</v>
      </c>
      <c r="CL300" s="14">
        <v>1</v>
      </c>
      <c r="CM300" s="15">
        <v>798</v>
      </c>
      <c r="CN300" s="14">
        <v>578</v>
      </c>
      <c r="CO300" s="14">
        <v>32</v>
      </c>
      <c r="CP300" s="14">
        <v>32</v>
      </c>
      <c r="CQ300" s="14">
        <v>4</v>
      </c>
      <c r="CR300" s="15">
        <v>646</v>
      </c>
      <c r="CS300" s="15">
        <v>1444</v>
      </c>
      <c r="CT300" s="14">
        <v>2175</v>
      </c>
      <c r="CU300" s="14">
        <v>10700</v>
      </c>
      <c r="CV300" s="14">
        <v>10697.6</v>
      </c>
      <c r="CW300" s="16">
        <v>0.99977570093457946</v>
      </c>
      <c r="CX300" s="14">
        <v>0</v>
      </c>
      <c r="CY300" s="14">
        <v>0</v>
      </c>
      <c r="CZ300" s="14">
        <v>0</v>
      </c>
      <c r="DA300" s="14">
        <v>0</v>
      </c>
      <c r="DB300" s="15">
        <v>0</v>
      </c>
      <c r="DC300" s="14">
        <v>0</v>
      </c>
      <c r="DD300" s="14">
        <v>0</v>
      </c>
      <c r="DE300" s="14">
        <v>0</v>
      </c>
      <c r="DF300" s="14">
        <v>0</v>
      </c>
      <c r="DG300" s="15">
        <v>0</v>
      </c>
      <c r="DH300" s="14">
        <v>0</v>
      </c>
      <c r="DI300" s="14">
        <v>0</v>
      </c>
      <c r="DJ300" s="14">
        <v>0</v>
      </c>
      <c r="DK300" s="14">
        <v>0</v>
      </c>
      <c r="DL300" s="15">
        <v>0</v>
      </c>
      <c r="DM300" s="14">
        <v>20</v>
      </c>
      <c r="DN300" s="14">
        <v>4</v>
      </c>
      <c r="DO300" s="14">
        <v>9</v>
      </c>
      <c r="DP300" s="14">
        <v>0</v>
      </c>
      <c r="DQ300" s="15">
        <v>15</v>
      </c>
      <c r="DR300" s="15">
        <v>20</v>
      </c>
      <c r="DS300" s="15">
        <v>4</v>
      </c>
      <c r="DT300" s="15">
        <v>9</v>
      </c>
      <c r="DU300" s="15">
        <v>0</v>
      </c>
      <c r="DV300" s="15">
        <v>15</v>
      </c>
      <c r="DW300" s="14">
        <v>12</v>
      </c>
      <c r="DX300" s="14">
        <v>9</v>
      </c>
      <c r="DY300" s="14">
        <v>4</v>
      </c>
      <c r="DZ300" s="14">
        <v>3</v>
      </c>
      <c r="EA300" s="14">
        <v>3</v>
      </c>
      <c r="EB300" s="14">
        <v>5</v>
      </c>
      <c r="EC300" s="14">
        <v>0</v>
      </c>
      <c r="ED300" s="14">
        <v>0</v>
      </c>
      <c r="EE300" s="14">
        <v>1</v>
      </c>
      <c r="EF300" s="14">
        <v>2</v>
      </c>
      <c r="EG300" s="14">
        <v>0</v>
      </c>
      <c r="EH300" s="14">
        <v>0</v>
      </c>
      <c r="EI300" s="14">
        <v>0</v>
      </c>
      <c r="EJ300" s="14">
        <v>3</v>
      </c>
      <c r="EK300" s="14">
        <v>3</v>
      </c>
      <c r="EL300" s="14">
        <v>1</v>
      </c>
      <c r="EM300" s="14">
        <v>0</v>
      </c>
      <c r="EN300" s="14">
        <v>1</v>
      </c>
      <c r="EO300" s="14">
        <v>0</v>
      </c>
      <c r="EP300" s="14">
        <v>0</v>
      </c>
      <c r="EQ300" s="14">
        <v>0</v>
      </c>
      <c r="ER300" s="14">
        <v>0</v>
      </c>
      <c r="ES300" s="14">
        <v>0</v>
      </c>
      <c r="ET300" s="14">
        <v>0</v>
      </c>
      <c r="EU300" s="14">
        <v>0</v>
      </c>
      <c r="EV300" s="14">
        <v>0</v>
      </c>
      <c r="EW300" s="14">
        <v>0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5">
        <v>47</v>
      </c>
      <c r="FH300" s="14">
        <v>0</v>
      </c>
      <c r="FI300" s="14">
        <v>0</v>
      </c>
      <c r="FJ300" s="14">
        <v>22</v>
      </c>
      <c r="FK300" s="14">
        <v>7</v>
      </c>
      <c r="FL300" s="14">
        <v>0</v>
      </c>
      <c r="FM300" s="14">
        <v>0</v>
      </c>
      <c r="FN300" s="14">
        <v>0</v>
      </c>
      <c r="FO300" s="14">
        <v>0</v>
      </c>
      <c r="FP300" s="14">
        <v>0</v>
      </c>
      <c r="FQ300" s="15">
        <v>0</v>
      </c>
      <c r="FR300" s="14">
        <v>8736800.9899999984</v>
      </c>
      <c r="FS300" s="14">
        <v>0</v>
      </c>
      <c r="FT300" s="14">
        <v>35000</v>
      </c>
      <c r="FU300" s="14">
        <v>20000</v>
      </c>
      <c r="FV300" s="15">
        <v>8791800.9899999984</v>
      </c>
      <c r="FW300" s="14">
        <v>8041887.5599999996</v>
      </c>
      <c r="FX300" s="14">
        <v>34900</v>
      </c>
      <c r="FY300" s="14">
        <v>7981800</v>
      </c>
      <c r="FZ300" s="14">
        <v>31762089.399999999</v>
      </c>
      <c r="GA300" s="15">
        <v>47820676.959999993</v>
      </c>
      <c r="GB300" s="15">
        <v>56612477.949999988</v>
      </c>
      <c r="GC300" s="14">
        <v>5459175.4900000002</v>
      </c>
      <c r="GD300" s="14">
        <v>956.4</v>
      </c>
      <c r="GE300" s="14">
        <v>87601.78</v>
      </c>
      <c r="GF300" s="14">
        <v>16821.98</v>
      </c>
      <c r="GG300" s="15">
        <v>5564555.6500000013</v>
      </c>
      <c r="GH300" s="14">
        <v>7944979.8899999997</v>
      </c>
      <c r="GI300" s="14">
        <v>34900</v>
      </c>
      <c r="GJ300" s="14">
        <v>31762089.399999999</v>
      </c>
      <c r="GK300" s="14">
        <v>7981800</v>
      </c>
      <c r="GL300" s="15">
        <v>47723769.289999999</v>
      </c>
      <c r="GM300" s="15">
        <v>53288324.939999998</v>
      </c>
      <c r="GN300" s="14">
        <v>428449</v>
      </c>
      <c r="GO300" s="14">
        <v>191.28</v>
      </c>
      <c r="GP300" s="14">
        <v>20361.84</v>
      </c>
      <c r="GQ300" s="14">
        <v>9274.68</v>
      </c>
      <c r="GR300" s="15">
        <v>458276.8</v>
      </c>
      <c r="GS300" s="14">
        <v>704577</v>
      </c>
      <c r="GT300" s="14">
        <v>893</v>
      </c>
      <c r="GU300" s="14">
        <v>5358</v>
      </c>
      <c r="GV300" s="14">
        <v>1786</v>
      </c>
      <c r="GW300" s="15">
        <v>712614</v>
      </c>
      <c r="GX300" s="15">
        <v>54459215.739999987</v>
      </c>
      <c r="GY300" s="14">
        <v>54718304.650000021</v>
      </c>
      <c r="GZ300" s="14">
        <v>0</v>
      </c>
      <c r="HA300" s="9">
        <f t="shared" si="1454"/>
        <v>54718304.650000021</v>
      </c>
      <c r="HB300" s="15">
        <v>54459215.739999987</v>
      </c>
      <c r="HC300" s="16">
        <v>0</v>
      </c>
      <c r="HD300" s="15">
        <v>0</v>
      </c>
      <c r="HE300" s="14">
        <v>14</v>
      </c>
      <c r="HF300" s="14">
        <v>2</v>
      </c>
      <c r="HG300" s="14">
        <v>69</v>
      </c>
      <c r="HH300" s="14">
        <v>14</v>
      </c>
      <c r="HI300" s="14">
        <v>6</v>
      </c>
      <c r="HJ300" s="15">
        <v>0.42857142857142849</v>
      </c>
      <c r="HK300" s="16">
        <v>8.695652173913043</v>
      </c>
      <c r="HL300" s="14">
        <v>29</v>
      </c>
      <c r="HM300" s="14">
        <v>7</v>
      </c>
      <c r="HN300" s="17">
        <v>4.1428571428571432</v>
      </c>
    </row>
    <row r="301" spans="1:222" x14ac:dyDescent="0.3">
      <c r="A301" s="6" t="s">
        <v>295</v>
      </c>
      <c r="B301" s="6" t="s">
        <v>297</v>
      </c>
      <c r="C301" s="7" t="s">
        <v>257</v>
      </c>
      <c r="D301" s="7">
        <v>2026</v>
      </c>
      <c r="E301" s="7">
        <v>2</v>
      </c>
      <c r="F301" s="7" t="s">
        <v>272</v>
      </c>
      <c r="G301" s="7" t="s">
        <v>271</v>
      </c>
      <c r="H301" s="8">
        <v>26098</v>
      </c>
      <c r="I301" s="8">
        <v>5248</v>
      </c>
      <c r="J301" s="8">
        <v>11</v>
      </c>
      <c r="K301" s="8">
        <v>45</v>
      </c>
      <c r="L301" s="8">
        <v>9</v>
      </c>
      <c r="M301" s="9">
        <f t="shared" ref="M301:M311" si="1521">SUM(I301,J301,K301,L301)</f>
        <v>5313</v>
      </c>
      <c r="N301" s="8">
        <v>7972.800000000012</v>
      </c>
      <c r="O301" s="8">
        <v>157.69999999999999</v>
      </c>
      <c r="P301" s="8">
        <v>5542.4999999999991</v>
      </c>
      <c r="Q301" s="8">
        <v>299.09999999999991</v>
      </c>
      <c r="R301" s="9">
        <f t="shared" ref="R301:R311" si="1522">SUM(N301,O301,P301,Q301)</f>
        <v>13972.100000000011</v>
      </c>
      <c r="S301" s="9">
        <f t="shared" ref="S301:S311" si="1523">M301+R301</f>
        <v>19285.100000000013</v>
      </c>
      <c r="T301" s="8">
        <v>6812.8999999999869</v>
      </c>
      <c r="U301" s="10">
        <f t="shared" ref="U301:U311" si="1524">IF(H301=0,"",T301/H301)</f>
        <v>0.26105065522262194</v>
      </c>
      <c r="V301" s="8">
        <v>62</v>
      </c>
      <c r="W301" s="11">
        <f t="shared" ref="W301:W311" si="1525">IF(H301=0,"",V301/H301)</f>
        <v>2.3756609701892865E-3</v>
      </c>
      <c r="X301" s="8">
        <v>50</v>
      </c>
      <c r="Y301" s="11">
        <f t="shared" ref="Y301:Y311" si="1526">IF(H301=0,"",X301/H301)</f>
        <v>1.9158556211203923E-3</v>
      </c>
      <c r="Z301" s="8">
        <v>25</v>
      </c>
      <c r="AA301" s="11">
        <f t="shared" ref="AA301:AA311" si="1527">IF(H301=0,"",Z301/H301)</f>
        <v>9.5792781056019613E-4</v>
      </c>
      <c r="AB301" s="8">
        <v>0</v>
      </c>
      <c r="AC301" s="11">
        <f t="shared" ref="AC301:AC311" si="1528">IF(H301=0,"",AB301/H301)</f>
        <v>0</v>
      </c>
      <c r="AD301" s="8">
        <v>0</v>
      </c>
      <c r="AE301" s="11">
        <f t="shared" ref="AE301:AE311" si="1529">IF(H301=0,"",AD301/H301)</f>
        <v>0</v>
      </c>
      <c r="AF301" s="8">
        <v>0</v>
      </c>
      <c r="AG301" s="11">
        <f t="shared" ref="AG301:AG311" si="1530">IF(H301=0,"",AF301/H301)</f>
        <v>0</v>
      </c>
      <c r="AH301" s="8">
        <v>2349900</v>
      </c>
      <c r="AI301" s="9">
        <f t="shared" ref="AI301:AI311" si="1531">IF(H301=0,"",AH301/H301)</f>
        <v>90.041382481416207</v>
      </c>
      <c r="AJ301" s="8">
        <v>56.78</v>
      </c>
      <c r="AK301" s="11">
        <f t="shared" ref="AK301:AK311" si="1532">IF(H301=0,"",AJ301/H301)</f>
        <v>2.1756456433443174E-3</v>
      </c>
      <c r="AL301" s="8">
        <v>47124.935019999997</v>
      </c>
      <c r="AM301" s="9">
        <f t="shared" ref="AM301:AM311" si="1533">IF(H301=0,"",AL301/H301)</f>
        <v>1.8056914330600045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9">
        <f t="shared" ref="AU301:AU311" si="1534">AH301+AL301+AP301+AQ301+AR301+AS301+AT301</f>
        <v>2397024.9350200002</v>
      </c>
      <c r="AV301" s="9">
        <f t="shared" ref="AV301:AV311" si="1535">IF(H301=0,"",AU301/H301)</f>
        <v>91.847073914476212</v>
      </c>
      <c r="AW301" s="9">
        <f t="shared" ref="AW301:AW311" si="1536">IF(S301=0,"",AU301/S301)</f>
        <v>124.29414081441105</v>
      </c>
      <c r="AX301" s="8">
        <v>7</v>
      </c>
      <c r="AY301" s="9">
        <f t="shared" ref="AY301:AY311" si="1537">IF(H301=0,"",AX301/(H301/1000/12))</f>
        <v>3.2186374434822591</v>
      </c>
      <c r="AZ301" s="8">
        <v>17</v>
      </c>
      <c r="BA301" s="8">
        <v>61</v>
      </c>
      <c r="BB301" s="8">
        <v>10</v>
      </c>
      <c r="BC301" s="8">
        <v>15</v>
      </c>
      <c r="BD301" s="8">
        <v>0</v>
      </c>
      <c r="BE301" s="9">
        <f t="shared" ref="BE301:BE311" si="1538">BC301+BD301</f>
        <v>15</v>
      </c>
      <c r="BF301" s="9">
        <f t="shared" ref="BF301:BF311" si="1539">BA301+BB301-BE301</f>
        <v>56</v>
      </c>
      <c r="BG301" s="8">
        <v>2</v>
      </c>
      <c r="BH301" s="8">
        <v>0</v>
      </c>
      <c r="BI301" s="8">
        <v>0</v>
      </c>
      <c r="BJ301" s="8">
        <v>0</v>
      </c>
      <c r="BK301" s="9">
        <f t="shared" ref="BK301:BK311" si="1540">BI301+BJ301</f>
        <v>0</v>
      </c>
      <c r="BL301" s="9">
        <f t="shared" ref="BL301:BL311" si="1541">BG301+BH301-BK301</f>
        <v>2</v>
      </c>
      <c r="BM301" s="8">
        <v>6</v>
      </c>
      <c r="BN301" s="8">
        <v>1</v>
      </c>
      <c r="BO301" s="8">
        <v>0</v>
      </c>
      <c r="BP301" s="8">
        <v>0</v>
      </c>
      <c r="BQ301" s="9">
        <f t="shared" ref="BQ301:BQ311" si="1542">BO301+BP301</f>
        <v>0</v>
      </c>
      <c r="BR301" s="9">
        <f t="shared" ref="BR301:BR311" si="1543">BM301+BN301-BQ301</f>
        <v>7</v>
      </c>
      <c r="BS301" s="8">
        <v>0</v>
      </c>
      <c r="BT301" s="8">
        <v>0</v>
      </c>
      <c r="BU301" s="8">
        <v>0</v>
      </c>
      <c r="BV301" s="8">
        <v>0</v>
      </c>
      <c r="BW301" s="9">
        <f t="shared" ref="BW301:BW311" si="1544">BU301+BV301</f>
        <v>0</v>
      </c>
      <c r="BX301" s="9">
        <f t="shared" ref="BX301:BX311" si="1545">BS301+BT301-BW301</f>
        <v>0</v>
      </c>
      <c r="BY301" s="9">
        <f t="shared" ref="BY301:BY311" si="1546">BA301+BG301+BM301+BS301</f>
        <v>69</v>
      </c>
      <c r="BZ301" s="9">
        <f t="shared" ref="BZ301:BZ311" si="1547">BB301+BH301+BN301+BT301</f>
        <v>11</v>
      </c>
      <c r="CA301" s="9">
        <f t="shared" ref="CA301:CA311" si="1548">BE301+BK301+BQ301+BW301</f>
        <v>15</v>
      </c>
      <c r="CB301" s="9">
        <f t="shared" ref="CB301:CB311" si="1549">BF301+BL301+BR301+BX301</f>
        <v>65</v>
      </c>
      <c r="CC301" s="8">
        <v>0</v>
      </c>
      <c r="CD301" s="8">
        <v>732</v>
      </c>
      <c r="CE301" s="8">
        <v>10</v>
      </c>
      <c r="CF301" s="8">
        <v>7</v>
      </c>
      <c r="CG301" s="8">
        <v>3</v>
      </c>
      <c r="CH301" s="9">
        <f t="shared" ref="CH301:CH311" si="1550">CD301+CE301+CF301+CG301</f>
        <v>752</v>
      </c>
      <c r="CI301" s="8">
        <v>811</v>
      </c>
      <c r="CJ301" s="8">
        <v>5</v>
      </c>
      <c r="CK301" s="8">
        <v>2</v>
      </c>
      <c r="CL301" s="8">
        <v>1</v>
      </c>
      <c r="CM301" s="9">
        <f t="shared" ref="CM301:CM311" si="1551">CI301+CJ301+CK301+CL301</f>
        <v>819</v>
      </c>
      <c r="CN301" s="8">
        <v>558</v>
      </c>
      <c r="CO301" s="8">
        <v>29</v>
      </c>
      <c r="CP301" s="8">
        <v>28</v>
      </c>
      <c r="CQ301" s="8">
        <v>4</v>
      </c>
      <c r="CR301" s="9">
        <f t="shared" ref="CR301:CR311" si="1552">CN301+CO301+CP301+CQ301</f>
        <v>619</v>
      </c>
      <c r="CS301" s="9">
        <f t="shared" ref="CS301:CS311" si="1553">CM301+CR301</f>
        <v>1438</v>
      </c>
      <c r="CT301" s="8">
        <v>2190</v>
      </c>
      <c r="CU301" s="8">
        <v>10709</v>
      </c>
      <c r="CV301" s="8">
        <v>10706.6</v>
      </c>
      <c r="CW301" s="10">
        <f t="shared" ref="CW301:CW311" si="1554">IF(CU301=0,"",CV301/CU301)</f>
        <v>0.99977588943878981</v>
      </c>
      <c r="CX301" s="8">
        <v>0</v>
      </c>
      <c r="CY301" s="8">
        <v>0</v>
      </c>
      <c r="CZ301" s="8">
        <v>0</v>
      </c>
      <c r="DA301" s="8">
        <v>0</v>
      </c>
      <c r="DB301" s="9">
        <f t="shared" ref="DB301:DB311" si="1555">CX301+CY301-CZ301-DA301</f>
        <v>0</v>
      </c>
      <c r="DC301" s="8">
        <v>0</v>
      </c>
      <c r="DD301" s="8">
        <v>0</v>
      </c>
      <c r="DE301" s="8">
        <v>0</v>
      </c>
      <c r="DF301" s="8">
        <v>0</v>
      </c>
      <c r="DG301" s="9">
        <f t="shared" ref="DG301:DG311" si="1556">DC301+DD301-DE301-DF301</f>
        <v>0</v>
      </c>
      <c r="DH301" s="8">
        <v>0</v>
      </c>
      <c r="DI301" s="8">
        <v>0</v>
      </c>
      <c r="DJ301" s="8">
        <v>0</v>
      </c>
      <c r="DK301" s="8">
        <v>0</v>
      </c>
      <c r="DL301" s="9">
        <f t="shared" ref="DL301:DL311" si="1557">DH301+DI301-DJ301-DK301</f>
        <v>0</v>
      </c>
      <c r="DM301" s="8">
        <v>15</v>
      </c>
      <c r="DN301" s="8">
        <v>0</v>
      </c>
      <c r="DO301" s="8">
        <v>8</v>
      </c>
      <c r="DP301" s="8">
        <v>0</v>
      </c>
      <c r="DQ301" s="9">
        <f t="shared" ref="DQ301:DQ311" si="1558">DM301+DN301-DO301-DP301</f>
        <v>7</v>
      </c>
      <c r="DR301" s="9">
        <f t="shared" ref="DR301:DR311" si="1559">CX301+DC301+DH301+DM301</f>
        <v>15</v>
      </c>
      <c r="DS301" s="9">
        <f t="shared" ref="DS301:DS311" si="1560">CY301+DD301+DI301+DN301</f>
        <v>0</v>
      </c>
      <c r="DT301" s="9">
        <f t="shared" ref="DT301:DT311" si="1561">CZ301+DE301+DJ301+DO301</f>
        <v>8</v>
      </c>
      <c r="DU301" s="9">
        <f t="shared" ref="DU301:DU311" si="1562">DA301+DF301+DK301+DP301</f>
        <v>0</v>
      </c>
      <c r="DV301" s="9">
        <f t="shared" ref="DV301:DV311" si="1563">DB301+DG301+DL301+DQ301</f>
        <v>7</v>
      </c>
      <c r="DW301" s="8">
        <v>8</v>
      </c>
      <c r="DX301" s="8">
        <v>11</v>
      </c>
      <c r="DY301" s="8">
        <v>8</v>
      </c>
      <c r="DZ301" s="8">
        <v>3</v>
      </c>
      <c r="EA301" s="8">
        <v>2</v>
      </c>
      <c r="EB301" s="8">
        <v>4</v>
      </c>
      <c r="EC301" s="8">
        <v>1</v>
      </c>
      <c r="ED301" s="8">
        <v>1</v>
      </c>
      <c r="EE301" s="8">
        <v>4</v>
      </c>
      <c r="EF301" s="8">
        <v>1</v>
      </c>
      <c r="EG301" s="8">
        <v>0</v>
      </c>
      <c r="EH301" s="8">
        <v>0</v>
      </c>
      <c r="EI301" s="8">
        <v>0</v>
      </c>
      <c r="EJ301" s="8">
        <v>4</v>
      </c>
      <c r="EK301" s="8">
        <v>2</v>
      </c>
      <c r="EL301" s="8">
        <v>1</v>
      </c>
      <c r="EM301" s="8">
        <v>0</v>
      </c>
      <c r="EN301" s="8">
        <v>1</v>
      </c>
      <c r="EO301" s="8">
        <v>0</v>
      </c>
      <c r="EP301" s="8">
        <v>0</v>
      </c>
      <c r="EQ301" s="8">
        <v>0</v>
      </c>
      <c r="ER301" s="8">
        <v>0</v>
      </c>
      <c r="ES301" s="8">
        <v>0</v>
      </c>
      <c r="ET301" s="8">
        <v>0</v>
      </c>
      <c r="EU301" s="8">
        <v>0</v>
      </c>
      <c r="EV301" s="8">
        <v>0</v>
      </c>
      <c r="EW301" s="8">
        <v>0</v>
      </c>
      <c r="EX301" s="8">
        <v>0</v>
      </c>
      <c r="EY301" s="8">
        <v>0</v>
      </c>
      <c r="EZ301" s="8">
        <v>0</v>
      </c>
      <c r="FA301" s="8">
        <v>0</v>
      </c>
      <c r="FB301" s="8">
        <v>0</v>
      </c>
      <c r="FC301" s="8">
        <v>0</v>
      </c>
      <c r="FD301" s="8">
        <v>0</v>
      </c>
      <c r="FE301" s="8">
        <v>0</v>
      </c>
      <c r="FF301" s="8">
        <v>0</v>
      </c>
      <c r="FG301" s="9">
        <f t="shared" ref="FG301:FG311" si="1564">SUM(DW301,DX301,DY301,DZ301,EA301,EB301,EC301,ED301,EE301,EF301,EG301,EH301,EI301,EJ301,EK301,EL301,EM301,EN301,EO301,EP301,EQ301,ER301,ES301,ET301,EU301,EV301,EW301,EX301,EY301,EZ301,FA301,FB301,FC301,FD301,FE301,FF301)</f>
        <v>51</v>
      </c>
      <c r="FH301" s="8">
        <v>0</v>
      </c>
      <c r="FI301" s="8">
        <v>0</v>
      </c>
      <c r="FJ301" s="8">
        <v>21</v>
      </c>
      <c r="FK301" s="8">
        <v>123</v>
      </c>
      <c r="FL301" s="8">
        <v>0</v>
      </c>
      <c r="FM301" s="8">
        <v>500</v>
      </c>
      <c r="FN301" s="8">
        <v>0</v>
      </c>
      <c r="FO301" s="8">
        <v>0</v>
      </c>
      <c r="FP301" s="8">
        <v>0</v>
      </c>
      <c r="FQ301" s="9">
        <f t="shared" ref="FQ301:FQ311" si="1565">FL301+FM301+FN301+FO301+FP301</f>
        <v>500</v>
      </c>
      <c r="FR301" s="8">
        <v>8800197.2500000019</v>
      </c>
      <c r="FS301" s="8">
        <v>0</v>
      </c>
      <c r="FT301" s="8">
        <v>62000</v>
      </c>
      <c r="FU301" s="8">
        <v>48000</v>
      </c>
      <c r="FV301" s="9">
        <f t="shared" ref="FV301:FV311" si="1566">FR301+FS301+FT301+FU301</f>
        <v>8910197.2500000019</v>
      </c>
      <c r="FW301" s="8">
        <v>10200944.949999999</v>
      </c>
      <c r="FX301" s="8">
        <v>33500</v>
      </c>
      <c r="FY301" s="8">
        <v>1413972.81</v>
      </c>
      <c r="FZ301" s="8">
        <v>16845143.940000001</v>
      </c>
      <c r="GA301" s="9">
        <f t="shared" ref="GA301:GA311" si="1567">FW301+FX301+FY301+FZ301</f>
        <v>28493561.700000003</v>
      </c>
      <c r="GB301" s="9">
        <f t="shared" ref="GB301:GB311" si="1568">FV301+GA301</f>
        <v>37403758.950000003</v>
      </c>
      <c r="GC301" s="8">
        <v>4553799.4000000004</v>
      </c>
      <c r="GD301" s="8">
        <v>2104.08</v>
      </c>
      <c r="GE301" s="8">
        <v>115364.22</v>
      </c>
      <c r="GF301" s="8">
        <v>20207.62</v>
      </c>
      <c r="GG301" s="9">
        <f t="shared" ref="GG301:GG311" si="1569">GC301+GD301+GE301+GF301</f>
        <v>4691475.32</v>
      </c>
      <c r="GH301" s="8">
        <v>9946934.7299999986</v>
      </c>
      <c r="GI301" s="8">
        <v>33500</v>
      </c>
      <c r="GJ301" s="8">
        <v>16845143.940000001</v>
      </c>
      <c r="GK301" s="8">
        <v>1413972.81</v>
      </c>
      <c r="GL301" s="9">
        <f t="shared" ref="GL301:GL311" si="1570">GH301+GI301+GJ301+GK301</f>
        <v>28239551.48</v>
      </c>
      <c r="GM301" s="9">
        <f t="shared" ref="GM301:GM311" si="1571">GG301+GL301</f>
        <v>32931026.800000001</v>
      </c>
      <c r="GN301" s="8">
        <v>440437.46</v>
      </c>
      <c r="GO301" s="8">
        <v>191.28</v>
      </c>
      <c r="GP301" s="8">
        <v>16968.2</v>
      </c>
      <c r="GQ301" s="8">
        <v>9274.68</v>
      </c>
      <c r="GR301" s="9">
        <f t="shared" ref="GR301:GR311" si="1572">GN301+GO301+GP301+GQ301</f>
        <v>466871.62000000005</v>
      </c>
      <c r="GS301" s="8">
        <v>724223</v>
      </c>
      <c r="GT301" s="8">
        <v>893</v>
      </c>
      <c r="GU301" s="8">
        <v>4465</v>
      </c>
      <c r="GV301" s="8">
        <v>1786</v>
      </c>
      <c r="GW301" s="9">
        <f t="shared" ref="GW301:GW311" si="1573">GS301+GT301+GU301+GV301</f>
        <v>731367</v>
      </c>
      <c r="GX301" s="9">
        <f t="shared" ref="GX301:GX311" si="1574">GM301+GR301+GW301</f>
        <v>34129265.420000002</v>
      </c>
      <c r="GY301" s="8">
        <v>88717444.159999818</v>
      </c>
      <c r="GZ301" s="8">
        <v>0</v>
      </c>
      <c r="HA301" s="9">
        <f t="shared" si="1454"/>
        <v>88717444.159999818</v>
      </c>
      <c r="HB301" s="9">
        <f t="shared" ref="HB301:HB311" si="1575">IF(GX301=0,"",AU301/GX301)</f>
        <v>7.0233710146463513E-2</v>
      </c>
      <c r="HC301" s="10">
        <f t="shared" ref="HC301:HC311" si="1576">IF((GX301+GY301)=0,"",GB301/(GX301+GY301))</f>
        <v>0.30447505739371922</v>
      </c>
      <c r="HD301" s="9">
        <f t="shared" ref="HD301:HD311" si="1577">IF(GX301=0,"",GB301/GX301)</f>
        <v>1.0959438619525963</v>
      </c>
      <c r="HE301" s="8">
        <v>12</v>
      </c>
      <c r="HF301" s="8">
        <v>2</v>
      </c>
      <c r="HG301" s="8">
        <v>65</v>
      </c>
      <c r="HH301" s="8">
        <v>11</v>
      </c>
      <c r="HI301" s="8">
        <v>5</v>
      </c>
      <c r="HJ301" s="9">
        <f t="shared" ref="HJ301:HJ311" si="1578">HF301+HI301</f>
        <v>7</v>
      </c>
      <c r="HK301" s="10">
        <f t="shared" ref="HK301:HK311" si="1579">IF(HE301=0,"",HH301/HE301)</f>
        <v>0.91666666666666663</v>
      </c>
      <c r="HL301" s="8">
        <v>21</v>
      </c>
      <c r="HM301" s="8">
        <v>9</v>
      </c>
      <c r="HN301" s="11">
        <f t="shared" ref="HN301:HN311" si="1580">IF(HL301=0,"",HM301/HL301)</f>
        <v>0.42857142857142855</v>
      </c>
    </row>
    <row r="302" spans="1:222" x14ac:dyDescent="0.3">
      <c r="A302" s="12" t="s">
        <v>295</v>
      </c>
      <c r="B302" s="12" t="s">
        <v>297</v>
      </c>
      <c r="C302" s="13" t="s">
        <v>257</v>
      </c>
      <c r="D302" s="13">
        <v>2026</v>
      </c>
      <c r="E302" s="13">
        <v>3</v>
      </c>
      <c r="F302" s="13" t="s">
        <v>273</v>
      </c>
      <c r="G302" s="13" t="s">
        <v>271</v>
      </c>
      <c r="H302" s="14">
        <v>27022</v>
      </c>
      <c r="I302" s="14">
        <v>7846</v>
      </c>
      <c r="J302" s="14">
        <v>46</v>
      </c>
      <c r="K302" s="14">
        <v>39</v>
      </c>
      <c r="L302" s="14">
        <v>4</v>
      </c>
      <c r="M302" s="15">
        <f t="shared" si="1521"/>
        <v>7935</v>
      </c>
      <c r="N302" s="14">
        <v>9866.3000000000411</v>
      </c>
      <c r="O302" s="14">
        <v>153</v>
      </c>
      <c r="P302" s="14">
        <v>6195.1</v>
      </c>
      <c r="Q302" s="14">
        <v>301.99999999999989</v>
      </c>
      <c r="R302" s="15">
        <f t="shared" si="1522"/>
        <v>16516.400000000041</v>
      </c>
      <c r="S302" s="15">
        <f t="shared" si="1523"/>
        <v>24451.400000000041</v>
      </c>
      <c r="T302" s="14">
        <v>2570.599999999959</v>
      </c>
      <c r="U302" s="16">
        <f t="shared" si="1524"/>
        <v>9.5129894160312298E-2</v>
      </c>
      <c r="V302" s="14">
        <v>50</v>
      </c>
      <c r="W302" s="17">
        <f t="shared" si="1525"/>
        <v>1.8503441640145067E-3</v>
      </c>
      <c r="X302" s="14">
        <v>50</v>
      </c>
      <c r="Y302" s="17">
        <f t="shared" si="1526"/>
        <v>1.8503441640145067E-3</v>
      </c>
      <c r="Z302" s="14">
        <v>25</v>
      </c>
      <c r="AA302" s="17">
        <f t="shared" si="1527"/>
        <v>9.2517208200725335E-4</v>
      </c>
      <c r="AB302" s="14">
        <v>0</v>
      </c>
      <c r="AC302" s="17">
        <f t="shared" si="1528"/>
        <v>0</v>
      </c>
      <c r="AD302" s="14">
        <v>0</v>
      </c>
      <c r="AE302" s="17">
        <f t="shared" si="1529"/>
        <v>0</v>
      </c>
      <c r="AF302" s="14">
        <v>0</v>
      </c>
      <c r="AG302" s="17">
        <f t="shared" si="1530"/>
        <v>0</v>
      </c>
      <c r="AH302" s="14">
        <v>2037900</v>
      </c>
      <c r="AI302" s="15">
        <f t="shared" si="1531"/>
        <v>75.416327436903259</v>
      </c>
      <c r="AJ302" s="14">
        <v>68.34</v>
      </c>
      <c r="AK302" s="17">
        <f t="shared" si="1532"/>
        <v>2.529050403375028E-3</v>
      </c>
      <c r="AL302" s="14">
        <v>50284.387060000001</v>
      </c>
      <c r="AM302" s="15">
        <f t="shared" si="1533"/>
        <v>1.8608684427503517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5">
        <f t="shared" si="1534"/>
        <v>2088184.3870600001</v>
      </c>
      <c r="AV302" s="15">
        <f t="shared" si="1535"/>
        <v>77.277195879653618</v>
      </c>
      <c r="AW302" s="15">
        <f t="shared" si="1536"/>
        <v>85.401424338074577</v>
      </c>
      <c r="AX302" s="14">
        <v>7</v>
      </c>
      <c r="AY302" s="15">
        <f t="shared" si="1537"/>
        <v>3.1085781955443714</v>
      </c>
      <c r="AZ302" s="14">
        <v>17</v>
      </c>
      <c r="BA302" s="14">
        <v>56</v>
      </c>
      <c r="BB302" s="14">
        <v>10</v>
      </c>
      <c r="BC302" s="14">
        <v>10</v>
      </c>
      <c r="BD302" s="14">
        <v>0</v>
      </c>
      <c r="BE302" s="15">
        <f t="shared" si="1538"/>
        <v>10</v>
      </c>
      <c r="BF302" s="15">
        <f t="shared" si="1539"/>
        <v>56</v>
      </c>
      <c r="BG302" s="14">
        <v>2</v>
      </c>
      <c r="BH302" s="14">
        <v>0</v>
      </c>
      <c r="BI302" s="14">
        <v>0</v>
      </c>
      <c r="BJ302" s="14">
        <v>0</v>
      </c>
      <c r="BK302" s="15">
        <f t="shared" si="1540"/>
        <v>0</v>
      </c>
      <c r="BL302" s="15">
        <f t="shared" si="1541"/>
        <v>2</v>
      </c>
      <c r="BM302" s="14">
        <v>7</v>
      </c>
      <c r="BN302" s="14">
        <v>0</v>
      </c>
      <c r="BO302" s="14">
        <v>0</v>
      </c>
      <c r="BP302" s="14">
        <v>0</v>
      </c>
      <c r="BQ302" s="15">
        <f t="shared" si="1542"/>
        <v>0</v>
      </c>
      <c r="BR302" s="15">
        <f t="shared" si="1543"/>
        <v>7</v>
      </c>
      <c r="BS302" s="14">
        <v>0</v>
      </c>
      <c r="BT302" s="14">
        <v>0</v>
      </c>
      <c r="BU302" s="14">
        <v>0</v>
      </c>
      <c r="BV302" s="14">
        <v>0</v>
      </c>
      <c r="BW302" s="15">
        <f t="shared" si="1544"/>
        <v>0</v>
      </c>
      <c r="BX302" s="15">
        <f t="shared" si="1545"/>
        <v>0</v>
      </c>
      <c r="BY302" s="15">
        <f t="shared" si="1546"/>
        <v>65</v>
      </c>
      <c r="BZ302" s="15">
        <f t="shared" si="1547"/>
        <v>10</v>
      </c>
      <c r="CA302" s="15">
        <f t="shared" si="1548"/>
        <v>10</v>
      </c>
      <c r="CB302" s="15">
        <f t="shared" si="1549"/>
        <v>65</v>
      </c>
      <c r="CC302" s="14">
        <v>0</v>
      </c>
      <c r="CD302" s="14">
        <v>670</v>
      </c>
      <c r="CE302" s="14">
        <v>7</v>
      </c>
      <c r="CF302" s="14">
        <v>4</v>
      </c>
      <c r="CG302" s="14">
        <v>3</v>
      </c>
      <c r="CH302" s="15">
        <f t="shared" si="1550"/>
        <v>684</v>
      </c>
      <c r="CI302" s="14">
        <v>794</v>
      </c>
      <c r="CJ302" s="14">
        <v>5</v>
      </c>
      <c r="CK302" s="14">
        <v>1</v>
      </c>
      <c r="CL302" s="14">
        <v>1</v>
      </c>
      <c r="CM302" s="15">
        <f t="shared" si="1551"/>
        <v>801</v>
      </c>
      <c r="CN302" s="14">
        <v>647</v>
      </c>
      <c r="CO302" s="14">
        <v>32</v>
      </c>
      <c r="CP302" s="14">
        <v>32</v>
      </c>
      <c r="CQ302" s="14">
        <v>4</v>
      </c>
      <c r="CR302" s="15">
        <f t="shared" si="1552"/>
        <v>715</v>
      </c>
      <c r="CS302" s="15">
        <f t="shared" si="1553"/>
        <v>1516</v>
      </c>
      <c r="CT302" s="14">
        <v>2200</v>
      </c>
      <c r="CU302" s="14">
        <v>10718</v>
      </c>
      <c r="CV302" s="14">
        <v>10715.6</v>
      </c>
      <c r="CW302" s="16">
        <f t="shared" si="1554"/>
        <v>0.99977607762642284</v>
      </c>
      <c r="CX302" s="14"/>
      <c r="CY302" s="14"/>
      <c r="CZ302" s="14"/>
      <c r="DA302" s="14"/>
      <c r="DB302" s="15">
        <f t="shared" si="1555"/>
        <v>0</v>
      </c>
      <c r="DC302" s="14">
        <v>0</v>
      </c>
      <c r="DD302" s="14">
        <v>0</v>
      </c>
      <c r="DE302" s="14">
        <v>0</v>
      </c>
      <c r="DF302" s="14">
        <v>0</v>
      </c>
      <c r="DG302" s="15">
        <f t="shared" si="1556"/>
        <v>0</v>
      </c>
      <c r="DH302" s="14">
        <v>0</v>
      </c>
      <c r="DI302" s="14">
        <v>0</v>
      </c>
      <c r="DJ302" s="14">
        <v>0</v>
      </c>
      <c r="DK302" s="14">
        <v>0</v>
      </c>
      <c r="DL302" s="15">
        <f t="shared" si="1557"/>
        <v>0</v>
      </c>
      <c r="DM302" s="14">
        <v>15</v>
      </c>
      <c r="DN302" s="14">
        <v>0</v>
      </c>
      <c r="DO302" s="14">
        <v>7</v>
      </c>
      <c r="DP302" s="14">
        <v>0</v>
      </c>
      <c r="DQ302" s="15">
        <f t="shared" si="1558"/>
        <v>8</v>
      </c>
      <c r="DR302" s="15">
        <f t="shared" si="1559"/>
        <v>15</v>
      </c>
      <c r="DS302" s="15">
        <f t="shared" si="1560"/>
        <v>0</v>
      </c>
      <c r="DT302" s="15">
        <f t="shared" si="1561"/>
        <v>7</v>
      </c>
      <c r="DU302" s="15">
        <f t="shared" si="1562"/>
        <v>0</v>
      </c>
      <c r="DV302" s="15">
        <f t="shared" si="1563"/>
        <v>8</v>
      </c>
      <c r="DW302" s="14">
        <v>14</v>
      </c>
      <c r="DX302" s="14">
        <v>9</v>
      </c>
      <c r="DY302" s="14">
        <v>7</v>
      </c>
      <c r="DZ302" s="14">
        <v>5</v>
      </c>
      <c r="EA302" s="14">
        <v>3</v>
      </c>
      <c r="EB302" s="14">
        <v>4</v>
      </c>
      <c r="EC302" s="14">
        <v>4</v>
      </c>
      <c r="ED302" s="14">
        <v>0</v>
      </c>
      <c r="EE302" s="14">
        <v>2</v>
      </c>
      <c r="EF302" s="14">
        <v>1</v>
      </c>
      <c r="EG302" s="14">
        <v>0</v>
      </c>
      <c r="EH302" s="14">
        <v>0</v>
      </c>
      <c r="EI302" s="14">
        <v>0</v>
      </c>
      <c r="EJ302" s="14">
        <v>3</v>
      </c>
      <c r="EK302" s="14">
        <v>3</v>
      </c>
      <c r="EL302" s="14">
        <v>2</v>
      </c>
      <c r="EM302" s="14">
        <v>0</v>
      </c>
      <c r="EN302" s="14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5">
        <f t="shared" si="1564"/>
        <v>57</v>
      </c>
      <c r="FH302" s="14">
        <v>0</v>
      </c>
      <c r="FI302" s="14">
        <v>0</v>
      </c>
      <c r="FJ302" s="14">
        <v>22</v>
      </c>
      <c r="FK302" s="14">
        <v>8</v>
      </c>
      <c r="FL302" s="14">
        <v>0</v>
      </c>
      <c r="FM302" s="14">
        <v>576</v>
      </c>
      <c r="FN302" s="14">
        <v>216</v>
      </c>
      <c r="FO302" s="14">
        <v>0</v>
      </c>
      <c r="FP302" s="14">
        <v>0</v>
      </c>
      <c r="FQ302" s="15">
        <f t="shared" si="1565"/>
        <v>792</v>
      </c>
      <c r="FR302" s="14">
        <v>5269344.8</v>
      </c>
      <c r="FS302" s="14">
        <v>0</v>
      </c>
      <c r="FT302" s="14">
        <v>0</v>
      </c>
      <c r="FU302" s="14">
        <v>74400</v>
      </c>
      <c r="FV302" s="15">
        <f t="shared" si="1566"/>
        <v>5343744.8</v>
      </c>
      <c r="FW302" s="14">
        <v>12542257.550000001</v>
      </c>
      <c r="FX302" s="14">
        <v>32500</v>
      </c>
      <c r="FY302" s="14">
        <v>1430200</v>
      </c>
      <c r="FZ302" s="14">
        <v>18827749.699999999</v>
      </c>
      <c r="GA302" s="15">
        <f t="shared" si="1567"/>
        <v>32832707.25</v>
      </c>
      <c r="GB302" s="15">
        <f t="shared" si="1568"/>
        <v>38176452.049999997</v>
      </c>
      <c r="GC302" s="14">
        <v>7003368.1299999999</v>
      </c>
      <c r="GD302" s="14">
        <v>8798.8799999999992</v>
      </c>
      <c r="GE302" s="14">
        <v>96758.37</v>
      </c>
      <c r="GF302" s="14">
        <v>8410.99</v>
      </c>
      <c r="GG302" s="15">
        <f t="shared" si="1569"/>
        <v>7117336.3700000001</v>
      </c>
      <c r="GH302" s="14">
        <v>12307783.99</v>
      </c>
      <c r="GI302" s="14">
        <v>32500</v>
      </c>
      <c r="GJ302" s="14">
        <v>18827749.699999999</v>
      </c>
      <c r="GK302" s="14">
        <v>1430200</v>
      </c>
      <c r="GL302" s="15">
        <f t="shared" si="1570"/>
        <v>32598233.689999998</v>
      </c>
      <c r="GM302" s="15">
        <f t="shared" si="1571"/>
        <v>39715570.059999995</v>
      </c>
      <c r="GN302" s="14">
        <v>431112.64</v>
      </c>
      <c r="GO302" s="14">
        <v>191.28</v>
      </c>
      <c r="GP302" s="14">
        <v>16968.2</v>
      </c>
      <c r="GQ302" s="14">
        <v>4637.34</v>
      </c>
      <c r="GR302" s="15">
        <f t="shared" si="1572"/>
        <v>452909.46000000008</v>
      </c>
      <c r="GS302" s="14">
        <v>709042</v>
      </c>
      <c r="GT302" s="14">
        <v>893</v>
      </c>
      <c r="GU302" s="14">
        <v>4465</v>
      </c>
      <c r="GV302" s="14">
        <v>893</v>
      </c>
      <c r="GW302" s="15">
        <f t="shared" si="1573"/>
        <v>715293</v>
      </c>
      <c r="GX302" s="15">
        <f t="shared" si="1574"/>
        <v>40883772.519999996</v>
      </c>
      <c r="GY302" s="14">
        <v>90548195.539999872</v>
      </c>
      <c r="GZ302" s="14">
        <v>0</v>
      </c>
      <c r="HA302" s="9">
        <f t="shared" si="1454"/>
        <v>90548195.539999872</v>
      </c>
      <c r="HB302" s="15">
        <f t="shared" si="1575"/>
        <v>5.1076117939910702E-2</v>
      </c>
      <c r="HC302" s="16">
        <f t="shared" si="1576"/>
        <v>0.29046549795687532</v>
      </c>
      <c r="HD302" s="15">
        <f t="shared" si="1577"/>
        <v>0.93378007206464131</v>
      </c>
      <c r="HE302" s="14">
        <v>10</v>
      </c>
      <c r="HF302" s="14">
        <v>2</v>
      </c>
      <c r="HG302" s="14">
        <v>65</v>
      </c>
      <c r="HH302" s="14">
        <v>10</v>
      </c>
      <c r="HI302" s="14">
        <v>6</v>
      </c>
      <c r="HJ302" s="15">
        <f t="shared" si="1578"/>
        <v>8</v>
      </c>
      <c r="HK302" s="16">
        <f t="shared" si="1579"/>
        <v>1</v>
      </c>
      <c r="HL302" s="14">
        <v>0</v>
      </c>
      <c r="HM302" s="14">
        <v>0</v>
      </c>
      <c r="HN302" s="17" t="str">
        <f t="shared" si="1580"/>
        <v/>
      </c>
    </row>
    <row r="303" spans="1:222" x14ac:dyDescent="0.3">
      <c r="A303" s="6" t="s">
        <v>295</v>
      </c>
      <c r="B303" s="6" t="s">
        <v>298</v>
      </c>
      <c r="C303" s="7" t="s">
        <v>257</v>
      </c>
      <c r="D303" s="7">
        <v>2025</v>
      </c>
      <c r="E303" s="7">
        <v>4</v>
      </c>
      <c r="F303" s="7" t="s">
        <v>258</v>
      </c>
      <c r="G303" s="7" t="s">
        <v>259</v>
      </c>
      <c r="H303" s="8">
        <v>4530</v>
      </c>
      <c r="I303" s="8">
        <v>136</v>
      </c>
      <c r="J303" s="8">
        <v>0</v>
      </c>
      <c r="K303" s="8">
        <v>17</v>
      </c>
      <c r="L303" s="8">
        <v>0</v>
      </c>
      <c r="M303" s="9">
        <f t="shared" si="1521"/>
        <v>153</v>
      </c>
      <c r="N303" s="8">
        <v>2988.2</v>
      </c>
      <c r="O303" s="8">
        <v>477.4</v>
      </c>
      <c r="P303" s="8">
        <v>16.5</v>
      </c>
      <c r="Q303" s="8">
        <v>0</v>
      </c>
      <c r="R303" s="9">
        <f t="shared" si="1522"/>
        <v>3482.1</v>
      </c>
      <c r="S303" s="9">
        <f t="shared" si="1523"/>
        <v>3635.1</v>
      </c>
      <c r="T303" s="8">
        <v>894.90000000000305</v>
      </c>
      <c r="U303" s="10">
        <f t="shared" si="1524"/>
        <v>0.19754966887417286</v>
      </c>
      <c r="V303" s="8">
        <v>11</v>
      </c>
      <c r="W303" s="11">
        <f t="shared" si="1525"/>
        <v>2.4282560706401766E-3</v>
      </c>
      <c r="X303" s="8">
        <v>51</v>
      </c>
      <c r="Y303" s="11">
        <f t="shared" si="1526"/>
        <v>1.1258278145695364E-2</v>
      </c>
      <c r="Z303" s="8">
        <v>15</v>
      </c>
      <c r="AA303" s="11">
        <f t="shared" si="1527"/>
        <v>3.3112582781456954E-3</v>
      </c>
      <c r="AB303" s="8">
        <v>0</v>
      </c>
      <c r="AC303" s="11">
        <f t="shared" si="1528"/>
        <v>0</v>
      </c>
      <c r="AD303" s="8">
        <v>0</v>
      </c>
      <c r="AE303" s="11">
        <f t="shared" si="1529"/>
        <v>0</v>
      </c>
      <c r="AF303" s="8">
        <v>0</v>
      </c>
      <c r="AG303" s="11">
        <f t="shared" si="1530"/>
        <v>0</v>
      </c>
      <c r="AH303" s="8">
        <v>911440</v>
      </c>
      <c r="AI303" s="9">
        <f t="shared" si="1531"/>
        <v>201.20088300220752</v>
      </c>
      <c r="AJ303" s="8">
        <v>293.26</v>
      </c>
      <c r="AK303" s="11">
        <f t="shared" si="1532"/>
        <v>6.4737306843267103E-2</v>
      </c>
      <c r="AL303" s="8">
        <v>111757.04734</v>
      </c>
      <c r="AM303" s="9">
        <f t="shared" si="1533"/>
        <v>24.670429876379693</v>
      </c>
      <c r="AN303" s="8">
        <v>0</v>
      </c>
      <c r="AO303" s="8">
        <v>0</v>
      </c>
      <c r="AP303" s="8">
        <v>0</v>
      </c>
      <c r="AQ303" s="8">
        <v>0</v>
      </c>
      <c r="AR303" s="8">
        <v>682063.75</v>
      </c>
      <c r="AS303" s="8">
        <v>545533.68000000005</v>
      </c>
      <c r="AT303" s="8">
        <v>0</v>
      </c>
      <c r="AU303" s="9">
        <f t="shared" si="1534"/>
        <v>2250794.4773400002</v>
      </c>
      <c r="AV303" s="9">
        <f t="shared" si="1535"/>
        <v>496.86412303311261</v>
      </c>
      <c r="AW303" s="9">
        <f t="shared" si="1536"/>
        <v>619.18364758603627</v>
      </c>
      <c r="AX303" s="8">
        <v>1</v>
      </c>
      <c r="AY303" s="9">
        <f t="shared" si="1537"/>
        <v>2.6490066225165565</v>
      </c>
      <c r="AZ303" s="8">
        <v>6</v>
      </c>
      <c r="BA303" s="8">
        <v>5</v>
      </c>
      <c r="BB303" s="8">
        <v>5</v>
      </c>
      <c r="BC303" s="8">
        <v>3</v>
      </c>
      <c r="BD303" s="8">
        <v>0</v>
      </c>
      <c r="BE303" s="9">
        <f t="shared" si="1538"/>
        <v>3</v>
      </c>
      <c r="BF303" s="9">
        <f t="shared" si="1539"/>
        <v>7</v>
      </c>
      <c r="BG303" s="8">
        <v>1</v>
      </c>
      <c r="BH303" s="8">
        <v>0</v>
      </c>
      <c r="BI303" s="8">
        <v>0</v>
      </c>
      <c r="BJ303" s="8">
        <v>0</v>
      </c>
      <c r="BK303" s="9">
        <f t="shared" si="1540"/>
        <v>0</v>
      </c>
      <c r="BL303" s="9">
        <f t="shared" si="1541"/>
        <v>1</v>
      </c>
      <c r="BM303" s="8">
        <v>0</v>
      </c>
      <c r="BN303" s="8">
        <v>0</v>
      </c>
      <c r="BO303" s="8">
        <v>0</v>
      </c>
      <c r="BP303" s="8">
        <v>0</v>
      </c>
      <c r="BQ303" s="9">
        <f t="shared" si="1542"/>
        <v>0</v>
      </c>
      <c r="BR303" s="9">
        <f t="shared" si="1543"/>
        <v>0</v>
      </c>
      <c r="BS303" s="8">
        <v>0</v>
      </c>
      <c r="BT303" s="8">
        <v>0</v>
      </c>
      <c r="BU303" s="8">
        <v>0</v>
      </c>
      <c r="BV303" s="8">
        <v>0</v>
      </c>
      <c r="BW303" s="9">
        <f t="shared" si="1544"/>
        <v>0</v>
      </c>
      <c r="BX303" s="9">
        <f t="shared" si="1545"/>
        <v>0</v>
      </c>
      <c r="BY303" s="9">
        <f t="shared" si="1546"/>
        <v>6</v>
      </c>
      <c r="BZ303" s="9">
        <f t="shared" si="1547"/>
        <v>5</v>
      </c>
      <c r="CA303" s="9">
        <f t="shared" si="1548"/>
        <v>3</v>
      </c>
      <c r="CB303" s="9">
        <f t="shared" si="1549"/>
        <v>8</v>
      </c>
      <c r="CC303" s="8">
        <v>200</v>
      </c>
      <c r="CD303" s="8">
        <v>0</v>
      </c>
      <c r="CE303" s="8">
        <v>0</v>
      </c>
      <c r="CF303" s="8">
        <v>0</v>
      </c>
      <c r="CG303" s="8">
        <v>0</v>
      </c>
      <c r="CH303" s="9">
        <f t="shared" si="1550"/>
        <v>0</v>
      </c>
      <c r="CI303" s="8">
        <v>34</v>
      </c>
      <c r="CJ303" s="8">
        <v>1</v>
      </c>
      <c r="CK303" s="8">
        <v>0</v>
      </c>
      <c r="CL303" s="8">
        <v>0</v>
      </c>
      <c r="CM303" s="9">
        <f t="shared" si="1551"/>
        <v>35</v>
      </c>
      <c r="CN303" s="8">
        <v>420</v>
      </c>
      <c r="CO303" s="8">
        <v>9</v>
      </c>
      <c r="CP303" s="8">
        <v>7</v>
      </c>
      <c r="CQ303" s="8">
        <v>15</v>
      </c>
      <c r="CR303" s="9">
        <f t="shared" si="1552"/>
        <v>451</v>
      </c>
      <c r="CS303" s="9">
        <f t="shared" si="1553"/>
        <v>486</v>
      </c>
      <c r="CT303" s="8">
        <v>486</v>
      </c>
      <c r="CU303" s="8">
        <v>7036</v>
      </c>
      <c r="CV303" s="8">
        <v>5778.9</v>
      </c>
      <c r="CW303" s="10">
        <f t="shared" si="1554"/>
        <v>0.82133314383172251</v>
      </c>
      <c r="CX303" s="8">
        <v>0</v>
      </c>
      <c r="CY303" s="8">
        <v>0</v>
      </c>
      <c r="CZ303" s="8">
        <v>0</v>
      </c>
      <c r="DA303" s="8">
        <v>0</v>
      </c>
      <c r="DB303" s="9">
        <f t="shared" si="1555"/>
        <v>0</v>
      </c>
      <c r="DC303" s="8">
        <v>0</v>
      </c>
      <c r="DD303" s="8">
        <v>0</v>
      </c>
      <c r="DE303" s="8">
        <v>0</v>
      </c>
      <c r="DF303" s="8">
        <v>0</v>
      </c>
      <c r="DG303" s="9">
        <f t="shared" si="1556"/>
        <v>0</v>
      </c>
      <c r="DH303" s="8">
        <v>0</v>
      </c>
      <c r="DI303" s="8">
        <v>0</v>
      </c>
      <c r="DJ303" s="8">
        <v>0</v>
      </c>
      <c r="DK303" s="8">
        <v>0</v>
      </c>
      <c r="DL303" s="9">
        <f t="shared" si="1557"/>
        <v>0</v>
      </c>
      <c r="DM303" s="8">
        <v>2</v>
      </c>
      <c r="DN303" s="8">
        <v>0</v>
      </c>
      <c r="DO303" s="8">
        <v>2</v>
      </c>
      <c r="DP303" s="8">
        <v>0</v>
      </c>
      <c r="DQ303" s="9">
        <f t="shared" si="1558"/>
        <v>0</v>
      </c>
      <c r="DR303" s="9">
        <f t="shared" si="1559"/>
        <v>2</v>
      </c>
      <c r="DS303" s="9">
        <f t="shared" si="1560"/>
        <v>0</v>
      </c>
      <c r="DT303" s="9">
        <f t="shared" si="1561"/>
        <v>2</v>
      </c>
      <c r="DU303" s="9">
        <f t="shared" si="1562"/>
        <v>0</v>
      </c>
      <c r="DV303" s="9">
        <f t="shared" si="1563"/>
        <v>0</v>
      </c>
      <c r="DW303" s="8">
        <v>0</v>
      </c>
      <c r="DX303" s="8">
        <v>4</v>
      </c>
      <c r="DY303" s="8">
        <v>0</v>
      </c>
      <c r="DZ303" s="8">
        <v>0</v>
      </c>
      <c r="EA303" s="8">
        <v>0</v>
      </c>
      <c r="EB303" s="8">
        <v>1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0</v>
      </c>
      <c r="EJ303" s="8">
        <v>0</v>
      </c>
      <c r="EK303" s="8">
        <v>0</v>
      </c>
      <c r="EL303" s="8">
        <v>0</v>
      </c>
      <c r="EM303" s="8">
        <v>0</v>
      </c>
      <c r="EN303" s="8">
        <v>0</v>
      </c>
      <c r="EO303" s="8">
        <v>0</v>
      </c>
      <c r="EP303" s="8">
        <v>0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0</v>
      </c>
      <c r="EX303" s="8">
        <v>0</v>
      </c>
      <c r="EY303" s="8">
        <v>0</v>
      </c>
      <c r="EZ303" s="8">
        <v>0</v>
      </c>
      <c r="FA303" s="8">
        <v>0</v>
      </c>
      <c r="FB303" s="8">
        <v>0</v>
      </c>
      <c r="FC303" s="8">
        <v>0</v>
      </c>
      <c r="FD303" s="8">
        <v>0</v>
      </c>
      <c r="FE303" s="8">
        <v>0</v>
      </c>
      <c r="FF303" s="8">
        <v>0</v>
      </c>
      <c r="FG303" s="9">
        <f t="shared" si="1564"/>
        <v>5</v>
      </c>
      <c r="FH303" s="8">
        <v>0</v>
      </c>
      <c r="FI303" s="8">
        <v>0</v>
      </c>
      <c r="FJ303" s="8">
        <v>23</v>
      </c>
      <c r="FK303" s="8">
        <v>0</v>
      </c>
      <c r="FL303" s="8">
        <v>0</v>
      </c>
      <c r="FM303" s="8">
        <v>0</v>
      </c>
      <c r="FN303" s="8">
        <v>0</v>
      </c>
      <c r="FO303" s="8">
        <v>0</v>
      </c>
      <c r="FP303" s="8">
        <v>0</v>
      </c>
      <c r="FQ303" s="9">
        <f t="shared" si="1565"/>
        <v>0</v>
      </c>
      <c r="FR303" s="8">
        <v>53419</v>
      </c>
      <c r="FS303" s="8">
        <v>0</v>
      </c>
      <c r="FT303" s="8">
        <v>0</v>
      </c>
      <c r="FU303" s="8">
        <v>0</v>
      </c>
      <c r="FV303" s="9">
        <f t="shared" si="1566"/>
        <v>53419</v>
      </c>
      <c r="FW303" s="8">
        <v>3998767</v>
      </c>
      <c r="FX303" s="8">
        <v>116200</v>
      </c>
      <c r="FY303" s="8">
        <v>0</v>
      </c>
      <c r="FZ303" s="8">
        <v>50000</v>
      </c>
      <c r="GA303" s="9">
        <f t="shared" si="1567"/>
        <v>4164967</v>
      </c>
      <c r="GB303" s="9">
        <f t="shared" si="1568"/>
        <v>4218386</v>
      </c>
      <c r="GC303" s="8">
        <v>148781.23000000001</v>
      </c>
      <c r="GD303" s="8">
        <v>0</v>
      </c>
      <c r="GE303" s="8">
        <v>46344.14</v>
      </c>
      <c r="GF303" s="8">
        <v>0</v>
      </c>
      <c r="GG303" s="9">
        <f t="shared" si="1569"/>
        <v>195125.37</v>
      </c>
      <c r="GH303" s="8">
        <v>3722611.92</v>
      </c>
      <c r="GI303" s="8">
        <v>101473.24</v>
      </c>
      <c r="GJ303" s="8">
        <v>50000</v>
      </c>
      <c r="GK303" s="8">
        <v>0</v>
      </c>
      <c r="GL303" s="9">
        <f t="shared" si="1570"/>
        <v>3874085.16</v>
      </c>
      <c r="GM303" s="9">
        <f t="shared" si="1571"/>
        <v>4069210.5300000003</v>
      </c>
      <c r="GN303" s="8">
        <v>18363.77</v>
      </c>
      <c r="GO303" s="8">
        <v>0</v>
      </c>
      <c r="GP303" s="8">
        <v>3393.64</v>
      </c>
      <c r="GQ303" s="8">
        <v>0</v>
      </c>
      <c r="GR303" s="9">
        <f t="shared" si="1572"/>
        <v>21757.41</v>
      </c>
      <c r="GS303" s="8">
        <v>30362</v>
      </c>
      <c r="GT303" s="8">
        <v>0</v>
      </c>
      <c r="GU303" s="8">
        <v>893</v>
      </c>
      <c r="GV303" s="8">
        <v>0</v>
      </c>
      <c r="GW303" s="9">
        <f t="shared" si="1573"/>
        <v>31255</v>
      </c>
      <c r="GX303" s="9">
        <f t="shared" si="1574"/>
        <v>4122222.9400000004</v>
      </c>
      <c r="GY303" s="8">
        <v>9031756.4499999899</v>
      </c>
      <c r="GZ303" s="8">
        <v>13202.22</v>
      </c>
      <c r="HA303" s="9">
        <f t="shared" si="1454"/>
        <v>9044958.6699999906</v>
      </c>
      <c r="HB303" s="9">
        <f t="shared" si="1575"/>
        <v>0.54601473770363329</v>
      </c>
      <c r="HC303" s="10">
        <f t="shared" si="1576"/>
        <v>0.32069276337827707</v>
      </c>
      <c r="HD303" s="9">
        <f t="shared" si="1577"/>
        <v>1.023327961975778</v>
      </c>
      <c r="HE303" s="8">
        <v>10</v>
      </c>
      <c r="HF303" s="8">
        <v>4</v>
      </c>
      <c r="HG303" s="8">
        <v>8</v>
      </c>
      <c r="HH303" s="8">
        <v>5</v>
      </c>
      <c r="HI303" s="8">
        <v>3</v>
      </c>
      <c r="HJ303" s="9">
        <f t="shared" si="1578"/>
        <v>7</v>
      </c>
      <c r="HK303" s="10">
        <f t="shared" si="1579"/>
        <v>0.5</v>
      </c>
      <c r="HL303" s="8">
        <v>0</v>
      </c>
      <c r="HM303" s="8">
        <v>0</v>
      </c>
      <c r="HN303" s="11" t="str">
        <f t="shared" si="1580"/>
        <v/>
      </c>
    </row>
    <row r="304" spans="1:222" x14ac:dyDescent="0.3">
      <c r="A304" s="12" t="s">
        <v>295</v>
      </c>
      <c r="B304" s="12" t="s">
        <v>298</v>
      </c>
      <c r="C304" s="13" t="s">
        <v>257</v>
      </c>
      <c r="D304" s="13">
        <v>2025</v>
      </c>
      <c r="E304" s="13">
        <v>5</v>
      </c>
      <c r="F304" s="13" t="s">
        <v>260</v>
      </c>
      <c r="G304" s="13" t="s">
        <v>259</v>
      </c>
      <c r="H304" s="14">
        <v>4720</v>
      </c>
      <c r="I304" s="14">
        <v>68</v>
      </c>
      <c r="J304" s="14">
        <v>0</v>
      </c>
      <c r="K304" s="14">
        <v>14</v>
      </c>
      <c r="L304" s="14">
        <v>4</v>
      </c>
      <c r="M304" s="15">
        <f t="shared" si="1521"/>
        <v>86</v>
      </c>
      <c r="N304" s="14">
        <v>3055.2999999999902</v>
      </c>
      <c r="O304" s="14">
        <v>556.29999999999995</v>
      </c>
      <c r="P304" s="14">
        <v>26.4</v>
      </c>
      <c r="Q304" s="14">
        <v>2.2999999999999998</v>
      </c>
      <c r="R304" s="15">
        <f t="shared" si="1522"/>
        <v>3640.2999999999906</v>
      </c>
      <c r="S304" s="15">
        <f t="shared" si="1523"/>
        <v>3726.2999999999906</v>
      </c>
      <c r="T304" s="14">
        <v>993.70000000001005</v>
      </c>
      <c r="U304" s="16">
        <f t="shared" si="1524"/>
        <v>0.21052966101695128</v>
      </c>
      <c r="V304" s="14">
        <v>9</v>
      </c>
      <c r="W304" s="17">
        <f t="shared" si="1525"/>
        <v>1.9067796610169492E-3</v>
      </c>
      <c r="X304" s="14">
        <v>54</v>
      </c>
      <c r="Y304" s="17">
        <f t="shared" si="1526"/>
        <v>1.1440677966101695E-2</v>
      </c>
      <c r="Z304" s="14">
        <v>21</v>
      </c>
      <c r="AA304" s="17">
        <f t="shared" si="1527"/>
        <v>4.4491525423728815E-3</v>
      </c>
      <c r="AB304" s="14">
        <v>0</v>
      </c>
      <c r="AC304" s="17">
        <f t="shared" si="1528"/>
        <v>0</v>
      </c>
      <c r="AD304" s="14">
        <v>0</v>
      </c>
      <c r="AE304" s="17">
        <f t="shared" si="1529"/>
        <v>0</v>
      </c>
      <c r="AF304" s="14">
        <v>0</v>
      </c>
      <c r="AG304" s="17">
        <f t="shared" si="1530"/>
        <v>0</v>
      </c>
      <c r="AH304" s="14">
        <v>958236</v>
      </c>
      <c r="AI304" s="15">
        <f t="shared" si="1531"/>
        <v>203.01610169491525</v>
      </c>
      <c r="AJ304" s="14">
        <v>218.43</v>
      </c>
      <c r="AK304" s="17">
        <f t="shared" si="1532"/>
        <v>4.6277542372881356E-2</v>
      </c>
      <c r="AL304" s="14">
        <v>91305.334870000006</v>
      </c>
      <c r="AM304" s="15">
        <f t="shared" si="1533"/>
        <v>19.344350608050849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5">
        <f t="shared" si="1534"/>
        <v>1049541.3348699999</v>
      </c>
      <c r="AV304" s="15">
        <f t="shared" si="1535"/>
        <v>222.36045230296608</v>
      </c>
      <c r="AW304" s="15">
        <f t="shared" si="1536"/>
        <v>281.65776638220285</v>
      </c>
      <c r="AX304" s="14">
        <v>1</v>
      </c>
      <c r="AY304" s="15">
        <f t="shared" si="1537"/>
        <v>2.5423728813559325</v>
      </c>
      <c r="AZ304" s="14">
        <v>6</v>
      </c>
      <c r="BA304" s="14">
        <v>7</v>
      </c>
      <c r="BB304" s="14">
        <v>1</v>
      </c>
      <c r="BC304" s="14">
        <v>4</v>
      </c>
      <c r="BD304" s="14">
        <v>0</v>
      </c>
      <c r="BE304" s="15">
        <f t="shared" si="1538"/>
        <v>4</v>
      </c>
      <c r="BF304" s="15">
        <f t="shared" si="1539"/>
        <v>4</v>
      </c>
      <c r="BG304" s="14">
        <v>1</v>
      </c>
      <c r="BH304" s="14">
        <v>0</v>
      </c>
      <c r="BI304" s="14">
        <v>0</v>
      </c>
      <c r="BJ304" s="14">
        <v>0</v>
      </c>
      <c r="BK304" s="15">
        <f t="shared" si="1540"/>
        <v>0</v>
      </c>
      <c r="BL304" s="15">
        <f t="shared" si="1541"/>
        <v>1</v>
      </c>
      <c r="BM304" s="14">
        <v>0</v>
      </c>
      <c r="BN304" s="14">
        <v>1</v>
      </c>
      <c r="BO304" s="14">
        <v>1</v>
      </c>
      <c r="BP304" s="14">
        <v>0</v>
      </c>
      <c r="BQ304" s="15">
        <f t="shared" si="1542"/>
        <v>1</v>
      </c>
      <c r="BR304" s="15">
        <f t="shared" si="1543"/>
        <v>0</v>
      </c>
      <c r="BS304" s="14">
        <v>0</v>
      </c>
      <c r="BT304" s="14">
        <v>0</v>
      </c>
      <c r="BU304" s="14">
        <v>0</v>
      </c>
      <c r="BV304" s="14">
        <v>0</v>
      </c>
      <c r="BW304" s="15">
        <f t="shared" si="1544"/>
        <v>0</v>
      </c>
      <c r="BX304" s="15">
        <f t="shared" si="1545"/>
        <v>0</v>
      </c>
      <c r="BY304" s="15">
        <f t="shared" si="1546"/>
        <v>8</v>
      </c>
      <c r="BZ304" s="15">
        <f t="shared" si="1547"/>
        <v>2</v>
      </c>
      <c r="CA304" s="15">
        <f t="shared" si="1548"/>
        <v>5</v>
      </c>
      <c r="CB304" s="15">
        <f t="shared" si="1549"/>
        <v>5</v>
      </c>
      <c r="CC304" s="14">
        <v>0</v>
      </c>
      <c r="CD304" s="14">
        <v>0</v>
      </c>
      <c r="CE304" s="14">
        <v>0</v>
      </c>
      <c r="CF304" s="14">
        <v>0</v>
      </c>
      <c r="CG304" s="14">
        <v>0</v>
      </c>
      <c r="CH304" s="15">
        <f t="shared" si="1550"/>
        <v>0</v>
      </c>
      <c r="CI304" s="14">
        <v>11</v>
      </c>
      <c r="CJ304" s="14">
        <v>1</v>
      </c>
      <c r="CK304" s="14">
        <v>1</v>
      </c>
      <c r="CL304" s="14">
        <v>0</v>
      </c>
      <c r="CM304" s="15">
        <f t="shared" si="1551"/>
        <v>13</v>
      </c>
      <c r="CN304" s="14">
        <v>447</v>
      </c>
      <c r="CO304" s="14">
        <v>9</v>
      </c>
      <c r="CP304" s="14">
        <v>7</v>
      </c>
      <c r="CQ304" s="14">
        <v>15</v>
      </c>
      <c r="CR304" s="15">
        <f t="shared" si="1552"/>
        <v>478</v>
      </c>
      <c r="CS304" s="15">
        <f t="shared" si="1553"/>
        <v>491</v>
      </c>
      <c r="CT304" s="14">
        <v>491</v>
      </c>
      <c r="CU304" s="14">
        <v>7047</v>
      </c>
      <c r="CV304" s="14">
        <v>5800.5</v>
      </c>
      <c r="CW304" s="16">
        <f t="shared" si="1554"/>
        <v>0.82311621966794379</v>
      </c>
      <c r="CX304" s="14">
        <v>0</v>
      </c>
      <c r="CY304" s="14">
        <v>0</v>
      </c>
      <c r="CZ304" s="14">
        <v>0</v>
      </c>
      <c r="DA304" s="14">
        <v>0</v>
      </c>
      <c r="DB304" s="15">
        <f t="shared" si="1555"/>
        <v>0</v>
      </c>
      <c r="DC304" s="14">
        <v>0</v>
      </c>
      <c r="DD304" s="14">
        <v>0</v>
      </c>
      <c r="DE304" s="14">
        <v>0</v>
      </c>
      <c r="DF304" s="14">
        <v>0</v>
      </c>
      <c r="DG304" s="15">
        <f t="shared" si="1556"/>
        <v>0</v>
      </c>
      <c r="DH304" s="14">
        <v>0</v>
      </c>
      <c r="DI304" s="14">
        <v>0</v>
      </c>
      <c r="DJ304" s="14">
        <v>0</v>
      </c>
      <c r="DK304" s="14">
        <v>0</v>
      </c>
      <c r="DL304" s="15">
        <f t="shared" si="1557"/>
        <v>0</v>
      </c>
      <c r="DM304" s="14">
        <v>0</v>
      </c>
      <c r="DN304" s="14">
        <v>0</v>
      </c>
      <c r="DO304" s="14">
        <v>0</v>
      </c>
      <c r="DP304" s="14">
        <v>0</v>
      </c>
      <c r="DQ304" s="15">
        <f t="shared" si="1558"/>
        <v>0</v>
      </c>
      <c r="DR304" s="15">
        <f t="shared" si="1559"/>
        <v>0</v>
      </c>
      <c r="DS304" s="15">
        <f t="shared" si="1560"/>
        <v>0</v>
      </c>
      <c r="DT304" s="15">
        <f t="shared" si="1561"/>
        <v>0</v>
      </c>
      <c r="DU304" s="15">
        <f t="shared" si="1562"/>
        <v>0</v>
      </c>
      <c r="DV304" s="15">
        <f t="shared" si="1563"/>
        <v>0</v>
      </c>
      <c r="DW304" s="14">
        <v>9</v>
      </c>
      <c r="DX304" s="14">
        <v>2</v>
      </c>
      <c r="DY304" s="14">
        <v>0</v>
      </c>
      <c r="DZ304" s="14">
        <v>0</v>
      </c>
      <c r="EA304" s="14">
        <v>0</v>
      </c>
      <c r="EB304" s="14">
        <v>1</v>
      </c>
      <c r="EC304" s="14">
        <v>0</v>
      </c>
      <c r="ED304" s="14">
        <v>0</v>
      </c>
      <c r="EE304" s="14">
        <v>4</v>
      </c>
      <c r="EF304" s="14">
        <v>0</v>
      </c>
      <c r="EG304" s="14">
        <v>0</v>
      </c>
      <c r="EH304" s="14">
        <v>0</v>
      </c>
      <c r="EI304" s="14">
        <v>0</v>
      </c>
      <c r="EJ304" s="14">
        <v>0</v>
      </c>
      <c r="EK304" s="14">
        <v>0</v>
      </c>
      <c r="EL304" s="14">
        <v>0</v>
      </c>
      <c r="EM304" s="14">
        <v>0</v>
      </c>
      <c r="EN304" s="14">
        <v>0</v>
      </c>
      <c r="EO304" s="14">
        <v>0</v>
      </c>
      <c r="EP304" s="14">
        <v>0</v>
      </c>
      <c r="EQ304" s="14">
        <v>0</v>
      </c>
      <c r="ER304" s="14">
        <v>0</v>
      </c>
      <c r="ES304" s="14">
        <v>0</v>
      </c>
      <c r="ET304" s="14">
        <v>0</v>
      </c>
      <c r="EU304" s="14">
        <v>0</v>
      </c>
      <c r="EV304" s="14">
        <v>0</v>
      </c>
      <c r="EW304" s="14">
        <v>0</v>
      </c>
      <c r="EX304" s="14">
        <v>0</v>
      </c>
      <c r="EY304" s="14">
        <v>0</v>
      </c>
      <c r="EZ304" s="14">
        <v>0</v>
      </c>
      <c r="FA304" s="14">
        <v>0</v>
      </c>
      <c r="FB304" s="14">
        <v>0</v>
      </c>
      <c r="FC304" s="14">
        <v>0</v>
      </c>
      <c r="FD304" s="14">
        <v>0</v>
      </c>
      <c r="FE304" s="14">
        <v>0</v>
      </c>
      <c r="FF304" s="14">
        <v>0</v>
      </c>
      <c r="FG304" s="15">
        <f t="shared" si="1564"/>
        <v>16</v>
      </c>
      <c r="FH304" s="14">
        <v>0</v>
      </c>
      <c r="FI304" s="14">
        <v>0</v>
      </c>
      <c r="FJ304" s="14">
        <v>23</v>
      </c>
      <c r="FK304" s="14">
        <v>0</v>
      </c>
      <c r="FL304" s="14">
        <v>0</v>
      </c>
      <c r="FM304" s="14">
        <v>0</v>
      </c>
      <c r="FN304" s="14">
        <v>0</v>
      </c>
      <c r="FO304" s="14">
        <v>0</v>
      </c>
      <c r="FP304" s="14">
        <v>0</v>
      </c>
      <c r="FQ304" s="15">
        <f t="shared" si="1565"/>
        <v>0</v>
      </c>
      <c r="FR304" s="14">
        <v>200355</v>
      </c>
      <c r="FS304" s="14">
        <v>0</v>
      </c>
      <c r="FT304" s="14">
        <v>0</v>
      </c>
      <c r="FU304" s="14">
        <v>0</v>
      </c>
      <c r="FV304" s="15">
        <f t="shared" si="1566"/>
        <v>200355</v>
      </c>
      <c r="FW304" s="14">
        <v>3884968</v>
      </c>
      <c r="FX304" s="14">
        <v>121000</v>
      </c>
      <c r="FY304" s="14">
        <v>11000</v>
      </c>
      <c r="FZ304" s="14">
        <v>80000</v>
      </c>
      <c r="GA304" s="15">
        <f t="shared" si="1567"/>
        <v>4096968</v>
      </c>
      <c r="GB304" s="15">
        <f t="shared" si="1568"/>
        <v>4297323</v>
      </c>
      <c r="GC304" s="14">
        <v>66434.320000000007</v>
      </c>
      <c r="GD304" s="14">
        <v>0</v>
      </c>
      <c r="GE304" s="14">
        <v>36416.949999999997</v>
      </c>
      <c r="GF304" s="14">
        <v>8410.99</v>
      </c>
      <c r="GG304" s="15">
        <f t="shared" si="1569"/>
        <v>111262.26000000001</v>
      </c>
      <c r="GH304" s="14">
        <v>3804540.37</v>
      </c>
      <c r="GI304" s="14">
        <v>118180</v>
      </c>
      <c r="GJ304" s="14">
        <v>80000</v>
      </c>
      <c r="GK304" s="14">
        <v>11000</v>
      </c>
      <c r="GL304" s="15">
        <f t="shared" si="1570"/>
        <v>4013720.37</v>
      </c>
      <c r="GM304" s="15">
        <f t="shared" si="1571"/>
        <v>4124982.63</v>
      </c>
      <c r="GN304" s="14">
        <v>5830.38</v>
      </c>
      <c r="GO304" s="14">
        <v>0</v>
      </c>
      <c r="GP304" s="14">
        <v>3393.64</v>
      </c>
      <c r="GQ304" s="14">
        <v>4637.34</v>
      </c>
      <c r="GR304" s="15">
        <f t="shared" si="1572"/>
        <v>13861.36</v>
      </c>
      <c r="GS304" s="14">
        <v>9823</v>
      </c>
      <c r="GT304" s="14">
        <v>0</v>
      </c>
      <c r="GU304" s="14">
        <v>893</v>
      </c>
      <c r="GV304" s="14">
        <v>893</v>
      </c>
      <c r="GW304" s="15">
        <f t="shared" si="1573"/>
        <v>11609</v>
      </c>
      <c r="GX304" s="15">
        <f t="shared" si="1574"/>
        <v>4150452.9899999998</v>
      </c>
      <c r="GY304" s="14">
        <v>9080543.2299999986</v>
      </c>
      <c r="GZ304" s="14">
        <v>13202.22</v>
      </c>
      <c r="HA304" s="9">
        <f t="shared" si="1454"/>
        <v>9093745.4499999993</v>
      </c>
      <c r="HB304" s="15">
        <f t="shared" si="1575"/>
        <v>0.25287392421953442</v>
      </c>
      <c r="HC304" s="16">
        <f t="shared" si="1576"/>
        <v>0.32479209641857193</v>
      </c>
      <c r="HD304" s="15">
        <f t="shared" si="1577"/>
        <v>1.035386501269588</v>
      </c>
      <c r="HE304" s="14">
        <v>9</v>
      </c>
      <c r="HF304" s="14">
        <v>7</v>
      </c>
      <c r="HG304" s="14">
        <v>5</v>
      </c>
      <c r="HH304" s="14">
        <v>2</v>
      </c>
      <c r="HI304" s="14">
        <v>2</v>
      </c>
      <c r="HJ304" s="15">
        <f t="shared" si="1578"/>
        <v>9</v>
      </c>
      <c r="HK304" s="16">
        <f t="shared" si="1579"/>
        <v>0.22222222222222221</v>
      </c>
      <c r="HL304" s="14">
        <v>0</v>
      </c>
      <c r="HM304" s="14">
        <v>0</v>
      </c>
      <c r="HN304" s="17" t="str">
        <f t="shared" si="1580"/>
        <v/>
      </c>
    </row>
    <row r="305" spans="1:222" x14ac:dyDescent="0.3">
      <c r="A305" s="6" t="s">
        <v>295</v>
      </c>
      <c r="B305" s="6" t="s">
        <v>298</v>
      </c>
      <c r="C305" s="7" t="s">
        <v>257</v>
      </c>
      <c r="D305" s="7">
        <v>2025</v>
      </c>
      <c r="E305" s="7">
        <v>6</v>
      </c>
      <c r="F305" s="7" t="s">
        <v>261</v>
      </c>
      <c r="G305" s="7" t="s">
        <v>259</v>
      </c>
      <c r="H305" s="8">
        <v>4801</v>
      </c>
      <c r="I305" s="8">
        <v>93</v>
      </c>
      <c r="J305" s="8">
        <v>0</v>
      </c>
      <c r="K305" s="8">
        <v>15</v>
      </c>
      <c r="L305" s="8">
        <v>3</v>
      </c>
      <c r="M305" s="9">
        <f t="shared" si="1521"/>
        <v>111</v>
      </c>
      <c r="N305" s="8">
        <v>2925.8</v>
      </c>
      <c r="O305" s="8">
        <v>414.5</v>
      </c>
      <c r="P305" s="8">
        <v>15.1</v>
      </c>
      <c r="Q305" s="8">
        <v>94.6</v>
      </c>
      <c r="R305" s="9">
        <f t="shared" si="1522"/>
        <v>3450</v>
      </c>
      <c r="S305" s="9">
        <f t="shared" si="1523"/>
        <v>3561</v>
      </c>
      <c r="T305" s="8">
        <v>1240</v>
      </c>
      <c r="U305" s="10">
        <f t="shared" si="1524"/>
        <v>0.2582795250989377</v>
      </c>
      <c r="V305" s="8">
        <v>10</v>
      </c>
      <c r="W305" s="11">
        <f t="shared" si="1525"/>
        <v>2.0828993959591752E-3</v>
      </c>
      <c r="X305" s="8">
        <v>35</v>
      </c>
      <c r="Y305" s="11">
        <f t="shared" si="1526"/>
        <v>7.2901478858571128E-3</v>
      </c>
      <c r="Z305" s="8">
        <v>19</v>
      </c>
      <c r="AA305" s="11">
        <f t="shared" si="1527"/>
        <v>3.9575088523224325E-3</v>
      </c>
      <c r="AB305" s="8">
        <v>0</v>
      </c>
      <c r="AC305" s="11">
        <f t="shared" si="1528"/>
        <v>0</v>
      </c>
      <c r="AD305" s="8">
        <v>0</v>
      </c>
      <c r="AE305" s="11">
        <f t="shared" si="1529"/>
        <v>0</v>
      </c>
      <c r="AF305" s="8">
        <v>0</v>
      </c>
      <c r="AG305" s="11">
        <f t="shared" si="1530"/>
        <v>0</v>
      </c>
      <c r="AH305" s="8">
        <v>794704</v>
      </c>
      <c r="AI305" s="9">
        <f t="shared" si="1531"/>
        <v>165.52884815663404</v>
      </c>
      <c r="AJ305" s="8">
        <v>338.69</v>
      </c>
      <c r="AK305" s="11">
        <f t="shared" si="1532"/>
        <v>7.0545719641741306E-2</v>
      </c>
      <c r="AL305" s="8">
        <v>124173.47521</v>
      </c>
      <c r="AM305" s="9">
        <f t="shared" si="1533"/>
        <v>25.864085650906063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9">
        <f t="shared" si="1534"/>
        <v>918877.47521000006</v>
      </c>
      <c r="AV305" s="9">
        <f t="shared" si="1535"/>
        <v>191.39293380754012</v>
      </c>
      <c r="AW305" s="9">
        <f t="shared" si="1536"/>
        <v>258.03916742768888</v>
      </c>
      <c r="AX305" s="8">
        <v>1</v>
      </c>
      <c r="AY305" s="9">
        <f t="shared" si="1537"/>
        <v>2.49947927515101</v>
      </c>
      <c r="AZ305" s="8">
        <v>6</v>
      </c>
      <c r="BA305" s="8">
        <v>4</v>
      </c>
      <c r="BB305" s="8">
        <v>9</v>
      </c>
      <c r="BC305" s="8">
        <v>8</v>
      </c>
      <c r="BD305" s="8">
        <v>0</v>
      </c>
      <c r="BE305" s="9">
        <f t="shared" si="1538"/>
        <v>8</v>
      </c>
      <c r="BF305" s="9">
        <f t="shared" si="1539"/>
        <v>5</v>
      </c>
      <c r="BG305" s="8">
        <v>1</v>
      </c>
      <c r="BH305" s="8">
        <v>0</v>
      </c>
      <c r="BI305" s="8">
        <v>1</v>
      </c>
      <c r="BJ305" s="8">
        <v>0</v>
      </c>
      <c r="BK305" s="9">
        <f t="shared" si="1540"/>
        <v>1</v>
      </c>
      <c r="BL305" s="9">
        <f t="shared" si="1541"/>
        <v>0</v>
      </c>
      <c r="BM305" s="8">
        <v>0</v>
      </c>
      <c r="BN305" s="8">
        <v>0</v>
      </c>
      <c r="BO305" s="8">
        <v>0</v>
      </c>
      <c r="BP305" s="8">
        <v>0</v>
      </c>
      <c r="BQ305" s="9">
        <f t="shared" si="1542"/>
        <v>0</v>
      </c>
      <c r="BR305" s="9">
        <f t="shared" si="1543"/>
        <v>0</v>
      </c>
      <c r="BS305" s="8">
        <v>0</v>
      </c>
      <c r="BT305" s="8">
        <v>0</v>
      </c>
      <c r="BU305" s="8">
        <v>0</v>
      </c>
      <c r="BV305" s="8">
        <v>0</v>
      </c>
      <c r="BW305" s="9">
        <f t="shared" si="1544"/>
        <v>0</v>
      </c>
      <c r="BX305" s="9">
        <f t="shared" si="1545"/>
        <v>0</v>
      </c>
      <c r="BY305" s="9">
        <f t="shared" si="1546"/>
        <v>5</v>
      </c>
      <c r="BZ305" s="9">
        <f t="shared" si="1547"/>
        <v>9</v>
      </c>
      <c r="CA305" s="9">
        <f t="shared" si="1548"/>
        <v>9</v>
      </c>
      <c r="CB305" s="9">
        <f t="shared" si="1549"/>
        <v>5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9">
        <f t="shared" si="1550"/>
        <v>0</v>
      </c>
      <c r="CI305" s="8">
        <v>19</v>
      </c>
      <c r="CJ305" s="8">
        <v>2</v>
      </c>
      <c r="CK305" s="8">
        <v>1</v>
      </c>
      <c r="CL305" s="8">
        <v>0</v>
      </c>
      <c r="CM305" s="9">
        <f t="shared" si="1551"/>
        <v>22</v>
      </c>
      <c r="CN305" s="8">
        <v>447</v>
      </c>
      <c r="CO305" s="8">
        <v>9</v>
      </c>
      <c r="CP305" s="8">
        <v>7</v>
      </c>
      <c r="CQ305" s="8">
        <v>15</v>
      </c>
      <c r="CR305" s="9">
        <f t="shared" si="1552"/>
        <v>478</v>
      </c>
      <c r="CS305" s="9">
        <f t="shared" si="1553"/>
        <v>500</v>
      </c>
      <c r="CT305" s="8">
        <v>500</v>
      </c>
      <c r="CU305" s="8">
        <v>7058</v>
      </c>
      <c r="CV305" s="8">
        <v>5839.7</v>
      </c>
      <c r="CW305" s="10">
        <f t="shared" si="1554"/>
        <v>0.82738736185888351</v>
      </c>
      <c r="CX305" s="8">
        <v>0</v>
      </c>
      <c r="CY305" s="8">
        <v>0</v>
      </c>
      <c r="CZ305" s="8">
        <v>0</v>
      </c>
      <c r="DA305" s="8">
        <v>0</v>
      </c>
      <c r="DB305" s="9">
        <f t="shared" si="1555"/>
        <v>0</v>
      </c>
      <c r="DC305" s="8">
        <v>0</v>
      </c>
      <c r="DD305" s="8">
        <v>0</v>
      </c>
      <c r="DE305" s="8">
        <v>0</v>
      </c>
      <c r="DF305" s="8">
        <v>0</v>
      </c>
      <c r="DG305" s="9">
        <f t="shared" si="1556"/>
        <v>0</v>
      </c>
      <c r="DH305" s="8">
        <v>0</v>
      </c>
      <c r="DI305" s="8">
        <v>0</v>
      </c>
      <c r="DJ305" s="8">
        <v>0</v>
      </c>
      <c r="DK305" s="8">
        <v>0</v>
      </c>
      <c r="DL305" s="9">
        <f t="shared" si="1557"/>
        <v>0</v>
      </c>
      <c r="DM305" s="8">
        <v>0</v>
      </c>
      <c r="DN305" s="8">
        <v>0</v>
      </c>
      <c r="DO305" s="8">
        <v>0</v>
      </c>
      <c r="DP305" s="8">
        <v>0</v>
      </c>
      <c r="DQ305" s="9">
        <f t="shared" si="1558"/>
        <v>0</v>
      </c>
      <c r="DR305" s="9">
        <f t="shared" si="1559"/>
        <v>0</v>
      </c>
      <c r="DS305" s="9">
        <f t="shared" si="1560"/>
        <v>0</v>
      </c>
      <c r="DT305" s="9">
        <f t="shared" si="1561"/>
        <v>0</v>
      </c>
      <c r="DU305" s="9">
        <f t="shared" si="1562"/>
        <v>0</v>
      </c>
      <c r="DV305" s="9">
        <f t="shared" si="1563"/>
        <v>0</v>
      </c>
      <c r="DW305" s="8">
        <v>0</v>
      </c>
      <c r="DX305" s="8">
        <v>0</v>
      </c>
      <c r="DY305" s="8">
        <v>1</v>
      </c>
      <c r="DZ305" s="8">
        <v>0</v>
      </c>
      <c r="EA305" s="8">
        <v>0</v>
      </c>
      <c r="EB305" s="8">
        <v>0</v>
      </c>
      <c r="EC305" s="8">
        <v>0</v>
      </c>
      <c r="ED305" s="8">
        <v>0</v>
      </c>
      <c r="EE305" s="8">
        <v>2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8">
        <v>0</v>
      </c>
      <c r="FC305" s="8">
        <v>0</v>
      </c>
      <c r="FD305" s="8">
        <v>0</v>
      </c>
      <c r="FE305" s="8">
        <v>0</v>
      </c>
      <c r="FF305" s="8">
        <v>0</v>
      </c>
      <c r="FG305" s="9">
        <f t="shared" si="1564"/>
        <v>3</v>
      </c>
      <c r="FH305" s="8">
        <v>0</v>
      </c>
      <c r="FI305" s="8">
        <v>0</v>
      </c>
      <c r="FJ305" s="8">
        <v>23</v>
      </c>
      <c r="FK305" s="8">
        <v>0</v>
      </c>
      <c r="FL305" s="8">
        <v>0</v>
      </c>
      <c r="FM305" s="8">
        <v>0</v>
      </c>
      <c r="FN305" s="8">
        <v>0</v>
      </c>
      <c r="FO305" s="8">
        <v>0</v>
      </c>
      <c r="FP305" s="8">
        <v>0</v>
      </c>
      <c r="FQ305" s="9">
        <f t="shared" si="1565"/>
        <v>0</v>
      </c>
      <c r="FR305" s="8">
        <v>43270</v>
      </c>
      <c r="FS305" s="8">
        <v>0</v>
      </c>
      <c r="FT305" s="8">
        <v>14000</v>
      </c>
      <c r="FU305" s="8">
        <v>0</v>
      </c>
      <c r="FV305" s="9">
        <f t="shared" si="1566"/>
        <v>57270</v>
      </c>
      <c r="FW305" s="8">
        <v>3695593.08</v>
      </c>
      <c r="FX305" s="8">
        <v>90021.24</v>
      </c>
      <c r="FY305" s="8">
        <v>22364.05</v>
      </c>
      <c r="FZ305" s="8">
        <v>58000</v>
      </c>
      <c r="GA305" s="9">
        <f t="shared" si="1567"/>
        <v>3865978.37</v>
      </c>
      <c r="GB305" s="9">
        <f t="shared" si="1568"/>
        <v>3923248.37</v>
      </c>
      <c r="GC305" s="8">
        <v>95820.13</v>
      </c>
      <c r="GD305" s="8">
        <v>0</v>
      </c>
      <c r="GE305" s="8">
        <v>44827.94</v>
      </c>
      <c r="GF305" s="8">
        <v>8410.99</v>
      </c>
      <c r="GG305" s="9">
        <f t="shared" si="1569"/>
        <v>149059.06</v>
      </c>
      <c r="GH305" s="8">
        <v>3642555.43</v>
      </c>
      <c r="GI305" s="8">
        <v>88101.24</v>
      </c>
      <c r="GJ305" s="8">
        <v>46000</v>
      </c>
      <c r="GK305" s="8">
        <v>22364.04</v>
      </c>
      <c r="GL305" s="9">
        <f t="shared" si="1570"/>
        <v>3799020.7100000004</v>
      </c>
      <c r="GM305" s="9">
        <f t="shared" si="1571"/>
        <v>3948079.7700000005</v>
      </c>
      <c r="GN305" s="8">
        <v>10189.82</v>
      </c>
      <c r="GO305" s="8">
        <v>0</v>
      </c>
      <c r="GP305" s="8">
        <v>6787.28</v>
      </c>
      <c r="GQ305" s="8">
        <v>4637.34</v>
      </c>
      <c r="GR305" s="9">
        <f t="shared" si="1572"/>
        <v>21614.44</v>
      </c>
      <c r="GS305" s="8">
        <v>16967</v>
      </c>
      <c r="GT305" s="8">
        <v>0</v>
      </c>
      <c r="GU305" s="8">
        <v>1786</v>
      </c>
      <c r="GV305" s="8">
        <v>893</v>
      </c>
      <c r="GW305" s="9">
        <f t="shared" si="1573"/>
        <v>19646</v>
      </c>
      <c r="GX305" s="9">
        <f t="shared" si="1574"/>
        <v>3989340.2100000004</v>
      </c>
      <c r="GY305" s="8">
        <v>9172889.1399999894</v>
      </c>
      <c r="GZ305" s="8">
        <v>13202.22</v>
      </c>
      <c r="HA305" s="9">
        <f t="shared" si="1454"/>
        <v>9186091.3599999901</v>
      </c>
      <c r="HB305" s="9">
        <f t="shared" si="1575"/>
        <v>0.23033319467381297</v>
      </c>
      <c r="HC305" s="10">
        <f t="shared" si="1576"/>
        <v>0.29806868317486074</v>
      </c>
      <c r="HD305" s="9">
        <f t="shared" si="1577"/>
        <v>0.98343288952034491</v>
      </c>
      <c r="HE305" s="8">
        <v>15</v>
      </c>
      <c r="HF305" s="8">
        <v>7</v>
      </c>
      <c r="HG305" s="8">
        <v>5</v>
      </c>
      <c r="HH305" s="8">
        <v>9</v>
      </c>
      <c r="HI305" s="8">
        <v>4</v>
      </c>
      <c r="HJ305" s="9">
        <f t="shared" si="1578"/>
        <v>11</v>
      </c>
      <c r="HK305" s="10">
        <f t="shared" si="1579"/>
        <v>0.6</v>
      </c>
      <c r="HL305" s="8">
        <v>0</v>
      </c>
      <c r="HM305" s="8">
        <v>0</v>
      </c>
      <c r="HN305" s="11" t="str">
        <f t="shared" si="1580"/>
        <v/>
      </c>
    </row>
    <row r="306" spans="1:222" x14ac:dyDescent="0.3">
      <c r="A306" s="12" t="s">
        <v>295</v>
      </c>
      <c r="B306" s="12" t="s">
        <v>298</v>
      </c>
      <c r="C306" s="13" t="s">
        <v>257</v>
      </c>
      <c r="D306" s="13">
        <v>2025</v>
      </c>
      <c r="E306" s="13">
        <v>7</v>
      </c>
      <c r="F306" s="13" t="s">
        <v>262</v>
      </c>
      <c r="G306" s="13" t="s">
        <v>263</v>
      </c>
      <c r="H306" s="14">
        <v>4536</v>
      </c>
      <c r="I306" s="14">
        <v>160</v>
      </c>
      <c r="J306" s="14">
        <v>0</v>
      </c>
      <c r="K306" s="14">
        <v>19</v>
      </c>
      <c r="L306" s="14">
        <v>0</v>
      </c>
      <c r="M306" s="15">
        <f t="shared" si="1521"/>
        <v>179</v>
      </c>
      <c r="N306" s="14">
        <v>3192.8</v>
      </c>
      <c r="O306" s="14">
        <v>625.70000000000005</v>
      </c>
      <c r="P306" s="14">
        <v>195</v>
      </c>
      <c r="Q306" s="14">
        <v>4</v>
      </c>
      <c r="R306" s="15">
        <f t="shared" si="1522"/>
        <v>4017.5</v>
      </c>
      <c r="S306" s="15">
        <f t="shared" si="1523"/>
        <v>4196.5</v>
      </c>
      <c r="T306" s="14">
        <v>339.50000000000199</v>
      </c>
      <c r="U306" s="16">
        <f t="shared" si="1524"/>
        <v>7.4845679012346122E-2</v>
      </c>
      <c r="V306" s="14">
        <v>9</v>
      </c>
      <c r="W306" s="17">
        <f t="shared" si="1525"/>
        <v>1.984126984126984E-3</v>
      </c>
      <c r="X306" s="14">
        <v>28</v>
      </c>
      <c r="Y306" s="17">
        <f t="shared" si="1526"/>
        <v>6.1728395061728392E-3</v>
      </c>
      <c r="Z306" s="14">
        <v>17</v>
      </c>
      <c r="AA306" s="17">
        <f t="shared" si="1527"/>
        <v>3.7477954144620809E-3</v>
      </c>
      <c r="AB306" s="14">
        <v>0</v>
      </c>
      <c r="AC306" s="17">
        <f t="shared" si="1528"/>
        <v>0</v>
      </c>
      <c r="AD306" s="14">
        <v>0</v>
      </c>
      <c r="AE306" s="17">
        <f t="shared" si="1529"/>
        <v>0</v>
      </c>
      <c r="AF306" s="14">
        <v>0</v>
      </c>
      <c r="AG306" s="17">
        <f t="shared" si="1530"/>
        <v>0</v>
      </c>
      <c r="AH306" s="14">
        <v>683572</v>
      </c>
      <c r="AI306" s="15">
        <f t="shared" si="1531"/>
        <v>150.69929453262787</v>
      </c>
      <c r="AJ306" s="14">
        <v>312.2</v>
      </c>
      <c r="AK306" s="17">
        <f t="shared" si="1532"/>
        <v>6.8827160493827158E-2</v>
      </c>
      <c r="AL306" s="14">
        <v>116933.51979999999</v>
      </c>
      <c r="AM306" s="15">
        <f t="shared" si="1533"/>
        <v>25.778994664902996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5">
        <f t="shared" si="1534"/>
        <v>800505.51980000001</v>
      </c>
      <c r="AV306" s="15">
        <f t="shared" si="1535"/>
        <v>176.47828919753087</v>
      </c>
      <c r="AW306" s="15">
        <f t="shared" si="1536"/>
        <v>190.75551526271894</v>
      </c>
      <c r="AX306" s="14">
        <v>1</v>
      </c>
      <c r="AY306" s="15">
        <f t="shared" si="1537"/>
        <v>2.645502645502646</v>
      </c>
      <c r="AZ306" s="14">
        <v>6</v>
      </c>
      <c r="BA306" s="14">
        <v>5</v>
      </c>
      <c r="BB306" s="14">
        <v>35</v>
      </c>
      <c r="BC306" s="14">
        <v>15</v>
      </c>
      <c r="BD306" s="14">
        <v>0</v>
      </c>
      <c r="BE306" s="15">
        <f t="shared" si="1538"/>
        <v>15</v>
      </c>
      <c r="BF306" s="15">
        <f t="shared" si="1539"/>
        <v>25</v>
      </c>
      <c r="BG306" s="14">
        <v>0</v>
      </c>
      <c r="BH306" s="14">
        <v>0</v>
      </c>
      <c r="BI306" s="14">
        <v>0</v>
      </c>
      <c r="BJ306" s="14">
        <v>0</v>
      </c>
      <c r="BK306" s="15">
        <f t="shared" si="1540"/>
        <v>0</v>
      </c>
      <c r="BL306" s="15">
        <f t="shared" si="1541"/>
        <v>0</v>
      </c>
      <c r="BM306" s="14">
        <v>0</v>
      </c>
      <c r="BN306" s="14">
        <v>0</v>
      </c>
      <c r="BO306" s="14">
        <v>0</v>
      </c>
      <c r="BP306" s="14">
        <v>0</v>
      </c>
      <c r="BQ306" s="15">
        <f t="shared" si="1542"/>
        <v>0</v>
      </c>
      <c r="BR306" s="15">
        <f t="shared" si="1543"/>
        <v>0</v>
      </c>
      <c r="BS306" s="14">
        <v>0</v>
      </c>
      <c r="BT306" s="14">
        <v>0</v>
      </c>
      <c r="BU306" s="14">
        <v>0</v>
      </c>
      <c r="BV306" s="14">
        <v>0</v>
      </c>
      <c r="BW306" s="15">
        <f t="shared" si="1544"/>
        <v>0</v>
      </c>
      <c r="BX306" s="15">
        <f t="shared" si="1545"/>
        <v>0</v>
      </c>
      <c r="BY306" s="15">
        <f t="shared" si="1546"/>
        <v>5</v>
      </c>
      <c r="BZ306" s="15">
        <f t="shared" si="1547"/>
        <v>35</v>
      </c>
      <c r="CA306" s="15">
        <f t="shared" si="1548"/>
        <v>15</v>
      </c>
      <c r="CB306" s="15">
        <f t="shared" si="1549"/>
        <v>25</v>
      </c>
      <c r="CC306" s="14">
        <v>0</v>
      </c>
      <c r="CD306" s="14">
        <v>0</v>
      </c>
      <c r="CE306" s="14">
        <v>0</v>
      </c>
      <c r="CF306" s="14">
        <v>0</v>
      </c>
      <c r="CG306" s="14">
        <v>0</v>
      </c>
      <c r="CH306" s="15">
        <f t="shared" si="1550"/>
        <v>0</v>
      </c>
      <c r="CI306" s="14">
        <v>30</v>
      </c>
      <c r="CJ306" s="14">
        <v>2</v>
      </c>
      <c r="CK306" s="14">
        <v>0</v>
      </c>
      <c r="CL306" s="14">
        <v>0</v>
      </c>
      <c r="CM306" s="15">
        <f t="shared" si="1551"/>
        <v>32</v>
      </c>
      <c r="CN306" s="14">
        <v>451</v>
      </c>
      <c r="CO306" s="14">
        <v>9</v>
      </c>
      <c r="CP306" s="14">
        <v>8</v>
      </c>
      <c r="CQ306" s="14">
        <v>15</v>
      </c>
      <c r="CR306" s="15">
        <f t="shared" si="1552"/>
        <v>483</v>
      </c>
      <c r="CS306" s="15">
        <f t="shared" si="1553"/>
        <v>515</v>
      </c>
      <c r="CT306" s="14">
        <v>515</v>
      </c>
      <c r="CU306" s="14">
        <v>7069</v>
      </c>
      <c r="CV306" s="14">
        <v>5904.5</v>
      </c>
      <c r="CW306" s="16">
        <f t="shared" si="1554"/>
        <v>0.83526665723581839</v>
      </c>
      <c r="CX306" s="14">
        <v>0</v>
      </c>
      <c r="CY306" s="14">
        <v>0</v>
      </c>
      <c r="CZ306" s="14">
        <v>0</v>
      </c>
      <c r="DA306" s="14">
        <v>0</v>
      </c>
      <c r="DB306" s="15">
        <f t="shared" si="1555"/>
        <v>0</v>
      </c>
      <c r="DC306" s="14">
        <v>0</v>
      </c>
      <c r="DD306" s="14">
        <v>0</v>
      </c>
      <c r="DE306" s="14">
        <v>0</v>
      </c>
      <c r="DF306" s="14">
        <v>0</v>
      </c>
      <c r="DG306" s="15">
        <f t="shared" si="1556"/>
        <v>0</v>
      </c>
      <c r="DH306" s="14">
        <v>0</v>
      </c>
      <c r="DI306" s="14">
        <v>0</v>
      </c>
      <c r="DJ306" s="14">
        <v>0</v>
      </c>
      <c r="DK306" s="14">
        <v>0</v>
      </c>
      <c r="DL306" s="15">
        <f t="shared" si="1557"/>
        <v>0</v>
      </c>
      <c r="DM306" s="14">
        <v>0</v>
      </c>
      <c r="DN306" s="14">
        <v>0</v>
      </c>
      <c r="DO306" s="14">
        <v>0</v>
      </c>
      <c r="DP306" s="14">
        <v>0</v>
      </c>
      <c r="DQ306" s="15">
        <f t="shared" si="1558"/>
        <v>0</v>
      </c>
      <c r="DR306" s="15">
        <f t="shared" si="1559"/>
        <v>0</v>
      </c>
      <c r="DS306" s="15">
        <f t="shared" si="1560"/>
        <v>0</v>
      </c>
      <c r="DT306" s="15">
        <f t="shared" si="1561"/>
        <v>0</v>
      </c>
      <c r="DU306" s="15">
        <f t="shared" si="1562"/>
        <v>0</v>
      </c>
      <c r="DV306" s="15">
        <f t="shared" si="1563"/>
        <v>0</v>
      </c>
      <c r="DW306" s="14">
        <v>6</v>
      </c>
      <c r="DX306" s="14">
        <v>2</v>
      </c>
      <c r="DY306" s="14">
        <v>4</v>
      </c>
      <c r="DZ306" s="14">
        <v>0</v>
      </c>
      <c r="EA306" s="14">
        <v>0</v>
      </c>
      <c r="EB306" s="14">
        <v>1</v>
      </c>
      <c r="EC306" s="14">
        <v>0</v>
      </c>
      <c r="ED306" s="14">
        <v>0</v>
      </c>
      <c r="EE306" s="14">
        <v>1</v>
      </c>
      <c r="EF306" s="14">
        <v>0</v>
      </c>
      <c r="EG306" s="14">
        <v>0</v>
      </c>
      <c r="EH306" s="14">
        <v>0</v>
      </c>
      <c r="EI306" s="14">
        <v>0</v>
      </c>
      <c r="EJ306" s="14">
        <v>0</v>
      </c>
      <c r="EK306" s="14">
        <v>0</v>
      </c>
      <c r="EL306" s="14">
        <v>0</v>
      </c>
      <c r="EM306" s="14">
        <v>0</v>
      </c>
      <c r="EN306" s="14">
        <v>0</v>
      </c>
      <c r="EO306" s="14">
        <v>0</v>
      </c>
      <c r="EP306" s="14">
        <v>0</v>
      </c>
      <c r="EQ306" s="14">
        <v>0</v>
      </c>
      <c r="ER306" s="14">
        <v>0</v>
      </c>
      <c r="ES306" s="14">
        <v>0</v>
      </c>
      <c r="ET306" s="14">
        <v>0</v>
      </c>
      <c r="EU306" s="14">
        <v>0</v>
      </c>
      <c r="EV306" s="14">
        <v>0</v>
      </c>
      <c r="EW306" s="14">
        <v>0</v>
      </c>
      <c r="EX306" s="14">
        <v>0</v>
      </c>
      <c r="EY306" s="14">
        <v>0</v>
      </c>
      <c r="EZ306" s="14">
        <v>0</v>
      </c>
      <c r="FA306" s="14">
        <v>0</v>
      </c>
      <c r="FB306" s="14">
        <v>0</v>
      </c>
      <c r="FC306" s="14">
        <v>0</v>
      </c>
      <c r="FD306" s="14">
        <v>0</v>
      </c>
      <c r="FE306" s="14">
        <v>0</v>
      </c>
      <c r="FF306" s="14">
        <v>0</v>
      </c>
      <c r="FG306" s="15">
        <f t="shared" si="1564"/>
        <v>14</v>
      </c>
      <c r="FH306" s="14">
        <v>0</v>
      </c>
      <c r="FI306" s="14">
        <v>0</v>
      </c>
      <c r="FJ306" s="14">
        <v>23</v>
      </c>
      <c r="FK306" s="14">
        <v>0</v>
      </c>
      <c r="FL306" s="14">
        <v>0</v>
      </c>
      <c r="FM306" s="14">
        <v>0</v>
      </c>
      <c r="FN306" s="14">
        <v>0</v>
      </c>
      <c r="FO306" s="14">
        <v>0</v>
      </c>
      <c r="FP306" s="14">
        <v>0</v>
      </c>
      <c r="FQ306" s="15">
        <f t="shared" si="1565"/>
        <v>0</v>
      </c>
      <c r="FR306" s="14">
        <v>37850</v>
      </c>
      <c r="FS306" s="14">
        <v>0</v>
      </c>
      <c r="FT306" s="14">
        <v>13880</v>
      </c>
      <c r="FU306" s="14">
        <v>0</v>
      </c>
      <c r="FV306" s="15">
        <f t="shared" si="1566"/>
        <v>51730</v>
      </c>
      <c r="FW306" s="14">
        <v>4029705</v>
      </c>
      <c r="FX306" s="14">
        <v>141200</v>
      </c>
      <c r="FY306" s="14">
        <v>19000</v>
      </c>
      <c r="FZ306" s="14">
        <v>593000</v>
      </c>
      <c r="GA306" s="15">
        <f t="shared" si="1567"/>
        <v>4782905</v>
      </c>
      <c r="GB306" s="15">
        <f t="shared" si="1568"/>
        <v>4834635</v>
      </c>
      <c r="GC306" s="14">
        <v>175171.56</v>
      </c>
      <c r="GD306" s="14">
        <v>0</v>
      </c>
      <c r="GE306" s="14">
        <v>58214.6</v>
      </c>
      <c r="GF306" s="14">
        <v>0</v>
      </c>
      <c r="GG306" s="15">
        <f t="shared" si="1569"/>
        <v>233386.16</v>
      </c>
      <c r="GH306" s="14">
        <v>3976868.62</v>
      </c>
      <c r="GI306" s="14">
        <v>132980</v>
      </c>
      <c r="GJ306" s="14">
        <v>593000</v>
      </c>
      <c r="GK306" s="14">
        <v>19000</v>
      </c>
      <c r="GL306" s="15">
        <f t="shared" si="1570"/>
        <v>4721848.62</v>
      </c>
      <c r="GM306" s="15">
        <f t="shared" si="1571"/>
        <v>4955234.78</v>
      </c>
      <c r="GN306" s="14">
        <v>16184.05</v>
      </c>
      <c r="GO306" s="14">
        <v>0</v>
      </c>
      <c r="GP306" s="14">
        <v>6787.28</v>
      </c>
      <c r="GQ306" s="14">
        <v>0</v>
      </c>
      <c r="GR306" s="15">
        <f t="shared" si="1572"/>
        <v>22971.329999999998</v>
      </c>
      <c r="GS306" s="14">
        <v>26790</v>
      </c>
      <c r="GT306" s="14">
        <v>0</v>
      </c>
      <c r="GU306" s="14">
        <v>1786</v>
      </c>
      <c r="GV306" s="14">
        <v>0</v>
      </c>
      <c r="GW306" s="15">
        <f t="shared" si="1573"/>
        <v>28576</v>
      </c>
      <c r="GX306" s="15">
        <f t="shared" si="1574"/>
        <v>5006782.1100000003</v>
      </c>
      <c r="GY306" s="14">
        <v>9365389.040000001</v>
      </c>
      <c r="GZ306" s="14">
        <v>13202.22</v>
      </c>
      <c r="HA306" s="9">
        <f t="shared" si="1454"/>
        <v>9378591.2600000016</v>
      </c>
      <c r="HB306" s="15">
        <f t="shared" si="1575"/>
        <v>0.15988423346827049</v>
      </c>
      <c r="HC306" s="16">
        <f t="shared" si="1576"/>
        <v>0.33638863255535328</v>
      </c>
      <c r="HD306" s="15">
        <f t="shared" si="1577"/>
        <v>0.9656172155652285</v>
      </c>
      <c r="HE306" s="14">
        <v>9</v>
      </c>
      <c r="HF306" s="14">
        <v>7</v>
      </c>
      <c r="HG306" s="14">
        <v>25</v>
      </c>
      <c r="HH306" s="14">
        <v>35</v>
      </c>
      <c r="HI306" s="14">
        <v>7</v>
      </c>
      <c r="HJ306" s="15">
        <f t="shared" si="1578"/>
        <v>14</v>
      </c>
      <c r="HK306" s="16">
        <f t="shared" si="1579"/>
        <v>3.8888888888888888</v>
      </c>
      <c r="HL306" s="14">
        <v>0</v>
      </c>
      <c r="HM306" s="14">
        <v>0</v>
      </c>
      <c r="HN306" s="17" t="str">
        <f t="shared" si="1580"/>
        <v/>
      </c>
    </row>
    <row r="307" spans="1:222" x14ac:dyDescent="0.3">
      <c r="A307" s="6" t="s">
        <v>295</v>
      </c>
      <c r="B307" s="6" t="s">
        <v>298</v>
      </c>
      <c r="C307" s="7" t="s">
        <v>257</v>
      </c>
      <c r="D307" s="7">
        <v>2025</v>
      </c>
      <c r="E307" s="7">
        <v>8</v>
      </c>
      <c r="F307" s="7" t="s">
        <v>264</v>
      </c>
      <c r="G307" s="7" t="s">
        <v>263</v>
      </c>
      <c r="H307" s="8">
        <v>5566</v>
      </c>
      <c r="I307" s="8">
        <v>337</v>
      </c>
      <c r="J307" s="8">
        <v>0</v>
      </c>
      <c r="K307" s="8">
        <v>14</v>
      </c>
      <c r="L307" s="8">
        <v>5</v>
      </c>
      <c r="M307" s="9">
        <f t="shared" si="1521"/>
        <v>356</v>
      </c>
      <c r="N307" s="8">
        <v>3352.6000000000099</v>
      </c>
      <c r="O307" s="8">
        <v>434.1</v>
      </c>
      <c r="P307" s="8">
        <v>31.6</v>
      </c>
      <c r="Q307" s="8">
        <v>6.7</v>
      </c>
      <c r="R307" s="9">
        <f t="shared" si="1522"/>
        <v>3825.0000000000095</v>
      </c>
      <c r="S307" s="9">
        <f t="shared" si="1523"/>
        <v>4181.0000000000091</v>
      </c>
      <c r="T307" s="8">
        <v>1384.99999999999</v>
      </c>
      <c r="U307" s="10">
        <f t="shared" si="1524"/>
        <v>0.24883219547250987</v>
      </c>
      <c r="V307" s="8">
        <v>13</v>
      </c>
      <c r="W307" s="11">
        <f t="shared" si="1525"/>
        <v>2.3356090549766441E-3</v>
      </c>
      <c r="X307" s="8">
        <v>22</v>
      </c>
      <c r="Y307" s="11">
        <f t="shared" si="1526"/>
        <v>3.952569169960474E-3</v>
      </c>
      <c r="Z307" s="8">
        <v>16</v>
      </c>
      <c r="AA307" s="11">
        <f t="shared" si="1527"/>
        <v>2.8745957599712541E-3</v>
      </c>
      <c r="AB307" s="8">
        <v>0</v>
      </c>
      <c r="AC307" s="11">
        <f t="shared" si="1528"/>
        <v>0</v>
      </c>
      <c r="AD307" s="8">
        <v>0</v>
      </c>
      <c r="AE307" s="11">
        <f t="shared" si="1529"/>
        <v>0</v>
      </c>
      <c r="AF307" s="8">
        <v>0</v>
      </c>
      <c r="AG307" s="11">
        <f t="shared" si="1530"/>
        <v>0</v>
      </c>
      <c r="AH307" s="8">
        <v>723256</v>
      </c>
      <c r="AI307" s="9">
        <f t="shared" si="1531"/>
        <v>129.94178943586058</v>
      </c>
      <c r="AJ307" s="8">
        <v>300.12</v>
      </c>
      <c r="AK307" s="11">
        <f t="shared" si="1532"/>
        <v>5.3920229967660799E-2</v>
      </c>
      <c r="AL307" s="8">
        <v>113631.94708</v>
      </c>
      <c r="AM307" s="9">
        <f t="shared" si="1533"/>
        <v>20.415369579590369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9">
        <f t="shared" si="1534"/>
        <v>836887.94707999995</v>
      </c>
      <c r="AV307" s="9">
        <f t="shared" si="1535"/>
        <v>150.35715901545095</v>
      </c>
      <c r="AW307" s="9">
        <f t="shared" si="1536"/>
        <v>200.16454127720596</v>
      </c>
      <c r="AX307" s="8">
        <v>1</v>
      </c>
      <c r="AY307" s="9">
        <f t="shared" si="1537"/>
        <v>2.1559468199784404</v>
      </c>
      <c r="AZ307" s="8">
        <v>6</v>
      </c>
      <c r="BA307" s="8">
        <v>25</v>
      </c>
      <c r="BB307" s="8">
        <v>6</v>
      </c>
      <c r="BC307" s="8">
        <v>11</v>
      </c>
      <c r="BD307" s="8">
        <v>0</v>
      </c>
      <c r="BE307" s="9">
        <f t="shared" si="1538"/>
        <v>11</v>
      </c>
      <c r="BF307" s="9">
        <f t="shared" si="1539"/>
        <v>20</v>
      </c>
      <c r="BG307" s="8">
        <v>0</v>
      </c>
      <c r="BH307" s="8">
        <v>0</v>
      </c>
      <c r="BI307" s="8">
        <v>0</v>
      </c>
      <c r="BJ307" s="8">
        <v>0</v>
      </c>
      <c r="BK307" s="9">
        <f t="shared" si="1540"/>
        <v>0</v>
      </c>
      <c r="BL307" s="9">
        <f t="shared" si="1541"/>
        <v>0</v>
      </c>
      <c r="BM307" s="8">
        <v>0</v>
      </c>
      <c r="BN307" s="8">
        <v>1</v>
      </c>
      <c r="BO307" s="8">
        <v>1</v>
      </c>
      <c r="BP307" s="8">
        <v>0</v>
      </c>
      <c r="BQ307" s="9">
        <f t="shared" si="1542"/>
        <v>1</v>
      </c>
      <c r="BR307" s="9">
        <f t="shared" si="1543"/>
        <v>0</v>
      </c>
      <c r="BS307" s="8">
        <v>0</v>
      </c>
      <c r="BT307" s="8">
        <v>0</v>
      </c>
      <c r="BU307" s="8">
        <v>0</v>
      </c>
      <c r="BV307" s="8">
        <v>0</v>
      </c>
      <c r="BW307" s="9">
        <f t="shared" si="1544"/>
        <v>0</v>
      </c>
      <c r="BX307" s="9">
        <f t="shared" si="1545"/>
        <v>0</v>
      </c>
      <c r="BY307" s="9">
        <f t="shared" si="1546"/>
        <v>25</v>
      </c>
      <c r="BZ307" s="9">
        <f t="shared" si="1547"/>
        <v>7</v>
      </c>
      <c r="CA307" s="9">
        <f t="shared" si="1548"/>
        <v>12</v>
      </c>
      <c r="CB307" s="9">
        <f t="shared" si="1549"/>
        <v>20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9">
        <f t="shared" si="1550"/>
        <v>0</v>
      </c>
      <c r="CI307" s="8">
        <v>33</v>
      </c>
      <c r="CJ307" s="8">
        <v>2</v>
      </c>
      <c r="CK307" s="8">
        <v>1</v>
      </c>
      <c r="CL307" s="8">
        <v>0</v>
      </c>
      <c r="CM307" s="9">
        <f t="shared" si="1551"/>
        <v>36</v>
      </c>
      <c r="CN307" s="8">
        <v>459</v>
      </c>
      <c r="CO307" s="8">
        <v>9</v>
      </c>
      <c r="CP307" s="8">
        <v>8</v>
      </c>
      <c r="CQ307" s="8">
        <v>15</v>
      </c>
      <c r="CR307" s="9">
        <f t="shared" si="1552"/>
        <v>491</v>
      </c>
      <c r="CS307" s="9">
        <f t="shared" si="1553"/>
        <v>527</v>
      </c>
      <c r="CT307" s="8">
        <v>527</v>
      </c>
      <c r="CU307" s="8">
        <v>7080</v>
      </c>
      <c r="CV307" s="8">
        <v>5956.6</v>
      </c>
      <c r="CW307" s="10">
        <f t="shared" si="1554"/>
        <v>0.84132768361581922</v>
      </c>
      <c r="CX307" s="8">
        <v>0</v>
      </c>
      <c r="CY307" s="8">
        <v>0</v>
      </c>
      <c r="CZ307" s="8">
        <v>0</v>
      </c>
      <c r="DA307" s="8">
        <v>0</v>
      </c>
      <c r="DB307" s="9">
        <f t="shared" si="1555"/>
        <v>0</v>
      </c>
      <c r="DC307" s="8">
        <v>0</v>
      </c>
      <c r="DD307" s="8">
        <v>0</v>
      </c>
      <c r="DE307" s="8">
        <v>0</v>
      </c>
      <c r="DF307" s="8">
        <v>0</v>
      </c>
      <c r="DG307" s="9">
        <f t="shared" si="1556"/>
        <v>0</v>
      </c>
      <c r="DH307" s="8">
        <v>0</v>
      </c>
      <c r="DI307" s="8">
        <v>0</v>
      </c>
      <c r="DJ307" s="8">
        <v>0</v>
      </c>
      <c r="DK307" s="8">
        <v>0</v>
      </c>
      <c r="DL307" s="9">
        <f t="shared" si="1557"/>
        <v>0</v>
      </c>
      <c r="DM307" s="8">
        <v>0</v>
      </c>
      <c r="DN307" s="8">
        <v>0</v>
      </c>
      <c r="DO307" s="8">
        <v>0</v>
      </c>
      <c r="DP307" s="8">
        <v>0</v>
      </c>
      <c r="DQ307" s="9">
        <f t="shared" si="1558"/>
        <v>0</v>
      </c>
      <c r="DR307" s="9">
        <f t="shared" si="1559"/>
        <v>0</v>
      </c>
      <c r="DS307" s="9">
        <f t="shared" si="1560"/>
        <v>0</v>
      </c>
      <c r="DT307" s="9">
        <f t="shared" si="1561"/>
        <v>0</v>
      </c>
      <c r="DU307" s="9">
        <f t="shared" si="1562"/>
        <v>0</v>
      </c>
      <c r="DV307" s="9">
        <f t="shared" si="1563"/>
        <v>0</v>
      </c>
      <c r="DW307" s="8">
        <v>5</v>
      </c>
      <c r="DX307" s="8">
        <v>2</v>
      </c>
      <c r="DY307" s="8">
        <v>5</v>
      </c>
      <c r="DZ307" s="8">
        <v>0</v>
      </c>
      <c r="EA307" s="8">
        <v>0</v>
      </c>
      <c r="EB307" s="8">
        <v>0</v>
      </c>
      <c r="EC307" s="8">
        <v>0</v>
      </c>
      <c r="ED307" s="8">
        <v>0</v>
      </c>
      <c r="EE307" s="8">
        <v>1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8">
        <v>0</v>
      </c>
      <c r="FC307" s="8">
        <v>0</v>
      </c>
      <c r="FD307" s="8">
        <v>0</v>
      </c>
      <c r="FE307" s="8">
        <v>0</v>
      </c>
      <c r="FF307" s="8">
        <v>0</v>
      </c>
      <c r="FG307" s="9">
        <f t="shared" si="1564"/>
        <v>13</v>
      </c>
      <c r="FH307" s="8">
        <v>0</v>
      </c>
      <c r="FI307" s="8">
        <v>0</v>
      </c>
      <c r="FJ307" s="8">
        <v>23</v>
      </c>
      <c r="FK307" s="8">
        <v>0</v>
      </c>
      <c r="FL307" s="8">
        <v>0</v>
      </c>
      <c r="FM307" s="8">
        <v>0</v>
      </c>
      <c r="FN307" s="8">
        <v>0</v>
      </c>
      <c r="FO307" s="8">
        <v>0</v>
      </c>
      <c r="FP307" s="8">
        <v>0</v>
      </c>
      <c r="FQ307" s="9">
        <f t="shared" si="1565"/>
        <v>0</v>
      </c>
      <c r="FR307" s="8">
        <v>138714</v>
      </c>
      <c r="FS307" s="8">
        <v>0</v>
      </c>
      <c r="FT307" s="8">
        <v>0</v>
      </c>
      <c r="FU307" s="8">
        <v>11000</v>
      </c>
      <c r="FV307" s="9">
        <f t="shared" si="1566"/>
        <v>149714</v>
      </c>
      <c r="FW307" s="8">
        <v>4268470.28</v>
      </c>
      <c r="FX307" s="8">
        <v>102200</v>
      </c>
      <c r="FY307" s="8">
        <v>31000</v>
      </c>
      <c r="FZ307" s="8">
        <v>96300</v>
      </c>
      <c r="GA307" s="9">
        <f t="shared" si="1567"/>
        <v>4497970.28</v>
      </c>
      <c r="GB307" s="9">
        <f t="shared" si="1568"/>
        <v>4647684.28</v>
      </c>
      <c r="GC307" s="8">
        <v>320028.01</v>
      </c>
      <c r="GD307" s="8">
        <v>0</v>
      </c>
      <c r="GE307" s="8">
        <v>44827.94</v>
      </c>
      <c r="GF307" s="8">
        <v>11796.63</v>
      </c>
      <c r="GG307" s="9">
        <f t="shared" si="1569"/>
        <v>376652.58</v>
      </c>
      <c r="GH307" s="8">
        <v>4173520.28</v>
      </c>
      <c r="GI307" s="8">
        <v>92300</v>
      </c>
      <c r="GJ307" s="8">
        <v>96300</v>
      </c>
      <c r="GK307" s="8">
        <v>31000</v>
      </c>
      <c r="GL307" s="9">
        <f t="shared" si="1570"/>
        <v>4393120.2799999993</v>
      </c>
      <c r="GM307" s="9">
        <f t="shared" si="1571"/>
        <v>4769772.8599999994</v>
      </c>
      <c r="GN307" s="8">
        <v>17982.689999999999</v>
      </c>
      <c r="GO307" s="8">
        <v>0</v>
      </c>
      <c r="GP307" s="8">
        <v>6787.28</v>
      </c>
      <c r="GQ307" s="8">
        <v>4637.34</v>
      </c>
      <c r="GR307" s="9">
        <f t="shared" si="1572"/>
        <v>29407.309999999998</v>
      </c>
      <c r="GS307" s="8">
        <v>29469</v>
      </c>
      <c r="GT307" s="8">
        <v>0</v>
      </c>
      <c r="GU307" s="8">
        <v>1786</v>
      </c>
      <c r="GV307" s="8">
        <v>893</v>
      </c>
      <c r="GW307" s="9">
        <f t="shared" si="1573"/>
        <v>32148</v>
      </c>
      <c r="GX307" s="9">
        <f t="shared" si="1574"/>
        <v>4831328.169999999</v>
      </c>
      <c r="GY307" s="8">
        <v>9653882.9300000016</v>
      </c>
      <c r="GZ307" s="8">
        <v>13202.22</v>
      </c>
      <c r="HA307" s="9">
        <f t="shared" si="1454"/>
        <v>9667085.1500000022</v>
      </c>
      <c r="HB307" s="9">
        <f t="shared" si="1575"/>
        <v>0.17322109317198384</v>
      </c>
      <c r="HC307" s="10">
        <f t="shared" si="1576"/>
        <v>0.32085720034829179</v>
      </c>
      <c r="HD307" s="9">
        <f t="shared" si="1577"/>
        <v>0.96198894309429639</v>
      </c>
      <c r="HE307" s="8">
        <v>15</v>
      </c>
      <c r="HF307" s="8">
        <v>7</v>
      </c>
      <c r="HG307" s="8">
        <v>20</v>
      </c>
      <c r="HH307" s="8">
        <v>7</v>
      </c>
      <c r="HI307" s="8">
        <v>4</v>
      </c>
      <c r="HJ307" s="9">
        <f t="shared" si="1578"/>
        <v>11</v>
      </c>
      <c r="HK307" s="10">
        <f t="shared" si="1579"/>
        <v>0.46666666666666667</v>
      </c>
      <c r="HL307" s="8">
        <v>0</v>
      </c>
      <c r="HM307" s="8">
        <v>0</v>
      </c>
      <c r="HN307" s="11" t="str">
        <f t="shared" si="1580"/>
        <v/>
      </c>
    </row>
    <row r="308" spans="1:222" x14ac:dyDescent="0.3">
      <c r="A308" s="12" t="s">
        <v>295</v>
      </c>
      <c r="B308" s="12" t="s">
        <v>298</v>
      </c>
      <c r="C308" s="13" t="s">
        <v>257</v>
      </c>
      <c r="D308" s="13">
        <v>2025</v>
      </c>
      <c r="E308" s="13">
        <v>9</v>
      </c>
      <c r="F308" s="13" t="s">
        <v>265</v>
      </c>
      <c r="G308" s="13" t="s">
        <v>263</v>
      </c>
      <c r="H308" s="14">
        <v>5919</v>
      </c>
      <c r="I308" s="14">
        <v>532</v>
      </c>
      <c r="J308" s="14">
        <v>0</v>
      </c>
      <c r="K308" s="14">
        <v>24</v>
      </c>
      <c r="L308" s="14">
        <v>5</v>
      </c>
      <c r="M308" s="15">
        <f t="shared" si="1521"/>
        <v>561</v>
      </c>
      <c r="N308" s="14">
        <v>3739.4</v>
      </c>
      <c r="O308" s="14">
        <v>639</v>
      </c>
      <c r="P308" s="14">
        <v>8</v>
      </c>
      <c r="Q308" s="14">
        <v>2.2000000000000002</v>
      </c>
      <c r="R308" s="15">
        <f t="shared" si="1522"/>
        <v>4388.5999999999995</v>
      </c>
      <c r="S308" s="15">
        <f t="shared" si="1523"/>
        <v>4949.5999999999995</v>
      </c>
      <c r="T308" s="14">
        <v>969.39999999999895</v>
      </c>
      <c r="U308" s="16">
        <f t="shared" si="1524"/>
        <v>0.16377766514613937</v>
      </c>
      <c r="V308" s="14">
        <v>13</v>
      </c>
      <c r="W308" s="17">
        <f t="shared" si="1525"/>
        <v>2.1963169454299711E-3</v>
      </c>
      <c r="X308" s="14">
        <v>32</v>
      </c>
      <c r="Y308" s="17">
        <f t="shared" si="1526"/>
        <v>5.406318634904545E-3</v>
      </c>
      <c r="Z308" s="14">
        <v>26</v>
      </c>
      <c r="AA308" s="17">
        <f t="shared" si="1527"/>
        <v>4.3926338908599422E-3</v>
      </c>
      <c r="AB308" s="14">
        <v>0</v>
      </c>
      <c r="AC308" s="17">
        <f t="shared" si="1528"/>
        <v>0</v>
      </c>
      <c r="AD308" s="14">
        <v>0</v>
      </c>
      <c r="AE308" s="17">
        <f t="shared" si="1529"/>
        <v>0</v>
      </c>
      <c r="AF308" s="14">
        <v>0</v>
      </c>
      <c r="AG308" s="17">
        <f t="shared" si="1530"/>
        <v>0</v>
      </c>
      <c r="AH308" s="14">
        <v>931416</v>
      </c>
      <c r="AI308" s="15">
        <f t="shared" si="1531"/>
        <v>157.36036492650786</v>
      </c>
      <c r="AJ308" s="14">
        <v>318.20999999999998</v>
      </c>
      <c r="AK308" s="17">
        <f t="shared" si="1532"/>
        <v>5.3760770400405472E-2</v>
      </c>
      <c r="AL308" s="14">
        <v>118576.10689</v>
      </c>
      <c r="AM308" s="15">
        <f t="shared" si="1533"/>
        <v>20.033131760432504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5">
        <f t="shared" si="1534"/>
        <v>1049992.1068899999</v>
      </c>
      <c r="AV308" s="15">
        <f t="shared" si="1535"/>
        <v>177.39349668694035</v>
      </c>
      <c r="AW308" s="15">
        <f t="shared" si="1536"/>
        <v>212.13675991797319</v>
      </c>
      <c r="AX308" s="14">
        <v>1</v>
      </c>
      <c r="AY308" s="15">
        <f t="shared" si="1537"/>
        <v>2.0273694880892044</v>
      </c>
      <c r="AZ308" s="14">
        <v>6</v>
      </c>
      <c r="BA308" s="14">
        <v>20</v>
      </c>
      <c r="BB308" s="14">
        <v>6</v>
      </c>
      <c r="BC308" s="14">
        <v>15</v>
      </c>
      <c r="BD308" s="14">
        <v>0</v>
      </c>
      <c r="BE308" s="15">
        <f t="shared" si="1538"/>
        <v>15</v>
      </c>
      <c r="BF308" s="15">
        <f t="shared" si="1539"/>
        <v>11</v>
      </c>
      <c r="BG308" s="14">
        <v>0</v>
      </c>
      <c r="BH308" s="14">
        <v>0</v>
      </c>
      <c r="BI308" s="14">
        <v>0</v>
      </c>
      <c r="BJ308" s="14">
        <v>0</v>
      </c>
      <c r="BK308" s="15">
        <f t="shared" si="1540"/>
        <v>0</v>
      </c>
      <c r="BL308" s="15">
        <f t="shared" si="1541"/>
        <v>0</v>
      </c>
      <c r="BM308" s="14">
        <v>0</v>
      </c>
      <c r="BN308" s="14">
        <v>0</v>
      </c>
      <c r="BO308" s="14">
        <v>0</v>
      </c>
      <c r="BP308" s="14">
        <v>0</v>
      </c>
      <c r="BQ308" s="15">
        <f t="shared" si="1542"/>
        <v>0</v>
      </c>
      <c r="BR308" s="15">
        <f t="shared" si="1543"/>
        <v>0</v>
      </c>
      <c r="BS308" s="14">
        <v>0</v>
      </c>
      <c r="BT308" s="14">
        <v>0</v>
      </c>
      <c r="BU308" s="14">
        <v>0</v>
      </c>
      <c r="BV308" s="14">
        <v>0</v>
      </c>
      <c r="BW308" s="15">
        <f t="shared" si="1544"/>
        <v>0</v>
      </c>
      <c r="BX308" s="15">
        <f t="shared" si="1545"/>
        <v>0</v>
      </c>
      <c r="BY308" s="15">
        <f t="shared" si="1546"/>
        <v>20</v>
      </c>
      <c r="BZ308" s="15">
        <f t="shared" si="1547"/>
        <v>6</v>
      </c>
      <c r="CA308" s="15">
        <f t="shared" si="1548"/>
        <v>15</v>
      </c>
      <c r="CB308" s="15">
        <f t="shared" si="1549"/>
        <v>11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5">
        <f t="shared" si="1550"/>
        <v>0</v>
      </c>
      <c r="CI308" s="14">
        <v>48</v>
      </c>
      <c r="CJ308" s="14">
        <v>2</v>
      </c>
      <c r="CK308" s="14">
        <v>1</v>
      </c>
      <c r="CL308" s="14">
        <v>0</v>
      </c>
      <c r="CM308" s="15">
        <f t="shared" si="1551"/>
        <v>51</v>
      </c>
      <c r="CN308" s="14">
        <v>459</v>
      </c>
      <c r="CO308" s="14">
        <v>9</v>
      </c>
      <c r="CP308" s="14">
        <v>8</v>
      </c>
      <c r="CQ308" s="14">
        <v>15</v>
      </c>
      <c r="CR308" s="15">
        <f t="shared" si="1552"/>
        <v>491</v>
      </c>
      <c r="CS308" s="15">
        <f t="shared" si="1553"/>
        <v>542</v>
      </c>
      <c r="CT308" s="14">
        <v>542</v>
      </c>
      <c r="CU308" s="14">
        <v>7091</v>
      </c>
      <c r="CV308" s="14">
        <v>6021.5</v>
      </c>
      <c r="CW308" s="16">
        <f t="shared" si="1554"/>
        <v>0.84917501057678746</v>
      </c>
      <c r="CX308" s="14">
        <v>0</v>
      </c>
      <c r="CY308" s="14">
        <v>0</v>
      </c>
      <c r="CZ308" s="14">
        <v>0</v>
      </c>
      <c r="DA308" s="14">
        <v>0</v>
      </c>
      <c r="DB308" s="15">
        <f t="shared" si="1555"/>
        <v>0</v>
      </c>
      <c r="DC308" s="14">
        <v>0</v>
      </c>
      <c r="DD308" s="14">
        <v>0</v>
      </c>
      <c r="DE308" s="14">
        <v>0</v>
      </c>
      <c r="DF308" s="14">
        <v>0</v>
      </c>
      <c r="DG308" s="15">
        <f t="shared" si="1556"/>
        <v>0</v>
      </c>
      <c r="DH308" s="14">
        <v>0</v>
      </c>
      <c r="DI308" s="14">
        <v>0</v>
      </c>
      <c r="DJ308" s="14">
        <v>0</v>
      </c>
      <c r="DK308" s="14">
        <v>0</v>
      </c>
      <c r="DL308" s="15">
        <f t="shared" si="1557"/>
        <v>0</v>
      </c>
      <c r="DM308" s="14">
        <v>0</v>
      </c>
      <c r="DN308" s="14">
        <v>8</v>
      </c>
      <c r="DO308" s="14">
        <v>0</v>
      </c>
      <c r="DP308" s="14">
        <v>6</v>
      </c>
      <c r="DQ308" s="15">
        <f t="shared" si="1558"/>
        <v>2</v>
      </c>
      <c r="DR308" s="15">
        <f t="shared" si="1559"/>
        <v>0</v>
      </c>
      <c r="DS308" s="15">
        <f t="shared" si="1560"/>
        <v>8</v>
      </c>
      <c r="DT308" s="15">
        <f t="shared" si="1561"/>
        <v>0</v>
      </c>
      <c r="DU308" s="15">
        <f t="shared" si="1562"/>
        <v>6</v>
      </c>
      <c r="DV308" s="15">
        <f t="shared" si="1563"/>
        <v>2</v>
      </c>
      <c r="DW308" s="14">
        <v>2</v>
      </c>
      <c r="DX308" s="14">
        <v>1</v>
      </c>
      <c r="DY308" s="14">
        <v>0</v>
      </c>
      <c r="DZ308" s="14">
        <v>0</v>
      </c>
      <c r="EA308" s="14">
        <v>0</v>
      </c>
      <c r="EB308" s="14">
        <v>0</v>
      </c>
      <c r="EC308" s="14">
        <v>0</v>
      </c>
      <c r="ED308" s="14">
        <v>0</v>
      </c>
      <c r="EE308" s="14">
        <v>0</v>
      </c>
      <c r="EF308" s="14">
        <v>0</v>
      </c>
      <c r="EG308" s="14">
        <v>0</v>
      </c>
      <c r="EH308" s="14">
        <v>0</v>
      </c>
      <c r="EI308" s="14">
        <v>0</v>
      </c>
      <c r="EJ308" s="14">
        <v>0</v>
      </c>
      <c r="EK308" s="14">
        <v>0</v>
      </c>
      <c r="EL308" s="14">
        <v>0</v>
      </c>
      <c r="EM308" s="14">
        <v>0</v>
      </c>
      <c r="EN308" s="14">
        <v>0</v>
      </c>
      <c r="EO308" s="14">
        <v>0</v>
      </c>
      <c r="EP308" s="14">
        <v>0</v>
      </c>
      <c r="EQ308" s="14">
        <v>0</v>
      </c>
      <c r="ER308" s="14">
        <v>0</v>
      </c>
      <c r="ES308" s="14">
        <v>0</v>
      </c>
      <c r="ET308" s="14">
        <v>0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5">
        <f t="shared" si="1564"/>
        <v>3</v>
      </c>
      <c r="FH308" s="14">
        <v>0</v>
      </c>
      <c r="FI308" s="14">
        <v>0</v>
      </c>
      <c r="FJ308" s="14">
        <v>23</v>
      </c>
      <c r="FK308" s="14">
        <v>0</v>
      </c>
      <c r="FL308" s="14">
        <v>0</v>
      </c>
      <c r="FM308" s="14">
        <v>0</v>
      </c>
      <c r="FN308" s="14">
        <v>0</v>
      </c>
      <c r="FO308" s="14">
        <v>0</v>
      </c>
      <c r="FP308" s="14">
        <v>0</v>
      </c>
      <c r="FQ308" s="15">
        <f t="shared" si="1565"/>
        <v>0</v>
      </c>
      <c r="FR308" s="14">
        <v>291378.21999999997</v>
      </c>
      <c r="FS308" s="14">
        <v>0</v>
      </c>
      <c r="FT308" s="14">
        <v>0</v>
      </c>
      <c r="FU308" s="14">
        <v>12650</v>
      </c>
      <c r="FV308" s="15">
        <f t="shared" si="1566"/>
        <v>304028.21999999997</v>
      </c>
      <c r="FW308" s="14">
        <v>4697088.0199999996</v>
      </c>
      <c r="FX308" s="14">
        <v>161880</v>
      </c>
      <c r="FY308" s="14">
        <v>10000</v>
      </c>
      <c r="FZ308" s="14">
        <v>24500</v>
      </c>
      <c r="GA308" s="15">
        <f t="shared" si="1567"/>
        <v>4893468.0199999996</v>
      </c>
      <c r="GB308" s="15">
        <f t="shared" si="1568"/>
        <v>5197496.2399999993</v>
      </c>
      <c r="GC308" s="14">
        <v>490994.39</v>
      </c>
      <c r="GD308" s="14">
        <v>0</v>
      </c>
      <c r="GE308" s="14">
        <v>75511.95</v>
      </c>
      <c r="GF308" s="14">
        <v>11796.63</v>
      </c>
      <c r="GG308" s="15">
        <f t="shared" si="1569"/>
        <v>578302.97</v>
      </c>
      <c r="GH308" s="14">
        <v>4656015.29</v>
      </c>
      <c r="GI308" s="14">
        <v>135840</v>
      </c>
      <c r="GJ308" s="14">
        <v>24500</v>
      </c>
      <c r="GK308" s="14">
        <v>10000</v>
      </c>
      <c r="GL308" s="15">
        <f t="shared" si="1570"/>
        <v>4826355.29</v>
      </c>
      <c r="GM308" s="15">
        <f t="shared" si="1571"/>
        <v>5404658.2599999998</v>
      </c>
      <c r="GN308" s="14">
        <v>26156.639999999999</v>
      </c>
      <c r="GO308" s="14">
        <v>0</v>
      </c>
      <c r="GP308" s="14">
        <v>6787.28</v>
      </c>
      <c r="GQ308" s="14">
        <v>4637.34</v>
      </c>
      <c r="GR308" s="15">
        <f t="shared" si="1572"/>
        <v>37581.259999999995</v>
      </c>
      <c r="GS308" s="14">
        <v>42864</v>
      </c>
      <c r="GT308" s="14">
        <v>0</v>
      </c>
      <c r="GU308" s="14">
        <v>1786</v>
      </c>
      <c r="GV308" s="14">
        <v>893</v>
      </c>
      <c r="GW308" s="15">
        <f t="shared" si="1573"/>
        <v>45543</v>
      </c>
      <c r="GX308" s="15">
        <f t="shared" si="1574"/>
        <v>5487782.5199999996</v>
      </c>
      <c r="GY308" s="14">
        <v>9929690.320000004</v>
      </c>
      <c r="GZ308" s="14">
        <v>0</v>
      </c>
      <c r="HA308" s="9">
        <f t="shared" si="1454"/>
        <v>9929690.320000004</v>
      </c>
      <c r="HB308" s="15">
        <f t="shared" si="1575"/>
        <v>0.19133267454811603</v>
      </c>
      <c r="HC308" s="16">
        <f t="shared" si="1576"/>
        <v>0.337117262598012</v>
      </c>
      <c r="HD308" s="15">
        <f t="shared" si="1577"/>
        <v>0.94710317346905348</v>
      </c>
      <c r="HE308" s="14">
        <v>15</v>
      </c>
      <c r="HF308" s="14">
        <v>7</v>
      </c>
      <c r="HG308" s="14">
        <v>11</v>
      </c>
      <c r="HH308" s="14">
        <v>6</v>
      </c>
      <c r="HI308" s="14">
        <v>7</v>
      </c>
      <c r="HJ308" s="15">
        <f t="shared" si="1578"/>
        <v>14</v>
      </c>
      <c r="HK308" s="16">
        <f t="shared" si="1579"/>
        <v>0.4</v>
      </c>
      <c r="HL308" s="14">
        <v>0</v>
      </c>
      <c r="HM308" s="14">
        <v>0</v>
      </c>
      <c r="HN308" s="17" t="str">
        <f t="shared" si="1580"/>
        <v/>
      </c>
    </row>
    <row r="309" spans="1:222" x14ac:dyDescent="0.3">
      <c r="A309" s="6" t="s">
        <v>295</v>
      </c>
      <c r="B309" s="6" t="s">
        <v>298</v>
      </c>
      <c r="C309" s="7" t="s">
        <v>257</v>
      </c>
      <c r="D309" s="7">
        <v>2025</v>
      </c>
      <c r="E309" s="7">
        <v>10</v>
      </c>
      <c r="F309" s="7" t="s">
        <v>266</v>
      </c>
      <c r="G309" s="7" t="s">
        <v>267</v>
      </c>
      <c r="H309" s="8">
        <v>6803</v>
      </c>
      <c r="I309" s="8">
        <v>692</v>
      </c>
      <c r="J309" s="8">
        <v>0</v>
      </c>
      <c r="K309" s="8">
        <v>11</v>
      </c>
      <c r="L309" s="8">
        <v>20</v>
      </c>
      <c r="M309" s="9">
        <f t="shared" si="1521"/>
        <v>723</v>
      </c>
      <c r="N309" s="8">
        <v>3765.7999999999902</v>
      </c>
      <c r="O309" s="8">
        <v>599.4</v>
      </c>
      <c r="P309" s="8">
        <v>194.1</v>
      </c>
      <c r="Q309" s="8">
        <v>8.9</v>
      </c>
      <c r="R309" s="9">
        <f t="shared" si="1522"/>
        <v>4568.1999999999898</v>
      </c>
      <c r="S309" s="9">
        <f t="shared" si="1523"/>
        <v>5291.1999999999898</v>
      </c>
      <c r="T309" s="8">
        <v>1511.80000000001</v>
      </c>
      <c r="U309" s="10">
        <f t="shared" si="1524"/>
        <v>0.22222548875496251</v>
      </c>
      <c r="V309" s="8">
        <v>14</v>
      </c>
      <c r="W309" s="11">
        <f t="shared" si="1525"/>
        <v>2.0579156254593562E-3</v>
      </c>
      <c r="X309" s="8">
        <v>42</v>
      </c>
      <c r="Y309" s="11">
        <f t="shared" si="1526"/>
        <v>6.1737468763780681E-3</v>
      </c>
      <c r="Z309" s="8">
        <v>28</v>
      </c>
      <c r="AA309" s="11">
        <f t="shared" si="1527"/>
        <v>4.1158312509187124E-3</v>
      </c>
      <c r="AB309" s="8">
        <v>0</v>
      </c>
      <c r="AC309" s="11">
        <f t="shared" si="1528"/>
        <v>0</v>
      </c>
      <c r="AD309" s="8">
        <v>0</v>
      </c>
      <c r="AE309" s="11">
        <f t="shared" si="1529"/>
        <v>0</v>
      </c>
      <c r="AF309" s="8">
        <v>0</v>
      </c>
      <c r="AG309" s="11">
        <f t="shared" si="1530"/>
        <v>0</v>
      </c>
      <c r="AH309" s="8">
        <v>1068648</v>
      </c>
      <c r="AI309" s="9">
        <f t="shared" si="1531"/>
        <v>157.08481552256359</v>
      </c>
      <c r="AJ309" s="8">
        <v>305.31</v>
      </c>
      <c r="AK309" s="11">
        <f t="shared" si="1532"/>
        <v>4.4878729972071145E-2</v>
      </c>
      <c r="AL309" s="8">
        <v>115050.42079</v>
      </c>
      <c r="AM309" s="9">
        <f t="shared" si="1533"/>
        <v>16.911718475672497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9">
        <f t="shared" si="1534"/>
        <v>1183698.4207899999</v>
      </c>
      <c r="AV309" s="9">
        <f t="shared" si="1535"/>
        <v>173.99653399823606</v>
      </c>
      <c r="AW309" s="9">
        <f t="shared" si="1536"/>
        <v>223.71076897301219</v>
      </c>
      <c r="AX309" s="8">
        <v>1</v>
      </c>
      <c r="AY309" s="9">
        <f t="shared" si="1537"/>
        <v>1.7639276789651626</v>
      </c>
      <c r="AZ309" s="8">
        <v>6</v>
      </c>
      <c r="BA309" s="8">
        <v>11</v>
      </c>
      <c r="BB309" s="8">
        <v>8</v>
      </c>
      <c r="BC309" s="8">
        <v>12</v>
      </c>
      <c r="BD309" s="8">
        <v>0</v>
      </c>
      <c r="BE309" s="9">
        <f t="shared" si="1538"/>
        <v>12</v>
      </c>
      <c r="BF309" s="9">
        <f t="shared" si="1539"/>
        <v>7</v>
      </c>
      <c r="BG309" s="8">
        <v>0</v>
      </c>
      <c r="BH309" s="8">
        <v>0</v>
      </c>
      <c r="BI309" s="8">
        <v>0</v>
      </c>
      <c r="BJ309" s="8">
        <v>0</v>
      </c>
      <c r="BK309" s="9">
        <f t="shared" si="1540"/>
        <v>0</v>
      </c>
      <c r="BL309" s="9">
        <f t="shared" si="1541"/>
        <v>0</v>
      </c>
      <c r="BM309" s="8">
        <v>0</v>
      </c>
      <c r="BN309" s="8">
        <v>0</v>
      </c>
      <c r="BO309" s="8">
        <v>0</v>
      </c>
      <c r="BP309" s="8">
        <v>0</v>
      </c>
      <c r="BQ309" s="9">
        <f t="shared" si="1542"/>
        <v>0</v>
      </c>
      <c r="BR309" s="9">
        <f t="shared" si="1543"/>
        <v>0</v>
      </c>
      <c r="BS309" s="8">
        <v>0</v>
      </c>
      <c r="BT309" s="8">
        <v>0</v>
      </c>
      <c r="BU309" s="8">
        <v>0</v>
      </c>
      <c r="BV309" s="8">
        <v>0</v>
      </c>
      <c r="BW309" s="9">
        <f t="shared" si="1544"/>
        <v>0</v>
      </c>
      <c r="BX309" s="9">
        <f t="shared" si="1545"/>
        <v>0</v>
      </c>
      <c r="BY309" s="9">
        <f t="shared" si="1546"/>
        <v>11</v>
      </c>
      <c r="BZ309" s="9">
        <f t="shared" si="1547"/>
        <v>8</v>
      </c>
      <c r="CA309" s="9">
        <f t="shared" si="1548"/>
        <v>12</v>
      </c>
      <c r="CB309" s="9">
        <f t="shared" si="1549"/>
        <v>7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9">
        <f t="shared" si="1550"/>
        <v>0</v>
      </c>
      <c r="CI309" s="8">
        <v>60</v>
      </c>
      <c r="CJ309" s="8">
        <v>2</v>
      </c>
      <c r="CK309" s="8">
        <v>1</v>
      </c>
      <c r="CL309" s="8">
        <v>0</v>
      </c>
      <c r="CM309" s="9">
        <f t="shared" si="1551"/>
        <v>63</v>
      </c>
      <c r="CN309" s="8">
        <v>459</v>
      </c>
      <c r="CO309" s="8">
        <v>9</v>
      </c>
      <c r="CP309" s="8">
        <v>8</v>
      </c>
      <c r="CQ309" s="8">
        <v>15</v>
      </c>
      <c r="CR309" s="9">
        <f t="shared" si="1552"/>
        <v>491</v>
      </c>
      <c r="CS309" s="9">
        <f t="shared" si="1553"/>
        <v>554</v>
      </c>
      <c r="CT309" s="8">
        <v>554</v>
      </c>
      <c r="CU309" s="8">
        <v>7102</v>
      </c>
      <c r="CV309" s="8">
        <v>6073.6</v>
      </c>
      <c r="CW309" s="10">
        <f t="shared" si="1554"/>
        <v>0.85519571951562945</v>
      </c>
      <c r="CX309" s="8">
        <v>0</v>
      </c>
      <c r="CY309" s="8">
        <v>0</v>
      </c>
      <c r="CZ309" s="8">
        <v>0</v>
      </c>
      <c r="DA309" s="8">
        <v>0</v>
      </c>
      <c r="DB309" s="9">
        <f t="shared" si="1555"/>
        <v>0</v>
      </c>
      <c r="DC309" s="8">
        <v>0</v>
      </c>
      <c r="DD309" s="8">
        <v>0</v>
      </c>
      <c r="DE309" s="8">
        <v>0</v>
      </c>
      <c r="DF309" s="8">
        <v>0</v>
      </c>
      <c r="DG309" s="9">
        <f t="shared" si="1556"/>
        <v>0</v>
      </c>
      <c r="DH309" s="8">
        <v>0</v>
      </c>
      <c r="DI309" s="8">
        <v>0</v>
      </c>
      <c r="DJ309" s="8">
        <v>0</v>
      </c>
      <c r="DK309" s="8">
        <v>0</v>
      </c>
      <c r="DL309" s="9">
        <f t="shared" si="1557"/>
        <v>0</v>
      </c>
      <c r="DM309" s="8">
        <v>2</v>
      </c>
      <c r="DN309" s="8">
        <v>5</v>
      </c>
      <c r="DO309" s="8">
        <v>0</v>
      </c>
      <c r="DP309" s="8">
        <v>6</v>
      </c>
      <c r="DQ309" s="9">
        <f t="shared" si="1558"/>
        <v>1</v>
      </c>
      <c r="DR309" s="9">
        <f t="shared" si="1559"/>
        <v>2</v>
      </c>
      <c r="DS309" s="9">
        <f t="shared" si="1560"/>
        <v>5</v>
      </c>
      <c r="DT309" s="9">
        <f t="shared" si="1561"/>
        <v>0</v>
      </c>
      <c r="DU309" s="9">
        <f t="shared" si="1562"/>
        <v>6</v>
      </c>
      <c r="DV309" s="9">
        <f t="shared" si="1563"/>
        <v>1</v>
      </c>
      <c r="DW309" s="8">
        <v>8</v>
      </c>
      <c r="DX309" s="8">
        <v>21</v>
      </c>
      <c r="DY309" s="8">
        <v>6</v>
      </c>
      <c r="DZ309" s="8">
        <v>0</v>
      </c>
      <c r="EA309" s="8">
        <v>0</v>
      </c>
      <c r="EB309" s="8">
        <v>1</v>
      </c>
      <c r="EC309" s="8">
        <v>0</v>
      </c>
      <c r="ED309" s="8">
        <v>0</v>
      </c>
      <c r="EE309" s="8">
        <v>2</v>
      </c>
      <c r="EF309" s="8">
        <v>0</v>
      </c>
      <c r="EG309" s="8">
        <v>0</v>
      </c>
      <c r="EH309" s="8">
        <v>0</v>
      </c>
      <c r="EI309" s="8">
        <v>0</v>
      </c>
      <c r="EJ309" s="8">
        <v>0</v>
      </c>
      <c r="EK309" s="8">
        <v>0</v>
      </c>
      <c r="EL309" s="8">
        <v>0</v>
      </c>
      <c r="EM309" s="8">
        <v>0</v>
      </c>
      <c r="EN309" s="8">
        <v>0</v>
      </c>
      <c r="EO309" s="8">
        <v>0</v>
      </c>
      <c r="EP309" s="8">
        <v>0</v>
      </c>
      <c r="EQ309" s="8">
        <v>0</v>
      </c>
      <c r="ER309" s="8">
        <v>0</v>
      </c>
      <c r="ES309" s="8">
        <v>0</v>
      </c>
      <c r="ET309" s="8">
        <v>0</v>
      </c>
      <c r="EU309" s="8">
        <v>0</v>
      </c>
      <c r="EV309" s="8">
        <v>0</v>
      </c>
      <c r="EW309" s="8">
        <v>0</v>
      </c>
      <c r="EX309" s="8">
        <v>0</v>
      </c>
      <c r="EY309" s="8">
        <v>0</v>
      </c>
      <c r="EZ309" s="8">
        <v>0</v>
      </c>
      <c r="FA309" s="8">
        <v>0</v>
      </c>
      <c r="FB309" s="8">
        <v>0</v>
      </c>
      <c r="FC309" s="8">
        <v>0</v>
      </c>
      <c r="FD309" s="8">
        <v>0</v>
      </c>
      <c r="FE309" s="8">
        <v>0</v>
      </c>
      <c r="FF309" s="8">
        <v>0</v>
      </c>
      <c r="FG309" s="9">
        <f t="shared" si="1564"/>
        <v>38</v>
      </c>
      <c r="FH309" s="8">
        <v>0</v>
      </c>
      <c r="FI309" s="8">
        <v>0</v>
      </c>
      <c r="FJ309" s="8">
        <v>0</v>
      </c>
      <c r="FK309" s="8">
        <v>0</v>
      </c>
      <c r="FL309" s="8">
        <v>48</v>
      </c>
      <c r="FM309" s="8">
        <v>0</v>
      </c>
      <c r="FN309" s="8">
        <v>0</v>
      </c>
      <c r="FO309" s="8">
        <v>0</v>
      </c>
      <c r="FP309" s="8">
        <v>0</v>
      </c>
      <c r="FQ309" s="9">
        <f t="shared" si="1565"/>
        <v>48</v>
      </c>
      <c r="FR309" s="8">
        <v>319797</v>
      </c>
      <c r="FS309" s="8">
        <v>0</v>
      </c>
      <c r="FT309" s="8">
        <v>0</v>
      </c>
      <c r="FU309" s="8">
        <v>29600</v>
      </c>
      <c r="FV309" s="9">
        <f t="shared" si="1566"/>
        <v>349397</v>
      </c>
      <c r="FW309" s="8">
        <v>4757221</v>
      </c>
      <c r="FX309" s="8">
        <v>144521.24</v>
      </c>
      <c r="FY309" s="8">
        <v>41000</v>
      </c>
      <c r="FZ309" s="8">
        <v>596700</v>
      </c>
      <c r="GA309" s="9">
        <f t="shared" si="1567"/>
        <v>5539442.2400000002</v>
      </c>
      <c r="GB309" s="9">
        <f t="shared" si="1568"/>
        <v>5888839.2400000002</v>
      </c>
      <c r="GC309" s="8">
        <v>648233.22</v>
      </c>
      <c r="GD309" s="8">
        <v>0</v>
      </c>
      <c r="GE309" s="8">
        <v>32794.94</v>
      </c>
      <c r="GF309" s="8">
        <v>74197.33</v>
      </c>
      <c r="GG309" s="9">
        <f t="shared" si="1569"/>
        <v>755225.48999999987</v>
      </c>
      <c r="GH309" s="8">
        <v>4685261</v>
      </c>
      <c r="GI309" s="8">
        <v>127421.24</v>
      </c>
      <c r="GJ309" s="8">
        <v>590100</v>
      </c>
      <c r="GK309" s="8">
        <v>41000</v>
      </c>
      <c r="GL309" s="9">
        <f t="shared" si="1570"/>
        <v>5443782.2400000002</v>
      </c>
      <c r="GM309" s="9">
        <f t="shared" si="1571"/>
        <v>6199007.7300000004</v>
      </c>
      <c r="GN309" s="8">
        <v>32695.8</v>
      </c>
      <c r="GO309" s="8">
        <v>0</v>
      </c>
      <c r="GP309" s="8">
        <v>6787.28</v>
      </c>
      <c r="GQ309" s="8">
        <v>4637.34</v>
      </c>
      <c r="GR309" s="9">
        <f t="shared" si="1572"/>
        <v>44120.42</v>
      </c>
      <c r="GS309" s="8">
        <v>53580</v>
      </c>
      <c r="GT309" s="8">
        <v>0</v>
      </c>
      <c r="GU309" s="8">
        <v>1786</v>
      </c>
      <c r="GV309" s="8">
        <v>893</v>
      </c>
      <c r="GW309" s="9">
        <f t="shared" si="1573"/>
        <v>56259</v>
      </c>
      <c r="GX309" s="9">
        <f t="shared" si="1574"/>
        <v>6299387.1500000004</v>
      </c>
      <c r="GY309" s="8">
        <v>10393210.630000001</v>
      </c>
      <c r="GZ309" s="8">
        <v>0</v>
      </c>
      <c r="HA309" s="9">
        <f t="shared" ref="HA309:HA340" si="1581">GY309+GZ309</f>
        <v>10393210.630000001</v>
      </c>
      <c r="HB309" s="9">
        <f t="shared" si="1575"/>
        <v>0.18790691738798745</v>
      </c>
      <c r="HC309" s="10">
        <f t="shared" si="1576"/>
        <v>0.35278147341785404</v>
      </c>
      <c r="HD309" s="9">
        <f t="shared" si="1577"/>
        <v>0.93482732522639123</v>
      </c>
      <c r="HE309" s="8">
        <v>12</v>
      </c>
      <c r="HF309" s="8">
        <v>7</v>
      </c>
      <c r="HG309" s="8">
        <v>7</v>
      </c>
      <c r="HH309" s="8">
        <v>8</v>
      </c>
      <c r="HI309" s="8">
        <v>7</v>
      </c>
      <c r="HJ309" s="9">
        <f t="shared" si="1578"/>
        <v>14</v>
      </c>
      <c r="HK309" s="10">
        <f t="shared" si="1579"/>
        <v>0.66666666666666663</v>
      </c>
      <c r="HL309" s="8">
        <v>0</v>
      </c>
      <c r="HM309" s="8">
        <v>0</v>
      </c>
      <c r="HN309" s="11" t="str">
        <f t="shared" si="1580"/>
        <v/>
      </c>
    </row>
    <row r="310" spans="1:222" x14ac:dyDescent="0.3">
      <c r="A310" s="12" t="s">
        <v>295</v>
      </c>
      <c r="B310" s="12" t="s">
        <v>298</v>
      </c>
      <c r="C310" s="13" t="s">
        <v>257</v>
      </c>
      <c r="D310" s="13">
        <v>2025</v>
      </c>
      <c r="E310" s="13">
        <v>11</v>
      </c>
      <c r="F310" s="13" t="s">
        <v>268</v>
      </c>
      <c r="G310" s="13" t="s">
        <v>267</v>
      </c>
      <c r="H310" s="14">
        <v>6433</v>
      </c>
      <c r="I310" s="14">
        <v>696</v>
      </c>
      <c r="J310" s="14">
        <v>0</v>
      </c>
      <c r="K310" s="14">
        <v>4</v>
      </c>
      <c r="L310" s="14">
        <v>3</v>
      </c>
      <c r="M310" s="15">
        <f t="shared" si="1521"/>
        <v>703</v>
      </c>
      <c r="N310" s="14">
        <v>3408.5999999999799</v>
      </c>
      <c r="O310" s="14">
        <v>588.20000000000005</v>
      </c>
      <c r="P310" s="14">
        <v>176.8</v>
      </c>
      <c r="Q310" s="14">
        <v>5.6</v>
      </c>
      <c r="R310" s="15">
        <f t="shared" si="1522"/>
        <v>4179.1999999999807</v>
      </c>
      <c r="S310" s="15">
        <f t="shared" si="1523"/>
        <v>4882.1999999999807</v>
      </c>
      <c r="T310" s="14">
        <v>1550.80000000002</v>
      </c>
      <c r="U310" s="16">
        <f t="shared" si="1524"/>
        <v>0.24106948546557128</v>
      </c>
      <c r="V310" s="14">
        <v>11</v>
      </c>
      <c r="W310" s="17">
        <f t="shared" si="1525"/>
        <v>1.709933157158402E-3</v>
      </c>
      <c r="X310" s="14">
        <v>43</v>
      </c>
      <c r="Y310" s="17">
        <f t="shared" si="1526"/>
        <v>6.6842841598010261E-3</v>
      </c>
      <c r="Z310" s="14">
        <v>27</v>
      </c>
      <c r="AA310" s="17">
        <f t="shared" si="1527"/>
        <v>4.1971086584797141E-3</v>
      </c>
      <c r="AB310" s="14">
        <v>0</v>
      </c>
      <c r="AC310" s="17">
        <f t="shared" si="1528"/>
        <v>0</v>
      </c>
      <c r="AD310" s="14">
        <v>0</v>
      </c>
      <c r="AE310" s="17">
        <f t="shared" si="1529"/>
        <v>0</v>
      </c>
      <c r="AF310" s="14">
        <v>0</v>
      </c>
      <c r="AG310" s="17">
        <f t="shared" si="1530"/>
        <v>0</v>
      </c>
      <c r="AH310" s="14">
        <v>987232</v>
      </c>
      <c r="AI310" s="15">
        <f t="shared" si="1531"/>
        <v>153.4637027825276</v>
      </c>
      <c r="AJ310" s="14">
        <v>309.58</v>
      </c>
      <c r="AK310" s="17">
        <f t="shared" si="1532"/>
        <v>4.8123736981190733E-2</v>
      </c>
      <c r="AL310" s="14">
        <v>116217.45022</v>
      </c>
      <c r="AM310" s="15">
        <f t="shared" si="1533"/>
        <v>18.065824688325819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5">
        <f t="shared" si="1534"/>
        <v>1103449.45022</v>
      </c>
      <c r="AV310" s="15">
        <f t="shared" si="1535"/>
        <v>171.52952747085342</v>
      </c>
      <c r="AW310" s="15">
        <f t="shared" si="1536"/>
        <v>226.01479870140599</v>
      </c>
      <c r="AX310" s="14">
        <v>1</v>
      </c>
      <c r="AY310" s="15">
        <f t="shared" si="1537"/>
        <v>1.8653816259909839</v>
      </c>
      <c r="AZ310" s="14">
        <v>6</v>
      </c>
      <c r="BA310" s="14">
        <v>7</v>
      </c>
      <c r="BB310" s="14">
        <v>15</v>
      </c>
      <c r="BC310" s="14">
        <v>10</v>
      </c>
      <c r="BD310" s="14">
        <v>0</v>
      </c>
      <c r="BE310" s="15">
        <f t="shared" si="1538"/>
        <v>10</v>
      </c>
      <c r="BF310" s="15">
        <f t="shared" si="1539"/>
        <v>12</v>
      </c>
      <c r="BG310" s="14">
        <v>0</v>
      </c>
      <c r="BH310" s="14">
        <v>0</v>
      </c>
      <c r="BI310" s="14">
        <v>0</v>
      </c>
      <c r="BJ310" s="14">
        <v>0</v>
      </c>
      <c r="BK310" s="15">
        <f t="shared" si="1540"/>
        <v>0</v>
      </c>
      <c r="BL310" s="15">
        <f t="shared" si="1541"/>
        <v>0</v>
      </c>
      <c r="BM310" s="14">
        <v>0</v>
      </c>
      <c r="BN310" s="14">
        <v>0</v>
      </c>
      <c r="BO310" s="14">
        <v>0</v>
      </c>
      <c r="BP310" s="14">
        <v>0</v>
      </c>
      <c r="BQ310" s="15">
        <f t="shared" si="1542"/>
        <v>0</v>
      </c>
      <c r="BR310" s="15">
        <f t="shared" si="1543"/>
        <v>0</v>
      </c>
      <c r="BS310" s="14">
        <v>0</v>
      </c>
      <c r="BT310" s="14">
        <v>0</v>
      </c>
      <c r="BU310" s="14">
        <v>0</v>
      </c>
      <c r="BV310" s="14">
        <v>0</v>
      </c>
      <c r="BW310" s="15">
        <f t="shared" si="1544"/>
        <v>0</v>
      </c>
      <c r="BX310" s="15">
        <f t="shared" si="1545"/>
        <v>0</v>
      </c>
      <c r="BY310" s="15">
        <f t="shared" si="1546"/>
        <v>7</v>
      </c>
      <c r="BZ310" s="15">
        <f t="shared" si="1547"/>
        <v>15</v>
      </c>
      <c r="CA310" s="15">
        <f t="shared" si="1548"/>
        <v>10</v>
      </c>
      <c r="CB310" s="15">
        <f t="shared" si="1549"/>
        <v>12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5">
        <f t="shared" si="1550"/>
        <v>0</v>
      </c>
      <c r="CI310" s="14">
        <v>70</v>
      </c>
      <c r="CJ310" s="14">
        <v>2</v>
      </c>
      <c r="CK310" s="14">
        <v>1</v>
      </c>
      <c r="CL310" s="14">
        <v>0</v>
      </c>
      <c r="CM310" s="15">
        <f t="shared" si="1551"/>
        <v>73</v>
      </c>
      <c r="CN310" s="14">
        <v>459</v>
      </c>
      <c r="CO310" s="14">
        <v>9</v>
      </c>
      <c r="CP310" s="14">
        <v>8</v>
      </c>
      <c r="CQ310" s="14">
        <v>15</v>
      </c>
      <c r="CR310" s="15">
        <f t="shared" si="1552"/>
        <v>491</v>
      </c>
      <c r="CS310" s="15">
        <f t="shared" si="1553"/>
        <v>564</v>
      </c>
      <c r="CT310" s="14">
        <v>564</v>
      </c>
      <c r="CU310" s="14">
        <v>7113</v>
      </c>
      <c r="CV310" s="14">
        <v>6117</v>
      </c>
      <c r="CW310" s="16">
        <f t="shared" si="1554"/>
        <v>0.85997469422184736</v>
      </c>
      <c r="CX310" s="14">
        <v>0</v>
      </c>
      <c r="CY310" s="14">
        <v>0</v>
      </c>
      <c r="CZ310" s="14">
        <v>0</v>
      </c>
      <c r="DA310" s="14">
        <v>0</v>
      </c>
      <c r="DB310" s="15">
        <f t="shared" si="1555"/>
        <v>0</v>
      </c>
      <c r="DC310" s="14">
        <v>0</v>
      </c>
      <c r="DD310" s="14">
        <v>0</v>
      </c>
      <c r="DE310" s="14">
        <v>0</v>
      </c>
      <c r="DF310" s="14">
        <v>0</v>
      </c>
      <c r="DG310" s="15">
        <f t="shared" si="1556"/>
        <v>0</v>
      </c>
      <c r="DH310" s="14">
        <v>0</v>
      </c>
      <c r="DI310" s="14">
        <v>2</v>
      </c>
      <c r="DJ310" s="14">
        <v>0</v>
      </c>
      <c r="DK310" s="14">
        <v>2</v>
      </c>
      <c r="DL310" s="15">
        <f t="shared" si="1557"/>
        <v>0</v>
      </c>
      <c r="DM310" s="14">
        <v>1</v>
      </c>
      <c r="DN310" s="14">
        <v>0</v>
      </c>
      <c r="DO310" s="14">
        <v>0</v>
      </c>
      <c r="DP310" s="14">
        <v>0</v>
      </c>
      <c r="DQ310" s="15">
        <f t="shared" si="1558"/>
        <v>1</v>
      </c>
      <c r="DR310" s="15">
        <f t="shared" si="1559"/>
        <v>1</v>
      </c>
      <c r="DS310" s="15">
        <f t="shared" si="1560"/>
        <v>2</v>
      </c>
      <c r="DT310" s="15">
        <f t="shared" si="1561"/>
        <v>0</v>
      </c>
      <c r="DU310" s="15">
        <f t="shared" si="1562"/>
        <v>2</v>
      </c>
      <c r="DV310" s="15">
        <f t="shared" si="1563"/>
        <v>1</v>
      </c>
      <c r="DW310" s="14">
        <v>9</v>
      </c>
      <c r="DX310" s="14">
        <v>20</v>
      </c>
      <c r="DY310" s="14">
        <v>7</v>
      </c>
      <c r="DZ310" s="14">
        <v>0</v>
      </c>
      <c r="EA310" s="14">
        <v>0</v>
      </c>
      <c r="EB310" s="14">
        <v>0</v>
      </c>
      <c r="EC310" s="14">
        <v>1</v>
      </c>
      <c r="ED310" s="14">
        <v>1</v>
      </c>
      <c r="EE310" s="14">
        <v>0</v>
      </c>
      <c r="EF310" s="14">
        <v>0</v>
      </c>
      <c r="EG310" s="14">
        <v>0</v>
      </c>
      <c r="EH310" s="14">
        <v>0</v>
      </c>
      <c r="EI310" s="14">
        <v>0</v>
      </c>
      <c r="EJ310" s="14">
        <v>0</v>
      </c>
      <c r="EK310" s="14">
        <v>0</v>
      </c>
      <c r="EL310" s="14">
        <v>0</v>
      </c>
      <c r="EM310" s="14">
        <v>0</v>
      </c>
      <c r="EN310" s="14">
        <v>0</v>
      </c>
      <c r="EO310" s="14">
        <v>0</v>
      </c>
      <c r="EP310" s="14">
        <v>0</v>
      </c>
      <c r="EQ310" s="14">
        <v>0</v>
      </c>
      <c r="ER310" s="14">
        <v>0</v>
      </c>
      <c r="ES310" s="14">
        <v>0</v>
      </c>
      <c r="ET310" s="14">
        <v>0</v>
      </c>
      <c r="EU310" s="14">
        <v>0</v>
      </c>
      <c r="EV310" s="14">
        <v>0</v>
      </c>
      <c r="EW310" s="14">
        <v>0</v>
      </c>
      <c r="EX310" s="14">
        <v>0</v>
      </c>
      <c r="EY310" s="14">
        <v>0</v>
      </c>
      <c r="EZ310" s="14">
        <v>0</v>
      </c>
      <c r="FA310" s="14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5">
        <f t="shared" si="1564"/>
        <v>38</v>
      </c>
      <c r="FH310" s="14">
        <v>0</v>
      </c>
      <c r="FI310" s="14">
        <v>0</v>
      </c>
      <c r="FJ310" s="14">
        <v>23</v>
      </c>
      <c r="FK310" s="14">
        <v>0</v>
      </c>
      <c r="FL310" s="14">
        <v>0</v>
      </c>
      <c r="FM310" s="14">
        <v>0</v>
      </c>
      <c r="FN310" s="14">
        <v>0</v>
      </c>
      <c r="FO310" s="14">
        <v>0</v>
      </c>
      <c r="FP310" s="14">
        <v>0</v>
      </c>
      <c r="FQ310" s="15">
        <f t="shared" si="1565"/>
        <v>0</v>
      </c>
      <c r="FR310" s="14">
        <v>661963</v>
      </c>
      <c r="FS310" s="14">
        <v>0</v>
      </c>
      <c r="FT310" s="14">
        <v>0</v>
      </c>
      <c r="FU310" s="14">
        <v>0</v>
      </c>
      <c r="FV310" s="15">
        <f t="shared" si="1566"/>
        <v>661963</v>
      </c>
      <c r="FW310" s="14">
        <v>4295734.8</v>
      </c>
      <c r="FX310" s="14">
        <v>136003.10999999999</v>
      </c>
      <c r="FY310" s="14">
        <v>26000</v>
      </c>
      <c r="FZ310" s="14">
        <v>537519.69999999995</v>
      </c>
      <c r="GA310" s="15">
        <f t="shared" si="1567"/>
        <v>4995257.6100000003</v>
      </c>
      <c r="GB310" s="15">
        <f t="shared" si="1568"/>
        <v>5657220.6100000003</v>
      </c>
      <c r="GC310" s="14">
        <v>655207.35</v>
      </c>
      <c r="GD310" s="14">
        <v>0</v>
      </c>
      <c r="GE310" s="14">
        <v>16821.98</v>
      </c>
      <c r="GF310" s="14">
        <v>8410.99</v>
      </c>
      <c r="GG310" s="15">
        <f t="shared" si="1569"/>
        <v>680440.31999999995</v>
      </c>
      <c r="GH310" s="14">
        <v>4242633.22</v>
      </c>
      <c r="GI310" s="14">
        <v>125051.24</v>
      </c>
      <c r="GJ310" s="14">
        <v>537519.69999999995</v>
      </c>
      <c r="GK310" s="14">
        <v>26000</v>
      </c>
      <c r="GL310" s="15">
        <f t="shared" si="1570"/>
        <v>4931204.16</v>
      </c>
      <c r="GM310" s="15">
        <f t="shared" si="1571"/>
        <v>5611644.4800000004</v>
      </c>
      <c r="GN310" s="14">
        <v>38145.1</v>
      </c>
      <c r="GO310" s="14">
        <v>0</v>
      </c>
      <c r="GP310" s="14">
        <v>6787.28</v>
      </c>
      <c r="GQ310" s="14">
        <v>4637.34</v>
      </c>
      <c r="GR310" s="15">
        <f t="shared" si="1572"/>
        <v>49569.72</v>
      </c>
      <c r="GS310" s="14">
        <v>62510</v>
      </c>
      <c r="GT310" s="14">
        <v>0</v>
      </c>
      <c r="GU310" s="14">
        <v>1786</v>
      </c>
      <c r="GV310" s="14">
        <v>893</v>
      </c>
      <c r="GW310" s="15">
        <f t="shared" si="1573"/>
        <v>65189</v>
      </c>
      <c r="GX310" s="15">
        <f t="shared" si="1574"/>
        <v>5726403.2000000002</v>
      </c>
      <c r="GY310" s="14">
        <v>10063587.4</v>
      </c>
      <c r="GZ310" s="14">
        <v>0</v>
      </c>
      <c r="HA310" s="9">
        <f t="shared" si="1581"/>
        <v>10063587.4</v>
      </c>
      <c r="HB310" s="15">
        <f t="shared" si="1575"/>
        <v>0.19269503241057143</v>
      </c>
      <c r="HC310" s="16">
        <f t="shared" si="1576"/>
        <v>0.35827890929840073</v>
      </c>
      <c r="HD310" s="15">
        <f t="shared" si="1577"/>
        <v>0.98791866594374633</v>
      </c>
      <c r="HE310" s="14">
        <v>15</v>
      </c>
      <c r="HF310" s="14">
        <v>3</v>
      </c>
      <c r="HG310" s="14">
        <v>12</v>
      </c>
      <c r="HH310" s="14">
        <v>15</v>
      </c>
      <c r="HI310" s="14">
        <v>7</v>
      </c>
      <c r="HJ310" s="15">
        <f t="shared" si="1578"/>
        <v>10</v>
      </c>
      <c r="HK310" s="16">
        <f t="shared" si="1579"/>
        <v>1</v>
      </c>
      <c r="HL310" s="14">
        <v>0</v>
      </c>
      <c r="HM310" s="14">
        <v>0</v>
      </c>
      <c r="HN310" s="17" t="str">
        <f t="shared" si="1580"/>
        <v/>
      </c>
    </row>
    <row r="311" spans="1:222" x14ac:dyDescent="0.3">
      <c r="A311" s="6" t="s">
        <v>295</v>
      </c>
      <c r="B311" s="6" t="s">
        <v>298</v>
      </c>
      <c r="C311" s="7" t="s">
        <v>257</v>
      </c>
      <c r="D311" s="7">
        <v>2025</v>
      </c>
      <c r="E311" s="7">
        <v>12</v>
      </c>
      <c r="F311" s="7" t="s">
        <v>269</v>
      </c>
      <c r="G311" s="7" t="s">
        <v>267</v>
      </c>
      <c r="H311" s="8">
        <v>6562</v>
      </c>
      <c r="I311" s="8">
        <v>539</v>
      </c>
      <c r="J311" s="8">
        <v>0</v>
      </c>
      <c r="K311" s="8">
        <v>31</v>
      </c>
      <c r="L311" s="8">
        <v>3</v>
      </c>
      <c r="M311" s="9">
        <f t="shared" si="1521"/>
        <v>573</v>
      </c>
      <c r="N311" s="8">
        <v>3402.2999999999902</v>
      </c>
      <c r="O311" s="8">
        <v>435</v>
      </c>
      <c r="P311" s="8">
        <v>22.3</v>
      </c>
      <c r="Q311" s="8">
        <v>4.4000000000000004</v>
      </c>
      <c r="R311" s="9">
        <f t="shared" si="1522"/>
        <v>3863.9999999999905</v>
      </c>
      <c r="S311" s="9">
        <f t="shared" si="1523"/>
        <v>4436.9999999999909</v>
      </c>
      <c r="T311" s="8">
        <v>2125.00000000001</v>
      </c>
      <c r="U311" s="10">
        <f t="shared" si="1524"/>
        <v>0.32383419689119325</v>
      </c>
      <c r="V311" s="8">
        <v>12</v>
      </c>
      <c r="W311" s="11">
        <f t="shared" si="1525"/>
        <v>1.828710758914965E-3</v>
      </c>
      <c r="X311" s="8">
        <v>57</v>
      </c>
      <c r="Y311" s="11">
        <f t="shared" si="1526"/>
        <v>8.6863761048460841E-3</v>
      </c>
      <c r="Z311" s="8">
        <v>32</v>
      </c>
      <c r="AA311" s="11">
        <f t="shared" si="1527"/>
        <v>4.8765620237732395E-3</v>
      </c>
      <c r="AB311" s="8">
        <v>0</v>
      </c>
      <c r="AC311" s="11">
        <f t="shared" si="1528"/>
        <v>0</v>
      </c>
      <c r="AD311" s="8">
        <v>0</v>
      </c>
      <c r="AE311" s="11">
        <f t="shared" si="1529"/>
        <v>0</v>
      </c>
      <c r="AF311" s="8">
        <v>0</v>
      </c>
      <c r="AG311" s="11">
        <f t="shared" si="1530"/>
        <v>0</v>
      </c>
      <c r="AH311" s="8">
        <v>1195612</v>
      </c>
      <c r="AI311" s="9">
        <f t="shared" si="1531"/>
        <v>182.20237732398658</v>
      </c>
      <c r="AJ311" s="8">
        <v>308.51</v>
      </c>
      <c r="AK311" s="11">
        <f t="shared" si="1532"/>
        <v>4.701462968607132E-2</v>
      </c>
      <c r="AL311" s="8">
        <v>115925.00959</v>
      </c>
      <c r="AM311" s="9">
        <f t="shared" si="1533"/>
        <v>17.666109355379458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9">
        <f t="shared" si="1534"/>
        <v>1311537.0095899999</v>
      </c>
      <c r="AV311" s="9">
        <f t="shared" si="1535"/>
        <v>199.86848667936604</v>
      </c>
      <c r="AW311" s="9">
        <f t="shared" si="1536"/>
        <v>295.59094198557642</v>
      </c>
      <c r="AX311" s="8">
        <v>1</v>
      </c>
      <c r="AY311" s="9">
        <f t="shared" si="1537"/>
        <v>1.8287107589149647</v>
      </c>
      <c r="AZ311" s="8">
        <v>6</v>
      </c>
      <c r="BA311" s="8">
        <v>12</v>
      </c>
      <c r="BB311" s="8">
        <v>2</v>
      </c>
      <c r="BC311" s="8">
        <v>6</v>
      </c>
      <c r="BD311" s="8">
        <v>0</v>
      </c>
      <c r="BE311" s="9">
        <f t="shared" si="1538"/>
        <v>6</v>
      </c>
      <c r="BF311" s="9">
        <f t="shared" si="1539"/>
        <v>8</v>
      </c>
      <c r="BG311" s="8">
        <v>0</v>
      </c>
      <c r="BH311" s="8">
        <v>1</v>
      </c>
      <c r="BI311" s="8">
        <v>1</v>
      </c>
      <c r="BJ311" s="8">
        <v>0</v>
      </c>
      <c r="BK311" s="9">
        <f t="shared" si="1540"/>
        <v>1</v>
      </c>
      <c r="BL311" s="9">
        <f t="shared" si="1541"/>
        <v>0</v>
      </c>
      <c r="BM311" s="8">
        <v>0</v>
      </c>
      <c r="BN311" s="8">
        <v>0</v>
      </c>
      <c r="BO311" s="8">
        <v>0</v>
      </c>
      <c r="BP311" s="8">
        <v>0</v>
      </c>
      <c r="BQ311" s="9">
        <f t="shared" si="1542"/>
        <v>0</v>
      </c>
      <c r="BR311" s="9">
        <f t="shared" si="1543"/>
        <v>0</v>
      </c>
      <c r="BS311" s="8">
        <v>0</v>
      </c>
      <c r="BT311" s="8">
        <v>0</v>
      </c>
      <c r="BU311" s="8">
        <v>0</v>
      </c>
      <c r="BV311" s="8">
        <v>0</v>
      </c>
      <c r="BW311" s="9">
        <f t="shared" si="1544"/>
        <v>0</v>
      </c>
      <c r="BX311" s="9">
        <f t="shared" si="1545"/>
        <v>0</v>
      </c>
      <c r="BY311" s="9">
        <f t="shared" si="1546"/>
        <v>12</v>
      </c>
      <c r="BZ311" s="9">
        <f t="shared" si="1547"/>
        <v>3</v>
      </c>
      <c r="CA311" s="9">
        <f t="shared" si="1548"/>
        <v>7</v>
      </c>
      <c r="CB311" s="9">
        <f t="shared" si="1549"/>
        <v>8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9">
        <f t="shared" si="1550"/>
        <v>0</v>
      </c>
      <c r="CI311" s="8">
        <v>64</v>
      </c>
      <c r="CJ311" s="8">
        <v>2</v>
      </c>
      <c r="CK311" s="8">
        <v>1</v>
      </c>
      <c r="CL311" s="8">
        <v>0</v>
      </c>
      <c r="CM311" s="9">
        <f t="shared" si="1551"/>
        <v>67</v>
      </c>
      <c r="CN311" s="8">
        <v>472</v>
      </c>
      <c r="CO311" s="8">
        <v>9</v>
      </c>
      <c r="CP311" s="8">
        <v>8</v>
      </c>
      <c r="CQ311" s="8">
        <v>15</v>
      </c>
      <c r="CR311" s="9">
        <f t="shared" si="1552"/>
        <v>504</v>
      </c>
      <c r="CS311" s="9">
        <f t="shared" si="1553"/>
        <v>571</v>
      </c>
      <c r="CT311" s="8">
        <v>571</v>
      </c>
      <c r="CU311" s="8">
        <v>7124</v>
      </c>
      <c r="CV311" s="8">
        <v>6147.1</v>
      </c>
      <c r="CW311" s="10">
        <f t="shared" si="1554"/>
        <v>0.86287198203256599</v>
      </c>
      <c r="CX311" s="8">
        <v>0</v>
      </c>
      <c r="CY311" s="8">
        <v>0</v>
      </c>
      <c r="CZ311" s="8">
        <v>0</v>
      </c>
      <c r="DA311" s="8">
        <v>0</v>
      </c>
      <c r="DB311" s="9">
        <f t="shared" si="1555"/>
        <v>0</v>
      </c>
      <c r="DC311" s="8">
        <v>0</v>
      </c>
      <c r="DD311" s="8">
        <v>0</v>
      </c>
      <c r="DE311" s="8">
        <v>0</v>
      </c>
      <c r="DF311" s="8">
        <v>0</v>
      </c>
      <c r="DG311" s="9">
        <f t="shared" si="1556"/>
        <v>0</v>
      </c>
      <c r="DH311" s="8">
        <v>0</v>
      </c>
      <c r="DI311" s="8">
        <v>0</v>
      </c>
      <c r="DJ311" s="8">
        <v>0</v>
      </c>
      <c r="DK311" s="8">
        <v>0</v>
      </c>
      <c r="DL311" s="9">
        <f t="shared" si="1557"/>
        <v>0</v>
      </c>
      <c r="DM311" s="8">
        <v>1</v>
      </c>
      <c r="DN311" s="8">
        <v>0</v>
      </c>
      <c r="DO311" s="8">
        <v>1</v>
      </c>
      <c r="DP311" s="8">
        <v>0</v>
      </c>
      <c r="DQ311" s="9">
        <f t="shared" si="1558"/>
        <v>0</v>
      </c>
      <c r="DR311" s="9">
        <f t="shared" si="1559"/>
        <v>1</v>
      </c>
      <c r="DS311" s="9">
        <f t="shared" si="1560"/>
        <v>0</v>
      </c>
      <c r="DT311" s="9">
        <f t="shared" si="1561"/>
        <v>1</v>
      </c>
      <c r="DU311" s="9">
        <f t="shared" si="1562"/>
        <v>0</v>
      </c>
      <c r="DV311" s="9">
        <f t="shared" si="1563"/>
        <v>0</v>
      </c>
      <c r="DW311" s="8">
        <v>8</v>
      </c>
      <c r="DX311" s="8">
        <v>11</v>
      </c>
      <c r="DY311" s="8">
        <v>5</v>
      </c>
      <c r="DZ311" s="8">
        <v>0</v>
      </c>
      <c r="EA311" s="8">
        <v>0</v>
      </c>
      <c r="EB311" s="8">
        <v>0</v>
      </c>
      <c r="EC311" s="8">
        <v>0</v>
      </c>
      <c r="ED311" s="8">
        <v>0</v>
      </c>
      <c r="EE311" s="8">
        <v>0</v>
      </c>
      <c r="EF311" s="8">
        <v>0</v>
      </c>
      <c r="EG311" s="8">
        <v>0</v>
      </c>
      <c r="EH311" s="8">
        <v>0</v>
      </c>
      <c r="EI311" s="8">
        <v>0</v>
      </c>
      <c r="EJ311" s="8">
        <v>0</v>
      </c>
      <c r="EK311" s="8">
        <v>0</v>
      </c>
      <c r="EL311" s="8">
        <v>0</v>
      </c>
      <c r="EM311" s="8">
        <v>0</v>
      </c>
      <c r="EN311" s="8">
        <v>0</v>
      </c>
      <c r="EO311" s="8">
        <v>0</v>
      </c>
      <c r="EP311" s="8">
        <v>0</v>
      </c>
      <c r="EQ311" s="8">
        <v>0</v>
      </c>
      <c r="ER311" s="8">
        <v>0</v>
      </c>
      <c r="ES311" s="8">
        <v>0</v>
      </c>
      <c r="ET311" s="8">
        <v>0</v>
      </c>
      <c r="EU311" s="8">
        <v>0</v>
      </c>
      <c r="EV311" s="8">
        <v>0</v>
      </c>
      <c r="EW311" s="8">
        <v>0</v>
      </c>
      <c r="EX311" s="8">
        <v>0</v>
      </c>
      <c r="EY311" s="8">
        <v>0</v>
      </c>
      <c r="EZ311" s="8">
        <v>0</v>
      </c>
      <c r="FA311" s="8">
        <v>0</v>
      </c>
      <c r="FB311" s="8">
        <v>0</v>
      </c>
      <c r="FC311" s="8">
        <v>0</v>
      </c>
      <c r="FD311" s="8">
        <v>0</v>
      </c>
      <c r="FE311" s="8">
        <v>0</v>
      </c>
      <c r="FF311" s="8">
        <v>0</v>
      </c>
      <c r="FG311" s="9">
        <f t="shared" si="1564"/>
        <v>24</v>
      </c>
      <c r="FH311" s="8">
        <v>0</v>
      </c>
      <c r="FI311" s="8">
        <v>0</v>
      </c>
      <c r="FJ311" s="8">
        <v>23</v>
      </c>
      <c r="FK311" s="8">
        <v>0</v>
      </c>
      <c r="FL311" s="8">
        <v>0</v>
      </c>
      <c r="FM311" s="8">
        <v>0</v>
      </c>
      <c r="FN311" s="8">
        <v>0</v>
      </c>
      <c r="FO311" s="8">
        <v>0</v>
      </c>
      <c r="FP311" s="8">
        <v>0</v>
      </c>
      <c r="FQ311" s="9">
        <f t="shared" si="1565"/>
        <v>0</v>
      </c>
      <c r="FR311" s="8">
        <v>426806</v>
      </c>
      <c r="FS311" s="8">
        <v>0</v>
      </c>
      <c r="FT311" s="8">
        <v>0</v>
      </c>
      <c r="FU311" s="8">
        <v>0</v>
      </c>
      <c r="FV311" s="9">
        <f t="shared" si="1566"/>
        <v>426806</v>
      </c>
      <c r="FW311" s="8">
        <v>4272213.28</v>
      </c>
      <c r="FX311" s="8">
        <v>95500</v>
      </c>
      <c r="FY311" s="8">
        <v>20000</v>
      </c>
      <c r="FZ311" s="8">
        <v>67500</v>
      </c>
      <c r="GA311" s="9">
        <f t="shared" si="1567"/>
        <v>4455213.28</v>
      </c>
      <c r="GB311" s="9">
        <f t="shared" si="1568"/>
        <v>4882019.28</v>
      </c>
      <c r="GC311" s="8">
        <v>507083.03</v>
      </c>
      <c r="GD311" s="8">
        <v>0</v>
      </c>
      <c r="GE311" s="8">
        <v>83663.53</v>
      </c>
      <c r="GF311" s="8">
        <v>8410.99</v>
      </c>
      <c r="GG311" s="9">
        <f t="shared" si="1569"/>
        <v>599157.55000000005</v>
      </c>
      <c r="GH311" s="8">
        <v>4235694.93</v>
      </c>
      <c r="GI311" s="8">
        <v>92440</v>
      </c>
      <c r="GJ311" s="8">
        <v>67500</v>
      </c>
      <c r="GK311" s="8">
        <v>20000</v>
      </c>
      <c r="GL311" s="9">
        <f t="shared" si="1570"/>
        <v>4415634.93</v>
      </c>
      <c r="GM311" s="9">
        <f t="shared" si="1571"/>
        <v>5014792.4799999995</v>
      </c>
      <c r="GN311" s="8">
        <v>34875.519999999997</v>
      </c>
      <c r="GO311" s="8">
        <v>0</v>
      </c>
      <c r="GP311" s="8">
        <v>6787.28</v>
      </c>
      <c r="GQ311" s="8">
        <v>4637.34</v>
      </c>
      <c r="GR311" s="9">
        <f t="shared" si="1572"/>
        <v>46300.14</v>
      </c>
      <c r="GS311" s="8">
        <v>57152</v>
      </c>
      <c r="GT311" s="8">
        <v>0</v>
      </c>
      <c r="GU311" s="8">
        <v>1786</v>
      </c>
      <c r="GV311" s="8">
        <v>893</v>
      </c>
      <c r="GW311" s="9">
        <f t="shared" si="1573"/>
        <v>59831</v>
      </c>
      <c r="GX311" s="9">
        <f t="shared" si="1574"/>
        <v>5120923.6199999992</v>
      </c>
      <c r="GY311" s="8">
        <v>10179767.100000011</v>
      </c>
      <c r="GZ311" s="8">
        <v>0</v>
      </c>
      <c r="HA311" s="9">
        <f t="shared" si="1581"/>
        <v>10179767.100000011</v>
      </c>
      <c r="HB311" s="9">
        <f t="shared" si="1575"/>
        <v>0.25611337073408647</v>
      </c>
      <c r="HC311" s="10">
        <f t="shared" si="1576"/>
        <v>0.31907182292225283</v>
      </c>
      <c r="HD311" s="9">
        <f t="shared" si="1577"/>
        <v>0.95334741196550032</v>
      </c>
      <c r="HE311" s="8">
        <v>7</v>
      </c>
      <c r="HF311" s="8">
        <v>2</v>
      </c>
      <c r="HG311" s="8">
        <v>8</v>
      </c>
      <c r="HH311" s="8">
        <v>3</v>
      </c>
      <c r="HI311" s="8">
        <v>7</v>
      </c>
      <c r="HJ311" s="9">
        <f t="shared" si="1578"/>
        <v>9</v>
      </c>
      <c r="HK311" s="10">
        <f t="shared" si="1579"/>
        <v>0.42857142857142855</v>
      </c>
      <c r="HL311" s="8">
        <v>0</v>
      </c>
      <c r="HM311" s="8">
        <v>0</v>
      </c>
      <c r="HN311" s="11" t="str">
        <f t="shared" si="1580"/>
        <v/>
      </c>
    </row>
    <row r="312" spans="1:222" x14ac:dyDescent="0.3">
      <c r="A312" s="12" t="s">
        <v>295</v>
      </c>
      <c r="B312" s="12" t="s">
        <v>298</v>
      </c>
      <c r="C312" s="13" t="s">
        <v>257</v>
      </c>
      <c r="D312" s="13">
        <v>2026</v>
      </c>
      <c r="E312" s="13">
        <v>1</v>
      </c>
      <c r="F312" s="13" t="s">
        <v>270</v>
      </c>
      <c r="G312" s="13" t="s">
        <v>271</v>
      </c>
      <c r="H312" s="14">
        <v>6600</v>
      </c>
      <c r="I312" s="14">
        <v>617</v>
      </c>
      <c r="J312" s="14">
        <v>0</v>
      </c>
      <c r="K312" s="14">
        <v>21</v>
      </c>
      <c r="L312" s="14">
        <v>21</v>
      </c>
      <c r="M312" s="15">
        <v>659</v>
      </c>
      <c r="N312" s="14">
        <v>3590.2999999999888</v>
      </c>
      <c r="O312" s="14">
        <v>352.90000000000009</v>
      </c>
      <c r="P312" s="14">
        <v>17.100000000000001</v>
      </c>
      <c r="Q312" s="14">
        <v>3.9</v>
      </c>
      <c r="R312" s="15">
        <v>3964.1999999999889</v>
      </c>
      <c r="S312" s="15">
        <v>4623.1999999999898</v>
      </c>
      <c r="T312" s="14">
        <v>1976.80000000001</v>
      </c>
      <c r="U312" s="16">
        <v>0.29951515151515312</v>
      </c>
      <c r="V312" s="14">
        <v>13</v>
      </c>
      <c r="W312" s="17">
        <v>1.9696969696969699</v>
      </c>
      <c r="X312" s="14">
        <v>58</v>
      </c>
      <c r="Y312" s="17">
        <v>8.787878787878789</v>
      </c>
      <c r="Z312" s="14">
        <v>28</v>
      </c>
      <c r="AA312" s="17">
        <v>4.2424242424242422</v>
      </c>
      <c r="AB312" s="14">
        <v>0</v>
      </c>
      <c r="AC312" s="17">
        <v>0</v>
      </c>
      <c r="AD312" s="14">
        <v>0</v>
      </c>
      <c r="AE312" s="17">
        <v>0</v>
      </c>
      <c r="AF312" s="14">
        <v>0</v>
      </c>
      <c r="AG312" s="17">
        <v>0</v>
      </c>
      <c r="AH312" s="14">
        <v>1181848</v>
      </c>
      <c r="AI312" s="15">
        <v>179.06787878787881</v>
      </c>
      <c r="AJ312" s="14">
        <v>372.92</v>
      </c>
      <c r="AK312" s="17">
        <v>5.6503030303030298E-2</v>
      </c>
      <c r="AL312" s="14">
        <v>133528.84228000001</v>
      </c>
      <c r="AM312" s="15">
        <v>20.231642769696968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5">
        <v>1315376.84228</v>
      </c>
      <c r="AV312" s="15">
        <v>199.29952155757579</v>
      </c>
      <c r="AW312" s="15">
        <v>284.51653449558808</v>
      </c>
      <c r="AX312" s="14">
        <v>1</v>
      </c>
      <c r="AY312" s="15">
        <v>4.6969696969696972</v>
      </c>
      <c r="AZ312" s="14">
        <v>6</v>
      </c>
      <c r="BA312" s="14">
        <v>8</v>
      </c>
      <c r="BB312" s="14">
        <v>3</v>
      </c>
      <c r="BC312" s="14">
        <v>3</v>
      </c>
      <c r="BD312" s="14">
        <v>0</v>
      </c>
      <c r="BE312" s="15">
        <v>3</v>
      </c>
      <c r="BF312" s="15">
        <v>8</v>
      </c>
      <c r="BG312" s="14">
        <v>0</v>
      </c>
      <c r="BH312" s="14">
        <v>0</v>
      </c>
      <c r="BI312" s="14">
        <v>0</v>
      </c>
      <c r="BJ312" s="14">
        <v>0</v>
      </c>
      <c r="BK312" s="15">
        <v>0</v>
      </c>
      <c r="BL312" s="15">
        <v>0</v>
      </c>
      <c r="BM312" s="14">
        <v>0</v>
      </c>
      <c r="BN312" s="14">
        <v>0</v>
      </c>
      <c r="BO312" s="14">
        <v>0</v>
      </c>
      <c r="BP312" s="14">
        <v>0</v>
      </c>
      <c r="BQ312" s="15">
        <v>0</v>
      </c>
      <c r="BR312" s="15">
        <v>0</v>
      </c>
      <c r="BS312" s="14">
        <v>0</v>
      </c>
      <c r="BT312" s="14">
        <v>0</v>
      </c>
      <c r="BU312" s="14">
        <v>0</v>
      </c>
      <c r="BV312" s="14">
        <v>0</v>
      </c>
      <c r="BW312" s="15">
        <v>0</v>
      </c>
      <c r="BX312" s="15">
        <v>0</v>
      </c>
      <c r="BY312" s="15">
        <v>8</v>
      </c>
      <c r="BZ312" s="15">
        <v>3</v>
      </c>
      <c r="CA312" s="15">
        <v>3</v>
      </c>
      <c r="CB312" s="15">
        <v>8</v>
      </c>
      <c r="CC312" s="14">
        <v>0</v>
      </c>
      <c r="CD312" s="14">
        <v>0</v>
      </c>
      <c r="CE312" s="14">
        <v>0</v>
      </c>
      <c r="CF312" s="14">
        <v>0</v>
      </c>
      <c r="CG312" s="14">
        <v>0</v>
      </c>
      <c r="CH312" s="15">
        <v>0</v>
      </c>
      <c r="CI312" s="14">
        <v>67</v>
      </c>
      <c r="CJ312" s="14">
        <v>2</v>
      </c>
      <c r="CK312" s="14">
        <v>1</v>
      </c>
      <c r="CL312" s="14">
        <v>0</v>
      </c>
      <c r="CM312" s="15">
        <v>70</v>
      </c>
      <c r="CN312" s="14">
        <v>472</v>
      </c>
      <c r="CO312" s="14">
        <v>9</v>
      </c>
      <c r="CP312" s="14">
        <v>8</v>
      </c>
      <c r="CQ312" s="14">
        <v>15</v>
      </c>
      <c r="CR312" s="15">
        <v>504</v>
      </c>
      <c r="CS312" s="15">
        <v>574</v>
      </c>
      <c r="CT312" s="14">
        <v>574</v>
      </c>
      <c r="CU312" s="14">
        <v>7135</v>
      </c>
      <c r="CV312" s="14">
        <v>6159.9</v>
      </c>
      <c r="CW312" s="16">
        <v>0.86333566923615968</v>
      </c>
      <c r="CX312" s="14">
        <v>0</v>
      </c>
      <c r="CY312" s="14">
        <v>0</v>
      </c>
      <c r="CZ312" s="14">
        <v>0</v>
      </c>
      <c r="DA312" s="14">
        <v>0</v>
      </c>
      <c r="DB312" s="15">
        <v>0</v>
      </c>
      <c r="DC312" s="14">
        <v>0</v>
      </c>
      <c r="DD312" s="14">
        <v>0</v>
      </c>
      <c r="DE312" s="14">
        <v>0</v>
      </c>
      <c r="DF312" s="14">
        <v>0</v>
      </c>
      <c r="DG312" s="15">
        <v>0</v>
      </c>
      <c r="DH312" s="14">
        <v>0</v>
      </c>
      <c r="DI312" s="14">
        <v>0</v>
      </c>
      <c r="DJ312" s="14">
        <v>0</v>
      </c>
      <c r="DK312" s="14">
        <v>0</v>
      </c>
      <c r="DL312" s="15">
        <v>0</v>
      </c>
      <c r="DM312" s="14">
        <v>0</v>
      </c>
      <c r="DN312" s="14">
        <v>0</v>
      </c>
      <c r="DO312" s="14">
        <v>0</v>
      </c>
      <c r="DP312" s="14">
        <v>0</v>
      </c>
      <c r="DQ312" s="15">
        <v>0</v>
      </c>
      <c r="DR312" s="15">
        <v>0</v>
      </c>
      <c r="DS312" s="15">
        <v>0</v>
      </c>
      <c r="DT312" s="15">
        <v>0</v>
      </c>
      <c r="DU312" s="15">
        <v>0</v>
      </c>
      <c r="DV312" s="15">
        <v>0</v>
      </c>
      <c r="DW312" s="14">
        <v>10</v>
      </c>
      <c r="DX312" s="14">
        <v>19</v>
      </c>
      <c r="DY312" s="14">
        <v>0</v>
      </c>
      <c r="DZ312" s="14">
        <v>0</v>
      </c>
      <c r="EA312" s="14">
        <v>0</v>
      </c>
      <c r="EB312" s="14">
        <v>0</v>
      </c>
      <c r="EC312" s="14">
        <v>0</v>
      </c>
      <c r="ED312" s="14">
        <v>0</v>
      </c>
      <c r="EE312" s="14">
        <v>0</v>
      </c>
      <c r="EF312" s="14">
        <v>0</v>
      </c>
      <c r="EG312" s="14">
        <v>0</v>
      </c>
      <c r="EH312" s="14">
        <v>0</v>
      </c>
      <c r="EI312" s="14">
        <v>0</v>
      </c>
      <c r="EJ312" s="14">
        <v>1</v>
      </c>
      <c r="EK312" s="14">
        <v>0</v>
      </c>
      <c r="EL312" s="14">
        <v>0</v>
      </c>
      <c r="EM312" s="14">
        <v>0</v>
      </c>
      <c r="EN312" s="14">
        <v>0</v>
      </c>
      <c r="EO312" s="14">
        <v>0</v>
      </c>
      <c r="EP312" s="14">
        <v>0</v>
      </c>
      <c r="EQ312" s="14">
        <v>0</v>
      </c>
      <c r="ER312" s="14">
        <v>0</v>
      </c>
      <c r="ES312" s="14">
        <v>0</v>
      </c>
      <c r="ET312" s="14">
        <v>0</v>
      </c>
      <c r="EU312" s="14">
        <v>0</v>
      </c>
      <c r="EV312" s="14">
        <v>0</v>
      </c>
      <c r="EW312" s="14">
        <v>0</v>
      </c>
      <c r="EX312" s="14">
        <v>0</v>
      </c>
      <c r="EY312" s="14">
        <v>0</v>
      </c>
      <c r="EZ312" s="14">
        <v>0</v>
      </c>
      <c r="FA312" s="14">
        <v>0</v>
      </c>
      <c r="FB312" s="14">
        <v>0</v>
      </c>
      <c r="FC312" s="14">
        <v>0</v>
      </c>
      <c r="FD312" s="14">
        <v>0</v>
      </c>
      <c r="FE312" s="14">
        <v>0</v>
      </c>
      <c r="FF312" s="14">
        <v>0</v>
      </c>
      <c r="FG312" s="15">
        <v>30</v>
      </c>
      <c r="FH312" s="14">
        <v>0</v>
      </c>
      <c r="FI312" s="14">
        <v>0</v>
      </c>
      <c r="FJ312" s="14">
        <v>23</v>
      </c>
      <c r="FK312" s="14">
        <v>0</v>
      </c>
      <c r="FL312" s="14">
        <v>0</v>
      </c>
      <c r="FM312" s="14">
        <v>0</v>
      </c>
      <c r="FN312" s="14">
        <v>0</v>
      </c>
      <c r="FO312" s="14">
        <v>0</v>
      </c>
      <c r="FP312" s="14">
        <v>0</v>
      </c>
      <c r="FQ312" s="15">
        <v>0</v>
      </c>
      <c r="FR312" s="14">
        <v>461039</v>
      </c>
      <c r="FS312" s="14">
        <v>0</v>
      </c>
      <c r="FT312" s="14">
        <v>85000</v>
      </c>
      <c r="FU312" s="14">
        <v>30000</v>
      </c>
      <c r="FV312" s="15">
        <v>576039</v>
      </c>
      <c r="FW312" s="14">
        <v>4503162.6399999997</v>
      </c>
      <c r="FX312" s="14">
        <v>80600</v>
      </c>
      <c r="FY312" s="14">
        <v>18000</v>
      </c>
      <c r="FZ312" s="14">
        <v>52519.7</v>
      </c>
      <c r="GA312" s="15">
        <v>4654282.34</v>
      </c>
      <c r="GB312" s="15">
        <v>5230321.34</v>
      </c>
      <c r="GC312" s="14">
        <v>585078.71</v>
      </c>
      <c r="GD312" s="14">
        <v>0</v>
      </c>
      <c r="GE312" s="14">
        <v>51776.15</v>
      </c>
      <c r="GF312" s="14">
        <v>79195.210000000006</v>
      </c>
      <c r="GG312" s="15">
        <v>716050.07</v>
      </c>
      <c r="GH312" s="14">
        <v>4467758.6399999997</v>
      </c>
      <c r="GI312" s="14">
        <v>75020</v>
      </c>
      <c r="GJ312" s="14">
        <v>52519.7</v>
      </c>
      <c r="GK312" s="14">
        <v>18000</v>
      </c>
      <c r="GL312" s="15">
        <v>4613298.34</v>
      </c>
      <c r="GM312" s="15">
        <v>5329348.41</v>
      </c>
      <c r="GN312" s="14">
        <v>36510.31</v>
      </c>
      <c r="GO312" s="14">
        <v>0</v>
      </c>
      <c r="GP312" s="14">
        <v>6787.28</v>
      </c>
      <c r="GQ312" s="14">
        <v>4637.34</v>
      </c>
      <c r="GR312" s="15">
        <v>47934.929999999993</v>
      </c>
      <c r="GS312" s="14">
        <v>59831</v>
      </c>
      <c r="GT312" s="14">
        <v>0</v>
      </c>
      <c r="GU312" s="14">
        <v>1786</v>
      </c>
      <c r="GV312" s="14">
        <v>893</v>
      </c>
      <c r="GW312" s="15">
        <v>62510</v>
      </c>
      <c r="GX312" s="15">
        <v>5439793.3399999999</v>
      </c>
      <c r="GY312" s="14">
        <v>10522178.74</v>
      </c>
      <c r="GZ312" s="14">
        <v>0</v>
      </c>
      <c r="HA312" s="9">
        <f t="shared" si="1581"/>
        <v>10522178.74</v>
      </c>
      <c r="HB312" s="15">
        <v>5439793.3399999999</v>
      </c>
      <c r="HC312" s="16">
        <v>0</v>
      </c>
      <c r="HD312" s="15">
        <v>0</v>
      </c>
      <c r="HE312" s="14">
        <v>4</v>
      </c>
      <c r="HF312" s="14">
        <v>2</v>
      </c>
      <c r="HG312" s="14">
        <v>8</v>
      </c>
      <c r="HH312" s="14">
        <v>3</v>
      </c>
      <c r="HI312" s="14">
        <v>7</v>
      </c>
      <c r="HJ312" s="15">
        <v>2.333333333333333</v>
      </c>
      <c r="HK312" s="16">
        <v>37.5</v>
      </c>
      <c r="HL312" s="14">
        <v>1</v>
      </c>
      <c r="HM312" s="14">
        <v>1</v>
      </c>
      <c r="HN312" s="17">
        <v>1</v>
      </c>
    </row>
    <row r="313" spans="1:222" x14ac:dyDescent="0.3">
      <c r="A313" s="6" t="s">
        <v>295</v>
      </c>
      <c r="B313" s="6" t="s">
        <v>298</v>
      </c>
      <c r="C313" s="7" t="s">
        <v>257</v>
      </c>
      <c r="D313" s="7">
        <v>2026</v>
      </c>
      <c r="E313" s="7">
        <v>2</v>
      </c>
      <c r="F313" s="7" t="s">
        <v>272</v>
      </c>
      <c r="G313" s="7" t="s">
        <v>271</v>
      </c>
      <c r="H313" s="8">
        <v>5850</v>
      </c>
      <c r="I313" s="8">
        <v>115</v>
      </c>
      <c r="J313" s="8">
        <v>0</v>
      </c>
      <c r="K313" s="8">
        <v>8</v>
      </c>
      <c r="L313" s="8">
        <v>0</v>
      </c>
      <c r="M313" s="9">
        <f t="shared" ref="M313:M323" si="1582">SUM(I313,J313,K313,L313)</f>
        <v>123</v>
      </c>
      <c r="N313" s="8">
        <v>3194.1999999999989</v>
      </c>
      <c r="O313" s="8">
        <v>309.80000000000013</v>
      </c>
      <c r="P313" s="8">
        <v>25.3</v>
      </c>
      <c r="Q313" s="8">
        <v>3.3</v>
      </c>
      <c r="R313" s="9">
        <f t="shared" ref="R313:R323" si="1583">SUM(N313,O313,P313,Q313)</f>
        <v>3532.5999999999995</v>
      </c>
      <c r="S313" s="9">
        <f t="shared" ref="S313:S323" si="1584">M313+R313</f>
        <v>3655.5999999999995</v>
      </c>
      <c r="T313" s="8">
        <v>2194.400000000001</v>
      </c>
      <c r="U313" s="10">
        <f t="shared" ref="U313:U323" si="1585">IF(H313=0,"",T313/H313)</f>
        <v>0.37511111111111128</v>
      </c>
      <c r="V313" s="8">
        <v>16</v>
      </c>
      <c r="W313" s="11">
        <f t="shared" ref="W313:W323" si="1586">IF(H313=0,"",V313/H313)</f>
        <v>2.735042735042735E-3</v>
      </c>
      <c r="X313" s="8">
        <v>71</v>
      </c>
      <c r="Y313" s="11">
        <f t="shared" ref="Y313:Y323" si="1587">IF(H313=0,"",X313/H313)</f>
        <v>1.2136752136752136E-2</v>
      </c>
      <c r="Z313" s="8">
        <v>25</v>
      </c>
      <c r="AA313" s="11">
        <f t="shared" ref="AA313:AA323" si="1588">IF(H313=0,"",Z313/H313)</f>
        <v>4.2735042735042739E-3</v>
      </c>
      <c r="AB313" s="8">
        <v>0</v>
      </c>
      <c r="AC313" s="11">
        <f t="shared" ref="AC313:AC323" si="1589">IF(H313=0,"",AB313/H313)</f>
        <v>0</v>
      </c>
      <c r="AD313" s="8">
        <v>0</v>
      </c>
      <c r="AE313" s="11">
        <f t="shared" ref="AE313:AE323" si="1590">IF(H313=0,"",AD313/H313)</f>
        <v>0</v>
      </c>
      <c r="AF313" s="8">
        <v>0</v>
      </c>
      <c r="AG313" s="11">
        <f t="shared" ref="AG313:AG323" si="1591">IF(H313=0,"",AF313/H313)</f>
        <v>0</v>
      </c>
      <c r="AH313" s="8">
        <v>1336600</v>
      </c>
      <c r="AI313" s="9">
        <f t="shared" ref="AI313:AI323" si="1592">IF(H313=0,"",AH313/H313)</f>
        <v>228.47863247863248</v>
      </c>
      <c r="AJ313" s="8">
        <v>334.88</v>
      </c>
      <c r="AK313" s="11">
        <f t="shared" ref="AK313:AK323" si="1593">IF(H313=0,"",AJ313/H313)</f>
        <v>5.7244444444444445E-2</v>
      </c>
      <c r="AL313" s="8">
        <v>123132.16792000001</v>
      </c>
      <c r="AM313" s="9">
        <f t="shared" ref="AM313:AM323" si="1594">IF(H313=0,"",AL313/H313)</f>
        <v>21.048233832478633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9">
        <f t="shared" ref="AU313:AU323" si="1595">AH313+AL313+AP313+AQ313+AR313+AS313+AT313</f>
        <v>1459732.1679199999</v>
      </c>
      <c r="AV313" s="9">
        <f t="shared" ref="AV313:AV323" si="1596">IF(H313=0,"",AU313/H313)</f>
        <v>249.52686631111109</v>
      </c>
      <c r="AW313" s="9">
        <f t="shared" ref="AW313:AW323" si="1597">IF(S313=0,"",AU313/S313)</f>
        <v>399.31397524893316</v>
      </c>
      <c r="AX313" s="8">
        <v>1</v>
      </c>
      <c r="AY313" s="9">
        <f t="shared" ref="AY313:AY323" si="1598">IF(H313=0,"",AX313/(H313/1000/12))</f>
        <v>2.0512820512820515</v>
      </c>
      <c r="AZ313" s="8">
        <v>6</v>
      </c>
      <c r="BA313" s="8">
        <v>8</v>
      </c>
      <c r="BB313" s="8">
        <v>6</v>
      </c>
      <c r="BC313" s="8">
        <v>3</v>
      </c>
      <c r="BD313" s="8">
        <v>0</v>
      </c>
      <c r="BE313" s="9">
        <f t="shared" ref="BE313:BE323" si="1599">BC313+BD313</f>
        <v>3</v>
      </c>
      <c r="BF313" s="9">
        <f t="shared" ref="BF313:BF323" si="1600">BA313+BB313-BE313</f>
        <v>11</v>
      </c>
      <c r="BG313" s="8">
        <v>0</v>
      </c>
      <c r="BH313" s="8">
        <v>0</v>
      </c>
      <c r="BI313" s="8">
        <v>0</v>
      </c>
      <c r="BJ313" s="8">
        <v>0</v>
      </c>
      <c r="BK313" s="9">
        <f t="shared" ref="BK313:BK323" si="1601">BI313+BJ313</f>
        <v>0</v>
      </c>
      <c r="BL313" s="9">
        <f t="shared" ref="BL313:BL323" si="1602">BG313+BH313-BK313</f>
        <v>0</v>
      </c>
      <c r="BM313" s="8">
        <v>0</v>
      </c>
      <c r="BN313" s="8">
        <v>0</v>
      </c>
      <c r="BO313" s="8">
        <v>0</v>
      </c>
      <c r="BP313" s="8">
        <v>0</v>
      </c>
      <c r="BQ313" s="9">
        <f t="shared" ref="BQ313:BQ323" si="1603">BO313+BP313</f>
        <v>0</v>
      </c>
      <c r="BR313" s="9">
        <f t="shared" ref="BR313:BR323" si="1604">BM313+BN313-BQ313</f>
        <v>0</v>
      </c>
      <c r="BS313" s="8">
        <v>0</v>
      </c>
      <c r="BT313" s="8">
        <v>0</v>
      </c>
      <c r="BU313" s="8">
        <v>0</v>
      </c>
      <c r="BV313" s="8">
        <v>0</v>
      </c>
      <c r="BW313" s="9">
        <f t="shared" ref="BW313:BW323" si="1605">BU313+BV313</f>
        <v>0</v>
      </c>
      <c r="BX313" s="9">
        <f t="shared" ref="BX313:BX323" si="1606">BS313+BT313-BW313</f>
        <v>0</v>
      </c>
      <c r="BY313" s="9">
        <f t="shared" ref="BY313:BY323" si="1607">BA313+BG313+BM313+BS313</f>
        <v>8</v>
      </c>
      <c r="BZ313" s="9">
        <f t="shared" ref="BZ313:BZ323" si="1608">BB313+BH313+BN313+BT313</f>
        <v>6</v>
      </c>
      <c r="CA313" s="9">
        <f t="shared" ref="CA313:CA323" si="1609">BE313+BK313+BQ313+BW313</f>
        <v>3</v>
      </c>
      <c r="CB313" s="9">
        <f t="shared" ref="CB313:CB323" si="1610">BF313+BL313+BR313+BX313</f>
        <v>11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9">
        <f t="shared" ref="CH313:CH323" si="1611">CD313+CE313+CF313+CG313</f>
        <v>0</v>
      </c>
      <c r="CI313" s="8">
        <v>20</v>
      </c>
      <c r="CJ313" s="8">
        <v>1</v>
      </c>
      <c r="CK313" s="8">
        <v>0</v>
      </c>
      <c r="CL313" s="8">
        <v>0</v>
      </c>
      <c r="CM313" s="9">
        <f t="shared" ref="CM313:CM323" si="1612">CI313+CJ313+CK313+CL313</f>
        <v>21</v>
      </c>
      <c r="CN313" s="8">
        <v>522</v>
      </c>
      <c r="CO313" s="8">
        <v>10</v>
      </c>
      <c r="CP313" s="8">
        <v>9</v>
      </c>
      <c r="CQ313" s="8">
        <v>15</v>
      </c>
      <c r="CR313" s="9">
        <f t="shared" ref="CR313:CR323" si="1613">CN313+CO313+CP313+CQ313</f>
        <v>556</v>
      </c>
      <c r="CS313" s="9">
        <f t="shared" ref="CS313:CS323" si="1614">CM313+CR313</f>
        <v>577</v>
      </c>
      <c r="CT313" s="8">
        <v>577</v>
      </c>
      <c r="CU313" s="8">
        <v>7146</v>
      </c>
      <c r="CV313" s="8">
        <v>6172.9</v>
      </c>
      <c r="CW313" s="10">
        <f t="shared" ref="CW313:CW323" si="1615">IF(CU313=0,"",CV313/CU313)</f>
        <v>0.86382591659669739</v>
      </c>
      <c r="CX313" s="8">
        <v>0</v>
      </c>
      <c r="CY313" s="8">
        <v>0</v>
      </c>
      <c r="CZ313" s="8">
        <v>0</v>
      </c>
      <c r="DA313" s="8">
        <v>0</v>
      </c>
      <c r="DB313" s="9">
        <f t="shared" ref="DB313:DB323" si="1616">CX313+CY313-CZ313-DA313</f>
        <v>0</v>
      </c>
      <c r="DC313" s="8">
        <v>0</v>
      </c>
      <c r="DD313" s="8">
        <v>0</v>
      </c>
      <c r="DE313" s="8">
        <v>0</v>
      </c>
      <c r="DF313" s="8">
        <v>0</v>
      </c>
      <c r="DG313" s="9">
        <f t="shared" ref="DG313:DG323" si="1617">DC313+DD313-DE313-DF313</f>
        <v>0</v>
      </c>
      <c r="DH313" s="8">
        <v>0</v>
      </c>
      <c r="DI313" s="8">
        <v>0</v>
      </c>
      <c r="DJ313" s="8">
        <v>0</v>
      </c>
      <c r="DK313" s="8">
        <v>0</v>
      </c>
      <c r="DL313" s="9">
        <f t="shared" ref="DL313:DL323" si="1618">DH313+DI313-DJ313-DK313</f>
        <v>0</v>
      </c>
      <c r="DM313" s="8">
        <v>0</v>
      </c>
      <c r="DN313" s="8">
        <v>0</v>
      </c>
      <c r="DO313" s="8">
        <v>0</v>
      </c>
      <c r="DP313" s="8">
        <v>0</v>
      </c>
      <c r="DQ313" s="9">
        <f t="shared" ref="DQ313:DQ323" si="1619">DM313+DN313-DO313-DP313</f>
        <v>0</v>
      </c>
      <c r="DR313" s="9">
        <f t="shared" ref="DR313:DR323" si="1620">CX313+DC313+DH313+DM313</f>
        <v>0</v>
      </c>
      <c r="DS313" s="9">
        <f t="shared" ref="DS313:DS323" si="1621">CY313+DD313+DI313+DN313</f>
        <v>0</v>
      </c>
      <c r="DT313" s="9">
        <f t="shared" ref="DT313:DT323" si="1622">CZ313+DE313+DJ313+DO313</f>
        <v>0</v>
      </c>
      <c r="DU313" s="9">
        <f t="shared" ref="DU313:DU323" si="1623">DA313+DF313+DK313+DP313</f>
        <v>0</v>
      </c>
      <c r="DV313" s="9">
        <f t="shared" ref="DV313:DV323" si="1624">DB313+DG313+DL313+DQ313</f>
        <v>0</v>
      </c>
      <c r="DW313" s="8">
        <v>6</v>
      </c>
      <c r="DX313" s="8">
        <v>12</v>
      </c>
      <c r="DY313" s="8">
        <v>7</v>
      </c>
      <c r="DZ313" s="8">
        <v>0</v>
      </c>
      <c r="EA313" s="8">
        <v>0</v>
      </c>
      <c r="EB313" s="8">
        <v>0</v>
      </c>
      <c r="EC313" s="8">
        <v>0</v>
      </c>
      <c r="ED313" s="8">
        <v>0</v>
      </c>
      <c r="EE313" s="8">
        <v>1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9">
        <f t="shared" ref="FG313:FG323" si="1625">SUM(DW313,DX313,DY313,DZ313,EA313,EB313,EC313,ED313,EE313,EF313,EG313,EH313,EI313,EJ313,EK313,EL313,EM313,EN313,EO313,EP313,EQ313,ER313,ES313,ET313,EU313,EV313,EW313,EX313,EY313,EZ313,FA313,FB313,FC313,FD313,FE313,FF313)</f>
        <v>26</v>
      </c>
      <c r="FH313" s="8">
        <v>0</v>
      </c>
      <c r="FI313" s="8">
        <v>0</v>
      </c>
      <c r="FJ313" s="8">
        <v>0</v>
      </c>
      <c r="FK313" s="8">
        <v>0</v>
      </c>
      <c r="FL313" s="8">
        <v>0</v>
      </c>
      <c r="FM313" s="8">
        <v>0</v>
      </c>
      <c r="FN313" s="8">
        <v>0</v>
      </c>
      <c r="FO313" s="8">
        <v>0</v>
      </c>
      <c r="FP313" s="8">
        <v>0</v>
      </c>
      <c r="FQ313" s="9">
        <f t="shared" ref="FQ313:FQ323" si="1626">FL313+FM313+FN313+FO313+FP313</f>
        <v>0</v>
      </c>
      <c r="FR313" s="8">
        <v>207151</v>
      </c>
      <c r="FS313" s="8">
        <v>0</v>
      </c>
      <c r="FT313" s="8">
        <v>0</v>
      </c>
      <c r="FU313" s="8">
        <v>0</v>
      </c>
      <c r="FV313" s="9">
        <f t="shared" ref="FV313:FV323" si="1627">FR313+FS313+FT313+FU313</f>
        <v>207151</v>
      </c>
      <c r="FW313" s="8">
        <v>4008948</v>
      </c>
      <c r="FX313" s="8">
        <v>68190</v>
      </c>
      <c r="FY313" s="8">
        <v>15000</v>
      </c>
      <c r="FZ313" s="8">
        <v>77000</v>
      </c>
      <c r="GA313" s="9">
        <f t="shared" ref="GA313:GA323" si="1628">FW313+FX313+FY313+FZ313</f>
        <v>4169138</v>
      </c>
      <c r="GB313" s="9">
        <f t="shared" ref="GB313:GB323" si="1629">FV313+GA313</f>
        <v>4376289</v>
      </c>
      <c r="GC313" s="8">
        <v>107690.03</v>
      </c>
      <c r="GD313" s="8">
        <v>0</v>
      </c>
      <c r="GE313" s="8">
        <v>19059.63</v>
      </c>
      <c r="GF313" s="8">
        <v>0</v>
      </c>
      <c r="GG313" s="9">
        <f t="shared" ref="GG313:GG323" si="1630">GC313+GD313+GE313+GF313</f>
        <v>126749.66</v>
      </c>
      <c r="GH313" s="8">
        <v>3977068</v>
      </c>
      <c r="GI313" s="8">
        <v>65850</v>
      </c>
      <c r="GJ313" s="8">
        <v>77000</v>
      </c>
      <c r="GK313" s="8">
        <v>15000</v>
      </c>
      <c r="GL313" s="9">
        <f t="shared" ref="GL313:GL323" si="1631">GH313+GI313+GJ313+GK313</f>
        <v>4134918</v>
      </c>
      <c r="GM313" s="9">
        <f t="shared" ref="GM313:GM323" si="1632">GG313+GL313</f>
        <v>4261667.66</v>
      </c>
      <c r="GN313" s="8">
        <v>10898.6</v>
      </c>
      <c r="GO313" s="8">
        <v>0</v>
      </c>
      <c r="GP313" s="8">
        <v>3393.64</v>
      </c>
      <c r="GQ313" s="8">
        <v>0</v>
      </c>
      <c r="GR313" s="9">
        <f t="shared" ref="GR313:GR323" si="1633">GN313+GO313+GP313+GQ313</f>
        <v>14292.24</v>
      </c>
      <c r="GS313" s="8">
        <v>17860</v>
      </c>
      <c r="GT313" s="8">
        <v>0</v>
      </c>
      <c r="GU313" s="8">
        <v>893</v>
      </c>
      <c r="GV313" s="8">
        <v>0</v>
      </c>
      <c r="GW313" s="9">
        <f t="shared" ref="GW313:GW323" si="1634">GS313+GT313+GU313+GV313</f>
        <v>18753</v>
      </c>
      <c r="GX313" s="9">
        <f t="shared" ref="GX313:GX323" si="1635">GM313+GR313+GW313</f>
        <v>4294712.9000000004</v>
      </c>
      <c r="GY313" s="8">
        <v>10297646.690000011</v>
      </c>
      <c r="GZ313" s="8">
        <v>0</v>
      </c>
      <c r="HA313" s="9">
        <f t="shared" si="1581"/>
        <v>10297646.690000011</v>
      </c>
      <c r="HB313" s="9">
        <f t="shared" ref="HB313:HB323" si="1636">IF(GX313=0,"",AU313/GX313)</f>
        <v>0.33989051233669187</v>
      </c>
      <c r="HC313" s="10">
        <f t="shared" ref="HC313:HC323" si="1637">IF((GX313+GY313)=0,"",GB313/(GX313+GY313))</f>
        <v>0.29990276575962566</v>
      </c>
      <c r="HD313" s="9">
        <f t="shared" ref="HD313:HD323" si="1638">IF(GX313=0,"",GB313/GX313)</f>
        <v>1.0189945409389298</v>
      </c>
      <c r="HE313" s="8">
        <v>10</v>
      </c>
      <c r="HF313" s="8">
        <v>3</v>
      </c>
      <c r="HG313" s="8">
        <v>11</v>
      </c>
      <c r="HH313" s="8">
        <v>6</v>
      </c>
      <c r="HI313" s="8">
        <v>7</v>
      </c>
      <c r="HJ313" s="9">
        <f t="shared" ref="HJ313:HJ323" si="1639">HF313+HI313</f>
        <v>10</v>
      </c>
      <c r="HK313" s="10">
        <f t="shared" ref="HK313:HK323" si="1640">IF(HE313=0,"",HH313/HE313)</f>
        <v>0.6</v>
      </c>
      <c r="HL313" s="8">
        <v>0</v>
      </c>
      <c r="HM313" s="8">
        <v>0</v>
      </c>
      <c r="HN313" s="11" t="str">
        <f t="shared" ref="HN313:HN323" si="1641">IF(HL313=0,"",HM313/HL313)</f>
        <v/>
      </c>
    </row>
    <row r="314" spans="1:222" x14ac:dyDescent="0.3">
      <c r="A314" s="12" t="s">
        <v>295</v>
      </c>
      <c r="B314" s="12" t="s">
        <v>298</v>
      </c>
      <c r="C314" s="13" t="s">
        <v>257</v>
      </c>
      <c r="D314" s="13">
        <v>2026</v>
      </c>
      <c r="E314" s="13">
        <v>3</v>
      </c>
      <c r="F314" s="13" t="s">
        <v>273</v>
      </c>
      <c r="G314" s="13" t="s">
        <v>271</v>
      </c>
      <c r="H314" s="14">
        <v>2620</v>
      </c>
      <c r="I314" s="14">
        <v>151</v>
      </c>
      <c r="J314" s="14">
        <v>0</v>
      </c>
      <c r="K314" s="14">
        <v>9</v>
      </c>
      <c r="L314" s="14">
        <v>0</v>
      </c>
      <c r="M314" s="15">
        <f t="shared" si="1582"/>
        <v>160</v>
      </c>
      <c r="N314" s="14">
        <v>3488.4999999999868</v>
      </c>
      <c r="O314" s="14">
        <v>449.80000000000018</v>
      </c>
      <c r="P314" s="14">
        <v>35.5</v>
      </c>
      <c r="Q314" s="14">
        <v>4.4000000000000004</v>
      </c>
      <c r="R314" s="15">
        <f t="shared" si="1583"/>
        <v>3978.1999999999871</v>
      </c>
      <c r="S314" s="15">
        <f t="shared" si="1584"/>
        <v>4138.1999999999871</v>
      </c>
      <c r="T314" s="14">
        <v>-1518.199999999988</v>
      </c>
      <c r="U314" s="16">
        <f t="shared" si="1585"/>
        <v>-0.57946564885495722</v>
      </c>
      <c r="V314" s="14">
        <v>10</v>
      </c>
      <c r="W314" s="17">
        <f t="shared" si="1586"/>
        <v>3.8167938931297708E-3</v>
      </c>
      <c r="X314" s="14">
        <v>51</v>
      </c>
      <c r="Y314" s="17">
        <f t="shared" si="1587"/>
        <v>1.9465648854961833E-2</v>
      </c>
      <c r="Z314" s="14">
        <v>22</v>
      </c>
      <c r="AA314" s="17">
        <f t="shared" si="1588"/>
        <v>8.3969465648854966E-3</v>
      </c>
      <c r="AB314" s="14">
        <v>0</v>
      </c>
      <c r="AC314" s="17">
        <f t="shared" si="1589"/>
        <v>0</v>
      </c>
      <c r="AD314" s="14">
        <v>0</v>
      </c>
      <c r="AE314" s="17">
        <f t="shared" si="1590"/>
        <v>0</v>
      </c>
      <c r="AF314" s="14">
        <v>0</v>
      </c>
      <c r="AG314" s="17">
        <f t="shared" si="1591"/>
        <v>0</v>
      </c>
      <c r="AH314" s="14">
        <v>970252</v>
      </c>
      <c r="AI314" s="15">
        <f t="shared" si="1592"/>
        <v>370.32519083969464</v>
      </c>
      <c r="AJ314" s="14">
        <v>187.5</v>
      </c>
      <c r="AK314" s="17">
        <f t="shared" si="1593"/>
        <v>7.15648854961832E-2</v>
      </c>
      <c r="AL314" s="14">
        <v>82851.887499999997</v>
      </c>
      <c r="AM314" s="15">
        <f t="shared" si="1594"/>
        <v>31.622857824427481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4">
        <v>0</v>
      </c>
      <c r="AU314" s="15">
        <f t="shared" si="1595"/>
        <v>1053103.8875</v>
      </c>
      <c r="AV314" s="15">
        <f t="shared" si="1596"/>
        <v>401.9480486641221</v>
      </c>
      <c r="AW314" s="15">
        <f t="shared" si="1597"/>
        <v>254.48356471412771</v>
      </c>
      <c r="AX314" s="14">
        <v>1</v>
      </c>
      <c r="AY314" s="15">
        <f t="shared" si="1598"/>
        <v>4.5801526717557248</v>
      </c>
      <c r="AZ314" s="14">
        <v>6</v>
      </c>
      <c r="BA314" s="14">
        <v>11</v>
      </c>
      <c r="BB314" s="14">
        <v>4</v>
      </c>
      <c r="BC314" s="14">
        <v>0</v>
      </c>
      <c r="BD314" s="14">
        <v>0</v>
      </c>
      <c r="BE314" s="15">
        <f t="shared" si="1599"/>
        <v>0</v>
      </c>
      <c r="BF314" s="15">
        <f t="shared" si="1600"/>
        <v>15</v>
      </c>
      <c r="BG314" s="14">
        <v>0</v>
      </c>
      <c r="BH314" s="14">
        <v>0</v>
      </c>
      <c r="BI314" s="14">
        <v>0</v>
      </c>
      <c r="BJ314" s="14">
        <v>0</v>
      </c>
      <c r="BK314" s="15">
        <f t="shared" si="1601"/>
        <v>0</v>
      </c>
      <c r="BL314" s="15">
        <f t="shared" si="1602"/>
        <v>0</v>
      </c>
      <c r="BM314" s="14">
        <v>0</v>
      </c>
      <c r="BN314" s="14">
        <v>0</v>
      </c>
      <c r="BO314" s="14">
        <v>0</v>
      </c>
      <c r="BP314" s="14">
        <v>0</v>
      </c>
      <c r="BQ314" s="15">
        <f t="shared" si="1603"/>
        <v>0</v>
      </c>
      <c r="BR314" s="15">
        <f t="shared" si="1604"/>
        <v>0</v>
      </c>
      <c r="BS314" s="14">
        <v>0</v>
      </c>
      <c r="BT314" s="14">
        <v>0</v>
      </c>
      <c r="BU314" s="14">
        <v>0</v>
      </c>
      <c r="BV314" s="14">
        <v>0</v>
      </c>
      <c r="BW314" s="15">
        <f t="shared" si="1605"/>
        <v>0</v>
      </c>
      <c r="BX314" s="15">
        <f t="shared" si="1606"/>
        <v>0</v>
      </c>
      <c r="BY314" s="15">
        <f t="shared" si="1607"/>
        <v>11</v>
      </c>
      <c r="BZ314" s="15">
        <f t="shared" si="1608"/>
        <v>4</v>
      </c>
      <c r="CA314" s="15">
        <f t="shared" si="1609"/>
        <v>0</v>
      </c>
      <c r="CB314" s="15">
        <f t="shared" si="1610"/>
        <v>15</v>
      </c>
      <c r="CC314" s="14">
        <v>0</v>
      </c>
      <c r="CD314" s="14">
        <v>0</v>
      </c>
      <c r="CE314" s="14">
        <v>0</v>
      </c>
      <c r="CF314" s="14">
        <v>0</v>
      </c>
      <c r="CG314" s="14">
        <v>0</v>
      </c>
      <c r="CH314" s="15">
        <f t="shared" si="1611"/>
        <v>0</v>
      </c>
      <c r="CI314" s="14">
        <v>20</v>
      </c>
      <c r="CJ314" s="14">
        <v>1</v>
      </c>
      <c r="CK314" s="14">
        <v>0</v>
      </c>
      <c r="CL314" s="14">
        <v>0</v>
      </c>
      <c r="CM314" s="15">
        <f t="shared" si="1612"/>
        <v>21</v>
      </c>
      <c r="CN314" s="14">
        <v>522</v>
      </c>
      <c r="CO314" s="14">
        <v>10</v>
      </c>
      <c r="CP314" s="14">
        <v>9</v>
      </c>
      <c r="CQ314" s="14">
        <v>15</v>
      </c>
      <c r="CR314" s="15">
        <f t="shared" si="1613"/>
        <v>556</v>
      </c>
      <c r="CS314" s="15">
        <f t="shared" si="1614"/>
        <v>577</v>
      </c>
      <c r="CT314" s="14">
        <v>577</v>
      </c>
      <c r="CU314" s="14">
        <v>7157</v>
      </c>
      <c r="CV314" s="14">
        <v>6173</v>
      </c>
      <c r="CW314" s="16">
        <f t="shared" si="1615"/>
        <v>0.86251222579292997</v>
      </c>
      <c r="CX314" s="14"/>
      <c r="CY314" s="14"/>
      <c r="CZ314" s="14"/>
      <c r="DA314" s="14"/>
      <c r="DB314" s="15">
        <f t="shared" si="1616"/>
        <v>0</v>
      </c>
      <c r="DC314" s="14">
        <v>0</v>
      </c>
      <c r="DD314" s="14">
        <v>0</v>
      </c>
      <c r="DE314" s="14">
        <v>0</v>
      </c>
      <c r="DF314" s="14">
        <v>0</v>
      </c>
      <c r="DG314" s="15">
        <f t="shared" si="1617"/>
        <v>0</v>
      </c>
      <c r="DH314" s="14">
        <v>0</v>
      </c>
      <c r="DI314" s="14">
        <v>0</v>
      </c>
      <c r="DJ314" s="14">
        <v>0</v>
      </c>
      <c r="DK314" s="14">
        <v>0</v>
      </c>
      <c r="DL314" s="15">
        <f t="shared" si="1618"/>
        <v>0</v>
      </c>
      <c r="DM314" s="14">
        <v>0</v>
      </c>
      <c r="DN314" s="14">
        <v>0</v>
      </c>
      <c r="DO314" s="14">
        <v>0</v>
      </c>
      <c r="DP314" s="14">
        <v>0</v>
      </c>
      <c r="DQ314" s="15">
        <f t="shared" si="1619"/>
        <v>0</v>
      </c>
      <c r="DR314" s="15">
        <f t="shared" si="1620"/>
        <v>0</v>
      </c>
      <c r="DS314" s="15">
        <f t="shared" si="1621"/>
        <v>0</v>
      </c>
      <c r="DT314" s="15">
        <f t="shared" si="1622"/>
        <v>0</v>
      </c>
      <c r="DU314" s="15">
        <f t="shared" si="1623"/>
        <v>0</v>
      </c>
      <c r="DV314" s="15">
        <f t="shared" si="1624"/>
        <v>0</v>
      </c>
      <c r="DW314" s="14">
        <v>4</v>
      </c>
      <c r="DX314" s="14">
        <v>13</v>
      </c>
      <c r="DY314" s="14">
        <v>2</v>
      </c>
      <c r="DZ314" s="14">
        <v>0</v>
      </c>
      <c r="EA314" s="14">
        <v>0</v>
      </c>
      <c r="EB314" s="14">
        <v>0</v>
      </c>
      <c r="EC314" s="14">
        <v>0</v>
      </c>
      <c r="ED314" s="14">
        <v>0</v>
      </c>
      <c r="EE314" s="14">
        <v>1</v>
      </c>
      <c r="EF314" s="14">
        <v>0</v>
      </c>
      <c r="EG314" s="14">
        <v>0</v>
      </c>
      <c r="EH314" s="14">
        <v>0</v>
      </c>
      <c r="EI314" s="14">
        <v>0</v>
      </c>
      <c r="EJ314" s="14">
        <v>0</v>
      </c>
      <c r="EK314" s="14">
        <v>0</v>
      </c>
      <c r="EL314" s="14">
        <v>0</v>
      </c>
      <c r="EM314" s="14">
        <v>0</v>
      </c>
      <c r="EN314" s="14">
        <v>0</v>
      </c>
      <c r="EO314" s="14">
        <v>0</v>
      </c>
      <c r="EP314" s="14">
        <v>0</v>
      </c>
      <c r="EQ314" s="14">
        <v>0</v>
      </c>
      <c r="ER314" s="14">
        <v>0</v>
      </c>
      <c r="ES314" s="14">
        <v>0</v>
      </c>
      <c r="ET314" s="14">
        <v>0</v>
      </c>
      <c r="EU314" s="14">
        <v>0</v>
      </c>
      <c r="EV314" s="14">
        <v>0</v>
      </c>
      <c r="EW314" s="14">
        <v>0</v>
      </c>
      <c r="EX314" s="14">
        <v>0</v>
      </c>
      <c r="EY314" s="14">
        <v>0</v>
      </c>
      <c r="EZ314" s="14">
        <v>0</v>
      </c>
      <c r="FA314" s="14">
        <v>0</v>
      </c>
      <c r="FB314" s="14">
        <v>0</v>
      </c>
      <c r="FC314" s="14">
        <v>0</v>
      </c>
      <c r="FD314" s="14">
        <v>0</v>
      </c>
      <c r="FE314" s="14">
        <v>0</v>
      </c>
      <c r="FF314" s="14">
        <v>0</v>
      </c>
      <c r="FG314" s="15">
        <f t="shared" si="1625"/>
        <v>20</v>
      </c>
      <c r="FH314" s="14">
        <v>0</v>
      </c>
      <c r="FI314" s="14">
        <v>0</v>
      </c>
      <c r="FJ314" s="14">
        <v>23</v>
      </c>
      <c r="FK314" s="14">
        <v>0</v>
      </c>
      <c r="FL314" s="14">
        <v>0</v>
      </c>
      <c r="FM314" s="14">
        <v>0</v>
      </c>
      <c r="FN314" s="14">
        <v>0</v>
      </c>
      <c r="FO314" s="14">
        <v>0</v>
      </c>
      <c r="FP314" s="14">
        <v>0</v>
      </c>
      <c r="FQ314" s="15">
        <f t="shared" si="1626"/>
        <v>0</v>
      </c>
      <c r="FR314" s="14">
        <v>138644</v>
      </c>
      <c r="FS314" s="14">
        <v>0</v>
      </c>
      <c r="FT314" s="14">
        <v>0</v>
      </c>
      <c r="FU314" s="14">
        <v>0</v>
      </c>
      <c r="FV314" s="15">
        <f t="shared" si="1627"/>
        <v>138644</v>
      </c>
      <c r="FW314" s="14">
        <v>4371809</v>
      </c>
      <c r="FX314" s="14">
        <v>100300</v>
      </c>
      <c r="FY314" s="14">
        <v>20000</v>
      </c>
      <c r="FZ314" s="14">
        <v>107500</v>
      </c>
      <c r="GA314" s="15">
        <f t="shared" si="1628"/>
        <v>4599609</v>
      </c>
      <c r="GB314" s="15">
        <f t="shared" si="1629"/>
        <v>4738253</v>
      </c>
      <c r="GC314" s="14">
        <v>138285.57999999999</v>
      </c>
      <c r="GD314" s="14">
        <v>0</v>
      </c>
      <c r="GE314" s="14">
        <v>21721.79</v>
      </c>
      <c r="GF314" s="14">
        <v>0</v>
      </c>
      <c r="GG314" s="15">
        <f t="shared" si="1630"/>
        <v>160007.37</v>
      </c>
      <c r="GH314" s="14">
        <v>4338701.34</v>
      </c>
      <c r="GI314" s="14">
        <v>95620</v>
      </c>
      <c r="GJ314" s="14">
        <v>107500</v>
      </c>
      <c r="GK314" s="14">
        <v>20000</v>
      </c>
      <c r="GL314" s="15">
        <f t="shared" si="1631"/>
        <v>4561821.34</v>
      </c>
      <c r="GM314" s="15">
        <f t="shared" si="1632"/>
        <v>4721828.71</v>
      </c>
      <c r="GN314" s="14">
        <v>10898.6</v>
      </c>
      <c r="GO314" s="14">
        <v>0</v>
      </c>
      <c r="GP314" s="14">
        <v>3393.64</v>
      </c>
      <c r="GQ314" s="14">
        <v>0</v>
      </c>
      <c r="GR314" s="15">
        <f t="shared" si="1633"/>
        <v>14292.24</v>
      </c>
      <c r="GS314" s="14">
        <v>17860</v>
      </c>
      <c r="GT314" s="14">
        <v>0</v>
      </c>
      <c r="GU314" s="14">
        <v>893</v>
      </c>
      <c r="GV314" s="14">
        <v>0</v>
      </c>
      <c r="GW314" s="15">
        <f t="shared" si="1634"/>
        <v>18753</v>
      </c>
      <c r="GX314" s="15">
        <f t="shared" si="1635"/>
        <v>4754873.95</v>
      </c>
      <c r="GY314" s="14">
        <v>10477214.390000001</v>
      </c>
      <c r="GZ314" s="14">
        <v>0</v>
      </c>
      <c r="HA314" s="9">
        <f t="shared" si="1581"/>
        <v>10477214.390000001</v>
      </c>
      <c r="HB314" s="15">
        <f t="shared" si="1636"/>
        <v>0.22147882332401259</v>
      </c>
      <c r="HC314" s="16">
        <f t="shared" si="1637"/>
        <v>0.3110704779434072</v>
      </c>
      <c r="HD314" s="15">
        <f t="shared" si="1638"/>
        <v>0.99650443940790479</v>
      </c>
      <c r="HE314" s="14">
        <v>7</v>
      </c>
      <c r="HF314" s="14">
        <v>2</v>
      </c>
      <c r="HG314" s="14">
        <v>15</v>
      </c>
      <c r="HH314" s="14">
        <v>4</v>
      </c>
      <c r="HI314" s="14">
        <v>0</v>
      </c>
      <c r="HJ314" s="15">
        <f t="shared" si="1639"/>
        <v>2</v>
      </c>
      <c r="HK314" s="16">
        <f t="shared" si="1640"/>
        <v>0.5714285714285714</v>
      </c>
      <c r="HL314" s="14">
        <v>0</v>
      </c>
      <c r="HM314" s="14">
        <v>0</v>
      </c>
      <c r="HN314" s="17" t="str">
        <f t="shared" si="1641"/>
        <v/>
      </c>
    </row>
    <row r="315" spans="1:222" x14ac:dyDescent="0.3">
      <c r="A315" s="6" t="s">
        <v>295</v>
      </c>
      <c r="B315" s="6" t="s">
        <v>299</v>
      </c>
      <c r="C315" s="7" t="s">
        <v>257</v>
      </c>
      <c r="D315" s="7">
        <v>2025</v>
      </c>
      <c r="E315" s="7">
        <v>4</v>
      </c>
      <c r="F315" s="7" t="s">
        <v>258</v>
      </c>
      <c r="G315" s="7" t="s">
        <v>259</v>
      </c>
      <c r="H315" s="8">
        <v>4338</v>
      </c>
      <c r="I315" s="8">
        <v>406</v>
      </c>
      <c r="J315" s="8">
        <v>0</v>
      </c>
      <c r="K315" s="8">
        <v>111</v>
      </c>
      <c r="L315" s="8">
        <v>10</v>
      </c>
      <c r="M315" s="9">
        <f t="shared" si="1582"/>
        <v>527</v>
      </c>
      <c r="N315" s="8">
        <v>646.20000000000005</v>
      </c>
      <c r="O315" s="8">
        <v>165.7</v>
      </c>
      <c r="P315" s="8">
        <v>54.5</v>
      </c>
      <c r="Q315" s="8">
        <v>1284.9000000000001</v>
      </c>
      <c r="R315" s="9">
        <f t="shared" si="1583"/>
        <v>2151.3000000000002</v>
      </c>
      <c r="S315" s="9">
        <f t="shared" si="1584"/>
        <v>2678.3</v>
      </c>
      <c r="T315" s="8">
        <v>1659.7</v>
      </c>
      <c r="U315" s="10">
        <f t="shared" si="1585"/>
        <v>0.38259566620562474</v>
      </c>
      <c r="V315" s="8">
        <v>17</v>
      </c>
      <c r="W315" s="11">
        <f t="shared" si="1586"/>
        <v>3.9188566159520516E-3</v>
      </c>
      <c r="X315" s="8">
        <v>0</v>
      </c>
      <c r="Y315" s="11">
        <f t="shared" si="1587"/>
        <v>0</v>
      </c>
      <c r="Z315" s="8">
        <v>0</v>
      </c>
      <c r="AA315" s="11">
        <f t="shared" si="1588"/>
        <v>0</v>
      </c>
      <c r="AB315" s="8">
        <v>0</v>
      </c>
      <c r="AC315" s="11">
        <f t="shared" si="1589"/>
        <v>0</v>
      </c>
      <c r="AD315" s="8">
        <v>0</v>
      </c>
      <c r="AE315" s="11">
        <f t="shared" si="1590"/>
        <v>0</v>
      </c>
      <c r="AF315" s="8">
        <v>0</v>
      </c>
      <c r="AG315" s="11">
        <f t="shared" si="1591"/>
        <v>0</v>
      </c>
      <c r="AH315" s="8">
        <v>442000</v>
      </c>
      <c r="AI315" s="9">
        <f t="shared" si="1592"/>
        <v>101.89027201475334</v>
      </c>
      <c r="AJ315" s="8">
        <v>1611.09</v>
      </c>
      <c r="AK315" s="11">
        <f t="shared" si="1593"/>
        <v>0.37139004149377591</v>
      </c>
      <c r="AL315" s="8">
        <v>471931.84681000002</v>
      </c>
      <c r="AM315" s="9">
        <f t="shared" si="1594"/>
        <v>108.79019059704933</v>
      </c>
      <c r="AN315" s="8">
        <v>0</v>
      </c>
      <c r="AO315" s="8">
        <v>0</v>
      </c>
      <c r="AP315" s="8">
        <v>0</v>
      </c>
      <c r="AQ315" s="8">
        <v>0</v>
      </c>
      <c r="AR315" s="8">
        <v>2125697.5</v>
      </c>
      <c r="AS315" s="8">
        <v>374765.95</v>
      </c>
      <c r="AT315" s="8">
        <v>0</v>
      </c>
      <c r="AU315" s="9">
        <f t="shared" si="1595"/>
        <v>3414395.2968100002</v>
      </c>
      <c r="AV315" s="9">
        <f t="shared" si="1596"/>
        <v>787.08974108114342</v>
      </c>
      <c r="AW315" s="9">
        <f t="shared" si="1597"/>
        <v>1274.8367609341747</v>
      </c>
      <c r="AX315" s="8">
        <v>3</v>
      </c>
      <c r="AY315" s="9">
        <f t="shared" si="1598"/>
        <v>8.2987551867219924</v>
      </c>
      <c r="AZ315" s="8">
        <v>5</v>
      </c>
      <c r="BA315" s="8">
        <v>9</v>
      </c>
      <c r="BB315" s="8">
        <v>0</v>
      </c>
      <c r="BC315" s="8">
        <v>0</v>
      </c>
      <c r="BD315" s="8">
        <v>0</v>
      </c>
      <c r="BE315" s="9">
        <f t="shared" si="1599"/>
        <v>0</v>
      </c>
      <c r="BF315" s="9">
        <f t="shared" si="1600"/>
        <v>9</v>
      </c>
      <c r="BG315" s="8">
        <v>0</v>
      </c>
      <c r="BH315" s="8">
        <v>0</v>
      </c>
      <c r="BI315" s="8">
        <v>0</v>
      </c>
      <c r="BJ315" s="8">
        <v>0</v>
      </c>
      <c r="BK315" s="9">
        <f t="shared" si="1601"/>
        <v>0</v>
      </c>
      <c r="BL315" s="9">
        <f t="shared" si="1602"/>
        <v>0</v>
      </c>
      <c r="BM315" s="8">
        <v>0</v>
      </c>
      <c r="BN315" s="8">
        <v>0</v>
      </c>
      <c r="BO315" s="8">
        <v>0</v>
      </c>
      <c r="BP315" s="8">
        <v>0</v>
      </c>
      <c r="BQ315" s="9">
        <f t="shared" si="1603"/>
        <v>0</v>
      </c>
      <c r="BR315" s="9">
        <f t="shared" si="1604"/>
        <v>0</v>
      </c>
      <c r="BS315" s="8">
        <v>0</v>
      </c>
      <c r="BT315" s="8">
        <v>0</v>
      </c>
      <c r="BU315" s="8">
        <v>0</v>
      </c>
      <c r="BV315" s="8">
        <v>0</v>
      </c>
      <c r="BW315" s="9">
        <f t="shared" si="1605"/>
        <v>0</v>
      </c>
      <c r="BX315" s="9">
        <f t="shared" si="1606"/>
        <v>0</v>
      </c>
      <c r="BY315" s="9">
        <f t="shared" si="1607"/>
        <v>9</v>
      </c>
      <c r="BZ315" s="9">
        <f t="shared" si="1608"/>
        <v>0</v>
      </c>
      <c r="CA315" s="9">
        <f t="shared" si="1609"/>
        <v>0</v>
      </c>
      <c r="CB315" s="9">
        <f t="shared" si="1610"/>
        <v>9</v>
      </c>
      <c r="CC315" s="8">
        <v>0</v>
      </c>
      <c r="CD315" s="8">
        <v>124</v>
      </c>
      <c r="CE315" s="8">
        <v>6</v>
      </c>
      <c r="CF315" s="8">
        <v>3</v>
      </c>
      <c r="CG315" s="8">
        <v>1</v>
      </c>
      <c r="CH315" s="9">
        <f t="shared" si="1611"/>
        <v>134</v>
      </c>
      <c r="CI315" s="8">
        <v>68</v>
      </c>
      <c r="CJ315" s="8">
        <v>5</v>
      </c>
      <c r="CK315" s="8">
        <v>1</v>
      </c>
      <c r="CL315" s="8">
        <v>0</v>
      </c>
      <c r="CM315" s="9">
        <f t="shared" si="1612"/>
        <v>74</v>
      </c>
      <c r="CN315" s="8">
        <v>61</v>
      </c>
      <c r="CO315" s="8">
        <v>8</v>
      </c>
      <c r="CP315" s="8">
        <v>17</v>
      </c>
      <c r="CQ315" s="8">
        <v>22</v>
      </c>
      <c r="CR315" s="9">
        <f t="shared" si="1613"/>
        <v>108</v>
      </c>
      <c r="CS315" s="9">
        <f t="shared" si="1614"/>
        <v>182</v>
      </c>
      <c r="CT315" s="8">
        <v>316</v>
      </c>
      <c r="CU315" s="8">
        <v>1930</v>
      </c>
      <c r="CV315" s="8">
        <v>1921</v>
      </c>
      <c r="CW315" s="10">
        <f t="shared" si="1615"/>
        <v>0.99533678756476685</v>
      </c>
      <c r="CX315" s="8">
        <v>0</v>
      </c>
      <c r="CY315" s="8">
        <v>0</v>
      </c>
      <c r="CZ315" s="8">
        <v>0</v>
      </c>
      <c r="DA315" s="8">
        <v>0</v>
      </c>
      <c r="DB315" s="9">
        <f t="shared" si="1616"/>
        <v>0</v>
      </c>
      <c r="DC315" s="8">
        <v>0</v>
      </c>
      <c r="DD315" s="8">
        <v>0</v>
      </c>
      <c r="DE315" s="8">
        <v>0</v>
      </c>
      <c r="DF315" s="8">
        <v>0</v>
      </c>
      <c r="DG315" s="9">
        <f t="shared" si="1617"/>
        <v>0</v>
      </c>
      <c r="DH315" s="8">
        <v>0</v>
      </c>
      <c r="DI315" s="8">
        <v>0</v>
      </c>
      <c r="DJ315" s="8">
        <v>0</v>
      </c>
      <c r="DK315" s="8">
        <v>0</v>
      </c>
      <c r="DL315" s="9">
        <f t="shared" si="1618"/>
        <v>0</v>
      </c>
      <c r="DM315" s="8">
        <v>0</v>
      </c>
      <c r="DN315" s="8">
        <v>0</v>
      </c>
      <c r="DO315" s="8">
        <v>0</v>
      </c>
      <c r="DP315" s="8">
        <v>0</v>
      </c>
      <c r="DQ315" s="9">
        <f t="shared" si="1619"/>
        <v>0</v>
      </c>
      <c r="DR315" s="9">
        <f t="shared" si="1620"/>
        <v>0</v>
      </c>
      <c r="DS315" s="9">
        <f t="shared" si="1621"/>
        <v>0</v>
      </c>
      <c r="DT315" s="9">
        <f t="shared" si="1622"/>
        <v>0</v>
      </c>
      <c r="DU315" s="9">
        <f t="shared" si="1623"/>
        <v>0</v>
      </c>
      <c r="DV315" s="9">
        <f t="shared" si="1624"/>
        <v>0</v>
      </c>
      <c r="DW315" s="8">
        <v>12</v>
      </c>
      <c r="DX315" s="8">
        <v>3</v>
      </c>
      <c r="DY315" s="8">
        <v>3</v>
      </c>
      <c r="DZ315" s="8">
        <v>0</v>
      </c>
      <c r="EA315" s="8">
        <v>5</v>
      </c>
      <c r="EB315" s="8">
        <v>1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2</v>
      </c>
      <c r="EK315" s="8">
        <v>0</v>
      </c>
      <c r="EL315" s="8">
        <v>0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8">
        <v>0</v>
      </c>
      <c r="FC315" s="8">
        <v>0</v>
      </c>
      <c r="FD315" s="8">
        <v>0</v>
      </c>
      <c r="FE315" s="8">
        <v>0</v>
      </c>
      <c r="FF315" s="8">
        <v>0</v>
      </c>
      <c r="FG315" s="9">
        <f t="shared" si="1625"/>
        <v>26</v>
      </c>
      <c r="FH315" s="8">
        <v>0</v>
      </c>
      <c r="FI315" s="8">
        <v>0</v>
      </c>
      <c r="FJ315" s="8">
        <v>22</v>
      </c>
      <c r="FK315" s="8">
        <v>39</v>
      </c>
      <c r="FL315" s="8">
        <v>0</v>
      </c>
      <c r="FM315" s="8">
        <v>0</v>
      </c>
      <c r="FN315" s="8">
        <v>0</v>
      </c>
      <c r="FO315" s="8">
        <v>0</v>
      </c>
      <c r="FP315" s="8">
        <v>0</v>
      </c>
      <c r="FQ315" s="9">
        <f t="shared" si="1626"/>
        <v>0</v>
      </c>
      <c r="FR315" s="8">
        <v>30000</v>
      </c>
      <c r="FS315" s="8">
        <v>0</v>
      </c>
      <c r="FT315" s="8">
        <v>0</v>
      </c>
      <c r="FU315" s="8">
        <v>0</v>
      </c>
      <c r="FV315" s="9">
        <f t="shared" si="1627"/>
        <v>30000</v>
      </c>
      <c r="FW315" s="8">
        <v>819148.08</v>
      </c>
      <c r="FX315" s="8">
        <v>35200</v>
      </c>
      <c r="FY315" s="8">
        <v>6075000</v>
      </c>
      <c r="FZ315" s="8">
        <v>165019.70000000001</v>
      </c>
      <c r="GA315" s="9">
        <f t="shared" si="1628"/>
        <v>7094367.7800000003</v>
      </c>
      <c r="GB315" s="9">
        <f t="shared" si="1629"/>
        <v>7124367.7800000003</v>
      </c>
      <c r="GC315" s="8">
        <v>355691.82</v>
      </c>
      <c r="GD315" s="8">
        <v>0</v>
      </c>
      <c r="GE315" s="8">
        <v>337205.63</v>
      </c>
      <c r="GF315" s="8">
        <v>28724.83</v>
      </c>
      <c r="GG315" s="9">
        <f t="shared" si="1630"/>
        <v>721622.27999999991</v>
      </c>
      <c r="GH315" s="8">
        <v>806308.08</v>
      </c>
      <c r="GI315" s="8">
        <v>35200</v>
      </c>
      <c r="GJ315" s="8">
        <v>165019.70000000001</v>
      </c>
      <c r="GK315" s="8">
        <v>6075000</v>
      </c>
      <c r="GL315" s="9">
        <f t="shared" si="1631"/>
        <v>7081527.7800000003</v>
      </c>
      <c r="GM315" s="9">
        <f t="shared" si="1632"/>
        <v>7803150.0600000005</v>
      </c>
      <c r="GN315" s="8">
        <v>36788.550000000003</v>
      </c>
      <c r="GO315" s="8">
        <v>0</v>
      </c>
      <c r="GP315" s="8">
        <v>16968.2</v>
      </c>
      <c r="GQ315" s="8">
        <v>4637.34</v>
      </c>
      <c r="GR315" s="9">
        <f t="shared" si="1633"/>
        <v>58394.09</v>
      </c>
      <c r="GS315" s="8">
        <v>60724</v>
      </c>
      <c r="GT315" s="8">
        <v>0</v>
      </c>
      <c r="GU315" s="8">
        <v>4465</v>
      </c>
      <c r="GV315" s="8">
        <v>893</v>
      </c>
      <c r="GW315" s="9">
        <f t="shared" si="1634"/>
        <v>66082</v>
      </c>
      <c r="GX315" s="9">
        <f t="shared" si="1635"/>
        <v>7927626.1500000004</v>
      </c>
      <c r="GY315" s="8">
        <v>9900444.3199999966</v>
      </c>
      <c r="GZ315" s="8">
        <v>-29150.51</v>
      </c>
      <c r="HA315" s="9">
        <f t="shared" si="1581"/>
        <v>9871293.8099999968</v>
      </c>
      <c r="HB315" s="9">
        <f t="shared" si="1636"/>
        <v>0.43069580126580514</v>
      </c>
      <c r="HC315" s="10">
        <f t="shared" si="1637"/>
        <v>0.39961519066174078</v>
      </c>
      <c r="HD315" s="9">
        <f t="shared" si="1638"/>
        <v>0.89867605323442246</v>
      </c>
      <c r="HE315" s="8">
        <v>4</v>
      </c>
      <c r="HF315" s="8">
        <v>1</v>
      </c>
      <c r="HG315" s="8">
        <v>9</v>
      </c>
      <c r="HH315" s="8">
        <v>0</v>
      </c>
      <c r="HI315" s="8">
        <v>0</v>
      </c>
      <c r="HJ315" s="9">
        <f t="shared" si="1639"/>
        <v>1</v>
      </c>
      <c r="HK315" s="10">
        <f t="shared" si="1640"/>
        <v>0</v>
      </c>
      <c r="HL315" s="8">
        <v>5</v>
      </c>
      <c r="HM315" s="8">
        <v>2</v>
      </c>
      <c r="HN315" s="11">
        <f t="shared" si="1641"/>
        <v>0.4</v>
      </c>
    </row>
    <row r="316" spans="1:222" x14ac:dyDescent="0.3">
      <c r="A316" s="12" t="s">
        <v>295</v>
      </c>
      <c r="B316" s="12" t="s">
        <v>299</v>
      </c>
      <c r="C316" s="13" t="s">
        <v>257</v>
      </c>
      <c r="D316" s="13">
        <v>2025</v>
      </c>
      <c r="E316" s="13">
        <v>5</v>
      </c>
      <c r="F316" s="13" t="s">
        <v>260</v>
      </c>
      <c r="G316" s="13" t="s">
        <v>259</v>
      </c>
      <c r="H316" s="14">
        <v>3465</v>
      </c>
      <c r="I316" s="14">
        <v>111</v>
      </c>
      <c r="J316" s="14">
        <v>0</v>
      </c>
      <c r="K316" s="14">
        <v>102</v>
      </c>
      <c r="L316" s="14">
        <v>10</v>
      </c>
      <c r="M316" s="15">
        <f t="shared" si="1582"/>
        <v>223</v>
      </c>
      <c r="N316" s="14">
        <v>463.00000000000102</v>
      </c>
      <c r="O316" s="14">
        <v>170.2</v>
      </c>
      <c r="P316" s="14">
        <v>105.7</v>
      </c>
      <c r="Q316" s="14">
        <v>1308.5999999999999</v>
      </c>
      <c r="R316" s="15">
        <f t="shared" si="1583"/>
        <v>2047.5000000000009</v>
      </c>
      <c r="S316" s="15">
        <f t="shared" si="1584"/>
        <v>2270.5000000000009</v>
      </c>
      <c r="T316" s="14">
        <v>1194.5</v>
      </c>
      <c r="U316" s="16">
        <f t="shared" si="1585"/>
        <v>0.34473304473304472</v>
      </c>
      <c r="V316" s="14">
        <v>15</v>
      </c>
      <c r="W316" s="17">
        <f t="shared" si="1586"/>
        <v>4.329004329004329E-3</v>
      </c>
      <c r="X316" s="14">
        <v>0</v>
      </c>
      <c r="Y316" s="17">
        <f t="shared" si="1587"/>
        <v>0</v>
      </c>
      <c r="Z316" s="14">
        <v>0</v>
      </c>
      <c r="AA316" s="17">
        <f t="shared" si="1588"/>
        <v>0</v>
      </c>
      <c r="AB316" s="14">
        <v>0</v>
      </c>
      <c r="AC316" s="17">
        <f t="shared" si="1589"/>
        <v>0</v>
      </c>
      <c r="AD316" s="14">
        <v>0</v>
      </c>
      <c r="AE316" s="17">
        <f t="shared" si="1590"/>
        <v>0</v>
      </c>
      <c r="AF316" s="14">
        <v>0</v>
      </c>
      <c r="AG316" s="17">
        <f t="shared" si="1591"/>
        <v>0</v>
      </c>
      <c r="AH316" s="14">
        <v>390000</v>
      </c>
      <c r="AI316" s="15">
        <f t="shared" si="1592"/>
        <v>112.55411255411255</v>
      </c>
      <c r="AJ316" s="14">
        <v>1472.37</v>
      </c>
      <c r="AK316" s="17">
        <f t="shared" si="1593"/>
        <v>0.42492640692640687</v>
      </c>
      <c r="AL316" s="14">
        <v>434018.42232999997</v>
      </c>
      <c r="AM316" s="15">
        <f t="shared" si="1594"/>
        <v>125.25784194227994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5">
        <f t="shared" si="1595"/>
        <v>824018.42232999997</v>
      </c>
      <c r="AV316" s="15">
        <f t="shared" si="1596"/>
        <v>237.8119544963925</v>
      </c>
      <c r="AW316" s="15">
        <f t="shared" si="1597"/>
        <v>362.92377112089832</v>
      </c>
      <c r="AX316" s="14">
        <v>3</v>
      </c>
      <c r="AY316" s="15">
        <f t="shared" si="1598"/>
        <v>10.38961038961039</v>
      </c>
      <c r="AZ316" s="14">
        <v>5</v>
      </c>
      <c r="BA316" s="14">
        <v>9</v>
      </c>
      <c r="BB316" s="14">
        <v>3</v>
      </c>
      <c r="BC316" s="14">
        <v>0</v>
      </c>
      <c r="BD316" s="14">
        <v>0</v>
      </c>
      <c r="BE316" s="15">
        <f t="shared" si="1599"/>
        <v>0</v>
      </c>
      <c r="BF316" s="15">
        <f t="shared" si="1600"/>
        <v>12</v>
      </c>
      <c r="BG316" s="14">
        <v>0</v>
      </c>
      <c r="BH316" s="14">
        <v>0</v>
      </c>
      <c r="BI316" s="14">
        <v>0</v>
      </c>
      <c r="BJ316" s="14">
        <v>0</v>
      </c>
      <c r="BK316" s="15">
        <f t="shared" si="1601"/>
        <v>0</v>
      </c>
      <c r="BL316" s="15">
        <f t="shared" si="1602"/>
        <v>0</v>
      </c>
      <c r="BM316" s="14">
        <v>0</v>
      </c>
      <c r="BN316" s="14">
        <v>0</v>
      </c>
      <c r="BO316" s="14">
        <v>0</v>
      </c>
      <c r="BP316" s="14">
        <v>0</v>
      </c>
      <c r="BQ316" s="15">
        <f t="shared" si="1603"/>
        <v>0</v>
      </c>
      <c r="BR316" s="15">
        <f t="shared" si="1604"/>
        <v>0</v>
      </c>
      <c r="BS316" s="14">
        <v>0</v>
      </c>
      <c r="BT316" s="14">
        <v>0</v>
      </c>
      <c r="BU316" s="14">
        <v>0</v>
      </c>
      <c r="BV316" s="14">
        <v>0</v>
      </c>
      <c r="BW316" s="15">
        <f t="shared" si="1605"/>
        <v>0</v>
      </c>
      <c r="BX316" s="15">
        <f t="shared" si="1606"/>
        <v>0</v>
      </c>
      <c r="BY316" s="15">
        <f t="shared" si="1607"/>
        <v>9</v>
      </c>
      <c r="BZ316" s="15">
        <f t="shared" si="1608"/>
        <v>3</v>
      </c>
      <c r="CA316" s="15">
        <f t="shared" si="1609"/>
        <v>0</v>
      </c>
      <c r="CB316" s="15">
        <f t="shared" si="1610"/>
        <v>12</v>
      </c>
      <c r="CC316" s="14">
        <v>71</v>
      </c>
      <c r="CD316" s="14">
        <v>114</v>
      </c>
      <c r="CE316" s="14">
        <v>7</v>
      </c>
      <c r="CF316" s="14">
        <v>3</v>
      </c>
      <c r="CG316" s="14">
        <v>1</v>
      </c>
      <c r="CH316" s="15">
        <f t="shared" si="1611"/>
        <v>125</v>
      </c>
      <c r="CI316" s="14">
        <v>7</v>
      </c>
      <c r="CJ316" s="14">
        <v>4</v>
      </c>
      <c r="CK316" s="14">
        <v>1</v>
      </c>
      <c r="CL316" s="14">
        <v>0</v>
      </c>
      <c r="CM316" s="15">
        <f t="shared" si="1612"/>
        <v>12</v>
      </c>
      <c r="CN316" s="14">
        <v>132</v>
      </c>
      <c r="CO316" s="14">
        <v>8</v>
      </c>
      <c r="CP316" s="14">
        <v>17</v>
      </c>
      <c r="CQ316" s="14">
        <v>22</v>
      </c>
      <c r="CR316" s="15">
        <f t="shared" si="1613"/>
        <v>179</v>
      </c>
      <c r="CS316" s="15">
        <f t="shared" si="1614"/>
        <v>191</v>
      </c>
      <c r="CT316" s="14">
        <v>316</v>
      </c>
      <c r="CU316" s="14">
        <v>1934</v>
      </c>
      <c r="CV316" s="14">
        <v>1921</v>
      </c>
      <c r="CW316" s="16">
        <f t="shared" si="1615"/>
        <v>0.99327817993795242</v>
      </c>
      <c r="CX316" s="14">
        <v>0</v>
      </c>
      <c r="CY316" s="14">
        <v>0</v>
      </c>
      <c r="CZ316" s="14">
        <v>0</v>
      </c>
      <c r="DA316" s="14">
        <v>0</v>
      </c>
      <c r="DB316" s="15">
        <f t="shared" si="1616"/>
        <v>0</v>
      </c>
      <c r="DC316" s="14">
        <v>0</v>
      </c>
      <c r="DD316" s="14">
        <v>0</v>
      </c>
      <c r="DE316" s="14">
        <v>0</v>
      </c>
      <c r="DF316" s="14">
        <v>0</v>
      </c>
      <c r="DG316" s="15">
        <f t="shared" si="1617"/>
        <v>0</v>
      </c>
      <c r="DH316" s="14">
        <v>0</v>
      </c>
      <c r="DI316" s="14">
        <v>0</v>
      </c>
      <c r="DJ316" s="14">
        <v>0</v>
      </c>
      <c r="DK316" s="14">
        <v>0</v>
      </c>
      <c r="DL316" s="15">
        <f t="shared" si="1618"/>
        <v>0</v>
      </c>
      <c r="DM316" s="14">
        <v>0</v>
      </c>
      <c r="DN316" s="14">
        <v>0</v>
      </c>
      <c r="DO316" s="14">
        <v>0</v>
      </c>
      <c r="DP316" s="14">
        <v>0</v>
      </c>
      <c r="DQ316" s="15">
        <f t="shared" si="1619"/>
        <v>0</v>
      </c>
      <c r="DR316" s="15">
        <f t="shared" si="1620"/>
        <v>0</v>
      </c>
      <c r="DS316" s="15">
        <f t="shared" si="1621"/>
        <v>0</v>
      </c>
      <c r="DT316" s="15">
        <f t="shared" si="1622"/>
        <v>0</v>
      </c>
      <c r="DU316" s="15">
        <f t="shared" si="1623"/>
        <v>0</v>
      </c>
      <c r="DV316" s="15">
        <f t="shared" si="1624"/>
        <v>0</v>
      </c>
      <c r="DW316" s="14">
        <v>13</v>
      </c>
      <c r="DX316" s="14">
        <v>7</v>
      </c>
      <c r="DY316" s="14">
        <v>6</v>
      </c>
      <c r="DZ316" s="14">
        <v>2</v>
      </c>
      <c r="EA316" s="14">
        <v>5</v>
      </c>
      <c r="EB316" s="14">
        <v>1</v>
      </c>
      <c r="EC316" s="14">
        <v>0</v>
      </c>
      <c r="ED316" s="14">
        <v>0</v>
      </c>
      <c r="EE316" s="14">
        <v>0</v>
      </c>
      <c r="EF316" s="14">
        <v>0</v>
      </c>
      <c r="EG316" s="14">
        <v>0</v>
      </c>
      <c r="EH316" s="14">
        <v>0</v>
      </c>
      <c r="EI316" s="14">
        <v>0</v>
      </c>
      <c r="EJ316" s="14">
        <v>2</v>
      </c>
      <c r="EK316" s="14">
        <v>0</v>
      </c>
      <c r="EL316" s="14">
        <v>0</v>
      </c>
      <c r="EM316" s="14">
        <v>0</v>
      </c>
      <c r="EN316" s="14">
        <v>0</v>
      </c>
      <c r="EO316" s="14">
        <v>0</v>
      </c>
      <c r="EP316" s="14">
        <v>0</v>
      </c>
      <c r="EQ316" s="14">
        <v>0</v>
      </c>
      <c r="ER316" s="14">
        <v>0</v>
      </c>
      <c r="ES316" s="14">
        <v>0</v>
      </c>
      <c r="ET316" s="14">
        <v>0</v>
      </c>
      <c r="EU316" s="14">
        <v>0</v>
      </c>
      <c r="EV316" s="14">
        <v>0</v>
      </c>
      <c r="EW316" s="14">
        <v>0</v>
      </c>
      <c r="EX316" s="14">
        <v>0</v>
      </c>
      <c r="EY316" s="14">
        <v>0</v>
      </c>
      <c r="EZ316" s="14">
        <v>0</v>
      </c>
      <c r="FA316" s="14">
        <v>0</v>
      </c>
      <c r="FB316" s="14">
        <v>0</v>
      </c>
      <c r="FC316" s="14">
        <v>0</v>
      </c>
      <c r="FD316" s="14">
        <v>0</v>
      </c>
      <c r="FE316" s="14">
        <v>0</v>
      </c>
      <c r="FF316" s="14">
        <v>0</v>
      </c>
      <c r="FG316" s="15">
        <f t="shared" si="1625"/>
        <v>36</v>
      </c>
      <c r="FH316" s="14">
        <v>0</v>
      </c>
      <c r="FI316" s="14">
        <v>0</v>
      </c>
      <c r="FJ316" s="14">
        <v>23</v>
      </c>
      <c r="FK316" s="14">
        <v>19</v>
      </c>
      <c r="FL316" s="14">
        <v>0</v>
      </c>
      <c r="FM316" s="14">
        <v>0</v>
      </c>
      <c r="FN316" s="14">
        <v>0</v>
      </c>
      <c r="FO316" s="14">
        <v>0</v>
      </c>
      <c r="FP316" s="14">
        <v>0</v>
      </c>
      <c r="FQ316" s="15">
        <f t="shared" si="1626"/>
        <v>0</v>
      </c>
      <c r="FR316" s="14">
        <v>152850</v>
      </c>
      <c r="FS316" s="14">
        <v>0</v>
      </c>
      <c r="FT316" s="14">
        <v>0</v>
      </c>
      <c r="FU316" s="14">
        <v>75000</v>
      </c>
      <c r="FV316" s="15">
        <f t="shared" si="1627"/>
        <v>227850</v>
      </c>
      <c r="FW316" s="14">
        <v>609903.64</v>
      </c>
      <c r="FX316" s="14">
        <v>36150</v>
      </c>
      <c r="FY316" s="14">
        <v>6187700</v>
      </c>
      <c r="FZ316" s="14">
        <v>321000</v>
      </c>
      <c r="GA316" s="15">
        <f t="shared" si="1628"/>
        <v>7154753.6399999997</v>
      </c>
      <c r="GB316" s="15">
        <f t="shared" si="1629"/>
        <v>7382603.6399999997</v>
      </c>
      <c r="GC316" s="14">
        <v>100125.84</v>
      </c>
      <c r="GD316" s="14">
        <v>0</v>
      </c>
      <c r="GE316" s="14">
        <v>311497.28999999998</v>
      </c>
      <c r="GF316" s="14">
        <v>28724.83</v>
      </c>
      <c r="GG316" s="15">
        <f t="shared" si="1630"/>
        <v>440347.96</v>
      </c>
      <c r="GH316" s="14">
        <v>577314.86</v>
      </c>
      <c r="GI316" s="14">
        <v>36150</v>
      </c>
      <c r="GJ316" s="14">
        <v>321000</v>
      </c>
      <c r="GK316" s="14">
        <v>6187700</v>
      </c>
      <c r="GL316" s="15">
        <f t="shared" si="1631"/>
        <v>7122164.8600000003</v>
      </c>
      <c r="GM316" s="15">
        <f t="shared" si="1632"/>
        <v>7562512.8200000003</v>
      </c>
      <c r="GN316" s="14">
        <v>3814.51</v>
      </c>
      <c r="GO316" s="14">
        <v>0</v>
      </c>
      <c r="GP316" s="14">
        <v>13574.56</v>
      </c>
      <c r="GQ316" s="14">
        <v>4637.34</v>
      </c>
      <c r="GR316" s="15">
        <f t="shared" si="1633"/>
        <v>22026.41</v>
      </c>
      <c r="GS316" s="14">
        <v>6251</v>
      </c>
      <c r="GT316" s="14">
        <v>0</v>
      </c>
      <c r="GU316" s="14">
        <v>3572</v>
      </c>
      <c r="GV316" s="14">
        <v>893</v>
      </c>
      <c r="GW316" s="15">
        <f t="shared" si="1634"/>
        <v>10716</v>
      </c>
      <c r="GX316" s="15">
        <f t="shared" si="1635"/>
        <v>7595255.2300000004</v>
      </c>
      <c r="GY316" s="14">
        <v>10078554.529999999</v>
      </c>
      <c r="GZ316" s="14">
        <v>-29150.51</v>
      </c>
      <c r="HA316" s="9">
        <f t="shared" si="1581"/>
        <v>10049404.02</v>
      </c>
      <c r="HB316" s="15">
        <f t="shared" si="1636"/>
        <v>0.10849120896889201</v>
      </c>
      <c r="HC316" s="16">
        <f t="shared" si="1637"/>
        <v>0.41771433212484688</v>
      </c>
      <c r="HD316" s="15">
        <f t="shared" si="1638"/>
        <v>0.97200204817870217</v>
      </c>
      <c r="HE316" s="14">
        <v>3</v>
      </c>
      <c r="HF316" s="14">
        <v>1</v>
      </c>
      <c r="HG316" s="14">
        <v>12</v>
      </c>
      <c r="HH316" s="14">
        <v>3</v>
      </c>
      <c r="HI316" s="14">
        <v>0</v>
      </c>
      <c r="HJ316" s="15">
        <f t="shared" si="1639"/>
        <v>1</v>
      </c>
      <c r="HK316" s="16">
        <f t="shared" si="1640"/>
        <v>1</v>
      </c>
      <c r="HL316" s="14">
        <v>3</v>
      </c>
      <c r="HM316" s="14">
        <v>1</v>
      </c>
      <c r="HN316" s="17">
        <f t="shared" si="1641"/>
        <v>0.33333333333333331</v>
      </c>
    </row>
    <row r="317" spans="1:222" x14ac:dyDescent="0.3">
      <c r="A317" s="6" t="s">
        <v>295</v>
      </c>
      <c r="B317" s="6" t="s">
        <v>299</v>
      </c>
      <c r="C317" s="7" t="s">
        <v>257</v>
      </c>
      <c r="D317" s="7">
        <v>2025</v>
      </c>
      <c r="E317" s="7">
        <v>6</v>
      </c>
      <c r="F317" s="7" t="s">
        <v>261</v>
      </c>
      <c r="G317" s="7" t="s">
        <v>259</v>
      </c>
      <c r="H317" s="8">
        <v>3109</v>
      </c>
      <c r="I317" s="8">
        <v>90</v>
      </c>
      <c r="J317" s="8">
        <v>0</v>
      </c>
      <c r="K317" s="8">
        <v>240</v>
      </c>
      <c r="L317" s="8">
        <v>0</v>
      </c>
      <c r="M317" s="9">
        <f t="shared" si="1582"/>
        <v>330</v>
      </c>
      <c r="N317" s="8">
        <v>655.70000000000095</v>
      </c>
      <c r="O317" s="8">
        <v>150.30000000000001</v>
      </c>
      <c r="P317" s="8">
        <v>19.399999999999999</v>
      </c>
      <c r="Q317" s="8">
        <v>1353.6</v>
      </c>
      <c r="R317" s="9">
        <f t="shared" si="1583"/>
        <v>2179.0000000000009</v>
      </c>
      <c r="S317" s="9">
        <f t="shared" si="1584"/>
        <v>2509.0000000000009</v>
      </c>
      <c r="T317" s="8">
        <v>600</v>
      </c>
      <c r="U317" s="10">
        <f t="shared" si="1585"/>
        <v>0.19298809906722419</v>
      </c>
      <c r="V317" s="8">
        <v>14</v>
      </c>
      <c r="W317" s="11">
        <f t="shared" si="1586"/>
        <v>4.5030556449018981E-3</v>
      </c>
      <c r="X317" s="8">
        <v>0</v>
      </c>
      <c r="Y317" s="11">
        <f t="shared" si="1587"/>
        <v>0</v>
      </c>
      <c r="Z317" s="8">
        <v>0</v>
      </c>
      <c r="AA317" s="11">
        <f t="shared" si="1588"/>
        <v>0</v>
      </c>
      <c r="AB317" s="8">
        <v>0</v>
      </c>
      <c r="AC317" s="11">
        <f t="shared" si="1589"/>
        <v>0</v>
      </c>
      <c r="AD317" s="8">
        <v>0</v>
      </c>
      <c r="AE317" s="11">
        <f t="shared" si="1590"/>
        <v>0</v>
      </c>
      <c r="AF317" s="8">
        <v>0</v>
      </c>
      <c r="AG317" s="11">
        <f t="shared" si="1591"/>
        <v>0</v>
      </c>
      <c r="AH317" s="8">
        <v>364000</v>
      </c>
      <c r="AI317" s="9">
        <f t="shared" si="1592"/>
        <v>117.07944676744934</v>
      </c>
      <c r="AJ317" s="8">
        <v>1399.02</v>
      </c>
      <c r="AK317" s="11">
        <f t="shared" si="1593"/>
        <v>0.44999035059504661</v>
      </c>
      <c r="AL317" s="8">
        <v>413971.20718000003</v>
      </c>
      <c r="AM317" s="9">
        <f t="shared" si="1594"/>
        <v>133.15252723705373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9">
        <f t="shared" si="1595"/>
        <v>777971.20718000003</v>
      </c>
      <c r="AV317" s="9">
        <f t="shared" si="1596"/>
        <v>250.23197400450306</v>
      </c>
      <c r="AW317" s="9">
        <f t="shared" si="1597"/>
        <v>310.07222286966908</v>
      </c>
      <c r="AX317" s="8">
        <v>3</v>
      </c>
      <c r="AY317" s="9">
        <f t="shared" si="1598"/>
        <v>11.579285944033451</v>
      </c>
      <c r="AZ317" s="8">
        <v>5</v>
      </c>
      <c r="BA317" s="8">
        <v>12</v>
      </c>
      <c r="BB317" s="8">
        <v>0</v>
      </c>
      <c r="BC317" s="8">
        <v>0</v>
      </c>
      <c r="BD317" s="8">
        <v>0</v>
      </c>
      <c r="BE317" s="9">
        <f t="shared" si="1599"/>
        <v>0</v>
      </c>
      <c r="BF317" s="9">
        <f t="shared" si="1600"/>
        <v>12</v>
      </c>
      <c r="BG317" s="8">
        <v>0</v>
      </c>
      <c r="BH317" s="8">
        <v>0</v>
      </c>
      <c r="BI317" s="8">
        <v>0</v>
      </c>
      <c r="BJ317" s="8">
        <v>0</v>
      </c>
      <c r="BK317" s="9">
        <f t="shared" si="1601"/>
        <v>0</v>
      </c>
      <c r="BL317" s="9">
        <f t="shared" si="1602"/>
        <v>0</v>
      </c>
      <c r="BM317" s="8">
        <v>0</v>
      </c>
      <c r="BN317" s="8">
        <v>0</v>
      </c>
      <c r="BO317" s="8">
        <v>0</v>
      </c>
      <c r="BP317" s="8">
        <v>0</v>
      </c>
      <c r="BQ317" s="9">
        <f t="shared" si="1603"/>
        <v>0</v>
      </c>
      <c r="BR317" s="9">
        <f t="shared" si="1604"/>
        <v>0</v>
      </c>
      <c r="BS317" s="8">
        <v>0</v>
      </c>
      <c r="BT317" s="8">
        <v>0</v>
      </c>
      <c r="BU317" s="8">
        <v>0</v>
      </c>
      <c r="BV317" s="8">
        <v>0</v>
      </c>
      <c r="BW317" s="9">
        <f t="shared" si="1605"/>
        <v>0</v>
      </c>
      <c r="BX317" s="9">
        <f t="shared" si="1606"/>
        <v>0</v>
      </c>
      <c r="BY317" s="9">
        <f t="shared" si="1607"/>
        <v>12</v>
      </c>
      <c r="BZ317" s="9">
        <f t="shared" si="1608"/>
        <v>0</v>
      </c>
      <c r="CA317" s="9">
        <f t="shared" si="1609"/>
        <v>0</v>
      </c>
      <c r="CB317" s="9">
        <f t="shared" si="1610"/>
        <v>12</v>
      </c>
      <c r="CC317" s="8">
        <v>0</v>
      </c>
      <c r="CD317" s="8">
        <v>113</v>
      </c>
      <c r="CE317" s="8">
        <v>7</v>
      </c>
      <c r="CF317" s="8">
        <v>4</v>
      </c>
      <c r="CG317" s="8">
        <v>1</v>
      </c>
      <c r="CH317" s="9">
        <f t="shared" si="1611"/>
        <v>125</v>
      </c>
      <c r="CI317" s="8">
        <v>8</v>
      </c>
      <c r="CJ317" s="8">
        <v>4</v>
      </c>
      <c r="CK317" s="8">
        <v>0</v>
      </c>
      <c r="CL317" s="8">
        <v>0</v>
      </c>
      <c r="CM317" s="9">
        <f t="shared" si="1612"/>
        <v>12</v>
      </c>
      <c r="CN317" s="8">
        <v>132</v>
      </c>
      <c r="CO317" s="8">
        <v>8</v>
      </c>
      <c r="CP317" s="8">
        <v>17</v>
      </c>
      <c r="CQ317" s="8">
        <v>22</v>
      </c>
      <c r="CR317" s="9">
        <f t="shared" si="1613"/>
        <v>179</v>
      </c>
      <c r="CS317" s="9">
        <f t="shared" si="1614"/>
        <v>191</v>
      </c>
      <c r="CT317" s="8">
        <v>316</v>
      </c>
      <c r="CU317" s="8">
        <v>1938</v>
      </c>
      <c r="CV317" s="8">
        <v>1921</v>
      </c>
      <c r="CW317" s="10">
        <f t="shared" si="1615"/>
        <v>0.99122807017543857</v>
      </c>
      <c r="CX317" s="8">
        <v>0</v>
      </c>
      <c r="CY317" s="8">
        <v>0</v>
      </c>
      <c r="CZ317" s="8">
        <v>0</v>
      </c>
      <c r="DA317" s="8">
        <v>0</v>
      </c>
      <c r="DB317" s="9">
        <f t="shared" si="1616"/>
        <v>0</v>
      </c>
      <c r="DC317" s="8">
        <v>0</v>
      </c>
      <c r="DD317" s="8">
        <v>0</v>
      </c>
      <c r="DE317" s="8">
        <v>0</v>
      </c>
      <c r="DF317" s="8">
        <v>0</v>
      </c>
      <c r="DG317" s="9">
        <f t="shared" si="1617"/>
        <v>0</v>
      </c>
      <c r="DH317" s="8">
        <v>0</v>
      </c>
      <c r="DI317" s="8">
        <v>0</v>
      </c>
      <c r="DJ317" s="8">
        <v>0</v>
      </c>
      <c r="DK317" s="8">
        <v>0</v>
      </c>
      <c r="DL317" s="9">
        <f t="shared" si="1618"/>
        <v>0</v>
      </c>
      <c r="DM317" s="8">
        <v>0</v>
      </c>
      <c r="DN317" s="8">
        <v>0</v>
      </c>
      <c r="DO317" s="8">
        <v>0</v>
      </c>
      <c r="DP317" s="8">
        <v>0</v>
      </c>
      <c r="DQ317" s="9">
        <f t="shared" si="1619"/>
        <v>0</v>
      </c>
      <c r="DR317" s="9">
        <f t="shared" si="1620"/>
        <v>0</v>
      </c>
      <c r="DS317" s="9">
        <f t="shared" si="1621"/>
        <v>0</v>
      </c>
      <c r="DT317" s="9">
        <f t="shared" si="1622"/>
        <v>0</v>
      </c>
      <c r="DU317" s="9">
        <f t="shared" si="1623"/>
        <v>0</v>
      </c>
      <c r="DV317" s="9">
        <f t="shared" si="1624"/>
        <v>0</v>
      </c>
      <c r="DW317" s="8">
        <v>6</v>
      </c>
      <c r="DX317" s="8">
        <v>3</v>
      </c>
      <c r="DY317" s="8">
        <v>8</v>
      </c>
      <c r="DZ317" s="8">
        <v>1</v>
      </c>
      <c r="EA317" s="8">
        <v>1</v>
      </c>
      <c r="EB317" s="8"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2</v>
      </c>
      <c r="EK317" s="8">
        <v>0</v>
      </c>
      <c r="EL317" s="8">
        <v>0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8">
        <v>0</v>
      </c>
      <c r="FC317" s="8">
        <v>0</v>
      </c>
      <c r="FD317" s="8">
        <v>0</v>
      </c>
      <c r="FE317" s="8">
        <v>0</v>
      </c>
      <c r="FF317" s="8">
        <v>0</v>
      </c>
      <c r="FG317" s="9">
        <f t="shared" si="1625"/>
        <v>21</v>
      </c>
      <c r="FH317" s="8">
        <v>0</v>
      </c>
      <c r="FI317" s="8">
        <v>0</v>
      </c>
      <c r="FJ317" s="8">
        <v>23</v>
      </c>
      <c r="FK317" s="8">
        <v>0.75</v>
      </c>
      <c r="FL317" s="8">
        <v>0</v>
      </c>
      <c r="FM317" s="8">
        <v>0</v>
      </c>
      <c r="FN317" s="8">
        <v>0</v>
      </c>
      <c r="FO317" s="8">
        <v>0</v>
      </c>
      <c r="FP317" s="8">
        <v>0</v>
      </c>
      <c r="FQ317" s="9">
        <f t="shared" si="1626"/>
        <v>0</v>
      </c>
      <c r="FR317" s="8">
        <v>82000</v>
      </c>
      <c r="FS317" s="8">
        <v>0</v>
      </c>
      <c r="FT317" s="8">
        <v>0</v>
      </c>
      <c r="FU317" s="8">
        <v>0</v>
      </c>
      <c r="FV317" s="9">
        <f t="shared" si="1627"/>
        <v>82000</v>
      </c>
      <c r="FW317" s="8">
        <v>837674.64</v>
      </c>
      <c r="FX317" s="8">
        <v>31950</v>
      </c>
      <c r="FY317" s="8">
        <v>6400472.8099999996</v>
      </c>
      <c r="FZ317" s="8">
        <v>59000</v>
      </c>
      <c r="GA317" s="9">
        <f t="shared" si="1628"/>
        <v>7329097.4499999993</v>
      </c>
      <c r="GB317" s="9">
        <f t="shared" si="1629"/>
        <v>7411097.4499999993</v>
      </c>
      <c r="GC317" s="8">
        <v>83409.38</v>
      </c>
      <c r="GD317" s="8">
        <v>0</v>
      </c>
      <c r="GE317" s="8">
        <v>788106.84</v>
      </c>
      <c r="GF317" s="8">
        <v>0</v>
      </c>
      <c r="GG317" s="9">
        <f t="shared" si="1630"/>
        <v>871516.22</v>
      </c>
      <c r="GH317" s="8">
        <v>817609.73</v>
      </c>
      <c r="GI317" s="8">
        <v>31950</v>
      </c>
      <c r="GJ317" s="8">
        <v>59000</v>
      </c>
      <c r="GK317" s="8">
        <v>6400472.8099999996</v>
      </c>
      <c r="GL317" s="9">
        <f t="shared" si="1631"/>
        <v>7309032.5399999991</v>
      </c>
      <c r="GM317" s="9">
        <f t="shared" si="1632"/>
        <v>8180548.7599999988</v>
      </c>
      <c r="GN317" s="8">
        <v>4359.4399999999996</v>
      </c>
      <c r="GO317" s="8">
        <v>0</v>
      </c>
      <c r="GP317" s="8">
        <v>13574.56</v>
      </c>
      <c r="GQ317" s="8">
        <v>0</v>
      </c>
      <c r="GR317" s="9">
        <f t="shared" si="1633"/>
        <v>17934</v>
      </c>
      <c r="GS317" s="8">
        <v>7144</v>
      </c>
      <c r="GT317" s="8">
        <v>0</v>
      </c>
      <c r="GU317" s="8">
        <v>3572</v>
      </c>
      <c r="GV317" s="8">
        <v>0</v>
      </c>
      <c r="GW317" s="9">
        <f t="shared" si="1634"/>
        <v>10716</v>
      </c>
      <c r="GX317" s="9">
        <f t="shared" si="1635"/>
        <v>8209198.7599999988</v>
      </c>
      <c r="GY317" s="8">
        <v>10500728.869999999</v>
      </c>
      <c r="GZ317" s="8">
        <v>-29150.51</v>
      </c>
      <c r="HA317" s="9">
        <f t="shared" si="1581"/>
        <v>10471578.359999999</v>
      </c>
      <c r="HB317" s="9">
        <f t="shared" si="1636"/>
        <v>9.4768226464527719E-2</v>
      </c>
      <c r="HC317" s="10">
        <f t="shared" si="1637"/>
        <v>0.3961050837052329</v>
      </c>
      <c r="HD317" s="9">
        <f t="shared" si="1638"/>
        <v>0.9027796337580698</v>
      </c>
      <c r="HE317" s="8">
        <v>2</v>
      </c>
      <c r="HF317" s="8">
        <v>3</v>
      </c>
      <c r="HG317" s="8">
        <v>12</v>
      </c>
      <c r="HH317" s="8">
        <v>0</v>
      </c>
      <c r="HI317" s="8">
        <v>0</v>
      </c>
      <c r="HJ317" s="9">
        <f t="shared" si="1639"/>
        <v>3</v>
      </c>
      <c r="HK317" s="10">
        <f t="shared" si="1640"/>
        <v>0</v>
      </c>
      <c r="HL317" s="8">
        <v>2</v>
      </c>
      <c r="HM317" s="8">
        <v>1</v>
      </c>
      <c r="HN317" s="11">
        <f t="shared" si="1641"/>
        <v>0.5</v>
      </c>
    </row>
    <row r="318" spans="1:222" x14ac:dyDescent="0.3">
      <c r="A318" s="12" t="s">
        <v>295</v>
      </c>
      <c r="B318" s="12" t="s">
        <v>299</v>
      </c>
      <c r="C318" s="13" t="s">
        <v>257</v>
      </c>
      <c r="D318" s="13">
        <v>2025</v>
      </c>
      <c r="E318" s="13">
        <v>7</v>
      </c>
      <c r="F318" s="13" t="s">
        <v>262</v>
      </c>
      <c r="G318" s="13" t="s">
        <v>263</v>
      </c>
      <c r="H318" s="14">
        <v>4145</v>
      </c>
      <c r="I318" s="14">
        <v>161</v>
      </c>
      <c r="J318" s="14">
        <v>0</v>
      </c>
      <c r="K318" s="14">
        <v>177</v>
      </c>
      <c r="L318" s="14">
        <v>0</v>
      </c>
      <c r="M318" s="15">
        <f t="shared" si="1582"/>
        <v>338</v>
      </c>
      <c r="N318" s="14">
        <v>641.5</v>
      </c>
      <c r="O318" s="14">
        <v>128.5</v>
      </c>
      <c r="P318" s="14">
        <v>96.2</v>
      </c>
      <c r="Q318" s="14">
        <v>1584.1</v>
      </c>
      <c r="R318" s="15">
        <f t="shared" si="1583"/>
        <v>2450.3000000000002</v>
      </c>
      <c r="S318" s="15">
        <f t="shared" si="1584"/>
        <v>2788.3</v>
      </c>
      <c r="T318" s="14">
        <v>1356.7</v>
      </c>
      <c r="U318" s="16">
        <f t="shared" si="1585"/>
        <v>0.3273100120627262</v>
      </c>
      <c r="V318" s="14">
        <v>16</v>
      </c>
      <c r="W318" s="17">
        <f t="shared" si="1586"/>
        <v>3.8600723763570566E-3</v>
      </c>
      <c r="X318" s="14">
        <v>0</v>
      </c>
      <c r="Y318" s="17">
        <f t="shared" si="1587"/>
        <v>0</v>
      </c>
      <c r="Z318" s="14">
        <v>0</v>
      </c>
      <c r="AA318" s="17">
        <f t="shared" si="1588"/>
        <v>0</v>
      </c>
      <c r="AB318" s="14">
        <v>0</v>
      </c>
      <c r="AC318" s="17">
        <f t="shared" si="1589"/>
        <v>0</v>
      </c>
      <c r="AD318" s="14">
        <v>0</v>
      </c>
      <c r="AE318" s="17">
        <f t="shared" si="1590"/>
        <v>0</v>
      </c>
      <c r="AF318" s="14">
        <v>0</v>
      </c>
      <c r="AG318" s="17">
        <f t="shared" si="1591"/>
        <v>0</v>
      </c>
      <c r="AH318" s="14">
        <v>416000</v>
      </c>
      <c r="AI318" s="15">
        <f t="shared" si="1592"/>
        <v>100.36188178528347</v>
      </c>
      <c r="AJ318" s="14">
        <v>1501.88</v>
      </c>
      <c r="AK318" s="17">
        <f t="shared" si="1593"/>
        <v>0.36233534378769605</v>
      </c>
      <c r="AL318" s="14">
        <v>442083.77091999998</v>
      </c>
      <c r="AM318" s="15">
        <f t="shared" si="1594"/>
        <v>106.65470951025331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4">
        <v>0</v>
      </c>
      <c r="AU318" s="15">
        <f t="shared" si="1595"/>
        <v>858083.77092000004</v>
      </c>
      <c r="AV318" s="15">
        <f t="shared" si="1596"/>
        <v>207.01659129553681</v>
      </c>
      <c r="AW318" s="15">
        <f t="shared" si="1597"/>
        <v>307.74442166194456</v>
      </c>
      <c r="AX318" s="14">
        <v>3</v>
      </c>
      <c r="AY318" s="15">
        <f t="shared" si="1598"/>
        <v>8.6851628468033777</v>
      </c>
      <c r="AZ318" s="14">
        <v>5</v>
      </c>
      <c r="BA318" s="14">
        <v>12</v>
      </c>
      <c r="BB318" s="14">
        <v>4</v>
      </c>
      <c r="BC318" s="14">
        <v>0</v>
      </c>
      <c r="BD318" s="14">
        <v>0</v>
      </c>
      <c r="BE318" s="15">
        <f t="shared" si="1599"/>
        <v>0</v>
      </c>
      <c r="BF318" s="15">
        <f t="shared" si="1600"/>
        <v>16</v>
      </c>
      <c r="BG318" s="14">
        <v>0</v>
      </c>
      <c r="BH318" s="14">
        <v>0</v>
      </c>
      <c r="BI318" s="14">
        <v>0</v>
      </c>
      <c r="BJ318" s="14">
        <v>0</v>
      </c>
      <c r="BK318" s="15">
        <f t="shared" si="1601"/>
        <v>0</v>
      </c>
      <c r="BL318" s="15">
        <f t="shared" si="1602"/>
        <v>0</v>
      </c>
      <c r="BM318" s="14">
        <v>0</v>
      </c>
      <c r="BN318" s="14">
        <v>0</v>
      </c>
      <c r="BO318" s="14">
        <v>0</v>
      </c>
      <c r="BP318" s="14">
        <v>0</v>
      </c>
      <c r="BQ318" s="15">
        <f t="shared" si="1603"/>
        <v>0</v>
      </c>
      <c r="BR318" s="15">
        <f t="shared" si="1604"/>
        <v>0</v>
      </c>
      <c r="BS318" s="14">
        <v>0</v>
      </c>
      <c r="BT318" s="14">
        <v>0</v>
      </c>
      <c r="BU318" s="14">
        <v>0</v>
      </c>
      <c r="BV318" s="14">
        <v>0</v>
      </c>
      <c r="BW318" s="15">
        <f t="shared" si="1605"/>
        <v>0</v>
      </c>
      <c r="BX318" s="15">
        <f t="shared" si="1606"/>
        <v>0</v>
      </c>
      <c r="BY318" s="15">
        <f t="shared" si="1607"/>
        <v>12</v>
      </c>
      <c r="BZ318" s="15">
        <f t="shared" si="1608"/>
        <v>4</v>
      </c>
      <c r="CA318" s="15">
        <f t="shared" si="1609"/>
        <v>0</v>
      </c>
      <c r="CB318" s="15">
        <f t="shared" si="1610"/>
        <v>16</v>
      </c>
      <c r="CC318" s="14">
        <v>0</v>
      </c>
      <c r="CD318" s="14">
        <v>113</v>
      </c>
      <c r="CE318" s="14">
        <v>7</v>
      </c>
      <c r="CF318" s="14">
        <v>4</v>
      </c>
      <c r="CG318" s="14">
        <v>1</v>
      </c>
      <c r="CH318" s="15">
        <f t="shared" si="1611"/>
        <v>125</v>
      </c>
      <c r="CI318" s="14">
        <v>8</v>
      </c>
      <c r="CJ318" s="14">
        <v>4</v>
      </c>
      <c r="CK318" s="14">
        <v>0</v>
      </c>
      <c r="CL318" s="14">
        <v>0</v>
      </c>
      <c r="CM318" s="15">
        <f t="shared" si="1612"/>
        <v>12</v>
      </c>
      <c r="CN318" s="14">
        <v>132</v>
      </c>
      <c r="CO318" s="14">
        <v>8</v>
      </c>
      <c r="CP318" s="14">
        <v>17</v>
      </c>
      <c r="CQ318" s="14">
        <v>22</v>
      </c>
      <c r="CR318" s="15">
        <f t="shared" si="1613"/>
        <v>179</v>
      </c>
      <c r="CS318" s="15">
        <f t="shared" si="1614"/>
        <v>191</v>
      </c>
      <c r="CT318" s="14">
        <v>316</v>
      </c>
      <c r="CU318" s="14">
        <v>1942</v>
      </c>
      <c r="CV318" s="14">
        <v>1921</v>
      </c>
      <c r="CW318" s="16">
        <f t="shared" si="1615"/>
        <v>0.98918640576725025</v>
      </c>
      <c r="CX318" s="14">
        <v>0</v>
      </c>
      <c r="CY318" s="14">
        <v>0</v>
      </c>
      <c r="CZ318" s="14">
        <v>0</v>
      </c>
      <c r="DA318" s="14">
        <v>0</v>
      </c>
      <c r="DB318" s="15">
        <f t="shared" si="1616"/>
        <v>0</v>
      </c>
      <c r="DC318" s="14">
        <v>0</v>
      </c>
      <c r="DD318" s="14">
        <v>0</v>
      </c>
      <c r="DE318" s="14">
        <v>0</v>
      </c>
      <c r="DF318" s="14">
        <v>0</v>
      </c>
      <c r="DG318" s="15">
        <f t="shared" si="1617"/>
        <v>0</v>
      </c>
      <c r="DH318" s="14">
        <v>0</v>
      </c>
      <c r="DI318" s="14">
        <v>0</v>
      </c>
      <c r="DJ318" s="14">
        <v>0</v>
      </c>
      <c r="DK318" s="14">
        <v>0</v>
      </c>
      <c r="DL318" s="15">
        <f t="shared" si="1618"/>
        <v>0</v>
      </c>
      <c r="DM318" s="14">
        <v>0</v>
      </c>
      <c r="DN318" s="14">
        <v>0</v>
      </c>
      <c r="DO318" s="14">
        <v>0</v>
      </c>
      <c r="DP318" s="14">
        <v>0</v>
      </c>
      <c r="DQ318" s="15">
        <f t="shared" si="1619"/>
        <v>0</v>
      </c>
      <c r="DR318" s="15">
        <f t="shared" si="1620"/>
        <v>0</v>
      </c>
      <c r="DS318" s="15">
        <f t="shared" si="1621"/>
        <v>0</v>
      </c>
      <c r="DT318" s="15">
        <f t="shared" si="1622"/>
        <v>0</v>
      </c>
      <c r="DU318" s="15">
        <f t="shared" si="1623"/>
        <v>0</v>
      </c>
      <c r="DV318" s="15">
        <f t="shared" si="1624"/>
        <v>0</v>
      </c>
      <c r="DW318" s="14">
        <v>6</v>
      </c>
      <c r="DX318" s="14">
        <v>8</v>
      </c>
      <c r="DY318" s="14">
        <v>20</v>
      </c>
      <c r="DZ318" s="14">
        <v>0</v>
      </c>
      <c r="EA318" s="14">
        <v>4</v>
      </c>
      <c r="EB318" s="14">
        <v>0</v>
      </c>
      <c r="EC318" s="14">
        <v>0</v>
      </c>
      <c r="ED318" s="14">
        <v>0</v>
      </c>
      <c r="EE318" s="14">
        <v>0</v>
      </c>
      <c r="EF318" s="14">
        <v>0</v>
      </c>
      <c r="EG318" s="14">
        <v>0</v>
      </c>
      <c r="EH318" s="14">
        <v>0</v>
      </c>
      <c r="EI318" s="14">
        <v>0</v>
      </c>
      <c r="EJ318" s="14">
        <v>2</v>
      </c>
      <c r="EK318" s="14">
        <v>0</v>
      </c>
      <c r="EL318" s="14">
        <v>0</v>
      </c>
      <c r="EM318" s="14">
        <v>0</v>
      </c>
      <c r="EN318" s="14">
        <v>0</v>
      </c>
      <c r="EO318" s="14">
        <v>0</v>
      </c>
      <c r="EP318" s="14">
        <v>0</v>
      </c>
      <c r="EQ318" s="14">
        <v>0</v>
      </c>
      <c r="ER318" s="14">
        <v>0</v>
      </c>
      <c r="ES318" s="14">
        <v>0</v>
      </c>
      <c r="ET318" s="14">
        <v>0</v>
      </c>
      <c r="EU318" s="14">
        <v>0</v>
      </c>
      <c r="EV318" s="14">
        <v>0</v>
      </c>
      <c r="EW318" s="14">
        <v>0</v>
      </c>
      <c r="EX318" s="14">
        <v>0</v>
      </c>
      <c r="EY318" s="14">
        <v>0</v>
      </c>
      <c r="EZ318" s="14">
        <v>0</v>
      </c>
      <c r="FA318" s="14">
        <v>0</v>
      </c>
      <c r="FB318" s="14">
        <v>0</v>
      </c>
      <c r="FC318" s="14">
        <v>0</v>
      </c>
      <c r="FD318" s="14">
        <v>0</v>
      </c>
      <c r="FE318" s="14">
        <v>0</v>
      </c>
      <c r="FF318" s="14">
        <v>0</v>
      </c>
      <c r="FG318" s="15">
        <f t="shared" si="1625"/>
        <v>40</v>
      </c>
      <c r="FH318" s="14">
        <v>0</v>
      </c>
      <c r="FI318" s="14">
        <v>0</v>
      </c>
      <c r="FJ318" s="14">
        <v>22</v>
      </c>
      <c r="FK318" s="14">
        <v>12.4</v>
      </c>
      <c r="FL318" s="14">
        <v>0</v>
      </c>
      <c r="FM318" s="14">
        <v>0</v>
      </c>
      <c r="FN318" s="14">
        <v>0</v>
      </c>
      <c r="FO318" s="14">
        <v>0</v>
      </c>
      <c r="FP318" s="14">
        <v>0</v>
      </c>
      <c r="FQ318" s="15">
        <f t="shared" si="1626"/>
        <v>0</v>
      </c>
      <c r="FR318" s="14">
        <v>70600</v>
      </c>
      <c r="FS318" s="14">
        <v>0</v>
      </c>
      <c r="FT318" s="14">
        <v>0</v>
      </c>
      <c r="FU318" s="14">
        <v>20000</v>
      </c>
      <c r="FV318" s="15">
        <f t="shared" si="1627"/>
        <v>90600</v>
      </c>
      <c r="FW318" s="14">
        <v>819100</v>
      </c>
      <c r="FX318" s="14">
        <v>27300</v>
      </c>
      <c r="FY318" s="14">
        <v>7489700</v>
      </c>
      <c r="FZ318" s="14">
        <v>291500</v>
      </c>
      <c r="GA318" s="15">
        <f t="shared" si="1628"/>
        <v>8627600</v>
      </c>
      <c r="GB318" s="15">
        <f t="shared" si="1629"/>
        <v>8718200</v>
      </c>
      <c r="GC318" s="14">
        <v>152890.16</v>
      </c>
      <c r="GD318" s="14">
        <v>0</v>
      </c>
      <c r="GE318" s="14">
        <v>564714.89</v>
      </c>
      <c r="GF318" s="14">
        <v>0</v>
      </c>
      <c r="GG318" s="15">
        <f t="shared" si="1630"/>
        <v>717605.05</v>
      </c>
      <c r="GH318" s="14">
        <v>799060</v>
      </c>
      <c r="GI318" s="14">
        <v>27300</v>
      </c>
      <c r="GJ318" s="14">
        <v>291500</v>
      </c>
      <c r="GK318" s="14">
        <v>7489700</v>
      </c>
      <c r="GL318" s="15">
        <f t="shared" si="1631"/>
        <v>8607560</v>
      </c>
      <c r="GM318" s="15">
        <f t="shared" si="1632"/>
        <v>9325165.0500000007</v>
      </c>
      <c r="GN318" s="14">
        <v>4359.4399999999996</v>
      </c>
      <c r="GO318" s="14">
        <v>0</v>
      </c>
      <c r="GP318" s="14">
        <v>13574.56</v>
      </c>
      <c r="GQ318" s="14">
        <v>0</v>
      </c>
      <c r="GR318" s="15">
        <f t="shared" si="1633"/>
        <v>17934</v>
      </c>
      <c r="GS318" s="14">
        <v>7144</v>
      </c>
      <c r="GT318" s="14">
        <v>0</v>
      </c>
      <c r="GU318" s="14">
        <v>3572</v>
      </c>
      <c r="GV318" s="14">
        <v>0</v>
      </c>
      <c r="GW318" s="15">
        <f t="shared" si="1634"/>
        <v>10716</v>
      </c>
      <c r="GX318" s="15">
        <f t="shared" si="1635"/>
        <v>9353815.0500000007</v>
      </c>
      <c r="GY318" s="14">
        <v>10290703.99000001</v>
      </c>
      <c r="GZ318" s="14">
        <v>-29150.51</v>
      </c>
      <c r="HA318" s="9">
        <f t="shared" si="1581"/>
        <v>10261553.48000001</v>
      </c>
      <c r="HB318" s="15">
        <f t="shared" si="1636"/>
        <v>9.1736234502519901E-2</v>
      </c>
      <c r="HC318" s="16">
        <f t="shared" si="1637"/>
        <v>0.44379808852780117</v>
      </c>
      <c r="HD318" s="15">
        <f t="shared" si="1638"/>
        <v>0.93204750718264406</v>
      </c>
      <c r="HE318" s="14">
        <v>5</v>
      </c>
      <c r="HF318" s="14">
        <v>1</v>
      </c>
      <c r="HG318" s="14">
        <v>16</v>
      </c>
      <c r="HH318" s="14">
        <v>4</v>
      </c>
      <c r="HI318" s="14">
        <v>0</v>
      </c>
      <c r="HJ318" s="15">
        <f t="shared" si="1639"/>
        <v>1</v>
      </c>
      <c r="HK318" s="16">
        <f t="shared" si="1640"/>
        <v>0.8</v>
      </c>
      <c r="HL318" s="14">
        <v>5</v>
      </c>
      <c r="HM318" s="14">
        <v>2</v>
      </c>
      <c r="HN318" s="17">
        <f t="shared" si="1641"/>
        <v>0.4</v>
      </c>
    </row>
    <row r="319" spans="1:222" x14ac:dyDescent="0.3">
      <c r="A319" s="6" t="s">
        <v>295</v>
      </c>
      <c r="B319" s="6" t="s">
        <v>299</v>
      </c>
      <c r="C319" s="7" t="s">
        <v>257</v>
      </c>
      <c r="D319" s="7">
        <v>2025</v>
      </c>
      <c r="E319" s="7">
        <v>8</v>
      </c>
      <c r="F319" s="7" t="s">
        <v>264</v>
      </c>
      <c r="G319" s="7" t="s">
        <v>263</v>
      </c>
      <c r="H319" s="8">
        <v>4045</v>
      </c>
      <c r="I319" s="8">
        <v>124</v>
      </c>
      <c r="J319" s="8">
        <v>0</v>
      </c>
      <c r="K319" s="8">
        <v>179</v>
      </c>
      <c r="L319" s="8">
        <v>0</v>
      </c>
      <c r="M319" s="9">
        <f t="shared" si="1582"/>
        <v>303</v>
      </c>
      <c r="N319" s="8">
        <v>748.4</v>
      </c>
      <c r="O319" s="8">
        <v>186.3</v>
      </c>
      <c r="P319" s="8">
        <v>88.3</v>
      </c>
      <c r="Q319" s="8">
        <v>1632.7</v>
      </c>
      <c r="R319" s="9">
        <f t="shared" si="1583"/>
        <v>2655.7</v>
      </c>
      <c r="S319" s="9">
        <f t="shared" si="1584"/>
        <v>2958.7</v>
      </c>
      <c r="T319" s="8">
        <v>1086.3</v>
      </c>
      <c r="U319" s="10">
        <f t="shared" si="1585"/>
        <v>0.26855377008652659</v>
      </c>
      <c r="V319" s="8">
        <v>14</v>
      </c>
      <c r="W319" s="11">
        <f t="shared" si="1586"/>
        <v>3.4610630407911E-3</v>
      </c>
      <c r="X319" s="8">
        <v>0</v>
      </c>
      <c r="Y319" s="11">
        <f t="shared" si="1587"/>
        <v>0</v>
      </c>
      <c r="Z319" s="8">
        <v>0</v>
      </c>
      <c r="AA319" s="11">
        <f t="shared" si="1588"/>
        <v>0</v>
      </c>
      <c r="AB319" s="8">
        <v>0</v>
      </c>
      <c r="AC319" s="11">
        <f t="shared" si="1589"/>
        <v>0</v>
      </c>
      <c r="AD319" s="8">
        <v>0</v>
      </c>
      <c r="AE319" s="11">
        <f t="shared" si="1590"/>
        <v>0</v>
      </c>
      <c r="AF319" s="8">
        <v>0</v>
      </c>
      <c r="AG319" s="11">
        <f t="shared" si="1591"/>
        <v>0</v>
      </c>
      <c r="AH319" s="8">
        <v>364000</v>
      </c>
      <c r="AI319" s="9">
        <f t="shared" si="1592"/>
        <v>89.987639060568597</v>
      </c>
      <c r="AJ319" s="8">
        <v>1459.75</v>
      </c>
      <c r="AK319" s="11">
        <f t="shared" si="1593"/>
        <v>0.36087762669962919</v>
      </c>
      <c r="AL319" s="8">
        <v>430569.26274999999</v>
      </c>
      <c r="AM319" s="9">
        <f t="shared" si="1594"/>
        <v>106.44481155747836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9">
        <f t="shared" si="1595"/>
        <v>794569.26274999999</v>
      </c>
      <c r="AV319" s="9">
        <f t="shared" si="1596"/>
        <v>196.43245061804697</v>
      </c>
      <c r="AW319" s="9">
        <f t="shared" si="1597"/>
        <v>268.55350753709399</v>
      </c>
      <c r="AX319" s="8">
        <v>3</v>
      </c>
      <c r="AY319" s="9">
        <f t="shared" si="1598"/>
        <v>8.8998763906056855</v>
      </c>
      <c r="AZ319" s="8">
        <v>5</v>
      </c>
      <c r="BA319" s="8">
        <v>16</v>
      </c>
      <c r="BB319" s="8">
        <v>0</v>
      </c>
      <c r="BC319" s="8">
        <v>0</v>
      </c>
      <c r="BD319" s="8">
        <v>0</v>
      </c>
      <c r="BE319" s="9">
        <f t="shared" si="1599"/>
        <v>0</v>
      </c>
      <c r="BF319" s="9">
        <f t="shared" si="1600"/>
        <v>16</v>
      </c>
      <c r="BG319" s="8">
        <v>0</v>
      </c>
      <c r="BH319" s="8">
        <v>0</v>
      </c>
      <c r="BI319" s="8">
        <v>0</v>
      </c>
      <c r="BJ319" s="8">
        <v>0</v>
      </c>
      <c r="BK319" s="9">
        <f t="shared" si="1601"/>
        <v>0</v>
      </c>
      <c r="BL319" s="9">
        <f t="shared" si="1602"/>
        <v>0</v>
      </c>
      <c r="BM319" s="8">
        <v>0</v>
      </c>
      <c r="BN319" s="8">
        <v>0</v>
      </c>
      <c r="BO319" s="8">
        <v>0</v>
      </c>
      <c r="BP319" s="8">
        <v>0</v>
      </c>
      <c r="BQ319" s="9">
        <f t="shared" si="1603"/>
        <v>0</v>
      </c>
      <c r="BR319" s="9">
        <f t="shared" si="1604"/>
        <v>0</v>
      </c>
      <c r="BS319" s="8">
        <v>0</v>
      </c>
      <c r="BT319" s="8">
        <v>0</v>
      </c>
      <c r="BU319" s="8">
        <v>0</v>
      </c>
      <c r="BV319" s="8">
        <v>0</v>
      </c>
      <c r="BW319" s="9">
        <f t="shared" si="1605"/>
        <v>0</v>
      </c>
      <c r="BX319" s="9">
        <f t="shared" si="1606"/>
        <v>0</v>
      </c>
      <c r="BY319" s="9">
        <f t="shared" si="1607"/>
        <v>16</v>
      </c>
      <c r="BZ319" s="9">
        <f t="shared" si="1608"/>
        <v>0</v>
      </c>
      <c r="CA319" s="9">
        <f t="shared" si="1609"/>
        <v>0</v>
      </c>
      <c r="CB319" s="9">
        <f t="shared" si="1610"/>
        <v>16</v>
      </c>
      <c r="CC319" s="8">
        <v>6</v>
      </c>
      <c r="CD319" s="8">
        <v>107</v>
      </c>
      <c r="CE319" s="8">
        <v>7</v>
      </c>
      <c r="CF319" s="8">
        <v>4</v>
      </c>
      <c r="CG319" s="8">
        <v>1</v>
      </c>
      <c r="CH319" s="9">
        <f t="shared" si="1611"/>
        <v>119</v>
      </c>
      <c r="CI319" s="8">
        <v>14</v>
      </c>
      <c r="CJ319" s="8">
        <v>4</v>
      </c>
      <c r="CK319" s="8">
        <v>0</v>
      </c>
      <c r="CL319" s="8">
        <v>0</v>
      </c>
      <c r="CM319" s="9">
        <f t="shared" si="1612"/>
        <v>18</v>
      </c>
      <c r="CN319" s="8">
        <v>132</v>
      </c>
      <c r="CO319" s="8">
        <v>8</v>
      </c>
      <c r="CP319" s="8">
        <v>17</v>
      </c>
      <c r="CQ319" s="8">
        <v>22</v>
      </c>
      <c r="CR319" s="9">
        <f t="shared" si="1613"/>
        <v>179</v>
      </c>
      <c r="CS319" s="9">
        <f t="shared" si="1614"/>
        <v>197</v>
      </c>
      <c r="CT319" s="8">
        <v>316</v>
      </c>
      <c r="CU319" s="8">
        <v>1946</v>
      </c>
      <c r="CV319" s="8">
        <v>1921</v>
      </c>
      <c r="CW319" s="10">
        <f t="shared" si="1615"/>
        <v>0.98715313463514898</v>
      </c>
      <c r="CX319" s="8">
        <v>0</v>
      </c>
      <c r="CY319" s="8">
        <v>0</v>
      </c>
      <c r="CZ319" s="8">
        <v>0</v>
      </c>
      <c r="DA319" s="8">
        <v>0</v>
      </c>
      <c r="DB319" s="9">
        <f t="shared" si="1616"/>
        <v>0</v>
      </c>
      <c r="DC319" s="8">
        <v>0</v>
      </c>
      <c r="DD319" s="8">
        <v>0</v>
      </c>
      <c r="DE319" s="8">
        <v>0</v>
      </c>
      <c r="DF319" s="8">
        <v>0</v>
      </c>
      <c r="DG319" s="9">
        <f t="shared" si="1617"/>
        <v>0</v>
      </c>
      <c r="DH319" s="8">
        <v>0</v>
      </c>
      <c r="DI319" s="8">
        <v>0</v>
      </c>
      <c r="DJ319" s="8">
        <v>0</v>
      </c>
      <c r="DK319" s="8">
        <v>0</v>
      </c>
      <c r="DL319" s="9">
        <f t="shared" si="1618"/>
        <v>0</v>
      </c>
      <c r="DM319" s="8">
        <v>0</v>
      </c>
      <c r="DN319" s="8">
        <v>0</v>
      </c>
      <c r="DO319" s="8">
        <v>0</v>
      </c>
      <c r="DP319" s="8">
        <v>0</v>
      </c>
      <c r="DQ319" s="9">
        <f t="shared" si="1619"/>
        <v>0</v>
      </c>
      <c r="DR319" s="9">
        <f t="shared" si="1620"/>
        <v>0</v>
      </c>
      <c r="DS319" s="9">
        <f t="shared" si="1621"/>
        <v>0</v>
      </c>
      <c r="DT319" s="9">
        <f t="shared" si="1622"/>
        <v>0</v>
      </c>
      <c r="DU319" s="9">
        <f t="shared" si="1623"/>
        <v>0</v>
      </c>
      <c r="DV319" s="9">
        <f t="shared" si="1624"/>
        <v>0</v>
      </c>
      <c r="DW319" s="8">
        <v>8</v>
      </c>
      <c r="DX319" s="8">
        <v>5</v>
      </c>
      <c r="DY319" s="8">
        <v>13</v>
      </c>
      <c r="DZ319" s="8">
        <v>0</v>
      </c>
      <c r="EA319" s="8">
        <v>0</v>
      </c>
      <c r="EB319" s="8"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2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9">
        <f t="shared" si="1625"/>
        <v>28</v>
      </c>
      <c r="FH319" s="8">
        <v>0</v>
      </c>
      <c r="FI319" s="8">
        <v>0</v>
      </c>
      <c r="FJ319" s="8">
        <v>22</v>
      </c>
      <c r="FK319" s="8">
        <v>2.25</v>
      </c>
      <c r="FL319" s="8">
        <v>0</v>
      </c>
      <c r="FM319" s="8">
        <v>0</v>
      </c>
      <c r="FN319" s="8">
        <v>0</v>
      </c>
      <c r="FO319" s="8">
        <v>0</v>
      </c>
      <c r="FP319" s="8">
        <v>0</v>
      </c>
      <c r="FQ319" s="9">
        <f t="shared" si="1626"/>
        <v>0</v>
      </c>
      <c r="FR319" s="8">
        <v>127200</v>
      </c>
      <c r="FS319" s="8">
        <v>0</v>
      </c>
      <c r="FT319" s="8">
        <v>0</v>
      </c>
      <c r="FU319" s="8">
        <v>95700</v>
      </c>
      <c r="FV319" s="9">
        <f t="shared" si="1627"/>
        <v>222900</v>
      </c>
      <c r="FW319" s="8">
        <v>949606.64</v>
      </c>
      <c r="FX319" s="8">
        <v>45600</v>
      </c>
      <c r="FY319" s="8">
        <v>7718700</v>
      </c>
      <c r="FZ319" s="8">
        <v>298000</v>
      </c>
      <c r="GA319" s="9">
        <f t="shared" si="1628"/>
        <v>9011906.6400000006</v>
      </c>
      <c r="GB319" s="9">
        <f t="shared" si="1629"/>
        <v>9234806.6400000006</v>
      </c>
      <c r="GC319" s="8">
        <v>116751.98</v>
      </c>
      <c r="GD319" s="8">
        <v>0</v>
      </c>
      <c r="GE319" s="8">
        <v>573228.44999999995</v>
      </c>
      <c r="GF319" s="8">
        <v>0</v>
      </c>
      <c r="GG319" s="9">
        <f t="shared" si="1630"/>
        <v>689980.42999999993</v>
      </c>
      <c r="GH319" s="8">
        <v>932506.64</v>
      </c>
      <c r="GI319" s="8">
        <v>39600</v>
      </c>
      <c r="GJ319" s="8">
        <v>268000</v>
      </c>
      <c r="GK319" s="8">
        <v>7718700</v>
      </c>
      <c r="GL319" s="9">
        <f t="shared" si="1631"/>
        <v>8958806.6400000006</v>
      </c>
      <c r="GM319" s="9">
        <f t="shared" si="1632"/>
        <v>9648787.0700000003</v>
      </c>
      <c r="GN319" s="8">
        <v>7629.02</v>
      </c>
      <c r="GO319" s="8">
        <v>0</v>
      </c>
      <c r="GP319" s="8">
        <v>13574.56</v>
      </c>
      <c r="GQ319" s="8">
        <v>0</v>
      </c>
      <c r="GR319" s="9">
        <f t="shared" si="1633"/>
        <v>21203.58</v>
      </c>
      <c r="GS319" s="8">
        <v>12502</v>
      </c>
      <c r="GT319" s="8">
        <v>0</v>
      </c>
      <c r="GU319" s="8">
        <v>3572</v>
      </c>
      <c r="GV319" s="8">
        <v>0</v>
      </c>
      <c r="GW319" s="9">
        <f t="shared" si="1634"/>
        <v>16074</v>
      </c>
      <c r="GX319" s="9">
        <f t="shared" si="1635"/>
        <v>9686064.6500000004</v>
      </c>
      <c r="GY319" s="8">
        <v>10795062.000000009</v>
      </c>
      <c r="GZ319" s="8">
        <v>-29150.51</v>
      </c>
      <c r="HA319" s="9">
        <f t="shared" si="1581"/>
        <v>10765911.49000001</v>
      </c>
      <c r="HB319" s="9">
        <f t="shared" si="1636"/>
        <v>8.2032207244249603E-2</v>
      </c>
      <c r="HC319" s="10">
        <f t="shared" si="1637"/>
        <v>0.45089348832282117</v>
      </c>
      <c r="HD319" s="9">
        <f t="shared" si="1638"/>
        <v>0.95341162522593736</v>
      </c>
      <c r="HE319" s="8">
        <v>3</v>
      </c>
      <c r="HF319" s="8">
        <v>1</v>
      </c>
      <c r="HG319" s="8">
        <v>16</v>
      </c>
      <c r="HH319" s="8">
        <v>0</v>
      </c>
      <c r="HI319" s="8">
        <v>0</v>
      </c>
      <c r="HJ319" s="9">
        <f t="shared" si="1639"/>
        <v>1</v>
      </c>
      <c r="HK319" s="10">
        <f t="shared" si="1640"/>
        <v>0</v>
      </c>
      <c r="HL319" s="8">
        <v>6</v>
      </c>
      <c r="HM319" s="8">
        <v>1</v>
      </c>
      <c r="HN319" s="11">
        <f t="shared" si="1641"/>
        <v>0.16666666666666666</v>
      </c>
    </row>
    <row r="320" spans="1:222" x14ac:dyDescent="0.3">
      <c r="A320" s="12" t="s">
        <v>295</v>
      </c>
      <c r="B320" s="12" t="s">
        <v>299</v>
      </c>
      <c r="C320" s="13" t="s">
        <v>257</v>
      </c>
      <c r="D320" s="13">
        <v>2025</v>
      </c>
      <c r="E320" s="13">
        <v>9</v>
      </c>
      <c r="F320" s="13" t="s">
        <v>265</v>
      </c>
      <c r="G320" s="13" t="s">
        <v>263</v>
      </c>
      <c r="H320" s="14">
        <v>4606</v>
      </c>
      <c r="I320" s="14">
        <v>206</v>
      </c>
      <c r="J320" s="14">
        <v>2</v>
      </c>
      <c r="K320" s="14">
        <v>210</v>
      </c>
      <c r="L320" s="14">
        <v>0</v>
      </c>
      <c r="M320" s="15">
        <f t="shared" si="1582"/>
        <v>418</v>
      </c>
      <c r="N320" s="14">
        <v>609.1</v>
      </c>
      <c r="O320" s="14">
        <v>231.5</v>
      </c>
      <c r="P320" s="14">
        <v>23.7</v>
      </c>
      <c r="Q320" s="14">
        <v>2421.4</v>
      </c>
      <c r="R320" s="15">
        <f t="shared" si="1583"/>
        <v>3285.7000000000003</v>
      </c>
      <c r="S320" s="15">
        <f t="shared" si="1584"/>
        <v>3703.7000000000003</v>
      </c>
      <c r="T320" s="14">
        <v>902.3</v>
      </c>
      <c r="U320" s="16">
        <f t="shared" si="1585"/>
        <v>0.19589665653495439</v>
      </c>
      <c r="V320" s="14">
        <v>16</v>
      </c>
      <c r="W320" s="17">
        <f t="shared" si="1586"/>
        <v>3.4737299174989146E-3</v>
      </c>
      <c r="X320" s="14">
        <v>0</v>
      </c>
      <c r="Y320" s="17">
        <f t="shared" si="1587"/>
        <v>0</v>
      </c>
      <c r="Z320" s="14">
        <v>0</v>
      </c>
      <c r="AA320" s="17">
        <f t="shared" si="1588"/>
        <v>0</v>
      </c>
      <c r="AB320" s="14">
        <v>0</v>
      </c>
      <c r="AC320" s="17">
        <f t="shared" si="1589"/>
        <v>0</v>
      </c>
      <c r="AD320" s="14">
        <v>0</v>
      </c>
      <c r="AE320" s="17">
        <f t="shared" si="1590"/>
        <v>0</v>
      </c>
      <c r="AF320" s="14">
        <v>0</v>
      </c>
      <c r="AG320" s="17">
        <f t="shared" si="1591"/>
        <v>0</v>
      </c>
      <c r="AH320" s="14">
        <v>416000</v>
      </c>
      <c r="AI320" s="15">
        <f t="shared" si="1592"/>
        <v>90.316977854971782</v>
      </c>
      <c r="AJ320" s="14">
        <v>1604.57</v>
      </c>
      <c r="AK320" s="17">
        <f t="shared" si="1593"/>
        <v>0.34836517585757704</v>
      </c>
      <c r="AL320" s="14">
        <v>470149.87212999997</v>
      </c>
      <c r="AM320" s="15">
        <f t="shared" si="1594"/>
        <v>102.07335478289187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0</v>
      </c>
      <c r="AU320" s="15">
        <f t="shared" si="1595"/>
        <v>886149.87213000003</v>
      </c>
      <c r="AV320" s="15">
        <f t="shared" si="1596"/>
        <v>192.39033263786365</v>
      </c>
      <c r="AW320" s="15">
        <f t="shared" si="1597"/>
        <v>239.26070473580472</v>
      </c>
      <c r="AX320" s="14">
        <v>3</v>
      </c>
      <c r="AY320" s="15">
        <f t="shared" si="1598"/>
        <v>7.815892314372558</v>
      </c>
      <c r="AZ320" s="14">
        <v>5</v>
      </c>
      <c r="BA320" s="14">
        <v>16</v>
      </c>
      <c r="BB320" s="14">
        <v>0</v>
      </c>
      <c r="BC320" s="14">
        <v>0</v>
      </c>
      <c r="BD320" s="14">
        <v>0</v>
      </c>
      <c r="BE320" s="15">
        <f t="shared" si="1599"/>
        <v>0</v>
      </c>
      <c r="BF320" s="15">
        <f t="shared" si="1600"/>
        <v>16</v>
      </c>
      <c r="BG320" s="14">
        <v>0</v>
      </c>
      <c r="BH320" s="14">
        <v>0</v>
      </c>
      <c r="BI320" s="14">
        <v>0</v>
      </c>
      <c r="BJ320" s="14">
        <v>0</v>
      </c>
      <c r="BK320" s="15">
        <f t="shared" si="1601"/>
        <v>0</v>
      </c>
      <c r="BL320" s="15">
        <f t="shared" si="1602"/>
        <v>0</v>
      </c>
      <c r="BM320" s="14">
        <v>0</v>
      </c>
      <c r="BN320" s="14">
        <v>0</v>
      </c>
      <c r="BO320" s="14">
        <v>0</v>
      </c>
      <c r="BP320" s="14">
        <v>0</v>
      </c>
      <c r="BQ320" s="15">
        <f t="shared" si="1603"/>
        <v>0</v>
      </c>
      <c r="BR320" s="15">
        <f t="shared" si="1604"/>
        <v>0</v>
      </c>
      <c r="BS320" s="14">
        <v>0</v>
      </c>
      <c r="BT320" s="14">
        <v>0</v>
      </c>
      <c r="BU320" s="14">
        <v>0</v>
      </c>
      <c r="BV320" s="14">
        <v>0</v>
      </c>
      <c r="BW320" s="15">
        <f t="shared" si="1605"/>
        <v>0</v>
      </c>
      <c r="BX320" s="15">
        <f t="shared" si="1606"/>
        <v>0</v>
      </c>
      <c r="BY320" s="15">
        <f t="shared" si="1607"/>
        <v>16</v>
      </c>
      <c r="BZ320" s="15">
        <f t="shared" si="1608"/>
        <v>0</v>
      </c>
      <c r="CA320" s="15">
        <f t="shared" si="1609"/>
        <v>0</v>
      </c>
      <c r="CB320" s="15">
        <f t="shared" si="1610"/>
        <v>16</v>
      </c>
      <c r="CC320" s="14">
        <v>16</v>
      </c>
      <c r="CD320" s="14">
        <v>92</v>
      </c>
      <c r="CE320" s="14">
        <v>7</v>
      </c>
      <c r="CF320" s="14">
        <v>4</v>
      </c>
      <c r="CG320" s="14">
        <v>0</v>
      </c>
      <c r="CH320" s="15">
        <f t="shared" si="1611"/>
        <v>103</v>
      </c>
      <c r="CI320" s="14">
        <v>29</v>
      </c>
      <c r="CJ320" s="14">
        <v>4</v>
      </c>
      <c r="CK320" s="14">
        <v>0</v>
      </c>
      <c r="CL320" s="14">
        <v>1</v>
      </c>
      <c r="CM320" s="15">
        <f t="shared" si="1612"/>
        <v>34</v>
      </c>
      <c r="CN320" s="14">
        <v>132</v>
      </c>
      <c r="CO320" s="14">
        <v>8</v>
      </c>
      <c r="CP320" s="14">
        <v>17</v>
      </c>
      <c r="CQ320" s="14">
        <v>22</v>
      </c>
      <c r="CR320" s="15">
        <f t="shared" si="1613"/>
        <v>179</v>
      </c>
      <c r="CS320" s="15">
        <f t="shared" si="1614"/>
        <v>213</v>
      </c>
      <c r="CT320" s="14">
        <v>316</v>
      </c>
      <c r="CU320" s="14">
        <v>1970</v>
      </c>
      <c r="CV320" s="14">
        <v>1921</v>
      </c>
      <c r="CW320" s="16">
        <f t="shared" si="1615"/>
        <v>0.97512690355329945</v>
      </c>
      <c r="CX320" s="14">
        <v>0</v>
      </c>
      <c r="CY320" s="14">
        <v>0</v>
      </c>
      <c r="CZ320" s="14">
        <v>0</v>
      </c>
      <c r="DA320" s="14">
        <v>0</v>
      </c>
      <c r="DB320" s="15">
        <f t="shared" si="1616"/>
        <v>0</v>
      </c>
      <c r="DC320" s="14">
        <v>0</v>
      </c>
      <c r="DD320" s="14">
        <v>0</v>
      </c>
      <c r="DE320" s="14">
        <v>0</v>
      </c>
      <c r="DF320" s="14">
        <v>0</v>
      </c>
      <c r="DG320" s="15">
        <f t="shared" si="1617"/>
        <v>0</v>
      </c>
      <c r="DH320" s="14">
        <v>0</v>
      </c>
      <c r="DI320" s="14">
        <v>0</v>
      </c>
      <c r="DJ320" s="14">
        <v>0</v>
      </c>
      <c r="DK320" s="14">
        <v>0</v>
      </c>
      <c r="DL320" s="15">
        <f t="shared" si="1618"/>
        <v>0</v>
      </c>
      <c r="DM320" s="14">
        <v>0</v>
      </c>
      <c r="DN320" s="14">
        <v>0</v>
      </c>
      <c r="DO320" s="14">
        <v>0</v>
      </c>
      <c r="DP320" s="14">
        <v>0</v>
      </c>
      <c r="DQ320" s="15">
        <f t="shared" si="1619"/>
        <v>0</v>
      </c>
      <c r="DR320" s="15">
        <f t="shared" si="1620"/>
        <v>0</v>
      </c>
      <c r="DS320" s="15">
        <f t="shared" si="1621"/>
        <v>0</v>
      </c>
      <c r="DT320" s="15">
        <f t="shared" si="1622"/>
        <v>0</v>
      </c>
      <c r="DU320" s="15">
        <f t="shared" si="1623"/>
        <v>0</v>
      </c>
      <c r="DV320" s="15">
        <f t="shared" si="1624"/>
        <v>0</v>
      </c>
      <c r="DW320" s="14">
        <v>9</v>
      </c>
      <c r="DX320" s="14">
        <v>8</v>
      </c>
      <c r="DY320" s="14">
        <v>14</v>
      </c>
      <c r="DZ320" s="14">
        <v>1</v>
      </c>
      <c r="EA320" s="14">
        <v>3</v>
      </c>
      <c r="EB320" s="14">
        <v>2</v>
      </c>
      <c r="EC320" s="14">
        <v>1</v>
      </c>
      <c r="ED320" s="14">
        <v>1</v>
      </c>
      <c r="EE320" s="14">
        <v>1</v>
      </c>
      <c r="EF320" s="14">
        <v>0</v>
      </c>
      <c r="EG320" s="14">
        <v>0</v>
      </c>
      <c r="EH320" s="14">
        <v>0</v>
      </c>
      <c r="EI320" s="14">
        <v>0</v>
      </c>
      <c r="EJ320" s="14">
        <v>0</v>
      </c>
      <c r="EK320" s="14">
        <v>0</v>
      </c>
      <c r="EL320" s="14">
        <v>0</v>
      </c>
      <c r="EM320" s="14">
        <v>0</v>
      </c>
      <c r="EN320" s="14">
        <v>0</v>
      </c>
      <c r="EO320" s="14">
        <v>0</v>
      </c>
      <c r="EP320" s="14">
        <v>0</v>
      </c>
      <c r="EQ320" s="14">
        <v>0</v>
      </c>
      <c r="ER320" s="14">
        <v>0</v>
      </c>
      <c r="ES320" s="14">
        <v>0</v>
      </c>
      <c r="ET320" s="14">
        <v>0</v>
      </c>
      <c r="EU320" s="14">
        <v>0</v>
      </c>
      <c r="EV320" s="14">
        <v>0</v>
      </c>
      <c r="EW320" s="14">
        <v>0</v>
      </c>
      <c r="EX320" s="14">
        <v>0</v>
      </c>
      <c r="EY320" s="14">
        <v>0</v>
      </c>
      <c r="EZ320" s="14">
        <v>0</v>
      </c>
      <c r="FA320" s="14">
        <v>0</v>
      </c>
      <c r="FB320" s="14">
        <v>0</v>
      </c>
      <c r="FC320" s="14">
        <v>0</v>
      </c>
      <c r="FD320" s="14">
        <v>0</v>
      </c>
      <c r="FE320" s="14">
        <v>0</v>
      </c>
      <c r="FF320" s="14">
        <v>0</v>
      </c>
      <c r="FG320" s="15">
        <f t="shared" si="1625"/>
        <v>40</v>
      </c>
      <c r="FH320" s="14">
        <v>0</v>
      </c>
      <c r="FI320" s="14">
        <v>0</v>
      </c>
      <c r="FJ320" s="14">
        <v>21</v>
      </c>
      <c r="FK320" s="14">
        <v>5.8</v>
      </c>
      <c r="FL320" s="14">
        <v>0</v>
      </c>
      <c r="FM320" s="14">
        <v>0</v>
      </c>
      <c r="FN320" s="14">
        <v>0</v>
      </c>
      <c r="FO320" s="14">
        <v>0</v>
      </c>
      <c r="FP320" s="14">
        <v>0</v>
      </c>
      <c r="FQ320" s="15">
        <f t="shared" si="1626"/>
        <v>0</v>
      </c>
      <c r="FR320" s="14">
        <v>21800</v>
      </c>
      <c r="FS320" s="14">
        <v>0</v>
      </c>
      <c r="FT320" s="14">
        <v>0</v>
      </c>
      <c r="FU320" s="14">
        <v>0</v>
      </c>
      <c r="FV320" s="15">
        <f t="shared" si="1627"/>
        <v>21800</v>
      </c>
      <c r="FW320" s="14">
        <v>783944.36</v>
      </c>
      <c r="FX320" s="14">
        <v>60600</v>
      </c>
      <c r="FY320" s="14">
        <v>11447000</v>
      </c>
      <c r="FZ320" s="14">
        <v>71500</v>
      </c>
      <c r="GA320" s="15">
        <f t="shared" si="1628"/>
        <v>12363044.359999999</v>
      </c>
      <c r="GB320" s="15">
        <f t="shared" si="1629"/>
        <v>12384844.359999999</v>
      </c>
      <c r="GC320" s="14">
        <v>213384.03</v>
      </c>
      <c r="GD320" s="14">
        <v>382.56</v>
      </c>
      <c r="GE320" s="14">
        <v>678877.4</v>
      </c>
      <c r="GF320" s="14">
        <v>0</v>
      </c>
      <c r="GG320" s="15">
        <f t="shared" si="1630"/>
        <v>892643.99</v>
      </c>
      <c r="GH320" s="14">
        <v>760262.25</v>
      </c>
      <c r="GI320" s="14">
        <v>49200</v>
      </c>
      <c r="GJ320" s="14">
        <v>71500</v>
      </c>
      <c r="GK320" s="14">
        <v>11447000</v>
      </c>
      <c r="GL320" s="15">
        <f t="shared" si="1631"/>
        <v>12327962.25</v>
      </c>
      <c r="GM320" s="15">
        <f t="shared" si="1632"/>
        <v>13220606.24</v>
      </c>
      <c r="GN320" s="14">
        <v>16027.83</v>
      </c>
      <c r="GO320" s="14">
        <v>191.28</v>
      </c>
      <c r="GP320" s="14">
        <v>13574.56</v>
      </c>
      <c r="GQ320" s="14">
        <v>0</v>
      </c>
      <c r="GR320" s="15">
        <f t="shared" si="1633"/>
        <v>29793.67</v>
      </c>
      <c r="GS320" s="14">
        <v>25897</v>
      </c>
      <c r="GT320" s="14">
        <v>893</v>
      </c>
      <c r="GU320" s="14">
        <v>3572</v>
      </c>
      <c r="GV320" s="14">
        <v>0</v>
      </c>
      <c r="GW320" s="15">
        <f t="shared" si="1634"/>
        <v>30362</v>
      </c>
      <c r="GX320" s="15">
        <f t="shared" si="1635"/>
        <v>13280761.91</v>
      </c>
      <c r="GY320" s="14">
        <v>10386074.62000001</v>
      </c>
      <c r="GZ320" s="14">
        <v>-29150.51</v>
      </c>
      <c r="HA320" s="9">
        <f t="shared" si="1581"/>
        <v>10356924.110000011</v>
      </c>
      <c r="HB320" s="15">
        <f t="shared" si="1636"/>
        <v>6.6724324864430917E-2</v>
      </c>
      <c r="HC320" s="16">
        <f t="shared" si="1637"/>
        <v>0.52329952692667692</v>
      </c>
      <c r="HD320" s="15">
        <f t="shared" si="1638"/>
        <v>0.93254019941992916</v>
      </c>
      <c r="HE320" s="14">
        <v>2</v>
      </c>
      <c r="HF320" s="14">
        <v>1</v>
      </c>
      <c r="HG320" s="14">
        <v>16</v>
      </c>
      <c r="HH320" s="14">
        <v>0</v>
      </c>
      <c r="HI320" s="14">
        <v>0</v>
      </c>
      <c r="HJ320" s="15">
        <f t="shared" si="1639"/>
        <v>1</v>
      </c>
      <c r="HK320" s="16">
        <f t="shared" si="1640"/>
        <v>0</v>
      </c>
      <c r="HL320" s="14">
        <v>3</v>
      </c>
      <c r="HM320" s="14">
        <v>2</v>
      </c>
      <c r="HN320" s="17">
        <f t="shared" si="1641"/>
        <v>0.66666666666666663</v>
      </c>
    </row>
    <row r="321" spans="1:222" x14ac:dyDescent="0.3">
      <c r="A321" s="6" t="s">
        <v>295</v>
      </c>
      <c r="B321" s="6" t="s">
        <v>299</v>
      </c>
      <c r="C321" s="7" t="s">
        <v>257</v>
      </c>
      <c r="D321" s="7">
        <v>2025</v>
      </c>
      <c r="E321" s="7">
        <v>10</v>
      </c>
      <c r="F321" s="7" t="s">
        <v>266</v>
      </c>
      <c r="G321" s="7" t="s">
        <v>267</v>
      </c>
      <c r="H321" s="8">
        <v>5018</v>
      </c>
      <c r="I321" s="8">
        <v>301</v>
      </c>
      <c r="J321" s="8">
        <v>1</v>
      </c>
      <c r="K321" s="8">
        <v>167</v>
      </c>
      <c r="L321" s="8">
        <v>0</v>
      </c>
      <c r="M321" s="9">
        <f t="shared" si="1582"/>
        <v>469</v>
      </c>
      <c r="N321" s="8">
        <v>1019.8</v>
      </c>
      <c r="O321" s="8">
        <v>233.5</v>
      </c>
      <c r="P321" s="8">
        <v>1647.4</v>
      </c>
      <c r="Q321" s="8">
        <v>1414.7</v>
      </c>
      <c r="R321" s="9">
        <f t="shared" si="1583"/>
        <v>4315.3999999999996</v>
      </c>
      <c r="S321" s="9">
        <f t="shared" si="1584"/>
        <v>4784.3999999999996</v>
      </c>
      <c r="T321" s="8">
        <v>233.6</v>
      </c>
      <c r="U321" s="10">
        <f t="shared" si="1585"/>
        <v>4.6552411319250697E-2</v>
      </c>
      <c r="V321" s="8">
        <v>15</v>
      </c>
      <c r="W321" s="11">
        <f t="shared" si="1586"/>
        <v>2.9892387405340772E-3</v>
      </c>
      <c r="X321" s="8">
        <v>0</v>
      </c>
      <c r="Y321" s="11">
        <f t="shared" si="1587"/>
        <v>0</v>
      </c>
      <c r="Z321" s="8">
        <v>0</v>
      </c>
      <c r="AA321" s="11">
        <f t="shared" si="1588"/>
        <v>0</v>
      </c>
      <c r="AB321" s="8">
        <v>0</v>
      </c>
      <c r="AC321" s="11">
        <f t="shared" si="1589"/>
        <v>0</v>
      </c>
      <c r="AD321" s="8">
        <v>0</v>
      </c>
      <c r="AE321" s="11">
        <f t="shared" si="1590"/>
        <v>0</v>
      </c>
      <c r="AF321" s="8">
        <v>0</v>
      </c>
      <c r="AG321" s="11">
        <f t="shared" si="1591"/>
        <v>0</v>
      </c>
      <c r="AH321" s="8">
        <v>390000</v>
      </c>
      <c r="AI321" s="9">
        <f t="shared" si="1592"/>
        <v>77.720207253886016</v>
      </c>
      <c r="AJ321" s="8">
        <v>1211.8</v>
      </c>
      <c r="AK321" s="11">
        <f t="shared" si="1593"/>
        <v>0.24149063371861298</v>
      </c>
      <c r="AL321" s="8">
        <v>362802.29619999998</v>
      </c>
      <c r="AM321" s="9">
        <f t="shared" si="1594"/>
        <v>72.300178597050618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9">
        <f t="shared" si="1595"/>
        <v>752802.29619999998</v>
      </c>
      <c r="AV321" s="9">
        <f t="shared" si="1596"/>
        <v>150.02038585093663</v>
      </c>
      <c r="AW321" s="9">
        <f t="shared" si="1597"/>
        <v>157.34518355488672</v>
      </c>
      <c r="AX321" s="8">
        <v>3</v>
      </c>
      <c r="AY321" s="9">
        <f t="shared" si="1598"/>
        <v>7.1741729772817866</v>
      </c>
      <c r="AZ321" s="8">
        <v>5</v>
      </c>
      <c r="BA321" s="8">
        <v>16</v>
      </c>
      <c r="BB321" s="8">
        <v>0</v>
      </c>
      <c r="BC321" s="8">
        <v>12</v>
      </c>
      <c r="BD321" s="8">
        <v>0</v>
      </c>
      <c r="BE321" s="9">
        <f t="shared" si="1599"/>
        <v>12</v>
      </c>
      <c r="BF321" s="9">
        <f t="shared" si="1600"/>
        <v>4</v>
      </c>
      <c r="BG321" s="8">
        <v>0</v>
      </c>
      <c r="BH321" s="8">
        <v>0</v>
      </c>
      <c r="BI321" s="8">
        <v>0</v>
      </c>
      <c r="BJ321" s="8">
        <v>0</v>
      </c>
      <c r="BK321" s="9">
        <f t="shared" si="1601"/>
        <v>0</v>
      </c>
      <c r="BL321" s="9">
        <f t="shared" si="1602"/>
        <v>0</v>
      </c>
      <c r="BM321" s="8">
        <v>0</v>
      </c>
      <c r="BN321" s="8">
        <v>0</v>
      </c>
      <c r="BO321" s="8">
        <v>0</v>
      </c>
      <c r="BP321" s="8">
        <v>0</v>
      </c>
      <c r="BQ321" s="9">
        <f t="shared" si="1603"/>
        <v>0</v>
      </c>
      <c r="BR321" s="9">
        <f t="shared" si="1604"/>
        <v>0</v>
      </c>
      <c r="BS321" s="8">
        <v>0</v>
      </c>
      <c r="BT321" s="8">
        <v>0</v>
      </c>
      <c r="BU321" s="8">
        <v>0</v>
      </c>
      <c r="BV321" s="8">
        <v>0</v>
      </c>
      <c r="BW321" s="9">
        <f t="shared" si="1605"/>
        <v>0</v>
      </c>
      <c r="BX321" s="9">
        <f t="shared" si="1606"/>
        <v>0</v>
      </c>
      <c r="BY321" s="9">
        <f t="shared" si="1607"/>
        <v>16</v>
      </c>
      <c r="BZ321" s="9">
        <f t="shared" si="1608"/>
        <v>0</v>
      </c>
      <c r="CA321" s="9">
        <f t="shared" si="1609"/>
        <v>12</v>
      </c>
      <c r="CB321" s="9">
        <f t="shared" si="1610"/>
        <v>4</v>
      </c>
      <c r="CC321" s="8">
        <v>29</v>
      </c>
      <c r="CD321" s="8">
        <v>76</v>
      </c>
      <c r="CE321" s="8">
        <v>7</v>
      </c>
      <c r="CF321" s="8">
        <v>3</v>
      </c>
      <c r="CG321" s="8">
        <v>0</v>
      </c>
      <c r="CH321" s="9">
        <f t="shared" si="1611"/>
        <v>86</v>
      </c>
      <c r="CI321" s="8">
        <v>34</v>
      </c>
      <c r="CJ321" s="8">
        <v>4</v>
      </c>
      <c r="CK321" s="8">
        <v>0</v>
      </c>
      <c r="CL321" s="8">
        <v>1</v>
      </c>
      <c r="CM321" s="9">
        <f t="shared" si="1612"/>
        <v>39</v>
      </c>
      <c r="CN321" s="8">
        <v>155</v>
      </c>
      <c r="CO321" s="8">
        <v>8</v>
      </c>
      <c r="CP321" s="8">
        <v>18</v>
      </c>
      <c r="CQ321" s="8">
        <v>22</v>
      </c>
      <c r="CR321" s="9">
        <f t="shared" si="1613"/>
        <v>203</v>
      </c>
      <c r="CS321" s="9">
        <f t="shared" si="1614"/>
        <v>242</v>
      </c>
      <c r="CT321" s="8">
        <v>328</v>
      </c>
      <c r="CU321" s="8">
        <v>1974</v>
      </c>
      <c r="CV321" s="8">
        <v>1972.6</v>
      </c>
      <c r="CW321" s="10">
        <f t="shared" si="1615"/>
        <v>0.99929078014184392</v>
      </c>
      <c r="CX321" s="8">
        <v>0</v>
      </c>
      <c r="CY321" s="8">
        <v>0</v>
      </c>
      <c r="CZ321" s="8">
        <v>0</v>
      </c>
      <c r="DA321" s="8">
        <v>0</v>
      </c>
      <c r="DB321" s="9">
        <f t="shared" si="1616"/>
        <v>0</v>
      </c>
      <c r="DC321" s="8">
        <v>0</v>
      </c>
      <c r="DD321" s="8">
        <v>0</v>
      </c>
      <c r="DE321" s="8">
        <v>0</v>
      </c>
      <c r="DF321" s="8">
        <v>0</v>
      </c>
      <c r="DG321" s="9">
        <f t="shared" si="1617"/>
        <v>0</v>
      </c>
      <c r="DH321" s="8">
        <v>0</v>
      </c>
      <c r="DI321" s="8">
        <v>0</v>
      </c>
      <c r="DJ321" s="8">
        <v>0</v>
      </c>
      <c r="DK321" s="8">
        <v>0</v>
      </c>
      <c r="DL321" s="9">
        <f t="shared" si="1618"/>
        <v>0</v>
      </c>
      <c r="DM321" s="8">
        <v>0</v>
      </c>
      <c r="DN321" s="8">
        <v>0</v>
      </c>
      <c r="DO321" s="8">
        <v>0</v>
      </c>
      <c r="DP321" s="8">
        <v>0</v>
      </c>
      <c r="DQ321" s="9">
        <f t="shared" si="1619"/>
        <v>0</v>
      </c>
      <c r="DR321" s="9">
        <f t="shared" si="1620"/>
        <v>0</v>
      </c>
      <c r="DS321" s="9">
        <f t="shared" si="1621"/>
        <v>0</v>
      </c>
      <c r="DT321" s="9">
        <f t="shared" si="1622"/>
        <v>0</v>
      </c>
      <c r="DU321" s="9">
        <f t="shared" si="1623"/>
        <v>0</v>
      </c>
      <c r="DV321" s="9">
        <f t="shared" si="1624"/>
        <v>0</v>
      </c>
      <c r="DW321" s="8">
        <v>15</v>
      </c>
      <c r="DX321" s="8">
        <v>12</v>
      </c>
      <c r="DY321" s="8">
        <v>11</v>
      </c>
      <c r="DZ321" s="8">
        <v>1</v>
      </c>
      <c r="EA321" s="8">
        <v>4</v>
      </c>
      <c r="EB321" s="8"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2</v>
      </c>
      <c r="EK321" s="8">
        <v>0</v>
      </c>
      <c r="EL321" s="8">
        <v>0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9">
        <f t="shared" si="1625"/>
        <v>45</v>
      </c>
      <c r="FH321" s="8">
        <v>0</v>
      </c>
      <c r="FI321" s="8">
        <v>0</v>
      </c>
      <c r="FJ321" s="8">
        <v>22</v>
      </c>
      <c r="FK321" s="8">
        <v>24.1</v>
      </c>
      <c r="FL321" s="8">
        <v>0</v>
      </c>
      <c r="FM321" s="8">
        <v>0</v>
      </c>
      <c r="FN321" s="8">
        <v>0</v>
      </c>
      <c r="FO321" s="8">
        <v>0</v>
      </c>
      <c r="FP321" s="8">
        <v>0</v>
      </c>
      <c r="FQ321" s="9">
        <f t="shared" si="1626"/>
        <v>0</v>
      </c>
      <c r="FR321" s="8">
        <v>29400</v>
      </c>
      <c r="FS321" s="8">
        <v>0</v>
      </c>
      <c r="FT321" s="8">
        <v>0</v>
      </c>
      <c r="FU321" s="8">
        <v>0</v>
      </c>
      <c r="FV321" s="9">
        <f t="shared" si="1627"/>
        <v>29400</v>
      </c>
      <c r="FW321" s="8">
        <v>1283758.6200000001</v>
      </c>
      <c r="FX321" s="8">
        <v>61400</v>
      </c>
      <c r="FY321" s="8">
        <v>6687500</v>
      </c>
      <c r="FZ321" s="8">
        <v>5006139.4000000004</v>
      </c>
      <c r="GA321" s="9">
        <f t="shared" si="1628"/>
        <v>13038798.02</v>
      </c>
      <c r="GB321" s="9">
        <f t="shared" si="1629"/>
        <v>13068198.02</v>
      </c>
      <c r="GC321" s="8">
        <v>291201.78000000003</v>
      </c>
      <c r="GD321" s="8">
        <v>191.28</v>
      </c>
      <c r="GE321" s="8">
        <v>531714.81000000006</v>
      </c>
      <c r="GF321" s="8">
        <v>0</v>
      </c>
      <c r="GG321" s="9">
        <f t="shared" si="1630"/>
        <v>823107.87000000011</v>
      </c>
      <c r="GH321" s="8">
        <v>1271330.96</v>
      </c>
      <c r="GI321" s="8">
        <v>49580</v>
      </c>
      <c r="GJ321" s="8">
        <v>5006139.4000000004</v>
      </c>
      <c r="GK321" s="8">
        <v>6687500</v>
      </c>
      <c r="GL321" s="9">
        <f t="shared" si="1631"/>
        <v>13014550.359999999</v>
      </c>
      <c r="GM321" s="9">
        <f t="shared" si="1632"/>
        <v>13837658.23</v>
      </c>
      <c r="GN321" s="8">
        <v>18752.48</v>
      </c>
      <c r="GO321" s="8">
        <v>191.28</v>
      </c>
      <c r="GP321" s="8">
        <v>13574.56</v>
      </c>
      <c r="GQ321" s="8">
        <v>0</v>
      </c>
      <c r="GR321" s="9">
        <f t="shared" si="1633"/>
        <v>32518.32</v>
      </c>
      <c r="GS321" s="8">
        <v>30362</v>
      </c>
      <c r="GT321" s="8">
        <v>893</v>
      </c>
      <c r="GU321" s="8">
        <v>3572</v>
      </c>
      <c r="GV321" s="8">
        <v>0</v>
      </c>
      <c r="GW321" s="9">
        <f t="shared" si="1634"/>
        <v>34827</v>
      </c>
      <c r="GX321" s="9">
        <f t="shared" si="1635"/>
        <v>13905003.550000001</v>
      </c>
      <c r="GY321" s="8">
        <v>10443360.930000011</v>
      </c>
      <c r="GZ321" s="8">
        <v>-29150.51</v>
      </c>
      <c r="HA321" s="9">
        <f t="shared" si="1581"/>
        <v>10414210.420000011</v>
      </c>
      <c r="HB321" s="9">
        <f t="shared" si="1636"/>
        <v>5.413895030612919E-2</v>
      </c>
      <c r="HC321" s="10">
        <f t="shared" si="1637"/>
        <v>0.53671769332738328</v>
      </c>
      <c r="HD321" s="9">
        <f t="shared" si="1638"/>
        <v>0.93981982622363291</v>
      </c>
      <c r="HE321" s="8">
        <v>4</v>
      </c>
      <c r="HF321" s="8">
        <v>1</v>
      </c>
      <c r="HG321" s="8">
        <v>4</v>
      </c>
      <c r="HH321" s="8">
        <v>0</v>
      </c>
      <c r="HI321" s="8">
        <v>1</v>
      </c>
      <c r="HJ321" s="9">
        <f t="shared" si="1639"/>
        <v>2</v>
      </c>
      <c r="HK321" s="10">
        <f t="shared" si="1640"/>
        <v>0</v>
      </c>
      <c r="HL321" s="8">
        <v>4</v>
      </c>
      <c r="HM321" s="8">
        <v>2</v>
      </c>
      <c r="HN321" s="11">
        <f t="shared" si="1641"/>
        <v>0.5</v>
      </c>
    </row>
    <row r="322" spans="1:222" x14ac:dyDescent="0.3">
      <c r="A322" s="12" t="s">
        <v>295</v>
      </c>
      <c r="B322" s="12" t="s">
        <v>299</v>
      </c>
      <c r="C322" s="13" t="s">
        <v>257</v>
      </c>
      <c r="D322" s="13">
        <v>2025</v>
      </c>
      <c r="E322" s="13">
        <v>11</v>
      </c>
      <c r="F322" s="13" t="s">
        <v>268</v>
      </c>
      <c r="G322" s="13" t="s">
        <v>267</v>
      </c>
      <c r="H322" s="14">
        <v>3930</v>
      </c>
      <c r="I322" s="14">
        <v>428</v>
      </c>
      <c r="J322" s="14">
        <v>0</v>
      </c>
      <c r="K322" s="14">
        <v>128</v>
      </c>
      <c r="L322" s="14">
        <v>0</v>
      </c>
      <c r="M322" s="15">
        <f t="shared" si="1582"/>
        <v>556</v>
      </c>
      <c r="N322" s="14">
        <v>772.3</v>
      </c>
      <c r="O322" s="14">
        <v>269</v>
      </c>
      <c r="P322" s="14">
        <v>58.1</v>
      </c>
      <c r="Q322" s="14">
        <v>1391.4</v>
      </c>
      <c r="R322" s="15">
        <f t="shared" si="1583"/>
        <v>2490.8000000000002</v>
      </c>
      <c r="S322" s="15">
        <f t="shared" si="1584"/>
        <v>3046.8</v>
      </c>
      <c r="T322" s="14">
        <v>883.20000000000095</v>
      </c>
      <c r="U322" s="16">
        <f t="shared" si="1585"/>
        <v>0.22473282442748116</v>
      </c>
      <c r="V322" s="14">
        <v>14</v>
      </c>
      <c r="W322" s="17">
        <f t="shared" si="1586"/>
        <v>3.5623409669211198E-3</v>
      </c>
      <c r="X322" s="14">
        <v>10</v>
      </c>
      <c r="Y322" s="17">
        <f t="shared" si="1587"/>
        <v>2.5445292620865142E-3</v>
      </c>
      <c r="Z322" s="14">
        <v>8</v>
      </c>
      <c r="AA322" s="17">
        <f t="shared" si="1588"/>
        <v>2.0356234096692112E-3</v>
      </c>
      <c r="AB322" s="14">
        <v>0</v>
      </c>
      <c r="AC322" s="17">
        <f t="shared" si="1589"/>
        <v>0</v>
      </c>
      <c r="AD322" s="14">
        <v>0</v>
      </c>
      <c r="AE322" s="17">
        <f t="shared" si="1590"/>
        <v>0</v>
      </c>
      <c r="AF322" s="14">
        <v>0</v>
      </c>
      <c r="AG322" s="17">
        <f t="shared" si="1591"/>
        <v>0</v>
      </c>
      <c r="AH322" s="14">
        <v>547928</v>
      </c>
      <c r="AI322" s="15">
        <f t="shared" si="1592"/>
        <v>139.42188295165394</v>
      </c>
      <c r="AJ322" s="14">
        <v>955.22</v>
      </c>
      <c r="AK322" s="17">
        <f t="shared" si="1593"/>
        <v>0.24305852417302801</v>
      </c>
      <c r="AL322" s="14">
        <v>292676.67297999997</v>
      </c>
      <c r="AM322" s="15">
        <f t="shared" si="1594"/>
        <v>74.472435872773531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5">
        <f t="shared" si="1595"/>
        <v>840604.67298000003</v>
      </c>
      <c r="AV322" s="15">
        <f t="shared" si="1596"/>
        <v>213.8943188244275</v>
      </c>
      <c r="AW322" s="15">
        <f t="shared" si="1597"/>
        <v>275.89755578968095</v>
      </c>
      <c r="AX322" s="14">
        <v>3</v>
      </c>
      <c r="AY322" s="15">
        <f t="shared" si="1598"/>
        <v>9.1603053435114496</v>
      </c>
      <c r="AZ322" s="14">
        <v>5</v>
      </c>
      <c r="BA322" s="14">
        <v>4</v>
      </c>
      <c r="BB322" s="14">
        <v>0</v>
      </c>
      <c r="BC322" s="14">
        <v>0</v>
      </c>
      <c r="BD322" s="14">
        <v>0</v>
      </c>
      <c r="BE322" s="15">
        <f t="shared" si="1599"/>
        <v>0</v>
      </c>
      <c r="BF322" s="15">
        <f t="shared" si="1600"/>
        <v>4</v>
      </c>
      <c r="BG322" s="14">
        <v>0</v>
      </c>
      <c r="BH322" s="14">
        <v>0</v>
      </c>
      <c r="BI322" s="14">
        <v>0</v>
      </c>
      <c r="BJ322" s="14">
        <v>0</v>
      </c>
      <c r="BK322" s="15">
        <f t="shared" si="1601"/>
        <v>0</v>
      </c>
      <c r="BL322" s="15">
        <f t="shared" si="1602"/>
        <v>0</v>
      </c>
      <c r="BM322" s="14">
        <v>0</v>
      </c>
      <c r="BN322" s="14">
        <v>0</v>
      </c>
      <c r="BO322" s="14">
        <v>0</v>
      </c>
      <c r="BP322" s="14">
        <v>0</v>
      </c>
      <c r="BQ322" s="15">
        <f t="shared" si="1603"/>
        <v>0</v>
      </c>
      <c r="BR322" s="15">
        <f t="shared" si="1604"/>
        <v>0</v>
      </c>
      <c r="BS322" s="14">
        <v>0</v>
      </c>
      <c r="BT322" s="14">
        <v>0</v>
      </c>
      <c r="BU322" s="14">
        <v>0</v>
      </c>
      <c r="BV322" s="14">
        <v>0</v>
      </c>
      <c r="BW322" s="15">
        <f t="shared" si="1605"/>
        <v>0</v>
      </c>
      <c r="BX322" s="15">
        <f t="shared" si="1606"/>
        <v>0</v>
      </c>
      <c r="BY322" s="15">
        <f t="shared" si="1607"/>
        <v>4</v>
      </c>
      <c r="BZ322" s="15">
        <f t="shared" si="1608"/>
        <v>0</v>
      </c>
      <c r="CA322" s="15">
        <f t="shared" si="1609"/>
        <v>0</v>
      </c>
      <c r="CB322" s="15">
        <f t="shared" si="1610"/>
        <v>4</v>
      </c>
      <c r="CC322" s="14">
        <v>0</v>
      </c>
      <c r="CD322" s="14">
        <v>80</v>
      </c>
      <c r="CE322" s="14">
        <v>6</v>
      </c>
      <c r="CF322" s="14">
        <v>3</v>
      </c>
      <c r="CG322" s="14">
        <v>0</v>
      </c>
      <c r="CH322" s="15">
        <f t="shared" si="1611"/>
        <v>89</v>
      </c>
      <c r="CI322" s="14">
        <v>30</v>
      </c>
      <c r="CJ322" s="14">
        <v>5</v>
      </c>
      <c r="CK322" s="14">
        <v>0</v>
      </c>
      <c r="CL322" s="14">
        <v>0</v>
      </c>
      <c r="CM322" s="15">
        <f t="shared" si="1612"/>
        <v>35</v>
      </c>
      <c r="CN322" s="14">
        <v>155</v>
      </c>
      <c r="CO322" s="14">
        <v>8</v>
      </c>
      <c r="CP322" s="14">
        <v>18</v>
      </c>
      <c r="CQ322" s="14">
        <v>23</v>
      </c>
      <c r="CR322" s="15">
        <f t="shared" si="1613"/>
        <v>204</v>
      </c>
      <c r="CS322" s="15">
        <f t="shared" si="1614"/>
        <v>239</v>
      </c>
      <c r="CT322" s="14">
        <v>328</v>
      </c>
      <c r="CU322" s="14">
        <v>1978</v>
      </c>
      <c r="CV322" s="14">
        <v>1973</v>
      </c>
      <c r="CW322" s="16">
        <f t="shared" si="1615"/>
        <v>0.99747219413549038</v>
      </c>
      <c r="CX322" s="14">
        <v>0</v>
      </c>
      <c r="CY322" s="14">
        <v>0</v>
      </c>
      <c r="CZ322" s="14">
        <v>0</v>
      </c>
      <c r="DA322" s="14">
        <v>0</v>
      </c>
      <c r="DB322" s="15">
        <f t="shared" si="1616"/>
        <v>0</v>
      </c>
      <c r="DC322" s="14">
        <v>0</v>
      </c>
      <c r="DD322" s="14">
        <v>0</v>
      </c>
      <c r="DE322" s="14">
        <v>0</v>
      </c>
      <c r="DF322" s="14">
        <v>0</v>
      </c>
      <c r="DG322" s="15">
        <f t="shared" si="1617"/>
        <v>0</v>
      </c>
      <c r="DH322" s="14">
        <v>0</v>
      </c>
      <c r="DI322" s="14">
        <v>0</v>
      </c>
      <c r="DJ322" s="14">
        <v>0</v>
      </c>
      <c r="DK322" s="14">
        <v>0</v>
      </c>
      <c r="DL322" s="15">
        <f t="shared" si="1618"/>
        <v>0</v>
      </c>
      <c r="DM322" s="14">
        <v>0</v>
      </c>
      <c r="DN322" s="14">
        <v>0</v>
      </c>
      <c r="DO322" s="14">
        <v>0</v>
      </c>
      <c r="DP322" s="14">
        <v>0</v>
      </c>
      <c r="DQ322" s="15">
        <f t="shared" si="1619"/>
        <v>0</v>
      </c>
      <c r="DR322" s="15">
        <f t="shared" si="1620"/>
        <v>0</v>
      </c>
      <c r="DS322" s="15">
        <f t="shared" si="1621"/>
        <v>0</v>
      </c>
      <c r="DT322" s="15">
        <f t="shared" si="1622"/>
        <v>0</v>
      </c>
      <c r="DU322" s="15">
        <f t="shared" si="1623"/>
        <v>0</v>
      </c>
      <c r="DV322" s="15">
        <f t="shared" si="1624"/>
        <v>0</v>
      </c>
      <c r="DW322" s="14">
        <v>18</v>
      </c>
      <c r="DX322" s="14">
        <v>9</v>
      </c>
      <c r="DY322" s="14">
        <v>5</v>
      </c>
      <c r="DZ322" s="14">
        <v>0</v>
      </c>
      <c r="EA322" s="14">
        <v>6</v>
      </c>
      <c r="EB322" s="14">
        <v>0</v>
      </c>
      <c r="EC322" s="14">
        <v>3</v>
      </c>
      <c r="ED322" s="14">
        <v>0</v>
      </c>
      <c r="EE322" s="14">
        <v>1</v>
      </c>
      <c r="EF322" s="14">
        <v>0</v>
      </c>
      <c r="EG322" s="14">
        <v>0</v>
      </c>
      <c r="EH322" s="14">
        <v>0</v>
      </c>
      <c r="EI322" s="14">
        <v>0</v>
      </c>
      <c r="EJ322" s="14">
        <v>2</v>
      </c>
      <c r="EK322" s="14">
        <v>0</v>
      </c>
      <c r="EL322" s="14">
        <v>0</v>
      </c>
      <c r="EM322" s="14">
        <v>0</v>
      </c>
      <c r="EN322" s="14">
        <v>0</v>
      </c>
      <c r="EO322" s="14">
        <v>0</v>
      </c>
      <c r="EP322" s="14">
        <v>0</v>
      </c>
      <c r="EQ322" s="14">
        <v>0</v>
      </c>
      <c r="ER322" s="14">
        <v>0</v>
      </c>
      <c r="ES322" s="14">
        <v>0</v>
      </c>
      <c r="ET322" s="14">
        <v>0</v>
      </c>
      <c r="EU322" s="14">
        <v>0</v>
      </c>
      <c r="EV322" s="14">
        <v>0</v>
      </c>
      <c r="EW322" s="14">
        <v>0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5">
        <f t="shared" si="1625"/>
        <v>44</v>
      </c>
      <c r="FH322" s="14">
        <v>0</v>
      </c>
      <c r="FI322" s="14">
        <v>0</v>
      </c>
      <c r="FJ322" s="14">
        <v>22</v>
      </c>
      <c r="FK322" s="14">
        <v>23.4</v>
      </c>
      <c r="FL322" s="14">
        <v>0</v>
      </c>
      <c r="FM322" s="14">
        <v>0</v>
      </c>
      <c r="FN322" s="14">
        <v>0</v>
      </c>
      <c r="FO322" s="14">
        <v>0</v>
      </c>
      <c r="FP322" s="14">
        <v>0</v>
      </c>
      <c r="FQ322" s="15">
        <f t="shared" si="1626"/>
        <v>0</v>
      </c>
      <c r="FR322" s="14">
        <v>54100</v>
      </c>
      <c r="FS322" s="14">
        <v>0</v>
      </c>
      <c r="FT322" s="14">
        <v>0</v>
      </c>
      <c r="FU322" s="14">
        <v>0</v>
      </c>
      <c r="FV322" s="15">
        <f t="shared" si="1627"/>
        <v>54100</v>
      </c>
      <c r="FW322" s="14">
        <v>980000</v>
      </c>
      <c r="FX322" s="14">
        <v>72200</v>
      </c>
      <c r="FY322" s="14">
        <v>6578000</v>
      </c>
      <c r="FZ322" s="14">
        <v>176000</v>
      </c>
      <c r="GA322" s="15">
        <f t="shared" si="1628"/>
        <v>7806200</v>
      </c>
      <c r="GB322" s="15">
        <f t="shared" si="1629"/>
        <v>7860300</v>
      </c>
      <c r="GC322" s="14">
        <v>400582.24</v>
      </c>
      <c r="GD322" s="14">
        <v>0</v>
      </c>
      <c r="GE322" s="14">
        <v>389773.97</v>
      </c>
      <c r="GF322" s="14">
        <v>0</v>
      </c>
      <c r="GG322" s="15">
        <f t="shared" si="1630"/>
        <v>790356.21</v>
      </c>
      <c r="GH322" s="14">
        <v>962821.9</v>
      </c>
      <c r="GI322" s="14">
        <v>57200</v>
      </c>
      <c r="GJ322" s="14">
        <v>176000</v>
      </c>
      <c r="GK322" s="14">
        <v>6578000</v>
      </c>
      <c r="GL322" s="15">
        <f t="shared" si="1631"/>
        <v>7774021.9000000004</v>
      </c>
      <c r="GM322" s="15">
        <f t="shared" si="1632"/>
        <v>8564378.1099999994</v>
      </c>
      <c r="GN322" s="14">
        <v>16572.759999999998</v>
      </c>
      <c r="GO322" s="14">
        <v>0</v>
      </c>
      <c r="GP322" s="14">
        <v>16968.2</v>
      </c>
      <c r="GQ322" s="14">
        <v>0</v>
      </c>
      <c r="GR322" s="15">
        <f t="shared" si="1633"/>
        <v>33540.959999999999</v>
      </c>
      <c r="GS322" s="14">
        <v>26790</v>
      </c>
      <c r="GT322" s="14">
        <v>0</v>
      </c>
      <c r="GU322" s="14">
        <v>4465</v>
      </c>
      <c r="GV322" s="14">
        <v>0</v>
      </c>
      <c r="GW322" s="15">
        <f t="shared" si="1634"/>
        <v>31255</v>
      </c>
      <c r="GX322" s="15">
        <f t="shared" si="1635"/>
        <v>8629174.0700000003</v>
      </c>
      <c r="GY322" s="14">
        <v>-3263675.549999997</v>
      </c>
      <c r="GZ322" s="14">
        <v>-29150.51</v>
      </c>
      <c r="HA322" s="9">
        <f t="shared" si="1581"/>
        <v>-3292826.0599999968</v>
      </c>
      <c r="HB322" s="15">
        <f t="shared" si="1636"/>
        <v>9.7414267711023239E-2</v>
      </c>
      <c r="HC322" s="16">
        <f t="shared" si="1637"/>
        <v>1.4649710498848474</v>
      </c>
      <c r="HD322" s="15">
        <f t="shared" si="1638"/>
        <v>0.9108983010699655</v>
      </c>
      <c r="HE322" s="14">
        <v>4</v>
      </c>
      <c r="HF322" s="14">
        <v>2</v>
      </c>
      <c r="HG322" s="14">
        <v>4</v>
      </c>
      <c r="HH322" s="14">
        <v>0</v>
      </c>
      <c r="HI322" s="14">
        <v>0</v>
      </c>
      <c r="HJ322" s="15">
        <f t="shared" si="1639"/>
        <v>2</v>
      </c>
      <c r="HK322" s="16">
        <f t="shared" si="1640"/>
        <v>0</v>
      </c>
      <c r="HL322" s="14">
        <v>6</v>
      </c>
      <c r="HM322" s="14">
        <v>3</v>
      </c>
      <c r="HN322" s="17">
        <f t="shared" si="1641"/>
        <v>0.5</v>
      </c>
    </row>
    <row r="323" spans="1:222" x14ac:dyDescent="0.3">
      <c r="A323" s="6" t="s">
        <v>295</v>
      </c>
      <c r="B323" s="6" t="s">
        <v>299</v>
      </c>
      <c r="C323" s="7" t="s">
        <v>257</v>
      </c>
      <c r="D323" s="7">
        <v>2025</v>
      </c>
      <c r="E323" s="7">
        <v>12</v>
      </c>
      <c r="F323" s="7" t="s">
        <v>269</v>
      </c>
      <c r="G323" s="7" t="s">
        <v>267</v>
      </c>
      <c r="H323" s="8">
        <v>3055</v>
      </c>
      <c r="I323" s="8">
        <v>191</v>
      </c>
      <c r="J323" s="8">
        <v>0</v>
      </c>
      <c r="K323" s="8">
        <v>77</v>
      </c>
      <c r="L323" s="8">
        <v>0</v>
      </c>
      <c r="M323" s="9">
        <f t="shared" si="1582"/>
        <v>268</v>
      </c>
      <c r="N323" s="8">
        <v>305</v>
      </c>
      <c r="O323" s="8">
        <v>87</v>
      </c>
      <c r="P323" s="8">
        <v>60.6</v>
      </c>
      <c r="Q323" s="8">
        <v>1817.7</v>
      </c>
      <c r="R323" s="9">
        <f t="shared" si="1583"/>
        <v>2270.3000000000002</v>
      </c>
      <c r="S323" s="9">
        <f t="shared" si="1584"/>
        <v>2538.3000000000002</v>
      </c>
      <c r="T323" s="8">
        <v>516.70000000000005</v>
      </c>
      <c r="U323" s="10">
        <f t="shared" si="1585"/>
        <v>0.16913256955810149</v>
      </c>
      <c r="V323" s="8">
        <v>12</v>
      </c>
      <c r="W323" s="11">
        <f t="shared" si="1586"/>
        <v>3.9279869067103106E-3</v>
      </c>
      <c r="X323" s="8">
        <v>5</v>
      </c>
      <c r="Y323" s="11">
        <f t="shared" si="1587"/>
        <v>1.6366612111292963E-3</v>
      </c>
      <c r="Z323" s="8">
        <v>3</v>
      </c>
      <c r="AA323" s="11">
        <f t="shared" si="1588"/>
        <v>9.8199672667757766E-4</v>
      </c>
      <c r="AB323" s="8">
        <v>0</v>
      </c>
      <c r="AC323" s="11">
        <f t="shared" si="1589"/>
        <v>0</v>
      </c>
      <c r="AD323" s="8">
        <v>0</v>
      </c>
      <c r="AE323" s="11">
        <f t="shared" si="1590"/>
        <v>0</v>
      </c>
      <c r="AF323" s="8">
        <v>0</v>
      </c>
      <c r="AG323" s="11">
        <f t="shared" si="1591"/>
        <v>0</v>
      </c>
      <c r="AH323" s="8">
        <v>391848</v>
      </c>
      <c r="AI323" s="9">
        <f t="shared" si="1592"/>
        <v>128.26448445171849</v>
      </c>
      <c r="AJ323" s="8">
        <v>2682.57</v>
      </c>
      <c r="AK323" s="11">
        <f t="shared" si="1593"/>
        <v>0.87809165302782333</v>
      </c>
      <c r="AL323" s="8">
        <v>764776.97412999999</v>
      </c>
      <c r="AM323" s="9">
        <f t="shared" si="1594"/>
        <v>250.33616174468085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9">
        <f t="shared" si="1595"/>
        <v>1156624.97413</v>
      </c>
      <c r="AV323" s="9">
        <f t="shared" si="1596"/>
        <v>378.60064619639934</v>
      </c>
      <c r="AW323" s="9">
        <f t="shared" si="1597"/>
        <v>455.66913845093171</v>
      </c>
      <c r="AX323" s="8">
        <v>3</v>
      </c>
      <c r="AY323" s="9">
        <f t="shared" si="1598"/>
        <v>11.783960720130933</v>
      </c>
      <c r="AZ323" s="8">
        <v>5</v>
      </c>
      <c r="BA323" s="8">
        <v>4</v>
      </c>
      <c r="BB323" s="8">
        <v>0</v>
      </c>
      <c r="BC323" s="8">
        <v>3</v>
      </c>
      <c r="BD323" s="8">
        <v>0</v>
      </c>
      <c r="BE323" s="9">
        <f t="shared" si="1599"/>
        <v>3</v>
      </c>
      <c r="BF323" s="9">
        <f t="shared" si="1600"/>
        <v>1</v>
      </c>
      <c r="BG323" s="8">
        <v>0</v>
      </c>
      <c r="BH323" s="8">
        <v>0</v>
      </c>
      <c r="BI323" s="8">
        <v>0</v>
      </c>
      <c r="BJ323" s="8">
        <v>0</v>
      </c>
      <c r="BK323" s="9">
        <f t="shared" si="1601"/>
        <v>0</v>
      </c>
      <c r="BL323" s="9">
        <f t="shared" si="1602"/>
        <v>0</v>
      </c>
      <c r="BM323" s="8">
        <v>0</v>
      </c>
      <c r="BN323" s="8">
        <v>0</v>
      </c>
      <c r="BO323" s="8">
        <v>0</v>
      </c>
      <c r="BP323" s="8">
        <v>0</v>
      </c>
      <c r="BQ323" s="9">
        <f t="shared" si="1603"/>
        <v>0</v>
      </c>
      <c r="BR323" s="9">
        <f t="shared" si="1604"/>
        <v>0</v>
      </c>
      <c r="BS323" s="8">
        <v>0</v>
      </c>
      <c r="BT323" s="8">
        <v>0</v>
      </c>
      <c r="BU323" s="8">
        <v>0</v>
      </c>
      <c r="BV323" s="8">
        <v>0</v>
      </c>
      <c r="BW323" s="9">
        <f t="shared" si="1605"/>
        <v>0</v>
      </c>
      <c r="BX323" s="9">
        <f t="shared" si="1606"/>
        <v>0</v>
      </c>
      <c r="BY323" s="9">
        <f t="shared" si="1607"/>
        <v>4</v>
      </c>
      <c r="BZ323" s="9">
        <f t="shared" si="1608"/>
        <v>0</v>
      </c>
      <c r="CA323" s="9">
        <f t="shared" si="1609"/>
        <v>3</v>
      </c>
      <c r="CB323" s="9">
        <f t="shared" si="1610"/>
        <v>1</v>
      </c>
      <c r="CC323" s="8">
        <v>0</v>
      </c>
      <c r="CD323" s="8">
        <v>80</v>
      </c>
      <c r="CE323" s="8">
        <v>6</v>
      </c>
      <c r="CF323" s="8">
        <v>3</v>
      </c>
      <c r="CG323" s="8">
        <v>0</v>
      </c>
      <c r="CH323" s="9">
        <f t="shared" si="1611"/>
        <v>89</v>
      </c>
      <c r="CI323" s="8">
        <v>32</v>
      </c>
      <c r="CJ323" s="8">
        <v>5</v>
      </c>
      <c r="CK323" s="8">
        <v>0</v>
      </c>
      <c r="CL323" s="8">
        <v>0</v>
      </c>
      <c r="CM323" s="9">
        <f t="shared" si="1612"/>
        <v>37</v>
      </c>
      <c r="CN323" s="8">
        <v>156</v>
      </c>
      <c r="CO323" s="8">
        <v>8</v>
      </c>
      <c r="CP323" s="8">
        <v>18</v>
      </c>
      <c r="CQ323" s="8">
        <v>23</v>
      </c>
      <c r="CR323" s="9">
        <f t="shared" si="1613"/>
        <v>205</v>
      </c>
      <c r="CS323" s="9">
        <f t="shared" si="1614"/>
        <v>242</v>
      </c>
      <c r="CT323" s="8">
        <v>331</v>
      </c>
      <c r="CU323" s="8">
        <v>1982</v>
      </c>
      <c r="CV323" s="8">
        <v>1981.6</v>
      </c>
      <c r="CW323" s="10">
        <f t="shared" si="1615"/>
        <v>0.99979818365287587</v>
      </c>
      <c r="CX323" s="8">
        <v>0</v>
      </c>
      <c r="CY323" s="8">
        <v>0</v>
      </c>
      <c r="CZ323" s="8">
        <v>0</v>
      </c>
      <c r="DA323" s="8">
        <v>0</v>
      </c>
      <c r="DB323" s="9">
        <f t="shared" si="1616"/>
        <v>0</v>
      </c>
      <c r="DC323" s="8">
        <v>0</v>
      </c>
      <c r="DD323" s="8">
        <v>0</v>
      </c>
      <c r="DE323" s="8">
        <v>0</v>
      </c>
      <c r="DF323" s="8">
        <v>0</v>
      </c>
      <c r="DG323" s="9">
        <f t="shared" si="1617"/>
        <v>0</v>
      </c>
      <c r="DH323" s="8">
        <v>0</v>
      </c>
      <c r="DI323" s="8">
        <v>0</v>
      </c>
      <c r="DJ323" s="8">
        <v>0</v>
      </c>
      <c r="DK323" s="8">
        <v>0</v>
      </c>
      <c r="DL323" s="9">
        <f t="shared" si="1618"/>
        <v>0</v>
      </c>
      <c r="DM323" s="8">
        <v>0</v>
      </c>
      <c r="DN323" s="8">
        <v>0</v>
      </c>
      <c r="DO323" s="8">
        <v>0</v>
      </c>
      <c r="DP323" s="8">
        <v>0</v>
      </c>
      <c r="DQ323" s="9">
        <f t="shared" si="1619"/>
        <v>0</v>
      </c>
      <c r="DR323" s="9">
        <f t="shared" si="1620"/>
        <v>0</v>
      </c>
      <c r="DS323" s="9">
        <f t="shared" si="1621"/>
        <v>0</v>
      </c>
      <c r="DT323" s="9">
        <f t="shared" si="1622"/>
        <v>0</v>
      </c>
      <c r="DU323" s="9">
        <f t="shared" si="1623"/>
        <v>0</v>
      </c>
      <c r="DV323" s="9">
        <f t="shared" si="1624"/>
        <v>0</v>
      </c>
      <c r="DW323" s="8">
        <v>5</v>
      </c>
      <c r="DX323" s="8">
        <v>5</v>
      </c>
      <c r="DY323" s="8">
        <v>11</v>
      </c>
      <c r="DZ323" s="8">
        <v>0</v>
      </c>
      <c r="EA323" s="8">
        <v>3</v>
      </c>
      <c r="EB323" s="8">
        <v>2</v>
      </c>
      <c r="EC323" s="8">
        <v>1</v>
      </c>
      <c r="ED323" s="8">
        <v>0</v>
      </c>
      <c r="EE323" s="8">
        <v>1</v>
      </c>
      <c r="EF323" s="8">
        <v>0</v>
      </c>
      <c r="EG323" s="8">
        <v>0</v>
      </c>
      <c r="EH323" s="8">
        <v>0</v>
      </c>
      <c r="EI323" s="8">
        <v>0</v>
      </c>
      <c r="EJ323" s="8">
        <v>2</v>
      </c>
      <c r="EK323" s="8">
        <v>0</v>
      </c>
      <c r="EL323" s="8">
        <v>0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8">
        <v>0</v>
      </c>
      <c r="FC323" s="8">
        <v>0</v>
      </c>
      <c r="FD323" s="8">
        <v>0</v>
      </c>
      <c r="FE323" s="8">
        <v>0</v>
      </c>
      <c r="FF323" s="8">
        <v>0</v>
      </c>
      <c r="FG323" s="9">
        <f t="shared" si="1625"/>
        <v>30</v>
      </c>
      <c r="FH323" s="8">
        <v>0</v>
      </c>
      <c r="FI323" s="8">
        <v>0</v>
      </c>
      <c r="FJ323" s="8">
        <v>20</v>
      </c>
      <c r="FK323" s="8">
        <v>57.58</v>
      </c>
      <c r="FL323" s="8">
        <v>0</v>
      </c>
      <c r="FM323" s="8">
        <v>0</v>
      </c>
      <c r="FN323" s="8">
        <v>0</v>
      </c>
      <c r="FO323" s="8">
        <v>0</v>
      </c>
      <c r="FP323" s="8">
        <v>0</v>
      </c>
      <c r="FQ323" s="9">
        <f t="shared" si="1626"/>
        <v>0</v>
      </c>
      <c r="FR323" s="8">
        <v>266550</v>
      </c>
      <c r="FS323" s="8">
        <v>0</v>
      </c>
      <c r="FT323" s="8">
        <v>0</v>
      </c>
      <c r="FU323" s="8">
        <v>0</v>
      </c>
      <c r="FV323" s="9">
        <f t="shared" si="1627"/>
        <v>266550</v>
      </c>
      <c r="FW323" s="8">
        <v>381040</v>
      </c>
      <c r="FX323" s="8">
        <v>20300</v>
      </c>
      <c r="FY323" s="8">
        <v>8594000</v>
      </c>
      <c r="FZ323" s="8">
        <v>184000</v>
      </c>
      <c r="GA323" s="9">
        <f t="shared" si="1628"/>
        <v>9179340</v>
      </c>
      <c r="GB323" s="9">
        <f t="shared" si="1629"/>
        <v>9445890</v>
      </c>
      <c r="GC323" s="8">
        <v>194449.32</v>
      </c>
      <c r="GD323" s="8">
        <v>0</v>
      </c>
      <c r="GE323" s="8">
        <v>219989.71</v>
      </c>
      <c r="GF323" s="8">
        <v>0</v>
      </c>
      <c r="GG323" s="9">
        <f t="shared" si="1630"/>
        <v>414439.03</v>
      </c>
      <c r="GH323" s="8">
        <v>380440</v>
      </c>
      <c r="GI323" s="8">
        <v>18500</v>
      </c>
      <c r="GJ323" s="8">
        <v>184000</v>
      </c>
      <c r="GK323" s="8">
        <v>8594000</v>
      </c>
      <c r="GL323" s="9">
        <f t="shared" si="1631"/>
        <v>9176940</v>
      </c>
      <c r="GM323" s="9">
        <f t="shared" si="1632"/>
        <v>9591379.0299999993</v>
      </c>
      <c r="GN323" s="8">
        <v>17662.62</v>
      </c>
      <c r="GO323" s="8">
        <v>0</v>
      </c>
      <c r="GP323" s="8">
        <v>16968.2</v>
      </c>
      <c r="GQ323" s="8">
        <v>0</v>
      </c>
      <c r="GR323" s="9">
        <f t="shared" si="1633"/>
        <v>34630.82</v>
      </c>
      <c r="GS323" s="8">
        <v>28576</v>
      </c>
      <c r="GT323" s="8">
        <v>0</v>
      </c>
      <c r="GU323" s="8">
        <v>4465</v>
      </c>
      <c r="GV323" s="8">
        <v>0</v>
      </c>
      <c r="GW323" s="9">
        <f t="shared" si="1634"/>
        <v>33041</v>
      </c>
      <c r="GX323" s="9">
        <f t="shared" si="1635"/>
        <v>9659050.8499999996</v>
      </c>
      <c r="GY323" s="8">
        <v>10144179.680000011</v>
      </c>
      <c r="GZ323" s="8">
        <v>-29150.51</v>
      </c>
      <c r="HA323" s="9">
        <f t="shared" si="1581"/>
        <v>10115029.170000011</v>
      </c>
      <c r="HB323" s="9">
        <f t="shared" si="1636"/>
        <v>0.11974519982260991</v>
      </c>
      <c r="HC323" s="10">
        <f t="shared" si="1637"/>
        <v>0.47698732717827913</v>
      </c>
      <c r="HD323" s="9">
        <f t="shared" si="1638"/>
        <v>0.97793149106363808</v>
      </c>
      <c r="HE323" s="8">
        <v>3</v>
      </c>
      <c r="HF323" s="8">
        <v>1</v>
      </c>
      <c r="HG323" s="8">
        <v>1</v>
      </c>
      <c r="HH323" s="8">
        <v>0</v>
      </c>
      <c r="HI323" s="8">
        <v>1</v>
      </c>
      <c r="HJ323" s="9">
        <f t="shared" si="1639"/>
        <v>2</v>
      </c>
      <c r="HK323" s="10">
        <f t="shared" si="1640"/>
        <v>0</v>
      </c>
      <c r="HL323" s="8">
        <v>10</v>
      </c>
      <c r="HM323" s="8">
        <v>8</v>
      </c>
      <c r="HN323" s="11">
        <f t="shared" si="1641"/>
        <v>0.8</v>
      </c>
    </row>
    <row r="324" spans="1:222" x14ac:dyDescent="0.3">
      <c r="A324" s="12" t="s">
        <v>295</v>
      </c>
      <c r="B324" s="12" t="s">
        <v>299</v>
      </c>
      <c r="C324" s="13" t="s">
        <v>257</v>
      </c>
      <c r="D324" s="13">
        <v>2026</v>
      </c>
      <c r="E324" s="13">
        <v>1</v>
      </c>
      <c r="F324" s="13" t="s">
        <v>270</v>
      </c>
      <c r="G324" s="13" t="s">
        <v>271</v>
      </c>
      <c r="H324" s="14">
        <v>3904</v>
      </c>
      <c r="I324" s="14">
        <v>264</v>
      </c>
      <c r="J324" s="14">
        <v>0</v>
      </c>
      <c r="K324" s="14">
        <v>383</v>
      </c>
      <c r="L324" s="14">
        <v>0</v>
      </c>
      <c r="M324" s="15">
        <v>647</v>
      </c>
      <c r="N324" s="14">
        <v>682.59999999999991</v>
      </c>
      <c r="O324" s="14">
        <v>114.1</v>
      </c>
      <c r="P324" s="14">
        <v>66.800000000000011</v>
      </c>
      <c r="Q324" s="14">
        <v>1369.8</v>
      </c>
      <c r="R324" s="15">
        <v>2233.3000000000002</v>
      </c>
      <c r="S324" s="15">
        <v>2880.3</v>
      </c>
      <c r="T324" s="14">
        <v>1023.7</v>
      </c>
      <c r="U324" s="16">
        <v>0.26221823770491798</v>
      </c>
      <c r="V324" s="14">
        <v>18</v>
      </c>
      <c r="W324" s="17">
        <v>4.610655737704918</v>
      </c>
      <c r="X324" s="14">
        <v>10</v>
      </c>
      <c r="Y324" s="17">
        <v>2.5614754098360661</v>
      </c>
      <c r="Z324" s="14">
        <v>7</v>
      </c>
      <c r="AA324" s="17">
        <v>1.793032786885246</v>
      </c>
      <c r="AB324" s="14">
        <v>0</v>
      </c>
      <c r="AC324" s="17">
        <v>0</v>
      </c>
      <c r="AD324" s="14">
        <v>0</v>
      </c>
      <c r="AE324" s="17">
        <v>0</v>
      </c>
      <c r="AF324" s="14">
        <v>0</v>
      </c>
      <c r="AG324" s="17">
        <v>0</v>
      </c>
      <c r="AH324" s="14">
        <v>639812</v>
      </c>
      <c r="AI324" s="15">
        <v>163.88627049180329</v>
      </c>
      <c r="AJ324" s="14">
        <v>5777.55</v>
      </c>
      <c r="AK324" s="17">
        <v>1.4799052254098359</v>
      </c>
      <c r="AL324" s="14">
        <v>1610662.86295</v>
      </c>
      <c r="AM324" s="15">
        <v>412.56733169825822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5">
        <v>2250474.86295</v>
      </c>
      <c r="AV324" s="15">
        <v>576.45360219006147</v>
      </c>
      <c r="AW324" s="15">
        <v>781.33349406311834</v>
      </c>
      <c r="AX324" s="14">
        <v>3</v>
      </c>
      <c r="AY324" s="15">
        <v>23.821721311475411</v>
      </c>
      <c r="AZ324" s="14">
        <v>5</v>
      </c>
      <c r="BA324" s="14">
        <v>1</v>
      </c>
      <c r="BB324" s="14">
        <v>5</v>
      </c>
      <c r="BC324" s="14">
        <v>6</v>
      </c>
      <c r="BD324" s="14">
        <v>0</v>
      </c>
      <c r="BE324" s="15">
        <v>6</v>
      </c>
      <c r="BF324" s="15">
        <v>0</v>
      </c>
      <c r="BG324" s="14">
        <v>0</v>
      </c>
      <c r="BH324" s="14">
        <v>1</v>
      </c>
      <c r="BI324" s="14">
        <v>1</v>
      </c>
      <c r="BJ324" s="14">
        <v>0</v>
      </c>
      <c r="BK324" s="15">
        <v>1</v>
      </c>
      <c r="BL324" s="15">
        <v>0</v>
      </c>
      <c r="BM324" s="14">
        <v>0</v>
      </c>
      <c r="BN324" s="14">
        <v>0</v>
      </c>
      <c r="BO324" s="14">
        <v>0</v>
      </c>
      <c r="BP324" s="14">
        <v>0</v>
      </c>
      <c r="BQ324" s="15">
        <v>0</v>
      </c>
      <c r="BR324" s="15">
        <v>0</v>
      </c>
      <c r="BS324" s="14">
        <v>0</v>
      </c>
      <c r="BT324" s="14">
        <v>0</v>
      </c>
      <c r="BU324" s="14">
        <v>0</v>
      </c>
      <c r="BV324" s="14">
        <v>0</v>
      </c>
      <c r="BW324" s="15">
        <v>0</v>
      </c>
      <c r="BX324" s="15">
        <v>0</v>
      </c>
      <c r="BY324" s="15">
        <v>1</v>
      </c>
      <c r="BZ324" s="15">
        <v>6</v>
      </c>
      <c r="CA324" s="15">
        <v>7</v>
      </c>
      <c r="CB324" s="15">
        <v>0</v>
      </c>
      <c r="CC324" s="14">
        <v>0</v>
      </c>
      <c r="CD324" s="14">
        <v>81</v>
      </c>
      <c r="CE324" s="14">
        <v>5</v>
      </c>
      <c r="CF324" s="14">
        <v>3</v>
      </c>
      <c r="CG324" s="14">
        <v>0</v>
      </c>
      <c r="CH324" s="15">
        <v>89</v>
      </c>
      <c r="CI324" s="14">
        <v>37</v>
      </c>
      <c r="CJ324" s="14">
        <v>7</v>
      </c>
      <c r="CK324" s="14">
        <v>0</v>
      </c>
      <c r="CL324" s="14">
        <v>0</v>
      </c>
      <c r="CM324" s="15">
        <v>44</v>
      </c>
      <c r="CN324" s="14">
        <v>156</v>
      </c>
      <c r="CO324" s="14">
        <v>8</v>
      </c>
      <c r="CP324" s="14">
        <v>18</v>
      </c>
      <c r="CQ324" s="14">
        <v>23</v>
      </c>
      <c r="CR324" s="15">
        <v>205</v>
      </c>
      <c r="CS324" s="15">
        <v>249</v>
      </c>
      <c r="CT324" s="14">
        <v>338</v>
      </c>
      <c r="CU324" s="14">
        <v>1986</v>
      </c>
      <c r="CV324" s="14">
        <v>1986.3</v>
      </c>
      <c r="CW324" s="16">
        <v>1.0001510574018131</v>
      </c>
      <c r="CX324" s="14">
        <v>0</v>
      </c>
      <c r="CY324" s="14">
        <v>0</v>
      </c>
      <c r="CZ324" s="14">
        <v>0</v>
      </c>
      <c r="DA324" s="14">
        <v>0</v>
      </c>
      <c r="DB324" s="15">
        <v>0</v>
      </c>
      <c r="DC324" s="14">
        <v>0</v>
      </c>
      <c r="DD324" s="14">
        <v>0</v>
      </c>
      <c r="DE324" s="14">
        <v>0</v>
      </c>
      <c r="DF324" s="14">
        <v>0</v>
      </c>
      <c r="DG324" s="15">
        <v>0</v>
      </c>
      <c r="DH324" s="14">
        <v>0</v>
      </c>
      <c r="DI324" s="14">
        <v>0</v>
      </c>
      <c r="DJ324" s="14">
        <v>0</v>
      </c>
      <c r="DK324" s="14">
        <v>0</v>
      </c>
      <c r="DL324" s="15">
        <v>0</v>
      </c>
      <c r="DM324" s="14">
        <v>0</v>
      </c>
      <c r="DN324" s="14">
        <v>0</v>
      </c>
      <c r="DO324" s="14">
        <v>0</v>
      </c>
      <c r="DP324" s="14">
        <v>0</v>
      </c>
      <c r="DQ324" s="15">
        <v>0</v>
      </c>
      <c r="DR324" s="15">
        <v>0</v>
      </c>
      <c r="DS324" s="15">
        <v>0</v>
      </c>
      <c r="DT324" s="15">
        <v>0</v>
      </c>
      <c r="DU324" s="15">
        <v>0</v>
      </c>
      <c r="DV324" s="15">
        <v>0</v>
      </c>
      <c r="DW324" s="14">
        <v>7</v>
      </c>
      <c r="DX324" s="14">
        <v>6</v>
      </c>
      <c r="DY324" s="14">
        <v>35</v>
      </c>
      <c r="DZ324" s="14">
        <v>0</v>
      </c>
      <c r="EA324" s="14">
        <v>0</v>
      </c>
      <c r="EB324" s="14">
        <v>0</v>
      </c>
      <c r="EC324" s="14">
        <v>1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2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1</v>
      </c>
      <c r="FF324" s="14">
        <v>0</v>
      </c>
      <c r="FG324" s="15">
        <v>52</v>
      </c>
      <c r="FH324" s="14">
        <v>0</v>
      </c>
      <c r="FI324" s="14">
        <v>0</v>
      </c>
      <c r="FJ324" s="14">
        <v>22</v>
      </c>
      <c r="FK324" s="14">
        <v>41.17</v>
      </c>
      <c r="FL324" s="14">
        <v>0</v>
      </c>
      <c r="FM324" s="14">
        <v>0</v>
      </c>
      <c r="FN324" s="14">
        <v>0</v>
      </c>
      <c r="FO324" s="14">
        <v>0</v>
      </c>
      <c r="FP324" s="14">
        <v>0</v>
      </c>
      <c r="FQ324" s="15">
        <v>0</v>
      </c>
      <c r="FR324" s="14">
        <v>38700</v>
      </c>
      <c r="FS324" s="14">
        <v>0</v>
      </c>
      <c r="FT324" s="14">
        <v>0</v>
      </c>
      <c r="FU324" s="14">
        <v>0</v>
      </c>
      <c r="FV324" s="15">
        <v>38700</v>
      </c>
      <c r="FW324" s="14">
        <v>868222.29</v>
      </c>
      <c r="FX324" s="14">
        <v>31406.22</v>
      </c>
      <c r="FY324" s="14">
        <v>6476000</v>
      </c>
      <c r="FZ324" s="14">
        <v>202300</v>
      </c>
      <c r="GA324" s="15">
        <v>7577928.5099999998</v>
      </c>
      <c r="GB324" s="15">
        <v>7616628.5099999998</v>
      </c>
      <c r="GC324" s="14">
        <v>257284.77</v>
      </c>
      <c r="GD324" s="14">
        <v>0</v>
      </c>
      <c r="GE324" s="14">
        <v>1265176.72</v>
      </c>
      <c r="GF324" s="14">
        <v>0</v>
      </c>
      <c r="GG324" s="15">
        <v>1522461.49</v>
      </c>
      <c r="GH324" s="14">
        <v>851715.34</v>
      </c>
      <c r="GI324" s="14">
        <v>24266.22</v>
      </c>
      <c r="GJ324" s="14">
        <v>202300</v>
      </c>
      <c r="GK324" s="14">
        <v>6476000</v>
      </c>
      <c r="GL324" s="15">
        <v>7554281.5600000015</v>
      </c>
      <c r="GM324" s="15">
        <v>9076743.0500000007</v>
      </c>
      <c r="GN324" s="14">
        <v>20387.27</v>
      </c>
      <c r="GO324" s="14">
        <v>0</v>
      </c>
      <c r="GP324" s="14">
        <v>23755.48</v>
      </c>
      <c r="GQ324" s="14">
        <v>0</v>
      </c>
      <c r="GR324" s="15">
        <v>44142.75</v>
      </c>
      <c r="GS324" s="14">
        <v>33041</v>
      </c>
      <c r="GT324" s="14">
        <v>0</v>
      </c>
      <c r="GU324" s="14">
        <v>6251</v>
      </c>
      <c r="GV324" s="14">
        <v>0</v>
      </c>
      <c r="GW324" s="15">
        <v>39292</v>
      </c>
      <c r="GX324" s="15">
        <v>9160177.8000000007</v>
      </c>
      <c r="GY324" s="14">
        <v>-2301602.8800000031</v>
      </c>
      <c r="GZ324" s="14">
        <v>-29150.51</v>
      </c>
      <c r="HA324" s="9">
        <f t="shared" si="1581"/>
        <v>-2330753.3900000029</v>
      </c>
      <c r="HB324" s="15">
        <v>9160177.8000000007</v>
      </c>
      <c r="HC324" s="16">
        <v>0</v>
      </c>
      <c r="HD324" s="15">
        <v>0</v>
      </c>
      <c r="HE324" s="14">
        <v>6</v>
      </c>
      <c r="HF324" s="14">
        <v>1</v>
      </c>
      <c r="HG324" s="14">
        <v>0</v>
      </c>
      <c r="HH324" s="14">
        <v>6</v>
      </c>
      <c r="HI324" s="14">
        <v>5</v>
      </c>
      <c r="HJ324" s="15">
        <v>0.83333333333333337</v>
      </c>
      <c r="HK324" s="16">
        <v>0</v>
      </c>
      <c r="HL324" s="14">
        <v>3</v>
      </c>
      <c r="HM324" s="14">
        <v>1</v>
      </c>
      <c r="HN324" s="17">
        <v>3</v>
      </c>
    </row>
    <row r="325" spans="1:222" x14ac:dyDescent="0.3">
      <c r="A325" s="6" t="s">
        <v>295</v>
      </c>
      <c r="B325" s="6" t="s">
        <v>299</v>
      </c>
      <c r="C325" s="7" t="s">
        <v>257</v>
      </c>
      <c r="D325" s="7">
        <v>2026</v>
      </c>
      <c r="E325" s="7">
        <v>2</v>
      </c>
      <c r="F325" s="7" t="s">
        <v>272</v>
      </c>
      <c r="G325" s="7" t="s">
        <v>271</v>
      </c>
      <c r="H325" s="8">
        <v>2728</v>
      </c>
      <c r="I325" s="8">
        <v>193</v>
      </c>
      <c r="J325" s="8">
        <v>0</v>
      </c>
      <c r="K325" s="8">
        <v>143</v>
      </c>
      <c r="L325" s="8">
        <v>0</v>
      </c>
      <c r="M325" s="9">
        <f t="shared" ref="M325:M335" si="1642">SUM(I325,J325,K325,L325)</f>
        <v>336</v>
      </c>
      <c r="N325" s="8">
        <v>426.0000000000004</v>
      </c>
      <c r="O325" s="8">
        <v>139.30000000000001</v>
      </c>
      <c r="P325" s="8">
        <v>64.599999999999994</v>
      </c>
      <c r="Q325" s="8">
        <v>1323.9</v>
      </c>
      <c r="R325" s="9">
        <f t="shared" ref="R325:R335" si="1643">SUM(N325,O325,P325,Q325)</f>
        <v>1953.8000000000006</v>
      </c>
      <c r="S325" s="9">
        <f t="shared" ref="S325:S335" si="1644">M325+R325</f>
        <v>2289.8000000000006</v>
      </c>
      <c r="T325" s="8">
        <v>438.19999999999942</v>
      </c>
      <c r="U325" s="10">
        <f t="shared" ref="U325:U335" si="1645">IF(H325=0,"",T325/H325)</f>
        <v>0.16063049853372413</v>
      </c>
      <c r="V325" s="8">
        <v>15</v>
      </c>
      <c r="W325" s="11">
        <f t="shared" ref="W325:W335" si="1646">IF(H325=0,"",V325/H325)</f>
        <v>5.4985337243401763E-3</v>
      </c>
      <c r="X325" s="8">
        <v>12</v>
      </c>
      <c r="Y325" s="11">
        <f t="shared" ref="Y325:Y335" si="1647">IF(H325=0,"",X325/H325)</f>
        <v>4.3988269794721412E-3</v>
      </c>
      <c r="Z325" s="8">
        <v>8</v>
      </c>
      <c r="AA325" s="11">
        <f t="shared" ref="AA325:AA335" si="1648">IF(H325=0,"",Z325/H325)</f>
        <v>2.9325513196480938E-3</v>
      </c>
      <c r="AB325" s="8">
        <v>0</v>
      </c>
      <c r="AC325" s="11">
        <f t="shared" ref="AC325:AC335" si="1649">IF(H325=0,"",AB325/H325)</f>
        <v>0</v>
      </c>
      <c r="AD325" s="8">
        <v>0</v>
      </c>
      <c r="AE325" s="11">
        <f t="shared" ref="AE325:AE335" si="1650">IF(H325=0,"",AD325/H325)</f>
        <v>0</v>
      </c>
      <c r="AF325" s="8">
        <v>0</v>
      </c>
      <c r="AG325" s="11">
        <f t="shared" ref="AG325:AG335" si="1651">IF(H325=0,"",AF325/H325)</f>
        <v>0</v>
      </c>
      <c r="AH325" s="8">
        <v>591328</v>
      </c>
      <c r="AI325" s="9">
        <f t="shared" ref="AI325:AI335" si="1652">IF(H325=0,"",AH325/H325)</f>
        <v>216.76246334310849</v>
      </c>
      <c r="AJ325" s="8">
        <v>4707.8</v>
      </c>
      <c r="AK325" s="11">
        <f t="shared" ref="AK325:AK335" si="1653">IF(H325=0,"",AJ325/H325)</f>
        <v>1.7257331378299121</v>
      </c>
      <c r="AL325" s="8">
        <v>1318290.5601999999</v>
      </c>
      <c r="AM325" s="9">
        <f t="shared" ref="AM325:AM335" si="1654">IF(H325=0,"",AL325/H325)</f>
        <v>483.24434024926683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9">
        <f t="shared" ref="AU325:AU335" si="1655">AH325+AL325+AP325+AQ325+AR325+AS325+AT325</f>
        <v>1909618.5601999999</v>
      </c>
      <c r="AV325" s="9">
        <f t="shared" ref="AV325:AV335" si="1656">IF(H325=0,"",AU325/H325)</f>
        <v>700.00680359237538</v>
      </c>
      <c r="AW325" s="9">
        <f t="shared" ref="AW325:AW335" si="1657">IF(S325=0,"",AU325/S325)</f>
        <v>833.96740335400443</v>
      </c>
      <c r="AX325" s="8">
        <v>3</v>
      </c>
      <c r="AY325" s="9">
        <f t="shared" ref="AY325:AY335" si="1658">IF(H325=0,"",AX325/(H325/1000/12))</f>
        <v>13.196480938416421</v>
      </c>
      <c r="AZ325" s="8">
        <v>5</v>
      </c>
      <c r="BA325" s="8">
        <v>0</v>
      </c>
      <c r="BB325" s="8">
        <v>0</v>
      </c>
      <c r="BC325" s="8">
        <v>0</v>
      </c>
      <c r="BD325" s="8">
        <v>0</v>
      </c>
      <c r="BE325" s="9">
        <f t="shared" ref="BE325:BE335" si="1659">BC325+BD325</f>
        <v>0</v>
      </c>
      <c r="BF325" s="9">
        <f t="shared" ref="BF325:BF335" si="1660">BA325+BB325-BE325</f>
        <v>0</v>
      </c>
      <c r="BG325" s="8">
        <v>0</v>
      </c>
      <c r="BH325" s="8">
        <v>0</v>
      </c>
      <c r="BI325" s="8">
        <v>0</v>
      </c>
      <c r="BJ325" s="8">
        <v>0</v>
      </c>
      <c r="BK325" s="9">
        <f t="shared" ref="BK325:BK335" si="1661">BI325+BJ325</f>
        <v>0</v>
      </c>
      <c r="BL325" s="9">
        <f t="shared" ref="BL325:BL335" si="1662">BG325+BH325-BK325</f>
        <v>0</v>
      </c>
      <c r="BM325" s="8">
        <v>0</v>
      </c>
      <c r="BN325" s="8">
        <v>0</v>
      </c>
      <c r="BO325" s="8">
        <v>0</v>
      </c>
      <c r="BP325" s="8">
        <v>0</v>
      </c>
      <c r="BQ325" s="9">
        <f t="shared" ref="BQ325:BQ335" si="1663">BO325+BP325</f>
        <v>0</v>
      </c>
      <c r="BR325" s="9">
        <f t="shared" ref="BR325:BR335" si="1664">BM325+BN325-BQ325</f>
        <v>0</v>
      </c>
      <c r="BS325" s="8">
        <v>0</v>
      </c>
      <c r="BT325" s="8">
        <v>0</v>
      </c>
      <c r="BU325" s="8">
        <v>0</v>
      </c>
      <c r="BV325" s="8">
        <v>0</v>
      </c>
      <c r="BW325" s="9">
        <f t="shared" ref="BW325:BW335" si="1665">BU325+BV325</f>
        <v>0</v>
      </c>
      <c r="BX325" s="9">
        <f t="shared" ref="BX325:BX335" si="1666">BS325+BT325-BW325</f>
        <v>0</v>
      </c>
      <c r="BY325" s="9">
        <f t="shared" ref="BY325:BY335" si="1667">BA325+BG325+BM325+BS325</f>
        <v>0</v>
      </c>
      <c r="BZ325" s="9">
        <f t="shared" ref="BZ325:BZ335" si="1668">BB325+BH325+BN325+BT325</f>
        <v>0</v>
      </c>
      <c r="CA325" s="9">
        <f t="shared" ref="CA325:CA335" si="1669">BE325+BK325+BQ325+BW325</f>
        <v>0</v>
      </c>
      <c r="CB325" s="9">
        <f t="shared" ref="CB325:CB335" si="1670">BF325+BL325+BR325+BX325</f>
        <v>0</v>
      </c>
      <c r="CC325" s="8">
        <v>0</v>
      </c>
      <c r="CD325" s="8">
        <v>88</v>
      </c>
      <c r="CE325" s="8">
        <v>4</v>
      </c>
      <c r="CF325" s="8">
        <v>4</v>
      </c>
      <c r="CG325" s="8">
        <v>0</v>
      </c>
      <c r="CH325" s="9">
        <f t="shared" ref="CH325:CH335" si="1671">CD325+CE325+CF325+CG325</f>
        <v>96</v>
      </c>
      <c r="CI325" s="8">
        <v>21</v>
      </c>
      <c r="CJ325" s="8">
        <v>7</v>
      </c>
      <c r="CK325" s="8">
        <v>0</v>
      </c>
      <c r="CL325" s="8">
        <v>0</v>
      </c>
      <c r="CM325" s="9">
        <f t="shared" ref="CM325:CM335" si="1672">CI325+CJ325+CK325+CL325</f>
        <v>28</v>
      </c>
      <c r="CN325" s="8">
        <v>165</v>
      </c>
      <c r="CO325" s="8">
        <v>9</v>
      </c>
      <c r="CP325" s="8">
        <v>17</v>
      </c>
      <c r="CQ325" s="8">
        <v>23</v>
      </c>
      <c r="CR325" s="9">
        <f t="shared" ref="CR325:CR335" si="1673">CN325+CO325+CP325+CQ325</f>
        <v>214</v>
      </c>
      <c r="CS325" s="9">
        <f t="shared" ref="CS325:CS335" si="1674">CM325+CR325</f>
        <v>242</v>
      </c>
      <c r="CT325" s="8">
        <v>338</v>
      </c>
      <c r="CU325" s="8">
        <v>1992</v>
      </c>
      <c r="CV325" s="8">
        <v>1986</v>
      </c>
      <c r="CW325" s="10">
        <f t="shared" ref="CW325:CW335" si="1675">IF(CU325=0,"",CV325/CU325)</f>
        <v>0.99698795180722888</v>
      </c>
      <c r="CX325" s="8">
        <v>0</v>
      </c>
      <c r="CY325" s="8">
        <v>0</v>
      </c>
      <c r="CZ325" s="8">
        <v>0</v>
      </c>
      <c r="DA325" s="8">
        <v>0</v>
      </c>
      <c r="DB325" s="9">
        <f t="shared" ref="DB325:DB335" si="1676">CX325+CY325-CZ325-DA325</f>
        <v>0</v>
      </c>
      <c r="DC325" s="8">
        <v>0</v>
      </c>
      <c r="DD325" s="8">
        <v>0</v>
      </c>
      <c r="DE325" s="8">
        <v>0</v>
      </c>
      <c r="DF325" s="8">
        <v>0</v>
      </c>
      <c r="DG325" s="9">
        <f t="shared" ref="DG325:DG335" si="1677">DC325+DD325-DE325-DF325</f>
        <v>0</v>
      </c>
      <c r="DH325" s="8">
        <v>0</v>
      </c>
      <c r="DI325" s="8">
        <v>0</v>
      </c>
      <c r="DJ325" s="8">
        <v>0</v>
      </c>
      <c r="DK325" s="8">
        <v>0</v>
      </c>
      <c r="DL325" s="9">
        <f t="shared" ref="DL325:DL335" si="1678">DH325+DI325-DJ325-DK325</f>
        <v>0</v>
      </c>
      <c r="DM325" s="8">
        <v>0</v>
      </c>
      <c r="DN325" s="8">
        <v>0</v>
      </c>
      <c r="DO325" s="8">
        <v>0</v>
      </c>
      <c r="DP325" s="8">
        <v>0</v>
      </c>
      <c r="DQ325" s="9">
        <f t="shared" ref="DQ325:DQ335" si="1679">DM325+DN325-DO325-DP325</f>
        <v>0</v>
      </c>
      <c r="DR325" s="9">
        <f t="shared" ref="DR325:DR335" si="1680">CX325+DC325+DH325+DM325</f>
        <v>0</v>
      </c>
      <c r="DS325" s="9">
        <f t="shared" ref="DS325:DS335" si="1681">CY325+DD325+DI325+DN325</f>
        <v>0</v>
      </c>
      <c r="DT325" s="9">
        <f t="shared" ref="DT325:DT335" si="1682">CZ325+DE325+DJ325+DO325</f>
        <v>0</v>
      </c>
      <c r="DU325" s="9">
        <f t="shared" ref="DU325:DU335" si="1683">DA325+DF325+DK325+DP325</f>
        <v>0</v>
      </c>
      <c r="DV325" s="9">
        <f t="shared" ref="DV325:DV335" si="1684">DB325+DG325+DL325+DQ325</f>
        <v>0</v>
      </c>
      <c r="DW325" s="8">
        <v>9</v>
      </c>
      <c r="DX325" s="8">
        <v>5</v>
      </c>
      <c r="DY325" s="8">
        <v>9</v>
      </c>
      <c r="DZ325" s="8">
        <v>1</v>
      </c>
      <c r="EA325" s="8">
        <v>0</v>
      </c>
      <c r="EB325" s="8"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2</v>
      </c>
      <c r="EK325" s="8">
        <v>0</v>
      </c>
      <c r="EL325" s="8">
        <v>0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8">
        <v>0</v>
      </c>
      <c r="FC325" s="8">
        <v>0</v>
      </c>
      <c r="FD325" s="8">
        <v>0</v>
      </c>
      <c r="FE325" s="8">
        <v>1</v>
      </c>
      <c r="FF325" s="8">
        <v>0</v>
      </c>
      <c r="FG325" s="9">
        <f t="shared" ref="FG325:FG335" si="1685">SUM(DW325,DX325,DY325,DZ325,EA325,EB325,EC325,ED325,EE325,EF325,EG325,EH325,EI325,EJ325,EK325,EL325,EM325,EN325,EO325,EP325,EQ325,ER325,ES325,ET325,EU325,EV325,EW325,EX325,EY325,EZ325,FA325,FB325,FC325,FD325,FE325,FF325)</f>
        <v>27</v>
      </c>
      <c r="FH325" s="8">
        <v>0</v>
      </c>
      <c r="FI325" s="8">
        <v>0</v>
      </c>
      <c r="FJ325" s="8">
        <v>21</v>
      </c>
      <c r="FK325" s="8">
        <v>63.33</v>
      </c>
      <c r="FL325" s="8">
        <v>0</v>
      </c>
      <c r="FM325" s="8">
        <v>0</v>
      </c>
      <c r="FN325" s="8">
        <v>0</v>
      </c>
      <c r="FO325" s="8">
        <v>0</v>
      </c>
      <c r="FP325" s="8">
        <v>0</v>
      </c>
      <c r="FQ325" s="9">
        <f t="shared" ref="FQ325:FQ335" si="1686">FL325+FM325+FN325+FO325+FP325</f>
        <v>0</v>
      </c>
      <c r="FR325" s="8">
        <v>72196.27</v>
      </c>
      <c r="FS325" s="8">
        <v>0</v>
      </c>
      <c r="FT325" s="8">
        <v>0</v>
      </c>
      <c r="FU325" s="8">
        <v>13000</v>
      </c>
      <c r="FV325" s="9">
        <f t="shared" ref="FV325:FV335" si="1687">FR325+FS325+FT325+FU325</f>
        <v>85196.27</v>
      </c>
      <c r="FW325" s="8">
        <v>543990</v>
      </c>
      <c r="FX325" s="8">
        <v>33800</v>
      </c>
      <c r="FY325" s="8">
        <v>6260000</v>
      </c>
      <c r="FZ325" s="8">
        <v>196100</v>
      </c>
      <c r="GA325" s="9">
        <f t="shared" ref="GA325:GA335" si="1688">FW325+FX325+FY325+FZ325</f>
        <v>7033890</v>
      </c>
      <c r="GB325" s="9">
        <f t="shared" ref="GB325:GB335" si="1689">FV325+GA325</f>
        <v>7119086.2699999996</v>
      </c>
      <c r="GC325" s="8">
        <v>186401.89</v>
      </c>
      <c r="GD325" s="8">
        <v>0</v>
      </c>
      <c r="GE325" s="8">
        <v>439596.03</v>
      </c>
      <c r="GF325" s="8">
        <v>0</v>
      </c>
      <c r="GG325" s="9">
        <f t="shared" ref="GG325:GG335" si="1690">GC325+GD325+GE325+GF325</f>
        <v>625997.92000000004</v>
      </c>
      <c r="GH325" s="8">
        <v>531029.29</v>
      </c>
      <c r="GI325" s="8">
        <v>29600</v>
      </c>
      <c r="GJ325" s="8">
        <v>196100</v>
      </c>
      <c r="GK325" s="8">
        <v>6260000</v>
      </c>
      <c r="GL325" s="9">
        <f t="shared" ref="GL325:GL335" si="1691">GH325+GI325+GJ325+GK325</f>
        <v>7016729.29</v>
      </c>
      <c r="GM325" s="9">
        <f t="shared" ref="GM325:GM335" si="1692">GG325+GL325</f>
        <v>7642727.21</v>
      </c>
      <c r="GN325" s="8">
        <v>11668.39</v>
      </c>
      <c r="GO325" s="8">
        <v>0</v>
      </c>
      <c r="GP325" s="8">
        <v>23755.48</v>
      </c>
      <c r="GQ325" s="8">
        <v>0</v>
      </c>
      <c r="GR325" s="9">
        <f t="shared" ref="GR325:GR335" si="1693">GN325+GO325+GP325+GQ325</f>
        <v>35423.869999999995</v>
      </c>
      <c r="GS325" s="8">
        <v>18753</v>
      </c>
      <c r="GT325" s="8">
        <v>0</v>
      </c>
      <c r="GU325" s="8">
        <v>6251</v>
      </c>
      <c r="GV325" s="8">
        <v>0</v>
      </c>
      <c r="GW325" s="9">
        <f t="shared" ref="GW325:GW335" si="1694">GS325+GT325+GU325+GV325</f>
        <v>25004</v>
      </c>
      <c r="GX325" s="9">
        <f t="shared" ref="GX325:GX335" si="1695">GM325+GR325+GW325</f>
        <v>7703155.0800000001</v>
      </c>
      <c r="GY325" s="8">
        <v>10616565.220000001</v>
      </c>
      <c r="GZ325" s="8">
        <v>-29150.51</v>
      </c>
      <c r="HA325" s="9">
        <f t="shared" si="1581"/>
        <v>10587414.710000001</v>
      </c>
      <c r="HB325" s="9">
        <f t="shared" ref="HB325:HB335" si="1696">IF(GX325=0,"",AU325/GX325)</f>
        <v>0.24790083288833384</v>
      </c>
      <c r="HC325" s="10">
        <f t="shared" ref="HC325:HC335" si="1697">IF((GX325+GY325)=0,"",GB325/(GX325+GY325))</f>
        <v>0.38860234509148045</v>
      </c>
      <c r="HD325" s="9">
        <f t="shared" ref="HD325:HD335" si="1698">IF(GX325=0,"",GB325/GX325)</f>
        <v>0.9241779759158113</v>
      </c>
      <c r="HE325" s="8">
        <v>2</v>
      </c>
      <c r="HF325" s="8">
        <v>1</v>
      </c>
      <c r="HG325" s="8">
        <v>0</v>
      </c>
      <c r="HH325" s="8">
        <v>0</v>
      </c>
      <c r="HI325" s="8">
        <v>0</v>
      </c>
      <c r="HJ325" s="9">
        <f t="shared" ref="HJ325:HJ335" si="1699">HF325+HI325</f>
        <v>1</v>
      </c>
      <c r="HK325" s="10">
        <f t="shared" ref="HK325:HK335" si="1700">IF(HE325=0,"",HH325/HE325)</f>
        <v>0</v>
      </c>
      <c r="HL325" s="8">
        <v>5</v>
      </c>
      <c r="HM325" s="8">
        <v>2</v>
      </c>
      <c r="HN325" s="11">
        <f t="shared" ref="HN325:HN335" si="1701">IF(HL325=0,"",HM325/HL325)</f>
        <v>0.4</v>
      </c>
    </row>
    <row r="326" spans="1:222" x14ac:dyDescent="0.3">
      <c r="A326" s="12" t="s">
        <v>295</v>
      </c>
      <c r="B326" s="12" t="s">
        <v>299</v>
      </c>
      <c r="C326" s="13" t="s">
        <v>257</v>
      </c>
      <c r="D326" s="13">
        <v>2026</v>
      </c>
      <c r="E326" s="13">
        <v>3</v>
      </c>
      <c r="F326" s="13" t="s">
        <v>273</v>
      </c>
      <c r="G326" s="13" t="s">
        <v>271</v>
      </c>
      <c r="H326" s="14">
        <v>2853</v>
      </c>
      <c r="I326" s="14">
        <v>107</v>
      </c>
      <c r="J326" s="14">
        <v>0</v>
      </c>
      <c r="K326" s="14">
        <v>233</v>
      </c>
      <c r="L326" s="14">
        <v>0</v>
      </c>
      <c r="M326" s="15">
        <f t="shared" si="1642"/>
        <v>340</v>
      </c>
      <c r="N326" s="14">
        <v>475.20000000000022</v>
      </c>
      <c r="O326" s="14">
        <v>88.800000000000011</v>
      </c>
      <c r="P326" s="14">
        <v>76.400000000000006</v>
      </c>
      <c r="Q326" s="14">
        <v>1759.9</v>
      </c>
      <c r="R326" s="15">
        <f t="shared" si="1643"/>
        <v>2400.3000000000002</v>
      </c>
      <c r="S326" s="15">
        <f t="shared" si="1644"/>
        <v>2740.3</v>
      </c>
      <c r="T326" s="14">
        <v>112.7000000000003</v>
      </c>
      <c r="U326" s="16">
        <f t="shared" si="1645"/>
        <v>3.9502278303540236E-2</v>
      </c>
      <c r="V326" s="14">
        <v>13</v>
      </c>
      <c r="W326" s="17">
        <f t="shared" si="1646"/>
        <v>4.5566070802663863E-3</v>
      </c>
      <c r="X326" s="14">
        <v>10</v>
      </c>
      <c r="Y326" s="17">
        <f t="shared" si="1647"/>
        <v>3.5050823694356818E-3</v>
      </c>
      <c r="Z326" s="14">
        <v>9</v>
      </c>
      <c r="AA326" s="17">
        <f t="shared" si="1648"/>
        <v>3.1545741324921135E-3</v>
      </c>
      <c r="AB326" s="14">
        <v>0</v>
      </c>
      <c r="AC326" s="17">
        <f t="shared" si="1649"/>
        <v>0</v>
      </c>
      <c r="AD326" s="14">
        <v>0</v>
      </c>
      <c r="AE326" s="17">
        <f t="shared" si="1650"/>
        <v>0</v>
      </c>
      <c r="AF326" s="14">
        <v>0</v>
      </c>
      <c r="AG326" s="17">
        <f t="shared" si="1651"/>
        <v>0</v>
      </c>
      <c r="AH326" s="14">
        <v>534044</v>
      </c>
      <c r="AI326" s="15">
        <f t="shared" si="1652"/>
        <v>187.18682089029093</v>
      </c>
      <c r="AJ326" s="14">
        <v>1967.96</v>
      </c>
      <c r="AK326" s="17">
        <f t="shared" si="1653"/>
        <v>0.68978618997546448</v>
      </c>
      <c r="AL326" s="14">
        <v>569467.62963999994</v>
      </c>
      <c r="AM326" s="15">
        <f t="shared" si="1654"/>
        <v>199.60309486154924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4">
        <v>0</v>
      </c>
      <c r="AU326" s="15">
        <f t="shared" si="1655"/>
        <v>1103511.6296399999</v>
      </c>
      <c r="AV326" s="15">
        <f t="shared" si="1656"/>
        <v>386.78991575184017</v>
      </c>
      <c r="AW326" s="15">
        <f t="shared" si="1657"/>
        <v>402.6973797175491</v>
      </c>
      <c r="AX326" s="14">
        <v>3</v>
      </c>
      <c r="AY326" s="15">
        <f t="shared" si="1658"/>
        <v>12.618296529968454</v>
      </c>
      <c r="AZ326" s="14">
        <v>5</v>
      </c>
      <c r="BA326" s="14">
        <v>0</v>
      </c>
      <c r="BB326" s="14">
        <v>0</v>
      </c>
      <c r="BC326" s="14">
        <v>0</v>
      </c>
      <c r="BD326" s="14">
        <v>0</v>
      </c>
      <c r="BE326" s="15">
        <f t="shared" si="1659"/>
        <v>0</v>
      </c>
      <c r="BF326" s="15">
        <f t="shared" si="1660"/>
        <v>0</v>
      </c>
      <c r="BG326" s="14">
        <v>0</v>
      </c>
      <c r="BH326" s="14">
        <v>0</v>
      </c>
      <c r="BI326" s="14">
        <v>0</v>
      </c>
      <c r="BJ326" s="14">
        <v>0</v>
      </c>
      <c r="BK326" s="15">
        <f t="shared" si="1661"/>
        <v>0</v>
      </c>
      <c r="BL326" s="15">
        <f t="shared" si="1662"/>
        <v>0</v>
      </c>
      <c r="BM326" s="14">
        <v>0</v>
      </c>
      <c r="BN326" s="14">
        <v>0</v>
      </c>
      <c r="BO326" s="14">
        <v>0</v>
      </c>
      <c r="BP326" s="14">
        <v>0</v>
      </c>
      <c r="BQ326" s="15">
        <f t="shared" si="1663"/>
        <v>0</v>
      </c>
      <c r="BR326" s="15">
        <f t="shared" si="1664"/>
        <v>0</v>
      </c>
      <c r="BS326" s="14">
        <v>0</v>
      </c>
      <c r="BT326" s="14">
        <v>0</v>
      </c>
      <c r="BU326" s="14">
        <v>0</v>
      </c>
      <c r="BV326" s="14">
        <v>0</v>
      </c>
      <c r="BW326" s="15">
        <f t="shared" si="1665"/>
        <v>0</v>
      </c>
      <c r="BX326" s="15">
        <f t="shared" si="1666"/>
        <v>0</v>
      </c>
      <c r="BY326" s="15">
        <f t="shared" si="1667"/>
        <v>0</v>
      </c>
      <c r="BZ326" s="15">
        <f t="shared" si="1668"/>
        <v>0</v>
      </c>
      <c r="CA326" s="15">
        <f t="shared" si="1669"/>
        <v>0</v>
      </c>
      <c r="CB326" s="15">
        <f t="shared" si="1670"/>
        <v>0</v>
      </c>
      <c r="CC326" s="14">
        <v>0</v>
      </c>
      <c r="CD326" s="14">
        <v>87</v>
      </c>
      <c r="CE326" s="14">
        <v>4</v>
      </c>
      <c r="CF326" s="14">
        <v>4</v>
      </c>
      <c r="CG326" s="14">
        <v>0</v>
      </c>
      <c r="CH326" s="15">
        <f t="shared" si="1671"/>
        <v>95</v>
      </c>
      <c r="CI326" s="14">
        <v>22</v>
      </c>
      <c r="CJ326" s="14">
        <v>7</v>
      </c>
      <c r="CK326" s="14">
        <v>0</v>
      </c>
      <c r="CL326" s="14">
        <v>0</v>
      </c>
      <c r="CM326" s="15">
        <f t="shared" si="1672"/>
        <v>29</v>
      </c>
      <c r="CN326" s="14">
        <v>165</v>
      </c>
      <c r="CO326" s="14">
        <v>9</v>
      </c>
      <c r="CP326" s="14">
        <v>17</v>
      </c>
      <c r="CQ326" s="14">
        <v>23</v>
      </c>
      <c r="CR326" s="15">
        <f t="shared" si="1673"/>
        <v>214</v>
      </c>
      <c r="CS326" s="15">
        <f t="shared" si="1674"/>
        <v>243</v>
      </c>
      <c r="CT326" s="14">
        <v>338</v>
      </c>
      <c r="CU326" s="14">
        <v>1996</v>
      </c>
      <c r="CV326" s="14">
        <v>1986</v>
      </c>
      <c r="CW326" s="16">
        <f t="shared" si="1675"/>
        <v>0.99498997995991989</v>
      </c>
      <c r="CX326" s="14"/>
      <c r="CY326" s="14"/>
      <c r="CZ326" s="14"/>
      <c r="DA326" s="14"/>
      <c r="DB326" s="15">
        <f t="shared" si="1676"/>
        <v>0</v>
      </c>
      <c r="DC326" s="14">
        <v>0</v>
      </c>
      <c r="DD326" s="14">
        <v>0</v>
      </c>
      <c r="DE326" s="14">
        <v>0</v>
      </c>
      <c r="DF326" s="14">
        <v>0</v>
      </c>
      <c r="DG326" s="15">
        <f t="shared" si="1677"/>
        <v>0</v>
      </c>
      <c r="DH326" s="14">
        <v>0</v>
      </c>
      <c r="DI326" s="14">
        <v>0</v>
      </c>
      <c r="DJ326" s="14">
        <v>0</v>
      </c>
      <c r="DK326" s="14">
        <v>0</v>
      </c>
      <c r="DL326" s="15">
        <f t="shared" si="1678"/>
        <v>0</v>
      </c>
      <c r="DM326" s="14">
        <v>0</v>
      </c>
      <c r="DN326" s="14">
        <v>0</v>
      </c>
      <c r="DO326" s="14">
        <v>0</v>
      </c>
      <c r="DP326" s="14">
        <v>0</v>
      </c>
      <c r="DQ326" s="15">
        <f t="shared" si="1679"/>
        <v>0</v>
      </c>
      <c r="DR326" s="15">
        <f t="shared" si="1680"/>
        <v>0</v>
      </c>
      <c r="DS326" s="15">
        <f t="shared" si="1681"/>
        <v>0</v>
      </c>
      <c r="DT326" s="15">
        <f t="shared" si="1682"/>
        <v>0</v>
      </c>
      <c r="DU326" s="15">
        <f t="shared" si="1683"/>
        <v>0</v>
      </c>
      <c r="DV326" s="15">
        <f t="shared" si="1684"/>
        <v>0</v>
      </c>
      <c r="DW326" s="14">
        <v>11</v>
      </c>
      <c r="DX326" s="14">
        <v>5</v>
      </c>
      <c r="DY326" s="14">
        <v>6</v>
      </c>
      <c r="DZ326" s="14">
        <v>1</v>
      </c>
      <c r="EA326" s="14">
        <v>3</v>
      </c>
      <c r="EB326" s="14">
        <v>0</v>
      </c>
      <c r="EC326" s="14">
        <v>0</v>
      </c>
      <c r="ED326" s="14">
        <v>0</v>
      </c>
      <c r="EE326" s="14">
        <v>0</v>
      </c>
      <c r="EF326" s="14">
        <v>0</v>
      </c>
      <c r="EG326" s="14">
        <v>0</v>
      </c>
      <c r="EH326" s="14">
        <v>0</v>
      </c>
      <c r="EI326" s="14">
        <v>0</v>
      </c>
      <c r="EJ326" s="14">
        <v>2</v>
      </c>
      <c r="EK326" s="14">
        <v>0</v>
      </c>
      <c r="EL326" s="14">
        <v>0</v>
      </c>
      <c r="EM326" s="14">
        <v>0</v>
      </c>
      <c r="EN326" s="14">
        <v>0</v>
      </c>
      <c r="EO326" s="14">
        <v>0</v>
      </c>
      <c r="EP326" s="14">
        <v>0</v>
      </c>
      <c r="EQ326" s="14">
        <v>0</v>
      </c>
      <c r="ER326" s="14">
        <v>0</v>
      </c>
      <c r="ES326" s="14">
        <v>0</v>
      </c>
      <c r="ET326" s="14">
        <v>0</v>
      </c>
      <c r="EU326" s="14">
        <v>0</v>
      </c>
      <c r="EV326" s="14">
        <v>0</v>
      </c>
      <c r="EW326" s="14">
        <v>0</v>
      </c>
      <c r="EX326" s="14">
        <v>0</v>
      </c>
      <c r="EY326" s="14">
        <v>0</v>
      </c>
      <c r="EZ326" s="14">
        <v>0</v>
      </c>
      <c r="FA326" s="14">
        <v>0</v>
      </c>
      <c r="FB326" s="14">
        <v>0</v>
      </c>
      <c r="FC326" s="14">
        <v>0</v>
      </c>
      <c r="FD326" s="14">
        <v>0</v>
      </c>
      <c r="FE326" s="14">
        <v>1</v>
      </c>
      <c r="FF326" s="14">
        <v>0</v>
      </c>
      <c r="FG326" s="15">
        <f t="shared" si="1685"/>
        <v>29</v>
      </c>
      <c r="FH326" s="14">
        <v>0</v>
      </c>
      <c r="FI326" s="14">
        <v>0</v>
      </c>
      <c r="FJ326" s="14">
        <v>22</v>
      </c>
      <c r="FK326" s="14">
        <v>80.900000000000006</v>
      </c>
      <c r="FL326" s="14">
        <v>0</v>
      </c>
      <c r="FM326" s="14">
        <v>0</v>
      </c>
      <c r="FN326" s="14">
        <v>0</v>
      </c>
      <c r="FO326" s="14">
        <v>0</v>
      </c>
      <c r="FP326" s="14">
        <v>0</v>
      </c>
      <c r="FQ326" s="15">
        <f t="shared" si="1686"/>
        <v>0</v>
      </c>
      <c r="FR326" s="14">
        <v>44500</v>
      </c>
      <c r="FS326" s="14">
        <v>0</v>
      </c>
      <c r="FT326" s="14">
        <v>0</v>
      </c>
      <c r="FU326" s="14">
        <v>0</v>
      </c>
      <c r="FV326" s="15">
        <f t="shared" si="1687"/>
        <v>44500</v>
      </c>
      <c r="FW326" s="14">
        <v>604401.18000000005</v>
      </c>
      <c r="FX326" s="14">
        <v>21900</v>
      </c>
      <c r="FY326" s="14">
        <v>8322100</v>
      </c>
      <c r="FZ326" s="14">
        <v>231400</v>
      </c>
      <c r="GA326" s="15">
        <f t="shared" si="1688"/>
        <v>9179801.1799999997</v>
      </c>
      <c r="GB326" s="15">
        <f t="shared" si="1689"/>
        <v>9224301.1799999997</v>
      </c>
      <c r="GC326" s="14">
        <v>110506.77</v>
      </c>
      <c r="GD326" s="14">
        <v>0</v>
      </c>
      <c r="GE326" s="14">
        <v>754137.57</v>
      </c>
      <c r="GF326" s="14">
        <v>0</v>
      </c>
      <c r="GG326" s="15">
        <f t="shared" si="1690"/>
        <v>864644.34</v>
      </c>
      <c r="GH326" s="14">
        <v>591747.18000000005</v>
      </c>
      <c r="GI326" s="14">
        <v>18900</v>
      </c>
      <c r="GJ326" s="14">
        <v>231400</v>
      </c>
      <c r="GK326" s="14">
        <v>8322100</v>
      </c>
      <c r="GL326" s="15">
        <f t="shared" si="1691"/>
        <v>9164147.1799999997</v>
      </c>
      <c r="GM326" s="15">
        <f t="shared" si="1692"/>
        <v>10028791.52</v>
      </c>
      <c r="GN326" s="14">
        <v>12213.32</v>
      </c>
      <c r="GO326" s="14">
        <v>0</v>
      </c>
      <c r="GP326" s="14">
        <v>23755.48</v>
      </c>
      <c r="GQ326" s="14">
        <v>0</v>
      </c>
      <c r="GR326" s="15">
        <f t="shared" si="1693"/>
        <v>35968.800000000003</v>
      </c>
      <c r="GS326" s="14">
        <v>19646</v>
      </c>
      <c r="GT326" s="14">
        <v>0</v>
      </c>
      <c r="GU326" s="14">
        <v>6251</v>
      </c>
      <c r="GV326" s="14">
        <v>0</v>
      </c>
      <c r="GW326" s="15">
        <f t="shared" si="1694"/>
        <v>25897</v>
      </c>
      <c r="GX326" s="15">
        <f t="shared" si="1695"/>
        <v>10090657.32</v>
      </c>
      <c r="GY326" s="14">
        <v>10890198.80000001</v>
      </c>
      <c r="GZ326" s="14">
        <v>-29150.51</v>
      </c>
      <c r="HA326" s="9">
        <f t="shared" si="1581"/>
        <v>10861048.29000001</v>
      </c>
      <c r="HB326" s="15">
        <f t="shared" si="1696"/>
        <v>0.10935973689769497</v>
      </c>
      <c r="HC326" s="16">
        <f t="shared" si="1697"/>
        <v>0.43965323089017944</v>
      </c>
      <c r="HD326" s="15">
        <f t="shared" si="1698"/>
        <v>0.91414274486530667</v>
      </c>
      <c r="HE326" s="14">
        <v>4</v>
      </c>
      <c r="HF326" s="14">
        <v>1</v>
      </c>
      <c r="HG326" s="14">
        <v>0</v>
      </c>
      <c r="HH326" s="14">
        <v>0</v>
      </c>
      <c r="HI326" s="14">
        <v>0</v>
      </c>
      <c r="HJ326" s="15">
        <f t="shared" si="1699"/>
        <v>1</v>
      </c>
      <c r="HK326" s="16">
        <f t="shared" si="1700"/>
        <v>0</v>
      </c>
      <c r="HL326" s="14">
        <v>2</v>
      </c>
      <c r="HM326" s="14">
        <v>1</v>
      </c>
      <c r="HN326" s="17">
        <f t="shared" si="1701"/>
        <v>0.5</v>
      </c>
    </row>
    <row r="327" spans="1:222" x14ac:dyDescent="0.3">
      <c r="A327" s="6" t="s">
        <v>295</v>
      </c>
      <c r="B327" s="6" t="s">
        <v>300</v>
      </c>
      <c r="C327" s="7" t="s">
        <v>257</v>
      </c>
      <c r="D327" s="7">
        <v>2025</v>
      </c>
      <c r="E327" s="7">
        <v>4</v>
      </c>
      <c r="F327" s="7" t="s">
        <v>258</v>
      </c>
      <c r="G327" s="7" t="s">
        <v>259</v>
      </c>
      <c r="H327" s="8">
        <v>6830</v>
      </c>
      <c r="I327" s="8">
        <v>261</v>
      </c>
      <c r="J327" s="8">
        <v>0</v>
      </c>
      <c r="K327" s="8">
        <v>8</v>
      </c>
      <c r="L327" s="8">
        <v>0</v>
      </c>
      <c r="M327" s="9">
        <f t="shared" si="1642"/>
        <v>269</v>
      </c>
      <c r="N327" s="8">
        <v>5007.8999999999896</v>
      </c>
      <c r="O327" s="8">
        <v>281.39999999999998</v>
      </c>
      <c r="P327" s="8">
        <v>217.6</v>
      </c>
      <c r="Q327" s="8">
        <v>33.200000000000003</v>
      </c>
      <c r="R327" s="9">
        <f t="shared" si="1643"/>
        <v>5540.0999999999894</v>
      </c>
      <c r="S327" s="9">
        <f t="shared" si="1644"/>
        <v>5809.0999999999894</v>
      </c>
      <c r="T327" s="8">
        <v>1020.90000000001</v>
      </c>
      <c r="U327" s="10">
        <f t="shared" si="1645"/>
        <v>0.14947291361639969</v>
      </c>
      <c r="V327" s="8">
        <v>6</v>
      </c>
      <c r="W327" s="11">
        <f t="shared" si="1646"/>
        <v>8.784773060029283E-4</v>
      </c>
      <c r="X327" s="8">
        <v>0</v>
      </c>
      <c r="Y327" s="11">
        <f t="shared" si="1647"/>
        <v>0</v>
      </c>
      <c r="Z327" s="8">
        <v>0</v>
      </c>
      <c r="AA327" s="11">
        <f t="shared" si="1648"/>
        <v>0</v>
      </c>
      <c r="AB327" s="8">
        <v>0</v>
      </c>
      <c r="AC327" s="11">
        <f t="shared" si="1649"/>
        <v>0</v>
      </c>
      <c r="AD327" s="8">
        <v>0</v>
      </c>
      <c r="AE327" s="11">
        <f t="shared" si="1650"/>
        <v>0</v>
      </c>
      <c r="AF327" s="8">
        <v>0</v>
      </c>
      <c r="AG327" s="11">
        <f t="shared" si="1651"/>
        <v>0</v>
      </c>
      <c r="AH327" s="8">
        <v>156000</v>
      </c>
      <c r="AI327" s="9">
        <f t="shared" si="1652"/>
        <v>22.840409956076133</v>
      </c>
      <c r="AJ327" s="8">
        <v>1352</v>
      </c>
      <c r="AK327" s="11">
        <f t="shared" si="1653"/>
        <v>0.19795021961932649</v>
      </c>
      <c r="AL327" s="8">
        <v>401120.21799999999</v>
      </c>
      <c r="AM327" s="9">
        <f t="shared" si="1654"/>
        <v>58.729168081991212</v>
      </c>
      <c r="AN327" s="8">
        <v>0</v>
      </c>
      <c r="AO327" s="8">
        <v>0</v>
      </c>
      <c r="AP327" s="8">
        <v>0</v>
      </c>
      <c r="AQ327" s="8">
        <v>0</v>
      </c>
      <c r="AR327" s="8">
        <v>4660656.32</v>
      </c>
      <c r="AS327" s="8">
        <v>655840.42000000004</v>
      </c>
      <c r="AT327" s="8">
        <v>0</v>
      </c>
      <c r="AU327" s="9">
        <f t="shared" si="1655"/>
        <v>5873616.9580000006</v>
      </c>
      <c r="AV327" s="9">
        <f t="shared" si="1656"/>
        <v>859.97320029282582</v>
      </c>
      <c r="AW327" s="9">
        <f t="shared" si="1657"/>
        <v>1011.1061882219296</v>
      </c>
      <c r="AX327" s="8">
        <v>7</v>
      </c>
      <c r="AY327" s="9">
        <f t="shared" si="1658"/>
        <v>12.298682284040995</v>
      </c>
      <c r="AZ327" s="8">
        <v>7</v>
      </c>
      <c r="BA327" s="8">
        <v>24</v>
      </c>
      <c r="BB327" s="8">
        <v>7</v>
      </c>
      <c r="BC327" s="8">
        <v>7</v>
      </c>
      <c r="BD327" s="8">
        <v>0</v>
      </c>
      <c r="BE327" s="9">
        <f t="shared" si="1659"/>
        <v>7</v>
      </c>
      <c r="BF327" s="9">
        <f t="shared" si="1660"/>
        <v>24</v>
      </c>
      <c r="BG327" s="8">
        <v>0</v>
      </c>
      <c r="BH327" s="8">
        <v>0</v>
      </c>
      <c r="BI327" s="8">
        <v>0</v>
      </c>
      <c r="BJ327" s="8">
        <v>0</v>
      </c>
      <c r="BK327" s="9">
        <f t="shared" si="1661"/>
        <v>0</v>
      </c>
      <c r="BL327" s="9">
        <f t="shared" si="1662"/>
        <v>0</v>
      </c>
      <c r="BM327" s="8">
        <v>0</v>
      </c>
      <c r="BN327" s="8">
        <v>0</v>
      </c>
      <c r="BO327" s="8">
        <v>0</v>
      </c>
      <c r="BP327" s="8">
        <v>0</v>
      </c>
      <c r="BQ327" s="9">
        <f t="shared" si="1663"/>
        <v>0</v>
      </c>
      <c r="BR327" s="9">
        <f t="shared" si="1664"/>
        <v>0</v>
      </c>
      <c r="BS327" s="8">
        <v>0</v>
      </c>
      <c r="BT327" s="8">
        <v>0</v>
      </c>
      <c r="BU327" s="8">
        <v>0</v>
      </c>
      <c r="BV327" s="8">
        <v>0</v>
      </c>
      <c r="BW327" s="9">
        <f t="shared" si="1665"/>
        <v>0</v>
      </c>
      <c r="BX327" s="9">
        <f t="shared" si="1666"/>
        <v>0</v>
      </c>
      <c r="BY327" s="9">
        <f t="shared" si="1667"/>
        <v>24</v>
      </c>
      <c r="BZ327" s="9">
        <f t="shared" si="1668"/>
        <v>7</v>
      </c>
      <c r="CA327" s="9">
        <f t="shared" si="1669"/>
        <v>7</v>
      </c>
      <c r="CB327" s="9">
        <f t="shared" si="1670"/>
        <v>24</v>
      </c>
      <c r="CC327" s="8">
        <v>0</v>
      </c>
      <c r="CD327" s="8">
        <v>21</v>
      </c>
      <c r="CE327" s="8">
        <v>5</v>
      </c>
      <c r="CF327" s="8">
        <v>1</v>
      </c>
      <c r="CG327" s="8">
        <v>7</v>
      </c>
      <c r="CH327" s="9">
        <f t="shared" si="1671"/>
        <v>34</v>
      </c>
      <c r="CI327" s="8">
        <v>45</v>
      </c>
      <c r="CJ327" s="8">
        <v>1</v>
      </c>
      <c r="CK327" s="8">
        <v>0</v>
      </c>
      <c r="CL327" s="8">
        <v>0</v>
      </c>
      <c r="CM327" s="9">
        <f t="shared" si="1672"/>
        <v>46</v>
      </c>
      <c r="CN327" s="8">
        <v>967</v>
      </c>
      <c r="CO327" s="8">
        <v>15</v>
      </c>
      <c r="CP327" s="8">
        <v>10</v>
      </c>
      <c r="CQ327" s="8">
        <v>12</v>
      </c>
      <c r="CR327" s="9">
        <f t="shared" si="1673"/>
        <v>1004</v>
      </c>
      <c r="CS327" s="9">
        <f t="shared" si="1674"/>
        <v>1050</v>
      </c>
      <c r="CT327" s="8">
        <v>1084</v>
      </c>
      <c r="CU327" s="8">
        <v>8299</v>
      </c>
      <c r="CV327" s="8">
        <v>7312.1</v>
      </c>
      <c r="CW327" s="10">
        <f t="shared" si="1675"/>
        <v>0.88108205807928675</v>
      </c>
      <c r="CX327" s="8">
        <v>0</v>
      </c>
      <c r="CY327" s="8">
        <v>0</v>
      </c>
      <c r="CZ327" s="8">
        <v>0</v>
      </c>
      <c r="DA327" s="8">
        <v>0</v>
      </c>
      <c r="DB327" s="9">
        <f t="shared" si="1676"/>
        <v>0</v>
      </c>
      <c r="DC327" s="8">
        <v>0</v>
      </c>
      <c r="DD327" s="8">
        <v>0</v>
      </c>
      <c r="DE327" s="8">
        <v>0</v>
      </c>
      <c r="DF327" s="8">
        <v>0</v>
      </c>
      <c r="DG327" s="9">
        <f t="shared" si="1677"/>
        <v>0</v>
      </c>
      <c r="DH327" s="8">
        <v>0</v>
      </c>
      <c r="DI327" s="8">
        <v>0</v>
      </c>
      <c r="DJ327" s="8">
        <v>0</v>
      </c>
      <c r="DK327" s="8">
        <v>0</v>
      </c>
      <c r="DL327" s="9">
        <f t="shared" si="1678"/>
        <v>0</v>
      </c>
      <c r="DM327" s="8">
        <v>0</v>
      </c>
      <c r="DN327" s="8">
        <v>0</v>
      </c>
      <c r="DO327" s="8">
        <v>0</v>
      </c>
      <c r="DP327" s="8">
        <v>0</v>
      </c>
      <c r="DQ327" s="9">
        <f t="shared" si="1679"/>
        <v>0</v>
      </c>
      <c r="DR327" s="9">
        <f t="shared" si="1680"/>
        <v>0</v>
      </c>
      <c r="DS327" s="9">
        <f t="shared" si="1681"/>
        <v>0</v>
      </c>
      <c r="DT327" s="9">
        <f t="shared" si="1682"/>
        <v>0</v>
      </c>
      <c r="DU327" s="9">
        <f t="shared" si="1683"/>
        <v>0</v>
      </c>
      <c r="DV327" s="9">
        <f t="shared" si="1684"/>
        <v>0</v>
      </c>
      <c r="DW327" s="8">
        <v>25</v>
      </c>
      <c r="DX327" s="8">
        <v>0</v>
      </c>
      <c r="DY327" s="8">
        <v>0</v>
      </c>
      <c r="DZ327" s="8">
        <v>0</v>
      </c>
      <c r="EA327" s="8">
        <v>0</v>
      </c>
      <c r="EB327" s="8">
        <v>1</v>
      </c>
      <c r="EC327" s="8">
        <v>0</v>
      </c>
      <c r="ED327" s="8">
        <v>2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3</v>
      </c>
      <c r="EK327" s="8">
        <v>0</v>
      </c>
      <c r="EL327" s="8">
        <v>0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8">
        <v>0</v>
      </c>
      <c r="FC327" s="8">
        <v>0</v>
      </c>
      <c r="FD327" s="8">
        <v>0</v>
      </c>
      <c r="FE327" s="8">
        <v>0</v>
      </c>
      <c r="FF327" s="8">
        <v>0</v>
      </c>
      <c r="FG327" s="9">
        <f t="shared" si="1685"/>
        <v>31</v>
      </c>
      <c r="FH327" s="8">
        <v>0</v>
      </c>
      <c r="FI327" s="8">
        <v>0</v>
      </c>
      <c r="FJ327" s="8">
        <v>22</v>
      </c>
      <c r="FK327" s="8">
        <v>0</v>
      </c>
      <c r="FL327" s="8">
        <v>0</v>
      </c>
      <c r="FM327" s="8">
        <v>0</v>
      </c>
      <c r="FN327" s="8">
        <v>0</v>
      </c>
      <c r="FO327" s="8">
        <v>0</v>
      </c>
      <c r="FP327" s="8">
        <v>0</v>
      </c>
      <c r="FQ327" s="9">
        <f t="shared" si="1686"/>
        <v>0</v>
      </c>
      <c r="FR327" s="8">
        <v>110276</v>
      </c>
      <c r="FS327" s="8">
        <v>0</v>
      </c>
      <c r="FT327" s="8">
        <v>0</v>
      </c>
      <c r="FU327" s="8">
        <v>0</v>
      </c>
      <c r="FV327" s="9">
        <f t="shared" si="1687"/>
        <v>110276</v>
      </c>
      <c r="FW327" s="8">
        <v>6351754.5899999999</v>
      </c>
      <c r="FX327" s="8">
        <v>59750</v>
      </c>
      <c r="FY327" s="8">
        <v>156000</v>
      </c>
      <c r="FZ327" s="8">
        <v>662300</v>
      </c>
      <c r="GA327" s="9">
        <f t="shared" si="1688"/>
        <v>7229804.5899999999</v>
      </c>
      <c r="GB327" s="9">
        <f t="shared" si="1689"/>
        <v>7340080.5899999999</v>
      </c>
      <c r="GC327" s="8">
        <v>265997.99</v>
      </c>
      <c r="GD327" s="8">
        <v>0</v>
      </c>
      <c r="GE327" s="8">
        <v>19059.63</v>
      </c>
      <c r="GF327" s="8">
        <v>0</v>
      </c>
      <c r="GG327" s="9">
        <f t="shared" si="1690"/>
        <v>285057.62</v>
      </c>
      <c r="GH327" s="8">
        <v>6218341.4400000004</v>
      </c>
      <c r="GI327" s="8">
        <v>59750</v>
      </c>
      <c r="GJ327" s="8">
        <v>661100</v>
      </c>
      <c r="GK327" s="8">
        <v>156000</v>
      </c>
      <c r="GL327" s="9">
        <f t="shared" si="1691"/>
        <v>7095191.4400000004</v>
      </c>
      <c r="GM327" s="9">
        <f t="shared" si="1692"/>
        <v>7380249.0600000005</v>
      </c>
      <c r="GN327" s="8">
        <v>24521.85</v>
      </c>
      <c r="GO327" s="8">
        <v>0</v>
      </c>
      <c r="GP327" s="8">
        <v>3393.64</v>
      </c>
      <c r="GQ327" s="8">
        <v>0</v>
      </c>
      <c r="GR327" s="9">
        <f t="shared" si="1693"/>
        <v>27915.489999999998</v>
      </c>
      <c r="GS327" s="8">
        <v>40185</v>
      </c>
      <c r="GT327" s="8">
        <v>0</v>
      </c>
      <c r="GU327" s="8">
        <v>893</v>
      </c>
      <c r="GV327" s="8">
        <v>0</v>
      </c>
      <c r="GW327" s="9">
        <f t="shared" si="1694"/>
        <v>41078</v>
      </c>
      <c r="GX327" s="9">
        <f t="shared" si="1695"/>
        <v>7449242.5500000007</v>
      </c>
      <c r="GY327" s="8">
        <v>4120709.11</v>
      </c>
      <c r="GZ327" s="8">
        <v>0</v>
      </c>
      <c r="HA327" s="9">
        <f t="shared" si="1581"/>
        <v>4120709.11</v>
      </c>
      <c r="HB327" s="9">
        <f t="shared" si="1696"/>
        <v>0.7884851269878439</v>
      </c>
      <c r="HC327" s="10">
        <f t="shared" si="1697"/>
        <v>0.63440892457453879</v>
      </c>
      <c r="HD327" s="9">
        <f t="shared" si="1698"/>
        <v>0.98534589802019523</v>
      </c>
      <c r="HE327" s="8">
        <v>7</v>
      </c>
      <c r="HF327" s="8">
        <v>1</v>
      </c>
      <c r="HG327" s="8">
        <v>24</v>
      </c>
      <c r="HH327" s="8">
        <v>7</v>
      </c>
      <c r="HI327" s="8">
        <v>30</v>
      </c>
      <c r="HJ327" s="9">
        <f t="shared" si="1699"/>
        <v>31</v>
      </c>
      <c r="HK327" s="10">
        <f t="shared" si="1700"/>
        <v>1</v>
      </c>
      <c r="HL327" s="8">
        <v>0</v>
      </c>
      <c r="HM327" s="8">
        <v>0</v>
      </c>
      <c r="HN327" s="11" t="str">
        <f t="shared" si="1701"/>
        <v/>
      </c>
    </row>
    <row r="328" spans="1:222" x14ac:dyDescent="0.3">
      <c r="A328" s="12" t="s">
        <v>295</v>
      </c>
      <c r="B328" s="12" t="s">
        <v>300</v>
      </c>
      <c r="C328" s="13" t="s">
        <v>257</v>
      </c>
      <c r="D328" s="13">
        <v>2025</v>
      </c>
      <c r="E328" s="13">
        <v>5</v>
      </c>
      <c r="F328" s="13" t="s">
        <v>260</v>
      </c>
      <c r="G328" s="13" t="s">
        <v>259</v>
      </c>
      <c r="H328" s="14">
        <v>6120</v>
      </c>
      <c r="I328" s="14">
        <v>254</v>
      </c>
      <c r="J328" s="14">
        <v>0</v>
      </c>
      <c r="K328" s="14">
        <v>11</v>
      </c>
      <c r="L328" s="14">
        <v>0</v>
      </c>
      <c r="M328" s="15">
        <f t="shared" si="1642"/>
        <v>265</v>
      </c>
      <c r="N328" s="14">
        <v>4966.6999999999898</v>
      </c>
      <c r="O328" s="14">
        <v>179.7</v>
      </c>
      <c r="P328" s="14">
        <v>88.5</v>
      </c>
      <c r="Q328" s="14">
        <v>50.5</v>
      </c>
      <c r="R328" s="15">
        <f t="shared" si="1643"/>
        <v>5285.3999999999896</v>
      </c>
      <c r="S328" s="15">
        <f t="shared" si="1644"/>
        <v>5550.3999999999896</v>
      </c>
      <c r="T328" s="14">
        <v>569.600000000009</v>
      </c>
      <c r="U328" s="16">
        <f t="shared" si="1645"/>
        <v>9.3071895424838069E-2</v>
      </c>
      <c r="V328" s="14">
        <v>6</v>
      </c>
      <c r="W328" s="17">
        <f t="shared" si="1646"/>
        <v>9.8039215686274508E-4</v>
      </c>
      <c r="X328" s="14">
        <v>0</v>
      </c>
      <c r="Y328" s="17">
        <f t="shared" si="1647"/>
        <v>0</v>
      </c>
      <c r="Z328" s="14">
        <v>0</v>
      </c>
      <c r="AA328" s="17">
        <f t="shared" si="1648"/>
        <v>0</v>
      </c>
      <c r="AB328" s="14">
        <v>0</v>
      </c>
      <c r="AC328" s="17">
        <f t="shared" si="1649"/>
        <v>0</v>
      </c>
      <c r="AD328" s="14">
        <v>0</v>
      </c>
      <c r="AE328" s="17">
        <f t="shared" si="1650"/>
        <v>0</v>
      </c>
      <c r="AF328" s="14">
        <v>0</v>
      </c>
      <c r="AG328" s="17">
        <f t="shared" si="1651"/>
        <v>0</v>
      </c>
      <c r="AH328" s="14">
        <v>156000</v>
      </c>
      <c r="AI328" s="15">
        <f t="shared" si="1652"/>
        <v>25.490196078431371</v>
      </c>
      <c r="AJ328" s="14">
        <v>1423</v>
      </c>
      <c r="AK328" s="17">
        <f t="shared" si="1653"/>
        <v>0.23251633986928105</v>
      </c>
      <c r="AL328" s="14">
        <v>420525.15700000001</v>
      </c>
      <c r="AM328" s="15">
        <f t="shared" si="1654"/>
        <v>68.713260947712413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0</v>
      </c>
      <c r="AU328" s="15">
        <f t="shared" si="1655"/>
        <v>576525.15700000001</v>
      </c>
      <c r="AV328" s="15">
        <f t="shared" si="1656"/>
        <v>94.203457026143795</v>
      </c>
      <c r="AW328" s="15">
        <f t="shared" si="1657"/>
        <v>103.87092047420025</v>
      </c>
      <c r="AX328" s="14">
        <v>7</v>
      </c>
      <c r="AY328" s="15">
        <f t="shared" si="1658"/>
        <v>13.725490196078431</v>
      </c>
      <c r="AZ328" s="14">
        <v>7</v>
      </c>
      <c r="BA328" s="14">
        <v>24</v>
      </c>
      <c r="BB328" s="14">
        <v>13</v>
      </c>
      <c r="BC328" s="14">
        <v>13</v>
      </c>
      <c r="BD328" s="14">
        <v>0</v>
      </c>
      <c r="BE328" s="15">
        <f t="shared" si="1659"/>
        <v>13</v>
      </c>
      <c r="BF328" s="15">
        <f t="shared" si="1660"/>
        <v>24</v>
      </c>
      <c r="BG328" s="14">
        <v>0</v>
      </c>
      <c r="BH328" s="14">
        <v>0</v>
      </c>
      <c r="BI328" s="14">
        <v>0</v>
      </c>
      <c r="BJ328" s="14">
        <v>0</v>
      </c>
      <c r="BK328" s="15">
        <f t="shared" si="1661"/>
        <v>0</v>
      </c>
      <c r="BL328" s="15">
        <f t="shared" si="1662"/>
        <v>0</v>
      </c>
      <c r="BM328" s="14">
        <v>0</v>
      </c>
      <c r="BN328" s="14">
        <v>0</v>
      </c>
      <c r="BO328" s="14">
        <v>0</v>
      </c>
      <c r="BP328" s="14">
        <v>0</v>
      </c>
      <c r="BQ328" s="15">
        <f t="shared" si="1663"/>
        <v>0</v>
      </c>
      <c r="BR328" s="15">
        <f t="shared" si="1664"/>
        <v>0</v>
      </c>
      <c r="BS328" s="14">
        <v>0</v>
      </c>
      <c r="BT328" s="14">
        <v>0</v>
      </c>
      <c r="BU328" s="14">
        <v>0</v>
      </c>
      <c r="BV328" s="14">
        <v>0</v>
      </c>
      <c r="BW328" s="15">
        <f t="shared" si="1665"/>
        <v>0</v>
      </c>
      <c r="BX328" s="15">
        <f t="shared" si="1666"/>
        <v>0</v>
      </c>
      <c r="BY328" s="15">
        <f t="shared" si="1667"/>
        <v>24</v>
      </c>
      <c r="BZ328" s="15">
        <f t="shared" si="1668"/>
        <v>13</v>
      </c>
      <c r="CA328" s="15">
        <f t="shared" si="1669"/>
        <v>13</v>
      </c>
      <c r="CB328" s="15">
        <f t="shared" si="1670"/>
        <v>24</v>
      </c>
      <c r="CC328" s="14">
        <v>0</v>
      </c>
      <c r="CD328" s="14">
        <v>61</v>
      </c>
      <c r="CE328" s="14">
        <v>5</v>
      </c>
      <c r="CF328" s="14">
        <v>1</v>
      </c>
      <c r="CG328" s="14">
        <v>7</v>
      </c>
      <c r="CH328" s="15">
        <f t="shared" si="1671"/>
        <v>74</v>
      </c>
      <c r="CI328" s="14">
        <v>58</v>
      </c>
      <c r="CJ328" s="14">
        <v>1</v>
      </c>
      <c r="CK328" s="14">
        <v>0</v>
      </c>
      <c r="CL328" s="14">
        <v>0</v>
      </c>
      <c r="CM328" s="15">
        <f t="shared" si="1672"/>
        <v>59</v>
      </c>
      <c r="CN328" s="14">
        <v>927</v>
      </c>
      <c r="CO328" s="14">
        <v>15</v>
      </c>
      <c r="CP328" s="14">
        <v>10</v>
      </c>
      <c r="CQ328" s="14">
        <v>12</v>
      </c>
      <c r="CR328" s="15">
        <f t="shared" si="1673"/>
        <v>964</v>
      </c>
      <c r="CS328" s="15">
        <f t="shared" si="1674"/>
        <v>1023</v>
      </c>
      <c r="CT328" s="14">
        <v>1097</v>
      </c>
      <c r="CU328" s="14">
        <v>8309</v>
      </c>
      <c r="CV328" s="14">
        <v>7367.9</v>
      </c>
      <c r="CW328" s="16">
        <f t="shared" si="1675"/>
        <v>0.88673727283668302</v>
      </c>
      <c r="CX328" s="14">
        <v>0</v>
      </c>
      <c r="CY328" s="14">
        <v>0</v>
      </c>
      <c r="CZ328" s="14">
        <v>0</v>
      </c>
      <c r="DA328" s="14">
        <v>0</v>
      </c>
      <c r="DB328" s="15">
        <f t="shared" si="1676"/>
        <v>0</v>
      </c>
      <c r="DC328" s="14">
        <v>0</v>
      </c>
      <c r="DD328" s="14">
        <v>0</v>
      </c>
      <c r="DE328" s="14">
        <v>0</v>
      </c>
      <c r="DF328" s="14">
        <v>0</v>
      </c>
      <c r="DG328" s="15">
        <f t="shared" si="1677"/>
        <v>0</v>
      </c>
      <c r="DH328" s="14">
        <v>0</v>
      </c>
      <c r="DI328" s="14">
        <v>0</v>
      </c>
      <c r="DJ328" s="14">
        <v>0</v>
      </c>
      <c r="DK328" s="14">
        <v>0</v>
      </c>
      <c r="DL328" s="15">
        <f t="shared" si="1678"/>
        <v>0</v>
      </c>
      <c r="DM328" s="14">
        <v>0</v>
      </c>
      <c r="DN328" s="14">
        <v>0</v>
      </c>
      <c r="DO328" s="14">
        <v>0</v>
      </c>
      <c r="DP328" s="14">
        <v>0</v>
      </c>
      <c r="DQ328" s="15">
        <f t="shared" si="1679"/>
        <v>0</v>
      </c>
      <c r="DR328" s="15">
        <f t="shared" si="1680"/>
        <v>0</v>
      </c>
      <c r="DS328" s="15">
        <f t="shared" si="1681"/>
        <v>0</v>
      </c>
      <c r="DT328" s="15">
        <f t="shared" si="1682"/>
        <v>0</v>
      </c>
      <c r="DU328" s="15">
        <f t="shared" si="1683"/>
        <v>0</v>
      </c>
      <c r="DV328" s="15">
        <f t="shared" si="1684"/>
        <v>0</v>
      </c>
      <c r="DW328" s="14">
        <v>23</v>
      </c>
      <c r="DX328" s="14">
        <v>4</v>
      </c>
      <c r="DY328" s="14">
        <v>4</v>
      </c>
      <c r="DZ328" s="14">
        <v>0</v>
      </c>
      <c r="EA328" s="14">
        <v>0</v>
      </c>
      <c r="EB328" s="14">
        <v>1</v>
      </c>
      <c r="EC328" s="14">
        <v>0</v>
      </c>
      <c r="ED328" s="14">
        <v>0</v>
      </c>
      <c r="EE328" s="14">
        <v>0</v>
      </c>
      <c r="EF328" s="14">
        <v>0</v>
      </c>
      <c r="EG328" s="14">
        <v>0</v>
      </c>
      <c r="EH328" s="14">
        <v>0</v>
      </c>
      <c r="EI328" s="14">
        <v>0</v>
      </c>
      <c r="EJ328" s="14">
        <v>3</v>
      </c>
      <c r="EK328" s="14">
        <v>2</v>
      </c>
      <c r="EL328" s="14">
        <v>0</v>
      </c>
      <c r="EM328" s="14">
        <v>0</v>
      </c>
      <c r="EN328" s="14">
        <v>0</v>
      </c>
      <c r="EO328" s="14">
        <v>0</v>
      </c>
      <c r="EP328" s="14">
        <v>1</v>
      </c>
      <c r="EQ328" s="14">
        <v>0</v>
      </c>
      <c r="ER328" s="14">
        <v>0</v>
      </c>
      <c r="ES328" s="14">
        <v>0</v>
      </c>
      <c r="ET328" s="14">
        <v>0</v>
      </c>
      <c r="EU328" s="14">
        <v>0</v>
      </c>
      <c r="EV328" s="14">
        <v>0</v>
      </c>
      <c r="EW328" s="14">
        <v>0</v>
      </c>
      <c r="EX328" s="14">
        <v>0</v>
      </c>
      <c r="EY328" s="14">
        <v>0</v>
      </c>
      <c r="EZ328" s="14">
        <v>0</v>
      </c>
      <c r="FA328" s="14">
        <v>0</v>
      </c>
      <c r="FB328" s="14">
        <v>0</v>
      </c>
      <c r="FC328" s="14">
        <v>0</v>
      </c>
      <c r="FD328" s="14">
        <v>0</v>
      </c>
      <c r="FE328" s="14">
        <v>0</v>
      </c>
      <c r="FF328" s="14">
        <v>0</v>
      </c>
      <c r="FG328" s="15">
        <f t="shared" si="1685"/>
        <v>38</v>
      </c>
      <c r="FH328" s="14">
        <v>0</v>
      </c>
      <c r="FI328" s="14">
        <v>0</v>
      </c>
      <c r="FJ328" s="14">
        <v>21</v>
      </c>
      <c r="FK328" s="14">
        <v>0</v>
      </c>
      <c r="FL328" s="14">
        <v>0</v>
      </c>
      <c r="FM328" s="14">
        <v>0</v>
      </c>
      <c r="FN328" s="14">
        <v>0</v>
      </c>
      <c r="FO328" s="14">
        <v>0</v>
      </c>
      <c r="FP328" s="14">
        <v>0</v>
      </c>
      <c r="FQ328" s="15">
        <f t="shared" si="1686"/>
        <v>0</v>
      </c>
      <c r="FR328" s="14">
        <v>271980</v>
      </c>
      <c r="FS328" s="14">
        <v>0</v>
      </c>
      <c r="FT328" s="14">
        <v>0</v>
      </c>
      <c r="FU328" s="14">
        <v>0</v>
      </c>
      <c r="FV328" s="15">
        <f t="shared" si="1687"/>
        <v>271980</v>
      </c>
      <c r="FW328" s="14">
        <v>6246665.6500000004</v>
      </c>
      <c r="FX328" s="14">
        <v>38200</v>
      </c>
      <c r="FY328" s="14">
        <v>237400</v>
      </c>
      <c r="FZ328" s="14">
        <v>278700</v>
      </c>
      <c r="GA328" s="15">
        <f t="shared" si="1688"/>
        <v>6800965.6500000004</v>
      </c>
      <c r="GB328" s="15">
        <f t="shared" si="1689"/>
        <v>7072945.6500000004</v>
      </c>
      <c r="GC328" s="14">
        <v>269976.55</v>
      </c>
      <c r="GD328" s="14">
        <v>0</v>
      </c>
      <c r="GE328" s="14">
        <v>27392.2</v>
      </c>
      <c r="GF328" s="14">
        <v>0</v>
      </c>
      <c r="GG328" s="15">
        <f t="shared" si="1690"/>
        <v>297368.75</v>
      </c>
      <c r="GH328" s="14">
        <v>6166774.7800000003</v>
      </c>
      <c r="GI328" s="14">
        <v>38200</v>
      </c>
      <c r="GJ328" s="14">
        <v>268926.56</v>
      </c>
      <c r="GK328" s="14">
        <v>237400</v>
      </c>
      <c r="GL328" s="15">
        <f t="shared" si="1691"/>
        <v>6711301.3399999999</v>
      </c>
      <c r="GM328" s="15">
        <f t="shared" si="1692"/>
        <v>7008670.0899999999</v>
      </c>
      <c r="GN328" s="14">
        <v>31605.94</v>
      </c>
      <c r="GO328" s="14">
        <v>0</v>
      </c>
      <c r="GP328" s="14">
        <v>3393.64</v>
      </c>
      <c r="GQ328" s="14">
        <v>0</v>
      </c>
      <c r="GR328" s="15">
        <f t="shared" si="1693"/>
        <v>34999.58</v>
      </c>
      <c r="GS328" s="14">
        <v>51794</v>
      </c>
      <c r="GT328" s="14">
        <v>0</v>
      </c>
      <c r="GU328" s="14">
        <v>893</v>
      </c>
      <c r="GV328" s="14">
        <v>0</v>
      </c>
      <c r="GW328" s="15">
        <f t="shared" si="1694"/>
        <v>52687</v>
      </c>
      <c r="GX328" s="15">
        <f t="shared" si="1695"/>
        <v>7096356.6699999999</v>
      </c>
      <c r="GY328" s="14">
        <v>4296663.8199999984</v>
      </c>
      <c r="GZ328" s="14">
        <v>0</v>
      </c>
      <c r="HA328" s="9">
        <f t="shared" si="1581"/>
        <v>4296663.8199999984</v>
      </c>
      <c r="HB328" s="15">
        <f t="shared" si="1696"/>
        <v>8.1242415483042507E-2</v>
      </c>
      <c r="HC328" s="16">
        <f t="shared" si="1697"/>
        <v>0.62081391464257796</v>
      </c>
      <c r="HD328" s="15">
        <f t="shared" si="1698"/>
        <v>0.99670098036377308</v>
      </c>
      <c r="HE328" s="14">
        <v>13</v>
      </c>
      <c r="HF328" s="14">
        <v>1</v>
      </c>
      <c r="HG328" s="14">
        <v>24</v>
      </c>
      <c r="HH328" s="14">
        <v>13</v>
      </c>
      <c r="HI328" s="14">
        <v>30</v>
      </c>
      <c r="HJ328" s="15">
        <f t="shared" si="1699"/>
        <v>31</v>
      </c>
      <c r="HK328" s="16">
        <f t="shared" si="1700"/>
        <v>1</v>
      </c>
      <c r="HL328" s="14">
        <v>0</v>
      </c>
      <c r="HM328" s="14">
        <v>0</v>
      </c>
      <c r="HN328" s="17" t="str">
        <f t="shared" si="1701"/>
        <v/>
      </c>
    </row>
    <row r="329" spans="1:222" x14ac:dyDescent="0.3">
      <c r="A329" s="6" t="s">
        <v>295</v>
      </c>
      <c r="B329" s="6" t="s">
        <v>300</v>
      </c>
      <c r="C329" s="7" t="s">
        <v>257</v>
      </c>
      <c r="D329" s="7">
        <v>2025</v>
      </c>
      <c r="E329" s="7">
        <v>6</v>
      </c>
      <c r="F329" s="7" t="s">
        <v>261</v>
      </c>
      <c r="G329" s="7" t="s">
        <v>259</v>
      </c>
      <c r="H329" s="8">
        <v>7951</v>
      </c>
      <c r="I329" s="8">
        <v>262</v>
      </c>
      <c r="J329" s="8">
        <v>0</v>
      </c>
      <c r="K329" s="8">
        <v>8</v>
      </c>
      <c r="L329" s="8">
        <v>0</v>
      </c>
      <c r="M329" s="9">
        <f t="shared" si="1642"/>
        <v>270</v>
      </c>
      <c r="N329" s="8">
        <v>5535.8000000000302</v>
      </c>
      <c r="O329" s="8">
        <v>160.19999999999999</v>
      </c>
      <c r="P329" s="8">
        <v>188</v>
      </c>
      <c r="Q329" s="8">
        <v>66.2</v>
      </c>
      <c r="R329" s="9">
        <f t="shared" si="1643"/>
        <v>5950.2000000000298</v>
      </c>
      <c r="S329" s="9">
        <f t="shared" si="1644"/>
        <v>6220.2000000000298</v>
      </c>
      <c r="T329" s="8">
        <v>1730.7999999999699</v>
      </c>
      <c r="U329" s="10">
        <f t="shared" si="1645"/>
        <v>0.21768331027543328</v>
      </c>
      <c r="V329" s="8">
        <v>6</v>
      </c>
      <c r="W329" s="11">
        <f t="shared" si="1646"/>
        <v>7.5462206011822413E-4</v>
      </c>
      <c r="X329" s="8">
        <v>0</v>
      </c>
      <c r="Y329" s="11">
        <f t="shared" si="1647"/>
        <v>0</v>
      </c>
      <c r="Z329" s="8">
        <v>0</v>
      </c>
      <c r="AA329" s="11">
        <f t="shared" si="1648"/>
        <v>0</v>
      </c>
      <c r="AB329" s="8">
        <v>0</v>
      </c>
      <c r="AC329" s="11">
        <f t="shared" si="1649"/>
        <v>0</v>
      </c>
      <c r="AD329" s="8">
        <v>0</v>
      </c>
      <c r="AE329" s="11">
        <f t="shared" si="1650"/>
        <v>0</v>
      </c>
      <c r="AF329" s="8">
        <v>0</v>
      </c>
      <c r="AG329" s="11">
        <f t="shared" si="1651"/>
        <v>0</v>
      </c>
      <c r="AH329" s="8">
        <v>156000</v>
      </c>
      <c r="AI329" s="9">
        <f t="shared" si="1652"/>
        <v>19.620173563073827</v>
      </c>
      <c r="AJ329" s="8">
        <v>1427</v>
      </c>
      <c r="AK329" s="11">
        <f t="shared" si="1653"/>
        <v>0.17947427996478429</v>
      </c>
      <c r="AL329" s="8">
        <v>421618.39299999998</v>
      </c>
      <c r="AM329" s="9">
        <f t="shared" si="1654"/>
        <v>53.027090051565835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9">
        <f t="shared" si="1655"/>
        <v>577618.39299999992</v>
      </c>
      <c r="AV329" s="9">
        <f t="shared" si="1656"/>
        <v>72.647263614639655</v>
      </c>
      <c r="AW329" s="9">
        <f t="shared" si="1657"/>
        <v>92.861707501366055</v>
      </c>
      <c r="AX329" s="8">
        <v>7</v>
      </c>
      <c r="AY329" s="9">
        <f t="shared" si="1658"/>
        <v>10.564708841655138</v>
      </c>
      <c r="AZ329" s="8">
        <v>7</v>
      </c>
      <c r="BA329" s="8">
        <v>24</v>
      </c>
      <c r="BB329" s="8">
        <v>12</v>
      </c>
      <c r="BC329" s="8">
        <v>13</v>
      </c>
      <c r="BD329" s="8">
        <v>0</v>
      </c>
      <c r="BE329" s="9">
        <f t="shared" si="1659"/>
        <v>13</v>
      </c>
      <c r="BF329" s="9">
        <f t="shared" si="1660"/>
        <v>23</v>
      </c>
      <c r="BG329" s="8">
        <v>0</v>
      </c>
      <c r="BH329" s="8">
        <v>0</v>
      </c>
      <c r="BI329" s="8">
        <v>0</v>
      </c>
      <c r="BJ329" s="8">
        <v>0</v>
      </c>
      <c r="BK329" s="9">
        <f t="shared" si="1661"/>
        <v>0</v>
      </c>
      <c r="BL329" s="9">
        <f t="shared" si="1662"/>
        <v>0</v>
      </c>
      <c r="BM329" s="8">
        <v>0</v>
      </c>
      <c r="BN329" s="8">
        <v>0</v>
      </c>
      <c r="BO329" s="8">
        <v>0</v>
      </c>
      <c r="BP329" s="8">
        <v>0</v>
      </c>
      <c r="BQ329" s="9">
        <f t="shared" si="1663"/>
        <v>0</v>
      </c>
      <c r="BR329" s="9">
        <f t="shared" si="1664"/>
        <v>0</v>
      </c>
      <c r="BS329" s="8">
        <v>0</v>
      </c>
      <c r="BT329" s="8">
        <v>0</v>
      </c>
      <c r="BU329" s="8">
        <v>0</v>
      </c>
      <c r="BV329" s="8">
        <v>0</v>
      </c>
      <c r="BW329" s="9">
        <f t="shared" si="1665"/>
        <v>0</v>
      </c>
      <c r="BX329" s="9">
        <f t="shared" si="1666"/>
        <v>0</v>
      </c>
      <c r="BY329" s="9">
        <f t="shared" si="1667"/>
        <v>24</v>
      </c>
      <c r="BZ329" s="9">
        <f t="shared" si="1668"/>
        <v>12</v>
      </c>
      <c r="CA329" s="9">
        <f t="shared" si="1669"/>
        <v>13</v>
      </c>
      <c r="CB329" s="9">
        <f t="shared" si="1670"/>
        <v>23</v>
      </c>
      <c r="CC329" s="8">
        <v>0</v>
      </c>
      <c r="CD329" s="8">
        <v>59</v>
      </c>
      <c r="CE329" s="8">
        <v>5</v>
      </c>
      <c r="CF329" s="8">
        <v>1</v>
      </c>
      <c r="CG329" s="8">
        <v>7</v>
      </c>
      <c r="CH329" s="9">
        <f t="shared" si="1671"/>
        <v>72</v>
      </c>
      <c r="CI329" s="8">
        <v>50</v>
      </c>
      <c r="CJ329" s="8">
        <v>1</v>
      </c>
      <c r="CK329" s="8">
        <v>0</v>
      </c>
      <c r="CL329" s="8">
        <v>0</v>
      </c>
      <c r="CM329" s="9">
        <f t="shared" si="1672"/>
        <v>51</v>
      </c>
      <c r="CN329" s="8">
        <v>950</v>
      </c>
      <c r="CO329" s="8">
        <v>15</v>
      </c>
      <c r="CP329" s="8">
        <v>10</v>
      </c>
      <c r="CQ329" s="8">
        <v>12</v>
      </c>
      <c r="CR329" s="9">
        <f t="shared" si="1673"/>
        <v>987</v>
      </c>
      <c r="CS329" s="9">
        <f t="shared" si="1674"/>
        <v>1038</v>
      </c>
      <c r="CT329" s="8">
        <v>1110</v>
      </c>
      <c r="CU329" s="8">
        <v>8319</v>
      </c>
      <c r="CV329" s="8">
        <v>7423.9</v>
      </c>
      <c r="CW329" s="10">
        <f t="shared" si="1675"/>
        <v>0.89240293304483709</v>
      </c>
      <c r="CX329" s="8">
        <v>0</v>
      </c>
      <c r="CY329" s="8">
        <v>0</v>
      </c>
      <c r="CZ329" s="8">
        <v>0</v>
      </c>
      <c r="DA329" s="8">
        <v>0</v>
      </c>
      <c r="DB329" s="9">
        <f t="shared" si="1676"/>
        <v>0</v>
      </c>
      <c r="DC329" s="8">
        <v>0</v>
      </c>
      <c r="DD329" s="8">
        <v>0</v>
      </c>
      <c r="DE329" s="8">
        <v>0</v>
      </c>
      <c r="DF329" s="8">
        <v>0</v>
      </c>
      <c r="DG329" s="9">
        <f t="shared" si="1677"/>
        <v>0</v>
      </c>
      <c r="DH329" s="8">
        <v>0</v>
      </c>
      <c r="DI329" s="8">
        <v>0</v>
      </c>
      <c r="DJ329" s="8">
        <v>0</v>
      </c>
      <c r="DK329" s="8">
        <v>0</v>
      </c>
      <c r="DL329" s="9">
        <f t="shared" si="1678"/>
        <v>0</v>
      </c>
      <c r="DM329" s="8">
        <v>0</v>
      </c>
      <c r="DN329" s="8">
        <v>0</v>
      </c>
      <c r="DO329" s="8">
        <v>0</v>
      </c>
      <c r="DP329" s="8">
        <v>0</v>
      </c>
      <c r="DQ329" s="9">
        <f t="shared" si="1679"/>
        <v>0</v>
      </c>
      <c r="DR329" s="9">
        <f t="shared" si="1680"/>
        <v>0</v>
      </c>
      <c r="DS329" s="9">
        <f t="shared" si="1681"/>
        <v>0</v>
      </c>
      <c r="DT329" s="9">
        <f t="shared" si="1682"/>
        <v>0</v>
      </c>
      <c r="DU329" s="9">
        <f t="shared" si="1683"/>
        <v>0</v>
      </c>
      <c r="DV329" s="9">
        <f t="shared" si="1684"/>
        <v>0</v>
      </c>
      <c r="DW329" s="8">
        <v>21</v>
      </c>
      <c r="DX329" s="8">
        <v>3</v>
      </c>
      <c r="DY329" s="8">
        <v>4</v>
      </c>
      <c r="DZ329" s="8">
        <v>0</v>
      </c>
      <c r="EA329" s="8">
        <v>0</v>
      </c>
      <c r="EB329" s="8">
        <v>0</v>
      </c>
      <c r="EC329" s="8">
        <v>0</v>
      </c>
      <c r="ED329" s="8">
        <v>1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1</v>
      </c>
      <c r="EK329" s="8">
        <v>1</v>
      </c>
      <c r="EL329" s="8">
        <v>0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8">
        <v>0</v>
      </c>
      <c r="FC329" s="8">
        <v>0</v>
      </c>
      <c r="FD329" s="8">
        <v>0</v>
      </c>
      <c r="FE329" s="8">
        <v>0</v>
      </c>
      <c r="FF329" s="8">
        <v>0</v>
      </c>
      <c r="FG329" s="9">
        <f t="shared" si="1685"/>
        <v>31</v>
      </c>
      <c r="FH329" s="8">
        <v>0</v>
      </c>
      <c r="FI329" s="8">
        <v>0</v>
      </c>
      <c r="FJ329" s="8">
        <v>21</v>
      </c>
      <c r="FK329" s="8">
        <v>24</v>
      </c>
      <c r="FL329" s="8">
        <v>0</v>
      </c>
      <c r="FM329" s="8">
        <v>0</v>
      </c>
      <c r="FN329" s="8">
        <v>0</v>
      </c>
      <c r="FO329" s="8">
        <v>0</v>
      </c>
      <c r="FP329" s="8">
        <v>0</v>
      </c>
      <c r="FQ329" s="9">
        <f t="shared" si="1686"/>
        <v>0</v>
      </c>
      <c r="FR329" s="8">
        <v>165796</v>
      </c>
      <c r="FS329" s="8">
        <v>0</v>
      </c>
      <c r="FT329" s="8">
        <v>0</v>
      </c>
      <c r="FU329" s="8">
        <v>0</v>
      </c>
      <c r="FV329" s="9">
        <f t="shared" si="1687"/>
        <v>165796</v>
      </c>
      <c r="FW329" s="8">
        <v>6968678.6200000001</v>
      </c>
      <c r="FX329" s="8">
        <v>34000</v>
      </c>
      <c r="FY329" s="8">
        <v>311900</v>
      </c>
      <c r="FZ329" s="8">
        <v>571400</v>
      </c>
      <c r="GA329" s="9">
        <f t="shared" si="1688"/>
        <v>7885978.6200000001</v>
      </c>
      <c r="GB329" s="9">
        <f t="shared" si="1689"/>
        <v>8051774.6200000001</v>
      </c>
      <c r="GC329" s="8">
        <v>277203.23</v>
      </c>
      <c r="GD329" s="8">
        <v>0</v>
      </c>
      <c r="GE329" s="8">
        <v>19059.63</v>
      </c>
      <c r="GF329" s="8">
        <v>0</v>
      </c>
      <c r="GG329" s="9">
        <f t="shared" si="1690"/>
        <v>296262.86</v>
      </c>
      <c r="GH329" s="8">
        <v>6876402.4000000004</v>
      </c>
      <c r="GI329" s="8">
        <v>34000</v>
      </c>
      <c r="GJ329" s="8">
        <v>571400</v>
      </c>
      <c r="GK329" s="8">
        <v>311900</v>
      </c>
      <c r="GL329" s="9">
        <f t="shared" si="1691"/>
        <v>7793702.4000000004</v>
      </c>
      <c r="GM329" s="9">
        <f t="shared" si="1692"/>
        <v>8089965.2600000007</v>
      </c>
      <c r="GN329" s="8">
        <v>27246.5</v>
      </c>
      <c r="GO329" s="8">
        <v>0</v>
      </c>
      <c r="GP329" s="8">
        <v>3393.64</v>
      </c>
      <c r="GQ329" s="8">
        <v>0</v>
      </c>
      <c r="GR329" s="9">
        <f t="shared" si="1693"/>
        <v>30640.14</v>
      </c>
      <c r="GS329" s="8">
        <v>44650</v>
      </c>
      <c r="GT329" s="8">
        <v>0</v>
      </c>
      <c r="GU329" s="8">
        <v>893</v>
      </c>
      <c r="GV329" s="8">
        <v>0</v>
      </c>
      <c r="GW329" s="9">
        <f t="shared" si="1694"/>
        <v>45543</v>
      </c>
      <c r="GX329" s="9">
        <f t="shared" si="1695"/>
        <v>8166148.4000000004</v>
      </c>
      <c r="GY329" s="8">
        <v>4433721.1599999983</v>
      </c>
      <c r="GZ329" s="8">
        <v>0</v>
      </c>
      <c r="HA329" s="9">
        <f t="shared" si="1581"/>
        <v>4433721.1599999983</v>
      </c>
      <c r="HB329" s="9">
        <f t="shared" si="1696"/>
        <v>7.0733271636356732E-2</v>
      </c>
      <c r="HC329" s="10">
        <f t="shared" si="1697"/>
        <v>0.63903634729374148</v>
      </c>
      <c r="HD329" s="9">
        <f t="shared" si="1698"/>
        <v>0.98599415851908834</v>
      </c>
      <c r="HE329" s="8">
        <v>12</v>
      </c>
      <c r="HF329" s="8">
        <v>1</v>
      </c>
      <c r="HG329" s="8">
        <v>23</v>
      </c>
      <c r="HH329" s="8">
        <v>12</v>
      </c>
      <c r="HI329" s="8">
        <v>30</v>
      </c>
      <c r="HJ329" s="9">
        <f t="shared" si="1699"/>
        <v>31</v>
      </c>
      <c r="HK329" s="10">
        <f t="shared" si="1700"/>
        <v>1</v>
      </c>
      <c r="HL329" s="8">
        <v>0</v>
      </c>
      <c r="HM329" s="8">
        <v>0</v>
      </c>
      <c r="HN329" s="11" t="str">
        <f t="shared" si="1701"/>
        <v/>
      </c>
    </row>
    <row r="330" spans="1:222" x14ac:dyDescent="0.3">
      <c r="A330" s="12" t="s">
        <v>295</v>
      </c>
      <c r="B330" s="12" t="s">
        <v>300</v>
      </c>
      <c r="C330" s="13" t="s">
        <v>257</v>
      </c>
      <c r="D330" s="13">
        <v>2025</v>
      </c>
      <c r="E330" s="13">
        <v>7</v>
      </c>
      <c r="F330" s="13" t="s">
        <v>262</v>
      </c>
      <c r="G330" s="13" t="s">
        <v>263</v>
      </c>
      <c r="H330" s="14">
        <v>7704</v>
      </c>
      <c r="I330" s="14">
        <v>331</v>
      </c>
      <c r="J330" s="14">
        <v>0</v>
      </c>
      <c r="K330" s="14">
        <v>15</v>
      </c>
      <c r="L330" s="14">
        <v>0</v>
      </c>
      <c r="M330" s="15">
        <f t="shared" si="1642"/>
        <v>346</v>
      </c>
      <c r="N330" s="14">
        <v>5748.4000000000296</v>
      </c>
      <c r="O330" s="14">
        <v>170.9</v>
      </c>
      <c r="P330" s="14">
        <v>604.1</v>
      </c>
      <c r="Q330" s="14">
        <v>44.1</v>
      </c>
      <c r="R330" s="15">
        <f t="shared" si="1643"/>
        <v>6567.50000000003</v>
      </c>
      <c r="S330" s="15">
        <f t="shared" si="1644"/>
        <v>6913.50000000003</v>
      </c>
      <c r="T330" s="14">
        <v>790.49999999996498</v>
      </c>
      <c r="U330" s="16">
        <f t="shared" si="1645"/>
        <v>0.10260903426790823</v>
      </c>
      <c r="V330" s="14">
        <v>6</v>
      </c>
      <c r="W330" s="17">
        <f t="shared" si="1646"/>
        <v>7.7881619937694702E-4</v>
      </c>
      <c r="X330" s="14">
        <v>0</v>
      </c>
      <c r="Y330" s="17">
        <f t="shared" si="1647"/>
        <v>0</v>
      </c>
      <c r="Z330" s="14">
        <v>0</v>
      </c>
      <c r="AA330" s="17">
        <f t="shared" si="1648"/>
        <v>0</v>
      </c>
      <c r="AB330" s="14">
        <v>0</v>
      </c>
      <c r="AC330" s="17">
        <f t="shared" si="1649"/>
        <v>0</v>
      </c>
      <c r="AD330" s="14">
        <v>0</v>
      </c>
      <c r="AE330" s="17">
        <f t="shared" si="1650"/>
        <v>0</v>
      </c>
      <c r="AF330" s="14">
        <v>0</v>
      </c>
      <c r="AG330" s="17">
        <f t="shared" si="1651"/>
        <v>0</v>
      </c>
      <c r="AH330" s="14">
        <v>156000</v>
      </c>
      <c r="AI330" s="15">
        <f t="shared" si="1652"/>
        <v>20.249221183800621</v>
      </c>
      <c r="AJ330" s="14">
        <v>1836</v>
      </c>
      <c r="AK330" s="17">
        <f t="shared" si="1653"/>
        <v>0.23831775700934579</v>
      </c>
      <c r="AL330" s="14">
        <v>533401.77399999998</v>
      </c>
      <c r="AM330" s="15">
        <f t="shared" si="1654"/>
        <v>69.236990394600198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5">
        <f t="shared" si="1655"/>
        <v>689401.77399999998</v>
      </c>
      <c r="AV330" s="15">
        <f t="shared" si="1656"/>
        <v>89.486211578400827</v>
      </c>
      <c r="AW330" s="15">
        <f t="shared" si="1657"/>
        <v>99.71819975410385</v>
      </c>
      <c r="AX330" s="14">
        <v>7</v>
      </c>
      <c r="AY330" s="15">
        <f t="shared" si="1658"/>
        <v>10.903426791277258</v>
      </c>
      <c r="AZ330" s="14">
        <v>6</v>
      </c>
      <c r="BA330" s="14">
        <v>23</v>
      </c>
      <c r="BB330" s="14">
        <v>12</v>
      </c>
      <c r="BC330" s="14">
        <v>16</v>
      </c>
      <c r="BD330" s="14">
        <v>0</v>
      </c>
      <c r="BE330" s="15">
        <f t="shared" si="1659"/>
        <v>16</v>
      </c>
      <c r="BF330" s="15">
        <f t="shared" si="1660"/>
        <v>19</v>
      </c>
      <c r="BG330" s="14">
        <v>0</v>
      </c>
      <c r="BH330" s="14">
        <v>0</v>
      </c>
      <c r="BI330" s="14">
        <v>0</v>
      </c>
      <c r="BJ330" s="14">
        <v>0</v>
      </c>
      <c r="BK330" s="15">
        <f t="shared" si="1661"/>
        <v>0</v>
      </c>
      <c r="BL330" s="15">
        <f t="shared" si="1662"/>
        <v>0</v>
      </c>
      <c r="BM330" s="14">
        <v>0</v>
      </c>
      <c r="BN330" s="14">
        <v>0</v>
      </c>
      <c r="BO330" s="14">
        <v>0</v>
      </c>
      <c r="BP330" s="14">
        <v>0</v>
      </c>
      <c r="BQ330" s="15">
        <f t="shared" si="1663"/>
        <v>0</v>
      </c>
      <c r="BR330" s="15">
        <f t="shared" si="1664"/>
        <v>0</v>
      </c>
      <c r="BS330" s="14">
        <v>0</v>
      </c>
      <c r="BT330" s="14">
        <v>0</v>
      </c>
      <c r="BU330" s="14">
        <v>0</v>
      </c>
      <c r="BV330" s="14">
        <v>0</v>
      </c>
      <c r="BW330" s="15">
        <f t="shared" si="1665"/>
        <v>0</v>
      </c>
      <c r="BX330" s="15">
        <f t="shared" si="1666"/>
        <v>0</v>
      </c>
      <c r="BY330" s="15">
        <f t="shared" si="1667"/>
        <v>23</v>
      </c>
      <c r="BZ330" s="15">
        <f t="shared" si="1668"/>
        <v>12</v>
      </c>
      <c r="CA330" s="15">
        <f t="shared" si="1669"/>
        <v>16</v>
      </c>
      <c r="CB330" s="15">
        <f t="shared" si="1670"/>
        <v>19</v>
      </c>
      <c r="CC330" s="14">
        <v>0</v>
      </c>
      <c r="CD330" s="14">
        <v>59</v>
      </c>
      <c r="CE330" s="14">
        <v>5</v>
      </c>
      <c r="CF330" s="14">
        <v>1</v>
      </c>
      <c r="CG330" s="14">
        <v>7</v>
      </c>
      <c r="CH330" s="15">
        <f t="shared" si="1671"/>
        <v>72</v>
      </c>
      <c r="CI330" s="14">
        <v>66</v>
      </c>
      <c r="CJ330" s="14">
        <v>1</v>
      </c>
      <c r="CK330" s="14">
        <v>0</v>
      </c>
      <c r="CL330" s="14">
        <v>0</v>
      </c>
      <c r="CM330" s="15">
        <f t="shared" si="1672"/>
        <v>67</v>
      </c>
      <c r="CN330" s="14">
        <v>950</v>
      </c>
      <c r="CO330" s="14">
        <v>15</v>
      </c>
      <c r="CP330" s="14">
        <v>10</v>
      </c>
      <c r="CQ330" s="14">
        <v>12</v>
      </c>
      <c r="CR330" s="15">
        <f t="shared" si="1673"/>
        <v>987</v>
      </c>
      <c r="CS330" s="15">
        <f t="shared" si="1674"/>
        <v>1054</v>
      </c>
      <c r="CT330" s="14">
        <v>1126</v>
      </c>
      <c r="CU330" s="14">
        <v>8329</v>
      </c>
      <c r="CV330" s="14">
        <v>7492.8</v>
      </c>
      <c r="CW330" s="16">
        <f t="shared" si="1675"/>
        <v>0.89960379397286594</v>
      </c>
      <c r="CX330" s="14">
        <v>0</v>
      </c>
      <c r="CY330" s="14">
        <v>0</v>
      </c>
      <c r="CZ330" s="14">
        <v>0</v>
      </c>
      <c r="DA330" s="14">
        <v>0</v>
      </c>
      <c r="DB330" s="15">
        <f t="shared" si="1676"/>
        <v>0</v>
      </c>
      <c r="DC330" s="14">
        <v>0</v>
      </c>
      <c r="DD330" s="14">
        <v>0</v>
      </c>
      <c r="DE330" s="14">
        <v>0</v>
      </c>
      <c r="DF330" s="14">
        <v>0</v>
      </c>
      <c r="DG330" s="15">
        <f t="shared" si="1677"/>
        <v>0</v>
      </c>
      <c r="DH330" s="14">
        <v>0</v>
      </c>
      <c r="DI330" s="14">
        <v>0</v>
      </c>
      <c r="DJ330" s="14">
        <v>0</v>
      </c>
      <c r="DK330" s="14">
        <v>0</v>
      </c>
      <c r="DL330" s="15">
        <f t="shared" si="1678"/>
        <v>0</v>
      </c>
      <c r="DM330" s="14">
        <v>0</v>
      </c>
      <c r="DN330" s="14">
        <v>1</v>
      </c>
      <c r="DO330" s="14">
        <v>0</v>
      </c>
      <c r="DP330" s="14">
        <v>0</v>
      </c>
      <c r="DQ330" s="15">
        <f t="shared" si="1679"/>
        <v>1</v>
      </c>
      <c r="DR330" s="15">
        <f t="shared" si="1680"/>
        <v>0</v>
      </c>
      <c r="DS330" s="15">
        <f t="shared" si="1681"/>
        <v>1</v>
      </c>
      <c r="DT330" s="15">
        <f t="shared" si="1682"/>
        <v>0</v>
      </c>
      <c r="DU330" s="15">
        <f t="shared" si="1683"/>
        <v>0</v>
      </c>
      <c r="DV330" s="15">
        <f t="shared" si="1684"/>
        <v>1</v>
      </c>
      <c r="DW330" s="14">
        <v>18</v>
      </c>
      <c r="DX330" s="14">
        <v>3</v>
      </c>
      <c r="DY330" s="14">
        <v>4</v>
      </c>
      <c r="DZ330" s="14">
        <v>0</v>
      </c>
      <c r="EA330" s="14">
        <v>0</v>
      </c>
      <c r="EB330" s="14">
        <v>0</v>
      </c>
      <c r="EC330" s="14">
        <v>0</v>
      </c>
      <c r="ED330" s="14">
        <v>0</v>
      </c>
      <c r="EE330" s="14">
        <v>0</v>
      </c>
      <c r="EF330" s="14">
        <v>0</v>
      </c>
      <c r="EG330" s="14">
        <v>0</v>
      </c>
      <c r="EH330" s="14">
        <v>0</v>
      </c>
      <c r="EI330" s="14">
        <v>0</v>
      </c>
      <c r="EJ330" s="14">
        <v>4</v>
      </c>
      <c r="EK330" s="14">
        <v>1</v>
      </c>
      <c r="EL330" s="14">
        <v>0</v>
      </c>
      <c r="EM330" s="14">
        <v>0</v>
      </c>
      <c r="EN330" s="14">
        <v>0</v>
      </c>
      <c r="EO330" s="14">
        <v>0</v>
      </c>
      <c r="EP330" s="14">
        <v>0</v>
      </c>
      <c r="EQ330" s="14">
        <v>0</v>
      </c>
      <c r="ER330" s="14">
        <v>0</v>
      </c>
      <c r="ES330" s="14">
        <v>0</v>
      </c>
      <c r="ET330" s="14">
        <v>0</v>
      </c>
      <c r="EU330" s="14">
        <v>0</v>
      </c>
      <c r="EV330" s="14">
        <v>0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5">
        <f t="shared" si="1685"/>
        <v>30</v>
      </c>
      <c r="FH330" s="14">
        <v>0</v>
      </c>
      <c r="FI330" s="14">
        <v>0</v>
      </c>
      <c r="FJ330" s="14">
        <v>22</v>
      </c>
      <c r="FK330" s="14">
        <v>0</v>
      </c>
      <c r="FL330" s="14">
        <v>0</v>
      </c>
      <c r="FM330" s="14">
        <v>0</v>
      </c>
      <c r="FN330" s="14">
        <v>0</v>
      </c>
      <c r="FO330" s="14">
        <v>0</v>
      </c>
      <c r="FP330" s="14">
        <v>0</v>
      </c>
      <c r="FQ330" s="15">
        <f t="shared" si="1686"/>
        <v>0</v>
      </c>
      <c r="FR330" s="14">
        <v>123544</v>
      </c>
      <c r="FS330" s="14">
        <v>0</v>
      </c>
      <c r="FT330" s="14">
        <v>0</v>
      </c>
      <c r="FU330" s="14">
        <v>0</v>
      </c>
      <c r="FV330" s="15">
        <f t="shared" si="1687"/>
        <v>123544</v>
      </c>
      <c r="FW330" s="14">
        <v>7204395.3600000003</v>
      </c>
      <c r="FX330" s="14">
        <v>36300</v>
      </c>
      <c r="FY330" s="14">
        <v>207600</v>
      </c>
      <c r="FZ330" s="14">
        <v>1836000</v>
      </c>
      <c r="GA330" s="15">
        <f t="shared" si="1688"/>
        <v>9284295.3599999994</v>
      </c>
      <c r="GB330" s="15">
        <f t="shared" si="1689"/>
        <v>9407839.3599999994</v>
      </c>
      <c r="GC330" s="14">
        <v>350021.65</v>
      </c>
      <c r="GD330" s="14">
        <v>0</v>
      </c>
      <c r="GE330" s="14">
        <v>39425.199999999997</v>
      </c>
      <c r="GF330" s="14">
        <v>0</v>
      </c>
      <c r="GG330" s="15">
        <f t="shared" si="1690"/>
        <v>389446.85000000003</v>
      </c>
      <c r="GH330" s="14">
        <v>7138850.0999999996</v>
      </c>
      <c r="GI330" s="14">
        <v>36300</v>
      </c>
      <c r="GJ330" s="14">
        <v>1836000</v>
      </c>
      <c r="GK330" s="14">
        <v>207600</v>
      </c>
      <c r="GL330" s="15">
        <f t="shared" si="1691"/>
        <v>9218750.0999999996</v>
      </c>
      <c r="GM330" s="15">
        <f t="shared" si="1692"/>
        <v>9608196.9499999993</v>
      </c>
      <c r="GN330" s="14">
        <v>35965.379999999997</v>
      </c>
      <c r="GO330" s="14">
        <v>0</v>
      </c>
      <c r="GP330" s="14">
        <v>3393.64</v>
      </c>
      <c r="GQ330" s="14">
        <v>0</v>
      </c>
      <c r="GR330" s="15">
        <f t="shared" si="1693"/>
        <v>39359.019999999997</v>
      </c>
      <c r="GS330" s="14">
        <v>58938</v>
      </c>
      <c r="GT330" s="14">
        <v>0</v>
      </c>
      <c r="GU330" s="14">
        <v>893</v>
      </c>
      <c r="GV330" s="14">
        <v>0</v>
      </c>
      <c r="GW330" s="15">
        <f t="shared" si="1694"/>
        <v>59831</v>
      </c>
      <c r="GX330" s="15">
        <f t="shared" si="1695"/>
        <v>9707386.9699999988</v>
      </c>
      <c r="GY330" s="14">
        <v>4716920.9000000004</v>
      </c>
      <c r="GZ330" s="14">
        <v>0</v>
      </c>
      <c r="HA330" s="9">
        <f t="shared" si="1581"/>
        <v>4716920.9000000004</v>
      </c>
      <c r="HB330" s="15">
        <f t="shared" si="1696"/>
        <v>7.1018264351730073E-2</v>
      </c>
      <c r="HC330" s="16">
        <f t="shared" si="1697"/>
        <v>0.65222119804906797</v>
      </c>
      <c r="HD330" s="15">
        <f t="shared" si="1698"/>
        <v>0.96914230256548639</v>
      </c>
      <c r="HE330" s="14">
        <v>12</v>
      </c>
      <c r="HF330" s="14">
        <v>1</v>
      </c>
      <c r="HG330" s="14">
        <v>19</v>
      </c>
      <c r="HH330" s="14">
        <v>12</v>
      </c>
      <c r="HI330" s="14">
        <v>31</v>
      </c>
      <c r="HJ330" s="15">
        <f t="shared" si="1699"/>
        <v>32</v>
      </c>
      <c r="HK330" s="16">
        <f t="shared" si="1700"/>
        <v>1</v>
      </c>
      <c r="HL330" s="14">
        <v>0</v>
      </c>
      <c r="HM330" s="14">
        <v>0</v>
      </c>
      <c r="HN330" s="17" t="str">
        <f t="shared" si="1701"/>
        <v/>
      </c>
    </row>
    <row r="331" spans="1:222" x14ac:dyDescent="0.3">
      <c r="A331" s="6" t="s">
        <v>295</v>
      </c>
      <c r="B331" s="6" t="s">
        <v>300</v>
      </c>
      <c r="C331" s="7" t="s">
        <v>257</v>
      </c>
      <c r="D331" s="7">
        <v>2025</v>
      </c>
      <c r="E331" s="7">
        <v>8</v>
      </c>
      <c r="F331" s="7" t="s">
        <v>264</v>
      </c>
      <c r="G331" s="7" t="s">
        <v>263</v>
      </c>
      <c r="H331" s="8">
        <v>8572</v>
      </c>
      <c r="I331" s="8">
        <v>363</v>
      </c>
      <c r="J331" s="8">
        <v>0</v>
      </c>
      <c r="K331" s="8">
        <v>13</v>
      </c>
      <c r="L331" s="8">
        <v>0</v>
      </c>
      <c r="M331" s="9">
        <f t="shared" si="1642"/>
        <v>376</v>
      </c>
      <c r="N331" s="8">
        <v>6176.3000000000402</v>
      </c>
      <c r="O331" s="8">
        <v>209.8</v>
      </c>
      <c r="P331" s="8">
        <v>206.1</v>
      </c>
      <c r="Q331" s="8">
        <v>57</v>
      </c>
      <c r="R331" s="9">
        <f t="shared" si="1643"/>
        <v>6649.2000000000407</v>
      </c>
      <c r="S331" s="9">
        <f t="shared" si="1644"/>
        <v>7025.2000000000407</v>
      </c>
      <c r="T331" s="8">
        <v>1546.7999999999599</v>
      </c>
      <c r="U331" s="10">
        <f t="shared" si="1645"/>
        <v>0.18044797013531963</v>
      </c>
      <c r="V331" s="8">
        <v>6</v>
      </c>
      <c r="W331" s="11">
        <f t="shared" si="1646"/>
        <v>6.9995333644423707E-4</v>
      </c>
      <c r="X331" s="8">
        <v>0</v>
      </c>
      <c r="Y331" s="11">
        <f t="shared" si="1647"/>
        <v>0</v>
      </c>
      <c r="Z331" s="8">
        <v>0</v>
      </c>
      <c r="AA331" s="11">
        <f t="shared" si="1648"/>
        <v>0</v>
      </c>
      <c r="AB331" s="8">
        <v>0</v>
      </c>
      <c r="AC331" s="11">
        <f t="shared" si="1649"/>
        <v>0</v>
      </c>
      <c r="AD331" s="8">
        <v>0</v>
      </c>
      <c r="AE331" s="11">
        <f t="shared" si="1650"/>
        <v>0</v>
      </c>
      <c r="AF331" s="8">
        <v>0</v>
      </c>
      <c r="AG331" s="11">
        <f t="shared" si="1651"/>
        <v>0</v>
      </c>
      <c r="AH331" s="8">
        <v>156000</v>
      </c>
      <c r="AI331" s="9">
        <f t="shared" si="1652"/>
        <v>18.198786747550162</v>
      </c>
      <c r="AJ331" s="8">
        <v>2151</v>
      </c>
      <c r="AK331" s="11">
        <f t="shared" si="1653"/>
        <v>0.25093327111525898</v>
      </c>
      <c r="AL331" s="8">
        <v>619494.10900000005</v>
      </c>
      <c r="AM331" s="9">
        <f t="shared" si="1654"/>
        <v>72.269494750349978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9">
        <f t="shared" si="1655"/>
        <v>775494.10900000005</v>
      </c>
      <c r="AV331" s="9">
        <f t="shared" si="1656"/>
        <v>90.468281497900151</v>
      </c>
      <c r="AW331" s="9">
        <f t="shared" si="1657"/>
        <v>110.38747779422587</v>
      </c>
      <c r="AX331" s="8">
        <v>7</v>
      </c>
      <c r="AY331" s="9">
        <f t="shared" si="1658"/>
        <v>9.7993467102193197</v>
      </c>
      <c r="AZ331" s="8">
        <v>6</v>
      </c>
      <c r="BA331" s="8">
        <v>19</v>
      </c>
      <c r="BB331" s="8">
        <v>34</v>
      </c>
      <c r="BC331" s="8">
        <v>24</v>
      </c>
      <c r="BD331" s="8">
        <v>0</v>
      </c>
      <c r="BE331" s="9">
        <f t="shared" si="1659"/>
        <v>24</v>
      </c>
      <c r="BF331" s="9">
        <f t="shared" si="1660"/>
        <v>29</v>
      </c>
      <c r="BG331" s="8">
        <v>0</v>
      </c>
      <c r="BH331" s="8">
        <v>0</v>
      </c>
      <c r="BI331" s="8">
        <v>0</v>
      </c>
      <c r="BJ331" s="8">
        <v>0</v>
      </c>
      <c r="BK331" s="9">
        <f t="shared" si="1661"/>
        <v>0</v>
      </c>
      <c r="BL331" s="9">
        <f t="shared" si="1662"/>
        <v>0</v>
      </c>
      <c r="BM331" s="8">
        <v>0</v>
      </c>
      <c r="BN331" s="8">
        <v>0</v>
      </c>
      <c r="BO331" s="8">
        <v>0</v>
      </c>
      <c r="BP331" s="8">
        <v>0</v>
      </c>
      <c r="BQ331" s="9">
        <f t="shared" si="1663"/>
        <v>0</v>
      </c>
      <c r="BR331" s="9">
        <f t="shared" si="1664"/>
        <v>0</v>
      </c>
      <c r="BS331" s="8">
        <v>0</v>
      </c>
      <c r="BT331" s="8">
        <v>0</v>
      </c>
      <c r="BU331" s="8">
        <v>0</v>
      </c>
      <c r="BV331" s="8">
        <v>0</v>
      </c>
      <c r="BW331" s="9">
        <f t="shared" si="1665"/>
        <v>0</v>
      </c>
      <c r="BX331" s="9">
        <f t="shared" si="1666"/>
        <v>0</v>
      </c>
      <c r="BY331" s="9">
        <f t="shared" si="1667"/>
        <v>19</v>
      </c>
      <c r="BZ331" s="9">
        <f t="shared" si="1668"/>
        <v>34</v>
      </c>
      <c r="CA331" s="9">
        <f t="shared" si="1669"/>
        <v>24</v>
      </c>
      <c r="CB331" s="9">
        <f t="shared" si="1670"/>
        <v>29</v>
      </c>
      <c r="CC331" s="8">
        <v>0</v>
      </c>
      <c r="CD331" s="8">
        <v>56</v>
      </c>
      <c r="CE331" s="8">
        <v>5</v>
      </c>
      <c r="CF331" s="8">
        <v>1</v>
      </c>
      <c r="CG331" s="8">
        <v>7</v>
      </c>
      <c r="CH331" s="9">
        <f t="shared" si="1671"/>
        <v>69</v>
      </c>
      <c r="CI331" s="8">
        <v>62</v>
      </c>
      <c r="CJ331" s="8">
        <v>1</v>
      </c>
      <c r="CK331" s="8">
        <v>0</v>
      </c>
      <c r="CL331" s="8">
        <v>0</v>
      </c>
      <c r="CM331" s="9">
        <f t="shared" si="1672"/>
        <v>63</v>
      </c>
      <c r="CN331" s="8">
        <v>981</v>
      </c>
      <c r="CO331" s="8">
        <v>15</v>
      </c>
      <c r="CP331" s="8">
        <v>10</v>
      </c>
      <c r="CQ331" s="8">
        <v>12</v>
      </c>
      <c r="CR331" s="9">
        <f t="shared" si="1673"/>
        <v>1018</v>
      </c>
      <c r="CS331" s="9">
        <f t="shared" si="1674"/>
        <v>1081</v>
      </c>
      <c r="CT331" s="8">
        <v>1150</v>
      </c>
      <c r="CU331" s="8">
        <v>8339</v>
      </c>
      <c r="CV331" s="8">
        <v>7596.2</v>
      </c>
      <c r="CW331" s="10">
        <f t="shared" si="1675"/>
        <v>0.91092457129152171</v>
      </c>
      <c r="CX331" s="8">
        <v>0</v>
      </c>
      <c r="CY331" s="8">
        <v>0</v>
      </c>
      <c r="CZ331" s="8">
        <v>0</v>
      </c>
      <c r="DA331" s="8">
        <v>0</v>
      </c>
      <c r="DB331" s="9">
        <f t="shared" si="1676"/>
        <v>0</v>
      </c>
      <c r="DC331" s="8">
        <v>0</v>
      </c>
      <c r="DD331" s="8">
        <v>0</v>
      </c>
      <c r="DE331" s="8">
        <v>0</v>
      </c>
      <c r="DF331" s="8">
        <v>0</v>
      </c>
      <c r="DG331" s="9">
        <f t="shared" si="1677"/>
        <v>0</v>
      </c>
      <c r="DH331" s="8">
        <v>0</v>
      </c>
      <c r="DI331" s="8">
        <v>0</v>
      </c>
      <c r="DJ331" s="8">
        <v>0</v>
      </c>
      <c r="DK331" s="8">
        <v>0</v>
      </c>
      <c r="DL331" s="9">
        <f t="shared" si="1678"/>
        <v>0</v>
      </c>
      <c r="DM331" s="8">
        <v>1</v>
      </c>
      <c r="DN331" s="8">
        <v>0</v>
      </c>
      <c r="DO331" s="8">
        <v>1</v>
      </c>
      <c r="DP331" s="8">
        <v>0</v>
      </c>
      <c r="DQ331" s="9">
        <f t="shared" si="1679"/>
        <v>0</v>
      </c>
      <c r="DR331" s="9">
        <f t="shared" si="1680"/>
        <v>1</v>
      </c>
      <c r="DS331" s="9">
        <f t="shared" si="1681"/>
        <v>0</v>
      </c>
      <c r="DT331" s="9">
        <f t="shared" si="1682"/>
        <v>1</v>
      </c>
      <c r="DU331" s="9">
        <f t="shared" si="1683"/>
        <v>0</v>
      </c>
      <c r="DV331" s="9">
        <f t="shared" si="1684"/>
        <v>0</v>
      </c>
      <c r="DW331" s="8">
        <v>20</v>
      </c>
      <c r="DX331" s="8">
        <v>0</v>
      </c>
      <c r="DY331" s="8">
        <v>5</v>
      </c>
      <c r="DZ331" s="8">
        <v>0</v>
      </c>
      <c r="EA331" s="8">
        <v>0</v>
      </c>
      <c r="EB331" s="8">
        <v>1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4</v>
      </c>
      <c r="EK331" s="8">
        <v>5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9">
        <f t="shared" si="1685"/>
        <v>35</v>
      </c>
      <c r="FH331" s="8">
        <v>0</v>
      </c>
      <c r="FI331" s="8">
        <v>0</v>
      </c>
      <c r="FJ331" s="8">
        <v>20</v>
      </c>
      <c r="FK331" s="8">
        <v>52</v>
      </c>
      <c r="FL331" s="8">
        <v>0</v>
      </c>
      <c r="FM331" s="8">
        <v>0</v>
      </c>
      <c r="FN331" s="8">
        <v>0</v>
      </c>
      <c r="FO331" s="8">
        <v>0</v>
      </c>
      <c r="FP331" s="8">
        <v>0</v>
      </c>
      <c r="FQ331" s="9">
        <f t="shared" si="1686"/>
        <v>0</v>
      </c>
      <c r="FR331" s="8">
        <v>115917</v>
      </c>
      <c r="FS331" s="8">
        <v>0</v>
      </c>
      <c r="FT331" s="8">
        <v>0</v>
      </c>
      <c r="FU331" s="8">
        <v>0</v>
      </c>
      <c r="FV331" s="9">
        <f t="shared" si="1687"/>
        <v>115917</v>
      </c>
      <c r="FW331" s="8">
        <v>8012805.6399999997</v>
      </c>
      <c r="FX331" s="8">
        <v>44600</v>
      </c>
      <c r="FY331" s="8">
        <v>298700</v>
      </c>
      <c r="FZ331" s="8">
        <v>626600</v>
      </c>
      <c r="GA331" s="9">
        <f t="shared" si="1688"/>
        <v>8982705.6400000006</v>
      </c>
      <c r="GB331" s="9">
        <f t="shared" si="1689"/>
        <v>9098622.6400000006</v>
      </c>
      <c r="GC331" s="8">
        <v>378492.25</v>
      </c>
      <c r="GD331" s="8">
        <v>0</v>
      </c>
      <c r="GE331" s="8">
        <v>33408.699999999997</v>
      </c>
      <c r="GF331" s="8">
        <v>0</v>
      </c>
      <c r="GG331" s="9">
        <f t="shared" si="1690"/>
        <v>411900.95</v>
      </c>
      <c r="GH331" s="8">
        <v>7674722.3099999996</v>
      </c>
      <c r="GI331" s="8">
        <v>44600</v>
      </c>
      <c r="GJ331" s="8">
        <v>626600</v>
      </c>
      <c r="GK331" s="8">
        <v>268700</v>
      </c>
      <c r="GL331" s="9">
        <f t="shared" si="1691"/>
        <v>8614622.3099999987</v>
      </c>
      <c r="GM331" s="9">
        <f t="shared" si="1692"/>
        <v>9026523.2599999979</v>
      </c>
      <c r="GN331" s="8">
        <v>33785.660000000003</v>
      </c>
      <c r="GO331" s="8">
        <v>0</v>
      </c>
      <c r="GP331" s="8">
        <v>3393.64</v>
      </c>
      <c r="GQ331" s="8">
        <v>0</v>
      </c>
      <c r="GR331" s="9">
        <f t="shared" si="1693"/>
        <v>37179.300000000003</v>
      </c>
      <c r="GS331" s="8">
        <v>55366</v>
      </c>
      <c r="GT331" s="8">
        <v>0</v>
      </c>
      <c r="GU331" s="8">
        <v>893</v>
      </c>
      <c r="GV331" s="8">
        <v>0</v>
      </c>
      <c r="GW331" s="9">
        <f t="shared" si="1694"/>
        <v>56259</v>
      </c>
      <c r="GX331" s="9">
        <f t="shared" si="1695"/>
        <v>9119961.5599999987</v>
      </c>
      <c r="GY331" s="8">
        <v>5106343.1500000004</v>
      </c>
      <c r="GZ331" s="8">
        <v>0</v>
      </c>
      <c r="HA331" s="9">
        <f t="shared" si="1581"/>
        <v>5106343.1500000004</v>
      </c>
      <c r="HB331" s="9">
        <f t="shared" si="1696"/>
        <v>8.503260719884001E-2</v>
      </c>
      <c r="HC331" s="10">
        <f t="shared" si="1697"/>
        <v>0.63956331777459874</v>
      </c>
      <c r="HD331" s="9">
        <f t="shared" si="1698"/>
        <v>0.99766019627828362</v>
      </c>
      <c r="HE331" s="8">
        <v>34</v>
      </c>
      <c r="HF331" s="8">
        <v>1</v>
      </c>
      <c r="HG331" s="8">
        <v>29</v>
      </c>
      <c r="HH331" s="8">
        <v>34</v>
      </c>
      <c r="HI331" s="8">
        <v>30</v>
      </c>
      <c r="HJ331" s="9">
        <f t="shared" si="1699"/>
        <v>31</v>
      </c>
      <c r="HK331" s="10">
        <f t="shared" si="1700"/>
        <v>1</v>
      </c>
      <c r="HL331" s="8">
        <v>0</v>
      </c>
      <c r="HM331" s="8">
        <v>0</v>
      </c>
      <c r="HN331" s="11" t="str">
        <f t="shared" si="1701"/>
        <v/>
      </c>
    </row>
    <row r="332" spans="1:222" x14ac:dyDescent="0.3">
      <c r="A332" s="12" t="s">
        <v>295</v>
      </c>
      <c r="B332" s="12" t="s">
        <v>300</v>
      </c>
      <c r="C332" s="13" t="s">
        <v>257</v>
      </c>
      <c r="D332" s="13">
        <v>2025</v>
      </c>
      <c r="E332" s="13">
        <v>9</v>
      </c>
      <c r="F332" s="13" t="s">
        <v>265</v>
      </c>
      <c r="G332" s="13" t="s">
        <v>263</v>
      </c>
      <c r="H332" s="14">
        <v>8930</v>
      </c>
      <c r="I332" s="14">
        <v>491</v>
      </c>
      <c r="J332" s="14">
        <v>0</v>
      </c>
      <c r="K332" s="14">
        <v>14</v>
      </c>
      <c r="L332" s="14">
        <v>0</v>
      </c>
      <c r="M332" s="15">
        <f t="shared" si="1642"/>
        <v>505</v>
      </c>
      <c r="N332" s="14">
        <v>6322.3000000000302</v>
      </c>
      <c r="O332" s="14">
        <v>182</v>
      </c>
      <c r="P332" s="14">
        <v>224.9</v>
      </c>
      <c r="Q332" s="14">
        <v>115.8</v>
      </c>
      <c r="R332" s="15">
        <f t="shared" si="1643"/>
        <v>6845.00000000003</v>
      </c>
      <c r="S332" s="15">
        <f t="shared" si="1644"/>
        <v>7350.00000000003</v>
      </c>
      <c r="T332" s="14">
        <v>1579.99999999997</v>
      </c>
      <c r="U332" s="16">
        <f t="shared" si="1645"/>
        <v>0.17693169092944794</v>
      </c>
      <c r="V332" s="14">
        <v>5</v>
      </c>
      <c r="W332" s="17">
        <f t="shared" si="1646"/>
        <v>5.5991041433370661E-4</v>
      </c>
      <c r="X332" s="14">
        <v>0</v>
      </c>
      <c r="Y332" s="17">
        <f t="shared" si="1647"/>
        <v>0</v>
      </c>
      <c r="Z332" s="14">
        <v>0</v>
      </c>
      <c r="AA332" s="17">
        <f t="shared" si="1648"/>
        <v>0</v>
      </c>
      <c r="AB332" s="14">
        <v>0</v>
      </c>
      <c r="AC332" s="17">
        <f t="shared" si="1649"/>
        <v>0</v>
      </c>
      <c r="AD332" s="14">
        <v>0</v>
      </c>
      <c r="AE332" s="17">
        <f t="shared" si="1650"/>
        <v>0</v>
      </c>
      <c r="AF332" s="14">
        <v>0</v>
      </c>
      <c r="AG332" s="17">
        <f t="shared" si="1651"/>
        <v>0</v>
      </c>
      <c r="AH332" s="14">
        <v>130000</v>
      </c>
      <c r="AI332" s="15">
        <f t="shared" si="1652"/>
        <v>14.557670772676373</v>
      </c>
      <c r="AJ332" s="14">
        <v>2069</v>
      </c>
      <c r="AK332" s="17">
        <f t="shared" si="1653"/>
        <v>0.2316909294512878</v>
      </c>
      <c r="AL332" s="14">
        <v>597082.77099999995</v>
      </c>
      <c r="AM332" s="15">
        <f t="shared" si="1654"/>
        <v>66.86257234042553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5">
        <f t="shared" si="1655"/>
        <v>727082.77099999995</v>
      </c>
      <c r="AV332" s="15">
        <f t="shared" si="1656"/>
        <v>81.420243113101904</v>
      </c>
      <c r="AW332" s="15">
        <f t="shared" si="1657"/>
        <v>98.922825986394145</v>
      </c>
      <c r="AX332" s="14">
        <v>7</v>
      </c>
      <c r="AY332" s="15">
        <f t="shared" si="1658"/>
        <v>9.4064949608062705</v>
      </c>
      <c r="AZ332" s="14">
        <v>6</v>
      </c>
      <c r="BA332" s="14">
        <v>29</v>
      </c>
      <c r="BB332" s="14">
        <v>20</v>
      </c>
      <c r="BC332" s="14">
        <v>25</v>
      </c>
      <c r="BD332" s="14">
        <v>0</v>
      </c>
      <c r="BE332" s="15">
        <f t="shared" si="1659"/>
        <v>25</v>
      </c>
      <c r="BF332" s="15">
        <f t="shared" si="1660"/>
        <v>24</v>
      </c>
      <c r="BG332" s="14">
        <v>0</v>
      </c>
      <c r="BH332" s="14">
        <v>1</v>
      </c>
      <c r="BI332" s="14">
        <v>0</v>
      </c>
      <c r="BJ332" s="14">
        <v>0</v>
      </c>
      <c r="BK332" s="15">
        <f t="shared" si="1661"/>
        <v>0</v>
      </c>
      <c r="BL332" s="15">
        <f t="shared" si="1662"/>
        <v>1</v>
      </c>
      <c r="BM332" s="14">
        <v>0</v>
      </c>
      <c r="BN332" s="14">
        <v>0</v>
      </c>
      <c r="BO332" s="14">
        <v>0</v>
      </c>
      <c r="BP332" s="14">
        <v>0</v>
      </c>
      <c r="BQ332" s="15">
        <f t="shared" si="1663"/>
        <v>0</v>
      </c>
      <c r="BR332" s="15">
        <f t="shared" si="1664"/>
        <v>0</v>
      </c>
      <c r="BS332" s="14">
        <v>0</v>
      </c>
      <c r="BT332" s="14">
        <v>0</v>
      </c>
      <c r="BU332" s="14">
        <v>0</v>
      </c>
      <c r="BV332" s="14">
        <v>0</v>
      </c>
      <c r="BW332" s="15">
        <f t="shared" si="1665"/>
        <v>0</v>
      </c>
      <c r="BX332" s="15">
        <f t="shared" si="1666"/>
        <v>0</v>
      </c>
      <c r="BY332" s="15">
        <f t="shared" si="1667"/>
        <v>29</v>
      </c>
      <c r="BZ332" s="15">
        <f t="shared" si="1668"/>
        <v>21</v>
      </c>
      <c r="CA332" s="15">
        <f t="shared" si="1669"/>
        <v>25</v>
      </c>
      <c r="CB332" s="15">
        <f t="shared" si="1670"/>
        <v>25</v>
      </c>
      <c r="CC332" s="14">
        <v>0</v>
      </c>
      <c r="CD332" s="14">
        <v>45</v>
      </c>
      <c r="CE332" s="14">
        <v>5</v>
      </c>
      <c r="CF332" s="14">
        <v>0</v>
      </c>
      <c r="CG332" s="14">
        <v>6</v>
      </c>
      <c r="CH332" s="15">
        <f t="shared" si="1671"/>
        <v>56</v>
      </c>
      <c r="CI332" s="14">
        <v>74</v>
      </c>
      <c r="CJ332" s="14">
        <v>1</v>
      </c>
      <c r="CK332" s="14">
        <v>0</v>
      </c>
      <c r="CL332" s="14">
        <v>0</v>
      </c>
      <c r="CM332" s="15">
        <f t="shared" si="1672"/>
        <v>75</v>
      </c>
      <c r="CN332" s="14">
        <v>1005</v>
      </c>
      <c r="CO332" s="14">
        <v>15</v>
      </c>
      <c r="CP332" s="14">
        <v>11</v>
      </c>
      <c r="CQ332" s="14">
        <v>13</v>
      </c>
      <c r="CR332" s="15">
        <f t="shared" si="1673"/>
        <v>1044</v>
      </c>
      <c r="CS332" s="15">
        <f t="shared" si="1674"/>
        <v>1119</v>
      </c>
      <c r="CT332" s="14">
        <v>1175</v>
      </c>
      <c r="CU332" s="14">
        <v>8349</v>
      </c>
      <c r="CV332" s="14">
        <v>7703.5</v>
      </c>
      <c r="CW332" s="16">
        <f t="shared" si="1675"/>
        <v>0.92268535153910647</v>
      </c>
      <c r="CX332" s="14">
        <v>0</v>
      </c>
      <c r="CY332" s="14">
        <v>0</v>
      </c>
      <c r="CZ332" s="14">
        <v>0</v>
      </c>
      <c r="DA332" s="14">
        <v>0</v>
      </c>
      <c r="DB332" s="15">
        <f t="shared" si="1676"/>
        <v>0</v>
      </c>
      <c r="DC332" s="14">
        <v>0</v>
      </c>
      <c r="DD332" s="14">
        <v>0</v>
      </c>
      <c r="DE332" s="14">
        <v>0</v>
      </c>
      <c r="DF332" s="14">
        <v>0</v>
      </c>
      <c r="DG332" s="15">
        <f t="shared" si="1677"/>
        <v>0</v>
      </c>
      <c r="DH332" s="14">
        <v>0</v>
      </c>
      <c r="DI332" s="14">
        <v>0</v>
      </c>
      <c r="DJ332" s="14">
        <v>0</v>
      </c>
      <c r="DK332" s="14">
        <v>0</v>
      </c>
      <c r="DL332" s="15">
        <f t="shared" si="1678"/>
        <v>0</v>
      </c>
      <c r="DM332" s="14">
        <v>0</v>
      </c>
      <c r="DN332" s="14">
        <v>0</v>
      </c>
      <c r="DO332" s="14">
        <v>0</v>
      </c>
      <c r="DP332" s="14">
        <v>0</v>
      </c>
      <c r="DQ332" s="15">
        <f t="shared" si="1679"/>
        <v>0</v>
      </c>
      <c r="DR332" s="15">
        <f t="shared" si="1680"/>
        <v>0</v>
      </c>
      <c r="DS332" s="15">
        <f t="shared" si="1681"/>
        <v>0</v>
      </c>
      <c r="DT332" s="15">
        <f t="shared" si="1682"/>
        <v>0</v>
      </c>
      <c r="DU332" s="15">
        <f t="shared" si="1683"/>
        <v>0</v>
      </c>
      <c r="DV332" s="15">
        <f t="shared" si="1684"/>
        <v>0</v>
      </c>
      <c r="DW332" s="14">
        <v>19</v>
      </c>
      <c r="DX332" s="14">
        <v>2</v>
      </c>
      <c r="DY332" s="14">
        <v>7</v>
      </c>
      <c r="DZ332" s="14">
        <v>1</v>
      </c>
      <c r="EA332" s="14">
        <v>0</v>
      </c>
      <c r="EB332" s="14">
        <v>1</v>
      </c>
      <c r="EC332" s="14">
        <v>0</v>
      </c>
      <c r="ED332" s="14">
        <v>0</v>
      </c>
      <c r="EE332" s="14">
        <v>0</v>
      </c>
      <c r="EF332" s="14">
        <v>0</v>
      </c>
      <c r="EG332" s="14">
        <v>0</v>
      </c>
      <c r="EH332" s="14">
        <v>0</v>
      </c>
      <c r="EI332" s="14">
        <v>0</v>
      </c>
      <c r="EJ332" s="14">
        <v>1</v>
      </c>
      <c r="EK332" s="14">
        <v>0</v>
      </c>
      <c r="EL332" s="14">
        <v>0</v>
      </c>
      <c r="EM332" s="14">
        <v>0</v>
      </c>
      <c r="EN332" s="14">
        <v>0</v>
      </c>
      <c r="EO332" s="14">
        <v>0</v>
      </c>
      <c r="EP332" s="14">
        <v>0</v>
      </c>
      <c r="EQ332" s="14">
        <v>0</v>
      </c>
      <c r="ER332" s="14">
        <v>0</v>
      </c>
      <c r="ES332" s="14">
        <v>0</v>
      </c>
      <c r="ET332" s="14">
        <v>0</v>
      </c>
      <c r="EU332" s="14">
        <v>0</v>
      </c>
      <c r="EV332" s="14">
        <v>0</v>
      </c>
      <c r="EW332" s="14">
        <v>0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5">
        <f t="shared" si="1685"/>
        <v>31</v>
      </c>
      <c r="FH332" s="14">
        <v>0</v>
      </c>
      <c r="FI332" s="14">
        <v>0</v>
      </c>
      <c r="FJ332" s="14">
        <v>18</v>
      </c>
      <c r="FK332" s="14">
        <v>24</v>
      </c>
      <c r="FL332" s="14">
        <v>0</v>
      </c>
      <c r="FM332" s="14">
        <v>0</v>
      </c>
      <c r="FN332" s="14">
        <v>0</v>
      </c>
      <c r="FO332" s="14">
        <v>0</v>
      </c>
      <c r="FP332" s="14">
        <v>0</v>
      </c>
      <c r="FQ332" s="15">
        <f t="shared" si="1686"/>
        <v>0</v>
      </c>
      <c r="FR332" s="14">
        <v>176614</v>
      </c>
      <c r="FS332" s="14">
        <v>0</v>
      </c>
      <c r="FT332" s="14">
        <v>0</v>
      </c>
      <c r="FU332" s="14">
        <v>0</v>
      </c>
      <c r="FV332" s="15">
        <f t="shared" si="1687"/>
        <v>176614</v>
      </c>
      <c r="FW332" s="14">
        <v>8205257.1600000001</v>
      </c>
      <c r="FX332" s="14">
        <v>38698</v>
      </c>
      <c r="FY332" s="14">
        <v>546300</v>
      </c>
      <c r="FZ332" s="14">
        <v>683300</v>
      </c>
      <c r="GA332" s="15">
        <f t="shared" si="1688"/>
        <v>9473555.1600000001</v>
      </c>
      <c r="GB332" s="15">
        <f t="shared" si="1689"/>
        <v>9650169.1600000001</v>
      </c>
      <c r="GC332" s="14">
        <v>475741.07</v>
      </c>
      <c r="GD332" s="14">
        <v>0</v>
      </c>
      <c r="GE332" s="14">
        <v>36416.949999999997</v>
      </c>
      <c r="GF332" s="14">
        <v>0</v>
      </c>
      <c r="GG332" s="15">
        <f t="shared" si="1690"/>
        <v>512158.02</v>
      </c>
      <c r="GH332" s="14">
        <v>7847575.6299999999</v>
      </c>
      <c r="GI332" s="14">
        <v>38698</v>
      </c>
      <c r="GJ332" s="14">
        <v>683300</v>
      </c>
      <c r="GK332" s="14">
        <v>546300</v>
      </c>
      <c r="GL332" s="15">
        <f t="shared" si="1691"/>
        <v>9115873.629999999</v>
      </c>
      <c r="GM332" s="15">
        <f t="shared" si="1692"/>
        <v>9628031.6499999985</v>
      </c>
      <c r="GN332" s="14">
        <v>40324.82</v>
      </c>
      <c r="GO332" s="14">
        <v>0</v>
      </c>
      <c r="GP332" s="14">
        <v>3393.64</v>
      </c>
      <c r="GQ332" s="14">
        <v>0</v>
      </c>
      <c r="GR332" s="15">
        <f t="shared" si="1693"/>
        <v>43718.46</v>
      </c>
      <c r="GS332" s="14">
        <v>66082</v>
      </c>
      <c r="GT332" s="14">
        <v>0</v>
      </c>
      <c r="GU332" s="14">
        <v>893</v>
      </c>
      <c r="GV332" s="14">
        <v>0</v>
      </c>
      <c r="GW332" s="15">
        <f t="shared" si="1694"/>
        <v>66975</v>
      </c>
      <c r="GX332" s="15">
        <f t="shared" si="1695"/>
        <v>9738725.1099999994</v>
      </c>
      <c r="GY332" s="14">
        <v>5393918.1900000004</v>
      </c>
      <c r="GZ332" s="14">
        <v>0</v>
      </c>
      <c r="HA332" s="9">
        <f t="shared" si="1581"/>
        <v>5393918.1900000004</v>
      </c>
      <c r="HB332" s="15">
        <f t="shared" si="1696"/>
        <v>7.4658927404513215E-2</v>
      </c>
      <c r="HC332" s="16">
        <f t="shared" si="1697"/>
        <v>0.63770545361364595</v>
      </c>
      <c r="HD332" s="15">
        <f t="shared" si="1698"/>
        <v>0.9909068231211221</v>
      </c>
      <c r="HE332" s="14">
        <v>21</v>
      </c>
      <c r="HF332" s="14">
        <v>1</v>
      </c>
      <c r="HG332" s="14">
        <v>25</v>
      </c>
      <c r="HH332" s="14">
        <v>21</v>
      </c>
      <c r="HI332" s="14">
        <v>30</v>
      </c>
      <c r="HJ332" s="15">
        <f t="shared" si="1699"/>
        <v>31</v>
      </c>
      <c r="HK332" s="16">
        <f t="shared" si="1700"/>
        <v>1</v>
      </c>
      <c r="HL332" s="14">
        <v>0</v>
      </c>
      <c r="HM332" s="14">
        <v>0</v>
      </c>
      <c r="HN332" s="17" t="str">
        <f t="shared" si="1701"/>
        <v/>
      </c>
    </row>
    <row r="333" spans="1:222" x14ac:dyDescent="0.3">
      <c r="A333" s="6" t="s">
        <v>295</v>
      </c>
      <c r="B333" s="6" t="s">
        <v>300</v>
      </c>
      <c r="C333" s="7" t="s">
        <v>257</v>
      </c>
      <c r="D333" s="7">
        <v>2025</v>
      </c>
      <c r="E333" s="7">
        <v>10</v>
      </c>
      <c r="F333" s="7" t="s">
        <v>266</v>
      </c>
      <c r="G333" s="7" t="s">
        <v>267</v>
      </c>
      <c r="H333" s="8">
        <v>7600</v>
      </c>
      <c r="I333" s="8">
        <v>514</v>
      </c>
      <c r="J333" s="8">
        <v>0</v>
      </c>
      <c r="K333" s="8">
        <v>14</v>
      </c>
      <c r="L333" s="8">
        <v>0</v>
      </c>
      <c r="M333" s="9">
        <f t="shared" si="1642"/>
        <v>528</v>
      </c>
      <c r="N333" s="8">
        <v>6165.4000000000497</v>
      </c>
      <c r="O333" s="8">
        <v>185.9</v>
      </c>
      <c r="P333" s="8">
        <v>58</v>
      </c>
      <c r="Q333" s="8">
        <v>75</v>
      </c>
      <c r="R333" s="9">
        <f t="shared" si="1643"/>
        <v>6484.3000000000493</v>
      </c>
      <c r="S333" s="9">
        <f t="shared" si="1644"/>
        <v>7012.3000000000493</v>
      </c>
      <c r="T333" s="8">
        <v>587.69999999994604</v>
      </c>
      <c r="U333" s="10">
        <f t="shared" si="1645"/>
        <v>7.7328947368413947E-2</v>
      </c>
      <c r="V333" s="8">
        <v>4</v>
      </c>
      <c r="W333" s="11">
        <f t="shared" si="1646"/>
        <v>5.263157894736842E-4</v>
      </c>
      <c r="X333" s="8">
        <v>0</v>
      </c>
      <c r="Y333" s="11">
        <f t="shared" si="1647"/>
        <v>0</v>
      </c>
      <c r="Z333" s="8">
        <v>0</v>
      </c>
      <c r="AA333" s="11">
        <f t="shared" si="1648"/>
        <v>0</v>
      </c>
      <c r="AB333" s="8">
        <v>0</v>
      </c>
      <c r="AC333" s="11">
        <f t="shared" si="1649"/>
        <v>0</v>
      </c>
      <c r="AD333" s="8">
        <v>0</v>
      </c>
      <c r="AE333" s="11">
        <f t="shared" si="1650"/>
        <v>0</v>
      </c>
      <c r="AF333" s="8">
        <v>0</v>
      </c>
      <c r="AG333" s="11">
        <f t="shared" si="1651"/>
        <v>0</v>
      </c>
      <c r="AH333" s="8">
        <v>104000</v>
      </c>
      <c r="AI333" s="9">
        <f t="shared" si="1652"/>
        <v>13.684210526315789</v>
      </c>
      <c r="AJ333" s="8">
        <v>1743</v>
      </c>
      <c r="AK333" s="11">
        <f t="shared" si="1653"/>
        <v>0.2293421052631579</v>
      </c>
      <c r="AL333" s="8">
        <v>507984.03700000001</v>
      </c>
      <c r="AM333" s="9">
        <f t="shared" si="1654"/>
        <v>66.840004868421047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9">
        <f t="shared" si="1655"/>
        <v>611984.03700000001</v>
      </c>
      <c r="AV333" s="9">
        <f t="shared" si="1656"/>
        <v>80.524215394736842</v>
      </c>
      <c r="AW333" s="9">
        <f t="shared" si="1657"/>
        <v>87.272939976897121</v>
      </c>
      <c r="AX333" s="8">
        <v>6</v>
      </c>
      <c r="AY333" s="9">
        <f t="shared" si="1658"/>
        <v>9.4736842105263168</v>
      </c>
      <c r="AZ333" s="8">
        <v>6</v>
      </c>
      <c r="BA333" s="8">
        <v>24</v>
      </c>
      <c r="BB333" s="8">
        <v>26</v>
      </c>
      <c r="BC333" s="8">
        <v>23</v>
      </c>
      <c r="BD333" s="8">
        <v>0</v>
      </c>
      <c r="BE333" s="9">
        <f t="shared" si="1659"/>
        <v>23</v>
      </c>
      <c r="BF333" s="9">
        <f t="shared" si="1660"/>
        <v>27</v>
      </c>
      <c r="BG333" s="8">
        <v>1</v>
      </c>
      <c r="BH333" s="8">
        <v>0</v>
      </c>
      <c r="BI333" s="8">
        <v>1</v>
      </c>
      <c r="BJ333" s="8">
        <v>0</v>
      </c>
      <c r="BK333" s="9">
        <f t="shared" si="1661"/>
        <v>1</v>
      </c>
      <c r="BL333" s="9">
        <f t="shared" si="1662"/>
        <v>0</v>
      </c>
      <c r="BM333" s="8">
        <v>0</v>
      </c>
      <c r="BN333" s="8">
        <v>0</v>
      </c>
      <c r="BO333" s="8">
        <v>0</v>
      </c>
      <c r="BP333" s="8">
        <v>0</v>
      </c>
      <c r="BQ333" s="9">
        <f t="shared" si="1663"/>
        <v>0</v>
      </c>
      <c r="BR333" s="9">
        <f t="shared" si="1664"/>
        <v>0</v>
      </c>
      <c r="BS333" s="8">
        <v>0</v>
      </c>
      <c r="BT333" s="8">
        <v>0</v>
      </c>
      <c r="BU333" s="8">
        <v>0</v>
      </c>
      <c r="BV333" s="8">
        <v>0</v>
      </c>
      <c r="BW333" s="9">
        <f t="shared" si="1665"/>
        <v>0</v>
      </c>
      <c r="BX333" s="9">
        <f t="shared" si="1666"/>
        <v>0</v>
      </c>
      <c r="BY333" s="9">
        <f t="shared" si="1667"/>
        <v>25</v>
      </c>
      <c r="BZ333" s="9">
        <f t="shared" si="1668"/>
        <v>26</v>
      </c>
      <c r="CA333" s="9">
        <f t="shared" si="1669"/>
        <v>24</v>
      </c>
      <c r="CB333" s="9">
        <f t="shared" si="1670"/>
        <v>27</v>
      </c>
      <c r="CC333" s="8">
        <v>17</v>
      </c>
      <c r="CD333" s="8">
        <v>42</v>
      </c>
      <c r="CE333" s="8">
        <v>5</v>
      </c>
      <c r="CF333" s="8">
        <v>2</v>
      </c>
      <c r="CG333" s="8">
        <v>6</v>
      </c>
      <c r="CH333" s="9">
        <f t="shared" si="1671"/>
        <v>55</v>
      </c>
      <c r="CI333" s="8">
        <v>83</v>
      </c>
      <c r="CJ333" s="8">
        <v>2</v>
      </c>
      <c r="CK333" s="8">
        <v>0</v>
      </c>
      <c r="CL333" s="8">
        <v>0</v>
      </c>
      <c r="CM333" s="9">
        <f t="shared" si="1672"/>
        <v>85</v>
      </c>
      <c r="CN333" s="8">
        <v>1022</v>
      </c>
      <c r="CO333" s="8">
        <v>15</v>
      </c>
      <c r="CP333" s="8">
        <v>9</v>
      </c>
      <c r="CQ333" s="8">
        <v>13</v>
      </c>
      <c r="CR333" s="9">
        <f t="shared" si="1673"/>
        <v>1059</v>
      </c>
      <c r="CS333" s="9">
        <f t="shared" si="1674"/>
        <v>1144</v>
      </c>
      <c r="CT333" s="8">
        <v>1199</v>
      </c>
      <c r="CU333" s="8">
        <v>8359</v>
      </c>
      <c r="CV333" s="8">
        <v>7807.2</v>
      </c>
      <c r="CW333" s="10">
        <f t="shared" si="1675"/>
        <v>0.93398731905730348</v>
      </c>
      <c r="CX333" s="8">
        <v>0</v>
      </c>
      <c r="CY333" s="8">
        <v>0</v>
      </c>
      <c r="CZ333" s="8">
        <v>0</v>
      </c>
      <c r="DA333" s="8">
        <v>0</v>
      </c>
      <c r="DB333" s="9">
        <f t="shared" si="1676"/>
        <v>0</v>
      </c>
      <c r="DC333" s="8">
        <v>0</v>
      </c>
      <c r="DD333" s="8">
        <v>0</v>
      </c>
      <c r="DE333" s="8">
        <v>0</v>
      </c>
      <c r="DF333" s="8">
        <v>0</v>
      </c>
      <c r="DG333" s="9">
        <f t="shared" si="1677"/>
        <v>0</v>
      </c>
      <c r="DH333" s="8">
        <v>0</v>
      </c>
      <c r="DI333" s="8">
        <v>0</v>
      </c>
      <c r="DJ333" s="8">
        <v>0</v>
      </c>
      <c r="DK333" s="8">
        <v>0</v>
      </c>
      <c r="DL333" s="9">
        <f t="shared" si="1678"/>
        <v>0</v>
      </c>
      <c r="DM333" s="8">
        <v>0</v>
      </c>
      <c r="DN333" s="8">
        <v>0</v>
      </c>
      <c r="DO333" s="8">
        <v>0</v>
      </c>
      <c r="DP333" s="8">
        <v>0</v>
      </c>
      <c r="DQ333" s="9">
        <f t="shared" si="1679"/>
        <v>0</v>
      </c>
      <c r="DR333" s="9">
        <f t="shared" si="1680"/>
        <v>0</v>
      </c>
      <c r="DS333" s="9">
        <f t="shared" si="1681"/>
        <v>0</v>
      </c>
      <c r="DT333" s="9">
        <f t="shared" si="1682"/>
        <v>0</v>
      </c>
      <c r="DU333" s="9">
        <f t="shared" si="1683"/>
        <v>0</v>
      </c>
      <c r="DV333" s="9">
        <f t="shared" si="1684"/>
        <v>0</v>
      </c>
      <c r="DW333" s="8">
        <v>20</v>
      </c>
      <c r="DX333" s="8">
        <v>2</v>
      </c>
      <c r="DY333" s="8">
        <v>2</v>
      </c>
      <c r="DZ333" s="8">
        <v>0</v>
      </c>
      <c r="EA333" s="8">
        <v>0</v>
      </c>
      <c r="EB333" s="8"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1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9">
        <f t="shared" si="1685"/>
        <v>25</v>
      </c>
      <c r="FH333" s="8">
        <v>0</v>
      </c>
      <c r="FI333" s="8">
        <v>0</v>
      </c>
      <c r="FJ333" s="8">
        <v>15</v>
      </c>
      <c r="FK333" s="8">
        <v>31</v>
      </c>
      <c r="FL333" s="8">
        <v>0</v>
      </c>
      <c r="FM333" s="8">
        <v>0</v>
      </c>
      <c r="FN333" s="8">
        <v>0</v>
      </c>
      <c r="FO333" s="8">
        <v>0</v>
      </c>
      <c r="FP333" s="8">
        <v>0</v>
      </c>
      <c r="FQ333" s="9">
        <f t="shared" si="1686"/>
        <v>0</v>
      </c>
      <c r="FR333" s="8">
        <v>114836</v>
      </c>
      <c r="FS333" s="8">
        <v>0</v>
      </c>
      <c r="FT333" s="8">
        <v>0</v>
      </c>
      <c r="FU333" s="8">
        <v>0</v>
      </c>
      <c r="FV333" s="9">
        <f t="shared" si="1687"/>
        <v>114836</v>
      </c>
      <c r="FW333" s="8">
        <v>7873001</v>
      </c>
      <c r="FX333" s="8">
        <v>39500</v>
      </c>
      <c r="FY333" s="8">
        <v>354699</v>
      </c>
      <c r="FZ333" s="8">
        <v>176200</v>
      </c>
      <c r="GA333" s="9">
        <f t="shared" si="1688"/>
        <v>8443400</v>
      </c>
      <c r="GB333" s="9">
        <f t="shared" si="1689"/>
        <v>8558236</v>
      </c>
      <c r="GC333" s="8">
        <v>500440.53</v>
      </c>
      <c r="GD333" s="8">
        <v>0</v>
      </c>
      <c r="GE333" s="8">
        <v>32794.94</v>
      </c>
      <c r="GF333" s="8">
        <v>0</v>
      </c>
      <c r="GG333" s="9">
        <f t="shared" si="1690"/>
        <v>533235.47</v>
      </c>
      <c r="GH333" s="8">
        <v>7659411.75</v>
      </c>
      <c r="GI333" s="8">
        <v>39500</v>
      </c>
      <c r="GJ333" s="8">
        <v>176200</v>
      </c>
      <c r="GK333" s="8">
        <v>354699</v>
      </c>
      <c r="GL333" s="9">
        <f t="shared" si="1691"/>
        <v>8229810.75</v>
      </c>
      <c r="GM333" s="9">
        <f t="shared" si="1692"/>
        <v>8763046.2200000007</v>
      </c>
      <c r="GN333" s="8">
        <v>45229.19</v>
      </c>
      <c r="GO333" s="8">
        <v>0</v>
      </c>
      <c r="GP333" s="8">
        <v>6787.28</v>
      </c>
      <c r="GQ333" s="8">
        <v>0</v>
      </c>
      <c r="GR333" s="9">
        <f t="shared" si="1693"/>
        <v>52016.47</v>
      </c>
      <c r="GS333" s="8">
        <v>74119</v>
      </c>
      <c r="GT333" s="8">
        <v>0</v>
      </c>
      <c r="GU333" s="8">
        <v>1786</v>
      </c>
      <c r="GV333" s="8">
        <v>0</v>
      </c>
      <c r="GW333" s="9">
        <f t="shared" si="1694"/>
        <v>75905</v>
      </c>
      <c r="GX333" s="9">
        <f t="shared" si="1695"/>
        <v>8890967.6900000013</v>
      </c>
      <c r="GY333" s="8">
        <v>5880069.3900000043</v>
      </c>
      <c r="GZ333" s="8">
        <v>0</v>
      </c>
      <c r="HA333" s="9">
        <f t="shared" si="1581"/>
        <v>5880069.3900000043</v>
      </c>
      <c r="HB333" s="9">
        <f t="shared" si="1696"/>
        <v>6.8832106733254808E-2</v>
      </c>
      <c r="HC333" s="10">
        <f t="shared" si="1697"/>
        <v>0.579393034737409</v>
      </c>
      <c r="HD333" s="9">
        <f t="shared" si="1698"/>
        <v>0.9625764369412525</v>
      </c>
      <c r="HE333" s="8">
        <v>26</v>
      </c>
      <c r="HF333" s="8">
        <v>1</v>
      </c>
      <c r="HG333" s="8">
        <v>27</v>
      </c>
      <c r="HH333" s="8">
        <v>26</v>
      </c>
      <c r="HI333" s="8">
        <v>30</v>
      </c>
      <c r="HJ333" s="9">
        <f t="shared" si="1699"/>
        <v>31</v>
      </c>
      <c r="HK333" s="10">
        <f t="shared" si="1700"/>
        <v>1</v>
      </c>
      <c r="HL333" s="8">
        <v>11</v>
      </c>
      <c r="HM333" s="8">
        <v>31</v>
      </c>
      <c r="HN333" s="11">
        <f t="shared" si="1701"/>
        <v>2.8181818181818183</v>
      </c>
    </row>
    <row r="334" spans="1:222" x14ac:dyDescent="0.3">
      <c r="A334" s="12" t="s">
        <v>295</v>
      </c>
      <c r="B334" s="12" t="s">
        <v>300</v>
      </c>
      <c r="C334" s="13" t="s">
        <v>257</v>
      </c>
      <c r="D334" s="13">
        <v>2025</v>
      </c>
      <c r="E334" s="13">
        <v>11</v>
      </c>
      <c r="F334" s="13" t="s">
        <v>268</v>
      </c>
      <c r="G334" s="13" t="s">
        <v>267</v>
      </c>
      <c r="H334" s="14">
        <v>8104</v>
      </c>
      <c r="I334" s="14">
        <v>495</v>
      </c>
      <c r="J334" s="14">
        <v>0</v>
      </c>
      <c r="K334" s="14">
        <v>18</v>
      </c>
      <c r="L334" s="14">
        <v>0</v>
      </c>
      <c r="M334" s="15">
        <f t="shared" si="1642"/>
        <v>513</v>
      </c>
      <c r="N334" s="14">
        <v>5142.9000000000196</v>
      </c>
      <c r="O334" s="14">
        <v>193.9</v>
      </c>
      <c r="P334" s="14">
        <v>212.1</v>
      </c>
      <c r="Q334" s="14">
        <v>101.1</v>
      </c>
      <c r="R334" s="15">
        <f t="shared" si="1643"/>
        <v>5650.00000000002</v>
      </c>
      <c r="S334" s="15">
        <f t="shared" si="1644"/>
        <v>6163.00000000002</v>
      </c>
      <c r="T334" s="14">
        <v>1940.99999999999</v>
      </c>
      <c r="U334" s="16">
        <f t="shared" si="1645"/>
        <v>0.2395113524185575</v>
      </c>
      <c r="V334" s="14">
        <v>6</v>
      </c>
      <c r="W334" s="17">
        <f t="shared" si="1646"/>
        <v>7.403751233958539E-4</v>
      </c>
      <c r="X334" s="14">
        <v>0</v>
      </c>
      <c r="Y334" s="17">
        <f t="shared" si="1647"/>
        <v>0</v>
      </c>
      <c r="Z334" s="14">
        <v>0</v>
      </c>
      <c r="AA334" s="17">
        <f t="shared" si="1648"/>
        <v>0</v>
      </c>
      <c r="AB334" s="14">
        <v>0</v>
      </c>
      <c r="AC334" s="17">
        <f t="shared" si="1649"/>
        <v>0</v>
      </c>
      <c r="AD334" s="14">
        <v>0</v>
      </c>
      <c r="AE334" s="17">
        <f t="shared" si="1650"/>
        <v>0</v>
      </c>
      <c r="AF334" s="14">
        <v>0</v>
      </c>
      <c r="AG334" s="17">
        <f t="shared" si="1651"/>
        <v>0</v>
      </c>
      <c r="AH334" s="14">
        <v>156000</v>
      </c>
      <c r="AI334" s="15">
        <f t="shared" si="1652"/>
        <v>19.249753208292201</v>
      </c>
      <c r="AJ334" s="14">
        <v>1661</v>
      </c>
      <c r="AK334" s="17">
        <f t="shared" si="1653"/>
        <v>0.20496051332675222</v>
      </c>
      <c r="AL334" s="14">
        <v>485572.69900000002</v>
      </c>
      <c r="AM334" s="15">
        <f t="shared" si="1654"/>
        <v>59.917657823297141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5">
        <f t="shared" si="1655"/>
        <v>641572.69900000002</v>
      </c>
      <c r="AV334" s="15">
        <f t="shared" si="1656"/>
        <v>79.167411031589339</v>
      </c>
      <c r="AW334" s="15">
        <f t="shared" si="1657"/>
        <v>104.10071377575822</v>
      </c>
      <c r="AX334" s="14">
        <v>6</v>
      </c>
      <c r="AY334" s="15">
        <f t="shared" si="1658"/>
        <v>8.8845014807502487</v>
      </c>
      <c r="AZ334" s="14">
        <v>6</v>
      </c>
      <c r="BA334" s="14">
        <v>27</v>
      </c>
      <c r="BB334" s="14">
        <v>13</v>
      </c>
      <c r="BC334" s="14">
        <v>17</v>
      </c>
      <c r="BD334" s="14">
        <v>0</v>
      </c>
      <c r="BE334" s="15">
        <f t="shared" si="1659"/>
        <v>17</v>
      </c>
      <c r="BF334" s="15">
        <f t="shared" si="1660"/>
        <v>23</v>
      </c>
      <c r="BG334" s="14">
        <v>0</v>
      </c>
      <c r="BH334" s="14">
        <v>0</v>
      </c>
      <c r="BI334" s="14">
        <v>0</v>
      </c>
      <c r="BJ334" s="14">
        <v>0</v>
      </c>
      <c r="BK334" s="15">
        <f t="shared" si="1661"/>
        <v>0</v>
      </c>
      <c r="BL334" s="15">
        <f t="shared" si="1662"/>
        <v>0</v>
      </c>
      <c r="BM334" s="14">
        <v>0</v>
      </c>
      <c r="BN334" s="14">
        <v>0</v>
      </c>
      <c r="BO334" s="14">
        <v>0</v>
      </c>
      <c r="BP334" s="14">
        <v>0</v>
      </c>
      <c r="BQ334" s="15">
        <f t="shared" si="1663"/>
        <v>0</v>
      </c>
      <c r="BR334" s="15">
        <f t="shared" si="1664"/>
        <v>0</v>
      </c>
      <c r="BS334" s="14">
        <v>0</v>
      </c>
      <c r="BT334" s="14">
        <v>0</v>
      </c>
      <c r="BU334" s="14">
        <v>0</v>
      </c>
      <c r="BV334" s="14">
        <v>0</v>
      </c>
      <c r="BW334" s="15">
        <f t="shared" si="1665"/>
        <v>0</v>
      </c>
      <c r="BX334" s="15">
        <f t="shared" si="1666"/>
        <v>0</v>
      </c>
      <c r="BY334" s="15">
        <f t="shared" si="1667"/>
        <v>27</v>
      </c>
      <c r="BZ334" s="15">
        <f t="shared" si="1668"/>
        <v>13</v>
      </c>
      <c r="CA334" s="15">
        <f t="shared" si="1669"/>
        <v>17</v>
      </c>
      <c r="CB334" s="15">
        <f t="shared" si="1670"/>
        <v>23</v>
      </c>
      <c r="CC334" s="14">
        <v>0</v>
      </c>
      <c r="CD334" s="14">
        <v>44</v>
      </c>
      <c r="CE334" s="14">
        <v>4</v>
      </c>
      <c r="CF334" s="14">
        <v>1</v>
      </c>
      <c r="CG334" s="14">
        <v>6</v>
      </c>
      <c r="CH334" s="15">
        <f t="shared" si="1671"/>
        <v>55</v>
      </c>
      <c r="CI334" s="14">
        <v>94</v>
      </c>
      <c r="CJ334" s="14">
        <v>2</v>
      </c>
      <c r="CK334" s="14">
        <v>0</v>
      </c>
      <c r="CL334" s="14">
        <v>0</v>
      </c>
      <c r="CM334" s="15">
        <f t="shared" si="1672"/>
        <v>96</v>
      </c>
      <c r="CN334" s="14">
        <v>1026</v>
      </c>
      <c r="CO334" s="14">
        <v>16</v>
      </c>
      <c r="CP334" s="14">
        <v>10</v>
      </c>
      <c r="CQ334" s="14">
        <v>13</v>
      </c>
      <c r="CR334" s="15">
        <f t="shared" si="1673"/>
        <v>1065</v>
      </c>
      <c r="CS334" s="15">
        <f t="shared" si="1674"/>
        <v>1161</v>
      </c>
      <c r="CT334" s="14">
        <v>1216</v>
      </c>
      <c r="CU334" s="14">
        <v>8369</v>
      </c>
      <c r="CV334" s="14">
        <v>7880.1</v>
      </c>
      <c r="CW334" s="16">
        <f t="shared" si="1675"/>
        <v>0.94158202891623854</v>
      </c>
      <c r="CX334" s="14">
        <v>0</v>
      </c>
      <c r="CY334" s="14">
        <v>0</v>
      </c>
      <c r="CZ334" s="14">
        <v>0</v>
      </c>
      <c r="DA334" s="14">
        <v>0</v>
      </c>
      <c r="DB334" s="15">
        <f t="shared" si="1676"/>
        <v>0</v>
      </c>
      <c r="DC334" s="14">
        <v>0</v>
      </c>
      <c r="DD334" s="14">
        <v>0</v>
      </c>
      <c r="DE334" s="14">
        <v>0</v>
      </c>
      <c r="DF334" s="14">
        <v>0</v>
      </c>
      <c r="DG334" s="15">
        <f t="shared" si="1677"/>
        <v>0</v>
      </c>
      <c r="DH334" s="14">
        <v>0</v>
      </c>
      <c r="DI334" s="14">
        <v>0</v>
      </c>
      <c r="DJ334" s="14">
        <v>0</v>
      </c>
      <c r="DK334" s="14">
        <v>0</v>
      </c>
      <c r="DL334" s="15">
        <f t="shared" si="1678"/>
        <v>0</v>
      </c>
      <c r="DM334" s="14">
        <v>0</v>
      </c>
      <c r="DN334" s="14">
        <v>0</v>
      </c>
      <c r="DO334" s="14">
        <v>0</v>
      </c>
      <c r="DP334" s="14">
        <v>0</v>
      </c>
      <c r="DQ334" s="15">
        <f t="shared" si="1679"/>
        <v>0</v>
      </c>
      <c r="DR334" s="15">
        <f t="shared" si="1680"/>
        <v>0</v>
      </c>
      <c r="DS334" s="15">
        <f t="shared" si="1681"/>
        <v>0</v>
      </c>
      <c r="DT334" s="15">
        <f t="shared" si="1682"/>
        <v>0</v>
      </c>
      <c r="DU334" s="15">
        <f t="shared" si="1683"/>
        <v>0</v>
      </c>
      <c r="DV334" s="15">
        <f t="shared" si="1684"/>
        <v>0</v>
      </c>
      <c r="DW334" s="14">
        <v>16</v>
      </c>
      <c r="DX334" s="14">
        <v>2</v>
      </c>
      <c r="DY334" s="14">
        <v>3</v>
      </c>
      <c r="DZ334" s="14">
        <v>0</v>
      </c>
      <c r="EA334" s="14">
        <v>0</v>
      </c>
      <c r="EB334" s="14">
        <v>0</v>
      </c>
      <c r="EC334" s="14">
        <v>0</v>
      </c>
      <c r="ED334" s="14">
        <v>2</v>
      </c>
      <c r="EE334" s="14">
        <v>0</v>
      </c>
      <c r="EF334" s="14">
        <v>0</v>
      </c>
      <c r="EG334" s="14">
        <v>0</v>
      </c>
      <c r="EH334" s="14">
        <v>0</v>
      </c>
      <c r="EI334" s="14">
        <v>0</v>
      </c>
      <c r="EJ334" s="14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5">
        <f t="shared" si="1685"/>
        <v>23</v>
      </c>
      <c r="FH334" s="14">
        <v>0</v>
      </c>
      <c r="FI334" s="14">
        <v>0</v>
      </c>
      <c r="FJ334" s="14">
        <v>18</v>
      </c>
      <c r="FK334" s="14">
        <v>51</v>
      </c>
      <c r="FL334" s="14">
        <v>0</v>
      </c>
      <c r="FM334" s="14">
        <v>0</v>
      </c>
      <c r="FN334" s="14">
        <v>0</v>
      </c>
      <c r="FO334" s="14">
        <v>0</v>
      </c>
      <c r="FP334" s="14">
        <v>0</v>
      </c>
      <c r="FQ334" s="15">
        <f t="shared" si="1686"/>
        <v>0</v>
      </c>
      <c r="FR334" s="14">
        <v>415953</v>
      </c>
      <c r="FS334" s="14">
        <v>0</v>
      </c>
      <c r="FT334" s="14">
        <v>0</v>
      </c>
      <c r="FU334" s="14">
        <v>0</v>
      </c>
      <c r="FV334" s="15">
        <f t="shared" si="1687"/>
        <v>415953</v>
      </c>
      <c r="FW334" s="14">
        <v>6475491.2199999997</v>
      </c>
      <c r="FX334" s="14">
        <v>41200</v>
      </c>
      <c r="FY334" s="14">
        <v>482000</v>
      </c>
      <c r="FZ334" s="14">
        <v>644400</v>
      </c>
      <c r="GA334" s="15">
        <f t="shared" si="1688"/>
        <v>7643091.2199999997</v>
      </c>
      <c r="GB334" s="15">
        <f t="shared" si="1689"/>
        <v>8059044.2199999997</v>
      </c>
      <c r="GC334" s="14">
        <v>516074.6</v>
      </c>
      <c r="GD334" s="14">
        <v>0</v>
      </c>
      <c r="GE334" s="14">
        <v>44827.94</v>
      </c>
      <c r="GF334" s="14">
        <v>0</v>
      </c>
      <c r="GG334" s="15">
        <f t="shared" si="1690"/>
        <v>560902.54</v>
      </c>
      <c r="GH334" s="14">
        <v>6384863.46</v>
      </c>
      <c r="GI334" s="14">
        <v>41200</v>
      </c>
      <c r="GJ334" s="14">
        <v>644400</v>
      </c>
      <c r="GK334" s="14">
        <v>478100</v>
      </c>
      <c r="GL334" s="15">
        <f t="shared" si="1691"/>
        <v>7548563.46</v>
      </c>
      <c r="GM334" s="15">
        <f t="shared" si="1692"/>
        <v>8109466</v>
      </c>
      <c r="GN334" s="14">
        <v>51223.42</v>
      </c>
      <c r="GO334" s="14">
        <v>0</v>
      </c>
      <c r="GP334" s="14">
        <v>6787.28</v>
      </c>
      <c r="GQ334" s="14">
        <v>0</v>
      </c>
      <c r="GR334" s="15">
        <f t="shared" si="1693"/>
        <v>58010.7</v>
      </c>
      <c r="GS334" s="14">
        <v>83942</v>
      </c>
      <c r="GT334" s="14">
        <v>0</v>
      </c>
      <c r="GU334" s="14">
        <v>1786</v>
      </c>
      <c r="GV334" s="14">
        <v>0</v>
      </c>
      <c r="GW334" s="15">
        <f t="shared" si="1694"/>
        <v>85728</v>
      </c>
      <c r="GX334" s="15">
        <f t="shared" si="1695"/>
        <v>8253204.7000000002</v>
      </c>
      <c r="GY334" s="14">
        <v>5764339.0900000026</v>
      </c>
      <c r="GZ334" s="14">
        <v>0</v>
      </c>
      <c r="HA334" s="9">
        <f t="shared" si="1581"/>
        <v>5764339.0900000026</v>
      </c>
      <c r="HB334" s="15">
        <f t="shared" si="1696"/>
        <v>7.773619125186608E-2</v>
      </c>
      <c r="HC334" s="16">
        <f t="shared" si="1697"/>
        <v>0.57492556047866628</v>
      </c>
      <c r="HD334" s="15">
        <f t="shared" si="1698"/>
        <v>0.97647453479495061</v>
      </c>
      <c r="HE334" s="14">
        <v>16</v>
      </c>
      <c r="HF334" s="14">
        <v>1</v>
      </c>
      <c r="HG334" s="14">
        <v>23</v>
      </c>
      <c r="HH334" s="14">
        <v>13</v>
      </c>
      <c r="HI334" s="14">
        <v>30</v>
      </c>
      <c r="HJ334" s="15">
        <f t="shared" si="1699"/>
        <v>31</v>
      </c>
      <c r="HK334" s="16">
        <f t="shared" si="1700"/>
        <v>0.8125</v>
      </c>
      <c r="HL334" s="14">
        <v>0</v>
      </c>
      <c r="HM334" s="14">
        <v>0</v>
      </c>
      <c r="HN334" s="17" t="str">
        <f t="shared" si="1701"/>
        <v/>
      </c>
    </row>
    <row r="335" spans="1:222" x14ac:dyDescent="0.3">
      <c r="A335" s="6" t="s">
        <v>295</v>
      </c>
      <c r="B335" s="6" t="s">
        <v>300</v>
      </c>
      <c r="C335" s="7" t="s">
        <v>257</v>
      </c>
      <c r="D335" s="7">
        <v>2025</v>
      </c>
      <c r="E335" s="7">
        <v>12</v>
      </c>
      <c r="F335" s="7" t="s">
        <v>269</v>
      </c>
      <c r="G335" s="7" t="s">
        <v>267</v>
      </c>
      <c r="H335" s="8">
        <v>7120</v>
      </c>
      <c r="I335" s="8">
        <v>319</v>
      </c>
      <c r="J335" s="8">
        <v>0</v>
      </c>
      <c r="K335" s="8">
        <v>13</v>
      </c>
      <c r="L335" s="8">
        <v>0</v>
      </c>
      <c r="M335" s="9">
        <f t="shared" si="1642"/>
        <v>332</v>
      </c>
      <c r="N335" s="8">
        <v>4893.6000000000004</v>
      </c>
      <c r="O335" s="8">
        <v>133.1</v>
      </c>
      <c r="P335" s="8">
        <v>441.3</v>
      </c>
      <c r="Q335" s="8">
        <v>101.5</v>
      </c>
      <c r="R335" s="9">
        <f t="shared" si="1643"/>
        <v>5569.5000000000009</v>
      </c>
      <c r="S335" s="9">
        <f t="shared" si="1644"/>
        <v>5901.5000000000009</v>
      </c>
      <c r="T335" s="8">
        <v>1218.5</v>
      </c>
      <c r="U335" s="10">
        <f t="shared" si="1645"/>
        <v>0.17113764044943819</v>
      </c>
      <c r="V335" s="8">
        <v>6.25</v>
      </c>
      <c r="W335" s="11">
        <f t="shared" si="1646"/>
        <v>8.7780898876404492E-4</v>
      </c>
      <c r="X335" s="8">
        <v>0</v>
      </c>
      <c r="Y335" s="11">
        <f t="shared" si="1647"/>
        <v>0</v>
      </c>
      <c r="Z335" s="8">
        <v>0</v>
      </c>
      <c r="AA335" s="11">
        <f t="shared" si="1648"/>
        <v>0</v>
      </c>
      <c r="AB335" s="8">
        <v>0</v>
      </c>
      <c r="AC335" s="11">
        <f t="shared" si="1649"/>
        <v>0</v>
      </c>
      <c r="AD335" s="8">
        <v>0</v>
      </c>
      <c r="AE335" s="11">
        <f t="shared" si="1650"/>
        <v>0</v>
      </c>
      <c r="AF335" s="8">
        <v>0</v>
      </c>
      <c r="AG335" s="11">
        <f t="shared" si="1651"/>
        <v>0</v>
      </c>
      <c r="AH335" s="8">
        <v>162500</v>
      </c>
      <c r="AI335" s="9">
        <f t="shared" si="1652"/>
        <v>22.823033707865168</v>
      </c>
      <c r="AJ335" s="8">
        <v>5790</v>
      </c>
      <c r="AK335" s="11">
        <f t="shared" si="1653"/>
        <v>0.8132022471910112</v>
      </c>
      <c r="AL335" s="8">
        <v>1614065.56</v>
      </c>
      <c r="AM335" s="9">
        <f t="shared" si="1654"/>
        <v>226.6946011235955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9">
        <f t="shared" si="1655"/>
        <v>1776565.56</v>
      </c>
      <c r="AV335" s="9">
        <f t="shared" si="1656"/>
        <v>249.51763483146067</v>
      </c>
      <c r="AW335" s="9">
        <f t="shared" si="1657"/>
        <v>301.03627213420316</v>
      </c>
      <c r="AX335" s="8">
        <v>6</v>
      </c>
      <c r="AY335" s="9">
        <f t="shared" si="1658"/>
        <v>10.112359550561797</v>
      </c>
      <c r="AZ335" s="8">
        <v>6</v>
      </c>
      <c r="BA335" s="8">
        <v>23</v>
      </c>
      <c r="BB335" s="8">
        <v>9</v>
      </c>
      <c r="BC335" s="8">
        <v>9</v>
      </c>
      <c r="BD335" s="8">
        <v>0</v>
      </c>
      <c r="BE335" s="9">
        <f t="shared" si="1659"/>
        <v>9</v>
      </c>
      <c r="BF335" s="9">
        <f t="shared" si="1660"/>
        <v>23</v>
      </c>
      <c r="BG335" s="8">
        <v>0</v>
      </c>
      <c r="BH335" s="8">
        <v>0</v>
      </c>
      <c r="BI335" s="8">
        <v>0</v>
      </c>
      <c r="BJ335" s="8">
        <v>0</v>
      </c>
      <c r="BK335" s="9">
        <f t="shared" si="1661"/>
        <v>0</v>
      </c>
      <c r="BL335" s="9">
        <f t="shared" si="1662"/>
        <v>0</v>
      </c>
      <c r="BM335" s="8">
        <v>0</v>
      </c>
      <c r="BN335" s="8">
        <v>0</v>
      </c>
      <c r="BO335" s="8">
        <v>0</v>
      </c>
      <c r="BP335" s="8">
        <v>0</v>
      </c>
      <c r="BQ335" s="9">
        <f t="shared" si="1663"/>
        <v>0</v>
      </c>
      <c r="BR335" s="9">
        <f t="shared" si="1664"/>
        <v>0</v>
      </c>
      <c r="BS335" s="8">
        <v>0</v>
      </c>
      <c r="BT335" s="8">
        <v>0</v>
      </c>
      <c r="BU335" s="8">
        <v>0</v>
      </c>
      <c r="BV335" s="8">
        <v>0</v>
      </c>
      <c r="BW335" s="9">
        <f t="shared" si="1665"/>
        <v>0</v>
      </c>
      <c r="BX335" s="9">
        <f t="shared" si="1666"/>
        <v>0</v>
      </c>
      <c r="BY335" s="9">
        <f t="shared" si="1667"/>
        <v>23</v>
      </c>
      <c r="BZ335" s="9">
        <f t="shared" si="1668"/>
        <v>9</v>
      </c>
      <c r="CA335" s="9">
        <f t="shared" si="1669"/>
        <v>9</v>
      </c>
      <c r="CB335" s="9">
        <f t="shared" si="1670"/>
        <v>23</v>
      </c>
      <c r="CC335" s="8">
        <v>0</v>
      </c>
      <c r="CD335" s="8">
        <v>42</v>
      </c>
      <c r="CE335" s="8">
        <v>4</v>
      </c>
      <c r="CF335" s="8">
        <v>1</v>
      </c>
      <c r="CG335" s="8">
        <v>6</v>
      </c>
      <c r="CH335" s="9">
        <f t="shared" si="1671"/>
        <v>53</v>
      </c>
      <c r="CI335" s="8">
        <v>59</v>
      </c>
      <c r="CJ335" s="8">
        <v>2</v>
      </c>
      <c r="CK335" s="8">
        <v>0</v>
      </c>
      <c r="CL335" s="8">
        <v>0</v>
      </c>
      <c r="CM335" s="9">
        <f t="shared" si="1672"/>
        <v>61</v>
      </c>
      <c r="CN335" s="8">
        <v>1072</v>
      </c>
      <c r="CO335" s="8">
        <v>16</v>
      </c>
      <c r="CP335" s="8">
        <v>10</v>
      </c>
      <c r="CQ335" s="8">
        <v>13</v>
      </c>
      <c r="CR335" s="9">
        <f t="shared" si="1673"/>
        <v>1111</v>
      </c>
      <c r="CS335" s="9">
        <f t="shared" si="1674"/>
        <v>1172</v>
      </c>
      <c r="CT335" s="8">
        <v>1225</v>
      </c>
      <c r="CU335" s="8">
        <v>8379</v>
      </c>
      <c r="CV335" s="8">
        <v>7918.7</v>
      </c>
      <c r="CW335" s="10">
        <f t="shared" si="1675"/>
        <v>0.94506504356128418</v>
      </c>
      <c r="CX335" s="8">
        <v>0</v>
      </c>
      <c r="CY335" s="8">
        <v>0</v>
      </c>
      <c r="CZ335" s="8">
        <v>0</v>
      </c>
      <c r="DA335" s="8">
        <v>0</v>
      </c>
      <c r="DB335" s="9">
        <f t="shared" si="1676"/>
        <v>0</v>
      </c>
      <c r="DC335" s="8">
        <v>0</v>
      </c>
      <c r="DD335" s="8">
        <v>0</v>
      </c>
      <c r="DE335" s="8">
        <v>0</v>
      </c>
      <c r="DF335" s="8">
        <v>0</v>
      </c>
      <c r="DG335" s="9">
        <f t="shared" si="1677"/>
        <v>0</v>
      </c>
      <c r="DH335" s="8">
        <v>0</v>
      </c>
      <c r="DI335" s="8">
        <v>0</v>
      </c>
      <c r="DJ335" s="8">
        <v>0</v>
      </c>
      <c r="DK335" s="8">
        <v>0</v>
      </c>
      <c r="DL335" s="9">
        <f t="shared" si="1678"/>
        <v>0</v>
      </c>
      <c r="DM335" s="8">
        <v>0</v>
      </c>
      <c r="DN335" s="8">
        <v>0</v>
      </c>
      <c r="DO335" s="8">
        <v>0</v>
      </c>
      <c r="DP335" s="8">
        <v>0</v>
      </c>
      <c r="DQ335" s="9">
        <f t="shared" si="1679"/>
        <v>0</v>
      </c>
      <c r="DR335" s="9">
        <f t="shared" si="1680"/>
        <v>0</v>
      </c>
      <c r="DS335" s="9">
        <f t="shared" si="1681"/>
        <v>0</v>
      </c>
      <c r="DT335" s="9">
        <f t="shared" si="1682"/>
        <v>0</v>
      </c>
      <c r="DU335" s="9">
        <f t="shared" si="1683"/>
        <v>0</v>
      </c>
      <c r="DV335" s="9">
        <f t="shared" si="1684"/>
        <v>0</v>
      </c>
      <c r="DW335" s="8">
        <v>20</v>
      </c>
      <c r="DX335" s="8">
        <v>4</v>
      </c>
      <c r="DY335" s="8">
        <v>4</v>
      </c>
      <c r="DZ335" s="8">
        <v>0</v>
      </c>
      <c r="EA335" s="8">
        <v>0</v>
      </c>
      <c r="EB335" s="8">
        <v>0</v>
      </c>
      <c r="EC335" s="8">
        <v>0</v>
      </c>
      <c r="ED335" s="8">
        <v>0</v>
      </c>
      <c r="EE335" s="8">
        <v>1</v>
      </c>
      <c r="EF335" s="8">
        <v>0</v>
      </c>
      <c r="EG335" s="8">
        <v>0</v>
      </c>
      <c r="EH335" s="8">
        <v>0</v>
      </c>
      <c r="EI335" s="8">
        <v>0</v>
      </c>
      <c r="EJ335" s="8">
        <v>0</v>
      </c>
      <c r="EK335" s="8">
        <v>0</v>
      </c>
      <c r="EL335" s="8">
        <v>0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8">
        <v>0</v>
      </c>
      <c r="ES335" s="8">
        <v>0</v>
      </c>
      <c r="ET335" s="8">
        <v>0</v>
      </c>
      <c r="EU335" s="8">
        <v>0</v>
      </c>
      <c r="EV335" s="8">
        <v>0</v>
      </c>
      <c r="EW335" s="8">
        <v>0</v>
      </c>
      <c r="EX335" s="8">
        <v>0</v>
      </c>
      <c r="EY335" s="8">
        <v>0</v>
      </c>
      <c r="EZ335" s="8">
        <v>0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9">
        <f t="shared" si="1685"/>
        <v>29</v>
      </c>
      <c r="FH335" s="8">
        <v>1</v>
      </c>
      <c r="FI335" s="8">
        <v>72</v>
      </c>
      <c r="FJ335" s="8">
        <v>18</v>
      </c>
      <c r="FK335" s="8">
        <v>121</v>
      </c>
      <c r="FL335" s="8">
        <v>0</v>
      </c>
      <c r="FM335" s="8">
        <v>0</v>
      </c>
      <c r="FN335" s="8">
        <v>0</v>
      </c>
      <c r="FO335" s="8">
        <v>0</v>
      </c>
      <c r="FP335" s="8">
        <v>0</v>
      </c>
      <c r="FQ335" s="9">
        <f t="shared" si="1686"/>
        <v>0</v>
      </c>
      <c r="FR335" s="8">
        <v>265975</v>
      </c>
      <c r="FS335" s="8">
        <v>0</v>
      </c>
      <c r="FT335" s="8">
        <v>0</v>
      </c>
      <c r="FU335" s="8">
        <v>0</v>
      </c>
      <c r="FV335" s="9">
        <f t="shared" si="1687"/>
        <v>265975</v>
      </c>
      <c r="FW335" s="8">
        <v>6266802</v>
      </c>
      <c r="FX335" s="8">
        <v>29500</v>
      </c>
      <c r="FY335" s="8">
        <v>479400</v>
      </c>
      <c r="FZ335" s="8">
        <v>1341000</v>
      </c>
      <c r="GA335" s="9">
        <f t="shared" si="1688"/>
        <v>8116702</v>
      </c>
      <c r="GB335" s="9">
        <f t="shared" si="1689"/>
        <v>8382677</v>
      </c>
      <c r="GC335" s="8">
        <v>331316.47999999998</v>
      </c>
      <c r="GD335" s="8">
        <v>0</v>
      </c>
      <c r="GE335" s="8">
        <v>30132.78</v>
      </c>
      <c r="GF335" s="8">
        <v>0</v>
      </c>
      <c r="GG335" s="9">
        <f t="shared" si="1690"/>
        <v>361449.26</v>
      </c>
      <c r="GH335" s="8">
        <v>6083233.7999999998</v>
      </c>
      <c r="GI335" s="8">
        <v>28300</v>
      </c>
      <c r="GJ335" s="8">
        <v>1341000</v>
      </c>
      <c r="GK335" s="8">
        <v>479400</v>
      </c>
      <c r="GL335" s="9">
        <f t="shared" si="1691"/>
        <v>7931933.7999999998</v>
      </c>
      <c r="GM335" s="9">
        <f t="shared" si="1692"/>
        <v>8293383.0599999996</v>
      </c>
      <c r="GN335" s="8">
        <v>32150.87</v>
      </c>
      <c r="GO335" s="8">
        <v>0</v>
      </c>
      <c r="GP335" s="8">
        <v>6787.28</v>
      </c>
      <c r="GQ335" s="8">
        <v>0</v>
      </c>
      <c r="GR335" s="9">
        <f t="shared" si="1693"/>
        <v>38938.15</v>
      </c>
      <c r="GS335" s="8">
        <v>52687</v>
      </c>
      <c r="GT335" s="8">
        <v>0</v>
      </c>
      <c r="GU335" s="8">
        <v>1786</v>
      </c>
      <c r="GV335" s="8">
        <v>0</v>
      </c>
      <c r="GW335" s="9">
        <f t="shared" si="1694"/>
        <v>54473</v>
      </c>
      <c r="GX335" s="9">
        <f t="shared" si="1695"/>
        <v>8386794.21</v>
      </c>
      <c r="GY335" s="8">
        <v>5813754.6600000048</v>
      </c>
      <c r="GZ335" s="8">
        <v>0</v>
      </c>
      <c r="HA335" s="9">
        <f t="shared" si="1581"/>
        <v>5813754.6600000048</v>
      </c>
      <c r="HB335" s="9">
        <f t="shared" si="1696"/>
        <v>0.21182892002783504</v>
      </c>
      <c r="HC335" s="10">
        <f t="shared" si="1697"/>
        <v>0.5903065491862215</v>
      </c>
      <c r="HD335" s="9">
        <f t="shared" si="1698"/>
        <v>0.99950908417484585</v>
      </c>
      <c r="HE335" s="8">
        <v>8</v>
      </c>
      <c r="HF335" s="8">
        <v>1</v>
      </c>
      <c r="HG335" s="8">
        <v>23</v>
      </c>
      <c r="HH335" s="8">
        <v>9</v>
      </c>
      <c r="HI335" s="8">
        <v>30</v>
      </c>
      <c r="HJ335" s="9">
        <f t="shared" si="1699"/>
        <v>31</v>
      </c>
      <c r="HK335" s="10">
        <f t="shared" si="1700"/>
        <v>1.125</v>
      </c>
      <c r="HL335" s="8">
        <v>0</v>
      </c>
      <c r="HM335" s="8">
        <v>0</v>
      </c>
      <c r="HN335" s="11" t="str">
        <f t="shared" si="1701"/>
        <v/>
      </c>
    </row>
    <row r="336" spans="1:222" x14ac:dyDescent="0.3">
      <c r="A336" s="12" t="s">
        <v>295</v>
      </c>
      <c r="B336" s="12" t="s">
        <v>300</v>
      </c>
      <c r="C336" s="13" t="s">
        <v>257</v>
      </c>
      <c r="D336" s="13">
        <v>2026</v>
      </c>
      <c r="E336" s="13">
        <v>1</v>
      </c>
      <c r="F336" s="13" t="s">
        <v>270</v>
      </c>
      <c r="G336" s="13" t="s">
        <v>271</v>
      </c>
      <c r="H336" s="14">
        <v>8326</v>
      </c>
      <c r="I336" s="14">
        <v>333</v>
      </c>
      <c r="J336" s="14">
        <v>0</v>
      </c>
      <c r="K336" s="14">
        <v>13</v>
      </c>
      <c r="L336" s="14">
        <v>0</v>
      </c>
      <c r="M336" s="15">
        <v>346</v>
      </c>
      <c r="N336" s="14">
        <v>5478.9000000000269</v>
      </c>
      <c r="O336" s="14">
        <v>154.5</v>
      </c>
      <c r="P336" s="14">
        <v>63.8</v>
      </c>
      <c r="Q336" s="14">
        <v>71.399999999999991</v>
      </c>
      <c r="R336" s="15">
        <v>5768.6000000000267</v>
      </c>
      <c r="S336" s="15">
        <v>6114.6000000000267</v>
      </c>
      <c r="T336" s="14">
        <v>2211.3999999999728</v>
      </c>
      <c r="U336" s="16">
        <v>0.26560172952197608</v>
      </c>
      <c r="V336" s="14">
        <v>8</v>
      </c>
      <c r="W336" s="17">
        <v>0.9608455440787893</v>
      </c>
      <c r="X336" s="14">
        <v>0</v>
      </c>
      <c r="Y336" s="17">
        <v>0</v>
      </c>
      <c r="Z336" s="14">
        <v>0</v>
      </c>
      <c r="AA336" s="17">
        <v>0</v>
      </c>
      <c r="AB336" s="14">
        <v>0</v>
      </c>
      <c r="AC336" s="17">
        <v>0</v>
      </c>
      <c r="AD336" s="14">
        <v>0</v>
      </c>
      <c r="AE336" s="17">
        <v>0</v>
      </c>
      <c r="AF336" s="14">
        <v>0</v>
      </c>
      <c r="AG336" s="17">
        <v>0</v>
      </c>
      <c r="AH336" s="14">
        <v>208000</v>
      </c>
      <c r="AI336" s="15">
        <v>24.981984146048521</v>
      </c>
      <c r="AJ336" s="14">
        <v>6200</v>
      </c>
      <c r="AK336" s="17">
        <v>0.74465529666106178</v>
      </c>
      <c r="AL336" s="14">
        <v>1726122.25</v>
      </c>
      <c r="AM336" s="15">
        <v>193.8584626471295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4">
        <v>0</v>
      </c>
      <c r="AT336" s="14">
        <v>0</v>
      </c>
      <c r="AU336" s="15">
        <v>1822065.56</v>
      </c>
      <c r="AV336" s="15">
        <v>218.84044679317799</v>
      </c>
      <c r="AW336" s="15">
        <v>297.98605959506631</v>
      </c>
      <c r="AX336" s="14">
        <v>6</v>
      </c>
      <c r="AY336" s="15">
        <v>22.33965889983185</v>
      </c>
      <c r="AZ336" s="14">
        <v>6</v>
      </c>
      <c r="BA336" s="14">
        <v>23</v>
      </c>
      <c r="BB336" s="14">
        <v>10</v>
      </c>
      <c r="BC336" s="14">
        <v>5</v>
      </c>
      <c r="BD336" s="14">
        <v>0</v>
      </c>
      <c r="BE336" s="15">
        <v>5</v>
      </c>
      <c r="BF336" s="15">
        <v>28</v>
      </c>
      <c r="BG336" s="14">
        <v>0</v>
      </c>
      <c r="BH336" s="14">
        <v>0</v>
      </c>
      <c r="BI336" s="14">
        <v>0</v>
      </c>
      <c r="BJ336" s="14">
        <v>0</v>
      </c>
      <c r="BK336" s="15">
        <v>0</v>
      </c>
      <c r="BL336" s="15">
        <v>0</v>
      </c>
      <c r="BM336" s="14">
        <v>0</v>
      </c>
      <c r="BN336" s="14">
        <v>0</v>
      </c>
      <c r="BO336" s="14">
        <v>0</v>
      </c>
      <c r="BP336" s="14">
        <v>0</v>
      </c>
      <c r="BQ336" s="15">
        <v>0</v>
      </c>
      <c r="BR336" s="15">
        <v>0</v>
      </c>
      <c r="BS336" s="14">
        <v>0</v>
      </c>
      <c r="BT336" s="14">
        <v>0</v>
      </c>
      <c r="BU336" s="14">
        <v>0</v>
      </c>
      <c r="BV336" s="14">
        <v>0</v>
      </c>
      <c r="BW336" s="15">
        <v>0</v>
      </c>
      <c r="BX336" s="15">
        <v>0</v>
      </c>
      <c r="BY336" s="15">
        <v>23</v>
      </c>
      <c r="BZ336" s="15">
        <v>10</v>
      </c>
      <c r="CA336" s="15">
        <v>5</v>
      </c>
      <c r="CB336" s="15">
        <v>28</v>
      </c>
      <c r="CC336" s="14">
        <v>0</v>
      </c>
      <c r="CD336" s="14">
        <v>42</v>
      </c>
      <c r="CE336" s="14">
        <v>4</v>
      </c>
      <c r="CF336" s="14">
        <v>0</v>
      </c>
      <c r="CG336" s="14">
        <v>6</v>
      </c>
      <c r="CH336" s="15">
        <v>52</v>
      </c>
      <c r="CI336" s="14">
        <v>64</v>
      </c>
      <c r="CJ336" s="14">
        <v>2</v>
      </c>
      <c r="CK336" s="14">
        <v>0</v>
      </c>
      <c r="CL336" s="14">
        <v>0</v>
      </c>
      <c r="CM336" s="15">
        <v>66</v>
      </c>
      <c r="CN336" s="14">
        <v>1072</v>
      </c>
      <c r="CO336" s="14">
        <v>16</v>
      </c>
      <c r="CP336" s="14">
        <v>11</v>
      </c>
      <c r="CQ336" s="14">
        <v>13</v>
      </c>
      <c r="CR336" s="15">
        <v>1112</v>
      </c>
      <c r="CS336" s="15">
        <v>1178</v>
      </c>
      <c r="CT336" s="14">
        <v>1230</v>
      </c>
      <c r="CU336" s="14">
        <v>8389</v>
      </c>
      <c r="CV336" s="14">
        <v>7940.5</v>
      </c>
      <c r="CW336" s="16">
        <v>0.94653713195851708</v>
      </c>
      <c r="CX336" s="14">
        <v>0</v>
      </c>
      <c r="CY336" s="14">
        <v>0</v>
      </c>
      <c r="CZ336" s="14">
        <v>0</v>
      </c>
      <c r="DA336" s="14">
        <v>0</v>
      </c>
      <c r="DB336" s="15">
        <v>0</v>
      </c>
      <c r="DC336" s="14">
        <v>0</v>
      </c>
      <c r="DD336" s="14">
        <v>0</v>
      </c>
      <c r="DE336" s="14">
        <v>0</v>
      </c>
      <c r="DF336" s="14">
        <v>0</v>
      </c>
      <c r="DG336" s="15">
        <v>0</v>
      </c>
      <c r="DH336" s="14">
        <v>0</v>
      </c>
      <c r="DI336" s="14">
        <v>0</v>
      </c>
      <c r="DJ336" s="14">
        <v>0</v>
      </c>
      <c r="DK336" s="14">
        <v>0</v>
      </c>
      <c r="DL336" s="15">
        <v>0</v>
      </c>
      <c r="DM336" s="14">
        <v>0</v>
      </c>
      <c r="DN336" s="14">
        <v>0</v>
      </c>
      <c r="DO336" s="14">
        <v>0</v>
      </c>
      <c r="DP336" s="14">
        <v>0</v>
      </c>
      <c r="DQ336" s="15">
        <v>0</v>
      </c>
      <c r="DR336" s="15">
        <v>0</v>
      </c>
      <c r="DS336" s="15">
        <v>0</v>
      </c>
      <c r="DT336" s="15">
        <v>0</v>
      </c>
      <c r="DU336" s="15">
        <v>0</v>
      </c>
      <c r="DV336" s="15">
        <v>0</v>
      </c>
      <c r="DW336" s="14">
        <v>24</v>
      </c>
      <c r="DX336" s="14">
        <v>5</v>
      </c>
      <c r="DY336" s="14">
        <v>0</v>
      </c>
      <c r="DZ336" s="14">
        <v>0</v>
      </c>
      <c r="EA336" s="14">
        <v>0</v>
      </c>
      <c r="EB336" s="14">
        <v>0</v>
      </c>
      <c r="EC336" s="14">
        <v>0</v>
      </c>
      <c r="ED336" s="14">
        <v>0</v>
      </c>
      <c r="EE336" s="14">
        <v>0</v>
      </c>
      <c r="EF336" s="14">
        <v>0</v>
      </c>
      <c r="EG336" s="14">
        <v>0</v>
      </c>
      <c r="EH336" s="14">
        <v>0</v>
      </c>
      <c r="EI336" s="14">
        <v>0</v>
      </c>
      <c r="EJ336" s="14">
        <v>2</v>
      </c>
      <c r="EK336" s="14">
        <v>0</v>
      </c>
      <c r="EL336" s="14">
        <v>0</v>
      </c>
      <c r="EM336" s="14">
        <v>0</v>
      </c>
      <c r="EN336" s="14">
        <v>0</v>
      </c>
      <c r="EO336" s="14">
        <v>0</v>
      </c>
      <c r="EP336" s="14">
        <v>0</v>
      </c>
      <c r="EQ336" s="14">
        <v>0</v>
      </c>
      <c r="ER336" s="14">
        <v>0</v>
      </c>
      <c r="ES336" s="14">
        <v>0</v>
      </c>
      <c r="ET336" s="14">
        <v>0</v>
      </c>
      <c r="EU336" s="14">
        <v>0</v>
      </c>
      <c r="EV336" s="14">
        <v>0</v>
      </c>
      <c r="EW336" s="14">
        <v>0</v>
      </c>
      <c r="EX336" s="14">
        <v>0</v>
      </c>
      <c r="EY336" s="14">
        <v>0</v>
      </c>
      <c r="EZ336" s="14">
        <v>0</v>
      </c>
      <c r="FA336" s="14">
        <v>0</v>
      </c>
      <c r="FB336" s="14">
        <v>0</v>
      </c>
      <c r="FC336" s="14">
        <v>0</v>
      </c>
      <c r="FD336" s="14">
        <v>0</v>
      </c>
      <c r="FE336" s="14">
        <v>0</v>
      </c>
      <c r="FF336" s="14">
        <v>0</v>
      </c>
      <c r="FG336" s="15">
        <v>31</v>
      </c>
      <c r="FH336" s="14">
        <v>1</v>
      </c>
      <c r="FI336" s="14">
        <v>72</v>
      </c>
      <c r="FJ336" s="14">
        <v>22</v>
      </c>
      <c r="FK336" s="14">
        <v>29</v>
      </c>
      <c r="FL336" s="14">
        <v>0</v>
      </c>
      <c r="FM336" s="14">
        <v>0</v>
      </c>
      <c r="FN336" s="14">
        <v>0</v>
      </c>
      <c r="FO336" s="14">
        <v>0</v>
      </c>
      <c r="FP336" s="14">
        <v>0</v>
      </c>
      <c r="FQ336" s="15">
        <v>0</v>
      </c>
      <c r="FR336" s="14">
        <v>238488</v>
      </c>
      <c r="FS336" s="14">
        <v>0</v>
      </c>
      <c r="FT336" s="14">
        <v>0</v>
      </c>
      <c r="FU336" s="14">
        <v>0</v>
      </c>
      <c r="FV336" s="15">
        <v>238488</v>
      </c>
      <c r="FW336" s="14">
        <v>6999292</v>
      </c>
      <c r="FX336" s="14">
        <v>32790</v>
      </c>
      <c r="FY336" s="14">
        <v>337700</v>
      </c>
      <c r="FZ336" s="14">
        <v>193700</v>
      </c>
      <c r="GA336" s="15">
        <v>7563482</v>
      </c>
      <c r="GB336" s="15">
        <v>7801970</v>
      </c>
      <c r="GC336" s="14">
        <v>325748.09000000003</v>
      </c>
      <c r="GD336" s="14">
        <v>0</v>
      </c>
      <c r="GE336" s="14">
        <v>30132.78</v>
      </c>
      <c r="GF336" s="14">
        <v>0</v>
      </c>
      <c r="GG336" s="15">
        <v>355880.87</v>
      </c>
      <c r="GH336" s="14">
        <v>6805977.4800000004</v>
      </c>
      <c r="GI336" s="14">
        <v>32790</v>
      </c>
      <c r="GJ336" s="14">
        <v>193700</v>
      </c>
      <c r="GK336" s="14">
        <v>337700</v>
      </c>
      <c r="GL336" s="15">
        <v>7370167.4800000004</v>
      </c>
      <c r="GM336" s="15">
        <v>7726048.3500000006</v>
      </c>
      <c r="GN336" s="14">
        <v>34875.519999999997</v>
      </c>
      <c r="GO336" s="14">
        <v>0</v>
      </c>
      <c r="GP336" s="14">
        <v>6787.28</v>
      </c>
      <c r="GQ336" s="14">
        <v>0</v>
      </c>
      <c r="GR336" s="15">
        <v>41662.800000000003</v>
      </c>
      <c r="GS336" s="14">
        <v>57152</v>
      </c>
      <c r="GT336" s="14">
        <v>0</v>
      </c>
      <c r="GU336" s="14">
        <v>1786</v>
      </c>
      <c r="GV336" s="14">
        <v>0</v>
      </c>
      <c r="GW336" s="15">
        <v>58938</v>
      </c>
      <c r="GX336" s="15">
        <v>7826649.1500000004</v>
      </c>
      <c r="GY336" s="14">
        <v>6017465.3100000042</v>
      </c>
      <c r="GZ336" s="14">
        <v>0</v>
      </c>
      <c r="HA336" s="9">
        <f t="shared" si="1581"/>
        <v>6017465.3100000042</v>
      </c>
      <c r="HB336" s="15">
        <v>7826649.1500000004</v>
      </c>
      <c r="HC336" s="16">
        <v>0</v>
      </c>
      <c r="HD336" s="15">
        <v>0</v>
      </c>
      <c r="HE336" s="14">
        <v>10</v>
      </c>
      <c r="HF336" s="14">
        <v>1</v>
      </c>
      <c r="HG336" s="14">
        <v>28</v>
      </c>
      <c r="HH336" s="14">
        <v>10</v>
      </c>
      <c r="HI336" s="14">
        <v>30</v>
      </c>
      <c r="HJ336" s="15">
        <v>3</v>
      </c>
      <c r="HK336" s="16">
        <v>17.857142857142861</v>
      </c>
      <c r="HL336" s="14">
        <v>0</v>
      </c>
      <c r="HM336" s="14">
        <v>0</v>
      </c>
      <c r="HN336" s="17"/>
    </row>
    <row r="337" spans="1:222" x14ac:dyDescent="0.3">
      <c r="A337" s="6" t="s">
        <v>295</v>
      </c>
      <c r="B337" s="6" t="s">
        <v>300</v>
      </c>
      <c r="C337" s="7" t="s">
        <v>257</v>
      </c>
      <c r="D337" s="7">
        <v>2026</v>
      </c>
      <c r="E337" s="7">
        <v>2</v>
      </c>
      <c r="F337" s="7" t="s">
        <v>272</v>
      </c>
      <c r="G337" s="7" t="s">
        <v>271</v>
      </c>
      <c r="H337" s="8">
        <v>7378</v>
      </c>
      <c r="I337" s="8">
        <v>389</v>
      </c>
      <c r="J337" s="8">
        <v>0</v>
      </c>
      <c r="K337" s="8">
        <v>8</v>
      </c>
      <c r="L337" s="8">
        <v>0</v>
      </c>
      <c r="M337" s="9">
        <f t="shared" ref="M337:M347" si="1702">SUM(I337,J337,K337,L337)</f>
        <v>397</v>
      </c>
      <c r="N337" s="8">
        <v>4523.8000000000056</v>
      </c>
      <c r="O337" s="8">
        <v>125.7</v>
      </c>
      <c r="P337" s="8">
        <v>370</v>
      </c>
      <c r="Q337" s="8">
        <v>88.100000000000009</v>
      </c>
      <c r="R337" s="9">
        <f t="shared" ref="R337:R347" si="1703">SUM(N337,O337,P337,Q337)</f>
        <v>5107.6000000000058</v>
      </c>
      <c r="S337" s="9">
        <f t="shared" ref="S337:S347" si="1704">M337+R337</f>
        <v>5504.6000000000058</v>
      </c>
      <c r="T337" s="8">
        <v>1873.399999999994</v>
      </c>
      <c r="U337" s="10">
        <f t="shared" ref="U337:U347" si="1705">IF(H337=0,"",T337/H337)</f>
        <v>0.25391705069124343</v>
      </c>
      <c r="V337" s="8">
        <v>7</v>
      </c>
      <c r="W337" s="11">
        <f t="shared" ref="W337:W347" si="1706">IF(H337=0,"",V337/H337)</f>
        <v>9.4876660341555979E-4</v>
      </c>
      <c r="X337" s="8">
        <v>0</v>
      </c>
      <c r="Y337" s="11">
        <f t="shared" ref="Y337:Y347" si="1707">IF(H337=0,"",X337/H337)</f>
        <v>0</v>
      </c>
      <c r="Z337" s="8">
        <v>0</v>
      </c>
      <c r="AA337" s="11">
        <f t="shared" ref="AA337:AA347" si="1708">IF(H337=0,"",Z337/H337)</f>
        <v>0</v>
      </c>
      <c r="AB337" s="8">
        <v>0</v>
      </c>
      <c r="AC337" s="11">
        <f t="shared" ref="AC337:AC347" si="1709">IF(H337=0,"",AB337/H337)</f>
        <v>0</v>
      </c>
      <c r="AD337" s="8">
        <v>0</v>
      </c>
      <c r="AE337" s="11">
        <f t="shared" ref="AE337:AE347" si="1710">IF(H337=0,"",AD337/H337)</f>
        <v>0</v>
      </c>
      <c r="AF337" s="8">
        <v>0</v>
      </c>
      <c r="AG337" s="11">
        <f t="shared" ref="AG337:AG347" si="1711">IF(H337=0,"",AF337/H337)</f>
        <v>0</v>
      </c>
      <c r="AH337" s="8">
        <v>182000</v>
      </c>
      <c r="AI337" s="9">
        <f t="shared" ref="AI337:AI347" si="1712">IF(H337=0,"",AH337/H337)</f>
        <v>24.667931688804554</v>
      </c>
      <c r="AJ337" s="8">
        <v>4086</v>
      </c>
      <c r="AK337" s="11">
        <f t="shared" ref="AK337:AK347" si="1713">IF(H337=0,"",AJ337/H337)</f>
        <v>0.5538086202222825</v>
      </c>
      <c r="AL337" s="8">
        <v>1148347.024</v>
      </c>
      <c r="AM337" s="9">
        <f t="shared" ref="AM337:AM347" si="1714">IF(H337=0,"",AL337/H337)</f>
        <v>155.64475792897804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9">
        <f t="shared" ref="AU337:AU347" si="1715">AH337+AL337+AP337+AQ337+AR337+AS337+AT337</f>
        <v>1330347.024</v>
      </c>
      <c r="AV337" s="9">
        <f t="shared" ref="AV337:AV347" si="1716">IF(H337=0,"",AU337/H337)</f>
        <v>180.31268961778258</v>
      </c>
      <c r="AW337" s="9">
        <f t="shared" ref="AW337:AW347" si="1717">IF(S337=0,"",AU337/S337)</f>
        <v>241.67914544199371</v>
      </c>
      <c r="AX337" s="8">
        <v>6</v>
      </c>
      <c r="AY337" s="9">
        <f t="shared" ref="AY337:AY347" si="1718">IF(H337=0,"",AX337/(H337/1000/12))</f>
        <v>9.7587422065600435</v>
      </c>
      <c r="AZ337" s="8">
        <v>6</v>
      </c>
      <c r="BA337" s="8">
        <v>28</v>
      </c>
      <c r="BB337" s="8">
        <v>13</v>
      </c>
      <c r="BC337" s="8">
        <v>17</v>
      </c>
      <c r="BD337" s="8">
        <v>0</v>
      </c>
      <c r="BE337" s="9">
        <f t="shared" ref="BE337:BE347" si="1719">BC337+BD337</f>
        <v>17</v>
      </c>
      <c r="BF337" s="9">
        <f t="shared" ref="BF337:BF347" si="1720">BA337+BB337-BE337</f>
        <v>24</v>
      </c>
      <c r="BG337" s="8">
        <v>0</v>
      </c>
      <c r="BH337" s="8">
        <v>1</v>
      </c>
      <c r="BI337" s="8">
        <v>1</v>
      </c>
      <c r="BJ337" s="8">
        <v>0</v>
      </c>
      <c r="BK337" s="9">
        <f t="shared" ref="BK337:BK347" si="1721">BI337+BJ337</f>
        <v>1</v>
      </c>
      <c r="BL337" s="9">
        <f t="shared" ref="BL337:BL347" si="1722">BG337+BH337-BK337</f>
        <v>0</v>
      </c>
      <c r="BM337" s="8">
        <v>0</v>
      </c>
      <c r="BN337" s="8">
        <v>0</v>
      </c>
      <c r="BO337" s="8">
        <v>0</v>
      </c>
      <c r="BP337" s="8">
        <v>0</v>
      </c>
      <c r="BQ337" s="9">
        <f t="shared" ref="BQ337:BQ347" si="1723">BO337+BP337</f>
        <v>0</v>
      </c>
      <c r="BR337" s="9">
        <f t="shared" ref="BR337:BR347" si="1724">BM337+BN337-BQ337</f>
        <v>0</v>
      </c>
      <c r="BS337" s="8">
        <v>0</v>
      </c>
      <c r="BT337" s="8">
        <v>0</v>
      </c>
      <c r="BU337" s="8">
        <v>0</v>
      </c>
      <c r="BV337" s="8">
        <v>0</v>
      </c>
      <c r="BW337" s="9">
        <f t="shared" ref="BW337:BW347" si="1725">BU337+BV337</f>
        <v>0</v>
      </c>
      <c r="BX337" s="9">
        <f t="shared" ref="BX337:BX347" si="1726">BS337+BT337-BW337</f>
        <v>0</v>
      </c>
      <c r="BY337" s="9">
        <f t="shared" ref="BY337:BY347" si="1727">BA337+BG337+BM337+BS337</f>
        <v>28</v>
      </c>
      <c r="BZ337" s="9">
        <f t="shared" ref="BZ337:BZ347" si="1728">BB337+BH337+BN337+BT337</f>
        <v>14</v>
      </c>
      <c r="CA337" s="9">
        <f t="shared" ref="CA337:CA347" si="1729">BE337+BK337+BQ337+BW337</f>
        <v>18</v>
      </c>
      <c r="CB337" s="9">
        <f t="shared" ref="CB337:CB347" si="1730">BF337+BL337+BR337+BX337</f>
        <v>24</v>
      </c>
      <c r="CC337" s="8">
        <v>0</v>
      </c>
      <c r="CD337" s="8">
        <v>50</v>
      </c>
      <c r="CE337" s="8">
        <v>4</v>
      </c>
      <c r="CF337" s="8">
        <v>0</v>
      </c>
      <c r="CG337" s="8">
        <v>6</v>
      </c>
      <c r="CH337" s="9">
        <f t="shared" ref="CH337:CH347" si="1731">CD337+CE337+CF337+CG337</f>
        <v>60</v>
      </c>
      <c r="CI337" s="8">
        <v>78</v>
      </c>
      <c r="CJ337" s="8">
        <v>3</v>
      </c>
      <c r="CK337" s="8">
        <v>0</v>
      </c>
      <c r="CL337" s="8">
        <v>0</v>
      </c>
      <c r="CM337" s="9">
        <f t="shared" ref="CM337:CM347" si="1732">CI337+CJ337+CK337+CL337</f>
        <v>81</v>
      </c>
      <c r="CN337" s="8">
        <v>1067</v>
      </c>
      <c r="CO337" s="8">
        <v>16</v>
      </c>
      <c r="CP337" s="8">
        <v>11</v>
      </c>
      <c r="CQ337" s="8">
        <v>13</v>
      </c>
      <c r="CR337" s="9">
        <f t="shared" ref="CR337:CR347" si="1733">CN337+CO337+CP337+CQ337</f>
        <v>1107</v>
      </c>
      <c r="CS337" s="9">
        <f t="shared" ref="CS337:CS347" si="1734">CM337+CR337</f>
        <v>1188</v>
      </c>
      <c r="CT337" s="8">
        <v>1248</v>
      </c>
      <c r="CU337" s="8">
        <v>8399</v>
      </c>
      <c r="CV337" s="8">
        <v>8014.1</v>
      </c>
      <c r="CW337" s="10">
        <f t="shared" ref="CW337:CW347" si="1735">IF(CU337=0,"",CV337/CU337)</f>
        <v>0.95417311584712472</v>
      </c>
      <c r="CX337" s="8">
        <v>0</v>
      </c>
      <c r="CY337" s="8">
        <v>0</v>
      </c>
      <c r="CZ337" s="8">
        <v>0</v>
      </c>
      <c r="DA337" s="8">
        <v>0</v>
      </c>
      <c r="DB337" s="9">
        <f t="shared" ref="DB337:DB347" si="1736">CX337+CY337-CZ337-DA337</f>
        <v>0</v>
      </c>
      <c r="DC337" s="8">
        <v>0</v>
      </c>
      <c r="DD337" s="8">
        <v>0</v>
      </c>
      <c r="DE337" s="8">
        <v>0</v>
      </c>
      <c r="DF337" s="8">
        <v>0</v>
      </c>
      <c r="DG337" s="9">
        <f t="shared" ref="DG337:DG347" si="1737">DC337+DD337-DE337-DF337</f>
        <v>0</v>
      </c>
      <c r="DH337" s="8">
        <v>0</v>
      </c>
      <c r="DI337" s="8">
        <v>0</v>
      </c>
      <c r="DJ337" s="8">
        <v>0</v>
      </c>
      <c r="DK337" s="8">
        <v>0</v>
      </c>
      <c r="DL337" s="9">
        <f t="shared" ref="DL337:DL347" si="1738">DH337+DI337-DJ337-DK337</f>
        <v>0</v>
      </c>
      <c r="DM337" s="8">
        <v>0</v>
      </c>
      <c r="DN337" s="8">
        <v>0</v>
      </c>
      <c r="DO337" s="8">
        <v>0</v>
      </c>
      <c r="DP337" s="8">
        <v>0</v>
      </c>
      <c r="DQ337" s="9">
        <f t="shared" ref="DQ337:DQ347" si="1739">DM337+DN337-DO337-DP337</f>
        <v>0</v>
      </c>
      <c r="DR337" s="9">
        <f t="shared" ref="DR337:DR347" si="1740">CX337+DC337+DH337+DM337</f>
        <v>0</v>
      </c>
      <c r="DS337" s="9">
        <f t="shared" ref="DS337:DS347" si="1741">CY337+DD337+DI337+DN337</f>
        <v>0</v>
      </c>
      <c r="DT337" s="9">
        <f t="shared" ref="DT337:DT347" si="1742">CZ337+DE337+DJ337+DO337</f>
        <v>0</v>
      </c>
      <c r="DU337" s="9">
        <f t="shared" ref="DU337:DU347" si="1743">DA337+DF337+DK337+DP337</f>
        <v>0</v>
      </c>
      <c r="DV337" s="9">
        <f t="shared" ref="DV337:DV347" si="1744">DB337+DG337+DL337+DQ337</f>
        <v>0</v>
      </c>
      <c r="DW337" s="8">
        <v>11</v>
      </c>
      <c r="DX337" s="8">
        <v>4</v>
      </c>
      <c r="DY337" s="8">
        <v>2</v>
      </c>
      <c r="DZ337" s="8">
        <v>0</v>
      </c>
      <c r="EA337" s="8">
        <v>1</v>
      </c>
      <c r="EB337" s="8">
        <v>0</v>
      </c>
      <c r="EC337" s="8">
        <v>0</v>
      </c>
      <c r="ED337" s="8">
        <v>0</v>
      </c>
      <c r="EE337" s="8">
        <v>1</v>
      </c>
      <c r="EF337" s="8">
        <v>0</v>
      </c>
      <c r="EG337" s="8">
        <v>0</v>
      </c>
      <c r="EH337" s="8">
        <v>0</v>
      </c>
      <c r="EI337" s="8">
        <v>0</v>
      </c>
      <c r="EJ337" s="8">
        <v>0</v>
      </c>
      <c r="EK337" s="8">
        <v>1</v>
      </c>
      <c r="EL337" s="8">
        <v>0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8">
        <v>0</v>
      </c>
      <c r="ES337" s="8">
        <v>0</v>
      </c>
      <c r="ET337" s="8">
        <v>0</v>
      </c>
      <c r="EU337" s="8">
        <v>0</v>
      </c>
      <c r="EV337" s="8">
        <v>0</v>
      </c>
      <c r="EW337" s="8">
        <v>0</v>
      </c>
      <c r="EX337" s="8">
        <v>0</v>
      </c>
      <c r="EY337" s="8">
        <v>0</v>
      </c>
      <c r="EZ337" s="8">
        <v>0</v>
      </c>
      <c r="FA337" s="8">
        <v>0</v>
      </c>
      <c r="FB337" s="8">
        <v>0</v>
      </c>
      <c r="FC337" s="8">
        <v>0</v>
      </c>
      <c r="FD337" s="8">
        <v>0</v>
      </c>
      <c r="FE337" s="8">
        <v>0</v>
      </c>
      <c r="FF337" s="8">
        <v>0</v>
      </c>
      <c r="FG337" s="9">
        <f t="shared" ref="FG337:FG347" si="1745">SUM(DW337,DX337,DY337,DZ337,EA337,EB337,EC337,ED337,EE337,EF337,EG337,EH337,EI337,EJ337,EK337,EL337,EM337,EN337,EO337,EP337,EQ337,ER337,ES337,ET337,EU337,EV337,EW337,EX337,EY337,EZ337,FA337,FB337,FC337,FD337,FE337,FF337)</f>
        <v>20</v>
      </c>
      <c r="FH337" s="8">
        <v>0</v>
      </c>
      <c r="FI337" s="8">
        <v>0</v>
      </c>
      <c r="FJ337" s="8">
        <v>21</v>
      </c>
      <c r="FK337" s="8">
        <v>151</v>
      </c>
      <c r="FL337" s="8">
        <v>0</v>
      </c>
      <c r="FM337" s="8">
        <v>0</v>
      </c>
      <c r="FN337" s="8">
        <v>0</v>
      </c>
      <c r="FO337" s="8">
        <v>0</v>
      </c>
      <c r="FP337" s="8">
        <v>0</v>
      </c>
      <c r="FQ337" s="9">
        <f t="shared" ref="FQ337:FQ347" si="1746">FL337+FM337+FN337+FO337+FP337</f>
        <v>0</v>
      </c>
      <c r="FR337" s="8">
        <v>190036</v>
      </c>
      <c r="FS337" s="8">
        <v>0</v>
      </c>
      <c r="FT337" s="8">
        <v>0</v>
      </c>
      <c r="FU337" s="8">
        <v>37000</v>
      </c>
      <c r="FV337" s="9">
        <f t="shared" ref="FV337:FV347" si="1747">FR337+FS337+FT337+FU337</f>
        <v>227036</v>
      </c>
      <c r="FW337" s="8">
        <v>5790767.8300000001</v>
      </c>
      <c r="FX337" s="8">
        <v>26650</v>
      </c>
      <c r="FY337" s="8">
        <v>416972.81</v>
      </c>
      <c r="FZ337" s="8">
        <v>1124450</v>
      </c>
      <c r="GA337" s="9">
        <f t="shared" ref="GA337:GA347" si="1748">FW337+FX337+FY337+FZ337</f>
        <v>7358840.6399999997</v>
      </c>
      <c r="GB337" s="9">
        <f t="shared" ref="GB337:GB347" si="1749">FV337+GA337</f>
        <v>7585876.6399999997</v>
      </c>
      <c r="GC337" s="8">
        <v>408518.66</v>
      </c>
      <c r="GD337" s="8">
        <v>0</v>
      </c>
      <c r="GE337" s="8">
        <v>25232.97</v>
      </c>
      <c r="GF337" s="8">
        <v>0</v>
      </c>
      <c r="GG337" s="9">
        <f t="shared" ref="GG337:GG347" si="1750">GC337+GD337+GE337+GF337</f>
        <v>433751.63</v>
      </c>
      <c r="GH337" s="8">
        <v>5620584.6100000003</v>
      </c>
      <c r="GI337" s="8">
        <v>26650</v>
      </c>
      <c r="GJ337" s="8">
        <v>1124450</v>
      </c>
      <c r="GK337" s="8">
        <v>416972.81</v>
      </c>
      <c r="GL337" s="9">
        <f t="shared" ref="GL337:GL347" si="1751">GH337+GI337+GJ337+GK337</f>
        <v>7188657.4199999999</v>
      </c>
      <c r="GM337" s="9">
        <f t="shared" ref="GM337:GM347" si="1752">GG337+GL337</f>
        <v>7622409.0499999998</v>
      </c>
      <c r="GN337" s="8">
        <v>42504.54</v>
      </c>
      <c r="GO337" s="8">
        <v>0</v>
      </c>
      <c r="GP337" s="8">
        <v>10180.92</v>
      </c>
      <c r="GQ337" s="8">
        <v>0</v>
      </c>
      <c r="GR337" s="9">
        <f t="shared" ref="GR337:GR347" si="1753">GN337+GO337+GP337+GQ337</f>
        <v>52685.46</v>
      </c>
      <c r="GS337" s="8">
        <v>69654</v>
      </c>
      <c r="GT337" s="8">
        <v>0</v>
      </c>
      <c r="GU337" s="8">
        <v>2679</v>
      </c>
      <c r="GV337" s="8">
        <v>0</v>
      </c>
      <c r="GW337" s="9">
        <f t="shared" ref="GW337:GW347" si="1754">GS337+GT337+GU337+GV337</f>
        <v>72333</v>
      </c>
      <c r="GX337" s="9">
        <f t="shared" ref="GX337:GX347" si="1755">GM337+GR337+GW337</f>
        <v>7747427.5099999998</v>
      </c>
      <c r="GY337" s="8">
        <v>6279765.3200000059</v>
      </c>
      <c r="GZ337" s="8">
        <v>0</v>
      </c>
      <c r="HA337" s="9">
        <f t="shared" si="1581"/>
        <v>6279765.3200000059</v>
      </c>
      <c r="HB337" s="9">
        <f t="shared" ref="HB337:HB347" si="1756">IF(GX337=0,"",AU337/GX337)</f>
        <v>0.17171467848945385</v>
      </c>
      <c r="HC337" s="10">
        <f t="shared" ref="HC337:HC347" si="1757">IF((GX337+GY337)=0,"",GB337/(GX337+GY337))</f>
        <v>0.54079791530177435</v>
      </c>
      <c r="HD337" s="9">
        <f t="shared" ref="HD337:HD347" si="1758">IF(GX337=0,"",GB337/GX337)</f>
        <v>0.97914780489504705</v>
      </c>
      <c r="HE337" s="8">
        <v>13</v>
      </c>
      <c r="HF337" s="8">
        <v>1</v>
      </c>
      <c r="HG337" s="8">
        <v>24</v>
      </c>
      <c r="HH337" s="8">
        <v>14</v>
      </c>
      <c r="HI337" s="8">
        <v>30</v>
      </c>
      <c r="HJ337" s="9">
        <f t="shared" ref="HJ337:HJ347" si="1759">HF337+HI337</f>
        <v>31</v>
      </c>
      <c r="HK337" s="10">
        <f t="shared" ref="HK337:HK347" si="1760">IF(HE337=0,"",HH337/HE337)</f>
        <v>1.0769230769230769</v>
      </c>
      <c r="HL337" s="8">
        <v>0</v>
      </c>
      <c r="HM337" s="8">
        <v>0</v>
      </c>
      <c r="HN337" s="11" t="str">
        <f t="shared" ref="HN337:HN347" si="1761">IF(HL337=0,"",HM337/HL337)</f>
        <v/>
      </c>
    </row>
    <row r="338" spans="1:222" x14ac:dyDescent="0.3">
      <c r="A338" s="12" t="s">
        <v>295</v>
      </c>
      <c r="B338" s="12" t="s">
        <v>300</v>
      </c>
      <c r="C338" s="13" t="s">
        <v>257</v>
      </c>
      <c r="D338" s="13">
        <v>2026</v>
      </c>
      <c r="E338" s="13">
        <v>3</v>
      </c>
      <c r="F338" s="13" t="s">
        <v>273</v>
      </c>
      <c r="G338" s="13" t="s">
        <v>271</v>
      </c>
      <c r="H338" s="14">
        <v>7250</v>
      </c>
      <c r="I338" s="14">
        <v>427</v>
      </c>
      <c r="J338" s="14">
        <v>0</v>
      </c>
      <c r="K338" s="14">
        <v>20</v>
      </c>
      <c r="L338" s="14">
        <v>0</v>
      </c>
      <c r="M338" s="15">
        <f t="shared" si="1702"/>
        <v>447</v>
      </c>
      <c r="N338" s="14">
        <v>5348.0000000000218</v>
      </c>
      <c r="O338" s="14">
        <v>162.19999999999999</v>
      </c>
      <c r="P338" s="14">
        <v>245.4</v>
      </c>
      <c r="Q338" s="14">
        <v>88.699999999999989</v>
      </c>
      <c r="R338" s="15">
        <f t="shared" si="1703"/>
        <v>5844.3000000000211</v>
      </c>
      <c r="S338" s="15">
        <f t="shared" si="1704"/>
        <v>6291.3000000000211</v>
      </c>
      <c r="T338" s="14">
        <v>958.6999999999789</v>
      </c>
      <c r="U338" s="16">
        <f t="shared" si="1705"/>
        <v>0.13223448275861777</v>
      </c>
      <c r="V338" s="14">
        <v>7</v>
      </c>
      <c r="W338" s="17">
        <f t="shared" si="1706"/>
        <v>9.6551724137931036E-4</v>
      </c>
      <c r="X338" s="14">
        <v>0</v>
      </c>
      <c r="Y338" s="17">
        <f t="shared" si="1707"/>
        <v>0</v>
      </c>
      <c r="Z338" s="14">
        <v>0</v>
      </c>
      <c r="AA338" s="17">
        <f t="shared" si="1708"/>
        <v>0</v>
      </c>
      <c r="AB338" s="14">
        <v>0</v>
      </c>
      <c r="AC338" s="17">
        <f t="shared" si="1709"/>
        <v>0</v>
      </c>
      <c r="AD338" s="14">
        <v>0</v>
      </c>
      <c r="AE338" s="17">
        <f t="shared" si="1710"/>
        <v>0</v>
      </c>
      <c r="AF338" s="14">
        <v>0</v>
      </c>
      <c r="AG338" s="17">
        <f t="shared" si="1711"/>
        <v>0</v>
      </c>
      <c r="AH338" s="14">
        <v>182000</v>
      </c>
      <c r="AI338" s="15">
        <f t="shared" si="1712"/>
        <v>25.103448275862068</v>
      </c>
      <c r="AJ338" s="14">
        <v>4962</v>
      </c>
      <c r="AK338" s="17">
        <f t="shared" si="1713"/>
        <v>0.6844137931034483</v>
      </c>
      <c r="AL338" s="14">
        <v>1387765.7080000001</v>
      </c>
      <c r="AM338" s="15">
        <f t="shared" si="1714"/>
        <v>191.41595972413793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4">
        <v>0</v>
      </c>
      <c r="AU338" s="15">
        <f t="shared" si="1715"/>
        <v>1569765.7080000001</v>
      </c>
      <c r="AV338" s="15">
        <f t="shared" si="1716"/>
        <v>216.51940800000003</v>
      </c>
      <c r="AW338" s="15">
        <f t="shared" si="1717"/>
        <v>249.51372657479294</v>
      </c>
      <c r="AX338" s="14">
        <v>6</v>
      </c>
      <c r="AY338" s="15">
        <f t="shared" si="1718"/>
        <v>9.931034482758621</v>
      </c>
      <c r="AZ338" s="14">
        <v>6</v>
      </c>
      <c r="BA338" s="14">
        <v>24</v>
      </c>
      <c r="BB338" s="14">
        <v>15</v>
      </c>
      <c r="BC338" s="14">
        <v>12</v>
      </c>
      <c r="BD338" s="14">
        <v>0</v>
      </c>
      <c r="BE338" s="15">
        <f t="shared" si="1719"/>
        <v>12</v>
      </c>
      <c r="BF338" s="15">
        <f t="shared" si="1720"/>
        <v>27</v>
      </c>
      <c r="BG338" s="14">
        <v>0</v>
      </c>
      <c r="BH338" s="14">
        <v>0</v>
      </c>
      <c r="BI338" s="14">
        <v>0</v>
      </c>
      <c r="BJ338" s="14">
        <v>0</v>
      </c>
      <c r="BK338" s="15">
        <f t="shared" si="1721"/>
        <v>0</v>
      </c>
      <c r="BL338" s="15">
        <f t="shared" si="1722"/>
        <v>0</v>
      </c>
      <c r="BM338" s="14">
        <v>0</v>
      </c>
      <c r="BN338" s="14">
        <v>0</v>
      </c>
      <c r="BO338" s="14">
        <v>0</v>
      </c>
      <c r="BP338" s="14">
        <v>0</v>
      </c>
      <c r="BQ338" s="15">
        <f t="shared" si="1723"/>
        <v>0</v>
      </c>
      <c r="BR338" s="15">
        <f t="shared" si="1724"/>
        <v>0</v>
      </c>
      <c r="BS338" s="14">
        <v>0</v>
      </c>
      <c r="BT338" s="14">
        <v>0</v>
      </c>
      <c r="BU338" s="14">
        <v>0</v>
      </c>
      <c r="BV338" s="14">
        <v>0</v>
      </c>
      <c r="BW338" s="15">
        <f t="shared" si="1725"/>
        <v>0</v>
      </c>
      <c r="BX338" s="15">
        <f t="shared" si="1726"/>
        <v>0</v>
      </c>
      <c r="BY338" s="15">
        <f t="shared" si="1727"/>
        <v>24</v>
      </c>
      <c r="BZ338" s="15">
        <f t="shared" si="1728"/>
        <v>15</v>
      </c>
      <c r="CA338" s="15">
        <f t="shared" si="1729"/>
        <v>12</v>
      </c>
      <c r="CB338" s="15">
        <f t="shared" si="1730"/>
        <v>27</v>
      </c>
      <c r="CC338" s="14">
        <v>0</v>
      </c>
      <c r="CD338" s="14">
        <v>47</v>
      </c>
      <c r="CE338" s="14">
        <v>5</v>
      </c>
      <c r="CF338" s="14">
        <v>0</v>
      </c>
      <c r="CG338" s="14">
        <v>6</v>
      </c>
      <c r="CH338" s="15">
        <f t="shared" si="1731"/>
        <v>58</v>
      </c>
      <c r="CI338" s="14">
        <v>90</v>
      </c>
      <c r="CJ338" s="14">
        <v>3</v>
      </c>
      <c r="CK338" s="14">
        <v>0</v>
      </c>
      <c r="CL338" s="14">
        <v>0</v>
      </c>
      <c r="CM338" s="15">
        <f t="shared" si="1732"/>
        <v>93</v>
      </c>
      <c r="CN338" s="14">
        <v>1070</v>
      </c>
      <c r="CO338" s="14">
        <v>15</v>
      </c>
      <c r="CP338" s="14">
        <v>11</v>
      </c>
      <c r="CQ338" s="14">
        <v>13</v>
      </c>
      <c r="CR338" s="15">
        <f t="shared" si="1733"/>
        <v>1109</v>
      </c>
      <c r="CS338" s="15">
        <f t="shared" si="1734"/>
        <v>1202</v>
      </c>
      <c r="CT338" s="14">
        <v>1260</v>
      </c>
      <c r="CU338" s="14">
        <v>8409</v>
      </c>
      <c r="CV338" s="14">
        <v>8065.6</v>
      </c>
      <c r="CW338" s="16">
        <f t="shared" si="1735"/>
        <v>0.95916280176001911</v>
      </c>
      <c r="CX338" s="14"/>
      <c r="CY338" s="14"/>
      <c r="CZ338" s="14"/>
      <c r="DA338" s="14"/>
      <c r="DB338" s="15">
        <f t="shared" si="1736"/>
        <v>0</v>
      </c>
      <c r="DC338" s="14">
        <v>0</v>
      </c>
      <c r="DD338" s="14">
        <v>0</v>
      </c>
      <c r="DE338" s="14">
        <v>0</v>
      </c>
      <c r="DF338" s="14">
        <v>0</v>
      </c>
      <c r="DG338" s="15">
        <f t="shared" si="1737"/>
        <v>0</v>
      </c>
      <c r="DH338" s="14">
        <v>0</v>
      </c>
      <c r="DI338" s="14">
        <v>0</v>
      </c>
      <c r="DJ338" s="14">
        <v>0</v>
      </c>
      <c r="DK338" s="14">
        <v>0</v>
      </c>
      <c r="DL338" s="15">
        <f t="shared" si="1738"/>
        <v>0</v>
      </c>
      <c r="DM338" s="14">
        <v>0</v>
      </c>
      <c r="DN338" s="14">
        <v>32</v>
      </c>
      <c r="DO338" s="14">
        <v>0</v>
      </c>
      <c r="DP338" s="14">
        <v>32</v>
      </c>
      <c r="DQ338" s="15">
        <f t="shared" si="1739"/>
        <v>0</v>
      </c>
      <c r="DR338" s="15">
        <f t="shared" si="1740"/>
        <v>0</v>
      </c>
      <c r="DS338" s="15">
        <f t="shared" si="1741"/>
        <v>32</v>
      </c>
      <c r="DT338" s="15">
        <f t="shared" si="1742"/>
        <v>0</v>
      </c>
      <c r="DU338" s="15">
        <f t="shared" si="1743"/>
        <v>32</v>
      </c>
      <c r="DV338" s="15">
        <f t="shared" si="1744"/>
        <v>0</v>
      </c>
      <c r="DW338" s="14">
        <v>18</v>
      </c>
      <c r="DX338" s="14">
        <v>3</v>
      </c>
      <c r="DY338" s="14">
        <v>4</v>
      </c>
      <c r="DZ338" s="14">
        <v>0</v>
      </c>
      <c r="EA338" s="14">
        <v>1</v>
      </c>
      <c r="EB338" s="14">
        <v>0</v>
      </c>
      <c r="EC338" s="14">
        <v>0</v>
      </c>
      <c r="ED338" s="14">
        <v>0</v>
      </c>
      <c r="EE338" s="14">
        <v>0</v>
      </c>
      <c r="EF338" s="14">
        <v>0</v>
      </c>
      <c r="EG338" s="14">
        <v>0</v>
      </c>
      <c r="EH338" s="14">
        <v>0</v>
      </c>
      <c r="EI338" s="14">
        <v>0</v>
      </c>
      <c r="EJ338" s="14">
        <v>1</v>
      </c>
      <c r="EK338" s="14">
        <v>0</v>
      </c>
      <c r="EL338" s="14">
        <v>0</v>
      </c>
      <c r="EM338" s="14">
        <v>0</v>
      </c>
      <c r="EN338" s="14">
        <v>0</v>
      </c>
      <c r="EO338" s="14">
        <v>0</v>
      </c>
      <c r="EP338" s="14">
        <v>0</v>
      </c>
      <c r="EQ338" s="14">
        <v>0</v>
      </c>
      <c r="ER338" s="14">
        <v>0</v>
      </c>
      <c r="ES338" s="14">
        <v>0</v>
      </c>
      <c r="ET338" s="14">
        <v>0</v>
      </c>
      <c r="EU338" s="14">
        <v>0</v>
      </c>
      <c r="EV338" s="14">
        <v>0</v>
      </c>
      <c r="EW338" s="14">
        <v>0</v>
      </c>
      <c r="EX338" s="14">
        <v>0</v>
      </c>
      <c r="EY338" s="14">
        <v>0</v>
      </c>
      <c r="EZ338" s="14">
        <v>0</v>
      </c>
      <c r="FA338" s="14">
        <v>0</v>
      </c>
      <c r="FB338" s="14">
        <v>0</v>
      </c>
      <c r="FC338" s="14">
        <v>0</v>
      </c>
      <c r="FD338" s="14">
        <v>0</v>
      </c>
      <c r="FE338" s="14">
        <v>0</v>
      </c>
      <c r="FF338" s="14">
        <v>0</v>
      </c>
      <c r="FG338" s="15">
        <f t="shared" si="1745"/>
        <v>27</v>
      </c>
      <c r="FH338" s="14">
        <v>0</v>
      </c>
      <c r="FI338" s="14">
        <v>0</v>
      </c>
      <c r="FJ338" s="14">
        <v>22</v>
      </c>
      <c r="FK338" s="14">
        <v>50</v>
      </c>
      <c r="FL338" s="14">
        <v>0</v>
      </c>
      <c r="FM338" s="14">
        <v>0</v>
      </c>
      <c r="FN338" s="14">
        <v>0</v>
      </c>
      <c r="FO338" s="14">
        <v>0</v>
      </c>
      <c r="FP338" s="14">
        <v>0</v>
      </c>
      <c r="FQ338" s="15">
        <f t="shared" si="1746"/>
        <v>0</v>
      </c>
      <c r="FR338" s="14">
        <v>391201</v>
      </c>
      <c r="FS338" s="14">
        <v>0</v>
      </c>
      <c r="FT338" s="14">
        <v>0</v>
      </c>
      <c r="FU338" s="14">
        <v>0</v>
      </c>
      <c r="FV338" s="15">
        <f t="shared" si="1747"/>
        <v>391201</v>
      </c>
      <c r="FW338" s="14">
        <v>6875502.5</v>
      </c>
      <c r="FX338" s="14">
        <v>34450</v>
      </c>
      <c r="FY338" s="14">
        <v>419900</v>
      </c>
      <c r="FZ338" s="14">
        <v>745569.7</v>
      </c>
      <c r="GA338" s="15">
        <f t="shared" si="1748"/>
        <v>8075422.2000000002</v>
      </c>
      <c r="GB338" s="15">
        <f t="shared" si="1749"/>
        <v>8466623.1999999993</v>
      </c>
      <c r="GC338" s="14">
        <v>433721.49</v>
      </c>
      <c r="GD338" s="14">
        <v>0</v>
      </c>
      <c r="GE338" s="14">
        <v>56247.18</v>
      </c>
      <c r="GF338" s="14">
        <v>0</v>
      </c>
      <c r="GG338" s="15">
        <f t="shared" si="1750"/>
        <v>489968.67</v>
      </c>
      <c r="GH338" s="14">
        <v>6645292.1600000001</v>
      </c>
      <c r="GI338" s="14">
        <v>34450</v>
      </c>
      <c r="GJ338" s="14">
        <v>745569.7</v>
      </c>
      <c r="GK338" s="14">
        <v>419900</v>
      </c>
      <c r="GL338" s="15">
        <f t="shared" si="1751"/>
        <v>7845211.8600000003</v>
      </c>
      <c r="GM338" s="15">
        <f t="shared" si="1752"/>
        <v>8335180.5300000003</v>
      </c>
      <c r="GN338" s="14">
        <v>49043.7</v>
      </c>
      <c r="GO338" s="14">
        <v>0</v>
      </c>
      <c r="GP338" s="14">
        <v>10180.92</v>
      </c>
      <c r="GQ338" s="14">
        <v>0</v>
      </c>
      <c r="GR338" s="15">
        <f t="shared" si="1753"/>
        <v>59224.619999999995</v>
      </c>
      <c r="GS338" s="14">
        <v>80370</v>
      </c>
      <c r="GT338" s="14">
        <v>0</v>
      </c>
      <c r="GU338" s="14">
        <v>2679</v>
      </c>
      <c r="GV338" s="14">
        <v>0</v>
      </c>
      <c r="GW338" s="15">
        <f t="shared" si="1754"/>
        <v>83049</v>
      </c>
      <c r="GX338" s="15">
        <f t="shared" si="1755"/>
        <v>8477454.1500000004</v>
      </c>
      <c r="GY338" s="14">
        <v>6472689.9300000016</v>
      </c>
      <c r="GZ338" s="14">
        <v>0</v>
      </c>
      <c r="HA338" s="9">
        <f t="shared" si="1581"/>
        <v>6472689.9300000016</v>
      </c>
      <c r="HB338" s="15">
        <f t="shared" si="1756"/>
        <v>0.18516947189858882</v>
      </c>
      <c r="HC338" s="16">
        <f t="shared" si="1757"/>
        <v>0.56632385311433053</v>
      </c>
      <c r="HD338" s="15">
        <f t="shared" si="1758"/>
        <v>0.99872238176599271</v>
      </c>
      <c r="HE338" s="14">
        <v>15</v>
      </c>
      <c r="HF338" s="14">
        <v>1</v>
      </c>
      <c r="HG338" s="14">
        <v>27</v>
      </c>
      <c r="HH338" s="14">
        <v>15</v>
      </c>
      <c r="HI338" s="14">
        <v>28</v>
      </c>
      <c r="HJ338" s="15">
        <f t="shared" si="1759"/>
        <v>29</v>
      </c>
      <c r="HK338" s="16">
        <f t="shared" si="1760"/>
        <v>1</v>
      </c>
      <c r="HL338" s="14">
        <v>0</v>
      </c>
      <c r="HM338" s="14">
        <v>0</v>
      </c>
      <c r="HN338" s="17" t="str">
        <f t="shared" si="1761"/>
        <v/>
      </c>
    </row>
    <row r="339" spans="1:222" x14ac:dyDescent="0.3">
      <c r="A339" s="6" t="s">
        <v>295</v>
      </c>
      <c r="B339" s="6" t="s">
        <v>301</v>
      </c>
      <c r="C339" s="7" t="s">
        <v>257</v>
      </c>
      <c r="D339" s="7">
        <v>2025</v>
      </c>
      <c r="E339" s="7">
        <v>4</v>
      </c>
      <c r="F339" s="7" t="s">
        <v>258</v>
      </c>
      <c r="G339" s="7" t="s">
        <v>259</v>
      </c>
      <c r="H339" s="8">
        <v>39065</v>
      </c>
      <c r="I339" s="8">
        <v>21024</v>
      </c>
      <c r="J339" s="8">
        <v>1073</v>
      </c>
      <c r="K339" s="8">
        <v>380</v>
      </c>
      <c r="L339" s="8">
        <v>139</v>
      </c>
      <c r="M339" s="9">
        <f t="shared" si="1702"/>
        <v>22616</v>
      </c>
      <c r="N339" s="8">
        <v>2036.5</v>
      </c>
      <c r="O339" s="8">
        <v>226.9</v>
      </c>
      <c r="P339" s="8">
        <v>3423.6</v>
      </c>
      <c r="Q339" s="8">
        <v>536.6</v>
      </c>
      <c r="R339" s="9">
        <f t="shared" si="1703"/>
        <v>6223.6</v>
      </c>
      <c r="S339" s="9">
        <f t="shared" si="1704"/>
        <v>28839.599999999999</v>
      </c>
      <c r="T339" s="8">
        <v>10225.4</v>
      </c>
      <c r="U339" s="10">
        <f t="shared" si="1705"/>
        <v>0.26175348777678226</v>
      </c>
      <c r="V339" s="8">
        <v>8</v>
      </c>
      <c r="W339" s="11">
        <f t="shared" si="1706"/>
        <v>2.0478689363880712E-4</v>
      </c>
      <c r="X339" s="8">
        <v>0</v>
      </c>
      <c r="Y339" s="11">
        <f t="shared" si="1707"/>
        <v>0</v>
      </c>
      <c r="Z339" s="8">
        <v>0</v>
      </c>
      <c r="AA339" s="11">
        <f t="shared" si="1708"/>
        <v>0</v>
      </c>
      <c r="AB339" s="8">
        <v>0</v>
      </c>
      <c r="AC339" s="11">
        <f t="shared" si="1709"/>
        <v>0</v>
      </c>
      <c r="AD339" s="8">
        <v>0</v>
      </c>
      <c r="AE339" s="11">
        <f t="shared" si="1710"/>
        <v>0</v>
      </c>
      <c r="AF339" s="8">
        <v>0</v>
      </c>
      <c r="AG339" s="11">
        <f t="shared" si="1711"/>
        <v>0</v>
      </c>
      <c r="AH339" s="8">
        <v>208000</v>
      </c>
      <c r="AI339" s="9">
        <f t="shared" si="1712"/>
        <v>5.3244592346089847</v>
      </c>
      <c r="AJ339" s="8">
        <v>16170</v>
      </c>
      <c r="AK339" s="11">
        <f t="shared" si="1713"/>
        <v>0.41392550876743889</v>
      </c>
      <c r="AL339" s="8">
        <v>4451012.9800000004</v>
      </c>
      <c r="AM339" s="9">
        <f t="shared" si="1714"/>
        <v>113.93864021502625</v>
      </c>
      <c r="AN339" s="8">
        <v>0</v>
      </c>
      <c r="AO339" s="8">
        <v>0</v>
      </c>
      <c r="AP339" s="8">
        <v>0</v>
      </c>
      <c r="AQ339" s="8">
        <v>0</v>
      </c>
      <c r="AR339" s="8">
        <v>9543673.6799999997</v>
      </c>
      <c r="AS339" s="8">
        <v>2435978.69</v>
      </c>
      <c r="AT339" s="8">
        <v>0</v>
      </c>
      <c r="AU339" s="9">
        <f t="shared" si="1715"/>
        <v>16638665.35</v>
      </c>
      <c r="AV339" s="9">
        <f t="shared" si="1716"/>
        <v>425.92257391526942</v>
      </c>
      <c r="AW339" s="9">
        <f t="shared" si="1717"/>
        <v>576.93814581339552</v>
      </c>
      <c r="AX339" s="8">
        <v>12</v>
      </c>
      <c r="AY339" s="9">
        <f t="shared" si="1718"/>
        <v>3.686164085498528</v>
      </c>
      <c r="AZ339" s="8">
        <v>26</v>
      </c>
      <c r="BA339" s="8">
        <v>62</v>
      </c>
      <c r="BB339" s="8">
        <v>13</v>
      </c>
      <c r="BC339" s="8">
        <v>28</v>
      </c>
      <c r="BD339" s="8">
        <v>0</v>
      </c>
      <c r="BE339" s="9">
        <f t="shared" si="1719"/>
        <v>28</v>
      </c>
      <c r="BF339" s="9">
        <f t="shared" si="1720"/>
        <v>47</v>
      </c>
      <c r="BG339" s="8">
        <v>0</v>
      </c>
      <c r="BH339" s="8">
        <v>0</v>
      </c>
      <c r="BI339" s="8">
        <v>0</v>
      </c>
      <c r="BJ339" s="8">
        <v>0</v>
      </c>
      <c r="BK339" s="9">
        <f t="shared" si="1721"/>
        <v>0</v>
      </c>
      <c r="BL339" s="9">
        <f t="shared" si="1722"/>
        <v>0</v>
      </c>
      <c r="BM339" s="8">
        <v>0</v>
      </c>
      <c r="BN339" s="8">
        <v>0</v>
      </c>
      <c r="BO339" s="8">
        <v>0</v>
      </c>
      <c r="BP339" s="8">
        <v>0</v>
      </c>
      <c r="BQ339" s="9">
        <f t="shared" si="1723"/>
        <v>0</v>
      </c>
      <c r="BR339" s="9">
        <f t="shared" si="1724"/>
        <v>0</v>
      </c>
      <c r="BS339" s="8">
        <v>0</v>
      </c>
      <c r="BT339" s="8">
        <v>0</v>
      </c>
      <c r="BU339" s="8">
        <v>0</v>
      </c>
      <c r="BV339" s="8">
        <v>0</v>
      </c>
      <c r="BW339" s="9">
        <f t="shared" si="1725"/>
        <v>0</v>
      </c>
      <c r="BX339" s="9">
        <f t="shared" si="1726"/>
        <v>0</v>
      </c>
      <c r="BY339" s="9">
        <f t="shared" si="1727"/>
        <v>62</v>
      </c>
      <c r="BZ339" s="9">
        <f t="shared" si="1728"/>
        <v>13</v>
      </c>
      <c r="CA339" s="9">
        <f t="shared" si="1729"/>
        <v>28</v>
      </c>
      <c r="CB339" s="9">
        <f t="shared" si="1730"/>
        <v>47</v>
      </c>
      <c r="CC339" s="8">
        <v>0</v>
      </c>
      <c r="CD339" s="8">
        <v>853</v>
      </c>
      <c r="CE339" s="8">
        <v>54</v>
      </c>
      <c r="CF339" s="8">
        <v>10</v>
      </c>
      <c r="CG339" s="8">
        <v>10</v>
      </c>
      <c r="CH339" s="9">
        <f t="shared" si="1731"/>
        <v>927</v>
      </c>
      <c r="CI339" s="8">
        <v>2606</v>
      </c>
      <c r="CJ339" s="8">
        <v>18</v>
      </c>
      <c r="CK339" s="8">
        <v>21</v>
      </c>
      <c r="CL339" s="8">
        <v>16</v>
      </c>
      <c r="CM339" s="9">
        <f t="shared" si="1732"/>
        <v>2661</v>
      </c>
      <c r="CN339" s="8">
        <v>255</v>
      </c>
      <c r="CO339" s="8">
        <v>39</v>
      </c>
      <c r="CP339" s="8">
        <v>73</v>
      </c>
      <c r="CQ339" s="8">
        <v>2</v>
      </c>
      <c r="CR339" s="9">
        <f t="shared" si="1733"/>
        <v>369</v>
      </c>
      <c r="CS339" s="9">
        <f t="shared" si="1734"/>
        <v>3030</v>
      </c>
      <c r="CT339" s="8">
        <v>3957</v>
      </c>
      <c r="CU339" s="8">
        <v>23099</v>
      </c>
      <c r="CV339" s="8">
        <v>19584.400000000001</v>
      </c>
      <c r="CW339" s="10">
        <f t="shared" si="1735"/>
        <v>0.84784622710939872</v>
      </c>
      <c r="CX339" s="8">
        <v>4</v>
      </c>
      <c r="CY339" s="8">
        <v>1</v>
      </c>
      <c r="CZ339" s="8">
        <v>0</v>
      </c>
      <c r="DA339" s="8">
        <v>0</v>
      </c>
      <c r="DB339" s="9">
        <f t="shared" si="1736"/>
        <v>5</v>
      </c>
      <c r="DC339" s="8">
        <v>7</v>
      </c>
      <c r="DD339" s="8">
        <v>0</v>
      </c>
      <c r="DE339" s="8">
        <v>1</v>
      </c>
      <c r="DF339" s="8">
        <v>0</v>
      </c>
      <c r="DG339" s="9">
        <f t="shared" si="1737"/>
        <v>6</v>
      </c>
      <c r="DH339" s="8">
        <v>2</v>
      </c>
      <c r="DI339" s="8">
        <v>1</v>
      </c>
      <c r="DJ339" s="8">
        <v>0</v>
      </c>
      <c r="DK339" s="8">
        <v>0</v>
      </c>
      <c r="DL339" s="9">
        <f t="shared" si="1738"/>
        <v>3</v>
      </c>
      <c r="DM339" s="8">
        <v>457</v>
      </c>
      <c r="DN339" s="8">
        <v>55</v>
      </c>
      <c r="DO339" s="8">
        <v>12</v>
      </c>
      <c r="DP339" s="8">
        <v>0</v>
      </c>
      <c r="DQ339" s="9">
        <f t="shared" si="1739"/>
        <v>500</v>
      </c>
      <c r="DR339" s="9">
        <f t="shared" si="1740"/>
        <v>470</v>
      </c>
      <c r="DS339" s="9">
        <f t="shared" si="1741"/>
        <v>57</v>
      </c>
      <c r="DT339" s="9">
        <f t="shared" si="1742"/>
        <v>13</v>
      </c>
      <c r="DU339" s="9">
        <f t="shared" si="1743"/>
        <v>0</v>
      </c>
      <c r="DV339" s="9">
        <f t="shared" si="1744"/>
        <v>514</v>
      </c>
      <c r="DW339" s="8">
        <v>37</v>
      </c>
      <c r="DX339" s="8">
        <v>15</v>
      </c>
      <c r="DY339" s="8">
        <v>7</v>
      </c>
      <c r="DZ339" s="8">
        <v>3</v>
      </c>
      <c r="EA339" s="8">
        <v>6</v>
      </c>
      <c r="EB339" s="8">
        <v>9</v>
      </c>
      <c r="EC339" s="8">
        <v>4</v>
      </c>
      <c r="ED339" s="8">
        <v>6</v>
      </c>
      <c r="EE339" s="8">
        <v>0</v>
      </c>
      <c r="EF339" s="8">
        <v>0</v>
      </c>
      <c r="EG339" s="8">
        <v>0</v>
      </c>
      <c r="EH339" s="8">
        <v>0</v>
      </c>
      <c r="EI339" s="8">
        <v>0</v>
      </c>
      <c r="EJ339" s="8">
        <v>3</v>
      </c>
      <c r="EK339" s="8">
        <v>0</v>
      </c>
      <c r="EL339" s="8">
        <v>0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8">
        <v>0</v>
      </c>
      <c r="ES339" s="8">
        <v>0</v>
      </c>
      <c r="ET339" s="8">
        <v>0</v>
      </c>
      <c r="EU339" s="8">
        <v>0</v>
      </c>
      <c r="EV339" s="8">
        <v>0</v>
      </c>
      <c r="EW339" s="8">
        <v>0</v>
      </c>
      <c r="EX339" s="8">
        <v>0</v>
      </c>
      <c r="EY339" s="8">
        <v>0</v>
      </c>
      <c r="EZ339" s="8">
        <v>0</v>
      </c>
      <c r="FA339" s="8">
        <v>0</v>
      </c>
      <c r="FB339" s="8">
        <v>0</v>
      </c>
      <c r="FC339" s="8">
        <v>0</v>
      </c>
      <c r="FD339" s="8">
        <v>0</v>
      </c>
      <c r="FE339" s="8">
        <v>0</v>
      </c>
      <c r="FF339" s="8">
        <v>0</v>
      </c>
      <c r="FG339" s="9">
        <f t="shared" si="1745"/>
        <v>90</v>
      </c>
      <c r="FH339" s="8">
        <v>0</v>
      </c>
      <c r="FI339" s="8">
        <v>0</v>
      </c>
      <c r="FJ339" s="8">
        <v>22</v>
      </c>
      <c r="FK339" s="8">
        <v>8.4499999999999993</v>
      </c>
      <c r="FL339" s="8">
        <v>0</v>
      </c>
      <c r="FM339" s="8">
        <v>0</v>
      </c>
      <c r="FN339" s="8">
        <v>0</v>
      </c>
      <c r="FO339" s="8">
        <v>0</v>
      </c>
      <c r="FP339" s="8">
        <v>0</v>
      </c>
      <c r="FQ339" s="9">
        <f t="shared" si="1746"/>
        <v>0</v>
      </c>
      <c r="FR339" s="8">
        <v>14765037.880000001</v>
      </c>
      <c r="FS339" s="8">
        <v>93500</v>
      </c>
      <c r="FT339" s="8">
        <v>678950</v>
      </c>
      <c r="FU339" s="8">
        <v>80000</v>
      </c>
      <c r="FV339" s="9">
        <f t="shared" si="1747"/>
        <v>15617487.880000001</v>
      </c>
      <c r="FW339" s="8">
        <v>2405863</v>
      </c>
      <c r="FX339" s="8">
        <v>48200</v>
      </c>
      <c r="FY339" s="8">
        <v>2625662</v>
      </c>
      <c r="FZ339" s="8">
        <v>10479621.34</v>
      </c>
      <c r="GA339" s="9">
        <f t="shared" si="1748"/>
        <v>15559346.34</v>
      </c>
      <c r="GB339" s="9">
        <f t="shared" si="1749"/>
        <v>31176834.219999999</v>
      </c>
      <c r="GC339" s="8">
        <v>19206701.02</v>
      </c>
      <c r="GD339" s="8">
        <v>205243.44</v>
      </c>
      <c r="GE339" s="8">
        <v>1242601.96</v>
      </c>
      <c r="GF339" s="8">
        <v>435253.65</v>
      </c>
      <c r="GG339" s="9">
        <f t="shared" si="1750"/>
        <v>21089800.07</v>
      </c>
      <c r="GH339" s="8">
        <v>2541680.92</v>
      </c>
      <c r="GI339" s="8">
        <v>48200</v>
      </c>
      <c r="GJ339" s="8">
        <v>10404321.34</v>
      </c>
      <c r="GK339" s="8">
        <v>2535764.59</v>
      </c>
      <c r="GL339" s="9">
        <f t="shared" si="1751"/>
        <v>15529966.85</v>
      </c>
      <c r="GM339" s="9">
        <f t="shared" si="1752"/>
        <v>36619766.920000002</v>
      </c>
      <c r="GN339" s="8">
        <v>1382381.26</v>
      </c>
      <c r="GO339" s="8">
        <v>3060.48</v>
      </c>
      <c r="GP339" s="8">
        <v>61085.52</v>
      </c>
      <c r="GQ339" s="8">
        <v>97384.14</v>
      </c>
      <c r="GR339" s="9">
        <f t="shared" si="1753"/>
        <v>1543911.4</v>
      </c>
      <c r="GS339" s="8">
        <v>2327158</v>
      </c>
      <c r="GT339" s="8">
        <v>14288</v>
      </c>
      <c r="GU339" s="8">
        <v>16074</v>
      </c>
      <c r="GV339" s="8">
        <v>18753</v>
      </c>
      <c r="GW339" s="9">
        <f t="shared" si="1754"/>
        <v>2376273</v>
      </c>
      <c r="GX339" s="9">
        <f t="shared" si="1755"/>
        <v>40539951.32</v>
      </c>
      <c r="GY339" s="8">
        <v>147482438.86999941</v>
      </c>
      <c r="GZ339" s="8">
        <v>-1849403.34</v>
      </c>
      <c r="HA339" s="9">
        <f t="shared" si="1581"/>
        <v>145633035.52999941</v>
      </c>
      <c r="HB339" s="9">
        <f t="shared" si="1756"/>
        <v>0.41042637714741093</v>
      </c>
      <c r="HC339" s="10">
        <f t="shared" si="1757"/>
        <v>0.16581447660831961</v>
      </c>
      <c r="HD339" s="9">
        <f t="shared" si="1758"/>
        <v>0.76903975473249286</v>
      </c>
      <c r="HE339" s="8">
        <v>13</v>
      </c>
      <c r="HF339" s="8">
        <v>2</v>
      </c>
      <c r="HG339" s="8">
        <v>47</v>
      </c>
      <c r="HH339" s="8">
        <v>13</v>
      </c>
      <c r="HI339" s="8">
        <v>8</v>
      </c>
      <c r="HJ339" s="9">
        <f t="shared" si="1759"/>
        <v>10</v>
      </c>
      <c r="HK339" s="10">
        <f t="shared" si="1760"/>
        <v>1</v>
      </c>
      <c r="HL339" s="8">
        <v>43</v>
      </c>
      <c r="HM339" s="8">
        <v>8</v>
      </c>
      <c r="HN339" s="11">
        <f t="shared" si="1761"/>
        <v>0.18604651162790697</v>
      </c>
    </row>
    <row r="340" spans="1:222" x14ac:dyDescent="0.3">
      <c r="A340" s="12" t="s">
        <v>295</v>
      </c>
      <c r="B340" s="12" t="s">
        <v>301</v>
      </c>
      <c r="C340" s="13" t="s">
        <v>257</v>
      </c>
      <c r="D340" s="13">
        <v>2025</v>
      </c>
      <c r="E340" s="13">
        <v>5</v>
      </c>
      <c r="F340" s="13" t="s">
        <v>260</v>
      </c>
      <c r="G340" s="13" t="s">
        <v>259</v>
      </c>
      <c r="H340" s="14">
        <v>36765</v>
      </c>
      <c r="I340" s="14">
        <v>20389</v>
      </c>
      <c r="J340" s="14">
        <v>873</v>
      </c>
      <c r="K340" s="14">
        <v>404</v>
      </c>
      <c r="L340" s="14">
        <v>121</v>
      </c>
      <c r="M340" s="15">
        <f t="shared" si="1702"/>
        <v>21787</v>
      </c>
      <c r="N340" s="14">
        <v>1819.9</v>
      </c>
      <c r="O340" s="14">
        <v>242</v>
      </c>
      <c r="P340" s="14">
        <v>1562</v>
      </c>
      <c r="Q340" s="14">
        <v>479.400000000001</v>
      </c>
      <c r="R340" s="15">
        <f t="shared" si="1703"/>
        <v>4103.3000000000011</v>
      </c>
      <c r="S340" s="15">
        <f t="shared" si="1704"/>
        <v>25890.300000000003</v>
      </c>
      <c r="T340" s="14">
        <v>10874.7</v>
      </c>
      <c r="U340" s="16">
        <f t="shared" si="1705"/>
        <v>0.29578947368421055</v>
      </c>
      <c r="V340" s="14">
        <v>10.5</v>
      </c>
      <c r="W340" s="17">
        <f t="shared" si="1706"/>
        <v>2.8559771521827828E-4</v>
      </c>
      <c r="X340" s="14">
        <v>0</v>
      </c>
      <c r="Y340" s="17">
        <f t="shared" si="1707"/>
        <v>0</v>
      </c>
      <c r="Z340" s="14">
        <v>0</v>
      </c>
      <c r="AA340" s="17">
        <f t="shared" si="1708"/>
        <v>0</v>
      </c>
      <c r="AB340" s="14">
        <v>0</v>
      </c>
      <c r="AC340" s="17">
        <f t="shared" si="1709"/>
        <v>0</v>
      </c>
      <c r="AD340" s="14">
        <v>0</v>
      </c>
      <c r="AE340" s="17">
        <f t="shared" si="1710"/>
        <v>0</v>
      </c>
      <c r="AF340" s="14">
        <v>0</v>
      </c>
      <c r="AG340" s="17">
        <f t="shared" si="1711"/>
        <v>0</v>
      </c>
      <c r="AH340" s="14">
        <v>273000</v>
      </c>
      <c r="AI340" s="15">
        <f t="shared" si="1712"/>
        <v>7.4255405956752343</v>
      </c>
      <c r="AJ340" s="14">
        <v>18839</v>
      </c>
      <c r="AK340" s="17">
        <f t="shared" si="1713"/>
        <v>0.51241670066639466</v>
      </c>
      <c r="AL340" s="14">
        <v>5180474.7010000004</v>
      </c>
      <c r="AM340" s="15">
        <f t="shared" si="1714"/>
        <v>140.90778460492317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5">
        <f t="shared" si="1715"/>
        <v>5453474.7010000004</v>
      </c>
      <c r="AV340" s="15">
        <f t="shared" si="1716"/>
        <v>148.33332520059841</v>
      </c>
      <c r="AW340" s="15">
        <f t="shared" si="1717"/>
        <v>210.63775626392896</v>
      </c>
      <c r="AX340" s="14">
        <v>12</v>
      </c>
      <c r="AY340" s="15">
        <f t="shared" si="1718"/>
        <v>3.9167686658506731</v>
      </c>
      <c r="AZ340" s="14">
        <v>26</v>
      </c>
      <c r="BA340" s="14">
        <v>47</v>
      </c>
      <c r="BB340" s="14">
        <v>17</v>
      </c>
      <c r="BC340" s="14">
        <v>23</v>
      </c>
      <c r="BD340" s="14">
        <v>0</v>
      </c>
      <c r="BE340" s="15">
        <f t="shared" si="1719"/>
        <v>23</v>
      </c>
      <c r="BF340" s="15">
        <f t="shared" si="1720"/>
        <v>41</v>
      </c>
      <c r="BG340" s="14">
        <v>0</v>
      </c>
      <c r="BH340" s="14">
        <v>0</v>
      </c>
      <c r="BI340" s="14">
        <v>0</v>
      </c>
      <c r="BJ340" s="14">
        <v>0</v>
      </c>
      <c r="BK340" s="15">
        <f t="shared" si="1721"/>
        <v>0</v>
      </c>
      <c r="BL340" s="15">
        <f t="shared" si="1722"/>
        <v>0</v>
      </c>
      <c r="BM340" s="14">
        <v>0</v>
      </c>
      <c r="BN340" s="14">
        <v>0</v>
      </c>
      <c r="BO340" s="14">
        <v>0</v>
      </c>
      <c r="BP340" s="14">
        <v>0</v>
      </c>
      <c r="BQ340" s="15">
        <f t="shared" si="1723"/>
        <v>0</v>
      </c>
      <c r="BR340" s="15">
        <f t="shared" si="1724"/>
        <v>0</v>
      </c>
      <c r="BS340" s="14">
        <v>0</v>
      </c>
      <c r="BT340" s="14">
        <v>0</v>
      </c>
      <c r="BU340" s="14">
        <v>0</v>
      </c>
      <c r="BV340" s="14">
        <v>0</v>
      </c>
      <c r="BW340" s="15">
        <f t="shared" si="1725"/>
        <v>0</v>
      </c>
      <c r="BX340" s="15">
        <f t="shared" si="1726"/>
        <v>0</v>
      </c>
      <c r="BY340" s="15">
        <f t="shared" si="1727"/>
        <v>47</v>
      </c>
      <c r="BZ340" s="15">
        <f t="shared" si="1728"/>
        <v>17</v>
      </c>
      <c r="CA340" s="15">
        <f t="shared" si="1729"/>
        <v>23</v>
      </c>
      <c r="CB340" s="15">
        <f t="shared" si="1730"/>
        <v>41</v>
      </c>
      <c r="CC340" s="14">
        <v>0</v>
      </c>
      <c r="CD340" s="14">
        <v>848</v>
      </c>
      <c r="CE340" s="14">
        <v>54</v>
      </c>
      <c r="CF340" s="14">
        <v>12</v>
      </c>
      <c r="CG340" s="14">
        <v>10</v>
      </c>
      <c r="CH340" s="15">
        <f t="shared" si="1731"/>
        <v>924</v>
      </c>
      <c r="CI340" s="14">
        <v>2636</v>
      </c>
      <c r="CJ340" s="14">
        <v>18</v>
      </c>
      <c r="CK340" s="14">
        <v>19</v>
      </c>
      <c r="CL340" s="14">
        <v>16</v>
      </c>
      <c r="CM340" s="15">
        <f t="shared" si="1732"/>
        <v>2689</v>
      </c>
      <c r="CN340" s="14">
        <v>253</v>
      </c>
      <c r="CO340" s="14">
        <v>39</v>
      </c>
      <c r="CP340" s="14">
        <v>73</v>
      </c>
      <c r="CQ340" s="14">
        <v>2</v>
      </c>
      <c r="CR340" s="15">
        <f t="shared" si="1733"/>
        <v>367</v>
      </c>
      <c r="CS340" s="15">
        <f t="shared" si="1734"/>
        <v>3056</v>
      </c>
      <c r="CT340" s="14">
        <v>3980</v>
      </c>
      <c r="CU340" s="14">
        <v>23155</v>
      </c>
      <c r="CV340" s="14">
        <v>19584.400000000001</v>
      </c>
      <c r="CW340" s="16">
        <f t="shared" si="1735"/>
        <v>0.84579572446555829</v>
      </c>
      <c r="CX340" s="14">
        <v>5</v>
      </c>
      <c r="CY340" s="14">
        <v>0</v>
      </c>
      <c r="CZ340" s="14">
        <v>1</v>
      </c>
      <c r="DA340" s="14">
        <v>0</v>
      </c>
      <c r="DB340" s="15">
        <f t="shared" si="1736"/>
        <v>4</v>
      </c>
      <c r="DC340" s="14">
        <v>6</v>
      </c>
      <c r="DD340" s="14">
        <v>0</v>
      </c>
      <c r="DE340" s="14">
        <v>0</v>
      </c>
      <c r="DF340" s="14">
        <v>0</v>
      </c>
      <c r="DG340" s="15">
        <f t="shared" si="1737"/>
        <v>6</v>
      </c>
      <c r="DH340" s="14">
        <v>3</v>
      </c>
      <c r="DI340" s="14">
        <v>0</v>
      </c>
      <c r="DJ340" s="14">
        <v>0</v>
      </c>
      <c r="DK340" s="14">
        <v>0</v>
      </c>
      <c r="DL340" s="15">
        <f t="shared" si="1738"/>
        <v>3</v>
      </c>
      <c r="DM340" s="14">
        <v>500</v>
      </c>
      <c r="DN340" s="14">
        <v>56</v>
      </c>
      <c r="DO340" s="14">
        <v>6</v>
      </c>
      <c r="DP340" s="14">
        <v>0</v>
      </c>
      <c r="DQ340" s="15">
        <f t="shared" si="1739"/>
        <v>550</v>
      </c>
      <c r="DR340" s="15">
        <f t="shared" si="1740"/>
        <v>514</v>
      </c>
      <c r="DS340" s="15">
        <f t="shared" si="1741"/>
        <v>56</v>
      </c>
      <c r="DT340" s="15">
        <f t="shared" si="1742"/>
        <v>7</v>
      </c>
      <c r="DU340" s="15">
        <f t="shared" si="1743"/>
        <v>0</v>
      </c>
      <c r="DV340" s="15">
        <f t="shared" si="1744"/>
        <v>563</v>
      </c>
      <c r="DW340" s="14">
        <v>31</v>
      </c>
      <c r="DX340" s="14">
        <v>18</v>
      </c>
      <c r="DY340" s="14">
        <v>7</v>
      </c>
      <c r="DZ340" s="14">
        <v>4</v>
      </c>
      <c r="EA340" s="14">
        <v>7</v>
      </c>
      <c r="EB340" s="14">
        <v>10</v>
      </c>
      <c r="EC340" s="14">
        <v>5</v>
      </c>
      <c r="ED340" s="14">
        <v>4</v>
      </c>
      <c r="EE340" s="14">
        <v>0</v>
      </c>
      <c r="EF340" s="14">
        <v>0</v>
      </c>
      <c r="EG340" s="14">
        <v>0</v>
      </c>
      <c r="EH340" s="14">
        <v>0</v>
      </c>
      <c r="EI340" s="14">
        <v>0</v>
      </c>
      <c r="EJ340" s="14">
        <v>6</v>
      </c>
      <c r="EK340" s="14">
        <v>0</v>
      </c>
      <c r="EL340" s="14">
        <v>0</v>
      </c>
      <c r="EM340" s="14">
        <v>0</v>
      </c>
      <c r="EN340" s="14">
        <v>0</v>
      </c>
      <c r="EO340" s="14">
        <v>0</v>
      </c>
      <c r="EP340" s="14">
        <v>0</v>
      </c>
      <c r="EQ340" s="14">
        <v>0</v>
      </c>
      <c r="ER340" s="14">
        <v>0</v>
      </c>
      <c r="ES340" s="14">
        <v>0</v>
      </c>
      <c r="ET340" s="14">
        <v>0</v>
      </c>
      <c r="EU340" s="14">
        <v>0</v>
      </c>
      <c r="EV340" s="14">
        <v>0</v>
      </c>
      <c r="EW340" s="14">
        <v>0</v>
      </c>
      <c r="EX340" s="14">
        <v>0</v>
      </c>
      <c r="EY340" s="14">
        <v>0</v>
      </c>
      <c r="EZ340" s="14">
        <v>0</v>
      </c>
      <c r="FA340" s="14">
        <v>0</v>
      </c>
      <c r="FB340" s="14">
        <v>0</v>
      </c>
      <c r="FC340" s="14">
        <v>0</v>
      </c>
      <c r="FD340" s="14">
        <v>0</v>
      </c>
      <c r="FE340" s="14">
        <v>0</v>
      </c>
      <c r="FF340" s="14">
        <v>0</v>
      </c>
      <c r="FG340" s="15">
        <f t="shared" si="1745"/>
        <v>92</v>
      </c>
      <c r="FH340" s="14">
        <v>0</v>
      </c>
      <c r="FI340" s="14">
        <v>0</v>
      </c>
      <c r="FJ340" s="14">
        <v>21</v>
      </c>
      <c r="FK340" s="14">
        <v>18.2</v>
      </c>
      <c r="FL340" s="14">
        <v>0</v>
      </c>
      <c r="FM340" s="14">
        <v>0</v>
      </c>
      <c r="FN340" s="14">
        <v>0</v>
      </c>
      <c r="FO340" s="14">
        <v>0</v>
      </c>
      <c r="FP340" s="14">
        <v>0</v>
      </c>
      <c r="FQ340" s="15">
        <f t="shared" si="1746"/>
        <v>0</v>
      </c>
      <c r="FR340" s="14">
        <v>52330841.639999941</v>
      </c>
      <c r="FS340" s="14">
        <v>357100</v>
      </c>
      <c r="FT340" s="14">
        <v>1001480.54</v>
      </c>
      <c r="FU340" s="14">
        <v>668917.22</v>
      </c>
      <c r="FV340" s="15">
        <f t="shared" si="1747"/>
        <v>54358339.399999939</v>
      </c>
      <c r="FW340" s="14">
        <v>2290450</v>
      </c>
      <c r="FX340" s="14">
        <v>51400</v>
      </c>
      <c r="FY340" s="14">
        <v>2267000</v>
      </c>
      <c r="FZ340" s="14">
        <v>4749550</v>
      </c>
      <c r="GA340" s="15">
        <f t="shared" si="1748"/>
        <v>9358400</v>
      </c>
      <c r="GB340" s="15">
        <f t="shared" si="1749"/>
        <v>63716739.399999939</v>
      </c>
      <c r="GC340" s="14">
        <v>18635170.879999999</v>
      </c>
      <c r="GD340" s="14">
        <v>166987.44</v>
      </c>
      <c r="GE340" s="14">
        <v>1308360.08</v>
      </c>
      <c r="GF340" s="14">
        <v>363843.65</v>
      </c>
      <c r="GG340" s="15">
        <f t="shared" si="1750"/>
        <v>20474362.049999997</v>
      </c>
      <c r="GH340" s="14">
        <v>2270550</v>
      </c>
      <c r="GI340" s="14">
        <v>51400</v>
      </c>
      <c r="GJ340" s="14">
        <v>4746550</v>
      </c>
      <c r="GK340" s="14">
        <v>2264420</v>
      </c>
      <c r="GL340" s="15">
        <f t="shared" si="1751"/>
        <v>9332920</v>
      </c>
      <c r="GM340" s="15">
        <f t="shared" si="1752"/>
        <v>29807282.049999997</v>
      </c>
      <c r="GN340" s="14">
        <v>1398073.76</v>
      </c>
      <c r="GO340" s="14">
        <v>3060.48</v>
      </c>
      <c r="GP340" s="14">
        <v>61085.52</v>
      </c>
      <c r="GQ340" s="14">
        <v>88109.46</v>
      </c>
      <c r="GR340" s="15">
        <f t="shared" si="1753"/>
        <v>1550329.22</v>
      </c>
      <c r="GS340" s="14">
        <v>2353948</v>
      </c>
      <c r="GT340" s="14">
        <v>14288</v>
      </c>
      <c r="GU340" s="14">
        <v>16074</v>
      </c>
      <c r="GV340" s="14">
        <v>16967</v>
      </c>
      <c r="GW340" s="15">
        <f t="shared" si="1754"/>
        <v>2401277</v>
      </c>
      <c r="GX340" s="15">
        <f t="shared" si="1755"/>
        <v>33758888.269999996</v>
      </c>
      <c r="GY340" s="14">
        <v>117396282.7299999</v>
      </c>
      <c r="GZ340" s="14">
        <v>-1753491.99</v>
      </c>
      <c r="HA340" s="9">
        <f t="shared" si="1581"/>
        <v>115642790.73999991</v>
      </c>
      <c r="HB340" s="15">
        <f t="shared" si="1756"/>
        <v>0.16154189253460274</v>
      </c>
      <c r="HC340" s="16">
        <f t="shared" si="1757"/>
        <v>0.421531985829317</v>
      </c>
      <c r="HD340" s="15">
        <f t="shared" si="1758"/>
        <v>1.8874063295686825</v>
      </c>
      <c r="HE340" s="14">
        <v>17</v>
      </c>
      <c r="HF340" s="14">
        <v>2</v>
      </c>
      <c r="HG340" s="14">
        <v>41</v>
      </c>
      <c r="HH340" s="14">
        <v>17</v>
      </c>
      <c r="HI340" s="14">
        <v>6</v>
      </c>
      <c r="HJ340" s="15">
        <f t="shared" si="1759"/>
        <v>8</v>
      </c>
      <c r="HK340" s="16">
        <f t="shared" si="1760"/>
        <v>1</v>
      </c>
      <c r="HL340" s="14">
        <v>30</v>
      </c>
      <c r="HM340" s="14">
        <v>9</v>
      </c>
      <c r="HN340" s="17">
        <f t="shared" si="1761"/>
        <v>0.3</v>
      </c>
    </row>
    <row r="341" spans="1:222" x14ac:dyDescent="0.3">
      <c r="A341" s="6" t="s">
        <v>295</v>
      </c>
      <c r="B341" s="6" t="s">
        <v>301</v>
      </c>
      <c r="C341" s="7" t="s">
        <v>257</v>
      </c>
      <c r="D341" s="7">
        <v>2025</v>
      </c>
      <c r="E341" s="7">
        <v>6</v>
      </c>
      <c r="F341" s="7" t="s">
        <v>261</v>
      </c>
      <c r="G341" s="7" t="s">
        <v>259</v>
      </c>
      <c r="H341" s="8">
        <v>30857</v>
      </c>
      <c r="I341" s="8">
        <v>19389</v>
      </c>
      <c r="J341" s="8">
        <v>681</v>
      </c>
      <c r="K341" s="8">
        <v>462</v>
      </c>
      <c r="L341" s="8">
        <v>122</v>
      </c>
      <c r="M341" s="9">
        <f t="shared" si="1702"/>
        <v>20654</v>
      </c>
      <c r="N341" s="8">
        <v>1523.5</v>
      </c>
      <c r="O341" s="8">
        <v>219.8</v>
      </c>
      <c r="P341" s="8">
        <v>1161</v>
      </c>
      <c r="Q341" s="8">
        <v>510.5</v>
      </c>
      <c r="R341" s="9">
        <f t="shared" si="1703"/>
        <v>3414.8</v>
      </c>
      <c r="S341" s="9">
        <f t="shared" si="1704"/>
        <v>24068.799999999999</v>
      </c>
      <c r="T341" s="8">
        <v>6788.2</v>
      </c>
      <c r="U341" s="10">
        <f t="shared" si="1705"/>
        <v>0.21998898143046958</v>
      </c>
      <c r="V341" s="8">
        <v>10</v>
      </c>
      <c r="W341" s="11">
        <f t="shared" si="1706"/>
        <v>3.2407557442395567E-4</v>
      </c>
      <c r="X341" s="8">
        <v>0</v>
      </c>
      <c r="Y341" s="11">
        <f t="shared" si="1707"/>
        <v>0</v>
      </c>
      <c r="Z341" s="8">
        <v>0</v>
      </c>
      <c r="AA341" s="11">
        <f t="shared" si="1708"/>
        <v>0</v>
      </c>
      <c r="AB341" s="8">
        <v>0</v>
      </c>
      <c r="AC341" s="11">
        <f t="shared" si="1709"/>
        <v>0</v>
      </c>
      <c r="AD341" s="8">
        <v>0</v>
      </c>
      <c r="AE341" s="11">
        <f t="shared" si="1710"/>
        <v>0</v>
      </c>
      <c r="AF341" s="8">
        <v>0</v>
      </c>
      <c r="AG341" s="11">
        <f t="shared" si="1711"/>
        <v>0</v>
      </c>
      <c r="AH341" s="8">
        <v>260000</v>
      </c>
      <c r="AI341" s="9">
        <f t="shared" si="1712"/>
        <v>8.4259649350228472</v>
      </c>
      <c r="AJ341" s="8">
        <v>17273</v>
      </c>
      <c r="AK341" s="11">
        <f t="shared" si="1713"/>
        <v>0.55977573970249861</v>
      </c>
      <c r="AL341" s="8">
        <v>4752472.807</v>
      </c>
      <c r="AM341" s="9">
        <f t="shared" si="1714"/>
        <v>154.0160354862754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9">
        <f t="shared" si="1715"/>
        <v>5012472.807</v>
      </c>
      <c r="AV341" s="9">
        <f t="shared" si="1716"/>
        <v>162.44200042129825</v>
      </c>
      <c r="AW341" s="9">
        <f t="shared" si="1717"/>
        <v>208.25603299707507</v>
      </c>
      <c r="AX341" s="8">
        <v>12</v>
      </c>
      <c r="AY341" s="9">
        <f t="shared" si="1718"/>
        <v>4.6666882717049623</v>
      </c>
      <c r="AZ341" s="8">
        <v>28</v>
      </c>
      <c r="BA341" s="8">
        <v>41</v>
      </c>
      <c r="BB341" s="8">
        <v>17</v>
      </c>
      <c r="BC341" s="8">
        <v>11</v>
      </c>
      <c r="BD341" s="8">
        <v>0</v>
      </c>
      <c r="BE341" s="9">
        <f t="shared" si="1719"/>
        <v>11</v>
      </c>
      <c r="BF341" s="9">
        <f t="shared" si="1720"/>
        <v>47</v>
      </c>
      <c r="BG341" s="8">
        <v>0</v>
      </c>
      <c r="BH341" s="8">
        <v>0</v>
      </c>
      <c r="BI341" s="8">
        <v>0</v>
      </c>
      <c r="BJ341" s="8">
        <v>0</v>
      </c>
      <c r="BK341" s="9">
        <f t="shared" si="1721"/>
        <v>0</v>
      </c>
      <c r="BL341" s="9">
        <f t="shared" si="1722"/>
        <v>0</v>
      </c>
      <c r="BM341" s="8">
        <v>0</v>
      </c>
      <c r="BN341" s="8">
        <v>0</v>
      </c>
      <c r="BO341" s="8">
        <v>0</v>
      </c>
      <c r="BP341" s="8">
        <v>0</v>
      </c>
      <c r="BQ341" s="9">
        <f t="shared" si="1723"/>
        <v>0</v>
      </c>
      <c r="BR341" s="9">
        <f t="shared" si="1724"/>
        <v>0</v>
      </c>
      <c r="BS341" s="8">
        <v>0</v>
      </c>
      <c r="BT341" s="8">
        <v>0</v>
      </c>
      <c r="BU341" s="8">
        <v>0</v>
      </c>
      <c r="BV341" s="8">
        <v>0</v>
      </c>
      <c r="BW341" s="9">
        <f t="shared" si="1725"/>
        <v>0</v>
      </c>
      <c r="BX341" s="9">
        <f t="shared" si="1726"/>
        <v>0</v>
      </c>
      <c r="BY341" s="9">
        <f t="shared" si="1727"/>
        <v>41</v>
      </c>
      <c r="BZ341" s="9">
        <f t="shared" si="1728"/>
        <v>17</v>
      </c>
      <c r="CA341" s="9">
        <f t="shared" si="1729"/>
        <v>11</v>
      </c>
      <c r="CB341" s="9">
        <f t="shared" si="1730"/>
        <v>47</v>
      </c>
      <c r="CC341" s="8">
        <v>2</v>
      </c>
      <c r="CD341" s="8">
        <v>838</v>
      </c>
      <c r="CE341" s="8">
        <v>52</v>
      </c>
      <c r="CF341" s="8">
        <v>12</v>
      </c>
      <c r="CG341" s="8">
        <v>10</v>
      </c>
      <c r="CH341" s="9">
        <f t="shared" si="1731"/>
        <v>912</v>
      </c>
      <c r="CI341" s="8">
        <v>2656</v>
      </c>
      <c r="CJ341" s="8">
        <v>19</v>
      </c>
      <c r="CK341" s="8">
        <v>19</v>
      </c>
      <c r="CL341" s="8">
        <v>16</v>
      </c>
      <c r="CM341" s="9">
        <f t="shared" si="1732"/>
        <v>2710</v>
      </c>
      <c r="CN341" s="8">
        <v>254</v>
      </c>
      <c r="CO341" s="8">
        <v>40</v>
      </c>
      <c r="CP341" s="8">
        <v>73</v>
      </c>
      <c r="CQ341" s="8">
        <v>2</v>
      </c>
      <c r="CR341" s="9">
        <f t="shared" si="1733"/>
        <v>369</v>
      </c>
      <c r="CS341" s="9">
        <f t="shared" si="1734"/>
        <v>3079</v>
      </c>
      <c r="CT341" s="8">
        <v>3991</v>
      </c>
      <c r="CU341" s="8">
        <v>23211</v>
      </c>
      <c r="CV341" s="8">
        <v>19631.3</v>
      </c>
      <c r="CW341" s="10">
        <f t="shared" si="1735"/>
        <v>0.84577570979277061</v>
      </c>
      <c r="CX341" s="8">
        <v>4</v>
      </c>
      <c r="CY341" s="8">
        <v>2</v>
      </c>
      <c r="CZ341" s="8">
        <v>2</v>
      </c>
      <c r="DA341" s="8">
        <v>0</v>
      </c>
      <c r="DB341" s="9">
        <f t="shared" si="1736"/>
        <v>4</v>
      </c>
      <c r="DC341" s="8">
        <v>6</v>
      </c>
      <c r="DD341" s="8">
        <v>1</v>
      </c>
      <c r="DE341" s="8">
        <v>0</v>
      </c>
      <c r="DF341" s="8">
        <v>0</v>
      </c>
      <c r="DG341" s="9">
        <f t="shared" si="1737"/>
        <v>7</v>
      </c>
      <c r="DH341" s="8">
        <v>3</v>
      </c>
      <c r="DI341" s="8">
        <v>0</v>
      </c>
      <c r="DJ341" s="8">
        <v>0</v>
      </c>
      <c r="DK341" s="8">
        <v>0</v>
      </c>
      <c r="DL341" s="9">
        <f t="shared" si="1738"/>
        <v>3</v>
      </c>
      <c r="DM341" s="8">
        <v>550</v>
      </c>
      <c r="DN341" s="8">
        <v>8</v>
      </c>
      <c r="DO341" s="8">
        <v>10</v>
      </c>
      <c r="DP341" s="8">
        <v>0</v>
      </c>
      <c r="DQ341" s="9">
        <f t="shared" si="1739"/>
        <v>548</v>
      </c>
      <c r="DR341" s="9">
        <f t="shared" si="1740"/>
        <v>563</v>
      </c>
      <c r="DS341" s="9">
        <f t="shared" si="1741"/>
        <v>11</v>
      </c>
      <c r="DT341" s="9">
        <f t="shared" si="1742"/>
        <v>12</v>
      </c>
      <c r="DU341" s="9">
        <f t="shared" si="1743"/>
        <v>0</v>
      </c>
      <c r="DV341" s="9">
        <f t="shared" si="1744"/>
        <v>562</v>
      </c>
      <c r="DW341" s="8">
        <v>35</v>
      </c>
      <c r="DX341" s="8">
        <v>23</v>
      </c>
      <c r="DY341" s="8">
        <v>3</v>
      </c>
      <c r="DZ341" s="8">
        <v>6</v>
      </c>
      <c r="EA341" s="8">
        <v>5</v>
      </c>
      <c r="EB341" s="8">
        <v>4</v>
      </c>
      <c r="EC341" s="8">
        <v>5</v>
      </c>
      <c r="ED341" s="8">
        <v>5</v>
      </c>
      <c r="EE341" s="8">
        <v>0</v>
      </c>
      <c r="EF341" s="8">
        <v>1</v>
      </c>
      <c r="EG341" s="8">
        <v>0</v>
      </c>
      <c r="EH341" s="8">
        <v>0</v>
      </c>
      <c r="EI341" s="8">
        <v>0</v>
      </c>
      <c r="EJ341" s="8">
        <v>5</v>
      </c>
      <c r="EK341" s="8">
        <v>0</v>
      </c>
      <c r="EL341" s="8">
        <v>0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8">
        <v>0</v>
      </c>
      <c r="ES341" s="8">
        <v>0</v>
      </c>
      <c r="ET341" s="8">
        <v>0</v>
      </c>
      <c r="EU341" s="8">
        <v>0</v>
      </c>
      <c r="EV341" s="8">
        <v>0</v>
      </c>
      <c r="EW341" s="8">
        <v>0</v>
      </c>
      <c r="EX341" s="8">
        <v>0</v>
      </c>
      <c r="EY341" s="8">
        <v>0</v>
      </c>
      <c r="EZ341" s="8">
        <v>0</v>
      </c>
      <c r="FA341" s="8">
        <v>0</v>
      </c>
      <c r="FB341" s="8">
        <v>0</v>
      </c>
      <c r="FC341" s="8">
        <v>0</v>
      </c>
      <c r="FD341" s="8">
        <v>0</v>
      </c>
      <c r="FE341" s="8">
        <v>0</v>
      </c>
      <c r="FF341" s="8">
        <v>0</v>
      </c>
      <c r="FG341" s="9">
        <f t="shared" si="1745"/>
        <v>92</v>
      </c>
      <c r="FH341" s="8">
        <v>0</v>
      </c>
      <c r="FI341" s="8">
        <v>0</v>
      </c>
      <c r="FJ341" s="8">
        <v>20</v>
      </c>
      <c r="FK341" s="8">
        <v>27.92</v>
      </c>
      <c r="FL341" s="8">
        <v>0</v>
      </c>
      <c r="FM341" s="8">
        <v>0</v>
      </c>
      <c r="FN341" s="8">
        <v>0</v>
      </c>
      <c r="FO341" s="8">
        <v>0</v>
      </c>
      <c r="FP341" s="8">
        <v>0</v>
      </c>
      <c r="FQ341" s="9">
        <f t="shared" si="1746"/>
        <v>0</v>
      </c>
      <c r="FR341" s="8">
        <v>17339940.18</v>
      </c>
      <c r="FS341" s="8">
        <v>225950</v>
      </c>
      <c r="FT341" s="8">
        <v>310167.21999999997</v>
      </c>
      <c r="FU341" s="8">
        <v>133800</v>
      </c>
      <c r="FV341" s="9">
        <f t="shared" si="1747"/>
        <v>18009857.399999999</v>
      </c>
      <c r="FW341" s="8">
        <v>1925955.36</v>
      </c>
      <c r="FX341" s="8">
        <v>46700</v>
      </c>
      <c r="FY341" s="8">
        <v>2435599</v>
      </c>
      <c r="FZ341" s="8">
        <v>3556400</v>
      </c>
      <c r="GA341" s="9">
        <f t="shared" si="1748"/>
        <v>7964654.3600000003</v>
      </c>
      <c r="GB341" s="9">
        <f t="shared" si="1749"/>
        <v>25974511.759999998</v>
      </c>
      <c r="GC341" s="8">
        <v>17865962.359999999</v>
      </c>
      <c r="GD341" s="8">
        <v>130261.68</v>
      </c>
      <c r="GE341" s="8">
        <v>1479064.15</v>
      </c>
      <c r="GF341" s="8">
        <v>358647.39</v>
      </c>
      <c r="GG341" s="9">
        <f t="shared" si="1750"/>
        <v>19833935.579999998</v>
      </c>
      <c r="GH341" s="8">
        <v>1900199.31</v>
      </c>
      <c r="GI341" s="8">
        <v>46700</v>
      </c>
      <c r="GJ341" s="8">
        <v>3528200</v>
      </c>
      <c r="GK341" s="8">
        <v>2417599</v>
      </c>
      <c r="GL341" s="9">
        <f t="shared" si="1751"/>
        <v>7892698.3100000005</v>
      </c>
      <c r="GM341" s="9">
        <f t="shared" si="1752"/>
        <v>27726633.890000001</v>
      </c>
      <c r="GN341" s="8">
        <v>1408972.36</v>
      </c>
      <c r="GO341" s="8">
        <v>3060.48</v>
      </c>
      <c r="GP341" s="8">
        <v>64479.16</v>
      </c>
      <c r="GQ341" s="8">
        <v>88109.46</v>
      </c>
      <c r="GR341" s="9">
        <f t="shared" si="1753"/>
        <v>1564621.46</v>
      </c>
      <c r="GS341" s="8">
        <v>2371808</v>
      </c>
      <c r="GT341" s="8">
        <v>14288</v>
      </c>
      <c r="GU341" s="8">
        <v>16967</v>
      </c>
      <c r="GV341" s="8">
        <v>16967</v>
      </c>
      <c r="GW341" s="9">
        <f t="shared" si="1754"/>
        <v>2420030</v>
      </c>
      <c r="GX341" s="9">
        <f t="shared" si="1755"/>
        <v>31711285.350000001</v>
      </c>
      <c r="GY341" s="8">
        <v>122121067.44999979</v>
      </c>
      <c r="GZ341" s="8">
        <v>-1715030.11</v>
      </c>
      <c r="HA341" s="9">
        <f t="shared" ref="HA341:HA372" si="1762">GY341+GZ341</f>
        <v>120406037.33999979</v>
      </c>
      <c r="HB341" s="9">
        <f t="shared" si="1756"/>
        <v>0.15806589836006127</v>
      </c>
      <c r="HC341" s="10">
        <f t="shared" si="1757"/>
        <v>0.16884947338593934</v>
      </c>
      <c r="HD341" s="9">
        <f t="shared" si="1758"/>
        <v>0.81909362781474249</v>
      </c>
      <c r="HE341" s="8">
        <v>17</v>
      </c>
      <c r="HF341" s="8">
        <v>2</v>
      </c>
      <c r="HG341" s="8">
        <v>47</v>
      </c>
      <c r="HH341" s="8">
        <v>17</v>
      </c>
      <c r="HI341" s="8">
        <v>2</v>
      </c>
      <c r="HJ341" s="9">
        <f t="shared" si="1759"/>
        <v>4</v>
      </c>
      <c r="HK341" s="10">
        <f t="shared" si="1760"/>
        <v>1</v>
      </c>
      <c r="HL341" s="8">
        <v>16</v>
      </c>
      <c r="HM341" s="8">
        <v>4</v>
      </c>
      <c r="HN341" s="11">
        <f t="shared" si="1761"/>
        <v>0.25</v>
      </c>
    </row>
    <row r="342" spans="1:222" x14ac:dyDescent="0.3">
      <c r="A342" s="12" t="s">
        <v>295</v>
      </c>
      <c r="B342" s="12" t="s">
        <v>301</v>
      </c>
      <c r="C342" s="13" t="s">
        <v>257</v>
      </c>
      <c r="D342" s="13">
        <v>2025</v>
      </c>
      <c r="E342" s="13">
        <v>7</v>
      </c>
      <c r="F342" s="13" t="s">
        <v>262</v>
      </c>
      <c r="G342" s="13" t="s">
        <v>263</v>
      </c>
      <c r="H342" s="14">
        <v>36537</v>
      </c>
      <c r="I342" s="14">
        <v>18532</v>
      </c>
      <c r="J342" s="14">
        <v>737</v>
      </c>
      <c r="K342" s="14">
        <v>272</v>
      </c>
      <c r="L342" s="14">
        <v>325</v>
      </c>
      <c r="M342" s="15">
        <f t="shared" si="1702"/>
        <v>19866</v>
      </c>
      <c r="N342" s="14">
        <v>1632.9</v>
      </c>
      <c r="O342" s="14">
        <v>208.4</v>
      </c>
      <c r="P342" s="14">
        <v>2810.9</v>
      </c>
      <c r="Q342" s="14">
        <v>565.9</v>
      </c>
      <c r="R342" s="15">
        <f t="shared" si="1703"/>
        <v>5218.1000000000004</v>
      </c>
      <c r="S342" s="15">
        <f t="shared" si="1704"/>
        <v>25084.1</v>
      </c>
      <c r="T342" s="14">
        <v>11452.9</v>
      </c>
      <c r="U342" s="16">
        <f t="shared" si="1705"/>
        <v>0.31346032788679967</v>
      </c>
      <c r="V342" s="14">
        <v>15.5</v>
      </c>
      <c r="W342" s="17">
        <f t="shared" si="1706"/>
        <v>4.2422749541560611E-4</v>
      </c>
      <c r="X342" s="14">
        <v>0</v>
      </c>
      <c r="Y342" s="17">
        <f t="shared" si="1707"/>
        <v>0</v>
      </c>
      <c r="Z342" s="14">
        <v>0</v>
      </c>
      <c r="AA342" s="17">
        <f t="shared" si="1708"/>
        <v>0</v>
      </c>
      <c r="AB342" s="14">
        <v>0</v>
      </c>
      <c r="AC342" s="17">
        <f t="shared" si="1709"/>
        <v>0</v>
      </c>
      <c r="AD342" s="14">
        <v>0</v>
      </c>
      <c r="AE342" s="17">
        <f t="shared" si="1710"/>
        <v>0</v>
      </c>
      <c r="AF342" s="14">
        <v>0</v>
      </c>
      <c r="AG342" s="17">
        <f t="shared" si="1711"/>
        <v>0</v>
      </c>
      <c r="AH342" s="14">
        <v>403000</v>
      </c>
      <c r="AI342" s="15">
        <f t="shared" si="1712"/>
        <v>11.029914880805759</v>
      </c>
      <c r="AJ342" s="14">
        <v>18981</v>
      </c>
      <c r="AK342" s="17">
        <f t="shared" si="1713"/>
        <v>0.51950078003120126</v>
      </c>
      <c r="AL342" s="14">
        <v>5219284.5789999999</v>
      </c>
      <c r="AM342" s="15">
        <f t="shared" si="1714"/>
        <v>142.84929192325586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5">
        <f t="shared" si="1715"/>
        <v>5622284.5789999999</v>
      </c>
      <c r="AV342" s="15">
        <f t="shared" si="1716"/>
        <v>153.87920680406162</v>
      </c>
      <c r="AW342" s="15">
        <f t="shared" si="1717"/>
        <v>224.13738499687054</v>
      </c>
      <c r="AX342" s="14">
        <v>12</v>
      </c>
      <c r="AY342" s="15">
        <f t="shared" si="1718"/>
        <v>3.9412102799901469</v>
      </c>
      <c r="AZ342" s="14">
        <v>28</v>
      </c>
      <c r="BA342" s="14">
        <v>47</v>
      </c>
      <c r="BB342" s="14">
        <v>19</v>
      </c>
      <c r="BC342" s="14">
        <v>29</v>
      </c>
      <c r="BD342" s="14">
        <v>0</v>
      </c>
      <c r="BE342" s="15">
        <f t="shared" si="1719"/>
        <v>29</v>
      </c>
      <c r="BF342" s="15">
        <f t="shared" si="1720"/>
        <v>37</v>
      </c>
      <c r="BG342" s="14">
        <v>0</v>
      </c>
      <c r="BH342" s="14">
        <v>0</v>
      </c>
      <c r="BI342" s="14">
        <v>0</v>
      </c>
      <c r="BJ342" s="14">
        <v>0</v>
      </c>
      <c r="BK342" s="15">
        <f t="shared" si="1721"/>
        <v>0</v>
      </c>
      <c r="BL342" s="15">
        <f t="shared" si="1722"/>
        <v>0</v>
      </c>
      <c r="BM342" s="14">
        <v>0</v>
      </c>
      <c r="BN342" s="14">
        <v>0</v>
      </c>
      <c r="BO342" s="14">
        <v>0</v>
      </c>
      <c r="BP342" s="14">
        <v>0</v>
      </c>
      <c r="BQ342" s="15">
        <f t="shared" si="1723"/>
        <v>0</v>
      </c>
      <c r="BR342" s="15">
        <f t="shared" si="1724"/>
        <v>0</v>
      </c>
      <c r="BS342" s="14">
        <v>0</v>
      </c>
      <c r="BT342" s="14">
        <v>0</v>
      </c>
      <c r="BU342" s="14">
        <v>0</v>
      </c>
      <c r="BV342" s="14">
        <v>0</v>
      </c>
      <c r="BW342" s="15">
        <f t="shared" si="1725"/>
        <v>0</v>
      </c>
      <c r="BX342" s="15">
        <f t="shared" si="1726"/>
        <v>0</v>
      </c>
      <c r="BY342" s="15">
        <f t="shared" si="1727"/>
        <v>47</v>
      </c>
      <c r="BZ342" s="15">
        <f t="shared" si="1728"/>
        <v>19</v>
      </c>
      <c r="CA342" s="15">
        <f t="shared" si="1729"/>
        <v>29</v>
      </c>
      <c r="CB342" s="15">
        <f t="shared" si="1730"/>
        <v>37</v>
      </c>
      <c r="CC342" s="14">
        <v>0</v>
      </c>
      <c r="CD342" s="14">
        <v>937</v>
      </c>
      <c r="CE342" s="14">
        <v>53</v>
      </c>
      <c r="CF342" s="14">
        <v>10</v>
      </c>
      <c r="CG342" s="14">
        <v>10</v>
      </c>
      <c r="CH342" s="15">
        <f t="shared" si="1731"/>
        <v>1010</v>
      </c>
      <c r="CI342" s="14">
        <v>2586</v>
      </c>
      <c r="CJ342" s="14">
        <v>18</v>
      </c>
      <c r="CK342" s="14">
        <v>21</v>
      </c>
      <c r="CL342" s="14">
        <v>16</v>
      </c>
      <c r="CM342" s="15">
        <f t="shared" si="1732"/>
        <v>2641</v>
      </c>
      <c r="CN342" s="14">
        <v>254</v>
      </c>
      <c r="CO342" s="14">
        <v>40</v>
      </c>
      <c r="CP342" s="14">
        <v>73</v>
      </c>
      <c r="CQ342" s="14">
        <v>2</v>
      </c>
      <c r="CR342" s="15">
        <f t="shared" si="1733"/>
        <v>369</v>
      </c>
      <c r="CS342" s="15">
        <f t="shared" si="1734"/>
        <v>3010</v>
      </c>
      <c r="CT342" s="14">
        <v>4020</v>
      </c>
      <c r="CU342" s="14">
        <v>23267</v>
      </c>
      <c r="CV342" s="14">
        <v>19755.7</v>
      </c>
      <c r="CW342" s="16">
        <f t="shared" si="1735"/>
        <v>0.84908668930244557</v>
      </c>
      <c r="CX342" s="14">
        <v>4</v>
      </c>
      <c r="CY342" s="14">
        <v>0</v>
      </c>
      <c r="CZ342" s="14">
        <v>0</v>
      </c>
      <c r="DA342" s="14">
        <v>0</v>
      </c>
      <c r="DB342" s="15">
        <f t="shared" si="1736"/>
        <v>4</v>
      </c>
      <c r="DC342" s="14">
        <v>7</v>
      </c>
      <c r="DD342" s="14">
        <v>0</v>
      </c>
      <c r="DE342" s="14">
        <v>1</v>
      </c>
      <c r="DF342" s="14">
        <v>0</v>
      </c>
      <c r="DG342" s="15">
        <f t="shared" si="1737"/>
        <v>6</v>
      </c>
      <c r="DH342" s="14">
        <v>3</v>
      </c>
      <c r="DI342" s="14">
        <v>1</v>
      </c>
      <c r="DJ342" s="14">
        <v>0</v>
      </c>
      <c r="DK342" s="14">
        <v>0</v>
      </c>
      <c r="DL342" s="15">
        <f t="shared" si="1738"/>
        <v>4</v>
      </c>
      <c r="DM342" s="14">
        <v>548</v>
      </c>
      <c r="DN342" s="14">
        <v>37</v>
      </c>
      <c r="DO342" s="14">
        <v>10</v>
      </c>
      <c r="DP342" s="14">
        <v>0</v>
      </c>
      <c r="DQ342" s="15">
        <f t="shared" si="1739"/>
        <v>575</v>
      </c>
      <c r="DR342" s="15">
        <f t="shared" si="1740"/>
        <v>562</v>
      </c>
      <c r="DS342" s="15">
        <f t="shared" si="1741"/>
        <v>38</v>
      </c>
      <c r="DT342" s="15">
        <f t="shared" si="1742"/>
        <v>11</v>
      </c>
      <c r="DU342" s="15">
        <f t="shared" si="1743"/>
        <v>0</v>
      </c>
      <c r="DV342" s="15">
        <f t="shared" si="1744"/>
        <v>589</v>
      </c>
      <c r="DW342" s="14">
        <v>25</v>
      </c>
      <c r="DX342" s="14">
        <v>11</v>
      </c>
      <c r="DY342" s="14">
        <v>5</v>
      </c>
      <c r="DZ342" s="14">
        <v>5</v>
      </c>
      <c r="EA342" s="14">
        <v>11</v>
      </c>
      <c r="EB342" s="14">
        <v>8</v>
      </c>
      <c r="EC342" s="14">
        <v>5</v>
      </c>
      <c r="ED342" s="14">
        <v>5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5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4">
        <v>0</v>
      </c>
      <c r="ET342" s="14">
        <v>0</v>
      </c>
      <c r="EU342" s="14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0</v>
      </c>
      <c r="FC342" s="14">
        <v>0</v>
      </c>
      <c r="FD342" s="14">
        <v>0</v>
      </c>
      <c r="FE342" s="14">
        <v>0</v>
      </c>
      <c r="FF342" s="14">
        <v>0</v>
      </c>
      <c r="FG342" s="15">
        <f t="shared" si="1745"/>
        <v>80</v>
      </c>
      <c r="FH342" s="14">
        <v>0</v>
      </c>
      <c r="FI342" s="14">
        <v>0</v>
      </c>
      <c r="FJ342" s="14">
        <v>21</v>
      </c>
      <c r="FK342" s="14">
        <v>19.16</v>
      </c>
      <c r="FL342" s="14">
        <v>0</v>
      </c>
      <c r="FM342" s="14">
        <v>0</v>
      </c>
      <c r="FN342" s="14">
        <v>0</v>
      </c>
      <c r="FO342" s="14">
        <v>0</v>
      </c>
      <c r="FP342" s="14">
        <v>0</v>
      </c>
      <c r="FQ342" s="15">
        <f t="shared" si="1746"/>
        <v>0</v>
      </c>
      <c r="FR342" s="14">
        <v>23338424.100000009</v>
      </c>
      <c r="FS342" s="14">
        <v>202400</v>
      </c>
      <c r="FT342" s="14">
        <v>355000</v>
      </c>
      <c r="FU342" s="14">
        <v>273700</v>
      </c>
      <c r="FV342" s="15">
        <f t="shared" si="1747"/>
        <v>24169524.100000009</v>
      </c>
      <c r="FW342" s="14">
        <v>2070733.92</v>
      </c>
      <c r="FX342" s="14">
        <v>52500</v>
      </c>
      <c r="FY342" s="14">
        <v>2686267.69</v>
      </c>
      <c r="FZ342" s="14">
        <v>8562247.0700000003</v>
      </c>
      <c r="GA342" s="15">
        <f t="shared" si="1748"/>
        <v>13371748.68</v>
      </c>
      <c r="GB342" s="15">
        <f t="shared" si="1749"/>
        <v>37541272.780000009</v>
      </c>
      <c r="GC342" s="14">
        <v>17097506.609999999</v>
      </c>
      <c r="GD342" s="14">
        <v>140973.35999999999</v>
      </c>
      <c r="GE342" s="14">
        <v>883192.44</v>
      </c>
      <c r="GF342" s="14">
        <v>1318310.8500000001</v>
      </c>
      <c r="GG342" s="15">
        <f t="shared" si="1750"/>
        <v>19439983.260000002</v>
      </c>
      <c r="GH342" s="14">
        <v>2037199.52</v>
      </c>
      <c r="GI342" s="14">
        <v>52500</v>
      </c>
      <c r="GJ342" s="14">
        <v>8543791.1600000001</v>
      </c>
      <c r="GK342" s="14">
        <v>2682967.6</v>
      </c>
      <c r="GL342" s="15">
        <f t="shared" si="1751"/>
        <v>13316458.279999999</v>
      </c>
      <c r="GM342" s="15">
        <f t="shared" si="1752"/>
        <v>32756441.539999999</v>
      </c>
      <c r="GN342" s="14">
        <v>1372896.3</v>
      </c>
      <c r="GO342" s="14">
        <v>3060.48</v>
      </c>
      <c r="GP342" s="14">
        <v>61085.52</v>
      </c>
      <c r="GQ342" s="14">
        <v>97384.14</v>
      </c>
      <c r="GR342" s="15">
        <f t="shared" si="1753"/>
        <v>1534426.44</v>
      </c>
      <c r="GS342" s="14">
        <v>2309298</v>
      </c>
      <c r="GT342" s="14">
        <v>14288</v>
      </c>
      <c r="GU342" s="14">
        <v>16074</v>
      </c>
      <c r="GV342" s="14">
        <v>18753</v>
      </c>
      <c r="GW342" s="15">
        <f t="shared" si="1754"/>
        <v>2358413</v>
      </c>
      <c r="GX342" s="15">
        <f t="shared" si="1755"/>
        <v>36649280.979999997</v>
      </c>
      <c r="GY342" s="14">
        <v>121254106.99999981</v>
      </c>
      <c r="GZ342" s="14">
        <v>-1696284.2</v>
      </c>
      <c r="HA342" s="9">
        <f t="shared" si="1762"/>
        <v>119557822.7999998</v>
      </c>
      <c r="HB342" s="15">
        <f t="shared" si="1756"/>
        <v>0.15340777304930364</v>
      </c>
      <c r="HC342" s="16">
        <f t="shared" si="1757"/>
        <v>0.23774836791187165</v>
      </c>
      <c r="HD342" s="15">
        <f t="shared" si="1758"/>
        <v>1.0243385893569585</v>
      </c>
      <c r="HE342" s="14">
        <v>19</v>
      </c>
      <c r="HF342" s="14">
        <v>2</v>
      </c>
      <c r="HG342" s="14">
        <v>37</v>
      </c>
      <c r="HH342" s="14">
        <v>19</v>
      </c>
      <c r="HI342" s="14">
        <v>2</v>
      </c>
      <c r="HJ342" s="15">
        <f t="shared" si="1759"/>
        <v>4</v>
      </c>
      <c r="HK342" s="16">
        <f t="shared" si="1760"/>
        <v>1</v>
      </c>
      <c r="HL342" s="14">
        <v>43</v>
      </c>
      <c r="HM342" s="14">
        <v>8</v>
      </c>
      <c r="HN342" s="17">
        <f t="shared" si="1761"/>
        <v>0.18604651162790697</v>
      </c>
    </row>
    <row r="343" spans="1:222" x14ac:dyDescent="0.3">
      <c r="A343" s="6" t="s">
        <v>295</v>
      </c>
      <c r="B343" s="6" t="s">
        <v>301</v>
      </c>
      <c r="C343" s="7" t="s">
        <v>257</v>
      </c>
      <c r="D343" s="7">
        <v>2025</v>
      </c>
      <c r="E343" s="7">
        <v>8</v>
      </c>
      <c r="F343" s="7" t="s">
        <v>264</v>
      </c>
      <c r="G343" s="7" t="s">
        <v>263</v>
      </c>
      <c r="H343" s="8">
        <v>37201</v>
      </c>
      <c r="I343" s="8">
        <v>20948</v>
      </c>
      <c r="J343" s="8">
        <v>738</v>
      </c>
      <c r="K343" s="8">
        <v>294</v>
      </c>
      <c r="L343" s="8">
        <v>97</v>
      </c>
      <c r="M343" s="9">
        <f t="shared" si="1702"/>
        <v>22077</v>
      </c>
      <c r="N343" s="8">
        <v>1808.3</v>
      </c>
      <c r="O343" s="8">
        <v>277.10000000000002</v>
      </c>
      <c r="P343" s="8">
        <v>680.7</v>
      </c>
      <c r="Q343" s="8">
        <v>638.9</v>
      </c>
      <c r="R343" s="9">
        <f t="shared" si="1703"/>
        <v>3405.0000000000005</v>
      </c>
      <c r="S343" s="9">
        <f t="shared" si="1704"/>
        <v>25482</v>
      </c>
      <c r="T343" s="8">
        <v>11719</v>
      </c>
      <c r="U343" s="10">
        <f t="shared" si="1705"/>
        <v>0.31501841348350851</v>
      </c>
      <c r="V343" s="8">
        <v>12</v>
      </c>
      <c r="W343" s="11">
        <f t="shared" si="1706"/>
        <v>3.2257197387167011E-4</v>
      </c>
      <c r="X343" s="8">
        <v>0</v>
      </c>
      <c r="Y343" s="11">
        <f t="shared" si="1707"/>
        <v>0</v>
      </c>
      <c r="Z343" s="8">
        <v>0</v>
      </c>
      <c r="AA343" s="11">
        <f t="shared" si="1708"/>
        <v>0</v>
      </c>
      <c r="AB343" s="8">
        <v>0</v>
      </c>
      <c r="AC343" s="11">
        <f t="shared" si="1709"/>
        <v>0</v>
      </c>
      <c r="AD343" s="8">
        <v>0</v>
      </c>
      <c r="AE343" s="11">
        <f t="shared" si="1710"/>
        <v>0</v>
      </c>
      <c r="AF343" s="8">
        <v>0</v>
      </c>
      <c r="AG343" s="11">
        <f t="shared" si="1711"/>
        <v>0</v>
      </c>
      <c r="AH343" s="8">
        <v>312000</v>
      </c>
      <c r="AI343" s="9">
        <f t="shared" si="1712"/>
        <v>8.3868713206634222</v>
      </c>
      <c r="AJ343" s="8">
        <v>21211</v>
      </c>
      <c r="AK343" s="11">
        <f t="shared" si="1713"/>
        <v>0.57017284481599961</v>
      </c>
      <c r="AL343" s="8">
        <v>5828763.6490000002</v>
      </c>
      <c r="AM343" s="9">
        <f t="shared" si="1714"/>
        <v>156.68298295744739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9">
        <f t="shared" si="1715"/>
        <v>6140763.6490000002</v>
      </c>
      <c r="AV343" s="9">
        <f t="shared" si="1716"/>
        <v>165.0698542781108</v>
      </c>
      <c r="AW343" s="9">
        <f t="shared" si="1717"/>
        <v>240.98436735735029</v>
      </c>
      <c r="AX343" s="8">
        <v>12</v>
      </c>
      <c r="AY343" s="9">
        <f t="shared" si="1718"/>
        <v>3.8708636864600412</v>
      </c>
      <c r="AZ343" s="8">
        <v>28</v>
      </c>
      <c r="BA343" s="8">
        <v>37</v>
      </c>
      <c r="BB343" s="8">
        <v>92</v>
      </c>
      <c r="BC343" s="8">
        <v>80</v>
      </c>
      <c r="BD343" s="8">
        <v>0</v>
      </c>
      <c r="BE343" s="9">
        <f t="shared" si="1719"/>
        <v>80</v>
      </c>
      <c r="BF343" s="9">
        <f t="shared" si="1720"/>
        <v>49</v>
      </c>
      <c r="BG343" s="8">
        <v>0</v>
      </c>
      <c r="BH343" s="8">
        <v>0</v>
      </c>
      <c r="BI343" s="8">
        <v>0</v>
      </c>
      <c r="BJ343" s="8">
        <v>0</v>
      </c>
      <c r="BK343" s="9">
        <f t="shared" si="1721"/>
        <v>0</v>
      </c>
      <c r="BL343" s="9">
        <f t="shared" si="1722"/>
        <v>0</v>
      </c>
      <c r="BM343" s="8">
        <v>0</v>
      </c>
      <c r="BN343" s="8">
        <v>0</v>
      </c>
      <c r="BO343" s="8">
        <v>0</v>
      </c>
      <c r="BP343" s="8">
        <v>0</v>
      </c>
      <c r="BQ343" s="9">
        <f t="shared" si="1723"/>
        <v>0</v>
      </c>
      <c r="BR343" s="9">
        <f t="shared" si="1724"/>
        <v>0</v>
      </c>
      <c r="BS343" s="8">
        <v>0</v>
      </c>
      <c r="BT343" s="8">
        <v>0</v>
      </c>
      <c r="BU343" s="8">
        <v>0</v>
      </c>
      <c r="BV343" s="8">
        <v>0</v>
      </c>
      <c r="BW343" s="9">
        <f t="shared" si="1725"/>
        <v>0</v>
      </c>
      <c r="BX343" s="9">
        <f t="shared" si="1726"/>
        <v>0</v>
      </c>
      <c r="BY343" s="9">
        <f t="shared" si="1727"/>
        <v>37</v>
      </c>
      <c r="BZ343" s="9">
        <f t="shared" si="1728"/>
        <v>92</v>
      </c>
      <c r="CA343" s="9">
        <f t="shared" si="1729"/>
        <v>80</v>
      </c>
      <c r="CB343" s="9">
        <f t="shared" si="1730"/>
        <v>49</v>
      </c>
      <c r="CC343" s="8">
        <v>2</v>
      </c>
      <c r="CD343" s="8">
        <v>904</v>
      </c>
      <c r="CE343" s="8">
        <v>53</v>
      </c>
      <c r="CF343" s="8">
        <v>18</v>
      </c>
      <c r="CG343" s="8">
        <v>10</v>
      </c>
      <c r="CH343" s="9">
        <f t="shared" si="1731"/>
        <v>985</v>
      </c>
      <c r="CI343" s="8">
        <v>2698</v>
      </c>
      <c r="CJ343" s="8">
        <v>18</v>
      </c>
      <c r="CK343" s="8">
        <v>12</v>
      </c>
      <c r="CL343" s="8">
        <v>16</v>
      </c>
      <c r="CM343" s="9">
        <f t="shared" si="1732"/>
        <v>2744</v>
      </c>
      <c r="CN343" s="8">
        <v>255</v>
      </c>
      <c r="CO343" s="8">
        <v>40</v>
      </c>
      <c r="CP343" s="8">
        <v>74</v>
      </c>
      <c r="CQ343" s="8">
        <v>2</v>
      </c>
      <c r="CR343" s="9">
        <f t="shared" si="1733"/>
        <v>371</v>
      </c>
      <c r="CS343" s="9">
        <f t="shared" si="1734"/>
        <v>3115</v>
      </c>
      <c r="CT343" s="8">
        <v>4100</v>
      </c>
      <c r="CU343" s="8">
        <v>23323</v>
      </c>
      <c r="CV343" s="8">
        <v>20100</v>
      </c>
      <c r="CW343" s="10">
        <f t="shared" si="1735"/>
        <v>0.86181023024482273</v>
      </c>
      <c r="CX343" s="8">
        <v>4</v>
      </c>
      <c r="CY343" s="8">
        <v>0</v>
      </c>
      <c r="CZ343" s="8">
        <v>1</v>
      </c>
      <c r="DA343" s="8">
        <v>0</v>
      </c>
      <c r="DB343" s="9">
        <f t="shared" si="1736"/>
        <v>3</v>
      </c>
      <c r="DC343" s="8">
        <v>6</v>
      </c>
      <c r="DD343" s="8">
        <v>0</v>
      </c>
      <c r="DE343" s="8">
        <v>3</v>
      </c>
      <c r="DF343" s="8">
        <v>0</v>
      </c>
      <c r="DG343" s="9">
        <f t="shared" si="1737"/>
        <v>3</v>
      </c>
      <c r="DH343" s="8">
        <v>4</v>
      </c>
      <c r="DI343" s="8">
        <v>0</v>
      </c>
      <c r="DJ343" s="8">
        <v>1</v>
      </c>
      <c r="DK343" s="8">
        <v>0</v>
      </c>
      <c r="DL343" s="9">
        <f t="shared" si="1738"/>
        <v>3</v>
      </c>
      <c r="DM343" s="8">
        <v>575</v>
      </c>
      <c r="DN343" s="8">
        <v>0</v>
      </c>
      <c r="DO343" s="8">
        <v>64</v>
      </c>
      <c r="DP343" s="8">
        <v>0</v>
      </c>
      <c r="DQ343" s="9">
        <f t="shared" si="1739"/>
        <v>511</v>
      </c>
      <c r="DR343" s="9">
        <f t="shared" si="1740"/>
        <v>589</v>
      </c>
      <c r="DS343" s="9">
        <f t="shared" si="1741"/>
        <v>0</v>
      </c>
      <c r="DT343" s="9">
        <f t="shared" si="1742"/>
        <v>69</v>
      </c>
      <c r="DU343" s="9">
        <f t="shared" si="1743"/>
        <v>0</v>
      </c>
      <c r="DV343" s="9">
        <f t="shared" si="1744"/>
        <v>520</v>
      </c>
      <c r="DW343" s="8">
        <v>23</v>
      </c>
      <c r="DX343" s="8">
        <v>17</v>
      </c>
      <c r="DY343" s="8">
        <v>6</v>
      </c>
      <c r="DZ343" s="8">
        <v>6</v>
      </c>
      <c r="EA343" s="8">
        <v>6</v>
      </c>
      <c r="EB343" s="8">
        <v>9</v>
      </c>
      <c r="EC343" s="8">
        <v>7</v>
      </c>
      <c r="ED343" s="8">
        <v>4</v>
      </c>
      <c r="EE343" s="8">
        <v>0</v>
      </c>
      <c r="EF343" s="8">
        <v>0</v>
      </c>
      <c r="EG343" s="8">
        <v>0</v>
      </c>
      <c r="EH343" s="8">
        <v>0</v>
      </c>
      <c r="EI343" s="8">
        <v>0</v>
      </c>
      <c r="EJ343" s="8">
        <v>5</v>
      </c>
      <c r="EK343" s="8">
        <v>0</v>
      </c>
      <c r="EL343" s="8">
        <v>0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8">
        <v>0</v>
      </c>
      <c r="ES343" s="8">
        <v>0</v>
      </c>
      <c r="ET343" s="8">
        <v>0</v>
      </c>
      <c r="EU343" s="8">
        <v>0</v>
      </c>
      <c r="EV343" s="8">
        <v>0</v>
      </c>
      <c r="EW343" s="8">
        <v>0</v>
      </c>
      <c r="EX343" s="8">
        <v>0</v>
      </c>
      <c r="EY343" s="8">
        <v>0</v>
      </c>
      <c r="EZ343" s="8">
        <v>0</v>
      </c>
      <c r="FA343" s="8">
        <v>0</v>
      </c>
      <c r="FB343" s="8">
        <v>0</v>
      </c>
      <c r="FC343" s="8">
        <v>0</v>
      </c>
      <c r="FD343" s="8">
        <v>0</v>
      </c>
      <c r="FE343" s="8">
        <v>0</v>
      </c>
      <c r="FF343" s="8">
        <v>0</v>
      </c>
      <c r="FG343" s="9">
        <f t="shared" si="1745"/>
        <v>83</v>
      </c>
      <c r="FH343" s="8">
        <v>0</v>
      </c>
      <c r="FI343" s="8">
        <v>0</v>
      </c>
      <c r="FJ343" s="8">
        <v>20</v>
      </c>
      <c r="FK343" s="8">
        <v>21.6</v>
      </c>
      <c r="FL343" s="8">
        <v>0</v>
      </c>
      <c r="FM343" s="8">
        <v>0</v>
      </c>
      <c r="FN343" s="8">
        <v>0</v>
      </c>
      <c r="FO343" s="8">
        <v>0</v>
      </c>
      <c r="FP343" s="8">
        <v>0</v>
      </c>
      <c r="FQ343" s="9">
        <f t="shared" si="1746"/>
        <v>0</v>
      </c>
      <c r="FR343" s="8">
        <v>23479340.580000009</v>
      </c>
      <c r="FS343" s="8">
        <v>88600</v>
      </c>
      <c r="FT343" s="8">
        <v>269200</v>
      </c>
      <c r="FU343" s="8">
        <v>223034.44</v>
      </c>
      <c r="FV343" s="9">
        <f t="shared" si="1747"/>
        <v>24060175.020000011</v>
      </c>
      <c r="FW343" s="8">
        <v>7462979.1399999997</v>
      </c>
      <c r="FX343" s="8">
        <v>5000</v>
      </c>
      <c r="FY343" s="8">
        <v>619100</v>
      </c>
      <c r="FZ343" s="8">
        <v>3505099.25</v>
      </c>
      <c r="GA343" s="9">
        <f t="shared" si="1748"/>
        <v>11592178.390000001</v>
      </c>
      <c r="GB343" s="9">
        <f t="shared" si="1749"/>
        <v>35652353.410000011</v>
      </c>
      <c r="GC343" s="8">
        <v>19149529.129999999</v>
      </c>
      <c r="GD343" s="8">
        <v>141164.64000000001</v>
      </c>
      <c r="GE343" s="8">
        <v>938618.74</v>
      </c>
      <c r="GF343" s="8">
        <v>320378.14</v>
      </c>
      <c r="GG343" s="9">
        <f t="shared" si="1750"/>
        <v>20549690.649999999</v>
      </c>
      <c r="GH343" s="8">
        <v>2255141.62</v>
      </c>
      <c r="GI343" s="8">
        <v>68818.66</v>
      </c>
      <c r="GJ343" s="8">
        <v>2068650</v>
      </c>
      <c r="GK343" s="8">
        <v>3032600</v>
      </c>
      <c r="GL343" s="9">
        <f t="shared" si="1751"/>
        <v>7425210.2800000003</v>
      </c>
      <c r="GM343" s="9">
        <f t="shared" si="1752"/>
        <v>27974900.93</v>
      </c>
      <c r="GN343" s="8">
        <v>1433436.91</v>
      </c>
      <c r="GO343" s="8">
        <v>3060.48</v>
      </c>
      <c r="GP343" s="8">
        <v>61085.52</v>
      </c>
      <c r="GQ343" s="8">
        <v>55648.08</v>
      </c>
      <c r="GR343" s="9">
        <f t="shared" si="1753"/>
        <v>1553230.99</v>
      </c>
      <c r="GS343" s="8">
        <v>2409314</v>
      </c>
      <c r="GT343" s="8">
        <v>14288</v>
      </c>
      <c r="GU343" s="8">
        <v>16074</v>
      </c>
      <c r="GV343" s="8">
        <v>10716</v>
      </c>
      <c r="GW343" s="9">
        <f t="shared" si="1754"/>
        <v>2450392</v>
      </c>
      <c r="GX343" s="9">
        <f t="shared" si="1755"/>
        <v>31978523.919999998</v>
      </c>
      <c r="GY343" s="8">
        <v>121792810.0099999</v>
      </c>
      <c r="GZ343" s="8">
        <v>-1687898.59</v>
      </c>
      <c r="HA343" s="9">
        <f t="shared" si="1762"/>
        <v>120104911.4199999</v>
      </c>
      <c r="HB343" s="9">
        <f t="shared" si="1756"/>
        <v>0.19202773912774146</v>
      </c>
      <c r="HC343" s="10">
        <f t="shared" si="1757"/>
        <v>0.23185305413445753</v>
      </c>
      <c r="HD343" s="9">
        <f t="shared" si="1758"/>
        <v>1.1148842735578026</v>
      </c>
      <c r="HE343" s="8">
        <v>20</v>
      </c>
      <c r="HF343" s="8">
        <v>2</v>
      </c>
      <c r="HG343" s="8">
        <v>49</v>
      </c>
      <c r="HH343" s="8">
        <v>92</v>
      </c>
      <c r="HI343" s="8">
        <v>17</v>
      </c>
      <c r="HJ343" s="9">
        <f t="shared" si="1759"/>
        <v>19</v>
      </c>
      <c r="HK343" s="10">
        <f t="shared" si="1760"/>
        <v>4.5999999999999996</v>
      </c>
      <c r="HL343" s="8">
        <v>10</v>
      </c>
      <c r="HM343" s="8">
        <v>2</v>
      </c>
      <c r="HN343" s="11">
        <f t="shared" si="1761"/>
        <v>0.2</v>
      </c>
    </row>
    <row r="344" spans="1:222" x14ac:dyDescent="0.3">
      <c r="A344" s="12" t="s">
        <v>295</v>
      </c>
      <c r="B344" s="12" t="s">
        <v>301</v>
      </c>
      <c r="C344" s="13" t="s">
        <v>257</v>
      </c>
      <c r="D344" s="13">
        <v>2025</v>
      </c>
      <c r="E344" s="13">
        <v>9</v>
      </c>
      <c r="F344" s="13" t="s">
        <v>265</v>
      </c>
      <c r="G344" s="13" t="s">
        <v>263</v>
      </c>
      <c r="H344" s="14">
        <v>42985</v>
      </c>
      <c r="I344" s="14">
        <v>22351</v>
      </c>
      <c r="J344" s="14">
        <v>704</v>
      </c>
      <c r="K344" s="14">
        <v>110</v>
      </c>
      <c r="L344" s="14">
        <v>64</v>
      </c>
      <c r="M344" s="15">
        <f t="shared" si="1702"/>
        <v>23229</v>
      </c>
      <c r="N344" s="14">
        <v>2048.8000000000002</v>
      </c>
      <c r="O344" s="14">
        <v>232.5</v>
      </c>
      <c r="P344" s="14">
        <v>1785.6</v>
      </c>
      <c r="Q344" s="14">
        <v>686.3</v>
      </c>
      <c r="R344" s="15">
        <f t="shared" si="1703"/>
        <v>4753.2</v>
      </c>
      <c r="S344" s="15">
        <f t="shared" si="1704"/>
        <v>27982.2</v>
      </c>
      <c r="T344" s="14">
        <v>15002.8</v>
      </c>
      <c r="U344" s="16">
        <f t="shared" si="1705"/>
        <v>0.34902407816680237</v>
      </c>
      <c r="V344" s="14">
        <v>11</v>
      </c>
      <c r="W344" s="17">
        <f t="shared" si="1706"/>
        <v>2.5590322205420497E-4</v>
      </c>
      <c r="X344" s="14">
        <v>0</v>
      </c>
      <c r="Y344" s="17">
        <f t="shared" si="1707"/>
        <v>0</v>
      </c>
      <c r="Z344" s="14">
        <v>0</v>
      </c>
      <c r="AA344" s="17">
        <f t="shared" si="1708"/>
        <v>0</v>
      </c>
      <c r="AB344" s="14">
        <v>0</v>
      </c>
      <c r="AC344" s="17">
        <f t="shared" si="1709"/>
        <v>0</v>
      </c>
      <c r="AD344" s="14">
        <v>0</v>
      </c>
      <c r="AE344" s="17">
        <f t="shared" si="1710"/>
        <v>0</v>
      </c>
      <c r="AF344" s="14">
        <v>0</v>
      </c>
      <c r="AG344" s="17">
        <f t="shared" si="1711"/>
        <v>0</v>
      </c>
      <c r="AH344" s="14">
        <v>286000</v>
      </c>
      <c r="AI344" s="15">
        <f t="shared" si="1712"/>
        <v>6.6534837734093291</v>
      </c>
      <c r="AJ344" s="14">
        <v>21882</v>
      </c>
      <c r="AK344" s="17">
        <f t="shared" si="1713"/>
        <v>0.50906130045364661</v>
      </c>
      <c r="AL344" s="14">
        <v>6012153.9879999999</v>
      </c>
      <c r="AM344" s="15">
        <f t="shared" si="1714"/>
        <v>139.86632518320343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5">
        <f t="shared" si="1715"/>
        <v>6298153.9879999999</v>
      </c>
      <c r="AV344" s="15">
        <f t="shared" si="1716"/>
        <v>146.51980895661276</v>
      </c>
      <c r="AW344" s="15">
        <f t="shared" si="1717"/>
        <v>225.07715576330668</v>
      </c>
      <c r="AX344" s="14">
        <v>12</v>
      </c>
      <c r="AY344" s="15">
        <f t="shared" si="1718"/>
        <v>3.3500058159823194</v>
      </c>
      <c r="AZ344" s="14">
        <v>28</v>
      </c>
      <c r="BA344" s="14">
        <v>49</v>
      </c>
      <c r="BB344" s="14">
        <v>25</v>
      </c>
      <c r="BC344" s="14">
        <v>24</v>
      </c>
      <c r="BD344" s="14">
        <v>0</v>
      </c>
      <c r="BE344" s="15">
        <f t="shared" si="1719"/>
        <v>24</v>
      </c>
      <c r="BF344" s="15">
        <f t="shared" si="1720"/>
        <v>50</v>
      </c>
      <c r="BG344" s="14">
        <v>0</v>
      </c>
      <c r="BH344" s="14">
        <v>0</v>
      </c>
      <c r="BI344" s="14">
        <v>0</v>
      </c>
      <c r="BJ344" s="14">
        <v>0</v>
      </c>
      <c r="BK344" s="15">
        <f t="shared" si="1721"/>
        <v>0</v>
      </c>
      <c r="BL344" s="15">
        <f t="shared" si="1722"/>
        <v>0</v>
      </c>
      <c r="BM344" s="14">
        <v>0</v>
      </c>
      <c r="BN344" s="14">
        <v>0</v>
      </c>
      <c r="BO344" s="14">
        <v>0</v>
      </c>
      <c r="BP344" s="14">
        <v>0</v>
      </c>
      <c r="BQ344" s="15">
        <f t="shared" si="1723"/>
        <v>0</v>
      </c>
      <c r="BR344" s="15">
        <f t="shared" si="1724"/>
        <v>0</v>
      </c>
      <c r="BS344" s="14">
        <v>0</v>
      </c>
      <c r="BT344" s="14">
        <v>0</v>
      </c>
      <c r="BU344" s="14">
        <v>0</v>
      </c>
      <c r="BV344" s="14">
        <v>0</v>
      </c>
      <c r="BW344" s="15">
        <f t="shared" si="1725"/>
        <v>0</v>
      </c>
      <c r="BX344" s="15">
        <f t="shared" si="1726"/>
        <v>0</v>
      </c>
      <c r="BY344" s="15">
        <f t="shared" si="1727"/>
        <v>49</v>
      </c>
      <c r="BZ344" s="15">
        <f t="shared" si="1728"/>
        <v>25</v>
      </c>
      <c r="CA344" s="15">
        <f t="shared" si="1729"/>
        <v>24</v>
      </c>
      <c r="CB344" s="15">
        <f t="shared" si="1730"/>
        <v>50</v>
      </c>
      <c r="CC344" s="14">
        <v>10</v>
      </c>
      <c r="CD344" s="14">
        <v>892</v>
      </c>
      <c r="CE344" s="14">
        <v>54</v>
      </c>
      <c r="CF344" s="14">
        <v>18</v>
      </c>
      <c r="CG344" s="14">
        <v>11</v>
      </c>
      <c r="CH344" s="15">
        <f t="shared" si="1731"/>
        <v>975</v>
      </c>
      <c r="CI344" s="14">
        <v>2727</v>
      </c>
      <c r="CJ344" s="14">
        <v>14</v>
      </c>
      <c r="CK344" s="14">
        <v>13</v>
      </c>
      <c r="CL344" s="14">
        <v>14</v>
      </c>
      <c r="CM344" s="15">
        <f t="shared" si="1732"/>
        <v>2768</v>
      </c>
      <c r="CN344" s="14">
        <v>262</v>
      </c>
      <c r="CO344" s="14">
        <v>43</v>
      </c>
      <c r="CP344" s="14">
        <v>73</v>
      </c>
      <c r="CQ344" s="14">
        <v>3</v>
      </c>
      <c r="CR344" s="15">
        <f t="shared" si="1733"/>
        <v>381</v>
      </c>
      <c r="CS344" s="15">
        <f t="shared" si="1734"/>
        <v>3149</v>
      </c>
      <c r="CT344" s="14">
        <v>4124</v>
      </c>
      <c r="CU344" s="14">
        <v>23379</v>
      </c>
      <c r="CV344" s="14">
        <v>20203.2</v>
      </c>
      <c r="CW344" s="16">
        <f t="shared" si="1735"/>
        <v>0.86416014371872196</v>
      </c>
      <c r="CX344" s="14">
        <v>3</v>
      </c>
      <c r="CY344" s="14">
        <v>2</v>
      </c>
      <c r="CZ344" s="14">
        <v>1</v>
      </c>
      <c r="DA344" s="14">
        <v>0</v>
      </c>
      <c r="DB344" s="15">
        <f t="shared" si="1736"/>
        <v>4</v>
      </c>
      <c r="DC344" s="14">
        <v>3</v>
      </c>
      <c r="DD344" s="14">
        <v>0</v>
      </c>
      <c r="DE344" s="14">
        <v>0</v>
      </c>
      <c r="DF344" s="14">
        <v>0</v>
      </c>
      <c r="DG344" s="15">
        <f t="shared" si="1737"/>
        <v>3</v>
      </c>
      <c r="DH344" s="14">
        <v>3</v>
      </c>
      <c r="DI344" s="14">
        <v>0</v>
      </c>
      <c r="DJ344" s="14">
        <v>0</v>
      </c>
      <c r="DK344" s="14">
        <v>0</v>
      </c>
      <c r="DL344" s="15">
        <f t="shared" si="1738"/>
        <v>3</v>
      </c>
      <c r="DM344" s="14">
        <v>511</v>
      </c>
      <c r="DN344" s="14">
        <v>0</v>
      </c>
      <c r="DO344" s="14">
        <v>45</v>
      </c>
      <c r="DP344" s="14">
        <v>0</v>
      </c>
      <c r="DQ344" s="15">
        <f t="shared" si="1739"/>
        <v>466</v>
      </c>
      <c r="DR344" s="15">
        <f t="shared" si="1740"/>
        <v>520</v>
      </c>
      <c r="DS344" s="15">
        <f t="shared" si="1741"/>
        <v>2</v>
      </c>
      <c r="DT344" s="15">
        <f t="shared" si="1742"/>
        <v>46</v>
      </c>
      <c r="DU344" s="15">
        <f t="shared" si="1743"/>
        <v>0</v>
      </c>
      <c r="DV344" s="15">
        <f t="shared" si="1744"/>
        <v>476</v>
      </c>
      <c r="DW344" s="14">
        <v>25</v>
      </c>
      <c r="DX344" s="14">
        <v>16</v>
      </c>
      <c r="DY344" s="14">
        <v>6</v>
      </c>
      <c r="DZ344" s="14">
        <v>3</v>
      </c>
      <c r="EA344" s="14">
        <v>6</v>
      </c>
      <c r="EB344" s="14">
        <v>11</v>
      </c>
      <c r="EC344" s="14">
        <v>5</v>
      </c>
      <c r="ED344" s="14">
        <v>6</v>
      </c>
      <c r="EE344" s="14">
        <v>0</v>
      </c>
      <c r="EF344" s="14">
        <v>0</v>
      </c>
      <c r="EG344" s="14">
        <v>0</v>
      </c>
      <c r="EH344" s="14">
        <v>0</v>
      </c>
      <c r="EI344" s="14">
        <v>0</v>
      </c>
      <c r="EJ344" s="14">
        <v>2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0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0</v>
      </c>
      <c r="EX344" s="14">
        <v>0</v>
      </c>
      <c r="EY344" s="14">
        <v>0</v>
      </c>
      <c r="EZ344" s="14">
        <v>0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5">
        <f t="shared" si="1745"/>
        <v>80</v>
      </c>
      <c r="FH344" s="14">
        <v>0</v>
      </c>
      <c r="FI344" s="14">
        <v>0</v>
      </c>
      <c r="FJ344" s="14">
        <v>21</v>
      </c>
      <c r="FK344" s="14">
        <v>10.99</v>
      </c>
      <c r="FL344" s="14">
        <v>0</v>
      </c>
      <c r="FM344" s="14">
        <v>0</v>
      </c>
      <c r="FN344" s="14">
        <v>0</v>
      </c>
      <c r="FO344" s="14">
        <v>0</v>
      </c>
      <c r="FP344" s="14">
        <v>0</v>
      </c>
      <c r="FQ344" s="15">
        <f t="shared" si="1746"/>
        <v>0</v>
      </c>
      <c r="FR344" s="14">
        <v>18823810.480000012</v>
      </c>
      <c r="FS344" s="14">
        <v>205500</v>
      </c>
      <c r="FT344" s="14">
        <v>204200</v>
      </c>
      <c r="FU344" s="14">
        <v>280867.21999999997</v>
      </c>
      <c r="FV344" s="15">
        <f t="shared" si="1747"/>
        <v>19514377.70000001</v>
      </c>
      <c r="FW344" s="14">
        <v>2622431.13</v>
      </c>
      <c r="FX344" s="14">
        <v>49400</v>
      </c>
      <c r="FY344" s="14">
        <v>3266454.1</v>
      </c>
      <c r="FZ344" s="14">
        <v>5450363.04</v>
      </c>
      <c r="GA344" s="15">
        <f t="shared" si="1748"/>
        <v>11388648.27</v>
      </c>
      <c r="GB344" s="15">
        <f t="shared" si="1749"/>
        <v>30903025.97000001</v>
      </c>
      <c r="GC344" s="14">
        <v>20400177.52</v>
      </c>
      <c r="GD344" s="14">
        <v>134661.12</v>
      </c>
      <c r="GE344" s="14">
        <v>330147.49</v>
      </c>
      <c r="GF344" s="14">
        <v>175091.99</v>
      </c>
      <c r="GG344" s="15">
        <f t="shared" si="1750"/>
        <v>21040078.119999997</v>
      </c>
      <c r="GH344" s="14">
        <v>2555824.1800000002</v>
      </c>
      <c r="GI344" s="14">
        <v>49400</v>
      </c>
      <c r="GJ344" s="14">
        <v>5427563.04</v>
      </c>
      <c r="GK344" s="14">
        <v>3248454.08</v>
      </c>
      <c r="GL344" s="15">
        <f t="shared" si="1751"/>
        <v>11281241.300000001</v>
      </c>
      <c r="GM344" s="15">
        <f t="shared" si="1752"/>
        <v>32321319.419999998</v>
      </c>
      <c r="GN344" s="14">
        <v>1448584.48</v>
      </c>
      <c r="GO344" s="14">
        <v>2677.92</v>
      </c>
      <c r="GP344" s="14">
        <v>47510.96</v>
      </c>
      <c r="GQ344" s="14">
        <v>60285.42</v>
      </c>
      <c r="GR344" s="15">
        <f t="shared" si="1753"/>
        <v>1559058.7799999998</v>
      </c>
      <c r="GS344" s="14">
        <v>2435211</v>
      </c>
      <c r="GT344" s="14">
        <v>12502</v>
      </c>
      <c r="GU344" s="14">
        <v>12502</v>
      </c>
      <c r="GV344" s="14">
        <v>11609</v>
      </c>
      <c r="GW344" s="15">
        <f t="shared" si="1754"/>
        <v>2471824</v>
      </c>
      <c r="GX344" s="15">
        <f t="shared" si="1755"/>
        <v>36352202.199999996</v>
      </c>
      <c r="GY344" s="14">
        <v>124910318.27999979</v>
      </c>
      <c r="GZ344" s="14">
        <v>-1780097.49</v>
      </c>
      <c r="HA344" s="9">
        <f t="shared" si="1762"/>
        <v>123130220.7899998</v>
      </c>
      <c r="HB344" s="15">
        <f t="shared" si="1756"/>
        <v>0.1732537124807256</v>
      </c>
      <c r="HC344" s="16">
        <f t="shared" si="1757"/>
        <v>0.19163179316568282</v>
      </c>
      <c r="HD344" s="15">
        <f t="shared" si="1758"/>
        <v>0.85010051935725683</v>
      </c>
      <c r="HE344" s="14">
        <v>25</v>
      </c>
      <c r="HF344" s="14">
        <v>2</v>
      </c>
      <c r="HG344" s="14">
        <v>50</v>
      </c>
      <c r="HH344" s="14">
        <v>25</v>
      </c>
      <c r="HI344" s="14">
        <v>11</v>
      </c>
      <c r="HJ344" s="15">
        <f t="shared" si="1759"/>
        <v>13</v>
      </c>
      <c r="HK344" s="16">
        <f t="shared" si="1760"/>
        <v>1</v>
      </c>
      <c r="HL344" s="14">
        <v>5</v>
      </c>
      <c r="HM344" s="14">
        <v>2</v>
      </c>
      <c r="HN344" s="17">
        <f t="shared" si="1761"/>
        <v>0.4</v>
      </c>
    </row>
    <row r="345" spans="1:222" x14ac:dyDescent="0.3">
      <c r="A345" s="6" t="s">
        <v>295</v>
      </c>
      <c r="B345" s="6" t="s">
        <v>301</v>
      </c>
      <c r="C345" s="7" t="s">
        <v>257</v>
      </c>
      <c r="D345" s="7">
        <v>2025</v>
      </c>
      <c r="E345" s="7">
        <v>10</v>
      </c>
      <c r="F345" s="7" t="s">
        <v>266</v>
      </c>
      <c r="G345" s="7" t="s">
        <v>267</v>
      </c>
      <c r="H345" s="8">
        <v>46769</v>
      </c>
      <c r="I345" s="8">
        <v>23378</v>
      </c>
      <c r="J345" s="8">
        <v>814</v>
      </c>
      <c r="K345" s="8">
        <v>86</v>
      </c>
      <c r="L345" s="8">
        <v>155</v>
      </c>
      <c r="M345" s="9">
        <f t="shared" si="1702"/>
        <v>24433</v>
      </c>
      <c r="N345" s="8">
        <v>2181.8000000000002</v>
      </c>
      <c r="O345" s="8">
        <v>367.5</v>
      </c>
      <c r="P345" s="8">
        <v>6559.7</v>
      </c>
      <c r="Q345" s="8">
        <v>906.10000000000105</v>
      </c>
      <c r="R345" s="9">
        <f t="shared" si="1703"/>
        <v>10015.1</v>
      </c>
      <c r="S345" s="9">
        <f t="shared" si="1704"/>
        <v>34448.1</v>
      </c>
      <c r="T345" s="8">
        <v>12320.9</v>
      </c>
      <c r="U345" s="10">
        <f t="shared" si="1705"/>
        <v>0.2634415959289273</v>
      </c>
      <c r="V345" s="8">
        <v>12</v>
      </c>
      <c r="W345" s="11">
        <f t="shared" si="1706"/>
        <v>2.5658021338921083E-4</v>
      </c>
      <c r="X345" s="8">
        <v>0</v>
      </c>
      <c r="Y345" s="11">
        <f t="shared" si="1707"/>
        <v>0</v>
      </c>
      <c r="Z345" s="8">
        <v>0</v>
      </c>
      <c r="AA345" s="11">
        <f t="shared" si="1708"/>
        <v>0</v>
      </c>
      <c r="AB345" s="8">
        <v>0</v>
      </c>
      <c r="AC345" s="11">
        <f t="shared" si="1709"/>
        <v>0</v>
      </c>
      <c r="AD345" s="8">
        <v>0</v>
      </c>
      <c r="AE345" s="11">
        <f t="shared" si="1710"/>
        <v>0</v>
      </c>
      <c r="AF345" s="8">
        <v>0</v>
      </c>
      <c r="AG345" s="11">
        <f t="shared" si="1711"/>
        <v>0</v>
      </c>
      <c r="AH345" s="8">
        <v>312000</v>
      </c>
      <c r="AI345" s="9">
        <f t="shared" si="1712"/>
        <v>6.6710855481194811</v>
      </c>
      <c r="AJ345" s="8">
        <v>20943</v>
      </c>
      <c r="AK345" s="11">
        <f t="shared" si="1713"/>
        <v>0.44779661741752014</v>
      </c>
      <c r="AL345" s="8">
        <v>5755516.8370000003</v>
      </c>
      <c r="AM345" s="9">
        <f t="shared" si="1714"/>
        <v>123.0626448502213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9">
        <f t="shared" si="1715"/>
        <v>6067516.8370000003</v>
      </c>
      <c r="AV345" s="9">
        <f t="shared" si="1716"/>
        <v>129.73373039834078</v>
      </c>
      <c r="AW345" s="9">
        <f t="shared" si="1717"/>
        <v>176.13502158319329</v>
      </c>
      <c r="AX345" s="8">
        <v>12</v>
      </c>
      <c r="AY345" s="9">
        <f t="shared" si="1718"/>
        <v>3.0789625606705298</v>
      </c>
      <c r="AZ345" s="8">
        <v>28</v>
      </c>
      <c r="BA345" s="8">
        <v>50</v>
      </c>
      <c r="BB345" s="8">
        <v>39</v>
      </c>
      <c r="BC345" s="8">
        <v>30</v>
      </c>
      <c r="BD345" s="8">
        <v>0</v>
      </c>
      <c r="BE345" s="9">
        <f t="shared" si="1719"/>
        <v>30</v>
      </c>
      <c r="BF345" s="9">
        <f t="shared" si="1720"/>
        <v>59</v>
      </c>
      <c r="BG345" s="8">
        <v>0</v>
      </c>
      <c r="BH345" s="8">
        <v>0</v>
      </c>
      <c r="BI345" s="8">
        <v>0</v>
      </c>
      <c r="BJ345" s="8">
        <v>0</v>
      </c>
      <c r="BK345" s="9">
        <f t="shared" si="1721"/>
        <v>0</v>
      </c>
      <c r="BL345" s="9">
        <f t="shared" si="1722"/>
        <v>0</v>
      </c>
      <c r="BM345" s="8">
        <v>0</v>
      </c>
      <c r="BN345" s="8">
        <v>0</v>
      </c>
      <c r="BO345" s="8">
        <v>0</v>
      </c>
      <c r="BP345" s="8">
        <v>0</v>
      </c>
      <c r="BQ345" s="9">
        <f t="shared" si="1723"/>
        <v>0</v>
      </c>
      <c r="BR345" s="9">
        <f t="shared" si="1724"/>
        <v>0</v>
      </c>
      <c r="BS345" s="8">
        <v>0</v>
      </c>
      <c r="BT345" s="8">
        <v>0</v>
      </c>
      <c r="BU345" s="8">
        <v>0</v>
      </c>
      <c r="BV345" s="8">
        <v>0</v>
      </c>
      <c r="BW345" s="9">
        <f t="shared" si="1725"/>
        <v>0</v>
      </c>
      <c r="BX345" s="9">
        <f t="shared" si="1726"/>
        <v>0</v>
      </c>
      <c r="BY345" s="9">
        <f t="shared" si="1727"/>
        <v>50</v>
      </c>
      <c r="BZ345" s="9">
        <f t="shared" si="1728"/>
        <v>39</v>
      </c>
      <c r="CA345" s="9">
        <f t="shared" si="1729"/>
        <v>30</v>
      </c>
      <c r="CB345" s="9">
        <f t="shared" si="1730"/>
        <v>59</v>
      </c>
      <c r="CC345" s="8">
        <v>11</v>
      </c>
      <c r="CD345" s="8">
        <v>851</v>
      </c>
      <c r="CE345" s="8">
        <v>53</v>
      </c>
      <c r="CF345" s="8">
        <v>13</v>
      </c>
      <c r="CG345" s="8">
        <v>11</v>
      </c>
      <c r="CH345" s="9">
        <f t="shared" si="1731"/>
        <v>928</v>
      </c>
      <c r="CI345" s="8">
        <v>2790</v>
      </c>
      <c r="CJ345" s="8">
        <v>15</v>
      </c>
      <c r="CK345" s="8">
        <v>16</v>
      </c>
      <c r="CL345" s="8">
        <v>13</v>
      </c>
      <c r="CM345" s="9">
        <f t="shared" si="1732"/>
        <v>2834</v>
      </c>
      <c r="CN345" s="8">
        <v>270</v>
      </c>
      <c r="CO345" s="8">
        <v>43</v>
      </c>
      <c r="CP345" s="8">
        <v>75</v>
      </c>
      <c r="CQ345" s="8">
        <v>4</v>
      </c>
      <c r="CR345" s="9">
        <f t="shared" si="1733"/>
        <v>392</v>
      </c>
      <c r="CS345" s="9">
        <f t="shared" si="1734"/>
        <v>3226</v>
      </c>
      <c r="CT345" s="8">
        <v>4154</v>
      </c>
      <c r="CU345" s="8">
        <v>23435</v>
      </c>
      <c r="CV345" s="8">
        <v>20332</v>
      </c>
      <c r="CW345" s="10">
        <f t="shared" si="1735"/>
        <v>0.8675912097290378</v>
      </c>
      <c r="CX345" s="8">
        <v>4</v>
      </c>
      <c r="CY345" s="8">
        <v>1</v>
      </c>
      <c r="CZ345" s="8">
        <v>0</v>
      </c>
      <c r="DA345" s="8">
        <v>0</v>
      </c>
      <c r="DB345" s="9">
        <f t="shared" si="1736"/>
        <v>5</v>
      </c>
      <c r="DC345" s="8">
        <v>3</v>
      </c>
      <c r="DD345" s="8">
        <v>0</v>
      </c>
      <c r="DE345" s="8">
        <v>1</v>
      </c>
      <c r="DF345" s="8">
        <v>0</v>
      </c>
      <c r="DG345" s="9">
        <f t="shared" si="1737"/>
        <v>2</v>
      </c>
      <c r="DH345" s="8">
        <v>3</v>
      </c>
      <c r="DI345" s="8">
        <v>0</v>
      </c>
      <c r="DJ345" s="8">
        <v>2</v>
      </c>
      <c r="DK345" s="8">
        <v>0</v>
      </c>
      <c r="DL345" s="9">
        <f t="shared" si="1738"/>
        <v>1</v>
      </c>
      <c r="DM345" s="8">
        <v>466</v>
      </c>
      <c r="DN345" s="8">
        <v>87</v>
      </c>
      <c r="DO345" s="8">
        <v>22</v>
      </c>
      <c r="DP345" s="8">
        <v>0</v>
      </c>
      <c r="DQ345" s="9">
        <f t="shared" si="1739"/>
        <v>531</v>
      </c>
      <c r="DR345" s="9">
        <f t="shared" si="1740"/>
        <v>476</v>
      </c>
      <c r="DS345" s="9">
        <f t="shared" si="1741"/>
        <v>88</v>
      </c>
      <c r="DT345" s="9">
        <f t="shared" si="1742"/>
        <v>25</v>
      </c>
      <c r="DU345" s="9">
        <f t="shared" si="1743"/>
        <v>0</v>
      </c>
      <c r="DV345" s="9">
        <f t="shared" si="1744"/>
        <v>539</v>
      </c>
      <c r="DW345" s="8">
        <v>19</v>
      </c>
      <c r="DX345" s="8">
        <v>11</v>
      </c>
      <c r="DY345" s="8">
        <v>3</v>
      </c>
      <c r="DZ345" s="8">
        <v>5</v>
      </c>
      <c r="EA345" s="8">
        <v>8</v>
      </c>
      <c r="EB345" s="8">
        <v>10</v>
      </c>
      <c r="EC345" s="8">
        <v>4</v>
      </c>
      <c r="ED345" s="8">
        <v>4</v>
      </c>
      <c r="EE345" s="8">
        <v>2</v>
      </c>
      <c r="EF345" s="8">
        <v>1</v>
      </c>
      <c r="EG345" s="8">
        <v>0</v>
      </c>
      <c r="EH345" s="8">
        <v>0</v>
      </c>
      <c r="EI345" s="8">
        <v>0</v>
      </c>
      <c r="EJ345" s="8">
        <v>4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9">
        <f t="shared" si="1745"/>
        <v>71</v>
      </c>
      <c r="FH345" s="8">
        <v>0</v>
      </c>
      <c r="FI345" s="8">
        <v>0</v>
      </c>
      <c r="FJ345" s="8">
        <v>22</v>
      </c>
      <c r="FK345" s="8">
        <v>6.8</v>
      </c>
      <c r="FL345" s="8">
        <v>0</v>
      </c>
      <c r="FM345" s="8">
        <v>0</v>
      </c>
      <c r="FN345" s="8">
        <v>0</v>
      </c>
      <c r="FO345" s="8">
        <v>0</v>
      </c>
      <c r="FP345" s="8">
        <v>0</v>
      </c>
      <c r="FQ345" s="9">
        <f t="shared" si="1746"/>
        <v>0</v>
      </c>
      <c r="FR345" s="8">
        <v>20892983.399999999</v>
      </c>
      <c r="FS345" s="8">
        <v>93000</v>
      </c>
      <c r="FT345" s="8">
        <v>284700</v>
      </c>
      <c r="FU345" s="8">
        <v>432867.22</v>
      </c>
      <c r="FV345" s="9">
        <f t="shared" si="1747"/>
        <v>21703550.619999997</v>
      </c>
      <c r="FW345" s="8">
        <v>2757160</v>
      </c>
      <c r="FX345" s="8">
        <v>78100</v>
      </c>
      <c r="FY345" s="8">
        <v>4298200</v>
      </c>
      <c r="FZ345" s="8">
        <v>20052118.879999999</v>
      </c>
      <c r="GA345" s="9">
        <f t="shared" si="1748"/>
        <v>27185578.879999999</v>
      </c>
      <c r="GB345" s="9">
        <f t="shared" si="1749"/>
        <v>48889129.5</v>
      </c>
      <c r="GC345" s="8">
        <v>21297446.989999998</v>
      </c>
      <c r="GD345" s="8">
        <v>155701.92000000001</v>
      </c>
      <c r="GE345" s="8">
        <v>246220.33</v>
      </c>
      <c r="GF345" s="8">
        <v>531556.22</v>
      </c>
      <c r="GG345" s="9">
        <f t="shared" si="1750"/>
        <v>22230925.459999997</v>
      </c>
      <c r="GH345" s="8">
        <v>2720867.39</v>
      </c>
      <c r="GI345" s="8">
        <v>78100</v>
      </c>
      <c r="GJ345" s="8">
        <v>19935949.309999999</v>
      </c>
      <c r="GK345" s="8">
        <v>4298200</v>
      </c>
      <c r="GL345" s="9">
        <f t="shared" si="1751"/>
        <v>27033116.699999999</v>
      </c>
      <c r="GM345" s="9">
        <f t="shared" si="1752"/>
        <v>49264042.159999996</v>
      </c>
      <c r="GN345" s="8">
        <v>1482484.53</v>
      </c>
      <c r="GO345" s="8">
        <v>2486.64</v>
      </c>
      <c r="GP345" s="8">
        <v>50904.6</v>
      </c>
      <c r="GQ345" s="8">
        <v>74197.440000000002</v>
      </c>
      <c r="GR345" s="9">
        <f t="shared" si="1753"/>
        <v>1610073.21</v>
      </c>
      <c r="GS345" s="8">
        <v>2491470</v>
      </c>
      <c r="GT345" s="8">
        <v>11609</v>
      </c>
      <c r="GU345" s="8">
        <v>13395</v>
      </c>
      <c r="GV345" s="8">
        <v>14288</v>
      </c>
      <c r="GW345" s="9">
        <f t="shared" si="1754"/>
        <v>2530762</v>
      </c>
      <c r="GX345" s="9">
        <f t="shared" si="1755"/>
        <v>53404877.369999997</v>
      </c>
      <c r="GY345" s="8">
        <v>131623274.0999998</v>
      </c>
      <c r="GZ345" s="8">
        <v>-1857224.35</v>
      </c>
      <c r="HA345" s="9">
        <f t="shared" si="1762"/>
        <v>129766049.74999981</v>
      </c>
      <c r="HB345" s="9">
        <f t="shared" si="1756"/>
        <v>0.1136135337408041</v>
      </c>
      <c r="HC345" s="10">
        <f t="shared" si="1757"/>
        <v>0.26422535766362459</v>
      </c>
      <c r="HD345" s="9">
        <f t="shared" si="1758"/>
        <v>0.91544315627364958</v>
      </c>
      <c r="HE345" s="8">
        <v>39</v>
      </c>
      <c r="HF345" s="8">
        <v>2</v>
      </c>
      <c r="HG345" s="8">
        <v>59</v>
      </c>
      <c r="HH345" s="8">
        <v>39</v>
      </c>
      <c r="HI345" s="8">
        <v>15</v>
      </c>
      <c r="HJ345" s="9">
        <f t="shared" si="1759"/>
        <v>17</v>
      </c>
      <c r="HK345" s="10">
        <f t="shared" si="1760"/>
        <v>1</v>
      </c>
      <c r="HL345" s="8">
        <v>12</v>
      </c>
      <c r="HM345" s="8">
        <v>7</v>
      </c>
      <c r="HN345" s="11">
        <f t="shared" si="1761"/>
        <v>0.58333333333333337</v>
      </c>
    </row>
    <row r="346" spans="1:222" x14ac:dyDescent="0.3">
      <c r="A346" s="12" t="s">
        <v>295</v>
      </c>
      <c r="B346" s="12" t="s">
        <v>301</v>
      </c>
      <c r="C346" s="13" t="s">
        <v>257</v>
      </c>
      <c r="D346" s="13">
        <v>2025</v>
      </c>
      <c r="E346" s="13">
        <v>11</v>
      </c>
      <c r="F346" s="13" t="s">
        <v>268</v>
      </c>
      <c r="G346" s="13" t="s">
        <v>267</v>
      </c>
      <c r="H346" s="14">
        <v>41556</v>
      </c>
      <c r="I346" s="14">
        <v>23504</v>
      </c>
      <c r="J346" s="14">
        <v>780</v>
      </c>
      <c r="K346" s="14">
        <v>96</v>
      </c>
      <c r="L346" s="14">
        <v>126</v>
      </c>
      <c r="M346" s="15">
        <f t="shared" si="1702"/>
        <v>24506</v>
      </c>
      <c r="N346" s="14">
        <v>2005.0999999999899</v>
      </c>
      <c r="O346" s="14">
        <v>364.9</v>
      </c>
      <c r="P346" s="14">
        <v>2418.9</v>
      </c>
      <c r="Q346" s="14">
        <v>793.400000000001</v>
      </c>
      <c r="R346" s="15">
        <f t="shared" si="1703"/>
        <v>5582.299999999992</v>
      </c>
      <c r="S346" s="15">
        <f t="shared" si="1704"/>
        <v>30088.299999999992</v>
      </c>
      <c r="T346" s="14">
        <v>11467.7</v>
      </c>
      <c r="U346" s="16">
        <f t="shared" si="1705"/>
        <v>0.27595774376744636</v>
      </c>
      <c r="V346" s="14">
        <v>13</v>
      </c>
      <c r="W346" s="17">
        <f t="shared" si="1706"/>
        <v>3.1283087881413035E-4</v>
      </c>
      <c r="X346" s="14">
        <v>0</v>
      </c>
      <c r="Y346" s="17">
        <f t="shared" si="1707"/>
        <v>0</v>
      </c>
      <c r="Z346" s="14">
        <v>0</v>
      </c>
      <c r="AA346" s="17">
        <f t="shared" si="1708"/>
        <v>0</v>
      </c>
      <c r="AB346" s="14">
        <v>0</v>
      </c>
      <c r="AC346" s="17">
        <f t="shared" si="1709"/>
        <v>0</v>
      </c>
      <c r="AD346" s="14">
        <v>0</v>
      </c>
      <c r="AE346" s="17">
        <f t="shared" si="1710"/>
        <v>0</v>
      </c>
      <c r="AF346" s="14">
        <v>0</v>
      </c>
      <c r="AG346" s="17">
        <f t="shared" si="1711"/>
        <v>0</v>
      </c>
      <c r="AH346" s="14">
        <v>338000</v>
      </c>
      <c r="AI346" s="15">
        <f t="shared" si="1712"/>
        <v>8.1336028491673886</v>
      </c>
      <c r="AJ346" s="14">
        <v>21673</v>
      </c>
      <c r="AK346" s="17">
        <f t="shared" si="1713"/>
        <v>0.52153720281066518</v>
      </c>
      <c r="AL346" s="14">
        <v>5955032.4069999997</v>
      </c>
      <c r="AM346" s="15">
        <f t="shared" si="1714"/>
        <v>143.30138624987967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5">
        <f t="shared" si="1715"/>
        <v>6293032.4069999997</v>
      </c>
      <c r="AV346" s="15">
        <f t="shared" si="1716"/>
        <v>151.43498909904707</v>
      </c>
      <c r="AW346" s="15">
        <f t="shared" si="1717"/>
        <v>209.15214242745523</v>
      </c>
      <c r="AX346" s="14">
        <v>12</v>
      </c>
      <c r="AY346" s="15">
        <f t="shared" si="1718"/>
        <v>3.4652035807103672</v>
      </c>
      <c r="AZ346" s="14">
        <v>28</v>
      </c>
      <c r="BA346" s="14">
        <v>59</v>
      </c>
      <c r="BB346" s="14">
        <v>20</v>
      </c>
      <c r="BC346" s="14">
        <v>19</v>
      </c>
      <c r="BD346" s="14">
        <v>0</v>
      </c>
      <c r="BE346" s="15">
        <f t="shared" si="1719"/>
        <v>19</v>
      </c>
      <c r="BF346" s="15">
        <f t="shared" si="1720"/>
        <v>60</v>
      </c>
      <c r="BG346" s="14">
        <v>0</v>
      </c>
      <c r="BH346" s="14">
        <v>0</v>
      </c>
      <c r="BI346" s="14">
        <v>0</v>
      </c>
      <c r="BJ346" s="14">
        <v>0</v>
      </c>
      <c r="BK346" s="15">
        <f t="shared" si="1721"/>
        <v>0</v>
      </c>
      <c r="BL346" s="15">
        <f t="shared" si="1722"/>
        <v>0</v>
      </c>
      <c r="BM346" s="14">
        <v>0</v>
      </c>
      <c r="BN346" s="14">
        <v>0</v>
      </c>
      <c r="BO346" s="14">
        <v>0</v>
      </c>
      <c r="BP346" s="14">
        <v>0</v>
      </c>
      <c r="BQ346" s="15">
        <f t="shared" si="1723"/>
        <v>0</v>
      </c>
      <c r="BR346" s="15">
        <f t="shared" si="1724"/>
        <v>0</v>
      </c>
      <c r="BS346" s="14">
        <v>0</v>
      </c>
      <c r="BT346" s="14">
        <v>0</v>
      </c>
      <c r="BU346" s="14">
        <v>0</v>
      </c>
      <c r="BV346" s="14">
        <v>0</v>
      </c>
      <c r="BW346" s="15">
        <f t="shared" si="1725"/>
        <v>0</v>
      </c>
      <c r="BX346" s="15">
        <f t="shared" si="1726"/>
        <v>0</v>
      </c>
      <c r="BY346" s="15">
        <f t="shared" si="1727"/>
        <v>59</v>
      </c>
      <c r="BZ346" s="15">
        <f t="shared" si="1728"/>
        <v>20</v>
      </c>
      <c r="CA346" s="15">
        <f t="shared" si="1729"/>
        <v>19</v>
      </c>
      <c r="CB346" s="15">
        <f t="shared" si="1730"/>
        <v>60</v>
      </c>
      <c r="CC346" s="14">
        <v>0</v>
      </c>
      <c r="CD346" s="14">
        <v>840</v>
      </c>
      <c r="CE346" s="14">
        <v>52</v>
      </c>
      <c r="CF346" s="14">
        <v>15</v>
      </c>
      <c r="CG346" s="14">
        <v>12</v>
      </c>
      <c r="CH346" s="15">
        <f t="shared" si="1731"/>
        <v>919</v>
      </c>
      <c r="CI346" s="14">
        <v>2822</v>
      </c>
      <c r="CJ346" s="14">
        <v>16</v>
      </c>
      <c r="CK346" s="14">
        <v>14</v>
      </c>
      <c r="CL346" s="14">
        <v>12</v>
      </c>
      <c r="CM346" s="15">
        <f t="shared" si="1732"/>
        <v>2864</v>
      </c>
      <c r="CN346" s="14">
        <v>268</v>
      </c>
      <c r="CO346" s="14">
        <v>43</v>
      </c>
      <c r="CP346" s="14">
        <v>75</v>
      </c>
      <c r="CQ346" s="14">
        <v>4</v>
      </c>
      <c r="CR346" s="15">
        <f t="shared" si="1733"/>
        <v>390</v>
      </c>
      <c r="CS346" s="15">
        <f t="shared" si="1734"/>
        <v>3254</v>
      </c>
      <c r="CT346" s="14">
        <v>4173</v>
      </c>
      <c r="CU346" s="14">
        <v>23491</v>
      </c>
      <c r="CV346" s="14">
        <v>20413.7</v>
      </c>
      <c r="CW346" s="16">
        <f t="shared" si="1735"/>
        <v>0.86900089395938873</v>
      </c>
      <c r="CX346" s="14">
        <v>5</v>
      </c>
      <c r="CY346" s="14">
        <v>2</v>
      </c>
      <c r="CZ346" s="14">
        <v>1</v>
      </c>
      <c r="DA346" s="14">
        <v>0</v>
      </c>
      <c r="DB346" s="15">
        <f t="shared" si="1736"/>
        <v>6</v>
      </c>
      <c r="DC346" s="14">
        <v>2</v>
      </c>
      <c r="DD346" s="14">
        <v>0</v>
      </c>
      <c r="DE346" s="14">
        <v>0</v>
      </c>
      <c r="DF346" s="14">
        <v>0</v>
      </c>
      <c r="DG346" s="15">
        <f t="shared" si="1737"/>
        <v>2</v>
      </c>
      <c r="DH346" s="14">
        <v>1</v>
      </c>
      <c r="DI346" s="14">
        <v>0</v>
      </c>
      <c r="DJ346" s="14">
        <v>1</v>
      </c>
      <c r="DK346" s="14">
        <v>0</v>
      </c>
      <c r="DL346" s="15">
        <f t="shared" si="1738"/>
        <v>0</v>
      </c>
      <c r="DM346" s="14">
        <v>531</v>
      </c>
      <c r="DN346" s="14">
        <v>0</v>
      </c>
      <c r="DO346" s="14">
        <v>87</v>
      </c>
      <c r="DP346" s="14">
        <v>0</v>
      </c>
      <c r="DQ346" s="15">
        <f t="shared" si="1739"/>
        <v>444</v>
      </c>
      <c r="DR346" s="15">
        <f t="shared" si="1740"/>
        <v>539</v>
      </c>
      <c r="DS346" s="15">
        <f t="shared" si="1741"/>
        <v>2</v>
      </c>
      <c r="DT346" s="15">
        <f t="shared" si="1742"/>
        <v>89</v>
      </c>
      <c r="DU346" s="15">
        <f t="shared" si="1743"/>
        <v>0</v>
      </c>
      <c r="DV346" s="15">
        <f t="shared" si="1744"/>
        <v>452</v>
      </c>
      <c r="DW346" s="14">
        <v>10</v>
      </c>
      <c r="DX346" s="14">
        <v>9</v>
      </c>
      <c r="DY346" s="14">
        <v>6</v>
      </c>
      <c r="DZ346" s="14">
        <v>5</v>
      </c>
      <c r="EA346" s="14">
        <v>6</v>
      </c>
      <c r="EB346" s="14">
        <v>8</v>
      </c>
      <c r="EC346" s="14">
        <v>7</v>
      </c>
      <c r="ED346" s="14">
        <v>5</v>
      </c>
      <c r="EE346" s="14">
        <v>0</v>
      </c>
      <c r="EF346" s="14">
        <v>0</v>
      </c>
      <c r="EG346" s="14">
        <v>0</v>
      </c>
      <c r="EH346" s="14">
        <v>0</v>
      </c>
      <c r="EI346" s="14">
        <v>0</v>
      </c>
      <c r="EJ346" s="14">
        <v>2</v>
      </c>
      <c r="EK346" s="14">
        <v>0</v>
      </c>
      <c r="EL346" s="14">
        <v>0</v>
      </c>
      <c r="EM346" s="14">
        <v>0</v>
      </c>
      <c r="EN346" s="14">
        <v>0</v>
      </c>
      <c r="EO346" s="14">
        <v>0</v>
      </c>
      <c r="EP346" s="14">
        <v>0</v>
      </c>
      <c r="EQ346" s="14">
        <v>0</v>
      </c>
      <c r="ER346" s="14">
        <v>0</v>
      </c>
      <c r="ES346" s="14">
        <v>0</v>
      </c>
      <c r="ET346" s="14">
        <v>0</v>
      </c>
      <c r="EU346" s="14">
        <v>0</v>
      </c>
      <c r="EV346" s="14">
        <v>0</v>
      </c>
      <c r="EW346" s="14">
        <v>0</v>
      </c>
      <c r="EX346" s="14">
        <v>0</v>
      </c>
      <c r="EY346" s="14">
        <v>0</v>
      </c>
      <c r="EZ346" s="14">
        <v>0</v>
      </c>
      <c r="FA346" s="14">
        <v>0</v>
      </c>
      <c r="FB346" s="14">
        <v>0</v>
      </c>
      <c r="FC346" s="14">
        <v>0</v>
      </c>
      <c r="FD346" s="14">
        <v>0</v>
      </c>
      <c r="FE346" s="14">
        <v>0</v>
      </c>
      <c r="FF346" s="14">
        <v>0</v>
      </c>
      <c r="FG346" s="15">
        <f t="shared" si="1745"/>
        <v>58</v>
      </c>
      <c r="FH346" s="14">
        <v>0</v>
      </c>
      <c r="FI346" s="14">
        <v>0</v>
      </c>
      <c r="FJ346" s="14">
        <v>23</v>
      </c>
      <c r="FK346" s="14">
        <v>19.100000000000001</v>
      </c>
      <c r="FL346" s="14">
        <v>0</v>
      </c>
      <c r="FM346" s="14">
        <v>0</v>
      </c>
      <c r="FN346" s="14">
        <v>0</v>
      </c>
      <c r="FO346" s="14">
        <v>0</v>
      </c>
      <c r="FP346" s="14">
        <v>0</v>
      </c>
      <c r="FQ346" s="15">
        <f t="shared" si="1746"/>
        <v>0</v>
      </c>
      <c r="FR346" s="14">
        <v>22585590.399999999</v>
      </c>
      <c r="FS346" s="14">
        <v>103000</v>
      </c>
      <c r="FT346" s="14">
        <v>239500</v>
      </c>
      <c r="FU346" s="14">
        <v>219450</v>
      </c>
      <c r="FV346" s="15">
        <f t="shared" si="1747"/>
        <v>23147540.399999999</v>
      </c>
      <c r="FW346" s="14">
        <v>2531606.44</v>
      </c>
      <c r="FX346" s="14">
        <v>81400</v>
      </c>
      <c r="FY346" s="14">
        <v>3756192.15</v>
      </c>
      <c r="FZ346" s="14">
        <v>7352600</v>
      </c>
      <c r="GA346" s="15">
        <f t="shared" si="1748"/>
        <v>13721798.59</v>
      </c>
      <c r="GB346" s="15">
        <f t="shared" si="1749"/>
        <v>36869338.989999995</v>
      </c>
      <c r="GC346" s="14">
        <v>21704201.93</v>
      </c>
      <c r="GD346" s="14">
        <v>149198.39999999999</v>
      </c>
      <c r="GE346" s="14">
        <v>264647.75</v>
      </c>
      <c r="GF346" s="14">
        <v>446053.84</v>
      </c>
      <c r="GG346" s="15">
        <f t="shared" si="1750"/>
        <v>22564101.919999998</v>
      </c>
      <c r="GH346" s="14">
        <v>2500406.44</v>
      </c>
      <c r="GI346" s="14">
        <v>81400</v>
      </c>
      <c r="GJ346" s="14">
        <v>7352600</v>
      </c>
      <c r="GK346" s="14">
        <v>3756192.13</v>
      </c>
      <c r="GL346" s="15">
        <f t="shared" si="1751"/>
        <v>13690598.57</v>
      </c>
      <c r="GM346" s="15">
        <f t="shared" si="1752"/>
        <v>36254700.489999995</v>
      </c>
      <c r="GN346" s="14">
        <v>1499491.75</v>
      </c>
      <c r="GO346" s="14">
        <v>2295.36</v>
      </c>
      <c r="GP346" s="14">
        <v>54298.239999999998</v>
      </c>
      <c r="GQ346" s="14">
        <v>64922.76</v>
      </c>
      <c r="GR346" s="15">
        <f t="shared" si="1753"/>
        <v>1621008.11</v>
      </c>
      <c r="GS346" s="14">
        <v>2520046</v>
      </c>
      <c r="GT346" s="14">
        <v>10716</v>
      </c>
      <c r="GU346" s="14">
        <v>14288</v>
      </c>
      <c r="GV346" s="14">
        <v>12502</v>
      </c>
      <c r="GW346" s="15">
        <f t="shared" si="1754"/>
        <v>2557552</v>
      </c>
      <c r="GX346" s="15">
        <f t="shared" si="1755"/>
        <v>40433260.599999994</v>
      </c>
      <c r="GY346" s="14">
        <v>95750734.04000023</v>
      </c>
      <c r="GZ346" s="14">
        <v>-1526929.31</v>
      </c>
      <c r="HA346" s="9">
        <f t="shared" si="1762"/>
        <v>94223804.730000228</v>
      </c>
      <c r="HB346" s="15">
        <f t="shared" si="1756"/>
        <v>0.15563999325347511</v>
      </c>
      <c r="HC346" s="16">
        <f t="shared" si="1757"/>
        <v>0.27073180726900681</v>
      </c>
      <c r="HD346" s="15">
        <f t="shared" si="1758"/>
        <v>0.91185668538440845</v>
      </c>
      <c r="HE346" s="14">
        <v>20</v>
      </c>
      <c r="HF346" s="14">
        <v>2</v>
      </c>
      <c r="HG346" s="14">
        <v>60</v>
      </c>
      <c r="HH346" s="14">
        <v>20</v>
      </c>
      <c r="HI346" s="14">
        <v>5</v>
      </c>
      <c r="HJ346" s="15">
        <f t="shared" si="1759"/>
        <v>7</v>
      </c>
      <c r="HK346" s="16">
        <f t="shared" si="1760"/>
        <v>1</v>
      </c>
      <c r="HL346" s="14">
        <v>22</v>
      </c>
      <c r="HM346" s="14">
        <v>6</v>
      </c>
      <c r="HN346" s="17">
        <f t="shared" si="1761"/>
        <v>0.27272727272727271</v>
      </c>
    </row>
    <row r="347" spans="1:222" x14ac:dyDescent="0.3">
      <c r="A347" s="6" t="s">
        <v>295</v>
      </c>
      <c r="B347" s="6" t="s">
        <v>301</v>
      </c>
      <c r="C347" s="7" t="s">
        <v>257</v>
      </c>
      <c r="D347" s="7">
        <v>2025</v>
      </c>
      <c r="E347" s="7">
        <v>12</v>
      </c>
      <c r="F347" s="7" t="s">
        <v>269</v>
      </c>
      <c r="G347" s="7" t="s">
        <v>267</v>
      </c>
      <c r="H347" s="8">
        <v>39947</v>
      </c>
      <c r="I347" s="8">
        <v>21125</v>
      </c>
      <c r="J347" s="8">
        <v>623</v>
      </c>
      <c r="K347" s="8">
        <v>92</v>
      </c>
      <c r="L347" s="8">
        <v>101</v>
      </c>
      <c r="M347" s="9">
        <f t="shared" si="1702"/>
        <v>21941</v>
      </c>
      <c r="N347" s="8">
        <v>2054</v>
      </c>
      <c r="O347" s="8">
        <v>281</v>
      </c>
      <c r="P347" s="8">
        <v>3783.9</v>
      </c>
      <c r="Q347" s="8">
        <v>561.30000000000098</v>
      </c>
      <c r="R347" s="9">
        <f t="shared" si="1703"/>
        <v>6680.2000000000007</v>
      </c>
      <c r="S347" s="9">
        <f t="shared" si="1704"/>
        <v>28621.200000000001</v>
      </c>
      <c r="T347" s="8">
        <v>11325.8</v>
      </c>
      <c r="U347" s="10">
        <f t="shared" si="1705"/>
        <v>0.28352066488096728</v>
      </c>
      <c r="V347" s="8">
        <v>12.5</v>
      </c>
      <c r="W347" s="11">
        <f t="shared" si="1706"/>
        <v>3.1291461186071543E-4</v>
      </c>
      <c r="X347" s="8">
        <v>0</v>
      </c>
      <c r="Y347" s="11">
        <f t="shared" si="1707"/>
        <v>0</v>
      </c>
      <c r="Z347" s="8">
        <v>0</v>
      </c>
      <c r="AA347" s="11">
        <f t="shared" si="1708"/>
        <v>0</v>
      </c>
      <c r="AB347" s="8">
        <v>0</v>
      </c>
      <c r="AC347" s="11">
        <f t="shared" si="1709"/>
        <v>0</v>
      </c>
      <c r="AD347" s="8">
        <v>0</v>
      </c>
      <c r="AE347" s="11">
        <f t="shared" si="1710"/>
        <v>0</v>
      </c>
      <c r="AF347" s="8">
        <v>0</v>
      </c>
      <c r="AG347" s="11">
        <f t="shared" si="1711"/>
        <v>0</v>
      </c>
      <c r="AH347" s="8">
        <v>325000</v>
      </c>
      <c r="AI347" s="9">
        <f t="shared" si="1712"/>
        <v>8.135779908378602</v>
      </c>
      <c r="AJ347" s="8">
        <v>21357</v>
      </c>
      <c r="AK347" s="11">
        <f t="shared" si="1713"/>
        <v>0.53463338924074399</v>
      </c>
      <c r="AL347" s="8">
        <v>5868666.7630000003</v>
      </c>
      <c r="AM347" s="9">
        <f t="shared" si="1714"/>
        <v>146.91132658272213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9">
        <f t="shared" si="1715"/>
        <v>6193666.7630000003</v>
      </c>
      <c r="AV347" s="9">
        <f t="shared" si="1716"/>
        <v>155.04710649110072</v>
      </c>
      <c r="AW347" s="9">
        <f t="shared" si="1717"/>
        <v>216.40136552625327</v>
      </c>
      <c r="AX347" s="8">
        <v>12</v>
      </c>
      <c r="AY347" s="9">
        <f t="shared" si="1718"/>
        <v>3.6047763286354417</v>
      </c>
      <c r="AZ347" s="8">
        <v>28</v>
      </c>
      <c r="BA347" s="8">
        <v>60</v>
      </c>
      <c r="BB347" s="8">
        <v>16</v>
      </c>
      <c r="BC347" s="8">
        <v>16</v>
      </c>
      <c r="BD347" s="8">
        <v>0</v>
      </c>
      <c r="BE347" s="9">
        <f t="shared" si="1719"/>
        <v>16</v>
      </c>
      <c r="BF347" s="9">
        <f t="shared" si="1720"/>
        <v>60</v>
      </c>
      <c r="BG347" s="8">
        <v>0</v>
      </c>
      <c r="BH347" s="8">
        <v>0</v>
      </c>
      <c r="BI347" s="8">
        <v>0</v>
      </c>
      <c r="BJ347" s="8">
        <v>0</v>
      </c>
      <c r="BK347" s="9">
        <f t="shared" si="1721"/>
        <v>0</v>
      </c>
      <c r="BL347" s="9">
        <f t="shared" si="1722"/>
        <v>0</v>
      </c>
      <c r="BM347" s="8">
        <v>0</v>
      </c>
      <c r="BN347" s="8">
        <v>0</v>
      </c>
      <c r="BO347" s="8">
        <v>0</v>
      </c>
      <c r="BP347" s="8">
        <v>0</v>
      </c>
      <c r="BQ347" s="9">
        <f t="shared" si="1723"/>
        <v>0</v>
      </c>
      <c r="BR347" s="9">
        <f t="shared" si="1724"/>
        <v>0</v>
      </c>
      <c r="BS347" s="8">
        <v>0</v>
      </c>
      <c r="BT347" s="8">
        <v>0</v>
      </c>
      <c r="BU347" s="8">
        <v>0</v>
      </c>
      <c r="BV347" s="8">
        <v>0</v>
      </c>
      <c r="BW347" s="9">
        <f t="shared" si="1725"/>
        <v>0</v>
      </c>
      <c r="BX347" s="9">
        <f t="shared" si="1726"/>
        <v>0</v>
      </c>
      <c r="BY347" s="9">
        <f t="shared" si="1727"/>
        <v>60</v>
      </c>
      <c r="BZ347" s="9">
        <f t="shared" si="1728"/>
        <v>16</v>
      </c>
      <c r="CA347" s="9">
        <f t="shared" si="1729"/>
        <v>16</v>
      </c>
      <c r="CB347" s="9">
        <f t="shared" si="1730"/>
        <v>60</v>
      </c>
      <c r="CC347" s="8">
        <v>0</v>
      </c>
      <c r="CD347" s="8">
        <v>859</v>
      </c>
      <c r="CE347" s="8">
        <v>52</v>
      </c>
      <c r="CF347" s="8">
        <v>13</v>
      </c>
      <c r="CG347" s="8">
        <v>11</v>
      </c>
      <c r="CH347" s="9">
        <f t="shared" si="1731"/>
        <v>935</v>
      </c>
      <c r="CI347" s="8">
        <v>2816</v>
      </c>
      <c r="CJ347" s="8">
        <v>16</v>
      </c>
      <c r="CK347" s="8">
        <v>14</v>
      </c>
      <c r="CL347" s="8">
        <v>12</v>
      </c>
      <c r="CM347" s="9">
        <f t="shared" si="1732"/>
        <v>2858</v>
      </c>
      <c r="CN347" s="8">
        <v>271</v>
      </c>
      <c r="CO347" s="8">
        <v>43</v>
      </c>
      <c r="CP347" s="8">
        <v>77</v>
      </c>
      <c r="CQ347" s="8">
        <v>5</v>
      </c>
      <c r="CR347" s="9">
        <f t="shared" si="1733"/>
        <v>396</v>
      </c>
      <c r="CS347" s="9">
        <f t="shared" si="1734"/>
        <v>3254</v>
      </c>
      <c r="CT347" s="8">
        <v>4189</v>
      </c>
      <c r="CU347" s="8">
        <v>23547</v>
      </c>
      <c r="CV347" s="8">
        <v>20482.8</v>
      </c>
      <c r="CW347" s="10">
        <f t="shared" si="1735"/>
        <v>0.86986877309211363</v>
      </c>
      <c r="CX347" s="8">
        <v>6</v>
      </c>
      <c r="CY347" s="8">
        <v>0</v>
      </c>
      <c r="CZ347" s="8">
        <v>1</v>
      </c>
      <c r="DA347" s="8">
        <v>0</v>
      </c>
      <c r="DB347" s="9">
        <f t="shared" si="1736"/>
        <v>5</v>
      </c>
      <c r="DC347" s="8">
        <v>2</v>
      </c>
      <c r="DD347" s="8">
        <v>0</v>
      </c>
      <c r="DE347" s="8">
        <v>0</v>
      </c>
      <c r="DF347" s="8">
        <v>0</v>
      </c>
      <c r="DG347" s="9">
        <f t="shared" si="1737"/>
        <v>2</v>
      </c>
      <c r="DH347" s="8">
        <v>0</v>
      </c>
      <c r="DI347" s="8">
        <v>0</v>
      </c>
      <c r="DJ347" s="8">
        <v>0</v>
      </c>
      <c r="DK347" s="8">
        <v>0</v>
      </c>
      <c r="DL347" s="9">
        <f t="shared" si="1738"/>
        <v>0</v>
      </c>
      <c r="DM347" s="8">
        <v>444</v>
      </c>
      <c r="DN347" s="8">
        <v>90</v>
      </c>
      <c r="DO347" s="8">
        <v>7</v>
      </c>
      <c r="DP347" s="8">
        <v>0</v>
      </c>
      <c r="DQ347" s="9">
        <f t="shared" si="1739"/>
        <v>527</v>
      </c>
      <c r="DR347" s="9">
        <f t="shared" si="1740"/>
        <v>452</v>
      </c>
      <c r="DS347" s="9">
        <f t="shared" si="1741"/>
        <v>90</v>
      </c>
      <c r="DT347" s="9">
        <f t="shared" si="1742"/>
        <v>8</v>
      </c>
      <c r="DU347" s="9">
        <f t="shared" si="1743"/>
        <v>0</v>
      </c>
      <c r="DV347" s="9">
        <f t="shared" si="1744"/>
        <v>534</v>
      </c>
      <c r="DW347" s="8">
        <v>12</v>
      </c>
      <c r="DX347" s="8">
        <v>10</v>
      </c>
      <c r="DY347" s="8">
        <v>6</v>
      </c>
      <c r="DZ347" s="8">
        <v>5</v>
      </c>
      <c r="EA347" s="8">
        <v>6</v>
      </c>
      <c r="EB347" s="8">
        <v>10</v>
      </c>
      <c r="EC347" s="8">
        <v>7</v>
      </c>
      <c r="ED347" s="8">
        <v>6</v>
      </c>
      <c r="EE347" s="8">
        <v>1</v>
      </c>
      <c r="EF347" s="8">
        <v>2</v>
      </c>
      <c r="EG347" s="8">
        <v>0</v>
      </c>
      <c r="EH347" s="8">
        <v>0</v>
      </c>
      <c r="EI347" s="8">
        <v>0</v>
      </c>
      <c r="EJ347" s="8">
        <v>3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9">
        <f t="shared" si="1745"/>
        <v>68</v>
      </c>
      <c r="FH347" s="8">
        <v>0</v>
      </c>
      <c r="FI347" s="8">
        <v>0</v>
      </c>
      <c r="FJ347" s="8">
        <v>22</v>
      </c>
      <c r="FK347" s="8">
        <v>57.5</v>
      </c>
      <c r="FL347" s="8">
        <v>0</v>
      </c>
      <c r="FM347" s="8">
        <v>0</v>
      </c>
      <c r="FN347" s="8">
        <v>0</v>
      </c>
      <c r="FO347" s="8">
        <v>0</v>
      </c>
      <c r="FP347" s="8">
        <v>0</v>
      </c>
      <c r="FQ347" s="9">
        <f t="shared" si="1746"/>
        <v>0</v>
      </c>
      <c r="FR347" s="8">
        <v>30726031.409999989</v>
      </c>
      <c r="FS347" s="8">
        <v>140000</v>
      </c>
      <c r="FT347" s="8">
        <v>523484.44</v>
      </c>
      <c r="FU347" s="8">
        <v>609800</v>
      </c>
      <c r="FV347" s="9">
        <f t="shared" si="1747"/>
        <v>31999315.84999999</v>
      </c>
      <c r="FW347" s="8">
        <v>2591260</v>
      </c>
      <c r="FX347" s="8">
        <v>59700</v>
      </c>
      <c r="FY347" s="8">
        <v>2673400</v>
      </c>
      <c r="FZ347" s="8">
        <v>11502569</v>
      </c>
      <c r="GA347" s="9">
        <f t="shared" si="1748"/>
        <v>16826929</v>
      </c>
      <c r="GB347" s="9">
        <f t="shared" si="1749"/>
        <v>48826244.849999994</v>
      </c>
      <c r="GC347" s="8">
        <v>19672199.02</v>
      </c>
      <c r="GD347" s="8">
        <v>119167.44</v>
      </c>
      <c r="GE347" s="8">
        <v>263204.84999999998</v>
      </c>
      <c r="GF347" s="8">
        <v>320263.82</v>
      </c>
      <c r="GG347" s="9">
        <f t="shared" si="1750"/>
        <v>20374835.130000003</v>
      </c>
      <c r="GH347" s="8">
        <v>2563780</v>
      </c>
      <c r="GI347" s="8">
        <v>59700</v>
      </c>
      <c r="GJ347" s="8">
        <v>11500169</v>
      </c>
      <c r="GK347" s="8">
        <v>2655400</v>
      </c>
      <c r="GL347" s="9">
        <f t="shared" si="1751"/>
        <v>16779049</v>
      </c>
      <c r="GM347" s="9">
        <f t="shared" si="1752"/>
        <v>37153884.130000003</v>
      </c>
      <c r="GN347" s="8">
        <v>1496671.89</v>
      </c>
      <c r="GO347" s="8">
        <v>2295.36</v>
      </c>
      <c r="GP347" s="8">
        <v>54298.239999999998</v>
      </c>
      <c r="GQ347" s="8">
        <v>64922.76</v>
      </c>
      <c r="GR347" s="9">
        <f t="shared" si="1753"/>
        <v>1618188.25</v>
      </c>
      <c r="GS347" s="8">
        <v>2514688</v>
      </c>
      <c r="GT347" s="8">
        <v>10716</v>
      </c>
      <c r="GU347" s="8">
        <v>14288</v>
      </c>
      <c r="GV347" s="8">
        <v>12502</v>
      </c>
      <c r="GW347" s="9">
        <f t="shared" si="1754"/>
        <v>2552194</v>
      </c>
      <c r="GX347" s="9">
        <f t="shared" si="1755"/>
        <v>41324266.380000003</v>
      </c>
      <c r="GY347" s="8">
        <v>123310603.74999981</v>
      </c>
      <c r="GZ347" s="8">
        <v>-1879798.85</v>
      </c>
      <c r="HA347" s="9">
        <f t="shared" si="1762"/>
        <v>121430804.89999981</v>
      </c>
      <c r="HB347" s="9">
        <f t="shared" si="1756"/>
        <v>0.1498796543910963</v>
      </c>
      <c r="HC347" s="10">
        <f t="shared" si="1757"/>
        <v>0.29657292414083097</v>
      </c>
      <c r="HD347" s="9">
        <f t="shared" si="1758"/>
        <v>1.1815393018962528</v>
      </c>
      <c r="HE347" s="8">
        <v>16</v>
      </c>
      <c r="HF347" s="8">
        <v>2</v>
      </c>
      <c r="HG347" s="8">
        <v>60</v>
      </c>
      <c r="HH347" s="8">
        <v>16</v>
      </c>
      <c r="HI347" s="8">
        <v>9</v>
      </c>
      <c r="HJ347" s="9">
        <f t="shared" si="1759"/>
        <v>11</v>
      </c>
      <c r="HK347" s="10">
        <f t="shared" si="1760"/>
        <v>1</v>
      </c>
      <c r="HL347" s="8">
        <v>21</v>
      </c>
      <c r="HM347" s="8">
        <v>5</v>
      </c>
      <c r="HN347" s="11">
        <f t="shared" si="1761"/>
        <v>0.23809523809523808</v>
      </c>
    </row>
    <row r="348" spans="1:222" x14ac:dyDescent="0.3">
      <c r="A348" s="12" t="s">
        <v>295</v>
      </c>
      <c r="B348" s="12" t="s">
        <v>301</v>
      </c>
      <c r="C348" s="13" t="s">
        <v>257</v>
      </c>
      <c r="D348" s="13">
        <v>2026</v>
      </c>
      <c r="E348" s="13">
        <v>1</v>
      </c>
      <c r="F348" s="13" t="s">
        <v>270</v>
      </c>
      <c r="G348" s="13" t="s">
        <v>271</v>
      </c>
      <c r="H348" s="14">
        <v>44228</v>
      </c>
      <c r="I348" s="14">
        <v>22614</v>
      </c>
      <c r="J348" s="14">
        <v>839</v>
      </c>
      <c r="K348" s="14">
        <v>193</v>
      </c>
      <c r="L348" s="14">
        <v>211</v>
      </c>
      <c r="M348" s="15">
        <v>23857</v>
      </c>
      <c r="N348" s="14">
        <v>2157.0999999999972</v>
      </c>
      <c r="O348" s="14">
        <v>385.9</v>
      </c>
      <c r="P348" s="14">
        <v>3120.599999999999</v>
      </c>
      <c r="Q348" s="14">
        <v>506.80000000000121</v>
      </c>
      <c r="R348" s="15">
        <v>6170.3999999999978</v>
      </c>
      <c r="S348" s="15">
        <v>30027.4</v>
      </c>
      <c r="T348" s="14">
        <v>14200.6</v>
      </c>
      <c r="U348" s="16">
        <v>0.32107714569955692</v>
      </c>
      <c r="V348" s="14">
        <v>12</v>
      </c>
      <c r="W348" s="17">
        <v>0.27132133490096771</v>
      </c>
      <c r="X348" s="14">
        <v>0</v>
      </c>
      <c r="Y348" s="17">
        <v>0</v>
      </c>
      <c r="Z348" s="14">
        <v>0</v>
      </c>
      <c r="AA348" s="17">
        <v>0</v>
      </c>
      <c r="AB348" s="14">
        <v>0</v>
      </c>
      <c r="AC348" s="17">
        <v>0</v>
      </c>
      <c r="AD348" s="14">
        <v>0</v>
      </c>
      <c r="AE348" s="17">
        <v>0</v>
      </c>
      <c r="AF348" s="14">
        <v>0</v>
      </c>
      <c r="AG348" s="17">
        <v>0</v>
      </c>
      <c r="AH348" s="14">
        <v>312000</v>
      </c>
      <c r="AI348" s="15">
        <v>7.0543547074251602</v>
      </c>
      <c r="AJ348" s="14">
        <v>21598</v>
      </c>
      <c r="AK348" s="17">
        <v>0.4883331825992584</v>
      </c>
      <c r="AL348" s="14">
        <v>5934534.2319999998</v>
      </c>
      <c r="AM348" s="15">
        <v>134.18047915347739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4">
        <v>0</v>
      </c>
      <c r="AU348" s="15">
        <v>6246534.2319999998</v>
      </c>
      <c r="AV348" s="15">
        <v>141.2348338609026</v>
      </c>
      <c r="AW348" s="15">
        <v>208.0278090011123</v>
      </c>
      <c r="AX348" s="14">
        <v>12</v>
      </c>
      <c r="AY348" s="15">
        <v>8.4109613819299991</v>
      </c>
      <c r="AZ348" s="14">
        <v>28</v>
      </c>
      <c r="BA348" s="14">
        <v>60</v>
      </c>
      <c r="BB348" s="14">
        <v>10</v>
      </c>
      <c r="BC348" s="14">
        <v>12</v>
      </c>
      <c r="BD348" s="14">
        <v>0</v>
      </c>
      <c r="BE348" s="15">
        <v>12</v>
      </c>
      <c r="BF348" s="15">
        <v>58</v>
      </c>
      <c r="BG348" s="14">
        <v>0</v>
      </c>
      <c r="BH348" s="14">
        <v>0</v>
      </c>
      <c r="BI348" s="14">
        <v>0</v>
      </c>
      <c r="BJ348" s="14">
        <v>0</v>
      </c>
      <c r="BK348" s="15">
        <v>0</v>
      </c>
      <c r="BL348" s="15">
        <v>0</v>
      </c>
      <c r="BM348" s="14">
        <v>0</v>
      </c>
      <c r="BN348" s="14">
        <v>0</v>
      </c>
      <c r="BO348" s="14">
        <v>0</v>
      </c>
      <c r="BP348" s="14">
        <v>0</v>
      </c>
      <c r="BQ348" s="15">
        <v>0</v>
      </c>
      <c r="BR348" s="15">
        <v>0</v>
      </c>
      <c r="BS348" s="14">
        <v>0</v>
      </c>
      <c r="BT348" s="14">
        <v>0</v>
      </c>
      <c r="BU348" s="14">
        <v>0</v>
      </c>
      <c r="BV348" s="14">
        <v>0</v>
      </c>
      <c r="BW348" s="15">
        <v>0</v>
      </c>
      <c r="BX348" s="15">
        <v>0</v>
      </c>
      <c r="BY348" s="15">
        <v>60</v>
      </c>
      <c r="BZ348" s="15">
        <v>10</v>
      </c>
      <c r="CA348" s="15">
        <v>12</v>
      </c>
      <c r="CB348" s="15">
        <v>58</v>
      </c>
      <c r="CC348" s="14">
        <v>0</v>
      </c>
      <c r="CD348" s="14">
        <v>864</v>
      </c>
      <c r="CE348" s="14">
        <v>52</v>
      </c>
      <c r="CF348" s="14">
        <v>13</v>
      </c>
      <c r="CG348" s="14">
        <v>11</v>
      </c>
      <c r="CH348" s="15">
        <v>940</v>
      </c>
      <c r="CI348" s="14">
        <v>2821</v>
      </c>
      <c r="CJ348" s="14">
        <v>16</v>
      </c>
      <c r="CK348" s="14">
        <v>14</v>
      </c>
      <c r="CL348" s="14">
        <v>12</v>
      </c>
      <c r="CM348" s="15">
        <v>2863</v>
      </c>
      <c r="CN348" s="14">
        <v>273</v>
      </c>
      <c r="CO348" s="14">
        <v>43</v>
      </c>
      <c r="CP348" s="14">
        <v>77</v>
      </c>
      <c r="CQ348" s="14">
        <v>5</v>
      </c>
      <c r="CR348" s="15">
        <v>398</v>
      </c>
      <c r="CS348" s="15">
        <v>3261</v>
      </c>
      <c r="CT348" s="14">
        <v>4201</v>
      </c>
      <c r="CU348" s="14">
        <v>23603</v>
      </c>
      <c r="CV348" s="14">
        <v>20534.599999999999</v>
      </c>
      <c r="CW348" s="16">
        <v>0.86999957632504332</v>
      </c>
      <c r="CX348" s="14">
        <v>5</v>
      </c>
      <c r="CY348" s="14">
        <v>1</v>
      </c>
      <c r="CZ348" s="14">
        <v>0</v>
      </c>
      <c r="DA348" s="14">
        <v>0</v>
      </c>
      <c r="DB348" s="15">
        <v>6</v>
      </c>
      <c r="DC348" s="14">
        <v>2</v>
      </c>
      <c r="DD348" s="14">
        <v>1</v>
      </c>
      <c r="DE348" s="14">
        <v>0</v>
      </c>
      <c r="DF348" s="14">
        <v>0</v>
      </c>
      <c r="DG348" s="15">
        <v>3</v>
      </c>
      <c r="DH348" s="14">
        <v>0</v>
      </c>
      <c r="DI348" s="14">
        <v>0</v>
      </c>
      <c r="DJ348" s="14">
        <v>0</v>
      </c>
      <c r="DK348" s="14">
        <v>0</v>
      </c>
      <c r="DL348" s="15">
        <v>0</v>
      </c>
      <c r="DM348" s="14">
        <v>527</v>
      </c>
      <c r="DN348" s="14">
        <v>0</v>
      </c>
      <c r="DO348" s="14">
        <v>73</v>
      </c>
      <c r="DP348" s="14">
        <v>0</v>
      </c>
      <c r="DQ348" s="15">
        <v>454</v>
      </c>
      <c r="DR348" s="15">
        <v>534</v>
      </c>
      <c r="DS348" s="15">
        <v>2</v>
      </c>
      <c r="DT348" s="15">
        <v>73</v>
      </c>
      <c r="DU348" s="15">
        <v>0</v>
      </c>
      <c r="DV348" s="15">
        <v>463</v>
      </c>
      <c r="DW348" s="14">
        <v>12</v>
      </c>
      <c r="DX348" s="14">
        <v>7</v>
      </c>
      <c r="DY348" s="14">
        <v>5</v>
      </c>
      <c r="DZ348" s="14">
        <v>3</v>
      </c>
      <c r="EA348" s="14">
        <v>11</v>
      </c>
      <c r="EB348" s="14">
        <v>10</v>
      </c>
      <c r="EC348" s="14">
        <v>5</v>
      </c>
      <c r="ED348" s="14">
        <v>7</v>
      </c>
      <c r="EE348" s="14">
        <v>1</v>
      </c>
      <c r="EF348" s="14">
        <v>1</v>
      </c>
      <c r="EG348" s="14">
        <v>0</v>
      </c>
      <c r="EH348" s="14">
        <v>0</v>
      </c>
      <c r="EI348" s="14">
        <v>0</v>
      </c>
      <c r="EJ348" s="14">
        <v>5</v>
      </c>
      <c r="EK348" s="14">
        <v>0</v>
      </c>
      <c r="EL348" s="14">
        <v>0</v>
      </c>
      <c r="EM348" s="14">
        <v>0</v>
      </c>
      <c r="EN348" s="14">
        <v>0</v>
      </c>
      <c r="EO348" s="14">
        <v>0</v>
      </c>
      <c r="EP348" s="14">
        <v>0</v>
      </c>
      <c r="EQ348" s="14">
        <v>0</v>
      </c>
      <c r="ER348" s="14">
        <v>0</v>
      </c>
      <c r="ES348" s="14">
        <v>0</v>
      </c>
      <c r="ET348" s="14">
        <v>0</v>
      </c>
      <c r="EU348" s="14">
        <v>0</v>
      </c>
      <c r="EV348" s="14">
        <v>0</v>
      </c>
      <c r="EW348" s="14">
        <v>0</v>
      </c>
      <c r="EX348" s="14">
        <v>0</v>
      </c>
      <c r="EY348" s="14">
        <v>0</v>
      </c>
      <c r="EZ348" s="14">
        <v>0</v>
      </c>
      <c r="FA348" s="14">
        <v>0</v>
      </c>
      <c r="FB348" s="14">
        <v>0</v>
      </c>
      <c r="FC348" s="14">
        <v>0</v>
      </c>
      <c r="FD348" s="14">
        <v>0</v>
      </c>
      <c r="FE348" s="14">
        <v>0</v>
      </c>
      <c r="FF348" s="14">
        <v>0</v>
      </c>
      <c r="FG348" s="15">
        <v>67</v>
      </c>
      <c r="FH348" s="14">
        <v>0</v>
      </c>
      <c r="FI348" s="14">
        <v>0</v>
      </c>
      <c r="FJ348" s="14">
        <v>21</v>
      </c>
      <c r="FK348" s="14">
        <v>13.65</v>
      </c>
      <c r="FL348" s="14">
        <v>0</v>
      </c>
      <c r="FM348" s="14">
        <v>0</v>
      </c>
      <c r="FN348" s="14">
        <v>0</v>
      </c>
      <c r="FO348" s="14">
        <v>0</v>
      </c>
      <c r="FP348" s="14">
        <v>0</v>
      </c>
      <c r="FQ348" s="15">
        <v>0</v>
      </c>
      <c r="FR348" s="14">
        <v>26328080.780000001</v>
      </c>
      <c r="FS348" s="14">
        <v>120000</v>
      </c>
      <c r="FT348" s="14">
        <v>180700</v>
      </c>
      <c r="FU348" s="14">
        <v>159567.22</v>
      </c>
      <c r="FV348" s="15">
        <v>26788348</v>
      </c>
      <c r="FW348" s="14">
        <v>2553647.98</v>
      </c>
      <c r="FX348" s="14">
        <v>82000</v>
      </c>
      <c r="FY348" s="14">
        <v>2394237.77</v>
      </c>
      <c r="FZ348" s="14">
        <v>9497017.7300000004</v>
      </c>
      <c r="GA348" s="15">
        <v>14526903.48</v>
      </c>
      <c r="GB348" s="15">
        <v>41315251.479999997</v>
      </c>
      <c r="GC348" s="14">
        <v>20784940.149999999</v>
      </c>
      <c r="GD348" s="14">
        <v>160483.92000000001</v>
      </c>
      <c r="GE348" s="14">
        <v>597929.54</v>
      </c>
      <c r="GF348" s="14">
        <v>873907.84</v>
      </c>
      <c r="GG348" s="15">
        <v>22417261.449999999</v>
      </c>
      <c r="GH348" s="14">
        <v>2690447.98</v>
      </c>
      <c r="GI348" s="14">
        <v>82000</v>
      </c>
      <c r="GJ348" s="14">
        <v>9484861.8200000003</v>
      </c>
      <c r="GK348" s="14">
        <v>2394237.75</v>
      </c>
      <c r="GL348" s="15">
        <v>14651547.550000001</v>
      </c>
      <c r="GM348" s="15">
        <v>37068809</v>
      </c>
      <c r="GN348" s="14">
        <v>1499396.54</v>
      </c>
      <c r="GO348" s="14">
        <v>2295.36</v>
      </c>
      <c r="GP348" s="14">
        <v>54298.239999999998</v>
      </c>
      <c r="GQ348" s="14">
        <v>64922.76</v>
      </c>
      <c r="GR348" s="15">
        <v>1620912.9</v>
      </c>
      <c r="GS348" s="14">
        <v>2519153</v>
      </c>
      <c r="GT348" s="14">
        <v>10716</v>
      </c>
      <c r="GU348" s="14">
        <v>14288</v>
      </c>
      <c r="GV348" s="14">
        <v>12502</v>
      </c>
      <c r="GW348" s="15">
        <v>2556659</v>
      </c>
      <c r="GX348" s="15">
        <v>41246380.899999999</v>
      </c>
      <c r="GY348" s="14">
        <v>87540230.459999979</v>
      </c>
      <c r="GZ348" s="14">
        <v>-1509515.07</v>
      </c>
      <c r="HA348" s="9">
        <f t="shared" si="1762"/>
        <v>86030715.389999986</v>
      </c>
      <c r="HB348" s="15">
        <v>41246380.899999999</v>
      </c>
      <c r="HC348" s="16">
        <v>0</v>
      </c>
      <c r="HD348" s="15">
        <v>0</v>
      </c>
      <c r="HE348" s="14">
        <v>10</v>
      </c>
      <c r="HF348" s="14">
        <v>2</v>
      </c>
      <c r="HG348" s="14">
        <v>58</v>
      </c>
      <c r="HH348" s="14">
        <v>10</v>
      </c>
      <c r="HI348" s="14">
        <v>6</v>
      </c>
      <c r="HJ348" s="15">
        <v>0.6</v>
      </c>
      <c r="HK348" s="16">
        <v>20.68965517241379</v>
      </c>
      <c r="HL348" s="14">
        <v>17</v>
      </c>
      <c r="HM348" s="14">
        <v>6</v>
      </c>
      <c r="HN348" s="17">
        <v>2.833333333333333</v>
      </c>
    </row>
    <row r="349" spans="1:222" x14ac:dyDescent="0.3">
      <c r="A349" s="6" t="s">
        <v>295</v>
      </c>
      <c r="B349" s="6" t="s">
        <v>301</v>
      </c>
      <c r="C349" s="7" t="s">
        <v>257</v>
      </c>
      <c r="D349" s="7">
        <v>2026</v>
      </c>
      <c r="E349" s="7">
        <v>2</v>
      </c>
      <c r="F349" s="7" t="s">
        <v>272</v>
      </c>
      <c r="G349" s="7" t="s">
        <v>271</v>
      </c>
      <c r="H349" s="8">
        <v>38004</v>
      </c>
      <c r="I349" s="8">
        <v>22061</v>
      </c>
      <c r="J349" s="8">
        <v>694</v>
      </c>
      <c r="K349" s="8">
        <v>40</v>
      </c>
      <c r="L349" s="8">
        <v>77</v>
      </c>
      <c r="M349" s="9">
        <f t="shared" ref="M349:M359" si="1763">SUM(I349,J349,K349,L349)</f>
        <v>22872</v>
      </c>
      <c r="N349" s="8">
        <v>2124.9999999999959</v>
      </c>
      <c r="O349" s="8">
        <v>324.89999999999998</v>
      </c>
      <c r="P349" s="8">
        <v>2644.8999999999978</v>
      </c>
      <c r="Q349" s="8">
        <v>469.8000000000003</v>
      </c>
      <c r="R349" s="9">
        <f t="shared" ref="R349:R359" si="1764">SUM(N349,O349,P349,Q349)</f>
        <v>5564.599999999994</v>
      </c>
      <c r="S349" s="9">
        <f t="shared" ref="S349:S359" si="1765">M349+R349</f>
        <v>28436.599999999995</v>
      </c>
      <c r="T349" s="8">
        <v>9567.4000000000051</v>
      </c>
      <c r="U349" s="10">
        <f t="shared" ref="U349:U359" si="1766">IF(H349=0,"",T349/H349)</f>
        <v>0.25174718450689415</v>
      </c>
      <c r="V349" s="8">
        <v>11</v>
      </c>
      <c r="W349" s="11">
        <f t="shared" ref="W349:W359" si="1767">IF(H349=0,"",V349/H349)</f>
        <v>2.8944321650352595E-4</v>
      </c>
      <c r="X349" s="8">
        <v>0</v>
      </c>
      <c r="Y349" s="11">
        <f t="shared" ref="Y349:Y359" si="1768">IF(H349=0,"",X349/H349)</f>
        <v>0</v>
      </c>
      <c r="Z349" s="8">
        <v>0</v>
      </c>
      <c r="AA349" s="11">
        <f t="shared" ref="AA349:AA359" si="1769">IF(H349=0,"",Z349/H349)</f>
        <v>0</v>
      </c>
      <c r="AB349" s="8">
        <v>0</v>
      </c>
      <c r="AC349" s="11">
        <f t="shared" ref="AC349:AC359" si="1770">IF(H349=0,"",AB349/H349)</f>
        <v>0</v>
      </c>
      <c r="AD349" s="8">
        <v>0</v>
      </c>
      <c r="AE349" s="11">
        <f t="shared" ref="AE349:AE359" si="1771">IF(H349=0,"",AD349/H349)</f>
        <v>0</v>
      </c>
      <c r="AF349" s="8">
        <v>0</v>
      </c>
      <c r="AG349" s="11">
        <f t="shared" ref="AG349:AG359" si="1772">IF(H349=0,"",AF349/H349)</f>
        <v>0</v>
      </c>
      <c r="AH349" s="8">
        <v>286000</v>
      </c>
      <c r="AI349" s="9">
        <f t="shared" ref="AI349:AI359" si="1773">IF(H349=0,"",AH349/H349)</f>
        <v>7.5255236290916745</v>
      </c>
      <c r="AJ349" s="8">
        <v>19727</v>
      </c>
      <c r="AK349" s="11">
        <f t="shared" ref="AK349:AK359" si="1774">IF(H349=0,"",AJ349/H349)</f>
        <v>0.51907693926955056</v>
      </c>
      <c r="AL349" s="8">
        <v>5423173.0930000003</v>
      </c>
      <c r="AM349" s="9">
        <f t="shared" ref="AM349:AM359" si="1775">IF(H349=0,"",AL349/H349)</f>
        <v>142.70006033575413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9">
        <f t="shared" ref="AU349:AU359" si="1776">AH349+AL349+AP349+AQ349+AR349+AS349+AT349</f>
        <v>5709173.0930000003</v>
      </c>
      <c r="AV349" s="9">
        <f t="shared" ref="AV349:AV359" si="1777">IF(H349=0,"",AU349/H349)</f>
        <v>150.22558396484581</v>
      </c>
      <c r="AW349" s="9">
        <f t="shared" ref="AW349:AW359" si="1778">IF(S349=0,"",AU349/S349)</f>
        <v>200.76848473446196</v>
      </c>
      <c r="AX349" s="8">
        <v>12</v>
      </c>
      <c r="AY349" s="9">
        <f t="shared" ref="AY349:AY359" si="1779">IF(H349=0,"",AX349/(H349/1000/12))</f>
        <v>3.7890748342279763</v>
      </c>
      <c r="AZ349" s="8">
        <v>28</v>
      </c>
      <c r="BA349" s="8">
        <v>58</v>
      </c>
      <c r="BB349" s="8">
        <v>10</v>
      </c>
      <c r="BC349" s="8">
        <v>48</v>
      </c>
      <c r="BD349" s="8">
        <v>0</v>
      </c>
      <c r="BE349" s="9">
        <f t="shared" ref="BE349:BE359" si="1780">BC349+BD349</f>
        <v>48</v>
      </c>
      <c r="BF349" s="9">
        <f t="shared" ref="BF349:BF359" si="1781">BA349+BB349-BE349</f>
        <v>20</v>
      </c>
      <c r="BG349" s="8">
        <v>0</v>
      </c>
      <c r="BH349" s="8">
        <v>0</v>
      </c>
      <c r="BI349" s="8">
        <v>0</v>
      </c>
      <c r="BJ349" s="8">
        <v>0</v>
      </c>
      <c r="BK349" s="9">
        <f t="shared" ref="BK349:BK359" si="1782">BI349+BJ349</f>
        <v>0</v>
      </c>
      <c r="BL349" s="9">
        <f t="shared" ref="BL349:BL359" si="1783">BG349+BH349-BK349</f>
        <v>0</v>
      </c>
      <c r="BM349" s="8">
        <v>0</v>
      </c>
      <c r="BN349" s="8">
        <v>0</v>
      </c>
      <c r="BO349" s="8">
        <v>0</v>
      </c>
      <c r="BP349" s="8">
        <v>0</v>
      </c>
      <c r="BQ349" s="9">
        <f t="shared" ref="BQ349:BQ359" si="1784">BO349+BP349</f>
        <v>0</v>
      </c>
      <c r="BR349" s="9">
        <f t="shared" ref="BR349:BR359" si="1785">BM349+BN349-BQ349</f>
        <v>0</v>
      </c>
      <c r="BS349" s="8">
        <v>0</v>
      </c>
      <c r="BT349" s="8">
        <v>0</v>
      </c>
      <c r="BU349" s="8">
        <v>0</v>
      </c>
      <c r="BV349" s="8">
        <v>0</v>
      </c>
      <c r="BW349" s="9">
        <f t="shared" ref="BW349:BW359" si="1786">BU349+BV349</f>
        <v>0</v>
      </c>
      <c r="BX349" s="9">
        <f t="shared" ref="BX349:BX359" si="1787">BS349+BT349-BW349</f>
        <v>0</v>
      </c>
      <c r="BY349" s="9">
        <f t="shared" ref="BY349:BY359" si="1788">BA349+BG349+BM349+BS349</f>
        <v>58</v>
      </c>
      <c r="BZ349" s="9">
        <f t="shared" ref="BZ349:BZ359" si="1789">BB349+BH349+BN349+BT349</f>
        <v>10</v>
      </c>
      <c r="CA349" s="9">
        <f t="shared" ref="CA349:CA359" si="1790">BE349+BK349+BQ349+BW349</f>
        <v>48</v>
      </c>
      <c r="CB349" s="9">
        <f t="shared" ref="CB349:CB359" si="1791">BF349+BL349+BR349+BX349</f>
        <v>20</v>
      </c>
      <c r="CC349" s="8">
        <v>0</v>
      </c>
      <c r="CD349" s="8">
        <v>854</v>
      </c>
      <c r="CE349" s="8">
        <v>53</v>
      </c>
      <c r="CF349" s="8">
        <v>10</v>
      </c>
      <c r="CG349" s="8">
        <v>11</v>
      </c>
      <c r="CH349" s="9">
        <f t="shared" ref="CH349:CH359" si="1792">CD349+CE349+CF349+CG349</f>
        <v>928</v>
      </c>
      <c r="CI349" s="8">
        <v>2855</v>
      </c>
      <c r="CJ349" s="8">
        <v>7</v>
      </c>
      <c r="CK349" s="8">
        <v>12</v>
      </c>
      <c r="CL349" s="8">
        <v>12</v>
      </c>
      <c r="CM349" s="9">
        <f t="shared" ref="CM349:CM359" si="1793">CI349+CJ349+CK349+CL349</f>
        <v>2886</v>
      </c>
      <c r="CN349" s="8">
        <v>297</v>
      </c>
      <c r="CO349" s="8">
        <v>51</v>
      </c>
      <c r="CP349" s="8">
        <v>82</v>
      </c>
      <c r="CQ349" s="8">
        <v>5</v>
      </c>
      <c r="CR349" s="9">
        <f t="shared" ref="CR349:CR359" si="1794">CN349+CO349+CP349+CQ349</f>
        <v>435</v>
      </c>
      <c r="CS349" s="9">
        <f t="shared" ref="CS349:CS359" si="1795">CM349+CR349</f>
        <v>3321</v>
      </c>
      <c r="CT349" s="8">
        <v>4249</v>
      </c>
      <c r="CU349" s="8">
        <v>23659</v>
      </c>
      <c r="CV349" s="8">
        <v>20741.400000000001</v>
      </c>
      <c r="CW349" s="10">
        <f t="shared" ref="CW349:CW359" si="1796">IF(CU349=0,"",CV349/CU349)</f>
        <v>0.87668117840990745</v>
      </c>
      <c r="CX349" s="8">
        <v>6</v>
      </c>
      <c r="CY349" s="8">
        <v>0</v>
      </c>
      <c r="CZ349" s="8">
        <v>1</v>
      </c>
      <c r="DA349" s="8">
        <v>0</v>
      </c>
      <c r="DB349" s="9">
        <f t="shared" ref="DB349:DB359" si="1797">CX349+CY349-CZ349-DA349</f>
        <v>5</v>
      </c>
      <c r="DC349" s="8">
        <v>3</v>
      </c>
      <c r="DD349" s="8">
        <v>0</v>
      </c>
      <c r="DE349" s="8">
        <v>0</v>
      </c>
      <c r="DF349" s="8">
        <v>0</v>
      </c>
      <c r="DG349" s="9">
        <f t="shared" ref="DG349:DG359" si="1798">DC349+DD349-DE349-DF349</f>
        <v>3</v>
      </c>
      <c r="DH349" s="8">
        <v>0</v>
      </c>
      <c r="DI349" s="8">
        <v>1</v>
      </c>
      <c r="DJ349" s="8">
        <v>0</v>
      </c>
      <c r="DK349" s="8">
        <v>0</v>
      </c>
      <c r="DL349" s="9">
        <f t="shared" ref="DL349:DL359" si="1799">DH349+DI349-DJ349-DK349</f>
        <v>1</v>
      </c>
      <c r="DM349" s="8">
        <v>454</v>
      </c>
      <c r="DN349" s="8">
        <v>154</v>
      </c>
      <c r="DO349" s="8">
        <v>17</v>
      </c>
      <c r="DP349" s="8">
        <v>0</v>
      </c>
      <c r="DQ349" s="9">
        <f t="shared" ref="DQ349:DQ359" si="1800">DM349+DN349-DO349-DP349</f>
        <v>591</v>
      </c>
      <c r="DR349" s="9">
        <f t="shared" ref="DR349:DR359" si="1801">CX349+DC349+DH349+DM349</f>
        <v>463</v>
      </c>
      <c r="DS349" s="9">
        <f t="shared" ref="DS349:DS359" si="1802">CY349+DD349+DI349+DN349</f>
        <v>155</v>
      </c>
      <c r="DT349" s="9">
        <f t="shared" ref="DT349:DT359" si="1803">CZ349+DE349+DJ349+DO349</f>
        <v>18</v>
      </c>
      <c r="DU349" s="9">
        <f t="shared" ref="DU349:DU359" si="1804">DA349+DF349+DK349+DP349</f>
        <v>0</v>
      </c>
      <c r="DV349" s="9">
        <f t="shared" ref="DV349:DV359" si="1805">DB349+DG349+DL349+DQ349</f>
        <v>600</v>
      </c>
      <c r="DW349" s="8">
        <v>12</v>
      </c>
      <c r="DX349" s="8">
        <v>11</v>
      </c>
      <c r="DY349" s="8">
        <v>3</v>
      </c>
      <c r="DZ349" s="8">
        <v>5</v>
      </c>
      <c r="EA349" s="8">
        <v>8</v>
      </c>
      <c r="EB349" s="8">
        <v>9</v>
      </c>
      <c r="EC349" s="8">
        <v>6</v>
      </c>
      <c r="ED349" s="8">
        <v>7</v>
      </c>
      <c r="EE349" s="8">
        <v>2</v>
      </c>
      <c r="EF349" s="8">
        <v>0</v>
      </c>
      <c r="EG349" s="8">
        <v>0</v>
      </c>
      <c r="EH349" s="8">
        <v>0</v>
      </c>
      <c r="EI349" s="8">
        <v>0</v>
      </c>
      <c r="EJ349" s="8">
        <v>3</v>
      </c>
      <c r="EK349" s="8">
        <v>0</v>
      </c>
      <c r="EL349" s="8">
        <v>0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8">
        <v>0</v>
      </c>
      <c r="ES349" s="8">
        <v>0</v>
      </c>
      <c r="ET349" s="8">
        <v>0</v>
      </c>
      <c r="EU349" s="8">
        <v>0</v>
      </c>
      <c r="EV349" s="8">
        <v>0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9">
        <f t="shared" ref="FG349:FG359" si="1806">SUM(DW349,DX349,DY349,DZ349,EA349,EB349,EC349,ED349,EE349,EF349,EG349,EH349,EI349,EJ349,EK349,EL349,EM349,EN349,EO349,EP349,EQ349,ER349,ES349,ET349,EU349,EV349,EW349,EX349,EY349,EZ349,FA349,FB349,FC349,FD349,FE349,FF349)</f>
        <v>66</v>
      </c>
      <c r="FH349" s="8">
        <v>0</v>
      </c>
      <c r="FI349" s="8">
        <v>0</v>
      </c>
      <c r="FJ349" s="8">
        <v>22</v>
      </c>
      <c r="FK349" s="8">
        <v>43.91</v>
      </c>
      <c r="FL349" s="8">
        <v>0</v>
      </c>
      <c r="FM349" s="8">
        <v>0</v>
      </c>
      <c r="FN349" s="8">
        <v>0</v>
      </c>
      <c r="FO349" s="8">
        <v>0</v>
      </c>
      <c r="FP349" s="8">
        <v>0</v>
      </c>
      <c r="FQ349" s="9">
        <f t="shared" ref="FQ349:FQ359" si="1807">FL349+FM349+FN349+FO349+FP349</f>
        <v>0</v>
      </c>
      <c r="FR349" s="8">
        <v>17064844.550000001</v>
      </c>
      <c r="FS349" s="8">
        <v>106400</v>
      </c>
      <c r="FT349" s="8">
        <v>110000</v>
      </c>
      <c r="FU349" s="8">
        <v>207400</v>
      </c>
      <c r="FV349" s="9">
        <f t="shared" ref="FV349:FV359" si="1808">FR349+FS349+FT349+FU349</f>
        <v>17488644.550000001</v>
      </c>
      <c r="FW349" s="8">
        <v>2657492.2599999998</v>
      </c>
      <c r="FX349" s="8">
        <v>81500</v>
      </c>
      <c r="FY349" s="8">
        <v>2222750</v>
      </c>
      <c r="FZ349" s="8">
        <v>7977366.7000000011</v>
      </c>
      <c r="GA349" s="9">
        <f t="shared" ref="GA349:GA359" si="1809">FW349+FX349+FY349+FZ349</f>
        <v>12939108.960000001</v>
      </c>
      <c r="GB349" s="9">
        <f t="shared" ref="GB349:GB359" si="1810">FV349+GA349</f>
        <v>30427753.510000002</v>
      </c>
      <c r="GC349" s="8">
        <v>20271604.050000001</v>
      </c>
      <c r="GD349" s="8">
        <v>132748.32</v>
      </c>
      <c r="GE349" s="8">
        <v>108872.35</v>
      </c>
      <c r="GF349" s="8">
        <v>241561.84</v>
      </c>
      <c r="GG349" s="9">
        <f t="shared" ref="GG349:GG359" si="1811">GC349+GD349+GE349+GF349</f>
        <v>20754786.560000002</v>
      </c>
      <c r="GH349" s="8">
        <v>2650353</v>
      </c>
      <c r="GI349" s="8">
        <v>81500</v>
      </c>
      <c r="GJ349" s="8">
        <v>8040106.7000000002</v>
      </c>
      <c r="GK349" s="8">
        <v>2222750</v>
      </c>
      <c r="GL349" s="9">
        <f t="shared" ref="GL349:GL359" si="1812">GH349+GI349+GJ349+GK349</f>
        <v>12994709.699999999</v>
      </c>
      <c r="GM349" s="9">
        <f t="shared" ref="GM349:GM359" si="1813">GG349+GL349</f>
        <v>33749496.260000005</v>
      </c>
      <c r="GN349" s="8">
        <v>1518907.26</v>
      </c>
      <c r="GO349" s="8">
        <v>2295.36</v>
      </c>
      <c r="GP349" s="8">
        <v>23755.48</v>
      </c>
      <c r="GQ349" s="8">
        <v>55648.08</v>
      </c>
      <c r="GR349" s="9">
        <f t="shared" ref="GR349:GR359" si="1814">GN349+GO349+GP349+GQ349</f>
        <v>1600606.1800000002</v>
      </c>
      <c r="GS349" s="8">
        <v>2549515</v>
      </c>
      <c r="GT349" s="8">
        <v>10716</v>
      </c>
      <c r="GU349" s="8">
        <v>6251</v>
      </c>
      <c r="GV349" s="8">
        <v>10716</v>
      </c>
      <c r="GW349" s="9">
        <f t="shared" ref="GW349:GW359" si="1815">GS349+GT349+GU349+GV349</f>
        <v>2577198</v>
      </c>
      <c r="GX349" s="9">
        <f t="shared" ref="GX349:GX359" si="1816">GM349+GR349+GW349</f>
        <v>37927300.440000005</v>
      </c>
      <c r="GY349" s="8">
        <v>131440750.5700002</v>
      </c>
      <c r="GZ349" s="8">
        <v>-1862803.41</v>
      </c>
      <c r="HA349" s="9">
        <f t="shared" si="1762"/>
        <v>129577947.16000021</v>
      </c>
      <c r="HB349" s="9">
        <f t="shared" ref="HB349:HB359" si="1817">IF(GX349=0,"",AU349/GX349)</f>
        <v>0.15052938191664242</v>
      </c>
      <c r="HC349" s="10">
        <f t="shared" ref="HC349:HC359" si="1818">IF((GX349+GY349)=0,"",GB349/(GX349+GY349))</f>
        <v>0.1796546239302442</v>
      </c>
      <c r="HD349" s="9">
        <f t="shared" ref="HD349:HD359" si="1819">IF(GX349=0,"",GB349/GX349)</f>
        <v>0.80226520624993891</v>
      </c>
      <c r="HE349" s="8">
        <v>10</v>
      </c>
      <c r="HF349" s="8">
        <v>2</v>
      </c>
      <c r="HG349" s="8">
        <v>20</v>
      </c>
      <c r="HH349" s="8">
        <v>10</v>
      </c>
      <c r="HI349" s="8">
        <v>13</v>
      </c>
      <c r="HJ349" s="9">
        <f t="shared" ref="HJ349:HJ359" si="1820">HF349+HI349</f>
        <v>15</v>
      </c>
      <c r="HK349" s="10">
        <f t="shared" ref="HK349:HK359" si="1821">IF(HE349=0,"",HH349/HE349)</f>
        <v>1</v>
      </c>
      <c r="HL349" s="8">
        <v>7</v>
      </c>
      <c r="HM349" s="8">
        <v>2</v>
      </c>
      <c r="HN349" s="11">
        <f t="shared" ref="HN349:HN359" si="1822">IF(HL349=0,"",HM349/HL349)</f>
        <v>0.2857142857142857</v>
      </c>
    </row>
    <row r="350" spans="1:222" x14ac:dyDescent="0.3">
      <c r="A350" s="12" t="s">
        <v>295</v>
      </c>
      <c r="B350" s="12" t="s">
        <v>301</v>
      </c>
      <c r="C350" s="13" t="s">
        <v>257</v>
      </c>
      <c r="D350" s="13">
        <v>2026</v>
      </c>
      <c r="E350" s="13">
        <v>3</v>
      </c>
      <c r="F350" s="13" t="s">
        <v>273</v>
      </c>
      <c r="G350" s="13" t="s">
        <v>271</v>
      </c>
      <c r="H350" s="14">
        <v>37439</v>
      </c>
      <c r="I350" s="14">
        <v>17699</v>
      </c>
      <c r="J350" s="14">
        <v>517</v>
      </c>
      <c r="K350" s="14">
        <v>27</v>
      </c>
      <c r="L350" s="14">
        <v>60</v>
      </c>
      <c r="M350" s="15">
        <f t="shared" si="1763"/>
        <v>18303</v>
      </c>
      <c r="N350" s="14">
        <v>2022.599999999996</v>
      </c>
      <c r="O350" s="14">
        <v>81.400000000000006</v>
      </c>
      <c r="P350" s="14">
        <v>1944.6</v>
      </c>
      <c r="Q350" s="14">
        <v>535.40000000000055</v>
      </c>
      <c r="R350" s="15">
        <f t="shared" si="1764"/>
        <v>4583.9999999999964</v>
      </c>
      <c r="S350" s="15">
        <f t="shared" si="1765"/>
        <v>22886.999999999996</v>
      </c>
      <c r="T350" s="14">
        <v>14552</v>
      </c>
      <c r="U350" s="16">
        <f t="shared" si="1766"/>
        <v>0.38868559523491547</v>
      </c>
      <c r="V350" s="14">
        <v>8</v>
      </c>
      <c r="W350" s="17">
        <f t="shared" si="1767"/>
        <v>2.1368092096476935E-4</v>
      </c>
      <c r="X350" s="14">
        <v>0</v>
      </c>
      <c r="Y350" s="17">
        <f t="shared" si="1768"/>
        <v>0</v>
      </c>
      <c r="Z350" s="14">
        <v>0</v>
      </c>
      <c r="AA350" s="17">
        <f t="shared" si="1769"/>
        <v>0</v>
      </c>
      <c r="AB350" s="14">
        <v>0</v>
      </c>
      <c r="AC350" s="17">
        <f t="shared" si="1770"/>
        <v>0</v>
      </c>
      <c r="AD350" s="14">
        <v>0</v>
      </c>
      <c r="AE350" s="17">
        <f t="shared" si="1771"/>
        <v>0</v>
      </c>
      <c r="AF350" s="14">
        <v>0</v>
      </c>
      <c r="AG350" s="17">
        <f t="shared" si="1772"/>
        <v>0</v>
      </c>
      <c r="AH350" s="14">
        <v>208000</v>
      </c>
      <c r="AI350" s="15">
        <f t="shared" si="1773"/>
        <v>5.5557039450840033</v>
      </c>
      <c r="AJ350" s="14">
        <v>16680</v>
      </c>
      <c r="AK350" s="17">
        <f t="shared" si="1774"/>
        <v>0.4455247202115441</v>
      </c>
      <c r="AL350" s="14">
        <v>4590400.57</v>
      </c>
      <c r="AM350" s="15">
        <f t="shared" si="1775"/>
        <v>122.61012767435028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4">
        <v>0</v>
      </c>
      <c r="AT350" s="14">
        <v>0</v>
      </c>
      <c r="AU350" s="15">
        <f t="shared" si="1776"/>
        <v>4798400.57</v>
      </c>
      <c r="AV350" s="15">
        <f t="shared" si="1777"/>
        <v>128.1658316194343</v>
      </c>
      <c r="AW350" s="15">
        <f t="shared" si="1778"/>
        <v>209.65616157644081</v>
      </c>
      <c r="AX350" s="14">
        <v>12</v>
      </c>
      <c r="AY350" s="15">
        <f t="shared" si="1779"/>
        <v>3.8462565773658484</v>
      </c>
      <c r="AZ350" s="14">
        <v>28</v>
      </c>
      <c r="BA350" s="14">
        <v>20</v>
      </c>
      <c r="BB350" s="14">
        <v>10</v>
      </c>
      <c r="BC350" s="14">
        <v>6</v>
      </c>
      <c r="BD350" s="14">
        <v>0</v>
      </c>
      <c r="BE350" s="15">
        <f t="shared" si="1780"/>
        <v>6</v>
      </c>
      <c r="BF350" s="15">
        <f t="shared" si="1781"/>
        <v>24</v>
      </c>
      <c r="BG350" s="14">
        <v>0</v>
      </c>
      <c r="BH350" s="14">
        <v>0</v>
      </c>
      <c r="BI350" s="14">
        <v>0</v>
      </c>
      <c r="BJ350" s="14">
        <v>0</v>
      </c>
      <c r="BK350" s="15">
        <f t="shared" si="1782"/>
        <v>0</v>
      </c>
      <c r="BL350" s="15">
        <f t="shared" si="1783"/>
        <v>0</v>
      </c>
      <c r="BM350" s="14">
        <v>0</v>
      </c>
      <c r="BN350" s="14">
        <v>0</v>
      </c>
      <c r="BO350" s="14">
        <v>0</v>
      </c>
      <c r="BP350" s="14">
        <v>0</v>
      </c>
      <c r="BQ350" s="15">
        <f t="shared" si="1784"/>
        <v>0</v>
      </c>
      <c r="BR350" s="15">
        <f t="shared" si="1785"/>
        <v>0</v>
      </c>
      <c r="BS350" s="14">
        <v>0</v>
      </c>
      <c r="BT350" s="14">
        <v>0</v>
      </c>
      <c r="BU350" s="14">
        <v>0</v>
      </c>
      <c r="BV350" s="14">
        <v>0</v>
      </c>
      <c r="BW350" s="15">
        <f t="shared" si="1786"/>
        <v>0</v>
      </c>
      <c r="BX350" s="15">
        <f t="shared" si="1787"/>
        <v>0</v>
      </c>
      <c r="BY350" s="15">
        <f t="shared" si="1788"/>
        <v>20</v>
      </c>
      <c r="BZ350" s="15">
        <f t="shared" si="1789"/>
        <v>10</v>
      </c>
      <c r="CA350" s="15">
        <f t="shared" si="1790"/>
        <v>6</v>
      </c>
      <c r="CB350" s="15">
        <f t="shared" si="1791"/>
        <v>24</v>
      </c>
      <c r="CC350" s="14">
        <v>0</v>
      </c>
      <c r="CD350" s="14">
        <v>863</v>
      </c>
      <c r="CE350" s="14">
        <v>55</v>
      </c>
      <c r="CF350" s="14">
        <v>10</v>
      </c>
      <c r="CG350" s="14">
        <v>11</v>
      </c>
      <c r="CH350" s="15">
        <f t="shared" si="1792"/>
        <v>939</v>
      </c>
      <c r="CI350" s="14">
        <v>2853</v>
      </c>
      <c r="CJ350" s="14">
        <v>5</v>
      </c>
      <c r="CK350" s="14">
        <v>12</v>
      </c>
      <c r="CL350" s="14">
        <v>12</v>
      </c>
      <c r="CM350" s="15">
        <f t="shared" si="1793"/>
        <v>2882</v>
      </c>
      <c r="CN350" s="14">
        <v>296</v>
      </c>
      <c r="CO350" s="14">
        <v>51</v>
      </c>
      <c r="CP350" s="14">
        <v>82</v>
      </c>
      <c r="CQ350" s="14">
        <v>5</v>
      </c>
      <c r="CR350" s="15">
        <f t="shared" si="1794"/>
        <v>434</v>
      </c>
      <c r="CS350" s="15">
        <f t="shared" si="1795"/>
        <v>3316</v>
      </c>
      <c r="CT350" s="14">
        <v>4255</v>
      </c>
      <c r="CU350" s="14">
        <v>23715</v>
      </c>
      <c r="CV350" s="14">
        <v>20766.8</v>
      </c>
      <c r="CW350" s="16">
        <f t="shared" si="1796"/>
        <v>0.87568205776934427</v>
      </c>
      <c r="CX350" s="14">
        <v>5</v>
      </c>
      <c r="CY350" s="14"/>
      <c r="CZ350" s="14">
        <v>3</v>
      </c>
      <c r="DA350" s="14"/>
      <c r="DB350" s="15">
        <f t="shared" si="1797"/>
        <v>2</v>
      </c>
      <c r="DC350" s="14">
        <v>3</v>
      </c>
      <c r="DD350" s="14">
        <v>0</v>
      </c>
      <c r="DE350" s="14">
        <v>0</v>
      </c>
      <c r="DF350" s="14">
        <v>0</v>
      </c>
      <c r="DG350" s="15">
        <f t="shared" si="1798"/>
        <v>3</v>
      </c>
      <c r="DH350" s="14">
        <v>1</v>
      </c>
      <c r="DI350" s="14">
        <v>0</v>
      </c>
      <c r="DJ350" s="14">
        <v>0</v>
      </c>
      <c r="DK350" s="14">
        <v>0</v>
      </c>
      <c r="DL350" s="15">
        <f t="shared" si="1799"/>
        <v>1</v>
      </c>
      <c r="DM350" s="14">
        <v>591</v>
      </c>
      <c r="DN350" s="14">
        <v>41</v>
      </c>
      <c r="DO350" s="14">
        <v>0</v>
      </c>
      <c r="DP350" s="14">
        <v>0</v>
      </c>
      <c r="DQ350" s="15">
        <f t="shared" si="1800"/>
        <v>632</v>
      </c>
      <c r="DR350" s="15">
        <f t="shared" si="1801"/>
        <v>600</v>
      </c>
      <c r="DS350" s="15">
        <f t="shared" si="1802"/>
        <v>41</v>
      </c>
      <c r="DT350" s="15">
        <f t="shared" si="1803"/>
        <v>3</v>
      </c>
      <c r="DU350" s="15">
        <f t="shared" si="1804"/>
        <v>0</v>
      </c>
      <c r="DV350" s="15">
        <f t="shared" si="1805"/>
        <v>638</v>
      </c>
      <c r="DW350" s="14">
        <v>20</v>
      </c>
      <c r="DX350" s="14">
        <v>16</v>
      </c>
      <c r="DY350" s="14">
        <v>5</v>
      </c>
      <c r="DZ350" s="14">
        <v>5</v>
      </c>
      <c r="EA350" s="14">
        <v>5</v>
      </c>
      <c r="EB350" s="14">
        <v>7</v>
      </c>
      <c r="EC350" s="14">
        <v>5</v>
      </c>
      <c r="ED350" s="14">
        <v>4</v>
      </c>
      <c r="EE350" s="14">
        <v>2</v>
      </c>
      <c r="EF350" s="14">
        <v>0</v>
      </c>
      <c r="EG350" s="14">
        <v>0</v>
      </c>
      <c r="EH350" s="14">
        <v>0</v>
      </c>
      <c r="EI350" s="14">
        <v>0</v>
      </c>
      <c r="EJ350" s="14">
        <v>0</v>
      </c>
      <c r="EK350" s="14">
        <v>0</v>
      </c>
      <c r="EL350" s="14">
        <v>0</v>
      </c>
      <c r="EM350" s="14">
        <v>0</v>
      </c>
      <c r="EN350" s="14">
        <v>0</v>
      </c>
      <c r="EO350" s="14">
        <v>2</v>
      </c>
      <c r="EP350" s="14">
        <v>0</v>
      </c>
      <c r="EQ350" s="14">
        <v>0</v>
      </c>
      <c r="ER350" s="14">
        <v>0</v>
      </c>
      <c r="ES350" s="14">
        <v>0</v>
      </c>
      <c r="ET350" s="14">
        <v>0</v>
      </c>
      <c r="EU350" s="14">
        <v>0</v>
      </c>
      <c r="EV350" s="14">
        <v>0</v>
      </c>
      <c r="EW350" s="14">
        <v>0</v>
      </c>
      <c r="EX350" s="14">
        <v>0</v>
      </c>
      <c r="EY350" s="14">
        <v>0</v>
      </c>
      <c r="EZ350" s="14">
        <v>0</v>
      </c>
      <c r="FA350" s="14">
        <v>0</v>
      </c>
      <c r="FB350" s="14">
        <v>0</v>
      </c>
      <c r="FC350" s="14">
        <v>0</v>
      </c>
      <c r="FD350" s="14">
        <v>0</v>
      </c>
      <c r="FE350" s="14">
        <v>0</v>
      </c>
      <c r="FF350" s="14">
        <v>0</v>
      </c>
      <c r="FG350" s="15">
        <f t="shared" si="1806"/>
        <v>71</v>
      </c>
      <c r="FH350" s="14">
        <v>0</v>
      </c>
      <c r="FI350" s="14">
        <v>0</v>
      </c>
      <c r="FJ350" s="14">
        <v>21</v>
      </c>
      <c r="FK350" s="14">
        <v>62.4</v>
      </c>
      <c r="FL350" s="14">
        <v>0</v>
      </c>
      <c r="FM350" s="14">
        <v>0</v>
      </c>
      <c r="FN350" s="14">
        <v>0</v>
      </c>
      <c r="FO350" s="14">
        <v>0</v>
      </c>
      <c r="FP350" s="14">
        <v>0</v>
      </c>
      <c r="FQ350" s="15">
        <f t="shared" si="1807"/>
        <v>0</v>
      </c>
      <c r="FR350" s="14">
        <v>22732759.66</v>
      </c>
      <c r="FS350" s="14">
        <v>142200</v>
      </c>
      <c r="FT350" s="14">
        <v>202400</v>
      </c>
      <c r="FU350" s="14">
        <v>12700</v>
      </c>
      <c r="FV350" s="15">
        <f t="shared" si="1808"/>
        <v>23090059.66</v>
      </c>
      <c r="FW350" s="14">
        <v>2534453.2400000002</v>
      </c>
      <c r="FX350" s="14">
        <v>17300</v>
      </c>
      <c r="FY350" s="14">
        <v>2529849.91</v>
      </c>
      <c r="FZ350" s="14">
        <v>5918739.4000000004</v>
      </c>
      <c r="GA350" s="15">
        <f t="shared" si="1809"/>
        <v>11000342.550000001</v>
      </c>
      <c r="GB350" s="15">
        <f t="shared" si="1810"/>
        <v>34090402.210000001</v>
      </c>
      <c r="GC350" s="14">
        <v>16696512.800000001</v>
      </c>
      <c r="GD350" s="14">
        <v>98891.76</v>
      </c>
      <c r="GE350" s="14">
        <v>72030.89</v>
      </c>
      <c r="GF350" s="14">
        <v>175415.96</v>
      </c>
      <c r="GG350" s="15">
        <f t="shared" si="1811"/>
        <v>17042851.410000004</v>
      </c>
      <c r="GH350" s="14">
        <v>2524853.2400000002</v>
      </c>
      <c r="GI350" s="14">
        <v>17300</v>
      </c>
      <c r="GJ350" s="14">
        <v>5910039.4000000004</v>
      </c>
      <c r="GK350" s="14">
        <v>2528649.9</v>
      </c>
      <c r="GL350" s="15">
        <f t="shared" si="1812"/>
        <v>10980842.540000001</v>
      </c>
      <c r="GM350" s="15">
        <f t="shared" si="1813"/>
        <v>28023693.950000003</v>
      </c>
      <c r="GN350" s="14">
        <v>1518697.66</v>
      </c>
      <c r="GO350" s="14">
        <v>2295.36</v>
      </c>
      <c r="GP350" s="14">
        <v>16968.2</v>
      </c>
      <c r="GQ350" s="14">
        <v>55648.08</v>
      </c>
      <c r="GR350" s="15">
        <f t="shared" si="1814"/>
        <v>1593609.3</v>
      </c>
      <c r="GS350" s="14">
        <v>2547729</v>
      </c>
      <c r="GT350" s="14">
        <v>10716</v>
      </c>
      <c r="GU350" s="14">
        <v>4465</v>
      </c>
      <c r="GV350" s="14">
        <v>10716</v>
      </c>
      <c r="GW350" s="15">
        <f t="shared" si="1815"/>
        <v>2573626</v>
      </c>
      <c r="GX350" s="15">
        <f t="shared" si="1816"/>
        <v>32190929.250000004</v>
      </c>
      <c r="GY350" s="14">
        <v>130147778.16999979</v>
      </c>
      <c r="GZ350" s="14">
        <v>-1861057.08</v>
      </c>
      <c r="HA350" s="9">
        <f t="shared" si="1762"/>
        <v>128286721.08999979</v>
      </c>
      <c r="HB350" s="15">
        <f t="shared" si="1817"/>
        <v>0.14906064167128694</v>
      </c>
      <c r="HC350" s="16">
        <f t="shared" si="1818"/>
        <v>0.20999552572389232</v>
      </c>
      <c r="HD350" s="15">
        <f t="shared" si="1819"/>
        <v>1.0590064656179503</v>
      </c>
      <c r="HE350" s="14">
        <v>6</v>
      </c>
      <c r="HF350" s="14">
        <v>1</v>
      </c>
      <c r="HG350" s="14">
        <v>24</v>
      </c>
      <c r="HH350" s="14">
        <v>10</v>
      </c>
      <c r="HI350" s="14">
        <v>7</v>
      </c>
      <c r="HJ350" s="15">
        <f t="shared" si="1820"/>
        <v>8</v>
      </c>
      <c r="HK350" s="16">
        <f t="shared" si="1821"/>
        <v>1.6666666666666667</v>
      </c>
      <c r="HL350" s="14">
        <v>15</v>
      </c>
      <c r="HM350" s="14">
        <v>3</v>
      </c>
      <c r="HN350" s="17">
        <f t="shared" si="1822"/>
        <v>0.2</v>
      </c>
    </row>
    <row r="351" spans="1:222" x14ac:dyDescent="0.3">
      <c r="A351" s="6" t="s">
        <v>295</v>
      </c>
      <c r="B351" s="6" t="s">
        <v>302</v>
      </c>
      <c r="C351" s="7" t="s">
        <v>257</v>
      </c>
      <c r="D351" s="7">
        <v>2025</v>
      </c>
      <c r="E351" s="7">
        <v>4</v>
      </c>
      <c r="F351" s="7" t="s">
        <v>258</v>
      </c>
      <c r="G351" s="7" t="s">
        <v>259</v>
      </c>
      <c r="H351" s="8">
        <v>10488</v>
      </c>
      <c r="I351" s="8">
        <v>1822</v>
      </c>
      <c r="J351" s="8">
        <v>4</v>
      </c>
      <c r="K351" s="8">
        <v>233</v>
      </c>
      <c r="L351" s="8">
        <v>8</v>
      </c>
      <c r="M351" s="9">
        <f t="shared" si="1763"/>
        <v>2067</v>
      </c>
      <c r="N351" s="8">
        <v>2026.3</v>
      </c>
      <c r="O351" s="8">
        <v>2.4</v>
      </c>
      <c r="P351" s="8">
        <v>5841.1</v>
      </c>
      <c r="Q351" s="8">
        <v>40.9</v>
      </c>
      <c r="R351" s="9">
        <f t="shared" si="1764"/>
        <v>7910.7</v>
      </c>
      <c r="S351" s="9">
        <f t="shared" si="1765"/>
        <v>9977.7000000000007</v>
      </c>
      <c r="T351" s="8">
        <v>510.30000000000302</v>
      </c>
      <c r="U351" s="10">
        <f t="shared" si="1766"/>
        <v>4.8655606407322943E-2</v>
      </c>
      <c r="V351" s="8">
        <v>5</v>
      </c>
      <c r="W351" s="11">
        <f t="shared" si="1767"/>
        <v>4.7673531655225017E-4</v>
      </c>
      <c r="X351" s="8">
        <v>0</v>
      </c>
      <c r="Y351" s="11">
        <f t="shared" si="1768"/>
        <v>0</v>
      </c>
      <c r="Z351" s="8">
        <v>0</v>
      </c>
      <c r="AA351" s="11">
        <f t="shared" si="1769"/>
        <v>0</v>
      </c>
      <c r="AB351" s="8">
        <v>0</v>
      </c>
      <c r="AC351" s="11">
        <f t="shared" si="1770"/>
        <v>0</v>
      </c>
      <c r="AD351" s="8">
        <v>0</v>
      </c>
      <c r="AE351" s="11">
        <f t="shared" si="1771"/>
        <v>0</v>
      </c>
      <c r="AF351" s="8">
        <v>0</v>
      </c>
      <c r="AG351" s="11">
        <f t="shared" si="1772"/>
        <v>0</v>
      </c>
      <c r="AH351" s="8">
        <v>130000</v>
      </c>
      <c r="AI351" s="9">
        <f t="shared" si="1773"/>
        <v>12.395118230358506</v>
      </c>
      <c r="AJ351" s="8">
        <v>3180.65</v>
      </c>
      <c r="AK351" s="11">
        <f t="shared" si="1774"/>
        <v>0.30326563691838293</v>
      </c>
      <c r="AL351" s="8">
        <v>900906.72085000004</v>
      </c>
      <c r="AM351" s="9">
        <f t="shared" si="1775"/>
        <v>85.898810149694896</v>
      </c>
      <c r="AN351" s="8">
        <v>0</v>
      </c>
      <c r="AO351" s="8">
        <v>0</v>
      </c>
      <c r="AP351" s="8">
        <v>0</v>
      </c>
      <c r="AQ351" s="8">
        <v>0</v>
      </c>
      <c r="AR351" s="8">
        <v>3438844.23</v>
      </c>
      <c r="AS351" s="8">
        <v>374765.95</v>
      </c>
      <c r="AT351" s="8">
        <v>0</v>
      </c>
      <c r="AU351" s="9">
        <f t="shared" si="1776"/>
        <v>4844516.9008499999</v>
      </c>
      <c r="AV351" s="9">
        <f t="shared" si="1777"/>
        <v>461.91045965389014</v>
      </c>
      <c r="AW351" s="9">
        <f t="shared" si="1778"/>
        <v>485.53443186806572</v>
      </c>
      <c r="AX351" s="8">
        <v>5</v>
      </c>
      <c r="AY351" s="9">
        <f t="shared" si="1779"/>
        <v>5.7208237986270021</v>
      </c>
      <c r="AZ351" s="8">
        <v>5</v>
      </c>
      <c r="BA351" s="8">
        <v>56</v>
      </c>
      <c r="BB351" s="8">
        <v>0</v>
      </c>
      <c r="BC351" s="8">
        <v>2</v>
      </c>
      <c r="BD351" s="8">
        <v>0</v>
      </c>
      <c r="BE351" s="9">
        <f t="shared" si="1780"/>
        <v>2</v>
      </c>
      <c r="BF351" s="9">
        <f t="shared" si="1781"/>
        <v>54</v>
      </c>
      <c r="BG351" s="8">
        <v>0</v>
      </c>
      <c r="BH351" s="8">
        <v>0</v>
      </c>
      <c r="BI351" s="8">
        <v>0</v>
      </c>
      <c r="BJ351" s="8">
        <v>0</v>
      </c>
      <c r="BK351" s="9">
        <f t="shared" si="1782"/>
        <v>0</v>
      </c>
      <c r="BL351" s="9">
        <f t="shared" si="1783"/>
        <v>0</v>
      </c>
      <c r="BM351" s="8">
        <v>0</v>
      </c>
      <c r="BN351" s="8">
        <v>0</v>
      </c>
      <c r="BO351" s="8">
        <v>0</v>
      </c>
      <c r="BP351" s="8">
        <v>0</v>
      </c>
      <c r="BQ351" s="9">
        <f t="shared" si="1784"/>
        <v>0</v>
      </c>
      <c r="BR351" s="9">
        <f t="shared" si="1785"/>
        <v>0</v>
      </c>
      <c r="BS351" s="8">
        <v>0</v>
      </c>
      <c r="BT351" s="8">
        <v>0</v>
      </c>
      <c r="BU351" s="8">
        <v>0</v>
      </c>
      <c r="BV351" s="8">
        <v>0</v>
      </c>
      <c r="BW351" s="9">
        <f t="shared" si="1786"/>
        <v>0</v>
      </c>
      <c r="BX351" s="9">
        <f t="shared" si="1787"/>
        <v>0</v>
      </c>
      <c r="BY351" s="9">
        <f t="shared" si="1788"/>
        <v>56</v>
      </c>
      <c r="BZ351" s="9">
        <f t="shared" si="1789"/>
        <v>0</v>
      </c>
      <c r="CA351" s="9">
        <f t="shared" si="1790"/>
        <v>2</v>
      </c>
      <c r="CB351" s="9">
        <f t="shared" si="1791"/>
        <v>54</v>
      </c>
      <c r="CC351" s="8">
        <v>0</v>
      </c>
      <c r="CD351" s="8">
        <v>229</v>
      </c>
      <c r="CE351" s="8">
        <v>11</v>
      </c>
      <c r="CF351" s="8">
        <v>11</v>
      </c>
      <c r="CG351" s="8">
        <v>2</v>
      </c>
      <c r="CH351" s="9">
        <f t="shared" si="1792"/>
        <v>253</v>
      </c>
      <c r="CI351" s="8">
        <v>285</v>
      </c>
      <c r="CJ351" s="8">
        <v>7</v>
      </c>
      <c r="CK351" s="8">
        <v>2</v>
      </c>
      <c r="CL351" s="8">
        <v>1</v>
      </c>
      <c r="CM351" s="9">
        <f t="shared" si="1793"/>
        <v>295</v>
      </c>
      <c r="CN351" s="8">
        <v>121</v>
      </c>
      <c r="CO351" s="8">
        <v>24</v>
      </c>
      <c r="CP351" s="8">
        <v>3</v>
      </c>
      <c r="CQ351" s="8">
        <v>2</v>
      </c>
      <c r="CR351" s="9">
        <f t="shared" si="1794"/>
        <v>150</v>
      </c>
      <c r="CS351" s="9">
        <f t="shared" si="1795"/>
        <v>445</v>
      </c>
      <c r="CT351" s="8">
        <v>698</v>
      </c>
      <c r="CU351" s="8">
        <v>3709</v>
      </c>
      <c r="CV351" s="8">
        <v>3476.6</v>
      </c>
      <c r="CW351" s="10">
        <f t="shared" si="1796"/>
        <v>0.93734160150984092</v>
      </c>
      <c r="CX351" s="8">
        <v>0</v>
      </c>
      <c r="CY351" s="8">
        <v>0</v>
      </c>
      <c r="CZ351" s="8">
        <v>0</v>
      </c>
      <c r="DA351" s="8">
        <v>0</v>
      </c>
      <c r="DB351" s="9">
        <f t="shared" si="1797"/>
        <v>0</v>
      </c>
      <c r="DC351" s="8">
        <v>0</v>
      </c>
      <c r="DD351" s="8">
        <v>0</v>
      </c>
      <c r="DE351" s="8">
        <v>0</v>
      </c>
      <c r="DF351" s="8">
        <v>0</v>
      </c>
      <c r="DG351" s="9">
        <f t="shared" si="1798"/>
        <v>0</v>
      </c>
      <c r="DH351" s="8">
        <v>0</v>
      </c>
      <c r="DI351" s="8">
        <v>0</v>
      </c>
      <c r="DJ351" s="8">
        <v>0</v>
      </c>
      <c r="DK351" s="8">
        <v>0</v>
      </c>
      <c r="DL351" s="9">
        <f t="shared" si="1799"/>
        <v>0</v>
      </c>
      <c r="DM351" s="8">
        <v>0</v>
      </c>
      <c r="DN351" s="8">
        <v>3</v>
      </c>
      <c r="DO351" s="8">
        <v>3</v>
      </c>
      <c r="DP351" s="8">
        <v>0</v>
      </c>
      <c r="DQ351" s="9">
        <f t="shared" si="1800"/>
        <v>0</v>
      </c>
      <c r="DR351" s="9">
        <f t="shared" si="1801"/>
        <v>0</v>
      </c>
      <c r="DS351" s="9">
        <f t="shared" si="1802"/>
        <v>3</v>
      </c>
      <c r="DT351" s="9">
        <f t="shared" si="1803"/>
        <v>3</v>
      </c>
      <c r="DU351" s="9">
        <f t="shared" si="1804"/>
        <v>0</v>
      </c>
      <c r="DV351" s="9">
        <f t="shared" si="1805"/>
        <v>0</v>
      </c>
      <c r="DW351" s="8">
        <v>11</v>
      </c>
      <c r="DX351" s="8">
        <v>8</v>
      </c>
      <c r="DY351" s="8">
        <v>3</v>
      </c>
      <c r="DZ351" s="8">
        <v>3</v>
      </c>
      <c r="EA351" s="8">
        <v>2</v>
      </c>
      <c r="EB351" s="8">
        <v>1</v>
      </c>
      <c r="EC351" s="8">
        <v>0</v>
      </c>
      <c r="ED351" s="8">
        <v>0</v>
      </c>
      <c r="EE351" s="8">
        <v>0</v>
      </c>
      <c r="EF351" s="8">
        <v>0</v>
      </c>
      <c r="EG351" s="8">
        <v>0</v>
      </c>
      <c r="EH351" s="8">
        <v>0</v>
      </c>
      <c r="EI351" s="8">
        <v>0</v>
      </c>
      <c r="EJ351" s="8">
        <v>0</v>
      </c>
      <c r="EK351" s="8">
        <v>0</v>
      </c>
      <c r="EL351" s="8">
        <v>0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8">
        <v>0</v>
      </c>
      <c r="ES351" s="8">
        <v>0</v>
      </c>
      <c r="ET351" s="8">
        <v>0</v>
      </c>
      <c r="EU351" s="8">
        <v>0</v>
      </c>
      <c r="EV351" s="8">
        <v>0</v>
      </c>
      <c r="EW351" s="8">
        <v>0</v>
      </c>
      <c r="EX351" s="8">
        <v>0</v>
      </c>
      <c r="EY351" s="8">
        <v>0</v>
      </c>
      <c r="EZ351" s="8">
        <v>0</v>
      </c>
      <c r="FA351" s="8">
        <v>0</v>
      </c>
      <c r="FB351" s="8">
        <v>0</v>
      </c>
      <c r="FC351" s="8">
        <v>0</v>
      </c>
      <c r="FD351" s="8">
        <v>0</v>
      </c>
      <c r="FE351" s="8">
        <v>0</v>
      </c>
      <c r="FF351" s="8">
        <v>0</v>
      </c>
      <c r="FG351" s="9">
        <f t="shared" si="1806"/>
        <v>28</v>
      </c>
      <c r="FH351" s="8">
        <v>0</v>
      </c>
      <c r="FI351" s="8">
        <v>0</v>
      </c>
      <c r="FJ351" s="8">
        <v>20</v>
      </c>
      <c r="FK351" s="8">
        <v>268</v>
      </c>
      <c r="FL351" s="8">
        <v>0</v>
      </c>
      <c r="FM351" s="8">
        <v>0</v>
      </c>
      <c r="FN351" s="8">
        <v>0</v>
      </c>
      <c r="FO351" s="8">
        <v>0</v>
      </c>
      <c r="FP351" s="8">
        <v>0</v>
      </c>
      <c r="FQ351" s="9">
        <f t="shared" si="1807"/>
        <v>0</v>
      </c>
      <c r="FR351" s="8">
        <v>334767.21999999997</v>
      </c>
      <c r="FS351" s="8">
        <v>0</v>
      </c>
      <c r="FT351" s="8">
        <v>0</v>
      </c>
      <c r="FU351" s="8">
        <v>0</v>
      </c>
      <c r="FV351" s="9">
        <f t="shared" si="1808"/>
        <v>334767.21999999997</v>
      </c>
      <c r="FW351" s="8">
        <v>2680969.73</v>
      </c>
      <c r="FX351" s="8">
        <v>1106.22</v>
      </c>
      <c r="FY351" s="8">
        <v>193992.15</v>
      </c>
      <c r="FZ351" s="8">
        <v>17753078.800000001</v>
      </c>
      <c r="GA351" s="9">
        <f t="shared" si="1809"/>
        <v>20629146.900000002</v>
      </c>
      <c r="GB351" s="9">
        <f t="shared" si="1810"/>
        <v>20963914.120000001</v>
      </c>
      <c r="GC351" s="8">
        <v>1563763.62</v>
      </c>
      <c r="GD351" s="8">
        <v>765.12</v>
      </c>
      <c r="GE351" s="8">
        <v>753852.53</v>
      </c>
      <c r="GF351" s="8">
        <v>16821.98</v>
      </c>
      <c r="GG351" s="9">
        <f t="shared" si="1811"/>
        <v>2335203.2500000005</v>
      </c>
      <c r="GH351" s="8">
        <v>2529824.6800000002</v>
      </c>
      <c r="GI351" s="8">
        <v>506.22</v>
      </c>
      <c r="GJ351" s="8">
        <v>17753078.800000001</v>
      </c>
      <c r="GK351" s="8">
        <v>193992.12</v>
      </c>
      <c r="GL351" s="9">
        <f t="shared" si="1812"/>
        <v>20477401.820000004</v>
      </c>
      <c r="GM351" s="9">
        <f t="shared" si="1813"/>
        <v>22812605.070000004</v>
      </c>
      <c r="GN351" s="8">
        <v>153152.35</v>
      </c>
      <c r="GO351" s="8">
        <v>191.28</v>
      </c>
      <c r="GP351" s="8">
        <v>23755.48</v>
      </c>
      <c r="GQ351" s="8">
        <v>9274.68</v>
      </c>
      <c r="GR351" s="9">
        <f t="shared" si="1814"/>
        <v>186373.79</v>
      </c>
      <c r="GS351" s="8">
        <v>254505</v>
      </c>
      <c r="GT351" s="8">
        <v>893</v>
      </c>
      <c r="GU351" s="8">
        <v>6251</v>
      </c>
      <c r="GV351" s="8">
        <v>1786</v>
      </c>
      <c r="GW351" s="9">
        <f t="shared" si="1815"/>
        <v>263435</v>
      </c>
      <c r="GX351" s="9">
        <f t="shared" si="1816"/>
        <v>23262413.860000003</v>
      </c>
      <c r="GY351" s="8">
        <v>25607144.109999988</v>
      </c>
      <c r="GZ351" s="8">
        <v>0</v>
      </c>
      <c r="HA351" s="9">
        <f t="shared" si="1762"/>
        <v>25607144.109999988</v>
      </c>
      <c r="HB351" s="9">
        <f t="shared" si="1817"/>
        <v>0.20825512476932603</v>
      </c>
      <c r="HC351" s="10">
        <f t="shared" si="1818"/>
        <v>0.42897695397345958</v>
      </c>
      <c r="HD351" s="9">
        <f t="shared" si="1819"/>
        <v>0.90119255233644091</v>
      </c>
      <c r="HE351" s="8">
        <v>2</v>
      </c>
      <c r="HF351" s="8">
        <v>7</v>
      </c>
      <c r="HG351" s="8">
        <v>54</v>
      </c>
      <c r="HH351" s="8">
        <v>0</v>
      </c>
      <c r="HI351" s="8">
        <v>4</v>
      </c>
      <c r="HJ351" s="9">
        <f t="shared" si="1820"/>
        <v>11</v>
      </c>
      <c r="HK351" s="10">
        <f t="shared" si="1821"/>
        <v>0</v>
      </c>
      <c r="HL351" s="8">
        <v>20</v>
      </c>
      <c r="HM351" s="8">
        <v>10</v>
      </c>
      <c r="HN351" s="11">
        <f t="shared" si="1822"/>
        <v>0.5</v>
      </c>
    </row>
    <row r="352" spans="1:222" x14ac:dyDescent="0.3">
      <c r="A352" s="12" t="s">
        <v>295</v>
      </c>
      <c r="B352" s="12" t="s">
        <v>302</v>
      </c>
      <c r="C352" s="13" t="s">
        <v>257</v>
      </c>
      <c r="D352" s="13">
        <v>2025</v>
      </c>
      <c r="E352" s="13">
        <v>5</v>
      </c>
      <c r="F352" s="13" t="s">
        <v>260</v>
      </c>
      <c r="G352" s="13" t="s">
        <v>259</v>
      </c>
      <c r="H352" s="14">
        <v>6724</v>
      </c>
      <c r="I352" s="14">
        <v>491</v>
      </c>
      <c r="J352" s="14">
        <v>4</v>
      </c>
      <c r="K352" s="14">
        <v>14</v>
      </c>
      <c r="L352" s="14">
        <v>4</v>
      </c>
      <c r="M352" s="15">
        <f t="shared" si="1763"/>
        <v>513</v>
      </c>
      <c r="N352" s="14">
        <v>2447.99999999999</v>
      </c>
      <c r="O352" s="14">
        <v>11.2</v>
      </c>
      <c r="P352" s="14">
        <v>3292.2</v>
      </c>
      <c r="Q352" s="14">
        <v>46.5</v>
      </c>
      <c r="R352" s="15">
        <f t="shared" si="1764"/>
        <v>5797.8999999999896</v>
      </c>
      <c r="S352" s="15">
        <f t="shared" si="1765"/>
        <v>6310.8999999999896</v>
      </c>
      <c r="T352" s="14">
        <v>413.10000000000798</v>
      </c>
      <c r="U352" s="16">
        <f t="shared" si="1766"/>
        <v>6.143664485425461E-2</v>
      </c>
      <c r="V352" s="14">
        <v>5</v>
      </c>
      <c r="W352" s="17">
        <f t="shared" si="1767"/>
        <v>7.4360499702557997E-4</v>
      </c>
      <c r="X352" s="14">
        <v>0</v>
      </c>
      <c r="Y352" s="17">
        <f t="shared" si="1768"/>
        <v>0</v>
      </c>
      <c r="Z352" s="14">
        <v>0</v>
      </c>
      <c r="AA352" s="17">
        <f t="shared" si="1769"/>
        <v>0</v>
      </c>
      <c r="AB352" s="14">
        <v>0</v>
      </c>
      <c r="AC352" s="17">
        <f t="shared" si="1770"/>
        <v>0</v>
      </c>
      <c r="AD352" s="14">
        <v>0</v>
      </c>
      <c r="AE352" s="17">
        <f t="shared" si="1771"/>
        <v>0</v>
      </c>
      <c r="AF352" s="14">
        <v>0</v>
      </c>
      <c r="AG352" s="17">
        <f t="shared" si="1772"/>
        <v>0</v>
      </c>
      <c r="AH352" s="14">
        <v>130000</v>
      </c>
      <c r="AI352" s="15">
        <f t="shared" si="1773"/>
        <v>19.333729922665082</v>
      </c>
      <c r="AJ352" s="14">
        <v>3303.61</v>
      </c>
      <c r="AK352" s="17">
        <f t="shared" si="1774"/>
        <v>0.49131618084473527</v>
      </c>
      <c r="AL352" s="14">
        <v>934512.79549000005</v>
      </c>
      <c r="AM352" s="15">
        <f t="shared" si="1775"/>
        <v>138.9816769021416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4">
        <v>0</v>
      </c>
      <c r="AU352" s="15">
        <f t="shared" si="1776"/>
        <v>1064512.7954899999</v>
      </c>
      <c r="AV352" s="15">
        <f t="shared" si="1777"/>
        <v>158.31540682480664</v>
      </c>
      <c r="AW352" s="15">
        <f t="shared" si="1778"/>
        <v>168.67844451504567</v>
      </c>
      <c r="AX352" s="14">
        <v>5</v>
      </c>
      <c r="AY352" s="15">
        <f t="shared" si="1779"/>
        <v>8.9232599643069594</v>
      </c>
      <c r="AZ352" s="14">
        <v>5</v>
      </c>
      <c r="BA352" s="14">
        <v>54</v>
      </c>
      <c r="BB352" s="14">
        <v>0</v>
      </c>
      <c r="BC352" s="14">
        <v>5</v>
      </c>
      <c r="BD352" s="14">
        <v>0</v>
      </c>
      <c r="BE352" s="15">
        <f t="shared" si="1780"/>
        <v>5</v>
      </c>
      <c r="BF352" s="15">
        <f t="shared" si="1781"/>
        <v>49</v>
      </c>
      <c r="BG352" s="14">
        <v>0</v>
      </c>
      <c r="BH352" s="14">
        <v>0</v>
      </c>
      <c r="BI352" s="14">
        <v>0</v>
      </c>
      <c r="BJ352" s="14">
        <v>0</v>
      </c>
      <c r="BK352" s="15">
        <f t="shared" si="1782"/>
        <v>0</v>
      </c>
      <c r="BL352" s="15">
        <f t="shared" si="1783"/>
        <v>0</v>
      </c>
      <c r="BM352" s="14">
        <v>0</v>
      </c>
      <c r="BN352" s="14">
        <v>0</v>
      </c>
      <c r="BO352" s="14">
        <v>0</v>
      </c>
      <c r="BP352" s="14">
        <v>0</v>
      </c>
      <c r="BQ352" s="15">
        <f t="shared" si="1784"/>
        <v>0</v>
      </c>
      <c r="BR352" s="15">
        <f t="shared" si="1785"/>
        <v>0</v>
      </c>
      <c r="BS352" s="14">
        <v>0</v>
      </c>
      <c r="BT352" s="14">
        <v>0</v>
      </c>
      <c r="BU352" s="14">
        <v>0</v>
      </c>
      <c r="BV352" s="14">
        <v>0</v>
      </c>
      <c r="BW352" s="15">
        <f t="shared" si="1786"/>
        <v>0</v>
      </c>
      <c r="BX352" s="15">
        <f t="shared" si="1787"/>
        <v>0</v>
      </c>
      <c r="BY352" s="15">
        <f t="shared" si="1788"/>
        <v>54</v>
      </c>
      <c r="BZ352" s="15">
        <f t="shared" si="1789"/>
        <v>0</v>
      </c>
      <c r="CA352" s="15">
        <f t="shared" si="1790"/>
        <v>5</v>
      </c>
      <c r="CB352" s="15">
        <f t="shared" si="1791"/>
        <v>49</v>
      </c>
      <c r="CC352" s="14">
        <v>252</v>
      </c>
      <c r="CD352" s="14">
        <v>214</v>
      </c>
      <c r="CE352" s="14">
        <v>8</v>
      </c>
      <c r="CF352" s="14">
        <v>11</v>
      </c>
      <c r="CG352" s="14">
        <v>2</v>
      </c>
      <c r="CH352" s="15">
        <f t="shared" si="1792"/>
        <v>235</v>
      </c>
      <c r="CI352" s="14">
        <v>62</v>
      </c>
      <c r="CJ352" s="14">
        <v>2</v>
      </c>
      <c r="CK352" s="14">
        <v>1</v>
      </c>
      <c r="CL352" s="14">
        <v>1</v>
      </c>
      <c r="CM352" s="15">
        <f t="shared" si="1793"/>
        <v>66</v>
      </c>
      <c r="CN352" s="14">
        <v>364</v>
      </c>
      <c r="CO352" s="14">
        <v>32</v>
      </c>
      <c r="CP352" s="14">
        <v>4</v>
      </c>
      <c r="CQ352" s="14">
        <v>2</v>
      </c>
      <c r="CR352" s="15">
        <f t="shared" si="1794"/>
        <v>402</v>
      </c>
      <c r="CS352" s="15">
        <f t="shared" si="1795"/>
        <v>468</v>
      </c>
      <c r="CT352" s="14">
        <v>703</v>
      </c>
      <c r="CU352" s="14">
        <v>3712</v>
      </c>
      <c r="CV352" s="14">
        <v>3489.9</v>
      </c>
      <c r="CW352" s="16">
        <f t="shared" si="1796"/>
        <v>0.94016702586206902</v>
      </c>
      <c r="CX352" s="14">
        <v>0</v>
      </c>
      <c r="CY352" s="14">
        <v>0</v>
      </c>
      <c r="CZ352" s="14">
        <v>0</v>
      </c>
      <c r="DA352" s="14">
        <v>0</v>
      </c>
      <c r="DB352" s="15">
        <f t="shared" si="1797"/>
        <v>0</v>
      </c>
      <c r="DC352" s="14">
        <v>0</v>
      </c>
      <c r="DD352" s="14">
        <v>0</v>
      </c>
      <c r="DE352" s="14">
        <v>0</v>
      </c>
      <c r="DF352" s="14">
        <v>0</v>
      </c>
      <c r="DG352" s="15">
        <f t="shared" si="1798"/>
        <v>0</v>
      </c>
      <c r="DH352" s="14">
        <v>0</v>
      </c>
      <c r="DI352" s="14">
        <v>0</v>
      </c>
      <c r="DJ352" s="14">
        <v>0</v>
      </c>
      <c r="DK352" s="14">
        <v>0</v>
      </c>
      <c r="DL352" s="15">
        <f t="shared" si="1799"/>
        <v>0</v>
      </c>
      <c r="DM352" s="14">
        <v>0</v>
      </c>
      <c r="DN352" s="14">
        <v>10</v>
      </c>
      <c r="DO352" s="14">
        <v>10</v>
      </c>
      <c r="DP352" s="14">
        <v>0</v>
      </c>
      <c r="DQ352" s="15">
        <f t="shared" si="1800"/>
        <v>0</v>
      </c>
      <c r="DR352" s="15">
        <f t="shared" si="1801"/>
        <v>0</v>
      </c>
      <c r="DS352" s="15">
        <f t="shared" si="1802"/>
        <v>10</v>
      </c>
      <c r="DT352" s="15">
        <f t="shared" si="1803"/>
        <v>10</v>
      </c>
      <c r="DU352" s="15">
        <f t="shared" si="1804"/>
        <v>0</v>
      </c>
      <c r="DV352" s="15">
        <f t="shared" si="1805"/>
        <v>0</v>
      </c>
      <c r="DW352" s="14">
        <v>11</v>
      </c>
      <c r="DX352" s="14">
        <v>10</v>
      </c>
      <c r="DY352" s="14">
        <v>4</v>
      </c>
      <c r="DZ352" s="14">
        <v>3</v>
      </c>
      <c r="EA352" s="14">
        <v>1</v>
      </c>
      <c r="EB352" s="14">
        <v>1</v>
      </c>
      <c r="EC352" s="14">
        <v>0</v>
      </c>
      <c r="ED352" s="14">
        <v>0</v>
      </c>
      <c r="EE352" s="14">
        <v>2</v>
      </c>
      <c r="EF352" s="14">
        <v>0</v>
      </c>
      <c r="EG352" s="14">
        <v>0</v>
      </c>
      <c r="EH352" s="14">
        <v>0</v>
      </c>
      <c r="EI352" s="14">
        <v>0</v>
      </c>
      <c r="EJ352" s="14">
        <v>0</v>
      </c>
      <c r="EK352" s="14">
        <v>0</v>
      </c>
      <c r="EL352" s="14">
        <v>0</v>
      </c>
      <c r="EM352" s="14">
        <v>0</v>
      </c>
      <c r="EN352" s="14">
        <v>0</v>
      </c>
      <c r="EO352" s="14">
        <v>0</v>
      </c>
      <c r="EP352" s="14">
        <v>0</v>
      </c>
      <c r="EQ352" s="14">
        <v>0</v>
      </c>
      <c r="ER352" s="14">
        <v>0</v>
      </c>
      <c r="ES352" s="14">
        <v>0</v>
      </c>
      <c r="ET352" s="14">
        <v>0</v>
      </c>
      <c r="EU352" s="14">
        <v>0</v>
      </c>
      <c r="EV352" s="14">
        <v>0</v>
      </c>
      <c r="EW352" s="14">
        <v>0</v>
      </c>
      <c r="EX352" s="14">
        <v>0</v>
      </c>
      <c r="EY352" s="14">
        <v>0</v>
      </c>
      <c r="EZ352" s="14">
        <v>0</v>
      </c>
      <c r="FA352" s="14">
        <v>0</v>
      </c>
      <c r="FB352" s="14">
        <v>0</v>
      </c>
      <c r="FC352" s="14">
        <v>0</v>
      </c>
      <c r="FD352" s="14">
        <v>0</v>
      </c>
      <c r="FE352" s="14">
        <v>0</v>
      </c>
      <c r="FF352" s="14">
        <v>0</v>
      </c>
      <c r="FG352" s="15">
        <f t="shared" si="1806"/>
        <v>32</v>
      </c>
      <c r="FH352" s="14">
        <v>0</v>
      </c>
      <c r="FI352" s="14">
        <v>0</v>
      </c>
      <c r="FJ352" s="14">
        <v>21</v>
      </c>
      <c r="FK352" s="14">
        <v>235.5</v>
      </c>
      <c r="FL352" s="14">
        <v>0</v>
      </c>
      <c r="FM352" s="14">
        <v>0</v>
      </c>
      <c r="FN352" s="14">
        <v>0</v>
      </c>
      <c r="FO352" s="14">
        <v>0</v>
      </c>
      <c r="FP352" s="14">
        <v>0</v>
      </c>
      <c r="FQ352" s="15">
        <f t="shared" si="1807"/>
        <v>0</v>
      </c>
      <c r="FR352" s="14">
        <v>965087.1</v>
      </c>
      <c r="FS352" s="14">
        <v>2000</v>
      </c>
      <c r="FT352" s="14">
        <v>0</v>
      </c>
      <c r="FU352" s="14">
        <v>0</v>
      </c>
      <c r="FV352" s="15">
        <f t="shared" si="1808"/>
        <v>967087.1</v>
      </c>
      <c r="FW352" s="14">
        <v>3198354</v>
      </c>
      <c r="FX352" s="14">
        <v>5900</v>
      </c>
      <c r="FY352" s="14">
        <v>222100</v>
      </c>
      <c r="FZ352" s="14">
        <v>10006000</v>
      </c>
      <c r="GA352" s="15">
        <f t="shared" si="1809"/>
        <v>13432354</v>
      </c>
      <c r="GB352" s="15">
        <f t="shared" si="1810"/>
        <v>14399441.1</v>
      </c>
      <c r="GC352" s="14">
        <v>428771.38</v>
      </c>
      <c r="GD352" s="14">
        <v>765.12</v>
      </c>
      <c r="GE352" s="14">
        <v>32794.94</v>
      </c>
      <c r="GF352" s="14">
        <v>8410.99</v>
      </c>
      <c r="GG352" s="15">
        <f t="shared" si="1811"/>
        <v>470742.43</v>
      </c>
      <c r="GH352" s="14">
        <v>3055004.69</v>
      </c>
      <c r="GI352" s="14">
        <v>2360</v>
      </c>
      <c r="GJ352" s="14">
        <v>10006000</v>
      </c>
      <c r="GK352" s="14">
        <v>222100</v>
      </c>
      <c r="GL352" s="15">
        <f t="shared" si="1812"/>
        <v>13285464.689999999</v>
      </c>
      <c r="GM352" s="15">
        <f t="shared" si="1813"/>
        <v>13756207.119999999</v>
      </c>
      <c r="GN352" s="14">
        <v>34071.53</v>
      </c>
      <c r="GO352" s="14">
        <v>191.28</v>
      </c>
      <c r="GP352" s="14">
        <v>6787.28</v>
      </c>
      <c r="GQ352" s="14">
        <v>4637.34</v>
      </c>
      <c r="GR352" s="15">
        <f t="shared" si="1814"/>
        <v>45687.429999999993</v>
      </c>
      <c r="GS352" s="14">
        <v>55366</v>
      </c>
      <c r="GT352" s="14">
        <v>893</v>
      </c>
      <c r="GU352" s="14">
        <v>1786</v>
      </c>
      <c r="GV352" s="14">
        <v>893</v>
      </c>
      <c r="GW352" s="15">
        <f t="shared" si="1815"/>
        <v>58938</v>
      </c>
      <c r="GX352" s="15">
        <f t="shared" si="1816"/>
        <v>13860832.549999999</v>
      </c>
      <c r="GY352" s="14">
        <v>27448387.850000009</v>
      </c>
      <c r="GZ352" s="14">
        <v>0</v>
      </c>
      <c r="HA352" s="9">
        <f t="shared" si="1762"/>
        <v>27448387.850000009</v>
      </c>
      <c r="HB352" s="15">
        <f t="shared" si="1817"/>
        <v>7.6800061731501112E-2</v>
      </c>
      <c r="HC352" s="16">
        <f t="shared" si="1818"/>
        <v>0.34857692690806619</v>
      </c>
      <c r="HD352" s="15">
        <f t="shared" si="1819"/>
        <v>1.0388583115810024</v>
      </c>
      <c r="HE352" s="14">
        <v>9</v>
      </c>
      <c r="HF352" s="14">
        <v>2</v>
      </c>
      <c r="HG352" s="14">
        <v>49</v>
      </c>
      <c r="HH352" s="14">
        <v>0</v>
      </c>
      <c r="HI352" s="14">
        <v>5</v>
      </c>
      <c r="HJ352" s="15">
        <f t="shared" si="1820"/>
        <v>7</v>
      </c>
      <c r="HK352" s="16">
        <f t="shared" si="1821"/>
        <v>0</v>
      </c>
      <c r="HL352" s="14">
        <v>15</v>
      </c>
      <c r="HM352" s="14">
        <v>5</v>
      </c>
      <c r="HN352" s="17">
        <f t="shared" si="1822"/>
        <v>0.33333333333333331</v>
      </c>
    </row>
    <row r="353" spans="1:222" x14ac:dyDescent="0.3">
      <c r="A353" s="6" t="s">
        <v>295</v>
      </c>
      <c r="B353" s="6" t="s">
        <v>302</v>
      </c>
      <c r="C353" s="7" t="s">
        <v>257</v>
      </c>
      <c r="D353" s="7">
        <v>2025</v>
      </c>
      <c r="E353" s="7">
        <v>6</v>
      </c>
      <c r="F353" s="7" t="s">
        <v>261</v>
      </c>
      <c r="G353" s="7" t="s">
        <v>259</v>
      </c>
      <c r="H353" s="8">
        <v>5228</v>
      </c>
      <c r="I353" s="8">
        <v>556</v>
      </c>
      <c r="J353" s="8">
        <v>4</v>
      </c>
      <c r="K353" s="8">
        <v>22</v>
      </c>
      <c r="L353" s="8">
        <v>14</v>
      </c>
      <c r="M353" s="9">
        <f t="shared" si="1763"/>
        <v>596</v>
      </c>
      <c r="N353" s="8">
        <v>2285.8000000000002</v>
      </c>
      <c r="O353" s="8">
        <v>5.7</v>
      </c>
      <c r="P353" s="8">
        <v>355.1</v>
      </c>
      <c r="Q353" s="8">
        <v>17.8</v>
      </c>
      <c r="R353" s="9">
        <f t="shared" si="1764"/>
        <v>2664.4</v>
      </c>
      <c r="S353" s="9">
        <f t="shared" si="1765"/>
        <v>3260.4</v>
      </c>
      <c r="T353" s="8">
        <v>1967.6</v>
      </c>
      <c r="U353" s="10">
        <f t="shared" si="1766"/>
        <v>0.37635807192042847</v>
      </c>
      <c r="V353" s="8">
        <v>5.5</v>
      </c>
      <c r="W353" s="11">
        <f t="shared" si="1767"/>
        <v>1.0520275439938791E-3</v>
      </c>
      <c r="X353" s="8">
        <v>0</v>
      </c>
      <c r="Y353" s="11">
        <f t="shared" si="1768"/>
        <v>0</v>
      </c>
      <c r="Z353" s="8">
        <v>0</v>
      </c>
      <c r="AA353" s="11">
        <f t="shared" si="1769"/>
        <v>0</v>
      </c>
      <c r="AB353" s="8">
        <v>0</v>
      </c>
      <c r="AC353" s="11">
        <f t="shared" si="1770"/>
        <v>0</v>
      </c>
      <c r="AD353" s="8">
        <v>0</v>
      </c>
      <c r="AE353" s="11">
        <f t="shared" si="1771"/>
        <v>0</v>
      </c>
      <c r="AF353" s="8">
        <v>0</v>
      </c>
      <c r="AG353" s="11">
        <f t="shared" si="1772"/>
        <v>0</v>
      </c>
      <c r="AH353" s="8">
        <v>143000</v>
      </c>
      <c r="AI353" s="9">
        <f t="shared" si="1773"/>
        <v>27.352716143840858</v>
      </c>
      <c r="AJ353" s="8">
        <v>3143.09</v>
      </c>
      <c r="AK353" s="11">
        <f t="shared" si="1774"/>
        <v>0.6012031369548585</v>
      </c>
      <c r="AL353" s="8">
        <v>890641.23481000005</v>
      </c>
      <c r="AM353" s="9">
        <f t="shared" si="1775"/>
        <v>170.35983833397094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9">
        <f t="shared" si="1776"/>
        <v>1033641.2348100001</v>
      </c>
      <c r="AV353" s="9">
        <f t="shared" si="1777"/>
        <v>197.71255447781181</v>
      </c>
      <c r="AW353" s="9">
        <f t="shared" si="1778"/>
        <v>317.02896417924183</v>
      </c>
      <c r="AX353" s="8">
        <v>5</v>
      </c>
      <c r="AY353" s="9">
        <f t="shared" si="1779"/>
        <v>11.476664116296863</v>
      </c>
      <c r="AZ353" s="8">
        <v>5</v>
      </c>
      <c r="BA353" s="8">
        <v>49</v>
      </c>
      <c r="BB353" s="8">
        <v>0</v>
      </c>
      <c r="BC353" s="8">
        <v>6</v>
      </c>
      <c r="BD353" s="8">
        <v>0</v>
      </c>
      <c r="BE353" s="9">
        <f t="shared" si="1780"/>
        <v>6</v>
      </c>
      <c r="BF353" s="9">
        <f t="shared" si="1781"/>
        <v>43</v>
      </c>
      <c r="BG353" s="8">
        <v>0</v>
      </c>
      <c r="BH353" s="8">
        <v>0</v>
      </c>
      <c r="BI353" s="8">
        <v>0</v>
      </c>
      <c r="BJ353" s="8">
        <v>0</v>
      </c>
      <c r="BK353" s="9">
        <f t="shared" si="1782"/>
        <v>0</v>
      </c>
      <c r="BL353" s="9">
        <f t="shared" si="1783"/>
        <v>0</v>
      </c>
      <c r="BM353" s="8">
        <v>0</v>
      </c>
      <c r="BN353" s="8">
        <v>0</v>
      </c>
      <c r="BO353" s="8">
        <v>0</v>
      </c>
      <c r="BP353" s="8">
        <v>0</v>
      </c>
      <c r="BQ353" s="9">
        <f t="shared" si="1784"/>
        <v>0</v>
      </c>
      <c r="BR353" s="9">
        <f t="shared" si="1785"/>
        <v>0</v>
      </c>
      <c r="BS353" s="8">
        <v>0</v>
      </c>
      <c r="BT353" s="8">
        <v>0</v>
      </c>
      <c r="BU353" s="8">
        <v>0</v>
      </c>
      <c r="BV353" s="8">
        <v>0</v>
      </c>
      <c r="BW353" s="9">
        <f t="shared" si="1786"/>
        <v>0</v>
      </c>
      <c r="BX353" s="9">
        <f t="shared" si="1787"/>
        <v>0</v>
      </c>
      <c r="BY353" s="9">
        <f t="shared" si="1788"/>
        <v>49</v>
      </c>
      <c r="BZ353" s="9">
        <f t="shared" si="1789"/>
        <v>0</v>
      </c>
      <c r="CA353" s="9">
        <f t="shared" si="1790"/>
        <v>6</v>
      </c>
      <c r="CB353" s="9">
        <f t="shared" si="1791"/>
        <v>43</v>
      </c>
      <c r="CC353" s="8">
        <v>0</v>
      </c>
      <c r="CD353" s="8">
        <v>208</v>
      </c>
      <c r="CE353" s="8">
        <v>8</v>
      </c>
      <c r="CF353" s="8">
        <v>11</v>
      </c>
      <c r="CG353" s="8">
        <v>2</v>
      </c>
      <c r="CH353" s="9">
        <f t="shared" si="1792"/>
        <v>229</v>
      </c>
      <c r="CI353" s="8">
        <v>74</v>
      </c>
      <c r="CJ353" s="8">
        <v>2</v>
      </c>
      <c r="CK353" s="8">
        <v>1</v>
      </c>
      <c r="CL353" s="8">
        <v>1</v>
      </c>
      <c r="CM353" s="9">
        <f t="shared" si="1793"/>
        <v>78</v>
      </c>
      <c r="CN353" s="8">
        <v>364</v>
      </c>
      <c r="CO353" s="8">
        <v>32</v>
      </c>
      <c r="CP353" s="8">
        <v>4</v>
      </c>
      <c r="CQ353" s="8">
        <v>2</v>
      </c>
      <c r="CR353" s="9">
        <f t="shared" si="1794"/>
        <v>402</v>
      </c>
      <c r="CS353" s="9">
        <f t="shared" si="1795"/>
        <v>480</v>
      </c>
      <c r="CT353" s="8">
        <v>709</v>
      </c>
      <c r="CU353" s="8">
        <v>3715</v>
      </c>
      <c r="CV353" s="8">
        <v>3515.8</v>
      </c>
      <c r="CW353" s="10">
        <f t="shared" si="1796"/>
        <v>0.94637954239569322</v>
      </c>
      <c r="CX353" s="8">
        <v>0</v>
      </c>
      <c r="CY353" s="8">
        <v>0</v>
      </c>
      <c r="CZ353" s="8">
        <v>0</v>
      </c>
      <c r="DA353" s="8">
        <v>0</v>
      </c>
      <c r="DB353" s="9">
        <f t="shared" si="1797"/>
        <v>0</v>
      </c>
      <c r="DC353" s="8">
        <v>0</v>
      </c>
      <c r="DD353" s="8">
        <v>0</v>
      </c>
      <c r="DE353" s="8">
        <v>0</v>
      </c>
      <c r="DF353" s="8">
        <v>0</v>
      </c>
      <c r="DG353" s="9">
        <f t="shared" si="1798"/>
        <v>0</v>
      </c>
      <c r="DH353" s="8">
        <v>0</v>
      </c>
      <c r="DI353" s="8">
        <v>0</v>
      </c>
      <c r="DJ353" s="8">
        <v>0</v>
      </c>
      <c r="DK353" s="8">
        <v>0</v>
      </c>
      <c r="DL353" s="9">
        <f t="shared" si="1799"/>
        <v>0</v>
      </c>
      <c r="DM353" s="8">
        <v>0</v>
      </c>
      <c r="DN353" s="8">
        <v>5</v>
      </c>
      <c r="DO353" s="8">
        <v>5</v>
      </c>
      <c r="DP353" s="8">
        <v>0</v>
      </c>
      <c r="DQ353" s="9">
        <f t="shared" si="1800"/>
        <v>0</v>
      </c>
      <c r="DR353" s="9">
        <f t="shared" si="1801"/>
        <v>0</v>
      </c>
      <c r="DS353" s="9">
        <f t="shared" si="1802"/>
        <v>5</v>
      </c>
      <c r="DT353" s="9">
        <f t="shared" si="1803"/>
        <v>5</v>
      </c>
      <c r="DU353" s="9">
        <f t="shared" si="1804"/>
        <v>0</v>
      </c>
      <c r="DV353" s="9">
        <f t="shared" si="1805"/>
        <v>0</v>
      </c>
      <c r="DW353" s="8">
        <v>16</v>
      </c>
      <c r="DX353" s="8">
        <v>13</v>
      </c>
      <c r="DY353" s="8">
        <v>6</v>
      </c>
      <c r="DZ353" s="8">
        <v>1</v>
      </c>
      <c r="EA353" s="8">
        <v>2</v>
      </c>
      <c r="EB353" s="8">
        <v>0</v>
      </c>
      <c r="EC353" s="8">
        <v>0</v>
      </c>
      <c r="ED353" s="8">
        <v>0</v>
      </c>
      <c r="EE353" s="8">
        <v>1</v>
      </c>
      <c r="EF353" s="8">
        <v>0</v>
      </c>
      <c r="EG353" s="8">
        <v>0</v>
      </c>
      <c r="EH353" s="8">
        <v>0</v>
      </c>
      <c r="EI353" s="8">
        <v>0</v>
      </c>
      <c r="EJ353" s="8">
        <v>0</v>
      </c>
      <c r="EK353" s="8">
        <v>0</v>
      </c>
      <c r="EL353" s="8">
        <v>0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8">
        <v>0</v>
      </c>
      <c r="ES353" s="8">
        <v>0</v>
      </c>
      <c r="ET353" s="8">
        <v>0</v>
      </c>
      <c r="EU353" s="8">
        <v>0</v>
      </c>
      <c r="EV353" s="8">
        <v>0</v>
      </c>
      <c r="EW353" s="8">
        <v>0</v>
      </c>
      <c r="EX353" s="8">
        <v>0</v>
      </c>
      <c r="EY353" s="8">
        <v>0</v>
      </c>
      <c r="EZ353" s="8">
        <v>0</v>
      </c>
      <c r="FA353" s="8">
        <v>0</v>
      </c>
      <c r="FB353" s="8">
        <v>0</v>
      </c>
      <c r="FC353" s="8">
        <v>0</v>
      </c>
      <c r="FD353" s="8">
        <v>0</v>
      </c>
      <c r="FE353" s="8">
        <v>0</v>
      </c>
      <c r="FF353" s="8">
        <v>0</v>
      </c>
      <c r="FG353" s="9">
        <f t="shared" si="1806"/>
        <v>39</v>
      </c>
      <c r="FH353" s="8">
        <v>0</v>
      </c>
      <c r="FI353" s="8">
        <v>0</v>
      </c>
      <c r="FJ353" s="8">
        <v>22</v>
      </c>
      <c r="FK353" s="8">
        <v>108.46</v>
      </c>
      <c r="FL353" s="8">
        <v>0</v>
      </c>
      <c r="FM353" s="8">
        <v>0</v>
      </c>
      <c r="FN353" s="8">
        <v>0</v>
      </c>
      <c r="FO353" s="8">
        <v>0</v>
      </c>
      <c r="FP353" s="8">
        <v>0</v>
      </c>
      <c r="FQ353" s="9">
        <f t="shared" si="1807"/>
        <v>0</v>
      </c>
      <c r="FR353" s="8">
        <v>675317.22</v>
      </c>
      <c r="FS353" s="8">
        <v>0</v>
      </c>
      <c r="FT353" s="8">
        <v>0</v>
      </c>
      <c r="FU353" s="8">
        <v>0</v>
      </c>
      <c r="FV353" s="9">
        <f t="shared" si="1808"/>
        <v>675317.22</v>
      </c>
      <c r="FW353" s="8">
        <v>2922558</v>
      </c>
      <c r="FX353" s="8">
        <v>1800</v>
      </c>
      <c r="FY353" s="8">
        <v>83100</v>
      </c>
      <c r="FZ353" s="8">
        <v>1109000</v>
      </c>
      <c r="GA353" s="9">
        <f t="shared" si="1809"/>
        <v>4116458</v>
      </c>
      <c r="GB353" s="9">
        <f t="shared" si="1810"/>
        <v>4791775.22</v>
      </c>
      <c r="GC353" s="8">
        <v>481558</v>
      </c>
      <c r="GD353" s="8">
        <v>765.12</v>
      </c>
      <c r="GE353" s="8">
        <v>54784.4</v>
      </c>
      <c r="GF353" s="8">
        <v>45111.31</v>
      </c>
      <c r="GG353" s="9">
        <f t="shared" si="1811"/>
        <v>582218.83000000007</v>
      </c>
      <c r="GH353" s="8">
        <v>2852098</v>
      </c>
      <c r="GI353" s="8">
        <v>1200</v>
      </c>
      <c r="GJ353" s="8">
        <v>1079000</v>
      </c>
      <c r="GK353" s="8">
        <v>83100</v>
      </c>
      <c r="GL353" s="9">
        <f t="shared" si="1812"/>
        <v>4015398</v>
      </c>
      <c r="GM353" s="9">
        <f t="shared" si="1813"/>
        <v>4597616.83</v>
      </c>
      <c r="GN353" s="8">
        <v>40610.69</v>
      </c>
      <c r="GO353" s="8">
        <v>191.28</v>
      </c>
      <c r="GP353" s="8">
        <v>6787.28</v>
      </c>
      <c r="GQ353" s="8">
        <v>4637.34</v>
      </c>
      <c r="GR353" s="9">
        <f t="shared" si="1814"/>
        <v>52226.59</v>
      </c>
      <c r="GS353" s="8">
        <v>66082</v>
      </c>
      <c r="GT353" s="8">
        <v>893</v>
      </c>
      <c r="GU353" s="8">
        <v>1786</v>
      </c>
      <c r="GV353" s="8">
        <v>893</v>
      </c>
      <c r="GW353" s="9">
        <f t="shared" si="1815"/>
        <v>69654</v>
      </c>
      <c r="GX353" s="9">
        <f t="shared" si="1816"/>
        <v>4719497.42</v>
      </c>
      <c r="GY353" s="8">
        <v>27332700.62999998</v>
      </c>
      <c r="GZ353" s="8">
        <v>0</v>
      </c>
      <c r="HA353" s="9">
        <f t="shared" si="1762"/>
        <v>27332700.62999998</v>
      </c>
      <c r="HB353" s="9">
        <f t="shared" si="1817"/>
        <v>0.21901510750481565</v>
      </c>
      <c r="HC353" s="10">
        <f t="shared" si="1818"/>
        <v>0.14949911430489249</v>
      </c>
      <c r="HD353" s="9">
        <f t="shared" si="1819"/>
        <v>1.0153147239139713</v>
      </c>
      <c r="HE353" s="8">
        <v>6</v>
      </c>
      <c r="HF353" s="8">
        <v>1</v>
      </c>
      <c r="HG353" s="8">
        <v>43</v>
      </c>
      <c r="HH353" s="8">
        <v>0</v>
      </c>
      <c r="HI353" s="8">
        <v>2</v>
      </c>
      <c r="HJ353" s="9">
        <f t="shared" si="1820"/>
        <v>3</v>
      </c>
      <c r="HK353" s="10">
        <f t="shared" si="1821"/>
        <v>0</v>
      </c>
      <c r="HL353" s="8">
        <v>5</v>
      </c>
      <c r="HM353" s="8">
        <v>2</v>
      </c>
      <c r="HN353" s="11">
        <f t="shared" si="1822"/>
        <v>0.4</v>
      </c>
    </row>
    <row r="354" spans="1:222" x14ac:dyDescent="0.3">
      <c r="A354" s="12" t="s">
        <v>295</v>
      </c>
      <c r="B354" s="12" t="s">
        <v>302</v>
      </c>
      <c r="C354" s="13" t="s">
        <v>257</v>
      </c>
      <c r="D354" s="13">
        <v>2025</v>
      </c>
      <c r="E354" s="13">
        <v>7</v>
      </c>
      <c r="F354" s="13" t="s">
        <v>262</v>
      </c>
      <c r="G354" s="13" t="s">
        <v>263</v>
      </c>
      <c r="H354" s="14">
        <v>9395</v>
      </c>
      <c r="I354" s="14">
        <v>634</v>
      </c>
      <c r="J354" s="14">
        <v>4</v>
      </c>
      <c r="K354" s="14">
        <v>38</v>
      </c>
      <c r="L354" s="14">
        <v>0</v>
      </c>
      <c r="M354" s="15">
        <f t="shared" si="1763"/>
        <v>676</v>
      </c>
      <c r="N354" s="14">
        <v>7698.7</v>
      </c>
      <c r="O354" s="14">
        <v>14.2</v>
      </c>
      <c r="P354" s="14">
        <v>521.6</v>
      </c>
      <c r="Q354" s="14">
        <v>48</v>
      </c>
      <c r="R354" s="15">
        <f t="shared" si="1764"/>
        <v>8282.5</v>
      </c>
      <c r="S354" s="15">
        <f t="shared" si="1765"/>
        <v>8958.5</v>
      </c>
      <c r="T354" s="14">
        <v>436.50000000000398</v>
      </c>
      <c r="U354" s="16">
        <f t="shared" si="1766"/>
        <v>4.6460883448643318E-2</v>
      </c>
      <c r="V354" s="14">
        <v>5.5</v>
      </c>
      <c r="W354" s="17">
        <f t="shared" si="1767"/>
        <v>5.854177754124534E-4</v>
      </c>
      <c r="X354" s="14">
        <v>0</v>
      </c>
      <c r="Y354" s="17">
        <f t="shared" si="1768"/>
        <v>0</v>
      </c>
      <c r="Z354" s="14">
        <v>0</v>
      </c>
      <c r="AA354" s="17">
        <f t="shared" si="1769"/>
        <v>0</v>
      </c>
      <c r="AB354" s="14">
        <v>0</v>
      </c>
      <c r="AC354" s="17">
        <f t="shared" si="1770"/>
        <v>0</v>
      </c>
      <c r="AD354" s="14">
        <v>0</v>
      </c>
      <c r="AE354" s="17">
        <f t="shared" si="1771"/>
        <v>0</v>
      </c>
      <c r="AF354" s="14">
        <v>0</v>
      </c>
      <c r="AG354" s="17">
        <f t="shared" si="1772"/>
        <v>0</v>
      </c>
      <c r="AH354" s="14">
        <v>143000</v>
      </c>
      <c r="AI354" s="15">
        <f t="shared" si="1773"/>
        <v>15.220862160723788</v>
      </c>
      <c r="AJ354" s="14">
        <v>3446.47</v>
      </c>
      <c r="AK354" s="17">
        <f t="shared" si="1774"/>
        <v>0.3668408728046833</v>
      </c>
      <c r="AL354" s="14">
        <v>973557.71923000005</v>
      </c>
      <c r="AM354" s="15">
        <f t="shared" si="1775"/>
        <v>103.62508985949974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4">
        <v>0</v>
      </c>
      <c r="AT354" s="14">
        <v>0</v>
      </c>
      <c r="AU354" s="15">
        <f t="shared" si="1776"/>
        <v>1116557.7192299999</v>
      </c>
      <c r="AV354" s="15">
        <f t="shared" si="1777"/>
        <v>118.84595202022352</v>
      </c>
      <c r="AW354" s="15">
        <f t="shared" si="1778"/>
        <v>124.63668239437405</v>
      </c>
      <c r="AX354" s="14">
        <v>5</v>
      </c>
      <c r="AY354" s="15">
        <f t="shared" si="1779"/>
        <v>6.3863757317722198</v>
      </c>
      <c r="AZ354" s="14">
        <v>5</v>
      </c>
      <c r="BA354" s="14">
        <v>43</v>
      </c>
      <c r="BB354" s="14">
        <v>6</v>
      </c>
      <c r="BC354" s="14">
        <v>8</v>
      </c>
      <c r="BD354" s="14">
        <v>0</v>
      </c>
      <c r="BE354" s="15">
        <f t="shared" si="1780"/>
        <v>8</v>
      </c>
      <c r="BF354" s="15">
        <f t="shared" si="1781"/>
        <v>41</v>
      </c>
      <c r="BG354" s="14">
        <v>0</v>
      </c>
      <c r="BH354" s="14">
        <v>0</v>
      </c>
      <c r="BI354" s="14">
        <v>0</v>
      </c>
      <c r="BJ354" s="14">
        <v>0</v>
      </c>
      <c r="BK354" s="15">
        <f t="shared" si="1782"/>
        <v>0</v>
      </c>
      <c r="BL354" s="15">
        <f t="shared" si="1783"/>
        <v>0</v>
      </c>
      <c r="BM354" s="14">
        <v>0</v>
      </c>
      <c r="BN354" s="14">
        <v>0</v>
      </c>
      <c r="BO354" s="14">
        <v>0</v>
      </c>
      <c r="BP354" s="14">
        <v>0</v>
      </c>
      <c r="BQ354" s="15">
        <f t="shared" si="1784"/>
        <v>0</v>
      </c>
      <c r="BR354" s="15">
        <f t="shared" si="1785"/>
        <v>0</v>
      </c>
      <c r="BS354" s="14">
        <v>0</v>
      </c>
      <c r="BT354" s="14">
        <v>0</v>
      </c>
      <c r="BU354" s="14">
        <v>0</v>
      </c>
      <c r="BV354" s="14">
        <v>0</v>
      </c>
      <c r="BW354" s="15">
        <f t="shared" si="1786"/>
        <v>0</v>
      </c>
      <c r="BX354" s="15">
        <f t="shared" si="1787"/>
        <v>0</v>
      </c>
      <c r="BY354" s="15">
        <f t="shared" si="1788"/>
        <v>43</v>
      </c>
      <c r="BZ354" s="15">
        <f t="shared" si="1789"/>
        <v>6</v>
      </c>
      <c r="CA354" s="15">
        <f t="shared" si="1790"/>
        <v>8</v>
      </c>
      <c r="CB354" s="15">
        <f t="shared" si="1791"/>
        <v>41</v>
      </c>
      <c r="CC354" s="14">
        <v>0</v>
      </c>
      <c r="CD354" s="14">
        <v>208</v>
      </c>
      <c r="CE354" s="14">
        <v>8</v>
      </c>
      <c r="CF354" s="14">
        <v>12</v>
      </c>
      <c r="CG354" s="14">
        <v>2</v>
      </c>
      <c r="CH354" s="15">
        <f t="shared" si="1792"/>
        <v>230</v>
      </c>
      <c r="CI354" s="14">
        <v>82</v>
      </c>
      <c r="CJ354" s="14">
        <v>2</v>
      </c>
      <c r="CK354" s="14">
        <v>0</v>
      </c>
      <c r="CL354" s="14">
        <v>1</v>
      </c>
      <c r="CM354" s="15">
        <f t="shared" si="1793"/>
        <v>85</v>
      </c>
      <c r="CN354" s="14">
        <v>364</v>
      </c>
      <c r="CO354" s="14">
        <v>32</v>
      </c>
      <c r="CP354" s="14">
        <v>4</v>
      </c>
      <c r="CQ354" s="14">
        <v>2</v>
      </c>
      <c r="CR354" s="15">
        <f t="shared" si="1794"/>
        <v>402</v>
      </c>
      <c r="CS354" s="15">
        <f t="shared" si="1795"/>
        <v>487</v>
      </c>
      <c r="CT354" s="14">
        <v>717</v>
      </c>
      <c r="CU354" s="14">
        <v>3718</v>
      </c>
      <c r="CV354" s="14">
        <v>3550.4</v>
      </c>
      <c r="CW354" s="16">
        <f t="shared" si="1796"/>
        <v>0.95492200107584724</v>
      </c>
      <c r="CX354" s="14">
        <v>0</v>
      </c>
      <c r="CY354" s="14">
        <v>0</v>
      </c>
      <c r="CZ354" s="14">
        <v>0</v>
      </c>
      <c r="DA354" s="14">
        <v>0</v>
      </c>
      <c r="DB354" s="15">
        <f t="shared" si="1797"/>
        <v>0</v>
      </c>
      <c r="DC354" s="14">
        <v>0</v>
      </c>
      <c r="DD354" s="14">
        <v>0</v>
      </c>
      <c r="DE354" s="14">
        <v>0</v>
      </c>
      <c r="DF354" s="14">
        <v>0</v>
      </c>
      <c r="DG354" s="15">
        <f t="shared" si="1798"/>
        <v>0</v>
      </c>
      <c r="DH354" s="14">
        <v>0</v>
      </c>
      <c r="DI354" s="14">
        <v>0</v>
      </c>
      <c r="DJ354" s="14">
        <v>0</v>
      </c>
      <c r="DK354" s="14">
        <v>0</v>
      </c>
      <c r="DL354" s="15">
        <f t="shared" si="1799"/>
        <v>0</v>
      </c>
      <c r="DM354" s="14">
        <v>0</v>
      </c>
      <c r="DN354" s="14">
        <v>16</v>
      </c>
      <c r="DO354" s="14">
        <v>8</v>
      </c>
      <c r="DP354" s="14">
        <v>8</v>
      </c>
      <c r="DQ354" s="15">
        <f t="shared" si="1800"/>
        <v>0</v>
      </c>
      <c r="DR354" s="15">
        <f t="shared" si="1801"/>
        <v>0</v>
      </c>
      <c r="DS354" s="15">
        <f t="shared" si="1802"/>
        <v>16</v>
      </c>
      <c r="DT354" s="15">
        <f t="shared" si="1803"/>
        <v>8</v>
      </c>
      <c r="DU354" s="15">
        <f t="shared" si="1804"/>
        <v>8</v>
      </c>
      <c r="DV354" s="15">
        <f t="shared" si="1805"/>
        <v>0</v>
      </c>
      <c r="DW354" s="14">
        <v>21</v>
      </c>
      <c r="DX354" s="14">
        <v>11</v>
      </c>
      <c r="DY354" s="14">
        <v>10</v>
      </c>
      <c r="DZ354" s="14">
        <v>3</v>
      </c>
      <c r="EA354" s="14">
        <v>6</v>
      </c>
      <c r="EB354" s="14">
        <v>2</v>
      </c>
      <c r="EC354" s="14">
        <v>0</v>
      </c>
      <c r="ED354" s="14">
        <v>0</v>
      </c>
      <c r="EE354" s="14">
        <v>0</v>
      </c>
      <c r="EF354" s="14">
        <v>0</v>
      </c>
      <c r="EG354" s="14">
        <v>0</v>
      </c>
      <c r="EH354" s="14">
        <v>0</v>
      </c>
      <c r="EI354" s="14">
        <v>0</v>
      </c>
      <c r="EJ354" s="14">
        <v>0</v>
      </c>
      <c r="EK354" s="14">
        <v>0</v>
      </c>
      <c r="EL354" s="14">
        <v>0</v>
      </c>
      <c r="EM354" s="14">
        <v>0</v>
      </c>
      <c r="EN354" s="14">
        <v>0</v>
      </c>
      <c r="EO354" s="14">
        <v>0</v>
      </c>
      <c r="EP354" s="14">
        <v>0</v>
      </c>
      <c r="EQ354" s="14">
        <v>0</v>
      </c>
      <c r="ER354" s="14">
        <v>0</v>
      </c>
      <c r="ES354" s="14">
        <v>0</v>
      </c>
      <c r="ET354" s="14">
        <v>0</v>
      </c>
      <c r="EU354" s="14">
        <v>0</v>
      </c>
      <c r="EV354" s="14">
        <v>0</v>
      </c>
      <c r="EW354" s="14">
        <v>0</v>
      </c>
      <c r="EX354" s="14">
        <v>0</v>
      </c>
      <c r="EY354" s="14">
        <v>0</v>
      </c>
      <c r="EZ354" s="14">
        <v>0</v>
      </c>
      <c r="FA354" s="14">
        <v>0</v>
      </c>
      <c r="FB354" s="14">
        <v>0</v>
      </c>
      <c r="FC354" s="14">
        <v>0</v>
      </c>
      <c r="FD354" s="14">
        <v>0</v>
      </c>
      <c r="FE354" s="14">
        <v>0</v>
      </c>
      <c r="FF354" s="14">
        <v>0</v>
      </c>
      <c r="FG354" s="15">
        <f t="shared" si="1806"/>
        <v>53</v>
      </c>
      <c r="FH354" s="14">
        <v>0</v>
      </c>
      <c r="FI354" s="14">
        <v>0</v>
      </c>
      <c r="FJ354" s="14">
        <v>23</v>
      </c>
      <c r="FK354" s="14">
        <v>30</v>
      </c>
      <c r="FL354" s="14">
        <v>0</v>
      </c>
      <c r="FM354" s="14">
        <v>0</v>
      </c>
      <c r="FN354" s="14">
        <v>0</v>
      </c>
      <c r="FO354" s="14">
        <v>0</v>
      </c>
      <c r="FP354" s="14">
        <v>0</v>
      </c>
      <c r="FQ354" s="15">
        <f t="shared" si="1807"/>
        <v>0</v>
      </c>
      <c r="FR354" s="14">
        <v>831171.76</v>
      </c>
      <c r="FS354" s="14">
        <v>0</v>
      </c>
      <c r="FT354" s="14">
        <v>0</v>
      </c>
      <c r="FU354" s="14">
        <v>0</v>
      </c>
      <c r="FV354" s="15">
        <f t="shared" si="1808"/>
        <v>831171.76</v>
      </c>
      <c r="FW354" s="14">
        <v>18672301.59</v>
      </c>
      <c r="FX354" s="14">
        <v>6000</v>
      </c>
      <c r="FY354" s="14">
        <v>227523</v>
      </c>
      <c r="FZ354" s="14">
        <v>1585500</v>
      </c>
      <c r="GA354" s="15">
        <f t="shared" si="1809"/>
        <v>20491324.59</v>
      </c>
      <c r="GB354" s="15">
        <f t="shared" si="1810"/>
        <v>21322496.350000001</v>
      </c>
      <c r="GC354" s="14">
        <v>554632.61</v>
      </c>
      <c r="GD354" s="14">
        <v>765.12</v>
      </c>
      <c r="GE354" s="14">
        <v>110376.88</v>
      </c>
      <c r="GF354" s="14">
        <v>0</v>
      </c>
      <c r="GG354" s="15">
        <f t="shared" si="1811"/>
        <v>665774.61</v>
      </c>
      <c r="GH354" s="14">
        <v>18564426.98</v>
      </c>
      <c r="GI354" s="14">
        <v>3000</v>
      </c>
      <c r="GJ354" s="14">
        <v>1585500</v>
      </c>
      <c r="GK354" s="14">
        <v>227523</v>
      </c>
      <c r="GL354" s="15">
        <f t="shared" si="1812"/>
        <v>20380449.98</v>
      </c>
      <c r="GM354" s="15">
        <f t="shared" si="1813"/>
        <v>21046224.59</v>
      </c>
      <c r="GN354" s="14">
        <v>44806.28</v>
      </c>
      <c r="GO354" s="14">
        <v>191.28</v>
      </c>
      <c r="GP354" s="14">
        <v>6787.28</v>
      </c>
      <c r="GQ354" s="14">
        <v>0</v>
      </c>
      <c r="GR354" s="15">
        <f t="shared" si="1814"/>
        <v>51784.84</v>
      </c>
      <c r="GS354" s="14">
        <v>73226</v>
      </c>
      <c r="GT354" s="14">
        <v>893</v>
      </c>
      <c r="GU354" s="14">
        <v>1786</v>
      </c>
      <c r="GV354" s="14">
        <v>0</v>
      </c>
      <c r="GW354" s="15">
        <f t="shared" si="1815"/>
        <v>75905</v>
      </c>
      <c r="GX354" s="15">
        <f t="shared" si="1816"/>
        <v>21173914.43</v>
      </c>
      <c r="GY354" s="14">
        <v>27169983.100000001</v>
      </c>
      <c r="GZ354" s="14">
        <v>0</v>
      </c>
      <c r="HA354" s="9">
        <f t="shared" si="1762"/>
        <v>27169983.100000001</v>
      </c>
      <c r="HB354" s="15">
        <f t="shared" si="1817"/>
        <v>5.2732701972575222E-2</v>
      </c>
      <c r="HC354" s="16">
        <f t="shared" si="1818"/>
        <v>0.44105869488011884</v>
      </c>
      <c r="HD354" s="15">
        <f t="shared" si="1819"/>
        <v>1.0070172154747865</v>
      </c>
      <c r="HE354" s="14">
        <v>6</v>
      </c>
      <c r="HF354" s="14">
        <v>1</v>
      </c>
      <c r="HG354" s="14">
        <v>41</v>
      </c>
      <c r="HH354" s="14">
        <v>6</v>
      </c>
      <c r="HI354" s="14">
        <v>3</v>
      </c>
      <c r="HJ354" s="15">
        <f t="shared" si="1820"/>
        <v>4</v>
      </c>
      <c r="HK354" s="16">
        <f t="shared" si="1821"/>
        <v>1</v>
      </c>
      <c r="HL354" s="14">
        <v>5</v>
      </c>
      <c r="HM354" s="14">
        <v>2</v>
      </c>
      <c r="HN354" s="17">
        <f t="shared" si="1822"/>
        <v>0.4</v>
      </c>
    </row>
    <row r="355" spans="1:222" x14ac:dyDescent="0.3">
      <c r="A355" s="6" t="s">
        <v>295</v>
      </c>
      <c r="B355" s="6" t="s">
        <v>302</v>
      </c>
      <c r="C355" s="7" t="s">
        <v>257</v>
      </c>
      <c r="D355" s="7">
        <v>2025</v>
      </c>
      <c r="E355" s="7">
        <v>8</v>
      </c>
      <c r="F355" s="7" t="s">
        <v>264</v>
      </c>
      <c r="G355" s="7" t="s">
        <v>263</v>
      </c>
      <c r="H355" s="8">
        <v>5074</v>
      </c>
      <c r="I355" s="8">
        <v>771</v>
      </c>
      <c r="J355" s="8">
        <v>4</v>
      </c>
      <c r="K355" s="8">
        <v>53</v>
      </c>
      <c r="L355" s="8">
        <v>0</v>
      </c>
      <c r="M355" s="9">
        <f t="shared" si="1763"/>
        <v>828</v>
      </c>
      <c r="N355" s="8">
        <v>2210.3999999999901</v>
      </c>
      <c r="O355" s="8">
        <v>22.7</v>
      </c>
      <c r="P355" s="8">
        <v>554.29999999999995</v>
      </c>
      <c r="Q355" s="8">
        <v>37.4</v>
      </c>
      <c r="R355" s="9">
        <f t="shared" si="1764"/>
        <v>2824.7999999999897</v>
      </c>
      <c r="S355" s="9">
        <f t="shared" si="1765"/>
        <v>3652.7999999999897</v>
      </c>
      <c r="T355" s="8">
        <v>1421.20000000001</v>
      </c>
      <c r="U355" s="10">
        <f t="shared" si="1766"/>
        <v>0.2800945999211687</v>
      </c>
      <c r="V355" s="8">
        <v>5</v>
      </c>
      <c r="W355" s="11">
        <f t="shared" si="1767"/>
        <v>9.8541584548679549E-4</v>
      </c>
      <c r="X355" s="8">
        <v>0</v>
      </c>
      <c r="Y355" s="11">
        <f t="shared" si="1768"/>
        <v>0</v>
      </c>
      <c r="Z355" s="8">
        <v>0</v>
      </c>
      <c r="AA355" s="11">
        <f t="shared" si="1769"/>
        <v>0</v>
      </c>
      <c r="AB355" s="8">
        <v>0</v>
      </c>
      <c r="AC355" s="11">
        <f t="shared" si="1770"/>
        <v>0</v>
      </c>
      <c r="AD355" s="8">
        <v>0</v>
      </c>
      <c r="AE355" s="11">
        <f t="shared" si="1771"/>
        <v>0</v>
      </c>
      <c r="AF355" s="8">
        <v>0</v>
      </c>
      <c r="AG355" s="11">
        <f t="shared" si="1772"/>
        <v>0</v>
      </c>
      <c r="AH355" s="8">
        <v>130000</v>
      </c>
      <c r="AI355" s="9">
        <f t="shared" si="1773"/>
        <v>25.620811982656679</v>
      </c>
      <c r="AJ355" s="8">
        <v>2982.59</v>
      </c>
      <c r="AK355" s="11">
        <f t="shared" si="1774"/>
        <v>0.58781828931809221</v>
      </c>
      <c r="AL355" s="8">
        <v>846775.14031000005</v>
      </c>
      <c r="AM355" s="9">
        <f t="shared" si="1775"/>
        <v>166.88512816515569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9">
        <f t="shared" si="1776"/>
        <v>976775.14031000005</v>
      </c>
      <c r="AV355" s="9">
        <f t="shared" si="1777"/>
        <v>192.5059401478124</v>
      </c>
      <c r="AW355" s="9">
        <f t="shared" si="1778"/>
        <v>267.40449526664554</v>
      </c>
      <c r="AX355" s="8">
        <v>5</v>
      </c>
      <c r="AY355" s="9">
        <f t="shared" si="1779"/>
        <v>11.824990145841545</v>
      </c>
      <c r="AZ355" s="8">
        <v>5</v>
      </c>
      <c r="BA355" s="8">
        <v>41</v>
      </c>
      <c r="BB355" s="8">
        <v>6</v>
      </c>
      <c r="BC355" s="8">
        <v>5</v>
      </c>
      <c r="BD355" s="8">
        <v>0</v>
      </c>
      <c r="BE355" s="9">
        <f t="shared" si="1780"/>
        <v>5</v>
      </c>
      <c r="BF355" s="9">
        <f t="shared" si="1781"/>
        <v>42</v>
      </c>
      <c r="BG355" s="8">
        <v>0</v>
      </c>
      <c r="BH355" s="8">
        <v>0</v>
      </c>
      <c r="BI355" s="8">
        <v>0</v>
      </c>
      <c r="BJ355" s="8">
        <v>0</v>
      </c>
      <c r="BK355" s="9">
        <f t="shared" si="1782"/>
        <v>0</v>
      </c>
      <c r="BL355" s="9">
        <f t="shared" si="1783"/>
        <v>0</v>
      </c>
      <c r="BM355" s="8">
        <v>0</v>
      </c>
      <c r="BN355" s="8">
        <v>0</v>
      </c>
      <c r="BO355" s="8">
        <v>0</v>
      </c>
      <c r="BP355" s="8">
        <v>0</v>
      </c>
      <c r="BQ355" s="9">
        <f t="shared" si="1784"/>
        <v>0</v>
      </c>
      <c r="BR355" s="9">
        <f t="shared" si="1785"/>
        <v>0</v>
      </c>
      <c r="BS355" s="8">
        <v>0</v>
      </c>
      <c r="BT355" s="8">
        <v>0</v>
      </c>
      <c r="BU355" s="8">
        <v>0</v>
      </c>
      <c r="BV355" s="8">
        <v>0</v>
      </c>
      <c r="BW355" s="9">
        <f t="shared" si="1786"/>
        <v>0</v>
      </c>
      <c r="BX355" s="9">
        <f t="shared" si="1787"/>
        <v>0</v>
      </c>
      <c r="BY355" s="9">
        <f t="shared" si="1788"/>
        <v>41</v>
      </c>
      <c r="BZ355" s="9">
        <f t="shared" si="1789"/>
        <v>6</v>
      </c>
      <c r="CA355" s="9">
        <f t="shared" si="1790"/>
        <v>5</v>
      </c>
      <c r="CB355" s="9">
        <f t="shared" si="1791"/>
        <v>42</v>
      </c>
      <c r="CC355" s="8">
        <v>0</v>
      </c>
      <c r="CD355" s="8">
        <v>203</v>
      </c>
      <c r="CE355" s="8">
        <v>8</v>
      </c>
      <c r="CF355" s="8">
        <v>12</v>
      </c>
      <c r="CG355" s="8">
        <v>2</v>
      </c>
      <c r="CH355" s="9">
        <f t="shared" si="1792"/>
        <v>225</v>
      </c>
      <c r="CI355" s="8">
        <v>92</v>
      </c>
      <c r="CJ355" s="8">
        <v>2</v>
      </c>
      <c r="CK355" s="8">
        <v>0</v>
      </c>
      <c r="CL355" s="8">
        <v>1</v>
      </c>
      <c r="CM355" s="9">
        <f t="shared" si="1793"/>
        <v>95</v>
      </c>
      <c r="CN355" s="8">
        <v>364</v>
      </c>
      <c r="CO355" s="8">
        <v>32</v>
      </c>
      <c r="CP355" s="8">
        <v>4</v>
      </c>
      <c r="CQ355" s="8">
        <v>2</v>
      </c>
      <c r="CR355" s="9">
        <f t="shared" si="1794"/>
        <v>402</v>
      </c>
      <c r="CS355" s="9">
        <f t="shared" si="1795"/>
        <v>497</v>
      </c>
      <c r="CT355" s="8">
        <v>722</v>
      </c>
      <c r="CU355" s="8">
        <v>3721</v>
      </c>
      <c r="CV355" s="8">
        <v>3571.5</v>
      </c>
      <c r="CW355" s="10">
        <f t="shared" si="1796"/>
        <v>0.95982262832571885</v>
      </c>
      <c r="CX355" s="8">
        <v>0</v>
      </c>
      <c r="CY355" s="8">
        <v>0</v>
      </c>
      <c r="CZ355" s="8">
        <v>0</v>
      </c>
      <c r="DA355" s="8">
        <v>0</v>
      </c>
      <c r="DB355" s="9">
        <f t="shared" si="1797"/>
        <v>0</v>
      </c>
      <c r="DC355" s="8">
        <v>0</v>
      </c>
      <c r="DD355" s="8">
        <v>0</v>
      </c>
      <c r="DE355" s="8">
        <v>0</v>
      </c>
      <c r="DF355" s="8">
        <v>0</v>
      </c>
      <c r="DG355" s="9">
        <f t="shared" si="1798"/>
        <v>0</v>
      </c>
      <c r="DH355" s="8">
        <v>0</v>
      </c>
      <c r="DI355" s="8">
        <v>0</v>
      </c>
      <c r="DJ355" s="8">
        <v>0</v>
      </c>
      <c r="DK355" s="8">
        <v>0</v>
      </c>
      <c r="DL355" s="9">
        <f t="shared" si="1799"/>
        <v>0</v>
      </c>
      <c r="DM355" s="8">
        <v>0</v>
      </c>
      <c r="DN355" s="8">
        <v>11</v>
      </c>
      <c r="DO355" s="8">
        <v>5</v>
      </c>
      <c r="DP355" s="8">
        <v>5</v>
      </c>
      <c r="DQ355" s="9">
        <f t="shared" si="1800"/>
        <v>1</v>
      </c>
      <c r="DR355" s="9">
        <f t="shared" si="1801"/>
        <v>0</v>
      </c>
      <c r="DS355" s="9">
        <f t="shared" si="1802"/>
        <v>11</v>
      </c>
      <c r="DT355" s="9">
        <f t="shared" si="1803"/>
        <v>5</v>
      </c>
      <c r="DU355" s="9">
        <f t="shared" si="1804"/>
        <v>5</v>
      </c>
      <c r="DV355" s="9">
        <f t="shared" si="1805"/>
        <v>1</v>
      </c>
      <c r="DW355" s="8">
        <v>29</v>
      </c>
      <c r="DX355" s="8">
        <v>13</v>
      </c>
      <c r="DY355" s="8">
        <v>7</v>
      </c>
      <c r="DZ355" s="8">
        <v>3</v>
      </c>
      <c r="EA355" s="8">
        <v>2</v>
      </c>
      <c r="EB355" s="8">
        <v>1</v>
      </c>
      <c r="EC355" s="8">
        <v>0</v>
      </c>
      <c r="ED355" s="8">
        <v>0</v>
      </c>
      <c r="EE355" s="8">
        <v>0</v>
      </c>
      <c r="EF355" s="8">
        <v>0</v>
      </c>
      <c r="EG355" s="8">
        <v>0</v>
      </c>
      <c r="EH355" s="8">
        <v>0</v>
      </c>
      <c r="EI355" s="8">
        <v>0</v>
      </c>
      <c r="EJ355" s="8">
        <v>1</v>
      </c>
      <c r="EK355" s="8">
        <v>0</v>
      </c>
      <c r="EL355" s="8">
        <v>0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8">
        <v>0</v>
      </c>
      <c r="ES355" s="8">
        <v>0</v>
      </c>
      <c r="ET355" s="8">
        <v>0</v>
      </c>
      <c r="EU355" s="8">
        <v>0</v>
      </c>
      <c r="EV355" s="8">
        <v>0</v>
      </c>
      <c r="EW355" s="8">
        <v>0</v>
      </c>
      <c r="EX355" s="8">
        <v>0</v>
      </c>
      <c r="EY355" s="8">
        <v>0</v>
      </c>
      <c r="EZ355" s="8">
        <v>0</v>
      </c>
      <c r="FA355" s="8">
        <v>0</v>
      </c>
      <c r="FB355" s="8">
        <v>0</v>
      </c>
      <c r="FC355" s="8">
        <v>0</v>
      </c>
      <c r="FD355" s="8">
        <v>0</v>
      </c>
      <c r="FE355" s="8">
        <v>0</v>
      </c>
      <c r="FF355" s="8">
        <v>0</v>
      </c>
      <c r="FG355" s="9">
        <f t="shared" si="1806"/>
        <v>56</v>
      </c>
      <c r="FH355" s="8">
        <v>0</v>
      </c>
      <c r="FI355" s="8">
        <v>0</v>
      </c>
      <c r="FJ355" s="8">
        <v>22</v>
      </c>
      <c r="FK355" s="8">
        <v>147.30000000000001</v>
      </c>
      <c r="FL355" s="8">
        <v>0</v>
      </c>
      <c r="FM355" s="8">
        <v>0</v>
      </c>
      <c r="FN355" s="8">
        <v>0</v>
      </c>
      <c r="FO355" s="8">
        <v>0</v>
      </c>
      <c r="FP355" s="8">
        <v>0</v>
      </c>
      <c r="FQ355" s="9">
        <f t="shared" si="1807"/>
        <v>0</v>
      </c>
      <c r="FR355" s="8">
        <v>998817.22</v>
      </c>
      <c r="FS355" s="8">
        <v>0</v>
      </c>
      <c r="FT355" s="8">
        <v>0</v>
      </c>
      <c r="FU355" s="8">
        <v>0</v>
      </c>
      <c r="FV355" s="9">
        <f t="shared" si="1808"/>
        <v>998817.22</v>
      </c>
      <c r="FW355" s="8">
        <v>2804100</v>
      </c>
      <c r="FX355" s="8">
        <v>9900</v>
      </c>
      <c r="FY355" s="8">
        <v>175925</v>
      </c>
      <c r="FZ355" s="8">
        <v>1684700</v>
      </c>
      <c r="GA355" s="9">
        <f t="shared" si="1809"/>
        <v>4674625</v>
      </c>
      <c r="GB355" s="9">
        <f t="shared" si="1810"/>
        <v>5673442.2199999997</v>
      </c>
      <c r="GC355" s="8">
        <v>676541.74</v>
      </c>
      <c r="GD355" s="8">
        <v>765.12</v>
      </c>
      <c r="GE355" s="8">
        <v>162268.93</v>
      </c>
      <c r="GF355" s="8">
        <v>0</v>
      </c>
      <c r="GG355" s="9">
        <f t="shared" si="1811"/>
        <v>839575.79</v>
      </c>
      <c r="GH355" s="8">
        <v>2758132.34</v>
      </c>
      <c r="GI355" s="8">
        <v>4800</v>
      </c>
      <c r="GJ355" s="8">
        <v>1684700</v>
      </c>
      <c r="GK355" s="8">
        <v>175925</v>
      </c>
      <c r="GL355" s="9">
        <f t="shared" si="1812"/>
        <v>4623557.34</v>
      </c>
      <c r="GM355" s="9">
        <f t="shared" si="1813"/>
        <v>5463133.1299999999</v>
      </c>
      <c r="GN355" s="8">
        <v>50091.73</v>
      </c>
      <c r="GO355" s="8">
        <v>191.28</v>
      </c>
      <c r="GP355" s="8">
        <v>6787.28</v>
      </c>
      <c r="GQ355" s="8">
        <v>0</v>
      </c>
      <c r="GR355" s="9">
        <f t="shared" si="1814"/>
        <v>57070.29</v>
      </c>
      <c r="GS355" s="8">
        <v>82156</v>
      </c>
      <c r="GT355" s="8">
        <v>893</v>
      </c>
      <c r="GU355" s="8">
        <v>1786</v>
      </c>
      <c r="GV355" s="8">
        <v>0</v>
      </c>
      <c r="GW355" s="9">
        <f t="shared" si="1815"/>
        <v>84835</v>
      </c>
      <c r="GX355" s="9">
        <f t="shared" si="1816"/>
        <v>5605038.4199999999</v>
      </c>
      <c r="GY355" s="8">
        <v>27152646.960000008</v>
      </c>
      <c r="GZ355" s="8">
        <v>0</v>
      </c>
      <c r="HA355" s="9">
        <f t="shared" si="1762"/>
        <v>27152646.960000008</v>
      </c>
      <c r="HB355" s="9">
        <f t="shared" si="1817"/>
        <v>0.1742673407598159</v>
      </c>
      <c r="HC355" s="10">
        <f t="shared" si="1818"/>
        <v>0.17319423378624554</v>
      </c>
      <c r="HD355" s="9">
        <f t="shared" si="1819"/>
        <v>1.0122039841432522</v>
      </c>
      <c r="HE355" s="8">
        <v>6</v>
      </c>
      <c r="HF355" s="8">
        <v>1</v>
      </c>
      <c r="HG355" s="8">
        <v>42</v>
      </c>
      <c r="HH355" s="8">
        <v>6</v>
      </c>
      <c r="HI355" s="8">
        <v>3</v>
      </c>
      <c r="HJ355" s="9">
        <f t="shared" si="1820"/>
        <v>4</v>
      </c>
      <c r="HK355" s="10">
        <f t="shared" si="1821"/>
        <v>1</v>
      </c>
      <c r="HL355" s="8">
        <v>5</v>
      </c>
      <c r="HM355" s="8">
        <v>2</v>
      </c>
      <c r="HN355" s="11">
        <f t="shared" si="1822"/>
        <v>0.4</v>
      </c>
    </row>
    <row r="356" spans="1:222" x14ac:dyDescent="0.3">
      <c r="A356" s="12" t="s">
        <v>295</v>
      </c>
      <c r="B356" s="12" t="s">
        <v>302</v>
      </c>
      <c r="C356" s="13" t="s">
        <v>257</v>
      </c>
      <c r="D356" s="13">
        <v>2025</v>
      </c>
      <c r="E356" s="13">
        <v>9</v>
      </c>
      <c r="F356" s="13" t="s">
        <v>265</v>
      </c>
      <c r="G356" s="13" t="s">
        <v>263</v>
      </c>
      <c r="H356" s="14">
        <v>15588</v>
      </c>
      <c r="I356" s="14">
        <v>1077</v>
      </c>
      <c r="J356" s="14">
        <v>0</v>
      </c>
      <c r="K356" s="14">
        <v>51</v>
      </c>
      <c r="L356" s="14">
        <v>0</v>
      </c>
      <c r="M356" s="15">
        <f t="shared" si="1763"/>
        <v>1128</v>
      </c>
      <c r="N356" s="14">
        <v>3903.7</v>
      </c>
      <c r="O356" s="14">
        <v>23.6</v>
      </c>
      <c r="P356" s="14">
        <v>6689.6</v>
      </c>
      <c r="Q356" s="14">
        <v>33.1</v>
      </c>
      <c r="R356" s="15">
        <f t="shared" si="1764"/>
        <v>10650</v>
      </c>
      <c r="S356" s="15">
        <f t="shared" si="1765"/>
        <v>11778</v>
      </c>
      <c r="T356" s="14">
        <v>3810</v>
      </c>
      <c r="U356" s="16">
        <f t="shared" si="1766"/>
        <v>0.24441878367975364</v>
      </c>
      <c r="V356" s="14">
        <v>5</v>
      </c>
      <c r="W356" s="17">
        <f t="shared" si="1767"/>
        <v>3.2075955863484731E-4</v>
      </c>
      <c r="X356" s="14">
        <v>0</v>
      </c>
      <c r="Y356" s="17">
        <f t="shared" si="1768"/>
        <v>0</v>
      </c>
      <c r="Z356" s="14">
        <v>0</v>
      </c>
      <c r="AA356" s="17">
        <f t="shared" si="1769"/>
        <v>0</v>
      </c>
      <c r="AB356" s="14">
        <v>0</v>
      </c>
      <c r="AC356" s="17">
        <f t="shared" si="1770"/>
        <v>0</v>
      </c>
      <c r="AD356" s="14">
        <v>0</v>
      </c>
      <c r="AE356" s="17">
        <f t="shared" si="1771"/>
        <v>0</v>
      </c>
      <c r="AF356" s="14">
        <v>0</v>
      </c>
      <c r="AG356" s="17">
        <f t="shared" si="1772"/>
        <v>0</v>
      </c>
      <c r="AH356" s="14">
        <v>130000</v>
      </c>
      <c r="AI356" s="15">
        <f t="shared" si="1773"/>
        <v>8.3397485245060299</v>
      </c>
      <c r="AJ356" s="14">
        <v>4455.96</v>
      </c>
      <c r="AK356" s="17">
        <f t="shared" si="1774"/>
        <v>0.28585835257890685</v>
      </c>
      <c r="AL356" s="14">
        <v>1249460.4216400001</v>
      </c>
      <c r="AM356" s="15">
        <f t="shared" si="1775"/>
        <v>80.155274675391325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4">
        <v>0</v>
      </c>
      <c r="AU356" s="15">
        <f t="shared" si="1776"/>
        <v>1379460.4216400001</v>
      </c>
      <c r="AV356" s="15">
        <f t="shared" si="1777"/>
        <v>88.495023199897361</v>
      </c>
      <c r="AW356" s="15">
        <f t="shared" si="1778"/>
        <v>117.12178821871287</v>
      </c>
      <c r="AX356" s="14">
        <v>5</v>
      </c>
      <c r="AY356" s="15">
        <f t="shared" si="1779"/>
        <v>3.8491147036181679</v>
      </c>
      <c r="AZ356" s="14">
        <v>5</v>
      </c>
      <c r="BA356" s="14">
        <v>42</v>
      </c>
      <c r="BB356" s="14">
        <v>7</v>
      </c>
      <c r="BC356" s="14">
        <v>8</v>
      </c>
      <c r="BD356" s="14">
        <v>0</v>
      </c>
      <c r="BE356" s="15">
        <f t="shared" si="1780"/>
        <v>8</v>
      </c>
      <c r="BF356" s="15">
        <f t="shared" si="1781"/>
        <v>41</v>
      </c>
      <c r="BG356" s="14">
        <v>0</v>
      </c>
      <c r="BH356" s="14">
        <v>0</v>
      </c>
      <c r="BI356" s="14">
        <v>0</v>
      </c>
      <c r="BJ356" s="14">
        <v>0</v>
      </c>
      <c r="BK356" s="15">
        <f t="shared" si="1782"/>
        <v>0</v>
      </c>
      <c r="BL356" s="15">
        <f t="shared" si="1783"/>
        <v>0</v>
      </c>
      <c r="BM356" s="14">
        <v>0</v>
      </c>
      <c r="BN356" s="14">
        <v>0</v>
      </c>
      <c r="BO356" s="14">
        <v>0</v>
      </c>
      <c r="BP356" s="14">
        <v>0</v>
      </c>
      <c r="BQ356" s="15">
        <f t="shared" si="1784"/>
        <v>0</v>
      </c>
      <c r="BR356" s="15">
        <f t="shared" si="1785"/>
        <v>0</v>
      </c>
      <c r="BS356" s="14">
        <v>0</v>
      </c>
      <c r="BT356" s="14">
        <v>0</v>
      </c>
      <c r="BU356" s="14">
        <v>0</v>
      </c>
      <c r="BV356" s="14">
        <v>0</v>
      </c>
      <c r="BW356" s="15">
        <f t="shared" si="1786"/>
        <v>0</v>
      </c>
      <c r="BX356" s="15">
        <f t="shared" si="1787"/>
        <v>0</v>
      </c>
      <c r="BY356" s="15">
        <f t="shared" si="1788"/>
        <v>42</v>
      </c>
      <c r="BZ356" s="15">
        <f t="shared" si="1789"/>
        <v>7</v>
      </c>
      <c r="CA356" s="15">
        <f t="shared" si="1790"/>
        <v>8</v>
      </c>
      <c r="CB356" s="15">
        <f t="shared" si="1791"/>
        <v>41</v>
      </c>
      <c r="CC356" s="14">
        <v>0</v>
      </c>
      <c r="CD356" s="14">
        <v>198</v>
      </c>
      <c r="CE356" s="14">
        <v>8</v>
      </c>
      <c r="CF356" s="14">
        <v>12</v>
      </c>
      <c r="CG356" s="14">
        <v>3</v>
      </c>
      <c r="CH356" s="15">
        <f t="shared" si="1792"/>
        <v>221</v>
      </c>
      <c r="CI356" s="14">
        <v>105</v>
      </c>
      <c r="CJ356" s="14">
        <v>2</v>
      </c>
      <c r="CK356" s="14">
        <v>0</v>
      </c>
      <c r="CL356" s="14">
        <v>0</v>
      </c>
      <c r="CM356" s="15">
        <f t="shared" si="1793"/>
        <v>107</v>
      </c>
      <c r="CN356" s="14">
        <v>364</v>
      </c>
      <c r="CO356" s="14">
        <v>32</v>
      </c>
      <c r="CP356" s="14">
        <v>4</v>
      </c>
      <c r="CQ356" s="14">
        <v>2</v>
      </c>
      <c r="CR356" s="15">
        <f t="shared" si="1794"/>
        <v>402</v>
      </c>
      <c r="CS356" s="15">
        <f t="shared" si="1795"/>
        <v>509</v>
      </c>
      <c r="CT356" s="14">
        <v>730</v>
      </c>
      <c r="CU356" s="14">
        <v>3724</v>
      </c>
      <c r="CV356" s="14">
        <v>3606.4</v>
      </c>
      <c r="CW356" s="16">
        <f t="shared" si="1796"/>
        <v>0.96842105263157896</v>
      </c>
      <c r="CX356" s="14">
        <v>0</v>
      </c>
      <c r="CY356" s="14">
        <v>0</v>
      </c>
      <c r="CZ356" s="14">
        <v>0</v>
      </c>
      <c r="DA356" s="14">
        <v>0</v>
      </c>
      <c r="DB356" s="15">
        <f t="shared" si="1797"/>
        <v>0</v>
      </c>
      <c r="DC356" s="14">
        <v>0</v>
      </c>
      <c r="DD356" s="14">
        <v>0</v>
      </c>
      <c r="DE356" s="14">
        <v>0</v>
      </c>
      <c r="DF356" s="14">
        <v>0</v>
      </c>
      <c r="DG356" s="15">
        <f t="shared" si="1798"/>
        <v>0</v>
      </c>
      <c r="DH356" s="14">
        <v>0</v>
      </c>
      <c r="DI356" s="14">
        <v>0</v>
      </c>
      <c r="DJ356" s="14">
        <v>0</v>
      </c>
      <c r="DK356" s="14">
        <v>0</v>
      </c>
      <c r="DL356" s="15">
        <f t="shared" si="1799"/>
        <v>0</v>
      </c>
      <c r="DM356" s="14">
        <v>1</v>
      </c>
      <c r="DN356" s="14">
        <v>7</v>
      </c>
      <c r="DO356" s="14">
        <v>4</v>
      </c>
      <c r="DP356" s="14">
        <v>4</v>
      </c>
      <c r="DQ356" s="15">
        <f t="shared" si="1800"/>
        <v>0</v>
      </c>
      <c r="DR356" s="15">
        <f t="shared" si="1801"/>
        <v>1</v>
      </c>
      <c r="DS356" s="15">
        <f t="shared" si="1802"/>
        <v>7</v>
      </c>
      <c r="DT356" s="15">
        <f t="shared" si="1803"/>
        <v>4</v>
      </c>
      <c r="DU356" s="15">
        <f t="shared" si="1804"/>
        <v>4</v>
      </c>
      <c r="DV356" s="15">
        <f t="shared" si="1805"/>
        <v>0</v>
      </c>
      <c r="DW356" s="14">
        <v>19</v>
      </c>
      <c r="DX356" s="14">
        <v>21</v>
      </c>
      <c r="DY356" s="14">
        <v>4</v>
      </c>
      <c r="DZ356" s="14">
        <v>4</v>
      </c>
      <c r="EA356" s="14">
        <v>4</v>
      </c>
      <c r="EB356" s="14">
        <v>1</v>
      </c>
      <c r="EC356" s="14">
        <v>0</v>
      </c>
      <c r="ED356" s="14">
        <v>0</v>
      </c>
      <c r="EE356" s="14">
        <v>0</v>
      </c>
      <c r="EF356" s="14">
        <v>0</v>
      </c>
      <c r="EG356" s="14">
        <v>0</v>
      </c>
      <c r="EH356" s="14">
        <v>0</v>
      </c>
      <c r="EI356" s="14">
        <v>0</v>
      </c>
      <c r="EJ356" s="14">
        <v>0</v>
      </c>
      <c r="EK356" s="14">
        <v>0</v>
      </c>
      <c r="EL356" s="14">
        <v>0</v>
      </c>
      <c r="EM356" s="14">
        <v>0</v>
      </c>
      <c r="EN356" s="14">
        <v>0</v>
      </c>
      <c r="EO356" s="14">
        <v>0</v>
      </c>
      <c r="EP356" s="14">
        <v>0</v>
      </c>
      <c r="EQ356" s="14">
        <v>0</v>
      </c>
      <c r="ER356" s="14">
        <v>0</v>
      </c>
      <c r="ES356" s="14">
        <v>0</v>
      </c>
      <c r="ET356" s="14">
        <v>0</v>
      </c>
      <c r="EU356" s="14">
        <v>0</v>
      </c>
      <c r="EV356" s="14">
        <v>0</v>
      </c>
      <c r="EW356" s="14">
        <v>0</v>
      </c>
      <c r="EX356" s="14">
        <v>0</v>
      </c>
      <c r="EY356" s="14">
        <v>0</v>
      </c>
      <c r="EZ356" s="14">
        <v>0</v>
      </c>
      <c r="FA356" s="14">
        <v>0</v>
      </c>
      <c r="FB356" s="14">
        <v>0</v>
      </c>
      <c r="FC356" s="14">
        <v>0</v>
      </c>
      <c r="FD356" s="14">
        <v>0</v>
      </c>
      <c r="FE356" s="14">
        <v>0</v>
      </c>
      <c r="FF356" s="14">
        <v>0</v>
      </c>
      <c r="FG356" s="15">
        <f t="shared" si="1806"/>
        <v>53</v>
      </c>
      <c r="FH356" s="14">
        <v>0</v>
      </c>
      <c r="FI356" s="14">
        <v>0</v>
      </c>
      <c r="FJ356" s="14">
        <v>20</v>
      </c>
      <c r="FK356" s="14">
        <v>237</v>
      </c>
      <c r="FL356" s="14">
        <v>0</v>
      </c>
      <c r="FM356" s="14">
        <v>0</v>
      </c>
      <c r="FN356" s="14">
        <v>0</v>
      </c>
      <c r="FO356" s="14">
        <v>0</v>
      </c>
      <c r="FP356" s="14">
        <v>0</v>
      </c>
      <c r="FQ356" s="15">
        <f t="shared" si="1807"/>
        <v>0</v>
      </c>
      <c r="FR356" s="14">
        <v>513490.44</v>
      </c>
      <c r="FS356" s="14">
        <v>0</v>
      </c>
      <c r="FT356" s="14">
        <v>0</v>
      </c>
      <c r="FU356" s="14">
        <v>53200</v>
      </c>
      <c r="FV356" s="15">
        <f t="shared" si="1808"/>
        <v>566690.43999999994</v>
      </c>
      <c r="FW356" s="14">
        <v>4925384.4400000032</v>
      </c>
      <c r="FX356" s="14">
        <v>11000</v>
      </c>
      <c r="FY356" s="14">
        <v>157200</v>
      </c>
      <c r="FZ356" s="14">
        <v>20332500</v>
      </c>
      <c r="GA356" s="15">
        <f t="shared" si="1809"/>
        <v>25426084.440000005</v>
      </c>
      <c r="GB356" s="15">
        <f t="shared" si="1810"/>
        <v>25992774.880000006</v>
      </c>
      <c r="GC356" s="14">
        <v>959045.69</v>
      </c>
      <c r="GD356" s="14">
        <v>0</v>
      </c>
      <c r="GE356" s="14">
        <v>156147.29999999999</v>
      </c>
      <c r="GF356" s="14">
        <v>0</v>
      </c>
      <c r="GG356" s="15">
        <f t="shared" si="1811"/>
        <v>1115192.99</v>
      </c>
      <c r="GH356" s="14">
        <v>4866984.4400000004</v>
      </c>
      <c r="GI356" s="14">
        <v>5000</v>
      </c>
      <c r="GJ356" s="14">
        <v>20332500</v>
      </c>
      <c r="GK356" s="14">
        <v>157200</v>
      </c>
      <c r="GL356" s="15">
        <f t="shared" si="1812"/>
        <v>25361684.440000001</v>
      </c>
      <c r="GM356" s="15">
        <f t="shared" si="1813"/>
        <v>26476877.43</v>
      </c>
      <c r="GN356" s="14">
        <v>57175.82</v>
      </c>
      <c r="GO356" s="14">
        <v>0</v>
      </c>
      <c r="GP356" s="14">
        <v>6787.28</v>
      </c>
      <c r="GQ356" s="14">
        <v>0</v>
      </c>
      <c r="GR356" s="15">
        <f t="shared" si="1814"/>
        <v>63963.1</v>
      </c>
      <c r="GS356" s="14">
        <v>93765</v>
      </c>
      <c r="GT356" s="14">
        <v>0</v>
      </c>
      <c r="GU356" s="14">
        <v>1786</v>
      </c>
      <c r="GV356" s="14">
        <v>0</v>
      </c>
      <c r="GW356" s="15">
        <f t="shared" si="1815"/>
        <v>95551</v>
      </c>
      <c r="GX356" s="15">
        <f t="shared" si="1816"/>
        <v>26636391.530000001</v>
      </c>
      <c r="GY356" s="14">
        <v>27443713.219999991</v>
      </c>
      <c r="GZ356" s="14">
        <v>0</v>
      </c>
      <c r="HA356" s="9">
        <f t="shared" si="1762"/>
        <v>27443713.219999991</v>
      </c>
      <c r="HB356" s="15">
        <f t="shared" si="1817"/>
        <v>5.1788562279028789E-2</v>
      </c>
      <c r="HC356" s="16">
        <f t="shared" si="1818"/>
        <v>0.48063469921440954</v>
      </c>
      <c r="HD356" s="15">
        <f t="shared" si="1819"/>
        <v>0.97583694288037837</v>
      </c>
      <c r="HE356" s="14">
        <v>7</v>
      </c>
      <c r="HF356" s="14">
        <v>1</v>
      </c>
      <c r="HG356" s="14">
        <v>41</v>
      </c>
      <c r="HH356" s="14">
        <v>7</v>
      </c>
      <c r="HI356" s="14">
        <v>3</v>
      </c>
      <c r="HJ356" s="15">
        <f t="shared" si="1820"/>
        <v>4</v>
      </c>
      <c r="HK356" s="16">
        <f t="shared" si="1821"/>
        <v>1</v>
      </c>
      <c r="HL356" s="14">
        <v>5</v>
      </c>
      <c r="HM356" s="14">
        <v>2</v>
      </c>
      <c r="HN356" s="17">
        <f t="shared" si="1822"/>
        <v>0.4</v>
      </c>
    </row>
    <row r="357" spans="1:222" x14ac:dyDescent="0.3">
      <c r="A357" s="6" t="s">
        <v>295</v>
      </c>
      <c r="B357" s="6" t="s">
        <v>302</v>
      </c>
      <c r="C357" s="7" t="s">
        <v>257</v>
      </c>
      <c r="D357" s="7">
        <v>2025</v>
      </c>
      <c r="E357" s="7">
        <v>10</v>
      </c>
      <c r="F357" s="7" t="s">
        <v>266</v>
      </c>
      <c r="G357" s="7" t="s">
        <v>267</v>
      </c>
      <c r="H357" s="8">
        <v>10557</v>
      </c>
      <c r="I357" s="8">
        <v>1327</v>
      </c>
      <c r="J357" s="8">
        <v>0</v>
      </c>
      <c r="K357" s="8">
        <v>23</v>
      </c>
      <c r="L357" s="8">
        <v>0</v>
      </c>
      <c r="M357" s="9">
        <f t="shared" si="1763"/>
        <v>1350</v>
      </c>
      <c r="N357" s="8">
        <v>2854.6</v>
      </c>
      <c r="O357" s="8">
        <v>16.5</v>
      </c>
      <c r="P357" s="8">
        <v>5500.9</v>
      </c>
      <c r="Q357" s="8">
        <v>45.3</v>
      </c>
      <c r="R357" s="9">
        <f t="shared" si="1764"/>
        <v>8417.2999999999993</v>
      </c>
      <c r="S357" s="9">
        <f t="shared" si="1765"/>
        <v>9767.2999999999993</v>
      </c>
      <c r="T357" s="8">
        <v>789.700000000003</v>
      </c>
      <c r="U357" s="10">
        <f t="shared" si="1766"/>
        <v>7.4803447949228288E-2</v>
      </c>
      <c r="V357" s="8">
        <v>5.5</v>
      </c>
      <c r="W357" s="11">
        <f t="shared" si="1767"/>
        <v>5.2098133939566164E-4</v>
      </c>
      <c r="X357" s="8">
        <v>0</v>
      </c>
      <c r="Y357" s="11">
        <f t="shared" si="1768"/>
        <v>0</v>
      </c>
      <c r="Z357" s="8">
        <v>0</v>
      </c>
      <c r="AA357" s="11">
        <f t="shared" si="1769"/>
        <v>0</v>
      </c>
      <c r="AB357" s="8">
        <v>0</v>
      </c>
      <c r="AC357" s="11">
        <f t="shared" si="1770"/>
        <v>0</v>
      </c>
      <c r="AD357" s="8">
        <v>0</v>
      </c>
      <c r="AE357" s="11">
        <f t="shared" si="1771"/>
        <v>0</v>
      </c>
      <c r="AF357" s="8">
        <v>0</v>
      </c>
      <c r="AG357" s="11">
        <f t="shared" si="1772"/>
        <v>0</v>
      </c>
      <c r="AH357" s="8">
        <v>143000</v>
      </c>
      <c r="AI357" s="9">
        <f t="shared" si="1773"/>
        <v>13.545514824287203</v>
      </c>
      <c r="AJ357" s="8">
        <v>3363.25</v>
      </c>
      <c r="AK357" s="11">
        <f t="shared" si="1774"/>
        <v>0.3185800890404471</v>
      </c>
      <c r="AL357" s="8">
        <v>950812.94424999994</v>
      </c>
      <c r="AM357" s="9">
        <f t="shared" si="1775"/>
        <v>90.064691129108638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9">
        <f t="shared" si="1776"/>
        <v>1093812.9442499999</v>
      </c>
      <c r="AV357" s="9">
        <f t="shared" si="1777"/>
        <v>103.61020595339585</v>
      </c>
      <c r="AW357" s="9">
        <f t="shared" si="1778"/>
        <v>111.98723744023425</v>
      </c>
      <c r="AX357" s="8">
        <v>5</v>
      </c>
      <c r="AY357" s="9">
        <f t="shared" si="1779"/>
        <v>5.683432793407218</v>
      </c>
      <c r="AZ357" s="8">
        <v>5</v>
      </c>
      <c r="BA357" s="8">
        <v>41</v>
      </c>
      <c r="BB357" s="8">
        <v>0</v>
      </c>
      <c r="BC357" s="8">
        <v>1</v>
      </c>
      <c r="BD357" s="8">
        <v>0</v>
      </c>
      <c r="BE357" s="9">
        <f t="shared" si="1780"/>
        <v>1</v>
      </c>
      <c r="BF357" s="9">
        <f t="shared" si="1781"/>
        <v>40</v>
      </c>
      <c r="BG357" s="8">
        <v>0</v>
      </c>
      <c r="BH357" s="8">
        <v>0</v>
      </c>
      <c r="BI357" s="8">
        <v>0</v>
      </c>
      <c r="BJ357" s="8">
        <v>0</v>
      </c>
      <c r="BK357" s="9">
        <f t="shared" si="1782"/>
        <v>0</v>
      </c>
      <c r="BL357" s="9">
        <f t="shared" si="1783"/>
        <v>0</v>
      </c>
      <c r="BM357" s="8">
        <v>0</v>
      </c>
      <c r="BN357" s="8">
        <v>0</v>
      </c>
      <c r="BO357" s="8">
        <v>0</v>
      </c>
      <c r="BP357" s="8">
        <v>0</v>
      </c>
      <c r="BQ357" s="9">
        <f t="shared" si="1784"/>
        <v>0</v>
      </c>
      <c r="BR357" s="9">
        <f t="shared" si="1785"/>
        <v>0</v>
      </c>
      <c r="BS357" s="8">
        <v>0</v>
      </c>
      <c r="BT357" s="8">
        <v>0</v>
      </c>
      <c r="BU357" s="8">
        <v>0</v>
      </c>
      <c r="BV357" s="8">
        <v>0</v>
      </c>
      <c r="BW357" s="9">
        <f t="shared" si="1786"/>
        <v>0</v>
      </c>
      <c r="BX357" s="9">
        <f t="shared" si="1787"/>
        <v>0</v>
      </c>
      <c r="BY357" s="9">
        <f t="shared" si="1788"/>
        <v>41</v>
      </c>
      <c r="BZ357" s="9">
        <f t="shared" si="1789"/>
        <v>0</v>
      </c>
      <c r="CA357" s="9">
        <f t="shared" si="1790"/>
        <v>1</v>
      </c>
      <c r="CB357" s="9">
        <f t="shared" si="1791"/>
        <v>40</v>
      </c>
      <c r="CC357" s="8">
        <v>0</v>
      </c>
      <c r="CD357" s="8">
        <v>203</v>
      </c>
      <c r="CE357" s="8">
        <v>8</v>
      </c>
      <c r="CF357" s="8">
        <v>12</v>
      </c>
      <c r="CG357" s="8">
        <v>3</v>
      </c>
      <c r="CH357" s="9">
        <f t="shared" si="1792"/>
        <v>226</v>
      </c>
      <c r="CI357" s="8">
        <v>101</v>
      </c>
      <c r="CJ357" s="8">
        <v>2</v>
      </c>
      <c r="CK357" s="8">
        <v>0</v>
      </c>
      <c r="CL357" s="8">
        <v>0</v>
      </c>
      <c r="CM357" s="9">
        <f t="shared" si="1793"/>
        <v>103</v>
      </c>
      <c r="CN357" s="8">
        <v>364</v>
      </c>
      <c r="CO357" s="8">
        <v>32</v>
      </c>
      <c r="CP357" s="8">
        <v>4</v>
      </c>
      <c r="CQ357" s="8">
        <v>2</v>
      </c>
      <c r="CR357" s="9">
        <f t="shared" si="1794"/>
        <v>402</v>
      </c>
      <c r="CS357" s="9">
        <f t="shared" si="1795"/>
        <v>505</v>
      </c>
      <c r="CT357" s="8">
        <v>731</v>
      </c>
      <c r="CU357" s="8">
        <v>3727</v>
      </c>
      <c r="CV357" s="8">
        <v>3610.3</v>
      </c>
      <c r="CW357" s="10">
        <f t="shared" si="1796"/>
        <v>0.96868795277703257</v>
      </c>
      <c r="CX357" s="8">
        <v>0</v>
      </c>
      <c r="CY357" s="8">
        <v>0</v>
      </c>
      <c r="CZ357" s="8">
        <v>0</v>
      </c>
      <c r="DA357" s="8">
        <v>0</v>
      </c>
      <c r="DB357" s="9">
        <f t="shared" si="1797"/>
        <v>0</v>
      </c>
      <c r="DC357" s="8">
        <v>0</v>
      </c>
      <c r="DD357" s="8">
        <v>0</v>
      </c>
      <c r="DE357" s="8">
        <v>0</v>
      </c>
      <c r="DF357" s="8">
        <v>0</v>
      </c>
      <c r="DG357" s="9">
        <f t="shared" si="1798"/>
        <v>0</v>
      </c>
      <c r="DH357" s="8">
        <v>0</v>
      </c>
      <c r="DI357" s="8">
        <v>0</v>
      </c>
      <c r="DJ357" s="8">
        <v>0</v>
      </c>
      <c r="DK357" s="8">
        <v>0</v>
      </c>
      <c r="DL357" s="9">
        <f t="shared" si="1799"/>
        <v>0</v>
      </c>
      <c r="DM357" s="8">
        <v>0</v>
      </c>
      <c r="DN357" s="8">
        <v>4</v>
      </c>
      <c r="DO357" s="8">
        <v>2</v>
      </c>
      <c r="DP357" s="8">
        <v>2</v>
      </c>
      <c r="DQ357" s="9">
        <f t="shared" si="1800"/>
        <v>0</v>
      </c>
      <c r="DR357" s="9">
        <f t="shared" si="1801"/>
        <v>0</v>
      </c>
      <c r="DS357" s="9">
        <f t="shared" si="1802"/>
        <v>4</v>
      </c>
      <c r="DT357" s="9">
        <f t="shared" si="1803"/>
        <v>2</v>
      </c>
      <c r="DU357" s="9">
        <f t="shared" si="1804"/>
        <v>2</v>
      </c>
      <c r="DV357" s="9">
        <f t="shared" si="1805"/>
        <v>0</v>
      </c>
      <c r="DW357" s="8">
        <v>25</v>
      </c>
      <c r="DX357" s="8">
        <v>15</v>
      </c>
      <c r="DY357" s="8">
        <v>4</v>
      </c>
      <c r="DZ357" s="8">
        <v>2</v>
      </c>
      <c r="EA357" s="8">
        <v>3</v>
      </c>
      <c r="EB357" s="8">
        <v>0</v>
      </c>
      <c r="EC357" s="8">
        <v>0</v>
      </c>
      <c r="ED357" s="8">
        <v>0</v>
      </c>
      <c r="EE357" s="8">
        <v>0</v>
      </c>
      <c r="EF357" s="8">
        <v>0</v>
      </c>
      <c r="EG357" s="8">
        <v>0</v>
      </c>
      <c r="EH357" s="8">
        <v>0</v>
      </c>
      <c r="EI357" s="8">
        <v>0</v>
      </c>
      <c r="EJ357" s="8">
        <v>0</v>
      </c>
      <c r="EK357" s="8">
        <v>0</v>
      </c>
      <c r="EL357" s="8">
        <v>0</v>
      </c>
      <c r="EM357" s="8">
        <v>0</v>
      </c>
      <c r="EN357" s="8">
        <v>0</v>
      </c>
      <c r="EO357" s="8">
        <v>0</v>
      </c>
      <c r="EP357" s="8">
        <v>0</v>
      </c>
      <c r="EQ357" s="8">
        <v>0</v>
      </c>
      <c r="ER357" s="8">
        <v>0</v>
      </c>
      <c r="ES357" s="8">
        <v>0</v>
      </c>
      <c r="ET357" s="8">
        <v>0</v>
      </c>
      <c r="EU357" s="8">
        <v>0</v>
      </c>
      <c r="EV357" s="8">
        <v>0</v>
      </c>
      <c r="EW357" s="8">
        <v>0</v>
      </c>
      <c r="EX357" s="8">
        <v>0</v>
      </c>
      <c r="EY357" s="8">
        <v>0</v>
      </c>
      <c r="EZ357" s="8">
        <v>0</v>
      </c>
      <c r="FA357" s="8">
        <v>0</v>
      </c>
      <c r="FB357" s="8">
        <v>0</v>
      </c>
      <c r="FC357" s="8">
        <v>0</v>
      </c>
      <c r="FD357" s="8">
        <v>0</v>
      </c>
      <c r="FE357" s="8">
        <v>0</v>
      </c>
      <c r="FF357" s="8">
        <v>0</v>
      </c>
      <c r="FG357" s="9">
        <f t="shared" si="1806"/>
        <v>49</v>
      </c>
      <c r="FH357" s="8">
        <v>0</v>
      </c>
      <c r="FI357" s="8">
        <v>0</v>
      </c>
      <c r="FJ357" s="8">
        <v>21</v>
      </c>
      <c r="FK357" s="8">
        <v>221.55</v>
      </c>
      <c r="FL357" s="8">
        <v>0</v>
      </c>
      <c r="FM357" s="8">
        <v>0</v>
      </c>
      <c r="FN357" s="8">
        <v>0</v>
      </c>
      <c r="FO357" s="8">
        <v>0</v>
      </c>
      <c r="FP357" s="8">
        <v>0</v>
      </c>
      <c r="FQ357" s="9">
        <f t="shared" si="1807"/>
        <v>0</v>
      </c>
      <c r="FR357" s="8">
        <v>274275</v>
      </c>
      <c r="FS357" s="8">
        <v>0</v>
      </c>
      <c r="FT357" s="8">
        <v>0</v>
      </c>
      <c r="FU357" s="8">
        <v>0</v>
      </c>
      <c r="FV357" s="9">
        <f t="shared" si="1808"/>
        <v>274275</v>
      </c>
      <c r="FW357" s="8">
        <v>3625911.14</v>
      </c>
      <c r="FX357" s="8">
        <v>7700</v>
      </c>
      <c r="FY357" s="8">
        <v>213524.64</v>
      </c>
      <c r="FZ357" s="8">
        <v>16719200</v>
      </c>
      <c r="GA357" s="9">
        <f t="shared" si="1809"/>
        <v>20566335.780000001</v>
      </c>
      <c r="GB357" s="9">
        <f t="shared" si="1810"/>
        <v>20840610.780000001</v>
      </c>
      <c r="GC357" s="8">
        <v>1197453.48</v>
      </c>
      <c r="GD357" s="8">
        <v>0</v>
      </c>
      <c r="GE357" s="8">
        <v>57792.65</v>
      </c>
      <c r="GF357" s="8">
        <v>0</v>
      </c>
      <c r="GG357" s="9">
        <f t="shared" si="1811"/>
        <v>1255246.1299999999</v>
      </c>
      <c r="GH357" s="8">
        <v>3560807.24</v>
      </c>
      <c r="GI357" s="8">
        <v>3500</v>
      </c>
      <c r="GJ357" s="8">
        <v>16719200</v>
      </c>
      <c r="GK357" s="8">
        <v>213524.64</v>
      </c>
      <c r="GL357" s="9">
        <f t="shared" si="1812"/>
        <v>20497031.880000003</v>
      </c>
      <c r="GM357" s="9">
        <f t="shared" si="1813"/>
        <v>21752278.010000002</v>
      </c>
      <c r="GN357" s="8">
        <v>55159.95</v>
      </c>
      <c r="GO357" s="8">
        <v>0</v>
      </c>
      <c r="GP357" s="8">
        <v>6787.28</v>
      </c>
      <c r="GQ357" s="8">
        <v>0</v>
      </c>
      <c r="GR357" s="9">
        <f t="shared" si="1814"/>
        <v>61947.229999999996</v>
      </c>
      <c r="GS357" s="8">
        <v>90193</v>
      </c>
      <c r="GT357" s="8">
        <v>0</v>
      </c>
      <c r="GU357" s="8">
        <v>1786</v>
      </c>
      <c r="GV357" s="8">
        <v>0</v>
      </c>
      <c r="GW357" s="9">
        <f t="shared" si="1815"/>
        <v>91979</v>
      </c>
      <c r="GX357" s="9">
        <f t="shared" si="1816"/>
        <v>21906204.240000002</v>
      </c>
      <c r="GY357" s="8">
        <v>28362287.059999991</v>
      </c>
      <c r="GZ357" s="8">
        <v>0</v>
      </c>
      <c r="HA357" s="9">
        <f t="shared" si="1762"/>
        <v>28362287.059999991</v>
      </c>
      <c r="HB357" s="9">
        <f t="shared" si="1817"/>
        <v>4.993165097277482E-2</v>
      </c>
      <c r="HC357" s="10">
        <f t="shared" si="1818"/>
        <v>0.41458596112670687</v>
      </c>
      <c r="HD357" s="9">
        <f t="shared" si="1819"/>
        <v>0.95135654500772604</v>
      </c>
      <c r="HE357" s="8">
        <v>6</v>
      </c>
      <c r="HF357" s="8">
        <v>1</v>
      </c>
      <c r="HG357" s="8">
        <v>40</v>
      </c>
      <c r="HH357" s="8">
        <v>0</v>
      </c>
      <c r="HI357" s="8">
        <v>2</v>
      </c>
      <c r="HJ357" s="9">
        <f t="shared" si="1820"/>
        <v>3</v>
      </c>
      <c r="HK357" s="10">
        <f t="shared" si="1821"/>
        <v>0</v>
      </c>
      <c r="HL357" s="8">
        <v>3</v>
      </c>
      <c r="HM357" s="8">
        <v>1</v>
      </c>
      <c r="HN357" s="11">
        <f t="shared" si="1822"/>
        <v>0.33333333333333331</v>
      </c>
    </row>
    <row r="358" spans="1:222" x14ac:dyDescent="0.3">
      <c r="A358" s="12" t="s">
        <v>295</v>
      </c>
      <c r="B358" s="12" t="s">
        <v>302</v>
      </c>
      <c r="C358" s="13" t="s">
        <v>257</v>
      </c>
      <c r="D358" s="13">
        <v>2025</v>
      </c>
      <c r="E358" s="13">
        <v>11</v>
      </c>
      <c r="F358" s="13" t="s">
        <v>268</v>
      </c>
      <c r="G358" s="13" t="s">
        <v>267</v>
      </c>
      <c r="H358" s="14">
        <v>7355</v>
      </c>
      <c r="I358" s="14">
        <v>691</v>
      </c>
      <c r="J358" s="14">
        <v>0</v>
      </c>
      <c r="K358" s="14">
        <v>25</v>
      </c>
      <c r="L358" s="14">
        <v>0</v>
      </c>
      <c r="M358" s="15">
        <f t="shared" si="1763"/>
        <v>716</v>
      </c>
      <c r="N358" s="14">
        <v>2788.9</v>
      </c>
      <c r="O358" s="14">
        <v>9.4</v>
      </c>
      <c r="P358" s="14">
        <v>458.5</v>
      </c>
      <c r="Q358" s="14">
        <v>28.6</v>
      </c>
      <c r="R358" s="15">
        <f t="shared" si="1764"/>
        <v>3285.4</v>
      </c>
      <c r="S358" s="15">
        <f t="shared" si="1765"/>
        <v>4001.4</v>
      </c>
      <c r="T358" s="14">
        <v>3353.6000000000099</v>
      </c>
      <c r="U358" s="16">
        <f t="shared" si="1766"/>
        <v>0.4559619306594167</v>
      </c>
      <c r="V358" s="14">
        <v>5.5</v>
      </c>
      <c r="W358" s="17">
        <f t="shared" si="1767"/>
        <v>7.4779061862678448E-4</v>
      </c>
      <c r="X358" s="14">
        <v>0</v>
      </c>
      <c r="Y358" s="17">
        <f t="shared" si="1768"/>
        <v>0</v>
      </c>
      <c r="Z358" s="14">
        <v>0</v>
      </c>
      <c r="AA358" s="17">
        <f t="shared" si="1769"/>
        <v>0</v>
      </c>
      <c r="AB358" s="14">
        <v>0</v>
      </c>
      <c r="AC358" s="17">
        <f t="shared" si="1770"/>
        <v>0</v>
      </c>
      <c r="AD358" s="14">
        <v>0</v>
      </c>
      <c r="AE358" s="17">
        <f t="shared" si="1771"/>
        <v>0</v>
      </c>
      <c r="AF358" s="14">
        <v>0</v>
      </c>
      <c r="AG358" s="17">
        <f t="shared" si="1772"/>
        <v>0</v>
      </c>
      <c r="AH358" s="14">
        <v>143000</v>
      </c>
      <c r="AI358" s="15">
        <f t="shared" si="1773"/>
        <v>19.442556084296395</v>
      </c>
      <c r="AJ358" s="14">
        <v>4455.96</v>
      </c>
      <c r="AK358" s="17">
        <f t="shared" si="1774"/>
        <v>0.60584092454112848</v>
      </c>
      <c r="AL358" s="14">
        <v>1249460.4216400001</v>
      </c>
      <c r="AM358" s="15">
        <f t="shared" si="1775"/>
        <v>169.87905120870158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5">
        <f t="shared" si="1776"/>
        <v>1392460.4216400001</v>
      </c>
      <c r="AV358" s="15">
        <f t="shared" si="1777"/>
        <v>189.32160729299798</v>
      </c>
      <c r="AW358" s="15">
        <f t="shared" si="1778"/>
        <v>347.99330775228668</v>
      </c>
      <c r="AX358" s="14">
        <v>4</v>
      </c>
      <c r="AY358" s="15">
        <f t="shared" si="1779"/>
        <v>6.5261726716519375</v>
      </c>
      <c r="AZ358" s="14">
        <v>5</v>
      </c>
      <c r="BA358" s="14">
        <v>40</v>
      </c>
      <c r="BB358" s="14">
        <v>1</v>
      </c>
      <c r="BC358" s="14">
        <v>0</v>
      </c>
      <c r="BD358" s="14">
        <v>0</v>
      </c>
      <c r="BE358" s="15">
        <f t="shared" si="1780"/>
        <v>0</v>
      </c>
      <c r="BF358" s="15">
        <f t="shared" si="1781"/>
        <v>41</v>
      </c>
      <c r="BG358" s="14">
        <v>0</v>
      </c>
      <c r="BH358" s="14">
        <v>0</v>
      </c>
      <c r="BI358" s="14">
        <v>0</v>
      </c>
      <c r="BJ358" s="14">
        <v>0</v>
      </c>
      <c r="BK358" s="15">
        <f t="shared" si="1782"/>
        <v>0</v>
      </c>
      <c r="BL358" s="15">
        <f t="shared" si="1783"/>
        <v>0</v>
      </c>
      <c r="BM358" s="14">
        <v>0</v>
      </c>
      <c r="BN358" s="14">
        <v>0</v>
      </c>
      <c r="BO358" s="14">
        <v>0</v>
      </c>
      <c r="BP358" s="14">
        <v>0</v>
      </c>
      <c r="BQ358" s="15">
        <f t="shared" si="1784"/>
        <v>0</v>
      </c>
      <c r="BR358" s="15">
        <f t="shared" si="1785"/>
        <v>0</v>
      </c>
      <c r="BS358" s="14">
        <v>0</v>
      </c>
      <c r="BT358" s="14">
        <v>0</v>
      </c>
      <c r="BU358" s="14">
        <v>0</v>
      </c>
      <c r="BV358" s="14">
        <v>0</v>
      </c>
      <c r="BW358" s="15">
        <f t="shared" si="1786"/>
        <v>0</v>
      </c>
      <c r="BX358" s="15">
        <f t="shared" si="1787"/>
        <v>0</v>
      </c>
      <c r="BY358" s="15">
        <f t="shared" si="1788"/>
        <v>40</v>
      </c>
      <c r="BZ358" s="15">
        <f t="shared" si="1789"/>
        <v>1</v>
      </c>
      <c r="CA358" s="15">
        <f t="shared" si="1790"/>
        <v>0</v>
      </c>
      <c r="CB358" s="15">
        <f t="shared" si="1791"/>
        <v>41</v>
      </c>
      <c r="CC358" s="14">
        <v>35</v>
      </c>
      <c r="CD358" s="14">
        <v>182</v>
      </c>
      <c r="CE358" s="14">
        <v>8</v>
      </c>
      <c r="CF358" s="14">
        <v>12</v>
      </c>
      <c r="CG358" s="14">
        <v>3</v>
      </c>
      <c r="CH358" s="15">
        <f t="shared" si="1792"/>
        <v>205</v>
      </c>
      <c r="CI358" s="14">
        <v>87</v>
      </c>
      <c r="CJ358" s="14">
        <v>2</v>
      </c>
      <c r="CK358" s="14">
        <v>0</v>
      </c>
      <c r="CL358" s="14">
        <v>0</v>
      </c>
      <c r="CM358" s="15">
        <f t="shared" si="1793"/>
        <v>89</v>
      </c>
      <c r="CN358" s="14">
        <v>399</v>
      </c>
      <c r="CO358" s="14">
        <v>32</v>
      </c>
      <c r="CP358" s="14">
        <v>4</v>
      </c>
      <c r="CQ358" s="14">
        <v>2</v>
      </c>
      <c r="CR358" s="15">
        <f t="shared" si="1794"/>
        <v>437</v>
      </c>
      <c r="CS358" s="15">
        <f t="shared" si="1795"/>
        <v>526</v>
      </c>
      <c r="CT358" s="14">
        <v>731</v>
      </c>
      <c r="CU358" s="14">
        <v>3730</v>
      </c>
      <c r="CV358" s="14">
        <v>3610</v>
      </c>
      <c r="CW358" s="16">
        <f t="shared" si="1796"/>
        <v>0.96782841823056298</v>
      </c>
      <c r="CX358" s="14">
        <v>0</v>
      </c>
      <c r="CY358" s="14">
        <v>0</v>
      </c>
      <c r="CZ358" s="14">
        <v>0</v>
      </c>
      <c r="DA358" s="14">
        <v>0</v>
      </c>
      <c r="DB358" s="15">
        <f t="shared" si="1797"/>
        <v>0</v>
      </c>
      <c r="DC358" s="14">
        <v>0</v>
      </c>
      <c r="DD358" s="14">
        <v>0</v>
      </c>
      <c r="DE358" s="14">
        <v>0</v>
      </c>
      <c r="DF358" s="14">
        <v>0</v>
      </c>
      <c r="DG358" s="15">
        <f t="shared" si="1798"/>
        <v>0</v>
      </c>
      <c r="DH358" s="14">
        <v>0</v>
      </c>
      <c r="DI358" s="14">
        <v>0</v>
      </c>
      <c r="DJ358" s="14">
        <v>0</v>
      </c>
      <c r="DK358" s="14">
        <v>0</v>
      </c>
      <c r="DL358" s="15">
        <f t="shared" si="1799"/>
        <v>0</v>
      </c>
      <c r="DM358" s="14">
        <v>0</v>
      </c>
      <c r="DN358" s="14">
        <v>6</v>
      </c>
      <c r="DO358" s="14">
        <v>3</v>
      </c>
      <c r="DP358" s="14">
        <v>3</v>
      </c>
      <c r="DQ358" s="15">
        <f t="shared" si="1800"/>
        <v>0</v>
      </c>
      <c r="DR358" s="15">
        <f t="shared" si="1801"/>
        <v>0</v>
      </c>
      <c r="DS358" s="15">
        <f t="shared" si="1802"/>
        <v>6</v>
      </c>
      <c r="DT358" s="15">
        <f t="shared" si="1803"/>
        <v>3</v>
      </c>
      <c r="DU358" s="15">
        <f t="shared" si="1804"/>
        <v>3</v>
      </c>
      <c r="DV358" s="15">
        <f t="shared" si="1805"/>
        <v>0</v>
      </c>
      <c r="DW358" s="14">
        <v>13</v>
      </c>
      <c r="DX358" s="14">
        <v>12</v>
      </c>
      <c r="DY358" s="14">
        <v>5</v>
      </c>
      <c r="DZ358" s="14">
        <v>4</v>
      </c>
      <c r="EA358" s="14">
        <v>2</v>
      </c>
      <c r="EB358" s="14">
        <v>3</v>
      </c>
      <c r="EC358" s="14">
        <v>1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5">
        <f t="shared" si="1806"/>
        <v>40</v>
      </c>
      <c r="FH358" s="14">
        <v>0</v>
      </c>
      <c r="FI358" s="14">
        <v>0</v>
      </c>
      <c r="FJ358" s="14">
        <v>19</v>
      </c>
      <c r="FK358" s="14">
        <v>426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5">
        <f t="shared" si="1807"/>
        <v>0</v>
      </c>
      <c r="FR358" s="14">
        <v>586192.52</v>
      </c>
      <c r="FS358" s="14">
        <v>0</v>
      </c>
      <c r="FT358" s="14">
        <v>0</v>
      </c>
      <c r="FU358" s="14">
        <v>0</v>
      </c>
      <c r="FV358" s="15">
        <f t="shared" si="1808"/>
        <v>586192.52</v>
      </c>
      <c r="FW358" s="14">
        <v>3522487</v>
      </c>
      <c r="FX358" s="14">
        <v>5000</v>
      </c>
      <c r="FY358" s="14">
        <v>135600</v>
      </c>
      <c r="FZ358" s="14">
        <v>1375000</v>
      </c>
      <c r="GA358" s="15">
        <f t="shared" si="1809"/>
        <v>5038087</v>
      </c>
      <c r="GB358" s="15">
        <f t="shared" si="1810"/>
        <v>5624279.5199999996</v>
      </c>
      <c r="GC358" s="14">
        <v>608420.79</v>
      </c>
      <c r="GD358" s="14">
        <v>0</v>
      </c>
      <c r="GE358" s="14">
        <v>63809.15</v>
      </c>
      <c r="GF358" s="14">
        <v>0</v>
      </c>
      <c r="GG358" s="15">
        <f t="shared" si="1811"/>
        <v>672229.94000000006</v>
      </c>
      <c r="GH358" s="14">
        <v>3477874.17</v>
      </c>
      <c r="GI358" s="14">
        <v>2000</v>
      </c>
      <c r="GJ358" s="14">
        <v>1375000</v>
      </c>
      <c r="GK358" s="14">
        <v>135600</v>
      </c>
      <c r="GL358" s="15">
        <f t="shared" si="1812"/>
        <v>4990474.17</v>
      </c>
      <c r="GM358" s="15">
        <f t="shared" si="1813"/>
        <v>5662704.1100000003</v>
      </c>
      <c r="GN358" s="14">
        <v>47081.21</v>
      </c>
      <c r="GO358" s="14">
        <v>0</v>
      </c>
      <c r="GP358" s="14">
        <v>6787.28</v>
      </c>
      <c r="GQ358" s="14">
        <v>0</v>
      </c>
      <c r="GR358" s="15">
        <f t="shared" si="1814"/>
        <v>53868.49</v>
      </c>
      <c r="GS358" s="14">
        <v>77691</v>
      </c>
      <c r="GT358" s="14">
        <v>0</v>
      </c>
      <c r="GU358" s="14">
        <v>1786</v>
      </c>
      <c r="GV358" s="14">
        <v>0</v>
      </c>
      <c r="GW358" s="15">
        <f t="shared" si="1815"/>
        <v>79477</v>
      </c>
      <c r="GX358" s="15">
        <f t="shared" si="1816"/>
        <v>5796049.6000000006</v>
      </c>
      <c r="GY358" s="14">
        <v>16900527.04000001</v>
      </c>
      <c r="GZ358" s="14">
        <v>0</v>
      </c>
      <c r="HA358" s="9">
        <f t="shared" si="1762"/>
        <v>16900527.04000001</v>
      </c>
      <c r="HB358" s="15">
        <f t="shared" si="1817"/>
        <v>0.24024301338622084</v>
      </c>
      <c r="HC358" s="16">
        <f t="shared" si="1818"/>
        <v>0.24780298849509652</v>
      </c>
      <c r="HD358" s="15">
        <f t="shared" si="1819"/>
        <v>0.97036428397714181</v>
      </c>
      <c r="HE358" s="14">
        <v>1</v>
      </c>
      <c r="HF358" s="14">
        <v>1</v>
      </c>
      <c r="HG358" s="14">
        <v>41</v>
      </c>
      <c r="HH358" s="14">
        <v>1</v>
      </c>
      <c r="HI358" s="14">
        <v>0</v>
      </c>
      <c r="HJ358" s="15">
        <f t="shared" si="1820"/>
        <v>1</v>
      </c>
      <c r="HK358" s="16">
        <f t="shared" si="1821"/>
        <v>1</v>
      </c>
      <c r="HL358" s="14">
        <v>8</v>
      </c>
      <c r="HM358" s="14">
        <v>2</v>
      </c>
      <c r="HN358" s="17">
        <f t="shared" si="1822"/>
        <v>0.25</v>
      </c>
    </row>
    <row r="359" spans="1:222" x14ac:dyDescent="0.3">
      <c r="A359" s="6" t="s">
        <v>295</v>
      </c>
      <c r="B359" s="6" t="s">
        <v>302</v>
      </c>
      <c r="C359" s="7" t="s">
        <v>257</v>
      </c>
      <c r="D359" s="7">
        <v>2025</v>
      </c>
      <c r="E359" s="7">
        <v>12</v>
      </c>
      <c r="F359" s="7" t="s">
        <v>269</v>
      </c>
      <c r="G359" s="7" t="s">
        <v>267</v>
      </c>
      <c r="H359" s="8">
        <v>9195</v>
      </c>
      <c r="I359" s="8">
        <v>620</v>
      </c>
      <c r="J359" s="8">
        <v>0</v>
      </c>
      <c r="K359" s="8">
        <v>82</v>
      </c>
      <c r="L359" s="8">
        <v>8</v>
      </c>
      <c r="M359" s="9">
        <f t="shared" si="1763"/>
        <v>710</v>
      </c>
      <c r="N359" s="8">
        <v>2145</v>
      </c>
      <c r="O359" s="8">
        <v>12.7</v>
      </c>
      <c r="P359" s="8">
        <v>5448.2</v>
      </c>
      <c r="Q359" s="8">
        <v>38.4</v>
      </c>
      <c r="R359" s="9">
        <f t="shared" si="1764"/>
        <v>7644.2999999999993</v>
      </c>
      <c r="S359" s="9">
        <f t="shared" si="1765"/>
        <v>8354.2999999999993</v>
      </c>
      <c r="T359" s="8">
        <v>840.70000000000402</v>
      </c>
      <c r="U359" s="10">
        <f t="shared" si="1766"/>
        <v>9.1430125067972157E-2</v>
      </c>
      <c r="V359" s="8">
        <v>6</v>
      </c>
      <c r="W359" s="11">
        <f t="shared" si="1767"/>
        <v>6.5252854812398043E-4</v>
      </c>
      <c r="X359" s="8">
        <v>0</v>
      </c>
      <c r="Y359" s="11">
        <f t="shared" si="1768"/>
        <v>0</v>
      </c>
      <c r="Z359" s="8">
        <v>0</v>
      </c>
      <c r="AA359" s="11">
        <f t="shared" si="1769"/>
        <v>0</v>
      </c>
      <c r="AB359" s="8">
        <v>0</v>
      </c>
      <c r="AC359" s="11">
        <f t="shared" si="1770"/>
        <v>0</v>
      </c>
      <c r="AD359" s="8">
        <v>0</v>
      </c>
      <c r="AE359" s="11">
        <f t="shared" si="1771"/>
        <v>0</v>
      </c>
      <c r="AF359" s="8">
        <v>0</v>
      </c>
      <c r="AG359" s="11">
        <f t="shared" si="1772"/>
        <v>0</v>
      </c>
      <c r="AH359" s="8">
        <v>156000</v>
      </c>
      <c r="AI359" s="9">
        <f t="shared" si="1773"/>
        <v>16.965742251223492</v>
      </c>
      <c r="AJ359" s="8">
        <v>3071.09</v>
      </c>
      <c r="AK359" s="11">
        <f t="shared" si="1774"/>
        <v>0.33399564980967916</v>
      </c>
      <c r="AL359" s="8">
        <v>870962.98681000003</v>
      </c>
      <c r="AM359" s="9">
        <f t="shared" si="1775"/>
        <v>94.721368875475804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9">
        <f t="shared" si="1776"/>
        <v>1026962.98681</v>
      </c>
      <c r="AV359" s="9">
        <f t="shared" si="1777"/>
        <v>111.68711112669929</v>
      </c>
      <c r="AW359" s="9">
        <f t="shared" si="1778"/>
        <v>122.92627590701795</v>
      </c>
      <c r="AX359" s="8">
        <v>4</v>
      </c>
      <c r="AY359" s="9">
        <f t="shared" si="1779"/>
        <v>5.2202283849918434</v>
      </c>
      <c r="AZ359" s="8">
        <v>4</v>
      </c>
      <c r="BA359" s="8">
        <v>41</v>
      </c>
      <c r="BB359" s="8">
        <v>0</v>
      </c>
      <c r="BC359" s="8">
        <v>2</v>
      </c>
      <c r="BD359" s="8">
        <v>0</v>
      </c>
      <c r="BE359" s="9">
        <f t="shared" si="1780"/>
        <v>2</v>
      </c>
      <c r="BF359" s="9">
        <f t="shared" si="1781"/>
        <v>39</v>
      </c>
      <c r="BG359" s="8">
        <v>0</v>
      </c>
      <c r="BH359" s="8">
        <v>0</v>
      </c>
      <c r="BI359" s="8">
        <v>0</v>
      </c>
      <c r="BJ359" s="8">
        <v>0</v>
      </c>
      <c r="BK359" s="9">
        <f t="shared" si="1782"/>
        <v>0</v>
      </c>
      <c r="BL359" s="9">
        <f t="shared" si="1783"/>
        <v>0</v>
      </c>
      <c r="BM359" s="8">
        <v>0</v>
      </c>
      <c r="BN359" s="8">
        <v>1</v>
      </c>
      <c r="BO359" s="8">
        <v>1</v>
      </c>
      <c r="BP359" s="8">
        <v>0</v>
      </c>
      <c r="BQ359" s="9">
        <f t="shared" si="1784"/>
        <v>1</v>
      </c>
      <c r="BR359" s="9">
        <f t="shared" si="1785"/>
        <v>0</v>
      </c>
      <c r="BS359" s="8">
        <v>0</v>
      </c>
      <c r="BT359" s="8">
        <v>0</v>
      </c>
      <c r="BU359" s="8">
        <v>0</v>
      </c>
      <c r="BV359" s="8">
        <v>0</v>
      </c>
      <c r="BW359" s="9">
        <f t="shared" si="1786"/>
        <v>0</v>
      </c>
      <c r="BX359" s="9">
        <f t="shared" si="1787"/>
        <v>0</v>
      </c>
      <c r="BY359" s="9">
        <f t="shared" si="1788"/>
        <v>41</v>
      </c>
      <c r="BZ359" s="9">
        <f t="shared" si="1789"/>
        <v>1</v>
      </c>
      <c r="CA359" s="9">
        <f t="shared" si="1790"/>
        <v>3</v>
      </c>
      <c r="CB359" s="9">
        <f t="shared" si="1791"/>
        <v>39</v>
      </c>
      <c r="CC359" s="8">
        <v>0</v>
      </c>
      <c r="CD359" s="8">
        <v>165</v>
      </c>
      <c r="CE359" s="8">
        <v>8</v>
      </c>
      <c r="CF359" s="8">
        <v>10</v>
      </c>
      <c r="CG359" s="8">
        <v>3</v>
      </c>
      <c r="CH359" s="9">
        <f t="shared" si="1792"/>
        <v>186</v>
      </c>
      <c r="CI359" s="8">
        <v>80</v>
      </c>
      <c r="CJ359" s="8">
        <v>2</v>
      </c>
      <c r="CK359" s="8">
        <v>2</v>
      </c>
      <c r="CL359" s="8">
        <v>0</v>
      </c>
      <c r="CM359" s="9">
        <f t="shared" si="1793"/>
        <v>84</v>
      </c>
      <c r="CN359" s="8">
        <v>426</v>
      </c>
      <c r="CO359" s="8">
        <v>32</v>
      </c>
      <c r="CP359" s="8">
        <v>4</v>
      </c>
      <c r="CQ359" s="8">
        <v>2</v>
      </c>
      <c r="CR359" s="9">
        <f t="shared" si="1794"/>
        <v>464</v>
      </c>
      <c r="CS359" s="9">
        <f t="shared" si="1795"/>
        <v>548</v>
      </c>
      <c r="CT359" s="8">
        <v>734</v>
      </c>
      <c r="CU359" s="8">
        <v>3733</v>
      </c>
      <c r="CV359" s="8">
        <v>3622.9</v>
      </c>
      <c r="CW359" s="10">
        <f t="shared" si="1796"/>
        <v>0.97050629520492904</v>
      </c>
      <c r="CX359" s="8">
        <v>0</v>
      </c>
      <c r="CY359" s="8">
        <v>0</v>
      </c>
      <c r="CZ359" s="8">
        <v>0</v>
      </c>
      <c r="DA359" s="8">
        <v>0</v>
      </c>
      <c r="DB359" s="9">
        <f t="shared" si="1797"/>
        <v>0</v>
      </c>
      <c r="DC359" s="8">
        <v>0</v>
      </c>
      <c r="DD359" s="8">
        <v>0</v>
      </c>
      <c r="DE359" s="8">
        <v>0</v>
      </c>
      <c r="DF359" s="8">
        <v>0</v>
      </c>
      <c r="DG359" s="9">
        <f t="shared" si="1798"/>
        <v>0</v>
      </c>
      <c r="DH359" s="8">
        <v>0</v>
      </c>
      <c r="DI359" s="8">
        <v>0</v>
      </c>
      <c r="DJ359" s="8">
        <v>0</v>
      </c>
      <c r="DK359" s="8">
        <v>0</v>
      </c>
      <c r="DL359" s="9">
        <f t="shared" si="1799"/>
        <v>0</v>
      </c>
      <c r="DM359" s="8">
        <v>0</v>
      </c>
      <c r="DN359" s="8">
        <v>4</v>
      </c>
      <c r="DO359" s="8">
        <v>2</v>
      </c>
      <c r="DP359" s="8">
        <v>2</v>
      </c>
      <c r="DQ359" s="9">
        <f t="shared" si="1800"/>
        <v>0</v>
      </c>
      <c r="DR359" s="9">
        <f t="shared" si="1801"/>
        <v>0</v>
      </c>
      <c r="DS359" s="9">
        <f t="shared" si="1802"/>
        <v>4</v>
      </c>
      <c r="DT359" s="9">
        <f t="shared" si="1803"/>
        <v>2</v>
      </c>
      <c r="DU359" s="9">
        <f t="shared" si="1804"/>
        <v>2</v>
      </c>
      <c r="DV359" s="9">
        <f t="shared" si="1805"/>
        <v>0</v>
      </c>
      <c r="DW359" s="8">
        <v>16</v>
      </c>
      <c r="DX359" s="8">
        <v>11</v>
      </c>
      <c r="DY359" s="8">
        <v>4</v>
      </c>
      <c r="DZ359" s="8">
        <v>2</v>
      </c>
      <c r="EA359" s="8">
        <v>5</v>
      </c>
      <c r="EB359" s="8">
        <v>1</v>
      </c>
      <c r="EC359" s="8">
        <v>0</v>
      </c>
      <c r="ED359" s="8">
        <v>0</v>
      </c>
      <c r="EE359" s="8">
        <v>0</v>
      </c>
      <c r="EF359" s="8">
        <v>0</v>
      </c>
      <c r="EG359" s="8">
        <v>0</v>
      </c>
      <c r="EH359" s="8">
        <v>0</v>
      </c>
      <c r="EI359" s="8">
        <v>0</v>
      </c>
      <c r="EJ359" s="8">
        <v>0</v>
      </c>
      <c r="EK359" s="8">
        <v>0</v>
      </c>
      <c r="EL359" s="8">
        <v>0</v>
      </c>
      <c r="EM359" s="8">
        <v>0</v>
      </c>
      <c r="EN359" s="8">
        <v>0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  <c r="ET359" s="8">
        <v>0</v>
      </c>
      <c r="EU359" s="8">
        <v>0</v>
      </c>
      <c r="EV359" s="8">
        <v>0</v>
      </c>
      <c r="EW359" s="8">
        <v>0</v>
      </c>
      <c r="EX359" s="8">
        <v>0</v>
      </c>
      <c r="EY359" s="8">
        <v>0</v>
      </c>
      <c r="EZ359" s="8">
        <v>0</v>
      </c>
      <c r="FA359" s="8">
        <v>0</v>
      </c>
      <c r="FB359" s="8">
        <v>0</v>
      </c>
      <c r="FC359" s="8">
        <v>0</v>
      </c>
      <c r="FD359" s="8">
        <v>0</v>
      </c>
      <c r="FE359" s="8">
        <v>0</v>
      </c>
      <c r="FF359" s="8">
        <v>0</v>
      </c>
      <c r="FG359" s="9">
        <f t="shared" si="1806"/>
        <v>39</v>
      </c>
      <c r="FH359" s="8">
        <v>0</v>
      </c>
      <c r="FI359" s="8">
        <v>0</v>
      </c>
      <c r="FJ359" s="8">
        <v>21</v>
      </c>
      <c r="FK359" s="8">
        <v>146.5</v>
      </c>
      <c r="FL359" s="8">
        <v>0</v>
      </c>
      <c r="FM359" s="8">
        <v>0</v>
      </c>
      <c r="FN359" s="8">
        <v>0</v>
      </c>
      <c r="FO359" s="8">
        <v>0</v>
      </c>
      <c r="FP359" s="8">
        <v>0</v>
      </c>
      <c r="FQ359" s="9">
        <f t="shared" si="1807"/>
        <v>0</v>
      </c>
      <c r="FR359" s="8">
        <v>349620</v>
      </c>
      <c r="FS359" s="8">
        <v>0</v>
      </c>
      <c r="FT359" s="8">
        <v>0</v>
      </c>
      <c r="FU359" s="8">
        <v>0</v>
      </c>
      <c r="FV359" s="9">
        <f t="shared" si="1808"/>
        <v>349620</v>
      </c>
      <c r="FW359" s="8">
        <v>2704457.9</v>
      </c>
      <c r="FX359" s="8">
        <v>3900</v>
      </c>
      <c r="FY359" s="8">
        <v>182164.05</v>
      </c>
      <c r="FZ359" s="8">
        <v>16559000</v>
      </c>
      <c r="GA359" s="9">
        <f t="shared" si="1809"/>
        <v>19449521.949999999</v>
      </c>
      <c r="GB359" s="9">
        <f t="shared" si="1810"/>
        <v>19799141.949999999</v>
      </c>
      <c r="GC359" s="8">
        <v>543035.43999999994</v>
      </c>
      <c r="GD359" s="8">
        <v>0</v>
      </c>
      <c r="GE359" s="8">
        <v>258742.84</v>
      </c>
      <c r="GF359" s="8">
        <v>16821.98</v>
      </c>
      <c r="GG359" s="9">
        <f t="shared" si="1811"/>
        <v>818600.25999999989</v>
      </c>
      <c r="GH359" s="8">
        <v>2677190.2400000002</v>
      </c>
      <c r="GI359" s="8">
        <v>2700</v>
      </c>
      <c r="GJ359" s="8">
        <v>16559000</v>
      </c>
      <c r="GK359" s="8">
        <v>182164.04</v>
      </c>
      <c r="GL359" s="9">
        <f t="shared" si="1812"/>
        <v>19421054.280000001</v>
      </c>
      <c r="GM359" s="9">
        <f t="shared" si="1813"/>
        <v>20239654.540000003</v>
      </c>
      <c r="GN359" s="8">
        <v>43266.7</v>
      </c>
      <c r="GO359" s="8">
        <v>0</v>
      </c>
      <c r="GP359" s="8">
        <v>6787.28</v>
      </c>
      <c r="GQ359" s="8">
        <v>9274.68</v>
      </c>
      <c r="GR359" s="9">
        <f t="shared" si="1814"/>
        <v>59328.659999999996</v>
      </c>
      <c r="GS359" s="8">
        <v>71440</v>
      </c>
      <c r="GT359" s="8">
        <v>0</v>
      </c>
      <c r="GU359" s="8">
        <v>1786</v>
      </c>
      <c r="GV359" s="8">
        <v>1786</v>
      </c>
      <c r="GW359" s="9">
        <f t="shared" si="1815"/>
        <v>75012</v>
      </c>
      <c r="GX359" s="9">
        <f t="shared" si="1816"/>
        <v>20373995.200000003</v>
      </c>
      <c r="GY359" s="8">
        <v>28307050.149999999</v>
      </c>
      <c r="GZ359" s="8">
        <v>0</v>
      </c>
      <c r="HA359" s="9">
        <f t="shared" si="1762"/>
        <v>28307050.149999999</v>
      </c>
      <c r="HB359" s="9">
        <f t="shared" si="1817"/>
        <v>5.0405577145222841E-2</v>
      </c>
      <c r="HC359" s="10">
        <f t="shared" si="1818"/>
        <v>0.40671152001052907</v>
      </c>
      <c r="HD359" s="9">
        <f t="shared" si="1819"/>
        <v>0.97178495212367555</v>
      </c>
      <c r="HE359" s="8">
        <v>1</v>
      </c>
      <c r="HF359" s="8">
        <v>1</v>
      </c>
      <c r="HG359" s="8">
        <v>39</v>
      </c>
      <c r="HH359" s="8">
        <v>1</v>
      </c>
      <c r="HI359" s="8">
        <v>2</v>
      </c>
      <c r="HJ359" s="9">
        <f t="shared" si="1820"/>
        <v>3</v>
      </c>
      <c r="HK359" s="10">
        <f t="shared" si="1821"/>
        <v>1</v>
      </c>
      <c r="HL359" s="8">
        <v>5</v>
      </c>
      <c r="HM359" s="8">
        <v>2</v>
      </c>
      <c r="HN359" s="11">
        <f t="shared" si="1822"/>
        <v>0.4</v>
      </c>
    </row>
    <row r="360" spans="1:222" x14ac:dyDescent="0.3">
      <c r="A360" s="12" t="s">
        <v>295</v>
      </c>
      <c r="B360" s="12" t="s">
        <v>302</v>
      </c>
      <c r="C360" s="13" t="s">
        <v>257</v>
      </c>
      <c r="D360" s="13">
        <v>2026</v>
      </c>
      <c r="E360" s="13">
        <v>1</v>
      </c>
      <c r="F360" s="13" t="s">
        <v>270</v>
      </c>
      <c r="G360" s="13" t="s">
        <v>271</v>
      </c>
      <c r="H360" s="14">
        <v>5723</v>
      </c>
      <c r="I360" s="14">
        <v>552</v>
      </c>
      <c r="J360" s="14">
        <v>0</v>
      </c>
      <c r="K360" s="14">
        <v>31</v>
      </c>
      <c r="L360" s="14">
        <v>8</v>
      </c>
      <c r="M360" s="15">
        <v>591</v>
      </c>
      <c r="N360" s="14">
        <v>2411.899999999996</v>
      </c>
      <c r="O360" s="14">
        <v>14</v>
      </c>
      <c r="P360" s="14">
        <v>291.89999999999998</v>
      </c>
      <c r="Q360" s="14">
        <v>33.900000000000013</v>
      </c>
      <c r="R360" s="15">
        <v>2751.6999999999962</v>
      </c>
      <c r="S360" s="15">
        <v>3342.6999999999962</v>
      </c>
      <c r="T360" s="14">
        <v>2380.3000000000038</v>
      </c>
      <c r="U360" s="16">
        <v>0.41591822470732198</v>
      </c>
      <c r="V360" s="14">
        <v>5.7</v>
      </c>
      <c r="W360" s="17">
        <v>0.99598112877861267</v>
      </c>
      <c r="X360" s="14">
        <v>0</v>
      </c>
      <c r="Y360" s="17">
        <v>0</v>
      </c>
      <c r="Z360" s="14">
        <v>0</v>
      </c>
      <c r="AA360" s="17">
        <v>0</v>
      </c>
      <c r="AB360" s="14">
        <v>0</v>
      </c>
      <c r="AC360" s="17">
        <v>0</v>
      </c>
      <c r="AD360" s="14">
        <v>0</v>
      </c>
      <c r="AE360" s="17">
        <v>0</v>
      </c>
      <c r="AF360" s="14">
        <v>0</v>
      </c>
      <c r="AG360" s="17">
        <v>0</v>
      </c>
      <c r="AH360" s="14">
        <v>148200</v>
      </c>
      <c r="AI360" s="15">
        <v>25.89550934824393</v>
      </c>
      <c r="AJ360" s="14">
        <v>3140.89</v>
      </c>
      <c r="AK360" s="17">
        <v>0.54881880132797478</v>
      </c>
      <c r="AL360" s="14">
        <v>890039.95501000003</v>
      </c>
      <c r="AM360" s="15">
        <v>155.51982439454829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5">
        <v>1038239.95501</v>
      </c>
      <c r="AV360" s="15">
        <v>181.41533374279231</v>
      </c>
      <c r="AW360" s="15">
        <v>310.5992027432917</v>
      </c>
      <c r="AX360" s="14">
        <v>4</v>
      </c>
      <c r="AY360" s="15">
        <v>21.666957889218939</v>
      </c>
      <c r="AZ360" s="14">
        <v>4</v>
      </c>
      <c r="BA360" s="14">
        <v>39</v>
      </c>
      <c r="BB360" s="14">
        <v>0</v>
      </c>
      <c r="BC360" s="14">
        <v>1</v>
      </c>
      <c r="BD360" s="14">
        <v>0</v>
      </c>
      <c r="BE360" s="15">
        <v>1</v>
      </c>
      <c r="BF360" s="15">
        <v>38</v>
      </c>
      <c r="BG360" s="14">
        <v>0</v>
      </c>
      <c r="BH360" s="14">
        <v>0</v>
      </c>
      <c r="BI360" s="14">
        <v>0</v>
      </c>
      <c r="BJ360" s="14">
        <v>0</v>
      </c>
      <c r="BK360" s="15">
        <v>0</v>
      </c>
      <c r="BL360" s="15">
        <v>0</v>
      </c>
      <c r="BM360" s="14">
        <v>0</v>
      </c>
      <c r="BN360" s="14">
        <v>0</v>
      </c>
      <c r="BO360" s="14">
        <v>0</v>
      </c>
      <c r="BP360" s="14">
        <v>0</v>
      </c>
      <c r="BQ360" s="15">
        <v>0</v>
      </c>
      <c r="BR360" s="15">
        <v>0</v>
      </c>
      <c r="BS360" s="14">
        <v>0</v>
      </c>
      <c r="BT360" s="14">
        <v>0</v>
      </c>
      <c r="BU360" s="14">
        <v>0</v>
      </c>
      <c r="BV360" s="14">
        <v>0</v>
      </c>
      <c r="BW360" s="15">
        <v>0</v>
      </c>
      <c r="BX360" s="15">
        <v>0</v>
      </c>
      <c r="BY360" s="15">
        <v>39</v>
      </c>
      <c r="BZ360" s="15">
        <v>0</v>
      </c>
      <c r="CA360" s="15">
        <v>1</v>
      </c>
      <c r="CB360" s="15">
        <v>38</v>
      </c>
      <c r="CC360" s="14">
        <v>0</v>
      </c>
      <c r="CD360" s="14">
        <v>162</v>
      </c>
      <c r="CE360" s="14">
        <v>8</v>
      </c>
      <c r="CF360" s="14">
        <v>10</v>
      </c>
      <c r="CG360" s="14">
        <v>3</v>
      </c>
      <c r="CH360" s="15">
        <v>183</v>
      </c>
      <c r="CI360" s="14">
        <v>84</v>
      </c>
      <c r="CJ360" s="14">
        <v>2</v>
      </c>
      <c r="CK360" s="14">
        <v>2</v>
      </c>
      <c r="CL360" s="14">
        <v>0</v>
      </c>
      <c r="CM360" s="15">
        <v>88</v>
      </c>
      <c r="CN360" s="14">
        <v>426</v>
      </c>
      <c r="CO360" s="14">
        <v>32</v>
      </c>
      <c r="CP360" s="14">
        <v>4</v>
      </c>
      <c r="CQ360" s="14">
        <v>2</v>
      </c>
      <c r="CR360" s="15">
        <v>464</v>
      </c>
      <c r="CS360" s="15">
        <v>552</v>
      </c>
      <c r="CT360" s="14">
        <v>735</v>
      </c>
      <c r="CU360" s="14">
        <v>3736</v>
      </c>
      <c r="CV360" s="14">
        <v>3631.6</v>
      </c>
      <c r="CW360" s="16">
        <v>0.9720556745182013</v>
      </c>
      <c r="CX360" s="14">
        <v>0</v>
      </c>
      <c r="CY360" s="14">
        <v>0</v>
      </c>
      <c r="CZ360" s="14">
        <v>0</v>
      </c>
      <c r="DA360" s="14">
        <v>0</v>
      </c>
      <c r="DB360" s="15">
        <v>0</v>
      </c>
      <c r="DC360" s="14">
        <v>0</v>
      </c>
      <c r="DD360" s="14">
        <v>0</v>
      </c>
      <c r="DE360" s="14">
        <v>0</v>
      </c>
      <c r="DF360" s="14">
        <v>0</v>
      </c>
      <c r="DG360" s="15">
        <v>0</v>
      </c>
      <c r="DH360" s="14">
        <v>0</v>
      </c>
      <c r="DI360" s="14">
        <v>0</v>
      </c>
      <c r="DJ360" s="14">
        <v>0</v>
      </c>
      <c r="DK360" s="14">
        <v>0</v>
      </c>
      <c r="DL360" s="15">
        <v>0</v>
      </c>
      <c r="DM360" s="14">
        <v>0</v>
      </c>
      <c r="DN360" s="14">
        <v>2</v>
      </c>
      <c r="DO360" s="14">
        <v>2</v>
      </c>
      <c r="DP360" s="14">
        <v>0</v>
      </c>
      <c r="DQ360" s="15">
        <v>0</v>
      </c>
      <c r="DR360" s="15">
        <v>0</v>
      </c>
      <c r="DS360" s="15">
        <v>2</v>
      </c>
      <c r="DT360" s="15">
        <v>2</v>
      </c>
      <c r="DU360" s="15">
        <v>0</v>
      </c>
      <c r="DV360" s="15">
        <v>0</v>
      </c>
      <c r="DW360" s="14">
        <v>23</v>
      </c>
      <c r="DX360" s="14">
        <v>12</v>
      </c>
      <c r="DY360" s="14">
        <v>7</v>
      </c>
      <c r="DZ360" s="14">
        <v>3</v>
      </c>
      <c r="EA360" s="14">
        <v>2</v>
      </c>
      <c r="EB360" s="14">
        <v>0</v>
      </c>
      <c r="EC360" s="14">
        <v>0</v>
      </c>
      <c r="ED360" s="14">
        <v>0</v>
      </c>
      <c r="EE360" s="14">
        <v>2</v>
      </c>
      <c r="EF360" s="14">
        <v>0</v>
      </c>
      <c r="EG360" s="14">
        <v>0</v>
      </c>
      <c r="EH360" s="14">
        <v>0</v>
      </c>
      <c r="EI360" s="14">
        <v>0</v>
      </c>
      <c r="EJ360" s="14">
        <v>0</v>
      </c>
      <c r="EK360" s="14">
        <v>0</v>
      </c>
      <c r="EL360" s="14">
        <v>0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0</v>
      </c>
      <c r="FB360" s="14">
        <v>0</v>
      </c>
      <c r="FC360" s="14">
        <v>0</v>
      </c>
      <c r="FD360" s="14">
        <v>0</v>
      </c>
      <c r="FE360" s="14">
        <v>0</v>
      </c>
      <c r="FF360" s="14">
        <v>0</v>
      </c>
      <c r="FG360" s="15">
        <v>49</v>
      </c>
      <c r="FH360" s="14">
        <v>0</v>
      </c>
      <c r="FI360" s="14">
        <v>0</v>
      </c>
      <c r="FJ360" s="14">
        <v>22</v>
      </c>
      <c r="FK360" s="14">
        <v>146</v>
      </c>
      <c r="FL360" s="14">
        <v>0</v>
      </c>
      <c r="FM360" s="14">
        <v>0</v>
      </c>
      <c r="FN360" s="14">
        <v>0</v>
      </c>
      <c r="FO360" s="14">
        <v>0</v>
      </c>
      <c r="FP360" s="14">
        <v>0</v>
      </c>
      <c r="FQ360" s="15">
        <v>0</v>
      </c>
      <c r="FR360" s="14">
        <v>401780</v>
      </c>
      <c r="FS360" s="14">
        <v>0</v>
      </c>
      <c r="FT360" s="14">
        <v>2000</v>
      </c>
      <c r="FU360" s="14">
        <v>0</v>
      </c>
      <c r="FV360" s="15">
        <v>403780</v>
      </c>
      <c r="FW360" s="14">
        <v>3072700</v>
      </c>
      <c r="FX360" s="14">
        <v>5200</v>
      </c>
      <c r="FY360" s="14">
        <v>161900</v>
      </c>
      <c r="FZ360" s="14">
        <v>887000</v>
      </c>
      <c r="GA360" s="15">
        <v>4126800</v>
      </c>
      <c r="GB360" s="15">
        <v>4530580</v>
      </c>
      <c r="GC360" s="14">
        <v>477998.6</v>
      </c>
      <c r="GD360" s="14">
        <v>0</v>
      </c>
      <c r="GE360" s="14">
        <v>84114.75</v>
      </c>
      <c r="GF360" s="14">
        <v>16821.98</v>
      </c>
      <c r="GG360" s="15">
        <v>578935.32999999996</v>
      </c>
      <c r="GH360" s="14">
        <v>3009950</v>
      </c>
      <c r="GI360" s="14">
        <v>2980</v>
      </c>
      <c r="GJ360" s="14">
        <v>887000</v>
      </c>
      <c r="GK360" s="14">
        <v>161900</v>
      </c>
      <c r="GL360" s="15">
        <v>4061830</v>
      </c>
      <c r="GM360" s="15">
        <v>4640765.33</v>
      </c>
      <c r="GN360" s="14">
        <v>45446.420000000013</v>
      </c>
      <c r="GO360" s="14">
        <v>0</v>
      </c>
      <c r="GP360" s="14">
        <v>6787.28</v>
      </c>
      <c r="GQ360" s="14">
        <v>9274.68</v>
      </c>
      <c r="GR360" s="15">
        <v>61508.38</v>
      </c>
      <c r="GS360" s="14">
        <v>75012</v>
      </c>
      <c r="GT360" s="14">
        <v>0</v>
      </c>
      <c r="GU360" s="14">
        <v>1786</v>
      </c>
      <c r="GV360" s="14">
        <v>1786</v>
      </c>
      <c r="GW360" s="15">
        <v>78584</v>
      </c>
      <c r="GX360" s="15">
        <v>4780857.71</v>
      </c>
      <c r="GY360" s="14">
        <v>17317166.240000021</v>
      </c>
      <c r="GZ360" s="14">
        <v>50269.68</v>
      </c>
      <c r="HA360" s="9">
        <f t="shared" si="1762"/>
        <v>17367435.92000002</v>
      </c>
      <c r="HB360" s="15">
        <v>4780857.71</v>
      </c>
      <c r="HC360" s="16">
        <v>0</v>
      </c>
      <c r="HD360" s="15">
        <v>0</v>
      </c>
      <c r="HE360" s="14">
        <v>0</v>
      </c>
      <c r="HF360" s="14">
        <v>0</v>
      </c>
      <c r="HG360" s="14">
        <v>38</v>
      </c>
      <c r="HH360" s="14">
        <v>0</v>
      </c>
      <c r="HI360" s="14">
        <v>2</v>
      </c>
      <c r="HJ360" s="15">
        <v>0</v>
      </c>
      <c r="HK360" s="16">
        <v>2.6315789473684208</v>
      </c>
      <c r="HL360" s="14">
        <v>10</v>
      </c>
      <c r="HM360" s="14">
        <v>5</v>
      </c>
      <c r="HN360" s="17">
        <v>2</v>
      </c>
    </row>
    <row r="361" spans="1:222" x14ac:dyDescent="0.3">
      <c r="A361" s="6" t="s">
        <v>295</v>
      </c>
      <c r="B361" s="6" t="s">
        <v>302</v>
      </c>
      <c r="C361" s="7" t="s">
        <v>257</v>
      </c>
      <c r="D361" s="7">
        <v>2026</v>
      </c>
      <c r="E361" s="7">
        <v>2</v>
      </c>
      <c r="F361" s="7" t="s">
        <v>272</v>
      </c>
      <c r="G361" s="7" t="s">
        <v>271</v>
      </c>
      <c r="H361" s="8">
        <v>18509</v>
      </c>
      <c r="I361" s="8">
        <v>563</v>
      </c>
      <c r="J361" s="8">
        <v>0</v>
      </c>
      <c r="K361" s="8">
        <v>29</v>
      </c>
      <c r="L361" s="8">
        <v>8</v>
      </c>
      <c r="M361" s="9">
        <f t="shared" ref="M361:M371" si="1823">SUM(I361,J361,K361,L361)</f>
        <v>600</v>
      </c>
      <c r="N361" s="8">
        <v>14294.6</v>
      </c>
      <c r="O361" s="8">
        <v>11.3</v>
      </c>
      <c r="P361" s="8">
        <v>1912.1</v>
      </c>
      <c r="Q361" s="8">
        <v>33.000000000000007</v>
      </c>
      <c r="R361" s="9">
        <f t="shared" ref="R361:R371" si="1824">SUM(N361,O361,P361,Q361)</f>
        <v>16251</v>
      </c>
      <c r="S361" s="9">
        <f t="shared" ref="S361:S371" si="1825">M361+R361</f>
        <v>16851</v>
      </c>
      <c r="T361" s="8">
        <v>1658</v>
      </c>
      <c r="U361" s="10">
        <f t="shared" ref="U361:U371" si="1826">IF(H361=0,"",T361/H361)</f>
        <v>8.9578043114160677E-2</v>
      </c>
      <c r="V361" s="8">
        <v>4.5</v>
      </c>
      <c r="W361" s="11">
        <f t="shared" ref="W361:W371" si="1827">IF(H361=0,"",V361/H361)</f>
        <v>2.4312496623264359E-4</v>
      </c>
      <c r="X361" s="8">
        <v>0</v>
      </c>
      <c r="Y361" s="11">
        <f t="shared" ref="Y361:Y371" si="1828">IF(H361=0,"",X361/H361)</f>
        <v>0</v>
      </c>
      <c r="Z361" s="8">
        <v>0</v>
      </c>
      <c r="AA361" s="11">
        <f t="shared" ref="AA361:AA371" si="1829">IF(H361=0,"",Z361/H361)</f>
        <v>0</v>
      </c>
      <c r="AB361" s="8">
        <v>0</v>
      </c>
      <c r="AC361" s="11">
        <f t="shared" ref="AC361:AC371" si="1830">IF(H361=0,"",AB361/H361)</f>
        <v>0</v>
      </c>
      <c r="AD361" s="8">
        <v>0</v>
      </c>
      <c r="AE361" s="11">
        <f t="shared" ref="AE361:AE371" si="1831">IF(H361=0,"",AD361/H361)</f>
        <v>0</v>
      </c>
      <c r="AF361" s="8">
        <v>0</v>
      </c>
      <c r="AG361" s="11">
        <f t="shared" ref="AG361:AG371" si="1832">IF(H361=0,"",AF361/H361)</f>
        <v>0</v>
      </c>
      <c r="AH361" s="8">
        <v>117000</v>
      </c>
      <c r="AI361" s="9">
        <f t="shared" ref="AI361:AI371" si="1833">IF(H361=0,"",AH361/H361)</f>
        <v>6.3212491220487328</v>
      </c>
      <c r="AJ361" s="8">
        <v>3043.17</v>
      </c>
      <c r="AK361" s="11">
        <f t="shared" ref="AK361:AK371" si="1834">IF(H361=0,"",AJ361/H361)</f>
        <v>0.16441568966448755</v>
      </c>
      <c r="AL361" s="8">
        <v>863332.1995300001</v>
      </c>
      <c r="AM361" s="9">
        <f t="shared" ref="AM361:AM371" si="1835">IF(H361=0,"",AL361/H361)</f>
        <v>46.643913746285598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9">
        <f t="shared" ref="AU361:AU371" si="1836">AH361+AL361+AP361+AQ361+AR361+AS361+AT361</f>
        <v>980332.1995300001</v>
      </c>
      <c r="AV361" s="9">
        <f t="shared" ref="AV361:AV371" si="1837">IF(H361=0,"",AU361/H361)</f>
        <v>52.965162868334332</v>
      </c>
      <c r="AW361" s="9">
        <f t="shared" ref="AW361:AW371" si="1838">IF(S361=0,"",AU361/S361)</f>
        <v>58.176499883092994</v>
      </c>
      <c r="AX361" s="8">
        <v>4</v>
      </c>
      <c r="AY361" s="9">
        <f t="shared" ref="AY361:AY371" si="1839">IF(H361=0,"",AX361/(H361/1000/12))</f>
        <v>2.5933329731481982</v>
      </c>
      <c r="AZ361" s="8">
        <v>4</v>
      </c>
      <c r="BA361" s="8">
        <v>38</v>
      </c>
      <c r="BB361" s="8">
        <v>0</v>
      </c>
      <c r="BC361" s="8">
        <v>1</v>
      </c>
      <c r="BD361" s="8">
        <v>0</v>
      </c>
      <c r="BE361" s="9">
        <f t="shared" ref="BE361:BE371" si="1840">BC361+BD361</f>
        <v>1</v>
      </c>
      <c r="BF361" s="9">
        <f t="shared" ref="BF361:BF371" si="1841">BA361+BB361-BE361</f>
        <v>37</v>
      </c>
      <c r="BG361" s="8">
        <v>0</v>
      </c>
      <c r="BH361" s="8">
        <v>0</v>
      </c>
      <c r="BI361" s="8">
        <v>0</v>
      </c>
      <c r="BJ361" s="8">
        <v>0</v>
      </c>
      <c r="BK361" s="9">
        <f t="shared" ref="BK361:BK371" si="1842">BI361+BJ361</f>
        <v>0</v>
      </c>
      <c r="BL361" s="9">
        <f t="shared" ref="BL361:BL371" si="1843">BG361+BH361-BK361</f>
        <v>0</v>
      </c>
      <c r="BM361" s="8">
        <v>0</v>
      </c>
      <c r="BN361" s="8">
        <v>0</v>
      </c>
      <c r="BO361" s="8">
        <v>0</v>
      </c>
      <c r="BP361" s="8">
        <v>0</v>
      </c>
      <c r="BQ361" s="9">
        <f t="shared" ref="BQ361:BQ371" si="1844">BO361+BP361</f>
        <v>0</v>
      </c>
      <c r="BR361" s="9">
        <f t="shared" ref="BR361:BR371" si="1845">BM361+BN361-BQ361</f>
        <v>0</v>
      </c>
      <c r="BS361" s="8">
        <v>0</v>
      </c>
      <c r="BT361" s="8">
        <v>0</v>
      </c>
      <c r="BU361" s="8">
        <v>0</v>
      </c>
      <c r="BV361" s="8">
        <v>0</v>
      </c>
      <c r="BW361" s="9">
        <f t="shared" ref="BW361:BW371" si="1846">BU361+BV361</f>
        <v>0</v>
      </c>
      <c r="BX361" s="9">
        <f t="shared" ref="BX361:BX371" si="1847">BS361+BT361-BW361</f>
        <v>0</v>
      </c>
      <c r="BY361" s="9">
        <f t="shared" ref="BY361:BY371" si="1848">BA361+BG361+BM361+BS361</f>
        <v>38</v>
      </c>
      <c r="BZ361" s="9">
        <f t="shared" ref="BZ361:BZ371" si="1849">BB361+BH361+BN361+BT361</f>
        <v>0</v>
      </c>
      <c r="CA361" s="9">
        <f t="shared" ref="CA361:CA371" si="1850">BE361+BK361+BQ361+BW361</f>
        <v>1</v>
      </c>
      <c r="CB361" s="9">
        <f t="shared" ref="CB361:CB371" si="1851">BF361+BL361+BR361+BX361</f>
        <v>37</v>
      </c>
      <c r="CC361" s="8">
        <v>0</v>
      </c>
      <c r="CD361" s="8">
        <v>167</v>
      </c>
      <c r="CE361" s="8">
        <v>8</v>
      </c>
      <c r="CF361" s="8">
        <v>10</v>
      </c>
      <c r="CG361" s="8">
        <v>3</v>
      </c>
      <c r="CH361" s="9">
        <f t="shared" ref="CH361:CH371" si="1852">CD361+CE361+CF361+CG361</f>
        <v>188</v>
      </c>
      <c r="CI361" s="8">
        <v>81</v>
      </c>
      <c r="CJ361" s="8">
        <v>2</v>
      </c>
      <c r="CK361" s="8">
        <v>2</v>
      </c>
      <c r="CL361" s="8">
        <v>0</v>
      </c>
      <c r="CM361" s="9">
        <f t="shared" ref="CM361:CM371" si="1853">CI361+CJ361+CK361+CL361</f>
        <v>85</v>
      </c>
      <c r="CN361" s="8">
        <v>425</v>
      </c>
      <c r="CO361" s="8">
        <v>32</v>
      </c>
      <c r="CP361" s="8">
        <v>4</v>
      </c>
      <c r="CQ361" s="8">
        <v>2</v>
      </c>
      <c r="CR361" s="9">
        <f t="shared" ref="CR361:CR371" si="1854">CN361+CO361+CP361+CQ361</f>
        <v>463</v>
      </c>
      <c r="CS361" s="9">
        <f t="shared" ref="CS361:CS371" si="1855">CM361+CR361</f>
        <v>548</v>
      </c>
      <c r="CT361" s="8">
        <v>736</v>
      </c>
      <c r="CU361" s="8">
        <v>3739</v>
      </c>
      <c r="CV361" s="8">
        <v>3636.3</v>
      </c>
      <c r="CW361" s="10">
        <f t="shared" ref="CW361:CW371" si="1856">IF(CU361=0,"",CV361/CU361)</f>
        <v>0.97253276277079437</v>
      </c>
      <c r="CX361" s="8">
        <v>0</v>
      </c>
      <c r="CY361" s="8">
        <v>0</v>
      </c>
      <c r="CZ361" s="8">
        <v>0</v>
      </c>
      <c r="DA361" s="8">
        <v>0</v>
      </c>
      <c r="DB361" s="9">
        <f t="shared" ref="DB361:DB371" si="1857">CX361+CY361-CZ361-DA361</f>
        <v>0</v>
      </c>
      <c r="DC361" s="8">
        <v>0</v>
      </c>
      <c r="DD361" s="8">
        <v>0</v>
      </c>
      <c r="DE361" s="8">
        <v>0</v>
      </c>
      <c r="DF361" s="8">
        <v>0</v>
      </c>
      <c r="DG361" s="9">
        <f t="shared" ref="DG361:DG371" si="1858">DC361+DD361-DE361-DF361</f>
        <v>0</v>
      </c>
      <c r="DH361" s="8">
        <v>0</v>
      </c>
      <c r="DI361" s="8">
        <v>0</v>
      </c>
      <c r="DJ361" s="8">
        <v>0</v>
      </c>
      <c r="DK361" s="8">
        <v>0</v>
      </c>
      <c r="DL361" s="9">
        <f t="shared" ref="DL361:DL371" si="1859">DH361+DI361-DJ361-DK361</f>
        <v>0</v>
      </c>
      <c r="DM361" s="8">
        <v>0</v>
      </c>
      <c r="DN361" s="8">
        <v>4</v>
      </c>
      <c r="DO361" s="8">
        <v>2</v>
      </c>
      <c r="DP361" s="8">
        <v>2</v>
      </c>
      <c r="DQ361" s="9">
        <f t="shared" ref="DQ361:DQ371" si="1860">DM361+DN361-DO361-DP361</f>
        <v>0</v>
      </c>
      <c r="DR361" s="9">
        <f t="shared" ref="DR361:DR371" si="1861">CX361+DC361+DH361+DM361</f>
        <v>0</v>
      </c>
      <c r="DS361" s="9">
        <f t="shared" ref="DS361:DS371" si="1862">CY361+DD361+DI361+DN361</f>
        <v>4</v>
      </c>
      <c r="DT361" s="9">
        <f t="shared" ref="DT361:DT371" si="1863">CZ361+DE361+DJ361+DO361</f>
        <v>2</v>
      </c>
      <c r="DU361" s="9">
        <f t="shared" ref="DU361:DU371" si="1864">DA361+DF361+DK361+DP361</f>
        <v>2</v>
      </c>
      <c r="DV361" s="9">
        <f t="shared" ref="DV361:DV371" si="1865">DB361+DG361+DL361+DQ361</f>
        <v>0</v>
      </c>
      <c r="DW361" s="8">
        <v>13</v>
      </c>
      <c r="DX361" s="8">
        <v>13</v>
      </c>
      <c r="DY361" s="8">
        <v>4</v>
      </c>
      <c r="DZ361" s="8">
        <v>3</v>
      </c>
      <c r="EA361" s="8">
        <v>4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9">
        <f t="shared" ref="FG361:FG371" si="1866">SUM(DW361,DX361,DY361,DZ361,EA361,EB361,EC361,ED361,EE361,EF361,EG361,EH361,EI361,EJ361,EK361,EL361,EM361,EN361,EO361,EP361,EQ361,ER361,ES361,ET361,EU361,EV361,EW361,EX361,EY361,EZ361,FA361,FB361,FC361,FD361,FE361,FF361)</f>
        <v>37</v>
      </c>
      <c r="FH361" s="8">
        <v>0</v>
      </c>
      <c r="FI361" s="8">
        <v>0</v>
      </c>
      <c r="FJ361" s="8">
        <v>20</v>
      </c>
      <c r="FK361" s="8">
        <v>193.5</v>
      </c>
      <c r="FL361" s="8">
        <v>0</v>
      </c>
      <c r="FM361" s="8">
        <v>0</v>
      </c>
      <c r="FN361" s="8">
        <v>0</v>
      </c>
      <c r="FO361" s="8">
        <v>0</v>
      </c>
      <c r="FP361" s="8">
        <v>0</v>
      </c>
      <c r="FQ361" s="9">
        <f t="shared" ref="FQ361:FQ371" si="1867">FL361+FM361+FN361+FO361+FP361</f>
        <v>0</v>
      </c>
      <c r="FR361" s="8">
        <v>468678</v>
      </c>
      <c r="FS361" s="8">
        <v>0</v>
      </c>
      <c r="FT361" s="8">
        <v>0</v>
      </c>
      <c r="FU361" s="8">
        <v>0</v>
      </c>
      <c r="FV361" s="9">
        <f t="shared" ref="FV361:FV371" si="1868">FR361+FS361+FT361+FU361</f>
        <v>468678</v>
      </c>
      <c r="FW361" s="8">
        <v>35798396</v>
      </c>
      <c r="FX361" s="8">
        <v>6000</v>
      </c>
      <c r="FY361" s="8">
        <v>157600</v>
      </c>
      <c r="FZ361" s="8">
        <v>5811500</v>
      </c>
      <c r="GA361" s="9">
        <f t="shared" ref="GA361:GA371" si="1869">FW361+FX361+FY361+FZ361</f>
        <v>41773496</v>
      </c>
      <c r="GB361" s="9">
        <f t="shared" ref="GB361:GB371" si="1870">FV361+GA361</f>
        <v>42242174</v>
      </c>
      <c r="GC361" s="8">
        <v>493072.54</v>
      </c>
      <c r="GD361" s="8">
        <v>0</v>
      </c>
      <c r="GE361" s="8">
        <v>76744.59</v>
      </c>
      <c r="GF361" s="8">
        <v>16821.98</v>
      </c>
      <c r="GG361" s="9">
        <f t="shared" ref="GG361:GG371" si="1871">GC361+GD361+GE361+GF361</f>
        <v>586639.11</v>
      </c>
      <c r="GH361" s="8">
        <v>35750376</v>
      </c>
      <c r="GI361" s="8">
        <v>2400</v>
      </c>
      <c r="GJ361" s="8">
        <v>5811500</v>
      </c>
      <c r="GK361" s="8">
        <v>157600</v>
      </c>
      <c r="GL361" s="9">
        <f t="shared" ref="GL361:GL371" si="1872">GH361+GI361+GJ361+GK361</f>
        <v>41721876</v>
      </c>
      <c r="GM361" s="9">
        <f t="shared" ref="GM361:GM371" si="1873">GG361+GL361</f>
        <v>42308515.109999999</v>
      </c>
      <c r="GN361" s="8">
        <v>43811.63</v>
      </c>
      <c r="GO361" s="8">
        <v>0</v>
      </c>
      <c r="GP361" s="8">
        <v>6787.28</v>
      </c>
      <c r="GQ361" s="8">
        <v>9274.68</v>
      </c>
      <c r="GR361" s="9">
        <f t="shared" ref="GR361:GR371" si="1874">GN361+GO361+GP361+GQ361</f>
        <v>59873.59</v>
      </c>
      <c r="GS361" s="8">
        <v>72333</v>
      </c>
      <c r="GT361" s="8">
        <v>0</v>
      </c>
      <c r="GU361" s="8">
        <v>1786</v>
      </c>
      <c r="GV361" s="8">
        <v>1786</v>
      </c>
      <c r="GW361" s="9">
        <f t="shared" ref="GW361:GW371" si="1875">GS361+GT361+GU361+GV361</f>
        <v>75905</v>
      </c>
      <c r="GX361" s="9">
        <f t="shared" ref="GX361:GX371" si="1876">GM361+GR361+GW361</f>
        <v>42444293.700000003</v>
      </c>
      <c r="GY361" s="8">
        <v>28394956.72000001</v>
      </c>
      <c r="GZ361" s="8">
        <v>0</v>
      </c>
      <c r="HA361" s="9">
        <f t="shared" si="1762"/>
        <v>28394956.72000001</v>
      </c>
      <c r="HB361" s="9">
        <f t="shared" ref="HB361:HB371" si="1877">IF(GX361=0,"",AU361/GX361)</f>
        <v>2.3096913956421897E-2</v>
      </c>
      <c r="HC361" s="10">
        <f t="shared" ref="HC361:HC371" si="1878">IF((GX361+GY361)=0,"",GB361/(GX361+GY361))</f>
        <v>0.59631029054584384</v>
      </c>
      <c r="HD361" s="9">
        <f t="shared" ref="HD361:HD371" si="1879">IF(GX361=0,"",GB361/GX361)</f>
        <v>0.99523800062668955</v>
      </c>
      <c r="HE361" s="8">
        <v>2</v>
      </c>
      <c r="HF361" s="8">
        <v>1</v>
      </c>
      <c r="HG361" s="8">
        <v>37</v>
      </c>
      <c r="HH361" s="8">
        <v>0</v>
      </c>
      <c r="HI361" s="8">
        <v>2</v>
      </c>
      <c r="HJ361" s="9">
        <f t="shared" ref="HJ361:HJ371" si="1880">HF361+HI361</f>
        <v>3</v>
      </c>
      <c r="HK361" s="10">
        <f t="shared" ref="HK361:HK371" si="1881">IF(HE361=0,"",HH361/HE361)</f>
        <v>0</v>
      </c>
      <c r="HL361" s="8">
        <v>5</v>
      </c>
      <c r="HM361" s="8">
        <v>5</v>
      </c>
      <c r="HN361" s="11">
        <f t="shared" ref="HN361:HN371" si="1882">IF(HL361=0,"",HM361/HL361)</f>
        <v>1</v>
      </c>
    </row>
    <row r="362" spans="1:222" x14ac:dyDescent="0.3">
      <c r="A362" s="12" t="s">
        <v>295</v>
      </c>
      <c r="B362" s="12" t="s">
        <v>302</v>
      </c>
      <c r="C362" s="13" t="s">
        <v>257</v>
      </c>
      <c r="D362" s="13">
        <v>2026</v>
      </c>
      <c r="E362" s="13">
        <v>3</v>
      </c>
      <c r="F362" s="13" t="s">
        <v>273</v>
      </c>
      <c r="G362" s="13" t="s">
        <v>271</v>
      </c>
      <c r="H362" s="14">
        <v>5652</v>
      </c>
      <c r="I362" s="14">
        <v>562</v>
      </c>
      <c r="J362" s="14">
        <v>0</v>
      </c>
      <c r="K362" s="14">
        <v>74</v>
      </c>
      <c r="L362" s="14">
        <v>8</v>
      </c>
      <c r="M362" s="15">
        <f t="shared" si="1823"/>
        <v>644</v>
      </c>
      <c r="N362" s="14">
        <v>2000.999999999998</v>
      </c>
      <c r="O362" s="14">
        <v>7.1999999999999993</v>
      </c>
      <c r="P362" s="14">
        <v>117.5</v>
      </c>
      <c r="Q362" s="14">
        <v>29.9</v>
      </c>
      <c r="R362" s="15">
        <f t="shared" si="1824"/>
        <v>2155.5999999999981</v>
      </c>
      <c r="S362" s="15">
        <f t="shared" si="1825"/>
        <v>2799.5999999999981</v>
      </c>
      <c r="T362" s="14">
        <v>2852.4000000000019</v>
      </c>
      <c r="U362" s="16">
        <f t="shared" si="1826"/>
        <v>0.50467091295116806</v>
      </c>
      <c r="V362" s="14">
        <v>5.5</v>
      </c>
      <c r="W362" s="17">
        <f t="shared" si="1827"/>
        <v>9.7310686482661001E-4</v>
      </c>
      <c r="X362" s="14">
        <v>0</v>
      </c>
      <c r="Y362" s="17">
        <f t="shared" si="1828"/>
        <v>0</v>
      </c>
      <c r="Z362" s="14">
        <v>0</v>
      </c>
      <c r="AA362" s="17">
        <f t="shared" si="1829"/>
        <v>0</v>
      </c>
      <c r="AB362" s="14">
        <v>0</v>
      </c>
      <c r="AC362" s="17">
        <f t="shared" si="1830"/>
        <v>0</v>
      </c>
      <c r="AD362" s="14">
        <v>0</v>
      </c>
      <c r="AE362" s="17">
        <f t="shared" si="1831"/>
        <v>0</v>
      </c>
      <c r="AF362" s="14">
        <v>0</v>
      </c>
      <c r="AG362" s="17">
        <f t="shared" si="1832"/>
        <v>0</v>
      </c>
      <c r="AH362" s="14">
        <v>143000</v>
      </c>
      <c r="AI362" s="15">
        <f t="shared" si="1833"/>
        <v>25.300778485491861</v>
      </c>
      <c r="AJ362" s="14">
        <v>3166.26</v>
      </c>
      <c r="AK362" s="17">
        <f t="shared" si="1834"/>
        <v>0.56020169851380042</v>
      </c>
      <c r="AL362" s="14">
        <v>896973.80434000003</v>
      </c>
      <c r="AM362" s="15">
        <f t="shared" si="1835"/>
        <v>158.70024846779901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5">
        <f t="shared" si="1836"/>
        <v>1039973.80434</v>
      </c>
      <c r="AV362" s="15">
        <f t="shared" si="1837"/>
        <v>184.00102695329088</v>
      </c>
      <c r="AW362" s="15">
        <f t="shared" si="1838"/>
        <v>371.47228330475809</v>
      </c>
      <c r="AX362" s="14">
        <v>4</v>
      </c>
      <c r="AY362" s="15">
        <f t="shared" si="1839"/>
        <v>8.4925690021231421</v>
      </c>
      <c r="AZ362" s="14">
        <v>4</v>
      </c>
      <c r="BA362" s="14">
        <v>37</v>
      </c>
      <c r="BB362" s="14">
        <v>0</v>
      </c>
      <c r="BC362" s="14">
        <v>0</v>
      </c>
      <c r="BD362" s="14">
        <v>0</v>
      </c>
      <c r="BE362" s="15">
        <f t="shared" si="1840"/>
        <v>0</v>
      </c>
      <c r="BF362" s="15">
        <f t="shared" si="1841"/>
        <v>37</v>
      </c>
      <c r="BG362" s="14">
        <v>0</v>
      </c>
      <c r="BH362" s="14">
        <v>0</v>
      </c>
      <c r="BI362" s="14">
        <v>0</v>
      </c>
      <c r="BJ362" s="14">
        <v>0</v>
      </c>
      <c r="BK362" s="15">
        <f t="shared" si="1842"/>
        <v>0</v>
      </c>
      <c r="BL362" s="15">
        <f t="shared" si="1843"/>
        <v>0</v>
      </c>
      <c r="BM362" s="14">
        <v>0</v>
      </c>
      <c r="BN362" s="14">
        <v>0</v>
      </c>
      <c r="BO362" s="14">
        <v>0</v>
      </c>
      <c r="BP362" s="14">
        <v>0</v>
      </c>
      <c r="BQ362" s="15">
        <f t="shared" si="1844"/>
        <v>0</v>
      </c>
      <c r="BR362" s="15">
        <f t="shared" si="1845"/>
        <v>0</v>
      </c>
      <c r="BS362" s="14">
        <v>0</v>
      </c>
      <c r="BT362" s="14">
        <v>0</v>
      </c>
      <c r="BU362" s="14">
        <v>0</v>
      </c>
      <c r="BV362" s="14">
        <v>0</v>
      </c>
      <c r="BW362" s="15">
        <f t="shared" si="1846"/>
        <v>0</v>
      </c>
      <c r="BX362" s="15">
        <f t="shared" si="1847"/>
        <v>0</v>
      </c>
      <c r="BY362" s="15">
        <f t="shared" si="1848"/>
        <v>37</v>
      </c>
      <c r="BZ362" s="15">
        <f t="shared" si="1849"/>
        <v>0</v>
      </c>
      <c r="CA362" s="15">
        <f t="shared" si="1850"/>
        <v>0</v>
      </c>
      <c r="CB362" s="15">
        <f t="shared" si="1851"/>
        <v>37</v>
      </c>
      <c r="CC362" s="14">
        <v>0</v>
      </c>
      <c r="CD362" s="14">
        <v>166</v>
      </c>
      <c r="CE362" s="14">
        <v>8</v>
      </c>
      <c r="CF362" s="14">
        <v>10</v>
      </c>
      <c r="CG362" s="14">
        <v>3</v>
      </c>
      <c r="CH362" s="15">
        <f t="shared" si="1852"/>
        <v>187</v>
      </c>
      <c r="CI362" s="14">
        <v>81</v>
      </c>
      <c r="CJ362" s="14">
        <v>2</v>
      </c>
      <c r="CK362" s="14">
        <v>2</v>
      </c>
      <c r="CL362" s="14">
        <v>0</v>
      </c>
      <c r="CM362" s="15">
        <f t="shared" si="1853"/>
        <v>85</v>
      </c>
      <c r="CN362" s="14">
        <v>426</v>
      </c>
      <c r="CO362" s="14">
        <v>32</v>
      </c>
      <c r="CP362" s="14">
        <v>4</v>
      </c>
      <c r="CQ362" s="14">
        <v>2</v>
      </c>
      <c r="CR362" s="15">
        <f t="shared" si="1854"/>
        <v>464</v>
      </c>
      <c r="CS362" s="15">
        <f t="shared" si="1855"/>
        <v>549</v>
      </c>
      <c r="CT362" s="14">
        <v>736</v>
      </c>
      <c r="CU362" s="14">
        <v>3742</v>
      </c>
      <c r="CV362" s="14">
        <v>3636</v>
      </c>
      <c r="CW362" s="16">
        <f t="shared" si="1856"/>
        <v>0.9716729021913415</v>
      </c>
      <c r="CX362" s="14"/>
      <c r="CY362" s="14"/>
      <c r="CZ362" s="14"/>
      <c r="DA362" s="14"/>
      <c r="DB362" s="15">
        <f t="shared" si="1857"/>
        <v>0</v>
      </c>
      <c r="DC362" s="14">
        <v>0</v>
      </c>
      <c r="DD362" s="14">
        <v>0</v>
      </c>
      <c r="DE362" s="14">
        <v>0</v>
      </c>
      <c r="DF362" s="14">
        <v>0</v>
      </c>
      <c r="DG362" s="15">
        <f t="shared" si="1858"/>
        <v>0</v>
      </c>
      <c r="DH362" s="14">
        <v>0</v>
      </c>
      <c r="DI362" s="14">
        <v>0</v>
      </c>
      <c r="DJ362" s="14">
        <v>0</v>
      </c>
      <c r="DK362" s="14">
        <v>0</v>
      </c>
      <c r="DL362" s="15">
        <f t="shared" si="1859"/>
        <v>0</v>
      </c>
      <c r="DM362" s="14">
        <v>0</v>
      </c>
      <c r="DN362" s="14">
        <v>0</v>
      </c>
      <c r="DO362" s="14">
        <v>0</v>
      </c>
      <c r="DP362" s="14">
        <v>0</v>
      </c>
      <c r="DQ362" s="15">
        <f t="shared" si="1860"/>
        <v>0</v>
      </c>
      <c r="DR362" s="15">
        <f t="shared" si="1861"/>
        <v>0</v>
      </c>
      <c r="DS362" s="15">
        <f t="shared" si="1862"/>
        <v>0</v>
      </c>
      <c r="DT362" s="15">
        <f t="shared" si="1863"/>
        <v>0</v>
      </c>
      <c r="DU362" s="15">
        <f t="shared" si="1864"/>
        <v>0</v>
      </c>
      <c r="DV362" s="15">
        <f t="shared" si="1865"/>
        <v>0</v>
      </c>
      <c r="DW362" s="14">
        <v>20</v>
      </c>
      <c r="DX362" s="14">
        <v>12</v>
      </c>
      <c r="DY362" s="14">
        <v>4</v>
      </c>
      <c r="DZ362" s="14">
        <v>2</v>
      </c>
      <c r="EA362" s="14">
        <v>2</v>
      </c>
      <c r="EB362" s="14">
        <v>0</v>
      </c>
      <c r="EC362" s="14">
        <v>0</v>
      </c>
      <c r="ED362" s="14">
        <v>0</v>
      </c>
      <c r="EE362" s="14">
        <v>0</v>
      </c>
      <c r="EF362" s="14">
        <v>0</v>
      </c>
      <c r="EG362" s="14">
        <v>0</v>
      </c>
      <c r="EH362" s="14">
        <v>0</v>
      </c>
      <c r="EI362" s="14">
        <v>0</v>
      </c>
      <c r="EJ362" s="14">
        <v>0</v>
      </c>
      <c r="EK362" s="14">
        <v>0</v>
      </c>
      <c r="EL362" s="14">
        <v>0</v>
      </c>
      <c r="EM362" s="14">
        <v>0</v>
      </c>
      <c r="EN362" s="14">
        <v>0</v>
      </c>
      <c r="EO362" s="14">
        <v>0</v>
      </c>
      <c r="EP362" s="14">
        <v>0</v>
      </c>
      <c r="EQ362" s="14">
        <v>0</v>
      </c>
      <c r="ER362" s="14">
        <v>0</v>
      </c>
      <c r="ES362" s="14">
        <v>0</v>
      </c>
      <c r="ET362" s="14">
        <v>0</v>
      </c>
      <c r="EU362" s="14">
        <v>0</v>
      </c>
      <c r="EV362" s="14">
        <v>0</v>
      </c>
      <c r="EW362" s="14">
        <v>0</v>
      </c>
      <c r="EX362" s="14">
        <v>0</v>
      </c>
      <c r="EY362" s="14">
        <v>0</v>
      </c>
      <c r="EZ362" s="14">
        <v>0</v>
      </c>
      <c r="FA362" s="14">
        <v>0</v>
      </c>
      <c r="FB362" s="14">
        <v>0</v>
      </c>
      <c r="FC362" s="14">
        <v>0</v>
      </c>
      <c r="FD362" s="14">
        <v>0</v>
      </c>
      <c r="FE362" s="14">
        <v>0</v>
      </c>
      <c r="FF362" s="14">
        <v>0</v>
      </c>
      <c r="FG362" s="15">
        <f t="shared" si="1866"/>
        <v>40</v>
      </c>
      <c r="FH362" s="14">
        <v>0</v>
      </c>
      <c r="FI362" s="14">
        <v>0</v>
      </c>
      <c r="FJ362" s="14">
        <v>22</v>
      </c>
      <c r="FK362" s="14">
        <v>46.5</v>
      </c>
      <c r="FL362" s="14">
        <v>150</v>
      </c>
      <c r="FM362" s="14">
        <v>0</v>
      </c>
      <c r="FN362" s="14">
        <v>0</v>
      </c>
      <c r="FO362" s="14">
        <v>0</v>
      </c>
      <c r="FP362" s="14">
        <v>0</v>
      </c>
      <c r="FQ362" s="15">
        <f t="shared" si="1867"/>
        <v>150</v>
      </c>
      <c r="FR362" s="14">
        <v>727307.27</v>
      </c>
      <c r="FS362" s="14">
        <v>0</v>
      </c>
      <c r="FT362" s="14">
        <v>0</v>
      </c>
      <c r="FU362" s="14">
        <v>0</v>
      </c>
      <c r="FV362" s="15">
        <f t="shared" si="1868"/>
        <v>727307.27</v>
      </c>
      <c r="FW362" s="14">
        <v>2550856</v>
      </c>
      <c r="FX362" s="14">
        <v>3800</v>
      </c>
      <c r="FY362" s="14">
        <v>143700</v>
      </c>
      <c r="FZ362" s="14">
        <v>357000</v>
      </c>
      <c r="GA362" s="15">
        <f t="shared" si="1869"/>
        <v>3055356</v>
      </c>
      <c r="GB362" s="15">
        <f t="shared" si="1870"/>
        <v>3782663.27</v>
      </c>
      <c r="GC362" s="14">
        <v>491302.83</v>
      </c>
      <c r="GD362" s="14">
        <v>0</v>
      </c>
      <c r="GE362" s="14">
        <v>234120.49</v>
      </c>
      <c r="GF362" s="14">
        <v>16821.98</v>
      </c>
      <c r="GG362" s="15">
        <f t="shared" si="1871"/>
        <v>742245.3</v>
      </c>
      <c r="GH362" s="14">
        <v>2496796</v>
      </c>
      <c r="GI362" s="14">
        <v>1520</v>
      </c>
      <c r="GJ362" s="14">
        <v>357000</v>
      </c>
      <c r="GK362" s="14">
        <v>143700</v>
      </c>
      <c r="GL362" s="15">
        <f t="shared" si="1872"/>
        <v>2999016</v>
      </c>
      <c r="GM362" s="15">
        <f t="shared" si="1873"/>
        <v>3741261.3</v>
      </c>
      <c r="GN362" s="14">
        <v>43647.78</v>
      </c>
      <c r="GO362" s="14">
        <v>0</v>
      </c>
      <c r="GP362" s="14">
        <v>6787.28</v>
      </c>
      <c r="GQ362" s="14">
        <v>9274.68</v>
      </c>
      <c r="GR362" s="15">
        <f t="shared" si="1874"/>
        <v>59709.74</v>
      </c>
      <c r="GS362" s="14">
        <v>72333</v>
      </c>
      <c r="GT362" s="14">
        <v>0</v>
      </c>
      <c r="GU362" s="14">
        <v>1786</v>
      </c>
      <c r="GV362" s="14">
        <v>1786</v>
      </c>
      <c r="GW362" s="15">
        <f t="shared" si="1875"/>
        <v>75905</v>
      </c>
      <c r="GX362" s="15">
        <f t="shared" si="1876"/>
        <v>3876876.04</v>
      </c>
      <c r="GY362" s="14">
        <v>28354574.339999989</v>
      </c>
      <c r="GZ362" s="14">
        <v>0</v>
      </c>
      <c r="HA362" s="9">
        <f t="shared" si="1762"/>
        <v>28354574.339999989</v>
      </c>
      <c r="HB362" s="15">
        <f t="shared" si="1877"/>
        <v>0.26825046599632835</v>
      </c>
      <c r="HC362" s="16">
        <f t="shared" si="1878"/>
        <v>0.11735938735003962</v>
      </c>
      <c r="HD362" s="15">
        <f t="shared" si="1879"/>
        <v>0.97569879226780742</v>
      </c>
      <c r="HE362" s="14">
        <v>2</v>
      </c>
      <c r="HF362" s="14">
        <v>1</v>
      </c>
      <c r="HG362" s="14">
        <v>37</v>
      </c>
      <c r="HH362" s="14">
        <v>0</v>
      </c>
      <c r="HI362" s="14">
        <v>0</v>
      </c>
      <c r="HJ362" s="15">
        <f t="shared" si="1880"/>
        <v>1</v>
      </c>
      <c r="HK362" s="16">
        <f t="shared" si="1881"/>
        <v>0</v>
      </c>
      <c r="HL362" s="14">
        <v>5</v>
      </c>
      <c r="HM362" s="14">
        <v>5</v>
      </c>
      <c r="HN362" s="17">
        <f t="shared" si="1882"/>
        <v>1</v>
      </c>
    </row>
    <row r="363" spans="1:222" x14ac:dyDescent="0.3">
      <c r="A363" s="6" t="s">
        <v>295</v>
      </c>
      <c r="B363" s="6" t="s">
        <v>303</v>
      </c>
      <c r="C363" s="7" t="s">
        <v>257</v>
      </c>
      <c r="D363" s="7">
        <v>2025</v>
      </c>
      <c r="E363" s="7">
        <v>4</v>
      </c>
      <c r="F363" s="7" t="s">
        <v>258</v>
      </c>
      <c r="G363" s="7" t="s">
        <v>259</v>
      </c>
      <c r="H363" s="8">
        <v>7850</v>
      </c>
      <c r="I363" s="8">
        <v>3983</v>
      </c>
      <c r="J363" s="8">
        <v>10</v>
      </c>
      <c r="K363" s="8">
        <v>55</v>
      </c>
      <c r="L363" s="8">
        <v>47</v>
      </c>
      <c r="M363" s="9">
        <f t="shared" si="1823"/>
        <v>4095</v>
      </c>
      <c r="N363" s="8">
        <v>865.50000000000102</v>
      </c>
      <c r="O363" s="8">
        <v>0</v>
      </c>
      <c r="P363" s="8">
        <v>145.4</v>
      </c>
      <c r="Q363" s="8">
        <v>76.5</v>
      </c>
      <c r="R363" s="9">
        <f t="shared" si="1824"/>
        <v>1087.400000000001</v>
      </c>
      <c r="S363" s="9">
        <f t="shared" si="1825"/>
        <v>5182.4000000000015</v>
      </c>
      <c r="T363" s="8">
        <v>2667.6</v>
      </c>
      <c r="U363" s="10">
        <f t="shared" si="1826"/>
        <v>0.33982165605095538</v>
      </c>
      <c r="V363" s="8">
        <v>10</v>
      </c>
      <c r="W363" s="11">
        <f t="shared" si="1827"/>
        <v>1.2738853503184713E-3</v>
      </c>
      <c r="X363" s="8">
        <v>0</v>
      </c>
      <c r="Y363" s="11">
        <f t="shared" si="1828"/>
        <v>0</v>
      </c>
      <c r="Z363" s="8">
        <v>0</v>
      </c>
      <c r="AA363" s="11">
        <f t="shared" si="1829"/>
        <v>0</v>
      </c>
      <c r="AB363" s="8">
        <v>0</v>
      </c>
      <c r="AC363" s="11">
        <f t="shared" si="1830"/>
        <v>0</v>
      </c>
      <c r="AD363" s="8">
        <v>0</v>
      </c>
      <c r="AE363" s="11">
        <f t="shared" si="1831"/>
        <v>0</v>
      </c>
      <c r="AF363" s="8">
        <v>0</v>
      </c>
      <c r="AG363" s="11">
        <f t="shared" si="1832"/>
        <v>0</v>
      </c>
      <c r="AH363" s="8">
        <v>260000</v>
      </c>
      <c r="AI363" s="9">
        <f t="shared" si="1833"/>
        <v>33.121019108280258</v>
      </c>
      <c r="AJ363" s="8">
        <v>6086.62</v>
      </c>
      <c r="AK363" s="11">
        <f t="shared" si="1834"/>
        <v>0.77536560509554142</v>
      </c>
      <c r="AL363" s="8">
        <v>1695134.4755800001</v>
      </c>
      <c r="AM363" s="9">
        <f t="shared" si="1835"/>
        <v>215.94069752611466</v>
      </c>
      <c r="AN363" s="8">
        <v>0</v>
      </c>
      <c r="AO363" s="8">
        <v>0</v>
      </c>
      <c r="AP363" s="8">
        <v>0</v>
      </c>
      <c r="AQ363" s="8">
        <v>0</v>
      </c>
      <c r="AR363" s="8">
        <v>3463589.38</v>
      </c>
      <c r="AS363" s="8">
        <v>1311680.83</v>
      </c>
      <c r="AT363" s="8">
        <v>0</v>
      </c>
      <c r="AU363" s="9">
        <f t="shared" si="1836"/>
        <v>6730404.6855800003</v>
      </c>
      <c r="AV363" s="9">
        <f t="shared" si="1837"/>
        <v>857.37639306751601</v>
      </c>
      <c r="AW363" s="9">
        <f t="shared" si="1838"/>
        <v>1298.7042076219509</v>
      </c>
      <c r="AX363" s="8">
        <v>5</v>
      </c>
      <c r="AY363" s="9">
        <f t="shared" si="1839"/>
        <v>7.6433121019108281</v>
      </c>
      <c r="AZ363" s="8">
        <v>15</v>
      </c>
      <c r="BA363" s="8">
        <v>17</v>
      </c>
      <c r="BB363" s="8">
        <v>6</v>
      </c>
      <c r="BC363" s="8">
        <v>6</v>
      </c>
      <c r="BD363" s="8">
        <v>0</v>
      </c>
      <c r="BE363" s="9">
        <f t="shared" si="1840"/>
        <v>6</v>
      </c>
      <c r="BF363" s="9">
        <f t="shared" si="1841"/>
        <v>17</v>
      </c>
      <c r="BG363" s="8">
        <v>0</v>
      </c>
      <c r="BH363" s="8">
        <v>0</v>
      </c>
      <c r="BI363" s="8">
        <v>0</v>
      </c>
      <c r="BJ363" s="8">
        <v>0</v>
      </c>
      <c r="BK363" s="9">
        <f t="shared" si="1842"/>
        <v>0</v>
      </c>
      <c r="BL363" s="9">
        <f t="shared" si="1843"/>
        <v>0</v>
      </c>
      <c r="BM363" s="8">
        <v>0</v>
      </c>
      <c r="BN363" s="8">
        <v>0</v>
      </c>
      <c r="BO363" s="8">
        <v>0</v>
      </c>
      <c r="BP363" s="8">
        <v>0</v>
      </c>
      <c r="BQ363" s="9">
        <f t="shared" si="1844"/>
        <v>0</v>
      </c>
      <c r="BR363" s="9">
        <f t="shared" si="1845"/>
        <v>0</v>
      </c>
      <c r="BS363" s="8">
        <v>0</v>
      </c>
      <c r="BT363" s="8">
        <v>0</v>
      </c>
      <c r="BU363" s="8">
        <v>0</v>
      </c>
      <c r="BV363" s="8">
        <v>0</v>
      </c>
      <c r="BW363" s="9">
        <f t="shared" si="1846"/>
        <v>0</v>
      </c>
      <c r="BX363" s="9">
        <f t="shared" si="1847"/>
        <v>0</v>
      </c>
      <c r="BY363" s="9">
        <f t="shared" si="1848"/>
        <v>17</v>
      </c>
      <c r="BZ363" s="9">
        <f t="shared" si="1849"/>
        <v>6</v>
      </c>
      <c r="CA363" s="9">
        <f t="shared" si="1850"/>
        <v>6</v>
      </c>
      <c r="CB363" s="9">
        <f t="shared" si="1851"/>
        <v>17</v>
      </c>
      <c r="CC363" s="8">
        <v>0</v>
      </c>
      <c r="CD363" s="8">
        <v>156</v>
      </c>
      <c r="CE363" s="8">
        <v>4</v>
      </c>
      <c r="CF363" s="8">
        <v>2</v>
      </c>
      <c r="CG363" s="8">
        <v>3</v>
      </c>
      <c r="CH363" s="9">
        <f t="shared" si="1852"/>
        <v>165</v>
      </c>
      <c r="CI363" s="8">
        <v>641</v>
      </c>
      <c r="CJ363" s="8">
        <v>9</v>
      </c>
      <c r="CK363" s="8">
        <v>13</v>
      </c>
      <c r="CL363" s="8">
        <v>2</v>
      </c>
      <c r="CM363" s="9">
        <f t="shared" si="1853"/>
        <v>665</v>
      </c>
      <c r="CN363" s="8">
        <v>104</v>
      </c>
      <c r="CO363" s="8">
        <v>19</v>
      </c>
      <c r="CP363" s="8">
        <v>7</v>
      </c>
      <c r="CQ363" s="8">
        <v>0</v>
      </c>
      <c r="CR363" s="9">
        <f t="shared" si="1854"/>
        <v>130</v>
      </c>
      <c r="CS363" s="9">
        <f t="shared" si="1855"/>
        <v>795</v>
      </c>
      <c r="CT363" s="8">
        <v>960</v>
      </c>
      <c r="CU363" s="8">
        <v>3031</v>
      </c>
      <c r="CV363" s="8">
        <v>3010</v>
      </c>
      <c r="CW363" s="10">
        <f t="shared" si="1856"/>
        <v>0.99307159353348728</v>
      </c>
      <c r="CX363" s="8">
        <v>0</v>
      </c>
      <c r="CY363" s="8">
        <v>0</v>
      </c>
      <c r="CZ363" s="8">
        <v>0</v>
      </c>
      <c r="DA363" s="8">
        <v>0</v>
      </c>
      <c r="DB363" s="9">
        <f t="shared" si="1857"/>
        <v>0</v>
      </c>
      <c r="DC363" s="8">
        <v>0</v>
      </c>
      <c r="DD363" s="8">
        <v>0</v>
      </c>
      <c r="DE363" s="8">
        <v>0</v>
      </c>
      <c r="DF363" s="8">
        <v>0</v>
      </c>
      <c r="DG363" s="9">
        <f t="shared" si="1858"/>
        <v>0</v>
      </c>
      <c r="DH363" s="8">
        <v>0</v>
      </c>
      <c r="DI363" s="8">
        <v>0</v>
      </c>
      <c r="DJ363" s="8">
        <v>0</v>
      </c>
      <c r="DK363" s="8">
        <v>0</v>
      </c>
      <c r="DL363" s="9">
        <f t="shared" si="1859"/>
        <v>0</v>
      </c>
      <c r="DM363" s="8">
        <v>0</v>
      </c>
      <c r="DN363" s="8">
        <v>1</v>
      </c>
      <c r="DO363" s="8">
        <v>1</v>
      </c>
      <c r="DP363" s="8">
        <v>0</v>
      </c>
      <c r="DQ363" s="9">
        <f t="shared" si="1860"/>
        <v>0</v>
      </c>
      <c r="DR363" s="9">
        <f t="shared" si="1861"/>
        <v>0</v>
      </c>
      <c r="DS363" s="9">
        <f t="shared" si="1862"/>
        <v>1</v>
      </c>
      <c r="DT363" s="9">
        <f t="shared" si="1863"/>
        <v>1</v>
      </c>
      <c r="DU363" s="9">
        <f t="shared" si="1864"/>
        <v>0</v>
      </c>
      <c r="DV363" s="9">
        <f t="shared" si="1865"/>
        <v>0</v>
      </c>
      <c r="DW363" s="8">
        <v>5</v>
      </c>
      <c r="DX363" s="8">
        <v>1</v>
      </c>
      <c r="DY363" s="8">
        <v>0</v>
      </c>
      <c r="DZ363" s="8">
        <v>0</v>
      </c>
      <c r="EA363" s="8">
        <v>0</v>
      </c>
      <c r="EB363" s="8">
        <v>1</v>
      </c>
      <c r="EC363" s="8">
        <v>0</v>
      </c>
      <c r="ED363" s="8">
        <v>0</v>
      </c>
      <c r="EE363" s="8">
        <v>0</v>
      </c>
      <c r="EF363" s="8">
        <v>0</v>
      </c>
      <c r="EG363" s="8">
        <v>0</v>
      </c>
      <c r="EH363" s="8">
        <v>0</v>
      </c>
      <c r="EI363" s="8">
        <v>0</v>
      </c>
      <c r="EJ363" s="8">
        <v>0</v>
      </c>
      <c r="EK363" s="8">
        <v>0</v>
      </c>
      <c r="EL363" s="8">
        <v>0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8">
        <v>0</v>
      </c>
      <c r="ES363" s="8">
        <v>0</v>
      </c>
      <c r="ET363" s="8">
        <v>0</v>
      </c>
      <c r="EU363" s="8">
        <v>0</v>
      </c>
      <c r="EV363" s="8">
        <v>0</v>
      </c>
      <c r="EW363" s="8">
        <v>0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9">
        <f t="shared" si="1866"/>
        <v>7</v>
      </c>
      <c r="FH363" s="8">
        <v>0</v>
      </c>
      <c r="FI363" s="8">
        <v>0</v>
      </c>
      <c r="FJ363" s="8">
        <v>12</v>
      </c>
      <c r="FK363" s="8">
        <v>32</v>
      </c>
      <c r="FL363" s="8">
        <v>0</v>
      </c>
      <c r="FM363" s="8">
        <v>0</v>
      </c>
      <c r="FN363" s="8">
        <v>0</v>
      </c>
      <c r="FO363" s="8">
        <v>0</v>
      </c>
      <c r="FP363" s="8">
        <v>0</v>
      </c>
      <c r="FQ363" s="9">
        <f t="shared" si="1867"/>
        <v>0</v>
      </c>
      <c r="FR363" s="8">
        <v>1899905.58</v>
      </c>
      <c r="FS363" s="8">
        <v>0</v>
      </c>
      <c r="FT363" s="8">
        <v>804000</v>
      </c>
      <c r="FU363" s="8">
        <v>50000</v>
      </c>
      <c r="FV363" s="9">
        <f t="shared" si="1868"/>
        <v>2753905.58</v>
      </c>
      <c r="FW363" s="8">
        <v>1148850</v>
      </c>
      <c r="FX363" s="8">
        <v>0</v>
      </c>
      <c r="FY363" s="8">
        <v>364500</v>
      </c>
      <c r="FZ363" s="8">
        <v>447700</v>
      </c>
      <c r="GA363" s="9">
        <f t="shared" si="1869"/>
        <v>1961050</v>
      </c>
      <c r="GB363" s="9">
        <f t="shared" si="1870"/>
        <v>4714955.58</v>
      </c>
      <c r="GC363" s="8">
        <v>3635928.2</v>
      </c>
      <c r="GD363" s="8">
        <v>1912.8</v>
      </c>
      <c r="GE363" s="8">
        <v>126972.13</v>
      </c>
      <c r="GF363" s="8">
        <v>109342.87</v>
      </c>
      <c r="GG363" s="9">
        <f t="shared" si="1871"/>
        <v>3874156</v>
      </c>
      <c r="GH363" s="8">
        <v>1080542.06</v>
      </c>
      <c r="GI363" s="8">
        <v>0</v>
      </c>
      <c r="GJ363" s="8">
        <v>441700</v>
      </c>
      <c r="GK363" s="8">
        <v>362100</v>
      </c>
      <c r="GL363" s="9">
        <f t="shared" si="1872"/>
        <v>1884342.06</v>
      </c>
      <c r="GM363" s="9">
        <f t="shared" si="1873"/>
        <v>5758498.0600000005</v>
      </c>
      <c r="GN363" s="8">
        <v>350260.58</v>
      </c>
      <c r="GO363" s="8">
        <v>382.56</v>
      </c>
      <c r="GP363" s="8">
        <v>30542.76</v>
      </c>
      <c r="GQ363" s="8">
        <v>60285.42</v>
      </c>
      <c r="GR363" s="9">
        <f t="shared" si="1874"/>
        <v>441471.32</v>
      </c>
      <c r="GS363" s="8">
        <v>572413</v>
      </c>
      <c r="GT363" s="8">
        <v>1786</v>
      </c>
      <c r="GU363" s="8">
        <v>8037</v>
      </c>
      <c r="GV363" s="8">
        <v>11609</v>
      </c>
      <c r="GW363" s="9">
        <f t="shared" si="1875"/>
        <v>593845</v>
      </c>
      <c r="GX363" s="9">
        <f t="shared" si="1876"/>
        <v>6793814.3800000008</v>
      </c>
      <c r="GY363" s="8">
        <v>52831486.419999912</v>
      </c>
      <c r="GZ363" s="8">
        <v>0</v>
      </c>
      <c r="HA363" s="9">
        <f t="shared" si="1762"/>
        <v>52831486.419999912</v>
      </c>
      <c r="HB363" s="9">
        <f t="shared" si="1877"/>
        <v>0.99066655476978149</v>
      </c>
      <c r="HC363" s="10">
        <f t="shared" si="1878"/>
        <v>7.9076424214869656E-2</v>
      </c>
      <c r="HD363" s="9">
        <f t="shared" si="1879"/>
        <v>0.69400712416873533</v>
      </c>
      <c r="HE363" s="8">
        <v>5</v>
      </c>
      <c r="HF363" s="8">
        <v>11</v>
      </c>
      <c r="HG363" s="8">
        <v>17</v>
      </c>
      <c r="HH363" s="8">
        <v>6</v>
      </c>
      <c r="HI363" s="8">
        <v>10</v>
      </c>
      <c r="HJ363" s="9">
        <f t="shared" si="1880"/>
        <v>21</v>
      </c>
      <c r="HK363" s="10">
        <f t="shared" si="1881"/>
        <v>1.2</v>
      </c>
      <c r="HL363" s="8">
        <v>30</v>
      </c>
      <c r="HM363" s="8">
        <v>30</v>
      </c>
      <c r="HN363" s="11">
        <f t="shared" si="1882"/>
        <v>1</v>
      </c>
    </row>
    <row r="364" spans="1:222" x14ac:dyDescent="0.3">
      <c r="A364" s="12" t="s">
        <v>295</v>
      </c>
      <c r="B364" s="12" t="s">
        <v>303</v>
      </c>
      <c r="C364" s="13" t="s">
        <v>257</v>
      </c>
      <c r="D364" s="13">
        <v>2025</v>
      </c>
      <c r="E364" s="13">
        <v>5</v>
      </c>
      <c r="F364" s="13" t="s">
        <v>260</v>
      </c>
      <c r="G364" s="13" t="s">
        <v>259</v>
      </c>
      <c r="H364" s="14">
        <v>6497</v>
      </c>
      <c r="I364" s="14">
        <v>3631</v>
      </c>
      <c r="J364" s="14">
        <v>10</v>
      </c>
      <c r="K364" s="14">
        <v>43</v>
      </c>
      <c r="L364" s="14">
        <v>43</v>
      </c>
      <c r="M364" s="15">
        <f t="shared" si="1823"/>
        <v>3727</v>
      </c>
      <c r="N364" s="14">
        <v>888.20000000000095</v>
      </c>
      <c r="O364" s="14">
        <v>0</v>
      </c>
      <c r="P364" s="14">
        <v>120.4</v>
      </c>
      <c r="Q364" s="14">
        <v>148.5</v>
      </c>
      <c r="R364" s="15">
        <f t="shared" si="1824"/>
        <v>1157.1000000000008</v>
      </c>
      <c r="S364" s="15">
        <f t="shared" si="1825"/>
        <v>4884.1000000000004</v>
      </c>
      <c r="T364" s="14">
        <v>1612.9</v>
      </c>
      <c r="U364" s="16">
        <f t="shared" si="1826"/>
        <v>0.24825303986455288</v>
      </c>
      <c r="V364" s="14">
        <v>15</v>
      </c>
      <c r="W364" s="17">
        <f t="shared" si="1827"/>
        <v>2.3087578882561182E-3</v>
      </c>
      <c r="X364" s="14">
        <v>0</v>
      </c>
      <c r="Y364" s="17">
        <f t="shared" si="1828"/>
        <v>0</v>
      </c>
      <c r="Z364" s="14">
        <v>0</v>
      </c>
      <c r="AA364" s="17">
        <f t="shared" si="1829"/>
        <v>0</v>
      </c>
      <c r="AB364" s="14">
        <v>0</v>
      </c>
      <c r="AC364" s="17">
        <f t="shared" si="1830"/>
        <v>0</v>
      </c>
      <c r="AD364" s="14">
        <v>0</v>
      </c>
      <c r="AE364" s="17">
        <f t="shared" si="1831"/>
        <v>0</v>
      </c>
      <c r="AF364" s="14">
        <v>0</v>
      </c>
      <c r="AG364" s="17">
        <f t="shared" si="1832"/>
        <v>0</v>
      </c>
      <c r="AH364" s="14">
        <v>390000</v>
      </c>
      <c r="AI364" s="15">
        <f t="shared" si="1833"/>
        <v>60.027705094659076</v>
      </c>
      <c r="AJ364" s="14">
        <v>7820</v>
      </c>
      <c r="AK364" s="17">
        <f t="shared" si="1834"/>
        <v>1.2036324457441896</v>
      </c>
      <c r="AL364" s="14">
        <v>2168882.83</v>
      </c>
      <c r="AM364" s="15">
        <f t="shared" si="1835"/>
        <v>333.82835616438359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4">
        <v>0</v>
      </c>
      <c r="AU364" s="15">
        <f t="shared" si="1836"/>
        <v>2558882.83</v>
      </c>
      <c r="AV364" s="15">
        <f t="shared" si="1837"/>
        <v>393.85606125904263</v>
      </c>
      <c r="AW364" s="15">
        <f t="shared" si="1838"/>
        <v>523.92105607993278</v>
      </c>
      <c r="AX364" s="14">
        <v>5</v>
      </c>
      <c r="AY364" s="15">
        <f t="shared" si="1839"/>
        <v>9.2350315530244735</v>
      </c>
      <c r="AZ364" s="14">
        <v>15</v>
      </c>
      <c r="BA364" s="14">
        <v>17</v>
      </c>
      <c r="BB364" s="14">
        <v>0</v>
      </c>
      <c r="BC364" s="14">
        <v>6</v>
      </c>
      <c r="BD364" s="14">
        <v>0</v>
      </c>
      <c r="BE364" s="15">
        <f t="shared" si="1840"/>
        <v>6</v>
      </c>
      <c r="BF364" s="15">
        <f t="shared" si="1841"/>
        <v>11</v>
      </c>
      <c r="BG364" s="14">
        <v>0</v>
      </c>
      <c r="BH364" s="14">
        <v>0</v>
      </c>
      <c r="BI364" s="14">
        <v>0</v>
      </c>
      <c r="BJ364" s="14">
        <v>0</v>
      </c>
      <c r="BK364" s="15">
        <f t="shared" si="1842"/>
        <v>0</v>
      </c>
      <c r="BL364" s="15">
        <f t="shared" si="1843"/>
        <v>0</v>
      </c>
      <c r="BM364" s="14">
        <v>0</v>
      </c>
      <c r="BN364" s="14">
        <v>0</v>
      </c>
      <c r="BO364" s="14">
        <v>0</v>
      </c>
      <c r="BP364" s="14">
        <v>0</v>
      </c>
      <c r="BQ364" s="15">
        <f t="shared" si="1844"/>
        <v>0</v>
      </c>
      <c r="BR364" s="15">
        <f t="shared" si="1845"/>
        <v>0</v>
      </c>
      <c r="BS364" s="14">
        <v>0</v>
      </c>
      <c r="BT364" s="14">
        <v>0</v>
      </c>
      <c r="BU364" s="14">
        <v>0</v>
      </c>
      <c r="BV364" s="14">
        <v>0</v>
      </c>
      <c r="BW364" s="15">
        <f t="shared" si="1846"/>
        <v>0</v>
      </c>
      <c r="BX364" s="15">
        <f t="shared" si="1847"/>
        <v>0</v>
      </c>
      <c r="BY364" s="15">
        <f t="shared" si="1848"/>
        <v>17</v>
      </c>
      <c r="BZ364" s="15">
        <f t="shared" si="1849"/>
        <v>0</v>
      </c>
      <c r="CA364" s="15">
        <f t="shared" si="1850"/>
        <v>6</v>
      </c>
      <c r="CB364" s="15">
        <f t="shared" si="1851"/>
        <v>11</v>
      </c>
      <c r="CC364" s="14">
        <v>0</v>
      </c>
      <c r="CD364" s="14">
        <v>168</v>
      </c>
      <c r="CE364" s="14">
        <v>4</v>
      </c>
      <c r="CF364" s="14">
        <v>5</v>
      </c>
      <c r="CG364" s="14">
        <v>3</v>
      </c>
      <c r="CH364" s="15">
        <f t="shared" si="1852"/>
        <v>180</v>
      </c>
      <c r="CI364" s="14">
        <v>635</v>
      </c>
      <c r="CJ364" s="14">
        <v>9</v>
      </c>
      <c r="CK364" s="14">
        <v>10</v>
      </c>
      <c r="CL364" s="14">
        <v>2</v>
      </c>
      <c r="CM364" s="15">
        <f t="shared" si="1853"/>
        <v>656</v>
      </c>
      <c r="CN364" s="14">
        <v>104</v>
      </c>
      <c r="CO364" s="14">
        <v>19</v>
      </c>
      <c r="CP364" s="14">
        <v>7</v>
      </c>
      <c r="CQ364" s="14">
        <v>0</v>
      </c>
      <c r="CR364" s="15">
        <f t="shared" si="1854"/>
        <v>130</v>
      </c>
      <c r="CS364" s="15">
        <f t="shared" si="1855"/>
        <v>786</v>
      </c>
      <c r="CT364" s="14">
        <v>966</v>
      </c>
      <c r="CU364" s="14">
        <v>3036</v>
      </c>
      <c r="CV364" s="14">
        <v>3035.8</v>
      </c>
      <c r="CW364" s="16">
        <f t="shared" si="1856"/>
        <v>0.9999341238471674</v>
      </c>
      <c r="CX364" s="14">
        <v>0</v>
      </c>
      <c r="CY364" s="14">
        <v>0</v>
      </c>
      <c r="CZ364" s="14">
        <v>0</v>
      </c>
      <c r="DA364" s="14">
        <v>0</v>
      </c>
      <c r="DB364" s="15">
        <f t="shared" si="1857"/>
        <v>0</v>
      </c>
      <c r="DC364" s="14">
        <v>0</v>
      </c>
      <c r="DD364" s="14">
        <v>0</v>
      </c>
      <c r="DE364" s="14">
        <v>0</v>
      </c>
      <c r="DF364" s="14">
        <v>0</v>
      </c>
      <c r="DG364" s="15">
        <f t="shared" si="1858"/>
        <v>0</v>
      </c>
      <c r="DH364" s="14">
        <v>0</v>
      </c>
      <c r="DI364" s="14">
        <v>0</v>
      </c>
      <c r="DJ364" s="14">
        <v>0</v>
      </c>
      <c r="DK364" s="14">
        <v>0</v>
      </c>
      <c r="DL364" s="15">
        <f t="shared" si="1859"/>
        <v>0</v>
      </c>
      <c r="DM364" s="14">
        <v>0</v>
      </c>
      <c r="DN364" s="14">
        <v>2</v>
      </c>
      <c r="DO364" s="14">
        <v>0</v>
      </c>
      <c r="DP364" s="14">
        <v>0</v>
      </c>
      <c r="DQ364" s="15">
        <f t="shared" si="1860"/>
        <v>2</v>
      </c>
      <c r="DR364" s="15">
        <f t="shared" si="1861"/>
        <v>0</v>
      </c>
      <c r="DS364" s="15">
        <f t="shared" si="1862"/>
        <v>2</v>
      </c>
      <c r="DT364" s="15">
        <f t="shared" si="1863"/>
        <v>0</v>
      </c>
      <c r="DU364" s="15">
        <f t="shared" si="1864"/>
        <v>0</v>
      </c>
      <c r="DV364" s="15">
        <f t="shared" si="1865"/>
        <v>2</v>
      </c>
      <c r="DW364" s="14">
        <v>3</v>
      </c>
      <c r="DX364" s="14">
        <v>6</v>
      </c>
      <c r="DY364" s="14">
        <v>2</v>
      </c>
      <c r="DZ364" s="14">
        <v>2</v>
      </c>
      <c r="EA364" s="14">
        <v>1</v>
      </c>
      <c r="EB364" s="14">
        <v>1</v>
      </c>
      <c r="EC364" s="14">
        <v>0</v>
      </c>
      <c r="ED364" s="14">
        <v>0</v>
      </c>
      <c r="EE364" s="14">
        <v>0</v>
      </c>
      <c r="EF364" s="14">
        <v>0</v>
      </c>
      <c r="EG364" s="14">
        <v>0</v>
      </c>
      <c r="EH364" s="14">
        <v>0</v>
      </c>
      <c r="EI364" s="14">
        <v>0</v>
      </c>
      <c r="EJ364" s="14">
        <v>0</v>
      </c>
      <c r="EK364" s="14">
        <v>0</v>
      </c>
      <c r="EL364" s="14">
        <v>0</v>
      </c>
      <c r="EM364" s="14">
        <v>0</v>
      </c>
      <c r="EN364" s="14">
        <v>0</v>
      </c>
      <c r="EO364" s="14">
        <v>0</v>
      </c>
      <c r="EP364" s="14">
        <v>0</v>
      </c>
      <c r="EQ364" s="14">
        <v>0</v>
      </c>
      <c r="ER364" s="14">
        <v>0</v>
      </c>
      <c r="ES364" s="14">
        <v>0</v>
      </c>
      <c r="ET364" s="14">
        <v>0</v>
      </c>
      <c r="EU364" s="14">
        <v>0</v>
      </c>
      <c r="EV364" s="14">
        <v>0</v>
      </c>
      <c r="EW364" s="14">
        <v>0</v>
      </c>
      <c r="EX364" s="14">
        <v>0</v>
      </c>
      <c r="EY364" s="14">
        <v>0</v>
      </c>
      <c r="EZ364" s="14">
        <v>0</v>
      </c>
      <c r="FA364" s="14">
        <v>0</v>
      </c>
      <c r="FB364" s="14">
        <v>0</v>
      </c>
      <c r="FC364" s="14">
        <v>0</v>
      </c>
      <c r="FD364" s="14">
        <v>0</v>
      </c>
      <c r="FE364" s="14">
        <v>0</v>
      </c>
      <c r="FF364" s="14">
        <v>0</v>
      </c>
      <c r="FG364" s="15">
        <f t="shared" si="1866"/>
        <v>15</v>
      </c>
      <c r="FH364" s="14">
        <v>0</v>
      </c>
      <c r="FI364" s="14">
        <v>0</v>
      </c>
      <c r="FJ364" s="14">
        <v>12</v>
      </c>
      <c r="FK364" s="14">
        <v>72</v>
      </c>
      <c r="FL364" s="14">
        <v>0</v>
      </c>
      <c r="FM364" s="14">
        <v>0</v>
      </c>
      <c r="FN364" s="14">
        <v>0</v>
      </c>
      <c r="FO364" s="14">
        <v>0</v>
      </c>
      <c r="FP364" s="14">
        <v>0</v>
      </c>
      <c r="FQ364" s="15">
        <f t="shared" si="1867"/>
        <v>0</v>
      </c>
      <c r="FR364" s="14">
        <v>11445156.390000001</v>
      </c>
      <c r="FS364" s="14">
        <v>19700</v>
      </c>
      <c r="FT364" s="14">
        <v>250000</v>
      </c>
      <c r="FU364" s="14">
        <v>0</v>
      </c>
      <c r="FV364" s="15">
        <f t="shared" si="1868"/>
        <v>11714856.390000001</v>
      </c>
      <c r="FW364" s="14">
        <v>1164143.72</v>
      </c>
      <c r="FX364" s="14">
        <v>0</v>
      </c>
      <c r="FY364" s="14">
        <v>705500</v>
      </c>
      <c r="FZ364" s="14">
        <v>377700</v>
      </c>
      <c r="GA364" s="15">
        <f t="shared" si="1869"/>
        <v>2247343.7199999997</v>
      </c>
      <c r="GB364" s="15">
        <f t="shared" si="1870"/>
        <v>13962200.109999999</v>
      </c>
      <c r="GC364" s="14">
        <v>3238899.55</v>
      </c>
      <c r="GD364" s="14">
        <v>1912.8</v>
      </c>
      <c r="GE364" s="14">
        <v>94334.03</v>
      </c>
      <c r="GF364" s="14">
        <v>94266.82</v>
      </c>
      <c r="GG364" s="15">
        <f t="shared" si="1871"/>
        <v>3429413.1999999993</v>
      </c>
      <c r="GH364" s="14">
        <v>1107863.72</v>
      </c>
      <c r="GI364" s="14">
        <v>0</v>
      </c>
      <c r="GJ364" s="14">
        <v>365700</v>
      </c>
      <c r="GK364" s="14">
        <v>702500</v>
      </c>
      <c r="GL364" s="15">
        <f t="shared" si="1872"/>
        <v>2176063.7199999997</v>
      </c>
      <c r="GM364" s="15">
        <f t="shared" si="1873"/>
        <v>5605476.919999999</v>
      </c>
      <c r="GN364" s="14">
        <v>346991</v>
      </c>
      <c r="GO364" s="14">
        <v>382.56</v>
      </c>
      <c r="GP364" s="14">
        <v>30542.76</v>
      </c>
      <c r="GQ364" s="14">
        <v>46373.4</v>
      </c>
      <c r="GR364" s="15">
        <f t="shared" si="1874"/>
        <v>424289.72000000003</v>
      </c>
      <c r="GS364" s="14">
        <v>567055</v>
      </c>
      <c r="GT364" s="14">
        <v>1786</v>
      </c>
      <c r="GU364" s="14">
        <v>8037</v>
      </c>
      <c r="GV364" s="14">
        <v>8930</v>
      </c>
      <c r="GW364" s="15">
        <f t="shared" si="1875"/>
        <v>585808</v>
      </c>
      <c r="GX364" s="15">
        <f t="shared" si="1876"/>
        <v>6615574.6399999987</v>
      </c>
      <c r="GY364" s="14">
        <v>47537740.72999993</v>
      </c>
      <c r="GZ364" s="14">
        <v>0</v>
      </c>
      <c r="HA364" s="9">
        <f t="shared" si="1762"/>
        <v>47537740.72999993</v>
      </c>
      <c r="HB364" s="15">
        <f t="shared" si="1877"/>
        <v>0.38679675904918831</v>
      </c>
      <c r="HC364" s="16">
        <f t="shared" si="1878"/>
        <v>0.25782724500991189</v>
      </c>
      <c r="HD364" s="15">
        <f t="shared" si="1879"/>
        <v>2.1105045094011672</v>
      </c>
      <c r="HE364" s="14">
        <v>5</v>
      </c>
      <c r="HF364" s="14">
        <v>2</v>
      </c>
      <c r="HG364" s="14">
        <v>11</v>
      </c>
      <c r="HH364" s="14">
        <v>0</v>
      </c>
      <c r="HI364" s="14">
        <v>7</v>
      </c>
      <c r="HJ364" s="15">
        <f t="shared" si="1880"/>
        <v>9</v>
      </c>
      <c r="HK364" s="16">
        <f t="shared" si="1881"/>
        <v>0</v>
      </c>
      <c r="HL364" s="14">
        <v>15</v>
      </c>
      <c r="HM364" s="14">
        <v>31</v>
      </c>
      <c r="HN364" s="17">
        <f t="shared" si="1882"/>
        <v>2.0666666666666669</v>
      </c>
    </row>
    <row r="365" spans="1:222" x14ac:dyDescent="0.3">
      <c r="A365" s="6" t="s">
        <v>295</v>
      </c>
      <c r="B365" s="6" t="s">
        <v>303</v>
      </c>
      <c r="C365" s="7" t="s">
        <v>257</v>
      </c>
      <c r="D365" s="7">
        <v>2025</v>
      </c>
      <c r="E365" s="7">
        <v>6</v>
      </c>
      <c r="F365" s="7" t="s">
        <v>261</v>
      </c>
      <c r="G365" s="7" t="s">
        <v>259</v>
      </c>
      <c r="H365" s="8">
        <v>7138</v>
      </c>
      <c r="I365" s="8">
        <v>4165</v>
      </c>
      <c r="J365" s="8">
        <v>6</v>
      </c>
      <c r="K365" s="8">
        <v>57</v>
      </c>
      <c r="L365" s="8">
        <v>51</v>
      </c>
      <c r="M365" s="9">
        <f t="shared" si="1823"/>
        <v>4279</v>
      </c>
      <c r="N365" s="8">
        <v>1033.3</v>
      </c>
      <c r="O365" s="8">
        <v>0</v>
      </c>
      <c r="P365" s="8">
        <v>38.799999999999997</v>
      </c>
      <c r="Q365" s="8">
        <v>51.3</v>
      </c>
      <c r="R365" s="9">
        <f t="shared" si="1824"/>
        <v>1123.3999999999999</v>
      </c>
      <c r="S365" s="9">
        <f t="shared" si="1825"/>
        <v>5402.4</v>
      </c>
      <c r="T365" s="8">
        <v>1735.6</v>
      </c>
      <c r="U365" s="10">
        <f t="shared" si="1826"/>
        <v>0.24314934155225551</v>
      </c>
      <c r="V365" s="8">
        <v>14</v>
      </c>
      <c r="W365" s="11">
        <f t="shared" si="1827"/>
        <v>1.961333706920706E-3</v>
      </c>
      <c r="X365" s="8">
        <v>0</v>
      </c>
      <c r="Y365" s="11">
        <f t="shared" si="1828"/>
        <v>0</v>
      </c>
      <c r="Z365" s="8">
        <v>0</v>
      </c>
      <c r="AA365" s="11">
        <f t="shared" si="1829"/>
        <v>0</v>
      </c>
      <c r="AB365" s="8">
        <v>0</v>
      </c>
      <c r="AC365" s="11">
        <f t="shared" si="1830"/>
        <v>0</v>
      </c>
      <c r="AD365" s="8">
        <v>0</v>
      </c>
      <c r="AE365" s="11">
        <f t="shared" si="1831"/>
        <v>0</v>
      </c>
      <c r="AF365" s="8">
        <v>0</v>
      </c>
      <c r="AG365" s="11">
        <f t="shared" si="1832"/>
        <v>0</v>
      </c>
      <c r="AH365" s="8">
        <v>364000</v>
      </c>
      <c r="AI365" s="9">
        <f t="shared" si="1833"/>
        <v>50.994676379938355</v>
      </c>
      <c r="AJ365" s="8">
        <v>6678</v>
      </c>
      <c r="AK365" s="11">
        <f t="shared" si="1834"/>
        <v>0.93555617820117676</v>
      </c>
      <c r="AL365" s="8">
        <v>1856763.952</v>
      </c>
      <c r="AM365" s="9">
        <f t="shared" si="1835"/>
        <v>260.12383748949287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9">
        <f t="shared" si="1836"/>
        <v>2220763.952</v>
      </c>
      <c r="AV365" s="9">
        <f t="shared" si="1837"/>
        <v>311.11851386943124</v>
      </c>
      <c r="AW365" s="9">
        <f t="shared" si="1838"/>
        <v>411.06988597660302</v>
      </c>
      <c r="AX365" s="8">
        <v>5</v>
      </c>
      <c r="AY365" s="9">
        <f t="shared" si="1839"/>
        <v>8.4057158868030264</v>
      </c>
      <c r="AZ365" s="8">
        <v>15</v>
      </c>
      <c r="BA365" s="8">
        <v>11</v>
      </c>
      <c r="BB365" s="8">
        <v>0</v>
      </c>
      <c r="BC365" s="8">
        <v>7</v>
      </c>
      <c r="BD365" s="8">
        <v>0</v>
      </c>
      <c r="BE365" s="9">
        <f t="shared" si="1840"/>
        <v>7</v>
      </c>
      <c r="BF365" s="9">
        <f t="shared" si="1841"/>
        <v>4</v>
      </c>
      <c r="BG365" s="8">
        <v>0</v>
      </c>
      <c r="BH365" s="8">
        <v>0</v>
      </c>
      <c r="BI365" s="8">
        <v>0</v>
      </c>
      <c r="BJ365" s="8">
        <v>0</v>
      </c>
      <c r="BK365" s="9">
        <f t="shared" si="1842"/>
        <v>0</v>
      </c>
      <c r="BL365" s="9">
        <f t="shared" si="1843"/>
        <v>0</v>
      </c>
      <c r="BM365" s="8">
        <v>0</v>
      </c>
      <c r="BN365" s="8">
        <v>0</v>
      </c>
      <c r="BO365" s="8">
        <v>0</v>
      </c>
      <c r="BP365" s="8">
        <v>0</v>
      </c>
      <c r="BQ365" s="9">
        <f t="shared" si="1844"/>
        <v>0</v>
      </c>
      <c r="BR365" s="9">
        <f t="shared" si="1845"/>
        <v>0</v>
      </c>
      <c r="BS365" s="8">
        <v>0</v>
      </c>
      <c r="BT365" s="8">
        <v>0</v>
      </c>
      <c r="BU365" s="8">
        <v>0</v>
      </c>
      <c r="BV365" s="8">
        <v>0</v>
      </c>
      <c r="BW365" s="9">
        <f t="shared" si="1846"/>
        <v>0</v>
      </c>
      <c r="BX365" s="9">
        <f t="shared" si="1847"/>
        <v>0</v>
      </c>
      <c r="BY365" s="9">
        <f t="shared" si="1848"/>
        <v>11</v>
      </c>
      <c r="BZ365" s="9">
        <f t="shared" si="1849"/>
        <v>0</v>
      </c>
      <c r="CA365" s="9">
        <f t="shared" si="1850"/>
        <v>7</v>
      </c>
      <c r="CB365" s="9">
        <f t="shared" si="1851"/>
        <v>4</v>
      </c>
      <c r="CC365" s="8">
        <v>0</v>
      </c>
      <c r="CD365" s="8">
        <v>163</v>
      </c>
      <c r="CE365" s="8">
        <v>4</v>
      </c>
      <c r="CF365" s="8">
        <v>3</v>
      </c>
      <c r="CG365" s="8">
        <v>3</v>
      </c>
      <c r="CH365" s="9">
        <f t="shared" si="1852"/>
        <v>173</v>
      </c>
      <c r="CI365" s="8">
        <v>647</v>
      </c>
      <c r="CJ365" s="8">
        <v>9</v>
      </c>
      <c r="CK365" s="8">
        <v>12</v>
      </c>
      <c r="CL365" s="8">
        <v>2</v>
      </c>
      <c r="CM365" s="9">
        <f t="shared" si="1853"/>
        <v>670</v>
      </c>
      <c r="CN365" s="8">
        <v>104</v>
      </c>
      <c r="CO365" s="8">
        <v>19</v>
      </c>
      <c r="CP365" s="8">
        <v>7</v>
      </c>
      <c r="CQ365" s="8">
        <v>0</v>
      </c>
      <c r="CR365" s="9">
        <f t="shared" si="1854"/>
        <v>130</v>
      </c>
      <c r="CS365" s="9">
        <f t="shared" si="1855"/>
        <v>800</v>
      </c>
      <c r="CT365" s="8">
        <v>973</v>
      </c>
      <c r="CU365" s="8">
        <v>3041</v>
      </c>
      <c r="CV365" s="8">
        <v>3040.3</v>
      </c>
      <c r="CW365" s="10">
        <f t="shared" si="1856"/>
        <v>0.99976981256165742</v>
      </c>
      <c r="CX365" s="8">
        <v>0</v>
      </c>
      <c r="CY365" s="8">
        <v>0</v>
      </c>
      <c r="CZ365" s="8">
        <v>0</v>
      </c>
      <c r="DA365" s="8">
        <v>0</v>
      </c>
      <c r="DB365" s="9">
        <f t="shared" si="1857"/>
        <v>0</v>
      </c>
      <c r="DC365" s="8">
        <v>0</v>
      </c>
      <c r="DD365" s="8">
        <v>0</v>
      </c>
      <c r="DE365" s="8">
        <v>0</v>
      </c>
      <c r="DF365" s="8">
        <v>0</v>
      </c>
      <c r="DG365" s="9">
        <f t="shared" si="1858"/>
        <v>0</v>
      </c>
      <c r="DH365" s="8">
        <v>0</v>
      </c>
      <c r="DI365" s="8">
        <v>0</v>
      </c>
      <c r="DJ365" s="8">
        <v>0</v>
      </c>
      <c r="DK365" s="8">
        <v>0</v>
      </c>
      <c r="DL365" s="9">
        <f t="shared" si="1859"/>
        <v>0</v>
      </c>
      <c r="DM365" s="8">
        <v>2</v>
      </c>
      <c r="DN365" s="8">
        <v>0</v>
      </c>
      <c r="DO365" s="8">
        <v>2</v>
      </c>
      <c r="DP365" s="8">
        <v>0</v>
      </c>
      <c r="DQ365" s="9">
        <f t="shared" si="1860"/>
        <v>0</v>
      </c>
      <c r="DR365" s="9">
        <f t="shared" si="1861"/>
        <v>2</v>
      </c>
      <c r="DS365" s="9">
        <f t="shared" si="1862"/>
        <v>0</v>
      </c>
      <c r="DT365" s="9">
        <f t="shared" si="1863"/>
        <v>2</v>
      </c>
      <c r="DU365" s="9">
        <f t="shared" si="1864"/>
        <v>0</v>
      </c>
      <c r="DV365" s="9">
        <f t="shared" si="1865"/>
        <v>0</v>
      </c>
      <c r="DW365" s="8">
        <v>2</v>
      </c>
      <c r="DX365" s="8">
        <v>6</v>
      </c>
      <c r="DY365" s="8">
        <v>1</v>
      </c>
      <c r="DZ365" s="8">
        <v>0</v>
      </c>
      <c r="EA365" s="8">
        <v>0</v>
      </c>
      <c r="EB365" s="8">
        <v>0</v>
      </c>
      <c r="EC365" s="8">
        <v>0</v>
      </c>
      <c r="ED365" s="8">
        <v>1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9">
        <f t="shared" si="1866"/>
        <v>10</v>
      </c>
      <c r="FH365" s="8">
        <v>0</v>
      </c>
      <c r="FI365" s="8">
        <v>0</v>
      </c>
      <c r="FJ365" s="8">
        <v>12</v>
      </c>
      <c r="FK365" s="8">
        <v>30.5</v>
      </c>
      <c r="FL365" s="8">
        <v>0</v>
      </c>
      <c r="FM365" s="8">
        <v>0</v>
      </c>
      <c r="FN365" s="8">
        <v>0</v>
      </c>
      <c r="FO365" s="8">
        <v>0</v>
      </c>
      <c r="FP365" s="8">
        <v>0</v>
      </c>
      <c r="FQ365" s="9">
        <f t="shared" si="1867"/>
        <v>0</v>
      </c>
      <c r="FR365" s="8">
        <v>1879177.09</v>
      </c>
      <c r="FS365" s="8">
        <v>0</v>
      </c>
      <c r="FT365" s="8">
        <v>0</v>
      </c>
      <c r="FU365" s="8">
        <v>199029.46</v>
      </c>
      <c r="FV365" s="9">
        <f t="shared" si="1868"/>
        <v>2078206.55</v>
      </c>
      <c r="FW365" s="8">
        <v>1332268.3799999999</v>
      </c>
      <c r="FX365" s="8">
        <v>0</v>
      </c>
      <c r="FY365" s="8">
        <v>246198.1</v>
      </c>
      <c r="FZ365" s="8">
        <v>151078.79999999999</v>
      </c>
      <c r="GA365" s="9">
        <f t="shared" si="1869"/>
        <v>1729545.28</v>
      </c>
      <c r="GB365" s="9">
        <f t="shared" si="1870"/>
        <v>3807751.83</v>
      </c>
      <c r="GC365" s="8">
        <v>3802926.79</v>
      </c>
      <c r="GD365" s="8">
        <v>1147.68</v>
      </c>
      <c r="GE365" s="8">
        <v>140253.66</v>
      </c>
      <c r="GF365" s="8">
        <v>117860.08</v>
      </c>
      <c r="GG365" s="9">
        <f t="shared" si="1871"/>
        <v>4062188.2100000004</v>
      </c>
      <c r="GH365" s="8">
        <v>1290218.58</v>
      </c>
      <c r="GI365" s="8">
        <v>0</v>
      </c>
      <c r="GJ365" s="8">
        <v>118078.8</v>
      </c>
      <c r="GK365" s="8">
        <v>243198.07999999999</v>
      </c>
      <c r="GL365" s="9">
        <f t="shared" si="1872"/>
        <v>1651495.4600000002</v>
      </c>
      <c r="GM365" s="9">
        <f t="shared" si="1873"/>
        <v>5713683.6700000009</v>
      </c>
      <c r="GN365" s="8">
        <v>353530.16</v>
      </c>
      <c r="GO365" s="8">
        <v>382.56</v>
      </c>
      <c r="GP365" s="8">
        <v>30542.76</v>
      </c>
      <c r="GQ365" s="8">
        <v>55648.08</v>
      </c>
      <c r="GR365" s="9">
        <f t="shared" si="1874"/>
        <v>440103.56</v>
      </c>
      <c r="GS365" s="8">
        <v>577771</v>
      </c>
      <c r="GT365" s="8">
        <v>1786</v>
      </c>
      <c r="GU365" s="8">
        <v>8037</v>
      </c>
      <c r="GV365" s="8">
        <v>10716</v>
      </c>
      <c r="GW365" s="9">
        <f t="shared" si="1875"/>
        <v>598310</v>
      </c>
      <c r="GX365" s="9">
        <f t="shared" si="1876"/>
        <v>6752097.2300000004</v>
      </c>
      <c r="GY365" s="8">
        <v>50516285.089999907</v>
      </c>
      <c r="GZ365" s="8">
        <v>0</v>
      </c>
      <c r="HA365" s="9">
        <f t="shared" si="1762"/>
        <v>50516285.089999907</v>
      </c>
      <c r="HB365" s="9">
        <f t="shared" si="1877"/>
        <v>0.32889987752738564</v>
      </c>
      <c r="HC365" s="10">
        <f t="shared" si="1878"/>
        <v>6.6489599945801406E-2</v>
      </c>
      <c r="HD365" s="9">
        <f t="shared" si="1879"/>
        <v>0.56393616683745529</v>
      </c>
      <c r="HE365" s="8">
        <v>7</v>
      </c>
      <c r="HF365" s="8">
        <v>1</v>
      </c>
      <c r="HG365" s="8">
        <v>4</v>
      </c>
      <c r="HH365" s="8">
        <v>0</v>
      </c>
      <c r="HI365" s="8">
        <v>5</v>
      </c>
      <c r="HJ365" s="9">
        <f t="shared" si="1880"/>
        <v>6</v>
      </c>
      <c r="HK365" s="10">
        <f t="shared" si="1881"/>
        <v>0</v>
      </c>
      <c r="HL365" s="8">
        <v>30</v>
      </c>
      <c r="HM365" s="8">
        <v>30</v>
      </c>
      <c r="HN365" s="11">
        <f t="shared" si="1882"/>
        <v>1</v>
      </c>
    </row>
    <row r="366" spans="1:222" x14ac:dyDescent="0.3">
      <c r="A366" s="12" t="s">
        <v>295</v>
      </c>
      <c r="B366" s="12" t="s">
        <v>303</v>
      </c>
      <c r="C366" s="13" t="s">
        <v>257</v>
      </c>
      <c r="D366" s="13">
        <v>2025</v>
      </c>
      <c r="E366" s="13">
        <v>7</v>
      </c>
      <c r="F366" s="13" t="s">
        <v>262</v>
      </c>
      <c r="G366" s="13" t="s">
        <v>263</v>
      </c>
      <c r="H366" s="14">
        <v>11048</v>
      </c>
      <c r="I366" s="14">
        <v>3353</v>
      </c>
      <c r="J366" s="14">
        <v>8</v>
      </c>
      <c r="K366" s="14">
        <v>47</v>
      </c>
      <c r="L366" s="14">
        <v>36</v>
      </c>
      <c r="M366" s="15">
        <f t="shared" si="1823"/>
        <v>3444</v>
      </c>
      <c r="N366" s="14">
        <v>5548.00000000001</v>
      </c>
      <c r="O366" s="14">
        <v>39.1</v>
      </c>
      <c r="P366" s="14">
        <v>468.9</v>
      </c>
      <c r="Q366" s="14">
        <v>109.9</v>
      </c>
      <c r="R366" s="15">
        <f t="shared" si="1824"/>
        <v>6165.9000000000096</v>
      </c>
      <c r="S366" s="15">
        <f t="shared" si="1825"/>
        <v>9609.9000000000087</v>
      </c>
      <c r="T366" s="14">
        <v>1438.0999999999899</v>
      </c>
      <c r="U366" s="16">
        <f t="shared" si="1826"/>
        <v>0.1301683562635762</v>
      </c>
      <c r="V366" s="14">
        <v>15</v>
      </c>
      <c r="W366" s="17">
        <f t="shared" si="1827"/>
        <v>1.3577118030412745E-3</v>
      </c>
      <c r="X366" s="14">
        <v>0</v>
      </c>
      <c r="Y366" s="17">
        <f t="shared" si="1828"/>
        <v>0</v>
      </c>
      <c r="Z366" s="14">
        <v>0</v>
      </c>
      <c r="AA366" s="17">
        <f t="shared" si="1829"/>
        <v>0</v>
      </c>
      <c r="AB366" s="14">
        <v>0</v>
      </c>
      <c r="AC366" s="17">
        <f t="shared" si="1830"/>
        <v>0</v>
      </c>
      <c r="AD366" s="14">
        <v>0</v>
      </c>
      <c r="AE366" s="17">
        <f t="shared" si="1831"/>
        <v>0</v>
      </c>
      <c r="AF366" s="14">
        <v>0</v>
      </c>
      <c r="AG366" s="17">
        <f t="shared" si="1832"/>
        <v>0</v>
      </c>
      <c r="AH366" s="14">
        <v>390000</v>
      </c>
      <c r="AI366" s="15">
        <f t="shared" si="1833"/>
        <v>35.300506879073133</v>
      </c>
      <c r="AJ366" s="14">
        <v>6507.6</v>
      </c>
      <c r="AK366" s="17">
        <f t="shared" si="1834"/>
        <v>0.58902968863142657</v>
      </c>
      <c r="AL366" s="14">
        <v>1810192.0984</v>
      </c>
      <c r="AM366" s="15">
        <f t="shared" si="1835"/>
        <v>163.84794518464881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5">
        <f t="shared" si="1836"/>
        <v>2200192.0984</v>
      </c>
      <c r="AV366" s="15">
        <f t="shared" si="1837"/>
        <v>199.14845206372195</v>
      </c>
      <c r="AW366" s="15">
        <f t="shared" si="1838"/>
        <v>228.95057163966305</v>
      </c>
      <c r="AX366" s="14">
        <v>4</v>
      </c>
      <c r="AY366" s="15">
        <f t="shared" si="1839"/>
        <v>4.344677769732078</v>
      </c>
      <c r="AZ366" s="14">
        <v>15</v>
      </c>
      <c r="BA366" s="14">
        <v>4</v>
      </c>
      <c r="BB366" s="14">
        <v>0</v>
      </c>
      <c r="BC366" s="14">
        <v>1</v>
      </c>
      <c r="BD366" s="14">
        <v>0</v>
      </c>
      <c r="BE366" s="15">
        <f t="shared" si="1840"/>
        <v>1</v>
      </c>
      <c r="BF366" s="15">
        <f t="shared" si="1841"/>
        <v>3</v>
      </c>
      <c r="BG366" s="14">
        <v>0</v>
      </c>
      <c r="BH366" s="14">
        <v>0</v>
      </c>
      <c r="BI366" s="14">
        <v>0</v>
      </c>
      <c r="BJ366" s="14">
        <v>0</v>
      </c>
      <c r="BK366" s="15">
        <f t="shared" si="1842"/>
        <v>0</v>
      </c>
      <c r="BL366" s="15">
        <f t="shared" si="1843"/>
        <v>0</v>
      </c>
      <c r="BM366" s="14">
        <v>0</v>
      </c>
      <c r="BN366" s="14">
        <v>0</v>
      </c>
      <c r="BO366" s="14">
        <v>0</v>
      </c>
      <c r="BP366" s="14">
        <v>0</v>
      </c>
      <c r="BQ366" s="15">
        <f t="shared" si="1844"/>
        <v>0</v>
      </c>
      <c r="BR366" s="15">
        <f t="shared" si="1845"/>
        <v>0</v>
      </c>
      <c r="BS366" s="14">
        <v>0</v>
      </c>
      <c r="BT366" s="14">
        <v>0</v>
      </c>
      <c r="BU366" s="14">
        <v>0</v>
      </c>
      <c r="BV366" s="14">
        <v>0</v>
      </c>
      <c r="BW366" s="15">
        <f t="shared" si="1846"/>
        <v>0</v>
      </c>
      <c r="BX366" s="15">
        <f t="shared" si="1847"/>
        <v>0</v>
      </c>
      <c r="BY366" s="15">
        <f t="shared" si="1848"/>
        <v>4</v>
      </c>
      <c r="BZ366" s="15">
        <f t="shared" si="1849"/>
        <v>0</v>
      </c>
      <c r="CA366" s="15">
        <f t="shared" si="1850"/>
        <v>1</v>
      </c>
      <c r="CB366" s="15">
        <f t="shared" si="1851"/>
        <v>3</v>
      </c>
      <c r="CC366" s="14">
        <v>0</v>
      </c>
      <c r="CD366" s="14">
        <v>181</v>
      </c>
      <c r="CE366" s="14">
        <v>7</v>
      </c>
      <c r="CF366" s="14">
        <v>5</v>
      </c>
      <c r="CG366" s="14">
        <v>3</v>
      </c>
      <c r="CH366" s="15">
        <f t="shared" si="1852"/>
        <v>196</v>
      </c>
      <c r="CI366" s="14">
        <v>630</v>
      </c>
      <c r="CJ366" s="14">
        <v>6</v>
      </c>
      <c r="CK366" s="14">
        <v>10</v>
      </c>
      <c r="CL366" s="14">
        <v>2</v>
      </c>
      <c r="CM366" s="15">
        <f t="shared" si="1853"/>
        <v>648</v>
      </c>
      <c r="CN366" s="14">
        <v>104</v>
      </c>
      <c r="CO366" s="14">
        <v>19</v>
      </c>
      <c r="CP366" s="14">
        <v>7</v>
      </c>
      <c r="CQ366" s="14">
        <v>0</v>
      </c>
      <c r="CR366" s="15">
        <f t="shared" si="1854"/>
        <v>130</v>
      </c>
      <c r="CS366" s="15">
        <f t="shared" si="1855"/>
        <v>778</v>
      </c>
      <c r="CT366" s="14">
        <v>974</v>
      </c>
      <c r="CU366" s="14">
        <v>3046</v>
      </c>
      <c r="CV366" s="14">
        <v>3044.3</v>
      </c>
      <c r="CW366" s="16">
        <f t="shared" si="1856"/>
        <v>0.99944189100459624</v>
      </c>
      <c r="CX366" s="14">
        <v>0</v>
      </c>
      <c r="CY366" s="14">
        <v>0</v>
      </c>
      <c r="CZ366" s="14">
        <v>0</v>
      </c>
      <c r="DA366" s="14">
        <v>0</v>
      </c>
      <c r="DB366" s="15">
        <f t="shared" si="1857"/>
        <v>0</v>
      </c>
      <c r="DC366" s="14">
        <v>0</v>
      </c>
      <c r="DD366" s="14">
        <v>0</v>
      </c>
      <c r="DE366" s="14">
        <v>0</v>
      </c>
      <c r="DF366" s="14">
        <v>0</v>
      </c>
      <c r="DG366" s="15">
        <f t="shared" si="1858"/>
        <v>0</v>
      </c>
      <c r="DH366" s="14">
        <v>0</v>
      </c>
      <c r="DI366" s="14">
        <v>0</v>
      </c>
      <c r="DJ366" s="14">
        <v>0</v>
      </c>
      <c r="DK366" s="14">
        <v>0</v>
      </c>
      <c r="DL366" s="15">
        <f t="shared" si="1859"/>
        <v>0</v>
      </c>
      <c r="DM366" s="14">
        <v>0</v>
      </c>
      <c r="DN366" s="14">
        <v>0</v>
      </c>
      <c r="DO366" s="14">
        <v>0</v>
      </c>
      <c r="DP366" s="14">
        <v>0</v>
      </c>
      <c r="DQ366" s="15">
        <f t="shared" si="1860"/>
        <v>0</v>
      </c>
      <c r="DR366" s="15">
        <f t="shared" si="1861"/>
        <v>0</v>
      </c>
      <c r="DS366" s="15">
        <f t="shared" si="1862"/>
        <v>0</v>
      </c>
      <c r="DT366" s="15">
        <f t="shared" si="1863"/>
        <v>0</v>
      </c>
      <c r="DU366" s="15">
        <f t="shared" si="1864"/>
        <v>0</v>
      </c>
      <c r="DV366" s="15">
        <f t="shared" si="1865"/>
        <v>0</v>
      </c>
      <c r="DW366" s="14">
        <v>7</v>
      </c>
      <c r="DX366" s="14">
        <v>1</v>
      </c>
      <c r="DY366" s="14">
        <v>0</v>
      </c>
      <c r="DZ366" s="14">
        <v>0</v>
      </c>
      <c r="EA366" s="14">
        <v>0</v>
      </c>
      <c r="EB366" s="14">
        <v>2</v>
      </c>
      <c r="EC366" s="14">
        <v>0</v>
      </c>
      <c r="ED366" s="14">
        <v>1</v>
      </c>
      <c r="EE366" s="14">
        <v>0</v>
      </c>
      <c r="EF366" s="14">
        <v>0</v>
      </c>
      <c r="EG366" s="14">
        <v>0</v>
      </c>
      <c r="EH366" s="14">
        <v>0</v>
      </c>
      <c r="EI366" s="14">
        <v>0</v>
      </c>
      <c r="EJ366" s="14">
        <v>0</v>
      </c>
      <c r="EK366" s="14">
        <v>0</v>
      </c>
      <c r="EL366" s="14">
        <v>0</v>
      </c>
      <c r="EM366" s="14">
        <v>0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0</v>
      </c>
      <c r="FF366" s="14">
        <v>0</v>
      </c>
      <c r="FG366" s="15">
        <f t="shared" si="1866"/>
        <v>11</v>
      </c>
      <c r="FH366" s="14">
        <v>0</v>
      </c>
      <c r="FI366" s="14">
        <v>0</v>
      </c>
      <c r="FJ366" s="14">
        <v>12</v>
      </c>
      <c r="FK366" s="14">
        <v>10</v>
      </c>
      <c r="FL366" s="14">
        <v>0</v>
      </c>
      <c r="FM366" s="14">
        <v>0</v>
      </c>
      <c r="FN366" s="14">
        <v>0</v>
      </c>
      <c r="FO366" s="14">
        <v>0</v>
      </c>
      <c r="FP366" s="14">
        <v>0</v>
      </c>
      <c r="FQ366" s="15">
        <f t="shared" si="1867"/>
        <v>0</v>
      </c>
      <c r="FR366" s="14">
        <v>793611.22</v>
      </c>
      <c r="FS366" s="14">
        <v>0</v>
      </c>
      <c r="FT366" s="14">
        <v>79000</v>
      </c>
      <c r="FU366" s="14">
        <v>60000</v>
      </c>
      <c r="FV366" s="15">
        <f t="shared" si="1868"/>
        <v>932611.22</v>
      </c>
      <c r="FW366" s="14">
        <v>6996381.5799999973</v>
      </c>
      <c r="FX366" s="14">
        <v>9352.58</v>
      </c>
      <c r="FY366" s="14">
        <v>521919.88</v>
      </c>
      <c r="FZ366" s="14">
        <v>1473281.53</v>
      </c>
      <c r="GA366" s="15">
        <f t="shared" si="1869"/>
        <v>9000935.5699999966</v>
      </c>
      <c r="GB366" s="15">
        <f t="shared" si="1870"/>
        <v>9933546.7899999972</v>
      </c>
      <c r="GC366" s="14">
        <v>3009149.74</v>
      </c>
      <c r="GD366" s="14">
        <v>1530.24</v>
      </c>
      <c r="GE366" s="14">
        <v>120872.09</v>
      </c>
      <c r="GF366" s="14">
        <v>87495.54</v>
      </c>
      <c r="GG366" s="15">
        <f t="shared" si="1871"/>
        <v>3219047.6100000003</v>
      </c>
      <c r="GH366" s="14">
        <v>6929438.1199999973</v>
      </c>
      <c r="GI366" s="14">
        <v>9352.58</v>
      </c>
      <c r="GJ366" s="14">
        <v>1411001.98</v>
      </c>
      <c r="GK366" s="14">
        <v>518319.74</v>
      </c>
      <c r="GL366" s="15">
        <f t="shared" si="1872"/>
        <v>8868112.4199999981</v>
      </c>
      <c r="GM366" s="15">
        <f t="shared" si="1873"/>
        <v>12087160.029999997</v>
      </c>
      <c r="GN366" s="14">
        <v>344430.2</v>
      </c>
      <c r="GO366" s="14">
        <v>382.56</v>
      </c>
      <c r="GP366" s="14">
        <v>20361.84</v>
      </c>
      <c r="GQ366" s="14">
        <v>46373.4</v>
      </c>
      <c r="GR366" s="15">
        <f t="shared" si="1874"/>
        <v>411548.00000000006</v>
      </c>
      <c r="GS366" s="14">
        <v>562590</v>
      </c>
      <c r="GT366" s="14">
        <v>1786</v>
      </c>
      <c r="GU366" s="14">
        <v>5358</v>
      </c>
      <c r="GV366" s="14">
        <v>8930</v>
      </c>
      <c r="GW366" s="15">
        <f t="shared" si="1875"/>
        <v>578664</v>
      </c>
      <c r="GX366" s="15">
        <f t="shared" si="1876"/>
        <v>13077372.029999997</v>
      </c>
      <c r="GY366" s="14">
        <v>53708170.019999921</v>
      </c>
      <c r="GZ366" s="14">
        <v>0</v>
      </c>
      <c r="HA366" s="9">
        <f t="shared" si="1762"/>
        <v>53708170.019999921</v>
      </c>
      <c r="HB366" s="15">
        <f t="shared" si="1877"/>
        <v>0.16824420788463265</v>
      </c>
      <c r="HC366" s="16">
        <f t="shared" si="1878"/>
        <v>0.14873798257956955</v>
      </c>
      <c r="HD366" s="15">
        <f t="shared" si="1879"/>
        <v>0.75959808799597173</v>
      </c>
      <c r="HE366" s="14">
        <v>1</v>
      </c>
      <c r="HF366" s="14">
        <v>1</v>
      </c>
      <c r="HG366" s="14">
        <v>3</v>
      </c>
      <c r="HH366" s="14">
        <v>0</v>
      </c>
      <c r="HI366" s="14">
        <v>3</v>
      </c>
      <c r="HJ366" s="15">
        <f t="shared" si="1880"/>
        <v>4</v>
      </c>
      <c r="HK366" s="16">
        <f t="shared" si="1881"/>
        <v>0</v>
      </c>
      <c r="HL366" s="14">
        <v>15</v>
      </c>
      <c r="HM366" s="14">
        <v>31</v>
      </c>
      <c r="HN366" s="17">
        <f t="shared" si="1882"/>
        <v>2.0666666666666669</v>
      </c>
    </row>
    <row r="367" spans="1:222" x14ac:dyDescent="0.3">
      <c r="A367" s="6" t="s">
        <v>295</v>
      </c>
      <c r="B367" s="6" t="s">
        <v>303</v>
      </c>
      <c r="C367" s="7" t="s">
        <v>257</v>
      </c>
      <c r="D367" s="7">
        <v>2025</v>
      </c>
      <c r="E367" s="7">
        <v>8</v>
      </c>
      <c r="F367" s="7" t="s">
        <v>264</v>
      </c>
      <c r="G367" s="7" t="s">
        <v>263</v>
      </c>
      <c r="H367" s="8">
        <v>9266</v>
      </c>
      <c r="I367" s="8">
        <v>111</v>
      </c>
      <c r="J367" s="8">
        <v>0</v>
      </c>
      <c r="K367" s="8">
        <v>45</v>
      </c>
      <c r="L367" s="8">
        <v>0</v>
      </c>
      <c r="M367" s="9">
        <f t="shared" si="1823"/>
        <v>156</v>
      </c>
      <c r="N367" s="8">
        <v>5879.3000000000302</v>
      </c>
      <c r="O367" s="8">
        <v>23.5</v>
      </c>
      <c r="P367" s="8">
        <v>1011.9</v>
      </c>
      <c r="Q367" s="8">
        <v>129.1</v>
      </c>
      <c r="R367" s="9">
        <f t="shared" si="1824"/>
        <v>7043.8000000000302</v>
      </c>
      <c r="S367" s="9">
        <f t="shared" si="1825"/>
        <v>7199.8000000000302</v>
      </c>
      <c r="T367" s="8">
        <v>2066.1999999999798</v>
      </c>
      <c r="U367" s="10">
        <f t="shared" si="1826"/>
        <v>0.22298726527088061</v>
      </c>
      <c r="V367" s="8">
        <v>17</v>
      </c>
      <c r="W367" s="11">
        <f t="shared" si="1827"/>
        <v>1.8346643643427584E-3</v>
      </c>
      <c r="X367" s="8">
        <v>0</v>
      </c>
      <c r="Y367" s="11">
        <f t="shared" si="1828"/>
        <v>0</v>
      </c>
      <c r="Z367" s="8">
        <v>0</v>
      </c>
      <c r="AA367" s="11">
        <f t="shared" si="1829"/>
        <v>0</v>
      </c>
      <c r="AB367" s="8">
        <v>0</v>
      </c>
      <c r="AC367" s="11">
        <f t="shared" si="1830"/>
        <v>0</v>
      </c>
      <c r="AD367" s="8">
        <v>0</v>
      </c>
      <c r="AE367" s="11">
        <f t="shared" si="1831"/>
        <v>0</v>
      </c>
      <c r="AF367" s="8">
        <v>0</v>
      </c>
      <c r="AG367" s="11">
        <f t="shared" si="1832"/>
        <v>0</v>
      </c>
      <c r="AH367" s="8">
        <v>442000</v>
      </c>
      <c r="AI367" s="9">
        <f t="shared" si="1833"/>
        <v>47.701273472911723</v>
      </c>
      <c r="AJ367" s="8">
        <v>8494.6200000000008</v>
      </c>
      <c r="AK367" s="11">
        <f t="shared" si="1834"/>
        <v>0.91675156486078146</v>
      </c>
      <c r="AL367" s="8">
        <v>2353262.54758</v>
      </c>
      <c r="AM367" s="9">
        <f t="shared" si="1835"/>
        <v>253.967466822793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9">
        <f t="shared" si="1836"/>
        <v>2795262.54758</v>
      </c>
      <c r="AV367" s="9">
        <f t="shared" si="1837"/>
        <v>301.66874029570471</v>
      </c>
      <c r="AW367" s="9">
        <f t="shared" si="1838"/>
        <v>388.24169387760611</v>
      </c>
      <c r="AX367" s="8">
        <v>4</v>
      </c>
      <c r="AY367" s="9">
        <f t="shared" si="1839"/>
        <v>5.1802287934383768</v>
      </c>
      <c r="AZ367" s="8">
        <v>15</v>
      </c>
      <c r="BA367" s="8">
        <v>3</v>
      </c>
      <c r="BB367" s="8">
        <v>20</v>
      </c>
      <c r="BC367" s="8">
        <v>19</v>
      </c>
      <c r="BD367" s="8">
        <v>0</v>
      </c>
      <c r="BE367" s="9">
        <f t="shared" si="1840"/>
        <v>19</v>
      </c>
      <c r="BF367" s="9">
        <f t="shared" si="1841"/>
        <v>4</v>
      </c>
      <c r="BG367" s="8">
        <v>0</v>
      </c>
      <c r="BH367" s="8">
        <v>2</v>
      </c>
      <c r="BI367" s="8">
        <v>2</v>
      </c>
      <c r="BJ367" s="8">
        <v>0</v>
      </c>
      <c r="BK367" s="9">
        <f t="shared" si="1842"/>
        <v>2</v>
      </c>
      <c r="BL367" s="9">
        <f t="shared" si="1843"/>
        <v>0</v>
      </c>
      <c r="BM367" s="8">
        <v>0</v>
      </c>
      <c r="BN367" s="8">
        <v>0</v>
      </c>
      <c r="BO367" s="8">
        <v>0</v>
      </c>
      <c r="BP367" s="8">
        <v>0</v>
      </c>
      <c r="BQ367" s="9">
        <f t="shared" si="1844"/>
        <v>0</v>
      </c>
      <c r="BR367" s="9">
        <f t="shared" si="1845"/>
        <v>0</v>
      </c>
      <c r="BS367" s="8">
        <v>0</v>
      </c>
      <c r="BT367" s="8">
        <v>0</v>
      </c>
      <c r="BU367" s="8">
        <v>0</v>
      </c>
      <c r="BV367" s="8">
        <v>0</v>
      </c>
      <c r="BW367" s="9">
        <f t="shared" si="1846"/>
        <v>0</v>
      </c>
      <c r="BX367" s="9">
        <f t="shared" si="1847"/>
        <v>0</v>
      </c>
      <c r="BY367" s="9">
        <f t="shared" si="1848"/>
        <v>3</v>
      </c>
      <c r="BZ367" s="9">
        <f t="shared" si="1849"/>
        <v>22</v>
      </c>
      <c r="CA367" s="9">
        <f t="shared" si="1850"/>
        <v>21</v>
      </c>
      <c r="CB367" s="9">
        <f t="shared" si="1851"/>
        <v>4</v>
      </c>
      <c r="CC367" s="8">
        <v>0</v>
      </c>
      <c r="CD367" s="8">
        <v>170</v>
      </c>
      <c r="CE367" s="8">
        <v>7</v>
      </c>
      <c r="CF367" s="8">
        <v>5</v>
      </c>
      <c r="CG367" s="8">
        <v>3</v>
      </c>
      <c r="CH367" s="9">
        <f t="shared" si="1852"/>
        <v>185</v>
      </c>
      <c r="CI367" s="8">
        <v>25</v>
      </c>
      <c r="CJ367" s="8">
        <v>4</v>
      </c>
      <c r="CK367" s="8">
        <v>0</v>
      </c>
      <c r="CL367" s="8">
        <v>0</v>
      </c>
      <c r="CM367" s="9">
        <f t="shared" si="1853"/>
        <v>29</v>
      </c>
      <c r="CN367" s="8">
        <v>739</v>
      </c>
      <c r="CO367" s="8">
        <v>23</v>
      </c>
      <c r="CP367" s="8">
        <v>17</v>
      </c>
      <c r="CQ367" s="8">
        <v>2</v>
      </c>
      <c r="CR367" s="9">
        <f t="shared" si="1854"/>
        <v>781</v>
      </c>
      <c r="CS367" s="9">
        <f t="shared" si="1855"/>
        <v>810</v>
      </c>
      <c r="CT367" s="8">
        <v>995</v>
      </c>
      <c r="CU367" s="8">
        <v>3051</v>
      </c>
      <c r="CV367" s="8">
        <v>3048.3</v>
      </c>
      <c r="CW367" s="10">
        <f t="shared" si="1856"/>
        <v>0.99911504424778763</v>
      </c>
      <c r="CX367" s="8">
        <v>0</v>
      </c>
      <c r="CY367" s="8">
        <v>0</v>
      </c>
      <c r="CZ367" s="8">
        <v>0</v>
      </c>
      <c r="DA367" s="8">
        <v>0</v>
      </c>
      <c r="DB367" s="9">
        <f t="shared" si="1857"/>
        <v>0</v>
      </c>
      <c r="DC367" s="8">
        <v>0</v>
      </c>
      <c r="DD367" s="8">
        <v>0</v>
      </c>
      <c r="DE367" s="8">
        <v>0</v>
      </c>
      <c r="DF367" s="8">
        <v>0</v>
      </c>
      <c r="DG367" s="9">
        <f t="shared" si="1858"/>
        <v>0</v>
      </c>
      <c r="DH367" s="8">
        <v>0</v>
      </c>
      <c r="DI367" s="8">
        <v>0</v>
      </c>
      <c r="DJ367" s="8">
        <v>0</v>
      </c>
      <c r="DK367" s="8">
        <v>0</v>
      </c>
      <c r="DL367" s="9">
        <f t="shared" si="1859"/>
        <v>0</v>
      </c>
      <c r="DM367" s="8">
        <v>0</v>
      </c>
      <c r="DN367" s="8">
        <v>0</v>
      </c>
      <c r="DO367" s="8">
        <v>0</v>
      </c>
      <c r="DP367" s="8">
        <v>0</v>
      </c>
      <c r="DQ367" s="9">
        <f t="shared" si="1860"/>
        <v>0</v>
      </c>
      <c r="DR367" s="9">
        <f t="shared" si="1861"/>
        <v>0</v>
      </c>
      <c r="DS367" s="9">
        <f t="shared" si="1862"/>
        <v>0</v>
      </c>
      <c r="DT367" s="9">
        <f t="shared" si="1863"/>
        <v>0</v>
      </c>
      <c r="DU367" s="9">
        <f t="shared" si="1864"/>
        <v>0</v>
      </c>
      <c r="DV367" s="9">
        <f t="shared" si="1865"/>
        <v>0</v>
      </c>
      <c r="DW367" s="8">
        <v>7</v>
      </c>
      <c r="DX367" s="8">
        <v>5</v>
      </c>
      <c r="DY367" s="8">
        <v>2</v>
      </c>
      <c r="DZ367" s="8">
        <v>0</v>
      </c>
      <c r="EA367" s="8">
        <v>1</v>
      </c>
      <c r="EB367" s="8">
        <v>1</v>
      </c>
      <c r="EC367" s="8">
        <v>0</v>
      </c>
      <c r="ED367" s="8">
        <v>3</v>
      </c>
      <c r="EE367" s="8">
        <v>0</v>
      </c>
      <c r="EF367" s="8">
        <v>0</v>
      </c>
      <c r="EG367" s="8">
        <v>0</v>
      </c>
      <c r="EH367" s="8">
        <v>0</v>
      </c>
      <c r="EI367" s="8">
        <v>0</v>
      </c>
      <c r="EJ367" s="8">
        <v>0</v>
      </c>
      <c r="EK367" s="8">
        <v>0</v>
      </c>
      <c r="EL367" s="8">
        <v>0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8">
        <v>0</v>
      </c>
      <c r="ES367" s="8">
        <v>0</v>
      </c>
      <c r="ET367" s="8">
        <v>0</v>
      </c>
      <c r="EU367" s="8">
        <v>0</v>
      </c>
      <c r="EV367" s="8">
        <v>0</v>
      </c>
      <c r="EW367" s="8">
        <v>0</v>
      </c>
      <c r="EX367" s="8">
        <v>0</v>
      </c>
      <c r="EY367" s="8">
        <v>0</v>
      </c>
      <c r="EZ367" s="8">
        <v>0</v>
      </c>
      <c r="FA367" s="8">
        <v>0</v>
      </c>
      <c r="FB367" s="8">
        <v>0</v>
      </c>
      <c r="FC367" s="8">
        <v>0</v>
      </c>
      <c r="FD367" s="8">
        <v>0</v>
      </c>
      <c r="FE367" s="8">
        <v>0</v>
      </c>
      <c r="FF367" s="8">
        <v>0</v>
      </c>
      <c r="FG367" s="9">
        <f t="shared" si="1866"/>
        <v>19</v>
      </c>
      <c r="FH367" s="8">
        <v>0</v>
      </c>
      <c r="FI367" s="8">
        <v>0</v>
      </c>
      <c r="FJ367" s="8">
        <v>12</v>
      </c>
      <c r="FK367" s="8">
        <v>16</v>
      </c>
      <c r="FL367" s="8">
        <v>0</v>
      </c>
      <c r="FM367" s="8">
        <v>0</v>
      </c>
      <c r="FN367" s="8">
        <v>0</v>
      </c>
      <c r="FO367" s="8">
        <v>0</v>
      </c>
      <c r="FP367" s="8">
        <v>0</v>
      </c>
      <c r="FQ367" s="9">
        <f t="shared" si="1867"/>
        <v>0</v>
      </c>
      <c r="FR367" s="8">
        <v>1180146.99</v>
      </c>
      <c r="FS367" s="8">
        <v>3000</v>
      </c>
      <c r="FT367" s="8">
        <v>0</v>
      </c>
      <c r="FU367" s="8">
        <v>117460.73</v>
      </c>
      <c r="FV367" s="9">
        <f t="shared" si="1868"/>
        <v>1300607.72</v>
      </c>
      <c r="FW367" s="8">
        <v>7462979.1399999997</v>
      </c>
      <c r="FX367" s="8">
        <v>5000</v>
      </c>
      <c r="FY367" s="8">
        <v>619100</v>
      </c>
      <c r="FZ367" s="8">
        <v>3505099.25</v>
      </c>
      <c r="GA367" s="9">
        <f t="shared" si="1869"/>
        <v>11592178.390000001</v>
      </c>
      <c r="GB367" s="9">
        <f t="shared" si="1870"/>
        <v>12892786.110000001</v>
      </c>
      <c r="GC367" s="8">
        <v>124911.97</v>
      </c>
      <c r="GD367" s="8">
        <v>0</v>
      </c>
      <c r="GE367" s="8">
        <v>132131.93</v>
      </c>
      <c r="GF367" s="8">
        <v>0</v>
      </c>
      <c r="GG367" s="9">
        <f t="shared" si="1871"/>
        <v>257043.9</v>
      </c>
      <c r="GH367" s="8">
        <v>7340512.2599999998</v>
      </c>
      <c r="GI367" s="8">
        <v>5000</v>
      </c>
      <c r="GJ367" s="8">
        <v>3075439.13</v>
      </c>
      <c r="GK367" s="8">
        <v>608600</v>
      </c>
      <c r="GL367" s="9">
        <f t="shared" si="1872"/>
        <v>11029551.390000001</v>
      </c>
      <c r="GM367" s="9">
        <f t="shared" si="1873"/>
        <v>11286595.290000001</v>
      </c>
      <c r="GN367" s="8">
        <v>13623.25</v>
      </c>
      <c r="GO367" s="8">
        <v>0</v>
      </c>
      <c r="GP367" s="8">
        <v>13574.56</v>
      </c>
      <c r="GQ367" s="8">
        <v>0</v>
      </c>
      <c r="GR367" s="9">
        <f t="shared" si="1874"/>
        <v>27197.809999999998</v>
      </c>
      <c r="GS367" s="8">
        <v>22325</v>
      </c>
      <c r="GT367" s="8">
        <v>0</v>
      </c>
      <c r="GU367" s="8">
        <v>3572</v>
      </c>
      <c r="GV367" s="8">
        <v>0</v>
      </c>
      <c r="GW367" s="9">
        <f t="shared" si="1875"/>
        <v>25897</v>
      </c>
      <c r="GX367" s="9">
        <f t="shared" si="1876"/>
        <v>11339690.100000001</v>
      </c>
      <c r="GY367" s="8">
        <v>52727201.009999961</v>
      </c>
      <c r="GZ367" s="8">
        <v>0</v>
      </c>
      <c r="HA367" s="9">
        <f t="shared" si="1762"/>
        <v>52727201.009999961</v>
      </c>
      <c r="HB367" s="9">
        <f t="shared" si="1877"/>
        <v>0.24650255191541784</v>
      </c>
      <c r="HC367" s="10">
        <f t="shared" si="1878"/>
        <v>0.20123945280665592</v>
      </c>
      <c r="HD367" s="9">
        <f t="shared" si="1879"/>
        <v>1.1369610629835465</v>
      </c>
      <c r="HE367" s="8">
        <v>30</v>
      </c>
      <c r="HF367" s="8">
        <v>5</v>
      </c>
      <c r="HG367" s="8">
        <v>4</v>
      </c>
      <c r="HH367" s="8">
        <v>22</v>
      </c>
      <c r="HI367" s="8">
        <v>28</v>
      </c>
      <c r="HJ367" s="9">
        <f t="shared" si="1880"/>
        <v>33</v>
      </c>
      <c r="HK367" s="10">
        <f t="shared" si="1881"/>
        <v>0.73333333333333328</v>
      </c>
      <c r="HL367" s="8">
        <v>27</v>
      </c>
      <c r="HM367" s="8">
        <v>31</v>
      </c>
      <c r="HN367" s="11">
        <f t="shared" si="1882"/>
        <v>1.1481481481481481</v>
      </c>
    </row>
    <row r="368" spans="1:222" x14ac:dyDescent="0.3">
      <c r="A368" s="12" t="s">
        <v>295</v>
      </c>
      <c r="B368" s="12" t="s">
        <v>303</v>
      </c>
      <c r="C368" s="13" t="s">
        <v>257</v>
      </c>
      <c r="D368" s="13">
        <v>2025</v>
      </c>
      <c r="E368" s="13">
        <v>9</v>
      </c>
      <c r="F368" s="13" t="s">
        <v>265</v>
      </c>
      <c r="G368" s="13" t="s">
        <v>263</v>
      </c>
      <c r="H368" s="14">
        <v>8814</v>
      </c>
      <c r="I368" s="14">
        <v>173</v>
      </c>
      <c r="J368" s="14">
        <v>0</v>
      </c>
      <c r="K368" s="14">
        <v>38</v>
      </c>
      <c r="L368" s="14">
        <v>0</v>
      </c>
      <c r="M368" s="15">
        <f t="shared" si="1823"/>
        <v>211</v>
      </c>
      <c r="N368" s="14">
        <v>6069.8000000000302</v>
      </c>
      <c r="O368" s="14">
        <v>40</v>
      </c>
      <c r="P368" s="14">
        <v>213.2</v>
      </c>
      <c r="Q368" s="14">
        <v>126.4</v>
      </c>
      <c r="R368" s="15">
        <f t="shared" si="1824"/>
        <v>6449.4000000000296</v>
      </c>
      <c r="S368" s="15">
        <f t="shared" si="1825"/>
        <v>6660.4000000000296</v>
      </c>
      <c r="T368" s="14">
        <v>2153.5999999999699</v>
      </c>
      <c r="U368" s="16">
        <f t="shared" si="1826"/>
        <v>0.24433855230315066</v>
      </c>
      <c r="V368" s="14">
        <v>18</v>
      </c>
      <c r="W368" s="17">
        <f t="shared" si="1827"/>
        <v>2.0422055820285907E-3</v>
      </c>
      <c r="X368" s="14">
        <v>0</v>
      </c>
      <c r="Y368" s="17">
        <f t="shared" si="1828"/>
        <v>0</v>
      </c>
      <c r="Z368" s="14">
        <v>0</v>
      </c>
      <c r="AA368" s="17">
        <f t="shared" si="1829"/>
        <v>0</v>
      </c>
      <c r="AB368" s="14">
        <v>0</v>
      </c>
      <c r="AC368" s="17">
        <f t="shared" si="1830"/>
        <v>0</v>
      </c>
      <c r="AD368" s="14">
        <v>0</v>
      </c>
      <c r="AE368" s="17">
        <f t="shared" si="1831"/>
        <v>0</v>
      </c>
      <c r="AF368" s="14">
        <v>0</v>
      </c>
      <c r="AG368" s="17">
        <f t="shared" si="1832"/>
        <v>0</v>
      </c>
      <c r="AH368" s="14">
        <v>468000</v>
      </c>
      <c r="AI368" s="15">
        <f t="shared" si="1833"/>
        <v>53.097345132743364</v>
      </c>
      <c r="AJ368" s="14">
        <v>9267.08</v>
      </c>
      <c r="AK368" s="17">
        <f t="shared" si="1834"/>
        <v>1.051404583616973</v>
      </c>
      <c r="AL368" s="14">
        <v>2564382.8177200002</v>
      </c>
      <c r="AM368" s="15">
        <f t="shared" si="1835"/>
        <v>290.9442724892217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4">
        <v>0</v>
      </c>
      <c r="AT368" s="14">
        <v>0</v>
      </c>
      <c r="AU368" s="15">
        <f t="shared" si="1836"/>
        <v>3032382.8177200002</v>
      </c>
      <c r="AV368" s="15">
        <f t="shared" si="1837"/>
        <v>344.04161762196509</v>
      </c>
      <c r="AW368" s="15">
        <f t="shared" si="1838"/>
        <v>455.28539092546794</v>
      </c>
      <c r="AX368" s="14">
        <v>4</v>
      </c>
      <c r="AY368" s="15">
        <f t="shared" si="1839"/>
        <v>5.4458815520762425</v>
      </c>
      <c r="AZ368" s="14">
        <v>15</v>
      </c>
      <c r="BA368" s="14">
        <v>4</v>
      </c>
      <c r="BB368" s="14">
        <v>12</v>
      </c>
      <c r="BC368" s="14">
        <v>10</v>
      </c>
      <c r="BD368" s="14">
        <v>0</v>
      </c>
      <c r="BE368" s="15">
        <f t="shared" si="1840"/>
        <v>10</v>
      </c>
      <c r="BF368" s="15">
        <f t="shared" si="1841"/>
        <v>6</v>
      </c>
      <c r="BG368" s="14">
        <v>0</v>
      </c>
      <c r="BH368" s="14">
        <v>0</v>
      </c>
      <c r="BI368" s="14">
        <v>0</v>
      </c>
      <c r="BJ368" s="14">
        <v>0</v>
      </c>
      <c r="BK368" s="15">
        <f t="shared" si="1842"/>
        <v>0</v>
      </c>
      <c r="BL368" s="15">
        <f t="shared" si="1843"/>
        <v>0</v>
      </c>
      <c r="BM368" s="14">
        <v>0</v>
      </c>
      <c r="BN368" s="14">
        <v>0</v>
      </c>
      <c r="BO368" s="14">
        <v>0</v>
      </c>
      <c r="BP368" s="14">
        <v>0</v>
      </c>
      <c r="BQ368" s="15">
        <f t="shared" si="1844"/>
        <v>0</v>
      </c>
      <c r="BR368" s="15">
        <f t="shared" si="1845"/>
        <v>0</v>
      </c>
      <c r="BS368" s="14">
        <v>0</v>
      </c>
      <c r="BT368" s="14">
        <v>0</v>
      </c>
      <c r="BU368" s="14">
        <v>0</v>
      </c>
      <c r="BV368" s="14">
        <v>0</v>
      </c>
      <c r="BW368" s="15">
        <f t="shared" si="1846"/>
        <v>0</v>
      </c>
      <c r="BX368" s="15">
        <f t="shared" si="1847"/>
        <v>0</v>
      </c>
      <c r="BY368" s="15">
        <f t="shared" si="1848"/>
        <v>4</v>
      </c>
      <c r="BZ368" s="15">
        <f t="shared" si="1849"/>
        <v>12</v>
      </c>
      <c r="CA368" s="15">
        <f t="shared" si="1850"/>
        <v>10</v>
      </c>
      <c r="CB368" s="15">
        <f t="shared" si="1851"/>
        <v>6</v>
      </c>
      <c r="CC368" s="14">
        <v>0</v>
      </c>
      <c r="CD368" s="14">
        <v>172</v>
      </c>
      <c r="CE368" s="14">
        <v>8</v>
      </c>
      <c r="CF368" s="14">
        <v>5</v>
      </c>
      <c r="CG368" s="14">
        <v>3</v>
      </c>
      <c r="CH368" s="15">
        <f t="shared" si="1852"/>
        <v>188</v>
      </c>
      <c r="CI368" s="14">
        <v>33</v>
      </c>
      <c r="CJ368" s="14">
        <v>3</v>
      </c>
      <c r="CK368" s="14">
        <v>0</v>
      </c>
      <c r="CL368" s="14">
        <v>0</v>
      </c>
      <c r="CM368" s="15">
        <f t="shared" si="1853"/>
        <v>36</v>
      </c>
      <c r="CN368" s="14">
        <v>739</v>
      </c>
      <c r="CO368" s="14">
        <v>23</v>
      </c>
      <c r="CP368" s="14">
        <v>17</v>
      </c>
      <c r="CQ368" s="14">
        <v>2</v>
      </c>
      <c r="CR368" s="15">
        <f t="shared" si="1854"/>
        <v>781</v>
      </c>
      <c r="CS368" s="15">
        <f t="shared" si="1855"/>
        <v>817</v>
      </c>
      <c r="CT368" s="14">
        <v>1005</v>
      </c>
      <c r="CU368" s="14">
        <v>3056</v>
      </c>
      <c r="CV368" s="14">
        <v>3056.6</v>
      </c>
      <c r="CW368" s="16">
        <f t="shared" si="1856"/>
        <v>1.0001963350785339</v>
      </c>
      <c r="CX368" s="14">
        <v>0</v>
      </c>
      <c r="CY368" s="14">
        <v>0</v>
      </c>
      <c r="CZ368" s="14">
        <v>0</v>
      </c>
      <c r="DA368" s="14">
        <v>0</v>
      </c>
      <c r="DB368" s="15">
        <f t="shared" si="1857"/>
        <v>0</v>
      </c>
      <c r="DC368" s="14">
        <v>0</v>
      </c>
      <c r="DD368" s="14">
        <v>0</v>
      </c>
      <c r="DE368" s="14">
        <v>0</v>
      </c>
      <c r="DF368" s="14">
        <v>0</v>
      </c>
      <c r="DG368" s="15">
        <f t="shared" si="1858"/>
        <v>0</v>
      </c>
      <c r="DH368" s="14">
        <v>0</v>
      </c>
      <c r="DI368" s="14">
        <v>0</v>
      </c>
      <c r="DJ368" s="14">
        <v>0</v>
      </c>
      <c r="DK368" s="14">
        <v>0</v>
      </c>
      <c r="DL368" s="15">
        <f t="shared" si="1859"/>
        <v>0</v>
      </c>
      <c r="DM368" s="14">
        <v>0</v>
      </c>
      <c r="DN368" s="14">
        <v>0</v>
      </c>
      <c r="DO368" s="14">
        <v>0</v>
      </c>
      <c r="DP368" s="14">
        <v>0</v>
      </c>
      <c r="DQ368" s="15">
        <f t="shared" si="1860"/>
        <v>0</v>
      </c>
      <c r="DR368" s="15">
        <f t="shared" si="1861"/>
        <v>0</v>
      </c>
      <c r="DS368" s="15">
        <f t="shared" si="1862"/>
        <v>0</v>
      </c>
      <c r="DT368" s="15">
        <f t="shared" si="1863"/>
        <v>0</v>
      </c>
      <c r="DU368" s="15">
        <f t="shared" si="1864"/>
        <v>0</v>
      </c>
      <c r="DV368" s="15">
        <f t="shared" si="1865"/>
        <v>0</v>
      </c>
      <c r="DW368" s="14">
        <v>7</v>
      </c>
      <c r="DX368" s="14">
        <v>1</v>
      </c>
      <c r="DY368" s="14">
        <v>0</v>
      </c>
      <c r="DZ368" s="14">
        <v>0</v>
      </c>
      <c r="EA368" s="14">
        <v>0</v>
      </c>
      <c r="EB368" s="14">
        <v>2</v>
      </c>
      <c r="EC368" s="14">
        <v>0</v>
      </c>
      <c r="ED368" s="14">
        <v>1</v>
      </c>
      <c r="EE368" s="14">
        <v>0</v>
      </c>
      <c r="EF368" s="14">
        <v>0</v>
      </c>
      <c r="EG368" s="14">
        <v>0</v>
      </c>
      <c r="EH368" s="14">
        <v>0</v>
      </c>
      <c r="EI368" s="14">
        <v>0</v>
      </c>
      <c r="EJ368" s="14">
        <v>0</v>
      </c>
      <c r="EK368" s="14">
        <v>0</v>
      </c>
      <c r="EL368" s="14">
        <v>0</v>
      </c>
      <c r="EM368" s="14">
        <v>0</v>
      </c>
      <c r="EN368" s="14">
        <v>0</v>
      </c>
      <c r="EO368" s="14">
        <v>0</v>
      </c>
      <c r="EP368" s="14">
        <v>0</v>
      </c>
      <c r="EQ368" s="14">
        <v>0</v>
      </c>
      <c r="ER368" s="14">
        <v>0</v>
      </c>
      <c r="ES368" s="14">
        <v>0</v>
      </c>
      <c r="ET368" s="14">
        <v>0</v>
      </c>
      <c r="EU368" s="14">
        <v>0</v>
      </c>
      <c r="EV368" s="14">
        <v>0</v>
      </c>
      <c r="EW368" s="14">
        <v>0</v>
      </c>
      <c r="EX368" s="14">
        <v>0</v>
      </c>
      <c r="EY368" s="14">
        <v>0</v>
      </c>
      <c r="EZ368" s="14">
        <v>0</v>
      </c>
      <c r="FA368" s="14">
        <v>0</v>
      </c>
      <c r="FB368" s="14">
        <v>0</v>
      </c>
      <c r="FC368" s="14">
        <v>0</v>
      </c>
      <c r="FD368" s="14">
        <v>0</v>
      </c>
      <c r="FE368" s="14">
        <v>0</v>
      </c>
      <c r="FF368" s="14">
        <v>0</v>
      </c>
      <c r="FG368" s="15">
        <f t="shared" si="1866"/>
        <v>11</v>
      </c>
      <c r="FH368" s="14">
        <v>0</v>
      </c>
      <c r="FI368" s="14">
        <v>0</v>
      </c>
      <c r="FJ368" s="14">
        <v>13</v>
      </c>
      <c r="FK368" s="14">
        <v>6</v>
      </c>
      <c r="FL368" s="14">
        <v>0</v>
      </c>
      <c r="FM368" s="14">
        <v>0</v>
      </c>
      <c r="FN368" s="14">
        <v>0</v>
      </c>
      <c r="FO368" s="14">
        <v>0</v>
      </c>
      <c r="FP368" s="14">
        <v>0</v>
      </c>
      <c r="FQ368" s="15">
        <f t="shared" si="1867"/>
        <v>0</v>
      </c>
      <c r="FR368" s="14">
        <v>206734.44</v>
      </c>
      <c r="FS368" s="14">
        <v>0</v>
      </c>
      <c r="FT368" s="14">
        <v>12000</v>
      </c>
      <c r="FU368" s="14">
        <v>0</v>
      </c>
      <c r="FV368" s="15">
        <f t="shared" si="1868"/>
        <v>218734.44</v>
      </c>
      <c r="FW368" s="14">
        <v>7670718.54</v>
      </c>
      <c r="FX368" s="14">
        <v>8500</v>
      </c>
      <c r="FY368" s="14">
        <v>619900</v>
      </c>
      <c r="FZ368" s="14">
        <v>769218.95</v>
      </c>
      <c r="GA368" s="15">
        <f t="shared" si="1869"/>
        <v>9068337.4900000002</v>
      </c>
      <c r="GB368" s="15">
        <f t="shared" si="1870"/>
        <v>9287071.9299999997</v>
      </c>
      <c r="GC368" s="14">
        <v>184049.05</v>
      </c>
      <c r="GD368" s="14">
        <v>0</v>
      </c>
      <c r="GE368" s="14">
        <v>107341.92</v>
      </c>
      <c r="GF368" s="14">
        <v>0</v>
      </c>
      <c r="GG368" s="15">
        <f t="shared" si="1871"/>
        <v>291390.96999999997</v>
      </c>
      <c r="GH368" s="14">
        <v>7573590.2300000004</v>
      </c>
      <c r="GI368" s="14">
        <v>8500</v>
      </c>
      <c r="GJ368" s="14">
        <v>645553.80000000005</v>
      </c>
      <c r="GK368" s="14">
        <v>597700</v>
      </c>
      <c r="GL368" s="15">
        <f t="shared" si="1872"/>
        <v>8825344.0300000012</v>
      </c>
      <c r="GM368" s="15">
        <f t="shared" si="1873"/>
        <v>9116735.0000000019</v>
      </c>
      <c r="GN368" s="14">
        <v>17982.689999999999</v>
      </c>
      <c r="GO368" s="14">
        <v>0</v>
      </c>
      <c r="GP368" s="14">
        <v>10180.92</v>
      </c>
      <c r="GQ368" s="14">
        <v>0</v>
      </c>
      <c r="GR368" s="15">
        <f t="shared" si="1874"/>
        <v>28163.61</v>
      </c>
      <c r="GS368" s="14">
        <v>29469</v>
      </c>
      <c r="GT368" s="14">
        <v>0</v>
      </c>
      <c r="GU368" s="14">
        <v>2679</v>
      </c>
      <c r="GV368" s="14">
        <v>0</v>
      </c>
      <c r="GW368" s="15">
        <f t="shared" si="1875"/>
        <v>32148</v>
      </c>
      <c r="GX368" s="15">
        <f t="shared" si="1876"/>
        <v>9177046.6100000013</v>
      </c>
      <c r="GY368" s="14">
        <v>52678788.72999993</v>
      </c>
      <c r="GZ368" s="14">
        <v>0</v>
      </c>
      <c r="HA368" s="9">
        <f t="shared" si="1762"/>
        <v>52678788.72999993</v>
      </c>
      <c r="HB368" s="15">
        <f t="shared" si="1877"/>
        <v>0.33043123202792579</v>
      </c>
      <c r="HC368" s="16">
        <f t="shared" si="1878"/>
        <v>0.15014059512659086</v>
      </c>
      <c r="HD368" s="15">
        <f t="shared" si="1879"/>
        <v>1.0119891861375212</v>
      </c>
      <c r="HE368" s="14">
        <v>13</v>
      </c>
      <c r="HF368" s="14">
        <v>1</v>
      </c>
      <c r="HG368" s="14">
        <v>6</v>
      </c>
      <c r="HH368" s="14">
        <v>12</v>
      </c>
      <c r="HI368" s="14">
        <v>0</v>
      </c>
      <c r="HJ368" s="15">
        <f t="shared" si="1880"/>
        <v>1</v>
      </c>
      <c r="HK368" s="16">
        <f t="shared" si="1881"/>
        <v>0.92307692307692313</v>
      </c>
      <c r="HL368" s="14">
        <v>51</v>
      </c>
      <c r="HM368" s="14">
        <v>30</v>
      </c>
      <c r="HN368" s="17">
        <f t="shared" si="1882"/>
        <v>0.58823529411764708</v>
      </c>
    </row>
    <row r="369" spans="1:222" x14ac:dyDescent="0.3">
      <c r="A369" s="6" t="s">
        <v>295</v>
      </c>
      <c r="B369" s="6" t="s">
        <v>303</v>
      </c>
      <c r="C369" s="7" t="s">
        <v>257</v>
      </c>
      <c r="D369" s="7">
        <v>2025</v>
      </c>
      <c r="E369" s="7">
        <v>10</v>
      </c>
      <c r="F369" s="7" t="s">
        <v>266</v>
      </c>
      <c r="G369" s="7" t="s">
        <v>267</v>
      </c>
      <c r="H369" s="8">
        <v>6896</v>
      </c>
      <c r="I369" s="8">
        <v>216</v>
      </c>
      <c r="J369" s="8">
        <v>0</v>
      </c>
      <c r="K369" s="8">
        <v>29</v>
      </c>
      <c r="L369" s="8">
        <v>0</v>
      </c>
      <c r="M369" s="9">
        <f t="shared" si="1823"/>
        <v>245</v>
      </c>
      <c r="N369" s="8">
        <v>5505.00000000003</v>
      </c>
      <c r="O369" s="8">
        <v>37.6</v>
      </c>
      <c r="P369" s="8">
        <v>446</v>
      </c>
      <c r="Q369" s="8">
        <v>109</v>
      </c>
      <c r="R369" s="9">
        <f t="shared" si="1824"/>
        <v>6097.6000000000304</v>
      </c>
      <c r="S369" s="9">
        <f t="shared" si="1825"/>
        <v>6342.6000000000304</v>
      </c>
      <c r="T369" s="8">
        <v>553.39999999996803</v>
      </c>
      <c r="U369" s="10">
        <f t="shared" si="1826"/>
        <v>8.0249419953591652E-2</v>
      </c>
      <c r="V369" s="8">
        <v>16</v>
      </c>
      <c r="W369" s="11">
        <f t="shared" si="1827"/>
        <v>2.3201856148491878E-3</v>
      </c>
      <c r="X369" s="8">
        <v>0</v>
      </c>
      <c r="Y369" s="11">
        <f t="shared" si="1828"/>
        <v>0</v>
      </c>
      <c r="Z369" s="8">
        <v>0</v>
      </c>
      <c r="AA369" s="11">
        <f t="shared" si="1829"/>
        <v>0</v>
      </c>
      <c r="AB369" s="8">
        <v>0</v>
      </c>
      <c r="AC369" s="11">
        <f t="shared" si="1830"/>
        <v>0</v>
      </c>
      <c r="AD369" s="8">
        <v>0</v>
      </c>
      <c r="AE369" s="11">
        <f t="shared" si="1831"/>
        <v>0</v>
      </c>
      <c r="AF369" s="8">
        <v>0</v>
      </c>
      <c r="AG369" s="11">
        <f t="shared" si="1832"/>
        <v>0</v>
      </c>
      <c r="AH369" s="8">
        <v>416000</v>
      </c>
      <c r="AI369" s="9">
        <f t="shared" si="1833"/>
        <v>60.324825986078885</v>
      </c>
      <c r="AJ369" s="8">
        <v>6899.28</v>
      </c>
      <c r="AK369" s="11">
        <f t="shared" si="1834"/>
        <v>1.000475638051044</v>
      </c>
      <c r="AL369" s="8">
        <v>1917241.76752</v>
      </c>
      <c r="AM369" s="9">
        <f t="shared" si="1835"/>
        <v>278.02229807424595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9">
        <f t="shared" si="1836"/>
        <v>2333241.7675200002</v>
      </c>
      <c r="AV369" s="9">
        <f t="shared" si="1837"/>
        <v>338.34712406032486</v>
      </c>
      <c r="AW369" s="9">
        <f t="shared" si="1838"/>
        <v>367.86834539778465</v>
      </c>
      <c r="AX369" s="8">
        <v>5</v>
      </c>
      <c r="AY369" s="9">
        <f t="shared" si="1839"/>
        <v>8.700696055684455</v>
      </c>
      <c r="AZ369" s="8">
        <v>15</v>
      </c>
      <c r="BA369" s="8">
        <v>6</v>
      </c>
      <c r="BB369" s="8">
        <v>0</v>
      </c>
      <c r="BC369" s="8">
        <v>6</v>
      </c>
      <c r="BD369" s="8">
        <v>0</v>
      </c>
      <c r="BE369" s="9">
        <f t="shared" si="1840"/>
        <v>6</v>
      </c>
      <c r="BF369" s="9">
        <f t="shared" si="1841"/>
        <v>0</v>
      </c>
      <c r="BG369" s="8">
        <v>0</v>
      </c>
      <c r="BH369" s="8">
        <v>0</v>
      </c>
      <c r="BI369" s="8">
        <v>0</v>
      </c>
      <c r="BJ369" s="8">
        <v>0</v>
      </c>
      <c r="BK369" s="9">
        <f t="shared" si="1842"/>
        <v>0</v>
      </c>
      <c r="BL369" s="9">
        <f t="shared" si="1843"/>
        <v>0</v>
      </c>
      <c r="BM369" s="8">
        <v>0</v>
      </c>
      <c r="BN369" s="8">
        <v>0</v>
      </c>
      <c r="BO369" s="8">
        <v>0</v>
      </c>
      <c r="BP369" s="8">
        <v>0</v>
      </c>
      <c r="BQ369" s="9">
        <f t="shared" si="1844"/>
        <v>0</v>
      </c>
      <c r="BR369" s="9">
        <f t="shared" si="1845"/>
        <v>0</v>
      </c>
      <c r="BS369" s="8">
        <v>0</v>
      </c>
      <c r="BT369" s="8">
        <v>0</v>
      </c>
      <c r="BU369" s="8">
        <v>0</v>
      </c>
      <c r="BV369" s="8">
        <v>0</v>
      </c>
      <c r="BW369" s="9">
        <f t="shared" si="1846"/>
        <v>0</v>
      </c>
      <c r="BX369" s="9">
        <f t="shared" si="1847"/>
        <v>0</v>
      </c>
      <c r="BY369" s="9">
        <f t="shared" si="1848"/>
        <v>6</v>
      </c>
      <c r="BZ369" s="9">
        <f t="shared" si="1849"/>
        <v>0</v>
      </c>
      <c r="CA369" s="9">
        <f t="shared" si="1850"/>
        <v>6</v>
      </c>
      <c r="CB369" s="9">
        <f t="shared" si="1851"/>
        <v>0</v>
      </c>
      <c r="CC369" s="8">
        <v>0</v>
      </c>
      <c r="CD369" s="8">
        <v>175</v>
      </c>
      <c r="CE369" s="8">
        <v>10</v>
      </c>
      <c r="CF369" s="8">
        <v>5</v>
      </c>
      <c r="CG369" s="8">
        <v>3</v>
      </c>
      <c r="CH369" s="9">
        <f t="shared" si="1852"/>
        <v>193</v>
      </c>
      <c r="CI369" s="8">
        <v>36</v>
      </c>
      <c r="CJ369" s="8">
        <v>1</v>
      </c>
      <c r="CK369" s="8">
        <v>0</v>
      </c>
      <c r="CL369" s="8">
        <v>0</v>
      </c>
      <c r="CM369" s="9">
        <f t="shared" si="1853"/>
        <v>37</v>
      </c>
      <c r="CN369" s="8">
        <v>739</v>
      </c>
      <c r="CO369" s="8">
        <v>23</v>
      </c>
      <c r="CP369" s="8">
        <v>17</v>
      </c>
      <c r="CQ369" s="8">
        <v>2</v>
      </c>
      <c r="CR369" s="9">
        <f t="shared" si="1854"/>
        <v>781</v>
      </c>
      <c r="CS369" s="9">
        <f t="shared" si="1855"/>
        <v>818</v>
      </c>
      <c r="CT369" s="8">
        <v>1011</v>
      </c>
      <c r="CU369" s="8">
        <v>3061</v>
      </c>
      <c r="CV369" s="8">
        <v>3061.3</v>
      </c>
      <c r="CW369" s="10">
        <f t="shared" si="1856"/>
        <v>1.0000980071871939</v>
      </c>
      <c r="CX369" s="8">
        <v>0</v>
      </c>
      <c r="CY369" s="8">
        <v>0</v>
      </c>
      <c r="CZ369" s="8">
        <v>0</v>
      </c>
      <c r="DA369" s="8">
        <v>0</v>
      </c>
      <c r="DB369" s="9">
        <f t="shared" si="1857"/>
        <v>0</v>
      </c>
      <c r="DC369" s="8">
        <v>0</v>
      </c>
      <c r="DD369" s="8">
        <v>0</v>
      </c>
      <c r="DE369" s="8">
        <v>0</v>
      </c>
      <c r="DF369" s="8">
        <v>0</v>
      </c>
      <c r="DG369" s="9">
        <f t="shared" si="1858"/>
        <v>0</v>
      </c>
      <c r="DH369" s="8">
        <v>0</v>
      </c>
      <c r="DI369" s="8">
        <v>0</v>
      </c>
      <c r="DJ369" s="8">
        <v>0</v>
      </c>
      <c r="DK369" s="8">
        <v>0</v>
      </c>
      <c r="DL369" s="9">
        <f t="shared" si="1859"/>
        <v>0</v>
      </c>
      <c r="DM369" s="8">
        <v>0</v>
      </c>
      <c r="DN369" s="8">
        <v>0</v>
      </c>
      <c r="DO369" s="8">
        <v>0</v>
      </c>
      <c r="DP369" s="8">
        <v>0</v>
      </c>
      <c r="DQ369" s="9">
        <f t="shared" si="1860"/>
        <v>0</v>
      </c>
      <c r="DR369" s="9">
        <f t="shared" si="1861"/>
        <v>0</v>
      </c>
      <c r="DS369" s="9">
        <f t="shared" si="1862"/>
        <v>0</v>
      </c>
      <c r="DT369" s="9">
        <f t="shared" si="1863"/>
        <v>0</v>
      </c>
      <c r="DU369" s="9">
        <f t="shared" si="1864"/>
        <v>0</v>
      </c>
      <c r="DV369" s="9">
        <f t="shared" si="1865"/>
        <v>0</v>
      </c>
      <c r="DW369" s="8">
        <v>7</v>
      </c>
      <c r="DX369" s="8">
        <v>4</v>
      </c>
      <c r="DY369" s="8">
        <v>2</v>
      </c>
      <c r="DZ369" s="8">
        <v>0</v>
      </c>
      <c r="EA369" s="8">
        <v>0</v>
      </c>
      <c r="EB369" s="8">
        <v>3</v>
      </c>
      <c r="EC369" s="8">
        <v>0</v>
      </c>
      <c r="ED369" s="8">
        <v>0</v>
      </c>
      <c r="EE369" s="8">
        <v>0</v>
      </c>
      <c r="EF369" s="8">
        <v>0</v>
      </c>
      <c r="EG369" s="8">
        <v>0</v>
      </c>
      <c r="EH369" s="8">
        <v>0</v>
      </c>
      <c r="EI369" s="8">
        <v>0</v>
      </c>
      <c r="EJ369" s="8">
        <v>0</v>
      </c>
      <c r="EK369" s="8">
        <v>0</v>
      </c>
      <c r="EL369" s="8">
        <v>0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8">
        <v>0</v>
      </c>
      <c r="ES369" s="8">
        <v>0</v>
      </c>
      <c r="ET369" s="8">
        <v>0</v>
      </c>
      <c r="EU369" s="8">
        <v>0</v>
      </c>
      <c r="EV369" s="8">
        <v>0</v>
      </c>
      <c r="EW369" s="8">
        <v>0</v>
      </c>
      <c r="EX369" s="8">
        <v>0</v>
      </c>
      <c r="EY369" s="8">
        <v>0</v>
      </c>
      <c r="EZ369" s="8">
        <v>0</v>
      </c>
      <c r="FA369" s="8">
        <v>0</v>
      </c>
      <c r="FB369" s="8">
        <v>0</v>
      </c>
      <c r="FC369" s="8">
        <v>0</v>
      </c>
      <c r="FD369" s="8">
        <v>0</v>
      </c>
      <c r="FE369" s="8">
        <v>0</v>
      </c>
      <c r="FF369" s="8">
        <v>0</v>
      </c>
      <c r="FG369" s="9">
        <f t="shared" si="1866"/>
        <v>16</v>
      </c>
      <c r="FH369" s="8">
        <v>1</v>
      </c>
      <c r="FI369" s="8">
        <v>120</v>
      </c>
      <c r="FJ369" s="8">
        <v>11</v>
      </c>
      <c r="FK369" s="8">
        <v>99</v>
      </c>
      <c r="FL369" s="8">
        <v>0</v>
      </c>
      <c r="FM369" s="8">
        <v>0</v>
      </c>
      <c r="FN369" s="8">
        <v>0</v>
      </c>
      <c r="FO369" s="8">
        <v>0</v>
      </c>
      <c r="FP369" s="8">
        <v>0</v>
      </c>
      <c r="FQ369" s="9">
        <f t="shared" si="1867"/>
        <v>0</v>
      </c>
      <c r="FR369" s="8">
        <v>223534.44</v>
      </c>
      <c r="FS369" s="8">
        <v>0</v>
      </c>
      <c r="FT369" s="8">
        <v>0</v>
      </c>
      <c r="FU369" s="8">
        <v>0</v>
      </c>
      <c r="FV369" s="9">
        <f t="shared" si="1868"/>
        <v>223534.44</v>
      </c>
      <c r="FW369" s="8">
        <v>6926966.2999999998</v>
      </c>
      <c r="FX369" s="8">
        <v>8000</v>
      </c>
      <c r="FY369" s="8">
        <v>522400</v>
      </c>
      <c r="FZ369" s="8">
        <v>1380839.4</v>
      </c>
      <c r="GA369" s="9">
        <f t="shared" si="1869"/>
        <v>8838205.6999999993</v>
      </c>
      <c r="GB369" s="9">
        <f t="shared" si="1870"/>
        <v>9061740.1399999987</v>
      </c>
      <c r="GC369" s="8">
        <v>196290.06</v>
      </c>
      <c r="GD369" s="8">
        <v>0</v>
      </c>
      <c r="GE369" s="8">
        <v>87857.78</v>
      </c>
      <c r="GF369" s="8">
        <v>0</v>
      </c>
      <c r="GG369" s="9">
        <f t="shared" si="1871"/>
        <v>284147.83999999997</v>
      </c>
      <c r="GH369" s="8">
        <v>6865915.9800000004</v>
      </c>
      <c r="GI369" s="8">
        <v>8000</v>
      </c>
      <c r="GJ369" s="8">
        <v>1356419.4</v>
      </c>
      <c r="GK369" s="8">
        <v>516400</v>
      </c>
      <c r="GL369" s="9">
        <f t="shared" si="1872"/>
        <v>8746735.3800000008</v>
      </c>
      <c r="GM369" s="9">
        <f t="shared" si="1873"/>
        <v>9030883.2200000007</v>
      </c>
      <c r="GN369" s="8">
        <v>19617.48</v>
      </c>
      <c r="GO369" s="8">
        <v>0</v>
      </c>
      <c r="GP369" s="8">
        <v>3393.64</v>
      </c>
      <c r="GQ369" s="8">
        <v>0</v>
      </c>
      <c r="GR369" s="9">
        <f t="shared" si="1874"/>
        <v>23011.119999999999</v>
      </c>
      <c r="GS369" s="8">
        <v>32148</v>
      </c>
      <c r="GT369" s="8">
        <v>0</v>
      </c>
      <c r="GU369" s="8">
        <v>893</v>
      </c>
      <c r="GV369" s="8">
        <v>0</v>
      </c>
      <c r="GW369" s="9">
        <f t="shared" si="1875"/>
        <v>33041</v>
      </c>
      <c r="GX369" s="9">
        <f t="shared" si="1876"/>
        <v>9086935.3399999999</v>
      </c>
      <c r="GY369" s="8">
        <v>52681937.659999922</v>
      </c>
      <c r="GZ369" s="8">
        <v>0</v>
      </c>
      <c r="HA369" s="9">
        <f t="shared" si="1762"/>
        <v>52681937.659999922</v>
      </c>
      <c r="HB369" s="9">
        <f t="shared" si="1877"/>
        <v>0.25676883131865669</v>
      </c>
      <c r="HC369" s="10">
        <f t="shared" si="1878"/>
        <v>0.14670399021202815</v>
      </c>
      <c r="HD369" s="9">
        <f t="shared" si="1879"/>
        <v>0.99722731602489856</v>
      </c>
      <c r="HE369" s="8">
        <v>6</v>
      </c>
      <c r="HF369" s="8">
        <v>1</v>
      </c>
      <c r="HG369" s="8">
        <v>0</v>
      </c>
      <c r="HH369" s="8">
        <v>0</v>
      </c>
      <c r="HI369" s="8">
        <v>0</v>
      </c>
      <c r="HJ369" s="9">
        <f t="shared" si="1880"/>
        <v>1</v>
      </c>
      <c r="HK369" s="10">
        <f t="shared" si="1881"/>
        <v>0</v>
      </c>
      <c r="HL369" s="8">
        <v>89</v>
      </c>
      <c r="HM369" s="8">
        <v>31</v>
      </c>
      <c r="HN369" s="11">
        <f t="shared" si="1882"/>
        <v>0.34831460674157305</v>
      </c>
    </row>
    <row r="370" spans="1:222" x14ac:dyDescent="0.3">
      <c r="A370" s="12" t="s">
        <v>295</v>
      </c>
      <c r="B370" s="12" t="s">
        <v>303</v>
      </c>
      <c r="C370" s="13" t="s">
        <v>257</v>
      </c>
      <c r="D370" s="13">
        <v>2025</v>
      </c>
      <c r="E370" s="13">
        <v>11</v>
      </c>
      <c r="F370" s="13" t="s">
        <v>268</v>
      </c>
      <c r="G370" s="13" t="s">
        <v>267</v>
      </c>
      <c r="H370" s="14">
        <v>7781</v>
      </c>
      <c r="I370" s="14">
        <v>188</v>
      </c>
      <c r="J370" s="14">
        <v>0</v>
      </c>
      <c r="K370" s="14">
        <v>28</v>
      </c>
      <c r="L370" s="14">
        <v>0</v>
      </c>
      <c r="M370" s="15">
        <f t="shared" si="1823"/>
        <v>216</v>
      </c>
      <c r="N370" s="14">
        <v>5412.00000000004</v>
      </c>
      <c r="O370" s="14">
        <v>47</v>
      </c>
      <c r="P370" s="14">
        <v>1335.7</v>
      </c>
      <c r="Q370" s="14">
        <v>85.8</v>
      </c>
      <c r="R370" s="15">
        <f t="shared" si="1824"/>
        <v>6880.50000000004</v>
      </c>
      <c r="S370" s="15">
        <f t="shared" si="1825"/>
        <v>7096.50000000004</v>
      </c>
      <c r="T370" s="14">
        <v>684.49999999996101</v>
      </c>
      <c r="U370" s="16">
        <f t="shared" si="1826"/>
        <v>8.79706978537413E-2</v>
      </c>
      <c r="V370" s="14">
        <v>18</v>
      </c>
      <c r="W370" s="17">
        <f t="shared" si="1827"/>
        <v>2.3133273358180184E-3</v>
      </c>
      <c r="X370" s="14">
        <v>0</v>
      </c>
      <c r="Y370" s="17">
        <f t="shared" si="1828"/>
        <v>0</v>
      </c>
      <c r="Z370" s="14">
        <v>0</v>
      </c>
      <c r="AA370" s="17">
        <f t="shared" si="1829"/>
        <v>0</v>
      </c>
      <c r="AB370" s="14">
        <v>0</v>
      </c>
      <c r="AC370" s="17">
        <f t="shared" si="1830"/>
        <v>0</v>
      </c>
      <c r="AD370" s="14">
        <v>0</v>
      </c>
      <c r="AE370" s="17">
        <f t="shared" si="1831"/>
        <v>0</v>
      </c>
      <c r="AF370" s="14">
        <v>0</v>
      </c>
      <c r="AG370" s="17">
        <f t="shared" si="1832"/>
        <v>0</v>
      </c>
      <c r="AH370" s="14">
        <v>468000</v>
      </c>
      <c r="AI370" s="15">
        <f t="shared" si="1833"/>
        <v>60.146510731268478</v>
      </c>
      <c r="AJ370" s="14">
        <v>8020.14</v>
      </c>
      <c r="AK370" s="17">
        <f t="shared" si="1834"/>
        <v>1.0307338388381957</v>
      </c>
      <c r="AL370" s="14">
        <v>2223582.8932599998</v>
      </c>
      <c r="AM370" s="15">
        <f t="shared" si="1835"/>
        <v>285.77083835753757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4">
        <v>0</v>
      </c>
      <c r="AU370" s="15">
        <f t="shared" si="1836"/>
        <v>2691582.8932599998</v>
      </c>
      <c r="AV370" s="15">
        <f t="shared" si="1837"/>
        <v>345.91734908880602</v>
      </c>
      <c r="AW370" s="15">
        <f t="shared" si="1838"/>
        <v>379.28315271753468</v>
      </c>
      <c r="AX370" s="14">
        <v>5</v>
      </c>
      <c r="AY370" s="15">
        <f t="shared" si="1839"/>
        <v>7.7110911193933944</v>
      </c>
      <c r="AZ370" s="14">
        <v>15</v>
      </c>
      <c r="BA370" s="14">
        <v>0</v>
      </c>
      <c r="BB370" s="14">
        <v>8</v>
      </c>
      <c r="BC370" s="14">
        <v>8</v>
      </c>
      <c r="BD370" s="14">
        <v>0</v>
      </c>
      <c r="BE370" s="15">
        <f t="shared" si="1840"/>
        <v>8</v>
      </c>
      <c r="BF370" s="15">
        <f t="shared" si="1841"/>
        <v>0</v>
      </c>
      <c r="BG370" s="14">
        <v>0</v>
      </c>
      <c r="BH370" s="14">
        <v>0</v>
      </c>
      <c r="BI370" s="14">
        <v>0</v>
      </c>
      <c r="BJ370" s="14">
        <v>0</v>
      </c>
      <c r="BK370" s="15">
        <f t="shared" si="1842"/>
        <v>0</v>
      </c>
      <c r="BL370" s="15">
        <f t="shared" si="1843"/>
        <v>0</v>
      </c>
      <c r="BM370" s="14">
        <v>0</v>
      </c>
      <c r="BN370" s="14">
        <v>0</v>
      </c>
      <c r="BO370" s="14">
        <v>0</v>
      </c>
      <c r="BP370" s="14">
        <v>0</v>
      </c>
      <c r="BQ370" s="15">
        <f t="shared" si="1844"/>
        <v>0</v>
      </c>
      <c r="BR370" s="15">
        <f t="shared" si="1845"/>
        <v>0</v>
      </c>
      <c r="BS370" s="14">
        <v>0</v>
      </c>
      <c r="BT370" s="14">
        <v>0</v>
      </c>
      <c r="BU370" s="14">
        <v>0</v>
      </c>
      <c r="BV370" s="14">
        <v>0</v>
      </c>
      <c r="BW370" s="15">
        <f t="shared" si="1846"/>
        <v>0</v>
      </c>
      <c r="BX370" s="15">
        <f t="shared" si="1847"/>
        <v>0</v>
      </c>
      <c r="BY370" s="15">
        <f t="shared" si="1848"/>
        <v>0</v>
      </c>
      <c r="BZ370" s="15">
        <f t="shared" si="1849"/>
        <v>8</v>
      </c>
      <c r="CA370" s="15">
        <f t="shared" si="1850"/>
        <v>8</v>
      </c>
      <c r="CB370" s="15">
        <f t="shared" si="1851"/>
        <v>0</v>
      </c>
      <c r="CC370" s="14">
        <v>0</v>
      </c>
      <c r="CD370" s="14">
        <v>175</v>
      </c>
      <c r="CE370" s="14">
        <v>10</v>
      </c>
      <c r="CF370" s="14">
        <v>5</v>
      </c>
      <c r="CG370" s="14">
        <v>3</v>
      </c>
      <c r="CH370" s="15">
        <f t="shared" si="1852"/>
        <v>193</v>
      </c>
      <c r="CI370" s="14">
        <v>27</v>
      </c>
      <c r="CJ370" s="14">
        <v>1</v>
      </c>
      <c r="CK370" s="14">
        <v>0</v>
      </c>
      <c r="CL370" s="14">
        <v>0</v>
      </c>
      <c r="CM370" s="15">
        <f t="shared" si="1853"/>
        <v>28</v>
      </c>
      <c r="CN370" s="14">
        <v>756</v>
      </c>
      <c r="CO370" s="14">
        <v>23</v>
      </c>
      <c r="CP370" s="14">
        <v>17</v>
      </c>
      <c r="CQ370" s="14">
        <v>2</v>
      </c>
      <c r="CR370" s="15">
        <f t="shared" si="1854"/>
        <v>798</v>
      </c>
      <c r="CS370" s="15">
        <f t="shared" si="1855"/>
        <v>826</v>
      </c>
      <c r="CT370" s="14">
        <v>1019</v>
      </c>
      <c r="CU370" s="14">
        <v>3066</v>
      </c>
      <c r="CV370" s="14">
        <v>3065.3</v>
      </c>
      <c r="CW370" s="16">
        <f t="shared" si="1856"/>
        <v>0.999771689497717</v>
      </c>
      <c r="CX370" s="14">
        <v>0</v>
      </c>
      <c r="CY370" s="14">
        <v>0</v>
      </c>
      <c r="CZ370" s="14">
        <v>0</v>
      </c>
      <c r="DA370" s="14">
        <v>0</v>
      </c>
      <c r="DB370" s="15">
        <f t="shared" si="1857"/>
        <v>0</v>
      </c>
      <c r="DC370" s="14">
        <v>0</v>
      </c>
      <c r="DD370" s="14">
        <v>0</v>
      </c>
      <c r="DE370" s="14">
        <v>0</v>
      </c>
      <c r="DF370" s="14">
        <v>0</v>
      </c>
      <c r="DG370" s="15">
        <f t="shared" si="1858"/>
        <v>0</v>
      </c>
      <c r="DH370" s="14">
        <v>0</v>
      </c>
      <c r="DI370" s="14">
        <v>0</v>
      </c>
      <c r="DJ370" s="14">
        <v>0</v>
      </c>
      <c r="DK370" s="14">
        <v>0</v>
      </c>
      <c r="DL370" s="15">
        <f t="shared" si="1859"/>
        <v>0</v>
      </c>
      <c r="DM370" s="14">
        <v>0</v>
      </c>
      <c r="DN370" s="14">
        <v>0</v>
      </c>
      <c r="DO370" s="14">
        <v>0</v>
      </c>
      <c r="DP370" s="14">
        <v>0</v>
      </c>
      <c r="DQ370" s="15">
        <f t="shared" si="1860"/>
        <v>0</v>
      </c>
      <c r="DR370" s="15">
        <f t="shared" si="1861"/>
        <v>0</v>
      </c>
      <c r="DS370" s="15">
        <f t="shared" si="1862"/>
        <v>0</v>
      </c>
      <c r="DT370" s="15">
        <f t="shared" si="1863"/>
        <v>0</v>
      </c>
      <c r="DU370" s="15">
        <f t="shared" si="1864"/>
        <v>0</v>
      </c>
      <c r="DV370" s="15">
        <f t="shared" si="1865"/>
        <v>0</v>
      </c>
      <c r="DW370" s="14">
        <v>8</v>
      </c>
      <c r="DX370" s="14">
        <v>7</v>
      </c>
      <c r="DY370" s="14">
        <v>3</v>
      </c>
      <c r="DZ370" s="14">
        <v>0</v>
      </c>
      <c r="EA370" s="14">
        <v>0</v>
      </c>
      <c r="EB370" s="14">
        <v>0</v>
      </c>
      <c r="EC370" s="14">
        <v>0</v>
      </c>
      <c r="ED370" s="14">
        <v>0</v>
      </c>
      <c r="EE370" s="14">
        <v>0</v>
      </c>
      <c r="EF370" s="14">
        <v>0</v>
      </c>
      <c r="EG370" s="14">
        <v>0</v>
      </c>
      <c r="EH370" s="14">
        <v>0</v>
      </c>
      <c r="EI370" s="14">
        <v>0</v>
      </c>
      <c r="EJ370" s="14">
        <v>1</v>
      </c>
      <c r="EK370" s="14">
        <v>1</v>
      </c>
      <c r="EL370" s="14">
        <v>0</v>
      </c>
      <c r="EM370" s="14">
        <v>0</v>
      </c>
      <c r="EN370" s="14">
        <v>0</v>
      </c>
      <c r="EO370" s="14">
        <v>0</v>
      </c>
      <c r="EP370" s="14">
        <v>0</v>
      </c>
      <c r="EQ370" s="14">
        <v>0</v>
      </c>
      <c r="ER370" s="14">
        <v>0</v>
      </c>
      <c r="ES370" s="14">
        <v>0</v>
      </c>
      <c r="ET370" s="14">
        <v>0</v>
      </c>
      <c r="EU370" s="14">
        <v>0</v>
      </c>
      <c r="EV370" s="14">
        <v>0</v>
      </c>
      <c r="EW370" s="14">
        <v>0</v>
      </c>
      <c r="EX370" s="14">
        <v>0</v>
      </c>
      <c r="EY370" s="14">
        <v>0</v>
      </c>
      <c r="EZ370" s="14">
        <v>0</v>
      </c>
      <c r="FA370" s="14">
        <v>0</v>
      </c>
      <c r="FB370" s="14">
        <v>0</v>
      </c>
      <c r="FC370" s="14">
        <v>0</v>
      </c>
      <c r="FD370" s="14">
        <v>0</v>
      </c>
      <c r="FE370" s="14">
        <v>0</v>
      </c>
      <c r="FF370" s="14">
        <v>0</v>
      </c>
      <c r="FG370" s="15">
        <f t="shared" si="1866"/>
        <v>20</v>
      </c>
      <c r="FH370" s="14">
        <v>1</v>
      </c>
      <c r="FI370" s="14">
        <v>120</v>
      </c>
      <c r="FJ370" s="14">
        <v>10</v>
      </c>
      <c r="FK370" s="14">
        <v>96</v>
      </c>
      <c r="FL370" s="14">
        <v>0</v>
      </c>
      <c r="FM370" s="14">
        <v>0</v>
      </c>
      <c r="FN370" s="14">
        <v>0</v>
      </c>
      <c r="FO370" s="14">
        <v>0</v>
      </c>
      <c r="FP370" s="14">
        <v>0</v>
      </c>
      <c r="FQ370" s="15">
        <f t="shared" si="1867"/>
        <v>0</v>
      </c>
      <c r="FR370" s="14">
        <v>30600</v>
      </c>
      <c r="FS370" s="14">
        <v>0</v>
      </c>
      <c r="FT370" s="14">
        <v>0</v>
      </c>
      <c r="FU370" s="14">
        <v>0</v>
      </c>
      <c r="FV370" s="15">
        <f t="shared" si="1868"/>
        <v>30600</v>
      </c>
      <c r="FW370" s="14">
        <v>6815873.1799999997</v>
      </c>
      <c r="FX370" s="14">
        <v>10000</v>
      </c>
      <c r="FY370" s="14">
        <v>411700</v>
      </c>
      <c r="FZ370" s="14">
        <v>4080190.7</v>
      </c>
      <c r="GA370" s="15">
        <f t="shared" si="1869"/>
        <v>11317763.879999999</v>
      </c>
      <c r="GB370" s="15">
        <f t="shared" si="1870"/>
        <v>11348363.879999999</v>
      </c>
      <c r="GC370" s="14">
        <v>170548.84</v>
      </c>
      <c r="GD370" s="14">
        <v>0</v>
      </c>
      <c r="GE370" s="14">
        <v>84398.31</v>
      </c>
      <c r="GF370" s="14">
        <v>0</v>
      </c>
      <c r="GG370" s="15">
        <f t="shared" si="1871"/>
        <v>254947.15</v>
      </c>
      <c r="GH370" s="14">
        <v>6749993.1799999997</v>
      </c>
      <c r="GI370" s="14">
        <v>10000</v>
      </c>
      <c r="GJ370" s="14">
        <v>4060450.7</v>
      </c>
      <c r="GK370" s="14">
        <v>406300</v>
      </c>
      <c r="GL370" s="15">
        <f t="shared" si="1872"/>
        <v>11226743.879999999</v>
      </c>
      <c r="GM370" s="15">
        <f t="shared" si="1873"/>
        <v>11481691.029999999</v>
      </c>
      <c r="GN370" s="14">
        <v>14713.11</v>
      </c>
      <c r="GO370" s="14">
        <v>0</v>
      </c>
      <c r="GP370" s="14">
        <v>3393.64</v>
      </c>
      <c r="GQ370" s="14">
        <v>0</v>
      </c>
      <c r="GR370" s="15">
        <f t="shared" si="1874"/>
        <v>18106.75</v>
      </c>
      <c r="GS370" s="14">
        <v>24111</v>
      </c>
      <c r="GT370" s="14">
        <v>0</v>
      </c>
      <c r="GU370" s="14">
        <v>893</v>
      </c>
      <c r="GV370" s="14">
        <v>0</v>
      </c>
      <c r="GW370" s="15">
        <f t="shared" si="1875"/>
        <v>25004</v>
      </c>
      <c r="GX370" s="15">
        <f t="shared" si="1876"/>
        <v>11524801.779999999</v>
      </c>
      <c r="GY370" s="14">
        <v>43574342.54999999</v>
      </c>
      <c r="GZ370" s="14">
        <v>0</v>
      </c>
      <c r="HA370" s="9">
        <f t="shared" si="1762"/>
        <v>43574342.54999999</v>
      </c>
      <c r="HB370" s="15">
        <f t="shared" si="1877"/>
        <v>0.23354700103657661</v>
      </c>
      <c r="HC370" s="16">
        <f t="shared" si="1878"/>
        <v>0.2059626155359571</v>
      </c>
      <c r="HD370" s="15">
        <f t="shared" si="1879"/>
        <v>0.98469059135522929</v>
      </c>
      <c r="HE370" s="14">
        <v>8</v>
      </c>
      <c r="HF370" s="14">
        <v>1</v>
      </c>
      <c r="HG370" s="14">
        <v>0</v>
      </c>
      <c r="HH370" s="14">
        <v>8</v>
      </c>
      <c r="HI370" s="14">
        <v>28</v>
      </c>
      <c r="HJ370" s="15">
        <f t="shared" si="1880"/>
        <v>29</v>
      </c>
      <c r="HK370" s="16">
        <f t="shared" si="1881"/>
        <v>1</v>
      </c>
      <c r="HL370" s="14">
        <v>45</v>
      </c>
      <c r="HM370" s="14">
        <v>30</v>
      </c>
      <c r="HN370" s="17">
        <f t="shared" si="1882"/>
        <v>0.66666666666666663</v>
      </c>
    </row>
    <row r="371" spans="1:222" x14ac:dyDescent="0.3">
      <c r="A371" s="6" t="s">
        <v>295</v>
      </c>
      <c r="B371" s="6" t="s">
        <v>303</v>
      </c>
      <c r="C371" s="7" t="s">
        <v>257</v>
      </c>
      <c r="D371" s="7">
        <v>2025</v>
      </c>
      <c r="E371" s="7">
        <v>12</v>
      </c>
      <c r="F371" s="7" t="s">
        <v>269</v>
      </c>
      <c r="G371" s="7" t="s">
        <v>267</v>
      </c>
      <c r="H371" s="8">
        <v>6112</v>
      </c>
      <c r="I371" s="8">
        <v>218</v>
      </c>
      <c r="J371" s="8">
        <v>0</v>
      </c>
      <c r="K371" s="8">
        <v>16</v>
      </c>
      <c r="L371" s="8">
        <v>0</v>
      </c>
      <c r="M371" s="9">
        <f t="shared" si="1823"/>
        <v>234</v>
      </c>
      <c r="N371" s="8">
        <v>4433.6000000000104</v>
      </c>
      <c r="O371" s="8">
        <v>23.5</v>
      </c>
      <c r="P371" s="8">
        <v>121.2</v>
      </c>
      <c r="Q371" s="8">
        <v>134.1</v>
      </c>
      <c r="R371" s="9">
        <f t="shared" si="1824"/>
        <v>4712.4000000000106</v>
      </c>
      <c r="S371" s="9">
        <f t="shared" si="1825"/>
        <v>4946.4000000000106</v>
      </c>
      <c r="T371" s="8">
        <v>1165.5999999999899</v>
      </c>
      <c r="U371" s="10">
        <f t="shared" si="1826"/>
        <v>0.19070680628272085</v>
      </c>
      <c r="V371" s="8">
        <v>17</v>
      </c>
      <c r="W371" s="11">
        <f t="shared" si="1827"/>
        <v>2.7814136125654449E-3</v>
      </c>
      <c r="X371" s="8">
        <v>0</v>
      </c>
      <c r="Y371" s="11">
        <f t="shared" si="1828"/>
        <v>0</v>
      </c>
      <c r="Z371" s="8">
        <v>0</v>
      </c>
      <c r="AA371" s="11">
        <f t="shared" si="1829"/>
        <v>0</v>
      </c>
      <c r="AB371" s="8">
        <v>0</v>
      </c>
      <c r="AC371" s="11">
        <f t="shared" si="1830"/>
        <v>0</v>
      </c>
      <c r="AD371" s="8">
        <v>0</v>
      </c>
      <c r="AE371" s="11">
        <f t="shared" si="1831"/>
        <v>0</v>
      </c>
      <c r="AF371" s="8">
        <v>0</v>
      </c>
      <c r="AG371" s="11">
        <f t="shared" si="1832"/>
        <v>0</v>
      </c>
      <c r="AH371" s="8">
        <v>442000</v>
      </c>
      <c r="AI371" s="9">
        <f t="shared" si="1833"/>
        <v>72.316753926701566</v>
      </c>
      <c r="AJ371" s="8">
        <v>6299.95</v>
      </c>
      <c r="AK371" s="11">
        <f t="shared" si="1834"/>
        <v>1.0307509816753926</v>
      </c>
      <c r="AL371" s="8">
        <v>1753439.4845499999</v>
      </c>
      <c r="AM371" s="9">
        <f t="shared" si="1835"/>
        <v>286.88473241982985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9">
        <f t="shared" si="1836"/>
        <v>2195439.4845500002</v>
      </c>
      <c r="AV371" s="9">
        <f t="shared" si="1837"/>
        <v>359.20148634653145</v>
      </c>
      <c r="AW371" s="9">
        <f t="shared" si="1838"/>
        <v>443.84592522844804</v>
      </c>
      <c r="AX371" s="8">
        <v>4</v>
      </c>
      <c r="AY371" s="9">
        <f t="shared" si="1839"/>
        <v>7.8534031413612571</v>
      </c>
      <c r="AZ371" s="8">
        <v>15</v>
      </c>
      <c r="BA371" s="8">
        <v>0</v>
      </c>
      <c r="BB371" s="8">
        <v>11</v>
      </c>
      <c r="BC371" s="8">
        <v>11</v>
      </c>
      <c r="BD371" s="8">
        <v>0</v>
      </c>
      <c r="BE371" s="9">
        <f t="shared" si="1840"/>
        <v>11</v>
      </c>
      <c r="BF371" s="9">
        <f t="shared" si="1841"/>
        <v>0</v>
      </c>
      <c r="BG371" s="8">
        <v>0</v>
      </c>
      <c r="BH371" s="8">
        <v>0</v>
      </c>
      <c r="BI371" s="8">
        <v>0</v>
      </c>
      <c r="BJ371" s="8">
        <v>0</v>
      </c>
      <c r="BK371" s="9">
        <f t="shared" si="1842"/>
        <v>0</v>
      </c>
      <c r="BL371" s="9">
        <f t="shared" si="1843"/>
        <v>0</v>
      </c>
      <c r="BM371" s="8">
        <v>0</v>
      </c>
      <c r="BN371" s="8">
        <v>0</v>
      </c>
      <c r="BO371" s="8">
        <v>0</v>
      </c>
      <c r="BP371" s="8">
        <v>0</v>
      </c>
      <c r="BQ371" s="9">
        <f t="shared" si="1844"/>
        <v>0</v>
      </c>
      <c r="BR371" s="9">
        <f t="shared" si="1845"/>
        <v>0</v>
      </c>
      <c r="BS371" s="8">
        <v>0</v>
      </c>
      <c r="BT371" s="8">
        <v>0</v>
      </c>
      <c r="BU371" s="8">
        <v>0</v>
      </c>
      <c r="BV371" s="8">
        <v>0</v>
      </c>
      <c r="BW371" s="9">
        <f t="shared" si="1846"/>
        <v>0</v>
      </c>
      <c r="BX371" s="9">
        <f t="shared" si="1847"/>
        <v>0</v>
      </c>
      <c r="BY371" s="9">
        <f t="shared" si="1848"/>
        <v>0</v>
      </c>
      <c r="BZ371" s="9">
        <f t="shared" si="1849"/>
        <v>11</v>
      </c>
      <c r="CA371" s="9">
        <f t="shared" si="1850"/>
        <v>11</v>
      </c>
      <c r="CB371" s="9">
        <f t="shared" si="1851"/>
        <v>0</v>
      </c>
      <c r="CC371" s="8">
        <v>0</v>
      </c>
      <c r="CD371" s="8">
        <v>171</v>
      </c>
      <c r="CE371" s="8">
        <v>10</v>
      </c>
      <c r="CF371" s="8">
        <v>5</v>
      </c>
      <c r="CG371" s="8">
        <v>3</v>
      </c>
      <c r="CH371" s="9">
        <f t="shared" si="1852"/>
        <v>189</v>
      </c>
      <c r="CI371" s="8">
        <v>42</v>
      </c>
      <c r="CJ371" s="8">
        <v>1</v>
      </c>
      <c r="CK371" s="8">
        <v>0</v>
      </c>
      <c r="CL371" s="8">
        <v>0</v>
      </c>
      <c r="CM371" s="9">
        <f t="shared" si="1853"/>
        <v>43</v>
      </c>
      <c r="CN371" s="8">
        <v>756</v>
      </c>
      <c r="CO371" s="8">
        <v>23</v>
      </c>
      <c r="CP371" s="8">
        <v>17</v>
      </c>
      <c r="CQ371" s="8">
        <v>2</v>
      </c>
      <c r="CR371" s="9">
        <f t="shared" si="1854"/>
        <v>798</v>
      </c>
      <c r="CS371" s="9">
        <f t="shared" si="1855"/>
        <v>841</v>
      </c>
      <c r="CT371" s="8">
        <v>1030</v>
      </c>
      <c r="CU371" s="8">
        <v>3071</v>
      </c>
      <c r="CV371" s="8">
        <v>3069.3</v>
      </c>
      <c r="CW371" s="10">
        <f t="shared" si="1856"/>
        <v>0.99944643438619352</v>
      </c>
      <c r="CX371" s="8">
        <v>0</v>
      </c>
      <c r="CY371" s="8">
        <v>0</v>
      </c>
      <c r="CZ371" s="8">
        <v>0</v>
      </c>
      <c r="DA371" s="8">
        <v>0</v>
      </c>
      <c r="DB371" s="9">
        <f t="shared" si="1857"/>
        <v>0</v>
      </c>
      <c r="DC371" s="8">
        <v>0</v>
      </c>
      <c r="DD371" s="8">
        <v>0</v>
      </c>
      <c r="DE371" s="8">
        <v>0</v>
      </c>
      <c r="DF371" s="8">
        <v>0</v>
      </c>
      <c r="DG371" s="9">
        <f t="shared" si="1858"/>
        <v>0</v>
      </c>
      <c r="DH371" s="8">
        <v>0</v>
      </c>
      <c r="DI371" s="8">
        <v>0</v>
      </c>
      <c r="DJ371" s="8">
        <v>0</v>
      </c>
      <c r="DK371" s="8">
        <v>0</v>
      </c>
      <c r="DL371" s="9">
        <f t="shared" si="1859"/>
        <v>0</v>
      </c>
      <c r="DM371" s="8">
        <v>0</v>
      </c>
      <c r="DN371" s="8">
        <v>1</v>
      </c>
      <c r="DO371" s="8">
        <v>0</v>
      </c>
      <c r="DP371" s="8">
        <v>0</v>
      </c>
      <c r="DQ371" s="9">
        <f t="shared" si="1860"/>
        <v>1</v>
      </c>
      <c r="DR371" s="9">
        <f t="shared" si="1861"/>
        <v>0</v>
      </c>
      <c r="DS371" s="9">
        <f t="shared" si="1862"/>
        <v>1</v>
      </c>
      <c r="DT371" s="9">
        <f t="shared" si="1863"/>
        <v>0</v>
      </c>
      <c r="DU371" s="9">
        <f t="shared" si="1864"/>
        <v>0</v>
      </c>
      <c r="DV371" s="9">
        <f t="shared" si="1865"/>
        <v>1</v>
      </c>
      <c r="DW371" s="8">
        <v>10</v>
      </c>
      <c r="DX371" s="8">
        <v>5</v>
      </c>
      <c r="DY371" s="8">
        <v>2</v>
      </c>
      <c r="DZ371" s="8">
        <v>0</v>
      </c>
      <c r="EA371" s="8">
        <v>0</v>
      </c>
      <c r="EB371" s="8">
        <v>1</v>
      </c>
      <c r="EC371" s="8">
        <v>0</v>
      </c>
      <c r="ED371" s="8">
        <v>1</v>
      </c>
      <c r="EE371" s="8">
        <v>0</v>
      </c>
      <c r="EF371" s="8">
        <v>0</v>
      </c>
      <c r="EG371" s="8">
        <v>0</v>
      </c>
      <c r="EH371" s="8">
        <v>0</v>
      </c>
      <c r="EI371" s="8">
        <v>0</v>
      </c>
      <c r="EJ371" s="8">
        <v>0</v>
      </c>
      <c r="EK371" s="8">
        <v>0</v>
      </c>
      <c r="EL371" s="8">
        <v>0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9">
        <f t="shared" si="1866"/>
        <v>19</v>
      </c>
      <c r="FH371" s="8">
        <v>1</v>
      </c>
      <c r="FI371" s="8">
        <v>744</v>
      </c>
      <c r="FJ371" s="8">
        <v>12</v>
      </c>
      <c r="FK371" s="8">
        <v>168</v>
      </c>
      <c r="FL371" s="8">
        <v>0</v>
      </c>
      <c r="FM371" s="8">
        <v>0</v>
      </c>
      <c r="FN371" s="8">
        <v>0</v>
      </c>
      <c r="FO371" s="8">
        <v>0</v>
      </c>
      <c r="FP371" s="8">
        <v>0</v>
      </c>
      <c r="FQ371" s="9">
        <f t="shared" si="1867"/>
        <v>0</v>
      </c>
      <c r="FR371" s="8">
        <v>12500</v>
      </c>
      <c r="FS371" s="8">
        <v>0</v>
      </c>
      <c r="FT371" s="8">
        <v>0</v>
      </c>
      <c r="FU371" s="8">
        <v>0</v>
      </c>
      <c r="FV371" s="9">
        <f t="shared" si="1868"/>
        <v>12500</v>
      </c>
      <c r="FW371" s="8">
        <v>5555244</v>
      </c>
      <c r="FX371" s="8">
        <v>5000</v>
      </c>
      <c r="FY371" s="8">
        <v>635200</v>
      </c>
      <c r="FZ371" s="8">
        <v>393500</v>
      </c>
      <c r="GA371" s="9">
        <f t="shared" si="1869"/>
        <v>6588944</v>
      </c>
      <c r="GB371" s="9">
        <f t="shared" si="1870"/>
        <v>6601444</v>
      </c>
      <c r="GC371" s="8">
        <v>200740.23</v>
      </c>
      <c r="GD371" s="8">
        <v>0</v>
      </c>
      <c r="GE371" s="8">
        <v>42884.67</v>
      </c>
      <c r="GF371" s="8">
        <v>0</v>
      </c>
      <c r="GG371" s="9">
        <f t="shared" si="1871"/>
        <v>243624.90000000002</v>
      </c>
      <c r="GH371" s="8">
        <v>5530270.7400000002</v>
      </c>
      <c r="GI371" s="8">
        <v>5000</v>
      </c>
      <c r="GJ371" s="8">
        <v>368360</v>
      </c>
      <c r="GK371" s="8">
        <v>635200</v>
      </c>
      <c r="GL371" s="9">
        <f t="shared" si="1872"/>
        <v>6538830.7400000002</v>
      </c>
      <c r="GM371" s="9">
        <f t="shared" si="1873"/>
        <v>6782455.6400000006</v>
      </c>
      <c r="GN371" s="8">
        <v>22887.06</v>
      </c>
      <c r="GO371" s="8">
        <v>0</v>
      </c>
      <c r="GP371" s="8">
        <v>3393.64</v>
      </c>
      <c r="GQ371" s="8">
        <v>0</v>
      </c>
      <c r="GR371" s="9">
        <f t="shared" si="1874"/>
        <v>26280.7</v>
      </c>
      <c r="GS371" s="8">
        <v>37506</v>
      </c>
      <c r="GT371" s="8">
        <v>0</v>
      </c>
      <c r="GU371" s="8">
        <v>893</v>
      </c>
      <c r="GV371" s="8">
        <v>0</v>
      </c>
      <c r="GW371" s="9">
        <f t="shared" si="1875"/>
        <v>38399</v>
      </c>
      <c r="GX371" s="9">
        <f t="shared" si="1876"/>
        <v>6847135.3400000008</v>
      </c>
      <c r="GY371" s="8">
        <v>47115511.539999947</v>
      </c>
      <c r="GZ371" s="8">
        <v>0</v>
      </c>
      <c r="HA371" s="9">
        <f t="shared" si="1762"/>
        <v>47115511.539999947</v>
      </c>
      <c r="HB371" s="9">
        <f t="shared" si="1877"/>
        <v>0.32063620412532989</v>
      </c>
      <c r="HC371" s="10">
        <f t="shared" si="1878"/>
        <v>0.12233358409345702</v>
      </c>
      <c r="HD371" s="9">
        <f t="shared" si="1879"/>
        <v>0.96411764514647369</v>
      </c>
      <c r="HE371" s="8">
        <v>11</v>
      </c>
      <c r="HF371" s="8">
        <v>2</v>
      </c>
      <c r="HG371" s="8">
        <v>0</v>
      </c>
      <c r="HH371" s="8">
        <v>11</v>
      </c>
      <c r="HI371" s="8">
        <v>28</v>
      </c>
      <c r="HJ371" s="9">
        <f t="shared" si="1880"/>
        <v>30</v>
      </c>
      <c r="HK371" s="10">
        <f t="shared" si="1881"/>
        <v>1</v>
      </c>
      <c r="HL371" s="8">
        <v>20</v>
      </c>
      <c r="HM371" s="8">
        <v>31</v>
      </c>
      <c r="HN371" s="11">
        <f t="shared" si="1882"/>
        <v>1.55</v>
      </c>
    </row>
    <row r="372" spans="1:222" x14ac:dyDescent="0.3">
      <c r="A372" s="12" t="s">
        <v>295</v>
      </c>
      <c r="B372" s="12" t="s">
        <v>303</v>
      </c>
      <c r="C372" s="13" t="s">
        <v>257</v>
      </c>
      <c r="D372" s="13">
        <v>2026</v>
      </c>
      <c r="E372" s="13">
        <v>1</v>
      </c>
      <c r="F372" s="13" t="s">
        <v>270</v>
      </c>
      <c r="G372" s="13" t="s">
        <v>271</v>
      </c>
      <c r="H372" s="14">
        <v>6797</v>
      </c>
      <c r="I372" s="14">
        <v>323</v>
      </c>
      <c r="J372" s="14">
        <v>0</v>
      </c>
      <c r="K372" s="14">
        <v>16</v>
      </c>
      <c r="L372" s="14">
        <v>0</v>
      </c>
      <c r="M372" s="15">
        <v>339</v>
      </c>
      <c r="N372" s="14">
        <v>4947.8000000000247</v>
      </c>
      <c r="O372" s="14">
        <v>32.9</v>
      </c>
      <c r="P372" s="14">
        <v>98.600000000000009</v>
      </c>
      <c r="Q372" s="14">
        <v>78.900000000000006</v>
      </c>
      <c r="R372" s="15">
        <v>5158.2000000000244</v>
      </c>
      <c r="S372" s="15">
        <v>5497.2000000000244</v>
      </c>
      <c r="T372" s="14">
        <v>1299.7999999999761</v>
      </c>
      <c r="U372" s="16">
        <v>0.1912314256289504</v>
      </c>
      <c r="V372" s="14">
        <v>19</v>
      </c>
      <c r="W372" s="17">
        <v>2.7953508900985731</v>
      </c>
      <c r="X372" s="14">
        <v>0</v>
      </c>
      <c r="Y372" s="17">
        <v>0</v>
      </c>
      <c r="Z372" s="14">
        <v>0</v>
      </c>
      <c r="AA372" s="17">
        <v>0</v>
      </c>
      <c r="AB372" s="14">
        <v>0</v>
      </c>
      <c r="AC372" s="17">
        <v>0</v>
      </c>
      <c r="AD372" s="14">
        <v>0</v>
      </c>
      <c r="AE372" s="17">
        <v>0</v>
      </c>
      <c r="AF372" s="14">
        <v>0</v>
      </c>
      <c r="AG372" s="17">
        <v>0</v>
      </c>
      <c r="AH372" s="14">
        <v>494000</v>
      </c>
      <c r="AI372" s="15">
        <v>72.679123142562901</v>
      </c>
      <c r="AJ372" s="14">
        <v>10835.98</v>
      </c>
      <c r="AK372" s="17">
        <v>1.594229807267912</v>
      </c>
      <c r="AL372" s="14">
        <v>2993177.3078200002</v>
      </c>
      <c r="AM372" s="15">
        <v>440.36741324407831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4">
        <v>0</v>
      </c>
      <c r="AU372" s="15">
        <v>3487177.3078200002</v>
      </c>
      <c r="AV372" s="15">
        <v>513.04653638664115</v>
      </c>
      <c r="AW372" s="15">
        <v>634.35518224186569</v>
      </c>
      <c r="AX372" s="14">
        <v>4</v>
      </c>
      <c r="AY372" s="15">
        <v>18.24334265116963</v>
      </c>
      <c r="AZ372" s="14">
        <v>15</v>
      </c>
      <c r="BA372" s="14">
        <v>0</v>
      </c>
      <c r="BB372" s="14">
        <v>4</v>
      </c>
      <c r="BC372" s="14">
        <v>4</v>
      </c>
      <c r="BD372" s="14">
        <v>0</v>
      </c>
      <c r="BE372" s="15">
        <v>4</v>
      </c>
      <c r="BF372" s="15">
        <v>0</v>
      </c>
      <c r="BG372" s="14">
        <v>0</v>
      </c>
      <c r="BH372" s="14">
        <v>0</v>
      </c>
      <c r="BI372" s="14">
        <v>0</v>
      </c>
      <c r="BJ372" s="14">
        <v>0</v>
      </c>
      <c r="BK372" s="15">
        <v>0</v>
      </c>
      <c r="BL372" s="15">
        <v>0</v>
      </c>
      <c r="BM372" s="14">
        <v>0</v>
      </c>
      <c r="BN372" s="14">
        <v>0</v>
      </c>
      <c r="BO372" s="14">
        <v>0</v>
      </c>
      <c r="BP372" s="14">
        <v>0</v>
      </c>
      <c r="BQ372" s="15">
        <v>0</v>
      </c>
      <c r="BR372" s="15">
        <v>0</v>
      </c>
      <c r="BS372" s="14">
        <v>0</v>
      </c>
      <c r="BT372" s="14">
        <v>0</v>
      </c>
      <c r="BU372" s="14">
        <v>0</v>
      </c>
      <c r="BV372" s="14">
        <v>0</v>
      </c>
      <c r="BW372" s="15">
        <v>0</v>
      </c>
      <c r="BX372" s="15">
        <v>0</v>
      </c>
      <c r="BY372" s="15">
        <v>0</v>
      </c>
      <c r="BZ372" s="15">
        <v>4</v>
      </c>
      <c r="CA372" s="15">
        <v>4</v>
      </c>
      <c r="CB372" s="15">
        <v>0</v>
      </c>
      <c r="CC372" s="14">
        <v>0</v>
      </c>
      <c r="CD372" s="14">
        <v>167</v>
      </c>
      <c r="CE372" s="14">
        <v>10</v>
      </c>
      <c r="CF372" s="14">
        <v>5</v>
      </c>
      <c r="CG372" s="14">
        <v>3</v>
      </c>
      <c r="CH372" s="15">
        <v>185</v>
      </c>
      <c r="CI372" s="14">
        <v>50</v>
      </c>
      <c r="CJ372" s="14">
        <v>1</v>
      </c>
      <c r="CK372" s="14">
        <v>0</v>
      </c>
      <c r="CL372" s="14">
        <v>0</v>
      </c>
      <c r="CM372" s="15">
        <v>51</v>
      </c>
      <c r="CN372" s="14">
        <v>756</v>
      </c>
      <c r="CO372" s="14">
        <v>23</v>
      </c>
      <c r="CP372" s="14">
        <v>17</v>
      </c>
      <c r="CQ372" s="14">
        <v>2</v>
      </c>
      <c r="CR372" s="15">
        <v>798</v>
      </c>
      <c r="CS372" s="15">
        <v>849</v>
      </c>
      <c r="CT372" s="14">
        <v>1034</v>
      </c>
      <c r="CU372" s="14">
        <v>3076</v>
      </c>
      <c r="CV372" s="14">
        <v>3073.3</v>
      </c>
      <c r="CW372" s="16">
        <v>0.99912223667100131</v>
      </c>
      <c r="CX372" s="14">
        <v>0</v>
      </c>
      <c r="CY372" s="14">
        <v>0</v>
      </c>
      <c r="CZ372" s="14">
        <v>0</v>
      </c>
      <c r="DA372" s="14">
        <v>0</v>
      </c>
      <c r="DB372" s="15">
        <v>0</v>
      </c>
      <c r="DC372" s="14">
        <v>0</v>
      </c>
      <c r="DD372" s="14">
        <v>0</v>
      </c>
      <c r="DE372" s="14">
        <v>0</v>
      </c>
      <c r="DF372" s="14">
        <v>0</v>
      </c>
      <c r="DG372" s="15">
        <v>0</v>
      </c>
      <c r="DH372" s="14">
        <v>0</v>
      </c>
      <c r="DI372" s="14">
        <v>0</v>
      </c>
      <c r="DJ372" s="14">
        <v>0</v>
      </c>
      <c r="DK372" s="14">
        <v>0</v>
      </c>
      <c r="DL372" s="15">
        <v>0</v>
      </c>
      <c r="DM372" s="14">
        <v>1</v>
      </c>
      <c r="DN372" s="14">
        <v>0</v>
      </c>
      <c r="DO372" s="14">
        <v>1</v>
      </c>
      <c r="DP372" s="14">
        <v>0</v>
      </c>
      <c r="DQ372" s="15">
        <v>0</v>
      </c>
      <c r="DR372" s="15">
        <v>1</v>
      </c>
      <c r="DS372" s="15">
        <v>0</v>
      </c>
      <c r="DT372" s="15">
        <v>1</v>
      </c>
      <c r="DU372" s="15">
        <v>0</v>
      </c>
      <c r="DV372" s="15">
        <v>0</v>
      </c>
      <c r="DW372" s="14">
        <v>9</v>
      </c>
      <c r="DX372" s="14">
        <v>6</v>
      </c>
      <c r="DY372" s="14">
        <v>1</v>
      </c>
      <c r="DZ372" s="14">
        <v>0</v>
      </c>
      <c r="EA372" s="14">
        <v>0</v>
      </c>
      <c r="EB372" s="14">
        <v>3</v>
      </c>
      <c r="EC372" s="14">
        <v>0</v>
      </c>
      <c r="ED372" s="14">
        <v>1</v>
      </c>
      <c r="EE372" s="14">
        <v>0</v>
      </c>
      <c r="EF372" s="14">
        <v>0</v>
      </c>
      <c r="EG372" s="14">
        <v>0</v>
      </c>
      <c r="EH372" s="14">
        <v>0</v>
      </c>
      <c r="EI372" s="14">
        <v>0</v>
      </c>
      <c r="EJ372" s="14">
        <v>0</v>
      </c>
      <c r="EK372" s="14">
        <v>0</v>
      </c>
      <c r="EL372" s="14">
        <v>0</v>
      </c>
      <c r="EM372" s="14">
        <v>0</v>
      </c>
      <c r="EN372" s="14">
        <v>0</v>
      </c>
      <c r="EO372" s="14">
        <v>0</v>
      </c>
      <c r="EP372" s="14">
        <v>0</v>
      </c>
      <c r="EQ372" s="14">
        <v>0</v>
      </c>
      <c r="ER372" s="14">
        <v>0</v>
      </c>
      <c r="ES372" s="14">
        <v>0</v>
      </c>
      <c r="ET372" s="14">
        <v>0</v>
      </c>
      <c r="EU372" s="14">
        <v>0</v>
      </c>
      <c r="EV372" s="14">
        <v>0</v>
      </c>
      <c r="EW372" s="14">
        <v>0</v>
      </c>
      <c r="EX372" s="14">
        <v>0</v>
      </c>
      <c r="EY372" s="14">
        <v>0</v>
      </c>
      <c r="EZ372" s="14">
        <v>0</v>
      </c>
      <c r="FA372" s="14">
        <v>0</v>
      </c>
      <c r="FB372" s="14">
        <v>0</v>
      </c>
      <c r="FC372" s="14">
        <v>0</v>
      </c>
      <c r="FD372" s="14">
        <v>0</v>
      </c>
      <c r="FE372" s="14">
        <v>0</v>
      </c>
      <c r="FF372" s="14">
        <v>0</v>
      </c>
      <c r="FG372" s="15">
        <v>20</v>
      </c>
      <c r="FH372" s="14">
        <v>0</v>
      </c>
      <c r="FI372" s="14">
        <v>0</v>
      </c>
      <c r="FJ372" s="14">
        <v>18</v>
      </c>
      <c r="FK372" s="14">
        <v>12</v>
      </c>
      <c r="FL372" s="14">
        <v>0</v>
      </c>
      <c r="FM372" s="14">
        <v>0</v>
      </c>
      <c r="FN372" s="14">
        <v>0</v>
      </c>
      <c r="FO372" s="14">
        <v>0</v>
      </c>
      <c r="FP372" s="14">
        <v>0</v>
      </c>
      <c r="FQ372" s="15">
        <v>0</v>
      </c>
      <c r="FR372" s="14">
        <v>114600</v>
      </c>
      <c r="FS372" s="14">
        <v>0</v>
      </c>
      <c r="FT372" s="14">
        <v>0</v>
      </c>
      <c r="FU372" s="14">
        <v>0</v>
      </c>
      <c r="FV372" s="15">
        <v>114600</v>
      </c>
      <c r="FW372" s="14">
        <v>6196682.1799999997</v>
      </c>
      <c r="FX372" s="14">
        <v>7000</v>
      </c>
      <c r="FY372" s="14">
        <v>380700</v>
      </c>
      <c r="FZ372" s="14">
        <v>325700</v>
      </c>
      <c r="GA372" s="15">
        <v>6910082.1799999997</v>
      </c>
      <c r="GB372" s="15">
        <v>7024682.1799999997</v>
      </c>
      <c r="GC372" s="14">
        <v>295976.18</v>
      </c>
      <c r="GD372" s="14">
        <v>0</v>
      </c>
      <c r="GE372" s="14">
        <v>42884.67</v>
      </c>
      <c r="GF372" s="14">
        <v>0</v>
      </c>
      <c r="GG372" s="15">
        <v>338860.85</v>
      </c>
      <c r="GH372" s="14">
        <v>6172442.1799999997</v>
      </c>
      <c r="GI372" s="14">
        <v>7000</v>
      </c>
      <c r="GJ372" s="14">
        <v>299180</v>
      </c>
      <c r="GK372" s="14">
        <v>373500</v>
      </c>
      <c r="GL372" s="15">
        <v>6852122.1799999997</v>
      </c>
      <c r="GM372" s="15">
        <v>7190983.0299999993</v>
      </c>
      <c r="GN372" s="14">
        <v>27246.5</v>
      </c>
      <c r="GO372" s="14">
        <v>0</v>
      </c>
      <c r="GP372" s="14">
        <v>3393.64</v>
      </c>
      <c r="GQ372" s="14">
        <v>0</v>
      </c>
      <c r="GR372" s="15">
        <v>30640.14</v>
      </c>
      <c r="GS372" s="14">
        <v>44650</v>
      </c>
      <c r="GT372" s="14">
        <v>0</v>
      </c>
      <c r="GU372" s="14">
        <v>893</v>
      </c>
      <c r="GV372" s="14">
        <v>0</v>
      </c>
      <c r="GW372" s="15">
        <v>45543</v>
      </c>
      <c r="GX372" s="15">
        <v>7267166.169999999</v>
      </c>
      <c r="GY372" s="14">
        <v>44015688.280000009</v>
      </c>
      <c r="GZ372" s="14">
        <v>0</v>
      </c>
      <c r="HA372" s="9">
        <f t="shared" si="1762"/>
        <v>44015688.280000009</v>
      </c>
      <c r="HB372" s="15">
        <v>7267166.169999999</v>
      </c>
      <c r="HC372" s="16">
        <v>0</v>
      </c>
      <c r="HD372" s="15">
        <v>0</v>
      </c>
      <c r="HE372" s="14">
        <v>4</v>
      </c>
      <c r="HF372" s="14">
        <v>1</v>
      </c>
      <c r="HG372" s="14">
        <v>0</v>
      </c>
      <c r="HH372" s="14">
        <v>4</v>
      </c>
      <c r="HI372" s="14">
        <v>3</v>
      </c>
      <c r="HJ372" s="15">
        <v>0.75</v>
      </c>
      <c r="HK372" s="16">
        <v>0</v>
      </c>
      <c r="HL372" s="14">
        <v>15</v>
      </c>
      <c r="HM372" s="14">
        <v>31</v>
      </c>
      <c r="HN372" s="17">
        <v>0.4838709677419355</v>
      </c>
    </row>
    <row r="373" spans="1:222" x14ac:dyDescent="0.3">
      <c r="A373" s="6" t="s">
        <v>295</v>
      </c>
      <c r="B373" s="6" t="s">
        <v>303</v>
      </c>
      <c r="C373" s="7" t="s">
        <v>257</v>
      </c>
      <c r="D373" s="7">
        <v>2026</v>
      </c>
      <c r="E373" s="7">
        <v>2</v>
      </c>
      <c r="F373" s="7" t="s">
        <v>272</v>
      </c>
      <c r="G373" s="7" t="s">
        <v>271</v>
      </c>
      <c r="H373" s="8">
        <v>8744</v>
      </c>
      <c r="I373" s="8">
        <v>308</v>
      </c>
      <c r="J373" s="8">
        <v>0</v>
      </c>
      <c r="K373" s="8">
        <v>18</v>
      </c>
      <c r="L373" s="8">
        <v>0</v>
      </c>
      <c r="M373" s="9">
        <f t="shared" ref="M373:M383" si="1883">SUM(I373,J373,K373,L373)</f>
        <v>326</v>
      </c>
      <c r="N373" s="8">
        <v>4847.5000000000036</v>
      </c>
      <c r="O373" s="8">
        <v>18.8</v>
      </c>
      <c r="P373" s="8">
        <v>60.09999999999998</v>
      </c>
      <c r="Q373" s="8">
        <v>81.000000000000014</v>
      </c>
      <c r="R373" s="9">
        <f t="shared" ref="R373:R383" si="1884">SUM(N373,O373,P373,Q373)</f>
        <v>5007.4000000000042</v>
      </c>
      <c r="S373" s="9">
        <f t="shared" ref="S373:S383" si="1885">M373+R373</f>
        <v>5333.4000000000042</v>
      </c>
      <c r="T373" s="8">
        <v>3410.5999999999958</v>
      </c>
      <c r="U373" s="10">
        <f t="shared" ref="U373:U383" si="1886">IF(H373=0,"",T373/H373)</f>
        <v>0.39005032021957864</v>
      </c>
      <c r="V373" s="8">
        <v>18</v>
      </c>
      <c r="W373" s="11">
        <f t="shared" ref="W373:W383" si="1887">IF(H373=0,"",V373/H373)</f>
        <v>2.0585544373284536E-3</v>
      </c>
      <c r="X373" s="8">
        <v>0</v>
      </c>
      <c r="Y373" s="11">
        <f t="shared" ref="Y373:Y383" si="1888">IF(H373=0,"",X373/H373)</f>
        <v>0</v>
      </c>
      <c r="Z373" s="8">
        <v>0</v>
      </c>
      <c r="AA373" s="11">
        <f t="shared" ref="AA373:AA383" si="1889">IF(H373=0,"",Z373/H373)</f>
        <v>0</v>
      </c>
      <c r="AB373" s="8">
        <v>0</v>
      </c>
      <c r="AC373" s="11">
        <f t="shared" ref="AC373:AC383" si="1890">IF(H373=0,"",AB373/H373)</f>
        <v>0</v>
      </c>
      <c r="AD373" s="8">
        <v>0</v>
      </c>
      <c r="AE373" s="11">
        <f t="shared" ref="AE373:AE383" si="1891">IF(H373=0,"",AD373/H373)</f>
        <v>0</v>
      </c>
      <c r="AF373" s="8">
        <v>0</v>
      </c>
      <c r="AG373" s="11">
        <f t="shared" ref="AG373:AG383" si="1892">IF(H373=0,"",AF373/H373)</f>
        <v>0</v>
      </c>
      <c r="AH373" s="8">
        <v>468000</v>
      </c>
      <c r="AI373" s="9">
        <f t="shared" ref="AI373:AI383" si="1893">IF(H373=0,"",AH373/H373)</f>
        <v>53.522415370539797</v>
      </c>
      <c r="AJ373" s="8">
        <v>10211.709999999999</v>
      </c>
      <c r="AK373" s="11">
        <f t="shared" ref="AK373:AK383" si="1894">IF(H373=0,"",AJ373/H373)</f>
        <v>1.1678533851784079</v>
      </c>
      <c r="AL373" s="8">
        <v>2822558.69839</v>
      </c>
      <c r="AM373" s="9">
        <f t="shared" ref="AM373:AM383" si="1895">IF(H373=0,"",AL373/H373)</f>
        <v>322.79948517726439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9">
        <f t="shared" ref="AU373:AU383" si="1896">AH373+AL373+AP373+AQ373+AR373+AS373+AT373</f>
        <v>3290558.69839</v>
      </c>
      <c r="AV373" s="9">
        <f t="shared" ref="AV373:AV383" si="1897">IF(H373=0,"",AU373/H373)</f>
        <v>376.3219005478042</v>
      </c>
      <c r="AW373" s="9">
        <f t="shared" ref="AW373:AW383" si="1898">IF(S373=0,"",AU373/S373)</f>
        <v>616.97204379757704</v>
      </c>
      <c r="AX373" s="8">
        <v>4</v>
      </c>
      <c r="AY373" s="9">
        <f t="shared" ref="AY373:AY383" si="1899">IF(H373=0,"",AX373/(H373/1000/12))</f>
        <v>5.4894784995425434</v>
      </c>
      <c r="AZ373" s="8">
        <v>15</v>
      </c>
      <c r="BA373" s="8">
        <v>0</v>
      </c>
      <c r="BB373" s="8">
        <v>7</v>
      </c>
      <c r="BC373" s="8">
        <v>7</v>
      </c>
      <c r="BD373" s="8">
        <v>0</v>
      </c>
      <c r="BE373" s="9">
        <f t="shared" ref="BE373:BE383" si="1900">BC373+BD373</f>
        <v>7</v>
      </c>
      <c r="BF373" s="9">
        <f t="shared" ref="BF373:BF383" si="1901">BA373+BB373-BE373</f>
        <v>0</v>
      </c>
      <c r="BG373" s="8">
        <v>0</v>
      </c>
      <c r="BH373" s="8">
        <v>0</v>
      </c>
      <c r="BI373" s="8">
        <v>0</v>
      </c>
      <c r="BJ373" s="8">
        <v>0</v>
      </c>
      <c r="BK373" s="9">
        <f t="shared" ref="BK373:BK383" si="1902">BI373+BJ373</f>
        <v>0</v>
      </c>
      <c r="BL373" s="9">
        <f t="shared" ref="BL373:BL383" si="1903">BG373+BH373-BK373</f>
        <v>0</v>
      </c>
      <c r="BM373" s="8">
        <v>0</v>
      </c>
      <c r="BN373" s="8">
        <v>0</v>
      </c>
      <c r="BO373" s="8">
        <v>0</v>
      </c>
      <c r="BP373" s="8">
        <v>0</v>
      </c>
      <c r="BQ373" s="9">
        <f t="shared" ref="BQ373:BQ383" si="1904">BO373+BP373</f>
        <v>0</v>
      </c>
      <c r="BR373" s="9">
        <f t="shared" ref="BR373:BR383" si="1905">BM373+BN373-BQ373</f>
        <v>0</v>
      </c>
      <c r="BS373" s="8">
        <v>0</v>
      </c>
      <c r="BT373" s="8">
        <v>0</v>
      </c>
      <c r="BU373" s="8">
        <v>0</v>
      </c>
      <c r="BV373" s="8">
        <v>0</v>
      </c>
      <c r="BW373" s="9">
        <f t="shared" ref="BW373:BW383" si="1906">BU373+BV373</f>
        <v>0</v>
      </c>
      <c r="BX373" s="9">
        <f t="shared" ref="BX373:BX383" si="1907">BS373+BT373-BW373</f>
        <v>0</v>
      </c>
      <c r="BY373" s="9">
        <f t="shared" ref="BY373:BY383" si="1908">BA373+BG373+BM373+BS373</f>
        <v>0</v>
      </c>
      <c r="BZ373" s="9">
        <f t="shared" ref="BZ373:BZ383" si="1909">BB373+BH373+BN373+BT373</f>
        <v>7</v>
      </c>
      <c r="CA373" s="9">
        <f t="shared" ref="CA373:CA383" si="1910">BE373+BK373+BQ373+BW373</f>
        <v>7</v>
      </c>
      <c r="CB373" s="9">
        <f t="shared" ref="CB373:CB383" si="1911">BF373+BL373+BR373+BX373</f>
        <v>0</v>
      </c>
      <c r="CC373" s="8">
        <v>0</v>
      </c>
      <c r="CD373" s="8">
        <v>170</v>
      </c>
      <c r="CE373" s="8">
        <v>10</v>
      </c>
      <c r="CF373" s="8">
        <v>5</v>
      </c>
      <c r="CG373" s="8">
        <v>3</v>
      </c>
      <c r="CH373" s="9">
        <f t="shared" ref="CH373:CH383" si="1912">CD373+CE373+CF373+CG373</f>
        <v>188</v>
      </c>
      <c r="CI373" s="8">
        <v>54</v>
      </c>
      <c r="CJ373" s="8">
        <v>1</v>
      </c>
      <c r="CK373" s="8">
        <v>0</v>
      </c>
      <c r="CL373" s="8">
        <v>0</v>
      </c>
      <c r="CM373" s="9">
        <f t="shared" ref="CM373:CM383" si="1913">CI373+CJ373+CK373+CL373</f>
        <v>55</v>
      </c>
      <c r="CN373" s="8">
        <v>756</v>
      </c>
      <c r="CO373" s="8">
        <v>23</v>
      </c>
      <c r="CP373" s="8">
        <v>17</v>
      </c>
      <c r="CQ373" s="8">
        <v>2</v>
      </c>
      <c r="CR373" s="9">
        <f t="shared" ref="CR373:CR383" si="1914">CN373+CO373+CP373+CQ373</f>
        <v>798</v>
      </c>
      <c r="CS373" s="9">
        <f t="shared" ref="CS373:CS383" si="1915">CM373+CR373</f>
        <v>853</v>
      </c>
      <c r="CT373" s="8">
        <v>1041</v>
      </c>
      <c r="CU373" s="8">
        <v>3081</v>
      </c>
      <c r="CV373" s="8">
        <v>3077.3</v>
      </c>
      <c r="CW373" s="10">
        <f t="shared" ref="CW373:CW383" si="1916">IF(CU373=0,"",CV373/CU373)</f>
        <v>0.99879909120415455</v>
      </c>
      <c r="CX373" s="8">
        <v>0</v>
      </c>
      <c r="CY373" s="8">
        <v>0</v>
      </c>
      <c r="CZ373" s="8">
        <v>0</v>
      </c>
      <c r="DA373" s="8">
        <v>0</v>
      </c>
      <c r="DB373" s="9">
        <f t="shared" ref="DB373:DB383" si="1917">CX373+CY373-CZ373-DA373</f>
        <v>0</v>
      </c>
      <c r="DC373" s="8">
        <v>0</v>
      </c>
      <c r="DD373" s="8">
        <v>0</v>
      </c>
      <c r="DE373" s="8">
        <v>0</v>
      </c>
      <c r="DF373" s="8">
        <v>0</v>
      </c>
      <c r="DG373" s="9">
        <f t="shared" ref="DG373:DG383" si="1918">DC373+DD373-DE373-DF373</f>
        <v>0</v>
      </c>
      <c r="DH373" s="8">
        <v>0</v>
      </c>
      <c r="DI373" s="8">
        <v>0</v>
      </c>
      <c r="DJ373" s="8">
        <v>0</v>
      </c>
      <c r="DK373" s="8">
        <v>0</v>
      </c>
      <c r="DL373" s="9">
        <f t="shared" ref="DL373:DL383" si="1919">DH373+DI373-DJ373-DK373</f>
        <v>0</v>
      </c>
      <c r="DM373" s="8">
        <v>0</v>
      </c>
      <c r="DN373" s="8">
        <v>0</v>
      </c>
      <c r="DO373" s="8">
        <v>0</v>
      </c>
      <c r="DP373" s="8">
        <v>0</v>
      </c>
      <c r="DQ373" s="9">
        <f t="shared" ref="DQ373:DQ383" si="1920">DM373+DN373-DO373-DP373</f>
        <v>0</v>
      </c>
      <c r="DR373" s="9">
        <f t="shared" ref="DR373:DR383" si="1921">CX373+DC373+DH373+DM373</f>
        <v>0</v>
      </c>
      <c r="DS373" s="9">
        <f t="shared" ref="DS373:DS383" si="1922">CY373+DD373+DI373+DN373</f>
        <v>0</v>
      </c>
      <c r="DT373" s="9">
        <f t="shared" ref="DT373:DT383" si="1923">CZ373+DE373+DJ373+DO373</f>
        <v>0</v>
      </c>
      <c r="DU373" s="9">
        <f t="shared" ref="DU373:DU383" si="1924">DA373+DF373+DK373+DP373</f>
        <v>0</v>
      </c>
      <c r="DV373" s="9">
        <f t="shared" ref="DV373:DV383" si="1925">DB373+DG373+DL373+DQ373</f>
        <v>0</v>
      </c>
      <c r="DW373" s="8">
        <v>15</v>
      </c>
      <c r="DX373" s="8">
        <v>5</v>
      </c>
      <c r="DY373" s="8">
        <v>3</v>
      </c>
      <c r="DZ373" s="8">
        <v>0</v>
      </c>
      <c r="EA373" s="8">
        <v>1</v>
      </c>
      <c r="EB373" s="8">
        <v>1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1</v>
      </c>
      <c r="EK373" s="8">
        <v>1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9">
        <f t="shared" ref="FG373:FG383" si="1926">SUM(DW373,DX373,DY373,DZ373,EA373,EB373,EC373,ED373,EE373,EF373,EG373,EH373,EI373,EJ373,EK373,EL373,EM373,EN373,EO373,EP373,EQ373,ER373,ES373,ET373,EU373,EV373,EW373,EX373,EY373,EZ373,FA373,FB373,FC373,FD373,FE373,FF373)</f>
        <v>27</v>
      </c>
      <c r="FH373" s="8">
        <v>0</v>
      </c>
      <c r="FI373" s="8">
        <v>0</v>
      </c>
      <c r="FJ373" s="8">
        <v>18</v>
      </c>
      <c r="FK373" s="8">
        <v>54.5</v>
      </c>
      <c r="FL373" s="8">
        <v>0</v>
      </c>
      <c r="FM373" s="8">
        <v>0</v>
      </c>
      <c r="FN373" s="8">
        <v>0</v>
      </c>
      <c r="FO373" s="8">
        <v>0</v>
      </c>
      <c r="FP373" s="8">
        <v>0</v>
      </c>
      <c r="FQ373" s="9">
        <f t="shared" ref="FQ373:FQ383" si="1927">FL373+FM373+FN373+FO373+FP373</f>
        <v>0</v>
      </c>
      <c r="FR373" s="8">
        <v>45000</v>
      </c>
      <c r="FS373" s="8">
        <v>0</v>
      </c>
      <c r="FT373" s="8">
        <v>90000</v>
      </c>
      <c r="FU373" s="8">
        <v>0</v>
      </c>
      <c r="FV373" s="9">
        <f t="shared" ref="FV373:FV383" si="1928">FR373+FS373+FT373+FU373</f>
        <v>135000</v>
      </c>
      <c r="FW373" s="8">
        <v>6082854.2000000002</v>
      </c>
      <c r="FX373" s="8">
        <v>4000</v>
      </c>
      <c r="FY373" s="8">
        <v>395200</v>
      </c>
      <c r="FZ373" s="8">
        <v>205603.94</v>
      </c>
      <c r="GA373" s="9">
        <f t="shared" ref="GA373:GA383" si="1929">FW373+FX373+FY373+FZ373</f>
        <v>6687658.1400000006</v>
      </c>
      <c r="GB373" s="9">
        <f t="shared" ref="GB373:GB383" si="1930">FV373+GA373</f>
        <v>6822658.1400000006</v>
      </c>
      <c r="GC373" s="8">
        <v>281408.69</v>
      </c>
      <c r="GD373" s="8">
        <v>0</v>
      </c>
      <c r="GE373" s="8">
        <v>49803.61</v>
      </c>
      <c r="GF373" s="8">
        <v>0</v>
      </c>
      <c r="GG373" s="9">
        <f t="shared" ref="GG373:GG383" si="1931">GC373+GD373+GE373+GF373</f>
        <v>331212.3</v>
      </c>
      <c r="GH373" s="8">
        <v>6050694.2000000002</v>
      </c>
      <c r="GI373" s="8">
        <v>4000</v>
      </c>
      <c r="GJ373" s="8">
        <v>183883.94</v>
      </c>
      <c r="GK373" s="8">
        <v>382600</v>
      </c>
      <c r="GL373" s="9">
        <f t="shared" ref="GL373:GL383" si="1932">GH373+GI373+GJ373+GK373</f>
        <v>6621178.1400000006</v>
      </c>
      <c r="GM373" s="9">
        <f t="shared" ref="GM373:GM383" si="1933">GG373+GL373</f>
        <v>6952390.4400000004</v>
      </c>
      <c r="GN373" s="8">
        <v>29426.22</v>
      </c>
      <c r="GO373" s="8">
        <v>0</v>
      </c>
      <c r="GP373" s="8">
        <v>3393.64</v>
      </c>
      <c r="GQ373" s="8">
        <v>0</v>
      </c>
      <c r="GR373" s="9">
        <f t="shared" ref="GR373:GR383" si="1934">GN373+GO373+GP373+GQ373</f>
        <v>32819.86</v>
      </c>
      <c r="GS373" s="8">
        <v>48222</v>
      </c>
      <c r="GT373" s="8">
        <v>0</v>
      </c>
      <c r="GU373" s="8">
        <v>893</v>
      </c>
      <c r="GV373" s="8">
        <v>0</v>
      </c>
      <c r="GW373" s="9">
        <f t="shared" ref="GW373:GW383" si="1935">GS373+GT373+GU373+GV373</f>
        <v>49115</v>
      </c>
      <c r="GX373" s="9">
        <f t="shared" ref="GX373:GX383" si="1936">GM373+GR373+GW373</f>
        <v>7034325.3000000007</v>
      </c>
      <c r="GY373" s="8">
        <v>47653617.229999982</v>
      </c>
      <c r="GZ373" s="8">
        <v>0</v>
      </c>
      <c r="HA373" s="9">
        <f t="shared" ref="HA373:HA404" si="1937">GY373+GZ373</f>
        <v>47653617.229999982</v>
      </c>
      <c r="HB373" s="9">
        <f t="shared" ref="HB373:HB383" si="1938">IF(GX373=0,"",AU373/GX373)</f>
        <v>0.46778597208036421</v>
      </c>
      <c r="HC373" s="10">
        <f t="shared" ref="HC373:HC383" si="1939">IF((GX373+GY373)=0,"",GB373/(GX373+GY373))</f>
        <v>0.12475616789308387</v>
      </c>
      <c r="HD373" s="9">
        <f t="shared" ref="HD373:HD383" si="1940">IF(GX373=0,"",GB373/GX373)</f>
        <v>0.96990938704526497</v>
      </c>
      <c r="HE373" s="8">
        <v>7</v>
      </c>
      <c r="HF373" s="8">
        <v>2</v>
      </c>
      <c r="HG373" s="8">
        <v>0</v>
      </c>
      <c r="HH373" s="8">
        <v>7</v>
      </c>
      <c r="HI373" s="8">
        <v>14</v>
      </c>
      <c r="HJ373" s="9">
        <f t="shared" ref="HJ373:HJ383" si="1941">HF373+HI373</f>
        <v>16</v>
      </c>
      <c r="HK373" s="10">
        <f t="shared" ref="HK373:HK383" si="1942">IF(HE373=0,"",HH373/HE373)</f>
        <v>1</v>
      </c>
      <c r="HL373" s="8">
        <v>2</v>
      </c>
      <c r="HM373" s="8">
        <v>1</v>
      </c>
      <c r="HN373" s="11">
        <f t="shared" ref="HN373:HN383" si="1943">IF(HL373=0,"",HM373/HL373)</f>
        <v>0.5</v>
      </c>
    </row>
    <row r="374" spans="1:222" x14ac:dyDescent="0.3">
      <c r="A374" s="12" t="s">
        <v>295</v>
      </c>
      <c r="B374" s="12" t="s">
        <v>303</v>
      </c>
      <c r="C374" s="13" t="s">
        <v>257</v>
      </c>
      <c r="D374" s="13">
        <v>2026</v>
      </c>
      <c r="E374" s="13">
        <v>3</v>
      </c>
      <c r="F374" s="13" t="s">
        <v>273</v>
      </c>
      <c r="G374" s="13" t="s">
        <v>271</v>
      </c>
      <c r="H374" s="14">
        <v>9084</v>
      </c>
      <c r="I374" s="14">
        <v>259</v>
      </c>
      <c r="J374" s="14">
        <v>0</v>
      </c>
      <c r="K374" s="14">
        <v>16</v>
      </c>
      <c r="L374" s="14">
        <v>0</v>
      </c>
      <c r="M374" s="15">
        <f t="shared" si="1883"/>
        <v>275</v>
      </c>
      <c r="N374" s="14">
        <v>5303.1000000000131</v>
      </c>
      <c r="O374" s="14">
        <v>18.8</v>
      </c>
      <c r="P374" s="14">
        <v>175.8</v>
      </c>
      <c r="Q374" s="14">
        <v>76.200000000000031</v>
      </c>
      <c r="R374" s="15">
        <f t="shared" si="1884"/>
        <v>5573.9000000000133</v>
      </c>
      <c r="S374" s="15">
        <f t="shared" si="1885"/>
        <v>5848.9000000000133</v>
      </c>
      <c r="T374" s="14">
        <v>3235.0999999999872</v>
      </c>
      <c r="U374" s="16">
        <f t="shared" si="1886"/>
        <v>0.35613166006164543</v>
      </c>
      <c r="V374" s="14">
        <v>19</v>
      </c>
      <c r="W374" s="17">
        <f t="shared" si="1887"/>
        <v>2.0915896081021576E-3</v>
      </c>
      <c r="X374" s="14">
        <v>0</v>
      </c>
      <c r="Y374" s="17">
        <f t="shared" si="1888"/>
        <v>0</v>
      </c>
      <c r="Z374" s="14">
        <v>0</v>
      </c>
      <c r="AA374" s="17">
        <f t="shared" si="1889"/>
        <v>0</v>
      </c>
      <c r="AB374" s="14">
        <v>0</v>
      </c>
      <c r="AC374" s="17">
        <f t="shared" si="1890"/>
        <v>0</v>
      </c>
      <c r="AD374" s="14">
        <v>0</v>
      </c>
      <c r="AE374" s="17">
        <f t="shared" si="1891"/>
        <v>0</v>
      </c>
      <c r="AF374" s="14">
        <v>0</v>
      </c>
      <c r="AG374" s="17">
        <f t="shared" si="1892"/>
        <v>0</v>
      </c>
      <c r="AH374" s="14">
        <v>494000</v>
      </c>
      <c r="AI374" s="15">
        <f t="shared" si="1893"/>
        <v>54.381329810656098</v>
      </c>
      <c r="AJ374" s="14">
        <v>9230.5</v>
      </c>
      <c r="AK374" s="17">
        <f t="shared" si="1894"/>
        <v>1.0161272567151034</v>
      </c>
      <c r="AL374" s="14">
        <v>2554385.1745000002</v>
      </c>
      <c r="AM374" s="15">
        <f t="shared" si="1895"/>
        <v>281.19607821444299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5">
        <f t="shared" si="1896"/>
        <v>3048385.1745000002</v>
      </c>
      <c r="AV374" s="15">
        <f t="shared" si="1897"/>
        <v>335.57740802509909</v>
      </c>
      <c r="AW374" s="15">
        <f t="shared" si="1898"/>
        <v>521.18948426199688</v>
      </c>
      <c r="AX374" s="14">
        <v>4</v>
      </c>
      <c r="AY374" s="15">
        <f t="shared" si="1899"/>
        <v>5.2840158520475562</v>
      </c>
      <c r="AZ374" s="14">
        <v>15</v>
      </c>
      <c r="BA374" s="14">
        <v>0</v>
      </c>
      <c r="BB374" s="14">
        <v>0</v>
      </c>
      <c r="BC374" s="14">
        <v>0</v>
      </c>
      <c r="BD374" s="14">
        <v>0</v>
      </c>
      <c r="BE374" s="15">
        <f t="shared" si="1900"/>
        <v>0</v>
      </c>
      <c r="BF374" s="15">
        <f t="shared" si="1901"/>
        <v>0</v>
      </c>
      <c r="BG374" s="14">
        <v>0</v>
      </c>
      <c r="BH374" s="14">
        <v>0</v>
      </c>
      <c r="BI374" s="14">
        <v>0</v>
      </c>
      <c r="BJ374" s="14">
        <v>0</v>
      </c>
      <c r="BK374" s="15">
        <f t="shared" si="1902"/>
        <v>0</v>
      </c>
      <c r="BL374" s="15">
        <f t="shared" si="1903"/>
        <v>0</v>
      </c>
      <c r="BM374" s="14">
        <v>0</v>
      </c>
      <c r="BN374" s="14">
        <v>0</v>
      </c>
      <c r="BO374" s="14">
        <v>0</v>
      </c>
      <c r="BP374" s="14">
        <v>0</v>
      </c>
      <c r="BQ374" s="15">
        <f t="shared" si="1904"/>
        <v>0</v>
      </c>
      <c r="BR374" s="15">
        <f t="shared" si="1905"/>
        <v>0</v>
      </c>
      <c r="BS374" s="14">
        <v>0</v>
      </c>
      <c r="BT374" s="14">
        <v>0</v>
      </c>
      <c r="BU374" s="14">
        <v>0</v>
      </c>
      <c r="BV374" s="14">
        <v>0</v>
      </c>
      <c r="BW374" s="15">
        <f t="shared" si="1906"/>
        <v>0</v>
      </c>
      <c r="BX374" s="15">
        <f t="shared" si="1907"/>
        <v>0</v>
      </c>
      <c r="BY374" s="15">
        <f t="shared" si="1908"/>
        <v>0</v>
      </c>
      <c r="BZ374" s="15">
        <f t="shared" si="1909"/>
        <v>0</v>
      </c>
      <c r="CA374" s="15">
        <f t="shared" si="1910"/>
        <v>0</v>
      </c>
      <c r="CB374" s="15">
        <f t="shared" si="1911"/>
        <v>0</v>
      </c>
      <c r="CC374" s="14">
        <v>0</v>
      </c>
      <c r="CD374" s="14">
        <v>170</v>
      </c>
      <c r="CE374" s="14">
        <v>10</v>
      </c>
      <c r="CF374" s="14">
        <v>5</v>
      </c>
      <c r="CG374" s="14">
        <v>3</v>
      </c>
      <c r="CH374" s="15">
        <f t="shared" si="1912"/>
        <v>188</v>
      </c>
      <c r="CI374" s="14">
        <v>54</v>
      </c>
      <c r="CJ374" s="14">
        <v>1</v>
      </c>
      <c r="CK374" s="14">
        <v>0</v>
      </c>
      <c r="CL374" s="14">
        <v>0</v>
      </c>
      <c r="CM374" s="15">
        <f t="shared" si="1913"/>
        <v>55</v>
      </c>
      <c r="CN374" s="14">
        <v>756</v>
      </c>
      <c r="CO374" s="14">
        <v>23</v>
      </c>
      <c r="CP374" s="14">
        <v>17</v>
      </c>
      <c r="CQ374" s="14">
        <v>2</v>
      </c>
      <c r="CR374" s="15">
        <f t="shared" si="1914"/>
        <v>798</v>
      </c>
      <c r="CS374" s="15">
        <f t="shared" si="1915"/>
        <v>853</v>
      </c>
      <c r="CT374" s="14">
        <v>1041</v>
      </c>
      <c r="CU374" s="14">
        <v>3086</v>
      </c>
      <c r="CV374" s="14">
        <v>3077</v>
      </c>
      <c r="CW374" s="16">
        <f t="shared" si="1916"/>
        <v>0.9970836033700583</v>
      </c>
      <c r="CX374" s="14"/>
      <c r="CY374" s="14"/>
      <c r="CZ374" s="14"/>
      <c r="DA374" s="14"/>
      <c r="DB374" s="15">
        <f t="shared" si="1917"/>
        <v>0</v>
      </c>
      <c r="DC374" s="14">
        <v>0</v>
      </c>
      <c r="DD374" s="14">
        <v>0</v>
      </c>
      <c r="DE374" s="14">
        <v>0</v>
      </c>
      <c r="DF374" s="14">
        <v>0</v>
      </c>
      <c r="DG374" s="15">
        <f t="shared" si="1918"/>
        <v>0</v>
      </c>
      <c r="DH374" s="14">
        <v>0</v>
      </c>
      <c r="DI374" s="14">
        <v>0</v>
      </c>
      <c r="DJ374" s="14">
        <v>0</v>
      </c>
      <c r="DK374" s="14">
        <v>0</v>
      </c>
      <c r="DL374" s="15">
        <f t="shared" si="1919"/>
        <v>0</v>
      </c>
      <c r="DM374" s="14">
        <v>0</v>
      </c>
      <c r="DN374" s="14">
        <v>0</v>
      </c>
      <c r="DO374" s="14">
        <v>0</v>
      </c>
      <c r="DP374" s="14">
        <v>0</v>
      </c>
      <c r="DQ374" s="15">
        <f t="shared" si="1920"/>
        <v>0</v>
      </c>
      <c r="DR374" s="15">
        <f t="shared" si="1921"/>
        <v>0</v>
      </c>
      <c r="DS374" s="15">
        <f t="shared" si="1922"/>
        <v>0</v>
      </c>
      <c r="DT374" s="15">
        <f t="shared" si="1923"/>
        <v>0</v>
      </c>
      <c r="DU374" s="15">
        <f t="shared" si="1924"/>
        <v>0</v>
      </c>
      <c r="DV374" s="15">
        <f t="shared" si="1925"/>
        <v>0</v>
      </c>
      <c r="DW374" s="14">
        <v>7</v>
      </c>
      <c r="DX374" s="14">
        <v>6</v>
      </c>
      <c r="DY374" s="14">
        <v>1</v>
      </c>
      <c r="DZ374" s="14">
        <v>0</v>
      </c>
      <c r="EA374" s="14">
        <v>1</v>
      </c>
      <c r="EB374" s="14">
        <v>2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14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4">
        <v>0</v>
      </c>
      <c r="ET374" s="14">
        <v>0</v>
      </c>
      <c r="EU374" s="14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5">
        <f t="shared" si="1926"/>
        <v>17</v>
      </c>
      <c r="FH374" s="14">
        <v>0</v>
      </c>
      <c r="FI374" s="14">
        <v>0</v>
      </c>
      <c r="FJ374" s="14">
        <v>18</v>
      </c>
      <c r="FK374" s="14">
        <v>104.5</v>
      </c>
      <c r="FL374" s="14">
        <v>0</v>
      </c>
      <c r="FM374" s="14">
        <v>0</v>
      </c>
      <c r="FN374" s="14">
        <v>0</v>
      </c>
      <c r="FO374" s="14">
        <v>0</v>
      </c>
      <c r="FP374" s="14">
        <v>0</v>
      </c>
      <c r="FQ374" s="15">
        <f t="shared" si="1927"/>
        <v>0</v>
      </c>
      <c r="FR374" s="14">
        <v>34400</v>
      </c>
      <c r="FS374" s="14">
        <v>0</v>
      </c>
      <c r="FT374" s="14">
        <v>0</v>
      </c>
      <c r="FU374" s="14">
        <v>0</v>
      </c>
      <c r="FV374" s="15">
        <f t="shared" si="1928"/>
        <v>34400</v>
      </c>
      <c r="FW374" s="14">
        <v>6703008.9400000004</v>
      </c>
      <c r="FX374" s="14">
        <v>4000</v>
      </c>
      <c r="FY374" s="14">
        <v>369790</v>
      </c>
      <c r="FZ374" s="14">
        <v>546700</v>
      </c>
      <c r="GA374" s="15">
        <f t="shared" si="1929"/>
        <v>7623498.9400000004</v>
      </c>
      <c r="GB374" s="15">
        <f t="shared" si="1930"/>
        <v>7657898.9400000004</v>
      </c>
      <c r="GC374" s="14">
        <v>252199.16</v>
      </c>
      <c r="GD374" s="14">
        <v>0</v>
      </c>
      <c r="GE374" s="14">
        <v>42884.67</v>
      </c>
      <c r="GF374" s="14">
        <v>0</v>
      </c>
      <c r="GG374" s="15">
        <f t="shared" si="1931"/>
        <v>295083.83</v>
      </c>
      <c r="GH374" s="14">
        <v>6619299.4500000002</v>
      </c>
      <c r="GI374" s="14">
        <v>4000</v>
      </c>
      <c r="GJ374" s="14">
        <v>532900</v>
      </c>
      <c r="GK374" s="14">
        <v>360790</v>
      </c>
      <c r="GL374" s="15">
        <f t="shared" si="1932"/>
        <v>7516989.4500000002</v>
      </c>
      <c r="GM374" s="15">
        <f t="shared" si="1933"/>
        <v>7812073.2800000003</v>
      </c>
      <c r="GN374" s="14">
        <v>29426.22</v>
      </c>
      <c r="GO374" s="14">
        <v>0</v>
      </c>
      <c r="GP374" s="14">
        <v>3393.64</v>
      </c>
      <c r="GQ374" s="14">
        <v>0</v>
      </c>
      <c r="GR374" s="15">
        <f t="shared" si="1934"/>
        <v>32819.86</v>
      </c>
      <c r="GS374" s="14">
        <v>48222</v>
      </c>
      <c r="GT374" s="14">
        <v>0</v>
      </c>
      <c r="GU374" s="14">
        <v>893</v>
      </c>
      <c r="GV374" s="14">
        <v>0</v>
      </c>
      <c r="GW374" s="15">
        <f t="shared" si="1935"/>
        <v>49115</v>
      </c>
      <c r="GX374" s="15">
        <f t="shared" si="1936"/>
        <v>7894008.1400000006</v>
      </c>
      <c r="GY374" s="14">
        <v>47816184.339999959</v>
      </c>
      <c r="GZ374" s="14">
        <v>0</v>
      </c>
      <c r="HA374" s="9">
        <f t="shared" si="1937"/>
        <v>47816184.339999959</v>
      </c>
      <c r="HB374" s="15">
        <f t="shared" si="1938"/>
        <v>0.3861644326224371</v>
      </c>
      <c r="HC374" s="16">
        <f t="shared" si="1939"/>
        <v>0.13745956707561544</v>
      </c>
      <c r="HD374" s="15">
        <f t="shared" si="1940"/>
        <v>0.97009007391269297</v>
      </c>
      <c r="HE374" s="14">
        <v>0</v>
      </c>
      <c r="HF374" s="14">
        <v>0</v>
      </c>
      <c r="HG374" s="14">
        <v>0</v>
      </c>
      <c r="HH374" s="14">
        <v>0</v>
      </c>
      <c r="HI374" s="14">
        <v>0</v>
      </c>
      <c r="HJ374" s="15">
        <f t="shared" si="1941"/>
        <v>0</v>
      </c>
      <c r="HK374" s="16" t="str">
        <f t="shared" si="1942"/>
        <v/>
      </c>
      <c r="HL374" s="14">
        <v>0</v>
      </c>
      <c r="HM374" s="14">
        <v>0</v>
      </c>
      <c r="HN374" s="17" t="str">
        <f t="shared" si="1943"/>
        <v/>
      </c>
    </row>
    <row r="375" spans="1:222" x14ac:dyDescent="0.3">
      <c r="A375" s="6" t="s">
        <v>295</v>
      </c>
      <c r="B375" s="6" t="s">
        <v>304</v>
      </c>
      <c r="C375" s="7" t="s">
        <v>257</v>
      </c>
      <c r="D375" s="7">
        <v>2025</v>
      </c>
      <c r="E375" s="7">
        <v>4</v>
      </c>
      <c r="F375" s="7" t="s">
        <v>258</v>
      </c>
      <c r="G375" s="7" t="s">
        <v>259</v>
      </c>
      <c r="H375" s="8">
        <v>6100</v>
      </c>
      <c r="I375" s="8">
        <v>1897</v>
      </c>
      <c r="J375" s="8">
        <v>0</v>
      </c>
      <c r="K375" s="8">
        <v>30</v>
      </c>
      <c r="L375" s="8">
        <v>5</v>
      </c>
      <c r="M375" s="9">
        <f t="shared" si="1883"/>
        <v>1932</v>
      </c>
      <c r="N375" s="8">
        <v>757.6</v>
      </c>
      <c r="O375" s="8">
        <v>47.1</v>
      </c>
      <c r="P375" s="8">
        <v>4.8</v>
      </c>
      <c r="Q375" s="8">
        <v>12.1</v>
      </c>
      <c r="R375" s="9">
        <f t="shared" si="1884"/>
        <v>821.6</v>
      </c>
      <c r="S375" s="9">
        <f t="shared" si="1885"/>
        <v>2753.6</v>
      </c>
      <c r="T375" s="8">
        <v>3346.4</v>
      </c>
      <c r="U375" s="10">
        <f t="shared" si="1886"/>
        <v>0.54859016393442628</v>
      </c>
      <c r="V375" s="8">
        <v>15</v>
      </c>
      <c r="W375" s="11">
        <f t="shared" si="1887"/>
        <v>2.4590163934426232E-3</v>
      </c>
      <c r="X375" s="8">
        <v>70</v>
      </c>
      <c r="Y375" s="11">
        <f t="shared" si="1888"/>
        <v>1.1475409836065573E-2</v>
      </c>
      <c r="Z375" s="8">
        <v>20</v>
      </c>
      <c r="AA375" s="11">
        <f t="shared" si="1889"/>
        <v>3.2786885245901639E-3</v>
      </c>
      <c r="AB375" s="8">
        <v>0</v>
      </c>
      <c r="AC375" s="11">
        <f t="shared" si="1890"/>
        <v>0</v>
      </c>
      <c r="AD375" s="8">
        <v>0</v>
      </c>
      <c r="AE375" s="11">
        <f t="shared" si="1891"/>
        <v>0</v>
      </c>
      <c r="AF375" s="8">
        <v>0</v>
      </c>
      <c r="AG375" s="11">
        <f t="shared" si="1892"/>
        <v>0</v>
      </c>
      <c r="AH375" s="8">
        <v>1241320</v>
      </c>
      <c r="AI375" s="9">
        <f t="shared" si="1893"/>
        <v>203.49508196721311</v>
      </c>
      <c r="AJ375" s="8">
        <v>394.89</v>
      </c>
      <c r="AK375" s="11">
        <f t="shared" si="1894"/>
        <v>6.4736065573770485E-2</v>
      </c>
      <c r="AL375" s="8">
        <v>139533.44101000001</v>
      </c>
      <c r="AM375" s="9">
        <f t="shared" si="1895"/>
        <v>22.874334591803279</v>
      </c>
      <c r="AN375" s="8">
        <v>0</v>
      </c>
      <c r="AO375" s="8">
        <v>0</v>
      </c>
      <c r="AP375" s="8">
        <v>0</v>
      </c>
      <c r="AQ375" s="8">
        <v>0</v>
      </c>
      <c r="AR375" s="8">
        <v>685470</v>
      </c>
      <c r="AS375" s="8">
        <v>374765.95</v>
      </c>
      <c r="AT375" s="8">
        <v>0</v>
      </c>
      <c r="AU375" s="9">
        <f t="shared" si="1896"/>
        <v>2441089.3910099999</v>
      </c>
      <c r="AV375" s="9">
        <f t="shared" si="1897"/>
        <v>400.17858869016391</v>
      </c>
      <c r="AW375" s="9">
        <f t="shared" si="1898"/>
        <v>886.50834943710049</v>
      </c>
      <c r="AX375" s="8">
        <v>1</v>
      </c>
      <c r="AY375" s="9">
        <f t="shared" si="1899"/>
        <v>1.9672131147540985</v>
      </c>
      <c r="AZ375" s="8">
        <v>4</v>
      </c>
      <c r="BA375" s="8">
        <v>2</v>
      </c>
      <c r="BB375" s="8">
        <v>5</v>
      </c>
      <c r="BC375" s="8">
        <v>3</v>
      </c>
      <c r="BD375" s="8">
        <v>0</v>
      </c>
      <c r="BE375" s="9">
        <f t="shared" si="1900"/>
        <v>3</v>
      </c>
      <c r="BF375" s="9">
        <f t="shared" si="1901"/>
        <v>4</v>
      </c>
      <c r="BG375" s="8">
        <v>0</v>
      </c>
      <c r="BH375" s="8">
        <v>0</v>
      </c>
      <c r="BI375" s="8">
        <v>0</v>
      </c>
      <c r="BJ375" s="8">
        <v>0</v>
      </c>
      <c r="BK375" s="9">
        <f t="shared" si="1902"/>
        <v>0</v>
      </c>
      <c r="BL375" s="9">
        <f t="shared" si="1903"/>
        <v>0</v>
      </c>
      <c r="BM375" s="8">
        <v>0</v>
      </c>
      <c r="BN375" s="8">
        <v>0</v>
      </c>
      <c r="BO375" s="8">
        <v>0</v>
      </c>
      <c r="BP375" s="8">
        <v>0</v>
      </c>
      <c r="BQ375" s="9">
        <f t="shared" si="1904"/>
        <v>0</v>
      </c>
      <c r="BR375" s="9">
        <f t="shared" si="1905"/>
        <v>0</v>
      </c>
      <c r="BS375" s="8">
        <v>0</v>
      </c>
      <c r="BT375" s="8">
        <v>0</v>
      </c>
      <c r="BU375" s="8">
        <v>0</v>
      </c>
      <c r="BV375" s="8">
        <v>0</v>
      </c>
      <c r="BW375" s="9">
        <f t="shared" si="1906"/>
        <v>0</v>
      </c>
      <c r="BX375" s="9">
        <f t="shared" si="1907"/>
        <v>0</v>
      </c>
      <c r="BY375" s="9">
        <f t="shared" si="1908"/>
        <v>2</v>
      </c>
      <c r="BZ375" s="9">
        <f t="shared" si="1909"/>
        <v>5</v>
      </c>
      <c r="CA375" s="9">
        <f t="shared" si="1910"/>
        <v>3</v>
      </c>
      <c r="CB375" s="9">
        <f t="shared" si="1911"/>
        <v>4</v>
      </c>
      <c r="CC375" s="8">
        <v>0</v>
      </c>
      <c r="CD375" s="8">
        <v>143</v>
      </c>
      <c r="CE375" s="8">
        <v>4</v>
      </c>
      <c r="CF375" s="8">
        <v>0</v>
      </c>
      <c r="CG375" s="8">
        <v>0</v>
      </c>
      <c r="CH375" s="9">
        <f t="shared" si="1912"/>
        <v>147</v>
      </c>
      <c r="CI375" s="8">
        <v>358</v>
      </c>
      <c r="CJ375" s="8">
        <v>2</v>
      </c>
      <c r="CK375" s="8">
        <v>1</v>
      </c>
      <c r="CL375" s="8">
        <v>0</v>
      </c>
      <c r="CM375" s="9">
        <f t="shared" si="1913"/>
        <v>361</v>
      </c>
      <c r="CN375" s="8">
        <v>32</v>
      </c>
      <c r="CO375" s="8">
        <v>3</v>
      </c>
      <c r="CP375" s="8">
        <v>11</v>
      </c>
      <c r="CQ375" s="8">
        <v>4</v>
      </c>
      <c r="CR375" s="9">
        <f t="shared" si="1914"/>
        <v>50</v>
      </c>
      <c r="CS375" s="9">
        <f t="shared" si="1915"/>
        <v>411</v>
      </c>
      <c r="CT375" s="8">
        <v>558</v>
      </c>
      <c r="CU375" s="8">
        <v>3590</v>
      </c>
      <c r="CV375" s="8">
        <v>3386.9</v>
      </c>
      <c r="CW375" s="10">
        <f t="shared" si="1916"/>
        <v>0.94342618384401111</v>
      </c>
      <c r="CX375" s="8">
        <v>0</v>
      </c>
      <c r="CY375" s="8">
        <v>0</v>
      </c>
      <c r="CZ375" s="8">
        <v>0</v>
      </c>
      <c r="DA375" s="8">
        <v>0</v>
      </c>
      <c r="DB375" s="9">
        <f t="shared" si="1917"/>
        <v>0</v>
      </c>
      <c r="DC375" s="8">
        <v>0</v>
      </c>
      <c r="DD375" s="8">
        <v>0</v>
      </c>
      <c r="DE375" s="8">
        <v>0</v>
      </c>
      <c r="DF375" s="8">
        <v>0</v>
      </c>
      <c r="DG375" s="9">
        <f t="shared" si="1918"/>
        <v>0</v>
      </c>
      <c r="DH375" s="8">
        <v>0</v>
      </c>
      <c r="DI375" s="8">
        <v>0</v>
      </c>
      <c r="DJ375" s="8">
        <v>0</v>
      </c>
      <c r="DK375" s="8">
        <v>0</v>
      </c>
      <c r="DL375" s="9">
        <f t="shared" si="1919"/>
        <v>0</v>
      </c>
      <c r="DM375" s="8">
        <v>0</v>
      </c>
      <c r="DN375" s="8">
        <v>0</v>
      </c>
      <c r="DO375" s="8">
        <v>0</v>
      </c>
      <c r="DP375" s="8">
        <v>0</v>
      </c>
      <c r="DQ375" s="9">
        <f t="shared" si="1920"/>
        <v>0</v>
      </c>
      <c r="DR375" s="9">
        <f t="shared" si="1921"/>
        <v>0</v>
      </c>
      <c r="DS375" s="9">
        <f t="shared" si="1922"/>
        <v>0</v>
      </c>
      <c r="DT375" s="9">
        <f t="shared" si="1923"/>
        <v>0</v>
      </c>
      <c r="DU375" s="9">
        <f t="shared" si="1924"/>
        <v>0</v>
      </c>
      <c r="DV375" s="9">
        <f t="shared" si="1925"/>
        <v>0</v>
      </c>
      <c r="DW375" s="8">
        <v>3</v>
      </c>
      <c r="DX375" s="8">
        <v>1</v>
      </c>
      <c r="DY375" s="8">
        <v>0</v>
      </c>
      <c r="DZ375" s="8">
        <v>1</v>
      </c>
      <c r="EA375" s="8">
        <v>0</v>
      </c>
      <c r="EB375" s="8">
        <v>0</v>
      </c>
      <c r="EC375" s="8">
        <v>0</v>
      </c>
      <c r="ED375" s="8">
        <v>0</v>
      </c>
      <c r="EE375" s="8">
        <v>2</v>
      </c>
      <c r="EF375" s="8">
        <v>0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8">
        <v>0</v>
      </c>
      <c r="FA375" s="8">
        <v>0</v>
      </c>
      <c r="FB375" s="8">
        <v>0</v>
      </c>
      <c r="FC375" s="8">
        <v>0</v>
      </c>
      <c r="FD375" s="8">
        <v>0</v>
      </c>
      <c r="FE375" s="8">
        <v>0</v>
      </c>
      <c r="FF375" s="8">
        <v>0</v>
      </c>
      <c r="FG375" s="9">
        <f t="shared" si="1926"/>
        <v>7</v>
      </c>
      <c r="FH375" s="8">
        <v>0</v>
      </c>
      <c r="FI375" s="8">
        <v>0</v>
      </c>
      <c r="FJ375" s="8">
        <v>12</v>
      </c>
      <c r="FK375" s="8">
        <v>0</v>
      </c>
      <c r="FL375" s="8">
        <v>0</v>
      </c>
      <c r="FM375" s="8">
        <v>0</v>
      </c>
      <c r="FN375" s="8">
        <v>0</v>
      </c>
      <c r="FO375" s="8">
        <v>0</v>
      </c>
      <c r="FP375" s="8">
        <v>0</v>
      </c>
      <c r="FQ375" s="9">
        <f t="shared" si="1927"/>
        <v>0</v>
      </c>
      <c r="FR375" s="8">
        <v>697167.22</v>
      </c>
      <c r="FS375" s="8">
        <v>0</v>
      </c>
      <c r="FT375" s="8">
        <v>0</v>
      </c>
      <c r="FU375" s="8">
        <v>142775.20000000001</v>
      </c>
      <c r="FV375" s="9">
        <f t="shared" si="1928"/>
        <v>839942.41999999993</v>
      </c>
      <c r="FW375" s="8">
        <v>995708.42</v>
      </c>
      <c r="FX375" s="8">
        <v>10000</v>
      </c>
      <c r="FY375" s="8">
        <v>72200</v>
      </c>
      <c r="FZ375" s="8">
        <v>14400</v>
      </c>
      <c r="GA375" s="9">
        <f t="shared" si="1929"/>
        <v>1092308.42</v>
      </c>
      <c r="GB375" s="9">
        <f t="shared" si="1930"/>
        <v>1932250.8399999999</v>
      </c>
      <c r="GC375" s="8">
        <v>1611410.52</v>
      </c>
      <c r="GD375" s="8">
        <v>0</v>
      </c>
      <c r="GE375" s="8">
        <v>85093.05</v>
      </c>
      <c r="GF375" s="8">
        <v>11796.63</v>
      </c>
      <c r="GG375" s="9">
        <f t="shared" si="1931"/>
        <v>1708300.2</v>
      </c>
      <c r="GH375" s="8">
        <v>946151.47</v>
      </c>
      <c r="GI375" s="8">
        <v>10000</v>
      </c>
      <c r="GJ375" s="8">
        <v>14400</v>
      </c>
      <c r="GK375" s="8">
        <v>57320</v>
      </c>
      <c r="GL375" s="9">
        <f t="shared" si="1932"/>
        <v>1027871.47</v>
      </c>
      <c r="GM375" s="9">
        <f t="shared" si="1933"/>
        <v>2736171.67</v>
      </c>
      <c r="GN375" s="8">
        <v>195084.94</v>
      </c>
      <c r="GO375" s="8">
        <v>0</v>
      </c>
      <c r="GP375" s="8">
        <v>6787.28</v>
      </c>
      <c r="GQ375" s="8">
        <v>4637.34</v>
      </c>
      <c r="GR375" s="9">
        <f t="shared" si="1934"/>
        <v>206509.56</v>
      </c>
      <c r="GS375" s="8">
        <v>319694</v>
      </c>
      <c r="GT375" s="8">
        <v>0</v>
      </c>
      <c r="GU375" s="8">
        <v>1786</v>
      </c>
      <c r="GV375" s="8">
        <v>893</v>
      </c>
      <c r="GW375" s="9">
        <f t="shared" si="1935"/>
        <v>322373</v>
      </c>
      <c r="GX375" s="9">
        <f t="shared" si="1936"/>
        <v>3265054.23</v>
      </c>
      <c r="GY375" s="8">
        <v>16166830.52999999</v>
      </c>
      <c r="GZ375" s="8">
        <v>0</v>
      </c>
      <c r="HA375" s="9">
        <f t="shared" si="1937"/>
        <v>16166830.52999999</v>
      </c>
      <c r="HB375" s="9">
        <f t="shared" si="1938"/>
        <v>0.74764130058875011</v>
      </c>
      <c r="HC375" s="10">
        <f t="shared" si="1939"/>
        <v>9.943712943262642E-2</v>
      </c>
      <c r="HD375" s="9">
        <f t="shared" si="1940"/>
        <v>0.59179747222758983</v>
      </c>
      <c r="HE375" s="8">
        <v>1</v>
      </c>
      <c r="HF375" s="8">
        <v>1</v>
      </c>
      <c r="HG375" s="8">
        <v>4</v>
      </c>
      <c r="HH375" s="8">
        <v>5</v>
      </c>
      <c r="HI375" s="8">
        <v>3</v>
      </c>
      <c r="HJ375" s="9">
        <f t="shared" si="1941"/>
        <v>4</v>
      </c>
      <c r="HK375" s="10">
        <f t="shared" si="1942"/>
        <v>5</v>
      </c>
      <c r="HL375" s="8">
        <v>5</v>
      </c>
      <c r="HM375" s="8">
        <v>2</v>
      </c>
      <c r="HN375" s="11">
        <f t="shared" si="1943"/>
        <v>0.4</v>
      </c>
    </row>
    <row r="376" spans="1:222" x14ac:dyDescent="0.3">
      <c r="A376" s="12" t="s">
        <v>295</v>
      </c>
      <c r="B376" s="12" t="s">
        <v>304</v>
      </c>
      <c r="C376" s="13" t="s">
        <v>257</v>
      </c>
      <c r="D376" s="13">
        <v>2025</v>
      </c>
      <c r="E376" s="13">
        <v>5</v>
      </c>
      <c r="F376" s="13" t="s">
        <v>260</v>
      </c>
      <c r="G376" s="13" t="s">
        <v>259</v>
      </c>
      <c r="H376" s="14">
        <v>5530</v>
      </c>
      <c r="I376" s="14">
        <v>1247</v>
      </c>
      <c r="J376" s="14">
        <v>0</v>
      </c>
      <c r="K376" s="14">
        <v>49</v>
      </c>
      <c r="L376" s="14">
        <v>4</v>
      </c>
      <c r="M376" s="15">
        <f t="shared" si="1883"/>
        <v>1300</v>
      </c>
      <c r="N376" s="14">
        <v>1030.7</v>
      </c>
      <c r="O376" s="14">
        <v>0</v>
      </c>
      <c r="P376" s="14">
        <v>29.3</v>
      </c>
      <c r="Q376" s="14">
        <v>12.1</v>
      </c>
      <c r="R376" s="15">
        <f t="shared" si="1884"/>
        <v>1072.0999999999999</v>
      </c>
      <c r="S376" s="15">
        <f t="shared" si="1885"/>
        <v>2372.1</v>
      </c>
      <c r="T376" s="14">
        <v>3157.9</v>
      </c>
      <c r="U376" s="16">
        <f t="shared" si="1886"/>
        <v>0.57104882459312845</v>
      </c>
      <c r="V376" s="14">
        <v>11</v>
      </c>
      <c r="W376" s="17">
        <f t="shared" si="1887"/>
        <v>1.9891500904159133E-3</v>
      </c>
      <c r="X376" s="14">
        <v>63</v>
      </c>
      <c r="Y376" s="17">
        <f t="shared" si="1888"/>
        <v>1.1392405063291139E-2</v>
      </c>
      <c r="Z376" s="14">
        <v>24</v>
      </c>
      <c r="AA376" s="17">
        <f t="shared" si="1889"/>
        <v>4.3399638336347199E-3</v>
      </c>
      <c r="AB376" s="14">
        <v>0</v>
      </c>
      <c r="AC376" s="17">
        <f t="shared" si="1890"/>
        <v>0</v>
      </c>
      <c r="AD376" s="14">
        <v>0</v>
      </c>
      <c r="AE376" s="17">
        <f t="shared" si="1891"/>
        <v>0</v>
      </c>
      <c r="AF376" s="14">
        <v>0</v>
      </c>
      <c r="AG376" s="17">
        <f t="shared" si="1892"/>
        <v>0</v>
      </c>
      <c r="AH376" s="14">
        <v>1124884</v>
      </c>
      <c r="AI376" s="15">
        <f t="shared" si="1893"/>
        <v>203.41482820976492</v>
      </c>
      <c r="AJ376" s="14">
        <v>255.91</v>
      </c>
      <c r="AK376" s="17">
        <f t="shared" si="1894"/>
        <v>4.6276672694394214E-2</v>
      </c>
      <c r="AL376" s="14">
        <v>101548.95619</v>
      </c>
      <c r="AM376" s="15">
        <f t="shared" si="1895"/>
        <v>18.363283216998191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5">
        <f t="shared" si="1896"/>
        <v>1226432.9561900001</v>
      </c>
      <c r="AV376" s="15">
        <f t="shared" si="1897"/>
        <v>221.77811142676313</v>
      </c>
      <c r="AW376" s="15">
        <f t="shared" si="1898"/>
        <v>517.02413734243919</v>
      </c>
      <c r="AX376" s="14">
        <v>1</v>
      </c>
      <c r="AY376" s="15">
        <f t="shared" si="1899"/>
        <v>2.1699819168173597</v>
      </c>
      <c r="AZ376" s="14">
        <v>4</v>
      </c>
      <c r="BA376" s="14">
        <v>4</v>
      </c>
      <c r="BB376" s="14">
        <v>6</v>
      </c>
      <c r="BC376" s="14">
        <v>6</v>
      </c>
      <c r="BD376" s="14">
        <v>0</v>
      </c>
      <c r="BE376" s="15">
        <f t="shared" si="1900"/>
        <v>6</v>
      </c>
      <c r="BF376" s="15">
        <f t="shared" si="1901"/>
        <v>4</v>
      </c>
      <c r="BG376" s="14">
        <v>0</v>
      </c>
      <c r="BH376" s="14">
        <v>1</v>
      </c>
      <c r="BI376" s="14">
        <v>1</v>
      </c>
      <c r="BJ376" s="14">
        <v>0</v>
      </c>
      <c r="BK376" s="15">
        <f t="shared" si="1902"/>
        <v>1</v>
      </c>
      <c r="BL376" s="15">
        <f t="shared" si="1903"/>
        <v>0</v>
      </c>
      <c r="BM376" s="14">
        <v>0</v>
      </c>
      <c r="BN376" s="14">
        <v>0</v>
      </c>
      <c r="BO376" s="14">
        <v>0</v>
      </c>
      <c r="BP376" s="14">
        <v>0</v>
      </c>
      <c r="BQ376" s="15">
        <f t="shared" si="1904"/>
        <v>0</v>
      </c>
      <c r="BR376" s="15">
        <f t="shared" si="1905"/>
        <v>0</v>
      </c>
      <c r="BS376" s="14">
        <v>0</v>
      </c>
      <c r="BT376" s="14">
        <v>0</v>
      </c>
      <c r="BU376" s="14">
        <v>0</v>
      </c>
      <c r="BV376" s="14">
        <v>0</v>
      </c>
      <c r="BW376" s="15">
        <f t="shared" si="1906"/>
        <v>0</v>
      </c>
      <c r="BX376" s="15">
        <f t="shared" si="1907"/>
        <v>0</v>
      </c>
      <c r="BY376" s="15">
        <f t="shared" si="1908"/>
        <v>4</v>
      </c>
      <c r="BZ376" s="15">
        <f t="shared" si="1909"/>
        <v>7</v>
      </c>
      <c r="CA376" s="15">
        <f t="shared" si="1910"/>
        <v>7</v>
      </c>
      <c r="CB376" s="15">
        <f t="shared" si="1911"/>
        <v>4</v>
      </c>
      <c r="CC376" s="14">
        <v>168</v>
      </c>
      <c r="CD376" s="14">
        <v>136</v>
      </c>
      <c r="CE376" s="14">
        <v>4</v>
      </c>
      <c r="CF376" s="14">
        <v>0</v>
      </c>
      <c r="CG376" s="14">
        <v>0</v>
      </c>
      <c r="CH376" s="15">
        <f t="shared" si="1912"/>
        <v>140</v>
      </c>
      <c r="CI376" s="14">
        <v>203</v>
      </c>
      <c r="CJ376" s="14">
        <v>3</v>
      </c>
      <c r="CK376" s="14">
        <v>1</v>
      </c>
      <c r="CL376" s="14">
        <v>0</v>
      </c>
      <c r="CM376" s="15">
        <f t="shared" si="1913"/>
        <v>207</v>
      </c>
      <c r="CN376" s="14">
        <v>200</v>
      </c>
      <c r="CO376" s="14">
        <v>3</v>
      </c>
      <c r="CP376" s="14">
        <v>11</v>
      </c>
      <c r="CQ376" s="14">
        <v>4</v>
      </c>
      <c r="CR376" s="15">
        <f t="shared" si="1914"/>
        <v>218</v>
      </c>
      <c r="CS376" s="15">
        <f t="shared" si="1915"/>
        <v>425</v>
      </c>
      <c r="CT376" s="14">
        <v>565</v>
      </c>
      <c r="CU376" s="14">
        <v>3597</v>
      </c>
      <c r="CV376" s="14">
        <v>3417.1</v>
      </c>
      <c r="CW376" s="16">
        <f t="shared" si="1916"/>
        <v>0.94998609952738389</v>
      </c>
      <c r="CX376" s="14">
        <v>0</v>
      </c>
      <c r="CY376" s="14">
        <v>0</v>
      </c>
      <c r="CZ376" s="14">
        <v>0</v>
      </c>
      <c r="DA376" s="14">
        <v>0</v>
      </c>
      <c r="DB376" s="15">
        <f t="shared" si="1917"/>
        <v>0</v>
      </c>
      <c r="DC376" s="14">
        <v>0</v>
      </c>
      <c r="DD376" s="14">
        <v>0</v>
      </c>
      <c r="DE376" s="14">
        <v>0</v>
      </c>
      <c r="DF376" s="14">
        <v>0</v>
      </c>
      <c r="DG376" s="15">
        <f t="shared" si="1918"/>
        <v>0</v>
      </c>
      <c r="DH376" s="14">
        <v>0</v>
      </c>
      <c r="DI376" s="14">
        <v>0</v>
      </c>
      <c r="DJ376" s="14">
        <v>0</v>
      </c>
      <c r="DK376" s="14">
        <v>0</v>
      </c>
      <c r="DL376" s="15">
        <f t="shared" si="1919"/>
        <v>0</v>
      </c>
      <c r="DM376" s="14">
        <v>0</v>
      </c>
      <c r="DN376" s="14">
        <v>0</v>
      </c>
      <c r="DO376" s="14">
        <v>0</v>
      </c>
      <c r="DP376" s="14">
        <v>0</v>
      </c>
      <c r="DQ376" s="15">
        <f t="shared" si="1920"/>
        <v>0</v>
      </c>
      <c r="DR376" s="15">
        <f t="shared" si="1921"/>
        <v>0</v>
      </c>
      <c r="DS376" s="15">
        <f t="shared" si="1922"/>
        <v>0</v>
      </c>
      <c r="DT376" s="15">
        <f t="shared" si="1923"/>
        <v>0</v>
      </c>
      <c r="DU376" s="15">
        <f t="shared" si="1924"/>
        <v>0</v>
      </c>
      <c r="DV376" s="15">
        <f t="shared" si="1925"/>
        <v>0</v>
      </c>
      <c r="DW376" s="14">
        <v>2</v>
      </c>
      <c r="DX376" s="14">
        <v>1</v>
      </c>
      <c r="DY376" s="14">
        <v>2</v>
      </c>
      <c r="DZ376" s="14">
        <v>0</v>
      </c>
      <c r="EA376" s="14">
        <v>0</v>
      </c>
      <c r="EB376" s="14">
        <v>0</v>
      </c>
      <c r="EC376" s="14">
        <v>1</v>
      </c>
      <c r="ED376" s="14">
        <v>0</v>
      </c>
      <c r="EE376" s="14">
        <v>0</v>
      </c>
      <c r="EF376" s="14">
        <v>0</v>
      </c>
      <c r="EG376" s="14">
        <v>0</v>
      </c>
      <c r="EH376" s="14">
        <v>0</v>
      </c>
      <c r="EI376" s="14">
        <v>0</v>
      </c>
      <c r="EJ376" s="14">
        <v>0</v>
      </c>
      <c r="EK376" s="14">
        <v>0</v>
      </c>
      <c r="EL376" s="14">
        <v>0</v>
      </c>
      <c r="EM376" s="14">
        <v>0</v>
      </c>
      <c r="EN376" s="14">
        <v>0</v>
      </c>
      <c r="EO376" s="14">
        <v>0</v>
      </c>
      <c r="EP376" s="14">
        <v>0</v>
      </c>
      <c r="EQ376" s="14">
        <v>0</v>
      </c>
      <c r="ER376" s="14">
        <v>0</v>
      </c>
      <c r="ES376" s="14">
        <v>0</v>
      </c>
      <c r="ET376" s="14">
        <v>0</v>
      </c>
      <c r="EU376" s="14">
        <v>0</v>
      </c>
      <c r="EV376" s="14">
        <v>0</v>
      </c>
      <c r="EW376" s="14">
        <v>0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5">
        <f t="shared" si="1926"/>
        <v>6</v>
      </c>
      <c r="FH376" s="14">
        <v>0</v>
      </c>
      <c r="FI376" s="14">
        <v>0</v>
      </c>
      <c r="FJ376" s="14">
        <v>16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14">
        <v>0</v>
      </c>
      <c r="FQ376" s="15">
        <f t="shared" si="1927"/>
        <v>0</v>
      </c>
      <c r="FR376" s="14">
        <v>2557976.04</v>
      </c>
      <c r="FS376" s="14">
        <v>0</v>
      </c>
      <c r="FT376" s="14">
        <v>0</v>
      </c>
      <c r="FU376" s="14">
        <v>0</v>
      </c>
      <c r="FV376" s="15">
        <f t="shared" si="1928"/>
        <v>2557976.04</v>
      </c>
      <c r="FW376" s="14">
        <v>1378424.4</v>
      </c>
      <c r="FX376" s="14">
        <v>0</v>
      </c>
      <c r="FY376" s="14">
        <v>72900</v>
      </c>
      <c r="FZ376" s="14">
        <v>89400</v>
      </c>
      <c r="GA376" s="15">
        <f t="shared" si="1929"/>
        <v>1540724.4</v>
      </c>
      <c r="GB376" s="15">
        <f t="shared" si="1930"/>
        <v>4098700.44</v>
      </c>
      <c r="GC376" s="14">
        <v>1069378.9099999999</v>
      </c>
      <c r="GD376" s="14">
        <v>0</v>
      </c>
      <c r="GE376" s="14">
        <v>146193.4</v>
      </c>
      <c r="GF376" s="14">
        <v>8410.99</v>
      </c>
      <c r="GG376" s="15">
        <f t="shared" si="1931"/>
        <v>1223983.2999999998</v>
      </c>
      <c r="GH376" s="14">
        <v>1285684.23</v>
      </c>
      <c r="GI376" s="14">
        <v>0</v>
      </c>
      <c r="GJ376" s="14">
        <v>89400</v>
      </c>
      <c r="GK376" s="14">
        <v>57660</v>
      </c>
      <c r="GL376" s="15">
        <f t="shared" si="1932"/>
        <v>1432744.23</v>
      </c>
      <c r="GM376" s="15">
        <f t="shared" si="1933"/>
        <v>2656727.5299999998</v>
      </c>
      <c r="GN376" s="14">
        <v>110620.79</v>
      </c>
      <c r="GO376" s="14">
        <v>0</v>
      </c>
      <c r="GP376" s="14">
        <v>10180.92</v>
      </c>
      <c r="GQ376" s="14">
        <v>4637.34</v>
      </c>
      <c r="GR376" s="15">
        <f t="shared" si="1934"/>
        <v>125439.04999999999</v>
      </c>
      <c r="GS376" s="14">
        <v>181279</v>
      </c>
      <c r="GT376" s="14">
        <v>0</v>
      </c>
      <c r="GU376" s="14">
        <v>2679</v>
      </c>
      <c r="GV376" s="14">
        <v>893</v>
      </c>
      <c r="GW376" s="15">
        <f t="shared" si="1935"/>
        <v>184851</v>
      </c>
      <c r="GX376" s="15">
        <f t="shared" si="1936"/>
        <v>2967017.5799999996</v>
      </c>
      <c r="GY376" s="14">
        <v>15906338.539999999</v>
      </c>
      <c r="GZ376" s="14">
        <v>0</v>
      </c>
      <c r="HA376" s="9">
        <f t="shared" si="1937"/>
        <v>15906338.539999999</v>
      </c>
      <c r="HB376" s="15">
        <f t="shared" si="1938"/>
        <v>0.41335547334033668</v>
      </c>
      <c r="HC376" s="16">
        <f t="shared" si="1939"/>
        <v>0.2171686060465223</v>
      </c>
      <c r="HD376" s="15">
        <f t="shared" si="1940"/>
        <v>1.3814210160493894</v>
      </c>
      <c r="HE376" s="14">
        <v>6</v>
      </c>
      <c r="HF376" s="14">
        <v>1</v>
      </c>
      <c r="HG376" s="14">
        <v>4</v>
      </c>
      <c r="HH376" s="14">
        <v>7</v>
      </c>
      <c r="HI376" s="14">
        <v>7</v>
      </c>
      <c r="HJ376" s="15">
        <f t="shared" si="1941"/>
        <v>8</v>
      </c>
      <c r="HK376" s="16">
        <f t="shared" si="1942"/>
        <v>1.1666666666666667</v>
      </c>
      <c r="HL376" s="14">
        <v>23</v>
      </c>
      <c r="HM376" s="14">
        <v>31</v>
      </c>
      <c r="HN376" s="17">
        <f t="shared" si="1943"/>
        <v>1.3478260869565217</v>
      </c>
    </row>
    <row r="377" spans="1:222" x14ac:dyDescent="0.3">
      <c r="A377" s="6" t="s">
        <v>295</v>
      </c>
      <c r="B377" s="6" t="s">
        <v>304</v>
      </c>
      <c r="C377" s="7" t="s">
        <v>257</v>
      </c>
      <c r="D377" s="7">
        <v>2025</v>
      </c>
      <c r="E377" s="7">
        <v>6</v>
      </c>
      <c r="F377" s="7" t="s">
        <v>261</v>
      </c>
      <c r="G377" s="7" t="s">
        <v>259</v>
      </c>
      <c r="H377" s="8">
        <v>4110</v>
      </c>
      <c r="I377" s="8">
        <v>674</v>
      </c>
      <c r="J377" s="8">
        <v>0</v>
      </c>
      <c r="K377" s="8">
        <v>57</v>
      </c>
      <c r="L377" s="8">
        <v>4</v>
      </c>
      <c r="M377" s="9">
        <f t="shared" si="1883"/>
        <v>735</v>
      </c>
      <c r="N377" s="8">
        <v>1542.9</v>
      </c>
      <c r="O377" s="8">
        <v>56.1</v>
      </c>
      <c r="P377" s="8">
        <v>4.5999999999999996</v>
      </c>
      <c r="Q377" s="8">
        <v>19.5</v>
      </c>
      <c r="R377" s="9">
        <f t="shared" si="1884"/>
        <v>1623.1</v>
      </c>
      <c r="S377" s="9">
        <f t="shared" si="1885"/>
        <v>2358.1</v>
      </c>
      <c r="T377" s="8">
        <v>1751.9</v>
      </c>
      <c r="U377" s="10">
        <f t="shared" si="1886"/>
        <v>0.42625304136253045</v>
      </c>
      <c r="V377" s="8">
        <v>9</v>
      </c>
      <c r="W377" s="11">
        <f t="shared" si="1887"/>
        <v>2.1897810218978104E-3</v>
      </c>
      <c r="X377" s="8">
        <v>30</v>
      </c>
      <c r="Y377" s="11">
        <f t="shared" si="1888"/>
        <v>7.2992700729927005E-3</v>
      </c>
      <c r="Z377" s="8">
        <v>16</v>
      </c>
      <c r="AA377" s="11">
        <f t="shared" si="1889"/>
        <v>3.8929440389294406E-3</v>
      </c>
      <c r="AB377" s="8">
        <v>0</v>
      </c>
      <c r="AC377" s="11">
        <f t="shared" si="1890"/>
        <v>0</v>
      </c>
      <c r="AD377" s="8">
        <v>0</v>
      </c>
      <c r="AE377" s="11">
        <f t="shared" si="1891"/>
        <v>0</v>
      </c>
      <c r="AF377" s="8">
        <v>0</v>
      </c>
      <c r="AG377" s="11">
        <f t="shared" si="1892"/>
        <v>0</v>
      </c>
      <c r="AH377" s="8">
        <v>688856</v>
      </c>
      <c r="AI377" s="9">
        <f t="shared" si="1893"/>
        <v>167.60486618004867</v>
      </c>
      <c r="AJ377" s="8">
        <v>289.94</v>
      </c>
      <c r="AK377" s="11">
        <f t="shared" si="1894"/>
        <v>7.0545012165450116E-2</v>
      </c>
      <c r="AL377" s="8">
        <v>110849.66146</v>
      </c>
      <c r="AM377" s="9">
        <f t="shared" si="1895"/>
        <v>26.970720549878347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9">
        <f t="shared" si="1896"/>
        <v>799705.66145999997</v>
      </c>
      <c r="AV377" s="9">
        <f t="shared" si="1897"/>
        <v>194.57558672992701</v>
      </c>
      <c r="AW377" s="9">
        <f t="shared" si="1898"/>
        <v>339.13136061235741</v>
      </c>
      <c r="AX377" s="8">
        <v>1</v>
      </c>
      <c r="AY377" s="9">
        <f t="shared" si="1899"/>
        <v>2.9197080291970803</v>
      </c>
      <c r="AZ377" s="8">
        <v>4</v>
      </c>
      <c r="BA377" s="8">
        <v>4</v>
      </c>
      <c r="BB377" s="8">
        <v>10</v>
      </c>
      <c r="BC377" s="8">
        <v>11</v>
      </c>
      <c r="BD377" s="8">
        <v>0</v>
      </c>
      <c r="BE377" s="9">
        <f t="shared" si="1900"/>
        <v>11</v>
      </c>
      <c r="BF377" s="9">
        <f t="shared" si="1901"/>
        <v>3</v>
      </c>
      <c r="BG377" s="8">
        <v>0</v>
      </c>
      <c r="BH377" s="8">
        <v>0</v>
      </c>
      <c r="BI377" s="8">
        <v>0</v>
      </c>
      <c r="BJ377" s="8">
        <v>0</v>
      </c>
      <c r="BK377" s="9">
        <f t="shared" si="1902"/>
        <v>0</v>
      </c>
      <c r="BL377" s="9">
        <f t="shared" si="1903"/>
        <v>0</v>
      </c>
      <c r="BM377" s="8">
        <v>0</v>
      </c>
      <c r="BN377" s="8">
        <v>0</v>
      </c>
      <c r="BO377" s="8">
        <v>0</v>
      </c>
      <c r="BP377" s="8">
        <v>0</v>
      </c>
      <c r="BQ377" s="9">
        <f t="shared" si="1904"/>
        <v>0</v>
      </c>
      <c r="BR377" s="9">
        <f t="shared" si="1905"/>
        <v>0</v>
      </c>
      <c r="BS377" s="8">
        <v>0</v>
      </c>
      <c r="BT377" s="8">
        <v>0</v>
      </c>
      <c r="BU377" s="8">
        <v>0</v>
      </c>
      <c r="BV377" s="8">
        <v>0</v>
      </c>
      <c r="BW377" s="9">
        <f t="shared" si="1906"/>
        <v>0</v>
      </c>
      <c r="BX377" s="9">
        <f t="shared" si="1907"/>
        <v>0</v>
      </c>
      <c r="BY377" s="9">
        <f t="shared" si="1908"/>
        <v>4</v>
      </c>
      <c r="BZ377" s="9">
        <f t="shared" si="1909"/>
        <v>10</v>
      </c>
      <c r="CA377" s="9">
        <f t="shared" si="1910"/>
        <v>11</v>
      </c>
      <c r="CB377" s="9">
        <f t="shared" si="1911"/>
        <v>3</v>
      </c>
      <c r="CC377" s="8">
        <v>0</v>
      </c>
      <c r="CD377" s="8">
        <v>134</v>
      </c>
      <c r="CE377" s="8">
        <v>4</v>
      </c>
      <c r="CF377" s="8">
        <v>0</v>
      </c>
      <c r="CG377" s="8">
        <v>0</v>
      </c>
      <c r="CH377" s="9">
        <f t="shared" si="1912"/>
        <v>138</v>
      </c>
      <c r="CI377" s="8">
        <v>126</v>
      </c>
      <c r="CJ377" s="8">
        <v>3</v>
      </c>
      <c r="CK377" s="8">
        <v>1</v>
      </c>
      <c r="CL377" s="8">
        <v>0</v>
      </c>
      <c r="CM377" s="9">
        <f t="shared" si="1913"/>
        <v>130</v>
      </c>
      <c r="CN377" s="8">
        <v>290</v>
      </c>
      <c r="CO377" s="8">
        <v>3</v>
      </c>
      <c r="CP377" s="8">
        <v>11</v>
      </c>
      <c r="CQ377" s="8">
        <v>4</v>
      </c>
      <c r="CR377" s="9">
        <f t="shared" si="1914"/>
        <v>308</v>
      </c>
      <c r="CS377" s="9">
        <f t="shared" si="1915"/>
        <v>438</v>
      </c>
      <c r="CT377" s="8">
        <v>576</v>
      </c>
      <c r="CU377" s="8">
        <v>3604</v>
      </c>
      <c r="CV377" s="8">
        <v>3464.3</v>
      </c>
      <c r="CW377" s="10">
        <f t="shared" si="1916"/>
        <v>0.961237513873474</v>
      </c>
      <c r="CX377" s="8">
        <v>0</v>
      </c>
      <c r="CY377" s="8">
        <v>0</v>
      </c>
      <c r="CZ377" s="8">
        <v>0</v>
      </c>
      <c r="DA377" s="8">
        <v>0</v>
      </c>
      <c r="DB377" s="9">
        <f t="shared" si="1917"/>
        <v>0</v>
      </c>
      <c r="DC377" s="8">
        <v>0</v>
      </c>
      <c r="DD377" s="8">
        <v>0</v>
      </c>
      <c r="DE377" s="8">
        <v>0</v>
      </c>
      <c r="DF377" s="8">
        <v>0</v>
      </c>
      <c r="DG377" s="9">
        <f t="shared" si="1918"/>
        <v>0</v>
      </c>
      <c r="DH377" s="8">
        <v>0</v>
      </c>
      <c r="DI377" s="8">
        <v>0</v>
      </c>
      <c r="DJ377" s="8">
        <v>0</v>
      </c>
      <c r="DK377" s="8">
        <v>0</v>
      </c>
      <c r="DL377" s="9">
        <f t="shared" si="1919"/>
        <v>0</v>
      </c>
      <c r="DM377" s="8">
        <v>0</v>
      </c>
      <c r="DN377" s="8">
        <v>0</v>
      </c>
      <c r="DO377" s="8">
        <v>0</v>
      </c>
      <c r="DP377" s="8">
        <v>0</v>
      </c>
      <c r="DQ377" s="9">
        <f t="shared" si="1920"/>
        <v>0</v>
      </c>
      <c r="DR377" s="9">
        <f t="shared" si="1921"/>
        <v>0</v>
      </c>
      <c r="DS377" s="9">
        <f t="shared" si="1922"/>
        <v>0</v>
      </c>
      <c r="DT377" s="9">
        <f t="shared" si="1923"/>
        <v>0</v>
      </c>
      <c r="DU377" s="9">
        <f t="shared" si="1924"/>
        <v>0</v>
      </c>
      <c r="DV377" s="9">
        <f t="shared" si="1925"/>
        <v>0</v>
      </c>
      <c r="DW377" s="8">
        <v>2</v>
      </c>
      <c r="DX377" s="8">
        <v>0</v>
      </c>
      <c r="DY377" s="8">
        <v>0</v>
      </c>
      <c r="DZ377" s="8">
        <v>0</v>
      </c>
      <c r="EA377" s="8">
        <v>0</v>
      </c>
      <c r="EB377" s="8">
        <v>2</v>
      </c>
      <c r="EC377" s="8">
        <v>0</v>
      </c>
      <c r="ED377" s="8">
        <v>0</v>
      </c>
      <c r="EE377" s="8">
        <v>1</v>
      </c>
      <c r="EF377" s="8">
        <v>1</v>
      </c>
      <c r="EG377" s="8">
        <v>0</v>
      </c>
      <c r="EH377" s="8">
        <v>0</v>
      </c>
      <c r="EI377" s="8">
        <v>0</v>
      </c>
      <c r="EJ377" s="8">
        <v>0</v>
      </c>
      <c r="EK377" s="8">
        <v>0</v>
      </c>
      <c r="EL377" s="8">
        <v>0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8">
        <v>0</v>
      </c>
      <c r="FA377" s="8">
        <v>0</v>
      </c>
      <c r="FB377" s="8">
        <v>0</v>
      </c>
      <c r="FC377" s="8">
        <v>0</v>
      </c>
      <c r="FD377" s="8">
        <v>0</v>
      </c>
      <c r="FE377" s="8">
        <v>0</v>
      </c>
      <c r="FF377" s="8">
        <v>0</v>
      </c>
      <c r="FG377" s="9">
        <f t="shared" si="1926"/>
        <v>6</v>
      </c>
      <c r="FH377" s="8">
        <v>0</v>
      </c>
      <c r="FI377" s="8">
        <v>0</v>
      </c>
      <c r="FJ377" s="8">
        <v>14</v>
      </c>
      <c r="FK377" s="8">
        <v>0</v>
      </c>
      <c r="FL377" s="8">
        <v>0</v>
      </c>
      <c r="FM377" s="8">
        <v>0</v>
      </c>
      <c r="FN377" s="8">
        <v>0</v>
      </c>
      <c r="FO377" s="8">
        <v>0</v>
      </c>
      <c r="FP377" s="8">
        <v>0</v>
      </c>
      <c r="FQ377" s="9">
        <f t="shared" si="1927"/>
        <v>0</v>
      </c>
      <c r="FR377" s="8">
        <v>1293244.49</v>
      </c>
      <c r="FS377" s="8">
        <v>0</v>
      </c>
      <c r="FT377" s="8">
        <v>0</v>
      </c>
      <c r="FU377" s="8">
        <v>12700</v>
      </c>
      <c r="FV377" s="9">
        <f t="shared" si="1928"/>
        <v>1305944.49</v>
      </c>
      <c r="FW377" s="8">
        <v>2391084.3199999998</v>
      </c>
      <c r="FX377" s="8">
        <v>11900</v>
      </c>
      <c r="FY377" s="8">
        <v>108400</v>
      </c>
      <c r="FZ377" s="8">
        <v>14400</v>
      </c>
      <c r="GA377" s="9">
        <f t="shared" si="1929"/>
        <v>2525784.3199999998</v>
      </c>
      <c r="GB377" s="9">
        <f t="shared" si="1930"/>
        <v>3831728.8099999996</v>
      </c>
      <c r="GC377" s="8">
        <v>575221.07999999996</v>
      </c>
      <c r="GD377" s="8">
        <v>0</v>
      </c>
      <c r="GE377" s="8">
        <v>173869.16</v>
      </c>
      <c r="GF377" s="8">
        <v>8410.99</v>
      </c>
      <c r="GG377" s="9">
        <f t="shared" si="1931"/>
        <v>757501.23</v>
      </c>
      <c r="GH377" s="8">
        <v>1925831.51</v>
      </c>
      <c r="GI377" s="8">
        <v>11900</v>
      </c>
      <c r="GJ377" s="8">
        <v>14400</v>
      </c>
      <c r="GK377" s="8">
        <v>92275.8</v>
      </c>
      <c r="GL377" s="9">
        <f t="shared" si="1932"/>
        <v>2044407.31</v>
      </c>
      <c r="GM377" s="9">
        <f t="shared" si="1933"/>
        <v>2801908.54</v>
      </c>
      <c r="GN377" s="8">
        <v>68661.179999999993</v>
      </c>
      <c r="GO377" s="8">
        <v>0</v>
      </c>
      <c r="GP377" s="8">
        <v>10180.92</v>
      </c>
      <c r="GQ377" s="8">
        <v>4637.34</v>
      </c>
      <c r="GR377" s="9">
        <f t="shared" si="1934"/>
        <v>83479.439999999988</v>
      </c>
      <c r="GS377" s="8">
        <v>112518</v>
      </c>
      <c r="GT377" s="8">
        <v>0</v>
      </c>
      <c r="GU377" s="8">
        <v>2679</v>
      </c>
      <c r="GV377" s="8">
        <v>893</v>
      </c>
      <c r="GW377" s="9">
        <f t="shared" si="1935"/>
        <v>116090</v>
      </c>
      <c r="GX377" s="9">
        <f t="shared" si="1936"/>
        <v>3001477.98</v>
      </c>
      <c r="GY377" s="8">
        <v>15530825.76</v>
      </c>
      <c r="GZ377" s="8">
        <v>0</v>
      </c>
      <c r="HA377" s="9">
        <f t="shared" si="1937"/>
        <v>15530825.76</v>
      </c>
      <c r="HB377" s="9">
        <f t="shared" si="1938"/>
        <v>0.26643729082430251</v>
      </c>
      <c r="HC377" s="10">
        <f t="shared" si="1939"/>
        <v>0.20675944360493198</v>
      </c>
      <c r="HD377" s="9">
        <f t="shared" si="1940"/>
        <v>1.2766140000134198</v>
      </c>
      <c r="HE377" s="8">
        <v>11</v>
      </c>
      <c r="HF377" s="8">
        <v>1</v>
      </c>
      <c r="HG377" s="8">
        <v>3</v>
      </c>
      <c r="HH377" s="8">
        <v>10</v>
      </c>
      <c r="HI377" s="8">
        <v>7</v>
      </c>
      <c r="HJ377" s="9">
        <f t="shared" si="1941"/>
        <v>8</v>
      </c>
      <c r="HK377" s="10">
        <f t="shared" si="1942"/>
        <v>0.90909090909090906</v>
      </c>
      <c r="HL377" s="8">
        <v>10</v>
      </c>
      <c r="HM377" s="8">
        <v>1</v>
      </c>
      <c r="HN377" s="11">
        <f t="shared" si="1943"/>
        <v>0.1</v>
      </c>
    </row>
    <row r="378" spans="1:222" x14ac:dyDescent="0.3">
      <c r="A378" s="12" t="s">
        <v>295</v>
      </c>
      <c r="B378" s="12" t="s">
        <v>304</v>
      </c>
      <c r="C378" s="13" t="s">
        <v>257</v>
      </c>
      <c r="D378" s="13">
        <v>2025</v>
      </c>
      <c r="E378" s="13">
        <v>7</v>
      </c>
      <c r="F378" s="13" t="s">
        <v>262</v>
      </c>
      <c r="G378" s="13" t="s">
        <v>263</v>
      </c>
      <c r="H378" s="14">
        <v>9240</v>
      </c>
      <c r="I378" s="14">
        <v>605</v>
      </c>
      <c r="J378" s="14">
        <v>0</v>
      </c>
      <c r="K378" s="14">
        <v>64</v>
      </c>
      <c r="L378" s="14">
        <v>4</v>
      </c>
      <c r="M378" s="15">
        <f t="shared" si="1883"/>
        <v>673</v>
      </c>
      <c r="N378" s="14">
        <v>1719.79999999999</v>
      </c>
      <c r="O378" s="14">
        <v>0</v>
      </c>
      <c r="P378" s="14">
        <v>31.5</v>
      </c>
      <c r="Q378" s="14">
        <v>11</v>
      </c>
      <c r="R378" s="15">
        <f t="shared" si="1884"/>
        <v>1762.29999999999</v>
      </c>
      <c r="S378" s="15">
        <f t="shared" si="1885"/>
        <v>2435.2999999999902</v>
      </c>
      <c r="T378" s="14">
        <v>6804.7000000000098</v>
      </c>
      <c r="U378" s="16">
        <f t="shared" si="1886"/>
        <v>0.73643939393939495</v>
      </c>
      <c r="V378" s="14">
        <v>18</v>
      </c>
      <c r="W378" s="17">
        <f t="shared" si="1887"/>
        <v>1.9480519480519481E-3</v>
      </c>
      <c r="X378" s="14">
        <v>57</v>
      </c>
      <c r="Y378" s="17">
        <f t="shared" si="1888"/>
        <v>6.1688311688311692E-3</v>
      </c>
      <c r="Z378" s="14">
        <v>35</v>
      </c>
      <c r="AA378" s="17">
        <f t="shared" si="1889"/>
        <v>3.787878787878788E-3</v>
      </c>
      <c r="AB378" s="14">
        <v>0</v>
      </c>
      <c r="AC378" s="17">
        <f t="shared" si="1890"/>
        <v>0</v>
      </c>
      <c r="AD378" s="14">
        <v>0</v>
      </c>
      <c r="AE378" s="17">
        <f t="shared" si="1891"/>
        <v>0</v>
      </c>
      <c r="AF378" s="14">
        <v>0</v>
      </c>
      <c r="AG378" s="17">
        <f t="shared" si="1892"/>
        <v>0</v>
      </c>
      <c r="AH378" s="14">
        <v>1387960</v>
      </c>
      <c r="AI378" s="15">
        <f t="shared" si="1893"/>
        <v>150.21212121212122</v>
      </c>
      <c r="AJ378" s="14">
        <v>635.96</v>
      </c>
      <c r="AK378" s="17">
        <f t="shared" si="1894"/>
        <v>6.8826839826839833E-2</v>
      </c>
      <c r="AL378" s="14">
        <v>205420.04164000001</v>
      </c>
      <c r="AM378" s="15">
        <f t="shared" si="1895"/>
        <v>22.231606238095239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5">
        <f t="shared" si="1896"/>
        <v>1593380.04164</v>
      </c>
      <c r="AV378" s="15">
        <f t="shared" si="1897"/>
        <v>172.44372745021644</v>
      </c>
      <c r="AW378" s="15">
        <f t="shared" si="1898"/>
        <v>654.2849101301714</v>
      </c>
      <c r="AX378" s="14">
        <v>1</v>
      </c>
      <c r="AY378" s="15">
        <f t="shared" si="1899"/>
        <v>1.2987012987012987</v>
      </c>
      <c r="AZ378" s="14">
        <v>4</v>
      </c>
      <c r="BA378" s="14">
        <v>3</v>
      </c>
      <c r="BB378" s="14">
        <v>4</v>
      </c>
      <c r="BC378" s="14">
        <v>7</v>
      </c>
      <c r="BD378" s="14">
        <v>0</v>
      </c>
      <c r="BE378" s="15">
        <f t="shared" si="1900"/>
        <v>7</v>
      </c>
      <c r="BF378" s="15">
        <f t="shared" si="1901"/>
        <v>0</v>
      </c>
      <c r="BG378" s="14">
        <v>0</v>
      </c>
      <c r="BH378" s="14">
        <v>0</v>
      </c>
      <c r="BI378" s="14">
        <v>0</v>
      </c>
      <c r="BJ378" s="14">
        <v>0</v>
      </c>
      <c r="BK378" s="15">
        <f t="shared" si="1902"/>
        <v>0</v>
      </c>
      <c r="BL378" s="15">
        <f t="shared" si="1903"/>
        <v>0</v>
      </c>
      <c r="BM378" s="14">
        <v>0</v>
      </c>
      <c r="BN378" s="14">
        <v>0</v>
      </c>
      <c r="BO378" s="14">
        <v>0</v>
      </c>
      <c r="BP378" s="14">
        <v>0</v>
      </c>
      <c r="BQ378" s="15">
        <f t="shared" si="1904"/>
        <v>0</v>
      </c>
      <c r="BR378" s="15">
        <f t="shared" si="1905"/>
        <v>0</v>
      </c>
      <c r="BS378" s="14">
        <v>0</v>
      </c>
      <c r="BT378" s="14">
        <v>0</v>
      </c>
      <c r="BU378" s="14">
        <v>0</v>
      </c>
      <c r="BV378" s="14">
        <v>0</v>
      </c>
      <c r="BW378" s="15">
        <f t="shared" si="1906"/>
        <v>0</v>
      </c>
      <c r="BX378" s="15">
        <f t="shared" si="1907"/>
        <v>0</v>
      </c>
      <c r="BY378" s="15">
        <f t="shared" si="1908"/>
        <v>3</v>
      </c>
      <c r="BZ378" s="15">
        <f t="shared" si="1909"/>
        <v>4</v>
      </c>
      <c r="CA378" s="15">
        <f t="shared" si="1910"/>
        <v>7</v>
      </c>
      <c r="CB378" s="15">
        <f t="shared" si="1911"/>
        <v>0</v>
      </c>
      <c r="CC378" s="14">
        <v>0</v>
      </c>
      <c r="CD378" s="14">
        <v>24</v>
      </c>
      <c r="CE378" s="14">
        <v>0</v>
      </c>
      <c r="CF378" s="14">
        <v>0</v>
      </c>
      <c r="CG378" s="14">
        <v>0</v>
      </c>
      <c r="CH378" s="15">
        <f t="shared" si="1912"/>
        <v>24</v>
      </c>
      <c r="CI378" s="14">
        <v>95</v>
      </c>
      <c r="CJ378" s="14">
        <v>3</v>
      </c>
      <c r="CK378" s="14">
        <v>1</v>
      </c>
      <c r="CL378" s="14">
        <v>0</v>
      </c>
      <c r="CM378" s="15">
        <f t="shared" si="1913"/>
        <v>99</v>
      </c>
      <c r="CN378" s="14">
        <v>438</v>
      </c>
      <c r="CO378" s="14">
        <v>7</v>
      </c>
      <c r="CP378" s="14">
        <v>11</v>
      </c>
      <c r="CQ378" s="14">
        <v>4</v>
      </c>
      <c r="CR378" s="15">
        <f t="shared" si="1914"/>
        <v>460</v>
      </c>
      <c r="CS378" s="15">
        <f t="shared" si="1915"/>
        <v>559</v>
      </c>
      <c r="CT378" s="14">
        <v>583</v>
      </c>
      <c r="CU378" s="14">
        <v>3611</v>
      </c>
      <c r="CV378" s="14">
        <v>3494.1</v>
      </c>
      <c r="CW378" s="16">
        <f t="shared" si="1916"/>
        <v>0.96762669620603703</v>
      </c>
      <c r="CX378" s="14">
        <v>0</v>
      </c>
      <c r="CY378" s="14">
        <v>0</v>
      </c>
      <c r="CZ378" s="14">
        <v>0</v>
      </c>
      <c r="DA378" s="14">
        <v>0</v>
      </c>
      <c r="DB378" s="15">
        <f t="shared" si="1917"/>
        <v>0</v>
      </c>
      <c r="DC378" s="14">
        <v>0</v>
      </c>
      <c r="DD378" s="14">
        <v>0</v>
      </c>
      <c r="DE378" s="14">
        <v>0</v>
      </c>
      <c r="DF378" s="14">
        <v>0</v>
      </c>
      <c r="DG378" s="15">
        <f t="shared" si="1918"/>
        <v>0</v>
      </c>
      <c r="DH378" s="14">
        <v>0</v>
      </c>
      <c r="DI378" s="14">
        <v>0</v>
      </c>
      <c r="DJ378" s="14">
        <v>0</v>
      </c>
      <c r="DK378" s="14">
        <v>0</v>
      </c>
      <c r="DL378" s="15">
        <f t="shared" si="1919"/>
        <v>0</v>
      </c>
      <c r="DM378" s="14">
        <v>0</v>
      </c>
      <c r="DN378" s="14">
        <v>0</v>
      </c>
      <c r="DO378" s="14">
        <v>0</v>
      </c>
      <c r="DP378" s="14">
        <v>0</v>
      </c>
      <c r="DQ378" s="15">
        <f t="shared" si="1920"/>
        <v>0</v>
      </c>
      <c r="DR378" s="15">
        <f t="shared" si="1921"/>
        <v>0</v>
      </c>
      <c r="DS378" s="15">
        <f t="shared" si="1922"/>
        <v>0</v>
      </c>
      <c r="DT378" s="15">
        <f t="shared" si="1923"/>
        <v>0</v>
      </c>
      <c r="DU378" s="15">
        <f t="shared" si="1924"/>
        <v>0</v>
      </c>
      <c r="DV378" s="15">
        <f t="shared" si="1925"/>
        <v>0</v>
      </c>
      <c r="DW378" s="14">
        <v>2</v>
      </c>
      <c r="DX378" s="14">
        <v>0</v>
      </c>
      <c r="DY378" s="14">
        <v>0</v>
      </c>
      <c r="DZ378" s="14">
        <v>1</v>
      </c>
      <c r="EA378" s="14">
        <v>0</v>
      </c>
      <c r="EB378" s="14">
        <v>0</v>
      </c>
      <c r="EC378" s="14">
        <v>0</v>
      </c>
      <c r="ED378" s="14">
        <v>0</v>
      </c>
      <c r="EE378" s="14">
        <v>0</v>
      </c>
      <c r="EF378" s="14">
        <v>2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5">
        <f t="shared" si="1926"/>
        <v>5</v>
      </c>
      <c r="FH378" s="14">
        <v>0</v>
      </c>
      <c r="FI378" s="14">
        <v>0</v>
      </c>
      <c r="FJ378" s="14">
        <v>12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5">
        <f t="shared" si="1927"/>
        <v>0</v>
      </c>
      <c r="FR378" s="14">
        <v>681285.44</v>
      </c>
      <c r="FS378" s="14">
        <v>0</v>
      </c>
      <c r="FT378" s="14">
        <v>0</v>
      </c>
      <c r="FU378" s="14">
        <v>12700</v>
      </c>
      <c r="FV378" s="15">
        <f t="shared" si="1928"/>
        <v>693985.44</v>
      </c>
      <c r="FW378" s="14">
        <v>2255220</v>
      </c>
      <c r="FX378" s="14">
        <v>0</v>
      </c>
      <c r="FY378" s="14">
        <v>62900</v>
      </c>
      <c r="FZ378" s="14">
        <v>96100</v>
      </c>
      <c r="GA378" s="15">
        <f t="shared" si="1929"/>
        <v>2414220</v>
      </c>
      <c r="GB378" s="15">
        <f t="shared" si="1930"/>
        <v>3108205.44</v>
      </c>
      <c r="GC378" s="14">
        <v>519767.62</v>
      </c>
      <c r="GD378" s="14">
        <v>0</v>
      </c>
      <c r="GE378" s="14">
        <v>198085.45</v>
      </c>
      <c r="GF378" s="14">
        <v>8410.99</v>
      </c>
      <c r="GG378" s="15">
        <f t="shared" si="1931"/>
        <v>726264.06</v>
      </c>
      <c r="GH378" s="14">
        <v>2146032.52</v>
      </c>
      <c r="GI378" s="14">
        <v>0</v>
      </c>
      <c r="GJ378" s="14">
        <v>96100</v>
      </c>
      <c r="GK378" s="14">
        <v>51380</v>
      </c>
      <c r="GL378" s="15">
        <f t="shared" si="1932"/>
        <v>2293512.52</v>
      </c>
      <c r="GM378" s="15">
        <f t="shared" si="1933"/>
        <v>3019776.58</v>
      </c>
      <c r="GN378" s="14">
        <v>51768.35</v>
      </c>
      <c r="GO378" s="14">
        <v>0</v>
      </c>
      <c r="GP378" s="14">
        <v>10180.92</v>
      </c>
      <c r="GQ378" s="14">
        <v>4637.34</v>
      </c>
      <c r="GR378" s="15">
        <f t="shared" si="1934"/>
        <v>66586.61</v>
      </c>
      <c r="GS378" s="14">
        <v>84835</v>
      </c>
      <c r="GT378" s="14">
        <v>0</v>
      </c>
      <c r="GU378" s="14">
        <v>2679</v>
      </c>
      <c r="GV378" s="14">
        <v>893</v>
      </c>
      <c r="GW378" s="15">
        <f t="shared" si="1935"/>
        <v>88407</v>
      </c>
      <c r="GX378" s="15">
        <f t="shared" si="1936"/>
        <v>3174770.19</v>
      </c>
      <c r="GY378" s="14">
        <v>15691459.029999999</v>
      </c>
      <c r="GZ378" s="14">
        <v>0</v>
      </c>
      <c r="HA378" s="9">
        <f t="shared" si="1937"/>
        <v>15691459.029999999</v>
      </c>
      <c r="HB378" s="15">
        <f t="shared" si="1938"/>
        <v>0.50188830884795477</v>
      </c>
      <c r="HC378" s="16">
        <f t="shared" si="1939"/>
        <v>0.16474969130052794</v>
      </c>
      <c r="HD378" s="15">
        <f t="shared" si="1940"/>
        <v>0.97903320680984474</v>
      </c>
      <c r="HE378" s="14">
        <v>4</v>
      </c>
      <c r="HF378" s="14">
        <v>1</v>
      </c>
      <c r="HG378" s="14">
        <v>0</v>
      </c>
      <c r="HH378" s="14">
        <v>4</v>
      </c>
      <c r="HI378" s="14">
        <v>11</v>
      </c>
      <c r="HJ378" s="15">
        <f t="shared" si="1941"/>
        <v>12</v>
      </c>
      <c r="HK378" s="16">
        <f t="shared" si="1942"/>
        <v>1</v>
      </c>
      <c r="HL378" s="14">
        <v>87</v>
      </c>
      <c r="HM378" s="14">
        <v>31</v>
      </c>
      <c r="HN378" s="17">
        <f t="shared" si="1943"/>
        <v>0.35632183908045978</v>
      </c>
    </row>
    <row r="379" spans="1:222" x14ac:dyDescent="0.3">
      <c r="A379" s="6" t="s">
        <v>295</v>
      </c>
      <c r="B379" s="6" t="s">
        <v>304</v>
      </c>
      <c r="C379" s="7" t="s">
        <v>257</v>
      </c>
      <c r="D379" s="7">
        <v>2025</v>
      </c>
      <c r="E379" s="7">
        <v>8</v>
      </c>
      <c r="F379" s="7" t="s">
        <v>264</v>
      </c>
      <c r="G379" s="7" t="s">
        <v>263</v>
      </c>
      <c r="H379" s="8">
        <v>4000</v>
      </c>
      <c r="I379" s="8">
        <v>564</v>
      </c>
      <c r="J379" s="8">
        <v>0</v>
      </c>
      <c r="K379" s="8">
        <v>19</v>
      </c>
      <c r="L379" s="8">
        <v>4</v>
      </c>
      <c r="M379" s="9">
        <f t="shared" si="1883"/>
        <v>587</v>
      </c>
      <c r="N379" s="8">
        <v>1430.8</v>
      </c>
      <c r="O379" s="8">
        <v>33.1</v>
      </c>
      <c r="P379" s="8">
        <v>164.5</v>
      </c>
      <c r="Q379" s="8">
        <v>7.3</v>
      </c>
      <c r="R379" s="9">
        <f t="shared" si="1884"/>
        <v>1635.6999999999998</v>
      </c>
      <c r="S379" s="9">
        <f t="shared" si="1885"/>
        <v>2222.6999999999998</v>
      </c>
      <c r="T379" s="8">
        <v>1777.3</v>
      </c>
      <c r="U379" s="10">
        <f t="shared" si="1886"/>
        <v>0.44432499999999997</v>
      </c>
      <c r="V379" s="8">
        <v>9</v>
      </c>
      <c r="W379" s="11">
        <f t="shared" si="1887"/>
        <v>2.2499999999999998E-3</v>
      </c>
      <c r="X379" s="8">
        <v>16</v>
      </c>
      <c r="Y379" s="11">
        <f t="shared" si="1888"/>
        <v>4.0000000000000001E-3</v>
      </c>
      <c r="Z379" s="8">
        <v>12</v>
      </c>
      <c r="AA379" s="11">
        <f t="shared" si="1889"/>
        <v>3.0000000000000001E-3</v>
      </c>
      <c r="AB379" s="8">
        <v>0</v>
      </c>
      <c r="AC379" s="11">
        <f t="shared" si="1890"/>
        <v>0</v>
      </c>
      <c r="AD379" s="8">
        <v>0</v>
      </c>
      <c r="AE379" s="11">
        <f t="shared" si="1891"/>
        <v>0</v>
      </c>
      <c r="AF379" s="8">
        <v>0</v>
      </c>
      <c r="AG379" s="11">
        <f t="shared" si="1892"/>
        <v>0</v>
      </c>
      <c r="AH379" s="8">
        <v>518592</v>
      </c>
      <c r="AI379" s="9">
        <f t="shared" si="1893"/>
        <v>129.648</v>
      </c>
      <c r="AJ379" s="8">
        <v>215.68</v>
      </c>
      <c r="AK379" s="11">
        <f t="shared" si="1894"/>
        <v>5.3920000000000003E-2</v>
      </c>
      <c r="AL379" s="8">
        <v>90553.735119999998</v>
      </c>
      <c r="AM379" s="9">
        <f t="shared" si="1895"/>
        <v>22.63843378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9">
        <f t="shared" si="1896"/>
        <v>609145.73511999997</v>
      </c>
      <c r="AV379" s="9">
        <f t="shared" si="1897"/>
        <v>152.28643377999998</v>
      </c>
      <c r="AW379" s="9">
        <f t="shared" si="1898"/>
        <v>274.05665862239618</v>
      </c>
      <c r="AX379" s="8">
        <v>1</v>
      </c>
      <c r="AY379" s="9">
        <f t="shared" si="1899"/>
        <v>3</v>
      </c>
      <c r="AZ379" s="8">
        <v>4</v>
      </c>
      <c r="BA379" s="8">
        <v>0</v>
      </c>
      <c r="BB379" s="8">
        <v>6</v>
      </c>
      <c r="BC379" s="8">
        <v>6</v>
      </c>
      <c r="BD379" s="8">
        <v>0</v>
      </c>
      <c r="BE379" s="9">
        <f t="shared" si="1900"/>
        <v>6</v>
      </c>
      <c r="BF379" s="9">
        <f t="shared" si="1901"/>
        <v>0</v>
      </c>
      <c r="BG379" s="8">
        <v>0</v>
      </c>
      <c r="BH379" s="8">
        <v>0</v>
      </c>
      <c r="BI379" s="8">
        <v>0</v>
      </c>
      <c r="BJ379" s="8">
        <v>0</v>
      </c>
      <c r="BK379" s="9">
        <f t="shared" si="1902"/>
        <v>0</v>
      </c>
      <c r="BL379" s="9">
        <f t="shared" si="1903"/>
        <v>0</v>
      </c>
      <c r="BM379" s="8">
        <v>0</v>
      </c>
      <c r="BN379" s="8">
        <v>0</v>
      </c>
      <c r="BO379" s="8">
        <v>0</v>
      </c>
      <c r="BP379" s="8">
        <v>0</v>
      </c>
      <c r="BQ379" s="9">
        <f t="shared" si="1904"/>
        <v>0</v>
      </c>
      <c r="BR379" s="9">
        <f t="shared" si="1905"/>
        <v>0</v>
      </c>
      <c r="BS379" s="8">
        <v>0</v>
      </c>
      <c r="BT379" s="8">
        <v>0</v>
      </c>
      <c r="BU379" s="8">
        <v>0</v>
      </c>
      <c r="BV379" s="8">
        <v>0</v>
      </c>
      <c r="BW379" s="9">
        <f t="shared" si="1906"/>
        <v>0</v>
      </c>
      <c r="BX379" s="9">
        <f t="shared" si="1907"/>
        <v>0</v>
      </c>
      <c r="BY379" s="9">
        <f t="shared" si="1908"/>
        <v>0</v>
      </c>
      <c r="BZ379" s="9">
        <f t="shared" si="1909"/>
        <v>6</v>
      </c>
      <c r="CA379" s="9">
        <f t="shared" si="1910"/>
        <v>6</v>
      </c>
      <c r="CB379" s="9">
        <f t="shared" si="1911"/>
        <v>0</v>
      </c>
      <c r="CC379" s="8">
        <v>0</v>
      </c>
      <c r="CD379" s="8">
        <v>23</v>
      </c>
      <c r="CE379" s="8">
        <v>0</v>
      </c>
      <c r="CF379" s="8">
        <v>0</v>
      </c>
      <c r="CG379" s="8">
        <v>0</v>
      </c>
      <c r="CH379" s="9">
        <f t="shared" si="1912"/>
        <v>23</v>
      </c>
      <c r="CI379" s="8">
        <v>96</v>
      </c>
      <c r="CJ379" s="8">
        <v>3</v>
      </c>
      <c r="CK379" s="8">
        <v>1</v>
      </c>
      <c r="CL379" s="8">
        <v>0</v>
      </c>
      <c r="CM379" s="9">
        <f t="shared" si="1913"/>
        <v>100</v>
      </c>
      <c r="CN379" s="8">
        <v>444</v>
      </c>
      <c r="CO379" s="8">
        <v>7</v>
      </c>
      <c r="CP379" s="8">
        <v>11</v>
      </c>
      <c r="CQ379" s="8">
        <v>4</v>
      </c>
      <c r="CR379" s="9">
        <f t="shared" si="1914"/>
        <v>466</v>
      </c>
      <c r="CS379" s="9">
        <f t="shared" si="1915"/>
        <v>566</v>
      </c>
      <c r="CT379" s="8">
        <v>589</v>
      </c>
      <c r="CU379" s="8">
        <v>3618</v>
      </c>
      <c r="CV379" s="8">
        <v>3519.8</v>
      </c>
      <c r="CW379" s="10">
        <f t="shared" si="1916"/>
        <v>0.9728579325594251</v>
      </c>
      <c r="CX379" s="8">
        <v>0</v>
      </c>
      <c r="CY379" s="8">
        <v>0</v>
      </c>
      <c r="CZ379" s="8">
        <v>0</v>
      </c>
      <c r="DA379" s="8">
        <v>0</v>
      </c>
      <c r="DB379" s="9">
        <f t="shared" si="1917"/>
        <v>0</v>
      </c>
      <c r="DC379" s="8">
        <v>0</v>
      </c>
      <c r="DD379" s="8">
        <v>0</v>
      </c>
      <c r="DE379" s="8">
        <v>0</v>
      </c>
      <c r="DF379" s="8">
        <v>0</v>
      </c>
      <c r="DG379" s="9">
        <f t="shared" si="1918"/>
        <v>0</v>
      </c>
      <c r="DH379" s="8">
        <v>0</v>
      </c>
      <c r="DI379" s="8">
        <v>0</v>
      </c>
      <c r="DJ379" s="8">
        <v>0</v>
      </c>
      <c r="DK379" s="8">
        <v>0</v>
      </c>
      <c r="DL379" s="9">
        <f t="shared" si="1919"/>
        <v>0</v>
      </c>
      <c r="DM379" s="8">
        <v>0</v>
      </c>
      <c r="DN379" s="8">
        <v>0</v>
      </c>
      <c r="DO379" s="8">
        <v>0</v>
      </c>
      <c r="DP379" s="8">
        <v>0</v>
      </c>
      <c r="DQ379" s="9">
        <f t="shared" si="1920"/>
        <v>0</v>
      </c>
      <c r="DR379" s="9">
        <f t="shared" si="1921"/>
        <v>0</v>
      </c>
      <c r="DS379" s="9">
        <f t="shared" si="1922"/>
        <v>0</v>
      </c>
      <c r="DT379" s="9">
        <f t="shared" si="1923"/>
        <v>0</v>
      </c>
      <c r="DU379" s="9">
        <f t="shared" si="1924"/>
        <v>0</v>
      </c>
      <c r="DV379" s="9">
        <f t="shared" si="1925"/>
        <v>0</v>
      </c>
      <c r="DW379" s="8">
        <v>0</v>
      </c>
      <c r="DX379" s="8">
        <v>0</v>
      </c>
      <c r="DY379" s="8">
        <v>0</v>
      </c>
      <c r="DZ379" s="8">
        <v>0</v>
      </c>
      <c r="EA379" s="8">
        <v>0</v>
      </c>
      <c r="EB379" s="8">
        <v>0</v>
      </c>
      <c r="EC379" s="8">
        <v>0</v>
      </c>
      <c r="ED379" s="8">
        <v>0</v>
      </c>
      <c r="EE379" s="8">
        <v>1</v>
      </c>
      <c r="EF379" s="8">
        <v>1</v>
      </c>
      <c r="EG379" s="8">
        <v>0</v>
      </c>
      <c r="EH379" s="8">
        <v>0</v>
      </c>
      <c r="EI379" s="8">
        <v>0</v>
      </c>
      <c r="EJ379" s="8">
        <v>0</v>
      </c>
      <c r="EK379" s="8">
        <v>0</v>
      </c>
      <c r="EL379" s="8">
        <v>0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8">
        <v>0</v>
      </c>
      <c r="ES379" s="8">
        <v>0</v>
      </c>
      <c r="ET379" s="8">
        <v>0</v>
      </c>
      <c r="EU379" s="8">
        <v>0</v>
      </c>
      <c r="EV379" s="8">
        <v>0</v>
      </c>
      <c r="EW379" s="8">
        <v>0</v>
      </c>
      <c r="EX379" s="8">
        <v>0</v>
      </c>
      <c r="EY379" s="8">
        <v>0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0</v>
      </c>
      <c r="FG379" s="9">
        <f t="shared" si="1926"/>
        <v>2</v>
      </c>
      <c r="FH379" s="8">
        <v>0</v>
      </c>
      <c r="FI379" s="8">
        <v>0</v>
      </c>
      <c r="FJ379" s="8">
        <v>8</v>
      </c>
      <c r="FK379" s="8">
        <v>0</v>
      </c>
      <c r="FL379" s="8">
        <v>0</v>
      </c>
      <c r="FM379" s="8">
        <v>0</v>
      </c>
      <c r="FN379" s="8">
        <v>0</v>
      </c>
      <c r="FO379" s="8">
        <v>0</v>
      </c>
      <c r="FP379" s="8">
        <v>0</v>
      </c>
      <c r="FQ379" s="9">
        <f t="shared" si="1927"/>
        <v>0</v>
      </c>
      <c r="FR379" s="8">
        <v>470000</v>
      </c>
      <c r="FS379" s="8">
        <v>0</v>
      </c>
      <c r="FT379" s="8">
        <v>0</v>
      </c>
      <c r="FU379" s="8">
        <v>12500</v>
      </c>
      <c r="FV379" s="9">
        <f t="shared" si="1928"/>
        <v>482500</v>
      </c>
      <c r="FW379" s="8">
        <v>1800415.18</v>
      </c>
      <c r="FX379" s="8">
        <v>7050</v>
      </c>
      <c r="FY379" s="8">
        <v>65100</v>
      </c>
      <c r="FZ379" s="8">
        <v>500000</v>
      </c>
      <c r="GA379" s="9">
        <f t="shared" si="1929"/>
        <v>2372565.1799999997</v>
      </c>
      <c r="GB379" s="9">
        <f t="shared" si="1930"/>
        <v>2855065.1799999997</v>
      </c>
      <c r="GC379" s="8">
        <v>485283.79</v>
      </c>
      <c r="GD379" s="8">
        <v>0</v>
      </c>
      <c r="GE379" s="8">
        <v>44214.18</v>
      </c>
      <c r="GF379" s="8">
        <v>8410.99</v>
      </c>
      <c r="GG379" s="9">
        <f t="shared" si="1931"/>
        <v>537908.96</v>
      </c>
      <c r="GH379" s="8">
        <v>1785415.18</v>
      </c>
      <c r="GI379" s="8">
        <v>7050</v>
      </c>
      <c r="GJ379" s="8">
        <v>500000</v>
      </c>
      <c r="GK379" s="8">
        <v>35640</v>
      </c>
      <c r="GL379" s="9">
        <f t="shared" si="1932"/>
        <v>2328105.1799999997</v>
      </c>
      <c r="GM379" s="9">
        <f t="shared" si="1933"/>
        <v>2866014.1399999997</v>
      </c>
      <c r="GN379" s="8">
        <v>52313.279999999999</v>
      </c>
      <c r="GO379" s="8">
        <v>0</v>
      </c>
      <c r="GP379" s="8">
        <v>10180.92</v>
      </c>
      <c r="GQ379" s="8">
        <v>4637.34</v>
      </c>
      <c r="GR379" s="9">
        <f t="shared" si="1934"/>
        <v>67131.539999999994</v>
      </c>
      <c r="GS379" s="8">
        <v>85728</v>
      </c>
      <c r="GT379" s="8">
        <v>0</v>
      </c>
      <c r="GU379" s="8">
        <v>2679</v>
      </c>
      <c r="GV379" s="8">
        <v>893</v>
      </c>
      <c r="GW379" s="9">
        <f t="shared" si="1935"/>
        <v>89300</v>
      </c>
      <c r="GX379" s="9">
        <f t="shared" si="1936"/>
        <v>3022445.6799999997</v>
      </c>
      <c r="GY379" s="8">
        <v>15903299.530000011</v>
      </c>
      <c r="GZ379" s="8">
        <v>0</v>
      </c>
      <c r="HA379" s="9">
        <f t="shared" si="1937"/>
        <v>15903299.530000011</v>
      </c>
      <c r="HB379" s="9">
        <f t="shared" si="1938"/>
        <v>0.20154067255891925</v>
      </c>
      <c r="HC379" s="10">
        <f t="shared" si="1939"/>
        <v>0.15085615643242609</v>
      </c>
      <c r="HD379" s="9">
        <f t="shared" si="1940"/>
        <v>0.94462084096082088</v>
      </c>
      <c r="HE379" s="8">
        <v>6</v>
      </c>
      <c r="HF379" s="8">
        <v>1</v>
      </c>
      <c r="HG379" s="8">
        <v>0</v>
      </c>
      <c r="HH379" s="8">
        <v>6</v>
      </c>
      <c r="HI379" s="8">
        <v>28</v>
      </c>
      <c r="HJ379" s="9">
        <f t="shared" si="1941"/>
        <v>29</v>
      </c>
      <c r="HK379" s="10">
        <f t="shared" si="1942"/>
        <v>1</v>
      </c>
      <c r="HL379" s="8">
        <v>271</v>
      </c>
      <c r="HM379" s="8">
        <v>31</v>
      </c>
      <c r="HN379" s="11">
        <f t="shared" si="1943"/>
        <v>0.11439114391143912</v>
      </c>
    </row>
    <row r="380" spans="1:222" x14ac:dyDescent="0.3">
      <c r="A380" s="12" t="s">
        <v>295</v>
      </c>
      <c r="B380" s="12" t="s">
        <v>304</v>
      </c>
      <c r="C380" s="13" t="s">
        <v>257</v>
      </c>
      <c r="D380" s="13">
        <v>2025</v>
      </c>
      <c r="E380" s="13">
        <v>9</v>
      </c>
      <c r="F380" s="13" t="s">
        <v>265</v>
      </c>
      <c r="G380" s="13" t="s">
        <v>263</v>
      </c>
      <c r="H380" s="14">
        <v>3320</v>
      </c>
      <c r="I380" s="14">
        <v>613</v>
      </c>
      <c r="J380" s="14">
        <v>0</v>
      </c>
      <c r="K380" s="14">
        <v>19</v>
      </c>
      <c r="L380" s="14">
        <v>8</v>
      </c>
      <c r="M380" s="15">
        <f t="shared" si="1883"/>
        <v>640</v>
      </c>
      <c r="N380" s="14">
        <v>1492.4</v>
      </c>
      <c r="O380" s="14">
        <v>75.5</v>
      </c>
      <c r="P380" s="14">
        <v>4.8</v>
      </c>
      <c r="Q380" s="14">
        <v>15.2</v>
      </c>
      <c r="R380" s="15">
        <f t="shared" si="1884"/>
        <v>1587.9</v>
      </c>
      <c r="S380" s="15">
        <f t="shared" si="1885"/>
        <v>2227.9</v>
      </c>
      <c r="T380" s="14">
        <v>1092.0999999999999</v>
      </c>
      <c r="U380" s="16">
        <f t="shared" si="1886"/>
        <v>0.32894578313253009</v>
      </c>
      <c r="V380" s="14">
        <v>8</v>
      </c>
      <c r="W380" s="17">
        <f t="shared" si="1887"/>
        <v>2.4096385542168677E-3</v>
      </c>
      <c r="X380" s="14">
        <v>18</v>
      </c>
      <c r="Y380" s="17">
        <f t="shared" si="1888"/>
        <v>5.4216867469879517E-3</v>
      </c>
      <c r="Z380" s="14">
        <v>14</v>
      </c>
      <c r="AA380" s="17">
        <f t="shared" si="1889"/>
        <v>4.2168674698795181E-3</v>
      </c>
      <c r="AB380" s="14">
        <v>0</v>
      </c>
      <c r="AC380" s="17">
        <f t="shared" si="1890"/>
        <v>0</v>
      </c>
      <c r="AD380" s="14">
        <v>0</v>
      </c>
      <c r="AE380" s="17">
        <f t="shared" si="1891"/>
        <v>0</v>
      </c>
      <c r="AF380" s="14">
        <v>0</v>
      </c>
      <c r="AG380" s="17">
        <f t="shared" si="1892"/>
        <v>0</v>
      </c>
      <c r="AH380" s="14">
        <v>534224</v>
      </c>
      <c r="AI380" s="15">
        <f t="shared" si="1893"/>
        <v>160.91084337349398</v>
      </c>
      <c r="AJ380" s="14">
        <v>178.48</v>
      </c>
      <c r="AK380" s="17">
        <f t="shared" si="1894"/>
        <v>5.3759036144578311E-2</v>
      </c>
      <c r="AL380" s="14">
        <v>80386.640320000006</v>
      </c>
      <c r="AM380" s="15">
        <f t="shared" si="1895"/>
        <v>24.21284346987952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5">
        <f t="shared" si="1896"/>
        <v>614610.64032000001</v>
      </c>
      <c r="AV380" s="15">
        <f t="shared" si="1897"/>
        <v>185.12368684337349</v>
      </c>
      <c r="AW380" s="15">
        <f t="shared" si="1898"/>
        <v>275.86994044616006</v>
      </c>
      <c r="AX380" s="14">
        <v>1</v>
      </c>
      <c r="AY380" s="15">
        <f t="shared" si="1899"/>
        <v>3.6144578313253013</v>
      </c>
      <c r="AZ380" s="14">
        <v>4</v>
      </c>
      <c r="BA380" s="14">
        <v>0</v>
      </c>
      <c r="BB380" s="14">
        <v>12</v>
      </c>
      <c r="BC380" s="14">
        <v>12</v>
      </c>
      <c r="BD380" s="14">
        <v>0</v>
      </c>
      <c r="BE380" s="15">
        <f t="shared" si="1900"/>
        <v>12</v>
      </c>
      <c r="BF380" s="15">
        <f t="shared" si="1901"/>
        <v>0</v>
      </c>
      <c r="BG380" s="14">
        <v>0</v>
      </c>
      <c r="BH380" s="14">
        <v>0</v>
      </c>
      <c r="BI380" s="14">
        <v>0</v>
      </c>
      <c r="BJ380" s="14">
        <v>0</v>
      </c>
      <c r="BK380" s="15">
        <f t="shared" si="1902"/>
        <v>0</v>
      </c>
      <c r="BL380" s="15">
        <f t="shared" si="1903"/>
        <v>0</v>
      </c>
      <c r="BM380" s="14">
        <v>0</v>
      </c>
      <c r="BN380" s="14">
        <v>1</v>
      </c>
      <c r="BO380" s="14">
        <v>1</v>
      </c>
      <c r="BP380" s="14">
        <v>0</v>
      </c>
      <c r="BQ380" s="15">
        <f t="shared" si="1904"/>
        <v>1</v>
      </c>
      <c r="BR380" s="15">
        <f t="shared" si="1905"/>
        <v>0</v>
      </c>
      <c r="BS380" s="14">
        <v>0</v>
      </c>
      <c r="BT380" s="14">
        <v>0</v>
      </c>
      <c r="BU380" s="14">
        <v>0</v>
      </c>
      <c r="BV380" s="14">
        <v>0</v>
      </c>
      <c r="BW380" s="15">
        <f t="shared" si="1906"/>
        <v>0</v>
      </c>
      <c r="BX380" s="15">
        <f t="shared" si="1907"/>
        <v>0</v>
      </c>
      <c r="BY380" s="15">
        <f t="shared" si="1908"/>
        <v>0</v>
      </c>
      <c r="BZ380" s="15">
        <f t="shared" si="1909"/>
        <v>13</v>
      </c>
      <c r="CA380" s="15">
        <f t="shared" si="1910"/>
        <v>13</v>
      </c>
      <c r="CB380" s="15">
        <f t="shared" si="1911"/>
        <v>0</v>
      </c>
      <c r="CC380" s="14">
        <v>0</v>
      </c>
      <c r="CD380" s="14">
        <v>20</v>
      </c>
      <c r="CE380" s="14">
        <v>0</v>
      </c>
      <c r="CF380" s="14">
        <v>0</v>
      </c>
      <c r="CG380" s="14">
        <v>0</v>
      </c>
      <c r="CH380" s="15">
        <f t="shared" si="1912"/>
        <v>20</v>
      </c>
      <c r="CI380" s="14">
        <v>111</v>
      </c>
      <c r="CJ380" s="14">
        <v>3</v>
      </c>
      <c r="CK380" s="14">
        <v>2</v>
      </c>
      <c r="CL380" s="14">
        <v>0</v>
      </c>
      <c r="CM380" s="15">
        <f t="shared" si="1913"/>
        <v>116</v>
      </c>
      <c r="CN380" s="14">
        <v>444</v>
      </c>
      <c r="CO380" s="14">
        <v>7</v>
      </c>
      <c r="CP380" s="14">
        <v>11</v>
      </c>
      <c r="CQ380" s="14">
        <v>4</v>
      </c>
      <c r="CR380" s="15">
        <f t="shared" si="1914"/>
        <v>466</v>
      </c>
      <c r="CS380" s="15">
        <f t="shared" si="1915"/>
        <v>582</v>
      </c>
      <c r="CT380" s="14">
        <v>602</v>
      </c>
      <c r="CU380" s="14">
        <v>3625</v>
      </c>
      <c r="CV380" s="14">
        <v>3575.9</v>
      </c>
      <c r="CW380" s="16">
        <f t="shared" si="1916"/>
        <v>0.9864551724137931</v>
      </c>
      <c r="CX380" s="14">
        <v>0</v>
      </c>
      <c r="CY380" s="14">
        <v>0</v>
      </c>
      <c r="CZ380" s="14">
        <v>0</v>
      </c>
      <c r="DA380" s="14">
        <v>0</v>
      </c>
      <c r="DB380" s="15">
        <f t="shared" si="1917"/>
        <v>0</v>
      </c>
      <c r="DC380" s="14">
        <v>0</v>
      </c>
      <c r="DD380" s="14">
        <v>0</v>
      </c>
      <c r="DE380" s="14">
        <v>0</v>
      </c>
      <c r="DF380" s="14">
        <v>0</v>
      </c>
      <c r="DG380" s="15">
        <f t="shared" si="1918"/>
        <v>0</v>
      </c>
      <c r="DH380" s="14">
        <v>0</v>
      </c>
      <c r="DI380" s="14">
        <v>0</v>
      </c>
      <c r="DJ380" s="14">
        <v>0</v>
      </c>
      <c r="DK380" s="14">
        <v>0</v>
      </c>
      <c r="DL380" s="15">
        <f t="shared" si="1919"/>
        <v>0</v>
      </c>
      <c r="DM380" s="14">
        <v>0</v>
      </c>
      <c r="DN380" s="14">
        <v>0</v>
      </c>
      <c r="DO380" s="14">
        <v>0</v>
      </c>
      <c r="DP380" s="14">
        <v>0</v>
      </c>
      <c r="DQ380" s="15">
        <f t="shared" si="1920"/>
        <v>0</v>
      </c>
      <c r="DR380" s="15">
        <f t="shared" si="1921"/>
        <v>0</v>
      </c>
      <c r="DS380" s="15">
        <f t="shared" si="1922"/>
        <v>0</v>
      </c>
      <c r="DT380" s="15">
        <f t="shared" si="1923"/>
        <v>0</v>
      </c>
      <c r="DU380" s="15">
        <f t="shared" si="1924"/>
        <v>0</v>
      </c>
      <c r="DV380" s="15">
        <f t="shared" si="1925"/>
        <v>0</v>
      </c>
      <c r="DW380" s="14">
        <v>2</v>
      </c>
      <c r="DX380" s="14">
        <v>0</v>
      </c>
      <c r="DY380" s="14">
        <v>0</v>
      </c>
      <c r="DZ380" s="14">
        <v>1</v>
      </c>
      <c r="EA380" s="14">
        <v>0</v>
      </c>
      <c r="EB380" s="14">
        <v>1</v>
      </c>
      <c r="EC380" s="14">
        <v>0</v>
      </c>
      <c r="ED380" s="14">
        <v>0</v>
      </c>
      <c r="EE380" s="14">
        <v>1</v>
      </c>
      <c r="EF380" s="14">
        <v>1</v>
      </c>
      <c r="EG380" s="14">
        <v>0</v>
      </c>
      <c r="EH380" s="14">
        <v>0</v>
      </c>
      <c r="EI380" s="14">
        <v>0</v>
      </c>
      <c r="EJ380" s="14">
        <v>0</v>
      </c>
      <c r="EK380" s="14">
        <v>0</v>
      </c>
      <c r="EL380" s="14">
        <v>0</v>
      </c>
      <c r="EM380" s="14">
        <v>0</v>
      </c>
      <c r="EN380" s="14">
        <v>0</v>
      </c>
      <c r="EO380" s="14">
        <v>0</v>
      </c>
      <c r="EP380" s="14">
        <v>0</v>
      </c>
      <c r="EQ380" s="14">
        <v>0</v>
      </c>
      <c r="ER380" s="14">
        <v>0</v>
      </c>
      <c r="ES380" s="14">
        <v>0</v>
      </c>
      <c r="ET380" s="14">
        <v>0</v>
      </c>
      <c r="EU380" s="14">
        <v>0</v>
      </c>
      <c r="EV380" s="14">
        <v>0</v>
      </c>
      <c r="EW380" s="14">
        <v>0</v>
      </c>
      <c r="EX380" s="14">
        <v>0</v>
      </c>
      <c r="EY380" s="14">
        <v>0</v>
      </c>
      <c r="EZ380" s="14">
        <v>0</v>
      </c>
      <c r="FA380" s="14">
        <v>0</v>
      </c>
      <c r="FB380" s="14">
        <v>0</v>
      </c>
      <c r="FC380" s="14">
        <v>0</v>
      </c>
      <c r="FD380" s="14">
        <v>0</v>
      </c>
      <c r="FE380" s="14">
        <v>0</v>
      </c>
      <c r="FF380" s="14">
        <v>0</v>
      </c>
      <c r="FG380" s="15">
        <f t="shared" si="1926"/>
        <v>6</v>
      </c>
      <c r="FH380" s="14">
        <v>0</v>
      </c>
      <c r="FI380" s="14">
        <v>0</v>
      </c>
      <c r="FJ380" s="14">
        <v>10</v>
      </c>
      <c r="FK380" s="14">
        <v>0</v>
      </c>
      <c r="FL380" s="14">
        <v>0</v>
      </c>
      <c r="FM380" s="14">
        <v>0</v>
      </c>
      <c r="FN380" s="14">
        <v>0</v>
      </c>
      <c r="FO380" s="14">
        <v>0</v>
      </c>
      <c r="FP380" s="14">
        <v>0</v>
      </c>
      <c r="FQ380" s="15">
        <f t="shared" si="1927"/>
        <v>0</v>
      </c>
      <c r="FR380" s="14">
        <v>292700</v>
      </c>
      <c r="FS380" s="14">
        <v>0</v>
      </c>
      <c r="FT380" s="14">
        <v>0</v>
      </c>
      <c r="FU380" s="14">
        <v>13000</v>
      </c>
      <c r="FV380" s="15">
        <f t="shared" si="1928"/>
        <v>305700</v>
      </c>
      <c r="FW380" s="14">
        <v>1914505.04</v>
      </c>
      <c r="FX380" s="14">
        <v>16050</v>
      </c>
      <c r="FY380" s="14">
        <v>101300</v>
      </c>
      <c r="FZ380" s="14">
        <v>14719.7</v>
      </c>
      <c r="GA380" s="15">
        <f t="shared" si="1929"/>
        <v>2046574.74</v>
      </c>
      <c r="GB380" s="15">
        <f t="shared" si="1930"/>
        <v>2352274.7400000002</v>
      </c>
      <c r="GC380" s="14">
        <v>522526.86</v>
      </c>
      <c r="GD380" s="14">
        <v>0</v>
      </c>
      <c r="GE380" s="14">
        <v>43868.09</v>
      </c>
      <c r="GF380" s="14">
        <v>16821.98</v>
      </c>
      <c r="GG380" s="15">
        <f t="shared" si="1931"/>
        <v>583216.92999999993</v>
      </c>
      <c r="GH380" s="14">
        <v>1861605.04</v>
      </c>
      <c r="GI380" s="14">
        <v>16050</v>
      </c>
      <c r="GJ380" s="14">
        <v>14719.7</v>
      </c>
      <c r="GK380" s="14">
        <v>72020</v>
      </c>
      <c r="GL380" s="15">
        <f t="shared" si="1932"/>
        <v>1964394.74</v>
      </c>
      <c r="GM380" s="15">
        <f t="shared" si="1933"/>
        <v>2547611.67</v>
      </c>
      <c r="GN380" s="14">
        <v>60487.23</v>
      </c>
      <c r="GO380" s="14">
        <v>0</v>
      </c>
      <c r="GP380" s="14">
        <v>10180.92</v>
      </c>
      <c r="GQ380" s="14">
        <v>9274.68</v>
      </c>
      <c r="GR380" s="15">
        <f t="shared" si="1934"/>
        <v>79942.830000000016</v>
      </c>
      <c r="GS380" s="14">
        <v>99123</v>
      </c>
      <c r="GT380" s="14">
        <v>0</v>
      </c>
      <c r="GU380" s="14">
        <v>2679</v>
      </c>
      <c r="GV380" s="14">
        <v>1786</v>
      </c>
      <c r="GW380" s="15">
        <f t="shared" si="1935"/>
        <v>103588</v>
      </c>
      <c r="GX380" s="15">
        <f t="shared" si="1936"/>
        <v>2731142.5</v>
      </c>
      <c r="GY380" s="14">
        <v>16311069.369999999</v>
      </c>
      <c r="GZ380" s="14">
        <v>0</v>
      </c>
      <c r="HA380" s="9">
        <f t="shared" si="1937"/>
        <v>16311069.369999999</v>
      </c>
      <c r="HB380" s="15">
        <f t="shared" si="1938"/>
        <v>0.22503792472197989</v>
      </c>
      <c r="HC380" s="16">
        <f t="shared" si="1939"/>
        <v>0.12352949100970173</v>
      </c>
      <c r="HD380" s="15">
        <f t="shared" si="1940"/>
        <v>0.86127865536126369</v>
      </c>
      <c r="HE380" s="14">
        <v>9</v>
      </c>
      <c r="HF380" s="14">
        <v>1</v>
      </c>
      <c r="HG380" s="14">
        <v>0</v>
      </c>
      <c r="HH380" s="14">
        <v>13</v>
      </c>
      <c r="HI380" s="14">
        <v>30</v>
      </c>
      <c r="HJ380" s="15">
        <f t="shared" si="1941"/>
        <v>31</v>
      </c>
      <c r="HK380" s="16">
        <f t="shared" si="1942"/>
        <v>1.4444444444444444</v>
      </c>
      <c r="HL380" s="14">
        <v>57</v>
      </c>
      <c r="HM380" s="14">
        <v>30</v>
      </c>
      <c r="HN380" s="17">
        <f t="shared" si="1943"/>
        <v>0.52631578947368418</v>
      </c>
    </row>
    <row r="381" spans="1:222" x14ac:dyDescent="0.3">
      <c r="A381" s="6" t="s">
        <v>295</v>
      </c>
      <c r="B381" s="6" t="s">
        <v>304</v>
      </c>
      <c r="C381" s="7" t="s">
        <v>257</v>
      </c>
      <c r="D381" s="7">
        <v>2025</v>
      </c>
      <c r="E381" s="7">
        <v>10</v>
      </c>
      <c r="F381" s="7" t="s">
        <v>266</v>
      </c>
      <c r="G381" s="7" t="s">
        <v>267</v>
      </c>
      <c r="H381" s="8">
        <v>2760</v>
      </c>
      <c r="I381" s="8">
        <v>535</v>
      </c>
      <c r="J381" s="8">
        <v>0</v>
      </c>
      <c r="K381" s="8">
        <v>20</v>
      </c>
      <c r="L381" s="8">
        <v>8</v>
      </c>
      <c r="M381" s="9">
        <f t="shared" si="1883"/>
        <v>563</v>
      </c>
      <c r="N381" s="8">
        <v>1911.8</v>
      </c>
      <c r="O381" s="8">
        <v>63.6</v>
      </c>
      <c r="P381" s="8">
        <v>28.1</v>
      </c>
      <c r="Q381" s="8">
        <v>8.1</v>
      </c>
      <c r="R381" s="9">
        <f t="shared" si="1884"/>
        <v>2011.5999999999997</v>
      </c>
      <c r="S381" s="9">
        <f t="shared" si="1885"/>
        <v>2574.5999999999995</v>
      </c>
      <c r="T381" s="8">
        <v>185.400000000006</v>
      </c>
      <c r="U381" s="10">
        <f t="shared" si="1886"/>
        <v>6.7173913043480429E-2</v>
      </c>
      <c r="V381" s="8">
        <v>5</v>
      </c>
      <c r="W381" s="11">
        <f t="shared" si="1887"/>
        <v>1.8115942028985507E-3</v>
      </c>
      <c r="X381" s="8">
        <v>17</v>
      </c>
      <c r="Y381" s="11">
        <f t="shared" si="1888"/>
        <v>6.1594202898550728E-3</v>
      </c>
      <c r="Z381" s="8">
        <v>11</v>
      </c>
      <c r="AA381" s="11">
        <f t="shared" si="1889"/>
        <v>3.9855072463768114E-3</v>
      </c>
      <c r="AB381" s="8">
        <v>0</v>
      </c>
      <c r="AC381" s="11">
        <f t="shared" si="1890"/>
        <v>0</v>
      </c>
      <c r="AD381" s="8">
        <v>0</v>
      </c>
      <c r="AE381" s="11">
        <f t="shared" si="1891"/>
        <v>0</v>
      </c>
      <c r="AF381" s="8">
        <v>0</v>
      </c>
      <c r="AG381" s="11">
        <f t="shared" si="1892"/>
        <v>0</v>
      </c>
      <c r="AH381" s="8">
        <v>411176</v>
      </c>
      <c r="AI381" s="9">
        <f t="shared" si="1893"/>
        <v>148.9768115942029</v>
      </c>
      <c r="AJ381" s="8">
        <v>123.87</v>
      </c>
      <c r="AK381" s="11">
        <f t="shared" si="1894"/>
        <v>4.4880434782608697E-2</v>
      </c>
      <c r="AL381" s="8">
        <v>65461.235829999998</v>
      </c>
      <c r="AM381" s="9">
        <f t="shared" si="1895"/>
        <v>23.717839068840579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9">
        <f t="shared" si="1896"/>
        <v>476637.23583000002</v>
      </c>
      <c r="AV381" s="9">
        <f t="shared" si="1897"/>
        <v>172.69465066304349</v>
      </c>
      <c r="AW381" s="9">
        <f t="shared" si="1898"/>
        <v>185.13059730831978</v>
      </c>
      <c r="AX381" s="8">
        <v>1</v>
      </c>
      <c r="AY381" s="9">
        <f t="shared" si="1899"/>
        <v>4.3478260869565224</v>
      </c>
      <c r="AZ381" s="8">
        <v>4</v>
      </c>
      <c r="BA381" s="8">
        <v>0</v>
      </c>
      <c r="BB381" s="8">
        <v>31</v>
      </c>
      <c r="BC381" s="8">
        <v>31</v>
      </c>
      <c r="BD381" s="8">
        <v>0</v>
      </c>
      <c r="BE381" s="9">
        <f t="shared" si="1900"/>
        <v>31</v>
      </c>
      <c r="BF381" s="9">
        <f t="shared" si="1901"/>
        <v>0</v>
      </c>
      <c r="BG381" s="8">
        <v>0</v>
      </c>
      <c r="BH381" s="8">
        <v>0</v>
      </c>
      <c r="BI381" s="8">
        <v>0</v>
      </c>
      <c r="BJ381" s="8">
        <v>0</v>
      </c>
      <c r="BK381" s="9">
        <f t="shared" si="1902"/>
        <v>0</v>
      </c>
      <c r="BL381" s="9">
        <f t="shared" si="1903"/>
        <v>0</v>
      </c>
      <c r="BM381" s="8">
        <v>0</v>
      </c>
      <c r="BN381" s="8">
        <v>0</v>
      </c>
      <c r="BO381" s="8">
        <v>0</v>
      </c>
      <c r="BP381" s="8">
        <v>0</v>
      </c>
      <c r="BQ381" s="9">
        <f t="shared" si="1904"/>
        <v>0</v>
      </c>
      <c r="BR381" s="9">
        <f t="shared" si="1905"/>
        <v>0</v>
      </c>
      <c r="BS381" s="8">
        <v>0</v>
      </c>
      <c r="BT381" s="8">
        <v>0</v>
      </c>
      <c r="BU381" s="8">
        <v>0</v>
      </c>
      <c r="BV381" s="8">
        <v>0</v>
      </c>
      <c r="BW381" s="9">
        <f t="shared" si="1906"/>
        <v>0</v>
      </c>
      <c r="BX381" s="9">
        <f t="shared" si="1907"/>
        <v>0</v>
      </c>
      <c r="BY381" s="9">
        <f t="shared" si="1908"/>
        <v>0</v>
      </c>
      <c r="BZ381" s="9">
        <f t="shared" si="1909"/>
        <v>31</v>
      </c>
      <c r="CA381" s="9">
        <f t="shared" si="1910"/>
        <v>31</v>
      </c>
      <c r="CB381" s="9">
        <f t="shared" si="1911"/>
        <v>0</v>
      </c>
      <c r="CC381" s="8">
        <v>0</v>
      </c>
      <c r="CD381" s="8">
        <v>85</v>
      </c>
      <c r="CE381" s="8">
        <v>1</v>
      </c>
      <c r="CF381" s="8">
        <v>0</v>
      </c>
      <c r="CG381" s="8">
        <v>0</v>
      </c>
      <c r="CH381" s="9">
        <f t="shared" si="1912"/>
        <v>86</v>
      </c>
      <c r="CI381" s="8">
        <v>96</v>
      </c>
      <c r="CJ381" s="8">
        <v>2</v>
      </c>
      <c r="CK381" s="8">
        <v>2</v>
      </c>
      <c r="CL381" s="8">
        <v>0</v>
      </c>
      <c r="CM381" s="9">
        <f t="shared" si="1913"/>
        <v>100</v>
      </c>
      <c r="CN381" s="8">
        <v>425</v>
      </c>
      <c r="CO381" s="8">
        <v>7</v>
      </c>
      <c r="CP381" s="8">
        <v>11</v>
      </c>
      <c r="CQ381" s="8">
        <v>4</v>
      </c>
      <c r="CR381" s="9">
        <f t="shared" si="1914"/>
        <v>447</v>
      </c>
      <c r="CS381" s="9">
        <f t="shared" si="1915"/>
        <v>547</v>
      </c>
      <c r="CT381" s="8">
        <v>633</v>
      </c>
      <c r="CU381" s="8">
        <v>3632</v>
      </c>
      <c r="CV381" s="8">
        <v>3631.9</v>
      </c>
      <c r="CW381" s="10">
        <f t="shared" si="1916"/>
        <v>0.99997246696035247</v>
      </c>
      <c r="CX381" s="8">
        <v>0</v>
      </c>
      <c r="CY381" s="8">
        <v>0</v>
      </c>
      <c r="CZ381" s="8">
        <v>0</v>
      </c>
      <c r="DA381" s="8">
        <v>0</v>
      </c>
      <c r="DB381" s="9">
        <f t="shared" si="1917"/>
        <v>0</v>
      </c>
      <c r="DC381" s="8">
        <v>0</v>
      </c>
      <c r="DD381" s="8">
        <v>0</v>
      </c>
      <c r="DE381" s="8">
        <v>0</v>
      </c>
      <c r="DF381" s="8">
        <v>0</v>
      </c>
      <c r="DG381" s="9">
        <f t="shared" si="1918"/>
        <v>0</v>
      </c>
      <c r="DH381" s="8">
        <v>0</v>
      </c>
      <c r="DI381" s="8">
        <v>0</v>
      </c>
      <c r="DJ381" s="8">
        <v>0</v>
      </c>
      <c r="DK381" s="8">
        <v>0</v>
      </c>
      <c r="DL381" s="9">
        <f t="shared" si="1919"/>
        <v>0</v>
      </c>
      <c r="DM381" s="8">
        <v>0</v>
      </c>
      <c r="DN381" s="8">
        <v>0</v>
      </c>
      <c r="DO381" s="8">
        <v>0</v>
      </c>
      <c r="DP381" s="8">
        <v>0</v>
      </c>
      <c r="DQ381" s="9">
        <f t="shared" si="1920"/>
        <v>0</v>
      </c>
      <c r="DR381" s="9">
        <f t="shared" si="1921"/>
        <v>0</v>
      </c>
      <c r="DS381" s="9">
        <f t="shared" si="1922"/>
        <v>0</v>
      </c>
      <c r="DT381" s="9">
        <f t="shared" si="1923"/>
        <v>0</v>
      </c>
      <c r="DU381" s="9">
        <f t="shared" si="1924"/>
        <v>0</v>
      </c>
      <c r="DV381" s="9">
        <f t="shared" si="1925"/>
        <v>0</v>
      </c>
      <c r="DW381" s="8">
        <v>4</v>
      </c>
      <c r="DX381" s="8">
        <v>0</v>
      </c>
      <c r="DY381" s="8">
        <v>3</v>
      </c>
      <c r="DZ381" s="8">
        <v>0</v>
      </c>
      <c r="EA381" s="8">
        <v>0</v>
      </c>
      <c r="EB381" s="8">
        <v>0</v>
      </c>
      <c r="EC381" s="8">
        <v>0</v>
      </c>
      <c r="ED381" s="8">
        <v>0</v>
      </c>
      <c r="EE381" s="8">
        <v>1</v>
      </c>
      <c r="EF381" s="8">
        <v>0</v>
      </c>
      <c r="EG381" s="8">
        <v>0</v>
      </c>
      <c r="EH381" s="8">
        <v>0</v>
      </c>
      <c r="EI381" s="8">
        <v>0</v>
      </c>
      <c r="EJ381" s="8">
        <v>0</v>
      </c>
      <c r="EK381" s="8">
        <v>0</v>
      </c>
      <c r="EL381" s="8">
        <v>0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8">
        <v>0</v>
      </c>
      <c r="ES381" s="8">
        <v>0</v>
      </c>
      <c r="ET381" s="8">
        <v>0</v>
      </c>
      <c r="EU381" s="8">
        <v>0</v>
      </c>
      <c r="EV381" s="8">
        <v>0</v>
      </c>
      <c r="EW381" s="8">
        <v>0</v>
      </c>
      <c r="EX381" s="8">
        <v>0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9">
        <f t="shared" si="1926"/>
        <v>8</v>
      </c>
      <c r="FH381" s="8">
        <v>0</v>
      </c>
      <c r="FI381" s="8">
        <v>0</v>
      </c>
      <c r="FJ381" s="8">
        <v>10</v>
      </c>
      <c r="FK381" s="8">
        <v>0</v>
      </c>
      <c r="FL381" s="8">
        <v>0</v>
      </c>
      <c r="FM381" s="8">
        <v>0</v>
      </c>
      <c r="FN381" s="8">
        <v>0</v>
      </c>
      <c r="FO381" s="8">
        <v>0</v>
      </c>
      <c r="FP381" s="8">
        <v>0</v>
      </c>
      <c r="FQ381" s="9">
        <f t="shared" si="1927"/>
        <v>0</v>
      </c>
      <c r="FR381" s="8">
        <v>439800</v>
      </c>
      <c r="FS381" s="8">
        <v>0</v>
      </c>
      <c r="FT381" s="8">
        <v>40000</v>
      </c>
      <c r="FU381" s="8">
        <v>0</v>
      </c>
      <c r="FV381" s="9">
        <f t="shared" si="1928"/>
        <v>479800</v>
      </c>
      <c r="FW381" s="8">
        <v>2474139.4</v>
      </c>
      <c r="FX381" s="8">
        <v>13500</v>
      </c>
      <c r="FY381" s="8">
        <v>53564.05</v>
      </c>
      <c r="FZ381" s="8">
        <v>85700</v>
      </c>
      <c r="GA381" s="9">
        <f t="shared" si="1929"/>
        <v>2626903.4499999997</v>
      </c>
      <c r="GB381" s="9">
        <f t="shared" si="1930"/>
        <v>3106703.4499999997</v>
      </c>
      <c r="GC381" s="8">
        <v>456408.93</v>
      </c>
      <c r="GD381" s="8">
        <v>0</v>
      </c>
      <c r="GE381" s="8">
        <v>50498.35</v>
      </c>
      <c r="GF381" s="8">
        <v>16821.98</v>
      </c>
      <c r="GG381" s="9">
        <f t="shared" si="1931"/>
        <v>523729.25999999995</v>
      </c>
      <c r="GH381" s="8">
        <v>2384619.4</v>
      </c>
      <c r="GI381" s="8">
        <v>13500</v>
      </c>
      <c r="GJ381" s="8">
        <v>85700</v>
      </c>
      <c r="GK381" s="8">
        <v>38444.04</v>
      </c>
      <c r="GL381" s="9">
        <f t="shared" si="1932"/>
        <v>2522263.44</v>
      </c>
      <c r="GM381" s="9">
        <f t="shared" si="1933"/>
        <v>3045992.6999999997</v>
      </c>
      <c r="GN381" s="8">
        <v>52313.279999999999</v>
      </c>
      <c r="GO381" s="8">
        <v>0</v>
      </c>
      <c r="GP381" s="8">
        <v>6787.28</v>
      </c>
      <c r="GQ381" s="8">
        <v>9274.68</v>
      </c>
      <c r="GR381" s="9">
        <f t="shared" si="1934"/>
        <v>68375.239999999991</v>
      </c>
      <c r="GS381" s="8">
        <v>85728</v>
      </c>
      <c r="GT381" s="8">
        <v>0</v>
      </c>
      <c r="GU381" s="8">
        <v>1786</v>
      </c>
      <c r="GV381" s="8">
        <v>1786</v>
      </c>
      <c r="GW381" s="9">
        <f t="shared" si="1935"/>
        <v>89300</v>
      </c>
      <c r="GX381" s="9">
        <f t="shared" si="1936"/>
        <v>3203667.9399999995</v>
      </c>
      <c r="GY381" s="8">
        <v>16491034.91</v>
      </c>
      <c r="GZ381" s="8">
        <v>0</v>
      </c>
      <c r="HA381" s="9">
        <f t="shared" si="1937"/>
        <v>16491034.91</v>
      </c>
      <c r="HB381" s="9">
        <f t="shared" si="1938"/>
        <v>0.14877860151448782</v>
      </c>
      <c r="HC381" s="10">
        <f t="shared" si="1939"/>
        <v>0.15774309841897408</v>
      </c>
      <c r="HD381" s="9">
        <f t="shared" si="1940"/>
        <v>0.96973328952438198</v>
      </c>
      <c r="HE381" s="8">
        <v>3</v>
      </c>
      <c r="HF381" s="8">
        <v>1</v>
      </c>
      <c r="HG381" s="8">
        <v>0</v>
      </c>
      <c r="HH381" s="8">
        <v>31</v>
      </c>
      <c r="HI381" s="8">
        <v>31</v>
      </c>
      <c r="HJ381" s="9">
        <f t="shared" si="1941"/>
        <v>32</v>
      </c>
      <c r="HK381" s="10">
        <f t="shared" si="1942"/>
        <v>10.333333333333334</v>
      </c>
      <c r="HL381" s="8">
        <v>54</v>
      </c>
      <c r="HM381" s="8">
        <v>31</v>
      </c>
      <c r="HN381" s="11">
        <f t="shared" si="1943"/>
        <v>0.57407407407407407</v>
      </c>
    </row>
    <row r="382" spans="1:222" x14ac:dyDescent="0.3">
      <c r="A382" s="12" t="s">
        <v>295</v>
      </c>
      <c r="B382" s="12" t="s">
        <v>304</v>
      </c>
      <c r="C382" s="13" t="s">
        <v>257</v>
      </c>
      <c r="D382" s="13">
        <v>2025</v>
      </c>
      <c r="E382" s="13">
        <v>11</v>
      </c>
      <c r="F382" s="13" t="s">
        <v>268</v>
      </c>
      <c r="G382" s="13" t="s">
        <v>267</v>
      </c>
      <c r="H382" s="14">
        <v>2640</v>
      </c>
      <c r="I382" s="14">
        <v>550</v>
      </c>
      <c r="J382" s="14">
        <v>0</v>
      </c>
      <c r="K382" s="14">
        <v>25</v>
      </c>
      <c r="L382" s="14">
        <v>8</v>
      </c>
      <c r="M382" s="15">
        <f t="shared" si="1883"/>
        <v>583</v>
      </c>
      <c r="N382" s="14">
        <v>1860.99999999999</v>
      </c>
      <c r="O382" s="14">
        <v>18.899999999999999</v>
      </c>
      <c r="P382" s="14">
        <v>54.9</v>
      </c>
      <c r="Q382" s="14">
        <v>31.8</v>
      </c>
      <c r="R382" s="15">
        <f t="shared" si="1884"/>
        <v>1966.5999999999901</v>
      </c>
      <c r="S382" s="15">
        <f t="shared" si="1885"/>
        <v>2549.5999999999904</v>
      </c>
      <c r="T382" s="14">
        <v>90.400000000008703</v>
      </c>
      <c r="U382" s="16">
        <f t="shared" si="1886"/>
        <v>3.4242424242427537E-2</v>
      </c>
      <c r="V382" s="14">
        <v>4</v>
      </c>
      <c r="W382" s="17">
        <f t="shared" si="1887"/>
        <v>1.5151515151515152E-3</v>
      </c>
      <c r="X382" s="14">
        <v>18</v>
      </c>
      <c r="Y382" s="17">
        <f t="shared" si="1888"/>
        <v>6.8181818181818179E-3</v>
      </c>
      <c r="Z382" s="14">
        <v>11</v>
      </c>
      <c r="AA382" s="17">
        <f t="shared" si="1889"/>
        <v>4.1666666666666666E-3</v>
      </c>
      <c r="AB382" s="14">
        <v>0</v>
      </c>
      <c r="AC382" s="17">
        <f t="shared" si="1890"/>
        <v>0</v>
      </c>
      <c r="AD382" s="14">
        <v>0</v>
      </c>
      <c r="AE382" s="17">
        <f t="shared" si="1891"/>
        <v>0</v>
      </c>
      <c r="AF382" s="14">
        <v>0</v>
      </c>
      <c r="AG382" s="17">
        <f t="shared" si="1892"/>
        <v>0</v>
      </c>
      <c r="AH382" s="14">
        <v>393876</v>
      </c>
      <c r="AI382" s="15">
        <f t="shared" si="1893"/>
        <v>149.19545454545454</v>
      </c>
      <c r="AJ382" s="14">
        <v>127.05</v>
      </c>
      <c r="AK382" s="17">
        <f t="shared" si="1894"/>
        <v>4.8125000000000001E-2</v>
      </c>
      <c r="AL382" s="14">
        <v>66330.35845</v>
      </c>
      <c r="AM382" s="15">
        <f t="shared" si="1895"/>
        <v>25.125135776515151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  <c r="AS382" s="14">
        <v>0</v>
      </c>
      <c r="AT382" s="14">
        <v>0</v>
      </c>
      <c r="AU382" s="15">
        <f t="shared" si="1896"/>
        <v>460206.35845</v>
      </c>
      <c r="AV382" s="15">
        <f t="shared" si="1897"/>
        <v>174.32059032196969</v>
      </c>
      <c r="AW382" s="15">
        <f t="shared" si="1898"/>
        <v>180.50139568952062</v>
      </c>
      <c r="AX382" s="14">
        <v>1</v>
      </c>
      <c r="AY382" s="15">
        <f t="shared" si="1899"/>
        <v>4.5454545454545459</v>
      </c>
      <c r="AZ382" s="14">
        <v>4</v>
      </c>
      <c r="BA382" s="14">
        <v>0</v>
      </c>
      <c r="BB382" s="14">
        <v>8</v>
      </c>
      <c r="BC382" s="14">
        <v>8</v>
      </c>
      <c r="BD382" s="14">
        <v>0</v>
      </c>
      <c r="BE382" s="15">
        <f t="shared" si="1900"/>
        <v>8</v>
      </c>
      <c r="BF382" s="15">
        <f t="shared" si="1901"/>
        <v>0</v>
      </c>
      <c r="BG382" s="14">
        <v>0</v>
      </c>
      <c r="BH382" s="14">
        <v>0</v>
      </c>
      <c r="BI382" s="14">
        <v>0</v>
      </c>
      <c r="BJ382" s="14">
        <v>0</v>
      </c>
      <c r="BK382" s="15">
        <f t="shared" si="1902"/>
        <v>0</v>
      </c>
      <c r="BL382" s="15">
        <f t="shared" si="1903"/>
        <v>0</v>
      </c>
      <c r="BM382" s="14">
        <v>0</v>
      </c>
      <c r="BN382" s="14">
        <v>0</v>
      </c>
      <c r="BO382" s="14">
        <v>0</v>
      </c>
      <c r="BP382" s="14">
        <v>0</v>
      </c>
      <c r="BQ382" s="15">
        <f t="shared" si="1904"/>
        <v>0</v>
      </c>
      <c r="BR382" s="15">
        <f t="shared" si="1905"/>
        <v>0</v>
      </c>
      <c r="BS382" s="14">
        <v>0</v>
      </c>
      <c r="BT382" s="14">
        <v>0</v>
      </c>
      <c r="BU382" s="14">
        <v>0</v>
      </c>
      <c r="BV382" s="14">
        <v>0</v>
      </c>
      <c r="BW382" s="15">
        <f t="shared" si="1906"/>
        <v>0</v>
      </c>
      <c r="BX382" s="15">
        <f t="shared" si="1907"/>
        <v>0</v>
      </c>
      <c r="BY382" s="15">
        <f t="shared" si="1908"/>
        <v>0</v>
      </c>
      <c r="BZ382" s="15">
        <f t="shared" si="1909"/>
        <v>8</v>
      </c>
      <c r="CA382" s="15">
        <f t="shared" si="1910"/>
        <v>8</v>
      </c>
      <c r="CB382" s="15">
        <f t="shared" si="1911"/>
        <v>0</v>
      </c>
      <c r="CC382" s="14">
        <v>0</v>
      </c>
      <c r="CD382" s="14">
        <v>85</v>
      </c>
      <c r="CE382" s="14">
        <v>1</v>
      </c>
      <c r="CF382" s="14">
        <v>0</v>
      </c>
      <c r="CG382" s="14">
        <v>0</v>
      </c>
      <c r="CH382" s="15">
        <f t="shared" si="1912"/>
        <v>86</v>
      </c>
      <c r="CI382" s="14">
        <v>78</v>
      </c>
      <c r="CJ382" s="14">
        <v>2</v>
      </c>
      <c r="CK382" s="14">
        <v>2</v>
      </c>
      <c r="CL382" s="14">
        <v>0</v>
      </c>
      <c r="CM382" s="15">
        <f t="shared" si="1913"/>
        <v>82</v>
      </c>
      <c r="CN382" s="14">
        <v>451</v>
      </c>
      <c r="CO382" s="14">
        <v>7</v>
      </c>
      <c r="CP382" s="14">
        <v>11</v>
      </c>
      <c r="CQ382" s="14">
        <v>4</v>
      </c>
      <c r="CR382" s="15">
        <f t="shared" si="1914"/>
        <v>473</v>
      </c>
      <c r="CS382" s="15">
        <f t="shared" si="1915"/>
        <v>555</v>
      </c>
      <c r="CT382" s="14">
        <v>641</v>
      </c>
      <c r="CU382" s="14">
        <v>3639</v>
      </c>
      <c r="CV382" s="14">
        <v>3640.6</v>
      </c>
      <c r="CW382" s="16">
        <f t="shared" si="1916"/>
        <v>1.0004396812311074</v>
      </c>
      <c r="CX382" s="14">
        <v>0</v>
      </c>
      <c r="CY382" s="14">
        <v>0</v>
      </c>
      <c r="CZ382" s="14">
        <v>0</v>
      </c>
      <c r="DA382" s="14">
        <v>0</v>
      </c>
      <c r="DB382" s="15">
        <f t="shared" si="1917"/>
        <v>0</v>
      </c>
      <c r="DC382" s="14">
        <v>0</v>
      </c>
      <c r="DD382" s="14">
        <v>0</v>
      </c>
      <c r="DE382" s="14">
        <v>0</v>
      </c>
      <c r="DF382" s="14">
        <v>0</v>
      </c>
      <c r="DG382" s="15">
        <f t="shared" si="1918"/>
        <v>0</v>
      </c>
      <c r="DH382" s="14">
        <v>0</v>
      </c>
      <c r="DI382" s="14">
        <v>0</v>
      </c>
      <c r="DJ382" s="14">
        <v>0</v>
      </c>
      <c r="DK382" s="14">
        <v>0</v>
      </c>
      <c r="DL382" s="15">
        <f t="shared" si="1919"/>
        <v>0</v>
      </c>
      <c r="DM382" s="14">
        <v>0</v>
      </c>
      <c r="DN382" s="14">
        <v>0</v>
      </c>
      <c r="DO382" s="14">
        <v>0</v>
      </c>
      <c r="DP382" s="14">
        <v>0</v>
      </c>
      <c r="DQ382" s="15">
        <f t="shared" si="1920"/>
        <v>0</v>
      </c>
      <c r="DR382" s="15">
        <f t="shared" si="1921"/>
        <v>0</v>
      </c>
      <c r="DS382" s="15">
        <f t="shared" si="1922"/>
        <v>0</v>
      </c>
      <c r="DT382" s="15">
        <f t="shared" si="1923"/>
        <v>0</v>
      </c>
      <c r="DU382" s="15">
        <f t="shared" si="1924"/>
        <v>0</v>
      </c>
      <c r="DV382" s="15">
        <f t="shared" si="1925"/>
        <v>0</v>
      </c>
      <c r="DW382" s="14">
        <v>1</v>
      </c>
      <c r="DX382" s="14">
        <v>0</v>
      </c>
      <c r="DY382" s="14">
        <v>0</v>
      </c>
      <c r="DZ382" s="14">
        <v>0</v>
      </c>
      <c r="EA382" s="14">
        <v>0</v>
      </c>
      <c r="EB382" s="14">
        <v>2</v>
      </c>
      <c r="EC382" s="14">
        <v>2</v>
      </c>
      <c r="ED382" s="14">
        <v>1</v>
      </c>
      <c r="EE382" s="14">
        <v>0</v>
      </c>
      <c r="EF382" s="14">
        <v>1</v>
      </c>
      <c r="EG382" s="14">
        <v>0</v>
      </c>
      <c r="EH382" s="14">
        <v>0</v>
      </c>
      <c r="EI382" s="14">
        <v>0</v>
      </c>
      <c r="EJ382" s="14">
        <v>0</v>
      </c>
      <c r="EK382" s="14">
        <v>0</v>
      </c>
      <c r="EL382" s="14">
        <v>0</v>
      </c>
      <c r="EM382" s="14">
        <v>0</v>
      </c>
      <c r="EN382" s="14">
        <v>0</v>
      </c>
      <c r="EO382" s="14">
        <v>0</v>
      </c>
      <c r="EP382" s="14">
        <v>0</v>
      </c>
      <c r="EQ382" s="14">
        <v>0</v>
      </c>
      <c r="ER382" s="14">
        <v>0</v>
      </c>
      <c r="ES382" s="14">
        <v>0</v>
      </c>
      <c r="ET382" s="14">
        <v>0</v>
      </c>
      <c r="EU382" s="14">
        <v>0</v>
      </c>
      <c r="EV382" s="14">
        <v>0</v>
      </c>
      <c r="EW382" s="14">
        <v>0</v>
      </c>
      <c r="EX382" s="14">
        <v>0</v>
      </c>
      <c r="EY382" s="14">
        <v>0</v>
      </c>
      <c r="EZ382" s="14">
        <v>0</v>
      </c>
      <c r="FA382" s="14">
        <v>0</v>
      </c>
      <c r="FB382" s="14">
        <v>0</v>
      </c>
      <c r="FC382" s="14">
        <v>0</v>
      </c>
      <c r="FD382" s="14">
        <v>0</v>
      </c>
      <c r="FE382" s="14">
        <v>0</v>
      </c>
      <c r="FF382" s="14">
        <v>0</v>
      </c>
      <c r="FG382" s="15">
        <f t="shared" si="1926"/>
        <v>7</v>
      </c>
      <c r="FH382" s="14">
        <v>0</v>
      </c>
      <c r="FI382" s="14">
        <v>0</v>
      </c>
      <c r="FJ382" s="14">
        <v>12</v>
      </c>
      <c r="FK382" s="14">
        <v>0</v>
      </c>
      <c r="FL382" s="14">
        <v>0</v>
      </c>
      <c r="FM382" s="14">
        <v>0</v>
      </c>
      <c r="FN382" s="14">
        <v>0</v>
      </c>
      <c r="FO382" s="14">
        <v>0</v>
      </c>
      <c r="FP382" s="14">
        <v>0</v>
      </c>
      <c r="FQ382" s="15">
        <f t="shared" si="1927"/>
        <v>0</v>
      </c>
      <c r="FR382" s="14">
        <v>430900</v>
      </c>
      <c r="FS382" s="14">
        <v>0</v>
      </c>
      <c r="FT382" s="14">
        <v>0</v>
      </c>
      <c r="FU382" s="14">
        <v>1178046.49</v>
      </c>
      <c r="FV382" s="15">
        <f t="shared" si="1928"/>
        <v>1608946.49</v>
      </c>
      <c r="FW382" s="14">
        <v>2428762</v>
      </c>
      <c r="FX382" s="14">
        <v>4000</v>
      </c>
      <c r="FY382" s="14">
        <v>165117</v>
      </c>
      <c r="FZ382" s="14">
        <v>166670</v>
      </c>
      <c r="GA382" s="15">
        <f t="shared" si="1929"/>
        <v>2764549</v>
      </c>
      <c r="GB382" s="15">
        <f t="shared" si="1930"/>
        <v>4373495.49</v>
      </c>
      <c r="GC382" s="14">
        <v>476163.66</v>
      </c>
      <c r="GD382" s="14">
        <v>0</v>
      </c>
      <c r="GE382" s="14">
        <v>68593.009999999995</v>
      </c>
      <c r="GF382" s="14">
        <v>16821.98</v>
      </c>
      <c r="GG382" s="15">
        <f t="shared" si="1931"/>
        <v>561578.64999999991</v>
      </c>
      <c r="GH382" s="14">
        <v>2320082</v>
      </c>
      <c r="GI382" s="14">
        <v>4000</v>
      </c>
      <c r="GJ382" s="14">
        <v>166670</v>
      </c>
      <c r="GK382" s="14">
        <v>150777</v>
      </c>
      <c r="GL382" s="15">
        <f t="shared" si="1932"/>
        <v>2641529</v>
      </c>
      <c r="GM382" s="15">
        <f t="shared" si="1933"/>
        <v>3203107.65</v>
      </c>
      <c r="GN382" s="14">
        <v>42504.54</v>
      </c>
      <c r="GO382" s="14">
        <v>0</v>
      </c>
      <c r="GP382" s="14">
        <v>6787.28</v>
      </c>
      <c r="GQ382" s="14">
        <v>9274.68</v>
      </c>
      <c r="GR382" s="15">
        <f t="shared" si="1934"/>
        <v>58566.5</v>
      </c>
      <c r="GS382" s="14">
        <v>69654</v>
      </c>
      <c r="GT382" s="14">
        <v>0</v>
      </c>
      <c r="GU382" s="14">
        <v>1786</v>
      </c>
      <c r="GV382" s="14">
        <v>1786</v>
      </c>
      <c r="GW382" s="15">
        <f t="shared" si="1935"/>
        <v>73226</v>
      </c>
      <c r="GX382" s="15">
        <f t="shared" si="1936"/>
        <v>3334900.15</v>
      </c>
      <c r="GY382" s="14">
        <v>15460374</v>
      </c>
      <c r="GZ382" s="14">
        <v>0</v>
      </c>
      <c r="HA382" s="9">
        <f t="shared" si="1937"/>
        <v>15460374</v>
      </c>
      <c r="HB382" s="15">
        <f t="shared" si="1938"/>
        <v>0.137997042715057</v>
      </c>
      <c r="HC382" s="16">
        <f t="shared" si="1939"/>
        <v>0.23269123158812774</v>
      </c>
      <c r="HD382" s="15">
        <f t="shared" si="1940"/>
        <v>1.3114322148445734</v>
      </c>
      <c r="HE382" s="14">
        <v>6</v>
      </c>
      <c r="HF382" s="14">
        <v>1</v>
      </c>
      <c r="HG382" s="14">
        <v>0</v>
      </c>
      <c r="HH382" s="14">
        <v>8</v>
      </c>
      <c r="HI382" s="14">
        <v>28</v>
      </c>
      <c r="HJ382" s="15">
        <f t="shared" si="1941"/>
        <v>29</v>
      </c>
      <c r="HK382" s="16">
        <f t="shared" si="1942"/>
        <v>1.3333333333333333</v>
      </c>
      <c r="HL382" s="14">
        <v>49</v>
      </c>
      <c r="HM382" s="14">
        <v>30</v>
      </c>
      <c r="HN382" s="17">
        <f t="shared" si="1943"/>
        <v>0.61224489795918369</v>
      </c>
    </row>
    <row r="383" spans="1:222" x14ac:dyDescent="0.3">
      <c r="A383" s="6" t="s">
        <v>295</v>
      </c>
      <c r="B383" s="6" t="s">
        <v>304</v>
      </c>
      <c r="C383" s="7" t="s">
        <v>257</v>
      </c>
      <c r="D383" s="7">
        <v>2025</v>
      </c>
      <c r="E383" s="7">
        <v>12</v>
      </c>
      <c r="F383" s="7" t="s">
        <v>269</v>
      </c>
      <c r="G383" s="7" t="s">
        <v>267</v>
      </c>
      <c r="H383" s="8">
        <v>4120</v>
      </c>
      <c r="I383" s="8">
        <v>269</v>
      </c>
      <c r="J383" s="8">
        <v>0</v>
      </c>
      <c r="K383" s="8">
        <v>26</v>
      </c>
      <c r="L383" s="8">
        <v>4</v>
      </c>
      <c r="M383" s="9">
        <f t="shared" si="1883"/>
        <v>299</v>
      </c>
      <c r="N383" s="8">
        <v>1658.8999999999901</v>
      </c>
      <c r="O383" s="8">
        <v>23.8</v>
      </c>
      <c r="P383" s="8">
        <v>14.2</v>
      </c>
      <c r="Q383" s="8">
        <v>7.5</v>
      </c>
      <c r="R383" s="9">
        <f t="shared" si="1884"/>
        <v>1704.3999999999901</v>
      </c>
      <c r="S383" s="9">
        <f t="shared" si="1885"/>
        <v>2003.3999999999901</v>
      </c>
      <c r="T383" s="8">
        <v>2116.6000000000099</v>
      </c>
      <c r="U383" s="10">
        <f t="shared" si="1886"/>
        <v>0.5137378640776723</v>
      </c>
      <c r="V383" s="8">
        <v>7</v>
      </c>
      <c r="W383" s="11">
        <f t="shared" si="1887"/>
        <v>1.6990291262135922E-3</v>
      </c>
      <c r="X383" s="8">
        <v>36</v>
      </c>
      <c r="Y383" s="11">
        <f t="shared" si="1888"/>
        <v>8.7378640776699032E-3</v>
      </c>
      <c r="Z383" s="8">
        <v>20</v>
      </c>
      <c r="AA383" s="11">
        <f t="shared" si="1889"/>
        <v>4.8543689320388345E-3</v>
      </c>
      <c r="AB383" s="8">
        <v>0</v>
      </c>
      <c r="AC383" s="11">
        <f t="shared" si="1890"/>
        <v>0</v>
      </c>
      <c r="AD383" s="8">
        <v>0</v>
      </c>
      <c r="AE383" s="11">
        <f t="shared" si="1891"/>
        <v>0</v>
      </c>
      <c r="AF383" s="8">
        <v>0</v>
      </c>
      <c r="AG383" s="11">
        <f t="shared" si="1892"/>
        <v>0</v>
      </c>
      <c r="AH383" s="8">
        <v>737520</v>
      </c>
      <c r="AI383" s="9">
        <f t="shared" si="1893"/>
        <v>179.00970873786409</v>
      </c>
      <c r="AJ383" s="8">
        <v>193.7</v>
      </c>
      <c r="AK383" s="11">
        <f t="shared" si="1894"/>
        <v>4.7014563106796116E-2</v>
      </c>
      <c r="AL383" s="8">
        <v>84546.403300000005</v>
      </c>
      <c r="AM383" s="9">
        <f t="shared" si="1895"/>
        <v>20.520971674757284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9">
        <f t="shared" si="1896"/>
        <v>822066.40330000001</v>
      </c>
      <c r="AV383" s="9">
        <f t="shared" si="1897"/>
        <v>199.53068041262136</v>
      </c>
      <c r="AW383" s="9">
        <f t="shared" si="1898"/>
        <v>410.33563107717083</v>
      </c>
      <c r="AX383" s="8">
        <v>1</v>
      </c>
      <c r="AY383" s="9">
        <f t="shared" si="1899"/>
        <v>2.912621359223301</v>
      </c>
      <c r="AZ383" s="8">
        <v>4</v>
      </c>
      <c r="BA383" s="8">
        <v>0</v>
      </c>
      <c r="BB383" s="8">
        <v>5</v>
      </c>
      <c r="BC383" s="8">
        <v>3</v>
      </c>
      <c r="BD383" s="8">
        <v>0</v>
      </c>
      <c r="BE383" s="9">
        <f t="shared" si="1900"/>
        <v>3</v>
      </c>
      <c r="BF383" s="9">
        <f t="shared" si="1901"/>
        <v>2</v>
      </c>
      <c r="BG383" s="8">
        <v>0</v>
      </c>
      <c r="BH383" s="8">
        <v>0</v>
      </c>
      <c r="BI383" s="8">
        <v>0</v>
      </c>
      <c r="BJ383" s="8">
        <v>0</v>
      </c>
      <c r="BK383" s="9">
        <f t="shared" si="1902"/>
        <v>0</v>
      </c>
      <c r="BL383" s="9">
        <f t="shared" si="1903"/>
        <v>0</v>
      </c>
      <c r="BM383" s="8">
        <v>0</v>
      </c>
      <c r="BN383" s="8">
        <v>0</v>
      </c>
      <c r="BO383" s="8">
        <v>0</v>
      </c>
      <c r="BP383" s="8">
        <v>0</v>
      </c>
      <c r="BQ383" s="9">
        <f t="shared" si="1904"/>
        <v>0</v>
      </c>
      <c r="BR383" s="9">
        <f t="shared" si="1905"/>
        <v>0</v>
      </c>
      <c r="BS383" s="8">
        <v>0</v>
      </c>
      <c r="BT383" s="8">
        <v>0</v>
      </c>
      <c r="BU383" s="8">
        <v>0</v>
      </c>
      <c r="BV383" s="8">
        <v>0</v>
      </c>
      <c r="BW383" s="9">
        <f t="shared" si="1906"/>
        <v>0</v>
      </c>
      <c r="BX383" s="9">
        <f t="shared" si="1907"/>
        <v>0</v>
      </c>
      <c r="BY383" s="9">
        <f t="shared" si="1908"/>
        <v>0</v>
      </c>
      <c r="BZ383" s="9">
        <f t="shared" si="1909"/>
        <v>5</v>
      </c>
      <c r="CA383" s="9">
        <f t="shared" si="1910"/>
        <v>3</v>
      </c>
      <c r="CB383" s="9">
        <f t="shared" si="1911"/>
        <v>2</v>
      </c>
      <c r="CC383" s="8">
        <v>0</v>
      </c>
      <c r="CD383" s="8">
        <v>85</v>
      </c>
      <c r="CE383" s="8">
        <v>1</v>
      </c>
      <c r="CF383" s="8">
        <v>1</v>
      </c>
      <c r="CG383" s="8">
        <v>0</v>
      </c>
      <c r="CH383" s="9">
        <f t="shared" si="1912"/>
        <v>87</v>
      </c>
      <c r="CI383" s="8">
        <v>37</v>
      </c>
      <c r="CJ383" s="8">
        <v>2</v>
      </c>
      <c r="CK383" s="8">
        <v>1</v>
      </c>
      <c r="CL383" s="8">
        <v>0</v>
      </c>
      <c r="CM383" s="9">
        <f t="shared" si="1913"/>
        <v>40</v>
      </c>
      <c r="CN383" s="8">
        <v>495</v>
      </c>
      <c r="CO383" s="8">
        <v>7</v>
      </c>
      <c r="CP383" s="8">
        <v>11</v>
      </c>
      <c r="CQ383" s="8">
        <v>4</v>
      </c>
      <c r="CR383" s="9">
        <f t="shared" si="1914"/>
        <v>517</v>
      </c>
      <c r="CS383" s="9">
        <f t="shared" si="1915"/>
        <v>557</v>
      </c>
      <c r="CT383" s="8">
        <v>644</v>
      </c>
      <c r="CU383" s="8">
        <v>3646</v>
      </c>
      <c r="CV383" s="8">
        <v>3645.3</v>
      </c>
      <c r="CW383" s="10">
        <f t="shared" si="1916"/>
        <v>0.9998080087767417</v>
      </c>
      <c r="CX383" s="8">
        <v>0</v>
      </c>
      <c r="CY383" s="8">
        <v>0</v>
      </c>
      <c r="CZ383" s="8">
        <v>0</v>
      </c>
      <c r="DA383" s="8">
        <v>0</v>
      </c>
      <c r="DB383" s="9">
        <f t="shared" si="1917"/>
        <v>0</v>
      </c>
      <c r="DC383" s="8">
        <v>0</v>
      </c>
      <c r="DD383" s="8">
        <v>0</v>
      </c>
      <c r="DE383" s="8">
        <v>0</v>
      </c>
      <c r="DF383" s="8">
        <v>0</v>
      </c>
      <c r="DG383" s="9">
        <f t="shared" si="1918"/>
        <v>0</v>
      </c>
      <c r="DH383" s="8">
        <v>0</v>
      </c>
      <c r="DI383" s="8">
        <v>0</v>
      </c>
      <c r="DJ383" s="8">
        <v>0</v>
      </c>
      <c r="DK383" s="8">
        <v>0</v>
      </c>
      <c r="DL383" s="9">
        <f t="shared" si="1919"/>
        <v>0</v>
      </c>
      <c r="DM383" s="8">
        <v>0</v>
      </c>
      <c r="DN383" s="8">
        <v>0</v>
      </c>
      <c r="DO383" s="8">
        <v>0</v>
      </c>
      <c r="DP383" s="8">
        <v>0</v>
      </c>
      <c r="DQ383" s="9">
        <f t="shared" si="1920"/>
        <v>0</v>
      </c>
      <c r="DR383" s="9">
        <f t="shared" si="1921"/>
        <v>0</v>
      </c>
      <c r="DS383" s="9">
        <f t="shared" si="1922"/>
        <v>0</v>
      </c>
      <c r="DT383" s="9">
        <f t="shared" si="1923"/>
        <v>0</v>
      </c>
      <c r="DU383" s="9">
        <f t="shared" si="1924"/>
        <v>0</v>
      </c>
      <c r="DV383" s="9">
        <f t="shared" si="1925"/>
        <v>0</v>
      </c>
      <c r="DW383" s="8">
        <v>2</v>
      </c>
      <c r="DX383" s="8">
        <v>0</v>
      </c>
      <c r="DY383" s="8">
        <v>0</v>
      </c>
      <c r="DZ383" s="8">
        <v>0</v>
      </c>
      <c r="EA383" s="8">
        <v>0</v>
      </c>
      <c r="EB383" s="8">
        <v>2</v>
      </c>
      <c r="EC383" s="8">
        <v>1</v>
      </c>
      <c r="ED383" s="8">
        <v>0</v>
      </c>
      <c r="EE383" s="8">
        <v>2</v>
      </c>
      <c r="EF383" s="8">
        <v>1</v>
      </c>
      <c r="EG383" s="8">
        <v>0</v>
      </c>
      <c r="EH383" s="8">
        <v>0</v>
      </c>
      <c r="EI383" s="8">
        <v>0</v>
      </c>
      <c r="EJ383" s="8">
        <v>0</v>
      </c>
      <c r="EK383" s="8">
        <v>0</v>
      </c>
      <c r="EL383" s="8">
        <v>0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8">
        <v>0</v>
      </c>
      <c r="ES383" s="8">
        <v>0</v>
      </c>
      <c r="ET383" s="8">
        <v>0</v>
      </c>
      <c r="EU383" s="8">
        <v>0</v>
      </c>
      <c r="EV383" s="8">
        <v>0</v>
      </c>
      <c r="EW383" s="8">
        <v>0</v>
      </c>
      <c r="EX383" s="8">
        <v>0</v>
      </c>
      <c r="EY383" s="8">
        <v>0</v>
      </c>
      <c r="EZ383" s="8">
        <v>0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9">
        <f t="shared" si="1926"/>
        <v>8</v>
      </c>
      <c r="FH383" s="8">
        <v>0</v>
      </c>
      <c r="FI383" s="8">
        <v>0</v>
      </c>
      <c r="FJ383" s="8">
        <v>11</v>
      </c>
      <c r="FK383" s="8">
        <v>0</v>
      </c>
      <c r="FL383" s="8">
        <v>0</v>
      </c>
      <c r="FM383" s="8">
        <v>0</v>
      </c>
      <c r="FN383" s="8">
        <v>0</v>
      </c>
      <c r="FO383" s="8">
        <v>0</v>
      </c>
      <c r="FP383" s="8">
        <v>0</v>
      </c>
      <c r="FQ383" s="9">
        <f t="shared" si="1927"/>
        <v>0</v>
      </c>
      <c r="FR383" s="8">
        <v>322850</v>
      </c>
      <c r="FS383" s="8">
        <v>0</v>
      </c>
      <c r="FT383" s="8">
        <v>0</v>
      </c>
      <c r="FU383" s="8">
        <v>0</v>
      </c>
      <c r="FV383" s="9">
        <f t="shared" si="1928"/>
        <v>322850</v>
      </c>
      <c r="FW383" s="8">
        <v>2138660.7400000002</v>
      </c>
      <c r="FX383" s="8">
        <v>5000</v>
      </c>
      <c r="FY383" s="8">
        <v>55054.17</v>
      </c>
      <c r="FZ383" s="8">
        <v>43000</v>
      </c>
      <c r="GA383" s="9">
        <f t="shared" si="1929"/>
        <v>2241714.91</v>
      </c>
      <c r="GB383" s="9">
        <f t="shared" si="1930"/>
        <v>2564564.91</v>
      </c>
      <c r="GC383" s="8">
        <v>234159.77</v>
      </c>
      <c r="GD383" s="8">
        <v>0</v>
      </c>
      <c r="GE383" s="8">
        <v>78971.42</v>
      </c>
      <c r="GF383" s="8">
        <v>8410.99</v>
      </c>
      <c r="GG383" s="9">
        <f t="shared" si="1931"/>
        <v>321542.18</v>
      </c>
      <c r="GH383" s="8">
        <v>2068170.74</v>
      </c>
      <c r="GI383" s="8">
        <v>5000</v>
      </c>
      <c r="GJ383" s="8">
        <v>43000</v>
      </c>
      <c r="GK383" s="8">
        <v>36448.080000000002</v>
      </c>
      <c r="GL383" s="9">
        <f t="shared" si="1932"/>
        <v>2152618.8200000003</v>
      </c>
      <c r="GM383" s="9">
        <f t="shared" si="1933"/>
        <v>2474161.0000000005</v>
      </c>
      <c r="GN383" s="8">
        <v>20162.41</v>
      </c>
      <c r="GO383" s="8">
        <v>0</v>
      </c>
      <c r="GP383" s="8">
        <v>6787.28</v>
      </c>
      <c r="GQ383" s="8">
        <v>4637.34</v>
      </c>
      <c r="GR383" s="9">
        <f t="shared" si="1934"/>
        <v>31587.03</v>
      </c>
      <c r="GS383" s="8">
        <v>33041</v>
      </c>
      <c r="GT383" s="8">
        <v>0</v>
      </c>
      <c r="GU383" s="8">
        <v>1786</v>
      </c>
      <c r="GV383" s="8">
        <v>893</v>
      </c>
      <c r="GW383" s="9">
        <f t="shared" si="1935"/>
        <v>35720</v>
      </c>
      <c r="GX383" s="9">
        <f t="shared" si="1936"/>
        <v>2541468.0300000003</v>
      </c>
      <c r="GY383" s="8">
        <v>15455284.25</v>
      </c>
      <c r="GZ383" s="8">
        <v>0</v>
      </c>
      <c r="HA383" s="9">
        <f t="shared" si="1937"/>
        <v>15455284.25</v>
      </c>
      <c r="HB383" s="9">
        <f t="shared" si="1938"/>
        <v>0.32346124113943703</v>
      </c>
      <c r="HC383" s="10">
        <f t="shared" si="1939"/>
        <v>0.14250153972781138</v>
      </c>
      <c r="HD383" s="9">
        <f t="shared" si="1940"/>
        <v>1.0090880072963184</v>
      </c>
      <c r="HE383" s="8">
        <v>3</v>
      </c>
      <c r="HF383" s="8">
        <v>1</v>
      </c>
      <c r="HG383" s="8">
        <v>2</v>
      </c>
      <c r="HH383" s="8">
        <v>5</v>
      </c>
      <c r="HI383" s="8">
        <v>1</v>
      </c>
      <c r="HJ383" s="9">
        <f t="shared" si="1941"/>
        <v>2</v>
      </c>
      <c r="HK383" s="10">
        <f t="shared" si="1942"/>
        <v>1.6666666666666667</v>
      </c>
      <c r="HL383" s="8">
        <v>8</v>
      </c>
      <c r="HM383" s="8">
        <v>1</v>
      </c>
      <c r="HN383" s="11">
        <f t="shared" si="1943"/>
        <v>0.125</v>
      </c>
    </row>
    <row r="384" spans="1:222" x14ac:dyDescent="0.3">
      <c r="A384" s="12" t="s">
        <v>295</v>
      </c>
      <c r="B384" s="12" t="s">
        <v>304</v>
      </c>
      <c r="C384" s="13" t="s">
        <v>257</v>
      </c>
      <c r="D384" s="13">
        <v>2026</v>
      </c>
      <c r="E384" s="13">
        <v>1</v>
      </c>
      <c r="F384" s="13" t="s">
        <v>270</v>
      </c>
      <c r="G384" s="13" t="s">
        <v>271</v>
      </c>
      <c r="H384" s="14">
        <v>2750</v>
      </c>
      <c r="I384" s="14">
        <v>205</v>
      </c>
      <c r="J384" s="14">
        <v>0</v>
      </c>
      <c r="K384" s="14">
        <v>32</v>
      </c>
      <c r="L384" s="14">
        <v>4</v>
      </c>
      <c r="M384" s="15">
        <v>241</v>
      </c>
      <c r="N384" s="14">
        <v>1955.399999999998</v>
      </c>
      <c r="O384" s="14">
        <v>27.5</v>
      </c>
      <c r="P384" s="14">
        <v>2.5</v>
      </c>
      <c r="Q384" s="14">
        <v>9.8000000000000007</v>
      </c>
      <c r="R384" s="15">
        <v>1995.199999999998</v>
      </c>
      <c r="S384" s="15">
        <v>2236.199999999998</v>
      </c>
      <c r="T384" s="14">
        <v>513.800000000002</v>
      </c>
      <c r="U384" s="16">
        <v>0.18683636363636441</v>
      </c>
      <c r="V384" s="14">
        <v>5</v>
      </c>
      <c r="W384" s="17">
        <v>1.8181818181818179</v>
      </c>
      <c r="X384" s="14">
        <v>24</v>
      </c>
      <c r="Y384" s="17">
        <v>8.7272727272727266</v>
      </c>
      <c r="Z384" s="14">
        <v>12</v>
      </c>
      <c r="AA384" s="17">
        <v>4.3636363636363633</v>
      </c>
      <c r="AB384" s="14">
        <v>0</v>
      </c>
      <c r="AC384" s="17">
        <v>0</v>
      </c>
      <c r="AD384" s="14">
        <v>0</v>
      </c>
      <c r="AE384" s="17">
        <v>0</v>
      </c>
      <c r="AF384" s="14">
        <v>0</v>
      </c>
      <c r="AG384" s="17">
        <v>0</v>
      </c>
      <c r="AH384" s="14">
        <v>484192</v>
      </c>
      <c r="AI384" s="15">
        <v>176.06981818181819</v>
      </c>
      <c r="AJ384" s="14">
        <v>155.38</v>
      </c>
      <c r="AK384" s="17">
        <v>5.6501818181818181E-2</v>
      </c>
      <c r="AL384" s="14">
        <v>74073.202420000001</v>
      </c>
      <c r="AM384" s="15">
        <v>26.935709970909091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5">
        <v>558265.20241999999</v>
      </c>
      <c r="AV384" s="15">
        <v>203.00552815272729</v>
      </c>
      <c r="AW384" s="15">
        <v>249.6490485734731</v>
      </c>
      <c r="AX384" s="14">
        <v>1</v>
      </c>
      <c r="AY384" s="15">
        <v>11.27272727272727</v>
      </c>
      <c r="AZ384" s="14">
        <v>4</v>
      </c>
      <c r="BA384" s="14">
        <v>2</v>
      </c>
      <c r="BB384" s="14">
        <v>4</v>
      </c>
      <c r="BC384" s="14">
        <v>6</v>
      </c>
      <c r="BD384" s="14">
        <v>0</v>
      </c>
      <c r="BE384" s="15">
        <v>6</v>
      </c>
      <c r="BF384" s="15">
        <v>0</v>
      </c>
      <c r="BG384" s="14">
        <v>0</v>
      </c>
      <c r="BH384" s="14">
        <v>0</v>
      </c>
      <c r="BI384" s="14">
        <v>0</v>
      </c>
      <c r="BJ384" s="14">
        <v>0</v>
      </c>
      <c r="BK384" s="15">
        <v>0</v>
      </c>
      <c r="BL384" s="15">
        <v>0</v>
      </c>
      <c r="BM384" s="14">
        <v>0</v>
      </c>
      <c r="BN384" s="14">
        <v>0</v>
      </c>
      <c r="BO384" s="14">
        <v>0</v>
      </c>
      <c r="BP384" s="14">
        <v>0</v>
      </c>
      <c r="BQ384" s="15">
        <v>0</v>
      </c>
      <c r="BR384" s="15">
        <v>0</v>
      </c>
      <c r="BS384" s="14">
        <v>0</v>
      </c>
      <c r="BT384" s="14">
        <v>0</v>
      </c>
      <c r="BU384" s="14">
        <v>0</v>
      </c>
      <c r="BV384" s="14">
        <v>0</v>
      </c>
      <c r="BW384" s="15">
        <v>0</v>
      </c>
      <c r="BX384" s="15">
        <v>0</v>
      </c>
      <c r="BY384" s="15">
        <v>2</v>
      </c>
      <c r="BZ384" s="15">
        <v>4</v>
      </c>
      <c r="CA384" s="15">
        <v>6</v>
      </c>
      <c r="CB384" s="15">
        <v>0</v>
      </c>
      <c r="CC384" s="14">
        <v>0</v>
      </c>
      <c r="CD384" s="14">
        <v>85</v>
      </c>
      <c r="CE384" s="14">
        <v>1</v>
      </c>
      <c r="CF384" s="14">
        <v>1</v>
      </c>
      <c r="CG384" s="14">
        <v>0</v>
      </c>
      <c r="CH384" s="15">
        <v>87</v>
      </c>
      <c r="CI384" s="14">
        <v>38</v>
      </c>
      <c r="CJ384" s="14">
        <v>2</v>
      </c>
      <c r="CK384" s="14">
        <v>1</v>
      </c>
      <c r="CL384" s="14">
        <v>0</v>
      </c>
      <c r="CM384" s="15">
        <v>41</v>
      </c>
      <c r="CN384" s="14">
        <v>500</v>
      </c>
      <c r="CO384" s="14">
        <v>7</v>
      </c>
      <c r="CP384" s="14">
        <v>11</v>
      </c>
      <c r="CQ384" s="14">
        <v>4</v>
      </c>
      <c r="CR384" s="15">
        <v>522</v>
      </c>
      <c r="CS384" s="15">
        <v>563</v>
      </c>
      <c r="CT384" s="14">
        <v>650</v>
      </c>
      <c r="CU384" s="14">
        <v>3653</v>
      </c>
      <c r="CV384" s="14">
        <v>3649.3</v>
      </c>
      <c r="CW384" s="16">
        <v>0.99898713386257876</v>
      </c>
      <c r="CX384" s="14">
        <v>0</v>
      </c>
      <c r="CY384" s="14">
        <v>0</v>
      </c>
      <c r="CZ384" s="14">
        <v>0</v>
      </c>
      <c r="DA384" s="14">
        <v>0</v>
      </c>
      <c r="DB384" s="15">
        <v>0</v>
      </c>
      <c r="DC384" s="14">
        <v>0</v>
      </c>
      <c r="DD384" s="14">
        <v>0</v>
      </c>
      <c r="DE384" s="14">
        <v>0</v>
      </c>
      <c r="DF384" s="14">
        <v>0</v>
      </c>
      <c r="DG384" s="15">
        <v>0</v>
      </c>
      <c r="DH384" s="14">
        <v>0</v>
      </c>
      <c r="DI384" s="14">
        <v>0</v>
      </c>
      <c r="DJ384" s="14">
        <v>0</v>
      </c>
      <c r="DK384" s="14">
        <v>0</v>
      </c>
      <c r="DL384" s="15">
        <v>0</v>
      </c>
      <c r="DM384" s="14">
        <v>0</v>
      </c>
      <c r="DN384" s="14">
        <v>0</v>
      </c>
      <c r="DO384" s="14">
        <v>0</v>
      </c>
      <c r="DP384" s="14">
        <v>0</v>
      </c>
      <c r="DQ384" s="15">
        <v>0</v>
      </c>
      <c r="DR384" s="15">
        <v>0</v>
      </c>
      <c r="DS384" s="15">
        <v>0</v>
      </c>
      <c r="DT384" s="15">
        <v>0</v>
      </c>
      <c r="DU384" s="15">
        <v>0</v>
      </c>
      <c r="DV384" s="15">
        <v>0</v>
      </c>
      <c r="DW384" s="14">
        <v>1</v>
      </c>
      <c r="DX384" s="14">
        <v>1</v>
      </c>
      <c r="DY384" s="14">
        <v>0</v>
      </c>
      <c r="DZ384" s="14">
        <v>0</v>
      </c>
      <c r="EA384" s="14">
        <v>0</v>
      </c>
      <c r="EB384" s="14">
        <v>0</v>
      </c>
      <c r="EC384" s="14">
        <v>0</v>
      </c>
      <c r="ED384" s="14">
        <v>0</v>
      </c>
      <c r="EE384" s="14">
        <v>1</v>
      </c>
      <c r="EF384" s="14">
        <v>1</v>
      </c>
      <c r="EG384" s="14">
        <v>0</v>
      </c>
      <c r="EH384" s="14">
        <v>0</v>
      </c>
      <c r="EI384" s="14">
        <v>0</v>
      </c>
      <c r="EJ384" s="14">
        <v>0</v>
      </c>
      <c r="EK384" s="14">
        <v>0</v>
      </c>
      <c r="EL384" s="14">
        <v>0</v>
      </c>
      <c r="EM384" s="14">
        <v>0</v>
      </c>
      <c r="EN384" s="14">
        <v>0</v>
      </c>
      <c r="EO384" s="14">
        <v>0</v>
      </c>
      <c r="EP384" s="14">
        <v>0</v>
      </c>
      <c r="EQ384" s="14">
        <v>0</v>
      </c>
      <c r="ER384" s="14">
        <v>0</v>
      </c>
      <c r="ES384" s="14">
        <v>0</v>
      </c>
      <c r="ET384" s="14">
        <v>0</v>
      </c>
      <c r="EU384" s="14">
        <v>0</v>
      </c>
      <c r="EV384" s="14">
        <v>0</v>
      </c>
      <c r="EW384" s="14">
        <v>0</v>
      </c>
      <c r="EX384" s="14">
        <v>0</v>
      </c>
      <c r="EY384" s="14">
        <v>0</v>
      </c>
      <c r="EZ384" s="14">
        <v>0</v>
      </c>
      <c r="FA384" s="14">
        <v>0</v>
      </c>
      <c r="FB384" s="14">
        <v>0</v>
      </c>
      <c r="FC384" s="14">
        <v>0</v>
      </c>
      <c r="FD384" s="14">
        <v>0</v>
      </c>
      <c r="FE384" s="14">
        <v>0</v>
      </c>
      <c r="FF384" s="14">
        <v>0</v>
      </c>
      <c r="FG384" s="15">
        <v>4</v>
      </c>
      <c r="FH384" s="14">
        <v>0</v>
      </c>
      <c r="FI384" s="14">
        <v>0</v>
      </c>
      <c r="FJ384" s="14">
        <v>10</v>
      </c>
      <c r="FK384" s="14">
        <v>0</v>
      </c>
      <c r="FL384" s="14">
        <v>0</v>
      </c>
      <c r="FM384" s="14">
        <v>0</v>
      </c>
      <c r="FN384" s="14">
        <v>0</v>
      </c>
      <c r="FO384" s="14">
        <v>0</v>
      </c>
      <c r="FP384" s="14">
        <v>0</v>
      </c>
      <c r="FQ384" s="15">
        <v>0</v>
      </c>
      <c r="FR384" s="14">
        <v>300400</v>
      </c>
      <c r="FS384" s="14">
        <v>0</v>
      </c>
      <c r="FT384" s="14">
        <v>0</v>
      </c>
      <c r="FU384" s="14">
        <v>0</v>
      </c>
      <c r="FV384" s="15">
        <v>300400</v>
      </c>
      <c r="FW384" s="14">
        <v>2486871.62</v>
      </c>
      <c r="FX384" s="14">
        <v>5850</v>
      </c>
      <c r="FY384" s="14">
        <v>59000</v>
      </c>
      <c r="FZ384" s="14">
        <v>7500</v>
      </c>
      <c r="GA384" s="15">
        <v>2559221.62</v>
      </c>
      <c r="GB384" s="15">
        <v>2859621.62</v>
      </c>
      <c r="GC384" s="14">
        <v>173986.69</v>
      </c>
      <c r="GD384" s="14">
        <v>0</v>
      </c>
      <c r="GE384" s="14">
        <v>92809.3</v>
      </c>
      <c r="GF384" s="14">
        <v>8410.99</v>
      </c>
      <c r="GG384" s="15">
        <v>275206.98</v>
      </c>
      <c r="GH384" s="14">
        <v>2435541.62</v>
      </c>
      <c r="GI384" s="14">
        <v>5850</v>
      </c>
      <c r="GJ384" s="14">
        <v>7500</v>
      </c>
      <c r="GK384" s="14">
        <v>46460</v>
      </c>
      <c r="GL384" s="15">
        <v>2495351.62</v>
      </c>
      <c r="GM384" s="15">
        <v>2770558.6</v>
      </c>
      <c r="GN384" s="14">
        <v>20707.34</v>
      </c>
      <c r="GO384" s="14">
        <v>0</v>
      </c>
      <c r="GP384" s="14">
        <v>6787.28</v>
      </c>
      <c r="GQ384" s="14">
        <v>4637.34</v>
      </c>
      <c r="GR384" s="15">
        <v>32131.96</v>
      </c>
      <c r="GS384" s="14">
        <v>33934</v>
      </c>
      <c r="GT384" s="14">
        <v>0</v>
      </c>
      <c r="GU384" s="14">
        <v>1786</v>
      </c>
      <c r="GV384" s="14">
        <v>893</v>
      </c>
      <c r="GW384" s="15">
        <v>36613</v>
      </c>
      <c r="GX384" s="15">
        <v>2839303.56</v>
      </c>
      <c r="GY384" s="14">
        <v>15501647.23</v>
      </c>
      <c r="GZ384" s="14">
        <v>0</v>
      </c>
      <c r="HA384" s="9">
        <f t="shared" si="1937"/>
        <v>15501647.23</v>
      </c>
      <c r="HB384" s="15">
        <v>2839303.56</v>
      </c>
      <c r="HC384" s="16">
        <v>0</v>
      </c>
      <c r="HD384" s="15">
        <v>0</v>
      </c>
      <c r="HE384" s="14">
        <v>4</v>
      </c>
      <c r="HF384" s="14">
        <v>1</v>
      </c>
      <c r="HG384" s="14">
        <v>0</v>
      </c>
      <c r="HH384" s="14">
        <v>4</v>
      </c>
      <c r="HI384" s="14">
        <v>5</v>
      </c>
      <c r="HJ384" s="15">
        <v>1.25</v>
      </c>
      <c r="HK384" s="16">
        <v>0</v>
      </c>
      <c r="HL384" s="14">
        <v>10</v>
      </c>
      <c r="HM384" s="14">
        <v>2</v>
      </c>
      <c r="HN384" s="17">
        <v>5</v>
      </c>
    </row>
    <row r="385" spans="1:222" x14ac:dyDescent="0.3">
      <c r="A385" s="6" t="s">
        <v>295</v>
      </c>
      <c r="B385" s="6" t="s">
        <v>304</v>
      </c>
      <c r="C385" s="7" t="s">
        <v>257</v>
      </c>
      <c r="D385" s="7">
        <v>2026</v>
      </c>
      <c r="E385" s="7">
        <v>2</v>
      </c>
      <c r="F385" s="7" t="s">
        <v>272</v>
      </c>
      <c r="G385" s="7" t="s">
        <v>271</v>
      </c>
      <c r="H385" s="8">
        <v>2620</v>
      </c>
      <c r="I385" s="8">
        <v>235</v>
      </c>
      <c r="J385" s="8">
        <v>0</v>
      </c>
      <c r="K385" s="8">
        <v>39</v>
      </c>
      <c r="L385" s="8">
        <v>8</v>
      </c>
      <c r="M385" s="9">
        <f t="shared" ref="M385:M395" si="1944">SUM(I385,J385,K385,L385)</f>
        <v>282</v>
      </c>
      <c r="N385" s="8">
        <v>2022.199999999995</v>
      </c>
      <c r="O385" s="8">
        <v>23.5</v>
      </c>
      <c r="P385" s="8">
        <v>11.2</v>
      </c>
      <c r="Q385" s="8">
        <v>15.7</v>
      </c>
      <c r="R385" s="9">
        <f t="shared" ref="R385:R395" si="1945">SUM(N385,O385,P385,Q385)</f>
        <v>2072.5999999999949</v>
      </c>
      <c r="S385" s="9">
        <f t="shared" ref="S385:S395" si="1946">M385+R385</f>
        <v>2354.5999999999949</v>
      </c>
      <c r="T385" s="8">
        <v>265.40000000000549</v>
      </c>
      <c r="U385" s="10">
        <f t="shared" ref="U385:U395" si="1947">IF(H385=0,"",T385/H385)</f>
        <v>0.10129770992366621</v>
      </c>
      <c r="V385" s="8">
        <v>7</v>
      </c>
      <c r="W385" s="11">
        <f t="shared" ref="W385:W395" si="1948">IF(H385=0,"",V385/H385)</f>
        <v>2.6717557251908397E-3</v>
      </c>
      <c r="X385" s="8">
        <v>32</v>
      </c>
      <c r="Y385" s="11">
        <f t="shared" ref="Y385:Y395" si="1949">IF(H385=0,"",X385/H385)</f>
        <v>1.2213740458015267E-2</v>
      </c>
      <c r="Z385" s="8">
        <v>11</v>
      </c>
      <c r="AA385" s="11">
        <f t="shared" ref="AA385:AA395" si="1950">IF(H385=0,"",Z385/H385)</f>
        <v>4.1984732824427483E-3</v>
      </c>
      <c r="AB385" s="8">
        <v>0</v>
      </c>
      <c r="AC385" s="11">
        <f t="shared" ref="AC385:AC395" si="1951">IF(H385=0,"",AB385/H385)</f>
        <v>0</v>
      </c>
      <c r="AD385" s="8">
        <v>0</v>
      </c>
      <c r="AE385" s="11">
        <f t="shared" ref="AE385:AE395" si="1952">IF(H385=0,"",AD385/H385)</f>
        <v>0</v>
      </c>
      <c r="AF385" s="8">
        <v>0</v>
      </c>
      <c r="AG385" s="11">
        <f t="shared" ref="AG385:AG395" si="1953">IF(H385=0,"",AF385/H385)</f>
        <v>0</v>
      </c>
      <c r="AH385" s="8">
        <v>593676</v>
      </c>
      <c r="AI385" s="9">
        <f t="shared" ref="AI385:AI395" si="1954">IF(H385=0,"",AH385/H385)</f>
        <v>226.593893129771</v>
      </c>
      <c r="AJ385" s="8">
        <v>149.97999999999999</v>
      </c>
      <c r="AK385" s="11">
        <f t="shared" ref="AK385:AK395" si="1955">IF(H385=0,"",AJ385/H385)</f>
        <v>5.7244274809160299E-2</v>
      </c>
      <c r="AL385" s="8">
        <v>72597.33382</v>
      </c>
      <c r="AM385" s="9">
        <f t="shared" ref="AM385:AM395" si="1956">IF(H385=0,"",AL385/H385)</f>
        <v>27.708906038167939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9">
        <f t="shared" ref="AU385:AU395" si="1957">AH385+AL385+AP385+AQ385+AR385+AS385+AT385</f>
        <v>666273.33382000006</v>
      </c>
      <c r="AV385" s="9">
        <f t="shared" ref="AV385:AV395" si="1958">IF(H385=0,"",AU385/H385)</f>
        <v>254.30279916793896</v>
      </c>
      <c r="AW385" s="9">
        <f t="shared" ref="AW385:AW395" si="1959">IF(S385=0,"",AU385/S385)</f>
        <v>282.96667536736663</v>
      </c>
      <c r="AX385" s="8">
        <v>1</v>
      </c>
      <c r="AY385" s="9">
        <f t="shared" ref="AY385:AY395" si="1960">IF(H385=0,"",AX385/(H385/1000/12))</f>
        <v>4.5801526717557248</v>
      </c>
      <c r="AZ385" s="8">
        <v>4</v>
      </c>
      <c r="BA385" s="8">
        <v>0</v>
      </c>
      <c r="BB385" s="8">
        <v>9</v>
      </c>
      <c r="BC385" s="8">
        <v>9</v>
      </c>
      <c r="BD385" s="8">
        <v>0</v>
      </c>
      <c r="BE385" s="9">
        <f t="shared" ref="BE385:BE395" si="1961">BC385+BD385</f>
        <v>9</v>
      </c>
      <c r="BF385" s="9">
        <f t="shared" ref="BF385:BF395" si="1962">BA385+BB385-BE385</f>
        <v>0</v>
      </c>
      <c r="BG385" s="8">
        <v>0</v>
      </c>
      <c r="BH385" s="8">
        <v>0</v>
      </c>
      <c r="BI385" s="8">
        <v>0</v>
      </c>
      <c r="BJ385" s="8">
        <v>0</v>
      </c>
      <c r="BK385" s="9">
        <f t="shared" ref="BK385:BK395" si="1963">BI385+BJ385</f>
        <v>0</v>
      </c>
      <c r="BL385" s="9">
        <f t="shared" ref="BL385:BL395" si="1964">BG385+BH385-BK385</f>
        <v>0</v>
      </c>
      <c r="BM385" s="8">
        <v>0</v>
      </c>
      <c r="BN385" s="8">
        <v>0</v>
      </c>
      <c r="BO385" s="8">
        <v>0</v>
      </c>
      <c r="BP385" s="8">
        <v>0</v>
      </c>
      <c r="BQ385" s="9">
        <f t="shared" ref="BQ385:BQ395" si="1965">BO385+BP385</f>
        <v>0</v>
      </c>
      <c r="BR385" s="9">
        <f t="shared" ref="BR385:BR395" si="1966">BM385+BN385-BQ385</f>
        <v>0</v>
      </c>
      <c r="BS385" s="8">
        <v>0</v>
      </c>
      <c r="BT385" s="8">
        <v>0</v>
      </c>
      <c r="BU385" s="8">
        <v>0</v>
      </c>
      <c r="BV385" s="8">
        <v>0</v>
      </c>
      <c r="BW385" s="9">
        <f t="shared" ref="BW385:BW395" si="1967">BU385+BV385</f>
        <v>0</v>
      </c>
      <c r="BX385" s="9">
        <f t="shared" ref="BX385:BX395" si="1968">BS385+BT385-BW385</f>
        <v>0</v>
      </c>
      <c r="BY385" s="9">
        <f t="shared" ref="BY385:BY395" si="1969">BA385+BG385+BM385+BS385</f>
        <v>0</v>
      </c>
      <c r="BZ385" s="9">
        <f t="shared" ref="BZ385:BZ395" si="1970">BB385+BH385+BN385+BT385</f>
        <v>9</v>
      </c>
      <c r="CA385" s="9">
        <f t="shared" ref="CA385:CA395" si="1971">BE385+BK385+BQ385+BW385</f>
        <v>9</v>
      </c>
      <c r="CB385" s="9">
        <f t="shared" ref="CB385:CB395" si="1972">BF385+BL385+BR385+BX385</f>
        <v>0</v>
      </c>
      <c r="CC385" s="8">
        <v>0</v>
      </c>
      <c r="CD385" s="8">
        <v>116</v>
      </c>
      <c r="CE385" s="8">
        <v>1</v>
      </c>
      <c r="CF385" s="8">
        <v>0</v>
      </c>
      <c r="CG385" s="8">
        <v>0</v>
      </c>
      <c r="CH385" s="9">
        <f t="shared" ref="CH385:CH395" si="1973">CD385+CE385+CF385+CG385</f>
        <v>117</v>
      </c>
      <c r="CI385" s="8">
        <v>30</v>
      </c>
      <c r="CJ385" s="8">
        <v>2</v>
      </c>
      <c r="CK385" s="8">
        <v>2</v>
      </c>
      <c r="CL385" s="8">
        <v>0</v>
      </c>
      <c r="CM385" s="9">
        <f t="shared" ref="CM385:CM395" si="1974">CI385+CJ385+CK385+CL385</f>
        <v>34</v>
      </c>
      <c r="CN385" s="8">
        <v>486</v>
      </c>
      <c r="CO385" s="8">
        <v>7</v>
      </c>
      <c r="CP385" s="8">
        <v>11</v>
      </c>
      <c r="CQ385" s="8">
        <v>4</v>
      </c>
      <c r="CR385" s="9">
        <f t="shared" ref="CR385:CR395" si="1975">CN385+CO385+CP385+CQ385</f>
        <v>508</v>
      </c>
      <c r="CS385" s="9">
        <f t="shared" ref="CS385:CS395" si="1976">CM385+CR385</f>
        <v>542</v>
      </c>
      <c r="CT385" s="8">
        <v>659</v>
      </c>
      <c r="CU385" s="8">
        <v>3660</v>
      </c>
      <c r="CV385" s="8">
        <v>3657.6</v>
      </c>
      <c r="CW385" s="10">
        <f t="shared" ref="CW385:CW395" si="1977">IF(CU385=0,"",CV385/CU385)</f>
        <v>0.999344262295082</v>
      </c>
      <c r="CX385" s="8">
        <v>0</v>
      </c>
      <c r="CY385" s="8">
        <v>0</v>
      </c>
      <c r="CZ385" s="8">
        <v>0</v>
      </c>
      <c r="DA385" s="8">
        <v>0</v>
      </c>
      <c r="DB385" s="9">
        <f t="shared" ref="DB385:DB395" si="1978">CX385+CY385-CZ385-DA385</f>
        <v>0</v>
      </c>
      <c r="DC385" s="8">
        <v>0</v>
      </c>
      <c r="DD385" s="8">
        <v>0</v>
      </c>
      <c r="DE385" s="8">
        <v>0</v>
      </c>
      <c r="DF385" s="8">
        <v>0</v>
      </c>
      <c r="DG385" s="9">
        <f t="shared" ref="DG385:DG395" si="1979">DC385+DD385-DE385-DF385</f>
        <v>0</v>
      </c>
      <c r="DH385" s="8">
        <v>0</v>
      </c>
      <c r="DI385" s="8">
        <v>0</v>
      </c>
      <c r="DJ385" s="8">
        <v>0</v>
      </c>
      <c r="DK385" s="8">
        <v>0</v>
      </c>
      <c r="DL385" s="9">
        <f t="shared" ref="DL385:DL395" si="1980">DH385+DI385-DJ385-DK385</f>
        <v>0</v>
      </c>
      <c r="DM385" s="8">
        <v>0</v>
      </c>
      <c r="DN385" s="8">
        <v>0</v>
      </c>
      <c r="DO385" s="8">
        <v>0</v>
      </c>
      <c r="DP385" s="8">
        <v>0</v>
      </c>
      <c r="DQ385" s="9">
        <f t="shared" ref="DQ385:DQ395" si="1981">DM385+DN385-DO385-DP385</f>
        <v>0</v>
      </c>
      <c r="DR385" s="9">
        <f t="shared" ref="DR385:DR395" si="1982">CX385+DC385+DH385+DM385</f>
        <v>0</v>
      </c>
      <c r="DS385" s="9">
        <f t="shared" ref="DS385:DS395" si="1983">CY385+DD385+DI385+DN385</f>
        <v>0</v>
      </c>
      <c r="DT385" s="9">
        <f t="shared" ref="DT385:DT395" si="1984">CZ385+DE385+DJ385+DO385</f>
        <v>0</v>
      </c>
      <c r="DU385" s="9">
        <f t="shared" ref="DU385:DU395" si="1985">DA385+DF385+DK385+DP385</f>
        <v>0</v>
      </c>
      <c r="DV385" s="9">
        <f t="shared" ref="DV385:DV395" si="1986">DB385+DG385+DL385+DQ385</f>
        <v>0</v>
      </c>
      <c r="DW385" s="8">
        <v>0</v>
      </c>
      <c r="DX385" s="8">
        <v>0</v>
      </c>
      <c r="DY385" s="8">
        <v>2</v>
      </c>
      <c r="DZ385" s="8">
        <v>1</v>
      </c>
      <c r="EA385" s="8">
        <v>0</v>
      </c>
      <c r="EB385" s="8">
        <v>1</v>
      </c>
      <c r="EC385" s="8">
        <v>0</v>
      </c>
      <c r="ED385" s="8">
        <v>1</v>
      </c>
      <c r="EE385" s="8">
        <v>1</v>
      </c>
      <c r="EF385" s="8">
        <v>1</v>
      </c>
      <c r="EG385" s="8">
        <v>0</v>
      </c>
      <c r="EH385" s="8">
        <v>0</v>
      </c>
      <c r="EI385" s="8">
        <v>0</v>
      </c>
      <c r="EJ385" s="8">
        <v>0</v>
      </c>
      <c r="EK385" s="8">
        <v>0</v>
      </c>
      <c r="EL385" s="8">
        <v>0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8">
        <v>0</v>
      </c>
      <c r="ES385" s="8">
        <v>0</v>
      </c>
      <c r="ET385" s="8">
        <v>0</v>
      </c>
      <c r="EU385" s="8">
        <v>0</v>
      </c>
      <c r="EV385" s="8">
        <v>0</v>
      </c>
      <c r="EW385" s="8">
        <v>0</v>
      </c>
      <c r="EX385" s="8">
        <v>0</v>
      </c>
      <c r="EY385" s="8">
        <v>0</v>
      </c>
      <c r="EZ385" s="8">
        <v>0</v>
      </c>
      <c r="FA385" s="8">
        <v>0</v>
      </c>
      <c r="FB385" s="8">
        <v>0</v>
      </c>
      <c r="FC385" s="8">
        <v>0</v>
      </c>
      <c r="FD385" s="8">
        <v>0</v>
      </c>
      <c r="FE385" s="8">
        <v>0</v>
      </c>
      <c r="FF385" s="8">
        <v>0</v>
      </c>
      <c r="FG385" s="9">
        <f t="shared" ref="FG385:FG395" si="1987">SUM(DW385,DX385,DY385,DZ385,EA385,EB385,EC385,ED385,EE385,EF385,EG385,EH385,EI385,EJ385,EK385,EL385,EM385,EN385,EO385,EP385,EQ385,ER385,ES385,ET385,EU385,EV385,EW385,EX385,EY385,EZ385,FA385,FB385,FC385,FD385,FE385,FF385)</f>
        <v>7</v>
      </c>
      <c r="FH385" s="8">
        <v>0</v>
      </c>
      <c r="FI385" s="8">
        <v>0</v>
      </c>
      <c r="FJ385" s="8">
        <v>12</v>
      </c>
      <c r="FK385" s="8">
        <v>0</v>
      </c>
      <c r="FL385" s="8">
        <v>0</v>
      </c>
      <c r="FM385" s="8">
        <v>0</v>
      </c>
      <c r="FN385" s="8">
        <v>0</v>
      </c>
      <c r="FO385" s="8">
        <v>0</v>
      </c>
      <c r="FP385" s="8">
        <v>0</v>
      </c>
      <c r="FQ385" s="9">
        <f t="shared" ref="FQ385:FQ395" si="1988">FL385+FM385+FN385+FO385+FP385</f>
        <v>0</v>
      </c>
      <c r="FR385" s="8">
        <v>218418.68</v>
      </c>
      <c r="FS385" s="8">
        <v>0</v>
      </c>
      <c r="FT385" s="8">
        <v>0</v>
      </c>
      <c r="FU385" s="8">
        <v>0</v>
      </c>
      <c r="FV385" s="9">
        <f t="shared" ref="FV385:FV395" si="1989">FR385+FS385+FT385+FU385</f>
        <v>218418.68</v>
      </c>
      <c r="FW385" s="8">
        <v>2565115.44</v>
      </c>
      <c r="FX385" s="8">
        <v>5000</v>
      </c>
      <c r="FY385" s="8">
        <v>91700</v>
      </c>
      <c r="FZ385" s="8">
        <v>34100</v>
      </c>
      <c r="GA385" s="9">
        <f t="shared" ref="GA385:GA395" si="1990">FW385+FX385+FY385+FZ385</f>
        <v>2695915.44</v>
      </c>
      <c r="GB385" s="9">
        <f t="shared" ref="GB385:GB395" si="1991">FV385+GA385</f>
        <v>2914334.12</v>
      </c>
      <c r="GC385" s="8">
        <v>206808.35</v>
      </c>
      <c r="GD385" s="8">
        <v>0</v>
      </c>
      <c r="GE385" s="8">
        <v>117025.59</v>
      </c>
      <c r="GF385" s="8">
        <v>16821.98</v>
      </c>
      <c r="GG385" s="9">
        <f t="shared" ref="GG385:GG395" si="1992">GC385+GD385+GE385+GF385</f>
        <v>340655.92</v>
      </c>
      <c r="GH385" s="8">
        <v>2520871.44</v>
      </c>
      <c r="GI385" s="8">
        <v>5000</v>
      </c>
      <c r="GJ385" s="8">
        <v>34100</v>
      </c>
      <c r="GK385" s="8">
        <v>74300</v>
      </c>
      <c r="GL385" s="9">
        <f t="shared" ref="GL385:GL395" si="1993">GH385+GI385+GJ385+GK385</f>
        <v>2634271.44</v>
      </c>
      <c r="GM385" s="9">
        <f t="shared" ref="GM385:GM395" si="1994">GG385+GL385</f>
        <v>2974927.36</v>
      </c>
      <c r="GN385" s="8">
        <v>16347.9</v>
      </c>
      <c r="GO385" s="8">
        <v>0</v>
      </c>
      <c r="GP385" s="8">
        <v>6787.28</v>
      </c>
      <c r="GQ385" s="8">
        <v>9274.68</v>
      </c>
      <c r="GR385" s="9">
        <f t="shared" ref="GR385:GR395" si="1995">GN385+GO385+GP385+GQ385</f>
        <v>32409.86</v>
      </c>
      <c r="GS385" s="8">
        <v>26790</v>
      </c>
      <c r="GT385" s="8">
        <v>0</v>
      </c>
      <c r="GU385" s="8">
        <v>1786</v>
      </c>
      <c r="GV385" s="8">
        <v>1786</v>
      </c>
      <c r="GW385" s="9">
        <f t="shared" ref="GW385:GW395" si="1996">GS385+GT385+GU385+GV385</f>
        <v>30362</v>
      </c>
      <c r="GX385" s="9">
        <f t="shared" ref="GX385:GX395" si="1997">GM385+GR385+GW385</f>
        <v>3037699.2199999997</v>
      </c>
      <c r="GY385" s="8">
        <v>15719184.59</v>
      </c>
      <c r="GZ385" s="8">
        <v>0</v>
      </c>
      <c r="HA385" s="9">
        <f t="shared" si="1937"/>
        <v>15719184.59</v>
      </c>
      <c r="HB385" s="9">
        <f t="shared" ref="HB385:HB395" si="1998">IF(GX385=0,"",AU385/GX385)</f>
        <v>0.21933486022358728</v>
      </c>
      <c r="HC385" s="10">
        <f t="shared" ref="HC385:HC395" si="1999">IF((GX385+GY385)=0,"",GB385/(GX385+GY385))</f>
        <v>0.15537410955471501</v>
      </c>
      <c r="HD385" s="9">
        <f t="shared" ref="HD385:HD395" si="2000">IF(GX385=0,"",GB385/GX385)</f>
        <v>0.95938863887913184</v>
      </c>
      <c r="HE385" s="8">
        <v>9</v>
      </c>
      <c r="HF385" s="8">
        <v>1</v>
      </c>
      <c r="HG385" s="8">
        <v>0</v>
      </c>
      <c r="HH385" s="8">
        <v>9</v>
      </c>
      <c r="HI385" s="8">
        <v>7</v>
      </c>
      <c r="HJ385" s="9">
        <f t="shared" ref="HJ385:HJ395" si="2001">HF385+HI385</f>
        <v>8</v>
      </c>
      <c r="HK385" s="10">
        <f t="shared" ref="HK385:HK395" si="2002">IF(HE385=0,"",HH385/HE385)</f>
        <v>1</v>
      </c>
      <c r="HL385" s="8">
        <v>71</v>
      </c>
      <c r="HM385" s="8">
        <v>28</v>
      </c>
      <c r="HN385" s="11">
        <f t="shared" ref="HN385:HN395" si="2003">IF(HL385=0,"",HM385/HL385)</f>
        <v>0.39436619718309857</v>
      </c>
    </row>
    <row r="386" spans="1:222" x14ac:dyDescent="0.3">
      <c r="A386" s="12" t="s">
        <v>295</v>
      </c>
      <c r="B386" s="12" t="s">
        <v>304</v>
      </c>
      <c r="C386" s="13" t="s">
        <v>257</v>
      </c>
      <c r="D386" s="13">
        <v>2026</v>
      </c>
      <c r="E386" s="13">
        <v>3</v>
      </c>
      <c r="F386" s="13" t="s">
        <v>273</v>
      </c>
      <c r="G386" s="13" t="s">
        <v>271</v>
      </c>
      <c r="H386" s="14">
        <v>2040</v>
      </c>
      <c r="I386" s="14">
        <v>255</v>
      </c>
      <c r="J386" s="14">
        <v>0</v>
      </c>
      <c r="K386" s="14">
        <v>19</v>
      </c>
      <c r="L386" s="14">
        <v>8</v>
      </c>
      <c r="M386" s="15">
        <f t="shared" si="1944"/>
        <v>282</v>
      </c>
      <c r="N386" s="14">
        <v>1310.499999999998</v>
      </c>
      <c r="O386" s="14">
        <v>28.6</v>
      </c>
      <c r="P386" s="14">
        <v>20</v>
      </c>
      <c r="Q386" s="14">
        <v>1.6</v>
      </c>
      <c r="R386" s="15">
        <f t="shared" si="1945"/>
        <v>1360.6999999999978</v>
      </c>
      <c r="S386" s="15">
        <f t="shared" si="1946"/>
        <v>1642.6999999999978</v>
      </c>
      <c r="T386" s="14">
        <v>397.300000000002</v>
      </c>
      <c r="U386" s="16">
        <f t="shared" si="1947"/>
        <v>0.19475490196078529</v>
      </c>
      <c r="V386" s="14">
        <v>5</v>
      </c>
      <c r="W386" s="17">
        <f t="shared" si="1948"/>
        <v>2.4509803921568627E-3</v>
      </c>
      <c r="X386" s="14">
        <v>23</v>
      </c>
      <c r="Y386" s="17">
        <f t="shared" si="1949"/>
        <v>1.1274509803921568E-2</v>
      </c>
      <c r="Z386" s="14">
        <v>10</v>
      </c>
      <c r="AA386" s="17">
        <f t="shared" si="1950"/>
        <v>4.9019607843137254E-3</v>
      </c>
      <c r="AB386" s="14">
        <v>0</v>
      </c>
      <c r="AC386" s="17">
        <f t="shared" si="1951"/>
        <v>0</v>
      </c>
      <c r="AD386" s="14">
        <v>0</v>
      </c>
      <c r="AE386" s="17">
        <f t="shared" si="1952"/>
        <v>0</v>
      </c>
      <c r="AF386" s="14">
        <v>0</v>
      </c>
      <c r="AG386" s="17">
        <f t="shared" si="1953"/>
        <v>0</v>
      </c>
      <c r="AH386" s="14">
        <v>451260</v>
      </c>
      <c r="AI386" s="15">
        <f t="shared" si="1954"/>
        <v>221.20588235294119</v>
      </c>
      <c r="AJ386" s="14">
        <v>82.8</v>
      </c>
      <c r="AK386" s="17">
        <f t="shared" si="1955"/>
        <v>4.0588235294117647E-2</v>
      </c>
      <c r="AL386" s="14">
        <v>54236.4352</v>
      </c>
      <c r="AM386" s="15">
        <f t="shared" si="1956"/>
        <v>26.586487843137256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4">
        <v>0</v>
      </c>
      <c r="AU386" s="15">
        <f t="shared" si="1957"/>
        <v>505496.43520000001</v>
      </c>
      <c r="AV386" s="15">
        <f t="shared" si="1958"/>
        <v>247.79237019607842</v>
      </c>
      <c r="AW386" s="15">
        <f t="shared" si="1959"/>
        <v>307.72291666159413</v>
      </c>
      <c r="AX386" s="14">
        <v>1</v>
      </c>
      <c r="AY386" s="15">
        <f t="shared" si="1960"/>
        <v>5.8823529411764701</v>
      </c>
      <c r="AZ386" s="14">
        <v>4</v>
      </c>
      <c r="BA386" s="14">
        <v>0</v>
      </c>
      <c r="BB386" s="14">
        <v>14</v>
      </c>
      <c r="BC386" s="14">
        <v>10</v>
      </c>
      <c r="BD386" s="14">
        <v>0</v>
      </c>
      <c r="BE386" s="15">
        <f t="shared" si="1961"/>
        <v>10</v>
      </c>
      <c r="BF386" s="15">
        <f t="shared" si="1962"/>
        <v>4</v>
      </c>
      <c r="BG386" s="14">
        <v>0</v>
      </c>
      <c r="BH386" s="14">
        <v>0</v>
      </c>
      <c r="BI386" s="14">
        <v>0</v>
      </c>
      <c r="BJ386" s="14">
        <v>0</v>
      </c>
      <c r="BK386" s="15">
        <f t="shared" si="1963"/>
        <v>0</v>
      </c>
      <c r="BL386" s="15">
        <f t="shared" si="1964"/>
        <v>0</v>
      </c>
      <c r="BM386" s="14">
        <v>0</v>
      </c>
      <c r="BN386" s="14">
        <v>0</v>
      </c>
      <c r="BO386" s="14">
        <v>0</v>
      </c>
      <c r="BP386" s="14">
        <v>0</v>
      </c>
      <c r="BQ386" s="15">
        <f t="shared" si="1965"/>
        <v>0</v>
      </c>
      <c r="BR386" s="15">
        <f t="shared" si="1966"/>
        <v>0</v>
      </c>
      <c r="BS386" s="14">
        <v>0</v>
      </c>
      <c r="BT386" s="14">
        <v>0</v>
      </c>
      <c r="BU386" s="14">
        <v>0</v>
      </c>
      <c r="BV386" s="14">
        <v>0</v>
      </c>
      <c r="BW386" s="15">
        <f t="shared" si="1967"/>
        <v>0</v>
      </c>
      <c r="BX386" s="15">
        <f t="shared" si="1968"/>
        <v>0</v>
      </c>
      <c r="BY386" s="15">
        <f t="shared" si="1969"/>
        <v>0</v>
      </c>
      <c r="BZ386" s="15">
        <f t="shared" si="1970"/>
        <v>14</v>
      </c>
      <c r="CA386" s="15">
        <f t="shared" si="1971"/>
        <v>10</v>
      </c>
      <c r="CB386" s="15">
        <f t="shared" si="1972"/>
        <v>4</v>
      </c>
      <c r="CC386" s="14">
        <v>0</v>
      </c>
      <c r="CD386" s="14">
        <v>115</v>
      </c>
      <c r="CE386" s="14">
        <v>1</v>
      </c>
      <c r="CF386" s="14">
        <v>0</v>
      </c>
      <c r="CG386" s="14">
        <v>0</v>
      </c>
      <c r="CH386" s="15">
        <f t="shared" si="1973"/>
        <v>116</v>
      </c>
      <c r="CI386" s="14">
        <v>41</v>
      </c>
      <c r="CJ386" s="14">
        <v>2</v>
      </c>
      <c r="CK386" s="14">
        <v>2</v>
      </c>
      <c r="CL386" s="14">
        <v>0</v>
      </c>
      <c r="CM386" s="15">
        <f t="shared" si="1974"/>
        <v>45</v>
      </c>
      <c r="CN386" s="14">
        <v>486</v>
      </c>
      <c r="CO386" s="14">
        <v>7</v>
      </c>
      <c r="CP386" s="14">
        <v>11</v>
      </c>
      <c r="CQ386" s="14">
        <v>4</v>
      </c>
      <c r="CR386" s="15">
        <f t="shared" si="1975"/>
        <v>508</v>
      </c>
      <c r="CS386" s="15">
        <f t="shared" si="1976"/>
        <v>553</v>
      </c>
      <c r="CT386" s="14">
        <v>669</v>
      </c>
      <c r="CU386" s="14">
        <v>3667</v>
      </c>
      <c r="CV386" s="14">
        <v>3666.6</v>
      </c>
      <c r="CW386" s="16">
        <f t="shared" si="1977"/>
        <v>0.99989091900736293</v>
      </c>
      <c r="CX386" s="14"/>
      <c r="CY386" s="14"/>
      <c r="CZ386" s="14"/>
      <c r="DA386" s="14"/>
      <c r="DB386" s="15">
        <f t="shared" si="1978"/>
        <v>0</v>
      </c>
      <c r="DC386" s="14">
        <v>0</v>
      </c>
      <c r="DD386" s="14">
        <v>0</v>
      </c>
      <c r="DE386" s="14">
        <v>0</v>
      </c>
      <c r="DF386" s="14">
        <v>0</v>
      </c>
      <c r="DG386" s="15">
        <f t="shared" si="1979"/>
        <v>0</v>
      </c>
      <c r="DH386" s="14">
        <v>0</v>
      </c>
      <c r="DI386" s="14">
        <v>0</v>
      </c>
      <c r="DJ386" s="14">
        <v>0</v>
      </c>
      <c r="DK386" s="14">
        <v>0</v>
      </c>
      <c r="DL386" s="15">
        <f t="shared" si="1980"/>
        <v>0</v>
      </c>
      <c r="DM386" s="14">
        <v>0</v>
      </c>
      <c r="DN386" s="14">
        <v>0</v>
      </c>
      <c r="DO386" s="14">
        <v>0</v>
      </c>
      <c r="DP386" s="14">
        <v>0</v>
      </c>
      <c r="DQ386" s="15">
        <f t="shared" si="1981"/>
        <v>0</v>
      </c>
      <c r="DR386" s="15">
        <f t="shared" si="1982"/>
        <v>0</v>
      </c>
      <c r="DS386" s="15">
        <f t="shared" si="1983"/>
        <v>0</v>
      </c>
      <c r="DT386" s="15">
        <f t="shared" si="1984"/>
        <v>0</v>
      </c>
      <c r="DU386" s="15">
        <f t="shared" si="1985"/>
        <v>0</v>
      </c>
      <c r="DV386" s="15">
        <f t="shared" si="1986"/>
        <v>0</v>
      </c>
      <c r="DW386" s="14">
        <v>3</v>
      </c>
      <c r="DX386" s="14">
        <v>1</v>
      </c>
      <c r="DY386" s="14">
        <v>1</v>
      </c>
      <c r="DZ386" s="14">
        <v>0</v>
      </c>
      <c r="EA386" s="14">
        <v>0</v>
      </c>
      <c r="EB386" s="14">
        <v>0</v>
      </c>
      <c r="EC386" s="14">
        <v>0</v>
      </c>
      <c r="ED386" s="14">
        <v>0</v>
      </c>
      <c r="EE386" s="14">
        <v>0</v>
      </c>
      <c r="EF386" s="14">
        <v>0</v>
      </c>
      <c r="EG386" s="14">
        <v>0</v>
      </c>
      <c r="EH386" s="14">
        <v>0</v>
      </c>
      <c r="EI386" s="14">
        <v>0</v>
      </c>
      <c r="EJ386" s="14">
        <v>0</v>
      </c>
      <c r="EK386" s="14">
        <v>0</v>
      </c>
      <c r="EL386" s="14">
        <v>0</v>
      </c>
      <c r="EM386" s="14">
        <v>0</v>
      </c>
      <c r="EN386" s="14">
        <v>0</v>
      </c>
      <c r="EO386" s="14">
        <v>0</v>
      </c>
      <c r="EP386" s="14">
        <v>0</v>
      </c>
      <c r="EQ386" s="14">
        <v>0</v>
      </c>
      <c r="ER386" s="14">
        <v>0</v>
      </c>
      <c r="ES386" s="14">
        <v>0</v>
      </c>
      <c r="ET386" s="14">
        <v>0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0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15">
        <f t="shared" si="1987"/>
        <v>5</v>
      </c>
      <c r="FH386" s="14">
        <v>0</v>
      </c>
      <c r="FI386" s="14">
        <v>0</v>
      </c>
      <c r="FJ386" s="14">
        <v>18</v>
      </c>
      <c r="FK386" s="14">
        <v>0</v>
      </c>
      <c r="FL386" s="14">
        <v>0</v>
      </c>
      <c r="FM386" s="14">
        <v>0</v>
      </c>
      <c r="FN386" s="14">
        <v>2418</v>
      </c>
      <c r="FO386" s="14">
        <v>0</v>
      </c>
      <c r="FP386" s="14">
        <v>0</v>
      </c>
      <c r="FQ386" s="15">
        <f t="shared" si="1988"/>
        <v>2418</v>
      </c>
      <c r="FR386" s="14">
        <v>69870</v>
      </c>
      <c r="FS386" s="14">
        <v>0</v>
      </c>
      <c r="FT386" s="14">
        <v>0</v>
      </c>
      <c r="FU386" s="14">
        <v>0</v>
      </c>
      <c r="FV386" s="15">
        <f t="shared" si="1989"/>
        <v>69870</v>
      </c>
      <c r="FW386" s="14">
        <v>1683879.46</v>
      </c>
      <c r="FX386" s="14">
        <v>6050</v>
      </c>
      <c r="FY386" s="14">
        <v>9650</v>
      </c>
      <c r="FZ386" s="14">
        <v>60500</v>
      </c>
      <c r="GA386" s="15">
        <f t="shared" si="1990"/>
        <v>1760079.46</v>
      </c>
      <c r="GB386" s="15">
        <f t="shared" si="1991"/>
        <v>1829949.46</v>
      </c>
      <c r="GC386" s="14">
        <v>220680.01</v>
      </c>
      <c r="GD386" s="14">
        <v>0</v>
      </c>
      <c r="GE386" s="14">
        <v>47836.19</v>
      </c>
      <c r="GF386" s="14">
        <v>16821.98</v>
      </c>
      <c r="GG386" s="15">
        <f t="shared" si="1992"/>
        <v>285338.18</v>
      </c>
      <c r="GH386" s="14">
        <v>1635424.14</v>
      </c>
      <c r="GI386" s="14">
        <v>6050</v>
      </c>
      <c r="GJ386" s="14">
        <v>60500</v>
      </c>
      <c r="GK386" s="14">
        <v>7460</v>
      </c>
      <c r="GL386" s="15">
        <f t="shared" si="1993"/>
        <v>1709434.14</v>
      </c>
      <c r="GM386" s="15">
        <f t="shared" si="1994"/>
        <v>1994772.3199999998</v>
      </c>
      <c r="GN386" s="14">
        <v>22342.13</v>
      </c>
      <c r="GO386" s="14">
        <v>0</v>
      </c>
      <c r="GP386" s="14">
        <v>6787.28</v>
      </c>
      <c r="GQ386" s="14">
        <v>9274.68</v>
      </c>
      <c r="GR386" s="15">
        <f t="shared" si="1995"/>
        <v>38404.089999999997</v>
      </c>
      <c r="GS386" s="14">
        <v>36613</v>
      </c>
      <c r="GT386" s="14">
        <v>0</v>
      </c>
      <c r="GU386" s="14">
        <v>1786</v>
      </c>
      <c r="GV386" s="14">
        <v>1786</v>
      </c>
      <c r="GW386" s="15">
        <f t="shared" si="1996"/>
        <v>40185</v>
      </c>
      <c r="GX386" s="15">
        <f t="shared" si="1997"/>
        <v>2073361.41</v>
      </c>
      <c r="GY386" s="14">
        <v>15914985.68</v>
      </c>
      <c r="GZ386" s="14">
        <v>0</v>
      </c>
      <c r="HA386" s="9">
        <f t="shared" si="1937"/>
        <v>15914985.68</v>
      </c>
      <c r="HB386" s="15">
        <f t="shared" si="1998"/>
        <v>0.24380526846981301</v>
      </c>
      <c r="HC386" s="16">
        <f t="shared" si="1999"/>
        <v>0.10172971706874041</v>
      </c>
      <c r="HD386" s="15">
        <f t="shared" si="2000"/>
        <v>0.88260032774507946</v>
      </c>
      <c r="HE386" s="14">
        <v>14</v>
      </c>
      <c r="HF386" s="14">
        <v>1</v>
      </c>
      <c r="HG386" s="14">
        <v>4</v>
      </c>
      <c r="HH386" s="14">
        <v>14</v>
      </c>
      <c r="HI386" s="14">
        <v>7</v>
      </c>
      <c r="HJ386" s="15">
        <f t="shared" si="2001"/>
        <v>8</v>
      </c>
      <c r="HK386" s="16">
        <f t="shared" si="2002"/>
        <v>1</v>
      </c>
      <c r="HL386" s="14">
        <v>165</v>
      </c>
      <c r="HM386" s="14">
        <v>31</v>
      </c>
      <c r="HN386" s="17">
        <f t="shared" si="2003"/>
        <v>0.18787878787878787</v>
      </c>
    </row>
    <row r="387" spans="1:222" x14ac:dyDescent="0.3">
      <c r="A387" s="6" t="s">
        <v>295</v>
      </c>
      <c r="B387" s="6" t="s">
        <v>295</v>
      </c>
      <c r="C387" s="7" t="s">
        <v>257</v>
      </c>
      <c r="D387" s="7">
        <v>2025</v>
      </c>
      <c r="E387" s="7">
        <v>4</v>
      </c>
      <c r="F387" s="7" t="s">
        <v>258</v>
      </c>
      <c r="G387" s="7" t="s">
        <v>259</v>
      </c>
      <c r="H387" s="8">
        <v>500520</v>
      </c>
      <c r="I387" s="8">
        <v>135096</v>
      </c>
      <c r="J387" s="8">
        <v>11943</v>
      </c>
      <c r="K387" s="8">
        <v>31519</v>
      </c>
      <c r="L387" s="8">
        <v>190</v>
      </c>
      <c r="M387" s="9">
        <f t="shared" si="1944"/>
        <v>178748</v>
      </c>
      <c r="N387" s="8">
        <v>60959.699999999102</v>
      </c>
      <c r="O387" s="8">
        <v>7610.50000000001</v>
      </c>
      <c r="P387" s="8">
        <v>60906.799999999901</v>
      </c>
      <c r="Q387" s="8">
        <v>6934.3000000000102</v>
      </c>
      <c r="R387" s="9">
        <f t="shared" si="1945"/>
        <v>136411.29999999903</v>
      </c>
      <c r="S387" s="9">
        <f t="shared" si="1946"/>
        <v>315159.299999999</v>
      </c>
      <c r="T387" s="8">
        <v>185360.700000001</v>
      </c>
      <c r="U387" s="10">
        <f t="shared" si="1947"/>
        <v>0.37033625029969031</v>
      </c>
      <c r="V387" s="8">
        <v>1324</v>
      </c>
      <c r="W387" s="11">
        <f t="shared" si="1948"/>
        <v>2.6452489411012549E-3</v>
      </c>
      <c r="X387" s="8">
        <v>6179</v>
      </c>
      <c r="Y387" s="11">
        <f t="shared" si="1949"/>
        <v>1.2345161032526173E-2</v>
      </c>
      <c r="Z387" s="8">
        <v>1765</v>
      </c>
      <c r="AA387" s="11">
        <f t="shared" si="1950"/>
        <v>3.5263326140813553E-3</v>
      </c>
      <c r="AB387" s="8">
        <v>0</v>
      </c>
      <c r="AC387" s="11">
        <f t="shared" si="1951"/>
        <v>0</v>
      </c>
      <c r="AD387" s="8">
        <v>0</v>
      </c>
      <c r="AE387" s="11">
        <f t="shared" si="1952"/>
        <v>0</v>
      </c>
      <c r="AF387" s="8">
        <v>0</v>
      </c>
      <c r="AG387" s="11">
        <f t="shared" si="1953"/>
        <v>0</v>
      </c>
      <c r="AH387" s="8">
        <v>109566040</v>
      </c>
      <c r="AI387" s="9">
        <f t="shared" si="1954"/>
        <v>218.90441940382001</v>
      </c>
      <c r="AJ387" s="8">
        <v>34991.300000000003</v>
      </c>
      <c r="AK387" s="11">
        <f t="shared" si="1955"/>
        <v>6.9909893710541043E-2</v>
      </c>
      <c r="AL387" s="8">
        <v>9595043.661700001</v>
      </c>
      <c r="AM387" s="9">
        <f t="shared" si="1956"/>
        <v>19.170150367018302</v>
      </c>
      <c r="AN387" s="8">
        <v>0</v>
      </c>
      <c r="AO387" s="8">
        <v>0</v>
      </c>
      <c r="AP387" s="8">
        <v>0</v>
      </c>
      <c r="AQ387" s="8">
        <v>0</v>
      </c>
      <c r="AR387" s="8">
        <v>56258358.310000017</v>
      </c>
      <c r="AS387" s="8">
        <v>13088694.02</v>
      </c>
      <c r="AT387" s="8">
        <v>0</v>
      </c>
      <c r="AU387" s="9">
        <f t="shared" si="1957"/>
        <v>188508135.99170002</v>
      </c>
      <c r="AV387" s="9">
        <f t="shared" si="1958"/>
        <v>376.62458241768564</v>
      </c>
      <c r="AW387" s="9">
        <f t="shared" si="1959"/>
        <v>598.13604101703686</v>
      </c>
      <c r="AX387" s="8">
        <v>63</v>
      </c>
      <c r="AY387" s="9">
        <f t="shared" si="1960"/>
        <v>1.5104291536801726</v>
      </c>
      <c r="AZ387" s="8">
        <v>75</v>
      </c>
      <c r="BA387" s="8">
        <v>176</v>
      </c>
      <c r="BB387" s="8">
        <v>149</v>
      </c>
      <c r="BC387" s="8">
        <v>87</v>
      </c>
      <c r="BD387" s="8">
        <v>0</v>
      </c>
      <c r="BE387" s="9">
        <f t="shared" si="1961"/>
        <v>87</v>
      </c>
      <c r="BF387" s="9">
        <f t="shared" si="1962"/>
        <v>238</v>
      </c>
      <c r="BG387" s="8">
        <v>18</v>
      </c>
      <c r="BH387" s="8">
        <v>0</v>
      </c>
      <c r="BI387" s="8">
        <v>0</v>
      </c>
      <c r="BJ387" s="8">
        <v>0</v>
      </c>
      <c r="BK387" s="9">
        <f t="shared" si="1963"/>
        <v>0</v>
      </c>
      <c r="BL387" s="9">
        <f t="shared" si="1964"/>
        <v>18</v>
      </c>
      <c r="BM387" s="8">
        <v>8</v>
      </c>
      <c r="BN387" s="8">
        <v>3</v>
      </c>
      <c r="BO387" s="8">
        <v>1</v>
      </c>
      <c r="BP387" s="8">
        <v>0</v>
      </c>
      <c r="BQ387" s="9">
        <f t="shared" si="1965"/>
        <v>1</v>
      </c>
      <c r="BR387" s="9">
        <f t="shared" si="1966"/>
        <v>10</v>
      </c>
      <c r="BS387" s="8">
        <v>3</v>
      </c>
      <c r="BT387" s="8">
        <v>1</v>
      </c>
      <c r="BU387" s="8">
        <v>0</v>
      </c>
      <c r="BV387" s="8">
        <v>0</v>
      </c>
      <c r="BW387" s="9">
        <f t="shared" si="1967"/>
        <v>0</v>
      </c>
      <c r="BX387" s="9">
        <f t="shared" si="1968"/>
        <v>4</v>
      </c>
      <c r="BY387" s="9">
        <f t="shared" si="1969"/>
        <v>205</v>
      </c>
      <c r="BZ387" s="9">
        <f t="shared" si="1970"/>
        <v>153</v>
      </c>
      <c r="CA387" s="9">
        <f t="shared" si="1971"/>
        <v>88</v>
      </c>
      <c r="CB387" s="9">
        <f t="shared" si="1972"/>
        <v>270</v>
      </c>
      <c r="CC387" s="8">
        <v>0</v>
      </c>
      <c r="CD387" s="8">
        <v>7985</v>
      </c>
      <c r="CE387" s="8">
        <v>507</v>
      </c>
      <c r="CF387" s="8">
        <v>282</v>
      </c>
      <c r="CG387" s="8">
        <v>90</v>
      </c>
      <c r="CH387" s="9">
        <f t="shared" si="1973"/>
        <v>8864</v>
      </c>
      <c r="CI387" s="8">
        <v>12236</v>
      </c>
      <c r="CJ387" s="8">
        <v>58</v>
      </c>
      <c r="CK387" s="8">
        <v>9</v>
      </c>
      <c r="CL387" s="8">
        <v>117</v>
      </c>
      <c r="CM387" s="9">
        <f t="shared" si="1974"/>
        <v>12420</v>
      </c>
      <c r="CN387" s="8">
        <v>3851</v>
      </c>
      <c r="CO387" s="8">
        <v>242</v>
      </c>
      <c r="CP387" s="8">
        <v>181</v>
      </c>
      <c r="CQ387" s="8">
        <v>80</v>
      </c>
      <c r="CR387" s="9">
        <f t="shared" si="1975"/>
        <v>4354</v>
      </c>
      <c r="CS387" s="9">
        <f t="shared" si="1976"/>
        <v>16774</v>
      </c>
      <c r="CT387" s="8">
        <v>25638</v>
      </c>
      <c r="CU387" s="8">
        <v>139742</v>
      </c>
      <c r="CV387" s="8">
        <v>139409.4</v>
      </c>
      <c r="CW387" s="10">
        <f t="shared" si="1977"/>
        <v>0.99761989952913221</v>
      </c>
      <c r="CX387" s="8">
        <v>4</v>
      </c>
      <c r="CY387" s="8">
        <v>0</v>
      </c>
      <c r="CZ387" s="8">
        <v>2</v>
      </c>
      <c r="DA387" s="8">
        <v>0</v>
      </c>
      <c r="DB387" s="9">
        <f t="shared" si="1978"/>
        <v>2</v>
      </c>
      <c r="DC387" s="8">
        <v>0</v>
      </c>
      <c r="DD387" s="8">
        <v>1</v>
      </c>
      <c r="DE387" s="8">
        <v>0</v>
      </c>
      <c r="DF387" s="8">
        <v>0</v>
      </c>
      <c r="DG387" s="9">
        <f t="shared" si="1979"/>
        <v>1</v>
      </c>
      <c r="DH387" s="8">
        <v>9</v>
      </c>
      <c r="DI387" s="8">
        <v>0</v>
      </c>
      <c r="DJ387" s="8">
        <v>3</v>
      </c>
      <c r="DK387" s="8">
        <v>0</v>
      </c>
      <c r="DL387" s="9">
        <f t="shared" si="1980"/>
        <v>6</v>
      </c>
      <c r="DM387" s="8">
        <v>1097</v>
      </c>
      <c r="DN387" s="8">
        <v>38</v>
      </c>
      <c r="DO387" s="8">
        <v>0</v>
      </c>
      <c r="DP387" s="8">
        <v>80</v>
      </c>
      <c r="DQ387" s="9">
        <f t="shared" si="1981"/>
        <v>1055</v>
      </c>
      <c r="DR387" s="9">
        <f t="shared" si="1982"/>
        <v>1110</v>
      </c>
      <c r="DS387" s="9">
        <f t="shared" si="1983"/>
        <v>39</v>
      </c>
      <c r="DT387" s="9">
        <f t="shared" si="1984"/>
        <v>5</v>
      </c>
      <c r="DU387" s="9">
        <f t="shared" si="1985"/>
        <v>80</v>
      </c>
      <c r="DV387" s="9">
        <f t="shared" si="1986"/>
        <v>1064</v>
      </c>
      <c r="DW387" s="8">
        <v>222</v>
      </c>
      <c r="DX387" s="8">
        <v>104</v>
      </c>
      <c r="DY387" s="8">
        <v>50</v>
      </c>
      <c r="DZ387" s="8">
        <v>12</v>
      </c>
      <c r="EA387" s="8">
        <v>15</v>
      </c>
      <c r="EB387" s="8">
        <v>23</v>
      </c>
      <c r="EC387" s="8">
        <v>0</v>
      </c>
      <c r="ED387" s="8">
        <v>9</v>
      </c>
      <c r="EE387" s="8">
        <v>4</v>
      </c>
      <c r="EF387" s="8">
        <v>0</v>
      </c>
      <c r="EG387" s="8">
        <v>0</v>
      </c>
      <c r="EH387" s="8">
        <v>0</v>
      </c>
      <c r="EI387" s="8">
        <v>0</v>
      </c>
      <c r="EJ387" s="8">
        <v>20</v>
      </c>
      <c r="EK387" s="8">
        <v>3</v>
      </c>
      <c r="EL387" s="8">
        <v>1</v>
      </c>
      <c r="EM387" s="8">
        <v>1</v>
      </c>
      <c r="EN387" s="8">
        <v>0</v>
      </c>
      <c r="EO387" s="8">
        <v>0</v>
      </c>
      <c r="EP387" s="8">
        <v>0</v>
      </c>
      <c r="EQ387" s="8">
        <v>0</v>
      </c>
      <c r="ER387" s="8">
        <v>0</v>
      </c>
      <c r="ES387" s="8">
        <v>0</v>
      </c>
      <c r="ET387" s="8">
        <v>0</v>
      </c>
      <c r="EU387" s="8">
        <v>0</v>
      </c>
      <c r="EV387" s="8">
        <v>0</v>
      </c>
      <c r="EW387" s="8">
        <v>0</v>
      </c>
      <c r="EX387" s="8">
        <v>0</v>
      </c>
      <c r="EY387" s="8">
        <v>3</v>
      </c>
      <c r="EZ387" s="8">
        <v>4</v>
      </c>
      <c r="FA387" s="8">
        <v>1</v>
      </c>
      <c r="FB387" s="8">
        <v>1</v>
      </c>
      <c r="FC387" s="8">
        <v>0</v>
      </c>
      <c r="FD387" s="8">
        <v>0</v>
      </c>
      <c r="FE387" s="8">
        <v>1</v>
      </c>
      <c r="FF387" s="8">
        <v>0</v>
      </c>
      <c r="FG387" s="9">
        <f t="shared" si="1987"/>
        <v>474</v>
      </c>
      <c r="FH387" s="8">
        <v>0</v>
      </c>
      <c r="FI387" s="8">
        <v>0</v>
      </c>
      <c r="FJ387" s="8">
        <v>23</v>
      </c>
      <c r="FK387" s="8">
        <v>17.3</v>
      </c>
      <c r="FL387" s="8">
        <v>0</v>
      </c>
      <c r="FM387" s="8">
        <v>0</v>
      </c>
      <c r="FN387" s="8">
        <v>0</v>
      </c>
      <c r="FO387" s="8">
        <v>0</v>
      </c>
      <c r="FP387" s="8">
        <v>0</v>
      </c>
      <c r="FQ387" s="9">
        <f t="shared" si="1988"/>
        <v>0</v>
      </c>
      <c r="FR387" s="8">
        <v>181619164.78999999</v>
      </c>
      <c r="FS387" s="8">
        <v>2390950</v>
      </c>
      <c r="FT387" s="8">
        <v>881209.3</v>
      </c>
      <c r="FU387" s="8">
        <v>1491419.38</v>
      </c>
      <c r="FV387" s="9">
        <f t="shared" si="1989"/>
        <v>186382743.47</v>
      </c>
      <c r="FW387" s="8">
        <v>81250065.159999907</v>
      </c>
      <c r="FX387" s="8">
        <v>1707700</v>
      </c>
      <c r="FY387" s="8">
        <v>35363659.100000001</v>
      </c>
      <c r="FZ387" s="8">
        <v>191060859.44999999</v>
      </c>
      <c r="GA387" s="9">
        <f t="shared" si="1990"/>
        <v>309382283.70999992</v>
      </c>
      <c r="GB387" s="9">
        <f t="shared" si="1991"/>
        <v>495765027.17999995</v>
      </c>
      <c r="GC387" s="8">
        <v>121824141.62</v>
      </c>
      <c r="GD387" s="8">
        <v>2284457.04</v>
      </c>
      <c r="GE387" s="8">
        <v>108460753.90000001</v>
      </c>
      <c r="GF387" s="8">
        <v>831837.33</v>
      </c>
      <c r="GG387" s="9">
        <f t="shared" si="1992"/>
        <v>233401189.89000002</v>
      </c>
      <c r="GH387" s="8">
        <v>76162017.570000038</v>
      </c>
      <c r="GI387" s="8">
        <v>1624150</v>
      </c>
      <c r="GJ387" s="8">
        <v>185107305.75000009</v>
      </c>
      <c r="GK387" s="8">
        <v>32810918.54000001</v>
      </c>
      <c r="GL387" s="9">
        <f t="shared" si="1993"/>
        <v>295704391.86000013</v>
      </c>
      <c r="GM387" s="9">
        <f t="shared" si="1994"/>
        <v>529105581.75000012</v>
      </c>
      <c r="GN387" s="8">
        <v>6599697.0899999999</v>
      </c>
      <c r="GO387" s="8">
        <v>22379.759999999998</v>
      </c>
      <c r="GP387" s="8">
        <v>196831.12</v>
      </c>
      <c r="GQ387" s="8">
        <v>41736.06</v>
      </c>
      <c r="GR387" s="9">
        <f t="shared" si="1995"/>
        <v>6860644.0299999993</v>
      </c>
      <c r="GS387" s="8">
        <v>10926748</v>
      </c>
      <c r="GT387" s="8">
        <v>104481</v>
      </c>
      <c r="GU387" s="8">
        <v>51794</v>
      </c>
      <c r="GV387" s="8">
        <v>8037</v>
      </c>
      <c r="GW387" s="9">
        <f t="shared" si="1996"/>
        <v>11091060</v>
      </c>
      <c r="GX387" s="9">
        <f t="shared" si="1997"/>
        <v>547057285.78000009</v>
      </c>
      <c r="GY387" s="8">
        <v>1391927807.3699999</v>
      </c>
      <c r="GZ387" s="8">
        <v>241420819.88</v>
      </c>
      <c r="HA387" s="9">
        <f t="shared" si="1937"/>
        <v>1633348627.25</v>
      </c>
      <c r="HB387" s="9">
        <f t="shared" si="1998"/>
        <v>0.34458573332575787</v>
      </c>
      <c r="HC387" s="10">
        <f t="shared" si="1999"/>
        <v>0.25568274296250482</v>
      </c>
      <c r="HD387" s="9">
        <f t="shared" si="2000"/>
        <v>0.90623969384327441</v>
      </c>
      <c r="HE387" s="8">
        <v>153</v>
      </c>
      <c r="HF387" s="8">
        <v>5</v>
      </c>
      <c r="HG387" s="8">
        <v>270</v>
      </c>
      <c r="HH387" s="8">
        <v>153</v>
      </c>
      <c r="HI387" s="8">
        <v>90</v>
      </c>
      <c r="HJ387" s="9">
        <f t="shared" si="2001"/>
        <v>95</v>
      </c>
      <c r="HK387" s="10">
        <f t="shared" si="2002"/>
        <v>1</v>
      </c>
      <c r="HL387" s="8">
        <v>28</v>
      </c>
      <c r="HM387" s="8">
        <v>30</v>
      </c>
      <c r="HN387" s="11">
        <f t="shared" si="2003"/>
        <v>1.0714285714285714</v>
      </c>
    </row>
    <row r="388" spans="1:222" x14ac:dyDescent="0.3">
      <c r="A388" s="12" t="s">
        <v>295</v>
      </c>
      <c r="B388" s="12" t="s">
        <v>295</v>
      </c>
      <c r="C388" s="13" t="s">
        <v>257</v>
      </c>
      <c r="D388" s="13">
        <v>2025</v>
      </c>
      <c r="E388" s="13">
        <v>5</v>
      </c>
      <c r="F388" s="13" t="s">
        <v>260</v>
      </c>
      <c r="G388" s="13" t="s">
        <v>259</v>
      </c>
      <c r="H388" s="14">
        <v>492993</v>
      </c>
      <c r="I388" s="14">
        <v>127306</v>
      </c>
      <c r="J388" s="14">
        <v>11456</v>
      </c>
      <c r="K388" s="14">
        <v>32483</v>
      </c>
      <c r="L388" s="14">
        <v>71</v>
      </c>
      <c r="M388" s="15">
        <f t="shared" si="1944"/>
        <v>171316</v>
      </c>
      <c r="N388" s="14">
        <v>56400.799999999203</v>
      </c>
      <c r="O388" s="14">
        <v>7619.4</v>
      </c>
      <c r="P388" s="14">
        <v>72545.799999999901</v>
      </c>
      <c r="Q388" s="14">
        <v>6655.4000000000196</v>
      </c>
      <c r="R388" s="15">
        <f t="shared" si="1945"/>
        <v>143221.39999999912</v>
      </c>
      <c r="S388" s="15">
        <f t="shared" si="1946"/>
        <v>314537.39999999909</v>
      </c>
      <c r="T388" s="14">
        <v>178455.600000001</v>
      </c>
      <c r="U388" s="16">
        <f t="shared" si="1947"/>
        <v>0.36198404439819837</v>
      </c>
      <c r="V388" s="14">
        <v>1130</v>
      </c>
      <c r="W388" s="17">
        <f t="shared" si="1948"/>
        <v>2.2921217948327867E-3</v>
      </c>
      <c r="X388" s="14">
        <v>6683</v>
      </c>
      <c r="Y388" s="17">
        <f t="shared" si="1949"/>
        <v>1.355597341138718E-2</v>
      </c>
      <c r="Z388" s="14">
        <v>2555</v>
      </c>
      <c r="AA388" s="17">
        <f t="shared" si="1950"/>
        <v>5.1826293679626285E-3</v>
      </c>
      <c r="AB388" s="14">
        <v>0</v>
      </c>
      <c r="AC388" s="17">
        <f t="shared" si="1951"/>
        <v>0</v>
      </c>
      <c r="AD388" s="14">
        <v>0</v>
      </c>
      <c r="AE388" s="17">
        <f t="shared" si="1952"/>
        <v>0</v>
      </c>
      <c r="AF388" s="14">
        <v>0</v>
      </c>
      <c r="AG388" s="17">
        <f t="shared" si="1953"/>
        <v>0</v>
      </c>
      <c r="AH388" s="14">
        <v>118478480</v>
      </c>
      <c r="AI388" s="15">
        <f t="shared" si="1954"/>
        <v>240.32487276695613</v>
      </c>
      <c r="AJ388" s="14">
        <v>26979.24</v>
      </c>
      <c r="AK388" s="17">
        <f t="shared" si="1955"/>
        <v>5.4725401780552671E-2</v>
      </c>
      <c r="AL388" s="14">
        <v>7405275.55516</v>
      </c>
      <c r="AM388" s="15">
        <f t="shared" si="1956"/>
        <v>15.02105619179177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4">
        <v>0</v>
      </c>
      <c r="AU388" s="15">
        <f t="shared" si="1957"/>
        <v>125883755.55516</v>
      </c>
      <c r="AV388" s="15">
        <f t="shared" si="1958"/>
        <v>255.34592895874789</v>
      </c>
      <c r="AW388" s="15">
        <f t="shared" si="1959"/>
        <v>400.21871979345019</v>
      </c>
      <c r="AX388" s="14">
        <v>63</v>
      </c>
      <c r="AY388" s="15">
        <f t="shared" si="1960"/>
        <v>1.5334903335341477</v>
      </c>
      <c r="AZ388" s="14">
        <v>75</v>
      </c>
      <c r="BA388" s="14">
        <v>238</v>
      </c>
      <c r="BB388" s="14">
        <v>117</v>
      </c>
      <c r="BC388" s="14">
        <v>95</v>
      </c>
      <c r="BD388" s="14">
        <v>0</v>
      </c>
      <c r="BE388" s="15">
        <f t="shared" si="1961"/>
        <v>95</v>
      </c>
      <c r="BF388" s="15">
        <f t="shared" si="1962"/>
        <v>260</v>
      </c>
      <c r="BG388" s="14">
        <v>18</v>
      </c>
      <c r="BH388" s="14">
        <v>0</v>
      </c>
      <c r="BI388" s="14">
        <v>0</v>
      </c>
      <c r="BJ388" s="14">
        <v>0</v>
      </c>
      <c r="BK388" s="15">
        <f t="shared" si="1963"/>
        <v>0</v>
      </c>
      <c r="BL388" s="15">
        <f t="shared" si="1964"/>
        <v>18</v>
      </c>
      <c r="BM388" s="14">
        <v>10</v>
      </c>
      <c r="BN388" s="14">
        <v>0</v>
      </c>
      <c r="BO388" s="14">
        <v>2</v>
      </c>
      <c r="BP388" s="14">
        <v>0</v>
      </c>
      <c r="BQ388" s="15">
        <f t="shared" si="1965"/>
        <v>2</v>
      </c>
      <c r="BR388" s="15">
        <f t="shared" si="1966"/>
        <v>8</v>
      </c>
      <c r="BS388" s="14">
        <v>4</v>
      </c>
      <c r="BT388" s="14">
        <v>0</v>
      </c>
      <c r="BU388" s="14">
        <v>0</v>
      </c>
      <c r="BV388" s="14">
        <v>0</v>
      </c>
      <c r="BW388" s="15">
        <f t="shared" si="1967"/>
        <v>0</v>
      </c>
      <c r="BX388" s="15">
        <f t="shared" si="1968"/>
        <v>4</v>
      </c>
      <c r="BY388" s="15">
        <f t="shared" si="1969"/>
        <v>270</v>
      </c>
      <c r="BZ388" s="15">
        <f t="shared" si="1970"/>
        <v>117</v>
      </c>
      <c r="CA388" s="15">
        <f t="shared" si="1971"/>
        <v>97</v>
      </c>
      <c r="CB388" s="15">
        <f t="shared" si="1972"/>
        <v>290</v>
      </c>
      <c r="CC388" s="14">
        <v>0</v>
      </c>
      <c r="CD388" s="14">
        <v>7650</v>
      </c>
      <c r="CE388" s="14">
        <v>484</v>
      </c>
      <c r="CF388" s="14">
        <v>269</v>
      </c>
      <c r="CG388" s="14">
        <v>87</v>
      </c>
      <c r="CH388" s="15">
        <f t="shared" si="1973"/>
        <v>8490</v>
      </c>
      <c r="CI388" s="14">
        <v>12319</v>
      </c>
      <c r="CJ388" s="14">
        <v>52</v>
      </c>
      <c r="CK388" s="14">
        <v>13</v>
      </c>
      <c r="CL388" s="14">
        <v>118</v>
      </c>
      <c r="CM388" s="15">
        <f t="shared" si="1974"/>
        <v>12502</v>
      </c>
      <c r="CN388" s="14">
        <v>4198</v>
      </c>
      <c r="CO388" s="14">
        <v>271</v>
      </c>
      <c r="CP388" s="14">
        <v>192</v>
      </c>
      <c r="CQ388" s="14">
        <v>82</v>
      </c>
      <c r="CR388" s="15">
        <f t="shared" si="1975"/>
        <v>4743</v>
      </c>
      <c r="CS388" s="15">
        <f t="shared" si="1976"/>
        <v>17245</v>
      </c>
      <c r="CT388" s="14">
        <v>25735</v>
      </c>
      <c r="CU388" s="14">
        <v>139999</v>
      </c>
      <c r="CV388" s="14">
        <v>139826.1</v>
      </c>
      <c r="CW388" s="16">
        <f t="shared" si="1977"/>
        <v>0.99876499117850848</v>
      </c>
      <c r="CX388" s="14">
        <v>2</v>
      </c>
      <c r="CY388" s="14">
        <v>2</v>
      </c>
      <c r="CZ388" s="14">
        <v>0</v>
      </c>
      <c r="DA388" s="14">
        <v>0</v>
      </c>
      <c r="DB388" s="15">
        <f t="shared" si="1978"/>
        <v>4</v>
      </c>
      <c r="DC388" s="14">
        <v>1</v>
      </c>
      <c r="DD388" s="14">
        <v>0</v>
      </c>
      <c r="DE388" s="14">
        <v>1</v>
      </c>
      <c r="DF388" s="14">
        <v>0</v>
      </c>
      <c r="DG388" s="15">
        <f t="shared" si="1979"/>
        <v>0</v>
      </c>
      <c r="DH388" s="14">
        <v>6</v>
      </c>
      <c r="DI388" s="14">
        <v>6</v>
      </c>
      <c r="DJ388" s="14">
        <v>0</v>
      </c>
      <c r="DK388" s="14">
        <v>1</v>
      </c>
      <c r="DL388" s="15">
        <f t="shared" si="1980"/>
        <v>11</v>
      </c>
      <c r="DM388" s="14">
        <v>1055</v>
      </c>
      <c r="DN388" s="14">
        <v>113</v>
      </c>
      <c r="DO388" s="14">
        <v>0</v>
      </c>
      <c r="DP388" s="14">
        <v>70</v>
      </c>
      <c r="DQ388" s="15">
        <f t="shared" si="1981"/>
        <v>1098</v>
      </c>
      <c r="DR388" s="15">
        <f t="shared" si="1982"/>
        <v>1064</v>
      </c>
      <c r="DS388" s="15">
        <f t="shared" si="1983"/>
        <v>121</v>
      </c>
      <c r="DT388" s="15">
        <f t="shared" si="1984"/>
        <v>1</v>
      </c>
      <c r="DU388" s="15">
        <f t="shared" si="1985"/>
        <v>71</v>
      </c>
      <c r="DV388" s="15">
        <f t="shared" si="1986"/>
        <v>1113</v>
      </c>
      <c r="DW388" s="14">
        <v>220</v>
      </c>
      <c r="DX388" s="14">
        <v>91</v>
      </c>
      <c r="DY388" s="14">
        <v>60</v>
      </c>
      <c r="DZ388" s="14">
        <v>13</v>
      </c>
      <c r="EA388" s="14">
        <v>22</v>
      </c>
      <c r="EB388" s="14">
        <v>19</v>
      </c>
      <c r="EC388" s="14">
        <v>5</v>
      </c>
      <c r="ED388" s="14">
        <v>9</v>
      </c>
      <c r="EE388" s="14">
        <v>7</v>
      </c>
      <c r="EF388" s="14">
        <v>1</v>
      </c>
      <c r="EG388" s="14">
        <v>1</v>
      </c>
      <c r="EH388" s="14">
        <v>0</v>
      </c>
      <c r="EI388" s="14">
        <v>0</v>
      </c>
      <c r="EJ388" s="14">
        <v>14</v>
      </c>
      <c r="EK388" s="14">
        <v>5</v>
      </c>
      <c r="EL388" s="14">
        <v>0</v>
      </c>
      <c r="EM388" s="14">
        <v>1</v>
      </c>
      <c r="EN388" s="14">
        <v>0</v>
      </c>
      <c r="EO388" s="14">
        <v>0</v>
      </c>
      <c r="EP388" s="14">
        <v>0</v>
      </c>
      <c r="EQ388" s="14">
        <v>0</v>
      </c>
      <c r="ER388" s="14">
        <v>0</v>
      </c>
      <c r="ES388" s="14">
        <v>0</v>
      </c>
      <c r="ET388" s="14">
        <v>1</v>
      </c>
      <c r="EU388" s="14">
        <v>0</v>
      </c>
      <c r="EV388" s="14">
        <v>0</v>
      </c>
      <c r="EW388" s="14">
        <v>0</v>
      </c>
      <c r="EX388" s="14">
        <v>0</v>
      </c>
      <c r="EY388" s="14">
        <v>1</v>
      </c>
      <c r="EZ388" s="14">
        <v>3</v>
      </c>
      <c r="FA388" s="14">
        <v>1</v>
      </c>
      <c r="FB388" s="14">
        <v>0</v>
      </c>
      <c r="FC388" s="14">
        <v>0</v>
      </c>
      <c r="FD388" s="14">
        <v>0</v>
      </c>
      <c r="FE388" s="14">
        <v>0</v>
      </c>
      <c r="FF388" s="14">
        <v>0</v>
      </c>
      <c r="FG388" s="15">
        <f t="shared" si="1987"/>
        <v>474</v>
      </c>
      <c r="FH388" s="14">
        <v>0</v>
      </c>
      <c r="FI388" s="14">
        <v>0</v>
      </c>
      <c r="FJ388" s="14">
        <v>22</v>
      </c>
      <c r="FK388" s="14">
        <v>25.1</v>
      </c>
      <c r="FL388" s="14">
        <v>0</v>
      </c>
      <c r="FM388" s="14">
        <v>0</v>
      </c>
      <c r="FN388" s="14">
        <v>0</v>
      </c>
      <c r="FO388" s="14">
        <v>0</v>
      </c>
      <c r="FP388" s="14">
        <v>0</v>
      </c>
      <c r="FQ388" s="15">
        <f t="shared" si="1988"/>
        <v>0</v>
      </c>
      <c r="FR388" s="14">
        <v>234199287.91999951</v>
      </c>
      <c r="FS388" s="14">
        <v>3272968.88</v>
      </c>
      <c r="FT388" s="14">
        <v>374700</v>
      </c>
      <c r="FU388" s="14">
        <v>597063.43999999994</v>
      </c>
      <c r="FV388" s="15">
        <f t="shared" si="1989"/>
        <v>238444020.2399995</v>
      </c>
      <c r="FW388" s="14">
        <v>74436634.420000002</v>
      </c>
      <c r="FX388" s="14">
        <v>1735603.11</v>
      </c>
      <c r="FY388" s="14">
        <v>33170238.440000001</v>
      </c>
      <c r="FZ388" s="14">
        <v>222383598.03999999</v>
      </c>
      <c r="GA388" s="15">
        <f t="shared" si="1990"/>
        <v>331726074.00999999</v>
      </c>
      <c r="GB388" s="15">
        <f t="shared" si="1991"/>
        <v>570170094.24999952</v>
      </c>
      <c r="GC388" s="14">
        <v>113865040.76000001</v>
      </c>
      <c r="GD388" s="14">
        <v>2191303.6800000002</v>
      </c>
      <c r="GE388" s="14">
        <v>111821461.20999999</v>
      </c>
      <c r="GF388" s="14">
        <v>195443.05</v>
      </c>
      <c r="GG388" s="15">
        <f t="shared" si="1992"/>
        <v>228073248.70000002</v>
      </c>
      <c r="GH388" s="14">
        <v>70448420.409999996</v>
      </c>
      <c r="GI388" s="14">
        <v>1618781.24</v>
      </c>
      <c r="GJ388" s="14">
        <v>220526966.33999991</v>
      </c>
      <c r="GK388" s="14">
        <v>31479714.780000001</v>
      </c>
      <c r="GL388" s="15">
        <f t="shared" si="1993"/>
        <v>324073882.76999986</v>
      </c>
      <c r="GM388" s="15">
        <f t="shared" si="1994"/>
        <v>552147131.46999991</v>
      </c>
      <c r="GN388" s="14">
        <v>6630345.2699999996</v>
      </c>
      <c r="GO388" s="14">
        <v>22571.040000000001</v>
      </c>
      <c r="GP388" s="14">
        <v>176469.28</v>
      </c>
      <c r="GQ388" s="14">
        <v>60285.42</v>
      </c>
      <c r="GR388" s="15">
        <f t="shared" si="1995"/>
        <v>6889671.0099999998</v>
      </c>
      <c r="GS388" s="14">
        <v>11000867</v>
      </c>
      <c r="GT388" s="14">
        <v>105374</v>
      </c>
      <c r="GU388" s="14">
        <v>46436</v>
      </c>
      <c r="GV388" s="14">
        <v>11609</v>
      </c>
      <c r="GW388" s="15">
        <f t="shared" si="1996"/>
        <v>11164286</v>
      </c>
      <c r="GX388" s="15">
        <f t="shared" si="1997"/>
        <v>570201088.4799999</v>
      </c>
      <c r="GY388" s="14">
        <v>1284720995.3499911</v>
      </c>
      <c r="GZ388" s="14">
        <v>348430761.39999998</v>
      </c>
      <c r="HA388" s="9">
        <f t="shared" si="1937"/>
        <v>1633151756.7499909</v>
      </c>
      <c r="HB388" s="15">
        <f t="shared" si="1998"/>
        <v>0.22077080892765683</v>
      </c>
      <c r="HC388" s="16">
        <f t="shared" si="1999"/>
        <v>0.30738223412205451</v>
      </c>
      <c r="HD388" s="15">
        <f t="shared" si="2000"/>
        <v>0.99994564333420866</v>
      </c>
      <c r="HE388" s="14">
        <v>117</v>
      </c>
      <c r="HF388" s="14">
        <v>5</v>
      </c>
      <c r="HG388" s="14">
        <v>290</v>
      </c>
      <c r="HH388" s="14">
        <v>117</v>
      </c>
      <c r="HI388" s="14">
        <v>90</v>
      </c>
      <c r="HJ388" s="15">
        <f t="shared" si="2001"/>
        <v>95</v>
      </c>
      <c r="HK388" s="16">
        <f t="shared" si="2002"/>
        <v>1</v>
      </c>
      <c r="HL388" s="14">
        <v>61</v>
      </c>
      <c r="HM388" s="14">
        <v>31</v>
      </c>
      <c r="HN388" s="17">
        <f t="shared" si="2003"/>
        <v>0.50819672131147542</v>
      </c>
    </row>
    <row r="389" spans="1:222" x14ac:dyDescent="0.3">
      <c r="A389" s="6" t="s">
        <v>295</v>
      </c>
      <c r="B389" s="6" t="s">
        <v>295</v>
      </c>
      <c r="C389" s="7" t="s">
        <v>257</v>
      </c>
      <c r="D389" s="7">
        <v>2025</v>
      </c>
      <c r="E389" s="7">
        <v>6</v>
      </c>
      <c r="F389" s="7" t="s">
        <v>261</v>
      </c>
      <c r="G389" s="7" t="s">
        <v>259</v>
      </c>
      <c r="H389" s="8">
        <v>451649</v>
      </c>
      <c r="I389" s="8">
        <v>126282</v>
      </c>
      <c r="J389" s="8">
        <v>12170</v>
      </c>
      <c r="K389" s="8">
        <v>34963</v>
      </c>
      <c r="L389" s="8">
        <v>57</v>
      </c>
      <c r="M389" s="9">
        <f t="shared" si="1944"/>
        <v>173472</v>
      </c>
      <c r="N389" s="8">
        <v>51538.999999999003</v>
      </c>
      <c r="O389" s="8">
        <v>8492.7000000000007</v>
      </c>
      <c r="P389" s="8">
        <v>39431.199999999997</v>
      </c>
      <c r="Q389" s="8">
        <v>4730.7</v>
      </c>
      <c r="R389" s="9">
        <f t="shared" si="1945"/>
        <v>104193.599999999</v>
      </c>
      <c r="S389" s="9">
        <f t="shared" si="1946"/>
        <v>277665.59999999899</v>
      </c>
      <c r="T389" s="8">
        <v>173983.40000000101</v>
      </c>
      <c r="U389" s="10">
        <f t="shared" si="1947"/>
        <v>0.38521816720506635</v>
      </c>
      <c r="V389" s="8">
        <v>1181</v>
      </c>
      <c r="W389" s="11">
        <f t="shared" si="1948"/>
        <v>2.6148624263532079E-3</v>
      </c>
      <c r="X389" s="8">
        <v>4010</v>
      </c>
      <c r="Y389" s="11">
        <f t="shared" si="1949"/>
        <v>8.8785760623847285E-3</v>
      </c>
      <c r="Z389" s="8">
        <v>2165</v>
      </c>
      <c r="AA389" s="11">
        <f t="shared" si="1950"/>
        <v>4.7935454301902582E-3</v>
      </c>
      <c r="AB389" s="8">
        <v>0</v>
      </c>
      <c r="AC389" s="11">
        <f t="shared" si="1951"/>
        <v>0</v>
      </c>
      <c r="AD389" s="8">
        <v>0</v>
      </c>
      <c r="AE389" s="11">
        <f t="shared" si="1952"/>
        <v>0</v>
      </c>
      <c r="AF389" s="8">
        <v>0</v>
      </c>
      <c r="AG389" s="11">
        <f t="shared" si="1953"/>
        <v>0</v>
      </c>
      <c r="AH389" s="8">
        <v>91824140</v>
      </c>
      <c r="AI389" s="9">
        <f t="shared" si="1954"/>
        <v>203.3086312601157</v>
      </c>
      <c r="AJ389" s="8">
        <v>38916.35</v>
      </c>
      <c r="AK389" s="11">
        <f t="shared" si="1955"/>
        <v>8.6165030809323168E-2</v>
      </c>
      <c r="AL389" s="8">
        <v>10667795.15215</v>
      </c>
      <c r="AM389" s="9">
        <f t="shared" si="1956"/>
        <v>23.619658522768788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9">
        <f t="shared" si="1957"/>
        <v>102491935.15215001</v>
      </c>
      <c r="AV389" s="9">
        <f t="shared" si="1958"/>
        <v>226.92828978288452</v>
      </c>
      <c r="AW389" s="9">
        <f t="shared" si="1959"/>
        <v>369.12003198145675</v>
      </c>
      <c r="AX389" s="8">
        <v>63</v>
      </c>
      <c r="AY389" s="9">
        <f t="shared" si="1960"/>
        <v>1.673866210265051</v>
      </c>
      <c r="AZ389" s="8">
        <v>75</v>
      </c>
      <c r="BA389" s="8">
        <v>260</v>
      </c>
      <c r="BB389" s="8">
        <v>149</v>
      </c>
      <c r="BC389" s="8">
        <v>133</v>
      </c>
      <c r="BD389" s="8">
        <v>0</v>
      </c>
      <c r="BE389" s="9">
        <f t="shared" si="1961"/>
        <v>133</v>
      </c>
      <c r="BF389" s="9">
        <f t="shared" si="1962"/>
        <v>276</v>
      </c>
      <c r="BG389" s="8">
        <v>18</v>
      </c>
      <c r="BH389" s="8">
        <v>0</v>
      </c>
      <c r="BI389" s="8">
        <v>2</v>
      </c>
      <c r="BJ389" s="8">
        <v>0</v>
      </c>
      <c r="BK389" s="9">
        <f t="shared" si="1963"/>
        <v>2</v>
      </c>
      <c r="BL389" s="9">
        <f t="shared" si="1964"/>
        <v>16</v>
      </c>
      <c r="BM389" s="8">
        <v>8</v>
      </c>
      <c r="BN389" s="8">
        <v>0</v>
      </c>
      <c r="BO389" s="8">
        <v>0</v>
      </c>
      <c r="BP389" s="8">
        <v>0</v>
      </c>
      <c r="BQ389" s="9">
        <f t="shared" si="1965"/>
        <v>0</v>
      </c>
      <c r="BR389" s="9">
        <f t="shared" si="1966"/>
        <v>8</v>
      </c>
      <c r="BS389" s="8">
        <v>4</v>
      </c>
      <c r="BT389" s="8">
        <v>0</v>
      </c>
      <c r="BU389" s="8">
        <v>0</v>
      </c>
      <c r="BV389" s="8">
        <v>0</v>
      </c>
      <c r="BW389" s="9">
        <f t="shared" si="1967"/>
        <v>0</v>
      </c>
      <c r="BX389" s="9">
        <f t="shared" si="1968"/>
        <v>4</v>
      </c>
      <c r="BY389" s="9">
        <f t="shared" si="1969"/>
        <v>290</v>
      </c>
      <c r="BZ389" s="9">
        <f t="shared" si="1970"/>
        <v>149</v>
      </c>
      <c r="CA389" s="9">
        <f t="shared" si="1971"/>
        <v>135</v>
      </c>
      <c r="CB389" s="9">
        <f t="shared" si="1972"/>
        <v>304</v>
      </c>
      <c r="CC389" s="8">
        <v>0</v>
      </c>
      <c r="CD389" s="8">
        <v>8078</v>
      </c>
      <c r="CE389" s="8">
        <v>484</v>
      </c>
      <c r="CF389" s="8">
        <v>270</v>
      </c>
      <c r="CG389" s="8">
        <v>87</v>
      </c>
      <c r="CH389" s="9">
        <f t="shared" si="1973"/>
        <v>8919</v>
      </c>
      <c r="CI389" s="8">
        <v>12041</v>
      </c>
      <c r="CJ389" s="8">
        <v>49</v>
      </c>
      <c r="CK389" s="8">
        <v>13</v>
      </c>
      <c r="CL389" s="8">
        <v>118</v>
      </c>
      <c r="CM389" s="9">
        <f t="shared" si="1974"/>
        <v>12221</v>
      </c>
      <c r="CN389" s="8">
        <v>4181</v>
      </c>
      <c r="CO389" s="8">
        <v>276</v>
      </c>
      <c r="CP389" s="8">
        <v>191</v>
      </c>
      <c r="CQ389" s="8">
        <v>82</v>
      </c>
      <c r="CR389" s="9">
        <f t="shared" si="1975"/>
        <v>4730</v>
      </c>
      <c r="CS389" s="9">
        <f t="shared" si="1976"/>
        <v>16951</v>
      </c>
      <c r="CT389" s="8">
        <v>25870</v>
      </c>
      <c r="CU389" s="8">
        <v>140256</v>
      </c>
      <c r="CV389" s="8">
        <v>140243.1</v>
      </c>
      <c r="CW389" s="10">
        <f t="shared" si="1977"/>
        <v>0.9999080253251198</v>
      </c>
      <c r="CX389" s="8">
        <v>4</v>
      </c>
      <c r="CY389" s="8">
        <v>0</v>
      </c>
      <c r="CZ389" s="8">
        <v>3</v>
      </c>
      <c r="DA389" s="8">
        <v>0</v>
      </c>
      <c r="DB389" s="9">
        <f t="shared" si="1978"/>
        <v>1</v>
      </c>
      <c r="DC389" s="8">
        <v>0</v>
      </c>
      <c r="DD389" s="8">
        <v>1</v>
      </c>
      <c r="DE389" s="8">
        <v>0</v>
      </c>
      <c r="DF389" s="8">
        <v>0</v>
      </c>
      <c r="DG389" s="9">
        <f t="shared" si="1979"/>
        <v>1</v>
      </c>
      <c r="DH389" s="8">
        <v>11</v>
      </c>
      <c r="DI389" s="8">
        <v>0</v>
      </c>
      <c r="DJ389" s="8">
        <v>3</v>
      </c>
      <c r="DK389" s="8">
        <v>2</v>
      </c>
      <c r="DL389" s="9">
        <f t="shared" si="1980"/>
        <v>6</v>
      </c>
      <c r="DM389" s="8">
        <v>1098</v>
      </c>
      <c r="DN389" s="8">
        <v>24</v>
      </c>
      <c r="DO389" s="8">
        <v>1</v>
      </c>
      <c r="DP389" s="8">
        <v>139</v>
      </c>
      <c r="DQ389" s="9">
        <f t="shared" si="1981"/>
        <v>982</v>
      </c>
      <c r="DR389" s="9">
        <f t="shared" si="1982"/>
        <v>1113</v>
      </c>
      <c r="DS389" s="9">
        <f t="shared" si="1983"/>
        <v>25</v>
      </c>
      <c r="DT389" s="9">
        <f t="shared" si="1984"/>
        <v>7</v>
      </c>
      <c r="DU389" s="9">
        <f t="shared" si="1985"/>
        <v>141</v>
      </c>
      <c r="DV389" s="9">
        <f t="shared" si="1986"/>
        <v>990</v>
      </c>
      <c r="DW389" s="8">
        <v>183</v>
      </c>
      <c r="DX389" s="8">
        <v>89</v>
      </c>
      <c r="DY389" s="8">
        <v>47</v>
      </c>
      <c r="DZ389" s="8">
        <v>13</v>
      </c>
      <c r="EA389" s="8">
        <v>21</v>
      </c>
      <c r="EB389" s="8">
        <v>23</v>
      </c>
      <c r="EC389" s="8">
        <v>1</v>
      </c>
      <c r="ED389" s="8">
        <v>4</v>
      </c>
      <c r="EE389" s="8">
        <v>6</v>
      </c>
      <c r="EF389" s="8">
        <v>3</v>
      </c>
      <c r="EG389" s="8">
        <v>2</v>
      </c>
      <c r="EH389" s="8">
        <v>0</v>
      </c>
      <c r="EI389" s="8">
        <v>0</v>
      </c>
      <c r="EJ389" s="8">
        <v>26</v>
      </c>
      <c r="EK389" s="8">
        <v>3</v>
      </c>
      <c r="EL389" s="8">
        <v>0</v>
      </c>
      <c r="EM389" s="8">
        <v>0</v>
      </c>
      <c r="EN389" s="8">
        <v>0</v>
      </c>
      <c r="EO389" s="8">
        <v>1</v>
      </c>
      <c r="EP389" s="8">
        <v>2</v>
      </c>
      <c r="EQ389" s="8">
        <v>0</v>
      </c>
      <c r="ER389" s="8">
        <v>0</v>
      </c>
      <c r="ES389" s="8">
        <v>1</v>
      </c>
      <c r="ET389" s="8">
        <v>0</v>
      </c>
      <c r="EU389" s="8">
        <v>0</v>
      </c>
      <c r="EV389" s="8">
        <v>0</v>
      </c>
      <c r="EW389" s="8">
        <v>0</v>
      </c>
      <c r="EX389" s="8">
        <v>0</v>
      </c>
      <c r="EY389" s="8">
        <v>0</v>
      </c>
      <c r="EZ389" s="8">
        <v>0</v>
      </c>
      <c r="FA389" s="8">
        <v>0</v>
      </c>
      <c r="FB389" s="8">
        <v>0</v>
      </c>
      <c r="FC389" s="8">
        <v>0</v>
      </c>
      <c r="FD389" s="8">
        <v>0</v>
      </c>
      <c r="FE389" s="8">
        <v>1</v>
      </c>
      <c r="FF389" s="8">
        <v>0</v>
      </c>
      <c r="FG389" s="9">
        <f t="shared" si="1987"/>
        <v>426</v>
      </c>
      <c r="FH389" s="8">
        <v>0</v>
      </c>
      <c r="FI389" s="8">
        <v>0</v>
      </c>
      <c r="FJ389" s="8">
        <v>22</v>
      </c>
      <c r="FK389" s="8">
        <v>21</v>
      </c>
      <c r="FL389" s="8">
        <v>0</v>
      </c>
      <c r="FM389" s="8">
        <v>0</v>
      </c>
      <c r="FN389" s="8">
        <v>0</v>
      </c>
      <c r="FO389" s="8">
        <v>0</v>
      </c>
      <c r="FP389" s="8">
        <v>0</v>
      </c>
      <c r="FQ389" s="9">
        <f t="shared" si="1988"/>
        <v>0</v>
      </c>
      <c r="FR389" s="8">
        <v>152756079.46999979</v>
      </c>
      <c r="FS389" s="8">
        <v>3363220.66</v>
      </c>
      <c r="FT389" s="8">
        <v>1514868.88</v>
      </c>
      <c r="FU389" s="8">
        <v>201952112.88999999</v>
      </c>
      <c r="FV389" s="9">
        <f t="shared" si="1989"/>
        <v>359586281.89999974</v>
      </c>
      <c r="FW389" s="8">
        <v>67288099.819999978</v>
      </c>
      <c r="FX389" s="8">
        <v>1957812.44</v>
      </c>
      <c r="FY389" s="8">
        <v>23658145.850000001</v>
      </c>
      <c r="FZ389" s="8">
        <v>124612739.81</v>
      </c>
      <c r="GA389" s="9">
        <f t="shared" si="1990"/>
        <v>217516797.91999999</v>
      </c>
      <c r="GB389" s="9">
        <f t="shared" si="1991"/>
        <v>577103079.81999969</v>
      </c>
      <c r="GC389" s="8">
        <v>115413347.33</v>
      </c>
      <c r="GD389" s="8">
        <v>2327877.6</v>
      </c>
      <c r="GE389" s="8">
        <v>120489579.01000001</v>
      </c>
      <c r="GF389" s="8">
        <v>156741.82999999999</v>
      </c>
      <c r="GG389" s="9">
        <f t="shared" si="1992"/>
        <v>238387545.77000001</v>
      </c>
      <c r="GH389" s="8">
        <v>64352716.869999997</v>
      </c>
      <c r="GI389" s="8">
        <v>1804362.44</v>
      </c>
      <c r="GJ389" s="8">
        <v>119872360.23</v>
      </c>
      <c r="GK389" s="8">
        <v>22335027.02</v>
      </c>
      <c r="GL389" s="9">
        <f t="shared" si="1993"/>
        <v>208364466.56</v>
      </c>
      <c r="GM389" s="9">
        <f t="shared" si="1994"/>
        <v>446752012.33000004</v>
      </c>
      <c r="GN389" s="8">
        <v>6474341.8200000003</v>
      </c>
      <c r="GO389" s="8">
        <v>22571.040000000001</v>
      </c>
      <c r="GP389" s="8">
        <v>166288.35999999999</v>
      </c>
      <c r="GQ389" s="8">
        <v>60285.42</v>
      </c>
      <c r="GR389" s="9">
        <f t="shared" si="1995"/>
        <v>6723486.6400000006</v>
      </c>
      <c r="GS389" s="8">
        <v>10752613</v>
      </c>
      <c r="GT389" s="8">
        <v>105374</v>
      </c>
      <c r="GU389" s="8">
        <v>43757</v>
      </c>
      <c r="GV389" s="8">
        <v>11609</v>
      </c>
      <c r="GW389" s="9">
        <f t="shared" si="1996"/>
        <v>10913353</v>
      </c>
      <c r="GX389" s="9">
        <f t="shared" si="1997"/>
        <v>464388851.97000003</v>
      </c>
      <c r="GY389" s="8">
        <v>1254057728.0299931</v>
      </c>
      <c r="GZ389" s="8">
        <v>262737742.98000011</v>
      </c>
      <c r="HA389" s="9">
        <f t="shared" si="1937"/>
        <v>1516795471.0099931</v>
      </c>
      <c r="HB389" s="9">
        <f t="shared" si="1998"/>
        <v>0.22070283280351244</v>
      </c>
      <c r="HC389" s="10">
        <f t="shared" si="1999"/>
        <v>0.3358283501719338</v>
      </c>
      <c r="HD389" s="9">
        <f t="shared" si="2000"/>
        <v>1.242715188729985</v>
      </c>
      <c r="HE389" s="8">
        <v>149</v>
      </c>
      <c r="HF389" s="8">
        <v>5</v>
      </c>
      <c r="HG389" s="8">
        <v>304</v>
      </c>
      <c r="HH389" s="8">
        <v>149</v>
      </c>
      <c r="HI389" s="8">
        <v>90</v>
      </c>
      <c r="HJ389" s="9">
        <f t="shared" si="2001"/>
        <v>95</v>
      </c>
      <c r="HK389" s="10">
        <f t="shared" si="2002"/>
        <v>1</v>
      </c>
      <c r="HL389" s="8">
        <v>38</v>
      </c>
      <c r="HM389" s="8">
        <v>30</v>
      </c>
      <c r="HN389" s="11">
        <f t="shared" si="2003"/>
        <v>0.78947368421052633</v>
      </c>
    </row>
    <row r="390" spans="1:222" x14ac:dyDescent="0.3">
      <c r="A390" s="12" t="s">
        <v>295</v>
      </c>
      <c r="B390" s="12" t="s">
        <v>295</v>
      </c>
      <c r="C390" s="13" t="s">
        <v>257</v>
      </c>
      <c r="D390" s="13">
        <v>2025</v>
      </c>
      <c r="E390" s="13">
        <v>7</v>
      </c>
      <c r="F390" s="13" t="s">
        <v>262</v>
      </c>
      <c r="G390" s="13" t="s">
        <v>263</v>
      </c>
      <c r="H390" s="14">
        <v>478147</v>
      </c>
      <c r="I390" s="14">
        <v>134424</v>
      </c>
      <c r="J390" s="14">
        <v>12248</v>
      </c>
      <c r="K390" s="14">
        <v>36455</v>
      </c>
      <c r="L390" s="14">
        <v>101</v>
      </c>
      <c r="M390" s="15">
        <f t="shared" si="1944"/>
        <v>183228</v>
      </c>
      <c r="N390" s="14">
        <v>69840.099999999395</v>
      </c>
      <c r="O390" s="14">
        <v>8994.4000000000106</v>
      </c>
      <c r="P390" s="14">
        <v>28620.1</v>
      </c>
      <c r="Q390" s="14">
        <v>6503.3000000000202</v>
      </c>
      <c r="R390" s="15">
        <f t="shared" si="1945"/>
        <v>113957.89999999941</v>
      </c>
      <c r="S390" s="15">
        <f t="shared" si="1946"/>
        <v>297185.89999999944</v>
      </c>
      <c r="T390" s="14">
        <v>180961.100000001</v>
      </c>
      <c r="U390" s="16">
        <f t="shared" si="1947"/>
        <v>0.37846331776629571</v>
      </c>
      <c r="V390" s="14">
        <v>1024</v>
      </c>
      <c r="W390" s="17">
        <f t="shared" si="1948"/>
        <v>2.1416008047734276E-3</v>
      </c>
      <c r="X390" s="14">
        <v>3333</v>
      </c>
      <c r="Y390" s="17">
        <f t="shared" si="1949"/>
        <v>6.970659650693197E-3</v>
      </c>
      <c r="Z390" s="14">
        <v>2023</v>
      </c>
      <c r="AA390" s="17">
        <f t="shared" si="1950"/>
        <v>4.2309164336490658E-3</v>
      </c>
      <c r="AB390" s="14">
        <v>0</v>
      </c>
      <c r="AC390" s="17">
        <f t="shared" si="1951"/>
        <v>0</v>
      </c>
      <c r="AD390" s="14">
        <v>0</v>
      </c>
      <c r="AE390" s="17">
        <f t="shared" si="1952"/>
        <v>0</v>
      </c>
      <c r="AF390" s="14">
        <v>0</v>
      </c>
      <c r="AG390" s="17">
        <f t="shared" si="1953"/>
        <v>0</v>
      </c>
      <c r="AH390" s="14">
        <v>80131768</v>
      </c>
      <c r="AI390" s="15">
        <f t="shared" si="1954"/>
        <v>167.58814339523201</v>
      </c>
      <c r="AJ390" s="14">
        <v>37039.089999999997</v>
      </c>
      <c r="AK390" s="17">
        <f t="shared" si="1955"/>
        <v>7.7463813429761136E-2</v>
      </c>
      <c r="AL390" s="14">
        <v>10154723.09881</v>
      </c>
      <c r="AM390" s="15">
        <f t="shared" si="1956"/>
        <v>21.237659336584773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5">
        <f t="shared" si="1957"/>
        <v>90286491.098810002</v>
      </c>
      <c r="AV390" s="15">
        <f t="shared" si="1958"/>
        <v>188.82580273181679</v>
      </c>
      <c r="AW390" s="15">
        <f t="shared" si="1959"/>
        <v>303.80476024875395</v>
      </c>
      <c r="AX390" s="14">
        <v>63</v>
      </c>
      <c r="AY390" s="15">
        <f t="shared" si="1960"/>
        <v>1.5811037191491322</v>
      </c>
      <c r="AZ390" s="14">
        <v>75</v>
      </c>
      <c r="BA390" s="14">
        <v>276</v>
      </c>
      <c r="BB390" s="14">
        <v>172</v>
      </c>
      <c r="BC390" s="14">
        <v>151</v>
      </c>
      <c r="BD390" s="14">
        <v>0</v>
      </c>
      <c r="BE390" s="15">
        <f t="shared" si="1961"/>
        <v>151</v>
      </c>
      <c r="BF390" s="15">
        <f t="shared" si="1962"/>
        <v>297</v>
      </c>
      <c r="BG390" s="14">
        <v>16</v>
      </c>
      <c r="BH390" s="14">
        <v>0</v>
      </c>
      <c r="BI390" s="14">
        <v>1</v>
      </c>
      <c r="BJ390" s="14">
        <v>0</v>
      </c>
      <c r="BK390" s="15">
        <f t="shared" si="1963"/>
        <v>1</v>
      </c>
      <c r="BL390" s="15">
        <f t="shared" si="1964"/>
        <v>15</v>
      </c>
      <c r="BM390" s="14">
        <v>8</v>
      </c>
      <c r="BN390" s="14">
        <v>7</v>
      </c>
      <c r="BO390" s="14">
        <v>6</v>
      </c>
      <c r="BP390" s="14">
        <v>0</v>
      </c>
      <c r="BQ390" s="15">
        <f t="shared" si="1965"/>
        <v>6</v>
      </c>
      <c r="BR390" s="15">
        <f t="shared" si="1966"/>
        <v>9</v>
      </c>
      <c r="BS390" s="14">
        <v>4</v>
      </c>
      <c r="BT390" s="14">
        <v>0</v>
      </c>
      <c r="BU390" s="14">
        <v>2</v>
      </c>
      <c r="BV390" s="14">
        <v>0</v>
      </c>
      <c r="BW390" s="15">
        <f t="shared" si="1967"/>
        <v>2</v>
      </c>
      <c r="BX390" s="15">
        <f t="shared" si="1968"/>
        <v>2</v>
      </c>
      <c r="BY390" s="15">
        <f t="shared" si="1969"/>
        <v>304</v>
      </c>
      <c r="BZ390" s="15">
        <f t="shared" si="1970"/>
        <v>179</v>
      </c>
      <c r="CA390" s="15">
        <f t="shared" si="1971"/>
        <v>160</v>
      </c>
      <c r="CB390" s="15">
        <f t="shared" si="1972"/>
        <v>323</v>
      </c>
      <c r="CC390" s="14">
        <v>0</v>
      </c>
      <c r="CD390" s="14">
        <v>7228</v>
      </c>
      <c r="CE390" s="14">
        <v>386</v>
      </c>
      <c r="CF390" s="14">
        <v>215</v>
      </c>
      <c r="CG390" s="14">
        <v>83</v>
      </c>
      <c r="CH390" s="15">
        <f t="shared" si="1973"/>
        <v>7912</v>
      </c>
      <c r="CI390" s="14">
        <v>12036</v>
      </c>
      <c r="CJ390" s="14">
        <v>49</v>
      </c>
      <c r="CK390" s="14">
        <v>18</v>
      </c>
      <c r="CL390" s="14">
        <v>121</v>
      </c>
      <c r="CM390" s="15">
        <f t="shared" si="1974"/>
        <v>12224</v>
      </c>
      <c r="CN390" s="14">
        <v>5187</v>
      </c>
      <c r="CO390" s="14">
        <v>375</v>
      </c>
      <c r="CP390" s="14">
        <v>247</v>
      </c>
      <c r="CQ390" s="14">
        <v>85</v>
      </c>
      <c r="CR390" s="15">
        <f t="shared" si="1975"/>
        <v>5894</v>
      </c>
      <c r="CS390" s="15">
        <f t="shared" si="1976"/>
        <v>18118</v>
      </c>
      <c r="CT390" s="14">
        <v>26030</v>
      </c>
      <c r="CU390" s="14">
        <v>140513</v>
      </c>
      <c r="CV390" s="14">
        <v>140565.5</v>
      </c>
      <c r="CW390" s="16">
        <f t="shared" si="1977"/>
        <v>1.0003736309095956</v>
      </c>
      <c r="CX390" s="14">
        <v>1</v>
      </c>
      <c r="CY390" s="14">
        <v>1</v>
      </c>
      <c r="CZ390" s="14">
        <v>0</v>
      </c>
      <c r="DA390" s="14">
        <v>0</v>
      </c>
      <c r="DB390" s="15">
        <f t="shared" si="1978"/>
        <v>2</v>
      </c>
      <c r="DC390" s="14">
        <v>1</v>
      </c>
      <c r="DD390" s="14">
        <v>0</v>
      </c>
      <c r="DE390" s="14">
        <v>1</v>
      </c>
      <c r="DF390" s="14">
        <v>0</v>
      </c>
      <c r="DG390" s="15">
        <f t="shared" si="1979"/>
        <v>0</v>
      </c>
      <c r="DH390" s="14">
        <v>6</v>
      </c>
      <c r="DI390" s="14">
        <v>3</v>
      </c>
      <c r="DJ390" s="14">
        <v>0</v>
      </c>
      <c r="DK390" s="14">
        <v>1</v>
      </c>
      <c r="DL390" s="15">
        <f t="shared" si="1980"/>
        <v>8</v>
      </c>
      <c r="DM390" s="14">
        <v>982</v>
      </c>
      <c r="DN390" s="14">
        <v>51</v>
      </c>
      <c r="DO390" s="14">
        <v>0</v>
      </c>
      <c r="DP390" s="14">
        <v>72</v>
      </c>
      <c r="DQ390" s="15">
        <f t="shared" si="1981"/>
        <v>961</v>
      </c>
      <c r="DR390" s="15">
        <f t="shared" si="1982"/>
        <v>990</v>
      </c>
      <c r="DS390" s="15">
        <f t="shared" si="1983"/>
        <v>55</v>
      </c>
      <c r="DT390" s="15">
        <f t="shared" si="1984"/>
        <v>1</v>
      </c>
      <c r="DU390" s="15">
        <f t="shared" si="1985"/>
        <v>73</v>
      </c>
      <c r="DV390" s="15">
        <f t="shared" si="1986"/>
        <v>971</v>
      </c>
      <c r="DW390" s="14">
        <v>296</v>
      </c>
      <c r="DX390" s="14">
        <v>96</v>
      </c>
      <c r="DY390" s="14">
        <v>68</v>
      </c>
      <c r="DZ390" s="14">
        <v>13</v>
      </c>
      <c r="EA390" s="14">
        <v>30</v>
      </c>
      <c r="EB390" s="14">
        <v>24</v>
      </c>
      <c r="EC390" s="14">
        <v>3</v>
      </c>
      <c r="ED390" s="14">
        <v>10</v>
      </c>
      <c r="EE390" s="14">
        <v>8</v>
      </c>
      <c r="EF390" s="14">
        <v>2</v>
      </c>
      <c r="EG390" s="14">
        <v>0</v>
      </c>
      <c r="EH390" s="14">
        <v>0</v>
      </c>
      <c r="EI390" s="14">
        <v>0</v>
      </c>
      <c r="EJ390" s="14">
        <v>20</v>
      </c>
      <c r="EK390" s="14">
        <v>6</v>
      </c>
      <c r="EL390" s="14">
        <v>0</v>
      </c>
      <c r="EM390" s="14">
        <v>1</v>
      </c>
      <c r="EN390" s="14">
        <v>0</v>
      </c>
      <c r="EO390" s="14">
        <v>0</v>
      </c>
      <c r="EP390" s="14">
        <v>0</v>
      </c>
      <c r="EQ390" s="14">
        <v>0</v>
      </c>
      <c r="ER390" s="14">
        <v>0</v>
      </c>
      <c r="ES390" s="14">
        <v>0</v>
      </c>
      <c r="ET390" s="14">
        <v>0</v>
      </c>
      <c r="EU390" s="14">
        <v>0</v>
      </c>
      <c r="EV390" s="14">
        <v>0</v>
      </c>
      <c r="EW390" s="14">
        <v>0</v>
      </c>
      <c r="EX390" s="14">
        <v>0</v>
      </c>
      <c r="EY390" s="14">
        <v>0</v>
      </c>
      <c r="EZ390" s="14">
        <v>0</v>
      </c>
      <c r="FA390" s="14">
        <v>0</v>
      </c>
      <c r="FB390" s="14">
        <v>0</v>
      </c>
      <c r="FC390" s="14">
        <v>0</v>
      </c>
      <c r="FD390" s="14">
        <v>0</v>
      </c>
      <c r="FE390" s="14">
        <v>1</v>
      </c>
      <c r="FF390" s="14">
        <v>0</v>
      </c>
      <c r="FG390" s="15">
        <f t="shared" si="1987"/>
        <v>578</v>
      </c>
      <c r="FH390" s="14">
        <v>0</v>
      </c>
      <c r="FI390" s="14">
        <v>0</v>
      </c>
      <c r="FJ390" s="14">
        <v>22</v>
      </c>
      <c r="FK390" s="14">
        <v>17</v>
      </c>
      <c r="FL390" s="14">
        <v>0</v>
      </c>
      <c r="FM390" s="14">
        <v>0</v>
      </c>
      <c r="FN390" s="14">
        <v>0</v>
      </c>
      <c r="FO390" s="14">
        <v>0</v>
      </c>
      <c r="FP390" s="14">
        <v>0</v>
      </c>
      <c r="FQ390" s="15">
        <f t="shared" si="1988"/>
        <v>0</v>
      </c>
      <c r="FR390" s="14">
        <v>133913322.6699999</v>
      </c>
      <c r="FS390" s="14">
        <v>2475767.2200000002</v>
      </c>
      <c r="FT390" s="14">
        <v>614000</v>
      </c>
      <c r="FU390" s="14">
        <v>108200</v>
      </c>
      <c r="FV390" s="15">
        <f t="shared" si="1989"/>
        <v>137111289.8899999</v>
      </c>
      <c r="FW390" s="14">
        <v>91157715.489999995</v>
      </c>
      <c r="FX390" s="14">
        <v>2023645.59</v>
      </c>
      <c r="FY390" s="14">
        <v>32258417.859999999</v>
      </c>
      <c r="FZ390" s="14">
        <v>88953712.74000001</v>
      </c>
      <c r="GA390" s="15">
        <f t="shared" si="1990"/>
        <v>214393491.68000001</v>
      </c>
      <c r="GB390" s="15">
        <f t="shared" si="1991"/>
        <v>351504781.56999993</v>
      </c>
      <c r="GC390" s="14">
        <v>120015467.56</v>
      </c>
      <c r="GD390" s="14">
        <v>2342797.44</v>
      </c>
      <c r="GE390" s="14">
        <v>125640085.33</v>
      </c>
      <c r="GF390" s="14">
        <v>257943.88</v>
      </c>
      <c r="GG390" s="15">
        <f t="shared" si="1992"/>
        <v>248256294.20999998</v>
      </c>
      <c r="GH390" s="14">
        <v>87408134.179999918</v>
      </c>
      <c r="GI390" s="14">
        <v>1910947.34</v>
      </c>
      <c r="GJ390" s="14">
        <v>86974435.650000006</v>
      </c>
      <c r="GK390" s="14">
        <v>30573558.739999998</v>
      </c>
      <c r="GL390" s="15">
        <f t="shared" si="1993"/>
        <v>206867075.90999994</v>
      </c>
      <c r="GM390" s="15">
        <f t="shared" si="1994"/>
        <v>455123370.11999989</v>
      </c>
      <c r="GN390" s="14">
        <v>6465481.4699999997</v>
      </c>
      <c r="GO390" s="14">
        <v>23144.880000000001</v>
      </c>
      <c r="GP390" s="14">
        <v>166288.35999999999</v>
      </c>
      <c r="GQ390" s="14">
        <v>83472.12</v>
      </c>
      <c r="GR390" s="15">
        <f t="shared" si="1995"/>
        <v>6738386.8300000001</v>
      </c>
      <c r="GS390" s="14">
        <v>10748148</v>
      </c>
      <c r="GT390" s="14">
        <v>108053</v>
      </c>
      <c r="GU390" s="14">
        <v>43757</v>
      </c>
      <c r="GV390" s="14">
        <v>16074</v>
      </c>
      <c r="GW390" s="15">
        <f t="shared" si="1996"/>
        <v>10916032</v>
      </c>
      <c r="GX390" s="15">
        <f t="shared" si="1997"/>
        <v>472777788.94999987</v>
      </c>
      <c r="GY390" s="14">
        <v>1256996115.0900071</v>
      </c>
      <c r="GZ390" s="14">
        <v>383593563.63999999</v>
      </c>
      <c r="HA390" s="9">
        <f t="shared" si="1937"/>
        <v>1640589678.7300072</v>
      </c>
      <c r="HB390" s="15">
        <f t="shared" si="1998"/>
        <v>0.19097024693001924</v>
      </c>
      <c r="HC390" s="16">
        <f t="shared" si="1999"/>
        <v>0.20320851225066822</v>
      </c>
      <c r="HD390" s="15">
        <f t="shared" si="2000"/>
        <v>0.74348835707925875</v>
      </c>
      <c r="HE390" s="14">
        <v>179</v>
      </c>
      <c r="HF390" s="14">
        <v>5</v>
      </c>
      <c r="HG390" s="14">
        <v>323</v>
      </c>
      <c r="HH390" s="14">
        <v>179</v>
      </c>
      <c r="HI390" s="14">
        <v>90</v>
      </c>
      <c r="HJ390" s="15">
        <f t="shared" si="2001"/>
        <v>95</v>
      </c>
      <c r="HK390" s="16">
        <f t="shared" si="2002"/>
        <v>1</v>
      </c>
      <c r="HL390" s="14">
        <v>36</v>
      </c>
      <c r="HM390" s="14">
        <v>31</v>
      </c>
      <c r="HN390" s="17">
        <f t="shared" si="2003"/>
        <v>0.86111111111111116</v>
      </c>
    </row>
    <row r="391" spans="1:222" x14ac:dyDescent="0.3">
      <c r="A391" s="6" t="s">
        <v>295</v>
      </c>
      <c r="B391" s="6" t="s">
        <v>295</v>
      </c>
      <c r="C391" s="7" t="s">
        <v>257</v>
      </c>
      <c r="D391" s="7">
        <v>2025</v>
      </c>
      <c r="E391" s="7">
        <v>8</v>
      </c>
      <c r="F391" s="7" t="s">
        <v>264</v>
      </c>
      <c r="G391" s="7" t="s">
        <v>263</v>
      </c>
      <c r="H391" s="8">
        <v>523919</v>
      </c>
      <c r="I391" s="8">
        <v>127983</v>
      </c>
      <c r="J391" s="8">
        <v>12849</v>
      </c>
      <c r="K391" s="8">
        <v>25981</v>
      </c>
      <c r="L391" s="8">
        <v>68</v>
      </c>
      <c r="M391" s="9">
        <f t="shared" si="1944"/>
        <v>166881</v>
      </c>
      <c r="N391" s="8">
        <v>71822.999999999796</v>
      </c>
      <c r="O391" s="8">
        <v>14934</v>
      </c>
      <c r="P391" s="8">
        <v>67701.899999999907</v>
      </c>
      <c r="Q391" s="8">
        <v>6393.8000000000202</v>
      </c>
      <c r="R391" s="9">
        <f t="shared" si="1945"/>
        <v>160852.69999999972</v>
      </c>
      <c r="S391" s="9">
        <f t="shared" si="1946"/>
        <v>327733.69999999972</v>
      </c>
      <c r="T391" s="8">
        <v>196185.3</v>
      </c>
      <c r="U391" s="10">
        <f t="shared" si="1947"/>
        <v>0.37445731114924252</v>
      </c>
      <c r="V391" s="8">
        <v>1278</v>
      </c>
      <c r="W391" s="11">
        <f t="shared" si="1948"/>
        <v>2.4393083663696107E-3</v>
      </c>
      <c r="X391" s="8">
        <v>2190</v>
      </c>
      <c r="Y391" s="11">
        <f t="shared" si="1949"/>
        <v>4.1800354634972201E-3</v>
      </c>
      <c r="Z391" s="8">
        <v>1572</v>
      </c>
      <c r="AA391" s="11">
        <f t="shared" si="1950"/>
        <v>3.0004638121541687E-3</v>
      </c>
      <c r="AB391" s="8">
        <v>0</v>
      </c>
      <c r="AC391" s="11">
        <f t="shared" si="1951"/>
        <v>0</v>
      </c>
      <c r="AD391" s="8">
        <v>0</v>
      </c>
      <c r="AE391" s="11">
        <f t="shared" si="1952"/>
        <v>0</v>
      </c>
      <c r="AF391" s="8">
        <v>0</v>
      </c>
      <c r="AG391" s="11">
        <f t="shared" si="1953"/>
        <v>0</v>
      </c>
      <c r="AH391" s="8">
        <v>71327352</v>
      </c>
      <c r="AI391" s="9">
        <f t="shared" si="1954"/>
        <v>136.14194560609559</v>
      </c>
      <c r="AJ391" s="8">
        <v>29328.18</v>
      </c>
      <c r="AK391" s="11">
        <f t="shared" si="1955"/>
        <v>5.5978462319557033E-2</v>
      </c>
      <c r="AL391" s="8">
        <v>8047261.9976199996</v>
      </c>
      <c r="AM391" s="9">
        <f t="shared" si="1956"/>
        <v>15.35974453612104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9">
        <f t="shared" si="1957"/>
        <v>79374613.997620001</v>
      </c>
      <c r="AV391" s="9">
        <f t="shared" si="1958"/>
        <v>151.50169014221663</v>
      </c>
      <c r="AW391" s="9">
        <f t="shared" si="1959"/>
        <v>242.19240803621986</v>
      </c>
      <c r="AX391" s="8">
        <v>63</v>
      </c>
      <c r="AY391" s="9">
        <f t="shared" si="1960"/>
        <v>1.4429711463031498</v>
      </c>
      <c r="AZ391" s="8">
        <v>75</v>
      </c>
      <c r="BA391" s="8">
        <v>297</v>
      </c>
      <c r="BB391" s="8">
        <v>111</v>
      </c>
      <c r="BC391" s="8">
        <v>248</v>
      </c>
      <c r="BD391" s="8">
        <v>0</v>
      </c>
      <c r="BE391" s="9">
        <f t="shared" si="1961"/>
        <v>248</v>
      </c>
      <c r="BF391" s="9">
        <f t="shared" si="1962"/>
        <v>160</v>
      </c>
      <c r="BG391" s="8">
        <v>15</v>
      </c>
      <c r="BH391" s="8">
        <v>0</v>
      </c>
      <c r="BI391" s="8">
        <v>1</v>
      </c>
      <c r="BJ391" s="8">
        <v>0</v>
      </c>
      <c r="BK391" s="9">
        <f t="shared" si="1963"/>
        <v>1</v>
      </c>
      <c r="BL391" s="9">
        <f t="shared" si="1964"/>
        <v>14</v>
      </c>
      <c r="BM391" s="8">
        <v>9</v>
      </c>
      <c r="BN391" s="8">
        <v>0</v>
      </c>
      <c r="BO391" s="8">
        <v>0</v>
      </c>
      <c r="BP391" s="8">
        <v>0</v>
      </c>
      <c r="BQ391" s="9">
        <f t="shared" si="1965"/>
        <v>0</v>
      </c>
      <c r="BR391" s="9">
        <f t="shared" si="1966"/>
        <v>9</v>
      </c>
      <c r="BS391" s="8">
        <v>2</v>
      </c>
      <c r="BT391" s="8">
        <v>0</v>
      </c>
      <c r="BU391" s="8">
        <v>0</v>
      </c>
      <c r="BV391" s="8">
        <v>0</v>
      </c>
      <c r="BW391" s="9">
        <f t="shared" si="1967"/>
        <v>0</v>
      </c>
      <c r="BX391" s="9">
        <f t="shared" si="1968"/>
        <v>2</v>
      </c>
      <c r="BY391" s="9">
        <f t="shared" si="1969"/>
        <v>323</v>
      </c>
      <c r="BZ391" s="9">
        <f t="shared" si="1970"/>
        <v>111</v>
      </c>
      <c r="CA391" s="9">
        <f t="shared" si="1971"/>
        <v>249</v>
      </c>
      <c r="CB391" s="9">
        <f t="shared" si="1972"/>
        <v>185</v>
      </c>
      <c r="CC391" s="8">
        <v>152</v>
      </c>
      <c r="CD391" s="8">
        <v>7228</v>
      </c>
      <c r="CE391" s="8">
        <v>387</v>
      </c>
      <c r="CF391" s="8">
        <v>215</v>
      </c>
      <c r="CG391" s="8">
        <v>83</v>
      </c>
      <c r="CH391" s="9">
        <f t="shared" si="1973"/>
        <v>7913</v>
      </c>
      <c r="CI391" s="8">
        <v>12132</v>
      </c>
      <c r="CJ391" s="8">
        <v>49</v>
      </c>
      <c r="CK391" s="8">
        <v>18</v>
      </c>
      <c r="CL391" s="8">
        <v>121</v>
      </c>
      <c r="CM391" s="9">
        <f t="shared" si="1974"/>
        <v>12320</v>
      </c>
      <c r="CN391" s="8">
        <v>5339</v>
      </c>
      <c r="CO391" s="8">
        <v>375</v>
      </c>
      <c r="CP391" s="8">
        <v>247</v>
      </c>
      <c r="CQ391" s="8">
        <v>85</v>
      </c>
      <c r="CR391" s="9">
        <f t="shared" si="1975"/>
        <v>6046</v>
      </c>
      <c r="CS391" s="9">
        <f t="shared" si="1976"/>
        <v>18366</v>
      </c>
      <c r="CT391" s="8">
        <v>26279</v>
      </c>
      <c r="CU391" s="8">
        <v>140770</v>
      </c>
      <c r="CV391" s="8">
        <v>140824</v>
      </c>
      <c r="CW391" s="10">
        <f t="shared" si="1977"/>
        <v>1.0003836044611778</v>
      </c>
      <c r="CX391" s="8">
        <v>2</v>
      </c>
      <c r="CY391" s="8">
        <v>4</v>
      </c>
      <c r="CZ391" s="8">
        <v>0</v>
      </c>
      <c r="DA391" s="8">
        <v>0</v>
      </c>
      <c r="DB391" s="9">
        <f t="shared" si="1978"/>
        <v>6</v>
      </c>
      <c r="DC391" s="8">
        <v>0</v>
      </c>
      <c r="DD391" s="8">
        <v>1</v>
      </c>
      <c r="DE391" s="8">
        <v>0</v>
      </c>
      <c r="DF391" s="8">
        <v>0</v>
      </c>
      <c r="DG391" s="9">
        <f t="shared" si="1979"/>
        <v>1</v>
      </c>
      <c r="DH391" s="8">
        <v>8</v>
      </c>
      <c r="DI391" s="8">
        <v>0</v>
      </c>
      <c r="DJ391" s="8">
        <v>4</v>
      </c>
      <c r="DK391" s="8">
        <v>0</v>
      </c>
      <c r="DL391" s="9">
        <f t="shared" si="1980"/>
        <v>4</v>
      </c>
      <c r="DM391" s="8">
        <v>961</v>
      </c>
      <c r="DN391" s="8">
        <v>96</v>
      </c>
      <c r="DO391" s="8">
        <v>0</v>
      </c>
      <c r="DP391" s="8">
        <v>88</v>
      </c>
      <c r="DQ391" s="9">
        <f t="shared" si="1981"/>
        <v>969</v>
      </c>
      <c r="DR391" s="9">
        <f t="shared" si="1982"/>
        <v>971</v>
      </c>
      <c r="DS391" s="9">
        <f t="shared" si="1983"/>
        <v>101</v>
      </c>
      <c r="DT391" s="9">
        <f t="shared" si="1984"/>
        <v>4</v>
      </c>
      <c r="DU391" s="9">
        <f t="shared" si="1985"/>
        <v>88</v>
      </c>
      <c r="DV391" s="9">
        <f t="shared" si="1986"/>
        <v>980</v>
      </c>
      <c r="DW391" s="8">
        <v>275</v>
      </c>
      <c r="DX391" s="8">
        <v>117</v>
      </c>
      <c r="DY391" s="8">
        <v>82</v>
      </c>
      <c r="DZ391" s="8">
        <v>18</v>
      </c>
      <c r="EA391" s="8">
        <v>26</v>
      </c>
      <c r="EB391" s="8">
        <v>29</v>
      </c>
      <c r="EC391" s="8">
        <v>4</v>
      </c>
      <c r="ED391" s="8">
        <v>15</v>
      </c>
      <c r="EE391" s="8">
        <v>5</v>
      </c>
      <c r="EF391" s="8">
        <v>0</v>
      </c>
      <c r="EG391" s="8">
        <v>1</v>
      </c>
      <c r="EH391" s="8">
        <v>0</v>
      </c>
      <c r="EI391" s="8">
        <v>0</v>
      </c>
      <c r="EJ391" s="8">
        <v>14</v>
      </c>
      <c r="EK391" s="8">
        <v>0</v>
      </c>
      <c r="EL391" s="8">
        <v>0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8">
        <v>0</v>
      </c>
      <c r="ES391" s="8">
        <v>0</v>
      </c>
      <c r="ET391" s="8">
        <v>0</v>
      </c>
      <c r="EU391" s="8">
        <v>0</v>
      </c>
      <c r="EV391" s="8">
        <v>0</v>
      </c>
      <c r="EW391" s="8">
        <v>0</v>
      </c>
      <c r="EX391" s="8">
        <v>0</v>
      </c>
      <c r="EY391" s="8">
        <v>0</v>
      </c>
      <c r="EZ391" s="8">
        <v>0</v>
      </c>
      <c r="FA391" s="8">
        <v>0</v>
      </c>
      <c r="FB391" s="8">
        <v>0</v>
      </c>
      <c r="FC391" s="8">
        <v>0</v>
      </c>
      <c r="FD391" s="8">
        <v>0</v>
      </c>
      <c r="FE391" s="8">
        <v>0</v>
      </c>
      <c r="FF391" s="8">
        <v>0</v>
      </c>
      <c r="FG391" s="9">
        <f t="shared" si="1987"/>
        <v>586</v>
      </c>
      <c r="FH391" s="8">
        <v>0</v>
      </c>
      <c r="FI391" s="8">
        <v>0</v>
      </c>
      <c r="FJ391" s="8">
        <v>22</v>
      </c>
      <c r="FK391" s="8">
        <v>11.9</v>
      </c>
      <c r="FL391" s="8">
        <v>0</v>
      </c>
      <c r="FM391" s="8">
        <v>0</v>
      </c>
      <c r="FN391" s="8">
        <v>0</v>
      </c>
      <c r="FO391" s="8">
        <v>0</v>
      </c>
      <c r="FP391" s="8">
        <v>0</v>
      </c>
      <c r="FQ391" s="9">
        <f t="shared" si="1988"/>
        <v>0</v>
      </c>
      <c r="FR391" s="8">
        <v>127413807.0299999</v>
      </c>
      <c r="FS391" s="8">
        <v>3429700</v>
      </c>
      <c r="FT391" s="8">
        <v>277647.98</v>
      </c>
      <c r="FU391" s="8">
        <v>1269000</v>
      </c>
      <c r="FV391" s="9">
        <f t="shared" si="1989"/>
        <v>132390155.0099999</v>
      </c>
      <c r="FW391" s="8">
        <v>93243957.319999993</v>
      </c>
      <c r="FX391" s="8">
        <v>3285978.66</v>
      </c>
      <c r="FY391" s="8">
        <v>31337448.93</v>
      </c>
      <c r="FZ391" s="8">
        <v>206665189.18000001</v>
      </c>
      <c r="GA391" s="9">
        <f t="shared" si="1990"/>
        <v>334532574.09000003</v>
      </c>
      <c r="GB391" s="9">
        <f t="shared" si="1991"/>
        <v>466922729.0999999</v>
      </c>
      <c r="GC391" s="8">
        <v>115596753.81</v>
      </c>
      <c r="GD391" s="8">
        <v>2457756.7200000002</v>
      </c>
      <c r="GE391" s="8">
        <v>89434552.620000005</v>
      </c>
      <c r="GF391" s="8">
        <v>198796.78</v>
      </c>
      <c r="GG391" s="9">
        <f t="shared" si="1992"/>
        <v>207687859.93000001</v>
      </c>
      <c r="GH391" s="8">
        <v>89641044.529999986</v>
      </c>
      <c r="GI391" s="8">
        <v>3172668.66</v>
      </c>
      <c r="GJ391" s="8">
        <v>205758698.30000001</v>
      </c>
      <c r="GK391" s="8">
        <v>30194447.670000002</v>
      </c>
      <c r="GL391" s="9">
        <f t="shared" si="1993"/>
        <v>328766859.16000003</v>
      </c>
      <c r="GM391" s="9">
        <f t="shared" si="1994"/>
        <v>536454719.09000003</v>
      </c>
      <c r="GN391" s="8">
        <v>6513956.4199999999</v>
      </c>
      <c r="GO391" s="8">
        <v>23144.880000000001</v>
      </c>
      <c r="GP391" s="8">
        <v>166288.35999999999</v>
      </c>
      <c r="GQ391" s="8">
        <v>83472.12</v>
      </c>
      <c r="GR391" s="9">
        <f t="shared" si="1995"/>
        <v>6786861.7800000003</v>
      </c>
      <c r="GS391" s="8">
        <v>10833876</v>
      </c>
      <c r="GT391" s="8">
        <v>108053</v>
      </c>
      <c r="GU391" s="8">
        <v>43757</v>
      </c>
      <c r="GV391" s="8">
        <v>16074</v>
      </c>
      <c r="GW391" s="9">
        <f t="shared" si="1996"/>
        <v>11001760</v>
      </c>
      <c r="GX391" s="9">
        <f t="shared" si="1997"/>
        <v>554243340.87</v>
      </c>
      <c r="GY391" s="8">
        <v>1264785545.0800071</v>
      </c>
      <c r="GZ391" s="8">
        <v>468291459.91000003</v>
      </c>
      <c r="HA391" s="9">
        <f t="shared" si="1937"/>
        <v>1733077004.9900072</v>
      </c>
      <c r="HB391" s="9">
        <f t="shared" si="1998"/>
        <v>0.14321257134641449</v>
      </c>
      <c r="HC391" s="10">
        <f t="shared" si="1999"/>
        <v>0.25668791337315383</v>
      </c>
      <c r="HD391" s="9">
        <f t="shared" si="2000"/>
        <v>0.84245076966927146</v>
      </c>
      <c r="HE391" s="8">
        <v>118</v>
      </c>
      <c r="HF391" s="8">
        <v>7</v>
      </c>
      <c r="HG391" s="8">
        <v>185</v>
      </c>
      <c r="HH391" s="8">
        <v>111</v>
      </c>
      <c r="HI391" s="8">
        <v>90</v>
      </c>
      <c r="HJ391" s="9">
        <f t="shared" si="2001"/>
        <v>97</v>
      </c>
      <c r="HK391" s="10">
        <f t="shared" si="2002"/>
        <v>0.94067796610169496</v>
      </c>
      <c r="HL391" s="8">
        <v>28</v>
      </c>
      <c r="HM391" s="8">
        <v>31</v>
      </c>
      <c r="HN391" s="11">
        <f t="shared" si="2003"/>
        <v>1.1071428571428572</v>
      </c>
    </row>
    <row r="392" spans="1:222" x14ac:dyDescent="0.3">
      <c r="A392" s="12" t="s">
        <v>295</v>
      </c>
      <c r="B392" s="12" t="s">
        <v>295</v>
      </c>
      <c r="C392" s="13" t="s">
        <v>257</v>
      </c>
      <c r="D392" s="13">
        <v>2025</v>
      </c>
      <c r="E392" s="13">
        <v>9</v>
      </c>
      <c r="F392" s="13" t="s">
        <v>265</v>
      </c>
      <c r="G392" s="13" t="s">
        <v>263</v>
      </c>
      <c r="H392" s="14">
        <v>542173</v>
      </c>
      <c r="I392" s="14">
        <v>148874</v>
      </c>
      <c r="J392" s="14">
        <v>13938</v>
      </c>
      <c r="K392" s="14">
        <v>29446</v>
      </c>
      <c r="L392" s="14">
        <v>75</v>
      </c>
      <c r="M392" s="15">
        <f t="shared" si="1944"/>
        <v>192333</v>
      </c>
      <c r="N392" s="14">
        <v>81793.500000000597</v>
      </c>
      <c r="O392" s="14">
        <v>6522.7</v>
      </c>
      <c r="P392" s="14">
        <v>48919.599999999897</v>
      </c>
      <c r="Q392" s="14">
        <v>7030.1000000000304</v>
      </c>
      <c r="R392" s="15">
        <f t="shared" si="1945"/>
        <v>144265.90000000052</v>
      </c>
      <c r="S392" s="15">
        <f t="shared" si="1946"/>
        <v>336598.90000000049</v>
      </c>
      <c r="T392" s="14">
        <v>205574.1</v>
      </c>
      <c r="U392" s="16">
        <f t="shared" si="1947"/>
        <v>0.37916698175674557</v>
      </c>
      <c r="V392" s="14">
        <v>1229</v>
      </c>
      <c r="W392" s="17">
        <f t="shared" si="1948"/>
        <v>2.266804138162542E-3</v>
      </c>
      <c r="X392" s="14">
        <v>2950</v>
      </c>
      <c r="Y392" s="17">
        <f t="shared" si="1949"/>
        <v>5.4410677034820989E-3</v>
      </c>
      <c r="Z392" s="14">
        <v>2360</v>
      </c>
      <c r="AA392" s="17">
        <f t="shared" si="1950"/>
        <v>4.3528541627856788E-3</v>
      </c>
      <c r="AB392" s="14">
        <v>0</v>
      </c>
      <c r="AC392" s="17">
        <f t="shared" si="1951"/>
        <v>0</v>
      </c>
      <c r="AD392" s="14">
        <v>0</v>
      </c>
      <c r="AE392" s="17">
        <f t="shared" si="1952"/>
        <v>0</v>
      </c>
      <c r="AF392" s="14">
        <v>0</v>
      </c>
      <c r="AG392" s="17">
        <f t="shared" si="1953"/>
        <v>0</v>
      </c>
      <c r="AH392" s="14">
        <v>86212760</v>
      </c>
      <c r="AI392" s="15">
        <f t="shared" si="1954"/>
        <v>159.01337764883164</v>
      </c>
      <c r="AJ392" s="14">
        <v>29147.29</v>
      </c>
      <c r="AK392" s="17">
        <f t="shared" si="1955"/>
        <v>5.376012822475483E-2</v>
      </c>
      <c r="AL392" s="14">
        <v>7997823.1326099997</v>
      </c>
      <c r="AM392" s="15">
        <f t="shared" si="1956"/>
        <v>14.751422761019084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5">
        <f t="shared" si="1957"/>
        <v>94210583.132609993</v>
      </c>
      <c r="AV392" s="15">
        <f t="shared" si="1958"/>
        <v>173.76480040985072</v>
      </c>
      <c r="AW392" s="15">
        <f t="shared" si="1959"/>
        <v>279.88975345020395</v>
      </c>
      <c r="AX392" s="14">
        <v>63</v>
      </c>
      <c r="AY392" s="15">
        <f t="shared" si="1960"/>
        <v>1.3943888758754124</v>
      </c>
      <c r="AZ392" s="14">
        <v>75</v>
      </c>
      <c r="BA392" s="14">
        <v>160</v>
      </c>
      <c r="BB392" s="14">
        <v>187</v>
      </c>
      <c r="BC392" s="14">
        <v>186</v>
      </c>
      <c r="BD392" s="14">
        <v>0</v>
      </c>
      <c r="BE392" s="15">
        <f t="shared" si="1961"/>
        <v>186</v>
      </c>
      <c r="BF392" s="15">
        <f t="shared" si="1962"/>
        <v>161</v>
      </c>
      <c r="BG392" s="14">
        <v>14</v>
      </c>
      <c r="BH392" s="14">
        <v>4</v>
      </c>
      <c r="BI392" s="14">
        <v>0</v>
      </c>
      <c r="BJ392" s="14">
        <v>0</v>
      </c>
      <c r="BK392" s="15">
        <f t="shared" si="1963"/>
        <v>0</v>
      </c>
      <c r="BL392" s="15">
        <f t="shared" si="1964"/>
        <v>18</v>
      </c>
      <c r="BM392" s="14">
        <v>9</v>
      </c>
      <c r="BN392" s="14">
        <v>8</v>
      </c>
      <c r="BO392" s="14">
        <v>3</v>
      </c>
      <c r="BP392" s="14">
        <v>0</v>
      </c>
      <c r="BQ392" s="15">
        <f t="shared" si="1965"/>
        <v>3</v>
      </c>
      <c r="BR392" s="15">
        <f t="shared" si="1966"/>
        <v>14</v>
      </c>
      <c r="BS392" s="14">
        <v>2</v>
      </c>
      <c r="BT392" s="14">
        <v>3</v>
      </c>
      <c r="BU392" s="14">
        <v>2</v>
      </c>
      <c r="BV392" s="14">
        <v>0</v>
      </c>
      <c r="BW392" s="15">
        <f t="shared" si="1967"/>
        <v>2</v>
      </c>
      <c r="BX392" s="15">
        <f t="shared" si="1968"/>
        <v>3</v>
      </c>
      <c r="BY392" s="15">
        <f t="shared" si="1969"/>
        <v>185</v>
      </c>
      <c r="BZ392" s="15">
        <f t="shared" si="1970"/>
        <v>202</v>
      </c>
      <c r="CA392" s="15">
        <f t="shared" si="1971"/>
        <v>191</v>
      </c>
      <c r="CB392" s="15">
        <f t="shared" si="1972"/>
        <v>196</v>
      </c>
      <c r="CC392" s="14">
        <v>3</v>
      </c>
      <c r="CD392" s="14">
        <v>7360</v>
      </c>
      <c r="CE392" s="14">
        <v>386</v>
      </c>
      <c r="CF392" s="14">
        <v>214</v>
      </c>
      <c r="CG392" s="14">
        <v>79</v>
      </c>
      <c r="CH392" s="15">
        <f t="shared" si="1973"/>
        <v>8039</v>
      </c>
      <c r="CI392" s="14">
        <v>12248</v>
      </c>
      <c r="CJ392" s="14">
        <v>48</v>
      </c>
      <c r="CK392" s="14">
        <v>15</v>
      </c>
      <c r="CL392" s="14">
        <v>126</v>
      </c>
      <c r="CM392" s="15">
        <f t="shared" si="1974"/>
        <v>12437</v>
      </c>
      <c r="CN392" s="14">
        <v>5277</v>
      </c>
      <c r="CO392" s="14">
        <v>377</v>
      </c>
      <c r="CP392" s="14">
        <v>254</v>
      </c>
      <c r="CQ392" s="14">
        <v>86</v>
      </c>
      <c r="CR392" s="15">
        <f t="shared" si="1975"/>
        <v>5994</v>
      </c>
      <c r="CS392" s="15">
        <f t="shared" si="1976"/>
        <v>18431</v>
      </c>
      <c r="CT392" s="14">
        <v>26470</v>
      </c>
      <c r="CU392" s="14">
        <v>141027</v>
      </c>
      <c r="CV392" s="14">
        <v>141082</v>
      </c>
      <c r="CW392" s="16">
        <f t="shared" si="1977"/>
        <v>1.0003899962418543</v>
      </c>
      <c r="CX392" s="14">
        <v>6</v>
      </c>
      <c r="CY392" s="14">
        <v>0</v>
      </c>
      <c r="CZ392" s="14">
        <v>5</v>
      </c>
      <c r="DA392" s="14">
        <v>0</v>
      </c>
      <c r="DB392" s="15">
        <f t="shared" si="1978"/>
        <v>1</v>
      </c>
      <c r="DC392" s="14">
        <v>1</v>
      </c>
      <c r="DD392" s="14">
        <v>0</v>
      </c>
      <c r="DE392" s="14">
        <v>1</v>
      </c>
      <c r="DF392" s="14">
        <v>0</v>
      </c>
      <c r="DG392" s="15">
        <f t="shared" si="1979"/>
        <v>0</v>
      </c>
      <c r="DH392" s="14">
        <v>4</v>
      </c>
      <c r="DI392" s="14">
        <v>3</v>
      </c>
      <c r="DJ392" s="14">
        <v>0</v>
      </c>
      <c r="DK392" s="14">
        <v>0</v>
      </c>
      <c r="DL392" s="15">
        <f t="shared" si="1980"/>
        <v>7</v>
      </c>
      <c r="DM392" s="14">
        <v>969</v>
      </c>
      <c r="DN392" s="14">
        <v>130</v>
      </c>
      <c r="DO392" s="14">
        <v>0</v>
      </c>
      <c r="DP392" s="14">
        <v>31</v>
      </c>
      <c r="DQ392" s="15">
        <f t="shared" si="1981"/>
        <v>1068</v>
      </c>
      <c r="DR392" s="15">
        <f t="shared" si="1982"/>
        <v>980</v>
      </c>
      <c r="DS392" s="15">
        <f t="shared" si="1983"/>
        <v>133</v>
      </c>
      <c r="DT392" s="15">
        <f t="shared" si="1984"/>
        <v>6</v>
      </c>
      <c r="DU392" s="15">
        <f t="shared" si="1985"/>
        <v>31</v>
      </c>
      <c r="DV392" s="15">
        <f t="shared" si="1986"/>
        <v>1076</v>
      </c>
      <c r="DW392" s="14">
        <v>187</v>
      </c>
      <c r="DX392" s="14">
        <v>105</v>
      </c>
      <c r="DY392" s="14">
        <v>74</v>
      </c>
      <c r="DZ392" s="14">
        <v>12</v>
      </c>
      <c r="EA392" s="14">
        <v>36</v>
      </c>
      <c r="EB392" s="14">
        <v>28</v>
      </c>
      <c r="EC392" s="14">
        <v>3</v>
      </c>
      <c r="ED392" s="14">
        <v>9</v>
      </c>
      <c r="EE392" s="14">
        <v>8</v>
      </c>
      <c r="EF392" s="14">
        <v>2</v>
      </c>
      <c r="EG392" s="14">
        <v>0</v>
      </c>
      <c r="EH392" s="14">
        <v>0</v>
      </c>
      <c r="EI392" s="14">
        <v>0</v>
      </c>
      <c r="EJ392" s="14">
        <v>15</v>
      </c>
      <c r="EK392" s="14">
        <v>20</v>
      </c>
      <c r="EL392" s="14">
        <v>0</v>
      </c>
      <c r="EM392" s="14">
        <v>0</v>
      </c>
      <c r="EN392" s="14">
        <v>0</v>
      </c>
      <c r="EO392" s="14">
        <v>0</v>
      </c>
      <c r="EP392" s="14">
        <v>0</v>
      </c>
      <c r="EQ392" s="14">
        <v>0</v>
      </c>
      <c r="ER392" s="14">
        <v>0</v>
      </c>
      <c r="ES392" s="14">
        <v>0</v>
      </c>
      <c r="ET392" s="14">
        <v>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5">
        <f t="shared" si="1987"/>
        <v>499</v>
      </c>
      <c r="FH392" s="14">
        <v>0</v>
      </c>
      <c r="FI392" s="14">
        <v>0</v>
      </c>
      <c r="FJ392" s="14">
        <v>21</v>
      </c>
      <c r="FK392" s="14">
        <v>16</v>
      </c>
      <c r="FL392" s="14">
        <v>0</v>
      </c>
      <c r="FM392" s="14">
        <v>0</v>
      </c>
      <c r="FN392" s="14">
        <v>0</v>
      </c>
      <c r="FO392" s="14">
        <v>0</v>
      </c>
      <c r="FP392" s="14">
        <v>0</v>
      </c>
      <c r="FQ392" s="15">
        <f t="shared" si="1988"/>
        <v>0</v>
      </c>
      <c r="FR392" s="14">
        <v>111817049.81</v>
      </c>
      <c r="FS392" s="14">
        <v>2179900</v>
      </c>
      <c r="FT392" s="14">
        <v>483937.29</v>
      </c>
      <c r="FU392" s="14">
        <v>296345900</v>
      </c>
      <c r="FV392" s="15">
        <f t="shared" si="1989"/>
        <v>410826787.10000002</v>
      </c>
      <c r="FW392" s="14">
        <v>106937991.59999999</v>
      </c>
      <c r="FX392" s="14">
        <v>1575665.91</v>
      </c>
      <c r="FY392" s="14">
        <v>31971966.25</v>
      </c>
      <c r="FZ392" s="14">
        <v>149549494.03</v>
      </c>
      <c r="GA392" s="15">
        <f t="shared" si="1990"/>
        <v>290035117.78999996</v>
      </c>
      <c r="GB392" s="15">
        <f t="shared" si="1991"/>
        <v>700861904.88999999</v>
      </c>
      <c r="GC392" s="14">
        <v>134616869.06999999</v>
      </c>
      <c r="GD392" s="14">
        <v>2666060.64</v>
      </c>
      <c r="GE392" s="14">
        <v>101394205.56999999</v>
      </c>
      <c r="GF392" s="14">
        <v>191202.99</v>
      </c>
      <c r="GG392" s="15">
        <f t="shared" si="1992"/>
        <v>238868338.26999998</v>
      </c>
      <c r="GH392" s="14">
        <v>104295549.2500001</v>
      </c>
      <c r="GI392" s="14">
        <v>1385884.04</v>
      </c>
      <c r="GJ392" s="14">
        <v>148589018.25999999</v>
      </c>
      <c r="GK392" s="14">
        <v>30698011.789999999</v>
      </c>
      <c r="GL392" s="15">
        <f t="shared" si="1993"/>
        <v>284968463.34000009</v>
      </c>
      <c r="GM392" s="15">
        <f t="shared" si="1994"/>
        <v>523836801.61000007</v>
      </c>
      <c r="GN392" s="14">
        <v>6576638.3899999997</v>
      </c>
      <c r="GO392" s="14">
        <v>24101.279999999999</v>
      </c>
      <c r="GP392" s="14">
        <v>162894.72</v>
      </c>
      <c r="GQ392" s="14">
        <v>69560.100000000006</v>
      </c>
      <c r="GR392" s="15">
        <f t="shared" si="1995"/>
        <v>6833194.4899999993</v>
      </c>
      <c r="GS392" s="14">
        <v>10937464</v>
      </c>
      <c r="GT392" s="14">
        <v>112518</v>
      </c>
      <c r="GU392" s="14">
        <v>42864</v>
      </c>
      <c r="GV392" s="14">
        <v>13395</v>
      </c>
      <c r="GW392" s="15">
        <f t="shared" si="1996"/>
        <v>11106241</v>
      </c>
      <c r="GX392" s="15">
        <f t="shared" si="1997"/>
        <v>541776237.10000014</v>
      </c>
      <c r="GY392" s="14">
        <v>1288661812.6299951</v>
      </c>
      <c r="GZ392" s="14">
        <v>276627857.81999999</v>
      </c>
      <c r="HA392" s="9">
        <f t="shared" si="1937"/>
        <v>1565289670.449995</v>
      </c>
      <c r="HB392" s="15">
        <f t="shared" si="1998"/>
        <v>0.17389205483964548</v>
      </c>
      <c r="HC392" s="16">
        <f t="shared" si="1999"/>
        <v>0.38289299383466319</v>
      </c>
      <c r="HD392" s="15">
        <f t="shared" si="2000"/>
        <v>1.2936372193833154</v>
      </c>
      <c r="HE392" s="14">
        <v>202</v>
      </c>
      <c r="HF392" s="14">
        <v>5</v>
      </c>
      <c r="HG392" s="14">
        <v>196</v>
      </c>
      <c r="HH392" s="14">
        <v>202</v>
      </c>
      <c r="HI392" s="14">
        <v>90</v>
      </c>
      <c r="HJ392" s="15">
        <f t="shared" si="2001"/>
        <v>95</v>
      </c>
      <c r="HK392" s="16">
        <f t="shared" si="2002"/>
        <v>1</v>
      </c>
      <c r="HL392" s="14">
        <v>37</v>
      </c>
      <c r="HM392" s="14">
        <v>30</v>
      </c>
      <c r="HN392" s="17">
        <f t="shared" si="2003"/>
        <v>0.81081081081081086</v>
      </c>
    </row>
    <row r="393" spans="1:222" x14ac:dyDescent="0.3">
      <c r="A393" s="6" t="s">
        <v>295</v>
      </c>
      <c r="B393" s="6" t="s">
        <v>295</v>
      </c>
      <c r="C393" s="7" t="s">
        <v>257</v>
      </c>
      <c r="D393" s="7">
        <v>2025</v>
      </c>
      <c r="E393" s="7">
        <v>10</v>
      </c>
      <c r="F393" s="7" t="s">
        <v>266</v>
      </c>
      <c r="G393" s="7" t="s">
        <v>267</v>
      </c>
      <c r="H393" s="8">
        <v>550898</v>
      </c>
      <c r="I393" s="8">
        <v>151878</v>
      </c>
      <c r="J393" s="8">
        <v>13337</v>
      </c>
      <c r="K393" s="8">
        <v>31480</v>
      </c>
      <c r="L393" s="8">
        <v>248</v>
      </c>
      <c r="M393" s="9">
        <f t="shared" si="1944"/>
        <v>196943</v>
      </c>
      <c r="N393" s="8">
        <v>89847.000000001295</v>
      </c>
      <c r="O393" s="8">
        <v>10225.4</v>
      </c>
      <c r="P393" s="8">
        <v>47665.599999999897</v>
      </c>
      <c r="Q393" s="8">
        <v>7050.9000000000196</v>
      </c>
      <c r="R393" s="9">
        <f t="shared" si="1945"/>
        <v>154788.90000000122</v>
      </c>
      <c r="S393" s="9">
        <f t="shared" si="1946"/>
        <v>351731.90000000119</v>
      </c>
      <c r="T393" s="8">
        <v>199166.09999999899</v>
      </c>
      <c r="U393" s="10">
        <f t="shared" si="1947"/>
        <v>0.36152990208713587</v>
      </c>
      <c r="V393" s="8">
        <v>1131</v>
      </c>
      <c r="W393" s="11">
        <f t="shared" si="1948"/>
        <v>2.053011628286906E-3</v>
      </c>
      <c r="X393" s="8">
        <v>3541</v>
      </c>
      <c r="Y393" s="11">
        <f t="shared" si="1949"/>
        <v>6.4276871580582979E-3</v>
      </c>
      <c r="Z393" s="8">
        <v>2361</v>
      </c>
      <c r="AA393" s="11">
        <f t="shared" si="1950"/>
        <v>4.2857298447262467E-3</v>
      </c>
      <c r="AB393" s="8">
        <v>0</v>
      </c>
      <c r="AC393" s="11">
        <f t="shared" si="1951"/>
        <v>0</v>
      </c>
      <c r="AD393" s="8">
        <v>0</v>
      </c>
      <c r="AE393" s="11">
        <f t="shared" si="1952"/>
        <v>0</v>
      </c>
      <c r="AF393" s="8">
        <v>0</v>
      </c>
      <c r="AG393" s="11">
        <f t="shared" si="1953"/>
        <v>0</v>
      </c>
      <c r="AH393" s="8">
        <v>88818576</v>
      </c>
      <c r="AI393" s="9">
        <f t="shared" si="1954"/>
        <v>161.22508340926996</v>
      </c>
      <c r="AJ393" s="8">
        <v>25621.24</v>
      </c>
      <c r="AK393" s="11">
        <f t="shared" si="1955"/>
        <v>4.6508137622572603E-2</v>
      </c>
      <c r="AL393" s="8">
        <v>7034121.9331599995</v>
      </c>
      <c r="AM393" s="9">
        <f t="shared" si="1956"/>
        <v>12.768465184408003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9">
        <f t="shared" si="1957"/>
        <v>95852697.933160007</v>
      </c>
      <c r="AV393" s="9">
        <f t="shared" si="1958"/>
        <v>173.99354859367796</v>
      </c>
      <c r="AW393" s="9">
        <f t="shared" si="1959"/>
        <v>272.51636241455407</v>
      </c>
      <c r="AX393" s="8">
        <v>63</v>
      </c>
      <c r="AY393" s="9">
        <f t="shared" si="1960"/>
        <v>1.372304854982229</v>
      </c>
      <c r="AZ393" s="8">
        <v>75</v>
      </c>
      <c r="BA393" s="8">
        <v>161</v>
      </c>
      <c r="BB393" s="8">
        <v>207</v>
      </c>
      <c r="BC393" s="8">
        <v>203</v>
      </c>
      <c r="BD393" s="8">
        <v>0</v>
      </c>
      <c r="BE393" s="9">
        <f t="shared" si="1961"/>
        <v>203</v>
      </c>
      <c r="BF393" s="9">
        <f t="shared" si="1962"/>
        <v>165</v>
      </c>
      <c r="BG393" s="8">
        <v>18</v>
      </c>
      <c r="BH393" s="8">
        <v>6</v>
      </c>
      <c r="BI393" s="8">
        <v>6</v>
      </c>
      <c r="BJ393" s="8">
        <v>0</v>
      </c>
      <c r="BK393" s="9">
        <f t="shared" si="1963"/>
        <v>6</v>
      </c>
      <c r="BL393" s="9">
        <f t="shared" si="1964"/>
        <v>18</v>
      </c>
      <c r="BM393" s="8">
        <v>14</v>
      </c>
      <c r="BN393" s="8">
        <v>3</v>
      </c>
      <c r="BO393" s="8">
        <v>0</v>
      </c>
      <c r="BP393" s="8">
        <v>0</v>
      </c>
      <c r="BQ393" s="9">
        <f t="shared" si="1965"/>
        <v>0</v>
      </c>
      <c r="BR393" s="9">
        <f t="shared" si="1966"/>
        <v>17</v>
      </c>
      <c r="BS393" s="8">
        <v>3</v>
      </c>
      <c r="BT393" s="8">
        <v>2</v>
      </c>
      <c r="BU393" s="8">
        <v>0</v>
      </c>
      <c r="BV393" s="8">
        <v>0</v>
      </c>
      <c r="BW393" s="9">
        <f t="shared" si="1967"/>
        <v>0</v>
      </c>
      <c r="BX393" s="9">
        <f t="shared" si="1968"/>
        <v>5</v>
      </c>
      <c r="BY393" s="9">
        <f t="shared" si="1969"/>
        <v>196</v>
      </c>
      <c r="BZ393" s="9">
        <f t="shared" si="1970"/>
        <v>218</v>
      </c>
      <c r="CA393" s="9">
        <f t="shared" si="1971"/>
        <v>209</v>
      </c>
      <c r="CB393" s="9">
        <f t="shared" si="1972"/>
        <v>205</v>
      </c>
      <c r="CC393" s="8">
        <v>0</v>
      </c>
      <c r="CD393" s="8">
        <v>7400</v>
      </c>
      <c r="CE393" s="8">
        <v>391</v>
      </c>
      <c r="CF393" s="8">
        <v>216</v>
      </c>
      <c r="CG393" s="8">
        <v>80</v>
      </c>
      <c r="CH393" s="9">
        <f t="shared" si="1973"/>
        <v>8087</v>
      </c>
      <c r="CI393" s="8">
        <v>12316</v>
      </c>
      <c r="CJ393" s="8">
        <v>53</v>
      </c>
      <c r="CK393" s="8">
        <v>17</v>
      </c>
      <c r="CL393" s="8">
        <v>126</v>
      </c>
      <c r="CM393" s="9">
        <f t="shared" si="1974"/>
        <v>12512</v>
      </c>
      <c r="CN393" s="8">
        <v>5372</v>
      </c>
      <c r="CO393" s="8">
        <v>373</v>
      </c>
      <c r="CP393" s="8">
        <v>250</v>
      </c>
      <c r="CQ393" s="8">
        <v>85</v>
      </c>
      <c r="CR393" s="9">
        <f t="shared" si="1975"/>
        <v>6080</v>
      </c>
      <c r="CS393" s="9">
        <f t="shared" si="1976"/>
        <v>18592</v>
      </c>
      <c r="CT393" s="8">
        <v>26679</v>
      </c>
      <c r="CU393" s="8">
        <v>141284</v>
      </c>
      <c r="CV393" s="8">
        <v>141340</v>
      </c>
      <c r="CW393" s="10">
        <f t="shared" si="1977"/>
        <v>1.0003963647688343</v>
      </c>
      <c r="CX393" s="8">
        <v>1</v>
      </c>
      <c r="CY393" s="8">
        <v>7</v>
      </c>
      <c r="CZ393" s="8">
        <v>0</v>
      </c>
      <c r="DA393" s="8">
        <v>0</v>
      </c>
      <c r="DB393" s="9">
        <f t="shared" si="1978"/>
        <v>8</v>
      </c>
      <c r="DC393" s="8">
        <v>0</v>
      </c>
      <c r="DD393" s="8">
        <v>0</v>
      </c>
      <c r="DE393" s="8">
        <v>0</v>
      </c>
      <c r="DF393" s="8">
        <v>0</v>
      </c>
      <c r="DG393" s="9">
        <f t="shared" si="1979"/>
        <v>0</v>
      </c>
      <c r="DH393" s="8">
        <v>7</v>
      </c>
      <c r="DI393" s="8">
        <v>7</v>
      </c>
      <c r="DJ393" s="8">
        <v>1</v>
      </c>
      <c r="DK393" s="8">
        <v>0</v>
      </c>
      <c r="DL393" s="9">
        <f t="shared" si="1980"/>
        <v>13</v>
      </c>
      <c r="DM393" s="8">
        <v>1068</v>
      </c>
      <c r="DN393" s="8">
        <v>399</v>
      </c>
      <c r="DO393" s="8">
        <v>1</v>
      </c>
      <c r="DP393" s="8">
        <v>42</v>
      </c>
      <c r="DQ393" s="9">
        <f t="shared" si="1981"/>
        <v>1424</v>
      </c>
      <c r="DR393" s="9">
        <f t="shared" si="1982"/>
        <v>1076</v>
      </c>
      <c r="DS393" s="9">
        <f t="shared" si="1983"/>
        <v>413</v>
      </c>
      <c r="DT393" s="9">
        <f t="shared" si="1984"/>
        <v>2</v>
      </c>
      <c r="DU393" s="9">
        <f t="shared" si="1985"/>
        <v>42</v>
      </c>
      <c r="DV393" s="9">
        <f t="shared" si="1986"/>
        <v>1445</v>
      </c>
      <c r="DW393" s="8">
        <v>214</v>
      </c>
      <c r="DX393" s="8">
        <v>109</v>
      </c>
      <c r="DY393" s="8">
        <v>67</v>
      </c>
      <c r="DZ393" s="8">
        <v>17</v>
      </c>
      <c r="EA393" s="8">
        <v>35</v>
      </c>
      <c r="EB393" s="8">
        <v>22</v>
      </c>
      <c r="EC393" s="8">
        <v>3</v>
      </c>
      <c r="ED393" s="8">
        <v>9</v>
      </c>
      <c r="EE393" s="8">
        <v>9</v>
      </c>
      <c r="EF393" s="8">
        <v>0</v>
      </c>
      <c r="EG393" s="8">
        <v>3</v>
      </c>
      <c r="EH393" s="8">
        <v>0</v>
      </c>
      <c r="EI393" s="8">
        <v>0</v>
      </c>
      <c r="EJ393" s="8">
        <v>11</v>
      </c>
      <c r="EK393" s="8">
        <v>2</v>
      </c>
      <c r="EL393" s="8">
        <v>0</v>
      </c>
      <c r="EM393" s="8">
        <v>1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9">
        <f t="shared" si="1987"/>
        <v>502</v>
      </c>
      <c r="FH393" s="8">
        <v>0</v>
      </c>
      <c r="FI393" s="8">
        <v>0</v>
      </c>
      <c r="FJ393" s="8">
        <v>22</v>
      </c>
      <c r="FK393" s="8">
        <v>27</v>
      </c>
      <c r="FL393" s="8">
        <v>0</v>
      </c>
      <c r="FM393" s="8">
        <v>0</v>
      </c>
      <c r="FN393" s="8">
        <v>0</v>
      </c>
      <c r="FO393" s="8">
        <v>0</v>
      </c>
      <c r="FP393" s="8">
        <v>0</v>
      </c>
      <c r="FQ393" s="9">
        <f t="shared" si="1988"/>
        <v>0</v>
      </c>
      <c r="FR393" s="8">
        <v>112042823.47</v>
      </c>
      <c r="FS393" s="8">
        <v>1834750</v>
      </c>
      <c r="FT393" s="8">
        <v>543041.32999999996</v>
      </c>
      <c r="FU393" s="8">
        <v>702400</v>
      </c>
      <c r="FV393" s="9">
        <f t="shared" si="1989"/>
        <v>115123014.8</v>
      </c>
      <c r="FW393" s="8">
        <v>114820471.02</v>
      </c>
      <c r="FX393" s="8">
        <v>2525312.48</v>
      </c>
      <c r="FY393" s="8">
        <v>34784944.119999997</v>
      </c>
      <c r="FZ393" s="8">
        <v>146447947.83000001</v>
      </c>
      <c r="GA393" s="9">
        <f t="shared" si="1990"/>
        <v>298578675.45000005</v>
      </c>
      <c r="GB393" s="9">
        <f t="shared" si="1991"/>
        <v>413701690.25000006</v>
      </c>
      <c r="GC393" s="8">
        <v>137583001.97999999</v>
      </c>
      <c r="GD393" s="8">
        <v>2551101.36</v>
      </c>
      <c r="GE393" s="8">
        <v>108408596.87</v>
      </c>
      <c r="GF393" s="8">
        <v>961644.43</v>
      </c>
      <c r="GG393" s="9">
        <f t="shared" si="1992"/>
        <v>249504344.64000002</v>
      </c>
      <c r="GH393" s="8">
        <v>112114669.83</v>
      </c>
      <c r="GI393" s="8">
        <v>2360282.48</v>
      </c>
      <c r="GJ393" s="8">
        <v>144710296.62</v>
      </c>
      <c r="GK393" s="8">
        <v>33343304.82</v>
      </c>
      <c r="GL393" s="9">
        <f t="shared" si="1993"/>
        <v>292528553.75</v>
      </c>
      <c r="GM393" s="9">
        <f t="shared" si="1994"/>
        <v>542032898.38999999</v>
      </c>
      <c r="GN393" s="8">
        <v>6612611.1600000001</v>
      </c>
      <c r="GO393" s="8">
        <v>24101.279999999999</v>
      </c>
      <c r="GP393" s="8">
        <v>179862.92</v>
      </c>
      <c r="GQ393" s="8">
        <v>78834.78</v>
      </c>
      <c r="GR393" s="9">
        <f t="shared" si="1995"/>
        <v>6895410.1400000006</v>
      </c>
      <c r="GS393" s="8">
        <v>10998188</v>
      </c>
      <c r="GT393" s="8">
        <v>112518</v>
      </c>
      <c r="GU393" s="8">
        <v>47329</v>
      </c>
      <c r="GV393" s="8">
        <v>15181</v>
      </c>
      <c r="GW393" s="9">
        <f t="shared" si="1996"/>
        <v>11173216</v>
      </c>
      <c r="GX393" s="9">
        <f t="shared" si="1997"/>
        <v>560101524.52999997</v>
      </c>
      <c r="GY393" s="8">
        <v>1346902743.4700041</v>
      </c>
      <c r="GZ393" s="8">
        <v>374253929.61999989</v>
      </c>
      <c r="HA393" s="9">
        <f t="shared" si="1937"/>
        <v>1721156673.090004</v>
      </c>
      <c r="HB393" s="9">
        <f t="shared" si="1998"/>
        <v>0.17113450639791283</v>
      </c>
      <c r="HC393" s="10">
        <f t="shared" si="1999"/>
        <v>0.21693799913928624</v>
      </c>
      <c r="HD393" s="9">
        <f t="shared" si="2000"/>
        <v>0.73861911123550517</v>
      </c>
      <c r="HE393" s="8">
        <v>218</v>
      </c>
      <c r="HF393" s="8">
        <v>5</v>
      </c>
      <c r="HG393" s="8">
        <v>205</v>
      </c>
      <c r="HH393" s="8">
        <v>218</v>
      </c>
      <c r="HI393" s="8">
        <v>90</v>
      </c>
      <c r="HJ393" s="9">
        <f t="shared" si="2001"/>
        <v>95</v>
      </c>
      <c r="HK393" s="10">
        <f t="shared" si="2002"/>
        <v>1</v>
      </c>
      <c r="HL393" s="8">
        <v>43</v>
      </c>
      <c r="HM393" s="8">
        <v>31</v>
      </c>
      <c r="HN393" s="11">
        <f t="shared" si="2003"/>
        <v>0.72093023255813948</v>
      </c>
    </row>
    <row r="394" spans="1:222" x14ac:dyDescent="0.3">
      <c r="A394" s="12" t="s">
        <v>295</v>
      </c>
      <c r="B394" s="12" t="s">
        <v>295</v>
      </c>
      <c r="C394" s="13" t="s">
        <v>257</v>
      </c>
      <c r="D394" s="13">
        <v>2025</v>
      </c>
      <c r="E394" s="13">
        <v>11</v>
      </c>
      <c r="F394" s="13" t="s">
        <v>268</v>
      </c>
      <c r="G394" s="13" t="s">
        <v>267</v>
      </c>
      <c r="H394" s="14">
        <v>553292</v>
      </c>
      <c r="I394" s="14">
        <v>154676</v>
      </c>
      <c r="J394" s="14">
        <v>11383</v>
      </c>
      <c r="K394" s="14">
        <v>40128</v>
      </c>
      <c r="L394" s="14">
        <v>277</v>
      </c>
      <c r="M394" s="15">
        <f t="shared" si="1944"/>
        <v>206464</v>
      </c>
      <c r="N394" s="14">
        <v>84627.300000000498</v>
      </c>
      <c r="O394" s="14">
        <v>10692.9</v>
      </c>
      <c r="P394" s="14">
        <v>74725.399999999907</v>
      </c>
      <c r="Q394" s="14">
        <v>6977.3000000000302</v>
      </c>
      <c r="R394" s="15">
        <f t="shared" si="1945"/>
        <v>177022.9000000004</v>
      </c>
      <c r="S394" s="15">
        <f t="shared" si="1946"/>
        <v>383486.90000000037</v>
      </c>
      <c r="T394" s="14">
        <v>169805.1</v>
      </c>
      <c r="U394" s="16">
        <f t="shared" si="1947"/>
        <v>0.30689961177822922</v>
      </c>
      <c r="V394" s="14">
        <v>935</v>
      </c>
      <c r="W394" s="17">
        <f t="shared" si="1948"/>
        <v>1.6898852685381317E-3</v>
      </c>
      <c r="X394" s="14">
        <v>3739</v>
      </c>
      <c r="Y394" s="17">
        <f t="shared" si="1949"/>
        <v>6.7577337102289565E-3</v>
      </c>
      <c r="Z394" s="14">
        <v>2362</v>
      </c>
      <c r="AA394" s="17">
        <f t="shared" si="1950"/>
        <v>4.2689935874727991E-3</v>
      </c>
      <c r="AB394" s="14">
        <v>0</v>
      </c>
      <c r="AC394" s="17">
        <f t="shared" si="1951"/>
        <v>0</v>
      </c>
      <c r="AD394" s="14">
        <v>0</v>
      </c>
      <c r="AE394" s="17">
        <f t="shared" si="1952"/>
        <v>0</v>
      </c>
      <c r="AF394" s="14">
        <v>0</v>
      </c>
      <c r="AG394" s="17">
        <f t="shared" si="1953"/>
        <v>0</v>
      </c>
      <c r="AH394" s="14">
        <v>85457292</v>
      </c>
      <c r="AI394" s="15">
        <f t="shared" si="1954"/>
        <v>154.45242656680378</v>
      </c>
      <c r="AJ394" s="14">
        <v>26722.79</v>
      </c>
      <c r="AK394" s="17">
        <f t="shared" si="1955"/>
        <v>4.8297806583142359E-2</v>
      </c>
      <c r="AL394" s="14">
        <v>7335185.4621099997</v>
      </c>
      <c r="AM394" s="15">
        <f t="shared" si="1956"/>
        <v>13.257349576914178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4">
        <v>0</v>
      </c>
      <c r="AU394" s="15">
        <f t="shared" si="1957"/>
        <v>92792477.462109998</v>
      </c>
      <c r="AV394" s="15">
        <f t="shared" si="1958"/>
        <v>167.70977614371796</v>
      </c>
      <c r="AW394" s="15">
        <f t="shared" si="1959"/>
        <v>241.97039706469741</v>
      </c>
      <c r="AX394" s="14">
        <v>63</v>
      </c>
      <c r="AY394" s="15">
        <f t="shared" si="1960"/>
        <v>1.3663671262190669</v>
      </c>
      <c r="AZ394" s="14">
        <v>75</v>
      </c>
      <c r="BA394" s="14">
        <v>165</v>
      </c>
      <c r="BB394" s="14">
        <v>198</v>
      </c>
      <c r="BC394" s="14">
        <v>157</v>
      </c>
      <c r="BD394" s="14">
        <v>0</v>
      </c>
      <c r="BE394" s="15">
        <f t="shared" si="1961"/>
        <v>157</v>
      </c>
      <c r="BF394" s="15">
        <f t="shared" si="1962"/>
        <v>206</v>
      </c>
      <c r="BG394" s="14">
        <v>18</v>
      </c>
      <c r="BH394" s="14">
        <v>1</v>
      </c>
      <c r="BI394" s="14">
        <v>0</v>
      </c>
      <c r="BJ394" s="14">
        <v>0</v>
      </c>
      <c r="BK394" s="15">
        <f t="shared" si="1963"/>
        <v>0</v>
      </c>
      <c r="BL394" s="15">
        <f t="shared" si="1964"/>
        <v>19</v>
      </c>
      <c r="BM394" s="14">
        <v>17</v>
      </c>
      <c r="BN394" s="14">
        <v>2</v>
      </c>
      <c r="BO394" s="14">
        <v>2</v>
      </c>
      <c r="BP394" s="14">
        <v>0</v>
      </c>
      <c r="BQ394" s="15">
        <f t="shared" si="1965"/>
        <v>2</v>
      </c>
      <c r="BR394" s="15">
        <f t="shared" si="1966"/>
        <v>17</v>
      </c>
      <c r="BS394" s="14">
        <v>5</v>
      </c>
      <c r="BT394" s="14">
        <v>0</v>
      </c>
      <c r="BU394" s="14">
        <v>1</v>
      </c>
      <c r="BV394" s="14">
        <v>0</v>
      </c>
      <c r="BW394" s="15">
        <f t="shared" si="1967"/>
        <v>1</v>
      </c>
      <c r="BX394" s="15">
        <f t="shared" si="1968"/>
        <v>4</v>
      </c>
      <c r="BY394" s="15">
        <f t="shared" si="1969"/>
        <v>205</v>
      </c>
      <c r="BZ394" s="15">
        <f t="shared" si="1970"/>
        <v>201</v>
      </c>
      <c r="CA394" s="15">
        <f t="shared" si="1971"/>
        <v>160</v>
      </c>
      <c r="CB394" s="15">
        <f t="shared" si="1972"/>
        <v>246</v>
      </c>
      <c r="CC394" s="14">
        <v>0</v>
      </c>
      <c r="CD394" s="14">
        <v>7555</v>
      </c>
      <c r="CE394" s="14">
        <v>389</v>
      </c>
      <c r="CF394" s="14">
        <v>216</v>
      </c>
      <c r="CG394" s="14">
        <v>82</v>
      </c>
      <c r="CH394" s="15">
        <f t="shared" si="1973"/>
        <v>8242</v>
      </c>
      <c r="CI394" s="14">
        <v>12312</v>
      </c>
      <c r="CJ394" s="14">
        <v>54</v>
      </c>
      <c r="CK394" s="14">
        <v>19</v>
      </c>
      <c r="CL394" s="14">
        <v>115</v>
      </c>
      <c r="CM394" s="15">
        <f t="shared" si="1974"/>
        <v>12500</v>
      </c>
      <c r="CN394" s="14">
        <v>5378</v>
      </c>
      <c r="CO394" s="14">
        <v>374</v>
      </c>
      <c r="CP394" s="14">
        <v>250</v>
      </c>
      <c r="CQ394" s="14">
        <v>95</v>
      </c>
      <c r="CR394" s="15">
        <f t="shared" si="1975"/>
        <v>6097</v>
      </c>
      <c r="CS394" s="15">
        <f t="shared" si="1976"/>
        <v>18597</v>
      </c>
      <c r="CT394" s="14">
        <v>26839</v>
      </c>
      <c r="CU394" s="14">
        <v>141541</v>
      </c>
      <c r="CV394" s="14">
        <v>141606.6</v>
      </c>
      <c r="CW394" s="16">
        <f t="shared" si="1977"/>
        <v>1.0004634699486368</v>
      </c>
      <c r="CX394" s="14">
        <v>8</v>
      </c>
      <c r="CY394" s="14">
        <v>0</v>
      </c>
      <c r="CZ394" s="14">
        <v>3</v>
      </c>
      <c r="DA394" s="14">
        <v>0</v>
      </c>
      <c r="DB394" s="15">
        <f t="shared" si="1978"/>
        <v>5</v>
      </c>
      <c r="DC394" s="14">
        <v>0</v>
      </c>
      <c r="DD394" s="14">
        <v>1</v>
      </c>
      <c r="DE394" s="14">
        <v>0</v>
      </c>
      <c r="DF394" s="14">
        <v>0</v>
      </c>
      <c r="DG394" s="15">
        <f t="shared" si="1979"/>
        <v>1</v>
      </c>
      <c r="DH394" s="14">
        <v>13</v>
      </c>
      <c r="DI394" s="14">
        <v>0</v>
      </c>
      <c r="DJ394" s="14">
        <v>6</v>
      </c>
      <c r="DK394" s="14">
        <v>0</v>
      </c>
      <c r="DL394" s="15">
        <f t="shared" si="1980"/>
        <v>7</v>
      </c>
      <c r="DM394" s="14">
        <v>1424</v>
      </c>
      <c r="DN394" s="14">
        <v>0</v>
      </c>
      <c r="DO394" s="14">
        <v>216</v>
      </c>
      <c r="DP394" s="14">
        <v>17</v>
      </c>
      <c r="DQ394" s="15">
        <f t="shared" si="1981"/>
        <v>1191</v>
      </c>
      <c r="DR394" s="15">
        <f t="shared" si="1982"/>
        <v>1445</v>
      </c>
      <c r="DS394" s="15">
        <f t="shared" si="1983"/>
        <v>1</v>
      </c>
      <c r="DT394" s="15">
        <f t="shared" si="1984"/>
        <v>225</v>
      </c>
      <c r="DU394" s="15">
        <f t="shared" si="1985"/>
        <v>17</v>
      </c>
      <c r="DV394" s="15">
        <f t="shared" si="1986"/>
        <v>1204</v>
      </c>
      <c r="DW394" s="14">
        <v>271</v>
      </c>
      <c r="DX394" s="14">
        <v>100</v>
      </c>
      <c r="DY394" s="14">
        <v>50</v>
      </c>
      <c r="DZ394" s="14">
        <v>18</v>
      </c>
      <c r="EA394" s="14">
        <v>24</v>
      </c>
      <c r="EB394" s="14">
        <v>31</v>
      </c>
      <c r="EC394" s="14">
        <v>6</v>
      </c>
      <c r="ED394" s="14">
        <v>9</v>
      </c>
      <c r="EE394" s="14">
        <v>7</v>
      </c>
      <c r="EF394" s="14">
        <v>2</v>
      </c>
      <c r="EG394" s="14">
        <v>0</v>
      </c>
      <c r="EH394" s="14">
        <v>0</v>
      </c>
      <c r="EI394" s="14">
        <v>0</v>
      </c>
      <c r="EJ394" s="14">
        <v>17</v>
      </c>
      <c r="EK394" s="14">
        <v>6</v>
      </c>
      <c r="EL394" s="14">
        <v>0</v>
      </c>
      <c r="EM394" s="14">
        <v>3</v>
      </c>
      <c r="EN394" s="14">
        <v>0</v>
      </c>
      <c r="EO394" s="14">
        <v>2</v>
      </c>
      <c r="EP394" s="14">
        <v>0</v>
      </c>
      <c r="EQ394" s="14">
        <v>0</v>
      </c>
      <c r="ER394" s="14">
        <v>0</v>
      </c>
      <c r="ES394" s="14">
        <v>0</v>
      </c>
      <c r="ET394" s="14">
        <v>0</v>
      </c>
      <c r="EU394" s="14">
        <v>0</v>
      </c>
      <c r="EV394" s="14">
        <v>0</v>
      </c>
      <c r="EW394" s="14">
        <v>0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14">
        <v>0</v>
      </c>
      <c r="FD394" s="14">
        <v>0</v>
      </c>
      <c r="FE394" s="14">
        <v>0</v>
      </c>
      <c r="FF394" s="14">
        <v>0</v>
      </c>
      <c r="FG394" s="15">
        <f t="shared" si="1987"/>
        <v>546</v>
      </c>
      <c r="FH394" s="14">
        <v>0</v>
      </c>
      <c r="FI394" s="14">
        <v>0</v>
      </c>
      <c r="FJ394" s="14">
        <v>21</v>
      </c>
      <c r="FK394" s="14">
        <v>12.35</v>
      </c>
      <c r="FL394" s="14">
        <v>0</v>
      </c>
      <c r="FM394" s="14">
        <v>0</v>
      </c>
      <c r="FN394" s="14">
        <v>0</v>
      </c>
      <c r="FO394" s="14">
        <v>0</v>
      </c>
      <c r="FP394" s="14">
        <v>0</v>
      </c>
      <c r="FQ394" s="15">
        <f t="shared" si="1988"/>
        <v>0</v>
      </c>
      <c r="FR394" s="14">
        <v>173012688.9799999</v>
      </c>
      <c r="FS394" s="14">
        <v>2030817.22</v>
      </c>
      <c r="FT394" s="14">
        <v>415000</v>
      </c>
      <c r="FU394" s="14">
        <v>5614767.9699999997</v>
      </c>
      <c r="FV394" s="15">
        <f t="shared" si="1989"/>
        <v>181073274.1699999</v>
      </c>
      <c r="FW394" s="14">
        <v>112987384.89</v>
      </c>
      <c r="FX394" s="14">
        <v>2553168.64</v>
      </c>
      <c r="FY394" s="14">
        <v>33192201.260000002</v>
      </c>
      <c r="FZ394" s="14">
        <v>230600999.84999999</v>
      </c>
      <c r="GA394" s="15">
        <f t="shared" si="1990"/>
        <v>379333754.63999999</v>
      </c>
      <c r="GB394" s="15">
        <f t="shared" si="1991"/>
        <v>560407028.80999994</v>
      </c>
      <c r="GC394" s="14">
        <v>139832061.06</v>
      </c>
      <c r="GD394" s="14">
        <v>2177340.2400000002</v>
      </c>
      <c r="GE394" s="14">
        <v>138288490.88</v>
      </c>
      <c r="GF394" s="14">
        <v>1079560.23</v>
      </c>
      <c r="GG394" s="15">
        <f t="shared" si="1992"/>
        <v>281377452.41000003</v>
      </c>
      <c r="GH394" s="14">
        <v>107166642.2499999</v>
      </c>
      <c r="GI394" s="14">
        <v>2272008.27</v>
      </c>
      <c r="GJ394" s="14">
        <v>226910131.91999999</v>
      </c>
      <c r="GK394" s="14">
        <v>31721121.469999999</v>
      </c>
      <c r="GL394" s="15">
        <f t="shared" si="1993"/>
        <v>368069903.90999985</v>
      </c>
      <c r="GM394" s="15">
        <f t="shared" si="1994"/>
        <v>649447356.31999993</v>
      </c>
      <c r="GN394" s="14">
        <v>6610926.46</v>
      </c>
      <c r="GO394" s="14">
        <v>21997.200000000001</v>
      </c>
      <c r="GP394" s="14">
        <v>183256.56</v>
      </c>
      <c r="GQ394" s="14">
        <v>88109.46</v>
      </c>
      <c r="GR394" s="15">
        <f t="shared" si="1995"/>
        <v>6904289.6799999997</v>
      </c>
      <c r="GS394" s="14">
        <v>10994616</v>
      </c>
      <c r="GT394" s="14">
        <v>102695</v>
      </c>
      <c r="GU394" s="14">
        <v>48222</v>
      </c>
      <c r="GV394" s="14">
        <v>16967</v>
      </c>
      <c r="GW394" s="15">
        <f t="shared" si="1996"/>
        <v>11162500</v>
      </c>
      <c r="GX394" s="15">
        <f t="shared" si="1997"/>
        <v>667514145.99999988</v>
      </c>
      <c r="GY394" s="14">
        <v>204663737.89008629</v>
      </c>
      <c r="GZ394" s="14">
        <v>620301217.81999981</v>
      </c>
      <c r="HA394" s="9">
        <f t="shared" si="1937"/>
        <v>824964955.71008611</v>
      </c>
      <c r="HB394" s="15">
        <f t="shared" si="1998"/>
        <v>0.13901200149563575</v>
      </c>
      <c r="HC394" s="16">
        <f t="shared" si="1999"/>
        <v>0.64253753639162869</v>
      </c>
      <c r="HD394" s="15">
        <f t="shared" si="2000"/>
        <v>0.839543299820945</v>
      </c>
      <c r="HE394" s="14">
        <v>201</v>
      </c>
      <c r="HF394" s="14">
        <v>5</v>
      </c>
      <c r="HG394" s="14">
        <v>246</v>
      </c>
      <c r="HH394" s="14">
        <v>201</v>
      </c>
      <c r="HI394" s="14">
        <v>90</v>
      </c>
      <c r="HJ394" s="15">
        <f t="shared" si="2001"/>
        <v>95</v>
      </c>
      <c r="HK394" s="16">
        <f t="shared" si="2002"/>
        <v>1</v>
      </c>
      <c r="HL394" s="14">
        <v>48</v>
      </c>
      <c r="HM394" s="14">
        <v>30</v>
      </c>
      <c r="HN394" s="17">
        <f t="shared" si="2003"/>
        <v>0.625</v>
      </c>
    </row>
    <row r="395" spans="1:222" x14ac:dyDescent="0.3">
      <c r="A395" s="6" t="s">
        <v>295</v>
      </c>
      <c r="B395" s="6" t="s">
        <v>295</v>
      </c>
      <c r="C395" s="7" t="s">
        <v>257</v>
      </c>
      <c r="D395" s="7">
        <v>2025</v>
      </c>
      <c r="E395" s="7">
        <v>12</v>
      </c>
      <c r="F395" s="7" t="s">
        <v>269</v>
      </c>
      <c r="G395" s="7" t="s">
        <v>267</v>
      </c>
      <c r="H395" s="8">
        <v>565393</v>
      </c>
      <c r="I395" s="8">
        <v>139074</v>
      </c>
      <c r="J395" s="8">
        <v>9521</v>
      </c>
      <c r="K395" s="8">
        <v>34578</v>
      </c>
      <c r="L395" s="8">
        <v>279</v>
      </c>
      <c r="M395" s="9">
        <f t="shared" si="1944"/>
        <v>183452</v>
      </c>
      <c r="N395" s="8">
        <v>79991.500000001193</v>
      </c>
      <c r="O395" s="8">
        <v>12989.5</v>
      </c>
      <c r="P395" s="8">
        <v>77833.5</v>
      </c>
      <c r="Q395" s="8">
        <v>6213.3000000000402</v>
      </c>
      <c r="R395" s="9">
        <f t="shared" si="1945"/>
        <v>177027.80000000124</v>
      </c>
      <c r="S395" s="9">
        <f t="shared" si="1946"/>
        <v>360479.80000000121</v>
      </c>
      <c r="T395" s="8">
        <v>204913.19999999899</v>
      </c>
      <c r="U395" s="10">
        <f t="shared" si="1947"/>
        <v>0.36242613544914598</v>
      </c>
      <c r="V395" s="8">
        <v>991</v>
      </c>
      <c r="W395" s="11">
        <f t="shared" si="1948"/>
        <v>1.7527631222883906E-3</v>
      </c>
      <c r="X395" s="8">
        <v>4925</v>
      </c>
      <c r="Y395" s="11">
        <f t="shared" si="1949"/>
        <v>8.7107551738348377E-3</v>
      </c>
      <c r="Z395" s="8">
        <v>2748</v>
      </c>
      <c r="AA395" s="11">
        <f t="shared" si="1950"/>
        <v>4.8603360848118032E-3</v>
      </c>
      <c r="AB395" s="8">
        <v>0</v>
      </c>
      <c r="AC395" s="11">
        <f t="shared" si="1951"/>
        <v>0</v>
      </c>
      <c r="AD395" s="8">
        <v>0</v>
      </c>
      <c r="AE395" s="11">
        <f t="shared" si="1952"/>
        <v>0</v>
      </c>
      <c r="AF395" s="8">
        <v>0</v>
      </c>
      <c r="AG395" s="11">
        <f t="shared" si="1953"/>
        <v>0</v>
      </c>
      <c r="AH395" s="8">
        <v>101908268</v>
      </c>
      <c r="AI395" s="9">
        <f t="shared" si="1954"/>
        <v>180.24324319544104</v>
      </c>
      <c r="AJ395" s="8">
        <v>26581.78</v>
      </c>
      <c r="AK395" s="11">
        <f t="shared" si="1955"/>
        <v>4.7014695972535915E-2</v>
      </c>
      <c r="AL395" s="8">
        <v>7296646.1600200003</v>
      </c>
      <c r="AM395" s="9">
        <f t="shared" si="1956"/>
        <v>12.905441277164734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9">
        <f t="shared" si="1957"/>
        <v>109204914.16001999</v>
      </c>
      <c r="AV395" s="9">
        <f t="shared" si="1958"/>
        <v>193.14868447260577</v>
      </c>
      <c r="AW395" s="9">
        <f t="shared" si="1959"/>
        <v>302.9432277759243</v>
      </c>
      <c r="AX395" s="8">
        <v>63</v>
      </c>
      <c r="AY395" s="9">
        <f t="shared" si="1960"/>
        <v>1.3371230276993171</v>
      </c>
      <c r="AZ395" s="8">
        <v>75</v>
      </c>
      <c r="BA395" s="8">
        <v>206</v>
      </c>
      <c r="BB395" s="8">
        <v>84</v>
      </c>
      <c r="BC395" s="8">
        <v>90</v>
      </c>
      <c r="BD395" s="8">
        <v>0</v>
      </c>
      <c r="BE395" s="9">
        <f t="shared" si="1961"/>
        <v>90</v>
      </c>
      <c r="BF395" s="9">
        <f t="shared" si="1962"/>
        <v>200</v>
      </c>
      <c r="BG395" s="8">
        <v>19</v>
      </c>
      <c r="BH395" s="8">
        <v>0</v>
      </c>
      <c r="BI395" s="8">
        <v>0</v>
      </c>
      <c r="BJ395" s="8">
        <v>0</v>
      </c>
      <c r="BK395" s="9">
        <f t="shared" si="1963"/>
        <v>0</v>
      </c>
      <c r="BL395" s="9">
        <f t="shared" si="1964"/>
        <v>19</v>
      </c>
      <c r="BM395" s="8">
        <v>17</v>
      </c>
      <c r="BN395" s="8">
        <v>0</v>
      </c>
      <c r="BO395" s="8">
        <v>0</v>
      </c>
      <c r="BP395" s="8">
        <v>0</v>
      </c>
      <c r="BQ395" s="9">
        <f t="shared" si="1965"/>
        <v>0</v>
      </c>
      <c r="BR395" s="9">
        <f t="shared" si="1966"/>
        <v>17</v>
      </c>
      <c r="BS395" s="8">
        <v>4</v>
      </c>
      <c r="BT395" s="8">
        <v>0</v>
      </c>
      <c r="BU395" s="8">
        <v>0</v>
      </c>
      <c r="BV395" s="8">
        <v>0</v>
      </c>
      <c r="BW395" s="9">
        <f t="shared" si="1967"/>
        <v>0</v>
      </c>
      <c r="BX395" s="9">
        <f t="shared" si="1968"/>
        <v>4</v>
      </c>
      <c r="BY395" s="9">
        <f t="shared" si="1969"/>
        <v>246</v>
      </c>
      <c r="BZ395" s="9">
        <f t="shared" si="1970"/>
        <v>84</v>
      </c>
      <c r="CA395" s="9">
        <f t="shared" si="1971"/>
        <v>90</v>
      </c>
      <c r="CB395" s="9">
        <f t="shared" si="1972"/>
        <v>240</v>
      </c>
      <c r="CC395" s="8">
        <v>147</v>
      </c>
      <c r="CD395" s="8">
        <v>7406</v>
      </c>
      <c r="CE395" s="8">
        <v>390</v>
      </c>
      <c r="CF395" s="8">
        <v>216</v>
      </c>
      <c r="CG395" s="8">
        <v>56</v>
      </c>
      <c r="CH395" s="9">
        <f t="shared" si="1973"/>
        <v>8068</v>
      </c>
      <c r="CI395" s="8">
        <v>12083</v>
      </c>
      <c r="CJ395" s="8">
        <v>53</v>
      </c>
      <c r="CK395" s="8">
        <v>19</v>
      </c>
      <c r="CL395" s="8">
        <v>103</v>
      </c>
      <c r="CM395" s="9">
        <f t="shared" si="1974"/>
        <v>12258</v>
      </c>
      <c r="CN395" s="8">
        <v>5846</v>
      </c>
      <c r="CO395" s="8">
        <v>374</v>
      </c>
      <c r="CP395" s="8">
        <v>250</v>
      </c>
      <c r="CQ395" s="8">
        <v>133</v>
      </c>
      <c r="CR395" s="9">
        <f t="shared" si="1975"/>
        <v>6603</v>
      </c>
      <c r="CS395" s="9">
        <f t="shared" si="1976"/>
        <v>18861</v>
      </c>
      <c r="CT395" s="8">
        <v>26929</v>
      </c>
      <c r="CU395" s="8">
        <v>141798</v>
      </c>
      <c r="CV395" s="8">
        <v>141796.20000000001</v>
      </c>
      <c r="CW395" s="10">
        <f t="shared" si="1977"/>
        <v>0.99998730588583773</v>
      </c>
      <c r="CX395" s="8">
        <v>5</v>
      </c>
      <c r="CY395" s="8">
        <v>1</v>
      </c>
      <c r="CZ395" s="8">
        <v>0</v>
      </c>
      <c r="DA395" s="8">
        <v>1</v>
      </c>
      <c r="DB395" s="9">
        <f t="shared" si="1978"/>
        <v>5</v>
      </c>
      <c r="DC395" s="8">
        <v>1</v>
      </c>
      <c r="DD395" s="8">
        <v>0</v>
      </c>
      <c r="DE395" s="8">
        <v>0</v>
      </c>
      <c r="DF395" s="8">
        <v>0</v>
      </c>
      <c r="DG395" s="9">
        <f t="shared" si="1979"/>
        <v>1</v>
      </c>
      <c r="DH395" s="8">
        <v>7</v>
      </c>
      <c r="DI395" s="8">
        <v>3</v>
      </c>
      <c r="DJ395" s="8">
        <v>0</v>
      </c>
      <c r="DK395" s="8">
        <v>0</v>
      </c>
      <c r="DL395" s="9">
        <f t="shared" si="1980"/>
        <v>10</v>
      </c>
      <c r="DM395" s="8">
        <v>1191</v>
      </c>
      <c r="DN395" s="8">
        <v>0</v>
      </c>
      <c r="DO395" s="8">
        <v>72</v>
      </c>
      <c r="DP395" s="8">
        <v>16</v>
      </c>
      <c r="DQ395" s="9">
        <f t="shared" si="1981"/>
        <v>1103</v>
      </c>
      <c r="DR395" s="9">
        <f t="shared" si="1982"/>
        <v>1204</v>
      </c>
      <c r="DS395" s="9">
        <f t="shared" si="1983"/>
        <v>4</v>
      </c>
      <c r="DT395" s="9">
        <f t="shared" si="1984"/>
        <v>72</v>
      </c>
      <c r="DU395" s="9">
        <f t="shared" si="1985"/>
        <v>17</v>
      </c>
      <c r="DV395" s="9">
        <f t="shared" si="1986"/>
        <v>1119</v>
      </c>
      <c r="DW395" s="8">
        <v>227</v>
      </c>
      <c r="DX395" s="8">
        <v>141</v>
      </c>
      <c r="DY395" s="8">
        <v>80</v>
      </c>
      <c r="DZ395" s="8">
        <v>8</v>
      </c>
      <c r="EA395" s="8">
        <v>21</v>
      </c>
      <c r="EB395" s="8">
        <v>25</v>
      </c>
      <c r="EC395" s="8">
        <v>1</v>
      </c>
      <c r="ED395" s="8">
        <v>16</v>
      </c>
      <c r="EE395" s="8">
        <v>9</v>
      </c>
      <c r="EF395" s="8">
        <v>2</v>
      </c>
      <c r="EG395" s="8">
        <v>0</v>
      </c>
      <c r="EH395" s="8">
        <v>0</v>
      </c>
      <c r="EI395" s="8">
        <v>0</v>
      </c>
      <c r="EJ395" s="8">
        <v>3</v>
      </c>
      <c r="EK395" s="8">
        <v>1</v>
      </c>
      <c r="EL395" s="8">
        <v>0</v>
      </c>
      <c r="EM395" s="8">
        <v>2</v>
      </c>
      <c r="EN395" s="8">
        <v>0</v>
      </c>
      <c r="EO395" s="8">
        <v>1</v>
      </c>
      <c r="EP395" s="8">
        <v>0</v>
      </c>
      <c r="EQ395" s="8">
        <v>0</v>
      </c>
      <c r="ER395" s="8">
        <v>0</v>
      </c>
      <c r="ES395" s="8">
        <v>0</v>
      </c>
      <c r="ET395" s="8">
        <v>0</v>
      </c>
      <c r="EU395" s="8">
        <v>0</v>
      </c>
      <c r="EV395" s="8">
        <v>0</v>
      </c>
      <c r="EW395" s="8">
        <v>0</v>
      </c>
      <c r="EX395" s="8">
        <v>0</v>
      </c>
      <c r="EY395" s="8">
        <v>0</v>
      </c>
      <c r="EZ395" s="8">
        <v>0</v>
      </c>
      <c r="FA395" s="8">
        <v>0</v>
      </c>
      <c r="FB395" s="8">
        <v>0</v>
      </c>
      <c r="FC395" s="8">
        <v>0</v>
      </c>
      <c r="FD395" s="8">
        <v>0</v>
      </c>
      <c r="FE395" s="8">
        <v>0</v>
      </c>
      <c r="FF395" s="8">
        <v>0</v>
      </c>
      <c r="FG395" s="9">
        <f t="shared" si="1987"/>
        <v>537</v>
      </c>
      <c r="FH395" s="8">
        <v>0</v>
      </c>
      <c r="FI395" s="8">
        <v>0</v>
      </c>
      <c r="FJ395" s="8">
        <v>20</v>
      </c>
      <c r="FK395" s="8">
        <v>27.37</v>
      </c>
      <c r="FL395" s="8">
        <v>0</v>
      </c>
      <c r="FM395" s="8">
        <v>0</v>
      </c>
      <c r="FN395" s="8">
        <v>2047</v>
      </c>
      <c r="FO395" s="8">
        <v>0</v>
      </c>
      <c r="FP395" s="8">
        <v>0</v>
      </c>
      <c r="FQ395" s="9">
        <f t="shared" si="1988"/>
        <v>2047</v>
      </c>
      <c r="FR395" s="8">
        <v>164635661.29999989</v>
      </c>
      <c r="FS395" s="8">
        <v>2481571.3199999998</v>
      </c>
      <c r="FT395" s="8">
        <v>1297714.1100000001</v>
      </c>
      <c r="FU395" s="8">
        <v>340033569.85000008</v>
      </c>
      <c r="FV395" s="9">
        <f t="shared" si="1989"/>
        <v>508448516.57999998</v>
      </c>
      <c r="FW395" s="8">
        <v>107763104.81999999</v>
      </c>
      <c r="FX395" s="8">
        <v>3381087.98</v>
      </c>
      <c r="FY395" s="8">
        <v>30451108.350000001</v>
      </c>
      <c r="FZ395" s="8">
        <v>238320524.7299999</v>
      </c>
      <c r="GA395" s="9">
        <f t="shared" si="1990"/>
        <v>379915825.87999988</v>
      </c>
      <c r="GB395" s="9">
        <f t="shared" si="1991"/>
        <v>888364342.4599998</v>
      </c>
      <c r="GC395" s="8">
        <v>125732176.45999999</v>
      </c>
      <c r="GD395" s="8">
        <v>1821176.88</v>
      </c>
      <c r="GE395" s="8">
        <v>119119595.40000001</v>
      </c>
      <c r="GF395" s="8">
        <v>1110448.77</v>
      </c>
      <c r="GG395" s="9">
        <f t="shared" si="1992"/>
        <v>247783397.51000002</v>
      </c>
      <c r="GH395" s="8">
        <v>100373447.3500001</v>
      </c>
      <c r="GI395" s="8">
        <v>2774831.19</v>
      </c>
      <c r="GJ395" s="8">
        <v>236549154.61999989</v>
      </c>
      <c r="GK395" s="8">
        <v>29376448.27</v>
      </c>
      <c r="GL395" s="9">
        <f t="shared" si="1993"/>
        <v>369073881.42999995</v>
      </c>
      <c r="GM395" s="9">
        <f t="shared" si="1994"/>
        <v>616857278.93999994</v>
      </c>
      <c r="GN395" s="8">
        <v>6482626.8600000003</v>
      </c>
      <c r="GO395" s="8">
        <v>19701.84</v>
      </c>
      <c r="GP395" s="8">
        <v>179862.92</v>
      </c>
      <c r="GQ395" s="8">
        <v>88109.46</v>
      </c>
      <c r="GR395" s="9">
        <f t="shared" si="1995"/>
        <v>6770301.0800000001</v>
      </c>
      <c r="GS395" s="8">
        <v>10790119</v>
      </c>
      <c r="GT395" s="8">
        <v>91979</v>
      </c>
      <c r="GU395" s="8">
        <v>47329</v>
      </c>
      <c r="GV395" s="8">
        <v>16967</v>
      </c>
      <c r="GW395" s="9">
        <f t="shared" si="1996"/>
        <v>10946394</v>
      </c>
      <c r="GX395" s="9">
        <f t="shared" si="1997"/>
        <v>634573974.01999998</v>
      </c>
      <c r="GY395" s="8">
        <v>1269180148.3199921</v>
      </c>
      <c r="GZ395" s="8">
        <v>275202170.54000002</v>
      </c>
      <c r="HA395" s="9">
        <f t="shared" si="1937"/>
        <v>1544382318.859992</v>
      </c>
      <c r="HB395" s="9">
        <f t="shared" si="1998"/>
        <v>0.17209170030754864</v>
      </c>
      <c r="HC395" s="10">
        <f t="shared" si="1999"/>
        <v>0.46663817140843283</v>
      </c>
      <c r="HD395" s="9">
        <f t="shared" si="2000"/>
        <v>1.3999381929142922</v>
      </c>
      <c r="HE395" s="8">
        <v>84</v>
      </c>
      <c r="HF395" s="8">
        <v>5</v>
      </c>
      <c r="HG395" s="8">
        <v>240</v>
      </c>
      <c r="HH395" s="8">
        <v>84</v>
      </c>
      <c r="HI395" s="8">
        <v>90</v>
      </c>
      <c r="HJ395" s="9">
        <f t="shared" si="2001"/>
        <v>95</v>
      </c>
      <c r="HK395" s="10">
        <f t="shared" si="2002"/>
        <v>1</v>
      </c>
      <c r="HL395" s="8">
        <v>45</v>
      </c>
      <c r="HM395" s="8">
        <v>31</v>
      </c>
      <c r="HN395" s="11">
        <f t="shared" si="2003"/>
        <v>0.68888888888888888</v>
      </c>
    </row>
    <row r="396" spans="1:222" x14ac:dyDescent="0.3">
      <c r="A396" s="12" t="s">
        <v>295</v>
      </c>
      <c r="B396" s="12" t="s">
        <v>295</v>
      </c>
      <c r="C396" s="13" t="s">
        <v>257</v>
      </c>
      <c r="D396" s="13">
        <v>2026</v>
      </c>
      <c r="E396" s="13">
        <v>1</v>
      </c>
      <c r="F396" s="13" t="s">
        <v>270</v>
      </c>
      <c r="G396" s="13" t="s">
        <v>271</v>
      </c>
      <c r="H396" s="14">
        <v>458675</v>
      </c>
      <c r="I396" s="14">
        <v>122239</v>
      </c>
      <c r="J396" s="14">
        <v>5868</v>
      </c>
      <c r="K396" s="14">
        <v>57545</v>
      </c>
      <c r="L396" s="14">
        <v>165</v>
      </c>
      <c r="M396" s="15">
        <v>185817</v>
      </c>
      <c r="N396" s="14">
        <v>80839.600000002363</v>
      </c>
      <c r="O396" s="14">
        <v>14264.30000000001</v>
      </c>
      <c r="P396" s="14">
        <v>28997.89999999987</v>
      </c>
      <c r="Q396" s="14">
        <v>6160.8000000000302</v>
      </c>
      <c r="R396" s="15">
        <v>130262.60000000231</v>
      </c>
      <c r="S396" s="15">
        <v>316079.60000000231</v>
      </c>
      <c r="T396" s="14">
        <v>142595.39999999769</v>
      </c>
      <c r="U396" s="16">
        <v>0.3108854853654498</v>
      </c>
      <c r="V396" s="14">
        <v>882</v>
      </c>
      <c r="W396" s="17">
        <v>1.92293017932087</v>
      </c>
      <c r="X396" s="14">
        <v>4054</v>
      </c>
      <c r="Y396" s="17">
        <v>8.8385022074453587</v>
      </c>
      <c r="Z396" s="14">
        <v>1960</v>
      </c>
      <c r="AA396" s="17">
        <v>4.2731781762685994</v>
      </c>
      <c r="AB396" s="14">
        <v>0</v>
      </c>
      <c r="AC396" s="17">
        <v>0</v>
      </c>
      <c r="AD396" s="14">
        <v>0</v>
      </c>
      <c r="AE396" s="17">
        <v>0</v>
      </c>
      <c r="AF396" s="14">
        <v>0</v>
      </c>
      <c r="AG396" s="17">
        <v>0</v>
      </c>
      <c r="AH396" s="14">
        <v>81949160</v>
      </c>
      <c r="AI396" s="15">
        <v>178.66498065078761</v>
      </c>
      <c r="AJ396" s="14">
        <v>25916.560000000001</v>
      </c>
      <c r="AK396" s="17">
        <v>5.6503101324467217E-2</v>
      </c>
      <c r="AL396" s="14">
        <v>7114835.5470399996</v>
      </c>
      <c r="AM396" s="15">
        <v>15.511714279260911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4">
        <v>0</v>
      </c>
      <c r="AU396" s="15">
        <v>89063995.547040001</v>
      </c>
      <c r="AV396" s="15">
        <v>194.17669493004851</v>
      </c>
      <c r="AW396" s="15">
        <v>281.77710787738067</v>
      </c>
      <c r="AX396" s="14">
        <v>63</v>
      </c>
      <c r="AY396" s="15">
        <v>4.2579168256390689</v>
      </c>
      <c r="AZ396" s="14">
        <v>75</v>
      </c>
      <c r="BA396" s="14">
        <v>200</v>
      </c>
      <c r="BB396" s="14">
        <v>91</v>
      </c>
      <c r="BC396" s="14">
        <v>90</v>
      </c>
      <c r="BD396" s="14">
        <v>0</v>
      </c>
      <c r="BE396" s="15">
        <v>90</v>
      </c>
      <c r="BF396" s="15">
        <v>201</v>
      </c>
      <c r="BG396" s="14">
        <v>19</v>
      </c>
      <c r="BH396" s="14">
        <v>0</v>
      </c>
      <c r="BI396" s="14">
        <v>1</v>
      </c>
      <c r="BJ396" s="14">
        <v>0</v>
      </c>
      <c r="BK396" s="15">
        <v>1</v>
      </c>
      <c r="BL396" s="15">
        <v>18</v>
      </c>
      <c r="BM396" s="14">
        <v>17</v>
      </c>
      <c r="BN396" s="14">
        <v>0</v>
      </c>
      <c r="BO396" s="14">
        <v>1</v>
      </c>
      <c r="BP396" s="14">
        <v>0</v>
      </c>
      <c r="BQ396" s="15">
        <v>1</v>
      </c>
      <c r="BR396" s="15">
        <v>16</v>
      </c>
      <c r="BS396" s="14">
        <v>4</v>
      </c>
      <c r="BT396" s="14">
        <v>0</v>
      </c>
      <c r="BU396" s="14">
        <v>0</v>
      </c>
      <c r="BV396" s="14">
        <v>0</v>
      </c>
      <c r="BW396" s="15">
        <v>0</v>
      </c>
      <c r="BX396" s="15">
        <v>4</v>
      </c>
      <c r="BY396" s="15">
        <v>240</v>
      </c>
      <c r="BZ396" s="15">
        <v>91</v>
      </c>
      <c r="CA396" s="15">
        <v>92</v>
      </c>
      <c r="CB396" s="15">
        <v>239</v>
      </c>
      <c r="CC396" s="14">
        <v>3</v>
      </c>
      <c r="CD396" s="14">
        <v>7472</v>
      </c>
      <c r="CE396" s="14">
        <v>389</v>
      </c>
      <c r="CF396" s="14">
        <v>219</v>
      </c>
      <c r="CG396" s="14">
        <v>56</v>
      </c>
      <c r="CH396" s="15">
        <v>8136</v>
      </c>
      <c r="CI396" s="14">
        <v>11907</v>
      </c>
      <c r="CJ396" s="14">
        <v>55</v>
      </c>
      <c r="CK396" s="14">
        <v>17</v>
      </c>
      <c r="CL396" s="14">
        <v>80</v>
      </c>
      <c r="CM396" s="15">
        <v>12059</v>
      </c>
      <c r="CN396" s="14">
        <v>6046</v>
      </c>
      <c r="CO396" s="14">
        <v>374</v>
      </c>
      <c r="CP396" s="14">
        <v>250</v>
      </c>
      <c r="CQ396" s="14">
        <v>156</v>
      </c>
      <c r="CR396" s="15">
        <v>6826</v>
      </c>
      <c r="CS396" s="15">
        <v>18885</v>
      </c>
      <c r="CT396" s="14">
        <v>27021</v>
      </c>
      <c r="CU396" s="14">
        <v>142055</v>
      </c>
      <c r="CV396" s="14">
        <v>142054</v>
      </c>
      <c r="CW396" s="16">
        <v>0.99999296047305619</v>
      </c>
      <c r="CX396" s="14">
        <v>5</v>
      </c>
      <c r="CY396" s="14">
        <v>0</v>
      </c>
      <c r="CZ396" s="14">
        <v>1</v>
      </c>
      <c r="DA396" s="14">
        <v>0</v>
      </c>
      <c r="DB396" s="15">
        <v>4</v>
      </c>
      <c r="DC396" s="14">
        <v>1</v>
      </c>
      <c r="DD396" s="14">
        <v>0</v>
      </c>
      <c r="DE396" s="14">
        <v>1</v>
      </c>
      <c r="DF396" s="14">
        <v>0</v>
      </c>
      <c r="DG396" s="15">
        <v>0</v>
      </c>
      <c r="DH396" s="14">
        <v>10</v>
      </c>
      <c r="DI396" s="14">
        <v>0</v>
      </c>
      <c r="DJ396" s="14">
        <v>6</v>
      </c>
      <c r="DK396" s="14">
        <v>0</v>
      </c>
      <c r="DL396" s="15">
        <v>4</v>
      </c>
      <c r="DM396" s="14">
        <v>1103</v>
      </c>
      <c r="DN396" s="14">
        <v>3</v>
      </c>
      <c r="DO396" s="14">
        <v>0</v>
      </c>
      <c r="DP396" s="14">
        <v>0</v>
      </c>
      <c r="DQ396" s="15">
        <v>1106</v>
      </c>
      <c r="DR396" s="15">
        <v>1119</v>
      </c>
      <c r="DS396" s="15">
        <v>3</v>
      </c>
      <c r="DT396" s="15">
        <v>8</v>
      </c>
      <c r="DU396" s="15">
        <v>0</v>
      </c>
      <c r="DV396" s="15">
        <v>1114</v>
      </c>
      <c r="DW396" s="14">
        <v>230</v>
      </c>
      <c r="DX396" s="14">
        <v>142</v>
      </c>
      <c r="DY396" s="14">
        <v>84</v>
      </c>
      <c r="DZ396" s="14">
        <v>16</v>
      </c>
      <c r="EA396" s="14">
        <v>34</v>
      </c>
      <c r="EB396" s="14">
        <v>36</v>
      </c>
      <c r="EC396" s="14">
        <v>3</v>
      </c>
      <c r="ED396" s="14">
        <v>12</v>
      </c>
      <c r="EE396" s="14">
        <v>6</v>
      </c>
      <c r="EF396" s="14">
        <v>2</v>
      </c>
      <c r="EG396" s="14">
        <v>0</v>
      </c>
      <c r="EH396" s="14">
        <v>0</v>
      </c>
      <c r="EI396" s="14">
        <v>0</v>
      </c>
      <c r="EJ396" s="14">
        <v>12</v>
      </c>
      <c r="EK396" s="14">
        <v>0</v>
      </c>
      <c r="EL396" s="14">
        <v>0</v>
      </c>
      <c r="EM396" s="14">
        <v>0</v>
      </c>
      <c r="EN396" s="14">
        <v>0</v>
      </c>
      <c r="EO396" s="14">
        <v>0</v>
      </c>
      <c r="EP396" s="14">
        <v>0</v>
      </c>
      <c r="EQ396" s="14">
        <v>1</v>
      </c>
      <c r="ER396" s="14">
        <v>0</v>
      </c>
      <c r="ES396" s="14">
        <v>0</v>
      </c>
      <c r="ET396" s="14">
        <v>0</v>
      </c>
      <c r="EU396" s="14">
        <v>0</v>
      </c>
      <c r="EV396" s="14">
        <v>0</v>
      </c>
      <c r="EW396" s="14">
        <v>0</v>
      </c>
      <c r="EX396" s="14">
        <v>0</v>
      </c>
      <c r="EY396" s="14">
        <v>0</v>
      </c>
      <c r="EZ396" s="14">
        <v>0</v>
      </c>
      <c r="FA396" s="14">
        <v>0</v>
      </c>
      <c r="FB396" s="14">
        <v>0</v>
      </c>
      <c r="FC396" s="14">
        <v>0</v>
      </c>
      <c r="FD396" s="14">
        <v>1</v>
      </c>
      <c r="FE396" s="14">
        <v>0</v>
      </c>
      <c r="FF396" s="14">
        <v>0</v>
      </c>
      <c r="FG396" s="15">
        <v>579</v>
      </c>
      <c r="FH396" s="14">
        <v>0</v>
      </c>
      <c r="FI396" s="14">
        <v>0</v>
      </c>
      <c r="FJ396" s="14">
        <v>21</v>
      </c>
      <c r="FK396" s="14">
        <v>32</v>
      </c>
      <c r="FL396" s="14">
        <v>0</v>
      </c>
      <c r="FM396" s="14">
        <v>1000</v>
      </c>
      <c r="FN396" s="14">
        <v>2590</v>
      </c>
      <c r="FO396" s="14">
        <v>0</v>
      </c>
      <c r="FP396" s="14">
        <v>0</v>
      </c>
      <c r="FQ396" s="15">
        <v>3590</v>
      </c>
      <c r="FR396" s="14">
        <v>146931148.28999999</v>
      </c>
      <c r="FS396" s="14">
        <v>1100150</v>
      </c>
      <c r="FT396" s="14">
        <v>1652836.21</v>
      </c>
      <c r="FU396" s="14">
        <v>719850</v>
      </c>
      <c r="FV396" s="15">
        <v>150403984.5</v>
      </c>
      <c r="FW396" s="14">
        <v>105930818.40000001</v>
      </c>
      <c r="FX396" s="14">
        <v>3513853.26</v>
      </c>
      <c r="FY396" s="14">
        <v>29950728.399999999</v>
      </c>
      <c r="FZ396" s="14">
        <v>88861522.819999993</v>
      </c>
      <c r="GA396" s="15">
        <v>228256922.88</v>
      </c>
      <c r="GB396" s="15">
        <v>378660907.38</v>
      </c>
      <c r="GC396" s="14">
        <v>110300202.16</v>
      </c>
      <c r="GD396" s="14">
        <v>1122431.04</v>
      </c>
      <c r="GE396" s="14">
        <v>198587193.53</v>
      </c>
      <c r="GF396" s="14">
        <v>616584.87</v>
      </c>
      <c r="GG396" s="15">
        <v>310626411.60000002</v>
      </c>
      <c r="GH396" s="14">
        <v>101002230.79000001</v>
      </c>
      <c r="GI396" s="14">
        <v>3059067.86</v>
      </c>
      <c r="GJ396" s="14">
        <v>88125922.819999993</v>
      </c>
      <c r="GK396" s="14">
        <v>29127599.149999999</v>
      </c>
      <c r="GL396" s="15">
        <v>221314820.62</v>
      </c>
      <c r="GM396" s="15">
        <v>531941232.22000003</v>
      </c>
      <c r="GN396" s="14">
        <v>6390879.9100000001</v>
      </c>
      <c r="GO396" s="14">
        <v>15302.4</v>
      </c>
      <c r="GP396" s="14">
        <v>186650.2</v>
      </c>
      <c r="GQ396" s="14">
        <v>78834.78</v>
      </c>
      <c r="GR396" s="15">
        <v>6671667.290000001</v>
      </c>
      <c r="GS396" s="14">
        <v>10632951</v>
      </c>
      <c r="GT396" s="14">
        <v>71440</v>
      </c>
      <c r="GU396" s="14">
        <v>49115</v>
      </c>
      <c r="GV396" s="14">
        <v>15181</v>
      </c>
      <c r="GW396" s="15">
        <v>10768687</v>
      </c>
      <c r="GX396" s="15">
        <v>549381586.50999999</v>
      </c>
      <c r="GY396" s="14">
        <v>151807356.2600807</v>
      </c>
      <c r="GZ396" s="14">
        <v>592074048.02999985</v>
      </c>
      <c r="HA396" s="9">
        <f t="shared" si="1937"/>
        <v>743881404.29008055</v>
      </c>
      <c r="HB396" s="15">
        <v>549381586.50999999</v>
      </c>
      <c r="HC396" s="16">
        <v>0</v>
      </c>
      <c r="HD396" s="15">
        <v>0</v>
      </c>
      <c r="HE396" s="14">
        <v>90</v>
      </c>
      <c r="HF396" s="14">
        <v>5</v>
      </c>
      <c r="HG396" s="14">
        <v>239</v>
      </c>
      <c r="HH396" s="14">
        <v>91</v>
      </c>
      <c r="HI396" s="14">
        <v>60</v>
      </c>
      <c r="HJ396" s="15">
        <v>0.65934065934065933</v>
      </c>
      <c r="HK396" s="16">
        <v>38.493723849372387</v>
      </c>
      <c r="HL396" s="14">
        <v>63</v>
      </c>
      <c r="HM396" s="14">
        <v>31</v>
      </c>
      <c r="HN396" s="17">
        <v>2.032258064516129</v>
      </c>
    </row>
    <row r="397" spans="1:222" x14ac:dyDescent="0.3">
      <c r="A397" s="6" t="s">
        <v>295</v>
      </c>
      <c r="B397" s="6" t="s">
        <v>295</v>
      </c>
      <c r="C397" s="7" t="s">
        <v>257</v>
      </c>
      <c r="D397" s="7">
        <v>2026</v>
      </c>
      <c r="E397" s="7">
        <v>2</v>
      </c>
      <c r="F397" s="7" t="s">
        <v>272</v>
      </c>
      <c r="G397" s="7" t="s">
        <v>271</v>
      </c>
      <c r="H397" s="8">
        <v>468064</v>
      </c>
      <c r="I397" s="8">
        <v>125762</v>
      </c>
      <c r="J397" s="8">
        <v>3884</v>
      </c>
      <c r="K397" s="8">
        <v>37455</v>
      </c>
      <c r="L397" s="8">
        <v>278</v>
      </c>
      <c r="M397" s="9">
        <f>SUM(I397,J397,K397,L397)</f>
        <v>167379</v>
      </c>
      <c r="N397" s="8">
        <v>79464.900000001115</v>
      </c>
      <c r="O397" s="8">
        <v>15944.80000000001</v>
      </c>
      <c r="P397" s="8">
        <v>49538.299999999872</v>
      </c>
      <c r="Q397" s="8">
        <v>5284.0999999999976</v>
      </c>
      <c r="R397" s="9">
        <f>SUM(N397,O397,P397,Q397)</f>
        <v>150232.100000001</v>
      </c>
      <c r="S397" s="9">
        <f>M397+R397</f>
        <v>317611.10000000102</v>
      </c>
      <c r="T397" s="8">
        <v>150452.899999999</v>
      </c>
      <c r="U397" s="10">
        <f>IF(H397=0,"",T397/H397)</f>
        <v>0.32143659841389</v>
      </c>
      <c r="V397" s="8">
        <v>1277</v>
      </c>
      <c r="W397" s="11">
        <f>IF(H397=0,"",V397/H397)</f>
        <v>2.7282593833321939E-3</v>
      </c>
      <c r="X397" s="8">
        <v>5697</v>
      </c>
      <c r="Y397" s="11">
        <f>IF(H397=0,"",X397/H397)</f>
        <v>1.2171412456416217E-2</v>
      </c>
      <c r="Z397" s="8">
        <v>1964</v>
      </c>
      <c r="AA397" s="11">
        <f>IF(H397=0,"",Z397/H397)</f>
        <v>4.196007383605661E-3</v>
      </c>
      <c r="AB397" s="8">
        <v>0</v>
      </c>
      <c r="AC397" s="11">
        <f>IF(H397=0,"",AB397/H397)</f>
        <v>0</v>
      </c>
      <c r="AD397" s="8">
        <v>0</v>
      </c>
      <c r="AE397" s="11">
        <f>IF(H397=0,"",AD397/H397)</f>
        <v>0</v>
      </c>
      <c r="AF397" s="8">
        <v>0</v>
      </c>
      <c r="AG397" s="11">
        <f>IF(H397=0,"",AF397/H397)</f>
        <v>0</v>
      </c>
      <c r="AH397" s="8">
        <v>106561724</v>
      </c>
      <c r="AI397" s="9">
        <f>IF(H397=0,"",AH397/H397)</f>
        <v>227.6648577972243</v>
      </c>
      <c r="AJ397" s="8">
        <v>26794.38</v>
      </c>
      <c r="AK397" s="11">
        <f>IF(H397=0,"",AJ397/H397)</f>
        <v>5.7245120325425586E-2</v>
      </c>
      <c r="AL397" s="8">
        <v>7354751.6534200003</v>
      </c>
      <c r="AM397" s="9">
        <f>IF(H397=0,"",AL397/H397)</f>
        <v>15.713132506281193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9">
        <f>AH397+AL397+AP397+AQ397+AR397+AS397+AT397</f>
        <v>113916475.65342</v>
      </c>
      <c r="AV397" s="9">
        <f>IF(H397=0,"",AU397/H397)</f>
        <v>243.3779903035055</v>
      </c>
      <c r="AW397" s="9">
        <f>IF(S397=0,"",AU397/S397)</f>
        <v>358.6665442530807</v>
      </c>
      <c r="AX397" s="8">
        <v>63</v>
      </c>
      <c r="AY397" s="9">
        <f>IF(H397=0,"",AX397/(H397/1000/12))</f>
        <v>1.6151637382921993</v>
      </c>
      <c r="AZ397" s="8">
        <v>75</v>
      </c>
      <c r="BA397" s="8">
        <v>201</v>
      </c>
      <c r="BB397" s="8">
        <v>157</v>
      </c>
      <c r="BC397" s="8">
        <v>113</v>
      </c>
      <c r="BD397" s="8">
        <v>0</v>
      </c>
      <c r="BE397" s="9">
        <f>BC397+BD397</f>
        <v>113</v>
      </c>
      <c r="BF397" s="9">
        <f>BA397+BB397-BE397</f>
        <v>245</v>
      </c>
      <c r="BG397" s="8">
        <v>18</v>
      </c>
      <c r="BH397" s="8">
        <v>0</v>
      </c>
      <c r="BI397" s="8">
        <v>1</v>
      </c>
      <c r="BJ397" s="8">
        <v>0</v>
      </c>
      <c r="BK397" s="9">
        <f>BI397+BJ397</f>
        <v>1</v>
      </c>
      <c r="BL397" s="9">
        <f>BG397+BH397-BK397</f>
        <v>17</v>
      </c>
      <c r="BM397" s="8">
        <v>16</v>
      </c>
      <c r="BN397" s="8">
        <v>0</v>
      </c>
      <c r="BO397" s="8">
        <v>0</v>
      </c>
      <c r="BP397" s="8">
        <v>0</v>
      </c>
      <c r="BQ397" s="9">
        <f>BO397+BP397</f>
        <v>0</v>
      </c>
      <c r="BR397" s="9">
        <f>BM397+BN397-BQ397</f>
        <v>16</v>
      </c>
      <c r="BS397" s="8">
        <v>4</v>
      </c>
      <c r="BT397" s="8">
        <v>1</v>
      </c>
      <c r="BU397" s="8">
        <v>1</v>
      </c>
      <c r="BV397" s="8">
        <v>0</v>
      </c>
      <c r="BW397" s="9">
        <f>BU397+BV397</f>
        <v>1</v>
      </c>
      <c r="BX397" s="9">
        <f>BS397+BT397-BW397</f>
        <v>4</v>
      </c>
      <c r="BY397" s="9">
        <f>BA397+BG397+BM397+BS397</f>
        <v>239</v>
      </c>
      <c r="BZ397" s="9">
        <f>BB397+BH397+BN397+BT397</f>
        <v>158</v>
      </c>
      <c r="CA397" s="9">
        <f>BE397+BK397+BQ397+BW397</f>
        <v>115</v>
      </c>
      <c r="CB397" s="9">
        <f>BF397+BL397+BR397+BX397</f>
        <v>282</v>
      </c>
      <c r="CC397" s="8">
        <v>0</v>
      </c>
      <c r="CD397" s="8">
        <v>6602</v>
      </c>
      <c r="CE397" s="8">
        <v>376</v>
      </c>
      <c r="CF397" s="8">
        <v>212</v>
      </c>
      <c r="CG397" s="8">
        <v>59</v>
      </c>
      <c r="CH397" s="9">
        <f>CD397+CE397+CF397+CG397</f>
        <v>7249</v>
      </c>
      <c r="CI397" s="8">
        <v>11642</v>
      </c>
      <c r="CJ397" s="8">
        <v>51</v>
      </c>
      <c r="CK397" s="8">
        <v>13</v>
      </c>
      <c r="CL397" s="8">
        <v>46</v>
      </c>
      <c r="CM397" s="9">
        <f>CI397+CJ397+CK397+CL397</f>
        <v>11752</v>
      </c>
      <c r="CN397" s="8">
        <v>7294</v>
      </c>
      <c r="CO397" s="8">
        <v>392</v>
      </c>
      <c r="CP397" s="8">
        <v>261</v>
      </c>
      <c r="CQ397" s="8">
        <v>188</v>
      </c>
      <c r="CR397" s="9">
        <f>CN397+CO397+CP397+CQ397</f>
        <v>8135</v>
      </c>
      <c r="CS397" s="9">
        <f>CM397+CR397</f>
        <v>19887</v>
      </c>
      <c r="CT397" s="8">
        <v>27136</v>
      </c>
      <c r="CU397" s="8">
        <v>142312</v>
      </c>
      <c r="CV397" s="8">
        <v>142312</v>
      </c>
      <c r="CW397" s="10">
        <f>IF(CU397=0,"",CV397/CU397)</f>
        <v>1</v>
      </c>
      <c r="CX397" s="8">
        <v>4</v>
      </c>
      <c r="CY397" s="8">
        <v>0</v>
      </c>
      <c r="CZ397" s="8">
        <v>0</v>
      </c>
      <c r="DA397" s="8">
        <v>0</v>
      </c>
      <c r="DB397" s="9">
        <f>CX397+CY397-CZ397-DA397</f>
        <v>4</v>
      </c>
      <c r="DC397" s="8">
        <v>0</v>
      </c>
      <c r="DD397" s="8">
        <v>2</v>
      </c>
      <c r="DE397" s="8">
        <v>0</v>
      </c>
      <c r="DF397" s="8">
        <v>1</v>
      </c>
      <c r="DG397" s="9">
        <f>DC397+DD397-DE397-DF397</f>
        <v>1</v>
      </c>
      <c r="DH397" s="8">
        <v>4</v>
      </c>
      <c r="DI397" s="8">
        <v>0</v>
      </c>
      <c r="DJ397" s="8">
        <v>3</v>
      </c>
      <c r="DK397" s="8">
        <v>0</v>
      </c>
      <c r="DL397" s="9">
        <f>DH397+DI397-DJ397-DK397</f>
        <v>1</v>
      </c>
      <c r="DM397" s="8">
        <v>1106</v>
      </c>
      <c r="DN397" s="8">
        <v>14</v>
      </c>
      <c r="DO397" s="8">
        <v>0</v>
      </c>
      <c r="DP397" s="8">
        <v>36</v>
      </c>
      <c r="DQ397" s="9">
        <f>DM397+DN397-DO397-DP397</f>
        <v>1084</v>
      </c>
      <c r="DR397" s="9">
        <f t="shared" ref="DR397:DV398" si="2004">CX397+DC397+DH397+DM397</f>
        <v>1114</v>
      </c>
      <c r="DS397" s="9">
        <f t="shared" si="2004"/>
        <v>16</v>
      </c>
      <c r="DT397" s="9">
        <f t="shared" si="2004"/>
        <v>3</v>
      </c>
      <c r="DU397" s="9">
        <f t="shared" si="2004"/>
        <v>37</v>
      </c>
      <c r="DV397" s="9">
        <f t="shared" si="2004"/>
        <v>1090</v>
      </c>
      <c r="DW397" s="8">
        <v>207</v>
      </c>
      <c r="DX397" s="8">
        <v>126</v>
      </c>
      <c r="DY397" s="8">
        <v>83</v>
      </c>
      <c r="DZ397" s="8">
        <v>12</v>
      </c>
      <c r="EA397" s="8">
        <v>29</v>
      </c>
      <c r="EB397" s="8">
        <v>32</v>
      </c>
      <c r="EC397" s="8">
        <v>1</v>
      </c>
      <c r="ED397" s="8">
        <v>5</v>
      </c>
      <c r="EE397" s="8">
        <v>5</v>
      </c>
      <c r="EF397" s="8">
        <v>1</v>
      </c>
      <c r="EG397" s="8">
        <v>0</v>
      </c>
      <c r="EH397" s="8">
        <v>1</v>
      </c>
      <c r="EI397" s="8">
        <v>0</v>
      </c>
      <c r="EJ397" s="8">
        <v>12</v>
      </c>
      <c r="EK397" s="8">
        <v>0</v>
      </c>
      <c r="EL397" s="8">
        <v>0</v>
      </c>
      <c r="EM397" s="8">
        <v>0</v>
      </c>
      <c r="EN397" s="8">
        <v>3</v>
      </c>
      <c r="EO397" s="8">
        <v>0</v>
      </c>
      <c r="EP397" s="8">
        <v>0</v>
      </c>
      <c r="EQ397" s="8">
        <v>0</v>
      </c>
      <c r="ER397" s="8">
        <v>0</v>
      </c>
      <c r="ES397" s="8">
        <v>0</v>
      </c>
      <c r="ET397" s="8">
        <v>0</v>
      </c>
      <c r="EU397" s="8">
        <v>0</v>
      </c>
      <c r="EV397" s="8">
        <v>0</v>
      </c>
      <c r="EW397" s="8">
        <v>0</v>
      </c>
      <c r="EX397" s="8">
        <v>0</v>
      </c>
      <c r="EY397" s="8">
        <v>0</v>
      </c>
      <c r="EZ397" s="8">
        <v>0</v>
      </c>
      <c r="FA397" s="8">
        <v>0</v>
      </c>
      <c r="FB397" s="8">
        <v>0</v>
      </c>
      <c r="FC397" s="8">
        <v>0</v>
      </c>
      <c r="FD397" s="8">
        <v>0</v>
      </c>
      <c r="FE397" s="8">
        <v>0</v>
      </c>
      <c r="FF397" s="8">
        <v>0</v>
      </c>
      <c r="FG397" s="9">
        <f>SUM(DW397,DX397,DY397,DZ397,EA397,EB397,EC397,ED397,EE397,EF397,EG397,EH397,EI397,EJ397,EK397,EL397,EM397,EN397,EO397,EP397,EQ397,ER397,ES397,ET397,EU397,EV397,EW397,EX397,EY397,EZ397,FA397,FB397,FC397,FD397,FE397,FF397)</f>
        <v>517</v>
      </c>
      <c r="FH397" s="8">
        <v>0</v>
      </c>
      <c r="FI397" s="8">
        <v>0</v>
      </c>
      <c r="FJ397" s="8">
        <v>21</v>
      </c>
      <c r="FK397" s="8">
        <v>77.900000000000006</v>
      </c>
      <c r="FL397" s="8">
        <v>0</v>
      </c>
      <c r="FM397" s="8">
        <v>0</v>
      </c>
      <c r="FN397" s="8">
        <v>0</v>
      </c>
      <c r="FO397" s="8">
        <v>0</v>
      </c>
      <c r="FP397" s="8">
        <v>0</v>
      </c>
      <c r="FQ397" s="9">
        <f>FL397+FM397+FN397+FO397+FP397</f>
        <v>0</v>
      </c>
      <c r="FR397" s="8">
        <v>184734513.32999969</v>
      </c>
      <c r="FS397" s="8">
        <v>1443058.77</v>
      </c>
      <c r="FT397" s="8">
        <v>1410046.1</v>
      </c>
      <c r="FU397" s="8">
        <v>6309290.5199999996</v>
      </c>
      <c r="FV397" s="9">
        <f>FR397+FS397+FT397+FU397</f>
        <v>193896908.7199997</v>
      </c>
      <c r="FW397" s="8">
        <v>105198505.55</v>
      </c>
      <c r="FX397" s="8">
        <v>4067561.14</v>
      </c>
      <c r="FY397" s="8">
        <v>25496314.039999999</v>
      </c>
      <c r="FZ397" s="8">
        <v>155512970.65000001</v>
      </c>
      <c r="GA397" s="9">
        <f>FW397+FX397+FY397+FZ397</f>
        <v>290275351.38</v>
      </c>
      <c r="GB397" s="9">
        <f>FV397+GA397</f>
        <v>484172260.09999967</v>
      </c>
      <c r="GC397" s="8">
        <v>113217857.52</v>
      </c>
      <c r="GD397" s="8">
        <v>742931.52</v>
      </c>
      <c r="GE397" s="8">
        <v>129085466.06999999</v>
      </c>
      <c r="GF397" s="8">
        <v>1138476.81</v>
      </c>
      <c r="GG397" s="9">
        <f>GC397+GD397+GE397+GF397</f>
        <v>244184731.91999999</v>
      </c>
      <c r="GH397" s="8">
        <v>101117282.47</v>
      </c>
      <c r="GI397" s="8">
        <v>3394951.88</v>
      </c>
      <c r="GJ397" s="8">
        <v>150481032.62</v>
      </c>
      <c r="GK397" s="8">
        <v>24741343.620000001</v>
      </c>
      <c r="GL397" s="9">
        <f>GH397+GI397+GJ397+GK397</f>
        <v>279734610.58999997</v>
      </c>
      <c r="GM397" s="9">
        <f>GG397+GL397</f>
        <v>523919342.50999999</v>
      </c>
      <c r="GN397" s="8">
        <v>6246933.5899999999</v>
      </c>
      <c r="GO397" s="8">
        <v>8798.8799999999992</v>
      </c>
      <c r="GP397" s="8">
        <v>173075.64</v>
      </c>
      <c r="GQ397" s="8">
        <v>60285.42</v>
      </c>
      <c r="GR397" s="9">
        <f>GN397+GO397+GP397+GQ397</f>
        <v>6489093.5299999993</v>
      </c>
      <c r="GS397" s="8">
        <v>10396306</v>
      </c>
      <c r="GT397" s="8">
        <v>41078</v>
      </c>
      <c r="GU397" s="8">
        <v>45543</v>
      </c>
      <c r="GV397" s="8">
        <v>11609</v>
      </c>
      <c r="GW397" s="9">
        <f>GS397+GT397+GU397+GV397</f>
        <v>10494536</v>
      </c>
      <c r="GX397" s="9">
        <f>GM397+GR397+GW397</f>
        <v>540902972.03999996</v>
      </c>
      <c r="GY397" s="8">
        <v>1210135554.0499611</v>
      </c>
      <c r="GZ397" s="8">
        <v>586901584.75999975</v>
      </c>
      <c r="HA397" s="9">
        <f t="shared" si="1937"/>
        <v>1797037138.8099608</v>
      </c>
      <c r="HB397" s="9">
        <f>IF(GX397=0,"",AU397/GX397)</f>
        <v>0.21060427015918826</v>
      </c>
      <c r="HC397" s="10">
        <f>IF((GX397+GY397)=0,"",GB397/(GX397+GY397))</f>
        <v>0.27650577236649843</v>
      </c>
      <c r="HD397" s="9">
        <f>IF(GX397=0,"",GB397/GX397)</f>
        <v>0.89511850577185392</v>
      </c>
      <c r="HE397" s="8">
        <v>158</v>
      </c>
      <c r="HF397" s="8">
        <v>5</v>
      </c>
      <c r="HG397" s="8">
        <v>282</v>
      </c>
      <c r="HH397" s="8">
        <v>158</v>
      </c>
      <c r="HI397" s="8">
        <v>90</v>
      </c>
      <c r="HJ397" s="9">
        <f>HF397+HI397</f>
        <v>95</v>
      </c>
      <c r="HK397" s="10">
        <f>IF(HE397=0,"",HH397/HE397)</f>
        <v>1</v>
      </c>
      <c r="HL397" s="8">
        <v>54</v>
      </c>
      <c r="HM397" s="8">
        <v>28</v>
      </c>
      <c r="HN397" s="11">
        <f>IF(HL397=0,"",HM397/HL397)</f>
        <v>0.51851851851851849</v>
      </c>
    </row>
    <row r="398" spans="1:222" x14ac:dyDescent="0.3">
      <c r="A398" s="12" t="s">
        <v>295</v>
      </c>
      <c r="B398" s="12" t="s">
        <v>295</v>
      </c>
      <c r="C398" s="13" t="s">
        <v>257</v>
      </c>
      <c r="D398" s="13">
        <v>2026</v>
      </c>
      <c r="E398" s="13">
        <v>3</v>
      </c>
      <c r="F398" s="13" t="s">
        <v>273</v>
      </c>
      <c r="G398" s="13" t="s">
        <v>271</v>
      </c>
      <c r="H398" s="14">
        <v>488156</v>
      </c>
      <c r="I398" s="14">
        <v>110271</v>
      </c>
      <c r="J398" s="14">
        <v>2992</v>
      </c>
      <c r="K398" s="14">
        <v>33958</v>
      </c>
      <c r="L398" s="14">
        <v>221</v>
      </c>
      <c r="M398" s="15">
        <f>SUM(I398,J398,K398,L398)</f>
        <v>147442</v>
      </c>
      <c r="N398" s="14">
        <v>89313.100000002596</v>
      </c>
      <c r="O398" s="14">
        <v>19258.700000000019</v>
      </c>
      <c r="P398" s="14">
        <v>99591.999999999971</v>
      </c>
      <c r="Q398" s="14">
        <v>5619.4999999999827</v>
      </c>
      <c r="R398" s="15">
        <f>SUM(N398,O398,P398,Q398)</f>
        <v>213783.30000000255</v>
      </c>
      <c r="S398" s="15">
        <f>M398+R398</f>
        <v>361225.30000000255</v>
      </c>
      <c r="T398" s="14">
        <v>126930.69999999741</v>
      </c>
      <c r="U398" s="16">
        <f>IF(H398=0,"",T398/H398)</f>
        <v>0.26002077204827434</v>
      </c>
      <c r="V398" s="14">
        <v>1085</v>
      </c>
      <c r="W398" s="17">
        <f>IF(H398=0,"",V398/H398)</f>
        <v>2.2226501364317965E-3</v>
      </c>
      <c r="X398" s="14">
        <v>5412</v>
      </c>
      <c r="Y398" s="17">
        <f>IF(H398=0,"",X398/H398)</f>
        <v>1.1086619851031227E-2</v>
      </c>
      <c r="Z398" s="14">
        <v>2368</v>
      </c>
      <c r="AA398" s="17">
        <f>IF(H398=0,"",Z398/H398)</f>
        <v>4.8509083161940034E-3</v>
      </c>
      <c r="AB398" s="14">
        <v>0</v>
      </c>
      <c r="AC398" s="17">
        <f>IF(H398=0,"",AB398/H398)</f>
        <v>0</v>
      </c>
      <c r="AD398" s="14">
        <v>0</v>
      </c>
      <c r="AE398" s="17">
        <f>IF(H398=0,"",AD398/H398)</f>
        <v>0</v>
      </c>
      <c r="AF398" s="14">
        <v>0</v>
      </c>
      <c r="AG398" s="17">
        <f>IF(H398=0,"",AF398/H398)</f>
        <v>0</v>
      </c>
      <c r="AH398" s="14">
        <v>103985088</v>
      </c>
      <c r="AI398" s="15">
        <f>IF(H398=0,"",AH398/H398)</f>
        <v>213.01610141020493</v>
      </c>
      <c r="AJ398" s="14">
        <v>19889.900000000001</v>
      </c>
      <c r="AK398" s="17">
        <f>IF(H398=0,"",AJ398/H398)</f>
        <v>4.0744966772916856E-2</v>
      </c>
      <c r="AL398" s="14">
        <v>5467695.1290999996</v>
      </c>
      <c r="AM398" s="15">
        <f>IF(H398=0,"",AL398/H398)</f>
        <v>11.200712741623578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4">
        <v>0</v>
      </c>
      <c r="AU398" s="15">
        <f>AH398+AL398+AP398+AQ398+AR398+AS398+AT398</f>
        <v>109452783.12909999</v>
      </c>
      <c r="AV398" s="15">
        <f>IF(H398=0,"",AU398/H398)</f>
        <v>224.21681415182852</v>
      </c>
      <c r="AW398" s="15">
        <f>IF(S398=0,"",AU398/S398)</f>
        <v>303.00420022932843</v>
      </c>
      <c r="AX398" s="14">
        <v>63</v>
      </c>
      <c r="AY398" s="15">
        <f>IF(H398=0,"",AX398/(H398/1000/12))</f>
        <v>1.5486852563524773</v>
      </c>
      <c r="AZ398" s="14">
        <v>75</v>
      </c>
      <c r="BA398" s="14">
        <v>245</v>
      </c>
      <c r="BB398" s="14">
        <v>123</v>
      </c>
      <c r="BC398" s="14">
        <v>125</v>
      </c>
      <c r="BD398" s="14">
        <v>0</v>
      </c>
      <c r="BE398" s="15">
        <f>BC398+BD398</f>
        <v>125</v>
      </c>
      <c r="BF398" s="15">
        <f>BA398+BB398-BE398</f>
        <v>243</v>
      </c>
      <c r="BG398" s="14">
        <v>17</v>
      </c>
      <c r="BH398" s="14">
        <v>2</v>
      </c>
      <c r="BI398" s="14">
        <v>2</v>
      </c>
      <c r="BJ398" s="14">
        <v>0</v>
      </c>
      <c r="BK398" s="15">
        <f>BI398+BJ398</f>
        <v>2</v>
      </c>
      <c r="BL398" s="15">
        <f>BG398+BH398-BK398</f>
        <v>17</v>
      </c>
      <c r="BM398" s="14">
        <v>16</v>
      </c>
      <c r="BN398" s="14">
        <v>0</v>
      </c>
      <c r="BO398" s="14">
        <v>0</v>
      </c>
      <c r="BP398" s="14">
        <v>0</v>
      </c>
      <c r="BQ398" s="15">
        <f>BO398+BP398</f>
        <v>0</v>
      </c>
      <c r="BR398" s="15">
        <f>BM398+BN398-BQ398</f>
        <v>16</v>
      </c>
      <c r="BS398" s="14">
        <v>4</v>
      </c>
      <c r="BT398" s="14">
        <v>0</v>
      </c>
      <c r="BU398" s="14">
        <v>0</v>
      </c>
      <c r="BV398" s="14">
        <v>0</v>
      </c>
      <c r="BW398" s="15">
        <f>BU398+BV398</f>
        <v>0</v>
      </c>
      <c r="BX398" s="15">
        <f>BS398+BT398-BW398</f>
        <v>4</v>
      </c>
      <c r="BY398" s="15">
        <f>BA398+BG398+BM398+BS398</f>
        <v>282</v>
      </c>
      <c r="BZ398" s="15">
        <f>BB398+BH398+BN398+BT398</f>
        <v>125</v>
      </c>
      <c r="CA398" s="15">
        <f>BE398+BK398+BQ398+BW398</f>
        <v>127</v>
      </c>
      <c r="CB398" s="15">
        <f>BF398+BL398+BR398+BX398</f>
        <v>280</v>
      </c>
      <c r="CC398" s="14">
        <v>0</v>
      </c>
      <c r="CD398" s="14">
        <v>7707</v>
      </c>
      <c r="CE398" s="14">
        <v>344</v>
      </c>
      <c r="CF398" s="14">
        <v>86</v>
      </c>
      <c r="CG398" s="14">
        <v>88</v>
      </c>
      <c r="CH398" s="15">
        <f>CD398+CE398+CF398+CG398</f>
        <v>8225</v>
      </c>
      <c r="CI398" s="14">
        <v>11216</v>
      </c>
      <c r="CJ398" s="14">
        <v>53</v>
      </c>
      <c r="CK398" s="14">
        <v>11</v>
      </c>
      <c r="CL398" s="14">
        <v>40</v>
      </c>
      <c r="CM398" s="15">
        <f>CI398+CJ398+CK398+CL398</f>
        <v>11320</v>
      </c>
      <c r="CN398" s="14">
        <v>6740</v>
      </c>
      <c r="CO398" s="14">
        <v>424</v>
      </c>
      <c r="CP398" s="14">
        <v>389</v>
      </c>
      <c r="CQ398" s="14">
        <v>165</v>
      </c>
      <c r="CR398" s="15">
        <f>CN398+CO398+CP398+CQ398</f>
        <v>7718</v>
      </c>
      <c r="CS398" s="15">
        <f>CM398+CR398</f>
        <v>19038</v>
      </c>
      <c r="CT398" s="14">
        <v>27263</v>
      </c>
      <c r="CU398" s="14">
        <v>142569</v>
      </c>
      <c r="CV398" s="14">
        <v>142565.70000000001</v>
      </c>
      <c r="CW398" s="16">
        <f>IF(CU398=0,"",CV398/CU398)</f>
        <v>0.99997685331313269</v>
      </c>
      <c r="CX398" s="14">
        <v>4</v>
      </c>
      <c r="CY398" s="14">
        <v>3</v>
      </c>
      <c r="CZ398" s="14"/>
      <c r="DA398" s="14">
        <v>2</v>
      </c>
      <c r="DB398" s="15">
        <f>CX398+CY398-CZ398-DA398</f>
        <v>5</v>
      </c>
      <c r="DC398" s="14">
        <v>1</v>
      </c>
      <c r="DD398" s="14">
        <v>1</v>
      </c>
      <c r="DE398" s="14">
        <v>0</v>
      </c>
      <c r="DF398" s="14">
        <v>0</v>
      </c>
      <c r="DG398" s="15">
        <f>DC398+DD398-DE398-DF398</f>
        <v>2</v>
      </c>
      <c r="DH398" s="14">
        <v>1</v>
      </c>
      <c r="DI398" s="14">
        <v>2</v>
      </c>
      <c r="DJ398" s="14">
        <v>0</v>
      </c>
      <c r="DK398" s="14">
        <v>0</v>
      </c>
      <c r="DL398" s="15">
        <f>DH398+DI398-DJ398-DK398</f>
        <v>3</v>
      </c>
      <c r="DM398" s="14">
        <v>1084</v>
      </c>
      <c r="DN398" s="14">
        <v>39</v>
      </c>
      <c r="DO398" s="14">
        <v>0</v>
      </c>
      <c r="DP398" s="14">
        <v>55</v>
      </c>
      <c r="DQ398" s="15">
        <f>DM398+DN398-DO398-DP398</f>
        <v>1068</v>
      </c>
      <c r="DR398" s="15">
        <f t="shared" si="2004"/>
        <v>1090</v>
      </c>
      <c r="DS398" s="15">
        <f t="shared" si="2004"/>
        <v>45</v>
      </c>
      <c r="DT398" s="15">
        <f t="shared" si="2004"/>
        <v>0</v>
      </c>
      <c r="DU398" s="15">
        <f t="shared" si="2004"/>
        <v>57</v>
      </c>
      <c r="DV398" s="15">
        <f t="shared" si="2004"/>
        <v>1078</v>
      </c>
      <c r="DW398" s="14">
        <v>262</v>
      </c>
      <c r="DX398" s="14">
        <v>126</v>
      </c>
      <c r="DY398" s="14">
        <v>87</v>
      </c>
      <c r="DZ398" s="14">
        <v>15</v>
      </c>
      <c r="EA398" s="14">
        <v>49</v>
      </c>
      <c r="EB398" s="14">
        <v>32</v>
      </c>
      <c r="EC398" s="14">
        <v>17</v>
      </c>
      <c r="ED398" s="14">
        <v>0</v>
      </c>
      <c r="EE398" s="14">
        <v>5</v>
      </c>
      <c r="EF398" s="14">
        <v>1</v>
      </c>
      <c r="EG398" s="14">
        <v>0</v>
      </c>
      <c r="EH398" s="14">
        <v>0</v>
      </c>
      <c r="EI398" s="14">
        <v>0</v>
      </c>
      <c r="EJ398" s="14">
        <v>7</v>
      </c>
      <c r="EK398" s="14">
        <v>0</v>
      </c>
      <c r="EL398" s="14">
        <v>0</v>
      </c>
      <c r="EM398" s="14">
        <v>0</v>
      </c>
      <c r="EN398" s="14">
        <v>0</v>
      </c>
      <c r="EO398" s="14">
        <v>0</v>
      </c>
      <c r="EP398" s="14">
        <v>0</v>
      </c>
      <c r="EQ398" s="14">
        <v>0</v>
      </c>
      <c r="ER398" s="14">
        <v>0</v>
      </c>
      <c r="ES398" s="14">
        <v>0</v>
      </c>
      <c r="ET398" s="14">
        <v>0</v>
      </c>
      <c r="EU398" s="14">
        <v>0</v>
      </c>
      <c r="EV398" s="14">
        <v>0</v>
      </c>
      <c r="EW398" s="14">
        <v>0</v>
      </c>
      <c r="EX398" s="14">
        <v>0</v>
      </c>
      <c r="EY398" s="14">
        <v>0</v>
      </c>
      <c r="EZ398" s="14">
        <v>0</v>
      </c>
      <c r="FA398" s="14">
        <v>0</v>
      </c>
      <c r="FB398" s="14">
        <v>0</v>
      </c>
      <c r="FC398" s="14">
        <v>0</v>
      </c>
      <c r="FD398" s="14">
        <v>0</v>
      </c>
      <c r="FE398" s="14">
        <v>0</v>
      </c>
      <c r="FF398" s="14">
        <v>0</v>
      </c>
      <c r="FG398" s="15">
        <f>SUM(DW398,DX398,DY398,DZ398,EA398,EB398,EC398,ED398,EE398,EF398,EG398,EH398,EI398,EJ398,EK398,EL398,EM398,EN398,EO398,EP398,EQ398,ER398,ES398,ET398,EU398,EV398,EW398,EX398,EY398,EZ398,FA398,FB398,FC398,FD398,FE398,FF398)</f>
        <v>601</v>
      </c>
      <c r="FH398" s="14">
        <v>0</v>
      </c>
      <c r="FI398" s="14">
        <v>0</v>
      </c>
      <c r="FJ398" s="14">
        <v>22</v>
      </c>
      <c r="FK398" s="14">
        <v>121.15</v>
      </c>
      <c r="FL398" s="14">
        <v>0</v>
      </c>
      <c r="FM398" s="14">
        <v>2050</v>
      </c>
      <c r="FN398" s="14">
        <v>2502</v>
      </c>
      <c r="FO398" s="14">
        <v>0</v>
      </c>
      <c r="FP398" s="14">
        <v>752</v>
      </c>
      <c r="FQ398" s="15">
        <f>FL398+FM398+FN398+FO398+FP398</f>
        <v>5304</v>
      </c>
      <c r="FR398" s="14">
        <v>107865557.2899999</v>
      </c>
      <c r="FS398" s="14">
        <v>678700</v>
      </c>
      <c r="FT398" s="14">
        <v>256576</v>
      </c>
      <c r="FU398" s="14">
        <v>2227727.92</v>
      </c>
      <c r="FV398" s="15">
        <f>FR398+FS398+FT398+FU398</f>
        <v>111028561.2099999</v>
      </c>
      <c r="FW398" s="14">
        <v>115507594.22</v>
      </c>
      <c r="FX398" s="14">
        <v>4976204.25</v>
      </c>
      <c r="FY398" s="14">
        <v>27456505.719999999</v>
      </c>
      <c r="FZ398" s="14">
        <v>304256571.05000001</v>
      </c>
      <c r="GA398" s="15">
        <f>FW398+FX398+FY398+FZ398</f>
        <v>452196875.24000001</v>
      </c>
      <c r="GB398" s="15">
        <f>FV398+GA398</f>
        <v>563225436.44999993</v>
      </c>
      <c r="GC398" s="14">
        <v>100240242.08</v>
      </c>
      <c r="GD398" s="14">
        <v>572309.76000000001</v>
      </c>
      <c r="GE398" s="14">
        <v>117022346.97</v>
      </c>
      <c r="GF398" s="14">
        <v>867693.33</v>
      </c>
      <c r="GG398" s="15">
        <f>GC398+GD398+GE398+GF398</f>
        <v>218702592.14000002</v>
      </c>
      <c r="GH398" s="14">
        <v>111609908.13</v>
      </c>
      <c r="GI398" s="14">
        <v>4091543.73</v>
      </c>
      <c r="GJ398" s="14">
        <v>302684863.33999997</v>
      </c>
      <c r="GK398" s="14">
        <v>26551868.420000002</v>
      </c>
      <c r="GL398" s="15">
        <f>GH398+GI398+GJ398+GK398</f>
        <v>444938183.62</v>
      </c>
      <c r="GM398" s="15">
        <f>GG398+GL398</f>
        <v>663640775.75999999</v>
      </c>
      <c r="GN398" s="14">
        <v>6016872.8599999994</v>
      </c>
      <c r="GO398" s="14">
        <v>7651.2</v>
      </c>
      <c r="GP398" s="14">
        <v>179862.92</v>
      </c>
      <c r="GQ398" s="14">
        <v>51010.74</v>
      </c>
      <c r="GR398" s="15">
        <f>GN398+GO398+GP398+GQ398</f>
        <v>6255397.7199999997</v>
      </c>
      <c r="GS398" s="14">
        <v>10015888</v>
      </c>
      <c r="GT398" s="14">
        <v>35720</v>
      </c>
      <c r="GU398" s="14">
        <v>47329</v>
      </c>
      <c r="GV398" s="14">
        <v>9823</v>
      </c>
      <c r="GW398" s="15">
        <f>GS398+GT398+GU398+GV398</f>
        <v>10108760</v>
      </c>
      <c r="GX398" s="15">
        <f>GM398+GR398+GW398</f>
        <v>680004933.48000002</v>
      </c>
      <c r="GY398" s="14">
        <v>1203767995.1700239</v>
      </c>
      <c r="GZ398" s="14">
        <v>695966125.62999988</v>
      </c>
      <c r="HA398" s="9">
        <f t="shared" si="1937"/>
        <v>1899734120.8000238</v>
      </c>
      <c r="HB398" s="15">
        <f>IF(GX398=0,"",AU398/GX398)</f>
        <v>0.16095880741476881</v>
      </c>
      <c r="HC398" s="16">
        <f>IF((GX398+GY398)=0,"",GB398/(GX398+GY398))</f>
        <v>0.29898796605683603</v>
      </c>
      <c r="HD398" s="15">
        <f>IF(GX398=0,"",GB398/GX398)</f>
        <v>0.82826669148947463</v>
      </c>
      <c r="HE398" s="14">
        <v>125</v>
      </c>
      <c r="HF398" s="14">
        <v>5</v>
      </c>
      <c r="HG398" s="14">
        <v>280</v>
      </c>
      <c r="HH398" s="14">
        <v>125</v>
      </c>
      <c r="HI398" s="14">
        <v>90</v>
      </c>
      <c r="HJ398" s="15">
        <f>HF398+HI398</f>
        <v>95</v>
      </c>
      <c r="HK398" s="16">
        <f>IF(HE398=0,"",HH398/HE398)</f>
        <v>1</v>
      </c>
      <c r="HL398" s="14">
        <v>41</v>
      </c>
      <c r="HM398" s="14">
        <v>31</v>
      </c>
      <c r="HN398" s="17">
        <f>IF(HL398=0,"",HM398/HL398)</f>
        <v>0.75609756097560976</v>
      </c>
    </row>
  </sheetData>
  <mergeCells count="32">
    <mergeCell ref="A1:G1"/>
    <mergeCell ref="FH1:FK1"/>
    <mergeCell ref="GC1:GM1"/>
    <mergeCell ref="FR1:GB1"/>
    <mergeCell ref="CX1:DB1"/>
    <mergeCell ref="DH1:DL1"/>
    <mergeCell ref="AN1:AW1"/>
    <mergeCell ref="DR1:DV1"/>
    <mergeCell ref="AX1:AZ1"/>
    <mergeCell ref="CC1:CH1"/>
    <mergeCell ref="CI1:CT1"/>
    <mergeCell ref="CU1:CW1"/>
    <mergeCell ref="DW1:EI1"/>
    <mergeCell ref="DC1:DG1"/>
    <mergeCell ref="GS1:GW1"/>
    <mergeCell ref="BY1:CB1"/>
    <mergeCell ref="EY1:FF1"/>
    <mergeCell ref="HL1:HN1"/>
    <mergeCell ref="GN1:GR1"/>
    <mergeCell ref="GX1:HD1"/>
    <mergeCell ref="ES1:EX1"/>
    <mergeCell ref="FL1:FQ1"/>
    <mergeCell ref="DM1:DQ1"/>
    <mergeCell ref="HE1:HK1"/>
    <mergeCell ref="BG1:BL1"/>
    <mergeCell ref="BM1:BR1"/>
    <mergeCell ref="BS1:BX1"/>
    <mergeCell ref="H1:U1"/>
    <mergeCell ref="EJ1:ER1"/>
    <mergeCell ref="AJ1:AM1"/>
    <mergeCell ref="V1:AI1"/>
    <mergeCell ref="BA1:B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1"/>
  <sheetViews>
    <sheetView showGridLines="0" workbookViewId="0"/>
  </sheetViews>
  <sheetFormatPr defaultColWidth="8.6640625" defaultRowHeight="14.4" x14ac:dyDescent="0.3"/>
  <cols>
    <col min="1" max="2" width="14" style="28" customWidth="1"/>
    <col min="3" max="3" width="28" style="28" customWidth="1"/>
    <col min="4" max="8" width="16" style="28" customWidth="1"/>
    <col min="9" max="9" width="9.21875" style="28" customWidth="1"/>
  </cols>
  <sheetData>
    <row r="1" spans="1:8" ht="25.5" customHeight="1" x14ac:dyDescent="0.3">
      <c r="A1" s="44" t="s">
        <v>305</v>
      </c>
      <c r="B1" s="45"/>
      <c r="C1" s="45"/>
      <c r="D1" s="45"/>
      <c r="E1" s="45"/>
      <c r="F1" s="45"/>
      <c r="G1" s="45"/>
      <c r="H1" s="45"/>
    </row>
    <row r="2" spans="1:8" ht="24.75" customHeight="1" x14ac:dyDescent="0.3">
      <c r="A2" s="18" t="s">
        <v>33</v>
      </c>
      <c r="B2" s="18" t="s">
        <v>34</v>
      </c>
      <c r="C2" s="18" t="s">
        <v>306</v>
      </c>
      <c r="D2" s="18" t="s">
        <v>307</v>
      </c>
      <c r="E2" s="18" t="s">
        <v>308</v>
      </c>
      <c r="F2" s="18" t="s">
        <v>309</v>
      </c>
      <c r="G2" s="18" t="s">
        <v>310</v>
      </c>
      <c r="H2" s="18" t="s">
        <v>311</v>
      </c>
    </row>
    <row r="3" spans="1:8" x14ac:dyDescent="0.3">
      <c r="A3" s="19" t="s">
        <v>255</v>
      </c>
      <c r="B3" s="19" t="s">
        <v>256</v>
      </c>
      <c r="C3" s="6" t="s">
        <v>40</v>
      </c>
      <c r="D3" s="15">
        <f>IFERROR(SUMIFS(DataEntry!$H:$H,DataEntry!$A:$A,"Liwonde",DataEntry!$B:$B,"Balaka",DataEntry!$G:$G,"Q1"),"")</f>
        <v>140064</v>
      </c>
      <c r="E3" s="15">
        <f>IFERROR(SUMIFS(DataEntry!$H:$H,DataEntry!$A:$A,"Liwonde",DataEntry!$B:$B,"Balaka",DataEntry!$G:$G,"Q2"),"")</f>
        <v>178661</v>
      </c>
      <c r="F3" s="15">
        <f>IFERROR(SUMIFS(DataEntry!$H:$H,DataEntry!$A:$A,"Liwonde",DataEntry!$B:$B,"Balaka",DataEntry!$G:$G,"Q3"),"")</f>
        <v>146829</v>
      </c>
      <c r="G3" s="15">
        <f>IFERROR(SUMIFS(DataEntry!$H:$H,DataEntry!$A:$A,"Liwonde",DataEntry!$B:$B,"Balaka",DataEntry!$G:$G,"Q4"),"")</f>
        <v>144118</v>
      </c>
      <c r="H3" s="20">
        <f>IFERROR(SUM(D3:G3),"")</f>
        <v>609672</v>
      </c>
    </row>
    <row r="4" spans="1:8" x14ac:dyDescent="0.3">
      <c r="A4" s="21" t="s">
        <v>255</v>
      </c>
      <c r="B4" s="21" t="s">
        <v>256</v>
      </c>
      <c r="C4" s="12" t="s">
        <v>312</v>
      </c>
      <c r="D4" s="9">
        <f>IFERROR(SUMIFS(DataEntry!$S:$S,DataEntry!$A:$A,"Liwonde",DataEntry!$B:$B,"Balaka",DataEntry!$G:$G,"Q1"),"")</f>
        <v>98433.39999999998</v>
      </c>
      <c r="E4" s="9">
        <f>IFERROR(SUMIFS(DataEntry!$S:$S,DataEntry!$A:$A,"Liwonde",DataEntry!$B:$B,"Balaka",DataEntry!$G:$G,"Q2"),"")</f>
        <v>124285.70000000011</v>
      </c>
      <c r="F4" s="9">
        <f>IFERROR(SUMIFS(DataEntry!$S:$S,DataEntry!$A:$A,"Liwonde",DataEntry!$B:$B,"Balaka",DataEntry!$G:$G,"Q3"),"")</f>
        <v>102247.7</v>
      </c>
      <c r="G4" s="9">
        <f>IFERROR(SUMIFS(DataEntry!$S:$S,DataEntry!$A:$A,"Liwonde",DataEntry!$B:$B,"Balaka",DataEntry!$G:$G,"Q4"),"")</f>
        <v>99540.4</v>
      </c>
      <c r="H4" s="22">
        <f>IFERROR(SUM(D4:G4),"")</f>
        <v>424507.20000000007</v>
      </c>
    </row>
    <row r="5" spans="1:8" x14ac:dyDescent="0.3">
      <c r="A5" s="19" t="s">
        <v>255</v>
      </c>
      <c r="B5" s="19" t="s">
        <v>256</v>
      </c>
      <c r="C5" s="6" t="s">
        <v>313</v>
      </c>
      <c r="D5" s="15">
        <f>IFERROR(SUMIFS(DataEntry!$T:$T,DataEntry!$A:$A,"Liwonde",DataEntry!$B:$B,"Balaka",DataEntry!$G:$G,"Q1"),"")</f>
        <v>41630.600000000006</v>
      </c>
      <c r="E5" s="15">
        <f>IFERROR(SUMIFS(DataEntry!$T:$T,DataEntry!$A:$A,"Liwonde",DataEntry!$B:$B,"Balaka",DataEntry!$G:$G,"Q2"),"")</f>
        <v>54375.299999999901</v>
      </c>
      <c r="F5" s="15">
        <f>IFERROR(SUMIFS(DataEntry!$T:$T,DataEntry!$A:$A,"Liwonde",DataEntry!$B:$B,"Balaka",DataEntry!$G:$G,"Q3"),"")</f>
        <v>44581.3</v>
      </c>
      <c r="G5" s="15">
        <f>IFERROR(SUMIFS(DataEntry!$T:$T,DataEntry!$A:$A,"Liwonde",DataEntry!$B:$B,"Balaka",DataEntry!$G:$G,"Q4"),"")</f>
        <v>44577.599999999999</v>
      </c>
      <c r="H5" s="20">
        <f>IFERROR(SUM(D5:G5),"")</f>
        <v>185164.7999999999</v>
      </c>
    </row>
    <row r="6" spans="1:8" x14ac:dyDescent="0.3">
      <c r="A6" s="21" t="s">
        <v>255</v>
      </c>
      <c r="B6" s="21" t="s">
        <v>256</v>
      </c>
      <c r="C6" s="12" t="s">
        <v>53</v>
      </c>
      <c r="D6" s="10">
        <f>IFERROR(AVERAGEIFS(DataEntry!$U:$U,DataEntry!$A:$A,"Liwonde",DataEntry!$B:$B,"Balaka",DataEntry!$G:$G,"Q1"),"")</f>
        <v>0.29711544464298245</v>
      </c>
      <c r="E6" s="10">
        <f>IFERROR(AVERAGEIFS(DataEntry!$U:$U,DataEntry!$A:$A,"Liwonde",DataEntry!$B:$B,"Balaka",DataEntry!$G:$G,"Q2"),"")</f>
        <v>0.30357648166818746</v>
      </c>
      <c r="F6" s="10">
        <f>IFERROR(AVERAGEIFS(DataEntry!$U:$U,DataEntry!$A:$A,"Liwonde",DataEntry!$B:$B,"Balaka",DataEntry!$G:$G,"Q3"),"")</f>
        <v>0.30334446037395962</v>
      </c>
      <c r="G6" s="10">
        <f>IFERROR(AVERAGEIFS(DataEntry!$U:$U,DataEntry!$A:$A,"Liwonde",DataEntry!$B:$B,"Balaka",DataEntry!$G:$G,"Q4"),"")</f>
        <v>0.30935861781294777</v>
      </c>
      <c r="H6" s="23">
        <f>IFERROR(AVERAGE(D6:G6),"")</f>
        <v>0.30334875112451931</v>
      </c>
    </row>
    <row r="7" spans="1:8" x14ac:dyDescent="0.3">
      <c r="A7" s="19" t="s">
        <v>255</v>
      </c>
      <c r="B7" s="19" t="s">
        <v>256</v>
      </c>
      <c r="C7" s="6" t="s">
        <v>314</v>
      </c>
      <c r="D7" s="15">
        <f>IFERROR(SUMIFS(DataEntry!$AU:$AU,DataEntry!$A:$A,"Liwonde",DataEntry!$B:$B,"Balaka",DataEntry!$G:$G,"Q1"),"")</f>
        <v>103824208.30625001</v>
      </c>
      <c r="E7" s="15">
        <f>IFERROR(SUMIFS(DataEntry!$AU:$AU,DataEntry!$A:$A,"Liwonde",DataEntry!$B:$B,"Balaka",DataEntry!$G:$G,"Q2"),"")</f>
        <v>104938010.37424999</v>
      </c>
      <c r="F7" s="15">
        <f>IFERROR(SUMIFS(DataEntry!$AU:$AU,DataEntry!$A:$A,"Liwonde",DataEntry!$B:$B,"Balaka",DataEntry!$G:$G,"Q3"),"")</f>
        <v>82817485.290000007</v>
      </c>
      <c r="G7" s="15">
        <f>IFERROR(SUMIFS(DataEntry!$AU:$AU,DataEntry!$A:$A,"Liwonde",DataEntry!$B:$B,"Balaka",DataEntry!$G:$G,"Q4"),"")</f>
        <v>84428088.859999999</v>
      </c>
      <c r="H7" s="20">
        <f t="shared" ref="H7:H13" si="0">IFERROR(SUM(D7:G7),"")</f>
        <v>376007792.83050001</v>
      </c>
    </row>
    <row r="8" spans="1:8" x14ac:dyDescent="0.3">
      <c r="A8" s="21" t="s">
        <v>255</v>
      </c>
      <c r="B8" s="21" t="s">
        <v>256</v>
      </c>
      <c r="C8" s="12" t="s">
        <v>315</v>
      </c>
      <c r="D8" s="9">
        <f>IFERROR(SUMIFS(DataEntry!$GB:$GB,DataEntry!$A:$A,"Liwonde",DataEntry!$B:$B,"Balaka",DataEntry!$G:$G,"Q1"),"")</f>
        <v>169479300.78</v>
      </c>
      <c r="E8" s="9">
        <f>IFERROR(SUMIFS(DataEntry!$GB:$GB,DataEntry!$A:$A,"Liwonde",DataEntry!$B:$B,"Balaka",DataEntry!$G:$G,"Q2"),"")</f>
        <v>155731214.87000012</v>
      </c>
      <c r="F8" s="9">
        <f>IFERROR(SUMIFS(DataEntry!$GB:$GB,DataEntry!$A:$A,"Liwonde",DataEntry!$B:$B,"Balaka",DataEntry!$G:$G,"Q3"),"")</f>
        <v>153211231.06999999</v>
      </c>
      <c r="G8" s="9">
        <f>IFERROR(SUMIFS(DataEntry!$GB:$GB,DataEntry!$A:$A,"Liwonde",DataEntry!$B:$B,"Balaka",DataEntry!$G:$G,"Q4"),"")</f>
        <v>139307114.46000001</v>
      </c>
      <c r="H8" s="22">
        <f t="shared" si="0"/>
        <v>617728861.18000007</v>
      </c>
    </row>
    <row r="9" spans="1:8" x14ac:dyDescent="0.3">
      <c r="A9" s="19" t="s">
        <v>255</v>
      </c>
      <c r="B9" s="19" t="s">
        <v>256</v>
      </c>
      <c r="C9" s="6" t="s">
        <v>316</v>
      </c>
      <c r="D9" s="15">
        <f>IFERROR(SUMIFS(DataEntry!$GM:$GM,DataEntry!$A:$A,"Liwonde",DataEntry!$B:$B,"Balaka",DataEntry!$G:$G,"Q1"),"")</f>
        <v>116762601.46000032</v>
      </c>
      <c r="E9" s="15">
        <f>IFERROR(SUMIFS(DataEntry!$GM:$GM,DataEntry!$A:$A,"Liwonde",DataEntry!$B:$B,"Balaka",DataEntry!$G:$G,"Q2"),"")</f>
        <v>142204802.82000014</v>
      </c>
      <c r="F9" s="15">
        <f>IFERROR(SUMIFS(DataEntry!$GM:$GM,DataEntry!$A:$A,"Liwonde",DataEntry!$B:$B,"Balaka",DataEntry!$G:$G,"Q3"),"")</f>
        <v>123819901.08000006</v>
      </c>
      <c r="G9" s="15">
        <f>IFERROR(SUMIFS(DataEntry!$GM:$GM,DataEntry!$A:$A,"Liwonde",DataEntry!$B:$B,"Balaka",DataEntry!$G:$G,"Q4"),"")</f>
        <v>120844272.06000003</v>
      </c>
      <c r="H9" s="20">
        <f t="shared" si="0"/>
        <v>503631577.42000055</v>
      </c>
    </row>
    <row r="10" spans="1:8" x14ac:dyDescent="0.3">
      <c r="A10" s="21" t="s">
        <v>255</v>
      </c>
      <c r="B10" s="21" t="s">
        <v>256</v>
      </c>
      <c r="C10" s="12" t="s">
        <v>317</v>
      </c>
      <c r="D10" s="9">
        <f>IFERROR(SUMIFS(DataEntry!$GX:$GX,DataEntry!$A:$A,"Liwonde",DataEntry!$B:$B,"Balaka",DataEntry!$G:$G,"Q1"),"")</f>
        <v>130884306.88000032</v>
      </c>
      <c r="E10" s="9">
        <f>IFERROR(SUMIFS(DataEntry!$GX:$GX,DataEntry!$A:$A,"Liwonde",DataEntry!$B:$B,"Balaka",DataEntry!$G:$G,"Q2"),"")</f>
        <v>155319511.72000015</v>
      </c>
      <c r="F10" s="9">
        <f>IFERROR(SUMIFS(DataEntry!$GX:$GX,DataEntry!$A:$A,"Liwonde",DataEntry!$B:$B,"Balaka",DataEntry!$G:$G,"Q3"),"")</f>
        <v>136740722.95000005</v>
      </c>
      <c r="G10" s="9">
        <f>IFERROR(SUMIFS(DataEntry!$GX:$GX,DataEntry!$A:$A,"Liwonde",DataEntry!$B:$B,"Balaka",DataEntry!$G:$G,"Q4"),"")</f>
        <v>133509180.58000007</v>
      </c>
      <c r="H10" s="22">
        <f t="shared" si="0"/>
        <v>556453722.13000059</v>
      </c>
    </row>
    <row r="11" spans="1:8" x14ac:dyDescent="0.3">
      <c r="A11" s="19" t="s">
        <v>255</v>
      </c>
      <c r="B11" s="19" t="s">
        <v>256</v>
      </c>
      <c r="C11" s="6" t="s">
        <v>318</v>
      </c>
      <c r="D11" s="15">
        <f>IFERROR(SUMIFS(DataEntry!$CS:$CS,DataEntry!$A:$A,"Liwonde",DataEntry!$B:$B,"Balaka",DataEntry!$G:$G,"Q1"),"")</f>
        <v>15096</v>
      </c>
      <c r="E11" s="15">
        <f>IFERROR(SUMIFS(DataEntry!$CS:$CS,DataEntry!$A:$A,"Liwonde",DataEntry!$B:$B,"Balaka",DataEntry!$G:$G,"Q2"),"")</f>
        <v>15891</v>
      </c>
      <c r="F11" s="15">
        <f>IFERROR(SUMIFS(DataEntry!$CS:$CS,DataEntry!$A:$A,"Liwonde",DataEntry!$B:$B,"Balaka",DataEntry!$G:$G,"Q3"),"")</f>
        <v>16379</v>
      </c>
      <c r="G11" s="15">
        <f>IFERROR(SUMIFS(DataEntry!$CS:$CS,DataEntry!$A:$A,"Liwonde",DataEntry!$B:$B,"Balaka",DataEntry!$G:$G,"Q4"),"")</f>
        <v>16619</v>
      </c>
      <c r="H11" s="20">
        <f t="shared" si="0"/>
        <v>63985</v>
      </c>
    </row>
    <row r="12" spans="1:8" x14ac:dyDescent="0.3">
      <c r="A12" s="21" t="s">
        <v>255</v>
      </c>
      <c r="B12" s="21" t="s">
        <v>256</v>
      </c>
      <c r="C12" s="12" t="s">
        <v>319</v>
      </c>
      <c r="D12" s="9">
        <f>IFERROR(SUMIFS(DataEntry!$CA:$CA,DataEntry!$A:$A,"Liwonde",DataEntry!$B:$B,"Balaka",DataEntry!$G:$G,"Q1"),"")</f>
        <v>113</v>
      </c>
      <c r="E12" s="9">
        <f>IFERROR(SUMIFS(DataEntry!$CA:$CA,DataEntry!$A:$A,"Liwonde",DataEntry!$B:$B,"Balaka",DataEntry!$G:$G,"Q2"),"")</f>
        <v>157</v>
      </c>
      <c r="F12" s="9">
        <f>IFERROR(SUMIFS(DataEntry!$CA:$CA,DataEntry!$A:$A,"Liwonde",DataEntry!$B:$B,"Balaka",DataEntry!$G:$G,"Q3"),"")</f>
        <v>109</v>
      </c>
      <c r="G12" s="9">
        <f>IFERROR(SUMIFS(DataEntry!$CA:$CA,DataEntry!$A:$A,"Liwonde",DataEntry!$B:$B,"Balaka",DataEntry!$G:$G,"Q4"),"")</f>
        <v>77</v>
      </c>
      <c r="H12" s="22">
        <f t="shared" si="0"/>
        <v>456</v>
      </c>
    </row>
    <row r="13" spans="1:8" x14ac:dyDescent="0.3">
      <c r="A13" s="19" t="s">
        <v>255</v>
      </c>
      <c r="B13" s="19" t="s">
        <v>256</v>
      </c>
      <c r="C13" s="6" t="s">
        <v>320</v>
      </c>
      <c r="D13" s="15">
        <f>IFERROR(SUMIFS(DataEntry!$DV:$DV,DataEntry!$A:$A,"Liwonde",DataEntry!$B:$B,"Balaka",DataEntry!$G:$G,"Q1"),"")</f>
        <v>953</v>
      </c>
      <c r="E13" s="15">
        <f>IFERROR(SUMIFS(DataEntry!$DV:$DV,DataEntry!$A:$A,"Liwonde",DataEntry!$B:$B,"Balaka",DataEntry!$G:$G,"Q2"),"")</f>
        <v>607</v>
      </c>
      <c r="F13" s="15">
        <f>IFERROR(SUMIFS(DataEntry!$DV:$DV,DataEntry!$A:$A,"Liwonde",DataEntry!$B:$B,"Balaka",DataEntry!$G:$G,"Q3"),"")</f>
        <v>579</v>
      </c>
      <c r="G13" s="15">
        <f>IFERROR(SUMIFS(DataEntry!$DV:$DV,DataEntry!$A:$A,"Liwonde",DataEntry!$B:$B,"Balaka",DataEntry!$G:$G,"Q4"),"")</f>
        <v>789</v>
      </c>
      <c r="H13" s="20">
        <f t="shared" si="0"/>
        <v>2928</v>
      </c>
    </row>
    <row r="14" spans="1:8" x14ac:dyDescent="0.3">
      <c r="A14" s="21" t="s">
        <v>255</v>
      </c>
      <c r="B14" s="21" t="s">
        <v>256</v>
      </c>
      <c r="C14" s="12" t="s">
        <v>243</v>
      </c>
      <c r="D14" s="10">
        <f>IFERROR(AVERAGEIFS(DataEntry!$HC:$HC,DataEntry!$A:$A,"Liwonde",DataEntry!$B:$B,"Balaka",DataEntry!$G:$G,"Q1"),"")</f>
        <v>0.16984256293562136</v>
      </c>
      <c r="E14" s="10">
        <f>IFERROR(AVERAGEIFS(DataEntry!$HC:$HC,DataEntry!$A:$A,"Liwonde",DataEntry!$B:$B,"Balaka",DataEntry!$G:$G,"Q2"),"")</f>
        <v>0.15911492232864541</v>
      </c>
      <c r="F14" s="10">
        <f>IFERROR(AVERAGEIFS(DataEntry!$HC:$HC,DataEntry!$A:$A,"Liwonde",DataEntry!$B:$B,"Balaka",DataEntry!$G:$G,"Q3"),"")</f>
        <v>0.21932823988628294</v>
      </c>
      <c r="G14" s="10">
        <f>IFERROR(AVERAGEIFS(DataEntry!$HC:$HC,DataEntry!$A:$A,"Liwonde",DataEntry!$B:$B,"Balaka",DataEntry!$G:$G,"Q4"),"")</f>
        <v>40585550.686877392</v>
      </c>
      <c r="H14" s="23">
        <f>IFERROR(AVERAGE(D14:G14),"")</f>
        <v>10146387.808790779</v>
      </c>
    </row>
    <row r="15" spans="1:8" x14ac:dyDescent="0.3">
      <c r="A15" s="19" t="s">
        <v>255</v>
      </c>
      <c r="B15" s="19" t="s">
        <v>256</v>
      </c>
      <c r="C15" s="6" t="s">
        <v>242</v>
      </c>
      <c r="D15" s="16">
        <f>IFERROR(AVERAGEIFS(DataEntry!$HB:$HB,DataEntry!$A:$A,"Liwonde",DataEntry!$B:$B,"Balaka",DataEntry!$G:$G,"Q1"),"")</f>
        <v>0.79957858594462949</v>
      </c>
      <c r="E15" s="16">
        <f>IFERROR(AVERAGEIFS(DataEntry!$HB:$HB,DataEntry!$A:$A,"Liwonde",DataEntry!$B:$B,"Balaka",DataEntry!$G:$G,"Q2"),"")</f>
        <v>0.68654199055992304</v>
      </c>
      <c r="F15" s="16">
        <f>IFERROR(AVERAGEIFS(DataEntry!$HB:$HB,DataEntry!$A:$A,"Liwonde",DataEntry!$B:$B,"Balaka",DataEntry!$G:$G,"Q3"),"")</f>
        <v>0.60307416167254457</v>
      </c>
      <c r="G15" s="16">
        <f>IFERROR(AVERAGEIFS(DataEntry!$HB:$HB,DataEntry!$A:$A,"Liwonde",DataEntry!$B:$B,"Balaka",DataEntry!$G:$G,"Q4"),"")</f>
        <v>14593168.862762684</v>
      </c>
      <c r="H15" s="24">
        <f>IFERROR(AVERAGE(D15:G15),"")</f>
        <v>3648292.7379893553</v>
      </c>
    </row>
    <row r="16" spans="1:8" x14ac:dyDescent="0.3">
      <c r="A16" s="21" t="s">
        <v>255</v>
      </c>
      <c r="B16" s="21" t="s">
        <v>255</v>
      </c>
      <c r="C16" s="12" t="s">
        <v>40</v>
      </c>
      <c r="D16" s="9">
        <f>IFERROR(SUMIFS(DataEntry!$H:$H,DataEntry!$A:$A,"Liwonde",DataEntry!$B:$B,"Liwonde",DataEntry!$G:$G,"Q1"),"")</f>
        <v>179812</v>
      </c>
      <c r="E16" s="9">
        <f>IFERROR(SUMIFS(DataEntry!$H:$H,DataEntry!$A:$A,"Liwonde",DataEntry!$B:$B,"Liwonde",DataEntry!$G:$G,"Q2"),"")</f>
        <v>220181</v>
      </c>
      <c r="F16" s="9">
        <f>IFERROR(SUMIFS(DataEntry!$H:$H,DataEntry!$A:$A,"Liwonde",DataEntry!$B:$B,"Liwonde",DataEntry!$G:$G,"Q3"),"")</f>
        <v>197953</v>
      </c>
      <c r="G16" s="9">
        <f>IFERROR(SUMIFS(DataEntry!$H:$H,DataEntry!$A:$A,"Liwonde",DataEntry!$B:$B,"Liwonde",DataEntry!$G:$G,"Q4"),"")</f>
        <v>186069</v>
      </c>
      <c r="H16" s="22">
        <f>IFERROR(SUM(D16:G16),"")</f>
        <v>784015</v>
      </c>
    </row>
    <row r="17" spans="1:8" x14ac:dyDescent="0.3">
      <c r="A17" s="19" t="s">
        <v>255</v>
      </c>
      <c r="B17" s="19" t="s">
        <v>255</v>
      </c>
      <c r="C17" s="6" t="s">
        <v>312</v>
      </c>
      <c r="D17" s="15">
        <f>IFERROR(SUMIFS(DataEntry!$S:$S,DataEntry!$A:$A,"Liwonde",DataEntry!$B:$B,"Liwonde",DataEntry!$G:$G,"Q1"),"")</f>
        <v>127143.2</v>
      </c>
      <c r="E17" s="15">
        <f>IFERROR(SUMIFS(DataEntry!$S:$S,DataEntry!$A:$A,"Liwonde",DataEntry!$B:$B,"Liwonde",DataEntry!$G:$G,"Q2"),"")</f>
        <v>153428.6</v>
      </c>
      <c r="F17" s="15">
        <f>IFERROR(SUMIFS(DataEntry!$S:$S,DataEntry!$A:$A,"Liwonde",DataEntry!$B:$B,"Liwonde",DataEntry!$G:$G,"Q3"),"")</f>
        <v>138959.70000000001</v>
      </c>
      <c r="G17" s="15">
        <f>IFERROR(SUMIFS(DataEntry!$S:$S,DataEntry!$A:$A,"Liwonde",DataEntry!$B:$B,"Liwonde",DataEntry!$G:$G,"Q4"),"")</f>
        <v>129912.4</v>
      </c>
      <c r="H17" s="20">
        <f>IFERROR(SUM(D17:G17),"")</f>
        <v>549443.9</v>
      </c>
    </row>
    <row r="18" spans="1:8" x14ac:dyDescent="0.3">
      <c r="A18" s="21" t="s">
        <v>255</v>
      </c>
      <c r="B18" s="21" t="s">
        <v>255</v>
      </c>
      <c r="C18" s="12" t="s">
        <v>313</v>
      </c>
      <c r="D18" s="9">
        <f>IFERROR(SUMIFS(DataEntry!$T:$T,DataEntry!$A:$A,"Liwonde",DataEntry!$B:$B,"Liwonde",DataEntry!$G:$G,"Q1"),"")</f>
        <v>52668.800000000003</v>
      </c>
      <c r="E18" s="9">
        <f>IFERROR(SUMIFS(DataEntry!$T:$T,DataEntry!$A:$A,"Liwonde",DataEntry!$B:$B,"Liwonde",DataEntry!$G:$G,"Q2"),"")</f>
        <v>66752.399999999994</v>
      </c>
      <c r="F18" s="9">
        <f>IFERROR(SUMIFS(DataEntry!$T:$T,DataEntry!$A:$A,"Liwonde",DataEntry!$B:$B,"Liwonde",DataEntry!$G:$G,"Q3"),"")</f>
        <v>58993.299999999996</v>
      </c>
      <c r="G18" s="9">
        <f>IFERROR(SUMIFS(DataEntry!$T:$T,DataEntry!$A:$A,"Liwonde",DataEntry!$B:$B,"Liwonde",DataEntry!$G:$G,"Q4"),"")</f>
        <v>56156.600000000006</v>
      </c>
      <c r="H18" s="22">
        <f>IFERROR(SUM(D18:G18),"")</f>
        <v>234571.1</v>
      </c>
    </row>
    <row r="19" spans="1:8" x14ac:dyDescent="0.3">
      <c r="A19" s="19" t="s">
        <v>255</v>
      </c>
      <c r="B19" s="19" t="s">
        <v>255</v>
      </c>
      <c r="C19" s="6" t="s">
        <v>53</v>
      </c>
      <c r="D19" s="16">
        <f>IFERROR(AVERAGEIFS(DataEntry!$U:$U,DataEntry!$A:$A,"Liwonde",DataEntry!$B:$B,"Liwonde",DataEntry!$G:$G,"Q1"),"")</f>
        <v>0.29369749648544202</v>
      </c>
      <c r="E19" s="16">
        <f>IFERROR(AVERAGEIFS(DataEntry!$U:$U,DataEntry!$A:$A,"Liwonde",DataEntry!$B:$B,"Liwonde",DataEntry!$G:$G,"Q2"),"")</f>
        <v>0.30325364458407811</v>
      </c>
      <c r="F19" s="16">
        <f>IFERROR(AVERAGEIFS(DataEntry!$U:$U,DataEntry!$A:$A,"Liwonde",DataEntry!$B:$B,"Liwonde",DataEntry!$G:$G,"Q3"),"")</f>
        <v>0.29786782883743651</v>
      </c>
      <c r="G19" s="16">
        <f>IFERROR(AVERAGEIFS(DataEntry!$U:$U,DataEntry!$A:$A,"Liwonde",DataEntry!$B:$B,"Liwonde",DataEntry!$G:$G,"Q4"),"")</f>
        <v>0.30181689051960664</v>
      </c>
      <c r="H19" s="24">
        <f>IFERROR(AVERAGE(D19:G19),"")</f>
        <v>0.29915896510664081</v>
      </c>
    </row>
    <row r="20" spans="1:8" x14ac:dyDescent="0.3">
      <c r="A20" s="21" t="s">
        <v>255</v>
      </c>
      <c r="B20" s="21" t="s">
        <v>255</v>
      </c>
      <c r="C20" s="12" t="s">
        <v>314</v>
      </c>
      <c r="D20" s="9">
        <f>IFERROR(SUMIFS(DataEntry!$AU:$AU,DataEntry!$A:$A,"Liwonde",DataEntry!$B:$B,"Liwonde",DataEntry!$G:$G,"Q1"),"")</f>
        <v>128827630.33316</v>
      </c>
      <c r="E20" s="9">
        <f>IFERROR(SUMIFS(DataEntry!$AU:$AU,DataEntry!$A:$A,"Liwonde",DataEntry!$B:$B,"Liwonde",DataEntry!$G:$G,"Q2"),"")</f>
        <v>133721745.04939999</v>
      </c>
      <c r="F20" s="9">
        <f>IFERROR(SUMIFS(DataEntry!$AU:$AU,DataEntry!$A:$A,"Liwonde",DataEntry!$B:$B,"Liwonde",DataEntry!$G:$G,"Q3"),"")</f>
        <v>106792501.5143</v>
      </c>
      <c r="G20" s="9">
        <f>IFERROR(SUMIFS(DataEntry!$AU:$AU,DataEntry!$A:$A,"Liwonde",DataEntry!$B:$B,"Liwonde",DataEntry!$G:$G,"Q4"),"")</f>
        <v>97581828.401962698</v>
      </c>
      <c r="H20" s="22">
        <f t="shared" ref="H20:H26" si="1">IFERROR(SUM(D20:G20),"")</f>
        <v>466923705.2988227</v>
      </c>
    </row>
    <row r="21" spans="1:8" x14ac:dyDescent="0.3">
      <c r="A21" s="19" t="s">
        <v>255</v>
      </c>
      <c r="B21" s="19" t="s">
        <v>255</v>
      </c>
      <c r="C21" s="6" t="s">
        <v>315</v>
      </c>
      <c r="D21" s="15">
        <f>IFERROR(SUMIFS(DataEntry!$GB:$GB,DataEntry!$A:$A,"Liwonde",DataEntry!$B:$B,"Liwonde",DataEntry!$G:$G,"Q1"),"")</f>
        <v>227710314.88999993</v>
      </c>
      <c r="E21" s="15">
        <f>IFERROR(SUMIFS(DataEntry!$GB:$GB,DataEntry!$A:$A,"Liwonde",DataEntry!$B:$B,"Liwonde",DataEntry!$G:$G,"Q2"),"")</f>
        <v>212998528.49999991</v>
      </c>
      <c r="F21" s="15">
        <f>IFERROR(SUMIFS(DataEntry!$GB:$GB,DataEntry!$A:$A,"Liwonde",DataEntry!$B:$B,"Liwonde",DataEntry!$G:$G,"Q3"),"")</f>
        <v>197631198.38</v>
      </c>
      <c r="G21" s="15">
        <f>IFERROR(SUMIFS(DataEntry!$GB:$GB,DataEntry!$A:$A,"Liwonde",DataEntry!$B:$B,"Liwonde",DataEntry!$G:$G,"Q4"),"")</f>
        <v>189778735.99000001</v>
      </c>
      <c r="H21" s="20">
        <f t="shared" si="1"/>
        <v>828118777.75999987</v>
      </c>
    </row>
    <row r="22" spans="1:8" x14ac:dyDescent="0.3">
      <c r="A22" s="21" t="s">
        <v>255</v>
      </c>
      <c r="B22" s="21" t="s">
        <v>255</v>
      </c>
      <c r="C22" s="12" t="s">
        <v>316</v>
      </c>
      <c r="D22" s="9">
        <f>IFERROR(SUMIFS(DataEntry!$GM:$GM,DataEntry!$A:$A,"Liwonde",DataEntry!$B:$B,"Liwonde",DataEntry!$G:$G,"Q1"),"")</f>
        <v>175755576.29999998</v>
      </c>
      <c r="E22" s="9">
        <f>IFERROR(SUMIFS(DataEntry!$GM:$GM,DataEntry!$A:$A,"Liwonde",DataEntry!$B:$B,"Liwonde",DataEntry!$G:$G,"Q2"),"")</f>
        <v>210483051.09999993</v>
      </c>
      <c r="F22" s="9">
        <f>IFERROR(SUMIFS(DataEntry!$GM:$GM,DataEntry!$A:$A,"Liwonde",DataEntry!$B:$B,"Liwonde",DataEntry!$G:$G,"Q3"),"")</f>
        <v>183850682.67999998</v>
      </c>
      <c r="G22" s="9">
        <f>IFERROR(SUMIFS(DataEntry!$GM:$GM,DataEntry!$A:$A,"Liwonde",DataEntry!$B:$B,"Liwonde",DataEntry!$G:$G,"Q4"),"")</f>
        <v>167241701.5</v>
      </c>
      <c r="H22" s="22">
        <f t="shared" si="1"/>
        <v>737331011.57999992</v>
      </c>
    </row>
    <row r="23" spans="1:8" x14ac:dyDescent="0.3">
      <c r="A23" s="19" t="s">
        <v>255</v>
      </c>
      <c r="B23" s="19" t="s">
        <v>255</v>
      </c>
      <c r="C23" s="6" t="s">
        <v>317</v>
      </c>
      <c r="D23" s="15">
        <f>IFERROR(SUMIFS(DataEntry!$GX:$GX,DataEntry!$A:$A,"Liwonde",DataEntry!$B:$B,"Liwonde",DataEntry!$G:$G,"Q1"),"")</f>
        <v>188002854.79999998</v>
      </c>
      <c r="E23" s="15">
        <f>IFERROR(SUMIFS(DataEntry!$GX:$GX,DataEntry!$A:$A,"Liwonde",DataEntry!$B:$B,"Liwonde",DataEntry!$G:$G,"Q2"),"")</f>
        <v>222071325.08999997</v>
      </c>
      <c r="F23" s="15">
        <f>IFERROR(SUMIFS(DataEntry!$GX:$GX,DataEntry!$A:$A,"Liwonde",DataEntry!$B:$B,"Liwonde",DataEntry!$G:$G,"Q3"),"")</f>
        <v>195024785.63999996</v>
      </c>
      <c r="G23" s="15">
        <f>IFERROR(SUMIFS(DataEntry!$GX:$GX,DataEntry!$A:$A,"Liwonde",DataEntry!$B:$B,"Liwonde",DataEntry!$G:$G,"Q4"),"")</f>
        <v>178826113.81999999</v>
      </c>
      <c r="H23" s="20">
        <f t="shared" si="1"/>
        <v>783925079.3499999</v>
      </c>
    </row>
    <row r="24" spans="1:8" x14ac:dyDescent="0.3">
      <c r="A24" s="21" t="s">
        <v>255</v>
      </c>
      <c r="B24" s="21" t="s">
        <v>255</v>
      </c>
      <c r="C24" s="12" t="s">
        <v>318</v>
      </c>
      <c r="D24" s="9">
        <f>IFERROR(SUMIFS(DataEntry!$CS:$CS,DataEntry!$A:$A,"Liwonde",DataEntry!$B:$B,"Liwonde",DataEntry!$G:$G,"Q1"),"")</f>
        <v>12838</v>
      </c>
      <c r="E24" s="9">
        <f>IFERROR(SUMIFS(DataEntry!$CS:$CS,DataEntry!$A:$A,"Liwonde",DataEntry!$B:$B,"Liwonde",DataEntry!$G:$G,"Q2"),"")</f>
        <v>12990</v>
      </c>
      <c r="F24" s="9">
        <f>IFERROR(SUMIFS(DataEntry!$CS:$CS,DataEntry!$A:$A,"Liwonde",DataEntry!$B:$B,"Liwonde",DataEntry!$G:$G,"Q3"),"")</f>
        <v>13112</v>
      </c>
      <c r="G24" s="9">
        <f>IFERROR(SUMIFS(DataEntry!$CS:$CS,DataEntry!$A:$A,"Liwonde",DataEntry!$B:$B,"Liwonde",DataEntry!$G:$G,"Q4"),"")</f>
        <v>13416</v>
      </c>
      <c r="H24" s="22">
        <f t="shared" si="1"/>
        <v>52356</v>
      </c>
    </row>
    <row r="25" spans="1:8" x14ac:dyDescent="0.3">
      <c r="A25" s="19" t="s">
        <v>255</v>
      </c>
      <c r="B25" s="19" t="s">
        <v>255</v>
      </c>
      <c r="C25" s="6" t="s">
        <v>319</v>
      </c>
      <c r="D25" s="15">
        <f>IFERROR(SUMIFS(DataEntry!$CA:$CA,DataEntry!$A:$A,"Liwonde",DataEntry!$B:$B,"Liwonde",DataEntry!$G:$G,"Q1"),"")</f>
        <v>78</v>
      </c>
      <c r="E25" s="15">
        <f>IFERROR(SUMIFS(DataEntry!$CA:$CA,DataEntry!$A:$A,"Liwonde",DataEntry!$B:$B,"Liwonde",DataEntry!$G:$G,"Q2"),"")</f>
        <v>63</v>
      </c>
      <c r="F25" s="15">
        <f>IFERROR(SUMIFS(DataEntry!$CA:$CA,DataEntry!$A:$A,"Liwonde",DataEntry!$B:$B,"Liwonde",DataEntry!$G:$G,"Q3"),"")</f>
        <v>153</v>
      </c>
      <c r="G25" s="15">
        <f>IFERROR(SUMIFS(DataEntry!$CA:$CA,DataEntry!$A:$A,"Liwonde",DataEntry!$B:$B,"Liwonde",DataEntry!$G:$G,"Q4"),"")</f>
        <v>82</v>
      </c>
      <c r="H25" s="20">
        <f t="shared" si="1"/>
        <v>376</v>
      </c>
    </row>
    <row r="26" spans="1:8" x14ac:dyDescent="0.3">
      <c r="A26" s="21" t="s">
        <v>255</v>
      </c>
      <c r="B26" s="21" t="s">
        <v>255</v>
      </c>
      <c r="C26" s="12" t="s">
        <v>320</v>
      </c>
      <c r="D26" s="9">
        <f>IFERROR(SUMIFS(DataEntry!$DV:$DV,DataEntry!$A:$A,"Liwonde",DataEntry!$B:$B,"Liwonde",DataEntry!$G:$G,"Q1"),"")</f>
        <v>793</v>
      </c>
      <c r="E26" s="9">
        <f>IFERROR(SUMIFS(DataEntry!$DV:$DV,DataEntry!$A:$A,"Liwonde",DataEntry!$B:$B,"Liwonde",DataEntry!$G:$G,"Q2"),"")</f>
        <v>774</v>
      </c>
      <c r="F26" s="9">
        <f>IFERROR(SUMIFS(DataEntry!$DV:$DV,DataEntry!$A:$A,"Liwonde",DataEntry!$B:$B,"Liwonde",DataEntry!$G:$G,"Q3"),"")</f>
        <v>998</v>
      </c>
      <c r="G26" s="9">
        <f>IFERROR(SUMIFS(DataEntry!$DV:$DV,DataEntry!$A:$A,"Liwonde",DataEntry!$B:$B,"Liwonde",DataEntry!$G:$G,"Q4"),"")</f>
        <v>1026</v>
      </c>
      <c r="H26" s="22">
        <f t="shared" si="1"/>
        <v>3591</v>
      </c>
    </row>
    <row r="27" spans="1:8" x14ac:dyDescent="0.3">
      <c r="A27" s="19" t="s">
        <v>255</v>
      </c>
      <c r="B27" s="19" t="s">
        <v>255</v>
      </c>
      <c r="C27" s="6" t="s">
        <v>243</v>
      </c>
      <c r="D27" s="16">
        <f>IFERROR(AVERAGEIFS(DataEntry!$HC:$HC,DataEntry!$A:$A,"Liwonde",DataEntry!$B:$B,"Liwonde",DataEntry!$G:$G,"Q1"),"")</f>
        <v>0.28679065235503698</v>
      </c>
      <c r="E27" s="16">
        <f>IFERROR(AVERAGEIFS(DataEntry!$HC:$HC,DataEntry!$A:$A,"Liwonde",DataEntry!$B:$B,"Liwonde",DataEntry!$G:$G,"Q2"),"")</f>
        <v>0.26789022590188211</v>
      </c>
      <c r="F27" s="16">
        <f>IFERROR(AVERAGEIFS(DataEntry!$HC:$HC,DataEntry!$A:$A,"Liwonde",DataEntry!$B:$B,"Liwonde",DataEntry!$G:$G,"Q3"),"")</f>
        <v>0.28529056670823577</v>
      </c>
      <c r="G27" s="16">
        <f>IFERROR(AVERAGEIFS(DataEntry!$HC:$HC,DataEntry!$A:$A,"Liwonde",DataEntry!$B:$B,"Liwonde",DataEntry!$G:$G,"Q4"),"")</f>
        <v>36925146.505759552</v>
      </c>
      <c r="H27" s="24">
        <f>IFERROR(AVERAGE(D27:G27),"")</f>
        <v>9231286.8364327494</v>
      </c>
    </row>
    <row r="28" spans="1:8" x14ac:dyDescent="0.3">
      <c r="A28" s="21" t="s">
        <v>255</v>
      </c>
      <c r="B28" s="21" t="s">
        <v>255</v>
      </c>
      <c r="C28" s="12" t="s">
        <v>242</v>
      </c>
      <c r="D28" s="10">
        <f>IFERROR(AVERAGEIFS(DataEntry!$HB:$HB,DataEntry!$A:$A,"Liwonde",DataEntry!$B:$B,"Liwonde",DataEntry!$G:$G,"Q1"),"")</f>
        <v>0.69764879329416285</v>
      </c>
      <c r="E28" s="10">
        <f>IFERROR(AVERAGEIFS(DataEntry!$HB:$HB,DataEntry!$A:$A,"Liwonde",DataEntry!$B:$B,"Liwonde",DataEntry!$G:$G,"Q2"),"")</f>
        <v>0.60877578083426864</v>
      </c>
      <c r="F28" s="10">
        <f>IFERROR(AVERAGEIFS(DataEntry!$HB:$HB,DataEntry!$A:$A,"Liwonde",DataEntry!$B:$B,"Liwonde",DataEntry!$G:$G,"Q3"),"")</f>
        <v>0.55009940930688062</v>
      </c>
      <c r="G28" s="10">
        <f>IFERROR(AVERAGEIFS(DataEntry!$HB:$HB,DataEntry!$A:$A,"Liwonde",DataEntry!$B:$B,"Liwonde",DataEntry!$G:$G,"Q4"),"")</f>
        <v>21623688.619758219</v>
      </c>
      <c r="H28" s="23">
        <f>IFERROR(AVERAGE(D28:G28),"")</f>
        <v>5405922.6190705504</v>
      </c>
    </row>
    <row r="29" spans="1:8" x14ac:dyDescent="0.3">
      <c r="A29" s="19" t="s">
        <v>255</v>
      </c>
      <c r="B29" s="19" t="s">
        <v>274</v>
      </c>
      <c r="C29" s="6" t="s">
        <v>40</v>
      </c>
      <c r="D29" s="15">
        <f>IFERROR(SUMIFS(DataEntry!$H:$H,DataEntry!$A:$A,"Liwonde",DataEntry!$B:$B,"Machinga",DataEntry!$G:$G,"Q1"),"")</f>
        <v>5484</v>
      </c>
      <c r="E29" s="15">
        <f>IFERROR(SUMIFS(DataEntry!$H:$H,DataEntry!$A:$A,"Liwonde",DataEntry!$B:$B,"Machinga",DataEntry!$G:$G,"Q2"),"")</f>
        <v>7043</v>
      </c>
      <c r="F29" s="15">
        <f>IFERROR(SUMIFS(DataEntry!$H:$H,DataEntry!$A:$A,"Liwonde",DataEntry!$B:$B,"Machinga",DataEntry!$G:$G,"Q3"),"")</f>
        <v>7508</v>
      </c>
      <c r="G29" s="15">
        <f>IFERROR(SUMIFS(DataEntry!$H:$H,DataEntry!$A:$A,"Liwonde",DataEntry!$B:$B,"Machinga",DataEntry!$G:$G,"Q4"),"")</f>
        <v>6464</v>
      </c>
      <c r="H29" s="20">
        <f>IFERROR(SUM(D29:G29),"")</f>
        <v>26499</v>
      </c>
    </row>
    <row r="30" spans="1:8" x14ac:dyDescent="0.3">
      <c r="A30" s="21" t="s">
        <v>255</v>
      </c>
      <c r="B30" s="21" t="s">
        <v>274</v>
      </c>
      <c r="C30" s="12" t="s">
        <v>312</v>
      </c>
      <c r="D30" s="9">
        <f>IFERROR(SUMIFS(DataEntry!$S:$S,DataEntry!$A:$A,"Liwonde",DataEntry!$B:$B,"Machinga",DataEntry!$G:$G,"Q1"),"")</f>
        <v>4337.1000000000004</v>
      </c>
      <c r="E30" s="9">
        <f>IFERROR(SUMIFS(DataEntry!$S:$S,DataEntry!$A:$A,"Liwonde",DataEntry!$B:$B,"Machinga",DataEntry!$G:$G,"Q2"),"")</f>
        <v>5640.9</v>
      </c>
      <c r="F30" s="9">
        <f>IFERROR(SUMIFS(DataEntry!$S:$S,DataEntry!$A:$A,"Liwonde",DataEntry!$B:$B,"Machinga",DataEntry!$G:$G,"Q3"),"")</f>
        <v>5903</v>
      </c>
      <c r="G30" s="9">
        <f>IFERROR(SUMIFS(DataEntry!$S:$S,DataEntry!$A:$A,"Liwonde",DataEntry!$B:$B,"Machinga",DataEntry!$G:$G,"Q4"),"")</f>
        <v>4845.1000000000004</v>
      </c>
      <c r="H30" s="22">
        <f>IFERROR(SUM(D30:G30),"")</f>
        <v>20726.099999999999</v>
      </c>
    </row>
    <row r="31" spans="1:8" x14ac:dyDescent="0.3">
      <c r="A31" s="19" t="s">
        <v>255</v>
      </c>
      <c r="B31" s="19" t="s">
        <v>274</v>
      </c>
      <c r="C31" s="6" t="s">
        <v>313</v>
      </c>
      <c r="D31" s="15">
        <f>IFERROR(SUMIFS(DataEntry!$T:$T,DataEntry!$A:$A,"Liwonde",DataEntry!$B:$B,"Machinga",DataEntry!$G:$G,"Q1"),"")</f>
        <v>1146.9000000000001</v>
      </c>
      <c r="E31" s="15">
        <f>IFERROR(SUMIFS(DataEntry!$T:$T,DataEntry!$A:$A,"Liwonde",DataEntry!$B:$B,"Machinga",DataEntry!$G:$G,"Q2"),"")</f>
        <v>1402.1</v>
      </c>
      <c r="F31" s="15">
        <f>IFERROR(SUMIFS(DataEntry!$T:$T,DataEntry!$A:$A,"Liwonde",DataEntry!$B:$B,"Machinga",DataEntry!$G:$G,"Q3"),"")</f>
        <v>1605</v>
      </c>
      <c r="G31" s="15">
        <f>IFERROR(SUMIFS(DataEntry!$T:$T,DataEntry!$A:$A,"Liwonde",DataEntry!$B:$B,"Machinga",DataEntry!$G:$G,"Q4"),"")</f>
        <v>1618.9</v>
      </c>
      <c r="H31" s="20">
        <f>IFERROR(SUM(D31:G31),"")</f>
        <v>5772.9</v>
      </c>
    </row>
    <row r="32" spans="1:8" x14ac:dyDescent="0.3">
      <c r="A32" s="21" t="s">
        <v>255</v>
      </c>
      <c r="B32" s="21" t="s">
        <v>274</v>
      </c>
      <c r="C32" s="12" t="s">
        <v>53</v>
      </c>
      <c r="D32" s="10">
        <f>IFERROR(AVERAGEIFS(DataEntry!$U:$U,DataEntry!$A:$A,"Liwonde",DataEntry!$B:$B,"Machinga",DataEntry!$G:$G,"Q1"),"")</f>
        <v>0.206269704304788</v>
      </c>
      <c r="E32" s="10">
        <f>IFERROR(AVERAGEIFS(DataEntry!$U:$U,DataEntry!$A:$A,"Liwonde",DataEntry!$B:$B,"Machinga",DataEntry!$G:$G,"Q2"),"")</f>
        <v>0.1857867812562238</v>
      </c>
      <c r="F32" s="10">
        <f>IFERROR(AVERAGEIFS(DataEntry!$U:$U,DataEntry!$A:$A,"Liwonde",DataEntry!$B:$B,"Machinga",DataEntry!$G:$G,"Q3"),"")</f>
        <v>0.21337781514030463</v>
      </c>
      <c r="G32" s="10">
        <f>IFERROR(AVERAGEIFS(DataEntry!$U:$U,DataEntry!$A:$A,"Liwonde",DataEntry!$B:$B,"Machinga",DataEntry!$G:$G,"Q4"),"")</f>
        <v>0.25150172011066108</v>
      </c>
      <c r="H32" s="23">
        <f>IFERROR(AVERAGE(D32:G32),"")</f>
        <v>0.21423400520299438</v>
      </c>
    </row>
    <row r="33" spans="1:8" x14ac:dyDescent="0.3">
      <c r="A33" s="19" t="s">
        <v>255</v>
      </c>
      <c r="B33" s="19" t="s">
        <v>274</v>
      </c>
      <c r="C33" s="6" t="s">
        <v>314</v>
      </c>
      <c r="D33" s="15">
        <f>IFERROR(SUMIFS(DataEntry!$AU:$AU,DataEntry!$A:$A,"Liwonde",DataEntry!$B:$B,"Machinga",DataEntry!$G:$G,"Q1"),"")</f>
        <v>6821364.8445899254</v>
      </c>
      <c r="E33" s="15">
        <f>IFERROR(SUMIFS(DataEntry!$AU:$AU,DataEntry!$A:$A,"Liwonde",DataEntry!$B:$B,"Machinga",DataEntry!$G:$G,"Q2"),"")</f>
        <v>7518799.4400000004</v>
      </c>
      <c r="F33" s="15">
        <f>IFERROR(SUMIFS(DataEntry!$AU:$AU,DataEntry!$A:$A,"Liwonde",DataEntry!$B:$B,"Machinga",DataEntry!$G:$G,"Q3"),"")</f>
        <v>7261173.2700000014</v>
      </c>
      <c r="G33" s="15">
        <f>IFERROR(SUMIFS(DataEntry!$AU:$AU,DataEntry!$A:$A,"Liwonde",DataEntry!$B:$B,"Machinga",DataEntry!$G:$G,"Q4"),"")</f>
        <v>4151884.6000000006</v>
      </c>
      <c r="H33" s="20">
        <f t="shared" ref="H33:H39" si="2">IFERROR(SUM(D33:G33),"")</f>
        <v>25753222.154589929</v>
      </c>
    </row>
    <row r="34" spans="1:8" x14ac:dyDescent="0.3">
      <c r="A34" s="21" t="s">
        <v>255</v>
      </c>
      <c r="B34" s="21" t="s">
        <v>274</v>
      </c>
      <c r="C34" s="12" t="s">
        <v>315</v>
      </c>
      <c r="D34" s="9">
        <f>IFERROR(SUMIFS(DataEntry!$GB:$GB,DataEntry!$A:$A,"Liwonde",DataEntry!$B:$B,"Machinga",DataEntry!$G:$G,"Q1"),"")</f>
        <v>7660737.2000000002</v>
      </c>
      <c r="E34" s="9">
        <f>IFERROR(SUMIFS(DataEntry!$GB:$GB,DataEntry!$A:$A,"Liwonde",DataEntry!$B:$B,"Machinga",DataEntry!$G:$G,"Q2"),"")</f>
        <v>8581143.3399999999</v>
      </c>
      <c r="F34" s="9">
        <f>IFERROR(SUMIFS(DataEntry!$GB:$GB,DataEntry!$A:$A,"Liwonde",DataEntry!$B:$B,"Machinga",DataEntry!$G:$G,"Q3"),"")</f>
        <v>9532062.6100000013</v>
      </c>
      <c r="G34" s="9">
        <f>IFERROR(SUMIFS(DataEntry!$GB:$GB,DataEntry!$A:$A,"Liwonde",DataEntry!$B:$B,"Machinga",DataEntry!$G:$G,"Q4"),"")</f>
        <v>7176116</v>
      </c>
      <c r="H34" s="22">
        <f t="shared" si="2"/>
        <v>32950059.149999999</v>
      </c>
    </row>
    <row r="35" spans="1:8" x14ac:dyDescent="0.3">
      <c r="A35" s="19" t="s">
        <v>255</v>
      </c>
      <c r="B35" s="19" t="s">
        <v>274</v>
      </c>
      <c r="C35" s="6" t="s">
        <v>316</v>
      </c>
      <c r="D35" s="15">
        <f>IFERROR(SUMIFS(DataEntry!$GM:$GM,DataEntry!$A:$A,"Liwonde",DataEntry!$B:$B,"Machinga",DataEntry!$G:$G,"Q1"),"")</f>
        <v>5626758.4499999993</v>
      </c>
      <c r="E35" s="15">
        <f>IFERROR(SUMIFS(DataEntry!$GM:$GM,DataEntry!$A:$A,"Liwonde",DataEntry!$B:$B,"Machinga",DataEntry!$G:$G,"Q2"),"")</f>
        <v>7875028.6300000008</v>
      </c>
      <c r="F35" s="15">
        <f>IFERROR(SUMIFS(DataEntry!$GM:$GM,DataEntry!$A:$A,"Liwonde",DataEntry!$B:$B,"Machinga",DataEntry!$G:$G,"Q3"),"")</f>
        <v>9189165.1999999993</v>
      </c>
      <c r="G35" s="15">
        <f>IFERROR(SUMIFS(DataEntry!$GM:$GM,DataEntry!$A:$A,"Liwonde",DataEntry!$B:$B,"Machinga",DataEntry!$G:$G,"Q4"),"")</f>
        <v>6933567.5800000001</v>
      </c>
      <c r="H35" s="20">
        <f t="shared" si="2"/>
        <v>29624519.859999999</v>
      </c>
    </row>
    <row r="36" spans="1:8" x14ac:dyDescent="0.3">
      <c r="A36" s="21" t="s">
        <v>255</v>
      </c>
      <c r="B36" s="21" t="s">
        <v>274</v>
      </c>
      <c r="C36" s="12" t="s">
        <v>317</v>
      </c>
      <c r="D36" s="9">
        <f>IFERROR(SUMIFS(DataEntry!$GX:$GX,DataEntry!$A:$A,"Liwonde",DataEntry!$B:$B,"Machinga",DataEntry!$G:$G,"Q1"),"")</f>
        <v>5664410.0600000005</v>
      </c>
      <c r="E36" s="9">
        <f>IFERROR(SUMIFS(DataEntry!$GX:$GX,DataEntry!$A:$A,"Liwonde",DataEntry!$B:$B,"Machinga",DataEntry!$G:$G,"Q2"),"")</f>
        <v>7917321.7300000023</v>
      </c>
      <c r="F36" s="9">
        <f>IFERROR(SUMIFS(DataEntry!$GX:$GX,DataEntry!$A:$A,"Liwonde",DataEntry!$B:$B,"Machinga",DataEntry!$G:$G,"Q3"),"")</f>
        <v>9220015.870000001</v>
      </c>
      <c r="G36" s="9">
        <f>IFERROR(SUMIFS(DataEntry!$GX:$GX,DataEntry!$A:$A,"Liwonde",DataEntry!$B:$B,"Machinga",DataEntry!$G:$G,"Q4"),"")</f>
        <v>6985744.8000000007</v>
      </c>
      <c r="H36" s="22">
        <f t="shared" si="2"/>
        <v>29787492.460000005</v>
      </c>
    </row>
    <row r="37" spans="1:8" x14ac:dyDescent="0.3">
      <c r="A37" s="19" t="s">
        <v>255</v>
      </c>
      <c r="B37" s="19" t="s">
        <v>274</v>
      </c>
      <c r="C37" s="6" t="s">
        <v>318</v>
      </c>
      <c r="D37" s="15">
        <f>IFERROR(SUMIFS(DataEntry!$CS:$CS,DataEntry!$A:$A,"Liwonde",DataEntry!$B:$B,"Machinga",DataEntry!$G:$G,"Q1"),"")</f>
        <v>1214.5</v>
      </c>
      <c r="E37" s="15">
        <f>IFERROR(SUMIFS(DataEntry!$CS:$CS,DataEntry!$A:$A,"Liwonde",DataEntry!$B:$B,"Machinga",DataEntry!$G:$G,"Q2"),"")</f>
        <v>1186.0999999999999</v>
      </c>
      <c r="F37" s="15">
        <f>IFERROR(SUMIFS(DataEntry!$CS:$CS,DataEntry!$A:$A,"Liwonde",DataEntry!$B:$B,"Machinga",DataEntry!$G:$G,"Q3"),"")</f>
        <v>1171</v>
      </c>
      <c r="G37" s="15">
        <f>IFERROR(SUMIFS(DataEntry!$CS:$CS,DataEntry!$A:$A,"Liwonde",DataEntry!$B:$B,"Machinga",DataEntry!$G:$G,"Q4"),"")</f>
        <v>1208</v>
      </c>
      <c r="H37" s="20">
        <f t="shared" si="2"/>
        <v>4779.6000000000004</v>
      </c>
    </row>
    <row r="38" spans="1:8" x14ac:dyDescent="0.3">
      <c r="A38" s="21" t="s">
        <v>255</v>
      </c>
      <c r="B38" s="21" t="s">
        <v>274</v>
      </c>
      <c r="C38" s="12" t="s">
        <v>319</v>
      </c>
      <c r="D38" s="9">
        <f>IFERROR(SUMIFS(DataEntry!$CA:$CA,DataEntry!$A:$A,"Liwonde",DataEntry!$B:$B,"Machinga",DataEntry!$G:$G,"Q1"),"")</f>
        <v>6</v>
      </c>
      <c r="E38" s="9">
        <f>IFERROR(SUMIFS(DataEntry!$CA:$CA,DataEntry!$A:$A,"Liwonde",DataEntry!$B:$B,"Machinga",DataEntry!$G:$G,"Q2"),"")</f>
        <v>18</v>
      </c>
      <c r="F38" s="9">
        <f>IFERROR(SUMIFS(DataEntry!$CA:$CA,DataEntry!$A:$A,"Liwonde",DataEntry!$B:$B,"Machinga",DataEntry!$G:$G,"Q3"),"")</f>
        <v>10</v>
      </c>
      <c r="G38" s="9">
        <f>IFERROR(SUMIFS(DataEntry!$CA:$CA,DataEntry!$A:$A,"Liwonde",DataEntry!$B:$B,"Machinga",DataEntry!$G:$G,"Q4"),"")</f>
        <v>15</v>
      </c>
      <c r="H38" s="22">
        <f t="shared" si="2"/>
        <v>49</v>
      </c>
    </row>
    <row r="39" spans="1:8" x14ac:dyDescent="0.3">
      <c r="A39" s="19" t="s">
        <v>255</v>
      </c>
      <c r="B39" s="19" t="s">
        <v>274</v>
      </c>
      <c r="C39" s="6" t="s">
        <v>320</v>
      </c>
      <c r="D39" s="15">
        <f>IFERROR(SUMIFS(DataEntry!$DV:$DV,DataEntry!$A:$A,"Liwonde",DataEntry!$B:$B,"Machinga",DataEntry!$G:$G,"Q1"),"")</f>
        <v>0</v>
      </c>
      <c r="E39" s="15">
        <f>IFERROR(SUMIFS(DataEntry!$DV:$DV,DataEntry!$A:$A,"Liwonde",DataEntry!$B:$B,"Machinga",DataEntry!$G:$G,"Q2"),"")</f>
        <v>0</v>
      </c>
      <c r="F39" s="15">
        <f>IFERROR(SUMIFS(DataEntry!$DV:$DV,DataEntry!$A:$A,"Liwonde",DataEntry!$B:$B,"Machinga",DataEntry!$G:$G,"Q3"),"")</f>
        <v>0</v>
      </c>
      <c r="G39" s="15">
        <f>IFERROR(SUMIFS(DataEntry!$DV:$DV,DataEntry!$A:$A,"Liwonde",DataEntry!$B:$B,"Machinga",DataEntry!$G:$G,"Q4"),"")</f>
        <v>0</v>
      </c>
      <c r="H39" s="20">
        <f t="shared" si="2"/>
        <v>0</v>
      </c>
    </row>
    <row r="40" spans="1:8" x14ac:dyDescent="0.3">
      <c r="A40" s="21" t="s">
        <v>255</v>
      </c>
      <c r="B40" s="21" t="s">
        <v>274</v>
      </c>
      <c r="C40" s="12" t="s">
        <v>243</v>
      </c>
      <c r="D40" s="10">
        <f>IFERROR(AVERAGEIFS(DataEntry!$HC:$HC,DataEntry!$A:$A,"Liwonde",DataEntry!$B:$B,"Machinga",DataEntry!$G:$G,"Q1"),"")</f>
        <v>0.12674323825348319</v>
      </c>
      <c r="E40" s="10">
        <f>IFERROR(AVERAGEIFS(DataEntry!$HC:$HC,DataEntry!$A:$A,"Liwonde",DataEntry!$B:$B,"Machinga",DataEntry!$G:$G,"Q2"),"")</f>
        <v>0.13923072713799342</v>
      </c>
      <c r="F40" s="10">
        <f>IFERROR(AVERAGEIFS(DataEntry!$HC:$HC,DataEntry!$A:$A,"Liwonde",DataEntry!$B:$B,"Machinga",DataEntry!$G:$G,"Q3"),"")</f>
        <v>0.18066540542174681</v>
      </c>
      <c r="G40" s="10">
        <f>IFERROR(AVERAGEIFS(DataEntry!$HC:$HC,DataEntry!$A:$A,"Liwonde",DataEntry!$B:$B,"Machinga",DataEntry!$G:$G,"Q4"),"")</f>
        <v>3863165.8734752838</v>
      </c>
      <c r="H40" s="23">
        <f>IFERROR(AVERAGE(D40:G40),"")</f>
        <v>965791.58002866362</v>
      </c>
    </row>
    <row r="41" spans="1:8" x14ac:dyDescent="0.3">
      <c r="A41" s="19" t="s">
        <v>255</v>
      </c>
      <c r="B41" s="19" t="s">
        <v>274</v>
      </c>
      <c r="C41" s="6" t="s">
        <v>242</v>
      </c>
      <c r="D41" s="16">
        <f>IFERROR(AVERAGEIFS(DataEntry!$HB:$HB,DataEntry!$A:$A,"Liwonde",DataEntry!$B:$B,"Machinga",DataEntry!$G:$G,"Q1"),"")</f>
        <v>1.2037496441344799</v>
      </c>
      <c r="E41" s="16">
        <f>IFERROR(AVERAGEIFS(DataEntry!$HB:$HB,DataEntry!$A:$A,"Liwonde",DataEntry!$B:$B,"Machinga",DataEntry!$G:$G,"Q2"),"")</f>
        <v>0.98422745444396487</v>
      </c>
      <c r="F41" s="16">
        <f>IFERROR(AVERAGEIFS(DataEntry!$HB:$HB,DataEntry!$A:$A,"Liwonde",DataEntry!$B:$B,"Machinga",DataEntry!$G:$G,"Q3"),"")</f>
        <v>0.84512560793468428</v>
      </c>
      <c r="G41" s="16">
        <f>IFERROR(AVERAGEIFS(DataEntry!$HB:$HB,DataEntry!$A:$A,"Liwonde",DataEntry!$B:$B,"Machinga",DataEntry!$G:$G,"Q4"),"")</f>
        <v>826093.29957457725</v>
      </c>
      <c r="H41" s="24">
        <f>IFERROR(AVERAGE(D41:G41),"")</f>
        <v>206524.08316932095</v>
      </c>
    </row>
    <row r="42" spans="1:8" x14ac:dyDescent="0.3">
      <c r="A42" s="21" t="s">
        <v>255</v>
      </c>
      <c r="B42" s="21" t="s">
        <v>275</v>
      </c>
      <c r="C42" s="12" t="s">
        <v>40</v>
      </c>
      <c r="D42" s="9">
        <f>IFERROR(SUMIFS(DataEntry!$H:$H,DataEntry!$A:$A,"Liwonde",DataEntry!$B:$B,"Ntaja",DataEntry!$G:$G,"Q1"),"")</f>
        <v>11600</v>
      </c>
      <c r="E42" s="9">
        <f>IFERROR(SUMIFS(DataEntry!$H:$H,DataEntry!$A:$A,"Liwonde",DataEntry!$B:$B,"Ntaja",DataEntry!$G:$G,"Q2"),"")</f>
        <v>11047</v>
      </c>
      <c r="F42" s="9">
        <f>IFERROR(SUMIFS(DataEntry!$H:$H,DataEntry!$A:$A,"Liwonde",DataEntry!$B:$B,"Ntaja",DataEntry!$G:$G,"Q3"),"")</f>
        <v>8240</v>
      </c>
      <c r="G42" s="9">
        <f>IFERROR(SUMIFS(DataEntry!$H:$H,DataEntry!$A:$A,"Liwonde",DataEntry!$B:$B,"Ntaja",DataEntry!$G:$G,"Q4"),"")</f>
        <v>8849</v>
      </c>
      <c r="H42" s="22">
        <f>IFERROR(SUM(D42:G42),"")</f>
        <v>39736</v>
      </c>
    </row>
    <row r="43" spans="1:8" x14ac:dyDescent="0.3">
      <c r="A43" s="19" t="s">
        <v>255</v>
      </c>
      <c r="B43" s="19" t="s">
        <v>275</v>
      </c>
      <c r="C43" s="6" t="s">
        <v>312</v>
      </c>
      <c r="D43" s="15">
        <f>IFERROR(SUMIFS(DataEntry!$S:$S,DataEntry!$A:$A,"Liwonde",DataEntry!$B:$B,"Ntaja",DataEntry!$G:$G,"Q1"),"")</f>
        <v>10752</v>
      </c>
      <c r="E43" s="15">
        <f>IFERROR(SUMIFS(DataEntry!$S:$S,DataEntry!$A:$A,"Liwonde",DataEntry!$B:$B,"Ntaja",DataEntry!$G:$G,"Q2"),"")</f>
        <v>10205.099999999999</v>
      </c>
      <c r="F43" s="15">
        <f>IFERROR(SUMIFS(DataEntry!$S:$S,DataEntry!$A:$A,"Liwonde",DataEntry!$B:$B,"Ntaja",DataEntry!$G:$G,"Q3"),"")</f>
        <v>7429.6</v>
      </c>
      <c r="G43" s="15">
        <f>IFERROR(SUMIFS(DataEntry!$S:$S,DataEntry!$A:$A,"Liwonde",DataEntry!$B:$B,"Ntaja",DataEntry!$G:$G,"Q4"),"")</f>
        <v>8059.2000000000007</v>
      </c>
      <c r="H43" s="20">
        <f>IFERROR(SUM(D43:G43),"")</f>
        <v>36445.899999999994</v>
      </c>
    </row>
    <row r="44" spans="1:8" x14ac:dyDescent="0.3">
      <c r="A44" s="21" t="s">
        <v>255</v>
      </c>
      <c r="B44" s="21" t="s">
        <v>275</v>
      </c>
      <c r="C44" s="12" t="s">
        <v>313</v>
      </c>
      <c r="D44" s="9">
        <f>IFERROR(SUMIFS(DataEntry!$T:$T,DataEntry!$A:$A,"Liwonde",DataEntry!$B:$B,"Ntaja",DataEntry!$G:$G,"Q1"),"")</f>
        <v>848.00000000000296</v>
      </c>
      <c r="E44" s="9">
        <f>IFERROR(SUMIFS(DataEntry!$T:$T,DataEntry!$A:$A,"Liwonde",DataEntry!$B:$B,"Ntaja",DataEntry!$G:$G,"Q2"),"")</f>
        <v>841.9</v>
      </c>
      <c r="F44" s="9">
        <f>IFERROR(SUMIFS(DataEntry!$T:$T,DataEntry!$A:$A,"Liwonde",DataEntry!$B:$B,"Ntaja",DataEntry!$G:$G,"Q3"),"")</f>
        <v>810.4</v>
      </c>
      <c r="G44" s="9">
        <f>IFERROR(SUMIFS(DataEntry!$T:$T,DataEntry!$A:$A,"Liwonde",DataEntry!$B:$B,"Ntaja",DataEntry!$G:$G,"Q4"),"")</f>
        <v>789.79999999999973</v>
      </c>
      <c r="H44" s="22">
        <f>IFERROR(SUM(D44:G44),"")</f>
        <v>3290.1000000000026</v>
      </c>
    </row>
    <row r="45" spans="1:8" x14ac:dyDescent="0.3">
      <c r="A45" s="19" t="s">
        <v>255</v>
      </c>
      <c r="B45" s="19" t="s">
        <v>275</v>
      </c>
      <c r="C45" s="6" t="s">
        <v>53</v>
      </c>
      <c r="D45" s="16">
        <f>IFERROR(AVERAGEIFS(DataEntry!$U:$U,DataEntry!$A:$A,"Liwonde",DataEntry!$B:$B,"Ntaja",DataEntry!$G:$G,"Q1"),"")</f>
        <v>7.2698503847362442E-2</v>
      </c>
      <c r="E45" s="16">
        <f>IFERROR(AVERAGEIFS(DataEntry!$U:$U,DataEntry!$A:$A,"Liwonde",DataEntry!$B:$B,"Ntaja",DataEntry!$G:$G,"Q2"),"")</f>
        <v>7.4533511453303752E-2</v>
      </c>
      <c r="F45" s="16">
        <f>IFERROR(AVERAGEIFS(DataEntry!$U:$U,DataEntry!$A:$A,"Liwonde",DataEntry!$B:$B,"Ntaja",DataEntry!$G:$G,"Q3"),"")</f>
        <v>9.8434203387582866E-2</v>
      </c>
      <c r="G45" s="16">
        <f>IFERROR(AVERAGEIFS(DataEntry!$U:$U,DataEntry!$A:$A,"Liwonde",DataEntry!$B:$B,"Ntaja",DataEntry!$G:$G,"Q4"),"")</f>
        <v>8.9898804928455256E-2</v>
      </c>
      <c r="H45" s="24">
        <f>IFERROR(AVERAGE(D45:G45),"")</f>
        <v>8.3891255904176079E-2</v>
      </c>
    </row>
    <row r="46" spans="1:8" x14ac:dyDescent="0.3">
      <c r="A46" s="21" t="s">
        <v>255</v>
      </c>
      <c r="B46" s="21" t="s">
        <v>275</v>
      </c>
      <c r="C46" s="12" t="s">
        <v>314</v>
      </c>
      <c r="D46" s="9">
        <f>IFERROR(SUMIFS(DataEntry!$AU:$AU,DataEntry!$A:$A,"Liwonde",DataEntry!$B:$B,"Ntaja",DataEntry!$G:$G,"Q1"),"")</f>
        <v>34358024.629999995</v>
      </c>
      <c r="E46" s="9">
        <f>IFERROR(SUMIFS(DataEntry!$AU:$AU,DataEntry!$A:$A,"Liwonde",DataEntry!$B:$B,"Ntaja",DataEntry!$G:$G,"Q2"),"")</f>
        <v>11772137.465</v>
      </c>
      <c r="F46" s="9">
        <f>IFERROR(SUMIFS(DataEntry!$AU:$AU,DataEntry!$A:$A,"Liwonde",DataEntry!$B:$B,"Ntaja",DataEntry!$G:$G,"Q3"),"")</f>
        <v>8927204.7375000007</v>
      </c>
      <c r="G46" s="9">
        <f>IFERROR(SUMIFS(DataEntry!$AU:$AU,DataEntry!$A:$A,"Liwonde",DataEntry!$B:$B,"Ntaja",DataEntry!$G:$G,"Q4"),"")</f>
        <v>6921815.6574999997</v>
      </c>
      <c r="H46" s="22">
        <f t="shared" ref="H46:H52" si="3">IFERROR(SUM(D46:G46),"")</f>
        <v>61979182.489999995</v>
      </c>
    </row>
    <row r="47" spans="1:8" x14ac:dyDescent="0.3">
      <c r="A47" s="19" t="s">
        <v>255</v>
      </c>
      <c r="B47" s="19" t="s">
        <v>275</v>
      </c>
      <c r="C47" s="6" t="s">
        <v>315</v>
      </c>
      <c r="D47" s="15">
        <f>IFERROR(SUMIFS(DataEntry!$GB:$GB,DataEntry!$A:$A,"Liwonde",DataEntry!$B:$B,"Ntaja",DataEntry!$G:$G,"Q1"),"")</f>
        <v>14404424.330000002</v>
      </c>
      <c r="E47" s="15">
        <f>IFERROR(SUMIFS(DataEntry!$GB:$GB,DataEntry!$A:$A,"Liwonde",DataEntry!$B:$B,"Ntaja",DataEntry!$G:$G,"Q2"),"")</f>
        <v>13566498.27</v>
      </c>
      <c r="F47" s="15">
        <f>IFERROR(SUMIFS(DataEntry!$GB:$GB,DataEntry!$A:$A,"Liwonde",DataEntry!$B:$B,"Ntaja",DataEntry!$G:$G,"Q3"),"")</f>
        <v>9950560.9100000001</v>
      </c>
      <c r="G47" s="15">
        <f>IFERROR(SUMIFS(DataEntry!$GB:$GB,DataEntry!$A:$A,"Liwonde",DataEntry!$B:$B,"Ntaja",DataEntry!$G:$G,"Q4"),"")</f>
        <v>10626788.800000001</v>
      </c>
      <c r="H47" s="20">
        <f t="shared" si="3"/>
        <v>48548272.310000002</v>
      </c>
    </row>
    <row r="48" spans="1:8" x14ac:dyDescent="0.3">
      <c r="A48" s="21" t="s">
        <v>255</v>
      </c>
      <c r="B48" s="21" t="s">
        <v>275</v>
      </c>
      <c r="C48" s="12" t="s">
        <v>316</v>
      </c>
      <c r="D48" s="9">
        <f>IFERROR(SUMIFS(DataEntry!$GM:$GM,DataEntry!$A:$A,"Liwonde",DataEntry!$B:$B,"Ntaja",DataEntry!$G:$G,"Q1"),"")</f>
        <v>13814045.059999997</v>
      </c>
      <c r="E48" s="9">
        <f>IFERROR(SUMIFS(DataEntry!$GM:$GM,DataEntry!$A:$A,"Liwonde",DataEntry!$B:$B,"Ntaja",DataEntry!$G:$G,"Q2"),"")</f>
        <v>13362210.150000006</v>
      </c>
      <c r="F48" s="9">
        <f>IFERROR(SUMIFS(DataEntry!$GM:$GM,DataEntry!$A:$A,"Liwonde",DataEntry!$B:$B,"Ntaja",DataEntry!$G:$G,"Q3"),"")</f>
        <v>9696880.4700000025</v>
      </c>
      <c r="G48" s="9">
        <f>IFERROR(SUMIFS(DataEntry!$GM:$GM,DataEntry!$A:$A,"Liwonde",DataEntry!$B:$B,"Ntaja",DataEntry!$G:$G,"Q4"),"")</f>
        <v>13796446.450000003</v>
      </c>
      <c r="H48" s="22">
        <f t="shared" si="3"/>
        <v>50669582.13000001</v>
      </c>
    </row>
    <row r="49" spans="1:8" x14ac:dyDescent="0.3">
      <c r="A49" s="19" t="s">
        <v>255</v>
      </c>
      <c r="B49" s="19" t="s">
        <v>275</v>
      </c>
      <c r="C49" s="6" t="s">
        <v>317</v>
      </c>
      <c r="D49" s="15">
        <f>IFERROR(SUMIFS(DataEntry!$GX:$GX,DataEntry!$A:$A,"Liwonde",DataEntry!$B:$B,"Ntaja",DataEntry!$G:$G,"Q1"),"")</f>
        <v>13835532.559999997</v>
      </c>
      <c r="E49" s="15">
        <f>IFERROR(SUMIFS(DataEntry!$GX:$GX,DataEntry!$A:$A,"Liwonde",DataEntry!$B:$B,"Ntaja",DataEntry!$G:$G,"Q2"),"")</f>
        <v>13383697.650000006</v>
      </c>
      <c r="F49" s="15">
        <f>IFERROR(SUMIFS(DataEntry!$GX:$GX,DataEntry!$A:$A,"Liwonde",DataEntry!$B:$B,"Ntaja",DataEntry!$G:$G,"Q3"),"")</f>
        <v>9718367.9700000025</v>
      </c>
      <c r="G49" s="15">
        <f>IFERROR(SUMIFS(DataEntry!$GX:$GX,DataEntry!$A:$A,"Liwonde",DataEntry!$B:$B,"Ntaja",DataEntry!$G:$G,"Q4"),"")</f>
        <v>13817933.950000003</v>
      </c>
      <c r="H49" s="20">
        <f t="shared" si="3"/>
        <v>50755532.13000001</v>
      </c>
    </row>
    <row r="50" spans="1:8" x14ac:dyDescent="0.3">
      <c r="A50" s="21" t="s">
        <v>255</v>
      </c>
      <c r="B50" s="21" t="s">
        <v>275</v>
      </c>
      <c r="C50" s="12" t="s">
        <v>318</v>
      </c>
      <c r="D50" s="9">
        <f>IFERROR(SUMIFS(DataEntry!$CS:$CS,DataEntry!$A:$A,"Liwonde",DataEntry!$B:$B,"Ntaja",DataEntry!$G:$G,"Q1"),"")</f>
        <v>1772</v>
      </c>
      <c r="E50" s="9">
        <f>IFERROR(SUMIFS(DataEntry!$CS:$CS,DataEntry!$A:$A,"Liwonde",DataEntry!$B:$B,"Ntaja",DataEntry!$G:$G,"Q2"),"")</f>
        <v>1982</v>
      </c>
      <c r="F50" s="9">
        <f>IFERROR(SUMIFS(DataEntry!$CS:$CS,DataEntry!$A:$A,"Liwonde",DataEntry!$B:$B,"Ntaja",DataEntry!$G:$G,"Q3"),"")</f>
        <v>2106</v>
      </c>
      <c r="G50" s="9">
        <f>IFERROR(SUMIFS(DataEntry!$CS:$CS,DataEntry!$A:$A,"Liwonde",DataEntry!$B:$B,"Ntaja",DataEntry!$G:$G,"Q4"),"")</f>
        <v>2127</v>
      </c>
      <c r="H50" s="22">
        <f t="shared" si="3"/>
        <v>7987</v>
      </c>
    </row>
    <row r="51" spans="1:8" x14ac:dyDescent="0.3">
      <c r="A51" s="19" t="s">
        <v>255</v>
      </c>
      <c r="B51" s="19" t="s">
        <v>275</v>
      </c>
      <c r="C51" s="6" t="s">
        <v>319</v>
      </c>
      <c r="D51" s="15">
        <f>IFERROR(SUMIFS(DataEntry!$CA:$CA,DataEntry!$A:$A,"Liwonde",DataEntry!$B:$B,"Ntaja",DataEntry!$G:$G,"Q1"),"")</f>
        <v>23</v>
      </c>
      <c r="E51" s="15">
        <f>IFERROR(SUMIFS(DataEntry!$CA:$CA,DataEntry!$A:$A,"Liwonde",DataEntry!$B:$B,"Ntaja",DataEntry!$G:$G,"Q2"),"")</f>
        <v>70</v>
      </c>
      <c r="F51" s="15">
        <f>IFERROR(SUMIFS(DataEntry!$CA:$CA,DataEntry!$A:$A,"Liwonde",DataEntry!$B:$B,"Ntaja",DataEntry!$G:$G,"Q3"),"")</f>
        <v>25</v>
      </c>
      <c r="G51" s="15">
        <f>IFERROR(SUMIFS(DataEntry!$CA:$CA,DataEntry!$A:$A,"Liwonde",DataEntry!$B:$B,"Ntaja",DataEntry!$G:$G,"Q4"),"")</f>
        <v>5</v>
      </c>
      <c r="H51" s="20">
        <f t="shared" si="3"/>
        <v>123</v>
      </c>
    </row>
    <row r="52" spans="1:8" x14ac:dyDescent="0.3">
      <c r="A52" s="21" t="s">
        <v>255</v>
      </c>
      <c r="B52" s="21" t="s">
        <v>275</v>
      </c>
      <c r="C52" s="12" t="s">
        <v>320</v>
      </c>
      <c r="D52" s="9">
        <f>IFERROR(SUMIFS(DataEntry!$DV:$DV,DataEntry!$A:$A,"Liwonde",DataEntry!$B:$B,"Ntaja",DataEntry!$G:$G,"Q1"),"")</f>
        <v>0</v>
      </c>
      <c r="E52" s="9">
        <f>IFERROR(SUMIFS(DataEntry!$DV:$DV,DataEntry!$A:$A,"Liwonde",DataEntry!$B:$B,"Ntaja",DataEntry!$G:$G,"Q2"),"")</f>
        <v>0</v>
      </c>
      <c r="F52" s="9">
        <f>IFERROR(SUMIFS(DataEntry!$DV:$DV,DataEntry!$A:$A,"Liwonde",DataEntry!$B:$B,"Ntaja",DataEntry!$G:$G,"Q3"),"")</f>
        <v>0</v>
      </c>
      <c r="G52" s="9">
        <f>IFERROR(SUMIFS(DataEntry!$DV:$DV,DataEntry!$A:$A,"Liwonde",DataEntry!$B:$B,"Ntaja",DataEntry!$G:$G,"Q4"),"")</f>
        <v>0</v>
      </c>
      <c r="H52" s="22">
        <f t="shared" si="3"/>
        <v>0</v>
      </c>
    </row>
    <row r="53" spans="1:8" x14ac:dyDescent="0.3">
      <c r="A53" s="19" t="s">
        <v>255</v>
      </c>
      <c r="B53" s="19" t="s">
        <v>275</v>
      </c>
      <c r="C53" s="6" t="s">
        <v>243</v>
      </c>
      <c r="D53" s="16">
        <f>IFERROR(AVERAGEIFS(DataEntry!$HC:$HC,DataEntry!$A:$A,"Liwonde",DataEntry!$B:$B,"Ntaja",DataEntry!$G:$G,"Q1"),"")</f>
        <v>1.0054757749640553</v>
      </c>
      <c r="E53" s="16">
        <f>IFERROR(AVERAGEIFS(DataEntry!$HC:$HC,DataEntry!$A:$A,"Liwonde",DataEntry!$B:$B,"Ntaja",DataEntry!$G:$G,"Q2"),"")</f>
        <v>0.91569738782101695</v>
      </c>
      <c r="F53" s="16">
        <f>IFERROR(AVERAGEIFS(DataEntry!$HC:$HC,DataEntry!$A:$A,"Liwonde",DataEntry!$B:$B,"Ntaja",DataEntry!$G:$G,"Q3"),"")</f>
        <v>0.90339331693793479</v>
      </c>
      <c r="G53" s="16">
        <f>IFERROR(AVERAGEIFS(DataEntry!$HC:$HC,DataEntry!$A:$A,"Liwonde",DataEntry!$B:$B,"Ntaja",DataEntry!$G:$G,"Q4"),"")</f>
        <v>148292.595133544</v>
      </c>
      <c r="H53" s="24">
        <f>IFERROR(AVERAGE(D53:G53),"")</f>
        <v>37073.85492500593</v>
      </c>
    </row>
    <row r="54" spans="1:8" x14ac:dyDescent="0.3">
      <c r="A54" s="21" t="s">
        <v>255</v>
      </c>
      <c r="B54" s="21" t="s">
        <v>275</v>
      </c>
      <c r="C54" s="12" t="s">
        <v>242</v>
      </c>
      <c r="D54" s="10">
        <f>IFERROR(AVERAGEIFS(DataEntry!$HB:$HB,DataEntry!$A:$A,"Liwonde",DataEntry!$B:$B,"Ntaja",DataEntry!$G:$G,"Q1"),"")</f>
        <v>2.3884542329358553</v>
      </c>
      <c r="E54" s="10">
        <f>IFERROR(AVERAGEIFS(DataEntry!$HB:$HB,DataEntry!$A:$A,"Liwonde",DataEntry!$B:$B,"Ntaja",DataEntry!$G:$G,"Q2"),"")</f>
        <v>0.87965807253205153</v>
      </c>
      <c r="F54" s="10">
        <f>IFERROR(AVERAGEIFS(DataEntry!$HB:$HB,DataEntry!$A:$A,"Liwonde",DataEntry!$B:$B,"Ntaja",DataEntry!$G:$G,"Q3"),"")</f>
        <v>0.9533166588260894</v>
      </c>
      <c r="G54" s="10">
        <f>IFERROR(AVERAGEIFS(DataEntry!$HB:$HB,DataEntry!$A:$A,"Liwonde",DataEntry!$B:$B,"Ntaja",DataEntry!$G:$G,"Q4"),"")</f>
        <v>1265756.1564369069</v>
      </c>
      <c r="H54" s="23">
        <f>IFERROR(AVERAGE(D54:G54),"")</f>
        <v>316440.0944664678</v>
      </c>
    </row>
    <row r="55" spans="1:8" x14ac:dyDescent="0.3">
      <c r="A55" s="19" t="s">
        <v>276</v>
      </c>
      <c r="B55" s="19" t="s">
        <v>276</v>
      </c>
      <c r="C55" s="6" t="s">
        <v>40</v>
      </c>
      <c r="D55" s="15">
        <f>IFERROR(SUMIFS(DataEntry!$H:$H,DataEntry!$A:$A,"Mangochi",DataEntry!$B:$B,"Mangochi",DataEntry!$G:$G,"Q1"),"")</f>
        <v>414425</v>
      </c>
      <c r="E55" s="15">
        <f>IFERROR(SUMIFS(DataEntry!$H:$H,DataEntry!$A:$A,"Mangochi",DataEntry!$B:$B,"Mangochi",DataEntry!$G:$G,"Q2"),"")</f>
        <v>489742.5</v>
      </c>
      <c r="F55" s="15">
        <f>IFERROR(SUMIFS(DataEntry!$H:$H,DataEntry!$A:$A,"Mangochi",DataEntry!$B:$B,"Mangochi",DataEntry!$G:$G,"Q3"),"")</f>
        <v>468673.5</v>
      </c>
      <c r="G55" s="15">
        <f>IFERROR(SUMIFS(DataEntry!$H:$H,DataEntry!$A:$A,"Mangochi",DataEntry!$B:$B,"Mangochi",DataEntry!$G:$G,"Q4"),"")</f>
        <v>449816.5</v>
      </c>
      <c r="H55" s="20">
        <f>IFERROR(SUM(D55:G55),"")</f>
        <v>1822657.5</v>
      </c>
    </row>
    <row r="56" spans="1:8" x14ac:dyDescent="0.3">
      <c r="A56" s="21" t="s">
        <v>276</v>
      </c>
      <c r="B56" s="21" t="s">
        <v>276</v>
      </c>
      <c r="C56" s="12" t="s">
        <v>312</v>
      </c>
      <c r="D56" s="9">
        <f>IFERROR(SUMIFS(DataEntry!$S:$S,DataEntry!$A:$A,"Mangochi",DataEntry!$B:$B,"Mangochi",DataEntry!$G:$G,"Q1"),"")</f>
        <v>273575.09999999998</v>
      </c>
      <c r="E56" s="9">
        <f>IFERROR(SUMIFS(DataEntry!$S:$S,DataEntry!$A:$A,"Mangochi",DataEntry!$B:$B,"Mangochi",DataEntry!$G:$G,"Q2"),"")</f>
        <v>301448.80000000005</v>
      </c>
      <c r="F56" s="9">
        <f>IFERROR(SUMIFS(DataEntry!$S:$S,DataEntry!$A:$A,"Mangochi",DataEntry!$B:$B,"Mangochi",DataEntry!$G:$G,"Q3"),"")</f>
        <v>299774.09999999998</v>
      </c>
      <c r="G56" s="9">
        <f>IFERROR(SUMIFS(DataEntry!$S:$S,DataEntry!$A:$A,"Mangochi",DataEntry!$B:$B,"Mangochi",DataEntry!$G:$G,"Q4"),"")</f>
        <v>297356.09999999998</v>
      </c>
      <c r="H56" s="22">
        <f>IFERROR(SUM(D56:G56),"")</f>
        <v>1172154.1000000001</v>
      </c>
    </row>
    <row r="57" spans="1:8" x14ac:dyDescent="0.3">
      <c r="A57" s="19" t="s">
        <v>276</v>
      </c>
      <c r="B57" s="19" t="s">
        <v>276</v>
      </c>
      <c r="C57" s="6" t="s">
        <v>313</v>
      </c>
      <c r="D57" s="15">
        <f>IFERROR(SUMIFS(DataEntry!$T:$T,DataEntry!$A:$A,"Mangochi",DataEntry!$B:$B,"Mangochi",DataEntry!$G:$G,"Q1"),"")</f>
        <v>140849.9</v>
      </c>
      <c r="E57" s="15">
        <f>IFERROR(SUMIFS(DataEntry!$T:$T,DataEntry!$A:$A,"Mangochi",DataEntry!$B:$B,"Mangochi",DataEntry!$G:$G,"Q2"),"")</f>
        <v>188293.7000000001</v>
      </c>
      <c r="F57" s="15">
        <f>IFERROR(SUMIFS(DataEntry!$T:$T,DataEntry!$A:$A,"Mangochi",DataEntry!$B:$B,"Mangochi",DataEntry!$G:$G,"Q3"),"")</f>
        <v>168899.40000000002</v>
      </c>
      <c r="G57" s="15">
        <f>IFERROR(SUMIFS(DataEntry!$T:$T,DataEntry!$A:$A,"Mangochi",DataEntry!$B:$B,"Mangochi",DataEntry!$G:$G,"Q4"),"")</f>
        <v>152460.40000000005</v>
      </c>
      <c r="H57" s="20">
        <f>IFERROR(SUM(D57:G57),"")</f>
        <v>650503.40000000014</v>
      </c>
    </row>
    <row r="58" spans="1:8" x14ac:dyDescent="0.3">
      <c r="A58" s="21" t="s">
        <v>276</v>
      </c>
      <c r="B58" s="21" t="s">
        <v>276</v>
      </c>
      <c r="C58" s="12" t="s">
        <v>53</v>
      </c>
      <c r="D58" s="10">
        <f>IFERROR(AVERAGEIFS(DataEntry!$U:$U,DataEntry!$A:$A,"Mangochi",DataEntry!$B:$B,"Mangochi",DataEntry!$G:$G,"Q1"),"")</f>
        <v>0.33729406884847091</v>
      </c>
      <c r="E58" s="10">
        <f>IFERROR(AVERAGEIFS(DataEntry!$U:$U,DataEntry!$A:$A,"Mangochi",DataEntry!$B:$B,"Mangochi",DataEntry!$G:$G,"Q2"),"")</f>
        <v>0.38480944649407278</v>
      </c>
      <c r="F58" s="10">
        <f>IFERROR(AVERAGEIFS(DataEntry!$U:$U,DataEntry!$A:$A,"Mangochi",DataEntry!$B:$B,"Mangochi",DataEntry!$G:$G,"Q3"),"")</f>
        <v>0.3607514647872691</v>
      </c>
      <c r="G58" s="10">
        <f>IFERROR(AVERAGEIFS(DataEntry!$U:$U,DataEntry!$A:$A,"Mangochi",DataEntry!$B:$B,"Mangochi",DataEntry!$G:$G,"Q4"),"")</f>
        <v>0.33789218093575757</v>
      </c>
      <c r="H58" s="23">
        <f>IFERROR(AVERAGE(D58:G58),"")</f>
        <v>0.3551867902663926</v>
      </c>
    </row>
    <row r="59" spans="1:8" x14ac:dyDescent="0.3">
      <c r="A59" s="19" t="s">
        <v>276</v>
      </c>
      <c r="B59" s="19" t="s">
        <v>276</v>
      </c>
      <c r="C59" s="6" t="s">
        <v>314</v>
      </c>
      <c r="D59" s="15">
        <f>IFERROR(SUMIFS(DataEntry!$AU:$AU,DataEntry!$A:$A,"Mangochi",DataEntry!$B:$B,"Mangochi",DataEntry!$G:$G,"Q1"),"")</f>
        <v>159213038.56285</v>
      </c>
      <c r="E59" s="15">
        <f>IFERROR(SUMIFS(DataEntry!$AU:$AU,DataEntry!$A:$A,"Mangochi",DataEntry!$B:$B,"Mangochi",DataEntry!$G:$G,"Q2"),"")</f>
        <v>162210374.696275</v>
      </c>
      <c r="F59" s="15">
        <f>IFERROR(SUMIFS(DataEntry!$AU:$AU,DataEntry!$A:$A,"Mangochi",DataEntry!$B:$B,"Mangochi",DataEntry!$G:$G,"Q3"),"")</f>
        <v>170194746.99194998</v>
      </c>
      <c r="G59" s="15">
        <f>IFERROR(SUMIFS(DataEntry!$AU:$AU,DataEntry!$A:$A,"Mangochi",DataEntry!$B:$B,"Mangochi",DataEntry!$G:$G,"Q4"),"")</f>
        <v>165960114.07249999</v>
      </c>
      <c r="H59" s="20">
        <f t="shared" ref="H59:H65" si="4">IFERROR(SUM(D59:G59),"")</f>
        <v>657578274.32357502</v>
      </c>
    </row>
    <row r="60" spans="1:8" x14ac:dyDescent="0.3">
      <c r="A60" s="21" t="s">
        <v>276</v>
      </c>
      <c r="B60" s="21" t="s">
        <v>276</v>
      </c>
      <c r="C60" s="12" t="s">
        <v>315</v>
      </c>
      <c r="D60" s="9">
        <f>IFERROR(SUMIFS(DataEntry!$GB:$GB,DataEntry!$A:$A,"Mangochi",DataEntry!$B:$B,"Mangochi",DataEntry!$G:$G,"Q1"),"")</f>
        <v>441360968.53999996</v>
      </c>
      <c r="E60" s="9">
        <f>IFERROR(SUMIFS(DataEntry!$GB:$GB,DataEntry!$A:$A,"Mangochi",DataEntry!$B:$B,"Mangochi",DataEntry!$G:$G,"Q2"),"")</f>
        <v>311712376.72000003</v>
      </c>
      <c r="F60" s="9">
        <f>IFERROR(SUMIFS(DataEntry!$GB:$GB,DataEntry!$A:$A,"Mangochi",DataEntry!$B:$B,"Mangochi",DataEntry!$G:$G,"Q3"),"")</f>
        <v>408482060.93000001</v>
      </c>
      <c r="G60" s="9">
        <f>IFERROR(SUMIFS(DataEntry!$GB:$GB,DataEntry!$A:$A,"Mangochi",DataEntry!$B:$B,"Mangochi",DataEntry!$G:$G,"Q4"),"")</f>
        <v>335751541.74000001</v>
      </c>
      <c r="H60" s="22">
        <f t="shared" si="4"/>
        <v>1497306947.9300001</v>
      </c>
    </row>
    <row r="61" spans="1:8" x14ac:dyDescent="0.3">
      <c r="A61" s="19" t="s">
        <v>276</v>
      </c>
      <c r="B61" s="19" t="s">
        <v>276</v>
      </c>
      <c r="C61" s="6" t="s">
        <v>316</v>
      </c>
      <c r="D61" s="15">
        <f>IFERROR(SUMIFS(DataEntry!$GM:$GM,DataEntry!$A:$A,"Mangochi",DataEntry!$B:$B,"Mangochi",DataEntry!$G:$G,"Q1"),"")</f>
        <v>274132484.55000001</v>
      </c>
      <c r="E61" s="15">
        <f>IFERROR(SUMIFS(DataEntry!$GM:$GM,DataEntry!$A:$A,"Mangochi",DataEntry!$B:$B,"Mangochi",DataEntry!$G:$G,"Q2"),"")</f>
        <v>322171929.81</v>
      </c>
      <c r="F61" s="15">
        <f>IFERROR(SUMIFS(DataEntry!$GM:$GM,DataEntry!$A:$A,"Mangochi",DataEntry!$B:$B,"Mangochi",DataEntry!$G:$G,"Q3"),"")</f>
        <v>357355741.22999996</v>
      </c>
      <c r="G61" s="15">
        <f>IFERROR(SUMIFS(DataEntry!$GM:$GM,DataEntry!$A:$A,"Mangochi",DataEntry!$B:$B,"Mangochi",DataEntry!$G:$G,"Q4"),"")</f>
        <v>326116187.35000002</v>
      </c>
      <c r="H61" s="20">
        <f t="shared" si="4"/>
        <v>1279776342.9400001</v>
      </c>
    </row>
    <row r="62" spans="1:8" x14ac:dyDescent="0.3">
      <c r="A62" s="21" t="s">
        <v>276</v>
      </c>
      <c r="B62" s="21" t="s">
        <v>276</v>
      </c>
      <c r="C62" s="12" t="s">
        <v>317</v>
      </c>
      <c r="D62" s="9">
        <f>IFERROR(SUMIFS(DataEntry!$GX:$GX,DataEntry!$A:$A,"Mangochi",DataEntry!$B:$B,"Mangochi",DataEntry!$G:$G,"Q1"),"")</f>
        <v>291348533.50999999</v>
      </c>
      <c r="E62" s="9">
        <f>IFERROR(SUMIFS(DataEntry!$GX:$GX,DataEntry!$A:$A,"Mangochi",DataEntry!$B:$B,"Mangochi",DataEntry!$G:$G,"Q2"),"")</f>
        <v>340072822.00999999</v>
      </c>
      <c r="F62" s="9">
        <f>IFERROR(SUMIFS(DataEntry!$GX:$GX,DataEntry!$A:$A,"Mangochi",DataEntry!$B:$B,"Mangochi",DataEntry!$G:$G,"Q3"),"")</f>
        <v>375954994.70999998</v>
      </c>
      <c r="G62" s="9">
        <f>IFERROR(SUMIFS(DataEntry!$GX:$GX,DataEntry!$A:$A,"Mangochi",DataEntry!$B:$B,"Mangochi",DataEntry!$G:$G,"Q4"),"")</f>
        <v>345305290.35000002</v>
      </c>
      <c r="H62" s="22">
        <f t="shared" si="4"/>
        <v>1352681640.5799999</v>
      </c>
    </row>
    <row r="63" spans="1:8" x14ac:dyDescent="0.3">
      <c r="A63" s="19" t="s">
        <v>276</v>
      </c>
      <c r="B63" s="19" t="s">
        <v>276</v>
      </c>
      <c r="C63" s="6" t="s">
        <v>318</v>
      </c>
      <c r="D63" s="15">
        <f>IFERROR(SUMIFS(DataEntry!$CS:$CS,DataEntry!$A:$A,"Mangochi",DataEntry!$B:$B,"Mangochi",DataEntry!$G:$G,"Q1"),"")</f>
        <v>23568</v>
      </c>
      <c r="E63" s="15">
        <f>IFERROR(SUMIFS(DataEntry!$CS:$CS,DataEntry!$A:$A,"Mangochi",DataEntry!$B:$B,"Mangochi",DataEntry!$G:$G,"Q2"),"")</f>
        <v>24218</v>
      </c>
      <c r="F63" s="15">
        <f>IFERROR(SUMIFS(DataEntry!$CS:$CS,DataEntry!$A:$A,"Mangochi",DataEntry!$B:$B,"Mangochi",DataEntry!$G:$G,"Q3"),"")</f>
        <v>25610</v>
      </c>
      <c r="G63" s="15">
        <f>IFERROR(SUMIFS(DataEntry!$CS:$CS,DataEntry!$A:$A,"Mangochi",DataEntry!$B:$B,"Mangochi",DataEntry!$G:$G,"Q4"),"")</f>
        <v>26885</v>
      </c>
      <c r="H63" s="20">
        <f t="shared" si="4"/>
        <v>100281</v>
      </c>
    </row>
    <row r="64" spans="1:8" x14ac:dyDescent="0.3">
      <c r="A64" s="21" t="s">
        <v>276</v>
      </c>
      <c r="B64" s="21" t="s">
        <v>276</v>
      </c>
      <c r="C64" s="12" t="s">
        <v>319</v>
      </c>
      <c r="D64" s="9">
        <f>IFERROR(SUMIFS(DataEntry!$CA:$CA,DataEntry!$A:$A,"Mangochi",DataEntry!$B:$B,"Mangochi",DataEntry!$G:$G,"Q1"),"")</f>
        <v>235</v>
      </c>
      <c r="E64" s="9">
        <f>IFERROR(SUMIFS(DataEntry!$CA:$CA,DataEntry!$A:$A,"Mangochi",DataEntry!$B:$B,"Mangochi",DataEntry!$G:$G,"Q2"),"")</f>
        <v>241</v>
      </c>
      <c r="F64" s="9">
        <f>IFERROR(SUMIFS(DataEntry!$CA:$CA,DataEntry!$A:$A,"Mangochi",DataEntry!$B:$B,"Mangochi",DataEntry!$G:$G,"Q3"),"")</f>
        <v>342</v>
      </c>
      <c r="G64" s="9">
        <f>IFERROR(SUMIFS(DataEntry!$CA:$CA,DataEntry!$A:$A,"Mangochi",DataEntry!$B:$B,"Mangochi",DataEntry!$G:$G,"Q4"),"")</f>
        <v>239</v>
      </c>
      <c r="H64" s="22">
        <f t="shared" si="4"/>
        <v>1057</v>
      </c>
    </row>
    <row r="65" spans="1:8" x14ac:dyDescent="0.3">
      <c r="A65" s="19" t="s">
        <v>276</v>
      </c>
      <c r="B65" s="19" t="s">
        <v>276</v>
      </c>
      <c r="C65" s="6" t="s">
        <v>320</v>
      </c>
      <c r="D65" s="15">
        <f>IFERROR(SUMIFS(DataEntry!$DV:$DV,DataEntry!$A:$A,"Mangochi",DataEntry!$B:$B,"Mangochi",DataEntry!$G:$G,"Q1"),"")</f>
        <v>494</v>
      </c>
      <c r="E65" s="15">
        <f>IFERROR(SUMIFS(DataEntry!$DV:$DV,DataEntry!$A:$A,"Mangochi",DataEntry!$B:$B,"Mangochi",DataEntry!$G:$G,"Q2"),"")</f>
        <v>651</v>
      </c>
      <c r="F65" s="15">
        <f>IFERROR(SUMIFS(DataEntry!$DV:$DV,DataEntry!$A:$A,"Mangochi",DataEntry!$B:$B,"Mangochi",DataEntry!$G:$G,"Q3"),"")</f>
        <v>891</v>
      </c>
      <c r="G65" s="15">
        <f>IFERROR(SUMIFS(DataEntry!$DV:$DV,DataEntry!$A:$A,"Mangochi",DataEntry!$B:$B,"Mangochi",DataEntry!$G:$G,"Q4"),"")</f>
        <v>1432</v>
      </c>
      <c r="H65" s="20">
        <f t="shared" si="4"/>
        <v>3468</v>
      </c>
    </row>
    <row r="66" spans="1:8" x14ac:dyDescent="0.3">
      <c r="A66" s="21" t="s">
        <v>276</v>
      </c>
      <c r="B66" s="21" t="s">
        <v>276</v>
      </c>
      <c r="C66" s="12" t="s">
        <v>243</v>
      </c>
      <c r="D66" s="10">
        <f>IFERROR(AVERAGEIFS(DataEntry!$HC:$HC,DataEntry!$A:$A,"Mangochi",DataEntry!$B:$B,"Mangochi",DataEntry!$G:$G,"Q1"),"")</f>
        <v>0.73147039131697944</v>
      </c>
      <c r="E66" s="10">
        <f>IFERROR(AVERAGEIFS(DataEntry!$HC:$HC,DataEntry!$A:$A,"Mangochi",DataEntry!$B:$B,"Mangochi",DataEntry!$G:$G,"Q2"),"")</f>
        <v>0.52322786674166155</v>
      </c>
      <c r="F66" s="10">
        <f>IFERROR(AVERAGEIFS(DataEntry!$HC:$HC,DataEntry!$A:$A,"Mangochi",DataEntry!$B:$B,"Mangochi",DataEntry!$G:$G,"Q3"),"")</f>
        <v>0.76214668486617343</v>
      </c>
      <c r="G66" s="10">
        <f>IFERROR(AVERAGEIFS(DataEntry!$HC:$HC,DataEntry!$A:$A,"Mangochi",DataEntry!$B:$B,"Mangochi",DataEntry!$G:$G,"Q4"),"")</f>
        <v>22622517.579424713</v>
      </c>
      <c r="H66" s="23">
        <f>IFERROR(AVERAGE(D66:G66),"")</f>
        <v>5655629.899067414</v>
      </c>
    </row>
    <row r="67" spans="1:8" x14ac:dyDescent="0.3">
      <c r="A67" s="19" t="s">
        <v>276</v>
      </c>
      <c r="B67" s="19" t="s">
        <v>276</v>
      </c>
      <c r="C67" s="6" t="s">
        <v>242</v>
      </c>
      <c r="D67" s="16">
        <f>IFERROR(AVERAGEIFS(DataEntry!$HB:$HB,DataEntry!$A:$A,"Mangochi",DataEntry!$B:$B,"Mangochi",DataEntry!$G:$G,"Q1"),"")</f>
        <v>0.55160265225120275</v>
      </c>
      <c r="E67" s="16">
        <f>IFERROR(AVERAGEIFS(DataEntry!$HB:$HB,DataEntry!$A:$A,"Mangochi",DataEntry!$B:$B,"Mangochi",DataEntry!$G:$G,"Q2"),"")</f>
        <v>0.48256124675226403</v>
      </c>
      <c r="F67" s="16">
        <f>IFERROR(AVERAGEIFS(DataEntry!$HB:$HB,DataEntry!$A:$A,"Mangochi",DataEntry!$B:$B,"Mangochi",DataEntry!$G:$G,"Q3"),"")</f>
        <v>0.453763767364457</v>
      </c>
      <c r="G67" s="16">
        <f>IFERROR(AVERAGEIFS(DataEntry!$HB:$HB,DataEntry!$A:$A,"Mangochi",DataEntry!$B:$B,"Mangochi",DataEntry!$G:$G,"Q4"),"")</f>
        <v>39546774.725784101</v>
      </c>
      <c r="H67" s="24">
        <f>IFERROR(AVERAGE(D67:G67),"")</f>
        <v>9886694.0534279421</v>
      </c>
    </row>
    <row r="68" spans="1:8" x14ac:dyDescent="0.3">
      <c r="A68" s="21" t="s">
        <v>276</v>
      </c>
      <c r="B68" s="21" t="s">
        <v>277</v>
      </c>
      <c r="C68" s="12" t="s">
        <v>40</v>
      </c>
      <c r="D68" s="9">
        <f>IFERROR(SUMIFS(DataEntry!$H:$H,DataEntry!$A:$A,"Mangochi",DataEntry!$B:$B,"Monkey Bay",DataEntry!$G:$G,"Q1"),"")</f>
        <v>215027</v>
      </c>
      <c r="E68" s="9">
        <f>IFERROR(SUMIFS(DataEntry!$H:$H,DataEntry!$A:$A,"Mangochi",DataEntry!$B:$B,"Monkey Bay",DataEntry!$G:$G,"Q2"),"")</f>
        <v>200519</v>
      </c>
      <c r="F68" s="9">
        <f>IFERROR(SUMIFS(DataEntry!$H:$H,DataEntry!$A:$A,"Mangochi",DataEntry!$B:$B,"Monkey Bay",DataEntry!$G:$G,"Q3"),"")</f>
        <v>194335</v>
      </c>
      <c r="G68" s="9">
        <f>IFERROR(SUMIFS(DataEntry!$H:$H,DataEntry!$A:$A,"Mangochi",DataEntry!$B:$B,"Monkey Bay",DataEntry!$G:$G,"Q4"),"")</f>
        <v>167576</v>
      </c>
      <c r="H68" s="22">
        <f>IFERROR(SUM(D68:G68),"")</f>
        <v>777457</v>
      </c>
    </row>
    <row r="69" spans="1:8" x14ac:dyDescent="0.3">
      <c r="A69" s="19" t="s">
        <v>276</v>
      </c>
      <c r="B69" s="19" t="s">
        <v>277</v>
      </c>
      <c r="C69" s="6" t="s">
        <v>312</v>
      </c>
      <c r="D69" s="15">
        <f>IFERROR(SUMIFS(DataEntry!$S:$S,DataEntry!$A:$A,"Mangochi",DataEntry!$B:$B,"Monkey Bay",DataEntry!$G:$G,"Q1"),"")</f>
        <v>178405.9</v>
      </c>
      <c r="E69" s="15">
        <f>IFERROR(SUMIFS(DataEntry!$S:$S,DataEntry!$A:$A,"Mangochi",DataEntry!$B:$B,"Monkey Bay",DataEntry!$G:$G,"Q2"),"")</f>
        <v>159967.79999999999</v>
      </c>
      <c r="F69" s="15">
        <f>IFERROR(SUMIFS(DataEntry!$S:$S,DataEntry!$A:$A,"Mangochi",DataEntry!$B:$B,"Monkey Bay",DataEntry!$G:$G,"Q3"),"")</f>
        <v>155814.39999999999</v>
      </c>
      <c r="G69" s="15">
        <f>IFERROR(SUMIFS(DataEntry!$S:$S,DataEntry!$A:$A,"Mangochi",DataEntry!$B:$B,"Monkey Bay",DataEntry!$G:$G,"Q4"),"")</f>
        <v>121924.00000000003</v>
      </c>
      <c r="H69" s="20">
        <f>IFERROR(SUM(D69:G69),"")</f>
        <v>616112.1</v>
      </c>
    </row>
    <row r="70" spans="1:8" x14ac:dyDescent="0.3">
      <c r="A70" s="21" t="s">
        <v>276</v>
      </c>
      <c r="B70" s="21" t="s">
        <v>277</v>
      </c>
      <c r="C70" s="12" t="s">
        <v>313</v>
      </c>
      <c r="D70" s="9">
        <f>IFERROR(SUMIFS(DataEntry!$T:$T,DataEntry!$A:$A,"Mangochi",DataEntry!$B:$B,"Monkey Bay",DataEntry!$G:$G,"Q1"),"")</f>
        <v>36621.100000000006</v>
      </c>
      <c r="E70" s="9">
        <f>IFERROR(SUMIFS(DataEntry!$T:$T,DataEntry!$A:$A,"Mangochi",DataEntry!$B:$B,"Monkey Bay",DataEntry!$G:$G,"Q2"),"")</f>
        <v>40551.199999999997</v>
      </c>
      <c r="F70" s="9">
        <f>IFERROR(SUMIFS(DataEntry!$T:$T,DataEntry!$A:$A,"Mangochi",DataEntry!$B:$B,"Monkey Bay",DataEntry!$G:$G,"Q3"),"")</f>
        <v>38520.6</v>
      </c>
      <c r="G70" s="9">
        <f>IFERROR(SUMIFS(DataEntry!$T:$T,DataEntry!$A:$A,"Mangochi",DataEntry!$B:$B,"Monkey Bay",DataEntry!$G:$G,"Q4"),"")</f>
        <v>45651.999999999956</v>
      </c>
      <c r="H70" s="22">
        <f>IFERROR(SUM(D70:G70),"")</f>
        <v>161344.89999999997</v>
      </c>
    </row>
    <row r="71" spans="1:8" x14ac:dyDescent="0.3">
      <c r="A71" s="19" t="s">
        <v>276</v>
      </c>
      <c r="B71" s="19" t="s">
        <v>277</v>
      </c>
      <c r="C71" s="6" t="s">
        <v>53</v>
      </c>
      <c r="D71" s="16">
        <f>IFERROR(AVERAGEIFS(DataEntry!$U:$U,DataEntry!$A:$A,"Mangochi",DataEntry!$B:$B,"Monkey Bay",DataEntry!$G:$G,"Q1"),"")</f>
        <v>0.16750588478927617</v>
      </c>
      <c r="E71" s="16">
        <f>IFERROR(AVERAGEIFS(DataEntry!$U:$U,DataEntry!$A:$A,"Mangochi",DataEntry!$B:$B,"Monkey Bay",DataEntry!$G:$G,"Q2"),"")</f>
        <v>0.20075215602653115</v>
      </c>
      <c r="F71" s="16">
        <f>IFERROR(AVERAGEIFS(DataEntry!$U:$U,DataEntry!$A:$A,"Mangochi",DataEntry!$B:$B,"Monkey Bay",DataEntry!$G:$G,"Q3"),"")</f>
        <v>0.19458229708313887</v>
      </c>
      <c r="G71" s="16">
        <f>IFERROR(AVERAGEIFS(DataEntry!$U:$U,DataEntry!$A:$A,"Mangochi",DataEntry!$B:$B,"Monkey Bay",DataEntry!$G:$G,"Q4"),"")</f>
        <v>0.27474035753989173</v>
      </c>
      <c r="H71" s="24">
        <f>IFERROR(AVERAGE(D71:G71),"")</f>
        <v>0.20939517385970946</v>
      </c>
    </row>
    <row r="72" spans="1:8" x14ac:dyDescent="0.3">
      <c r="A72" s="21" t="s">
        <v>276</v>
      </c>
      <c r="B72" s="21" t="s">
        <v>277</v>
      </c>
      <c r="C72" s="12" t="s">
        <v>314</v>
      </c>
      <c r="D72" s="9">
        <f>IFERROR(SUMIFS(DataEntry!$AU:$AU,DataEntry!$A:$A,"Mangochi",DataEntry!$B:$B,"Monkey Bay",DataEntry!$G:$G,"Q1"),"")</f>
        <v>53313747.902500004</v>
      </c>
      <c r="E72" s="9">
        <f>IFERROR(SUMIFS(DataEntry!$AU:$AU,DataEntry!$A:$A,"Mangochi",DataEntry!$B:$B,"Monkey Bay",DataEntry!$G:$G,"Q2"),"")</f>
        <v>52459096.814999998</v>
      </c>
      <c r="F72" s="9">
        <f>IFERROR(SUMIFS(DataEntry!$AU:$AU,DataEntry!$A:$A,"Mangochi",DataEntry!$B:$B,"Monkey Bay",DataEntry!$G:$G,"Q3"),"")</f>
        <v>46034719.855000004</v>
      </c>
      <c r="G72" s="9">
        <f>IFERROR(SUMIFS(DataEntry!$AU:$AU,DataEntry!$A:$A,"Mangochi",DataEntry!$B:$B,"Monkey Bay",DataEntry!$G:$G,"Q4"),"")</f>
        <v>36827548</v>
      </c>
      <c r="H72" s="22">
        <f t="shared" ref="H72:H78" si="5">IFERROR(SUM(D72:G72),"")</f>
        <v>188635112.57249999</v>
      </c>
    </row>
    <row r="73" spans="1:8" x14ac:dyDescent="0.3">
      <c r="A73" s="19" t="s">
        <v>276</v>
      </c>
      <c r="B73" s="19" t="s">
        <v>277</v>
      </c>
      <c r="C73" s="6" t="s">
        <v>315</v>
      </c>
      <c r="D73" s="15">
        <f>IFERROR(SUMIFS(DataEntry!$GB:$GB,DataEntry!$A:$A,"Mangochi",DataEntry!$B:$B,"Monkey Bay",DataEntry!$G:$G,"Q1"),"")</f>
        <v>241838308.03999999</v>
      </c>
      <c r="E73" s="15">
        <f>IFERROR(SUMIFS(DataEntry!$GB:$GB,DataEntry!$A:$A,"Mangochi",DataEntry!$B:$B,"Monkey Bay",DataEntry!$G:$G,"Q2"),"")</f>
        <v>309312055.13</v>
      </c>
      <c r="F73" s="15">
        <f>IFERROR(SUMIFS(DataEntry!$GB:$GB,DataEntry!$A:$A,"Mangochi",DataEntry!$B:$B,"Monkey Bay",DataEntry!$G:$G,"Q3"),"")</f>
        <v>451047085.31</v>
      </c>
      <c r="G73" s="15">
        <f>IFERROR(SUMIFS(DataEntry!$GB:$GB,DataEntry!$A:$A,"Mangochi",DataEntry!$B:$B,"Monkey Bay",DataEntry!$G:$G,"Q4"),"")</f>
        <v>108835169.3499999</v>
      </c>
      <c r="H73" s="20">
        <f t="shared" si="5"/>
        <v>1111032617.8299999</v>
      </c>
    </row>
    <row r="74" spans="1:8" x14ac:dyDescent="0.3">
      <c r="A74" s="21" t="s">
        <v>276</v>
      </c>
      <c r="B74" s="21" t="s">
        <v>277</v>
      </c>
      <c r="C74" s="12" t="s">
        <v>316</v>
      </c>
      <c r="D74" s="9">
        <f>IFERROR(SUMIFS(DataEntry!$GM:$GM,DataEntry!$A:$A,"Mangochi",DataEntry!$B:$B,"Monkey Bay",DataEntry!$G:$G,"Q1"),"")</f>
        <v>346487774.96999997</v>
      </c>
      <c r="E74" s="9">
        <f>IFERROR(SUMIFS(DataEntry!$GM:$GM,DataEntry!$A:$A,"Mangochi",DataEntry!$B:$B,"Monkey Bay",DataEntry!$G:$G,"Q2"),"")</f>
        <v>348764072.46999997</v>
      </c>
      <c r="F74" s="9">
        <f>IFERROR(SUMIFS(DataEntry!$GM:$GM,DataEntry!$A:$A,"Mangochi",DataEntry!$B:$B,"Monkey Bay",DataEntry!$G:$G,"Q3"),"")</f>
        <v>321091365.25</v>
      </c>
      <c r="G74" s="9">
        <f>IFERROR(SUMIFS(DataEntry!$GM:$GM,DataEntry!$A:$A,"Mangochi",DataEntry!$B:$B,"Monkey Bay",DataEntry!$G:$G,"Q4"),"")</f>
        <v>191469995.96999997</v>
      </c>
      <c r="H74" s="22">
        <f t="shared" si="5"/>
        <v>1207813208.6599998</v>
      </c>
    </row>
    <row r="75" spans="1:8" x14ac:dyDescent="0.3">
      <c r="A75" s="19" t="s">
        <v>276</v>
      </c>
      <c r="B75" s="19" t="s">
        <v>277</v>
      </c>
      <c r="C75" s="6" t="s">
        <v>317</v>
      </c>
      <c r="D75" s="15">
        <f>IFERROR(SUMIFS(DataEntry!$GX:$GX,DataEntry!$A:$A,"Mangochi",DataEntry!$B:$B,"Monkey Bay",DataEntry!$G:$G,"Q1"),"")</f>
        <v>352642410.09000003</v>
      </c>
      <c r="E75" s="15">
        <f>IFERROR(SUMIFS(DataEntry!$GX:$GX,DataEntry!$A:$A,"Mangochi",DataEntry!$B:$B,"Monkey Bay",DataEntry!$G:$G,"Q2"),"")</f>
        <v>355018983.17000002</v>
      </c>
      <c r="F75" s="15">
        <f>IFERROR(SUMIFS(DataEntry!$GX:$GX,DataEntry!$A:$A,"Mangochi",DataEntry!$B:$B,"Monkey Bay",DataEntry!$G:$G,"Q3"),"")</f>
        <v>327394819.32999998</v>
      </c>
      <c r="G75" s="15">
        <f>IFERROR(SUMIFS(DataEntry!$GX:$GX,DataEntry!$A:$A,"Mangochi",DataEntry!$B:$B,"Monkey Bay",DataEntry!$G:$G,"Q4"),"")</f>
        <v>197781631.80999997</v>
      </c>
      <c r="H75" s="20">
        <f t="shared" si="5"/>
        <v>1232837844.3999999</v>
      </c>
    </row>
    <row r="76" spans="1:8" x14ac:dyDescent="0.3">
      <c r="A76" s="21" t="s">
        <v>276</v>
      </c>
      <c r="B76" s="21" t="s">
        <v>277</v>
      </c>
      <c r="C76" s="12" t="s">
        <v>318</v>
      </c>
      <c r="D76" s="9">
        <f>IFERROR(SUMIFS(DataEntry!$CS:$CS,DataEntry!$A:$A,"Mangochi",DataEntry!$B:$B,"Monkey Bay",DataEntry!$G:$G,"Q1"),"")</f>
        <v>6789</v>
      </c>
      <c r="E76" s="9">
        <f>IFERROR(SUMIFS(DataEntry!$CS:$CS,DataEntry!$A:$A,"Mangochi",DataEntry!$B:$B,"Monkey Bay",DataEntry!$G:$G,"Q2"),"")</f>
        <v>6568</v>
      </c>
      <c r="F76" s="9">
        <f>IFERROR(SUMIFS(DataEntry!$CS:$CS,DataEntry!$A:$A,"Mangochi",DataEntry!$B:$B,"Monkey Bay",DataEntry!$G:$G,"Q3"),"")</f>
        <v>6805</v>
      </c>
      <c r="G76" s="9">
        <f>IFERROR(SUMIFS(DataEntry!$CS:$CS,DataEntry!$A:$A,"Mangochi",DataEntry!$B:$B,"Monkey Bay",DataEntry!$G:$G,"Q4"),"")</f>
        <v>7372</v>
      </c>
      <c r="H76" s="22">
        <f t="shared" si="5"/>
        <v>27534</v>
      </c>
    </row>
    <row r="77" spans="1:8" x14ac:dyDescent="0.3">
      <c r="A77" s="19" t="s">
        <v>276</v>
      </c>
      <c r="B77" s="19" t="s">
        <v>277</v>
      </c>
      <c r="C77" s="6" t="s">
        <v>319</v>
      </c>
      <c r="D77" s="15">
        <f>IFERROR(SUMIFS(DataEntry!$CA:$CA,DataEntry!$A:$A,"Mangochi",DataEntry!$B:$B,"Monkey Bay",DataEntry!$G:$G,"Q1"),"")</f>
        <v>72</v>
      </c>
      <c r="E77" s="15">
        <f>IFERROR(SUMIFS(DataEntry!$CA:$CA,DataEntry!$A:$A,"Mangochi",DataEntry!$B:$B,"Monkey Bay",DataEntry!$G:$G,"Q2"),"")</f>
        <v>85</v>
      </c>
      <c r="F77" s="15">
        <f>IFERROR(SUMIFS(DataEntry!$CA:$CA,DataEntry!$A:$A,"Mangochi",DataEntry!$B:$B,"Monkey Bay",DataEntry!$G:$G,"Q3"),"")</f>
        <v>34</v>
      </c>
      <c r="G77" s="15">
        <f>IFERROR(SUMIFS(DataEntry!$CA:$CA,DataEntry!$A:$A,"Mangochi",DataEntry!$B:$B,"Monkey Bay",DataEntry!$G:$G,"Q4"),"")</f>
        <v>294</v>
      </c>
      <c r="H77" s="20">
        <f t="shared" si="5"/>
        <v>485</v>
      </c>
    </row>
    <row r="78" spans="1:8" x14ac:dyDescent="0.3">
      <c r="A78" s="21" t="s">
        <v>276</v>
      </c>
      <c r="B78" s="21" t="s">
        <v>277</v>
      </c>
      <c r="C78" s="12" t="s">
        <v>320</v>
      </c>
      <c r="D78" s="9">
        <f>IFERROR(SUMIFS(DataEntry!$DV:$DV,DataEntry!$A:$A,"Mangochi",DataEntry!$B:$B,"Monkey Bay",DataEntry!$G:$G,"Q1"),"")</f>
        <v>77</v>
      </c>
      <c r="E78" s="9">
        <f>IFERROR(SUMIFS(DataEntry!$DV:$DV,DataEntry!$A:$A,"Mangochi",DataEntry!$B:$B,"Monkey Bay",DataEntry!$G:$G,"Q2"),"")</f>
        <v>128</v>
      </c>
      <c r="F78" s="9">
        <f>IFERROR(SUMIFS(DataEntry!$DV:$DV,DataEntry!$A:$A,"Mangochi",DataEntry!$B:$B,"Monkey Bay",DataEntry!$G:$G,"Q3"),"")</f>
        <v>107</v>
      </c>
      <c r="G78" s="9">
        <f>IFERROR(SUMIFS(DataEntry!$DV:$DV,DataEntry!$A:$A,"Mangochi",DataEntry!$B:$B,"Monkey Bay",DataEntry!$G:$G,"Q4"),"")</f>
        <v>46</v>
      </c>
      <c r="H78" s="22">
        <f t="shared" si="5"/>
        <v>358</v>
      </c>
    </row>
    <row r="79" spans="1:8" x14ac:dyDescent="0.3">
      <c r="A79" s="19" t="s">
        <v>276</v>
      </c>
      <c r="B79" s="19" t="s">
        <v>277</v>
      </c>
      <c r="C79" s="6" t="s">
        <v>243</v>
      </c>
      <c r="D79" s="16">
        <f>IFERROR(AVERAGEIFS(DataEntry!$HC:$HC,DataEntry!$A:$A,"Mangochi",DataEntry!$B:$B,"Monkey Bay",DataEntry!$G:$G,"Q1"),"")</f>
        <v>0.50909953140395448</v>
      </c>
      <c r="E79" s="16">
        <f>IFERROR(AVERAGEIFS(DataEntry!$HC:$HC,DataEntry!$A:$A,"Mangochi",DataEntry!$B:$B,"Monkey Bay",DataEntry!$G:$G,"Q2"),"")</f>
        <v>0.7350036148240694</v>
      </c>
      <c r="F79" s="16">
        <f>IFERROR(AVERAGEIFS(DataEntry!$HC:$HC,DataEntry!$A:$A,"Mangochi",DataEntry!$B:$B,"Monkey Bay",DataEntry!$G:$G,"Q3"),"")</f>
        <v>1.2311376488857657</v>
      </c>
      <c r="G79" s="16">
        <f>IFERROR(AVERAGEIFS(DataEntry!$HC:$HC,DataEntry!$A:$A,"Mangochi",DataEntry!$B:$B,"Monkey Bay",DataEntry!$G:$G,"Q4"),"")</f>
        <v>3466224.6912720385</v>
      </c>
      <c r="H79" s="24">
        <f>IFERROR(AVERAGE(D79:G79),"")</f>
        <v>866556.79162820836</v>
      </c>
    </row>
    <row r="80" spans="1:8" x14ac:dyDescent="0.3">
      <c r="A80" s="21" t="s">
        <v>276</v>
      </c>
      <c r="B80" s="21" t="s">
        <v>277</v>
      </c>
      <c r="C80" s="12" t="s">
        <v>242</v>
      </c>
      <c r="D80" s="10">
        <f>IFERROR(AVERAGEIFS(DataEntry!$HB:$HB,DataEntry!$A:$A,"Mangochi",DataEntry!$B:$B,"Monkey Bay",DataEntry!$G:$G,"Q1"),"")</f>
        <v>0.15154143152550656</v>
      </c>
      <c r="E80" s="10">
        <f>IFERROR(AVERAGEIFS(DataEntry!$HB:$HB,DataEntry!$A:$A,"Mangochi",DataEntry!$B:$B,"Monkey Bay",DataEntry!$G:$G,"Q2"),"")</f>
        <v>0.14878399237070519</v>
      </c>
      <c r="F80" s="10">
        <f>IFERROR(AVERAGEIFS(DataEntry!$HB:$HB,DataEntry!$A:$A,"Mangochi",DataEntry!$B:$B,"Monkey Bay",DataEntry!$G:$G,"Q3"),"")</f>
        <v>0.14009741297850886</v>
      </c>
      <c r="G80" s="10">
        <f>IFERROR(AVERAGEIFS(DataEntry!$HB:$HB,DataEntry!$A:$A,"Mangochi",DataEntry!$B:$B,"Monkey Bay",DataEntry!$G:$G,"Q4"),"")</f>
        <v>30765385.508961532</v>
      </c>
      <c r="H80" s="23">
        <f>IFERROR(AVERAGE(D80:G80),"")</f>
        <v>7691346.4873460922</v>
      </c>
    </row>
    <row r="81" spans="1:8" x14ac:dyDescent="0.3">
      <c r="A81" s="19" t="s">
        <v>276</v>
      </c>
      <c r="B81" s="19" t="s">
        <v>278</v>
      </c>
      <c r="C81" s="6" t="s">
        <v>40</v>
      </c>
      <c r="D81" s="15">
        <f>IFERROR(SUMIFS(DataEntry!$H:$H,DataEntry!$A:$A,"Mangochi",DataEntry!$B:$B,"Namwera",DataEntry!$G:$G,"Q1"),"")</f>
        <v>9084</v>
      </c>
      <c r="E81" s="15">
        <f>IFERROR(SUMIFS(DataEntry!$H:$H,DataEntry!$A:$A,"Mangochi",DataEntry!$B:$B,"Namwera",DataEntry!$G:$G,"Q2"),"")</f>
        <v>16840</v>
      </c>
      <c r="F81" s="15">
        <f>IFERROR(SUMIFS(DataEntry!$H:$H,DataEntry!$A:$A,"Mangochi",DataEntry!$B:$B,"Namwera",DataEntry!$G:$G,"Q3"),"")</f>
        <v>11311</v>
      </c>
      <c r="G81" s="15">
        <f>IFERROR(SUMIFS(DataEntry!$H:$H,DataEntry!$A:$A,"Mangochi",DataEntry!$B:$B,"Namwera",DataEntry!$G:$G,"Q4"),"")</f>
        <v>10188</v>
      </c>
      <c r="H81" s="20">
        <f>IFERROR(SUM(D81:G81),"")</f>
        <v>47423</v>
      </c>
    </row>
    <row r="82" spans="1:8" x14ac:dyDescent="0.3">
      <c r="A82" s="21" t="s">
        <v>276</v>
      </c>
      <c r="B82" s="21" t="s">
        <v>278</v>
      </c>
      <c r="C82" s="12" t="s">
        <v>312</v>
      </c>
      <c r="D82" s="9">
        <f>IFERROR(SUMIFS(DataEntry!$S:$S,DataEntry!$A:$A,"Mangochi",DataEntry!$B:$B,"Namwera",DataEntry!$G:$G,"Q1"),"")</f>
        <v>7177</v>
      </c>
      <c r="E82" s="9">
        <f>IFERROR(SUMIFS(DataEntry!$S:$S,DataEntry!$A:$A,"Mangochi",DataEntry!$B:$B,"Namwera",DataEntry!$G:$G,"Q2"),"")</f>
        <v>14992.2</v>
      </c>
      <c r="F82" s="9">
        <f>IFERROR(SUMIFS(DataEntry!$S:$S,DataEntry!$A:$A,"Mangochi",DataEntry!$B:$B,"Namwera",DataEntry!$G:$G,"Q3"),"")</f>
        <v>9746.7999999999993</v>
      </c>
      <c r="G82" s="9">
        <f>IFERROR(SUMIFS(DataEntry!$S:$S,DataEntry!$A:$A,"Mangochi",DataEntry!$B:$B,"Namwera",DataEntry!$G:$G,"Q4"),"")</f>
        <v>8039.9</v>
      </c>
      <c r="H82" s="22">
        <f>IFERROR(SUM(D82:G82),"")</f>
        <v>39955.9</v>
      </c>
    </row>
    <row r="83" spans="1:8" x14ac:dyDescent="0.3">
      <c r="A83" s="19" t="s">
        <v>276</v>
      </c>
      <c r="B83" s="19" t="s">
        <v>278</v>
      </c>
      <c r="C83" s="6" t="s">
        <v>313</v>
      </c>
      <c r="D83" s="15">
        <f>IFERROR(SUMIFS(DataEntry!$T:$T,DataEntry!$A:$A,"Mangochi",DataEntry!$B:$B,"Namwera",DataEntry!$G:$G,"Q1"),"")</f>
        <v>1907</v>
      </c>
      <c r="E83" s="15">
        <f>IFERROR(SUMIFS(DataEntry!$T:$T,DataEntry!$A:$A,"Mangochi",DataEntry!$B:$B,"Namwera",DataEntry!$G:$G,"Q2"),"")</f>
        <v>1847.8000000000009</v>
      </c>
      <c r="F83" s="15">
        <f>IFERROR(SUMIFS(DataEntry!$T:$T,DataEntry!$A:$A,"Mangochi",DataEntry!$B:$B,"Namwera",DataEntry!$G:$G,"Q3"),"")</f>
        <v>1564.2</v>
      </c>
      <c r="G83" s="15">
        <f>IFERROR(SUMIFS(DataEntry!$T:$T,DataEntry!$A:$A,"Mangochi",DataEntry!$B:$B,"Namwera",DataEntry!$G:$G,"Q4"),"")</f>
        <v>2148.1000000000013</v>
      </c>
      <c r="H83" s="20">
        <f>IFERROR(SUM(D83:G83),"")</f>
        <v>7467.1000000000022</v>
      </c>
    </row>
    <row r="84" spans="1:8" x14ac:dyDescent="0.3">
      <c r="A84" s="21" t="s">
        <v>276</v>
      </c>
      <c r="B84" s="21" t="s">
        <v>278</v>
      </c>
      <c r="C84" s="12" t="s">
        <v>53</v>
      </c>
      <c r="D84" s="10">
        <f>IFERROR(AVERAGEIFS(DataEntry!$U:$U,DataEntry!$A:$A,"Mangochi",DataEntry!$B:$B,"Namwera",DataEntry!$G:$G,"Q1"),"")</f>
        <v>0.21203485465435512</v>
      </c>
      <c r="E84" s="10">
        <f>IFERROR(AVERAGEIFS(DataEntry!$U:$U,DataEntry!$A:$A,"Mangochi",DataEntry!$B:$B,"Namwera",DataEntry!$G:$G,"Q2"),"")</f>
        <v>0.11048472637487601</v>
      </c>
      <c r="F84" s="10">
        <f>IFERROR(AVERAGEIFS(DataEntry!$U:$U,DataEntry!$A:$A,"Mangochi",DataEntry!$B:$B,"Namwera",DataEntry!$G:$G,"Q3"),"")</f>
        <v>0.15448173458851661</v>
      </c>
      <c r="G84" s="10">
        <f>IFERROR(AVERAGEIFS(DataEntry!$U:$U,DataEntry!$A:$A,"Mangochi",DataEntry!$B:$B,"Namwera",DataEntry!$G:$G,"Q4"),"")</f>
        <v>0.19055936878908628</v>
      </c>
      <c r="H84" s="23">
        <f>IFERROR(AVERAGE(D84:G84),"")</f>
        <v>0.16689017110170851</v>
      </c>
    </row>
    <row r="85" spans="1:8" x14ac:dyDescent="0.3">
      <c r="A85" s="19" t="s">
        <v>276</v>
      </c>
      <c r="B85" s="19" t="s">
        <v>278</v>
      </c>
      <c r="C85" s="6" t="s">
        <v>314</v>
      </c>
      <c r="D85" s="15">
        <f>IFERROR(SUMIFS(DataEntry!$AU:$AU,DataEntry!$A:$A,"Mangochi",DataEntry!$B:$B,"Namwera",DataEntry!$G:$G,"Q1"),"")</f>
        <v>16139017.575000001</v>
      </c>
      <c r="E85" s="15">
        <f>IFERROR(SUMIFS(DataEntry!$AU:$AU,DataEntry!$A:$A,"Mangochi",DataEntry!$B:$B,"Namwera",DataEntry!$G:$G,"Q2"),"")</f>
        <v>18130360.442500003</v>
      </c>
      <c r="F85" s="15">
        <f>IFERROR(SUMIFS(DataEntry!$AU:$AU,DataEntry!$A:$A,"Mangochi",DataEntry!$B:$B,"Namwera",DataEntry!$G:$G,"Q3"),"")</f>
        <v>17909578.342500001</v>
      </c>
      <c r="G85" s="15">
        <f>IFERROR(SUMIFS(DataEntry!$AU:$AU,DataEntry!$A:$A,"Mangochi",DataEntry!$B:$B,"Namwera",DataEntry!$G:$G,"Q4"),"")</f>
        <v>16793947.6875</v>
      </c>
      <c r="H85" s="20">
        <f t="shared" ref="H85:H91" si="6">IFERROR(SUM(D85:G85),"")</f>
        <v>68972904.047500014</v>
      </c>
    </row>
    <row r="86" spans="1:8" x14ac:dyDescent="0.3">
      <c r="A86" s="21" t="s">
        <v>276</v>
      </c>
      <c r="B86" s="21" t="s">
        <v>278</v>
      </c>
      <c r="C86" s="12" t="s">
        <v>315</v>
      </c>
      <c r="D86" s="9">
        <f>IFERROR(SUMIFS(DataEntry!$GB:$GB,DataEntry!$A:$A,"Mangochi",DataEntry!$B:$B,"Namwera",DataEntry!$G:$G,"Q1"),"")</f>
        <v>18461381.760000002</v>
      </c>
      <c r="E86" s="9">
        <f>IFERROR(SUMIFS(DataEntry!$GB:$GB,DataEntry!$A:$A,"Mangochi",DataEntry!$B:$B,"Namwera",DataEntry!$G:$G,"Q2"),"")</f>
        <v>21609994.18</v>
      </c>
      <c r="F86" s="9">
        <f>IFERROR(SUMIFS(DataEntry!$GB:$GB,DataEntry!$A:$A,"Mangochi",DataEntry!$B:$B,"Namwera",DataEntry!$G:$G,"Q3"),"")</f>
        <v>12931344.439999999</v>
      </c>
      <c r="G86" s="9">
        <f>IFERROR(SUMIFS(DataEntry!$GB:$GB,DataEntry!$A:$A,"Mangochi",DataEntry!$B:$B,"Namwera",DataEntry!$G:$G,"Q4"),"")</f>
        <v>13541035.220000001</v>
      </c>
      <c r="H86" s="22">
        <f t="shared" si="6"/>
        <v>66543755.599999994</v>
      </c>
    </row>
    <row r="87" spans="1:8" x14ac:dyDescent="0.3">
      <c r="A87" s="19" t="s">
        <v>276</v>
      </c>
      <c r="B87" s="19" t="s">
        <v>278</v>
      </c>
      <c r="C87" s="6" t="s">
        <v>316</v>
      </c>
      <c r="D87" s="15">
        <f>IFERROR(SUMIFS(DataEntry!$GM:$GM,DataEntry!$A:$A,"Mangochi",DataEntry!$B:$B,"Namwera",DataEntry!$G:$G,"Q1"),"")</f>
        <v>12786496.279999999</v>
      </c>
      <c r="E87" s="15">
        <f>IFERROR(SUMIFS(DataEntry!$GM:$GM,DataEntry!$A:$A,"Mangochi",DataEntry!$B:$B,"Namwera",DataEntry!$G:$G,"Q2"),"")</f>
        <v>15896429.119999999</v>
      </c>
      <c r="F87" s="15">
        <f>IFERROR(SUMIFS(DataEntry!$GM:$GM,DataEntry!$A:$A,"Mangochi",DataEntry!$B:$B,"Namwera",DataEntry!$G:$G,"Q3"),"")</f>
        <v>10181488.65</v>
      </c>
      <c r="G87" s="15">
        <f>IFERROR(SUMIFS(DataEntry!$GM:$GM,DataEntry!$A:$A,"Mangochi",DataEntry!$B:$B,"Namwera",DataEntry!$G:$G,"Q4"),"")</f>
        <v>11357010.950000001</v>
      </c>
      <c r="H87" s="20">
        <f t="shared" si="6"/>
        <v>50221425</v>
      </c>
    </row>
    <row r="88" spans="1:8" x14ac:dyDescent="0.3">
      <c r="A88" s="21" t="s">
        <v>276</v>
      </c>
      <c r="B88" s="21" t="s">
        <v>278</v>
      </c>
      <c r="C88" s="12" t="s">
        <v>317</v>
      </c>
      <c r="D88" s="9">
        <f>IFERROR(SUMIFS(DataEntry!$GX:$GX,DataEntry!$A:$A,"Mangochi",DataEntry!$B:$B,"Namwera",DataEntry!$G:$G,"Q1"),"")</f>
        <v>12804147.49</v>
      </c>
      <c r="E88" s="9">
        <f>IFERROR(SUMIFS(DataEntry!$GX:$GX,DataEntry!$A:$A,"Mangochi",DataEntry!$B:$B,"Namwera",DataEntry!$G:$G,"Q2"),"")</f>
        <v>15922905.689999998</v>
      </c>
      <c r="F88" s="9">
        <f>IFERROR(SUMIFS(DataEntry!$GX:$GX,DataEntry!$A:$A,"Mangochi",DataEntry!$B:$B,"Namwera",DataEntry!$G:$G,"Q3"),"")</f>
        <v>10207965.220000001</v>
      </c>
      <c r="G88" s="9">
        <f>IFERROR(SUMIFS(DataEntry!$GX:$GX,DataEntry!$A:$A,"Mangochi",DataEntry!$B:$B,"Namwera",DataEntry!$G:$G,"Q4"),"")</f>
        <v>11383487.870000001</v>
      </c>
      <c r="H88" s="22">
        <f t="shared" si="6"/>
        <v>50318506.269999996</v>
      </c>
    </row>
    <row r="89" spans="1:8" x14ac:dyDescent="0.3">
      <c r="A89" s="19" t="s">
        <v>276</v>
      </c>
      <c r="B89" s="19" t="s">
        <v>278</v>
      </c>
      <c r="C89" s="6" t="s">
        <v>318</v>
      </c>
      <c r="D89" s="15">
        <f>IFERROR(SUMIFS(DataEntry!$CS:$CS,DataEntry!$A:$A,"Mangochi",DataEntry!$B:$B,"Namwera",DataEntry!$G:$G,"Q1"),"")</f>
        <v>2153</v>
      </c>
      <c r="E89" s="15">
        <f>IFERROR(SUMIFS(DataEntry!$CS:$CS,DataEntry!$A:$A,"Mangochi",DataEntry!$B:$B,"Namwera",DataEntry!$G:$G,"Q2"),"")</f>
        <v>2271</v>
      </c>
      <c r="F89" s="15">
        <f>IFERROR(SUMIFS(DataEntry!$CS:$CS,DataEntry!$A:$A,"Mangochi",DataEntry!$B:$B,"Namwera",DataEntry!$G:$G,"Q3"),"")</f>
        <v>2445</v>
      </c>
      <c r="G89" s="15">
        <f>IFERROR(SUMIFS(DataEntry!$CS:$CS,DataEntry!$A:$A,"Mangochi",DataEntry!$B:$B,"Namwera",DataEntry!$G:$G,"Q4"),"")</f>
        <v>2535</v>
      </c>
      <c r="H89" s="20">
        <f t="shared" si="6"/>
        <v>9404</v>
      </c>
    </row>
    <row r="90" spans="1:8" x14ac:dyDescent="0.3">
      <c r="A90" s="21" t="s">
        <v>276</v>
      </c>
      <c r="B90" s="21" t="s">
        <v>278</v>
      </c>
      <c r="C90" s="12" t="s">
        <v>319</v>
      </c>
      <c r="D90" s="9">
        <f>IFERROR(SUMIFS(DataEntry!$CA:$CA,DataEntry!$A:$A,"Mangochi",DataEntry!$B:$B,"Namwera",DataEntry!$G:$G,"Q1"),"")</f>
        <v>15</v>
      </c>
      <c r="E90" s="9">
        <f>IFERROR(SUMIFS(DataEntry!$CA:$CA,DataEntry!$A:$A,"Mangochi",DataEntry!$B:$B,"Namwera",DataEntry!$G:$G,"Q2"),"")</f>
        <v>42</v>
      </c>
      <c r="F90" s="9">
        <f>IFERROR(SUMIFS(DataEntry!$CA:$CA,DataEntry!$A:$A,"Mangochi",DataEntry!$B:$B,"Namwera",DataEntry!$G:$G,"Q3"),"")</f>
        <v>38</v>
      </c>
      <c r="G90" s="9">
        <f>IFERROR(SUMIFS(DataEntry!$CA:$CA,DataEntry!$A:$A,"Mangochi",DataEntry!$B:$B,"Namwera",DataEntry!$G:$G,"Q4"),"")</f>
        <v>22</v>
      </c>
      <c r="H90" s="22">
        <f t="shared" si="6"/>
        <v>117</v>
      </c>
    </row>
    <row r="91" spans="1:8" x14ac:dyDescent="0.3">
      <c r="A91" s="19" t="s">
        <v>276</v>
      </c>
      <c r="B91" s="19" t="s">
        <v>278</v>
      </c>
      <c r="C91" s="6" t="s">
        <v>320</v>
      </c>
      <c r="D91" s="15">
        <f>IFERROR(SUMIFS(DataEntry!$DV:$DV,DataEntry!$A:$A,"Mangochi",DataEntry!$B:$B,"Namwera",DataEntry!$G:$G,"Q1"),"")</f>
        <v>4</v>
      </c>
      <c r="E91" s="15">
        <f>IFERROR(SUMIFS(DataEntry!$DV:$DV,DataEntry!$A:$A,"Mangochi",DataEntry!$B:$B,"Namwera",DataEntry!$G:$G,"Q2"),"")</f>
        <v>12</v>
      </c>
      <c r="F91" s="15">
        <f>IFERROR(SUMIFS(DataEntry!$DV:$DV,DataEntry!$A:$A,"Mangochi",DataEntry!$B:$B,"Namwera",DataEntry!$G:$G,"Q3"),"")</f>
        <v>1</v>
      </c>
      <c r="G91" s="15">
        <f>IFERROR(SUMIFS(DataEntry!$DV:$DV,DataEntry!$A:$A,"Mangochi",DataEntry!$B:$B,"Namwera",DataEntry!$G:$G,"Q4"),"")</f>
        <v>41</v>
      </c>
      <c r="H91" s="20">
        <f t="shared" si="6"/>
        <v>58</v>
      </c>
    </row>
    <row r="92" spans="1:8" x14ac:dyDescent="0.3">
      <c r="A92" s="21" t="s">
        <v>276</v>
      </c>
      <c r="B92" s="21" t="s">
        <v>278</v>
      </c>
      <c r="C92" s="12" t="s">
        <v>243</v>
      </c>
      <c r="D92" s="10">
        <f>IFERROR(AVERAGEIFS(DataEntry!$HC:$HC,DataEntry!$A:$A,"Mangochi",DataEntry!$B:$B,"Namwera",DataEntry!$G:$G,"Q1"),"")</f>
        <v>2.035881696425704</v>
      </c>
      <c r="E92" s="10">
        <f>IFERROR(AVERAGEIFS(DataEntry!$HC:$HC,DataEntry!$A:$A,"Mangochi",DataEntry!$B:$B,"Namwera",DataEntry!$G:$G,"Q2"),"")</f>
        <v>1.7726410212499495</v>
      </c>
      <c r="F92" s="10">
        <f>IFERROR(AVERAGEIFS(DataEntry!$HC:$HC,DataEntry!$A:$A,"Mangochi",DataEntry!$B:$B,"Namwera",DataEntry!$G:$G,"Q3"),"")</f>
        <v>-1.3431166026210299</v>
      </c>
      <c r="G92" s="10">
        <f>IFERROR(AVERAGEIFS(DataEntry!$HC:$HC,DataEntry!$A:$A,"Mangochi",DataEntry!$B:$B,"Namwera",DataEntry!$G:$G,"Q4"),"")</f>
        <v>-1127859.71980508</v>
      </c>
      <c r="H92" s="23">
        <f>IFERROR(AVERAGE(D92:G92),"")</f>
        <v>-281964.3135997412</v>
      </c>
    </row>
    <row r="93" spans="1:8" x14ac:dyDescent="0.3">
      <c r="A93" s="19" t="s">
        <v>276</v>
      </c>
      <c r="B93" s="19" t="s">
        <v>278</v>
      </c>
      <c r="C93" s="6" t="s">
        <v>242</v>
      </c>
      <c r="D93" s="16">
        <f>IFERROR(AVERAGEIFS(DataEntry!$HB:$HB,DataEntry!$A:$A,"Mangochi",DataEntry!$B:$B,"Namwera",DataEntry!$G:$G,"Q1"),"")</f>
        <v>1.3102013967212607</v>
      </c>
      <c r="E93" s="16">
        <f>IFERROR(AVERAGEIFS(DataEntry!$HB:$HB,DataEntry!$A:$A,"Mangochi",DataEntry!$B:$B,"Namwera",DataEntry!$G:$G,"Q2"),"")</f>
        <v>1.1551742406443075</v>
      </c>
      <c r="F93" s="16">
        <f>IFERROR(AVERAGEIFS(DataEntry!$HB:$HB,DataEntry!$A:$A,"Mangochi",DataEntry!$B:$B,"Namwera",DataEntry!$G:$G,"Q3"),"")</f>
        <v>1.7615753911815395</v>
      </c>
      <c r="G93" s="16">
        <f>IFERROR(AVERAGEIFS(DataEntry!$HB:$HB,DataEntry!$A:$A,"Mangochi",DataEntry!$B:$B,"Namwera",DataEntry!$G:$G,"Q4"),"")</f>
        <v>1533563.0799085412</v>
      </c>
      <c r="H93" s="24">
        <f>IFERROR(AVERAGE(D93:G93),"")</f>
        <v>383391.82671489241</v>
      </c>
    </row>
    <row r="94" spans="1:8" x14ac:dyDescent="0.3">
      <c r="A94" s="21" t="s">
        <v>276</v>
      </c>
      <c r="B94" s="21" t="s">
        <v>279</v>
      </c>
      <c r="C94" s="12" t="s">
        <v>40</v>
      </c>
      <c r="D94" s="9">
        <f>IFERROR(SUMIFS(DataEntry!$H:$H,DataEntry!$A:$A,"Mangochi",DataEntry!$B:$B,"Nkhudzi",DataEntry!$G:$G,"Q1"),"")</f>
        <v>62638</v>
      </c>
      <c r="E94" s="9">
        <f>IFERROR(SUMIFS(DataEntry!$H:$H,DataEntry!$A:$A,"Mangochi",DataEntry!$B:$B,"Nkhudzi",DataEntry!$G:$G,"Q2"),"")</f>
        <v>90175.5</v>
      </c>
      <c r="F94" s="9">
        <f>IFERROR(SUMIFS(DataEntry!$H:$H,DataEntry!$A:$A,"Mangochi",DataEntry!$B:$B,"Nkhudzi",DataEntry!$G:$G,"Q3"),"")</f>
        <v>97162.5</v>
      </c>
      <c r="G94" s="9">
        <f>IFERROR(SUMIFS(DataEntry!$H:$H,DataEntry!$A:$A,"Mangochi",DataEntry!$B:$B,"Nkhudzi",DataEntry!$G:$G,"Q4"),"")</f>
        <v>97337.5</v>
      </c>
      <c r="H94" s="22">
        <f>IFERROR(SUM(D94:G94),"")</f>
        <v>347313.5</v>
      </c>
    </row>
    <row r="95" spans="1:8" x14ac:dyDescent="0.3">
      <c r="A95" s="19" t="s">
        <v>276</v>
      </c>
      <c r="B95" s="19" t="s">
        <v>279</v>
      </c>
      <c r="C95" s="6" t="s">
        <v>312</v>
      </c>
      <c r="D95" s="15">
        <f>IFERROR(SUMIFS(DataEntry!$S:$S,DataEntry!$A:$A,"Mangochi",DataEntry!$B:$B,"Nkhudzi",DataEntry!$G:$G,"Q1"),"")</f>
        <v>54842</v>
      </c>
      <c r="E95" s="15">
        <f>IFERROR(SUMIFS(DataEntry!$S:$S,DataEntry!$A:$A,"Mangochi",DataEntry!$B:$B,"Nkhudzi",DataEntry!$G:$G,"Q2"),"")</f>
        <v>72508.400000000009</v>
      </c>
      <c r="F95" s="15">
        <f>IFERROR(SUMIFS(DataEntry!$S:$S,DataEntry!$A:$A,"Mangochi",DataEntry!$B:$B,"Nkhudzi",DataEntry!$G:$G,"Q3"),"")</f>
        <v>78455.5</v>
      </c>
      <c r="G95" s="15">
        <f>IFERROR(SUMIFS(DataEntry!$S:$S,DataEntry!$A:$A,"Mangochi",DataEntry!$B:$B,"Nkhudzi",DataEntry!$G:$G,"Q4"),"")</f>
        <v>68524.499999999942</v>
      </c>
      <c r="H95" s="20">
        <f>IFERROR(SUM(D95:G95),"")</f>
        <v>274330.39999999997</v>
      </c>
    </row>
    <row r="96" spans="1:8" x14ac:dyDescent="0.3">
      <c r="A96" s="21" t="s">
        <v>276</v>
      </c>
      <c r="B96" s="21" t="s">
        <v>279</v>
      </c>
      <c r="C96" s="12" t="s">
        <v>313</v>
      </c>
      <c r="D96" s="9">
        <f>IFERROR(SUMIFS(DataEntry!$T:$T,DataEntry!$A:$A,"Mangochi",DataEntry!$B:$B,"Nkhudzi",DataEntry!$G:$G,"Q1"),"")</f>
        <v>7795.99999999993</v>
      </c>
      <c r="E96" s="9">
        <f>IFERROR(SUMIFS(DataEntry!$T:$T,DataEntry!$A:$A,"Mangochi",DataEntry!$B:$B,"Nkhudzi",DataEntry!$G:$G,"Q2"),"")</f>
        <v>17667.099999999991</v>
      </c>
      <c r="F96" s="9">
        <f>IFERROR(SUMIFS(DataEntry!$T:$T,DataEntry!$A:$A,"Mangochi",DataEntry!$B:$B,"Nkhudzi",DataEntry!$G:$G,"Q3"),"")</f>
        <v>18706.999999999989</v>
      </c>
      <c r="G96" s="9">
        <f>IFERROR(SUMIFS(DataEntry!$T:$T,DataEntry!$A:$A,"Mangochi",DataEntry!$B:$B,"Nkhudzi",DataEntry!$G:$G,"Q4"),"")</f>
        <v>28813.000000000062</v>
      </c>
      <c r="H96" s="22">
        <f>IFERROR(SUM(D96:G96),"")</f>
        <v>72983.099999999977</v>
      </c>
    </row>
    <row r="97" spans="1:8" x14ac:dyDescent="0.3">
      <c r="A97" s="19" t="s">
        <v>276</v>
      </c>
      <c r="B97" s="19" t="s">
        <v>279</v>
      </c>
      <c r="C97" s="6" t="s">
        <v>53</v>
      </c>
      <c r="D97" s="16">
        <f>IFERROR(AVERAGEIFS(DataEntry!$U:$U,DataEntry!$A:$A,"Mangochi",DataEntry!$B:$B,"Nkhudzi",DataEntry!$G:$G,"Q1"),"")</f>
        <v>0.12098585889814083</v>
      </c>
      <c r="E97" s="16">
        <f>IFERROR(AVERAGEIFS(DataEntry!$U:$U,DataEntry!$A:$A,"Mangochi",DataEntry!$B:$B,"Nkhudzi",DataEntry!$G:$G,"Q2"),"")</f>
        <v>0.18739624685128278</v>
      </c>
      <c r="F97" s="16">
        <f>IFERROR(AVERAGEIFS(DataEntry!$U:$U,DataEntry!$A:$A,"Mangochi",DataEntry!$B:$B,"Nkhudzi",DataEntry!$G:$G,"Q3"),"")</f>
        <v>0.18698422300952644</v>
      </c>
      <c r="G97" s="16">
        <f>IFERROR(AVERAGEIFS(DataEntry!$U:$U,DataEntry!$A:$A,"Mangochi",DataEntry!$B:$B,"Nkhudzi",DataEntry!$G:$G,"Q4"),"")</f>
        <v>0.29115415362046121</v>
      </c>
      <c r="H97" s="24">
        <f>IFERROR(AVERAGE(D97:G97),"")</f>
        <v>0.1966301205948528</v>
      </c>
    </row>
    <row r="98" spans="1:8" x14ac:dyDescent="0.3">
      <c r="A98" s="21" t="s">
        <v>276</v>
      </c>
      <c r="B98" s="21" t="s">
        <v>279</v>
      </c>
      <c r="C98" s="12" t="s">
        <v>314</v>
      </c>
      <c r="D98" s="9">
        <f>IFERROR(SUMIFS(DataEntry!$AU:$AU,DataEntry!$A:$A,"Mangochi",DataEntry!$B:$B,"Nkhudzi",DataEntry!$G:$G,"Q1"),"")</f>
        <v>94322587.056000009</v>
      </c>
      <c r="E98" s="9">
        <f>IFERROR(SUMIFS(DataEntry!$AU:$AU,DataEntry!$A:$A,"Mangochi",DataEntry!$B:$B,"Nkhudzi",DataEntry!$G:$G,"Q2"),"")</f>
        <v>88730769.70115</v>
      </c>
      <c r="F98" s="9">
        <f>IFERROR(SUMIFS(DataEntry!$AU:$AU,DataEntry!$A:$A,"Mangochi",DataEntry!$B:$B,"Nkhudzi",DataEntry!$G:$G,"Q3"),"")</f>
        <v>84558226.722499996</v>
      </c>
      <c r="G98" s="9">
        <f>IFERROR(SUMIFS(DataEntry!$AU:$AU,DataEntry!$A:$A,"Mangochi",DataEntry!$B:$B,"Nkhudzi",DataEntry!$G:$G,"Q4"),"")</f>
        <v>72346787.0625</v>
      </c>
      <c r="H98" s="22">
        <f t="shared" ref="H98:H104" si="7">IFERROR(SUM(D98:G98),"")</f>
        <v>339958370.54215002</v>
      </c>
    </row>
    <row r="99" spans="1:8" x14ac:dyDescent="0.3">
      <c r="A99" s="19" t="s">
        <v>276</v>
      </c>
      <c r="B99" s="19" t="s">
        <v>279</v>
      </c>
      <c r="C99" s="6" t="s">
        <v>315</v>
      </c>
      <c r="D99" s="15">
        <f>IFERROR(SUMIFS(DataEntry!$GB:$GB,DataEntry!$A:$A,"Mangochi",DataEntry!$B:$B,"Nkhudzi",DataEntry!$G:$G,"Q1"),"")</f>
        <v>77983667</v>
      </c>
      <c r="E99" s="15">
        <f>IFERROR(SUMIFS(DataEntry!$GB:$GB,DataEntry!$A:$A,"Mangochi",DataEntry!$B:$B,"Nkhudzi",DataEntry!$G:$G,"Q2"),"")</f>
        <v>103632145</v>
      </c>
      <c r="F99" s="15">
        <f>IFERROR(SUMIFS(DataEntry!$GB:$GB,DataEntry!$A:$A,"Mangochi",DataEntry!$B:$B,"Nkhudzi",DataEntry!$G:$G,"Q3"),"")</f>
        <v>116415387</v>
      </c>
      <c r="G99" s="15">
        <f>IFERROR(SUMIFS(DataEntry!$GB:$GB,DataEntry!$A:$A,"Mangochi",DataEntry!$B:$B,"Nkhudzi",DataEntry!$G:$G,"Q4"),"")</f>
        <v>91993743</v>
      </c>
      <c r="H99" s="20">
        <f t="shared" si="7"/>
        <v>390024942</v>
      </c>
    </row>
    <row r="100" spans="1:8" x14ac:dyDescent="0.3">
      <c r="A100" s="21" t="s">
        <v>276</v>
      </c>
      <c r="B100" s="21" t="s">
        <v>279</v>
      </c>
      <c r="C100" s="12" t="s">
        <v>316</v>
      </c>
      <c r="D100" s="9">
        <f>IFERROR(SUMIFS(DataEntry!$GM:$GM,DataEntry!$A:$A,"Mangochi",DataEntry!$B:$B,"Nkhudzi",DataEntry!$G:$G,"Q1"),"")</f>
        <v>84193018.319999993</v>
      </c>
      <c r="E100" s="9">
        <f>IFERROR(SUMIFS(DataEntry!$GM:$GM,DataEntry!$A:$A,"Mangochi",DataEntry!$B:$B,"Nkhudzi",DataEntry!$G:$G,"Q2"),"")</f>
        <v>111035768.45</v>
      </c>
      <c r="F100" s="9">
        <f>IFERROR(SUMIFS(DataEntry!$GM:$GM,DataEntry!$A:$A,"Mangochi",DataEntry!$B:$B,"Nkhudzi",DataEntry!$G:$G,"Q3"),"")</f>
        <v>121218376.8</v>
      </c>
      <c r="G100" s="9">
        <f>IFERROR(SUMIFS(DataEntry!$GM:$GM,DataEntry!$A:$A,"Mangochi",DataEntry!$B:$B,"Nkhudzi",DataEntry!$G:$G,"Q4"),"")</f>
        <v>92279083.289999992</v>
      </c>
      <c r="H100" s="22">
        <f t="shared" si="7"/>
        <v>408726246.86000001</v>
      </c>
    </row>
    <row r="101" spans="1:8" x14ac:dyDescent="0.3">
      <c r="A101" s="19" t="s">
        <v>276</v>
      </c>
      <c r="B101" s="19" t="s">
        <v>279</v>
      </c>
      <c r="C101" s="6" t="s">
        <v>317</v>
      </c>
      <c r="D101" s="15">
        <f>IFERROR(SUMIFS(DataEntry!$GX:$GX,DataEntry!$A:$A,"Mangochi",DataEntry!$B:$B,"Nkhudzi",DataEntry!$G:$G,"Q1"),"")</f>
        <v>84284083.049999997</v>
      </c>
      <c r="E101" s="15">
        <f>IFERROR(SUMIFS(DataEntry!$GX:$GX,DataEntry!$A:$A,"Mangochi",DataEntry!$B:$B,"Nkhudzi",DataEntry!$G:$G,"Q2"),"")</f>
        <v>111121135.76000002</v>
      </c>
      <c r="F101" s="15">
        <f>IFERROR(SUMIFS(DataEntry!$GX:$GX,DataEntry!$A:$A,"Mangochi",DataEntry!$B:$B,"Nkhudzi",DataEntry!$G:$G,"Q3"),"")</f>
        <v>121299430.32000001</v>
      </c>
      <c r="G101" s="15">
        <f>IFERROR(SUMIFS(DataEntry!$GX:$GX,DataEntry!$A:$A,"Mangochi",DataEntry!$B:$B,"Nkhudzi",DataEntry!$G:$G,"Q4"),"")</f>
        <v>92360136.810000002</v>
      </c>
      <c r="H101" s="20">
        <f t="shared" si="7"/>
        <v>409064785.94</v>
      </c>
    </row>
    <row r="102" spans="1:8" x14ac:dyDescent="0.3">
      <c r="A102" s="21" t="s">
        <v>276</v>
      </c>
      <c r="B102" s="21" t="s">
        <v>279</v>
      </c>
      <c r="C102" s="12" t="s">
        <v>318</v>
      </c>
      <c r="D102" s="9">
        <f>IFERROR(SUMIFS(DataEntry!$CS:$CS,DataEntry!$A:$A,"Mangochi",DataEntry!$B:$B,"Nkhudzi",DataEntry!$G:$G,"Q1"),"")</f>
        <v>12177</v>
      </c>
      <c r="E102" s="9">
        <f>IFERROR(SUMIFS(DataEntry!$CS:$CS,DataEntry!$A:$A,"Mangochi",DataEntry!$B:$B,"Nkhudzi",DataEntry!$G:$G,"Q2"),"")</f>
        <v>11960</v>
      </c>
      <c r="F102" s="9">
        <f>IFERROR(SUMIFS(DataEntry!$CS:$CS,DataEntry!$A:$A,"Mangochi",DataEntry!$B:$B,"Nkhudzi",DataEntry!$G:$G,"Q3"),"")</f>
        <v>13439</v>
      </c>
      <c r="G102" s="9">
        <f>IFERROR(SUMIFS(DataEntry!$CS:$CS,DataEntry!$A:$A,"Mangochi",DataEntry!$B:$B,"Nkhudzi",DataEntry!$G:$G,"Q4"),"")</f>
        <v>13722</v>
      </c>
      <c r="H102" s="22">
        <f t="shared" si="7"/>
        <v>51298</v>
      </c>
    </row>
    <row r="103" spans="1:8" x14ac:dyDescent="0.3">
      <c r="A103" s="19" t="s">
        <v>276</v>
      </c>
      <c r="B103" s="19" t="s">
        <v>279</v>
      </c>
      <c r="C103" s="6" t="s">
        <v>319</v>
      </c>
      <c r="D103" s="15">
        <f>IFERROR(SUMIFS(DataEntry!$CA:$CA,DataEntry!$A:$A,"Mangochi",DataEntry!$B:$B,"Nkhudzi",DataEntry!$G:$G,"Q1"),"")</f>
        <v>135</v>
      </c>
      <c r="E103" s="15">
        <f>IFERROR(SUMIFS(DataEntry!$CA:$CA,DataEntry!$A:$A,"Mangochi",DataEntry!$B:$B,"Nkhudzi",DataEntry!$G:$G,"Q2"),"")</f>
        <v>246</v>
      </c>
      <c r="F103" s="15">
        <f>IFERROR(SUMIFS(DataEntry!$CA:$CA,DataEntry!$A:$A,"Mangochi",DataEntry!$B:$B,"Nkhudzi",DataEntry!$G:$G,"Q3"),"")</f>
        <v>156</v>
      </c>
      <c r="G103" s="15">
        <f>IFERROR(SUMIFS(DataEntry!$CA:$CA,DataEntry!$A:$A,"Mangochi",DataEntry!$B:$B,"Nkhudzi",DataEntry!$G:$G,"Q4"),"")</f>
        <v>79</v>
      </c>
      <c r="H103" s="20">
        <f t="shared" si="7"/>
        <v>616</v>
      </c>
    </row>
    <row r="104" spans="1:8" x14ac:dyDescent="0.3">
      <c r="A104" s="21" t="s">
        <v>276</v>
      </c>
      <c r="B104" s="21" t="s">
        <v>279</v>
      </c>
      <c r="C104" s="12" t="s">
        <v>320</v>
      </c>
      <c r="D104" s="9">
        <f>IFERROR(SUMIFS(DataEntry!$DV:$DV,DataEntry!$A:$A,"Mangochi",DataEntry!$B:$B,"Nkhudzi",DataEntry!$G:$G,"Q1"),"")</f>
        <v>26</v>
      </c>
      <c r="E104" s="9">
        <f>IFERROR(SUMIFS(DataEntry!$DV:$DV,DataEntry!$A:$A,"Mangochi",DataEntry!$B:$B,"Nkhudzi",DataEntry!$G:$G,"Q2"),"")</f>
        <v>24</v>
      </c>
      <c r="F104" s="9">
        <f>IFERROR(SUMIFS(DataEntry!$DV:$DV,DataEntry!$A:$A,"Mangochi",DataEntry!$B:$B,"Nkhudzi",DataEntry!$G:$G,"Q3"),"")</f>
        <v>103</v>
      </c>
      <c r="G104" s="9">
        <f>IFERROR(SUMIFS(DataEntry!$DV:$DV,DataEntry!$A:$A,"Mangochi",DataEntry!$B:$B,"Nkhudzi",DataEntry!$G:$G,"Q4"),"")</f>
        <v>85</v>
      </c>
      <c r="H104" s="22">
        <f t="shared" si="7"/>
        <v>238</v>
      </c>
    </row>
    <row r="105" spans="1:8" x14ac:dyDescent="0.3">
      <c r="A105" s="19" t="s">
        <v>276</v>
      </c>
      <c r="B105" s="19" t="s">
        <v>279</v>
      </c>
      <c r="C105" s="6" t="s">
        <v>243</v>
      </c>
      <c r="D105" s="16">
        <f>IFERROR(AVERAGEIFS(DataEntry!$HC:$HC,DataEntry!$A:$A,"Mangochi",DataEntry!$B:$B,"Nkhudzi",DataEntry!$G:$G,"Q1"),"")</f>
        <v>0.92424634253789295</v>
      </c>
      <c r="E105" s="16">
        <f>IFERROR(AVERAGEIFS(DataEntry!$HC:$HC,DataEntry!$A:$A,"Mangochi",DataEntry!$B:$B,"Nkhudzi",DataEntry!$G:$G,"Q2"),"")</f>
        <v>0.92724267666866522</v>
      </c>
      <c r="F105" s="16">
        <f>IFERROR(AVERAGEIFS(DataEntry!$HC:$HC,DataEntry!$A:$A,"Mangochi",DataEntry!$B:$B,"Nkhudzi",DataEntry!$G:$G,"Q3"),"")</f>
        <v>0.95628727841132832</v>
      </c>
      <c r="G105" s="16">
        <f>IFERROR(AVERAGEIFS(DataEntry!$HC:$HC,DataEntry!$A:$A,"Mangochi",DataEntry!$B:$B,"Nkhudzi",DataEntry!$G:$G,"Q4"),"")</f>
        <v>65060.198781392734</v>
      </c>
      <c r="H105" s="24">
        <f>IFERROR(AVERAGE(D105:G105),"")</f>
        <v>16265.751639422588</v>
      </c>
    </row>
    <row r="106" spans="1:8" x14ac:dyDescent="0.3">
      <c r="A106" s="21" t="s">
        <v>276</v>
      </c>
      <c r="B106" s="21" t="s">
        <v>279</v>
      </c>
      <c r="C106" s="12" t="s">
        <v>242</v>
      </c>
      <c r="D106" s="10">
        <f>IFERROR(AVERAGEIFS(DataEntry!$HB:$HB,DataEntry!$A:$A,"Mangochi",DataEntry!$B:$B,"Nkhudzi",DataEntry!$G:$G,"Q1"),"")</f>
        <v>1.1249799076647189</v>
      </c>
      <c r="E106" s="10">
        <f>IFERROR(AVERAGEIFS(DataEntry!$HB:$HB,DataEntry!$A:$A,"Mangochi",DataEntry!$B:$B,"Nkhudzi",DataEntry!$G:$G,"Q2"),"")</f>
        <v>0.81134918960467417</v>
      </c>
      <c r="F106" s="10">
        <f>IFERROR(AVERAGEIFS(DataEntry!$HB:$HB,DataEntry!$A:$A,"Mangochi",DataEntry!$B:$B,"Nkhudzi",DataEntry!$G:$G,"Q3"),"")</f>
        <v>0.70800376089575978</v>
      </c>
      <c r="G106" s="10">
        <f>IFERROR(AVERAGEIFS(DataEntry!$HB:$HB,DataEntry!$A:$A,"Mangochi",DataEntry!$B:$B,"Nkhudzi",DataEntry!$G:$G,"Q4"),"")</f>
        <v>10380207.220062984</v>
      </c>
      <c r="H106" s="23">
        <f>IFERROR(AVERAGE(D106:G106),"")</f>
        <v>2595052.4660989605</v>
      </c>
    </row>
    <row r="107" spans="1:8" x14ac:dyDescent="0.3">
      <c r="A107" s="19" t="s">
        <v>280</v>
      </c>
      <c r="B107" s="19" t="s">
        <v>281</v>
      </c>
      <c r="C107" s="6" t="s">
        <v>40</v>
      </c>
      <c r="D107" s="15">
        <f>IFERROR(SUMIFS(DataEntry!$H:$H,DataEntry!$A:$A,"Mulanje",DataEntry!$B:$B,"Luchenza",DataEntry!$G:$G,"Q1"),"")</f>
        <v>43025</v>
      </c>
      <c r="E107" s="15">
        <f>IFERROR(SUMIFS(DataEntry!$H:$H,DataEntry!$A:$A,"Mulanje",DataEntry!$B:$B,"Luchenza",DataEntry!$G:$G,"Q2"),"")</f>
        <v>41705</v>
      </c>
      <c r="F107" s="15">
        <f>IFERROR(SUMIFS(DataEntry!$H:$H,DataEntry!$A:$A,"Mulanje",DataEntry!$B:$B,"Luchenza",DataEntry!$G:$G,"Q3"),"")</f>
        <v>42650</v>
      </c>
      <c r="G107" s="15">
        <f>IFERROR(SUMIFS(DataEntry!$H:$H,DataEntry!$A:$A,"Mulanje",DataEntry!$B:$B,"Luchenza",DataEntry!$G:$G,"Q4"),"")</f>
        <v>40650</v>
      </c>
      <c r="H107" s="20">
        <f>IFERROR(SUM(D107:G107),"")</f>
        <v>168030</v>
      </c>
    </row>
    <row r="108" spans="1:8" x14ac:dyDescent="0.3">
      <c r="A108" s="21" t="s">
        <v>280</v>
      </c>
      <c r="B108" s="21" t="s">
        <v>281</v>
      </c>
      <c r="C108" s="12" t="s">
        <v>312</v>
      </c>
      <c r="D108" s="9">
        <f>IFERROR(SUMIFS(DataEntry!$S:$S,DataEntry!$A:$A,"Mulanje",DataEntry!$B:$B,"Luchenza",DataEntry!$G:$G,"Q1"),"")</f>
        <v>30628.3</v>
      </c>
      <c r="E108" s="9">
        <f>IFERROR(SUMIFS(DataEntry!$S:$S,DataEntry!$A:$A,"Mulanje",DataEntry!$B:$B,"Luchenza",DataEntry!$G:$G,"Q2"),"")</f>
        <v>29827.599999999999</v>
      </c>
      <c r="F108" s="9">
        <f>IFERROR(SUMIFS(DataEntry!$S:$S,DataEntry!$A:$A,"Mulanje",DataEntry!$B:$B,"Luchenza",DataEntry!$G:$G,"Q3"),"")</f>
        <v>31935</v>
      </c>
      <c r="G108" s="9">
        <f>IFERROR(SUMIFS(DataEntry!$S:$S,DataEntry!$A:$A,"Mulanje",DataEntry!$B:$B,"Luchenza",DataEntry!$G:$G,"Q4"),"")</f>
        <v>29706</v>
      </c>
      <c r="H108" s="22">
        <f>IFERROR(SUM(D108:G108),"")</f>
        <v>122096.9</v>
      </c>
    </row>
    <row r="109" spans="1:8" x14ac:dyDescent="0.3">
      <c r="A109" s="19" t="s">
        <v>280</v>
      </c>
      <c r="B109" s="19" t="s">
        <v>281</v>
      </c>
      <c r="C109" s="6" t="s">
        <v>313</v>
      </c>
      <c r="D109" s="15">
        <f>IFERROR(SUMIFS(DataEntry!$T:$T,DataEntry!$A:$A,"Mulanje",DataEntry!$B:$B,"Luchenza",DataEntry!$G:$G,"Q1"),"")</f>
        <v>12396.7</v>
      </c>
      <c r="E109" s="15">
        <f>IFERROR(SUMIFS(DataEntry!$T:$T,DataEntry!$A:$A,"Mulanje",DataEntry!$B:$B,"Luchenza",DataEntry!$G:$G,"Q2"),"")</f>
        <v>11877.4</v>
      </c>
      <c r="F109" s="15">
        <f>IFERROR(SUMIFS(DataEntry!$T:$T,DataEntry!$A:$A,"Mulanje",DataEntry!$B:$B,"Luchenza",DataEntry!$G:$G,"Q3"),"")</f>
        <v>10715</v>
      </c>
      <c r="G109" s="15">
        <f>IFERROR(SUMIFS(DataEntry!$T:$T,DataEntry!$A:$A,"Mulanje",DataEntry!$B:$B,"Luchenza",DataEntry!$G:$G,"Q4"),"")</f>
        <v>10944</v>
      </c>
      <c r="H109" s="20">
        <f>IFERROR(SUM(D109:G109),"")</f>
        <v>45933.1</v>
      </c>
    </row>
    <row r="110" spans="1:8" x14ac:dyDescent="0.3">
      <c r="A110" s="21" t="s">
        <v>280</v>
      </c>
      <c r="B110" s="21" t="s">
        <v>281</v>
      </c>
      <c r="C110" s="12" t="s">
        <v>53</v>
      </c>
      <c r="D110" s="10">
        <f>IFERROR(AVERAGEIFS(DataEntry!$U:$U,DataEntry!$A:$A,"Mulanje",DataEntry!$B:$B,"Luchenza",DataEntry!$G:$G,"Q1"),"")</f>
        <v>0.28921111825864981</v>
      </c>
      <c r="E110" s="10">
        <f>IFERROR(AVERAGEIFS(DataEntry!$U:$U,DataEntry!$A:$A,"Mulanje",DataEntry!$B:$B,"Luchenza",DataEntry!$G:$G,"Q2"),"")</f>
        <v>0.28364895067900242</v>
      </c>
      <c r="F110" s="10">
        <f>IFERROR(AVERAGEIFS(DataEntry!$U:$U,DataEntry!$A:$A,"Mulanje",DataEntry!$B:$B,"Luchenza",DataEntry!$G:$G,"Q3"),"")</f>
        <v>0.25387331221812048</v>
      </c>
      <c r="G110" s="10">
        <f>IFERROR(AVERAGEIFS(DataEntry!$U:$U,DataEntry!$A:$A,"Mulanje",DataEntry!$B:$B,"Luchenza",DataEntry!$G:$G,"Q4"),"")</f>
        <v>0.26920568055790528</v>
      </c>
      <c r="H110" s="23">
        <f>IFERROR(AVERAGE(D110:G110),"")</f>
        <v>0.27398476542841949</v>
      </c>
    </row>
    <row r="111" spans="1:8" x14ac:dyDescent="0.3">
      <c r="A111" s="19" t="s">
        <v>280</v>
      </c>
      <c r="B111" s="19" t="s">
        <v>281</v>
      </c>
      <c r="C111" s="6" t="s">
        <v>314</v>
      </c>
      <c r="D111" s="15">
        <f>IFERROR(SUMIFS(DataEntry!$AU:$AU,DataEntry!$A:$A,"Mulanje",DataEntry!$B:$B,"Luchenza",DataEntry!$G:$G,"Q1"),"")</f>
        <v>42639384.047499999</v>
      </c>
      <c r="E111" s="15">
        <f>IFERROR(SUMIFS(DataEntry!$AU:$AU,DataEntry!$A:$A,"Mulanje",DataEntry!$B:$B,"Luchenza",DataEntry!$G:$G,"Q2"),"")</f>
        <v>48601210.593499996</v>
      </c>
      <c r="F111" s="15">
        <f>IFERROR(SUMIFS(DataEntry!$AU:$AU,DataEntry!$A:$A,"Mulanje",DataEntry!$B:$B,"Luchenza",DataEntry!$G:$G,"Q3"),"")</f>
        <v>33419904.58461</v>
      </c>
      <c r="G111" s="15">
        <f>IFERROR(SUMIFS(DataEntry!$AU:$AU,DataEntry!$A:$A,"Mulanje",DataEntry!$B:$B,"Luchenza",DataEntry!$G:$G,"Q4"),"")</f>
        <v>37981225.346000001</v>
      </c>
      <c r="H111" s="20">
        <f t="shared" ref="H111:H117" si="8">IFERROR(SUM(D111:G111),"")</f>
        <v>162641724.57161</v>
      </c>
    </row>
    <row r="112" spans="1:8" x14ac:dyDescent="0.3">
      <c r="A112" s="21" t="s">
        <v>280</v>
      </c>
      <c r="B112" s="21" t="s">
        <v>281</v>
      </c>
      <c r="C112" s="12" t="s">
        <v>315</v>
      </c>
      <c r="D112" s="9">
        <f>IFERROR(SUMIFS(DataEntry!$GB:$GB,DataEntry!$A:$A,"Mulanje",DataEntry!$B:$B,"Luchenza",DataEntry!$G:$G,"Q1"),"")</f>
        <v>43624903.640000001</v>
      </c>
      <c r="E112" s="9">
        <f>IFERROR(SUMIFS(DataEntry!$GB:$GB,DataEntry!$A:$A,"Mulanje",DataEntry!$B:$B,"Luchenza",DataEntry!$G:$G,"Q2"),"")</f>
        <v>45643228.87000002</v>
      </c>
      <c r="F112" s="9">
        <f>IFERROR(SUMIFS(DataEntry!$GB:$GB,DataEntry!$A:$A,"Mulanje",DataEntry!$B:$B,"Luchenza",DataEntry!$G:$G,"Q3"),"")</f>
        <v>68852896.710000008</v>
      </c>
      <c r="G112" s="9">
        <f>IFERROR(SUMIFS(DataEntry!$GB:$GB,DataEntry!$A:$A,"Mulanje",DataEntry!$B:$B,"Luchenza",DataEntry!$G:$G,"Q4"),"")</f>
        <v>105529347.40000001</v>
      </c>
      <c r="H112" s="22">
        <f t="shared" si="8"/>
        <v>263650376.62000003</v>
      </c>
    </row>
    <row r="113" spans="1:8" x14ac:dyDescent="0.3">
      <c r="A113" s="19" t="s">
        <v>280</v>
      </c>
      <c r="B113" s="19" t="s">
        <v>281</v>
      </c>
      <c r="C113" s="6" t="s">
        <v>316</v>
      </c>
      <c r="D113" s="15">
        <f>IFERROR(SUMIFS(DataEntry!$GM:$GM,DataEntry!$A:$A,"Mulanje",DataEntry!$B:$B,"Luchenza",DataEntry!$G:$G,"Q1"),"")</f>
        <v>18469096.57</v>
      </c>
      <c r="E113" s="15">
        <f>IFERROR(SUMIFS(DataEntry!$GM:$GM,DataEntry!$A:$A,"Mulanje",DataEntry!$B:$B,"Luchenza",DataEntry!$G:$G,"Q2"),"")</f>
        <v>31860428.699999999</v>
      </c>
      <c r="F113" s="15">
        <f>IFERROR(SUMIFS(DataEntry!$GM:$GM,DataEntry!$A:$A,"Mulanje",DataEntry!$B:$B,"Luchenza",DataEntry!$G:$G,"Q3"),"")</f>
        <v>28915800.540000003</v>
      </c>
      <c r="G113" s="15">
        <f>IFERROR(SUMIFS(DataEntry!$GM:$GM,DataEntry!$A:$A,"Mulanje",DataEntry!$B:$B,"Luchenza",DataEntry!$G:$G,"Q4"),"")</f>
        <v>16265548.280000001</v>
      </c>
      <c r="H113" s="20">
        <f t="shared" si="8"/>
        <v>95510874.090000004</v>
      </c>
    </row>
    <row r="114" spans="1:8" x14ac:dyDescent="0.3">
      <c r="A114" s="21" t="s">
        <v>280</v>
      </c>
      <c r="B114" s="21" t="s">
        <v>281</v>
      </c>
      <c r="C114" s="12" t="s">
        <v>317</v>
      </c>
      <c r="D114" s="9">
        <f>IFERROR(SUMIFS(DataEntry!$GX:$GX,DataEntry!$A:$A,"Mulanje",DataEntry!$B:$B,"Luchenza",DataEntry!$G:$G,"Q1"),"")</f>
        <v>22800732.350000001</v>
      </c>
      <c r="E114" s="9">
        <f>IFERROR(SUMIFS(DataEntry!$GX:$GX,DataEntry!$A:$A,"Mulanje",DataEntry!$B:$B,"Luchenza",DataEntry!$G:$G,"Q2"),"")</f>
        <v>35950740.350000001</v>
      </c>
      <c r="F114" s="9">
        <f>IFERROR(SUMIFS(DataEntry!$GX:$GX,DataEntry!$A:$A,"Mulanje",DataEntry!$B:$B,"Luchenza",DataEntry!$G:$G,"Q3"),"")</f>
        <v>32697489.659999996</v>
      </c>
      <c r="G114" s="9">
        <f>IFERROR(SUMIFS(DataEntry!$GX:$GX,DataEntry!$A:$A,"Mulanje",DataEntry!$B:$B,"Luchenza",DataEntry!$G:$G,"Q4"),"")</f>
        <v>12487627.720000001</v>
      </c>
      <c r="H114" s="22">
        <f t="shared" si="8"/>
        <v>103936590.08</v>
      </c>
    </row>
    <row r="115" spans="1:8" x14ac:dyDescent="0.3">
      <c r="A115" s="19" t="s">
        <v>280</v>
      </c>
      <c r="B115" s="19" t="s">
        <v>281</v>
      </c>
      <c r="C115" s="6" t="s">
        <v>318</v>
      </c>
      <c r="D115" s="15">
        <f>IFERROR(SUMIFS(DataEntry!$CS:$CS,DataEntry!$A:$A,"Mulanje",DataEntry!$B:$B,"Luchenza",DataEntry!$G:$G,"Q1"),"")</f>
        <v>5396</v>
      </c>
      <c r="E115" s="15">
        <f>IFERROR(SUMIFS(DataEntry!$CS:$CS,DataEntry!$A:$A,"Mulanje",DataEntry!$B:$B,"Luchenza",DataEntry!$G:$G,"Q2"),"")</f>
        <v>5432</v>
      </c>
      <c r="F115" s="15">
        <f>IFERROR(SUMIFS(DataEntry!$CS:$CS,DataEntry!$A:$A,"Mulanje",DataEntry!$B:$B,"Luchenza",DataEntry!$G:$G,"Q3"),"")</f>
        <v>5758</v>
      </c>
      <c r="G115" s="15">
        <f>IFERROR(SUMIFS(DataEntry!$CS:$CS,DataEntry!$A:$A,"Mulanje",DataEntry!$B:$B,"Luchenza",DataEntry!$G:$G,"Q4"),"")</f>
        <v>5863</v>
      </c>
      <c r="H115" s="20">
        <f t="shared" si="8"/>
        <v>22449</v>
      </c>
    </row>
    <row r="116" spans="1:8" x14ac:dyDescent="0.3">
      <c r="A116" s="21" t="s">
        <v>280</v>
      </c>
      <c r="B116" s="21" t="s">
        <v>281</v>
      </c>
      <c r="C116" s="12" t="s">
        <v>319</v>
      </c>
      <c r="D116" s="9">
        <f>IFERROR(SUMIFS(DataEntry!$CA:$CA,DataEntry!$A:$A,"Mulanje",DataEntry!$B:$B,"Luchenza",DataEntry!$G:$G,"Q1"),"")</f>
        <v>40</v>
      </c>
      <c r="E116" s="9">
        <f>IFERROR(SUMIFS(DataEntry!$CA:$CA,DataEntry!$A:$A,"Mulanje",DataEntry!$B:$B,"Luchenza",DataEntry!$G:$G,"Q2"),"")</f>
        <v>57</v>
      </c>
      <c r="F116" s="9">
        <f>IFERROR(SUMIFS(DataEntry!$CA:$CA,DataEntry!$A:$A,"Mulanje",DataEntry!$B:$B,"Luchenza",DataEntry!$G:$G,"Q3"),"")</f>
        <v>61</v>
      </c>
      <c r="G116" s="9">
        <f>IFERROR(SUMIFS(DataEntry!$CA:$CA,DataEntry!$A:$A,"Mulanje",DataEntry!$B:$B,"Luchenza",DataEntry!$G:$G,"Q4"),"")</f>
        <v>52</v>
      </c>
      <c r="H116" s="22">
        <f t="shared" si="8"/>
        <v>210</v>
      </c>
    </row>
    <row r="117" spans="1:8" x14ac:dyDescent="0.3">
      <c r="A117" s="19" t="s">
        <v>280</v>
      </c>
      <c r="B117" s="19" t="s">
        <v>281</v>
      </c>
      <c r="C117" s="6" t="s">
        <v>320</v>
      </c>
      <c r="D117" s="15">
        <f>IFERROR(SUMIFS(DataEntry!$DV:$DV,DataEntry!$A:$A,"Mulanje",DataEntry!$B:$B,"Luchenza",DataEntry!$G:$G,"Q1"),"")</f>
        <v>48</v>
      </c>
      <c r="E117" s="15">
        <f>IFERROR(SUMIFS(DataEntry!$DV:$DV,DataEntry!$A:$A,"Mulanje",DataEntry!$B:$B,"Luchenza",DataEntry!$G:$G,"Q2"),"")</f>
        <v>98</v>
      </c>
      <c r="F117" s="15">
        <f>IFERROR(SUMIFS(DataEntry!$DV:$DV,DataEntry!$A:$A,"Mulanje",DataEntry!$B:$B,"Luchenza",DataEntry!$G:$G,"Q3"),"")</f>
        <v>61</v>
      </c>
      <c r="G117" s="15">
        <f>IFERROR(SUMIFS(DataEntry!$DV:$DV,DataEntry!$A:$A,"Mulanje",DataEntry!$B:$B,"Luchenza",DataEntry!$G:$G,"Q4"),"")</f>
        <v>66</v>
      </c>
      <c r="H117" s="20">
        <f t="shared" si="8"/>
        <v>273</v>
      </c>
    </row>
    <row r="118" spans="1:8" x14ac:dyDescent="0.3">
      <c r="A118" s="21" t="s">
        <v>280</v>
      </c>
      <c r="B118" s="21" t="s">
        <v>281</v>
      </c>
      <c r="C118" s="12" t="s">
        <v>243</v>
      </c>
      <c r="D118" s="10">
        <f>IFERROR(AVERAGEIFS(DataEntry!$HC:$HC,DataEntry!$A:$A,"Mulanje",DataEntry!$B:$B,"Luchenza",DataEntry!$G:$G,"Q1"),"")</f>
        <v>0.14464179399628532</v>
      </c>
      <c r="E118" s="10">
        <f>IFERROR(AVERAGEIFS(DataEntry!$HC:$HC,DataEntry!$A:$A,"Mulanje",DataEntry!$B:$B,"Luchenza",DataEntry!$G:$G,"Q2"),"")</f>
        <v>0.15745846504427652</v>
      </c>
      <c r="F118" s="10">
        <f>IFERROR(AVERAGEIFS(DataEntry!$HC:$HC,DataEntry!$A:$A,"Mulanje",DataEntry!$B:$B,"Luchenza",DataEntry!$G:$G,"Q3"),"")</f>
        <v>0.34837167697814486</v>
      </c>
      <c r="G118" s="10">
        <f>IFERROR(AVERAGEIFS(DataEntry!$HC:$HC,DataEntry!$A:$A,"Mulanje",DataEntry!$B:$B,"Luchenza",DataEntry!$G:$G,"Q4"),"")</f>
        <v>4357186.3961947383</v>
      </c>
      <c r="H118" s="23">
        <f>IFERROR(AVERAGE(D118:G118),"")</f>
        <v>1089296.7616666686</v>
      </c>
    </row>
    <row r="119" spans="1:8" x14ac:dyDescent="0.3">
      <c r="A119" s="19" t="s">
        <v>280</v>
      </c>
      <c r="B119" s="19" t="s">
        <v>281</v>
      </c>
      <c r="C119" s="6" t="s">
        <v>242</v>
      </c>
      <c r="D119" s="16">
        <f>IFERROR(AVERAGEIFS(DataEntry!$HB:$HB,DataEntry!$A:$A,"Mulanje",DataEntry!$B:$B,"Luchenza",DataEntry!$G:$G,"Q1"),"")</f>
        <v>1.8827089605580607</v>
      </c>
      <c r="E119" s="16">
        <f>IFERROR(AVERAGEIFS(DataEntry!$HB:$HB,DataEntry!$A:$A,"Mulanje",DataEntry!$B:$B,"Luchenza",DataEntry!$G:$G,"Q2"),"")</f>
        <v>1.3760868999691092</v>
      </c>
      <c r="F119" s="16">
        <f>IFERROR(AVERAGEIFS(DataEntry!$HB:$HB,DataEntry!$A:$A,"Mulanje",DataEntry!$B:$B,"Luchenza",DataEntry!$G:$G,"Q3"),"")</f>
        <v>1.065542697760167</v>
      </c>
      <c r="G119" s="16">
        <f>IFERROR(AVERAGEIFS(DataEntry!$HB:$HB,DataEntry!$A:$A,"Mulanje",DataEntry!$B:$B,"Luchenza",DataEntry!$G:$G,"Q4"),"")</f>
        <v>52447495.730010211</v>
      </c>
      <c r="H119" s="24">
        <f>IFERROR(AVERAGE(D119:G119),"")</f>
        <v>13111875.013587192</v>
      </c>
    </row>
    <row r="120" spans="1:8" x14ac:dyDescent="0.3">
      <c r="A120" s="21" t="s">
        <v>280</v>
      </c>
      <c r="B120" s="21" t="s">
        <v>282</v>
      </c>
      <c r="C120" s="12" t="s">
        <v>40</v>
      </c>
      <c r="D120" s="9">
        <f>IFERROR(SUMIFS(DataEntry!$H:$H,DataEntry!$A:$A,"Mulanje",DataEntry!$B:$B,"MUST",DataEntry!$G:$G,"Q1"),"")</f>
        <v>66047</v>
      </c>
      <c r="E120" s="9">
        <f>IFERROR(SUMIFS(DataEntry!$H:$H,DataEntry!$A:$A,"Mulanje",DataEntry!$B:$B,"MUST",DataEntry!$G:$G,"Q2"),"")</f>
        <v>69032</v>
      </c>
      <c r="F120" s="9">
        <f>IFERROR(SUMIFS(DataEntry!$H:$H,DataEntry!$A:$A,"Mulanje",DataEntry!$B:$B,"MUST",DataEntry!$G:$G,"Q3"),"")</f>
        <v>48311</v>
      </c>
      <c r="G120" s="9">
        <f>IFERROR(SUMIFS(DataEntry!$H:$H,DataEntry!$A:$A,"Mulanje",DataEntry!$B:$B,"MUST",DataEntry!$G:$G,"Q4"),"")</f>
        <v>56085</v>
      </c>
      <c r="H120" s="22">
        <f>IFERROR(SUM(D120:G120),"")</f>
        <v>239475</v>
      </c>
    </row>
    <row r="121" spans="1:8" x14ac:dyDescent="0.3">
      <c r="A121" s="19" t="s">
        <v>280</v>
      </c>
      <c r="B121" s="19" t="s">
        <v>282</v>
      </c>
      <c r="C121" s="6" t="s">
        <v>312</v>
      </c>
      <c r="D121" s="15">
        <f>IFERROR(SUMIFS(DataEntry!$S:$S,DataEntry!$A:$A,"Mulanje",DataEntry!$B:$B,"MUST",DataEntry!$G:$G,"Q1"),"")</f>
        <v>52531</v>
      </c>
      <c r="E121" s="15">
        <f>IFERROR(SUMIFS(DataEntry!$S:$S,DataEntry!$A:$A,"Mulanje",DataEntry!$B:$B,"MUST",DataEntry!$G:$G,"Q2"),"")</f>
        <v>54199.900000000009</v>
      </c>
      <c r="F121" s="15">
        <f>IFERROR(SUMIFS(DataEntry!$S:$S,DataEntry!$A:$A,"Mulanje",DataEntry!$B:$B,"MUST",DataEntry!$G:$G,"Q3"),"")</f>
        <v>36215.799999999988</v>
      </c>
      <c r="G121" s="15">
        <f>IFERROR(SUMIFS(DataEntry!$S:$S,DataEntry!$A:$A,"Mulanje",DataEntry!$B:$B,"MUST",DataEntry!$G:$G,"Q4"),"")</f>
        <v>46515</v>
      </c>
      <c r="H121" s="20">
        <f>IFERROR(SUM(D121:G121),"")</f>
        <v>189461.7</v>
      </c>
    </row>
    <row r="122" spans="1:8" x14ac:dyDescent="0.3">
      <c r="A122" s="21" t="s">
        <v>280</v>
      </c>
      <c r="B122" s="21" t="s">
        <v>282</v>
      </c>
      <c r="C122" s="12" t="s">
        <v>313</v>
      </c>
      <c r="D122" s="9">
        <f>IFERROR(SUMIFS(DataEntry!$T:$T,DataEntry!$A:$A,"Mulanje",DataEntry!$B:$B,"MUST",DataEntry!$G:$G,"Q1"),"")</f>
        <v>13516</v>
      </c>
      <c r="E122" s="9">
        <f>IFERROR(SUMIFS(DataEntry!$T:$T,DataEntry!$A:$A,"Mulanje",DataEntry!$B:$B,"MUST",DataEntry!$G:$G,"Q2"),"")</f>
        <v>14832.1</v>
      </c>
      <c r="F122" s="9">
        <f>IFERROR(SUMIFS(DataEntry!$T:$T,DataEntry!$A:$A,"Mulanje",DataEntry!$B:$B,"MUST",DataEntry!$G:$G,"Q3"),"")</f>
        <v>12095.20000000001</v>
      </c>
      <c r="G122" s="9">
        <f>IFERROR(SUMIFS(DataEntry!$T:$T,DataEntry!$A:$A,"Mulanje",DataEntry!$B:$B,"MUST",DataEntry!$G:$G,"Q4"),"")</f>
        <v>9570</v>
      </c>
      <c r="H122" s="22">
        <f>IFERROR(SUM(D122:G122),"")</f>
        <v>50013.30000000001</v>
      </c>
    </row>
    <row r="123" spans="1:8" x14ac:dyDescent="0.3">
      <c r="A123" s="19" t="s">
        <v>280</v>
      </c>
      <c r="B123" s="19" t="s">
        <v>282</v>
      </c>
      <c r="C123" s="6" t="s">
        <v>53</v>
      </c>
      <c r="D123" s="16">
        <f>IFERROR(AVERAGEIFS(DataEntry!$U:$U,DataEntry!$A:$A,"Mulanje",DataEntry!$B:$B,"MUST",DataEntry!$G:$G,"Q1"),"")</f>
        <v>0.20817413237300611</v>
      </c>
      <c r="E123" s="16">
        <f>IFERROR(AVERAGEIFS(DataEntry!$U:$U,DataEntry!$A:$A,"Mulanje",DataEntry!$B:$B,"MUST",DataEntry!$G:$G,"Q2"),"")</f>
        <v>0.21088372798596411</v>
      </c>
      <c r="F123" s="16">
        <f>IFERROR(AVERAGEIFS(DataEntry!$U:$U,DataEntry!$A:$A,"Mulanje",DataEntry!$B:$B,"MUST",DataEntry!$G:$G,"Q3"),"")</f>
        <v>0.2588838175102674</v>
      </c>
      <c r="G123" s="16">
        <f>IFERROR(AVERAGEIFS(DataEntry!$U:$U,DataEntry!$A:$A,"Mulanje",DataEntry!$B:$B,"MUST",DataEntry!$G:$G,"Q4"),"")</f>
        <v>0.18578888028235938</v>
      </c>
      <c r="H123" s="24">
        <f>IFERROR(AVERAGE(D123:G123),"")</f>
        <v>0.21593263953789923</v>
      </c>
    </row>
    <row r="124" spans="1:8" x14ac:dyDescent="0.3">
      <c r="A124" s="21" t="s">
        <v>280</v>
      </c>
      <c r="B124" s="21" t="s">
        <v>282</v>
      </c>
      <c r="C124" s="12" t="s">
        <v>314</v>
      </c>
      <c r="D124" s="9">
        <f>IFERROR(SUMIFS(DataEntry!$AU:$AU,DataEntry!$A:$A,"Mulanje",DataEntry!$B:$B,"MUST",DataEntry!$G:$G,"Q1"),"")</f>
        <v>47385204.99499999</v>
      </c>
      <c r="E124" s="9">
        <f>IFERROR(SUMIFS(DataEntry!$AU:$AU,DataEntry!$A:$A,"Mulanje",DataEntry!$B:$B,"MUST",DataEntry!$G:$G,"Q2"),"")</f>
        <v>59251866.309999995</v>
      </c>
      <c r="F124" s="9">
        <f>IFERROR(SUMIFS(DataEntry!$AU:$AU,DataEntry!$A:$A,"Mulanje",DataEntry!$B:$B,"MUST",DataEntry!$G:$G,"Q3"),"")</f>
        <v>38475792.688500002</v>
      </c>
      <c r="G124" s="9">
        <f>IFERROR(SUMIFS(DataEntry!$AU:$AU,DataEntry!$A:$A,"Mulanje",DataEntry!$B:$B,"MUST",DataEntry!$G:$G,"Q4"),"")</f>
        <v>35137839.766500004</v>
      </c>
      <c r="H124" s="22">
        <f t="shared" ref="H124:H130" si="9">IFERROR(SUM(D124:G124),"")</f>
        <v>180250703.75999999</v>
      </c>
    </row>
    <row r="125" spans="1:8" x14ac:dyDescent="0.3">
      <c r="A125" s="19" t="s">
        <v>280</v>
      </c>
      <c r="B125" s="19" t="s">
        <v>282</v>
      </c>
      <c r="C125" s="6" t="s">
        <v>315</v>
      </c>
      <c r="D125" s="15">
        <f>IFERROR(SUMIFS(DataEntry!$GB:$GB,DataEntry!$A:$A,"Mulanje",DataEntry!$B:$B,"MUST",DataEntry!$G:$G,"Q1"),"")</f>
        <v>151313725.46000001</v>
      </c>
      <c r="E125" s="15">
        <f>IFERROR(SUMIFS(DataEntry!$GB:$GB,DataEntry!$A:$A,"Mulanje",DataEntry!$B:$B,"MUST",DataEntry!$G:$G,"Q2"),"")</f>
        <v>174643387.72</v>
      </c>
      <c r="F125" s="15">
        <f>IFERROR(SUMIFS(DataEntry!$GB:$GB,DataEntry!$A:$A,"Mulanje",DataEntry!$B:$B,"MUST",DataEntry!$G:$G,"Q3"),"")</f>
        <v>128301257.28999999</v>
      </c>
      <c r="G125" s="15">
        <f>IFERROR(SUMIFS(DataEntry!$GB:$GB,DataEntry!$A:$A,"Mulanje",DataEntry!$B:$B,"MUST",DataEntry!$G:$G,"Q4"),"")</f>
        <v>125336141</v>
      </c>
      <c r="H125" s="20">
        <f t="shared" si="9"/>
        <v>579594511.47000003</v>
      </c>
    </row>
    <row r="126" spans="1:8" x14ac:dyDescent="0.3">
      <c r="A126" s="21" t="s">
        <v>280</v>
      </c>
      <c r="B126" s="21" t="s">
        <v>282</v>
      </c>
      <c r="C126" s="12" t="s">
        <v>316</v>
      </c>
      <c r="D126" s="9">
        <f>IFERROR(SUMIFS(DataEntry!$GM:$GM,DataEntry!$A:$A,"Mulanje",DataEntry!$B:$B,"MUST",DataEntry!$G:$G,"Q1"),"")</f>
        <v>2039867.6800000002</v>
      </c>
      <c r="E126" s="9">
        <f>IFERROR(SUMIFS(DataEntry!$GM:$GM,DataEntry!$A:$A,"Mulanje",DataEntry!$B:$B,"MUST",DataEntry!$G:$G,"Q2"),"")</f>
        <v>6964776.6600000001</v>
      </c>
      <c r="F126" s="9">
        <f>IFERROR(SUMIFS(DataEntry!$GM:$GM,DataEntry!$A:$A,"Mulanje",DataEntry!$B:$B,"MUST",DataEntry!$G:$G,"Q3"),"")</f>
        <v>9200262.2800000012</v>
      </c>
      <c r="G126" s="9">
        <f>IFERROR(SUMIFS(DataEntry!$GM:$GM,DataEntry!$A:$A,"Mulanje",DataEntry!$B:$B,"MUST",DataEntry!$G:$G,"Q4"),"")</f>
        <v>9449259.5999999996</v>
      </c>
      <c r="H126" s="22">
        <f t="shared" si="9"/>
        <v>27654166.219999999</v>
      </c>
    </row>
    <row r="127" spans="1:8" x14ac:dyDescent="0.3">
      <c r="A127" s="19" t="s">
        <v>280</v>
      </c>
      <c r="B127" s="19" t="s">
        <v>282</v>
      </c>
      <c r="C127" s="6" t="s">
        <v>317</v>
      </c>
      <c r="D127" s="15">
        <f>IFERROR(SUMIFS(DataEntry!$GX:$GX,DataEntry!$A:$A,"Mulanje",DataEntry!$B:$B,"MUST",DataEntry!$G:$G,"Q1"),"")</f>
        <v>2306045.38</v>
      </c>
      <c r="E127" s="15">
        <f>IFERROR(SUMIFS(DataEntry!$GX:$GX,DataEntry!$A:$A,"Mulanje",DataEntry!$B:$B,"MUST",DataEntry!$G:$G,"Q2"),"")</f>
        <v>7321220.3999999994</v>
      </c>
      <c r="F127" s="15">
        <f>IFERROR(SUMIFS(DataEntry!$GX:$GX,DataEntry!$A:$A,"Mulanje",DataEntry!$B:$B,"MUST",DataEntry!$G:$G,"Q3"),"")</f>
        <v>9761140.2000000011</v>
      </c>
      <c r="G127" s="15">
        <f>IFERROR(SUMIFS(DataEntry!$GX:$GX,DataEntry!$A:$A,"Mulanje",DataEntry!$B:$B,"MUST",DataEntry!$G:$G,"Q4"),"")</f>
        <v>1530425.48</v>
      </c>
      <c r="H127" s="20">
        <f t="shared" si="9"/>
        <v>20918831.460000001</v>
      </c>
    </row>
    <row r="128" spans="1:8" x14ac:dyDescent="0.3">
      <c r="A128" s="21" t="s">
        <v>280</v>
      </c>
      <c r="B128" s="21" t="s">
        <v>282</v>
      </c>
      <c r="C128" s="12" t="s">
        <v>318</v>
      </c>
      <c r="D128" s="9">
        <f>IFERROR(SUMIFS(DataEntry!$CS:$CS,DataEntry!$A:$A,"Mulanje",DataEntry!$B:$B,"MUST",DataEntry!$G:$G,"Q1"),"")</f>
        <v>804</v>
      </c>
      <c r="E128" s="9">
        <f>IFERROR(SUMIFS(DataEntry!$CS:$CS,DataEntry!$A:$A,"Mulanje",DataEntry!$B:$B,"MUST",DataEntry!$G:$G,"Q2"),"")</f>
        <v>864</v>
      </c>
      <c r="F128" s="9">
        <f>IFERROR(SUMIFS(DataEntry!$CS:$CS,DataEntry!$A:$A,"Mulanje",DataEntry!$B:$B,"MUST",DataEntry!$G:$G,"Q3"),"")</f>
        <v>884</v>
      </c>
      <c r="G128" s="9">
        <f>IFERROR(SUMIFS(DataEntry!$CS:$CS,DataEntry!$A:$A,"Mulanje",DataEntry!$B:$B,"MUST",DataEntry!$G:$G,"Q4"),"")</f>
        <v>906</v>
      </c>
      <c r="H128" s="22">
        <f t="shared" si="9"/>
        <v>3458</v>
      </c>
    </row>
    <row r="129" spans="1:8" x14ac:dyDescent="0.3">
      <c r="A129" s="19" t="s">
        <v>280</v>
      </c>
      <c r="B129" s="19" t="s">
        <v>282</v>
      </c>
      <c r="C129" s="6" t="s">
        <v>319</v>
      </c>
      <c r="D129" s="15">
        <f>IFERROR(SUMIFS(DataEntry!$CA:$CA,DataEntry!$A:$A,"Mulanje",DataEntry!$B:$B,"MUST",DataEntry!$G:$G,"Q1"),"")</f>
        <v>0</v>
      </c>
      <c r="E129" s="15">
        <f>IFERROR(SUMIFS(DataEntry!$CA:$CA,DataEntry!$A:$A,"Mulanje",DataEntry!$B:$B,"MUST",DataEntry!$G:$G,"Q2"),"")</f>
        <v>39</v>
      </c>
      <c r="F129" s="15">
        <f>IFERROR(SUMIFS(DataEntry!$CA:$CA,DataEntry!$A:$A,"Mulanje",DataEntry!$B:$B,"MUST",DataEntry!$G:$G,"Q3"),"")</f>
        <v>7</v>
      </c>
      <c r="G129" s="15">
        <f>IFERROR(SUMIFS(DataEntry!$CA:$CA,DataEntry!$A:$A,"Mulanje",DataEntry!$B:$B,"MUST",DataEntry!$G:$G,"Q4"),"")</f>
        <v>11</v>
      </c>
      <c r="H129" s="20">
        <f t="shared" si="9"/>
        <v>57</v>
      </c>
    </row>
    <row r="130" spans="1:8" x14ac:dyDescent="0.3">
      <c r="A130" s="21" t="s">
        <v>280</v>
      </c>
      <c r="B130" s="21" t="s">
        <v>282</v>
      </c>
      <c r="C130" s="12" t="s">
        <v>320</v>
      </c>
      <c r="D130" s="9">
        <f>IFERROR(SUMIFS(DataEntry!$DV:$DV,DataEntry!$A:$A,"Mulanje",DataEntry!$B:$B,"MUST",DataEntry!$G:$G,"Q1"),"")</f>
        <v>0</v>
      </c>
      <c r="E130" s="9">
        <f>IFERROR(SUMIFS(DataEntry!$DV:$DV,DataEntry!$A:$A,"Mulanje",DataEntry!$B:$B,"MUST",DataEntry!$G:$G,"Q2"),"")</f>
        <v>0</v>
      </c>
      <c r="F130" s="9">
        <f>IFERROR(SUMIFS(DataEntry!$DV:$DV,DataEntry!$A:$A,"Mulanje",DataEntry!$B:$B,"MUST",DataEntry!$G:$G,"Q3"),"")</f>
        <v>0</v>
      </c>
      <c r="G130" s="9">
        <f>IFERROR(SUMIFS(DataEntry!$DV:$DV,DataEntry!$A:$A,"Mulanje",DataEntry!$B:$B,"MUST",DataEntry!$G:$G,"Q4"),"")</f>
        <v>0</v>
      </c>
      <c r="H130" s="22">
        <f t="shared" si="9"/>
        <v>0</v>
      </c>
    </row>
    <row r="131" spans="1:8" x14ac:dyDescent="0.3">
      <c r="A131" s="19" t="s">
        <v>280</v>
      </c>
      <c r="B131" s="19" t="s">
        <v>282</v>
      </c>
      <c r="C131" s="6" t="s">
        <v>243</v>
      </c>
      <c r="D131" s="16">
        <f>IFERROR(AVERAGEIFS(DataEntry!$HC:$HC,DataEntry!$A:$A,"Mulanje",DataEntry!$B:$B,"MUST",DataEntry!$G:$G,"Q1"),"")</f>
        <v>4.0415916877636171</v>
      </c>
      <c r="E131" s="16">
        <f>IFERROR(AVERAGEIFS(DataEntry!$HC:$HC,DataEntry!$A:$A,"Mulanje",DataEntry!$B:$B,"MUST",DataEntry!$G:$G,"Q2"),"")</f>
        <v>3.87466585229908</v>
      </c>
      <c r="F131" s="16">
        <f>IFERROR(AVERAGEIFS(DataEntry!$HC:$HC,DataEntry!$A:$A,"Mulanje",DataEntry!$B:$B,"MUST",DataEntry!$G:$G,"Q3"),"")</f>
        <v>2.6621847385351303</v>
      </c>
      <c r="G131" s="16">
        <f>IFERROR(AVERAGEIFS(DataEntry!$HC:$HC,DataEntry!$A:$A,"Mulanje",DataEntry!$B:$B,"MUST",DataEntry!$G:$G,"Q4"),"")</f>
        <v>2946576.9059640975</v>
      </c>
      <c r="H131" s="24">
        <f>IFERROR(AVERAGE(D131:G131),"")</f>
        <v>736646.87110159406</v>
      </c>
    </row>
    <row r="132" spans="1:8" x14ac:dyDescent="0.3">
      <c r="A132" s="21" t="s">
        <v>280</v>
      </c>
      <c r="B132" s="21" t="s">
        <v>282</v>
      </c>
      <c r="C132" s="12" t="s">
        <v>242</v>
      </c>
      <c r="D132" s="10">
        <f>IFERROR(AVERAGEIFS(DataEntry!$HB:$HB,DataEntry!$A:$A,"Mulanje",DataEntry!$B:$B,"MUST",DataEntry!$G:$G,"Q1"),"")</f>
        <v>21.96425328617207</v>
      </c>
      <c r="E132" s="10">
        <f>IFERROR(AVERAGEIFS(DataEntry!$HB:$HB,DataEntry!$A:$A,"Mulanje",DataEntry!$B:$B,"MUST",DataEntry!$G:$G,"Q2"),"")</f>
        <v>9.2337494431907974</v>
      </c>
      <c r="F132" s="10">
        <f>IFERROR(AVERAGEIFS(DataEntry!$HB:$HB,DataEntry!$A:$A,"Mulanje",DataEntry!$B:$B,"MUST",DataEntry!$G:$G,"Q3"),"")</f>
        <v>4.4513191372466006</v>
      </c>
      <c r="G132" s="10">
        <f>IFERROR(AVERAGEIFS(DataEntry!$HB:$HB,DataEntry!$A:$A,"Mulanje",DataEntry!$B:$B,"MUST",DataEntry!$G:$G,"Q4"),"")</f>
        <v>-2839119.2174288849</v>
      </c>
      <c r="H132" s="23">
        <f>IFERROR(AVERAGE(D132:G132),"")</f>
        <v>-709770.89202675456</v>
      </c>
    </row>
    <row r="133" spans="1:8" x14ac:dyDescent="0.3">
      <c r="A133" s="19" t="s">
        <v>280</v>
      </c>
      <c r="B133" s="19" t="s">
        <v>283</v>
      </c>
      <c r="C133" s="6" t="s">
        <v>40</v>
      </c>
      <c r="D133" s="15">
        <f>IFERROR(SUMIFS(DataEntry!$H:$H,DataEntry!$A:$A,"Mulanje",DataEntry!$B:$B,"Migowi",DataEntry!$G:$G,"Q1"),"")</f>
        <v>2649</v>
      </c>
      <c r="E133" s="15">
        <f>IFERROR(SUMIFS(DataEntry!$H:$H,DataEntry!$A:$A,"Mulanje",DataEntry!$B:$B,"Migowi",DataEntry!$G:$G,"Q2"),"")</f>
        <v>3225</v>
      </c>
      <c r="F133" s="15">
        <f>IFERROR(SUMIFS(DataEntry!$H:$H,DataEntry!$A:$A,"Mulanje",DataEntry!$B:$B,"Migowi",DataEntry!$G:$G,"Q3"),"")</f>
        <v>3022</v>
      </c>
      <c r="G133" s="15">
        <f>IFERROR(SUMIFS(DataEntry!$H:$H,DataEntry!$A:$A,"Mulanje",DataEntry!$B:$B,"Migowi",DataEntry!$G:$G,"Q4"),"")</f>
        <v>2263</v>
      </c>
      <c r="H133" s="20">
        <f>IFERROR(SUM(D133:G133),"")</f>
        <v>11159</v>
      </c>
    </row>
    <row r="134" spans="1:8" x14ac:dyDescent="0.3">
      <c r="A134" s="21" t="s">
        <v>280</v>
      </c>
      <c r="B134" s="21" t="s">
        <v>283</v>
      </c>
      <c r="C134" s="12" t="s">
        <v>312</v>
      </c>
      <c r="D134" s="9">
        <f>IFERROR(SUMIFS(DataEntry!$S:$S,DataEntry!$A:$A,"Mulanje",DataEntry!$B:$B,"Migowi",DataEntry!$G:$G,"Q1"),"")</f>
        <v>2109</v>
      </c>
      <c r="E134" s="9">
        <f>IFERROR(SUMIFS(DataEntry!$S:$S,DataEntry!$A:$A,"Mulanje",DataEntry!$B:$B,"Migowi",DataEntry!$G:$G,"Q2"),"")</f>
        <v>2664</v>
      </c>
      <c r="F134" s="9">
        <f>IFERROR(SUMIFS(DataEntry!$S:$S,DataEntry!$A:$A,"Mulanje",DataEntry!$B:$B,"Migowi",DataEntry!$G:$G,"Q3"),"")</f>
        <v>2312</v>
      </c>
      <c r="G134" s="9">
        <f>IFERROR(SUMIFS(DataEntry!$S:$S,DataEntry!$A:$A,"Mulanje",DataEntry!$B:$B,"Migowi",DataEntry!$G:$G,"Q4"),"")</f>
        <v>1747</v>
      </c>
      <c r="H134" s="22">
        <f>IFERROR(SUM(D134:G134),"")</f>
        <v>8832</v>
      </c>
    </row>
    <row r="135" spans="1:8" x14ac:dyDescent="0.3">
      <c r="A135" s="19" t="s">
        <v>280</v>
      </c>
      <c r="B135" s="19" t="s">
        <v>283</v>
      </c>
      <c r="C135" s="6" t="s">
        <v>313</v>
      </c>
      <c r="D135" s="15">
        <f>IFERROR(SUMIFS(DataEntry!$T:$T,DataEntry!$A:$A,"Mulanje",DataEntry!$B:$B,"Migowi",DataEntry!$G:$G,"Q1"),"")</f>
        <v>540</v>
      </c>
      <c r="E135" s="15">
        <f>IFERROR(SUMIFS(DataEntry!$T:$T,DataEntry!$A:$A,"Mulanje",DataEntry!$B:$B,"Migowi",DataEntry!$G:$G,"Q2"),"")</f>
        <v>561</v>
      </c>
      <c r="F135" s="15">
        <f>IFERROR(SUMIFS(DataEntry!$T:$T,DataEntry!$A:$A,"Mulanje",DataEntry!$B:$B,"Migowi",DataEntry!$G:$G,"Q3"),"")</f>
        <v>710</v>
      </c>
      <c r="G135" s="15">
        <f>IFERROR(SUMIFS(DataEntry!$T:$T,DataEntry!$A:$A,"Mulanje",DataEntry!$B:$B,"Migowi",DataEntry!$G:$G,"Q4"),"")</f>
        <v>516</v>
      </c>
      <c r="H135" s="20">
        <f>IFERROR(SUM(D135:G135),"")</f>
        <v>2327</v>
      </c>
    </row>
    <row r="136" spans="1:8" x14ac:dyDescent="0.3">
      <c r="A136" s="21" t="s">
        <v>280</v>
      </c>
      <c r="B136" s="21" t="s">
        <v>283</v>
      </c>
      <c r="C136" s="12" t="s">
        <v>53</v>
      </c>
      <c r="D136" s="10">
        <f>IFERROR(AVERAGEIFS(DataEntry!$U:$U,DataEntry!$A:$A,"Mulanje",DataEntry!$B:$B,"Migowi",DataEntry!$G:$G,"Q1"),"")</f>
        <v>0.20275301207075827</v>
      </c>
      <c r="E136" s="10">
        <f>IFERROR(AVERAGEIFS(DataEntry!$U:$U,DataEntry!$A:$A,"Mulanje",DataEntry!$B:$B,"Migowi",DataEntry!$G:$G,"Q2"),"")</f>
        <v>0.16888274638274636</v>
      </c>
      <c r="F136" s="10">
        <f>IFERROR(AVERAGEIFS(DataEntry!$U:$U,DataEntry!$A:$A,"Mulanje",DataEntry!$B:$B,"Migowi",DataEntry!$G:$G,"Q3"),"")</f>
        <v>0.23920307486159595</v>
      </c>
      <c r="G136" s="10">
        <f>IFERROR(AVERAGEIFS(DataEntry!$U:$U,DataEntry!$A:$A,"Mulanje",DataEntry!$B:$B,"Migowi",DataEntry!$G:$G,"Q4"),"")</f>
        <v>0.22835239794312101</v>
      </c>
      <c r="H136" s="23">
        <f>IFERROR(AVERAGE(D136:G136),"")</f>
        <v>0.2097978078145554</v>
      </c>
    </row>
    <row r="137" spans="1:8" x14ac:dyDescent="0.3">
      <c r="A137" s="19" t="s">
        <v>280</v>
      </c>
      <c r="B137" s="19" t="s">
        <v>283</v>
      </c>
      <c r="C137" s="6" t="s">
        <v>314</v>
      </c>
      <c r="D137" s="15">
        <f>IFERROR(SUMIFS(DataEntry!$AU:$AU,DataEntry!$A:$A,"Mulanje",DataEntry!$B:$B,"Migowi",DataEntry!$G:$G,"Q1"),"")</f>
        <v>399005.62500000006</v>
      </c>
      <c r="E137" s="15">
        <f>IFERROR(SUMIFS(DataEntry!$AU:$AU,DataEntry!$A:$A,"Mulanje",DataEntry!$B:$B,"Migowi",DataEntry!$G:$G,"Q2"),"")</f>
        <v>218767.4265</v>
      </c>
      <c r="F137" s="15">
        <f>IFERROR(SUMIFS(DataEntry!$AU:$AU,DataEntry!$A:$A,"Mulanje",DataEntry!$B:$B,"Migowi",DataEntry!$G:$G,"Q3"),"")</f>
        <v>282038.11050000001</v>
      </c>
      <c r="G137" s="15">
        <f>IFERROR(SUMIFS(DataEntry!$AU:$AU,DataEntry!$A:$A,"Mulanje",DataEntry!$B:$B,"Migowi",DataEntry!$G:$G,"Q4"),"")</f>
        <v>384575.46899999998</v>
      </c>
      <c r="H137" s="20">
        <f t="shared" ref="H137:H143" si="10">IFERROR(SUM(D137:G137),"")</f>
        <v>1284386.6310000001</v>
      </c>
    </row>
    <row r="138" spans="1:8" x14ac:dyDescent="0.3">
      <c r="A138" s="21" t="s">
        <v>280</v>
      </c>
      <c r="B138" s="21" t="s">
        <v>283</v>
      </c>
      <c r="C138" s="12" t="s">
        <v>315</v>
      </c>
      <c r="D138" s="9">
        <f>IFERROR(SUMIFS(DataEntry!$GB:$GB,DataEntry!$A:$A,"Mulanje",DataEntry!$B:$B,"Migowi",DataEntry!$G:$G,"Q1"),"")</f>
        <v>3505668</v>
      </c>
      <c r="E138" s="9">
        <f>IFERROR(SUMIFS(DataEntry!$GB:$GB,DataEntry!$A:$A,"Mulanje",DataEntry!$B:$B,"Migowi",DataEntry!$G:$G,"Q2"),"")</f>
        <v>6332095</v>
      </c>
      <c r="F138" s="9">
        <f>IFERROR(SUMIFS(DataEntry!$GB:$GB,DataEntry!$A:$A,"Mulanje",DataEntry!$B:$B,"Migowi",DataEntry!$G:$G,"Q3"),"")</f>
        <v>2014650</v>
      </c>
      <c r="G138" s="9">
        <f>IFERROR(SUMIFS(DataEntry!$GB:$GB,DataEntry!$A:$A,"Mulanje",DataEntry!$B:$B,"Migowi",DataEntry!$G:$G,"Q4"),"")</f>
        <v>1410800</v>
      </c>
      <c r="H138" s="22">
        <f t="shared" si="10"/>
        <v>13263213</v>
      </c>
    </row>
    <row r="139" spans="1:8" x14ac:dyDescent="0.3">
      <c r="A139" s="19" t="s">
        <v>280</v>
      </c>
      <c r="B139" s="19" t="s">
        <v>283</v>
      </c>
      <c r="C139" s="6" t="s">
        <v>316</v>
      </c>
      <c r="D139" s="15">
        <f>IFERROR(SUMIFS(DataEntry!$GM:$GM,DataEntry!$A:$A,"Mulanje",DataEntry!$B:$B,"Migowi",DataEntry!$G:$G,"Q1"),"")</f>
        <v>0</v>
      </c>
      <c r="E139" s="15">
        <f>IFERROR(SUMIFS(DataEntry!$GM:$GM,DataEntry!$A:$A,"Mulanje",DataEntry!$B:$B,"Migowi",DataEntry!$G:$G,"Q2"),"")</f>
        <v>0</v>
      </c>
      <c r="F139" s="15">
        <f>IFERROR(SUMIFS(DataEntry!$GM:$GM,DataEntry!$A:$A,"Mulanje",DataEntry!$B:$B,"Migowi",DataEntry!$G:$G,"Q3"),"")</f>
        <v>0</v>
      </c>
      <c r="G139" s="15">
        <f>IFERROR(SUMIFS(DataEntry!$GM:$GM,DataEntry!$A:$A,"Mulanje",DataEntry!$B:$B,"Migowi",DataEntry!$G:$G,"Q4"),"")</f>
        <v>0</v>
      </c>
      <c r="H139" s="20">
        <f t="shared" si="10"/>
        <v>0</v>
      </c>
    </row>
    <row r="140" spans="1:8" x14ac:dyDescent="0.3">
      <c r="A140" s="21" t="s">
        <v>280</v>
      </c>
      <c r="B140" s="21" t="s">
        <v>283</v>
      </c>
      <c r="C140" s="12" t="s">
        <v>317</v>
      </c>
      <c r="D140" s="9">
        <f>IFERROR(SUMIFS(DataEntry!$GX:$GX,DataEntry!$A:$A,"Mulanje",DataEntry!$B:$B,"Migowi",DataEntry!$G:$G,"Q1"),"")</f>
        <v>0</v>
      </c>
      <c r="E140" s="9">
        <f>IFERROR(SUMIFS(DataEntry!$GX:$GX,DataEntry!$A:$A,"Mulanje",DataEntry!$B:$B,"Migowi",DataEntry!$G:$G,"Q2"),"")</f>
        <v>0</v>
      </c>
      <c r="F140" s="9">
        <f>IFERROR(SUMIFS(DataEntry!$GX:$GX,DataEntry!$A:$A,"Mulanje",DataEntry!$B:$B,"Migowi",DataEntry!$G:$G,"Q3"),"")</f>
        <v>0</v>
      </c>
      <c r="G140" s="9">
        <f>IFERROR(SUMIFS(DataEntry!$GX:$GX,DataEntry!$A:$A,"Mulanje",DataEntry!$B:$B,"Migowi",DataEntry!$G:$G,"Q4"),"")</f>
        <v>0</v>
      </c>
      <c r="H140" s="22">
        <f t="shared" si="10"/>
        <v>0</v>
      </c>
    </row>
    <row r="141" spans="1:8" x14ac:dyDescent="0.3">
      <c r="A141" s="19" t="s">
        <v>280</v>
      </c>
      <c r="B141" s="19" t="s">
        <v>283</v>
      </c>
      <c r="C141" s="6" t="s">
        <v>318</v>
      </c>
      <c r="D141" s="15">
        <f>IFERROR(SUMIFS(DataEntry!$CS:$CS,DataEntry!$A:$A,"Mulanje",DataEntry!$B:$B,"Migowi",DataEntry!$G:$G,"Q1"),"")</f>
        <v>228</v>
      </c>
      <c r="E141" s="15">
        <f>IFERROR(SUMIFS(DataEntry!$CS:$CS,DataEntry!$A:$A,"Mulanje",DataEntry!$B:$B,"Migowi",DataEntry!$G:$G,"Q2"),"")</f>
        <v>228</v>
      </c>
      <c r="F141" s="15">
        <f>IFERROR(SUMIFS(DataEntry!$CS:$CS,DataEntry!$A:$A,"Mulanje",DataEntry!$B:$B,"Migowi",DataEntry!$G:$G,"Q3"),"")</f>
        <v>228</v>
      </c>
      <c r="G141" s="15">
        <f>IFERROR(SUMIFS(DataEntry!$CS:$CS,DataEntry!$A:$A,"Mulanje",DataEntry!$B:$B,"Migowi",DataEntry!$G:$G,"Q4"),"")</f>
        <v>228</v>
      </c>
      <c r="H141" s="20">
        <f t="shared" si="10"/>
        <v>912</v>
      </c>
    </row>
    <row r="142" spans="1:8" x14ac:dyDescent="0.3">
      <c r="A142" s="21" t="s">
        <v>280</v>
      </c>
      <c r="B142" s="21" t="s">
        <v>283</v>
      </c>
      <c r="C142" s="12" t="s">
        <v>319</v>
      </c>
      <c r="D142" s="9">
        <f>IFERROR(SUMIFS(DataEntry!$CA:$CA,DataEntry!$A:$A,"Mulanje",DataEntry!$B:$B,"Migowi",DataEntry!$G:$G,"Q1"),"")</f>
        <v>0</v>
      </c>
      <c r="E142" s="9">
        <f>IFERROR(SUMIFS(DataEntry!$CA:$CA,DataEntry!$A:$A,"Mulanje",DataEntry!$B:$B,"Migowi",DataEntry!$G:$G,"Q2"),"")</f>
        <v>0</v>
      </c>
      <c r="F142" s="9">
        <f>IFERROR(SUMIFS(DataEntry!$CA:$CA,DataEntry!$A:$A,"Mulanje",DataEntry!$B:$B,"Migowi",DataEntry!$G:$G,"Q3"),"")</f>
        <v>0</v>
      </c>
      <c r="G142" s="9">
        <f>IFERROR(SUMIFS(DataEntry!$CA:$CA,DataEntry!$A:$A,"Mulanje",DataEntry!$B:$B,"Migowi",DataEntry!$G:$G,"Q4"),"")</f>
        <v>0</v>
      </c>
      <c r="H142" s="22">
        <f t="shared" si="10"/>
        <v>0</v>
      </c>
    </row>
    <row r="143" spans="1:8" x14ac:dyDescent="0.3">
      <c r="A143" s="19" t="s">
        <v>280</v>
      </c>
      <c r="B143" s="19" t="s">
        <v>283</v>
      </c>
      <c r="C143" s="6" t="s">
        <v>320</v>
      </c>
      <c r="D143" s="15">
        <f>IFERROR(SUMIFS(DataEntry!$DV:$DV,DataEntry!$A:$A,"Mulanje",DataEntry!$B:$B,"Migowi",DataEntry!$G:$G,"Q1"),"")</f>
        <v>0</v>
      </c>
      <c r="E143" s="15">
        <f>IFERROR(SUMIFS(DataEntry!$DV:$DV,DataEntry!$A:$A,"Mulanje",DataEntry!$B:$B,"Migowi",DataEntry!$G:$G,"Q2"),"")</f>
        <v>0</v>
      </c>
      <c r="F143" s="15">
        <f>IFERROR(SUMIFS(DataEntry!$DV:$DV,DataEntry!$A:$A,"Mulanje",DataEntry!$B:$B,"Migowi",DataEntry!$G:$G,"Q3"),"")</f>
        <v>0</v>
      </c>
      <c r="G143" s="15">
        <f>IFERROR(SUMIFS(DataEntry!$DV:$DV,DataEntry!$A:$A,"Mulanje",DataEntry!$B:$B,"Migowi",DataEntry!$G:$G,"Q4"),"")</f>
        <v>0</v>
      </c>
      <c r="H143" s="20">
        <f t="shared" si="10"/>
        <v>0</v>
      </c>
    </row>
    <row r="144" spans="1:8" x14ac:dyDescent="0.3">
      <c r="A144" s="21" t="s">
        <v>280</v>
      </c>
      <c r="B144" s="21" t="s">
        <v>283</v>
      </c>
      <c r="C144" s="12" t="s">
        <v>243</v>
      </c>
      <c r="D144" s="10" t="str">
        <f>IFERROR(AVERAGEIFS(DataEntry!$HC:$HC,DataEntry!$A:$A,"Mulanje",DataEntry!$B:$B,"Migowi",DataEntry!$G:$G,"Q1"),"")</f>
        <v/>
      </c>
      <c r="E144" s="10" t="str">
        <f>IFERROR(AVERAGEIFS(DataEntry!$HC:$HC,DataEntry!$A:$A,"Mulanje",DataEntry!$B:$B,"Migowi",DataEntry!$G:$G,"Q2"),"")</f>
        <v/>
      </c>
      <c r="F144" s="10" t="str">
        <f>IFERROR(AVERAGEIFS(DataEntry!$HC:$HC,DataEntry!$A:$A,"Mulanje",DataEntry!$B:$B,"Migowi",DataEntry!$G:$G,"Q3"),"")</f>
        <v/>
      </c>
      <c r="G144" s="10">
        <f>IFERROR(AVERAGEIFS(DataEntry!$HC:$HC,DataEntry!$A:$A,"Mulanje",DataEntry!$B:$B,"Migowi",DataEntry!$G:$G,"Q4"),"")</f>
        <v>0</v>
      </c>
      <c r="H144" s="23">
        <f>IFERROR(AVERAGE(D144:G144),"")</f>
        <v>0</v>
      </c>
    </row>
    <row r="145" spans="1:8" x14ac:dyDescent="0.3">
      <c r="A145" s="19" t="s">
        <v>280</v>
      </c>
      <c r="B145" s="19" t="s">
        <v>283</v>
      </c>
      <c r="C145" s="6" t="s">
        <v>242</v>
      </c>
      <c r="D145" s="16" t="str">
        <f>IFERROR(AVERAGEIFS(DataEntry!$HB:$HB,DataEntry!$A:$A,"Mulanje",DataEntry!$B:$B,"Migowi",DataEntry!$G:$G,"Q1"),"")</f>
        <v/>
      </c>
      <c r="E145" s="16" t="str">
        <f>IFERROR(AVERAGEIFS(DataEntry!$HB:$HB,DataEntry!$A:$A,"Mulanje",DataEntry!$B:$B,"Migowi",DataEntry!$G:$G,"Q2"),"")</f>
        <v/>
      </c>
      <c r="F145" s="16" t="str">
        <f>IFERROR(AVERAGEIFS(DataEntry!$HB:$HB,DataEntry!$A:$A,"Mulanje",DataEntry!$B:$B,"Migowi",DataEntry!$G:$G,"Q3"),"")</f>
        <v/>
      </c>
      <c r="G145" s="16">
        <f>IFERROR(AVERAGEIFS(DataEntry!$HB:$HB,DataEntry!$A:$A,"Mulanje",DataEntry!$B:$B,"Migowi",DataEntry!$G:$G,"Q4"),"")</f>
        <v>0</v>
      </c>
      <c r="H145" s="24">
        <f>IFERROR(AVERAGE(D145:G145),"")</f>
        <v>0</v>
      </c>
    </row>
    <row r="146" spans="1:8" x14ac:dyDescent="0.3">
      <c r="A146" s="21" t="s">
        <v>280</v>
      </c>
      <c r="B146" s="21" t="s">
        <v>284</v>
      </c>
      <c r="C146" s="12" t="s">
        <v>40</v>
      </c>
      <c r="D146" s="9">
        <f>IFERROR(SUMIFS(DataEntry!$H:$H,DataEntry!$A:$A,"Mulanje",DataEntry!$B:$B,"Mikolongwe",DataEntry!$G:$G,"Q1"),"")</f>
        <v>2434</v>
      </c>
      <c r="E146" s="9">
        <f>IFERROR(SUMIFS(DataEntry!$H:$H,DataEntry!$A:$A,"Mulanje",DataEntry!$B:$B,"Mikolongwe",DataEntry!$G:$G,"Q2"),"")</f>
        <v>3089</v>
      </c>
      <c r="F146" s="9">
        <f>IFERROR(SUMIFS(DataEntry!$H:$H,DataEntry!$A:$A,"Mulanje",DataEntry!$B:$B,"Mikolongwe",DataEntry!$G:$G,"Q3"),"")</f>
        <v>2513</v>
      </c>
      <c r="G146" s="9">
        <f>IFERROR(SUMIFS(DataEntry!$H:$H,DataEntry!$A:$A,"Mulanje",DataEntry!$B:$B,"Mikolongwe",DataEntry!$G:$G,"Q4"),"")</f>
        <v>1474</v>
      </c>
      <c r="H146" s="22">
        <f>IFERROR(SUM(D146:G146),"")</f>
        <v>9510</v>
      </c>
    </row>
    <row r="147" spans="1:8" x14ac:dyDescent="0.3">
      <c r="A147" s="19" t="s">
        <v>280</v>
      </c>
      <c r="B147" s="19" t="s">
        <v>284</v>
      </c>
      <c r="C147" s="6" t="s">
        <v>312</v>
      </c>
      <c r="D147" s="15">
        <f>IFERROR(SUMIFS(DataEntry!$S:$S,DataEntry!$A:$A,"Mulanje",DataEntry!$B:$B,"Mikolongwe",DataEntry!$G:$G,"Q1"),"")</f>
        <v>1927</v>
      </c>
      <c r="E147" s="15">
        <f>IFERROR(SUMIFS(DataEntry!$S:$S,DataEntry!$A:$A,"Mulanje",DataEntry!$B:$B,"Mikolongwe",DataEntry!$G:$G,"Q2"),"")</f>
        <v>2393</v>
      </c>
      <c r="F147" s="15">
        <f>IFERROR(SUMIFS(DataEntry!$S:$S,DataEntry!$A:$A,"Mulanje",DataEntry!$B:$B,"Mikolongwe",DataEntry!$G:$G,"Q3"),"")</f>
        <v>1933</v>
      </c>
      <c r="G147" s="15">
        <f>IFERROR(SUMIFS(DataEntry!$S:$S,DataEntry!$A:$A,"Mulanje",DataEntry!$B:$B,"Mikolongwe",DataEntry!$G:$G,"Q4"),"")</f>
        <v>1173</v>
      </c>
      <c r="H147" s="20">
        <f>IFERROR(SUM(D147:G147),"")</f>
        <v>7426</v>
      </c>
    </row>
    <row r="148" spans="1:8" x14ac:dyDescent="0.3">
      <c r="A148" s="21" t="s">
        <v>280</v>
      </c>
      <c r="B148" s="21" t="s">
        <v>284</v>
      </c>
      <c r="C148" s="12" t="s">
        <v>313</v>
      </c>
      <c r="D148" s="9">
        <f>IFERROR(SUMIFS(DataEntry!$T:$T,DataEntry!$A:$A,"Mulanje",DataEntry!$B:$B,"Mikolongwe",DataEntry!$G:$G,"Q1"),"")</f>
        <v>507</v>
      </c>
      <c r="E148" s="9">
        <f>IFERROR(SUMIFS(DataEntry!$T:$T,DataEntry!$A:$A,"Mulanje",DataEntry!$B:$B,"Mikolongwe",DataEntry!$G:$G,"Q2"),"")</f>
        <v>696</v>
      </c>
      <c r="F148" s="9">
        <f>IFERROR(SUMIFS(DataEntry!$T:$T,DataEntry!$A:$A,"Mulanje",DataEntry!$B:$B,"Mikolongwe",DataEntry!$G:$G,"Q3"),"")</f>
        <v>580</v>
      </c>
      <c r="G148" s="9">
        <f>IFERROR(SUMIFS(DataEntry!$T:$T,DataEntry!$A:$A,"Mulanje",DataEntry!$B:$B,"Mikolongwe",DataEntry!$G:$G,"Q4"),"")</f>
        <v>301</v>
      </c>
      <c r="H148" s="22">
        <f>IFERROR(SUM(D148:G148),"")</f>
        <v>2084</v>
      </c>
    </row>
    <row r="149" spans="1:8" x14ac:dyDescent="0.3">
      <c r="A149" s="19" t="s">
        <v>280</v>
      </c>
      <c r="B149" s="19" t="s">
        <v>284</v>
      </c>
      <c r="C149" s="6" t="s">
        <v>53</v>
      </c>
      <c r="D149" s="16">
        <f>IFERROR(AVERAGEIFS(DataEntry!$U:$U,DataEntry!$A:$A,"Mulanje",DataEntry!$B:$B,"Mikolongwe",DataEntry!$G:$G,"Q1"),"")</f>
        <v>0.20678885720230408</v>
      </c>
      <c r="E149" s="16">
        <f>IFERROR(AVERAGEIFS(DataEntry!$U:$U,DataEntry!$A:$A,"Mulanje",DataEntry!$B:$B,"Mikolongwe",DataEntry!$G:$G,"Q2"),"")</f>
        <v>0.22581378472676206</v>
      </c>
      <c r="F149" s="16">
        <f>IFERROR(AVERAGEIFS(DataEntry!$U:$U,DataEntry!$A:$A,"Mulanje",DataEntry!$B:$B,"Mikolongwe",DataEntry!$G:$G,"Q3"),"")</f>
        <v>0.23732343090141259</v>
      </c>
      <c r="G149" s="16">
        <f>IFERROR(AVERAGEIFS(DataEntry!$U:$U,DataEntry!$A:$A,"Mulanje",DataEntry!$B:$B,"Mikolongwe",DataEntry!$G:$G,"Q4"),"")</f>
        <v>0.21839451992720163</v>
      </c>
      <c r="H149" s="24">
        <f>IFERROR(AVERAGE(D149:G149),"")</f>
        <v>0.2220801481894201</v>
      </c>
    </row>
    <row r="150" spans="1:8" x14ac:dyDescent="0.3">
      <c r="A150" s="21" t="s">
        <v>280</v>
      </c>
      <c r="B150" s="21" t="s">
        <v>284</v>
      </c>
      <c r="C150" s="12" t="s">
        <v>314</v>
      </c>
      <c r="D150" s="9">
        <f>IFERROR(SUMIFS(DataEntry!$AU:$AU,DataEntry!$A:$A,"Mulanje",DataEntry!$B:$B,"Mikolongwe",DataEntry!$G:$G,"Q1"),"")</f>
        <v>1303592.55</v>
      </c>
      <c r="E150" s="9">
        <f>IFERROR(SUMIFS(DataEntry!$AU:$AU,DataEntry!$A:$A,"Mulanje",DataEntry!$B:$B,"Mikolongwe",DataEntry!$G:$G,"Q2"),"")</f>
        <v>1323733.7989999999</v>
      </c>
      <c r="F150" s="9">
        <f>IFERROR(SUMIFS(DataEntry!$AU:$AU,DataEntry!$A:$A,"Mulanje",DataEntry!$B:$B,"Mikolongwe",DataEntry!$G:$G,"Q3"),"")</f>
        <v>751022.63500000001</v>
      </c>
      <c r="G150" s="9">
        <f>IFERROR(SUMIFS(DataEntry!$AU:$AU,DataEntry!$A:$A,"Mulanje",DataEntry!$B:$B,"Mikolongwe",DataEntry!$G:$G,"Q4"),"")</f>
        <v>720078.79249999998</v>
      </c>
      <c r="H150" s="22">
        <f t="shared" ref="H150:H156" si="11">IFERROR(SUM(D150:G150),"")</f>
        <v>4098427.7765000002</v>
      </c>
    </row>
    <row r="151" spans="1:8" x14ac:dyDescent="0.3">
      <c r="A151" s="19" t="s">
        <v>280</v>
      </c>
      <c r="B151" s="19" t="s">
        <v>284</v>
      </c>
      <c r="C151" s="6" t="s">
        <v>315</v>
      </c>
      <c r="D151" s="15">
        <f>IFERROR(SUMIFS(DataEntry!$GB:$GB,DataEntry!$A:$A,"Mulanje",DataEntry!$B:$B,"Mikolongwe",DataEntry!$G:$G,"Q1"),"")</f>
        <v>534880</v>
      </c>
      <c r="E151" s="15">
        <f>IFERROR(SUMIFS(DataEntry!$GB:$GB,DataEntry!$A:$A,"Mulanje",DataEntry!$B:$B,"Mikolongwe",DataEntry!$G:$G,"Q2"),"")</f>
        <v>637270</v>
      </c>
      <c r="F151" s="15">
        <f>IFERROR(SUMIFS(DataEntry!$GB:$GB,DataEntry!$A:$A,"Mulanje",DataEntry!$B:$B,"Mikolongwe",DataEntry!$G:$G,"Q3"),"")</f>
        <v>358150</v>
      </c>
      <c r="G151" s="15">
        <f>IFERROR(SUMIFS(DataEntry!$GB:$GB,DataEntry!$A:$A,"Mulanje",DataEntry!$B:$B,"Mikolongwe",DataEntry!$G:$G,"Q4"),"")</f>
        <v>3437500</v>
      </c>
      <c r="H151" s="20">
        <f t="shared" si="11"/>
        <v>4967800</v>
      </c>
    </row>
    <row r="152" spans="1:8" x14ac:dyDescent="0.3">
      <c r="A152" s="21" t="s">
        <v>280</v>
      </c>
      <c r="B152" s="21" t="s">
        <v>284</v>
      </c>
      <c r="C152" s="12" t="s">
        <v>316</v>
      </c>
      <c r="D152" s="9">
        <f>IFERROR(SUMIFS(DataEntry!$GM:$GM,DataEntry!$A:$A,"Mulanje",DataEntry!$B:$B,"Mikolongwe",DataEntry!$G:$G,"Q1"),"")</f>
        <v>503876.70999999996</v>
      </c>
      <c r="E152" s="9">
        <f>IFERROR(SUMIFS(DataEntry!$GM:$GM,DataEntry!$A:$A,"Mulanje",DataEntry!$B:$B,"Mikolongwe",DataEntry!$G:$G,"Q2"),"")</f>
        <v>0</v>
      </c>
      <c r="F152" s="9">
        <f>IFERROR(SUMIFS(DataEntry!$GM:$GM,DataEntry!$A:$A,"Mulanje",DataEntry!$B:$B,"Mikolongwe",DataEntry!$G:$G,"Q3"),"")</f>
        <v>0</v>
      </c>
      <c r="G152" s="9">
        <f>IFERROR(SUMIFS(DataEntry!$GM:$GM,DataEntry!$A:$A,"Mulanje",DataEntry!$B:$B,"Mikolongwe",DataEntry!$G:$G,"Q4"),"")</f>
        <v>1000000</v>
      </c>
      <c r="H152" s="22">
        <f t="shared" si="11"/>
        <v>1503876.71</v>
      </c>
    </row>
    <row r="153" spans="1:8" x14ac:dyDescent="0.3">
      <c r="A153" s="19" t="s">
        <v>280</v>
      </c>
      <c r="B153" s="19" t="s">
        <v>284</v>
      </c>
      <c r="C153" s="6" t="s">
        <v>317</v>
      </c>
      <c r="D153" s="15">
        <f>IFERROR(SUMIFS(DataEntry!$GX:$GX,DataEntry!$A:$A,"Mulanje",DataEntry!$B:$B,"Mikolongwe",DataEntry!$G:$G,"Q1"),"")</f>
        <v>503876.70999999996</v>
      </c>
      <c r="E153" s="15">
        <f>IFERROR(SUMIFS(DataEntry!$GX:$GX,DataEntry!$A:$A,"Mulanje",DataEntry!$B:$B,"Mikolongwe",DataEntry!$G:$G,"Q2"),"")</f>
        <v>0</v>
      </c>
      <c r="F153" s="15">
        <f>IFERROR(SUMIFS(DataEntry!$GX:$GX,DataEntry!$A:$A,"Mulanje",DataEntry!$B:$B,"Mikolongwe",DataEntry!$G:$G,"Q3"),"")</f>
        <v>0</v>
      </c>
      <c r="G153" s="15">
        <f>IFERROR(SUMIFS(DataEntry!$GX:$GX,DataEntry!$A:$A,"Mulanje",DataEntry!$B:$B,"Mikolongwe",DataEntry!$G:$G,"Q4"),"")</f>
        <v>0</v>
      </c>
      <c r="H153" s="20">
        <f t="shared" si="11"/>
        <v>503876.70999999996</v>
      </c>
    </row>
    <row r="154" spans="1:8" x14ac:dyDescent="0.3">
      <c r="A154" s="21" t="s">
        <v>280</v>
      </c>
      <c r="B154" s="21" t="s">
        <v>284</v>
      </c>
      <c r="C154" s="12" t="s">
        <v>318</v>
      </c>
      <c r="D154" s="9">
        <f>IFERROR(SUMIFS(DataEntry!$CS:$CS,DataEntry!$A:$A,"Mulanje",DataEntry!$B:$B,"Mikolongwe",DataEntry!$G:$G,"Q1"),"")</f>
        <v>149</v>
      </c>
      <c r="E154" s="9">
        <f>IFERROR(SUMIFS(DataEntry!$CS:$CS,DataEntry!$A:$A,"Mulanje",DataEntry!$B:$B,"Mikolongwe",DataEntry!$G:$G,"Q2"),"")</f>
        <v>142</v>
      </c>
      <c r="F154" s="9">
        <f>IFERROR(SUMIFS(DataEntry!$CS:$CS,DataEntry!$A:$A,"Mulanje",DataEntry!$B:$B,"Mikolongwe",DataEntry!$G:$G,"Q3"),"")</f>
        <v>150</v>
      </c>
      <c r="G154" s="9">
        <f>IFERROR(SUMIFS(DataEntry!$CS:$CS,DataEntry!$A:$A,"Mulanje",DataEntry!$B:$B,"Mikolongwe",DataEntry!$G:$G,"Q4"),"")</f>
        <v>150</v>
      </c>
      <c r="H154" s="22">
        <f t="shared" si="11"/>
        <v>591</v>
      </c>
    </row>
    <row r="155" spans="1:8" x14ac:dyDescent="0.3">
      <c r="A155" s="19" t="s">
        <v>280</v>
      </c>
      <c r="B155" s="19" t="s">
        <v>284</v>
      </c>
      <c r="C155" s="6" t="s">
        <v>319</v>
      </c>
      <c r="D155" s="15">
        <f>IFERROR(SUMIFS(DataEntry!$CA:$CA,DataEntry!$A:$A,"Mulanje",DataEntry!$B:$B,"Mikolongwe",DataEntry!$G:$G,"Q1"),"")</f>
        <v>0</v>
      </c>
      <c r="E155" s="15">
        <f>IFERROR(SUMIFS(DataEntry!$CA:$CA,DataEntry!$A:$A,"Mulanje",DataEntry!$B:$B,"Mikolongwe",DataEntry!$G:$G,"Q2"),"")</f>
        <v>0</v>
      </c>
      <c r="F155" s="15">
        <f>IFERROR(SUMIFS(DataEntry!$CA:$CA,DataEntry!$A:$A,"Mulanje",DataEntry!$B:$B,"Mikolongwe",DataEntry!$G:$G,"Q3"),"")</f>
        <v>0</v>
      </c>
      <c r="G155" s="15">
        <f>IFERROR(SUMIFS(DataEntry!$CA:$CA,DataEntry!$A:$A,"Mulanje",DataEntry!$B:$B,"Mikolongwe",DataEntry!$G:$G,"Q4"),"")</f>
        <v>0</v>
      </c>
      <c r="H155" s="20">
        <f t="shared" si="11"/>
        <v>0</v>
      </c>
    </row>
    <row r="156" spans="1:8" x14ac:dyDescent="0.3">
      <c r="A156" s="21" t="s">
        <v>280</v>
      </c>
      <c r="B156" s="21" t="s">
        <v>284</v>
      </c>
      <c r="C156" s="12" t="s">
        <v>320</v>
      </c>
      <c r="D156" s="9">
        <f>IFERROR(SUMIFS(DataEntry!$DV:$DV,DataEntry!$A:$A,"Mulanje",DataEntry!$B:$B,"Mikolongwe",DataEntry!$G:$G,"Q1"),"")</f>
        <v>0</v>
      </c>
      <c r="E156" s="9">
        <f>IFERROR(SUMIFS(DataEntry!$DV:$DV,DataEntry!$A:$A,"Mulanje",DataEntry!$B:$B,"Mikolongwe",DataEntry!$G:$G,"Q2"),"")</f>
        <v>0</v>
      </c>
      <c r="F156" s="9">
        <f>IFERROR(SUMIFS(DataEntry!$DV:$DV,DataEntry!$A:$A,"Mulanje",DataEntry!$B:$B,"Mikolongwe",DataEntry!$G:$G,"Q3"),"")</f>
        <v>0</v>
      </c>
      <c r="G156" s="9">
        <f>IFERROR(SUMIFS(DataEntry!$DV:$DV,DataEntry!$A:$A,"Mulanje",DataEntry!$B:$B,"Mikolongwe",DataEntry!$G:$G,"Q4"),"")</f>
        <v>0</v>
      </c>
      <c r="H156" s="22">
        <f t="shared" si="11"/>
        <v>0</v>
      </c>
    </row>
    <row r="157" spans="1:8" x14ac:dyDescent="0.3">
      <c r="A157" s="19" t="s">
        <v>280</v>
      </c>
      <c r="B157" s="19" t="s">
        <v>284</v>
      </c>
      <c r="C157" s="6" t="s">
        <v>243</v>
      </c>
      <c r="D157" s="16">
        <f>IFERROR(AVERAGEIFS(DataEntry!$HC:$HC,DataEntry!$A:$A,"Mulanje",DataEntry!$B:$B,"Mikolongwe",DataEntry!$G:$G,"Q1"),"")</f>
        <v>6.3746192931487713E-2</v>
      </c>
      <c r="E157" s="16">
        <f>IFERROR(AVERAGEIFS(DataEntry!$HC:$HC,DataEntry!$A:$A,"Mulanje",DataEntry!$B:$B,"Mikolongwe",DataEntry!$G:$G,"Q2"),"")</f>
        <v>8.4339376218472206E-2</v>
      </c>
      <c r="F157" s="16">
        <f>IFERROR(AVERAGEIFS(DataEntry!$HC:$HC,DataEntry!$A:$A,"Mulanje",DataEntry!$B:$B,"Mikolongwe",DataEntry!$G:$G,"Q3"),"")</f>
        <v>5.4037467937669149E-2</v>
      </c>
      <c r="G157" s="16">
        <f>IFERROR(AVERAGEIFS(DataEntry!$HC:$HC,DataEntry!$A:$A,"Mulanje",DataEntry!$B:$B,"Mikolongwe",DataEntry!$G:$G,"Q4"),"")</f>
        <v>333333.78039653553</v>
      </c>
      <c r="H157" s="24">
        <f>IFERROR(AVERAGE(D157:G157),"")</f>
        <v>83333.49562989315</v>
      </c>
    </row>
    <row r="158" spans="1:8" x14ac:dyDescent="0.3">
      <c r="A158" s="21" t="s">
        <v>280</v>
      </c>
      <c r="B158" s="21" t="s">
        <v>284</v>
      </c>
      <c r="C158" s="12" t="s">
        <v>242</v>
      </c>
      <c r="D158" s="10">
        <f>IFERROR(AVERAGEIFS(DataEntry!$HB:$HB,DataEntry!$A:$A,"Mulanje",DataEntry!$B:$B,"Mikolongwe",DataEntry!$G:$G,"Q1"),"")</f>
        <v>0.98650881284034764</v>
      </c>
      <c r="E158" s="10" t="str">
        <f>IFERROR(AVERAGEIFS(DataEntry!$HB:$HB,DataEntry!$A:$A,"Mulanje",DataEntry!$B:$B,"Mikolongwe",DataEntry!$G:$G,"Q2"),"")</f>
        <v/>
      </c>
      <c r="F158" s="10" t="str">
        <f>IFERROR(AVERAGEIFS(DataEntry!$HB:$HB,DataEntry!$A:$A,"Mulanje",DataEntry!$B:$B,"Mikolongwe",DataEntry!$G:$G,"Q3"),"")</f>
        <v/>
      </c>
      <c r="G158" s="10">
        <f>IFERROR(AVERAGEIFS(DataEntry!$HB:$HB,DataEntry!$A:$A,"Mulanje",DataEntry!$B:$B,"Mikolongwe",DataEntry!$G:$G,"Q4"),"")</f>
        <v>1817416.41</v>
      </c>
      <c r="H158" s="23">
        <f>IFERROR(AVERAGE(D158:G158),"")</f>
        <v>908708.69825440634</v>
      </c>
    </row>
    <row r="159" spans="1:8" x14ac:dyDescent="0.3">
      <c r="A159" s="19" t="s">
        <v>280</v>
      </c>
      <c r="B159" s="19" t="s">
        <v>280</v>
      </c>
      <c r="C159" s="6" t="s">
        <v>40</v>
      </c>
      <c r="D159" s="15">
        <f>IFERROR(SUMIFS(DataEntry!$H:$H,DataEntry!$A:$A,"Mulanje",DataEntry!$B:$B,"Mulanje",DataEntry!$G:$G,"Q1"),"")</f>
        <v>129251</v>
      </c>
      <c r="E159" s="15">
        <f>IFERROR(SUMIFS(DataEntry!$H:$H,DataEntry!$A:$A,"Mulanje",DataEntry!$B:$B,"Mulanje",DataEntry!$G:$G,"Q2"),"")</f>
        <v>114631</v>
      </c>
      <c r="F159" s="15">
        <f>IFERROR(SUMIFS(DataEntry!$H:$H,DataEntry!$A:$A,"Mulanje",DataEntry!$B:$B,"Mulanje",DataEntry!$G:$G,"Q3"),"")</f>
        <v>110284</v>
      </c>
      <c r="G159" s="15">
        <f>IFERROR(SUMIFS(DataEntry!$H:$H,DataEntry!$A:$A,"Mulanje",DataEntry!$B:$B,"Mulanje",DataEntry!$G:$G,"Q4"),"")</f>
        <v>125748</v>
      </c>
      <c r="H159" s="20">
        <f>IFERROR(SUM(D159:G159),"")</f>
        <v>479914</v>
      </c>
    </row>
    <row r="160" spans="1:8" x14ac:dyDescent="0.3">
      <c r="A160" s="21" t="s">
        <v>280</v>
      </c>
      <c r="B160" s="21" t="s">
        <v>280</v>
      </c>
      <c r="C160" s="12" t="s">
        <v>312</v>
      </c>
      <c r="D160" s="9">
        <f>IFERROR(SUMIFS(DataEntry!$S:$S,DataEntry!$A:$A,"Mulanje",DataEntry!$B:$B,"Mulanje",DataEntry!$G:$G,"Q1"),"")</f>
        <v>88850.4</v>
      </c>
      <c r="E160" s="9">
        <f>IFERROR(SUMIFS(DataEntry!$S:$S,DataEntry!$A:$A,"Mulanje",DataEntry!$B:$B,"Mulanje",DataEntry!$G:$G,"Q2"),"")</f>
        <v>79845.200000000041</v>
      </c>
      <c r="F160" s="9">
        <f>IFERROR(SUMIFS(DataEntry!$S:$S,DataEntry!$A:$A,"Mulanje",DataEntry!$B:$B,"Mulanje",DataEntry!$G:$G,"Q3"),"")</f>
        <v>77151.300000000047</v>
      </c>
      <c r="G160" s="9">
        <f>IFERROR(SUMIFS(DataEntry!$S:$S,DataEntry!$A:$A,"Mulanje",DataEntry!$B:$B,"Mulanje",DataEntry!$G:$G,"Q4"),"")</f>
        <v>89048.999999999985</v>
      </c>
      <c r="H160" s="22">
        <f>IFERROR(SUM(D160:G160),"")</f>
        <v>334895.90000000008</v>
      </c>
    </row>
    <row r="161" spans="1:8" x14ac:dyDescent="0.3">
      <c r="A161" s="19" t="s">
        <v>280</v>
      </c>
      <c r="B161" s="19" t="s">
        <v>280</v>
      </c>
      <c r="C161" s="6" t="s">
        <v>313</v>
      </c>
      <c r="D161" s="15">
        <f>IFERROR(SUMIFS(DataEntry!$T:$T,DataEntry!$A:$A,"Mulanje",DataEntry!$B:$B,"Mulanje",DataEntry!$G:$G,"Q1"),"")</f>
        <v>40400.6</v>
      </c>
      <c r="E161" s="15">
        <f>IFERROR(SUMIFS(DataEntry!$T:$T,DataEntry!$A:$A,"Mulanje",DataEntry!$B:$B,"Mulanje",DataEntry!$G:$G,"Q2"),"")</f>
        <v>34785.799999999996</v>
      </c>
      <c r="F161" s="15">
        <f>IFERROR(SUMIFS(DataEntry!$T:$T,DataEntry!$A:$A,"Mulanje",DataEntry!$B:$B,"Mulanje",DataEntry!$G:$G,"Q3"),"")</f>
        <v>33132.699999999997</v>
      </c>
      <c r="G161" s="15">
        <f>IFERROR(SUMIFS(DataEntry!$T:$T,DataEntry!$A:$A,"Mulanje",DataEntry!$B:$B,"Mulanje",DataEntry!$G:$G,"Q4"),"")</f>
        <v>36699.000000000015</v>
      </c>
      <c r="H161" s="20">
        <f>IFERROR(SUM(D161:G161),"")</f>
        <v>145018.1</v>
      </c>
    </row>
    <row r="162" spans="1:8" x14ac:dyDescent="0.3">
      <c r="A162" s="21" t="s">
        <v>280</v>
      </c>
      <c r="B162" s="21" t="s">
        <v>280</v>
      </c>
      <c r="C162" s="12" t="s">
        <v>53</v>
      </c>
      <c r="D162" s="10">
        <f>IFERROR(AVERAGEIFS(DataEntry!$U:$U,DataEntry!$A:$A,"Mulanje",DataEntry!$B:$B,"Mulanje",DataEntry!$G:$G,"Q1"),"")</f>
        <v>0.31300599374307309</v>
      </c>
      <c r="E162" s="10">
        <f>IFERROR(AVERAGEIFS(DataEntry!$U:$U,DataEntry!$A:$A,"Mulanje",DataEntry!$B:$B,"Mulanje",DataEntry!$G:$G,"Q2"),"")</f>
        <v>0.30707251075354564</v>
      </c>
      <c r="F162" s="10">
        <f>IFERROR(AVERAGEIFS(DataEntry!$U:$U,DataEntry!$A:$A,"Mulanje",DataEntry!$B:$B,"Mulanje",DataEntry!$G:$G,"Q3"),"")</f>
        <v>0.30235315848041311</v>
      </c>
      <c r="G162" s="10">
        <f>IFERROR(AVERAGEIFS(DataEntry!$U:$U,DataEntry!$A:$A,"Mulanje",DataEntry!$B:$B,"Mulanje",DataEntry!$G:$G,"Q4"),"")</f>
        <v>0.29196885017661817</v>
      </c>
      <c r="H162" s="23">
        <f>IFERROR(AVERAGE(D162:G162),"")</f>
        <v>0.30360012828841249</v>
      </c>
    </row>
    <row r="163" spans="1:8" x14ac:dyDescent="0.3">
      <c r="A163" s="19" t="s">
        <v>280</v>
      </c>
      <c r="B163" s="19" t="s">
        <v>280</v>
      </c>
      <c r="C163" s="6" t="s">
        <v>314</v>
      </c>
      <c r="D163" s="15">
        <f>IFERROR(SUMIFS(DataEntry!$AU:$AU,DataEntry!$A:$A,"Mulanje",DataEntry!$B:$B,"Mulanje",DataEntry!$G:$G,"Q1"),"")</f>
        <v>71656814.247000009</v>
      </c>
      <c r="E163" s="15">
        <f>IFERROR(SUMIFS(DataEntry!$AU:$AU,DataEntry!$A:$A,"Mulanje",DataEntry!$B:$B,"Mulanje",DataEntry!$G:$G,"Q2"),"")</f>
        <v>108908628.93000001</v>
      </c>
      <c r="F163" s="15">
        <f>IFERROR(SUMIFS(DataEntry!$AU:$AU,DataEntry!$A:$A,"Mulanje",DataEntry!$B:$B,"Mulanje",DataEntry!$G:$G,"Q3"),"")</f>
        <v>81817819.912499994</v>
      </c>
      <c r="G163" s="15">
        <f>IFERROR(SUMIFS(DataEntry!$AU:$AU,DataEntry!$A:$A,"Mulanje",DataEntry!$B:$B,"Mulanje",DataEntry!$G:$G,"Q4"),"")</f>
        <v>78175626.367500007</v>
      </c>
      <c r="H163" s="20">
        <f t="shared" ref="H163:H169" si="12">IFERROR(SUM(D163:G163),"")</f>
        <v>340558889.45700002</v>
      </c>
    </row>
    <row r="164" spans="1:8" x14ac:dyDescent="0.3">
      <c r="A164" s="21" t="s">
        <v>280</v>
      </c>
      <c r="B164" s="21" t="s">
        <v>280</v>
      </c>
      <c r="C164" s="12" t="s">
        <v>315</v>
      </c>
      <c r="D164" s="9">
        <f>IFERROR(SUMIFS(DataEntry!$GB:$GB,DataEntry!$A:$A,"Mulanje",DataEntry!$B:$B,"Mulanje",DataEntry!$G:$G,"Q1"),"")</f>
        <v>132072473.43999995</v>
      </c>
      <c r="E164" s="9">
        <f>IFERROR(SUMIFS(DataEntry!$GB:$GB,DataEntry!$A:$A,"Mulanje",DataEntry!$B:$B,"Mulanje",DataEntry!$G:$G,"Q2"),"")</f>
        <v>146992045.23999995</v>
      </c>
      <c r="F164" s="9">
        <f>IFERROR(SUMIFS(DataEntry!$GB:$GB,DataEntry!$A:$A,"Mulanje",DataEntry!$B:$B,"Mulanje",DataEntry!$G:$G,"Q3"),"")</f>
        <v>138050109.72999996</v>
      </c>
      <c r="G164" s="9">
        <f>IFERROR(SUMIFS(DataEntry!$GB:$GB,DataEntry!$A:$A,"Mulanje",DataEntry!$B:$B,"Mulanje",DataEntry!$G:$G,"Q4"),"")</f>
        <v>105066155.55999999</v>
      </c>
      <c r="H164" s="22">
        <f t="shared" si="12"/>
        <v>522180783.96999985</v>
      </c>
    </row>
    <row r="165" spans="1:8" x14ac:dyDescent="0.3">
      <c r="A165" s="19" t="s">
        <v>280</v>
      </c>
      <c r="B165" s="19" t="s">
        <v>280</v>
      </c>
      <c r="C165" s="6" t="s">
        <v>316</v>
      </c>
      <c r="D165" s="15">
        <f>IFERROR(SUMIFS(DataEntry!$GM:$GM,DataEntry!$A:$A,"Mulanje",DataEntry!$B:$B,"Mulanje",DataEntry!$G:$G,"Q1"),"")</f>
        <v>52629439.149999999</v>
      </c>
      <c r="E165" s="15">
        <f>IFERROR(SUMIFS(DataEntry!$GM:$GM,DataEntry!$A:$A,"Mulanje",DataEntry!$B:$B,"Mulanje",DataEntry!$G:$G,"Q2"),"")</f>
        <v>97228602.460000008</v>
      </c>
      <c r="F165" s="15">
        <f>IFERROR(SUMIFS(DataEntry!$GM:$GM,DataEntry!$A:$A,"Mulanje",DataEntry!$B:$B,"Mulanje",DataEntry!$G:$G,"Q3"),"")</f>
        <v>91036253.579999998</v>
      </c>
      <c r="G165" s="15">
        <f>IFERROR(SUMIFS(DataEntry!$GM:$GM,DataEntry!$A:$A,"Mulanje",DataEntry!$B:$B,"Mulanje",DataEntry!$G:$G,"Q4"),"")</f>
        <v>54123754.5</v>
      </c>
      <c r="H165" s="20">
        <f t="shared" si="12"/>
        <v>295018049.69</v>
      </c>
    </row>
    <row r="166" spans="1:8" x14ac:dyDescent="0.3">
      <c r="A166" s="21" t="s">
        <v>280</v>
      </c>
      <c r="B166" s="21" t="s">
        <v>280</v>
      </c>
      <c r="C166" s="12" t="s">
        <v>317</v>
      </c>
      <c r="D166" s="9">
        <f>IFERROR(SUMIFS(DataEntry!$GX:$GX,DataEntry!$A:$A,"Mulanje",DataEntry!$B:$B,"Mulanje",DataEntry!$G:$G,"Q1"),"")</f>
        <v>62242286.409999996</v>
      </c>
      <c r="E166" s="9">
        <f>IFERROR(SUMIFS(DataEntry!$GX:$GX,DataEntry!$A:$A,"Mulanje",DataEntry!$B:$B,"Mulanje",DataEntry!$G:$G,"Q2"),"")</f>
        <v>106033903.66</v>
      </c>
      <c r="F166" s="9">
        <f>IFERROR(SUMIFS(DataEntry!$GX:$GX,DataEntry!$A:$A,"Mulanje",DataEntry!$B:$B,"Mulanje",DataEntry!$G:$G,"Q3"),"")</f>
        <v>100299875.28999999</v>
      </c>
      <c r="G166" s="9">
        <f>IFERROR(SUMIFS(DataEntry!$GX:$GX,DataEntry!$A:$A,"Mulanje",DataEntry!$B:$B,"Mulanje",DataEntry!$G:$G,"Q4"),"")</f>
        <v>38250953.149999999</v>
      </c>
      <c r="H166" s="22">
        <f t="shared" si="12"/>
        <v>306827018.50999999</v>
      </c>
    </row>
    <row r="167" spans="1:8" x14ac:dyDescent="0.3">
      <c r="A167" s="19" t="s">
        <v>280</v>
      </c>
      <c r="B167" s="19" t="s">
        <v>280</v>
      </c>
      <c r="C167" s="6" t="s">
        <v>318</v>
      </c>
      <c r="D167" s="15">
        <f>IFERROR(SUMIFS(DataEntry!$CS:$CS,DataEntry!$A:$A,"Mulanje",DataEntry!$B:$B,"Mulanje",DataEntry!$G:$G,"Q1"),"")</f>
        <v>9852</v>
      </c>
      <c r="E167" s="15">
        <f>IFERROR(SUMIFS(DataEntry!$CS:$CS,DataEntry!$A:$A,"Mulanje",DataEntry!$B:$B,"Mulanje",DataEntry!$G:$G,"Q2"),"")</f>
        <v>9824</v>
      </c>
      <c r="F167" s="15">
        <f>IFERROR(SUMIFS(DataEntry!$CS:$CS,DataEntry!$A:$A,"Mulanje",DataEntry!$B:$B,"Mulanje",DataEntry!$G:$G,"Q3"),"")</f>
        <v>10416</v>
      </c>
      <c r="G167" s="15">
        <f>IFERROR(SUMIFS(DataEntry!$CS:$CS,DataEntry!$A:$A,"Mulanje",DataEntry!$B:$B,"Mulanje",DataEntry!$G:$G,"Q4"),"")</f>
        <v>10529</v>
      </c>
      <c r="H167" s="20">
        <f t="shared" si="12"/>
        <v>40621</v>
      </c>
    </row>
    <row r="168" spans="1:8" x14ac:dyDescent="0.3">
      <c r="A168" s="21" t="s">
        <v>280</v>
      </c>
      <c r="B168" s="21" t="s">
        <v>280</v>
      </c>
      <c r="C168" s="12" t="s">
        <v>319</v>
      </c>
      <c r="D168" s="9">
        <f>IFERROR(SUMIFS(DataEntry!$CA:$CA,DataEntry!$A:$A,"Mulanje",DataEntry!$B:$B,"Mulanje",DataEntry!$G:$G,"Q1"),"")</f>
        <v>134</v>
      </c>
      <c r="E168" s="9">
        <f>IFERROR(SUMIFS(DataEntry!$CA:$CA,DataEntry!$A:$A,"Mulanje",DataEntry!$B:$B,"Mulanje",DataEntry!$G:$G,"Q2"),"")</f>
        <v>180</v>
      </c>
      <c r="F168" s="9">
        <f>IFERROR(SUMIFS(DataEntry!$CA:$CA,DataEntry!$A:$A,"Mulanje",DataEntry!$B:$B,"Mulanje",DataEntry!$G:$G,"Q3"),"")</f>
        <v>54</v>
      </c>
      <c r="G168" s="9">
        <f>IFERROR(SUMIFS(DataEntry!$CA:$CA,DataEntry!$A:$A,"Mulanje",DataEntry!$B:$B,"Mulanje",DataEntry!$G:$G,"Q4"),"")</f>
        <v>55</v>
      </c>
      <c r="H168" s="22">
        <f t="shared" si="12"/>
        <v>423</v>
      </c>
    </row>
    <row r="169" spans="1:8" x14ac:dyDescent="0.3">
      <c r="A169" s="19" t="s">
        <v>280</v>
      </c>
      <c r="B169" s="19" t="s">
        <v>280</v>
      </c>
      <c r="C169" s="6" t="s">
        <v>320</v>
      </c>
      <c r="D169" s="15">
        <f>IFERROR(SUMIFS(DataEntry!$DV:$DV,DataEntry!$A:$A,"Mulanje",DataEntry!$B:$B,"Mulanje",DataEntry!$G:$G,"Q1"),"")</f>
        <v>263</v>
      </c>
      <c r="E169" s="15">
        <f>IFERROR(SUMIFS(DataEntry!$DV:$DV,DataEntry!$A:$A,"Mulanje",DataEntry!$B:$B,"Mulanje",DataEntry!$G:$G,"Q2"),"")</f>
        <v>128</v>
      </c>
      <c r="F169" s="15">
        <f>IFERROR(SUMIFS(DataEntry!$DV:$DV,DataEntry!$A:$A,"Mulanje",DataEntry!$B:$B,"Mulanje",DataEntry!$G:$G,"Q3"),"")</f>
        <v>229</v>
      </c>
      <c r="G169" s="15">
        <f>IFERROR(SUMIFS(DataEntry!$DV:$DV,DataEntry!$A:$A,"Mulanje",DataEntry!$B:$B,"Mulanje",DataEntry!$G:$G,"Q4"),"")</f>
        <v>240</v>
      </c>
      <c r="H169" s="20">
        <f t="shared" si="12"/>
        <v>860</v>
      </c>
    </row>
    <row r="170" spans="1:8" x14ac:dyDescent="0.3">
      <c r="A170" s="21" t="s">
        <v>280</v>
      </c>
      <c r="B170" s="21" t="s">
        <v>280</v>
      </c>
      <c r="C170" s="12" t="s">
        <v>243</v>
      </c>
      <c r="D170" s="10">
        <f>IFERROR(AVERAGEIFS(DataEntry!$HC:$HC,DataEntry!$A:$A,"Mulanje",DataEntry!$B:$B,"Mulanje",DataEntry!$G:$G,"Q1"),"")</f>
        <v>0.25396124616788912</v>
      </c>
      <c r="E170" s="10">
        <f>IFERROR(AVERAGEIFS(DataEntry!$HC:$HC,DataEntry!$A:$A,"Mulanje",DataEntry!$B:$B,"Mulanje",DataEntry!$G:$G,"Q2"),"")</f>
        <v>0.29219235424726286</v>
      </c>
      <c r="F170" s="10">
        <f>IFERROR(AVERAGEIFS(DataEntry!$HC:$HC,DataEntry!$A:$A,"Mulanje",DataEntry!$B:$B,"Mulanje",DataEntry!$G:$G,"Q3"),"")</f>
        <v>0.39745463789431196</v>
      </c>
      <c r="G170" s="10">
        <f>IFERROR(AVERAGEIFS(DataEntry!$HC:$HC,DataEntry!$A:$A,"Mulanje",DataEntry!$B:$B,"Mulanje",DataEntry!$G:$G,"Q4"),"")</f>
        <v>14451985.281002289</v>
      </c>
      <c r="H170" s="23">
        <f>IFERROR(AVERAGE(D170:G170),"")</f>
        <v>3612996.5561526315</v>
      </c>
    </row>
    <row r="171" spans="1:8" x14ac:dyDescent="0.3">
      <c r="A171" s="19" t="s">
        <v>280</v>
      </c>
      <c r="B171" s="19" t="s">
        <v>280</v>
      </c>
      <c r="C171" s="6" t="s">
        <v>242</v>
      </c>
      <c r="D171" s="16">
        <f>IFERROR(AVERAGEIFS(DataEntry!$HB:$HB,DataEntry!$A:$A,"Mulanje",DataEntry!$B:$B,"Mulanje",DataEntry!$G:$G,"Q1"),"")</f>
        <v>1.152796412519508</v>
      </c>
      <c r="E171" s="16">
        <f>IFERROR(AVERAGEIFS(DataEntry!$HB:$HB,DataEntry!$A:$A,"Mulanje",DataEntry!$B:$B,"Mulanje",DataEntry!$G:$G,"Q2"),"")</f>
        <v>1.0589338861743507</v>
      </c>
      <c r="F171" s="16">
        <f>IFERROR(AVERAGEIFS(DataEntry!$HB:$HB,DataEntry!$A:$A,"Mulanje",DataEntry!$B:$B,"Mulanje",DataEntry!$G:$G,"Q3"),"")</f>
        <v>0.81297802208957703</v>
      </c>
      <c r="G171" s="16">
        <f>IFERROR(AVERAGEIFS(DataEntry!$HB:$HB,DataEntry!$A:$A,"Mulanje",DataEntry!$B:$B,"Mulanje",DataEntry!$G:$G,"Q4"),"")</f>
        <v>23270809.057258945</v>
      </c>
      <c r="H171" s="24">
        <f>IFERROR(AVERAGE(D171:G171),"")</f>
        <v>5817703.0204918161</v>
      </c>
    </row>
    <row r="172" spans="1:8" x14ac:dyDescent="0.3">
      <c r="A172" s="21" t="s">
        <v>280</v>
      </c>
      <c r="B172" s="21" t="s">
        <v>285</v>
      </c>
      <c r="C172" s="12" t="s">
        <v>40</v>
      </c>
      <c r="D172" s="9">
        <f>IFERROR(SUMIFS(DataEntry!$H:$H,DataEntry!$A:$A,"Mulanje",DataEntry!$B:$B,"Muloza",DataEntry!$G:$G,"Q1"),"")</f>
        <v>28559</v>
      </c>
      <c r="E172" s="9">
        <f>IFERROR(SUMIFS(DataEntry!$H:$H,DataEntry!$A:$A,"Mulanje",DataEntry!$B:$B,"Muloza",DataEntry!$G:$G,"Q2"),"")</f>
        <v>24400</v>
      </c>
      <c r="F172" s="9">
        <f>IFERROR(SUMIFS(DataEntry!$H:$H,DataEntry!$A:$A,"Mulanje",DataEntry!$B:$B,"Muloza",DataEntry!$G:$G,"Q3"),"")</f>
        <v>21137</v>
      </c>
      <c r="G172" s="9">
        <f>IFERROR(SUMIFS(DataEntry!$H:$H,DataEntry!$A:$A,"Mulanje",DataEntry!$B:$B,"Muloza",DataEntry!$G:$G,"Q4"),"")</f>
        <v>25402</v>
      </c>
      <c r="H172" s="22">
        <f>IFERROR(SUM(D172:G172),"")</f>
        <v>99498</v>
      </c>
    </row>
    <row r="173" spans="1:8" x14ac:dyDescent="0.3">
      <c r="A173" s="19" t="s">
        <v>280</v>
      </c>
      <c r="B173" s="19" t="s">
        <v>285</v>
      </c>
      <c r="C173" s="6" t="s">
        <v>312</v>
      </c>
      <c r="D173" s="15">
        <f>IFERROR(SUMIFS(DataEntry!$S:$S,DataEntry!$A:$A,"Mulanje",DataEntry!$B:$B,"Muloza",DataEntry!$G:$G,"Q1"),"")</f>
        <v>20009.2</v>
      </c>
      <c r="E173" s="15">
        <f>IFERROR(SUMIFS(DataEntry!$S:$S,DataEntry!$A:$A,"Mulanje",DataEntry!$B:$B,"Muloza",DataEntry!$G:$G,"Q2"),"")</f>
        <v>17140.8</v>
      </c>
      <c r="F173" s="15">
        <f>IFERROR(SUMIFS(DataEntry!$S:$S,DataEntry!$A:$A,"Mulanje",DataEntry!$B:$B,"Muloza",DataEntry!$G:$G,"Q3"),"")</f>
        <v>16076</v>
      </c>
      <c r="G173" s="15">
        <f>IFERROR(SUMIFS(DataEntry!$S:$S,DataEntry!$A:$A,"Mulanje",DataEntry!$B:$B,"Muloza",DataEntry!$G:$G,"Q4"),"")</f>
        <v>17769</v>
      </c>
      <c r="H173" s="20">
        <f>IFERROR(SUM(D173:G173),"")</f>
        <v>70995</v>
      </c>
    </row>
    <row r="174" spans="1:8" x14ac:dyDescent="0.3">
      <c r="A174" s="21" t="s">
        <v>280</v>
      </c>
      <c r="B174" s="21" t="s">
        <v>285</v>
      </c>
      <c r="C174" s="12" t="s">
        <v>313</v>
      </c>
      <c r="D174" s="9">
        <f>IFERROR(SUMIFS(DataEntry!$T:$T,DataEntry!$A:$A,"Mulanje",DataEntry!$B:$B,"Muloza",DataEntry!$G:$G,"Q1"),"")</f>
        <v>8549.7999999999993</v>
      </c>
      <c r="E174" s="9">
        <f>IFERROR(SUMIFS(DataEntry!$T:$T,DataEntry!$A:$A,"Mulanje",DataEntry!$B:$B,"Muloza",DataEntry!$G:$G,"Q2"),"")</f>
        <v>7259.2</v>
      </c>
      <c r="F174" s="9">
        <f>IFERROR(SUMIFS(DataEntry!$T:$T,DataEntry!$A:$A,"Mulanje",DataEntry!$B:$B,"Muloza",DataEntry!$G:$G,"Q3"),"")</f>
        <v>5061</v>
      </c>
      <c r="G174" s="9">
        <f>IFERROR(SUMIFS(DataEntry!$T:$T,DataEntry!$A:$A,"Mulanje",DataEntry!$B:$B,"Muloza",DataEntry!$G:$G,"Q4"),"")</f>
        <v>7633</v>
      </c>
      <c r="H174" s="22">
        <f>IFERROR(SUM(D174:G174),"")</f>
        <v>28503</v>
      </c>
    </row>
    <row r="175" spans="1:8" x14ac:dyDescent="0.3">
      <c r="A175" s="19" t="s">
        <v>280</v>
      </c>
      <c r="B175" s="19" t="s">
        <v>285</v>
      </c>
      <c r="C175" s="6" t="s">
        <v>53</v>
      </c>
      <c r="D175" s="16">
        <f>IFERROR(AVERAGEIFS(DataEntry!$U:$U,DataEntry!$A:$A,"Mulanje",DataEntry!$B:$B,"Muloza",DataEntry!$G:$G,"Q1"),"")</f>
        <v>0.30062429470578522</v>
      </c>
      <c r="E175" s="16">
        <f>IFERROR(AVERAGEIFS(DataEntry!$U:$U,DataEntry!$A:$A,"Mulanje",DataEntry!$B:$B,"Muloza",DataEntry!$G:$G,"Q2"),"")</f>
        <v>0.29597665033548237</v>
      </c>
      <c r="F175" s="16">
        <f>IFERROR(AVERAGEIFS(DataEntry!$U:$U,DataEntry!$A:$A,"Mulanje",DataEntry!$B:$B,"Muloza",DataEntry!$G:$G,"Q3"),"")</f>
        <v>0.238220894249526</v>
      </c>
      <c r="G175" s="16">
        <f>IFERROR(AVERAGEIFS(DataEntry!$U:$U,DataEntry!$A:$A,"Mulanje",DataEntry!$B:$B,"Muloza",DataEntry!$G:$G,"Q4"),"")</f>
        <v>0.29931375855147063</v>
      </c>
      <c r="H175" s="24">
        <f>IFERROR(AVERAGE(D175:G175),"")</f>
        <v>0.28353389946056606</v>
      </c>
    </row>
    <row r="176" spans="1:8" x14ac:dyDescent="0.3">
      <c r="A176" s="21" t="s">
        <v>280</v>
      </c>
      <c r="B176" s="21" t="s">
        <v>285</v>
      </c>
      <c r="C176" s="12" t="s">
        <v>314</v>
      </c>
      <c r="D176" s="9">
        <f>IFERROR(SUMIFS(DataEntry!$AU:$AU,DataEntry!$A:$A,"Mulanje",DataEntry!$B:$B,"Muloza",DataEntry!$G:$G,"Q1"),"")</f>
        <v>30376942.377500001</v>
      </c>
      <c r="E176" s="9">
        <f>IFERROR(SUMIFS(DataEntry!$AU:$AU,DataEntry!$A:$A,"Mulanje",DataEntry!$B:$B,"Muloza",DataEntry!$G:$G,"Q2"),"")</f>
        <v>29675542.408</v>
      </c>
      <c r="F176" s="9">
        <f>IFERROR(SUMIFS(DataEntry!$AU:$AU,DataEntry!$A:$A,"Mulanje",DataEntry!$B:$B,"Muloza",DataEntry!$G:$G,"Q3"),"")</f>
        <v>21767564.963500001</v>
      </c>
      <c r="G176" s="9">
        <f>IFERROR(SUMIFS(DataEntry!$AU:$AU,DataEntry!$A:$A,"Mulanje",DataEntry!$B:$B,"Muloza",DataEntry!$G:$G,"Q4"),"")</f>
        <v>16699583.479</v>
      </c>
      <c r="H176" s="22">
        <f t="shared" ref="H176:H182" si="13">IFERROR(SUM(D176:G176),"")</f>
        <v>98519633.228000015</v>
      </c>
    </row>
    <row r="177" spans="1:8" x14ac:dyDescent="0.3">
      <c r="A177" s="19" t="s">
        <v>280</v>
      </c>
      <c r="B177" s="19" t="s">
        <v>285</v>
      </c>
      <c r="C177" s="6" t="s">
        <v>315</v>
      </c>
      <c r="D177" s="15">
        <f>IFERROR(SUMIFS(DataEntry!$GB:$GB,DataEntry!$A:$A,"Mulanje",DataEntry!$B:$B,"Muloza",DataEntry!$G:$G,"Q1"),"")</f>
        <v>30056215.160000019</v>
      </c>
      <c r="E177" s="15">
        <f>IFERROR(SUMIFS(DataEntry!$GB:$GB,DataEntry!$A:$A,"Mulanje",DataEntry!$B:$B,"Muloza",DataEntry!$G:$G,"Q2"),"")</f>
        <v>25068997.780000009</v>
      </c>
      <c r="F177" s="15">
        <f>IFERROR(SUMIFS(DataEntry!$GB:$GB,DataEntry!$A:$A,"Mulanje",DataEntry!$B:$B,"Muloza",DataEntry!$G:$G,"Q3"),"")</f>
        <v>23816181.680000011</v>
      </c>
      <c r="G177" s="15">
        <f>IFERROR(SUMIFS(DataEntry!$GB:$GB,DataEntry!$A:$A,"Mulanje",DataEntry!$B:$B,"Muloza",DataEntry!$G:$G,"Q4"),"")</f>
        <v>19056876.100000001</v>
      </c>
      <c r="H177" s="20">
        <f t="shared" si="13"/>
        <v>97998270.720000029</v>
      </c>
    </row>
    <row r="178" spans="1:8" x14ac:dyDescent="0.3">
      <c r="A178" s="21" t="s">
        <v>280</v>
      </c>
      <c r="B178" s="21" t="s">
        <v>285</v>
      </c>
      <c r="C178" s="12" t="s">
        <v>316</v>
      </c>
      <c r="D178" s="9">
        <f>IFERROR(SUMIFS(DataEntry!$GM:$GM,DataEntry!$A:$A,"Mulanje",DataEntry!$B:$B,"Muloza",DataEntry!$G:$G,"Q1"),"")</f>
        <v>11202890.210000001</v>
      </c>
      <c r="E178" s="9">
        <f>IFERROR(SUMIFS(DataEntry!$GM:$GM,DataEntry!$A:$A,"Mulanje",DataEntry!$B:$B,"Muloza",DataEntry!$G:$G,"Q2"),"")</f>
        <v>17362097.16</v>
      </c>
      <c r="F178" s="9">
        <f>IFERROR(SUMIFS(DataEntry!$GM:$GM,DataEntry!$A:$A,"Mulanje",DataEntry!$B:$B,"Muloza",DataEntry!$G:$G,"Q3"),"")</f>
        <v>14948059.859999999</v>
      </c>
      <c r="G178" s="9">
        <f>IFERROR(SUMIFS(DataEntry!$GM:$GM,DataEntry!$A:$A,"Mulanje",DataEntry!$B:$B,"Muloza",DataEntry!$G:$G,"Q4"),"")</f>
        <v>9227819.6099999994</v>
      </c>
      <c r="H178" s="22">
        <f t="shared" si="13"/>
        <v>52740866.840000004</v>
      </c>
    </row>
    <row r="179" spans="1:8" x14ac:dyDescent="0.3">
      <c r="A179" s="19" t="s">
        <v>280</v>
      </c>
      <c r="B179" s="19" t="s">
        <v>285</v>
      </c>
      <c r="C179" s="6" t="s">
        <v>317</v>
      </c>
      <c r="D179" s="15">
        <f>IFERROR(SUMIFS(DataEntry!$GX:$GX,DataEntry!$A:$A,"Mulanje",DataEntry!$B:$B,"Muloza",DataEntry!$G:$G,"Q1"),"")</f>
        <v>13623783.880000001</v>
      </c>
      <c r="E179" s="15">
        <f>IFERROR(SUMIFS(DataEntry!$GX:$GX,DataEntry!$A:$A,"Mulanje",DataEntry!$B:$B,"Muloza",DataEntry!$G:$G,"Q2"),"")</f>
        <v>19518683.120000001</v>
      </c>
      <c r="F179" s="15">
        <f>IFERROR(SUMIFS(DataEntry!$GX:$GX,DataEntry!$A:$A,"Mulanje",DataEntry!$B:$B,"Muloza",DataEntry!$G:$G,"Q3"),"")</f>
        <v>16987884.91</v>
      </c>
      <c r="G179" s="15">
        <f>IFERROR(SUMIFS(DataEntry!$GX:$GX,DataEntry!$A:$A,"Mulanje",DataEntry!$B:$B,"Muloza",DataEntry!$G:$G,"Q4"),"")</f>
        <v>7008941.4000000004</v>
      </c>
      <c r="H179" s="20">
        <f t="shared" si="13"/>
        <v>57139293.309999995</v>
      </c>
    </row>
    <row r="180" spans="1:8" x14ac:dyDescent="0.3">
      <c r="A180" s="21" t="s">
        <v>280</v>
      </c>
      <c r="B180" s="21" t="s">
        <v>285</v>
      </c>
      <c r="C180" s="12" t="s">
        <v>318</v>
      </c>
      <c r="D180" s="9">
        <f>IFERROR(SUMIFS(DataEntry!$CS:$CS,DataEntry!$A:$A,"Mulanje",DataEntry!$B:$B,"Muloza",DataEntry!$G:$G,"Q1"),"")</f>
        <v>3412</v>
      </c>
      <c r="E180" s="9">
        <f>IFERROR(SUMIFS(DataEntry!$CS:$CS,DataEntry!$A:$A,"Mulanje",DataEntry!$B:$B,"Muloza",DataEntry!$G:$G,"Q2"),"")</f>
        <v>3438</v>
      </c>
      <c r="F180" s="9">
        <f>IFERROR(SUMIFS(DataEntry!$CS:$CS,DataEntry!$A:$A,"Mulanje",DataEntry!$B:$B,"Muloza",DataEntry!$G:$G,"Q3"),"")</f>
        <v>3556</v>
      </c>
      <c r="G180" s="9">
        <f>IFERROR(SUMIFS(DataEntry!$CS:$CS,DataEntry!$A:$A,"Mulanje",DataEntry!$B:$B,"Muloza",DataEntry!$G:$G,"Q4"),"")</f>
        <v>3587</v>
      </c>
      <c r="H180" s="22">
        <f t="shared" si="13"/>
        <v>13993</v>
      </c>
    </row>
    <row r="181" spans="1:8" x14ac:dyDescent="0.3">
      <c r="A181" s="19" t="s">
        <v>280</v>
      </c>
      <c r="B181" s="19" t="s">
        <v>285</v>
      </c>
      <c r="C181" s="6" t="s">
        <v>319</v>
      </c>
      <c r="D181" s="15">
        <f>IFERROR(SUMIFS(DataEntry!$CA:$CA,DataEntry!$A:$A,"Mulanje",DataEntry!$B:$B,"Muloza",DataEntry!$G:$G,"Q1"),"")</f>
        <v>19</v>
      </c>
      <c r="E181" s="15">
        <f>IFERROR(SUMIFS(DataEntry!$CA:$CA,DataEntry!$A:$A,"Mulanje",DataEntry!$B:$B,"Muloza",DataEntry!$G:$G,"Q2"),"")</f>
        <v>31</v>
      </c>
      <c r="F181" s="15">
        <f>IFERROR(SUMIFS(DataEntry!$CA:$CA,DataEntry!$A:$A,"Mulanje",DataEntry!$B:$B,"Muloza",DataEntry!$G:$G,"Q3"),"")</f>
        <v>41</v>
      </c>
      <c r="G181" s="15">
        <f>IFERROR(SUMIFS(DataEntry!$CA:$CA,DataEntry!$A:$A,"Mulanje",DataEntry!$B:$B,"Muloza",DataEntry!$G:$G,"Q4"),"")</f>
        <v>16</v>
      </c>
      <c r="H181" s="20">
        <f t="shared" si="13"/>
        <v>107</v>
      </c>
    </row>
    <row r="182" spans="1:8" x14ac:dyDescent="0.3">
      <c r="A182" s="21" t="s">
        <v>280</v>
      </c>
      <c r="B182" s="21" t="s">
        <v>285</v>
      </c>
      <c r="C182" s="12" t="s">
        <v>320</v>
      </c>
      <c r="D182" s="9">
        <f>IFERROR(SUMIFS(DataEntry!$DV:$DV,DataEntry!$A:$A,"Mulanje",DataEntry!$B:$B,"Muloza",DataEntry!$G:$G,"Q1"),"")</f>
        <v>0</v>
      </c>
      <c r="E182" s="9">
        <f>IFERROR(SUMIFS(DataEntry!$DV:$DV,DataEntry!$A:$A,"Mulanje",DataEntry!$B:$B,"Muloza",DataEntry!$G:$G,"Q2"),"")</f>
        <v>0</v>
      </c>
      <c r="F182" s="9">
        <f>IFERROR(SUMIFS(DataEntry!$DV:$DV,DataEntry!$A:$A,"Mulanje",DataEntry!$B:$B,"Muloza",DataEntry!$G:$G,"Q3"),"")</f>
        <v>0</v>
      </c>
      <c r="G182" s="9">
        <f>IFERROR(SUMIFS(DataEntry!$DV:$DV,DataEntry!$A:$A,"Mulanje",DataEntry!$B:$B,"Muloza",DataEntry!$G:$G,"Q4"),"")</f>
        <v>15</v>
      </c>
      <c r="H182" s="22">
        <f t="shared" si="13"/>
        <v>15</v>
      </c>
    </row>
    <row r="183" spans="1:8" x14ac:dyDescent="0.3">
      <c r="A183" s="19" t="s">
        <v>280</v>
      </c>
      <c r="B183" s="19" t="s">
        <v>285</v>
      </c>
      <c r="C183" s="6" t="s">
        <v>243</v>
      </c>
      <c r="D183" s="16">
        <f>IFERROR(AVERAGEIFS(DataEntry!$HC:$HC,DataEntry!$A:$A,"Mulanje",DataEntry!$B:$B,"Muloza",DataEntry!$G:$G,"Q1"),"")</f>
        <v>0.20261583476755765</v>
      </c>
      <c r="E183" s="16">
        <f>IFERROR(AVERAGEIFS(DataEntry!$HC:$HC,DataEntry!$A:$A,"Mulanje",DataEntry!$B:$B,"Muloza",DataEntry!$G:$G,"Q2"),"")</f>
        <v>0.17474386403113817</v>
      </c>
      <c r="F183" s="16">
        <f>IFERROR(AVERAGEIFS(DataEntry!$HC:$HC,DataEntry!$A:$A,"Mulanje",DataEntry!$B:$B,"Muloza",DataEntry!$G:$G,"Q3"),"")</f>
        <v>0.21067732502548275</v>
      </c>
      <c r="G183" s="16">
        <f>IFERROR(AVERAGEIFS(DataEntry!$HC:$HC,DataEntry!$A:$A,"Mulanje",DataEntry!$B:$B,"Muloza",DataEntry!$G:$G,"Q4"),"")</f>
        <v>2387119.2317183367</v>
      </c>
      <c r="H183" s="24">
        <f>IFERROR(AVERAGE(D183:G183),"")</f>
        <v>596779.95493884012</v>
      </c>
    </row>
    <row r="184" spans="1:8" x14ac:dyDescent="0.3">
      <c r="A184" s="21" t="s">
        <v>280</v>
      </c>
      <c r="B184" s="21" t="s">
        <v>285</v>
      </c>
      <c r="C184" s="12" t="s">
        <v>242</v>
      </c>
      <c r="D184" s="10">
        <f>IFERROR(AVERAGEIFS(DataEntry!$HB:$HB,DataEntry!$A:$A,"Mulanje",DataEntry!$B:$B,"Muloza",DataEntry!$G:$G,"Q1"),"")</f>
        <v>2.2538227695666531</v>
      </c>
      <c r="E184" s="10">
        <f>IFERROR(AVERAGEIFS(DataEntry!$HB:$HB,DataEntry!$A:$A,"Mulanje",DataEntry!$B:$B,"Muloza",DataEntry!$G:$G,"Q2"),"")</f>
        <v>1.5527009480942973</v>
      </c>
      <c r="F184" s="10">
        <f>IFERROR(AVERAGEIFS(DataEntry!$HB:$HB,DataEntry!$A:$A,"Mulanje",DataEntry!$B:$B,"Muloza",DataEntry!$G:$G,"Q3"),"")</f>
        <v>1.285609457336311</v>
      </c>
      <c r="G184" s="10">
        <f>IFERROR(AVERAGEIFS(DataEntry!$HB:$HB,DataEntry!$A:$A,"Mulanje",DataEntry!$B:$B,"Muloza",DataEntry!$G:$G,"Q4"),"")</f>
        <v>9500520.3068813067</v>
      </c>
      <c r="H184" s="23">
        <f>IFERROR(AVERAGE(D184:G184),"")</f>
        <v>2375131.3497536206</v>
      </c>
    </row>
    <row r="185" spans="1:8" x14ac:dyDescent="0.3">
      <c r="A185" s="19" t="s">
        <v>280</v>
      </c>
      <c r="B185" s="19" t="s">
        <v>286</v>
      </c>
      <c r="C185" s="6" t="s">
        <v>40</v>
      </c>
      <c r="D185" s="15">
        <f>IFERROR(SUMIFS(DataEntry!$H:$H,DataEntry!$A:$A,"Mulanje",DataEntry!$B:$B,"Nkando",DataEntry!$G:$G,"Q1"),"")</f>
        <v>3700</v>
      </c>
      <c r="E185" s="15">
        <f>IFERROR(SUMIFS(DataEntry!$H:$H,DataEntry!$A:$A,"Mulanje",DataEntry!$B:$B,"Nkando",DataEntry!$G:$G,"Q2"),"")</f>
        <v>4950</v>
      </c>
      <c r="F185" s="15">
        <f>IFERROR(SUMIFS(DataEntry!$H:$H,DataEntry!$A:$A,"Mulanje",DataEntry!$B:$B,"Nkando",DataEntry!$G:$G,"Q3"),"")</f>
        <v>3435</v>
      </c>
      <c r="G185" s="15">
        <f>IFERROR(SUMIFS(DataEntry!$H:$H,DataEntry!$A:$A,"Mulanje",DataEntry!$B:$B,"Nkando",DataEntry!$G:$G,"Q4"),"")</f>
        <v>2225</v>
      </c>
      <c r="H185" s="20">
        <f>IFERROR(SUM(D185:G185),"")</f>
        <v>14310</v>
      </c>
    </row>
    <row r="186" spans="1:8" x14ac:dyDescent="0.3">
      <c r="A186" s="21" t="s">
        <v>280</v>
      </c>
      <c r="B186" s="21" t="s">
        <v>286</v>
      </c>
      <c r="C186" s="12" t="s">
        <v>312</v>
      </c>
      <c r="D186" s="9">
        <f>IFERROR(SUMIFS(DataEntry!$S:$S,DataEntry!$A:$A,"Mulanje",DataEntry!$B:$B,"Nkando",DataEntry!$G:$G,"Q1"),"")</f>
        <v>2721</v>
      </c>
      <c r="E186" s="9">
        <f>IFERROR(SUMIFS(DataEntry!$S:$S,DataEntry!$A:$A,"Mulanje",DataEntry!$B:$B,"Nkando",DataEntry!$G:$G,"Q2"),"")</f>
        <v>4096.8</v>
      </c>
      <c r="F186" s="9">
        <f>IFERROR(SUMIFS(DataEntry!$S:$S,DataEntry!$A:$A,"Mulanje",DataEntry!$B:$B,"Nkando",DataEntry!$G:$G,"Q3"),"")</f>
        <v>2481.3000000000006</v>
      </c>
      <c r="G186" s="9">
        <f>IFERROR(SUMIFS(DataEntry!$S:$S,DataEntry!$A:$A,"Mulanje",DataEntry!$B:$B,"Nkando",DataEntry!$G:$G,"Q4"),"")</f>
        <v>1793.5999999999995</v>
      </c>
      <c r="H186" s="22">
        <f>IFERROR(SUM(D186:G186),"")</f>
        <v>11092.7</v>
      </c>
    </row>
    <row r="187" spans="1:8" x14ac:dyDescent="0.3">
      <c r="A187" s="19" t="s">
        <v>280</v>
      </c>
      <c r="B187" s="19" t="s">
        <v>286</v>
      </c>
      <c r="C187" s="6" t="s">
        <v>313</v>
      </c>
      <c r="D187" s="15">
        <f>IFERROR(SUMIFS(DataEntry!$T:$T,DataEntry!$A:$A,"Mulanje",DataEntry!$B:$B,"Nkando",DataEntry!$G:$G,"Q1"),"")</f>
        <v>979</v>
      </c>
      <c r="E187" s="15">
        <f>IFERROR(SUMIFS(DataEntry!$T:$T,DataEntry!$A:$A,"Mulanje",DataEntry!$B:$B,"Nkando",DataEntry!$G:$G,"Q2"),"")</f>
        <v>853.19999999999902</v>
      </c>
      <c r="F187" s="15">
        <f>IFERROR(SUMIFS(DataEntry!$T:$T,DataEntry!$A:$A,"Mulanje",DataEntry!$B:$B,"Nkando",DataEntry!$G:$G,"Q3"),"")</f>
        <v>953.69999999999891</v>
      </c>
      <c r="G187" s="15">
        <f>IFERROR(SUMIFS(DataEntry!$T:$T,DataEntry!$A:$A,"Mulanje",DataEntry!$B:$B,"Nkando",DataEntry!$G:$G,"Q4"),"")</f>
        <v>431.40000000000038</v>
      </c>
      <c r="H187" s="20">
        <f>IFERROR(SUM(D187:G187),"")</f>
        <v>3217.2999999999984</v>
      </c>
    </row>
    <row r="188" spans="1:8" x14ac:dyDescent="0.3">
      <c r="A188" s="21" t="s">
        <v>280</v>
      </c>
      <c r="B188" s="21" t="s">
        <v>286</v>
      </c>
      <c r="C188" s="12" t="s">
        <v>53</v>
      </c>
      <c r="D188" s="10">
        <f>IFERROR(AVERAGEIFS(DataEntry!$U:$U,DataEntry!$A:$A,"Mulanje",DataEntry!$B:$B,"Nkando",DataEntry!$G:$G,"Q1"),"")</f>
        <v>0.26501073537305425</v>
      </c>
      <c r="E188" s="10">
        <f>IFERROR(AVERAGEIFS(DataEntry!$U:$U,DataEntry!$A:$A,"Mulanje",DataEntry!$B:$B,"Nkando",DataEntry!$G:$G,"Q2"),"")</f>
        <v>0.17452009702009677</v>
      </c>
      <c r="F188" s="10">
        <f>IFERROR(AVERAGEIFS(DataEntry!$U:$U,DataEntry!$A:$A,"Mulanje",DataEntry!$B:$B,"Nkando",DataEntry!$G:$G,"Q3"),"")</f>
        <v>0.27895032500179534</v>
      </c>
      <c r="G188" s="10">
        <f>IFERROR(AVERAGEIFS(DataEntry!$U:$U,DataEntry!$A:$A,"Mulanje",DataEntry!$B:$B,"Nkando",DataEntry!$G:$G,"Q4"),"")</f>
        <v>0.19285454545454561</v>
      </c>
      <c r="H188" s="23">
        <f>IFERROR(AVERAGE(D188:G188),"")</f>
        <v>0.22783392571237299</v>
      </c>
    </row>
    <row r="189" spans="1:8" x14ac:dyDescent="0.3">
      <c r="A189" s="19" t="s">
        <v>280</v>
      </c>
      <c r="B189" s="19" t="s">
        <v>286</v>
      </c>
      <c r="C189" s="6" t="s">
        <v>314</v>
      </c>
      <c r="D189" s="15">
        <f>IFERROR(SUMIFS(DataEntry!$AU:$AU,DataEntry!$A:$A,"Mulanje",DataEntry!$B:$B,"Nkando",DataEntry!$G:$G,"Q1"),"")</f>
        <v>2912174.835</v>
      </c>
      <c r="E189" s="15">
        <f>IFERROR(SUMIFS(DataEntry!$AU:$AU,DataEntry!$A:$A,"Mulanje",DataEntry!$B:$B,"Nkando",DataEntry!$G:$G,"Q2"),"")</f>
        <v>3966154.9325000001</v>
      </c>
      <c r="F189" s="15">
        <f>IFERROR(SUMIFS(DataEntry!$AU:$AU,DataEntry!$A:$A,"Mulanje",DataEntry!$B:$B,"Nkando",DataEntry!$G:$G,"Q3"),"")</f>
        <v>1591491.6199999999</v>
      </c>
      <c r="G189" s="15">
        <f>IFERROR(SUMIFS(DataEntry!$AU:$AU,DataEntry!$A:$A,"Mulanje",DataEntry!$B:$B,"Nkando",DataEntry!$G:$G,"Q4"),"")</f>
        <v>337005.83999999997</v>
      </c>
      <c r="H189" s="20">
        <f t="shared" ref="H189:H195" si="14">IFERROR(SUM(D189:G189),"")</f>
        <v>8806827.2274999991</v>
      </c>
    </row>
    <row r="190" spans="1:8" x14ac:dyDescent="0.3">
      <c r="A190" s="21" t="s">
        <v>280</v>
      </c>
      <c r="B190" s="21" t="s">
        <v>286</v>
      </c>
      <c r="C190" s="12" t="s">
        <v>315</v>
      </c>
      <c r="D190" s="9">
        <f>IFERROR(SUMIFS(DataEntry!$GB:$GB,DataEntry!$A:$A,"Mulanje",DataEntry!$B:$B,"Nkando",DataEntry!$G:$G,"Q1"),"")</f>
        <v>5807431.9599999972</v>
      </c>
      <c r="E190" s="9">
        <f>IFERROR(SUMIFS(DataEntry!$GB:$GB,DataEntry!$A:$A,"Mulanje",DataEntry!$B:$B,"Nkando",DataEntry!$G:$G,"Q2"),"")</f>
        <v>7782419.6199999992</v>
      </c>
      <c r="F190" s="9">
        <f>IFERROR(SUMIFS(DataEntry!$GB:$GB,DataEntry!$A:$A,"Mulanje",DataEntry!$B:$B,"Nkando",DataEntry!$G:$G,"Q3"),"")</f>
        <v>5581723.2299999986</v>
      </c>
      <c r="G190" s="9">
        <f>IFERROR(SUMIFS(DataEntry!$GB:$GB,DataEntry!$A:$A,"Mulanje",DataEntry!$B:$B,"Nkando",DataEntry!$G:$G,"Q4"),"")</f>
        <v>3185035</v>
      </c>
      <c r="H190" s="22">
        <f t="shared" si="14"/>
        <v>22356609.809999995</v>
      </c>
    </row>
    <row r="191" spans="1:8" x14ac:dyDescent="0.3">
      <c r="A191" s="19" t="s">
        <v>280</v>
      </c>
      <c r="B191" s="19" t="s">
        <v>286</v>
      </c>
      <c r="C191" s="6" t="s">
        <v>316</v>
      </c>
      <c r="D191" s="15">
        <f>IFERROR(SUMIFS(DataEntry!$GM:$GM,DataEntry!$A:$A,"Mulanje",DataEntry!$B:$B,"Nkando",DataEntry!$G:$G,"Q1"),"")</f>
        <v>468577.79000000004</v>
      </c>
      <c r="E191" s="15">
        <f>IFERROR(SUMIFS(DataEntry!$GM:$GM,DataEntry!$A:$A,"Mulanje",DataEntry!$B:$B,"Nkando",DataEntry!$G:$G,"Q2"),"")</f>
        <v>1619466.33</v>
      </c>
      <c r="F191" s="15">
        <f>IFERROR(SUMIFS(DataEntry!$GM:$GM,DataEntry!$A:$A,"Mulanje",DataEntry!$B:$B,"Nkando",DataEntry!$G:$G,"Q3"),"")</f>
        <v>0</v>
      </c>
      <c r="G191" s="15">
        <f>IFERROR(SUMIFS(DataEntry!$GM:$GM,DataEntry!$A:$A,"Mulanje",DataEntry!$B:$B,"Nkando",DataEntry!$G:$G,"Q4"),"")</f>
        <v>0</v>
      </c>
      <c r="H191" s="20">
        <f t="shared" si="14"/>
        <v>2088044.12</v>
      </c>
    </row>
    <row r="192" spans="1:8" x14ac:dyDescent="0.3">
      <c r="A192" s="21" t="s">
        <v>280</v>
      </c>
      <c r="B192" s="21" t="s">
        <v>286</v>
      </c>
      <c r="C192" s="12" t="s">
        <v>317</v>
      </c>
      <c r="D192" s="9">
        <f>IFERROR(SUMIFS(DataEntry!$GX:$GX,DataEntry!$A:$A,"Mulanje",DataEntry!$B:$B,"Nkando",DataEntry!$G:$G,"Q1"),"")</f>
        <v>576333.77</v>
      </c>
      <c r="E192" s="9">
        <f>IFERROR(SUMIFS(DataEntry!$GX:$GX,DataEntry!$A:$A,"Mulanje",DataEntry!$B:$B,"Nkando",DataEntry!$G:$G,"Q2"),"")</f>
        <v>1786157.25</v>
      </c>
      <c r="F192" s="9">
        <f>IFERROR(SUMIFS(DataEntry!$GX:$GX,DataEntry!$A:$A,"Mulanje",DataEntry!$B:$B,"Nkando",DataEntry!$G:$G,"Q3"),"")</f>
        <v>0</v>
      </c>
      <c r="G192" s="9">
        <f>IFERROR(SUMIFS(DataEntry!$GX:$GX,DataEntry!$A:$A,"Mulanje",DataEntry!$B:$B,"Nkando",DataEntry!$G:$G,"Q4"),"")</f>
        <v>0</v>
      </c>
      <c r="H192" s="22">
        <f t="shared" si="14"/>
        <v>2362491.02</v>
      </c>
    </row>
    <row r="193" spans="1:8" x14ac:dyDescent="0.3">
      <c r="A193" s="19" t="s">
        <v>280</v>
      </c>
      <c r="B193" s="19" t="s">
        <v>286</v>
      </c>
      <c r="C193" s="6" t="s">
        <v>318</v>
      </c>
      <c r="D193" s="15">
        <f>IFERROR(SUMIFS(DataEntry!$CS:$CS,DataEntry!$A:$A,"Mulanje",DataEntry!$B:$B,"Nkando",DataEntry!$G:$G,"Q1"),"")</f>
        <v>699</v>
      </c>
      <c r="E193" s="15">
        <f>IFERROR(SUMIFS(DataEntry!$CS:$CS,DataEntry!$A:$A,"Mulanje",DataEntry!$B:$B,"Nkando",DataEntry!$G:$G,"Q2"),"")</f>
        <v>717</v>
      </c>
      <c r="F193" s="15">
        <f>IFERROR(SUMIFS(DataEntry!$CS:$CS,DataEntry!$A:$A,"Mulanje",DataEntry!$B:$B,"Nkando",DataEntry!$G:$G,"Q3"),"")</f>
        <v>717</v>
      </c>
      <c r="G193" s="15">
        <f>IFERROR(SUMIFS(DataEntry!$CS:$CS,DataEntry!$A:$A,"Mulanje",DataEntry!$B:$B,"Nkando",DataEntry!$G:$G,"Q4"),"")</f>
        <v>717</v>
      </c>
      <c r="H193" s="20">
        <f t="shared" si="14"/>
        <v>2850</v>
      </c>
    </row>
    <row r="194" spans="1:8" x14ac:dyDescent="0.3">
      <c r="A194" s="21" t="s">
        <v>280</v>
      </c>
      <c r="B194" s="21" t="s">
        <v>286</v>
      </c>
      <c r="C194" s="12" t="s">
        <v>319</v>
      </c>
      <c r="D194" s="9">
        <f>IFERROR(SUMIFS(DataEntry!$CA:$CA,DataEntry!$A:$A,"Mulanje",DataEntry!$B:$B,"Nkando",DataEntry!$G:$G,"Q1"),"")</f>
        <v>7</v>
      </c>
      <c r="E194" s="9">
        <f>IFERROR(SUMIFS(DataEntry!$CA:$CA,DataEntry!$A:$A,"Mulanje",DataEntry!$B:$B,"Nkando",DataEntry!$G:$G,"Q2"),"")</f>
        <v>0</v>
      </c>
      <c r="F194" s="9">
        <f>IFERROR(SUMIFS(DataEntry!$CA:$CA,DataEntry!$A:$A,"Mulanje",DataEntry!$B:$B,"Nkando",DataEntry!$G:$G,"Q3"),"")</f>
        <v>0</v>
      </c>
      <c r="G194" s="9">
        <f>IFERROR(SUMIFS(DataEntry!$CA:$CA,DataEntry!$A:$A,"Mulanje",DataEntry!$B:$B,"Nkando",DataEntry!$G:$G,"Q4"),"")</f>
        <v>1</v>
      </c>
      <c r="H194" s="22">
        <f t="shared" si="14"/>
        <v>8</v>
      </c>
    </row>
    <row r="195" spans="1:8" x14ac:dyDescent="0.3">
      <c r="A195" s="19" t="s">
        <v>280</v>
      </c>
      <c r="B195" s="19" t="s">
        <v>286</v>
      </c>
      <c r="C195" s="6" t="s">
        <v>320</v>
      </c>
      <c r="D195" s="15">
        <f>IFERROR(SUMIFS(DataEntry!$DV:$DV,DataEntry!$A:$A,"Mulanje",DataEntry!$B:$B,"Nkando",DataEntry!$G:$G,"Q1"),"")</f>
        <v>0</v>
      </c>
      <c r="E195" s="15">
        <f>IFERROR(SUMIFS(DataEntry!$DV:$DV,DataEntry!$A:$A,"Mulanje",DataEntry!$B:$B,"Nkando",DataEntry!$G:$G,"Q2"),"")</f>
        <v>0</v>
      </c>
      <c r="F195" s="15">
        <f>IFERROR(SUMIFS(DataEntry!$DV:$DV,DataEntry!$A:$A,"Mulanje",DataEntry!$B:$B,"Nkando",DataEntry!$G:$G,"Q3"),"")</f>
        <v>0</v>
      </c>
      <c r="G195" s="15">
        <f>IFERROR(SUMIFS(DataEntry!$DV:$DV,DataEntry!$A:$A,"Mulanje",DataEntry!$B:$B,"Nkando",DataEntry!$G:$G,"Q4"),"")</f>
        <v>0</v>
      </c>
      <c r="H195" s="20">
        <f t="shared" si="14"/>
        <v>0</v>
      </c>
    </row>
    <row r="196" spans="1:8" x14ac:dyDescent="0.3">
      <c r="A196" s="21" t="s">
        <v>280</v>
      </c>
      <c r="B196" s="21" t="s">
        <v>286</v>
      </c>
      <c r="C196" s="12" t="s">
        <v>243</v>
      </c>
      <c r="D196" s="10">
        <f>IFERROR(AVERAGEIFS(DataEntry!$HC:$HC,DataEntry!$A:$A,"Mulanje",DataEntry!$B:$B,"Nkando",DataEntry!$G:$G,"Q1"),"")</f>
        <v>0.11579384192334997</v>
      </c>
      <c r="E196" s="10">
        <f>IFERROR(AVERAGEIFS(DataEntry!$HC:$HC,DataEntry!$A:$A,"Mulanje",DataEntry!$B:$B,"Nkando",DataEntry!$G:$G,"Q2"),"")</f>
        <v>0.14637572217415007</v>
      </c>
      <c r="F196" s="10">
        <f>IFERROR(AVERAGEIFS(DataEntry!$HC:$HC,DataEntry!$A:$A,"Mulanje",DataEntry!$B:$B,"Nkando",DataEntry!$G:$G,"Q3"),"")</f>
        <v>0.10790192094138561</v>
      </c>
      <c r="G196" s="10">
        <f>IFERROR(AVERAGEIFS(DataEntry!$HC:$HC,DataEntry!$A:$A,"Mulanje",DataEntry!$B:$B,"Nkando",DataEntry!$G:$G,"Q4"),"")</f>
        <v>6.1427148180504411E-2</v>
      </c>
      <c r="H196" s="23">
        <f>IFERROR(AVERAGE(D196:G196),"")</f>
        <v>0.10787465830484752</v>
      </c>
    </row>
    <row r="197" spans="1:8" x14ac:dyDescent="0.3">
      <c r="A197" s="19" t="s">
        <v>280</v>
      </c>
      <c r="B197" s="19" t="s">
        <v>286</v>
      </c>
      <c r="C197" s="6" t="s">
        <v>242</v>
      </c>
      <c r="D197" s="16">
        <f>IFERROR(AVERAGEIFS(DataEntry!$HB:$HB,DataEntry!$A:$A,"Mulanje",DataEntry!$B:$B,"Nkando",DataEntry!$G:$G,"Q1"),"")</f>
        <v>5.1002664651939007</v>
      </c>
      <c r="E197" s="16">
        <f>IFERROR(AVERAGEIFS(DataEntry!$HB:$HB,DataEntry!$A:$A,"Mulanje",DataEntry!$B:$B,"Nkando",DataEntry!$G:$G,"Q2"),"")</f>
        <v>1.5689462826955141</v>
      </c>
      <c r="F197" s="16" t="str">
        <f>IFERROR(AVERAGEIFS(DataEntry!$HB:$HB,DataEntry!$A:$A,"Mulanje",DataEntry!$B:$B,"Nkando",DataEntry!$G:$G,"Q3"),"")</f>
        <v/>
      </c>
      <c r="G197" s="16">
        <f>IFERROR(AVERAGEIFS(DataEntry!$HB:$HB,DataEntry!$A:$A,"Mulanje",DataEntry!$B:$B,"Nkando",DataEntry!$G:$G,"Q4"),"")</f>
        <v>0</v>
      </c>
      <c r="H197" s="24">
        <f>IFERROR(AVERAGE(D197:G197),"")</f>
        <v>2.2230709159631381</v>
      </c>
    </row>
    <row r="198" spans="1:8" x14ac:dyDescent="0.3">
      <c r="A198" s="21" t="s">
        <v>280</v>
      </c>
      <c r="B198" s="21" t="s">
        <v>287</v>
      </c>
      <c r="C198" s="12" t="s">
        <v>40</v>
      </c>
      <c r="D198" s="9">
        <f>IFERROR(SUMIFS(DataEntry!$H:$H,DataEntry!$A:$A,"Mulanje",DataEntry!$B:$B,"Phalombe",DataEntry!$G:$G,"Q1"),"")</f>
        <v>26979</v>
      </c>
      <c r="E198" s="9">
        <f>IFERROR(SUMIFS(DataEntry!$H:$H,DataEntry!$A:$A,"Mulanje",DataEntry!$B:$B,"Phalombe",DataEntry!$G:$G,"Q2"),"")</f>
        <v>24418</v>
      </c>
      <c r="F198" s="9">
        <f>IFERROR(SUMIFS(DataEntry!$H:$H,DataEntry!$A:$A,"Mulanje",DataEntry!$B:$B,"Phalombe",DataEntry!$G:$G,"Q3"),"")</f>
        <v>34023</v>
      </c>
      <c r="G198" s="9">
        <f>IFERROR(SUMIFS(DataEntry!$H:$H,DataEntry!$A:$A,"Mulanje",DataEntry!$B:$B,"Phalombe",DataEntry!$G:$G,"Q4"),"")</f>
        <v>27599</v>
      </c>
      <c r="H198" s="22">
        <f>IFERROR(SUM(D198:G198),"")</f>
        <v>113019</v>
      </c>
    </row>
    <row r="199" spans="1:8" x14ac:dyDescent="0.3">
      <c r="A199" s="19" t="s">
        <v>280</v>
      </c>
      <c r="B199" s="19" t="s">
        <v>287</v>
      </c>
      <c r="C199" s="6" t="s">
        <v>312</v>
      </c>
      <c r="D199" s="15">
        <f>IFERROR(SUMIFS(DataEntry!$S:$S,DataEntry!$A:$A,"Mulanje",DataEntry!$B:$B,"Phalombe",DataEntry!$G:$G,"Q1"),"")</f>
        <v>18287.7</v>
      </c>
      <c r="E199" s="15">
        <f>IFERROR(SUMIFS(DataEntry!$S:$S,DataEntry!$A:$A,"Mulanje",DataEntry!$B:$B,"Phalombe",DataEntry!$G:$G,"Q2"),"")</f>
        <v>16733.2</v>
      </c>
      <c r="F199" s="15">
        <f>IFERROR(SUMIFS(DataEntry!$S:$S,DataEntry!$A:$A,"Mulanje",DataEntry!$B:$B,"Phalombe",DataEntry!$G:$G,"Q3"),"")</f>
        <v>23900.7</v>
      </c>
      <c r="G199" s="15">
        <f>IFERROR(SUMIFS(DataEntry!$S:$S,DataEntry!$A:$A,"Mulanje",DataEntry!$B:$B,"Phalombe",DataEntry!$G:$G,"Q4"),"")</f>
        <v>19480.599999999999</v>
      </c>
      <c r="H199" s="20">
        <f>IFERROR(SUM(D199:G199),"")</f>
        <v>78402.200000000012</v>
      </c>
    </row>
    <row r="200" spans="1:8" x14ac:dyDescent="0.3">
      <c r="A200" s="21" t="s">
        <v>280</v>
      </c>
      <c r="B200" s="21" t="s">
        <v>287</v>
      </c>
      <c r="C200" s="12" t="s">
        <v>313</v>
      </c>
      <c r="D200" s="9">
        <f>IFERROR(SUMIFS(DataEntry!$T:$T,DataEntry!$A:$A,"Mulanje",DataEntry!$B:$B,"Phalombe",DataEntry!$G:$G,"Q1"),"")</f>
        <v>8691.2999999999993</v>
      </c>
      <c r="E200" s="9">
        <f>IFERROR(SUMIFS(DataEntry!$T:$T,DataEntry!$A:$A,"Mulanje",DataEntry!$B:$B,"Phalombe",DataEntry!$G:$G,"Q2"),"")</f>
        <v>7684.8</v>
      </c>
      <c r="F200" s="9">
        <f>IFERROR(SUMIFS(DataEntry!$T:$T,DataEntry!$A:$A,"Mulanje",DataEntry!$B:$B,"Phalombe",DataEntry!$G:$G,"Q3"),"")</f>
        <v>10122.299999999999</v>
      </c>
      <c r="G200" s="9">
        <f>IFERROR(SUMIFS(DataEntry!$T:$T,DataEntry!$A:$A,"Mulanje",DataEntry!$B:$B,"Phalombe",DataEntry!$G:$G,"Q4"),"")</f>
        <v>8118.4</v>
      </c>
      <c r="H200" s="22">
        <f>IFERROR(SUM(D200:G200),"")</f>
        <v>34616.799999999996</v>
      </c>
    </row>
    <row r="201" spans="1:8" x14ac:dyDescent="0.3">
      <c r="A201" s="19" t="s">
        <v>280</v>
      </c>
      <c r="B201" s="19" t="s">
        <v>287</v>
      </c>
      <c r="C201" s="6" t="s">
        <v>53</v>
      </c>
      <c r="D201" s="16">
        <f>IFERROR(AVERAGEIFS(DataEntry!$U:$U,DataEntry!$A:$A,"Mulanje",DataEntry!$B:$B,"Phalombe",DataEntry!$G:$G,"Q1"),"")</f>
        <v>0.32221795415062437</v>
      </c>
      <c r="E201" s="16">
        <f>IFERROR(AVERAGEIFS(DataEntry!$U:$U,DataEntry!$A:$A,"Mulanje",DataEntry!$B:$B,"Phalombe",DataEntry!$G:$G,"Q2"),"")</f>
        <v>0.3143444104629598</v>
      </c>
      <c r="F201" s="16">
        <f>IFERROR(AVERAGEIFS(DataEntry!$U:$U,DataEntry!$A:$A,"Mulanje",DataEntry!$B:$B,"Phalombe",DataEntry!$G:$G,"Q3"),"")</f>
        <v>0.29744910285623555</v>
      </c>
      <c r="G201" s="16">
        <f>IFERROR(AVERAGEIFS(DataEntry!$U:$U,DataEntry!$A:$A,"Mulanje",DataEntry!$B:$B,"Phalombe",DataEntry!$G:$G,"Q4"),"")</f>
        <v>0.29408353435127538</v>
      </c>
      <c r="H201" s="24">
        <f>IFERROR(AVERAGE(D201:G201),"")</f>
        <v>0.30702375045527375</v>
      </c>
    </row>
    <row r="202" spans="1:8" x14ac:dyDescent="0.3">
      <c r="A202" s="21" t="s">
        <v>280</v>
      </c>
      <c r="B202" s="21" t="s">
        <v>287</v>
      </c>
      <c r="C202" s="12" t="s">
        <v>314</v>
      </c>
      <c r="D202" s="9">
        <f>IFERROR(SUMIFS(DataEntry!$AU:$AU,DataEntry!$A:$A,"Mulanje",DataEntry!$B:$B,"Phalombe",DataEntry!$G:$G,"Q1"),"")</f>
        <v>21018584.677499998</v>
      </c>
      <c r="E202" s="9">
        <f>IFERROR(SUMIFS(DataEntry!$AU:$AU,DataEntry!$A:$A,"Mulanje",DataEntry!$B:$B,"Phalombe",DataEntry!$G:$G,"Q2"),"")</f>
        <v>27827083.152500004</v>
      </c>
      <c r="F202" s="9">
        <f>IFERROR(SUMIFS(DataEntry!$AU:$AU,DataEntry!$A:$A,"Mulanje",DataEntry!$B:$B,"Phalombe",DataEntry!$G:$G,"Q3"),"")</f>
        <v>16415708.9705</v>
      </c>
      <c r="G202" s="9">
        <f>IFERROR(SUMIFS(DataEntry!$AU:$AU,DataEntry!$A:$A,"Mulanje",DataEntry!$B:$B,"Phalombe",DataEntry!$G:$G,"Q4"),"")</f>
        <v>17227753.252499998</v>
      </c>
      <c r="H202" s="22">
        <f t="shared" ref="H202:H208" si="15">IFERROR(SUM(D202:G202),"")</f>
        <v>82489130.053000003</v>
      </c>
    </row>
    <row r="203" spans="1:8" x14ac:dyDescent="0.3">
      <c r="A203" s="19" t="s">
        <v>280</v>
      </c>
      <c r="B203" s="19" t="s">
        <v>287</v>
      </c>
      <c r="C203" s="6" t="s">
        <v>315</v>
      </c>
      <c r="D203" s="15">
        <f>IFERROR(SUMIFS(DataEntry!$GB:$GB,DataEntry!$A:$A,"Mulanje",DataEntry!$B:$B,"Phalombe",DataEntry!$G:$G,"Q1"),"")</f>
        <v>24485071.559999999</v>
      </c>
      <c r="E203" s="15">
        <f>IFERROR(SUMIFS(DataEntry!$GB:$GB,DataEntry!$A:$A,"Mulanje",DataEntry!$B:$B,"Phalombe",DataEntry!$G:$G,"Q2"),"")</f>
        <v>37693148.100000001</v>
      </c>
      <c r="F203" s="15">
        <f>IFERROR(SUMIFS(DataEntry!$GB:$GB,DataEntry!$A:$A,"Mulanje",DataEntry!$B:$B,"Phalombe",DataEntry!$G:$G,"Q3"),"")</f>
        <v>44668957.630000003</v>
      </c>
      <c r="G203" s="15">
        <f>IFERROR(SUMIFS(DataEntry!$GB:$GB,DataEntry!$A:$A,"Mulanje",DataEntry!$B:$B,"Phalombe",DataEntry!$G:$G,"Q4"),"")</f>
        <v>21631746.219999999</v>
      </c>
      <c r="H203" s="20">
        <f t="shared" si="15"/>
        <v>128478923.50999999</v>
      </c>
    </row>
    <row r="204" spans="1:8" x14ac:dyDescent="0.3">
      <c r="A204" s="21" t="s">
        <v>280</v>
      </c>
      <c r="B204" s="21" t="s">
        <v>287</v>
      </c>
      <c r="C204" s="12" t="s">
        <v>316</v>
      </c>
      <c r="D204" s="9">
        <f>IFERROR(SUMIFS(DataEntry!$GM:$GM,DataEntry!$A:$A,"Mulanje",DataEntry!$B:$B,"Phalombe",DataEntry!$G:$G,"Q1"),"")</f>
        <v>22375147.359999999</v>
      </c>
      <c r="E204" s="9">
        <f>IFERROR(SUMIFS(DataEntry!$GM:$GM,DataEntry!$A:$A,"Mulanje",DataEntry!$B:$B,"Phalombe",DataEntry!$G:$G,"Q2"),"")</f>
        <v>30499028.230000004</v>
      </c>
      <c r="F204" s="9">
        <f>IFERROR(SUMIFS(DataEntry!$GM:$GM,DataEntry!$A:$A,"Mulanje",DataEntry!$B:$B,"Phalombe",DataEntry!$G:$G,"Q3"),"")</f>
        <v>34047497.100000001</v>
      </c>
      <c r="G204" s="9">
        <f>IFERROR(SUMIFS(DataEntry!$GM:$GM,DataEntry!$A:$A,"Mulanje",DataEntry!$B:$B,"Phalombe",DataEntry!$G:$G,"Q4"),"")</f>
        <v>9916030.370000001</v>
      </c>
      <c r="H204" s="22">
        <f t="shared" si="15"/>
        <v>96837703.060000002</v>
      </c>
    </row>
    <row r="205" spans="1:8" x14ac:dyDescent="0.3">
      <c r="A205" s="19" t="s">
        <v>280</v>
      </c>
      <c r="B205" s="19" t="s">
        <v>287</v>
      </c>
      <c r="C205" s="6" t="s">
        <v>317</v>
      </c>
      <c r="D205" s="15">
        <f>IFERROR(SUMIFS(DataEntry!$GX:$GX,DataEntry!$A:$A,"Mulanje",DataEntry!$B:$B,"Phalombe",DataEntry!$G:$G,"Q1"),"")</f>
        <v>26690776.360000003</v>
      </c>
      <c r="E205" s="15">
        <f>IFERROR(SUMIFS(DataEntry!$GX:$GX,DataEntry!$A:$A,"Mulanje",DataEntry!$B:$B,"Phalombe",DataEntry!$G:$G,"Q2"),"")</f>
        <v>34077048.790000007</v>
      </c>
      <c r="F205" s="15">
        <f>IFERROR(SUMIFS(DataEntry!$GX:$GX,DataEntry!$A:$A,"Mulanje",DataEntry!$B:$B,"Phalombe",DataEntry!$G:$G,"Q3"),"")</f>
        <v>37414400.939999998</v>
      </c>
      <c r="G205" s="15">
        <f>IFERROR(SUMIFS(DataEntry!$GX:$GX,DataEntry!$A:$A,"Mulanje",DataEntry!$B:$B,"Phalombe",DataEntry!$G:$G,"Q4"),"")</f>
        <v>6481422.8899999997</v>
      </c>
      <c r="H205" s="20">
        <f t="shared" si="15"/>
        <v>104663648.98</v>
      </c>
    </row>
    <row r="206" spans="1:8" x14ac:dyDescent="0.3">
      <c r="A206" s="21" t="s">
        <v>280</v>
      </c>
      <c r="B206" s="21" t="s">
        <v>287</v>
      </c>
      <c r="C206" s="12" t="s">
        <v>318</v>
      </c>
      <c r="D206" s="9">
        <f>IFERROR(SUMIFS(DataEntry!$CS:$CS,DataEntry!$A:$A,"Mulanje",DataEntry!$B:$B,"Phalombe",DataEntry!$G:$G,"Q1"),"")</f>
        <v>2396</v>
      </c>
      <c r="E206" s="9">
        <f>IFERROR(SUMIFS(DataEntry!$CS:$CS,DataEntry!$A:$A,"Mulanje",DataEntry!$B:$B,"Phalombe",DataEntry!$G:$G,"Q2"),"")</f>
        <v>2260</v>
      </c>
      <c r="F206" s="9">
        <f>IFERROR(SUMIFS(DataEntry!$CS:$CS,DataEntry!$A:$A,"Mulanje",DataEntry!$B:$B,"Phalombe",DataEntry!$G:$G,"Q3"),"")</f>
        <v>2445</v>
      </c>
      <c r="G206" s="9">
        <f>IFERROR(SUMIFS(DataEntry!$CS:$CS,DataEntry!$A:$A,"Mulanje",DataEntry!$B:$B,"Phalombe",DataEntry!$G:$G,"Q4"),"")</f>
        <v>2357</v>
      </c>
      <c r="H206" s="22">
        <f t="shared" si="15"/>
        <v>9458</v>
      </c>
    </row>
    <row r="207" spans="1:8" x14ac:dyDescent="0.3">
      <c r="A207" s="19" t="s">
        <v>280</v>
      </c>
      <c r="B207" s="19" t="s">
        <v>287</v>
      </c>
      <c r="C207" s="6" t="s">
        <v>319</v>
      </c>
      <c r="D207" s="15">
        <f>IFERROR(SUMIFS(DataEntry!$CA:$CA,DataEntry!$A:$A,"Mulanje",DataEntry!$B:$B,"Phalombe",DataEntry!$G:$G,"Q1"),"")</f>
        <v>13</v>
      </c>
      <c r="E207" s="15">
        <f>IFERROR(SUMIFS(DataEntry!$CA:$CA,DataEntry!$A:$A,"Mulanje",DataEntry!$B:$B,"Phalombe",DataEntry!$G:$G,"Q2"),"")</f>
        <v>9</v>
      </c>
      <c r="F207" s="15">
        <f>IFERROR(SUMIFS(DataEntry!$CA:$CA,DataEntry!$A:$A,"Mulanje",DataEntry!$B:$B,"Phalombe",DataEntry!$G:$G,"Q3"),"")</f>
        <v>13</v>
      </c>
      <c r="G207" s="15">
        <f>IFERROR(SUMIFS(DataEntry!$CA:$CA,DataEntry!$A:$A,"Mulanje",DataEntry!$B:$B,"Phalombe",DataEntry!$G:$G,"Q4"),"")</f>
        <v>16</v>
      </c>
      <c r="H207" s="20">
        <f t="shared" si="15"/>
        <v>51</v>
      </c>
    </row>
    <row r="208" spans="1:8" x14ac:dyDescent="0.3">
      <c r="A208" s="21" t="s">
        <v>280</v>
      </c>
      <c r="B208" s="21" t="s">
        <v>287</v>
      </c>
      <c r="C208" s="12" t="s">
        <v>320</v>
      </c>
      <c r="D208" s="9">
        <f>IFERROR(SUMIFS(DataEntry!$DV:$DV,DataEntry!$A:$A,"Mulanje",DataEntry!$B:$B,"Phalombe",DataEntry!$G:$G,"Q1"),"")</f>
        <v>19</v>
      </c>
      <c r="E208" s="9">
        <f>IFERROR(SUMIFS(DataEntry!$DV:$DV,DataEntry!$A:$A,"Mulanje",DataEntry!$B:$B,"Phalombe",DataEntry!$G:$G,"Q2"),"")</f>
        <v>44</v>
      </c>
      <c r="F208" s="9">
        <f>IFERROR(SUMIFS(DataEntry!$DV:$DV,DataEntry!$A:$A,"Mulanje",DataEntry!$B:$B,"Phalombe",DataEntry!$G:$G,"Q3"),"")</f>
        <v>69</v>
      </c>
      <c r="G208" s="9">
        <f>IFERROR(SUMIFS(DataEntry!$DV:$DV,DataEntry!$A:$A,"Mulanje",DataEntry!$B:$B,"Phalombe",DataEntry!$G:$G,"Q4"),"")</f>
        <v>28</v>
      </c>
      <c r="H208" s="22">
        <f t="shared" si="15"/>
        <v>160</v>
      </c>
    </row>
    <row r="209" spans="1:8" x14ac:dyDescent="0.3">
      <c r="A209" s="19" t="s">
        <v>280</v>
      </c>
      <c r="B209" s="19" t="s">
        <v>287</v>
      </c>
      <c r="C209" s="6" t="s">
        <v>243</v>
      </c>
      <c r="D209" s="16">
        <f>IFERROR(AVERAGEIFS(DataEntry!$HC:$HC,DataEntry!$A:$A,"Mulanje",DataEntry!$B:$B,"Phalombe",DataEntry!$G:$G,"Q1"),"")</f>
        <v>0.19616011605618147</v>
      </c>
      <c r="E209" s="16">
        <f>IFERROR(AVERAGEIFS(DataEntry!$HC:$HC,DataEntry!$A:$A,"Mulanje",DataEntry!$B:$B,"Phalombe",DataEntry!$G:$G,"Q2"),"")</f>
        <v>0.35003316364848019</v>
      </c>
      <c r="F209" s="16">
        <f>IFERROR(AVERAGEIFS(DataEntry!$HC:$HC,DataEntry!$A:$A,"Mulanje",DataEntry!$B:$B,"Phalombe",DataEntry!$G:$G,"Q3"),"")</f>
        <v>0.4030571947771065</v>
      </c>
      <c r="G209" s="16">
        <f>IFERROR(AVERAGEIFS(DataEntry!$HC:$HC,DataEntry!$A:$A,"Mulanje",DataEntry!$B:$B,"Phalombe",DataEntry!$G:$G,"Q4"),"")</f>
        <v>2718843.8994297879</v>
      </c>
      <c r="H209" s="24">
        <f>IFERROR(AVERAGE(D209:G209),"")</f>
        <v>679711.21217006561</v>
      </c>
    </row>
    <row r="210" spans="1:8" x14ac:dyDescent="0.3">
      <c r="A210" s="21" t="s">
        <v>280</v>
      </c>
      <c r="B210" s="21" t="s">
        <v>287</v>
      </c>
      <c r="C210" s="12" t="s">
        <v>242</v>
      </c>
      <c r="D210" s="10">
        <f>IFERROR(AVERAGEIFS(DataEntry!$HB:$HB,DataEntry!$A:$A,"Mulanje",DataEntry!$B:$B,"Phalombe",DataEntry!$G:$G,"Q1"),"")</f>
        <v>0.78668398403514728</v>
      </c>
      <c r="E210" s="10">
        <f>IFERROR(AVERAGEIFS(DataEntry!$HB:$HB,DataEntry!$A:$A,"Mulanje",DataEntry!$B:$B,"Phalombe",DataEntry!$G:$G,"Q2"),"")</f>
        <v>0.81943267516265716</v>
      </c>
      <c r="F210" s="10">
        <f>IFERROR(AVERAGEIFS(DataEntry!$HB:$HB,DataEntry!$A:$A,"Mulanje",DataEntry!$B:$B,"Phalombe",DataEntry!$G:$G,"Q3"),"")</f>
        <v>0.43681811931455039</v>
      </c>
      <c r="G210" s="10">
        <f>IFERROR(AVERAGEIFS(DataEntry!$HB:$HB,DataEntry!$A:$A,"Mulanje",DataEntry!$B:$B,"Phalombe",DataEntry!$G:$G,"Q4"),"")</f>
        <v>4226025.0479832729</v>
      </c>
      <c r="H210" s="23">
        <f>IFERROR(AVERAGE(D210:G210),"")</f>
        <v>1056506.7727295128</v>
      </c>
    </row>
    <row r="211" spans="1:8" x14ac:dyDescent="0.3">
      <c r="A211" s="19" t="s">
        <v>280</v>
      </c>
      <c r="B211" s="19" t="s">
        <v>288</v>
      </c>
      <c r="C211" s="6" t="s">
        <v>40</v>
      </c>
      <c r="D211" s="15">
        <f>IFERROR(SUMIFS(DataEntry!$H:$H,DataEntry!$A:$A,"Mulanje",DataEntry!$B:$B,"Thyolo",DataEntry!$G:$G,"Q1"),"")</f>
        <v>56525</v>
      </c>
      <c r="E211" s="15">
        <f>IFERROR(SUMIFS(DataEntry!$H:$H,DataEntry!$A:$A,"Mulanje",DataEntry!$B:$B,"Thyolo",DataEntry!$G:$G,"Q2"),"")</f>
        <v>54170</v>
      </c>
      <c r="F211" s="15">
        <f>IFERROR(SUMIFS(DataEntry!$H:$H,DataEntry!$A:$A,"Mulanje",DataEntry!$B:$B,"Thyolo",DataEntry!$G:$G,"Q3"),"")</f>
        <v>64780</v>
      </c>
      <c r="G211" s="15">
        <f>IFERROR(SUMIFS(DataEntry!$H:$H,DataEntry!$A:$A,"Mulanje",DataEntry!$B:$B,"Thyolo",DataEntry!$G:$G,"Q4"),"")</f>
        <v>49440</v>
      </c>
      <c r="H211" s="20">
        <f>IFERROR(SUM(D211:G211),"")</f>
        <v>224915</v>
      </c>
    </row>
    <row r="212" spans="1:8" x14ac:dyDescent="0.3">
      <c r="A212" s="21" t="s">
        <v>280</v>
      </c>
      <c r="B212" s="21" t="s">
        <v>288</v>
      </c>
      <c r="C212" s="12" t="s">
        <v>312</v>
      </c>
      <c r="D212" s="9">
        <f>IFERROR(SUMIFS(DataEntry!$S:$S,DataEntry!$A:$A,"Mulanje",DataEntry!$B:$B,"Thyolo",DataEntry!$G:$G,"Q1"),"")</f>
        <v>32405.5</v>
      </c>
      <c r="E212" s="9">
        <f>IFERROR(SUMIFS(DataEntry!$S:$S,DataEntry!$A:$A,"Mulanje",DataEntry!$B:$B,"Thyolo",DataEntry!$G:$G,"Q2"),"")</f>
        <v>31468.700000000008</v>
      </c>
      <c r="F212" s="9">
        <f>IFERROR(SUMIFS(DataEntry!$S:$S,DataEntry!$A:$A,"Mulanje",DataEntry!$B:$B,"Thyolo",DataEntry!$G:$G,"Q3"),"")</f>
        <v>36412.000000000015</v>
      </c>
      <c r="G212" s="9">
        <f>IFERROR(SUMIFS(DataEntry!$S:$S,DataEntry!$A:$A,"Mulanje",DataEntry!$B:$B,"Thyolo",DataEntry!$G:$G,"Q4"),"")</f>
        <v>29322.699999999997</v>
      </c>
      <c r="H212" s="22">
        <f>IFERROR(SUM(D212:G212),"")</f>
        <v>129608.90000000002</v>
      </c>
    </row>
    <row r="213" spans="1:8" x14ac:dyDescent="0.3">
      <c r="A213" s="19" t="s">
        <v>280</v>
      </c>
      <c r="B213" s="19" t="s">
        <v>288</v>
      </c>
      <c r="C213" s="6" t="s">
        <v>313</v>
      </c>
      <c r="D213" s="15">
        <f>IFERROR(SUMIFS(DataEntry!$T:$T,DataEntry!$A:$A,"Mulanje",DataEntry!$B:$B,"Thyolo",DataEntry!$G:$G,"Q1"),"")</f>
        <v>24119.500000000007</v>
      </c>
      <c r="E213" s="15">
        <f>IFERROR(SUMIFS(DataEntry!$T:$T,DataEntry!$A:$A,"Mulanje",DataEntry!$B:$B,"Thyolo",DataEntry!$G:$G,"Q2"),"")</f>
        <v>22701.299999999988</v>
      </c>
      <c r="F213" s="15">
        <f>IFERROR(SUMIFS(DataEntry!$T:$T,DataEntry!$A:$A,"Mulanje",DataEntry!$B:$B,"Thyolo",DataEntry!$G:$G,"Q3"),"")</f>
        <v>28368</v>
      </c>
      <c r="G213" s="15">
        <f>IFERROR(SUMIFS(DataEntry!$T:$T,DataEntry!$A:$A,"Mulanje",DataEntry!$B:$B,"Thyolo",DataEntry!$G:$G,"Q4"),"")</f>
        <v>20117.300000000003</v>
      </c>
      <c r="H213" s="20">
        <f>IFERROR(SUM(D213:G213),"")</f>
        <v>95306.099999999991</v>
      </c>
    </row>
    <row r="214" spans="1:8" x14ac:dyDescent="0.3">
      <c r="A214" s="21" t="s">
        <v>280</v>
      </c>
      <c r="B214" s="21" t="s">
        <v>288</v>
      </c>
      <c r="C214" s="12" t="s">
        <v>53</v>
      </c>
      <c r="D214" s="10">
        <f>IFERROR(AVERAGEIFS(DataEntry!$U:$U,DataEntry!$A:$A,"Mulanje",DataEntry!$B:$B,"Thyolo",DataEntry!$G:$G,"Q1"),"")</f>
        <v>0.42708270271036125</v>
      </c>
      <c r="E214" s="10">
        <f>IFERROR(AVERAGEIFS(DataEntry!$U:$U,DataEntry!$A:$A,"Mulanje",DataEntry!$B:$B,"Thyolo",DataEntry!$G:$G,"Q2"),"")</f>
        <v>0.41791535496114723</v>
      </c>
      <c r="F214" s="10">
        <f>IFERROR(AVERAGEIFS(DataEntry!$U:$U,DataEntry!$A:$A,"Mulanje",DataEntry!$B:$B,"Thyolo",DataEntry!$G:$G,"Q3"),"")</f>
        <v>0.43555457374439738</v>
      </c>
      <c r="G214" s="10">
        <f>IFERROR(AVERAGEIFS(DataEntry!$U:$U,DataEntry!$A:$A,"Mulanje",DataEntry!$B:$B,"Thyolo",DataEntry!$G:$G,"Q4"),"")</f>
        <v>0.40567935843939251</v>
      </c>
      <c r="H214" s="23">
        <f>IFERROR(AVERAGE(D214:G214),"")</f>
        <v>0.42155799746382461</v>
      </c>
    </row>
    <row r="215" spans="1:8" x14ac:dyDescent="0.3">
      <c r="A215" s="19" t="s">
        <v>280</v>
      </c>
      <c r="B215" s="19" t="s">
        <v>288</v>
      </c>
      <c r="C215" s="6" t="s">
        <v>314</v>
      </c>
      <c r="D215" s="15">
        <f>IFERROR(SUMIFS(DataEntry!$AU:$AU,DataEntry!$A:$A,"Mulanje",DataEntry!$B:$B,"Thyolo",DataEntry!$G:$G,"Q1"),"")</f>
        <v>58921583.855000004</v>
      </c>
      <c r="E215" s="15">
        <f>IFERROR(SUMIFS(DataEntry!$AU:$AU,DataEntry!$A:$A,"Mulanje",DataEntry!$B:$B,"Thyolo",DataEntry!$G:$G,"Q2"),"")</f>
        <v>66139310.614999995</v>
      </c>
      <c r="F215" s="15">
        <f>IFERROR(SUMIFS(DataEntry!$AU:$AU,DataEntry!$A:$A,"Mulanje",DataEntry!$B:$B,"Thyolo",DataEntry!$G:$G,"Q3"),"")</f>
        <v>53727384.434999995</v>
      </c>
      <c r="G215" s="15">
        <f>IFERROR(SUMIFS(DataEntry!$AU:$AU,DataEntry!$A:$A,"Mulanje",DataEntry!$B:$B,"Thyolo",DataEntry!$G:$G,"Q4"),"")</f>
        <v>42071554.884999998</v>
      </c>
      <c r="H215" s="20">
        <f t="shared" ref="H215:H221" si="16">IFERROR(SUM(D215:G215),"")</f>
        <v>220859833.78999999</v>
      </c>
    </row>
    <row r="216" spans="1:8" x14ac:dyDescent="0.3">
      <c r="A216" s="21" t="s">
        <v>280</v>
      </c>
      <c r="B216" s="21" t="s">
        <v>288</v>
      </c>
      <c r="C216" s="12" t="s">
        <v>315</v>
      </c>
      <c r="D216" s="9">
        <f>IFERROR(SUMIFS(DataEntry!$GB:$GB,DataEntry!$A:$A,"Mulanje",DataEntry!$B:$B,"Thyolo",DataEntry!$G:$G,"Q1"),"")</f>
        <v>53146105.649999984</v>
      </c>
      <c r="E216" s="9">
        <f>IFERROR(SUMIFS(DataEntry!$GB:$GB,DataEntry!$A:$A,"Mulanje",DataEntry!$B:$B,"Thyolo",DataEntry!$G:$G,"Q2"),"")</f>
        <v>55010003.68999999</v>
      </c>
      <c r="F216" s="9">
        <f>IFERROR(SUMIFS(DataEntry!$GB:$GB,DataEntry!$A:$A,"Mulanje",DataEntry!$B:$B,"Thyolo",DataEntry!$G:$G,"Q3"),"")</f>
        <v>63907268.749999985</v>
      </c>
      <c r="G216" s="9">
        <f>IFERROR(SUMIFS(DataEntry!$GB:$GB,DataEntry!$A:$A,"Mulanje",DataEntry!$B:$B,"Thyolo",DataEntry!$G:$G,"Q4"),"")</f>
        <v>37860563.969999999</v>
      </c>
      <c r="H216" s="22">
        <f t="shared" si="16"/>
        <v>209923942.05999997</v>
      </c>
    </row>
    <row r="217" spans="1:8" x14ac:dyDescent="0.3">
      <c r="A217" s="19" t="s">
        <v>280</v>
      </c>
      <c r="B217" s="19" t="s">
        <v>288</v>
      </c>
      <c r="C217" s="6" t="s">
        <v>316</v>
      </c>
      <c r="D217" s="15">
        <f>IFERROR(SUMIFS(DataEntry!$GM:$GM,DataEntry!$A:$A,"Mulanje",DataEntry!$B:$B,"Thyolo",DataEntry!$G:$G,"Q1"),"")</f>
        <v>15368830.950000001</v>
      </c>
      <c r="E217" s="15">
        <f>IFERROR(SUMIFS(DataEntry!$GM:$GM,DataEntry!$A:$A,"Mulanje",DataEntry!$B:$B,"Thyolo",DataEntry!$G:$G,"Q2"),"")</f>
        <v>28182258.880000003</v>
      </c>
      <c r="F217" s="15">
        <f>IFERROR(SUMIFS(DataEntry!$GM:$GM,DataEntry!$A:$A,"Mulanje",DataEntry!$B:$B,"Thyolo",DataEntry!$G:$G,"Q3"),"")</f>
        <v>31530748.079999998</v>
      </c>
      <c r="G217" s="15">
        <f>IFERROR(SUMIFS(DataEntry!$GM:$GM,DataEntry!$A:$A,"Mulanje",DataEntry!$B:$B,"Thyolo",DataEntry!$G:$G,"Q4"),"")</f>
        <v>8463408.3600000013</v>
      </c>
      <c r="H217" s="20">
        <f t="shared" si="16"/>
        <v>83545246.269999996</v>
      </c>
    </row>
    <row r="218" spans="1:8" x14ac:dyDescent="0.3">
      <c r="A218" s="21" t="s">
        <v>280</v>
      </c>
      <c r="B218" s="21" t="s">
        <v>288</v>
      </c>
      <c r="C218" s="12" t="s">
        <v>317</v>
      </c>
      <c r="D218" s="9">
        <f>IFERROR(SUMIFS(DataEntry!$GX:$GX,DataEntry!$A:$A,"Mulanje",DataEntry!$B:$B,"Thyolo",DataEntry!$G:$G,"Q1"),"")</f>
        <v>19035390.960000001</v>
      </c>
      <c r="E218" s="9">
        <f>IFERROR(SUMIFS(DataEntry!$GX:$GX,DataEntry!$A:$A,"Mulanje",DataEntry!$B:$B,"Thyolo",DataEntry!$G:$G,"Q2"),"")</f>
        <v>31672598.530000001</v>
      </c>
      <c r="F218" s="9">
        <f>IFERROR(SUMIFS(DataEntry!$GX:$GX,DataEntry!$A:$A,"Mulanje",DataEntry!$B:$B,"Thyolo",DataEntry!$G:$G,"Q3"),"")</f>
        <v>35055107</v>
      </c>
      <c r="G218" s="9">
        <f>IFERROR(SUMIFS(DataEntry!$GX:$GX,DataEntry!$A:$A,"Mulanje",DataEntry!$B:$B,"Thyolo",DataEntry!$G:$G,"Q4"),"")</f>
        <v>11422268.630000001</v>
      </c>
      <c r="H218" s="22">
        <f t="shared" si="16"/>
        <v>97185365.120000005</v>
      </c>
    </row>
    <row r="219" spans="1:8" x14ac:dyDescent="0.3">
      <c r="A219" s="19" t="s">
        <v>280</v>
      </c>
      <c r="B219" s="19" t="s">
        <v>288</v>
      </c>
      <c r="C219" s="6" t="s">
        <v>318</v>
      </c>
      <c r="D219" s="15">
        <f>IFERROR(SUMIFS(DataEntry!$CS:$CS,DataEntry!$A:$A,"Mulanje",DataEntry!$B:$B,"Thyolo",DataEntry!$G:$G,"Q1"),"")</f>
        <v>5131</v>
      </c>
      <c r="E219" s="15">
        <f>IFERROR(SUMIFS(DataEntry!$CS:$CS,DataEntry!$A:$A,"Mulanje",DataEntry!$B:$B,"Thyolo",DataEntry!$G:$G,"Q2"),"")</f>
        <v>5149</v>
      </c>
      <c r="F219" s="15">
        <f>IFERROR(SUMIFS(DataEntry!$CS:$CS,DataEntry!$A:$A,"Mulanje",DataEntry!$B:$B,"Thyolo",DataEntry!$G:$G,"Q3"),"")</f>
        <v>5355</v>
      </c>
      <c r="G219" s="15">
        <f>IFERROR(SUMIFS(DataEntry!$CS:$CS,DataEntry!$A:$A,"Mulanje",DataEntry!$B:$B,"Thyolo",DataEntry!$G:$G,"Q4"),"")</f>
        <v>5307</v>
      </c>
      <c r="H219" s="20">
        <f t="shared" si="16"/>
        <v>20942</v>
      </c>
    </row>
    <row r="220" spans="1:8" x14ac:dyDescent="0.3">
      <c r="A220" s="21" t="s">
        <v>280</v>
      </c>
      <c r="B220" s="21" t="s">
        <v>288</v>
      </c>
      <c r="C220" s="12" t="s">
        <v>319</v>
      </c>
      <c r="D220" s="9">
        <f>IFERROR(SUMIFS(DataEntry!$CA:$CA,DataEntry!$A:$A,"Mulanje",DataEntry!$B:$B,"Thyolo",DataEntry!$G:$G,"Q1"),"")</f>
        <v>35</v>
      </c>
      <c r="E220" s="9">
        <f>IFERROR(SUMIFS(DataEntry!$CA:$CA,DataEntry!$A:$A,"Mulanje",DataEntry!$B:$B,"Thyolo",DataEntry!$G:$G,"Q2"),"")</f>
        <v>40</v>
      </c>
      <c r="F220" s="9">
        <f>IFERROR(SUMIFS(DataEntry!$CA:$CA,DataEntry!$A:$A,"Mulanje",DataEntry!$B:$B,"Thyolo",DataEntry!$G:$G,"Q3"),"")</f>
        <v>34</v>
      </c>
      <c r="G220" s="9">
        <f>IFERROR(SUMIFS(DataEntry!$CA:$CA,DataEntry!$A:$A,"Mulanje",DataEntry!$B:$B,"Thyolo",DataEntry!$G:$G,"Q4"),"")</f>
        <v>36</v>
      </c>
      <c r="H220" s="22">
        <f t="shared" si="16"/>
        <v>145</v>
      </c>
    </row>
    <row r="221" spans="1:8" x14ac:dyDescent="0.3">
      <c r="A221" s="19" t="s">
        <v>280</v>
      </c>
      <c r="B221" s="19" t="s">
        <v>288</v>
      </c>
      <c r="C221" s="6" t="s">
        <v>320</v>
      </c>
      <c r="D221" s="15">
        <f>IFERROR(SUMIFS(DataEntry!$DV:$DV,DataEntry!$A:$A,"Mulanje",DataEntry!$B:$B,"Thyolo",DataEntry!$G:$G,"Q1"),"")</f>
        <v>113</v>
      </c>
      <c r="E221" s="15">
        <f>IFERROR(SUMIFS(DataEntry!$DV:$DV,DataEntry!$A:$A,"Mulanje",DataEntry!$B:$B,"Thyolo",DataEntry!$G:$G,"Q2"),"")</f>
        <v>141</v>
      </c>
      <c r="F221" s="15">
        <f>IFERROR(SUMIFS(DataEntry!$DV:$DV,DataEntry!$A:$A,"Mulanje",DataEntry!$B:$B,"Thyolo",DataEntry!$G:$G,"Q3"),"")</f>
        <v>125</v>
      </c>
      <c r="G221" s="15">
        <f>IFERROR(SUMIFS(DataEntry!$DV:$DV,DataEntry!$A:$A,"Mulanje",DataEntry!$B:$B,"Thyolo",DataEntry!$G:$G,"Q4"),"")</f>
        <v>24</v>
      </c>
      <c r="H221" s="20">
        <f t="shared" si="16"/>
        <v>403</v>
      </c>
    </row>
    <row r="222" spans="1:8" x14ac:dyDescent="0.3">
      <c r="A222" s="21" t="s">
        <v>280</v>
      </c>
      <c r="B222" s="21" t="s">
        <v>288</v>
      </c>
      <c r="C222" s="12" t="s">
        <v>243</v>
      </c>
      <c r="D222" s="10">
        <f>IFERROR(AVERAGEIFS(DataEntry!$HC:$HC,DataEntry!$A:$A,"Mulanje",DataEntry!$B:$B,"Thyolo",DataEntry!$G:$G,"Q1"),"")</f>
        <v>0.31795696767996234</v>
      </c>
      <c r="E222" s="10">
        <f>IFERROR(AVERAGEIFS(DataEntry!$HC:$HC,DataEntry!$A:$A,"Mulanje",DataEntry!$B:$B,"Thyolo",DataEntry!$G:$G,"Q2"),"")</f>
        <v>0.35488128512241257</v>
      </c>
      <c r="F222" s="10">
        <f>IFERROR(AVERAGEIFS(DataEntry!$HC:$HC,DataEntry!$A:$A,"Mulanje",DataEntry!$B:$B,"Thyolo",DataEntry!$G:$G,"Q3"),"")</f>
        <v>0.52827268812360828</v>
      </c>
      <c r="G222" s="10">
        <f>IFERROR(AVERAGEIFS(DataEntry!$HC:$HC,DataEntry!$A:$A,"Mulanje",DataEntry!$B:$B,"Thyolo",DataEntry!$G:$G,"Q4"),"")</f>
        <v>1976330.6846724905</v>
      </c>
      <c r="H222" s="23">
        <f>IFERROR(AVERAGE(D222:G222),"")</f>
        <v>494082.97144585784</v>
      </c>
    </row>
    <row r="223" spans="1:8" x14ac:dyDescent="0.3">
      <c r="A223" s="19" t="s">
        <v>280</v>
      </c>
      <c r="B223" s="19" t="s">
        <v>288</v>
      </c>
      <c r="C223" s="6" t="s">
        <v>242</v>
      </c>
      <c r="D223" s="16">
        <f>IFERROR(AVERAGEIFS(DataEntry!$HB:$HB,DataEntry!$A:$A,"Mulanje",DataEntry!$B:$B,"Thyolo",DataEntry!$G:$G,"Q1"),"")</f>
        <v>3.0944563311697872</v>
      </c>
      <c r="E223" s="16">
        <f>IFERROR(AVERAGEIFS(DataEntry!$HB:$HB,DataEntry!$A:$A,"Mulanje",DataEntry!$B:$B,"Thyolo",DataEntry!$G:$G,"Q2"),"")</f>
        <v>2.1065870551548107</v>
      </c>
      <c r="F223" s="16">
        <f>IFERROR(AVERAGEIFS(DataEntry!$HB:$HB,DataEntry!$A:$A,"Mulanje",DataEntry!$B:$B,"Thyolo",DataEntry!$G:$G,"Q3"),"")</f>
        <v>1.5400690678961879</v>
      </c>
      <c r="G223" s="16">
        <f>IFERROR(AVERAGEIFS(DataEntry!$HB:$HB,DataEntry!$A:$A,"Mulanje",DataEntry!$B:$B,"Thyolo",DataEntry!$G:$G,"Q4"),"")</f>
        <v>7938945.8201311044</v>
      </c>
      <c r="H223" s="24">
        <f>IFERROR(AVERAGE(D223:G223),"")</f>
        <v>1984738.1403108896</v>
      </c>
    </row>
    <row r="224" spans="1:8" x14ac:dyDescent="0.3">
      <c r="A224" s="21" t="s">
        <v>289</v>
      </c>
      <c r="B224" s="21" t="s">
        <v>290</v>
      </c>
      <c r="C224" s="12" t="s">
        <v>40</v>
      </c>
      <c r="D224" s="9">
        <f>IFERROR(SUMIFS(DataEntry!$H:$H,DataEntry!$A:$A,"Ngabu",DataEntry!$B:$B,"Bangula",DataEntry!$G:$G,"Q1"),"")</f>
        <v>22347</v>
      </c>
      <c r="E224" s="9">
        <f>IFERROR(SUMIFS(DataEntry!$H:$H,DataEntry!$A:$A,"Ngabu",DataEntry!$B:$B,"Bangula",DataEntry!$G:$G,"Q2"),"")</f>
        <v>29377</v>
      </c>
      <c r="F224" s="9">
        <f>IFERROR(SUMIFS(DataEntry!$H:$H,DataEntry!$A:$A,"Ngabu",DataEntry!$B:$B,"Bangula",DataEntry!$G:$G,"Q3"),"")</f>
        <v>28561</v>
      </c>
      <c r="G224" s="9">
        <f>IFERROR(SUMIFS(DataEntry!$H:$H,DataEntry!$A:$A,"Ngabu",DataEntry!$B:$B,"Bangula",DataEntry!$G:$G,"Q4"),"")</f>
        <v>23240</v>
      </c>
      <c r="H224" s="22">
        <f>IFERROR(SUM(D224:G224),"")</f>
        <v>103525</v>
      </c>
    </row>
    <row r="225" spans="1:8" x14ac:dyDescent="0.3">
      <c r="A225" s="19" t="s">
        <v>289</v>
      </c>
      <c r="B225" s="19" t="s">
        <v>290</v>
      </c>
      <c r="C225" s="6" t="s">
        <v>312</v>
      </c>
      <c r="D225" s="15">
        <f>IFERROR(SUMIFS(DataEntry!$S:$S,DataEntry!$A:$A,"Ngabu",DataEntry!$B:$B,"Bangula",DataEntry!$G:$G,"Q1"),"")</f>
        <v>18580</v>
      </c>
      <c r="E225" s="15">
        <f>IFERROR(SUMIFS(DataEntry!$S:$S,DataEntry!$A:$A,"Ngabu",DataEntry!$B:$B,"Bangula",DataEntry!$G:$G,"Q2"),"")</f>
        <v>22023</v>
      </c>
      <c r="F225" s="15">
        <f>IFERROR(SUMIFS(DataEntry!$S:$S,DataEntry!$A:$A,"Ngabu",DataEntry!$B:$B,"Bangula",DataEntry!$G:$G,"Q3"),"")</f>
        <v>23015</v>
      </c>
      <c r="G225" s="15">
        <f>IFERROR(SUMIFS(DataEntry!$S:$S,DataEntry!$A:$A,"Ngabu",DataEntry!$B:$B,"Bangula",DataEntry!$G:$G,"Q4"),"")</f>
        <v>19457</v>
      </c>
      <c r="H225" s="20">
        <f>IFERROR(SUM(D225:G225),"")</f>
        <v>83075</v>
      </c>
    </row>
    <row r="226" spans="1:8" x14ac:dyDescent="0.3">
      <c r="A226" s="21" t="s">
        <v>289</v>
      </c>
      <c r="B226" s="21" t="s">
        <v>290</v>
      </c>
      <c r="C226" s="12" t="s">
        <v>313</v>
      </c>
      <c r="D226" s="9">
        <f>IFERROR(SUMIFS(DataEntry!$T:$T,DataEntry!$A:$A,"Ngabu",DataEntry!$B:$B,"Bangula",DataEntry!$G:$G,"Q1"),"")</f>
        <v>3767</v>
      </c>
      <c r="E226" s="9">
        <f>IFERROR(SUMIFS(DataEntry!$T:$T,DataEntry!$A:$A,"Ngabu",DataEntry!$B:$B,"Bangula",DataEntry!$G:$G,"Q2"),"")</f>
        <v>7354</v>
      </c>
      <c r="F226" s="9">
        <f>IFERROR(SUMIFS(DataEntry!$T:$T,DataEntry!$A:$A,"Ngabu",DataEntry!$B:$B,"Bangula",DataEntry!$G:$G,"Q3"),"")</f>
        <v>5546</v>
      </c>
      <c r="G226" s="9">
        <f>IFERROR(SUMIFS(DataEntry!$T:$T,DataEntry!$A:$A,"Ngabu",DataEntry!$B:$B,"Bangula",DataEntry!$G:$G,"Q4"),"")</f>
        <v>3783</v>
      </c>
      <c r="H226" s="22">
        <f>IFERROR(SUM(D226:G226),"")</f>
        <v>20450</v>
      </c>
    </row>
    <row r="227" spans="1:8" x14ac:dyDescent="0.3">
      <c r="A227" s="19" t="s">
        <v>289</v>
      </c>
      <c r="B227" s="19" t="s">
        <v>290</v>
      </c>
      <c r="C227" s="6" t="s">
        <v>53</v>
      </c>
      <c r="D227" s="16">
        <f>IFERROR(AVERAGEIFS(DataEntry!$U:$U,DataEntry!$A:$A,"Ngabu",DataEntry!$B:$B,"Bangula",DataEntry!$G:$G,"Q1"),"")</f>
        <v>0.16801788325181402</v>
      </c>
      <c r="E227" s="16">
        <f>IFERROR(AVERAGEIFS(DataEntry!$U:$U,DataEntry!$A:$A,"Ngabu",DataEntry!$B:$B,"Bangula",DataEntry!$G:$G,"Q2"),"")</f>
        <v>0.25327806796897484</v>
      </c>
      <c r="F227" s="16">
        <f>IFERROR(AVERAGEIFS(DataEntry!$U:$U,DataEntry!$A:$A,"Ngabu",DataEntry!$B:$B,"Bangula",DataEntry!$G:$G,"Q3"),"")</f>
        <v>0.19670517923108546</v>
      </c>
      <c r="G227" s="16">
        <f>IFERROR(AVERAGEIFS(DataEntry!$U:$U,DataEntry!$A:$A,"Ngabu",DataEntry!$B:$B,"Bangula",DataEntry!$G:$G,"Q4"),"")</f>
        <v>0.16122847158429945</v>
      </c>
      <c r="H227" s="24">
        <f>IFERROR(AVERAGE(D227:G227),"")</f>
        <v>0.19480740050904344</v>
      </c>
    </row>
    <row r="228" spans="1:8" x14ac:dyDescent="0.3">
      <c r="A228" s="21" t="s">
        <v>289</v>
      </c>
      <c r="B228" s="21" t="s">
        <v>290</v>
      </c>
      <c r="C228" s="12" t="s">
        <v>314</v>
      </c>
      <c r="D228" s="9">
        <f>IFERROR(SUMIFS(DataEntry!$AU:$AU,DataEntry!$A:$A,"Ngabu",DataEntry!$B:$B,"Bangula",DataEntry!$G:$G,"Q1"),"")</f>
        <v>1276160.1083300002</v>
      </c>
      <c r="E228" s="9">
        <f>IFERROR(SUMIFS(DataEntry!$AU:$AU,DataEntry!$A:$A,"Ngabu",DataEntry!$B:$B,"Bangula",DataEntry!$G:$G,"Q2"),"")</f>
        <v>1693647.875</v>
      </c>
      <c r="F228" s="9">
        <f>IFERROR(SUMIFS(DataEntry!$AU:$AU,DataEntry!$A:$A,"Ngabu",DataEntry!$B:$B,"Bangula",DataEntry!$G:$G,"Q3"),"")</f>
        <v>1454473.7477999998</v>
      </c>
      <c r="G228" s="9">
        <f>IFERROR(SUMIFS(DataEntry!$AU:$AU,DataEntry!$A:$A,"Ngabu",DataEntry!$B:$B,"Bangula",DataEntry!$G:$G,"Q4"),"")</f>
        <v>740014.52400000009</v>
      </c>
      <c r="H228" s="22">
        <f t="shared" ref="H228:H234" si="17">IFERROR(SUM(D228:G228),"")</f>
        <v>5164296.2551300004</v>
      </c>
    </row>
    <row r="229" spans="1:8" x14ac:dyDescent="0.3">
      <c r="A229" s="19" t="s">
        <v>289</v>
      </c>
      <c r="B229" s="19" t="s">
        <v>290</v>
      </c>
      <c r="C229" s="6" t="s">
        <v>315</v>
      </c>
      <c r="D229" s="15">
        <f>IFERROR(SUMIFS(DataEntry!$GB:$GB,DataEntry!$A:$A,"Ngabu",DataEntry!$B:$B,"Bangula",DataEntry!$G:$G,"Q1"),"")</f>
        <v>23666749</v>
      </c>
      <c r="E229" s="15">
        <f>IFERROR(SUMIFS(DataEntry!$GB:$GB,DataEntry!$A:$A,"Ngabu",DataEntry!$B:$B,"Bangula",DataEntry!$G:$G,"Q2"),"")</f>
        <v>27444541</v>
      </c>
      <c r="F229" s="15">
        <f>IFERROR(SUMIFS(DataEntry!$GB:$GB,DataEntry!$A:$A,"Ngabu",DataEntry!$B:$B,"Bangula",DataEntry!$G:$G,"Q3"),"")</f>
        <v>26198911</v>
      </c>
      <c r="G229" s="15">
        <f>IFERROR(SUMIFS(DataEntry!$GB:$GB,DataEntry!$A:$A,"Ngabu",DataEntry!$B:$B,"Bangula",DataEntry!$G:$G,"Q4"),"")</f>
        <v>36655797.769999996</v>
      </c>
      <c r="H229" s="20">
        <f t="shared" si="17"/>
        <v>113965998.77</v>
      </c>
    </row>
    <row r="230" spans="1:8" x14ac:dyDescent="0.3">
      <c r="A230" s="21" t="s">
        <v>289</v>
      </c>
      <c r="B230" s="21" t="s">
        <v>290</v>
      </c>
      <c r="C230" s="12" t="s">
        <v>316</v>
      </c>
      <c r="D230" s="9">
        <f>IFERROR(SUMIFS(DataEntry!$GM:$GM,DataEntry!$A:$A,"Ngabu",DataEntry!$B:$B,"Bangula",DataEntry!$G:$G,"Q1"),"")</f>
        <v>22237550.960000001</v>
      </c>
      <c r="E230" s="9">
        <f>IFERROR(SUMIFS(DataEntry!$GM:$GM,DataEntry!$A:$A,"Ngabu",DataEntry!$B:$B,"Bangula",DataEntry!$G:$G,"Q2"),"")</f>
        <v>26176235.539999999</v>
      </c>
      <c r="F230" s="9">
        <f>IFERROR(SUMIFS(DataEntry!$GM:$GM,DataEntry!$A:$A,"Ngabu",DataEntry!$B:$B,"Bangula",DataEntry!$G:$G,"Q3"),"")</f>
        <v>26244191.719999999</v>
      </c>
      <c r="G230" s="9">
        <f>IFERROR(SUMIFS(DataEntry!$GM:$GM,DataEntry!$A:$A,"Ngabu",DataEntry!$B:$B,"Bangula",DataEntry!$G:$G,"Q4"),"")</f>
        <v>37838635.439999998</v>
      </c>
      <c r="H230" s="22">
        <f t="shared" si="17"/>
        <v>112496613.66</v>
      </c>
    </row>
    <row r="231" spans="1:8" x14ac:dyDescent="0.3">
      <c r="A231" s="19" t="s">
        <v>289</v>
      </c>
      <c r="B231" s="19" t="s">
        <v>290</v>
      </c>
      <c r="C231" s="6" t="s">
        <v>317</v>
      </c>
      <c r="D231" s="15">
        <f>IFERROR(SUMIFS(DataEntry!$GX:$GX,DataEntry!$A:$A,"Ngabu",DataEntry!$B:$B,"Bangula",DataEntry!$G:$G,"Q1"),"")</f>
        <v>22559509.759999998</v>
      </c>
      <c r="E231" s="15">
        <f>IFERROR(SUMIFS(DataEntry!$GX:$GX,DataEntry!$A:$A,"Ngabu",DataEntry!$B:$B,"Bangula",DataEntry!$G:$G,"Q2"),"")</f>
        <v>26713625.380000003</v>
      </c>
      <c r="F231" s="15">
        <f>IFERROR(SUMIFS(DataEntry!$GX:$GX,DataEntry!$A:$A,"Ngabu",DataEntry!$B:$B,"Bangula",DataEntry!$G:$G,"Q3"),"")</f>
        <v>26775793.109999999</v>
      </c>
      <c r="G231" s="15">
        <f>IFERROR(SUMIFS(DataEntry!$GX:$GX,DataEntry!$A:$A,"Ngabu",DataEntry!$B:$B,"Bangula",DataEntry!$G:$G,"Q4"),"")</f>
        <v>38369601.280000001</v>
      </c>
      <c r="H231" s="20">
        <f t="shared" si="17"/>
        <v>114418529.53</v>
      </c>
    </row>
    <row r="232" spans="1:8" x14ac:dyDescent="0.3">
      <c r="A232" s="21" t="s">
        <v>289</v>
      </c>
      <c r="B232" s="21" t="s">
        <v>290</v>
      </c>
      <c r="C232" s="12" t="s">
        <v>318</v>
      </c>
      <c r="D232" s="9">
        <f>IFERROR(SUMIFS(DataEntry!$CS:$CS,DataEntry!$A:$A,"Ngabu",DataEntry!$B:$B,"Bangula",DataEntry!$G:$G,"Q1"),"")</f>
        <v>2594</v>
      </c>
      <c r="E232" s="9">
        <f>IFERROR(SUMIFS(DataEntry!$CS:$CS,DataEntry!$A:$A,"Ngabu",DataEntry!$B:$B,"Bangula",DataEntry!$G:$G,"Q2"),"")</f>
        <v>2700</v>
      </c>
      <c r="F232" s="9">
        <f>IFERROR(SUMIFS(DataEntry!$CS:$CS,DataEntry!$A:$A,"Ngabu",DataEntry!$B:$B,"Bangula",DataEntry!$G:$G,"Q3"),"")</f>
        <v>2808</v>
      </c>
      <c r="G232" s="9">
        <f>IFERROR(SUMIFS(DataEntry!$CS:$CS,DataEntry!$A:$A,"Ngabu",DataEntry!$B:$B,"Bangula",DataEntry!$G:$G,"Q4"),"")</f>
        <v>2957</v>
      </c>
      <c r="H232" s="22">
        <f t="shared" si="17"/>
        <v>11059</v>
      </c>
    </row>
    <row r="233" spans="1:8" x14ac:dyDescent="0.3">
      <c r="A233" s="19" t="s">
        <v>289</v>
      </c>
      <c r="B233" s="19" t="s">
        <v>290</v>
      </c>
      <c r="C233" s="6" t="s">
        <v>319</v>
      </c>
      <c r="D233" s="15">
        <f>IFERROR(SUMIFS(DataEntry!$CA:$CA,DataEntry!$A:$A,"Ngabu",DataEntry!$B:$B,"Bangula",DataEntry!$G:$G,"Q1"),"")</f>
        <v>29</v>
      </c>
      <c r="E233" s="15">
        <f>IFERROR(SUMIFS(DataEntry!$CA:$CA,DataEntry!$A:$A,"Ngabu",DataEntry!$B:$B,"Bangula",DataEntry!$G:$G,"Q2"),"")</f>
        <v>41</v>
      </c>
      <c r="F233" s="15">
        <f>IFERROR(SUMIFS(DataEntry!$CA:$CA,DataEntry!$A:$A,"Ngabu",DataEntry!$B:$B,"Bangula",DataEntry!$G:$G,"Q3"),"")</f>
        <v>24</v>
      </c>
      <c r="G233" s="15">
        <f>IFERROR(SUMIFS(DataEntry!$CA:$CA,DataEntry!$A:$A,"Ngabu",DataEntry!$B:$B,"Bangula",DataEntry!$G:$G,"Q4"),"")</f>
        <v>21</v>
      </c>
      <c r="H233" s="20">
        <f t="shared" si="17"/>
        <v>115</v>
      </c>
    </row>
    <row r="234" spans="1:8" x14ac:dyDescent="0.3">
      <c r="A234" s="21" t="s">
        <v>289</v>
      </c>
      <c r="B234" s="21" t="s">
        <v>290</v>
      </c>
      <c r="C234" s="12" t="s">
        <v>320</v>
      </c>
      <c r="D234" s="9">
        <f>IFERROR(SUMIFS(DataEntry!$DV:$DV,DataEntry!$A:$A,"Ngabu",DataEntry!$B:$B,"Bangula",DataEntry!$G:$G,"Q1"),"")</f>
        <v>0</v>
      </c>
      <c r="E234" s="9">
        <f>IFERROR(SUMIFS(DataEntry!$DV:$DV,DataEntry!$A:$A,"Ngabu",DataEntry!$B:$B,"Bangula",DataEntry!$G:$G,"Q2"),"")</f>
        <v>0</v>
      </c>
      <c r="F234" s="9">
        <f>IFERROR(SUMIFS(DataEntry!$DV:$DV,DataEntry!$A:$A,"Ngabu",DataEntry!$B:$B,"Bangula",DataEntry!$G:$G,"Q3"),"")</f>
        <v>0</v>
      </c>
      <c r="G234" s="9">
        <f>IFERROR(SUMIFS(DataEntry!$DV:$DV,DataEntry!$A:$A,"Ngabu",DataEntry!$B:$B,"Bangula",DataEntry!$G:$G,"Q4"),"")</f>
        <v>0</v>
      </c>
      <c r="H234" s="22">
        <f t="shared" si="17"/>
        <v>0</v>
      </c>
    </row>
    <row r="235" spans="1:8" x14ac:dyDescent="0.3">
      <c r="A235" s="19" t="s">
        <v>289</v>
      </c>
      <c r="B235" s="19" t="s">
        <v>290</v>
      </c>
      <c r="C235" s="6" t="s">
        <v>243</v>
      </c>
      <c r="D235" s="16">
        <f>IFERROR(AVERAGEIFS(DataEntry!$HC:$HC,DataEntry!$A:$A,"Ngabu",DataEntry!$B:$B,"Bangula",DataEntry!$G:$G,"Q1"),"")</f>
        <v>0.9175873514525833</v>
      </c>
      <c r="E235" s="16">
        <f>IFERROR(AVERAGEIFS(DataEntry!$HC:$HC,DataEntry!$A:$A,"Ngabu",DataEntry!$B:$B,"Bangula",DataEntry!$G:$G,"Q2"),"")</f>
        <v>0.85563553101312573</v>
      </c>
      <c r="F235" s="16">
        <f>IFERROR(AVERAGEIFS(DataEntry!$HC:$HC,DataEntry!$A:$A,"Ngabu",DataEntry!$B:$B,"Bangula",DataEntry!$G:$G,"Q3"),"")</f>
        <v>0.7908104886938796</v>
      </c>
      <c r="G235" s="16">
        <f>IFERROR(AVERAGEIFS(DataEntry!$HC:$HC,DataEntry!$A:$A,"Ngabu",DataEntry!$B:$B,"Bangula",DataEntry!$G:$G,"Q4"),"")</f>
        <v>667174.85331945447</v>
      </c>
      <c r="H235" s="24">
        <f>IFERROR(AVERAGE(D235:G235),"")</f>
        <v>166794.35433820641</v>
      </c>
    </row>
    <row r="236" spans="1:8" x14ac:dyDescent="0.3">
      <c r="A236" s="21" t="s">
        <v>289</v>
      </c>
      <c r="B236" s="21" t="s">
        <v>290</v>
      </c>
      <c r="C236" s="12" t="s">
        <v>242</v>
      </c>
      <c r="D236" s="10">
        <f>IFERROR(AVERAGEIFS(DataEntry!$HB:$HB,DataEntry!$A:$A,"Ngabu",DataEntry!$B:$B,"Bangula",DataEntry!$G:$G,"Q1"),"")</f>
        <v>5.702770109313441E-2</v>
      </c>
      <c r="E236" s="10">
        <f>IFERROR(AVERAGEIFS(DataEntry!$HB:$HB,DataEntry!$A:$A,"Ngabu",DataEntry!$B:$B,"Bangula",DataEntry!$G:$G,"Q2"),"")</f>
        <v>6.3446551667425244E-2</v>
      </c>
      <c r="F236" s="10">
        <f>IFERROR(AVERAGEIFS(DataEntry!$HB:$HB,DataEntry!$A:$A,"Ngabu",DataEntry!$B:$B,"Bangula",DataEntry!$G:$G,"Q3"),"")</f>
        <v>5.3908927544569003E-2</v>
      </c>
      <c r="G236" s="10">
        <f>IFERROR(AVERAGEIFS(DataEntry!$HB:$HB,DataEntry!$A:$A,"Ngabu",DataEntry!$B:$B,"Bangula",DataEntry!$G:$G,"Q4"),"")</f>
        <v>7782518.2301680846</v>
      </c>
      <c r="H236" s="23">
        <f>IFERROR(AVERAGE(D236:G236),"")</f>
        <v>1945629.6011378162</v>
      </c>
    </row>
    <row r="237" spans="1:8" x14ac:dyDescent="0.3">
      <c r="A237" s="19" t="s">
        <v>289</v>
      </c>
      <c r="B237" s="19" t="s">
        <v>291</v>
      </c>
      <c r="C237" s="6" t="s">
        <v>40</v>
      </c>
      <c r="D237" s="15">
        <f>IFERROR(SUMIFS(DataEntry!$H:$H,DataEntry!$A:$A,"Ngabu",DataEntry!$B:$B,"Chikwawa",DataEntry!$G:$G,"Q1"),"")</f>
        <v>82998</v>
      </c>
      <c r="E237" s="15">
        <f>IFERROR(SUMIFS(DataEntry!$H:$H,DataEntry!$A:$A,"Ngabu",DataEntry!$B:$B,"Chikwawa",DataEntry!$G:$G,"Q2"),"")</f>
        <v>82580</v>
      </c>
      <c r="F237" s="15">
        <f>IFERROR(SUMIFS(DataEntry!$H:$H,DataEntry!$A:$A,"Ngabu",DataEntry!$B:$B,"Chikwawa",DataEntry!$G:$G,"Q3"),"")</f>
        <v>82013</v>
      </c>
      <c r="G237" s="15">
        <f>IFERROR(SUMIFS(DataEntry!$H:$H,DataEntry!$A:$A,"Ngabu",DataEntry!$B:$B,"Chikwawa",DataEntry!$G:$G,"Q4"),"")</f>
        <v>78805</v>
      </c>
      <c r="H237" s="20">
        <f>IFERROR(SUM(D237:G237),"")</f>
        <v>326396</v>
      </c>
    </row>
    <row r="238" spans="1:8" x14ac:dyDescent="0.3">
      <c r="A238" s="21" t="s">
        <v>289</v>
      </c>
      <c r="B238" s="21" t="s">
        <v>291</v>
      </c>
      <c r="C238" s="12" t="s">
        <v>312</v>
      </c>
      <c r="D238" s="9">
        <f>IFERROR(SUMIFS(DataEntry!$S:$S,DataEntry!$A:$A,"Ngabu",DataEntry!$B:$B,"Chikwawa",DataEntry!$G:$G,"Q1"),"")</f>
        <v>61986</v>
      </c>
      <c r="E238" s="9">
        <f>IFERROR(SUMIFS(DataEntry!$S:$S,DataEntry!$A:$A,"Ngabu",DataEntry!$B:$B,"Chikwawa",DataEntry!$G:$G,"Q2"),"")</f>
        <v>63037</v>
      </c>
      <c r="F238" s="9">
        <f>IFERROR(SUMIFS(DataEntry!$S:$S,DataEntry!$A:$A,"Ngabu",DataEntry!$B:$B,"Chikwawa",DataEntry!$G:$G,"Q3"),"")</f>
        <v>67725</v>
      </c>
      <c r="G238" s="9">
        <f>IFERROR(SUMIFS(DataEntry!$S:$S,DataEntry!$A:$A,"Ngabu",DataEntry!$B:$B,"Chikwawa",DataEntry!$G:$G,"Q4"),"")</f>
        <v>57768</v>
      </c>
      <c r="H238" s="22">
        <f>IFERROR(SUM(D238:G238),"")</f>
        <v>250516</v>
      </c>
    </row>
    <row r="239" spans="1:8" x14ac:dyDescent="0.3">
      <c r="A239" s="19" t="s">
        <v>289</v>
      </c>
      <c r="B239" s="19" t="s">
        <v>291</v>
      </c>
      <c r="C239" s="6" t="s">
        <v>313</v>
      </c>
      <c r="D239" s="15">
        <f>IFERROR(SUMIFS(DataEntry!$T:$T,DataEntry!$A:$A,"Ngabu",DataEntry!$B:$B,"Chikwawa",DataEntry!$G:$G,"Q1"),"")</f>
        <v>21012</v>
      </c>
      <c r="E239" s="15">
        <f>IFERROR(SUMIFS(DataEntry!$T:$T,DataEntry!$A:$A,"Ngabu",DataEntry!$B:$B,"Chikwawa",DataEntry!$G:$G,"Q2"),"")</f>
        <v>19543</v>
      </c>
      <c r="F239" s="15">
        <f>IFERROR(SUMIFS(DataEntry!$T:$T,DataEntry!$A:$A,"Ngabu",DataEntry!$B:$B,"Chikwawa",DataEntry!$G:$G,"Q3"),"")</f>
        <v>14288</v>
      </c>
      <c r="G239" s="15">
        <f>IFERROR(SUMIFS(DataEntry!$T:$T,DataEntry!$A:$A,"Ngabu",DataEntry!$B:$B,"Chikwawa",DataEntry!$G:$G,"Q4"),"")</f>
        <v>21037</v>
      </c>
      <c r="H239" s="20">
        <f>IFERROR(SUM(D239:G239),"")</f>
        <v>75880</v>
      </c>
    </row>
    <row r="240" spans="1:8" x14ac:dyDescent="0.3">
      <c r="A240" s="21" t="s">
        <v>289</v>
      </c>
      <c r="B240" s="21" t="s">
        <v>291</v>
      </c>
      <c r="C240" s="12" t="s">
        <v>53</v>
      </c>
      <c r="D240" s="10">
        <f>IFERROR(AVERAGEIFS(DataEntry!$U:$U,DataEntry!$A:$A,"Ngabu",DataEntry!$B:$B,"Chikwawa",DataEntry!$G:$G,"Q1"),"")</f>
        <v>0.25310008814750223</v>
      </c>
      <c r="E240" s="10">
        <f>IFERROR(AVERAGEIFS(DataEntry!$U:$U,DataEntry!$A:$A,"Ngabu",DataEntry!$B:$B,"Chikwawa",DataEntry!$G:$G,"Q2"),"")</f>
        <v>0.2364768832281382</v>
      </c>
      <c r="F240" s="10">
        <f>IFERROR(AVERAGEIFS(DataEntry!$U:$U,DataEntry!$A:$A,"Ngabu",DataEntry!$B:$B,"Chikwawa",DataEntry!$G:$G,"Q3"),"")</f>
        <v>0.17391978111711706</v>
      </c>
      <c r="G240" s="10">
        <f>IFERROR(AVERAGEIFS(DataEntry!$U:$U,DataEntry!$A:$A,"Ngabu",DataEntry!$B:$B,"Chikwawa",DataEntry!$G:$G,"Q4"),"")</f>
        <v>0.26715913954960835</v>
      </c>
      <c r="H240" s="23">
        <f>IFERROR(AVERAGE(D240:G240),"")</f>
        <v>0.23266397301059147</v>
      </c>
    </row>
    <row r="241" spans="1:8" x14ac:dyDescent="0.3">
      <c r="A241" s="19" t="s">
        <v>289</v>
      </c>
      <c r="B241" s="19" t="s">
        <v>291</v>
      </c>
      <c r="C241" s="6" t="s">
        <v>314</v>
      </c>
      <c r="D241" s="15">
        <f>IFERROR(SUMIFS(DataEntry!$AU:$AU,DataEntry!$A:$A,"Ngabu",DataEntry!$B:$B,"Chikwawa",DataEntry!$G:$G,"Q1"),"")</f>
        <v>8333055.7100000009</v>
      </c>
      <c r="E241" s="15">
        <f>IFERROR(SUMIFS(DataEntry!$AU:$AU,DataEntry!$A:$A,"Ngabu",DataEntry!$B:$B,"Chikwawa",DataEntry!$G:$G,"Q2"),"")</f>
        <v>7867415.3830000004</v>
      </c>
      <c r="F241" s="15">
        <f>IFERROR(SUMIFS(DataEntry!$AU:$AU,DataEntry!$A:$A,"Ngabu",DataEntry!$B:$B,"Chikwawa",DataEntry!$G:$G,"Q3"),"")</f>
        <v>8690607.9670000002</v>
      </c>
      <c r="G241" s="15">
        <f>IFERROR(SUMIFS(DataEntry!$AU:$AU,DataEntry!$A:$A,"Ngabu",DataEntry!$B:$B,"Chikwawa",DataEntry!$G:$G,"Q4"),"")</f>
        <v>6111398.2240000004</v>
      </c>
      <c r="H241" s="20">
        <f t="shared" ref="H241:H247" si="18">IFERROR(SUM(D241:G241),"")</f>
        <v>31002477.284000002</v>
      </c>
    </row>
    <row r="242" spans="1:8" x14ac:dyDescent="0.3">
      <c r="A242" s="21" t="s">
        <v>289</v>
      </c>
      <c r="B242" s="21" t="s">
        <v>291</v>
      </c>
      <c r="C242" s="12" t="s">
        <v>315</v>
      </c>
      <c r="D242" s="9">
        <f>IFERROR(SUMIFS(DataEntry!$GB:$GB,DataEntry!$A:$A,"Ngabu",DataEntry!$B:$B,"Chikwawa",DataEntry!$G:$G,"Q1"),"")</f>
        <v>58875120</v>
      </c>
      <c r="E242" s="9">
        <f>IFERROR(SUMIFS(DataEntry!$GB:$GB,DataEntry!$A:$A,"Ngabu",DataEntry!$B:$B,"Chikwawa",DataEntry!$G:$G,"Q2"),"")</f>
        <v>109905693</v>
      </c>
      <c r="F242" s="9">
        <f>IFERROR(SUMIFS(DataEntry!$GB:$GB,DataEntry!$A:$A,"Ngabu",DataEntry!$B:$B,"Chikwawa",DataEntry!$G:$G,"Q3"),"")</f>
        <v>115322609</v>
      </c>
      <c r="G242" s="9">
        <f>IFERROR(SUMIFS(DataEntry!$GB:$GB,DataEntry!$A:$A,"Ngabu",DataEntry!$B:$B,"Chikwawa",DataEntry!$G:$G,"Q4"),"")</f>
        <v>66522672.879999995</v>
      </c>
      <c r="H242" s="22">
        <f t="shared" si="18"/>
        <v>350626094.88</v>
      </c>
    </row>
    <row r="243" spans="1:8" x14ac:dyDescent="0.3">
      <c r="A243" s="19" t="s">
        <v>289</v>
      </c>
      <c r="B243" s="19" t="s">
        <v>291</v>
      </c>
      <c r="C243" s="6" t="s">
        <v>316</v>
      </c>
      <c r="D243" s="15">
        <f>IFERROR(SUMIFS(DataEntry!$GM:$GM,DataEntry!$A:$A,"Ngabu",DataEntry!$B:$B,"Chikwawa",DataEntry!$G:$G,"Q1"),"")</f>
        <v>66918496.629999995</v>
      </c>
      <c r="E243" s="15">
        <f>IFERROR(SUMIFS(DataEntry!$GM:$GM,DataEntry!$A:$A,"Ngabu",DataEntry!$B:$B,"Chikwawa",DataEntry!$G:$G,"Q2"),"")</f>
        <v>98001427.75999999</v>
      </c>
      <c r="F243" s="15">
        <f>IFERROR(SUMIFS(DataEntry!$GM:$GM,DataEntry!$A:$A,"Ngabu",DataEntry!$B:$B,"Chikwawa",DataEntry!$G:$G,"Q3"),"")</f>
        <v>95087617.860000014</v>
      </c>
      <c r="G243" s="15">
        <f>IFERROR(SUMIFS(DataEntry!$GM:$GM,DataEntry!$A:$A,"Ngabu",DataEntry!$B:$B,"Chikwawa",DataEntry!$G:$G,"Q4"),"")</f>
        <v>66432021.240000002</v>
      </c>
      <c r="H243" s="20">
        <f t="shared" si="18"/>
        <v>326439563.49000001</v>
      </c>
    </row>
    <row r="244" spans="1:8" x14ac:dyDescent="0.3">
      <c r="A244" s="21" t="s">
        <v>289</v>
      </c>
      <c r="B244" s="21" t="s">
        <v>291</v>
      </c>
      <c r="C244" s="12" t="s">
        <v>317</v>
      </c>
      <c r="D244" s="9">
        <f>IFERROR(SUMIFS(DataEntry!$GX:$GX,DataEntry!$A:$A,"Ngabu",DataEntry!$B:$B,"Chikwawa",DataEntry!$G:$G,"Q1"),"")</f>
        <v>76755385.919999987</v>
      </c>
      <c r="E244" s="9">
        <f>IFERROR(SUMIFS(DataEntry!$GX:$GX,DataEntry!$A:$A,"Ngabu",DataEntry!$B:$B,"Chikwawa",DataEntry!$G:$G,"Q2"),"")</f>
        <v>105819677.09</v>
      </c>
      <c r="F244" s="9">
        <f>IFERROR(SUMIFS(DataEntry!$GX:$GX,DataEntry!$A:$A,"Ngabu",DataEntry!$B:$B,"Chikwawa",DataEntry!$G:$G,"Q3"),"")</f>
        <v>103738503.40000001</v>
      </c>
      <c r="G244" s="9">
        <f>IFERROR(SUMIFS(DataEntry!$GX:$GX,DataEntry!$A:$A,"Ngabu",DataEntry!$B:$B,"Chikwawa",DataEntry!$G:$G,"Q4"),"")</f>
        <v>74811500.039999992</v>
      </c>
      <c r="H244" s="22">
        <f t="shared" si="18"/>
        <v>361125066.44999993</v>
      </c>
    </row>
    <row r="245" spans="1:8" x14ac:dyDescent="0.3">
      <c r="A245" s="19" t="s">
        <v>289</v>
      </c>
      <c r="B245" s="19" t="s">
        <v>291</v>
      </c>
      <c r="C245" s="6" t="s">
        <v>318</v>
      </c>
      <c r="D245" s="15">
        <f>IFERROR(SUMIFS(DataEntry!$CS:$CS,DataEntry!$A:$A,"Ngabu",DataEntry!$B:$B,"Chikwawa",DataEntry!$G:$G,"Q1"),"")</f>
        <v>8556</v>
      </c>
      <c r="E245" s="15">
        <f>IFERROR(SUMIFS(DataEntry!$CS:$CS,DataEntry!$A:$A,"Ngabu",DataEntry!$B:$B,"Chikwawa",DataEntry!$G:$G,"Q2"),"")</f>
        <v>7195</v>
      </c>
      <c r="F245" s="15">
        <f>IFERROR(SUMIFS(DataEntry!$CS:$CS,DataEntry!$A:$A,"Ngabu",DataEntry!$B:$B,"Chikwawa",DataEntry!$G:$G,"Q3"),"")</f>
        <v>8998</v>
      </c>
      <c r="G245" s="15">
        <f>IFERROR(SUMIFS(DataEntry!$CS:$CS,DataEntry!$A:$A,"Ngabu",DataEntry!$B:$B,"Chikwawa",DataEntry!$G:$G,"Q4"),"")</f>
        <v>8924</v>
      </c>
      <c r="H245" s="20">
        <f t="shared" si="18"/>
        <v>33673</v>
      </c>
    </row>
    <row r="246" spans="1:8" x14ac:dyDescent="0.3">
      <c r="A246" s="21" t="s">
        <v>289</v>
      </c>
      <c r="B246" s="21" t="s">
        <v>291</v>
      </c>
      <c r="C246" s="12" t="s">
        <v>319</v>
      </c>
      <c r="D246" s="9">
        <f>IFERROR(SUMIFS(DataEntry!$CA:$CA,DataEntry!$A:$A,"Ngabu",DataEntry!$B:$B,"Chikwawa",DataEntry!$G:$G,"Q1"),"")</f>
        <v>45</v>
      </c>
      <c r="E246" s="9">
        <f>IFERROR(SUMIFS(DataEntry!$CA:$CA,DataEntry!$A:$A,"Ngabu",DataEntry!$B:$B,"Chikwawa",DataEntry!$G:$G,"Q2"),"")</f>
        <v>102</v>
      </c>
      <c r="F246" s="9">
        <f>IFERROR(SUMIFS(DataEntry!$CA:$CA,DataEntry!$A:$A,"Ngabu",DataEntry!$B:$B,"Chikwawa",DataEntry!$G:$G,"Q3"),"")</f>
        <v>36</v>
      </c>
      <c r="G246" s="9">
        <f>IFERROR(SUMIFS(DataEntry!$CA:$CA,DataEntry!$A:$A,"Ngabu",DataEntry!$B:$B,"Chikwawa",DataEntry!$G:$G,"Q4"),"")</f>
        <v>36</v>
      </c>
      <c r="H246" s="22">
        <f t="shared" si="18"/>
        <v>219</v>
      </c>
    </row>
    <row r="247" spans="1:8" x14ac:dyDescent="0.3">
      <c r="A247" s="19" t="s">
        <v>289</v>
      </c>
      <c r="B247" s="19" t="s">
        <v>291</v>
      </c>
      <c r="C247" s="6" t="s">
        <v>320</v>
      </c>
      <c r="D247" s="15">
        <f>IFERROR(SUMIFS(DataEntry!$DV:$DV,DataEntry!$A:$A,"Ngabu",DataEntry!$B:$B,"Chikwawa",DataEntry!$G:$G,"Q1"),"")</f>
        <v>541</v>
      </c>
      <c r="E247" s="15">
        <f>IFERROR(SUMIFS(DataEntry!$DV:$DV,DataEntry!$A:$A,"Ngabu",DataEntry!$B:$B,"Chikwawa",DataEntry!$G:$G,"Q2"),"")</f>
        <v>496</v>
      </c>
      <c r="F247" s="15">
        <f>IFERROR(SUMIFS(DataEntry!$DV:$DV,DataEntry!$A:$A,"Ngabu",DataEntry!$B:$B,"Chikwawa",DataEntry!$G:$G,"Q3"),"")</f>
        <v>326</v>
      </c>
      <c r="G247" s="15">
        <f>IFERROR(SUMIFS(DataEntry!$DV:$DV,DataEntry!$A:$A,"Ngabu",DataEntry!$B:$B,"Chikwawa",DataEntry!$G:$G,"Q4"),"")</f>
        <v>40</v>
      </c>
      <c r="H247" s="20">
        <f t="shared" si="18"/>
        <v>1403</v>
      </c>
    </row>
    <row r="248" spans="1:8" x14ac:dyDescent="0.3">
      <c r="A248" s="21" t="s">
        <v>289</v>
      </c>
      <c r="B248" s="21" t="s">
        <v>291</v>
      </c>
      <c r="C248" s="12" t="s">
        <v>243</v>
      </c>
      <c r="D248" s="10">
        <f>IFERROR(AVERAGEIFS(DataEntry!$HC:$HC,DataEntry!$A:$A,"Ngabu",DataEntry!$B:$B,"Chikwawa",DataEntry!$G:$G,"Q1"),"")</f>
        <v>0.39006085471290958</v>
      </c>
      <c r="E248" s="10">
        <f>IFERROR(AVERAGEIFS(DataEntry!$HC:$HC,DataEntry!$A:$A,"Ngabu",DataEntry!$B:$B,"Chikwawa",DataEntry!$G:$G,"Q2"),"")</f>
        <v>0.6090363624350138</v>
      </c>
      <c r="F248" s="10">
        <f>IFERROR(AVERAGEIFS(DataEntry!$HC:$HC,DataEntry!$A:$A,"Ngabu",DataEntry!$B:$B,"Chikwawa",DataEntry!$G:$G,"Q3"),"")</f>
        <v>0.51245505481993814</v>
      </c>
      <c r="G248" s="10">
        <f>IFERROR(AVERAGEIFS(DataEntry!$HC:$HC,DataEntry!$A:$A,"Ngabu",DataEntry!$B:$B,"Chikwawa",DataEntry!$G:$G,"Q4"),"")</f>
        <v>10283170.210781017</v>
      </c>
      <c r="H248" s="23">
        <f>IFERROR(AVERAGE(D248:G248),"")</f>
        <v>2570792.9305833224</v>
      </c>
    </row>
    <row r="249" spans="1:8" x14ac:dyDescent="0.3">
      <c r="A249" s="19" t="s">
        <v>289</v>
      </c>
      <c r="B249" s="19" t="s">
        <v>291</v>
      </c>
      <c r="C249" s="6" t="s">
        <v>242</v>
      </c>
      <c r="D249" s="16">
        <f>IFERROR(AVERAGEIFS(DataEntry!$HB:$HB,DataEntry!$A:$A,"Ngabu",DataEntry!$B:$B,"Chikwawa",DataEntry!$G:$G,"Q1"),"")</f>
        <v>0.10874878662384613</v>
      </c>
      <c r="E249" s="16">
        <f>IFERROR(AVERAGEIFS(DataEntry!$HB:$HB,DataEntry!$A:$A,"Ngabu",DataEntry!$B:$B,"Chikwawa",DataEntry!$G:$G,"Q2"),"")</f>
        <v>7.66291354861144E-2</v>
      </c>
      <c r="F249" s="16">
        <f>IFERROR(AVERAGEIFS(DataEntry!$HB:$HB,DataEntry!$A:$A,"Ngabu",DataEntry!$B:$B,"Chikwawa",DataEntry!$G:$G,"Q3"),"")</f>
        <v>9.0383040165154915E-2</v>
      </c>
      <c r="G249" s="16">
        <f>IFERROR(AVERAGEIFS(DataEntry!$HB:$HB,DataEntry!$A:$A,"Ngabu",DataEntry!$B:$B,"Chikwawa",DataEntry!$G:$G,"Q4"),"")</f>
        <v>9038198.1738584638</v>
      </c>
      <c r="H249" s="24">
        <f>IFERROR(AVERAGE(D249:G249),"")</f>
        <v>2259549.6124048564</v>
      </c>
    </row>
    <row r="250" spans="1:8" x14ac:dyDescent="0.3">
      <c r="A250" s="21" t="s">
        <v>289</v>
      </c>
      <c r="B250" s="21" t="s">
        <v>292</v>
      </c>
      <c r="C250" s="12" t="s">
        <v>40</v>
      </c>
      <c r="D250" s="9">
        <f>IFERROR(SUMIFS(DataEntry!$H:$H,DataEntry!$A:$A,"Ngabu",DataEntry!$B:$B,"Miseu Folo",DataEntry!$G:$G,"Q1"),"")</f>
        <v>11140</v>
      </c>
      <c r="E250" s="9">
        <f>IFERROR(SUMIFS(DataEntry!$H:$H,DataEntry!$A:$A,"Ngabu",DataEntry!$B:$B,"Miseu Folo",DataEntry!$G:$G,"Q2"),"")</f>
        <v>13892</v>
      </c>
      <c r="F250" s="9">
        <f>IFERROR(SUMIFS(DataEntry!$H:$H,DataEntry!$A:$A,"Ngabu",DataEntry!$B:$B,"Miseu Folo",DataEntry!$G:$G,"Q3"),"")</f>
        <v>17442</v>
      </c>
      <c r="G250" s="9">
        <f>IFERROR(SUMIFS(DataEntry!$H:$H,DataEntry!$A:$A,"Ngabu",DataEntry!$B:$B,"Miseu Folo",DataEntry!$G:$G,"Q4"),"")</f>
        <v>12041</v>
      </c>
      <c r="H250" s="22">
        <f>IFERROR(SUM(D250:G250),"")</f>
        <v>54515</v>
      </c>
    </row>
    <row r="251" spans="1:8" x14ac:dyDescent="0.3">
      <c r="A251" s="19" t="s">
        <v>289</v>
      </c>
      <c r="B251" s="19" t="s">
        <v>292</v>
      </c>
      <c r="C251" s="6" t="s">
        <v>312</v>
      </c>
      <c r="D251" s="15">
        <f>IFERROR(SUMIFS(DataEntry!$S:$S,DataEntry!$A:$A,"Ngabu",DataEntry!$B:$B,"Miseu Folo",DataEntry!$G:$G,"Q1"),"")</f>
        <v>8487</v>
      </c>
      <c r="E251" s="15">
        <f>IFERROR(SUMIFS(DataEntry!$S:$S,DataEntry!$A:$A,"Ngabu",DataEntry!$B:$B,"Miseu Folo",DataEntry!$G:$G,"Q2"),"")</f>
        <v>11549</v>
      </c>
      <c r="F251" s="15">
        <f>IFERROR(SUMIFS(DataEntry!$S:$S,DataEntry!$A:$A,"Ngabu",DataEntry!$B:$B,"Miseu Folo",DataEntry!$G:$G,"Q3"),"")</f>
        <v>12818</v>
      </c>
      <c r="G251" s="15">
        <f>IFERROR(SUMIFS(DataEntry!$S:$S,DataEntry!$A:$A,"Ngabu",DataEntry!$B:$B,"Miseu Folo",DataEntry!$G:$G,"Q4"),"")</f>
        <v>10152</v>
      </c>
      <c r="H251" s="20">
        <f>IFERROR(SUM(D251:G251),"")</f>
        <v>43006</v>
      </c>
    </row>
    <row r="252" spans="1:8" x14ac:dyDescent="0.3">
      <c r="A252" s="21" t="s">
        <v>289</v>
      </c>
      <c r="B252" s="21" t="s">
        <v>292</v>
      </c>
      <c r="C252" s="12" t="s">
        <v>313</v>
      </c>
      <c r="D252" s="9">
        <f>IFERROR(SUMIFS(DataEntry!$T:$T,DataEntry!$A:$A,"Ngabu",DataEntry!$B:$B,"Miseu Folo",DataEntry!$G:$G,"Q1"),"")</f>
        <v>2653</v>
      </c>
      <c r="E252" s="9">
        <f>IFERROR(SUMIFS(DataEntry!$T:$T,DataEntry!$A:$A,"Ngabu",DataEntry!$B:$B,"Miseu Folo",DataEntry!$G:$G,"Q2"),"")</f>
        <v>2343</v>
      </c>
      <c r="F252" s="9">
        <f>IFERROR(SUMIFS(DataEntry!$T:$T,DataEntry!$A:$A,"Ngabu",DataEntry!$B:$B,"Miseu Folo",DataEntry!$G:$G,"Q3"),"")</f>
        <v>4624</v>
      </c>
      <c r="G252" s="9">
        <f>IFERROR(SUMIFS(DataEntry!$T:$T,DataEntry!$A:$A,"Ngabu",DataEntry!$B:$B,"Miseu Folo",DataEntry!$G:$G,"Q4"),"")</f>
        <v>1889</v>
      </c>
      <c r="H252" s="22">
        <f>IFERROR(SUM(D252:G252),"")</f>
        <v>11509</v>
      </c>
    </row>
    <row r="253" spans="1:8" x14ac:dyDescent="0.3">
      <c r="A253" s="19" t="s">
        <v>289</v>
      </c>
      <c r="B253" s="19" t="s">
        <v>292</v>
      </c>
      <c r="C253" s="6" t="s">
        <v>53</v>
      </c>
      <c r="D253" s="16">
        <f>IFERROR(AVERAGEIFS(DataEntry!$U:$U,DataEntry!$A:$A,"Ngabu",DataEntry!$B:$B,"Miseu Folo",DataEntry!$G:$G,"Q1"),"")</f>
        <v>0.23490597022306839</v>
      </c>
      <c r="E253" s="16">
        <f>IFERROR(AVERAGEIFS(DataEntry!$U:$U,DataEntry!$A:$A,"Ngabu",DataEntry!$B:$B,"Miseu Folo",DataEntry!$G:$G,"Q2"),"")</f>
        <v>0.14147748816079267</v>
      </c>
      <c r="F253" s="16">
        <f>IFERROR(AVERAGEIFS(DataEntry!$U:$U,DataEntry!$A:$A,"Ngabu",DataEntry!$B:$B,"Miseu Folo",DataEntry!$G:$G,"Q3"),"")</f>
        <v>0.25877054902435381</v>
      </c>
      <c r="G253" s="16">
        <f>IFERROR(AVERAGEIFS(DataEntry!$U:$U,DataEntry!$A:$A,"Ngabu",DataEntry!$B:$B,"Miseu Folo",DataEntry!$G:$G,"Q4"),"")</f>
        <v>0.19505631788715325</v>
      </c>
      <c r="H253" s="24">
        <f>IFERROR(AVERAGE(D253:G253),"")</f>
        <v>0.20755258132384205</v>
      </c>
    </row>
    <row r="254" spans="1:8" x14ac:dyDescent="0.3">
      <c r="A254" s="21" t="s">
        <v>289</v>
      </c>
      <c r="B254" s="21" t="s">
        <v>292</v>
      </c>
      <c r="C254" s="12" t="s">
        <v>314</v>
      </c>
      <c r="D254" s="9">
        <f>IFERROR(SUMIFS(DataEntry!$AU:$AU,DataEntry!$A:$A,"Ngabu",DataEntry!$B:$B,"Miseu Folo",DataEntry!$G:$G,"Q1"),"")</f>
        <v>576416.4865</v>
      </c>
      <c r="E254" s="9">
        <f>IFERROR(SUMIFS(DataEntry!$AU:$AU,DataEntry!$A:$A,"Ngabu",DataEntry!$B:$B,"Miseu Folo",DataEntry!$G:$G,"Q2"),"")</f>
        <v>700378.07849999995</v>
      </c>
      <c r="F254" s="9">
        <f>IFERROR(SUMIFS(DataEntry!$AU:$AU,DataEntry!$A:$A,"Ngabu",DataEntry!$B:$B,"Miseu Folo",DataEntry!$G:$G,"Q3"),"")</f>
        <v>834884.78450000007</v>
      </c>
      <c r="G254" s="9">
        <f>IFERROR(SUMIFS(DataEntry!$AU:$AU,DataEntry!$A:$A,"Ngabu",DataEntry!$B:$B,"Miseu Folo",DataEntry!$G:$G,"Q4"),"")</f>
        <v>409737.95600000001</v>
      </c>
      <c r="H254" s="22">
        <f t="shared" ref="H254:H260" si="19">IFERROR(SUM(D254:G254),"")</f>
        <v>2521417.3054999998</v>
      </c>
    </row>
    <row r="255" spans="1:8" x14ac:dyDescent="0.3">
      <c r="A255" s="19" t="s">
        <v>289</v>
      </c>
      <c r="B255" s="19" t="s">
        <v>292</v>
      </c>
      <c r="C255" s="6" t="s">
        <v>315</v>
      </c>
      <c r="D255" s="15">
        <f>IFERROR(SUMIFS(DataEntry!$GB:$GB,DataEntry!$A:$A,"Ngabu",DataEntry!$B:$B,"Miseu Folo",DataEntry!$G:$G,"Q1"),"")</f>
        <v>9346463</v>
      </c>
      <c r="E255" s="15">
        <f>IFERROR(SUMIFS(DataEntry!$GB:$GB,DataEntry!$A:$A,"Ngabu",DataEntry!$B:$B,"Miseu Folo",DataEntry!$G:$G,"Q2"),"")</f>
        <v>12207110</v>
      </c>
      <c r="F255" s="15">
        <f>IFERROR(SUMIFS(DataEntry!$GB:$GB,DataEntry!$A:$A,"Ngabu",DataEntry!$B:$B,"Miseu Folo",DataEntry!$G:$G,"Q3"),"")</f>
        <v>12827859</v>
      </c>
      <c r="G255" s="15">
        <f>IFERROR(SUMIFS(DataEntry!$GB:$GB,DataEntry!$A:$A,"Ngabu",DataEntry!$B:$B,"Miseu Folo",DataEntry!$G:$G,"Q4"),"")</f>
        <v>8082977</v>
      </c>
      <c r="H255" s="20">
        <f t="shared" si="19"/>
        <v>42464409</v>
      </c>
    </row>
    <row r="256" spans="1:8" x14ac:dyDescent="0.3">
      <c r="A256" s="21" t="s">
        <v>289</v>
      </c>
      <c r="B256" s="21" t="s">
        <v>292</v>
      </c>
      <c r="C256" s="12" t="s">
        <v>316</v>
      </c>
      <c r="D256" s="9">
        <f>IFERROR(SUMIFS(DataEntry!$GM:$GM,DataEntry!$A:$A,"Ngabu",DataEntry!$B:$B,"Miseu Folo",DataEntry!$G:$G,"Q1"),"")</f>
        <v>9920673.5800000001</v>
      </c>
      <c r="E256" s="9">
        <f>IFERROR(SUMIFS(DataEntry!$GM:$GM,DataEntry!$A:$A,"Ngabu",DataEntry!$B:$B,"Miseu Folo",DataEntry!$G:$G,"Q2"),"")</f>
        <v>14162130.739999998</v>
      </c>
      <c r="F256" s="9">
        <f>IFERROR(SUMIFS(DataEntry!$GM:$GM,DataEntry!$A:$A,"Ngabu",DataEntry!$B:$B,"Miseu Folo",DataEntry!$G:$G,"Q3"),"")</f>
        <v>13863259.030000001</v>
      </c>
      <c r="G256" s="9">
        <f>IFERROR(SUMIFS(DataEntry!$GM:$GM,DataEntry!$A:$A,"Ngabu",DataEntry!$B:$B,"Miseu Folo",DataEntry!$G:$G,"Q4"),"")</f>
        <v>8840881.4299999997</v>
      </c>
      <c r="H256" s="22">
        <f t="shared" si="19"/>
        <v>46786944.780000001</v>
      </c>
    </row>
    <row r="257" spans="1:8" x14ac:dyDescent="0.3">
      <c r="A257" s="19" t="s">
        <v>289</v>
      </c>
      <c r="B257" s="19" t="s">
        <v>292</v>
      </c>
      <c r="C257" s="6" t="s">
        <v>317</v>
      </c>
      <c r="D257" s="15">
        <f>IFERROR(SUMIFS(DataEntry!$GX:$GX,DataEntry!$A:$A,"Ngabu",DataEntry!$B:$B,"Miseu Folo",DataEntry!$G:$G,"Q1"),"")</f>
        <v>10364784.440000001</v>
      </c>
      <c r="E257" s="15">
        <f>IFERROR(SUMIFS(DataEntry!$GX:$GX,DataEntry!$A:$A,"Ngabu",DataEntry!$B:$B,"Miseu Folo",DataEntry!$G:$G,"Q2"),"")</f>
        <v>14902385.920000002</v>
      </c>
      <c r="F257" s="15">
        <f>IFERROR(SUMIFS(DataEntry!$GX:$GX,DataEntry!$A:$A,"Ngabu",DataEntry!$B:$B,"Miseu Folo",DataEntry!$G:$G,"Q3"),"")</f>
        <v>14869072.489999998</v>
      </c>
      <c r="G257" s="15">
        <f>IFERROR(SUMIFS(DataEntry!$GX:$GX,DataEntry!$A:$A,"Ngabu",DataEntry!$B:$B,"Miseu Folo",DataEntry!$G:$G,"Q4"),"")</f>
        <v>9873106.3699999992</v>
      </c>
      <c r="H257" s="20">
        <f t="shared" si="19"/>
        <v>50009349.219999999</v>
      </c>
    </row>
    <row r="258" spans="1:8" x14ac:dyDescent="0.3">
      <c r="A258" s="21" t="s">
        <v>289</v>
      </c>
      <c r="B258" s="21" t="s">
        <v>292</v>
      </c>
      <c r="C258" s="12" t="s">
        <v>318</v>
      </c>
      <c r="D258" s="9">
        <f>IFERROR(SUMIFS(DataEntry!$CS:$CS,DataEntry!$A:$A,"Ngabu",DataEntry!$B:$B,"Miseu Folo",DataEntry!$G:$G,"Q1"),"")</f>
        <v>2208</v>
      </c>
      <c r="E258" s="9">
        <f>IFERROR(SUMIFS(DataEntry!$CS:$CS,DataEntry!$A:$A,"Ngabu",DataEntry!$B:$B,"Miseu Folo",DataEntry!$G:$G,"Q2"),"")</f>
        <v>2298</v>
      </c>
      <c r="F258" s="9">
        <f>IFERROR(SUMIFS(DataEntry!$CS:$CS,DataEntry!$A:$A,"Ngabu",DataEntry!$B:$B,"Miseu Folo",DataEntry!$G:$G,"Q3"),"")</f>
        <v>2350</v>
      </c>
      <c r="G258" s="9">
        <f>IFERROR(SUMIFS(DataEntry!$CS:$CS,DataEntry!$A:$A,"Ngabu",DataEntry!$B:$B,"Miseu Folo",DataEntry!$G:$G,"Q4"),"")</f>
        <v>2373</v>
      </c>
      <c r="H258" s="22">
        <f t="shared" si="19"/>
        <v>9229</v>
      </c>
    </row>
    <row r="259" spans="1:8" x14ac:dyDescent="0.3">
      <c r="A259" s="19" t="s">
        <v>289</v>
      </c>
      <c r="B259" s="19" t="s">
        <v>292</v>
      </c>
      <c r="C259" s="6" t="s">
        <v>319</v>
      </c>
      <c r="D259" s="15">
        <f>IFERROR(SUMIFS(DataEntry!$CA:$CA,DataEntry!$A:$A,"Ngabu",DataEntry!$B:$B,"Miseu Folo",DataEntry!$G:$G,"Q1"),"")</f>
        <v>19</v>
      </c>
      <c r="E259" s="15">
        <f>IFERROR(SUMIFS(DataEntry!$CA:$CA,DataEntry!$A:$A,"Ngabu",DataEntry!$B:$B,"Miseu Folo",DataEntry!$G:$G,"Q2"),"")</f>
        <v>43</v>
      </c>
      <c r="F259" s="15">
        <f>IFERROR(SUMIFS(DataEntry!$CA:$CA,DataEntry!$A:$A,"Ngabu",DataEntry!$B:$B,"Miseu Folo",DataEntry!$G:$G,"Q3"),"")</f>
        <v>15</v>
      </c>
      <c r="G259" s="15">
        <f>IFERROR(SUMIFS(DataEntry!$CA:$CA,DataEntry!$A:$A,"Ngabu",DataEntry!$B:$B,"Miseu Folo",DataEntry!$G:$G,"Q4"),"")</f>
        <v>6</v>
      </c>
      <c r="H259" s="20">
        <f t="shared" si="19"/>
        <v>83</v>
      </c>
    </row>
    <row r="260" spans="1:8" x14ac:dyDescent="0.3">
      <c r="A260" s="21" t="s">
        <v>289</v>
      </c>
      <c r="B260" s="21" t="s">
        <v>292</v>
      </c>
      <c r="C260" s="12" t="s">
        <v>320</v>
      </c>
      <c r="D260" s="9">
        <f>IFERROR(SUMIFS(DataEntry!$DV:$DV,DataEntry!$A:$A,"Ngabu",DataEntry!$B:$B,"Miseu Folo",DataEntry!$G:$G,"Q1"),"")</f>
        <v>0</v>
      </c>
      <c r="E260" s="9">
        <f>IFERROR(SUMIFS(DataEntry!$DV:$DV,DataEntry!$A:$A,"Ngabu",DataEntry!$B:$B,"Miseu Folo",DataEntry!$G:$G,"Q2"),"")</f>
        <v>0</v>
      </c>
      <c r="F260" s="9">
        <f>IFERROR(SUMIFS(DataEntry!$DV:$DV,DataEntry!$A:$A,"Ngabu",DataEntry!$B:$B,"Miseu Folo",DataEntry!$G:$G,"Q3"),"")</f>
        <v>0</v>
      </c>
      <c r="G260" s="9">
        <f>IFERROR(SUMIFS(DataEntry!$DV:$DV,DataEntry!$A:$A,"Ngabu",DataEntry!$B:$B,"Miseu Folo",DataEntry!$G:$G,"Q4"),"")</f>
        <v>0</v>
      </c>
      <c r="H260" s="22">
        <f t="shared" si="19"/>
        <v>0</v>
      </c>
    </row>
    <row r="261" spans="1:8" x14ac:dyDescent="0.3">
      <c r="A261" s="19" t="s">
        <v>289</v>
      </c>
      <c r="B261" s="19" t="s">
        <v>292</v>
      </c>
      <c r="C261" s="6" t="s">
        <v>243</v>
      </c>
      <c r="D261" s="16">
        <f>IFERROR(AVERAGEIFS(DataEntry!$HC:$HC,DataEntry!$A:$A,"Ngabu",DataEntry!$B:$B,"Miseu Folo",DataEntry!$G:$G,"Q1"),"")</f>
        <v>0.53015260386739194</v>
      </c>
      <c r="E261" s="16">
        <f>IFERROR(AVERAGEIFS(DataEntry!$HC:$HC,DataEntry!$A:$A,"Ngabu",DataEntry!$B:$B,"Miseu Folo",DataEntry!$G:$G,"Q2"),"")</f>
        <v>0.40593718739407098</v>
      </c>
      <c r="F261" s="16">
        <f>IFERROR(AVERAGEIFS(DataEntry!$HC:$HC,DataEntry!$A:$A,"Ngabu",DataEntry!$B:$B,"Miseu Folo",DataEntry!$G:$G,"Q3"),"")</f>
        <v>0.43793754686058378</v>
      </c>
      <c r="G261" s="16">
        <f>IFERROR(AVERAGEIFS(DataEntry!$HC:$HC,DataEntry!$A:$A,"Ngabu",DataEntry!$B:$B,"Miseu Folo",DataEntry!$G:$G,"Q4"),"")</f>
        <v>3154934.487517694</v>
      </c>
      <c r="H261" s="24">
        <f>IFERROR(AVERAGE(D261:G261),"")</f>
        <v>788733.96538625809</v>
      </c>
    </row>
    <row r="262" spans="1:8" x14ac:dyDescent="0.3">
      <c r="A262" s="21" t="s">
        <v>289</v>
      </c>
      <c r="B262" s="21" t="s">
        <v>292</v>
      </c>
      <c r="C262" s="12" t="s">
        <v>242</v>
      </c>
      <c r="D262" s="10">
        <f>IFERROR(AVERAGEIFS(DataEntry!$HB:$HB,DataEntry!$A:$A,"Ngabu",DataEntry!$B:$B,"Miseu Folo",DataEntry!$G:$G,"Q1"),"")</f>
        <v>5.6156902049316171E-2</v>
      </c>
      <c r="E262" s="10">
        <f>IFERROR(AVERAGEIFS(DataEntry!$HB:$HB,DataEntry!$A:$A,"Ngabu",DataEntry!$B:$B,"Miseu Folo",DataEntry!$G:$G,"Q2"),"")</f>
        <v>4.719976690933899E-2</v>
      </c>
      <c r="F262" s="10">
        <f>IFERROR(AVERAGEIFS(DataEntry!$HB:$HB,DataEntry!$A:$A,"Ngabu",DataEntry!$B:$B,"Miseu Folo",DataEntry!$G:$G,"Q3"),"")</f>
        <v>5.6065475729386499E-2</v>
      </c>
      <c r="G262" s="10">
        <f>IFERROR(AVERAGEIFS(DataEntry!$HB:$HB,DataEntry!$A:$A,"Ngabu",DataEntry!$B:$B,"Miseu Folo",DataEntry!$G:$G,"Q4"),"")</f>
        <v>1148405.3205618628</v>
      </c>
      <c r="H262" s="23">
        <f>IFERROR(AVERAGE(D262:G262),"")</f>
        <v>287101.36999600189</v>
      </c>
    </row>
    <row r="263" spans="1:8" x14ac:dyDescent="0.3">
      <c r="A263" s="19" t="s">
        <v>289</v>
      </c>
      <c r="B263" s="19" t="s">
        <v>293</v>
      </c>
      <c r="C263" s="6" t="s">
        <v>40</v>
      </c>
      <c r="D263" s="15">
        <f>IFERROR(SUMIFS(DataEntry!$H:$H,DataEntry!$A:$A,"Ngabu",DataEntry!$B:$B,"Nchalo",DataEntry!$G:$G,"Q1"),"")</f>
        <v>89703</v>
      </c>
      <c r="E263" s="15">
        <f>IFERROR(SUMIFS(DataEntry!$H:$H,DataEntry!$A:$A,"Ngabu",DataEntry!$B:$B,"Nchalo",DataEntry!$G:$G,"Q2"),"")</f>
        <v>91725</v>
      </c>
      <c r="F263" s="15">
        <f>IFERROR(SUMIFS(DataEntry!$H:$H,DataEntry!$A:$A,"Ngabu",DataEntry!$B:$B,"Nchalo",DataEntry!$G:$G,"Q3"),"")</f>
        <v>94236</v>
      </c>
      <c r="G263" s="15">
        <f>IFERROR(SUMIFS(DataEntry!$H:$H,DataEntry!$A:$A,"Ngabu",DataEntry!$B:$B,"Nchalo",DataEntry!$G:$G,"Q4"),"")</f>
        <v>93791</v>
      </c>
      <c r="H263" s="20">
        <f>IFERROR(SUM(D263:G263),"")</f>
        <v>369455</v>
      </c>
    </row>
    <row r="264" spans="1:8" x14ac:dyDescent="0.3">
      <c r="A264" s="21" t="s">
        <v>289</v>
      </c>
      <c r="B264" s="21" t="s">
        <v>293</v>
      </c>
      <c r="C264" s="12" t="s">
        <v>312</v>
      </c>
      <c r="D264" s="9">
        <f>IFERROR(SUMIFS(DataEntry!$S:$S,DataEntry!$A:$A,"Ngabu",DataEntry!$B:$B,"Nchalo",DataEntry!$G:$G,"Q1"),"")</f>
        <v>54895</v>
      </c>
      <c r="E264" s="9">
        <f>IFERROR(SUMIFS(DataEntry!$S:$S,DataEntry!$A:$A,"Ngabu",DataEntry!$B:$B,"Nchalo",DataEntry!$G:$G,"Q2"),"")</f>
        <v>67868</v>
      </c>
      <c r="F264" s="9">
        <f>IFERROR(SUMIFS(DataEntry!$S:$S,DataEntry!$A:$A,"Ngabu",DataEntry!$B:$B,"Nchalo",DataEntry!$G:$G,"Q3"),"")</f>
        <v>71806</v>
      </c>
      <c r="G264" s="9">
        <f>IFERROR(SUMIFS(DataEntry!$S:$S,DataEntry!$A:$A,"Ngabu",DataEntry!$B:$B,"Nchalo",DataEntry!$G:$G,"Q4"),"")</f>
        <v>70978</v>
      </c>
      <c r="H264" s="22">
        <f>IFERROR(SUM(D264:G264),"")</f>
        <v>265547</v>
      </c>
    </row>
    <row r="265" spans="1:8" x14ac:dyDescent="0.3">
      <c r="A265" s="19" t="s">
        <v>289</v>
      </c>
      <c r="B265" s="19" t="s">
        <v>293</v>
      </c>
      <c r="C265" s="6" t="s">
        <v>313</v>
      </c>
      <c r="D265" s="15">
        <f>IFERROR(SUMIFS(DataEntry!$T:$T,DataEntry!$A:$A,"Ngabu",DataEntry!$B:$B,"Nchalo",DataEntry!$G:$G,"Q1"),"")</f>
        <v>34808</v>
      </c>
      <c r="E265" s="15">
        <f>IFERROR(SUMIFS(DataEntry!$T:$T,DataEntry!$A:$A,"Ngabu",DataEntry!$B:$B,"Nchalo",DataEntry!$G:$G,"Q2"),"")</f>
        <v>23857</v>
      </c>
      <c r="F265" s="15">
        <f>IFERROR(SUMIFS(DataEntry!$T:$T,DataEntry!$A:$A,"Ngabu",DataEntry!$B:$B,"Nchalo",DataEntry!$G:$G,"Q3"),"")</f>
        <v>22430</v>
      </c>
      <c r="G265" s="15">
        <f>IFERROR(SUMIFS(DataEntry!$T:$T,DataEntry!$A:$A,"Ngabu",DataEntry!$B:$B,"Nchalo",DataEntry!$G:$G,"Q4"),"")</f>
        <v>22813</v>
      </c>
      <c r="H265" s="20">
        <f>IFERROR(SUM(D265:G265),"")</f>
        <v>103908</v>
      </c>
    </row>
    <row r="266" spans="1:8" x14ac:dyDescent="0.3">
      <c r="A266" s="21" t="s">
        <v>289</v>
      </c>
      <c r="B266" s="21" t="s">
        <v>293</v>
      </c>
      <c r="C266" s="12" t="s">
        <v>53</v>
      </c>
      <c r="D266" s="10">
        <f>IFERROR(AVERAGEIFS(DataEntry!$U:$U,DataEntry!$A:$A,"Ngabu",DataEntry!$B:$B,"Nchalo",DataEntry!$G:$G,"Q1"),"")</f>
        <v>0.38813376794334847</v>
      </c>
      <c r="E266" s="10">
        <f>IFERROR(AVERAGEIFS(DataEntry!$U:$U,DataEntry!$A:$A,"Ngabu",DataEntry!$B:$B,"Nchalo",DataEntry!$G:$G,"Q2"),"")</f>
        <v>0.26020774979129607</v>
      </c>
      <c r="F266" s="10">
        <f>IFERROR(AVERAGEIFS(DataEntry!$U:$U,DataEntry!$A:$A,"Ngabu",DataEntry!$B:$B,"Nchalo",DataEntry!$G:$G,"Q3"),"")</f>
        <v>0.23815404431159101</v>
      </c>
      <c r="G266" s="10">
        <f>IFERROR(AVERAGEIFS(DataEntry!$U:$U,DataEntry!$A:$A,"Ngabu",DataEntry!$B:$B,"Nchalo",DataEntry!$G:$G,"Q4"),"")</f>
        <v>0.24331021994190796</v>
      </c>
      <c r="H266" s="23">
        <f>IFERROR(AVERAGE(D266:G266),"")</f>
        <v>0.28245144549703588</v>
      </c>
    </row>
    <row r="267" spans="1:8" x14ac:dyDescent="0.3">
      <c r="A267" s="19" t="s">
        <v>289</v>
      </c>
      <c r="B267" s="19" t="s">
        <v>293</v>
      </c>
      <c r="C267" s="6" t="s">
        <v>314</v>
      </c>
      <c r="D267" s="15">
        <f>IFERROR(SUMIFS(DataEntry!$AU:$AU,DataEntry!$A:$A,"Ngabu",DataEntry!$B:$B,"Nchalo",DataEntry!$G:$G,"Q1"),"")</f>
        <v>3033072.6069999998</v>
      </c>
      <c r="E267" s="15">
        <f>IFERROR(SUMIFS(DataEntry!$AU:$AU,DataEntry!$A:$A,"Ngabu",DataEntry!$B:$B,"Nchalo",DataEntry!$G:$G,"Q2"),"")</f>
        <v>3442810.7960000001</v>
      </c>
      <c r="F267" s="15">
        <f>IFERROR(SUMIFS(DataEntry!$AU:$AU,DataEntry!$A:$A,"Ngabu",DataEntry!$B:$B,"Nchalo",DataEntry!$G:$G,"Q3"),"")</f>
        <v>3380953.3734999998</v>
      </c>
      <c r="G267" s="15">
        <f>IFERROR(SUMIFS(DataEntry!$AU:$AU,DataEntry!$A:$A,"Ngabu",DataEntry!$B:$B,"Nchalo",DataEntry!$G:$G,"Q4"),"")</f>
        <v>2282483.4945000005</v>
      </c>
      <c r="H267" s="20">
        <f t="shared" ref="H267:H273" si="20">IFERROR(SUM(D267:G267),"")</f>
        <v>12139320.271</v>
      </c>
    </row>
    <row r="268" spans="1:8" x14ac:dyDescent="0.3">
      <c r="A268" s="21" t="s">
        <v>289</v>
      </c>
      <c r="B268" s="21" t="s">
        <v>293</v>
      </c>
      <c r="C268" s="12" t="s">
        <v>315</v>
      </c>
      <c r="D268" s="9">
        <f>IFERROR(SUMIFS(DataEntry!$GB:$GB,DataEntry!$A:$A,"Ngabu",DataEntry!$B:$B,"Nchalo",DataEntry!$G:$G,"Q1"),"")</f>
        <v>51422801</v>
      </c>
      <c r="E268" s="9">
        <f>IFERROR(SUMIFS(DataEntry!$GB:$GB,DataEntry!$A:$A,"Ngabu",DataEntry!$B:$B,"Nchalo",DataEntry!$G:$G,"Q2"),"")</f>
        <v>72185007</v>
      </c>
      <c r="F268" s="9">
        <f>IFERROR(SUMIFS(DataEntry!$GB:$GB,DataEntry!$A:$A,"Ngabu",DataEntry!$B:$B,"Nchalo",DataEntry!$G:$G,"Q3"),"")</f>
        <v>66557366</v>
      </c>
      <c r="G268" s="9">
        <f>IFERROR(SUMIFS(DataEntry!$GB:$GB,DataEntry!$A:$A,"Ngabu",DataEntry!$B:$B,"Nchalo",DataEntry!$G:$G,"Q4"),"")</f>
        <v>57246807.120000005</v>
      </c>
      <c r="H268" s="22">
        <f t="shared" si="20"/>
        <v>247411981.12</v>
      </c>
    </row>
    <row r="269" spans="1:8" x14ac:dyDescent="0.3">
      <c r="A269" s="19" t="s">
        <v>289</v>
      </c>
      <c r="B269" s="19" t="s">
        <v>293</v>
      </c>
      <c r="C269" s="6" t="s">
        <v>316</v>
      </c>
      <c r="D269" s="15">
        <f>IFERROR(SUMIFS(DataEntry!$GM:$GM,DataEntry!$A:$A,"Ngabu",DataEntry!$B:$B,"Nchalo",DataEntry!$G:$G,"Q1"),"")</f>
        <v>49390575.32</v>
      </c>
      <c r="E269" s="15">
        <f>IFERROR(SUMIFS(DataEntry!$GM:$GM,DataEntry!$A:$A,"Ngabu",DataEntry!$B:$B,"Nchalo",DataEntry!$G:$G,"Q2"),"")</f>
        <v>50070542.239999995</v>
      </c>
      <c r="F269" s="15">
        <f>IFERROR(SUMIFS(DataEntry!$GM:$GM,DataEntry!$A:$A,"Ngabu",DataEntry!$B:$B,"Nchalo",DataEntry!$G:$G,"Q3"),"")</f>
        <v>52364403.720000006</v>
      </c>
      <c r="G269" s="15">
        <f>IFERROR(SUMIFS(DataEntry!$GM:$GM,DataEntry!$A:$A,"Ngabu",DataEntry!$B:$B,"Nchalo",DataEntry!$G:$G,"Q4"),"")</f>
        <v>56036416.070000008</v>
      </c>
      <c r="H269" s="20">
        <f t="shared" si="20"/>
        <v>207861937.35000002</v>
      </c>
    </row>
    <row r="270" spans="1:8" x14ac:dyDescent="0.3">
      <c r="A270" s="21" t="s">
        <v>289</v>
      </c>
      <c r="B270" s="21" t="s">
        <v>293</v>
      </c>
      <c r="C270" s="12" t="s">
        <v>317</v>
      </c>
      <c r="D270" s="9">
        <f>IFERROR(SUMIFS(DataEntry!$GX:$GX,DataEntry!$A:$A,"Ngabu",DataEntry!$B:$B,"Nchalo",DataEntry!$G:$G,"Q1"),"")</f>
        <v>56038149.990000002</v>
      </c>
      <c r="E270" s="9">
        <f>IFERROR(SUMIFS(DataEntry!$GX:$GX,DataEntry!$A:$A,"Ngabu",DataEntry!$B:$B,"Nchalo",DataEntry!$G:$G,"Q2"),"")</f>
        <v>56602737.590000004</v>
      </c>
      <c r="F270" s="9">
        <f>IFERROR(SUMIFS(DataEntry!$GX:$GX,DataEntry!$A:$A,"Ngabu",DataEntry!$B:$B,"Nchalo",DataEntry!$G:$G,"Q3"),"")</f>
        <v>59464154.93</v>
      </c>
      <c r="G270" s="9">
        <f>IFERROR(SUMIFS(DataEntry!$GX:$GX,DataEntry!$A:$A,"Ngabu",DataEntry!$B:$B,"Nchalo",DataEntry!$G:$G,"Q4"),"")</f>
        <v>63083242.160000004</v>
      </c>
      <c r="H270" s="22">
        <f t="shared" si="20"/>
        <v>235188284.67000002</v>
      </c>
    </row>
    <row r="271" spans="1:8" x14ac:dyDescent="0.3">
      <c r="A271" s="19" t="s">
        <v>289</v>
      </c>
      <c r="B271" s="19" t="s">
        <v>293</v>
      </c>
      <c r="C271" s="6" t="s">
        <v>318</v>
      </c>
      <c r="D271" s="15">
        <f>IFERROR(SUMIFS(DataEntry!$CS:$CS,DataEntry!$A:$A,"Ngabu",DataEntry!$B:$B,"Nchalo",DataEntry!$G:$G,"Q1"),"")</f>
        <v>5959</v>
      </c>
      <c r="E271" s="15">
        <f>IFERROR(SUMIFS(DataEntry!$CS:$CS,DataEntry!$A:$A,"Ngabu",DataEntry!$B:$B,"Nchalo",DataEntry!$G:$G,"Q2"),"")</f>
        <v>6008</v>
      </c>
      <c r="F271" s="15">
        <f>IFERROR(SUMIFS(DataEntry!$CS:$CS,DataEntry!$A:$A,"Ngabu",DataEntry!$B:$B,"Nchalo",DataEntry!$G:$G,"Q3"),"")</f>
        <v>6041</v>
      </c>
      <c r="G271" s="15">
        <f>IFERROR(SUMIFS(DataEntry!$CS:$CS,DataEntry!$A:$A,"Ngabu",DataEntry!$B:$B,"Nchalo",DataEntry!$G:$G,"Q4"),"")</f>
        <v>6995</v>
      </c>
      <c r="H271" s="20">
        <f t="shared" si="20"/>
        <v>25003</v>
      </c>
    </row>
    <row r="272" spans="1:8" x14ac:dyDescent="0.3">
      <c r="A272" s="21" t="s">
        <v>289</v>
      </c>
      <c r="B272" s="21" t="s">
        <v>293</v>
      </c>
      <c r="C272" s="12" t="s">
        <v>319</v>
      </c>
      <c r="D272" s="9">
        <f>IFERROR(SUMIFS(DataEntry!$CA:$CA,DataEntry!$A:$A,"Ngabu",DataEntry!$B:$B,"Nchalo",DataEntry!$G:$G,"Q1"),"")</f>
        <v>32</v>
      </c>
      <c r="E272" s="9">
        <f>IFERROR(SUMIFS(DataEntry!$CA:$CA,DataEntry!$A:$A,"Ngabu",DataEntry!$B:$B,"Nchalo",DataEntry!$G:$G,"Q2"),"")</f>
        <v>52</v>
      </c>
      <c r="F272" s="9">
        <f>IFERROR(SUMIFS(DataEntry!$CA:$CA,DataEntry!$A:$A,"Ngabu",DataEntry!$B:$B,"Nchalo",DataEntry!$G:$G,"Q3"),"")</f>
        <v>46</v>
      </c>
      <c r="G272" s="9">
        <f>IFERROR(SUMIFS(DataEntry!$CA:$CA,DataEntry!$A:$A,"Ngabu",DataEntry!$B:$B,"Nchalo",DataEntry!$G:$G,"Q4"),"")</f>
        <v>63</v>
      </c>
      <c r="H272" s="22">
        <f t="shared" si="20"/>
        <v>193</v>
      </c>
    </row>
    <row r="273" spans="1:8" x14ac:dyDescent="0.3">
      <c r="A273" s="19" t="s">
        <v>289</v>
      </c>
      <c r="B273" s="19" t="s">
        <v>293</v>
      </c>
      <c r="C273" s="6" t="s">
        <v>320</v>
      </c>
      <c r="D273" s="15">
        <f>IFERROR(SUMIFS(DataEntry!$DV:$DV,DataEntry!$A:$A,"Ngabu",DataEntry!$B:$B,"Nchalo",DataEntry!$G:$G,"Q1"),"")</f>
        <v>900</v>
      </c>
      <c r="E273" s="15">
        <f>IFERROR(SUMIFS(DataEntry!$DV:$DV,DataEntry!$A:$A,"Ngabu",DataEntry!$B:$B,"Nchalo",DataEntry!$G:$G,"Q2"),"")</f>
        <v>900</v>
      </c>
      <c r="F273" s="15">
        <f>IFERROR(SUMIFS(DataEntry!$DV:$DV,DataEntry!$A:$A,"Ngabu",DataEntry!$B:$B,"Nchalo",DataEntry!$G:$G,"Q3"),"")</f>
        <v>900</v>
      </c>
      <c r="G273" s="15">
        <f>IFERROR(SUMIFS(DataEntry!$DV:$DV,DataEntry!$A:$A,"Ngabu",DataEntry!$B:$B,"Nchalo",DataEntry!$G:$G,"Q4"),"")</f>
        <v>900</v>
      </c>
      <c r="H273" s="20">
        <f t="shared" si="20"/>
        <v>3600</v>
      </c>
    </row>
    <row r="274" spans="1:8" x14ac:dyDescent="0.3">
      <c r="A274" s="21" t="s">
        <v>289</v>
      </c>
      <c r="B274" s="21" t="s">
        <v>293</v>
      </c>
      <c r="C274" s="12" t="s">
        <v>243</v>
      </c>
      <c r="D274" s="10">
        <f>IFERROR(AVERAGEIFS(DataEntry!$HC:$HC,DataEntry!$A:$A,"Ngabu",DataEntry!$B:$B,"Nchalo",DataEntry!$G:$G,"Q1"),"")</f>
        <v>0.42741869701353696</v>
      </c>
      <c r="E274" s="10">
        <f>IFERROR(AVERAGEIFS(DataEntry!$HC:$HC,DataEntry!$A:$A,"Ngabu",DataEntry!$B:$B,"Nchalo",DataEntry!$G:$G,"Q2"),"")</f>
        <v>0.63762505677083758</v>
      </c>
      <c r="F274" s="10">
        <f>IFERROR(AVERAGEIFS(DataEntry!$HC:$HC,DataEntry!$A:$A,"Ngabu",DataEntry!$B:$B,"Nchalo",DataEntry!$G:$G,"Q3"),"")</f>
        <v>0.4292475745126702</v>
      </c>
      <c r="G274" s="10">
        <f>IFERROR(AVERAGEIFS(DataEntry!$HC:$HC,DataEntry!$A:$A,"Ngabu",DataEntry!$B:$B,"Nchalo",DataEntry!$G:$G,"Q4"),"")</f>
        <v>8926116.6948506068</v>
      </c>
      <c r="H274" s="23">
        <f>IFERROR(AVERAGE(D274:G274),"")</f>
        <v>2231529.5472854837</v>
      </c>
    </row>
    <row r="275" spans="1:8" x14ac:dyDescent="0.3">
      <c r="A275" s="19" t="s">
        <v>289</v>
      </c>
      <c r="B275" s="19" t="s">
        <v>293</v>
      </c>
      <c r="C275" s="6" t="s">
        <v>242</v>
      </c>
      <c r="D275" s="16">
        <f>IFERROR(AVERAGEIFS(DataEntry!$HB:$HB,DataEntry!$A:$A,"Ngabu",DataEntry!$B:$B,"Nchalo",DataEntry!$G:$G,"Q1"),"")</f>
        <v>5.4069626724105001E-2</v>
      </c>
      <c r="E275" s="16">
        <f>IFERROR(AVERAGEIFS(DataEntry!$HB:$HB,DataEntry!$A:$A,"Ngabu",DataEntry!$B:$B,"Nchalo",DataEntry!$G:$G,"Q2"),"")</f>
        <v>6.0861822749617954E-2</v>
      </c>
      <c r="F275" s="16">
        <f>IFERROR(AVERAGEIFS(DataEntry!$HB:$HB,DataEntry!$A:$A,"Ngabu",DataEntry!$B:$B,"Nchalo",DataEntry!$G:$G,"Q3"),"")</f>
        <v>5.6923393132732154E-2</v>
      </c>
      <c r="G275" s="16">
        <f>IFERROR(AVERAGEIFS(DataEntry!$HB:$HB,DataEntry!$A:$A,"Ngabu",DataEntry!$B:$B,"Nchalo",DataEntry!$G:$G,"Q4"),"")</f>
        <v>7201777.0097050397</v>
      </c>
      <c r="H275" s="24">
        <f>IFERROR(AVERAGE(D275:G275),"")</f>
        <v>1800444.2953899705</v>
      </c>
    </row>
    <row r="276" spans="1:8" x14ac:dyDescent="0.3">
      <c r="A276" s="21" t="s">
        <v>289</v>
      </c>
      <c r="B276" s="21" t="s">
        <v>289</v>
      </c>
      <c r="C276" s="12" t="s">
        <v>40</v>
      </c>
      <c r="D276" s="9">
        <f>IFERROR(SUMIFS(DataEntry!$H:$H,DataEntry!$A:$A,"Ngabu",DataEntry!$B:$B,"Ngabu",DataEntry!$G:$G,"Q1"),"")</f>
        <v>31300</v>
      </c>
      <c r="E276" s="9">
        <f>IFERROR(SUMIFS(DataEntry!$H:$H,DataEntry!$A:$A,"Ngabu",DataEntry!$B:$B,"Ngabu",DataEntry!$G:$G,"Q2"),"")</f>
        <v>34553</v>
      </c>
      <c r="F276" s="9">
        <f>IFERROR(SUMIFS(DataEntry!$H:$H,DataEntry!$A:$A,"Ngabu",DataEntry!$B:$B,"Ngabu",DataEntry!$G:$G,"Q3"),"")</f>
        <v>27520</v>
      </c>
      <c r="G276" s="9">
        <f>IFERROR(SUMIFS(DataEntry!$H:$H,DataEntry!$A:$A,"Ngabu",DataEntry!$B:$B,"Ngabu",DataEntry!$G:$G,"Q4"),"")</f>
        <v>28600</v>
      </c>
      <c r="H276" s="22">
        <f>IFERROR(SUM(D276:G276),"")</f>
        <v>121973</v>
      </c>
    </row>
    <row r="277" spans="1:8" x14ac:dyDescent="0.3">
      <c r="A277" s="19" t="s">
        <v>289</v>
      </c>
      <c r="B277" s="19" t="s">
        <v>289</v>
      </c>
      <c r="C277" s="6" t="s">
        <v>312</v>
      </c>
      <c r="D277" s="15">
        <f>IFERROR(SUMIFS(DataEntry!$S:$S,DataEntry!$A:$A,"Ngabu",DataEntry!$B:$B,"Ngabu",DataEntry!$G:$G,"Q1"),"")</f>
        <v>23994</v>
      </c>
      <c r="E277" s="15">
        <f>IFERROR(SUMIFS(DataEntry!$S:$S,DataEntry!$A:$A,"Ngabu",DataEntry!$B:$B,"Ngabu",DataEntry!$G:$G,"Q2"),"")</f>
        <v>28190</v>
      </c>
      <c r="F277" s="15">
        <f>IFERROR(SUMIFS(DataEntry!$S:$S,DataEntry!$A:$A,"Ngabu",DataEntry!$B:$B,"Ngabu",DataEntry!$G:$G,"Q3"),"")</f>
        <v>18209</v>
      </c>
      <c r="G277" s="15">
        <f>IFERROR(SUMIFS(DataEntry!$S:$S,DataEntry!$A:$A,"Ngabu",DataEntry!$B:$B,"Ngabu",DataEntry!$G:$G,"Q4"),"")</f>
        <v>23505</v>
      </c>
      <c r="H277" s="20">
        <f>IFERROR(SUM(D277:G277),"")</f>
        <v>93898</v>
      </c>
    </row>
    <row r="278" spans="1:8" x14ac:dyDescent="0.3">
      <c r="A278" s="21" t="s">
        <v>289</v>
      </c>
      <c r="B278" s="21" t="s">
        <v>289</v>
      </c>
      <c r="C278" s="12" t="s">
        <v>313</v>
      </c>
      <c r="D278" s="9">
        <f>IFERROR(SUMIFS(DataEntry!$T:$T,DataEntry!$A:$A,"Ngabu",DataEntry!$B:$B,"Ngabu",DataEntry!$G:$G,"Q1"),"")</f>
        <v>7306</v>
      </c>
      <c r="E278" s="9">
        <f>IFERROR(SUMIFS(DataEntry!$T:$T,DataEntry!$A:$A,"Ngabu",DataEntry!$B:$B,"Ngabu",DataEntry!$G:$G,"Q2"),"")</f>
        <v>6363</v>
      </c>
      <c r="F278" s="9">
        <f>IFERROR(SUMIFS(DataEntry!$T:$T,DataEntry!$A:$A,"Ngabu",DataEntry!$B:$B,"Ngabu",DataEntry!$G:$G,"Q3"),"")</f>
        <v>9311</v>
      </c>
      <c r="G278" s="9">
        <f>IFERROR(SUMIFS(DataEntry!$T:$T,DataEntry!$A:$A,"Ngabu",DataEntry!$B:$B,"Ngabu",DataEntry!$G:$G,"Q4"),"")</f>
        <v>5095</v>
      </c>
      <c r="H278" s="22">
        <f>IFERROR(SUM(D278:G278),"")</f>
        <v>28075</v>
      </c>
    </row>
    <row r="279" spans="1:8" x14ac:dyDescent="0.3">
      <c r="A279" s="19" t="s">
        <v>289</v>
      </c>
      <c r="B279" s="19" t="s">
        <v>289</v>
      </c>
      <c r="C279" s="6" t="s">
        <v>53</v>
      </c>
      <c r="D279" s="16">
        <f>IFERROR(AVERAGEIFS(DataEntry!$U:$U,DataEntry!$A:$A,"Ngabu",DataEntry!$B:$B,"Ngabu",DataEntry!$G:$G,"Q1"),"")</f>
        <v>0.2318856617647059</v>
      </c>
      <c r="E279" s="16">
        <f>IFERROR(AVERAGEIFS(DataEntry!$U:$U,DataEntry!$A:$A,"Ngabu",DataEntry!$B:$B,"Ngabu",DataEntry!$G:$G,"Q2"),"")</f>
        <v>0.18293021205733109</v>
      </c>
      <c r="F279" s="16">
        <f>IFERROR(AVERAGEIFS(DataEntry!$U:$U,DataEntry!$A:$A,"Ngabu",DataEntry!$B:$B,"Ngabu",DataEntry!$G:$G,"Q3"),"")</f>
        <v>0.31764790290912903</v>
      </c>
      <c r="G279" s="16">
        <f>IFERROR(AVERAGEIFS(DataEntry!$U:$U,DataEntry!$A:$A,"Ngabu",DataEntry!$B:$B,"Ngabu",DataEntry!$G:$G,"Q4"),"")</f>
        <v>0.17445026794465446</v>
      </c>
      <c r="H279" s="24">
        <f>IFERROR(AVERAGE(D279:G279),"")</f>
        <v>0.22672851116895512</v>
      </c>
    </row>
    <row r="280" spans="1:8" x14ac:dyDescent="0.3">
      <c r="A280" s="21" t="s">
        <v>289</v>
      </c>
      <c r="B280" s="21" t="s">
        <v>289</v>
      </c>
      <c r="C280" s="12" t="s">
        <v>314</v>
      </c>
      <c r="D280" s="9">
        <f>IFERROR(SUMIFS(DataEntry!$AU:$AU,DataEntry!$A:$A,"Ngabu",DataEntry!$B:$B,"Ngabu",DataEntry!$G:$G,"Q1"),"")</f>
        <v>176189.94</v>
      </c>
      <c r="E280" s="9">
        <f>IFERROR(SUMIFS(DataEntry!$AU:$AU,DataEntry!$A:$A,"Ngabu",DataEntry!$B:$B,"Ngabu",DataEntry!$G:$G,"Q2"),"")</f>
        <v>176189.94</v>
      </c>
      <c r="F280" s="9">
        <f>IFERROR(SUMIFS(DataEntry!$AU:$AU,DataEntry!$A:$A,"Ngabu",DataEntry!$B:$B,"Ngabu",DataEntry!$G:$G,"Q3"),"")</f>
        <v>176189.94</v>
      </c>
      <c r="G280" s="9">
        <f>IFERROR(SUMIFS(DataEntry!$AU:$AU,DataEntry!$A:$A,"Ngabu",DataEntry!$B:$B,"Ngabu",DataEntry!$G:$G,"Q4"),"")</f>
        <v>2343570.9253950003</v>
      </c>
      <c r="H280" s="22">
        <f t="shared" ref="H280:H286" si="21">IFERROR(SUM(D280:G280),"")</f>
        <v>2872140.7453950001</v>
      </c>
    </row>
    <row r="281" spans="1:8" x14ac:dyDescent="0.3">
      <c r="A281" s="19" t="s">
        <v>289</v>
      </c>
      <c r="B281" s="19" t="s">
        <v>289</v>
      </c>
      <c r="C281" s="6" t="s">
        <v>315</v>
      </c>
      <c r="D281" s="15">
        <f>IFERROR(SUMIFS(DataEntry!$GB:$GB,DataEntry!$A:$A,"Ngabu",DataEntry!$B:$B,"Ngabu",DataEntry!$G:$G,"Q1"),"")</f>
        <v>25726185</v>
      </c>
      <c r="E281" s="15">
        <f>IFERROR(SUMIFS(DataEntry!$GB:$GB,DataEntry!$A:$A,"Ngabu",DataEntry!$B:$B,"Ngabu",DataEntry!$G:$G,"Q2"),"")</f>
        <v>45166556</v>
      </c>
      <c r="F281" s="15">
        <f>IFERROR(SUMIFS(DataEntry!$GB:$GB,DataEntry!$A:$A,"Ngabu",DataEntry!$B:$B,"Ngabu",DataEntry!$G:$G,"Q3"),"")</f>
        <v>27643943</v>
      </c>
      <c r="G281" s="15">
        <f>IFERROR(SUMIFS(DataEntry!$GB:$GB,DataEntry!$A:$A,"Ngabu",DataEntry!$B:$B,"Ngabu",DataEntry!$G:$G,"Q4"),"")</f>
        <v>21208401.149999999</v>
      </c>
      <c r="H281" s="20">
        <f t="shared" si="21"/>
        <v>119745085.15000001</v>
      </c>
    </row>
    <row r="282" spans="1:8" x14ac:dyDescent="0.3">
      <c r="A282" s="21" t="s">
        <v>289</v>
      </c>
      <c r="B282" s="21" t="s">
        <v>289</v>
      </c>
      <c r="C282" s="12" t="s">
        <v>316</v>
      </c>
      <c r="D282" s="9">
        <f>IFERROR(SUMIFS(DataEntry!$GM:$GM,DataEntry!$A:$A,"Ngabu",DataEntry!$B:$B,"Ngabu",DataEntry!$G:$G,"Q1"),"")</f>
        <v>29875840.919999998</v>
      </c>
      <c r="E282" s="9">
        <f>IFERROR(SUMIFS(DataEntry!$GM:$GM,DataEntry!$A:$A,"Ngabu",DataEntry!$B:$B,"Ngabu",DataEntry!$G:$G,"Q2"),"")</f>
        <v>32535292.829999998</v>
      </c>
      <c r="F282" s="9">
        <f>IFERROR(SUMIFS(DataEntry!$GM:$GM,DataEntry!$A:$A,"Ngabu",DataEntry!$B:$B,"Ngabu",DataEntry!$G:$G,"Q3"),"")</f>
        <v>25432593.129999999</v>
      </c>
      <c r="G282" s="9">
        <f>IFERROR(SUMIFS(DataEntry!$GM:$GM,DataEntry!$A:$A,"Ngabu",DataEntry!$B:$B,"Ngabu",DataEntry!$G:$G,"Q4"),"")</f>
        <v>22374319.460000001</v>
      </c>
      <c r="H282" s="22">
        <f t="shared" si="21"/>
        <v>110218046.34</v>
      </c>
    </row>
    <row r="283" spans="1:8" x14ac:dyDescent="0.3">
      <c r="A283" s="19" t="s">
        <v>289</v>
      </c>
      <c r="B283" s="19" t="s">
        <v>289</v>
      </c>
      <c r="C283" s="6" t="s">
        <v>317</v>
      </c>
      <c r="D283" s="15">
        <f>IFERROR(SUMIFS(DataEntry!$GX:$GX,DataEntry!$A:$A,"Ngabu",DataEntry!$B:$B,"Ngabu",DataEntry!$G:$G,"Q1"),"")</f>
        <v>33714437.149999999</v>
      </c>
      <c r="E283" s="15">
        <f>IFERROR(SUMIFS(DataEntry!$GX:$GX,DataEntry!$A:$A,"Ngabu",DataEntry!$B:$B,"Ngabu",DataEntry!$G:$G,"Q2"),"")</f>
        <v>35930777.18</v>
      </c>
      <c r="F283" s="15">
        <f>IFERROR(SUMIFS(DataEntry!$GX:$GX,DataEntry!$A:$A,"Ngabu",DataEntry!$B:$B,"Ngabu",DataEntry!$G:$G,"Q3"),"")</f>
        <v>29119339.120000001</v>
      </c>
      <c r="G283" s="15">
        <f>IFERROR(SUMIFS(DataEntry!$GX:$GX,DataEntry!$A:$A,"Ngabu",DataEntry!$B:$B,"Ngabu",DataEntry!$G:$G,"Q4"),"")</f>
        <v>26214722.480000004</v>
      </c>
      <c r="H283" s="20">
        <f t="shared" si="21"/>
        <v>124979275.93000001</v>
      </c>
    </row>
    <row r="284" spans="1:8" x14ac:dyDescent="0.3">
      <c r="A284" s="21" t="s">
        <v>289</v>
      </c>
      <c r="B284" s="21" t="s">
        <v>289</v>
      </c>
      <c r="C284" s="12" t="s">
        <v>318</v>
      </c>
      <c r="D284" s="9">
        <f>IFERROR(SUMIFS(DataEntry!$CS:$CS,DataEntry!$A:$A,"Ngabu",DataEntry!$B:$B,"Ngabu",DataEntry!$G:$G,"Q1"),"")</f>
        <v>3244</v>
      </c>
      <c r="E284" s="9">
        <f>IFERROR(SUMIFS(DataEntry!$CS:$CS,DataEntry!$A:$A,"Ngabu",DataEntry!$B:$B,"Ngabu",DataEntry!$G:$G,"Q2"),"")</f>
        <v>3112</v>
      </c>
      <c r="F284" s="9">
        <f>IFERROR(SUMIFS(DataEntry!$CS:$CS,DataEntry!$A:$A,"Ngabu",DataEntry!$B:$B,"Ngabu",DataEntry!$G:$G,"Q3"),"")</f>
        <v>3034</v>
      </c>
      <c r="G284" s="9">
        <f>IFERROR(SUMIFS(DataEntry!$CS:$CS,DataEntry!$A:$A,"Ngabu",DataEntry!$B:$B,"Ngabu",DataEntry!$G:$G,"Q4"),"")</f>
        <v>2958</v>
      </c>
      <c r="H284" s="22">
        <f t="shared" si="21"/>
        <v>12348</v>
      </c>
    </row>
    <row r="285" spans="1:8" x14ac:dyDescent="0.3">
      <c r="A285" s="19" t="s">
        <v>289</v>
      </c>
      <c r="B285" s="19" t="s">
        <v>289</v>
      </c>
      <c r="C285" s="6" t="s">
        <v>319</v>
      </c>
      <c r="D285" s="15">
        <f>IFERROR(SUMIFS(DataEntry!$CA:$CA,DataEntry!$A:$A,"Ngabu",DataEntry!$B:$B,"Ngabu",DataEntry!$G:$G,"Q1"),"")</f>
        <v>6</v>
      </c>
      <c r="E285" s="15">
        <f>IFERROR(SUMIFS(DataEntry!$CA:$CA,DataEntry!$A:$A,"Ngabu",DataEntry!$B:$B,"Ngabu",DataEntry!$G:$G,"Q2"),"")</f>
        <v>7</v>
      </c>
      <c r="F285" s="15">
        <f>IFERROR(SUMIFS(DataEntry!$CA:$CA,DataEntry!$A:$A,"Ngabu",DataEntry!$B:$B,"Ngabu",DataEntry!$G:$G,"Q3"),"")</f>
        <v>9</v>
      </c>
      <c r="G285" s="15">
        <f>IFERROR(SUMIFS(DataEntry!$CA:$CA,DataEntry!$A:$A,"Ngabu",DataEntry!$B:$B,"Ngabu",DataEntry!$G:$G,"Q4"),"")</f>
        <v>8</v>
      </c>
      <c r="H285" s="20">
        <f t="shared" si="21"/>
        <v>30</v>
      </c>
    </row>
    <row r="286" spans="1:8" x14ac:dyDescent="0.3">
      <c r="A286" s="21" t="s">
        <v>289</v>
      </c>
      <c r="B286" s="21" t="s">
        <v>289</v>
      </c>
      <c r="C286" s="12" t="s">
        <v>320</v>
      </c>
      <c r="D286" s="9">
        <f>IFERROR(SUMIFS(DataEntry!$DV:$DV,DataEntry!$A:$A,"Ngabu",DataEntry!$B:$B,"Ngabu",DataEntry!$G:$G,"Q1"),"")</f>
        <v>267</v>
      </c>
      <c r="E286" s="9">
        <f>IFERROR(SUMIFS(DataEntry!$DV:$DV,DataEntry!$A:$A,"Ngabu",DataEntry!$B:$B,"Ngabu",DataEntry!$G:$G,"Q2"),"")</f>
        <v>288</v>
      </c>
      <c r="F286" s="9">
        <f>IFERROR(SUMIFS(DataEntry!$DV:$DV,DataEntry!$A:$A,"Ngabu",DataEntry!$B:$B,"Ngabu",DataEntry!$G:$G,"Q3"),"")</f>
        <v>288</v>
      </c>
      <c r="G286" s="9">
        <f>IFERROR(SUMIFS(DataEntry!$DV:$DV,DataEntry!$A:$A,"Ngabu",DataEntry!$B:$B,"Ngabu",DataEntry!$G:$G,"Q4"),"")</f>
        <v>293</v>
      </c>
      <c r="H286" s="22">
        <f t="shared" si="21"/>
        <v>1136</v>
      </c>
    </row>
    <row r="287" spans="1:8" x14ac:dyDescent="0.3">
      <c r="A287" s="19" t="s">
        <v>289</v>
      </c>
      <c r="B287" s="19" t="s">
        <v>289</v>
      </c>
      <c r="C287" s="6" t="s">
        <v>243</v>
      </c>
      <c r="D287" s="16">
        <f>IFERROR(AVERAGEIFS(DataEntry!$HC:$HC,DataEntry!$A:$A,"Ngabu",DataEntry!$B:$B,"Ngabu",DataEntry!$G:$G,"Q1"),"")</f>
        <v>0.33266974729889554</v>
      </c>
      <c r="E287" s="16">
        <f>IFERROR(AVERAGEIFS(DataEntry!$HC:$HC,DataEntry!$A:$A,"Ngabu",DataEntry!$B:$B,"Ngabu",DataEntry!$G:$G,"Q2"),"")</f>
        <v>0.55762182428759477</v>
      </c>
      <c r="F287" s="16">
        <f>IFERROR(AVERAGEIFS(DataEntry!$HC:$HC,DataEntry!$A:$A,"Ngabu",DataEntry!$B:$B,"Ngabu",DataEntry!$G:$G,"Q3"),"")</f>
        <v>0.26539480899806134</v>
      </c>
      <c r="G287" s="16">
        <f>IFERROR(AVERAGEIFS(DataEntry!$HC:$HC,DataEntry!$A:$A,"Ngabu",DataEntry!$B:$B,"Ngabu",DataEntry!$G:$G,"Q4"),"")</f>
        <v>6720699.4054382341</v>
      </c>
      <c r="H287" s="24">
        <f>IFERROR(AVERAGE(D287:G287),"")</f>
        <v>1680175.1402811536</v>
      </c>
    </row>
    <row r="288" spans="1:8" x14ac:dyDescent="0.3">
      <c r="A288" s="21" t="s">
        <v>289</v>
      </c>
      <c r="B288" s="21" t="s">
        <v>289</v>
      </c>
      <c r="C288" s="12" t="s">
        <v>242</v>
      </c>
      <c r="D288" s="10">
        <f>IFERROR(AVERAGEIFS(DataEntry!$HB:$HB,DataEntry!$A:$A,"Ngabu",DataEntry!$B:$B,"Ngabu",DataEntry!$G:$G,"Q1"),"")</f>
        <v>5.2801151785691327E-3</v>
      </c>
      <c r="E288" s="10">
        <f>IFERROR(AVERAGEIFS(DataEntry!$HB:$HB,DataEntry!$A:$A,"Ngabu",DataEntry!$B:$B,"Ngabu",DataEntry!$G:$G,"Q2"),"")</f>
        <v>4.9161030295897948E-3</v>
      </c>
      <c r="F288" s="10">
        <f>IFERROR(AVERAGEIFS(DataEntry!$HB:$HB,DataEntry!$A:$A,"Ngabu",DataEntry!$B:$B,"Ngabu",DataEntry!$G:$G,"Q3"),"")</f>
        <v>6.4373699386575294E-3</v>
      </c>
      <c r="G288" s="10">
        <f>IFERROR(AVERAGEIFS(DataEntry!$HB:$HB,DataEntry!$A:$A,"Ngabu",DataEntry!$B:$B,"Ngabu",DataEntry!$G:$G,"Q4"),"")</f>
        <v>3074933.4282665304</v>
      </c>
      <c r="H288" s="23">
        <f>IFERROR(AVERAGE(D288:G288),"")</f>
        <v>768733.36122502969</v>
      </c>
    </row>
    <row r="289" spans="1:8" x14ac:dyDescent="0.3">
      <c r="A289" s="19" t="s">
        <v>289</v>
      </c>
      <c r="B289" s="19" t="s">
        <v>294</v>
      </c>
      <c r="C289" s="6" t="s">
        <v>40</v>
      </c>
      <c r="D289" s="15">
        <f>IFERROR(SUMIFS(DataEntry!$H:$H,DataEntry!$A:$A,"Ngabu",DataEntry!$B:$B,"Nsanje",DataEntry!$G:$G,"Q1"),"")</f>
        <v>60027</v>
      </c>
      <c r="E289" s="15">
        <f>IFERROR(SUMIFS(DataEntry!$H:$H,DataEntry!$A:$A,"Ngabu",DataEntry!$B:$B,"Nsanje",DataEntry!$G:$G,"Q2"),"")</f>
        <v>67085</v>
      </c>
      <c r="F289" s="15">
        <f>IFERROR(SUMIFS(DataEntry!$H:$H,DataEntry!$A:$A,"Ngabu",DataEntry!$B:$B,"Nsanje",DataEntry!$G:$G,"Q3"),"")</f>
        <v>69460</v>
      </c>
      <c r="G289" s="15">
        <f>IFERROR(SUMIFS(DataEntry!$H:$H,DataEntry!$A:$A,"Ngabu",DataEntry!$B:$B,"Nsanje",DataEntry!$G:$G,"Q4"),"")</f>
        <v>62978</v>
      </c>
      <c r="H289" s="20">
        <f>IFERROR(SUM(D289:G289),"")</f>
        <v>259550</v>
      </c>
    </row>
    <row r="290" spans="1:8" x14ac:dyDescent="0.3">
      <c r="A290" s="21" t="s">
        <v>289</v>
      </c>
      <c r="B290" s="21" t="s">
        <v>294</v>
      </c>
      <c r="C290" s="12" t="s">
        <v>312</v>
      </c>
      <c r="D290" s="9">
        <f>IFERROR(SUMIFS(DataEntry!$S:$S,DataEntry!$A:$A,"Ngabu",DataEntry!$B:$B,"Nsanje",DataEntry!$G:$G,"Q1"),"")</f>
        <v>44054</v>
      </c>
      <c r="E290" s="9">
        <f>IFERROR(SUMIFS(DataEntry!$S:$S,DataEntry!$A:$A,"Ngabu",DataEntry!$B:$B,"Nsanje",DataEntry!$G:$G,"Q2"),"")</f>
        <v>47684</v>
      </c>
      <c r="F290" s="9">
        <f>IFERROR(SUMIFS(DataEntry!$S:$S,DataEntry!$A:$A,"Ngabu",DataEntry!$B:$B,"Nsanje",DataEntry!$G:$G,"Q3"),"")</f>
        <v>50973</v>
      </c>
      <c r="G290" s="9">
        <f>IFERROR(SUMIFS(DataEntry!$S:$S,DataEntry!$A:$A,"Ngabu",DataEntry!$B:$B,"Nsanje",DataEntry!$G:$G,"Q4"),"")</f>
        <v>47397</v>
      </c>
      <c r="H290" s="22">
        <f>IFERROR(SUM(D290:G290),"")</f>
        <v>190108</v>
      </c>
    </row>
    <row r="291" spans="1:8" x14ac:dyDescent="0.3">
      <c r="A291" s="19" t="s">
        <v>289</v>
      </c>
      <c r="B291" s="19" t="s">
        <v>294</v>
      </c>
      <c r="C291" s="6" t="s">
        <v>313</v>
      </c>
      <c r="D291" s="15">
        <f>IFERROR(SUMIFS(DataEntry!$T:$T,DataEntry!$A:$A,"Ngabu",DataEntry!$B:$B,"Nsanje",DataEntry!$G:$G,"Q1"),"")</f>
        <v>15973</v>
      </c>
      <c r="E291" s="15">
        <f>IFERROR(SUMIFS(DataEntry!$T:$T,DataEntry!$A:$A,"Ngabu",DataEntry!$B:$B,"Nsanje",DataEntry!$G:$G,"Q2"),"")</f>
        <v>19401</v>
      </c>
      <c r="F291" s="15">
        <f>IFERROR(SUMIFS(DataEntry!$T:$T,DataEntry!$A:$A,"Ngabu",DataEntry!$B:$B,"Nsanje",DataEntry!$G:$G,"Q3"),"")</f>
        <v>18487</v>
      </c>
      <c r="G291" s="15">
        <f>IFERROR(SUMIFS(DataEntry!$T:$T,DataEntry!$A:$A,"Ngabu",DataEntry!$B:$B,"Nsanje",DataEntry!$G:$G,"Q4"),"")</f>
        <v>15581</v>
      </c>
      <c r="H291" s="20">
        <f>IFERROR(SUM(D291:G291),"")</f>
        <v>69442</v>
      </c>
    </row>
    <row r="292" spans="1:8" x14ac:dyDescent="0.3">
      <c r="A292" s="21" t="s">
        <v>289</v>
      </c>
      <c r="B292" s="21" t="s">
        <v>294</v>
      </c>
      <c r="C292" s="12" t="s">
        <v>53</v>
      </c>
      <c r="D292" s="10">
        <f>IFERROR(AVERAGEIFS(DataEntry!$U:$U,DataEntry!$A:$A,"Ngabu",DataEntry!$B:$B,"Nsanje",DataEntry!$G:$G,"Q1"),"")</f>
        <v>0.2657839133942772</v>
      </c>
      <c r="E292" s="10">
        <f>IFERROR(AVERAGEIFS(DataEntry!$U:$U,DataEntry!$A:$A,"Ngabu",DataEntry!$B:$B,"Nsanje",DataEntry!$G:$G,"Q2"),"")</f>
        <v>0.28876822526996654</v>
      </c>
      <c r="F292" s="10">
        <f>IFERROR(AVERAGEIFS(DataEntry!$U:$U,DataEntry!$A:$A,"Ngabu",DataEntry!$B:$B,"Nsanje",DataEntry!$G:$G,"Q3"),"")</f>
        <v>0.26643011145564005</v>
      </c>
      <c r="G292" s="10">
        <f>IFERROR(AVERAGEIFS(DataEntry!$U:$U,DataEntry!$A:$A,"Ngabu",DataEntry!$B:$B,"Nsanje",DataEntry!$G:$G,"Q4"),"")</f>
        <v>0.24678057973417636</v>
      </c>
      <c r="H292" s="23">
        <f>IFERROR(AVERAGE(D292:G292),"")</f>
        <v>0.26694070746351506</v>
      </c>
    </row>
    <row r="293" spans="1:8" x14ac:dyDescent="0.3">
      <c r="A293" s="19" t="s">
        <v>289</v>
      </c>
      <c r="B293" s="19" t="s">
        <v>294</v>
      </c>
      <c r="C293" s="6" t="s">
        <v>314</v>
      </c>
      <c r="D293" s="15">
        <f>IFERROR(SUMIFS(DataEntry!$AU:$AU,DataEntry!$A:$A,"Ngabu",DataEntry!$B:$B,"Nsanje",DataEntry!$G:$G,"Q1"),"")</f>
        <v>7544475.3595000003</v>
      </c>
      <c r="E293" s="15">
        <f>IFERROR(SUMIFS(DataEntry!$AU:$AU,DataEntry!$A:$A,"Ngabu",DataEntry!$B:$B,"Nsanje",DataEntry!$G:$G,"Q2"),"")</f>
        <v>8239859.3220000006</v>
      </c>
      <c r="F293" s="15">
        <f>IFERROR(SUMIFS(DataEntry!$AU:$AU,DataEntry!$A:$A,"Ngabu",DataEntry!$B:$B,"Nsanje",DataEntry!$G:$G,"Q3"),"")</f>
        <v>6629217.5839999998</v>
      </c>
      <c r="G293" s="15">
        <f>IFERROR(SUMIFS(DataEntry!$AU:$AU,DataEntry!$A:$A,"Ngabu",DataEntry!$B:$B,"Nsanje",DataEntry!$G:$G,"Q4"),"")</f>
        <v>4942135.7775000008</v>
      </c>
      <c r="H293" s="20">
        <f t="shared" ref="H293:H299" si="22">IFERROR(SUM(D293:G293),"")</f>
        <v>27355688.043000001</v>
      </c>
    </row>
    <row r="294" spans="1:8" x14ac:dyDescent="0.3">
      <c r="A294" s="21" t="s">
        <v>289</v>
      </c>
      <c r="B294" s="21" t="s">
        <v>294</v>
      </c>
      <c r="C294" s="12" t="s">
        <v>315</v>
      </c>
      <c r="D294" s="9">
        <f>IFERROR(SUMIFS(DataEntry!$GB:$GB,DataEntry!$A:$A,"Ngabu",DataEntry!$B:$B,"Nsanje",DataEntry!$G:$G,"Q1"),"")</f>
        <v>51274826</v>
      </c>
      <c r="E294" s="9">
        <f>IFERROR(SUMIFS(DataEntry!$GB:$GB,DataEntry!$A:$A,"Ngabu",DataEntry!$B:$B,"Nsanje",DataEntry!$G:$G,"Q2"),"")</f>
        <v>77671061</v>
      </c>
      <c r="F294" s="9">
        <f>IFERROR(SUMIFS(DataEntry!$GB:$GB,DataEntry!$A:$A,"Ngabu",DataEntry!$B:$B,"Nsanje",DataEntry!$G:$G,"Q3"),"")</f>
        <v>70392143</v>
      </c>
      <c r="G294" s="9">
        <f>IFERROR(SUMIFS(DataEntry!$GB:$GB,DataEntry!$A:$A,"Ngabu",DataEntry!$B:$B,"Nsanje",DataEntry!$G:$G,"Q4"),"")</f>
        <v>64547943.879999995</v>
      </c>
      <c r="H294" s="22">
        <f t="shared" si="22"/>
        <v>263885973.88</v>
      </c>
    </row>
    <row r="295" spans="1:8" x14ac:dyDescent="0.3">
      <c r="A295" s="19" t="s">
        <v>289</v>
      </c>
      <c r="B295" s="19" t="s">
        <v>294</v>
      </c>
      <c r="C295" s="6" t="s">
        <v>316</v>
      </c>
      <c r="D295" s="15">
        <f>IFERROR(SUMIFS(DataEntry!$GM:$GM,DataEntry!$A:$A,"Ngabu",DataEntry!$B:$B,"Nsanje",DataEntry!$G:$G,"Q1"),"")</f>
        <v>55051481.799999997</v>
      </c>
      <c r="E295" s="15">
        <f>IFERROR(SUMIFS(DataEntry!$GM:$GM,DataEntry!$A:$A,"Ngabu",DataEntry!$B:$B,"Nsanje",DataEntry!$G:$G,"Q2"),"")</f>
        <v>55258956.800000004</v>
      </c>
      <c r="F295" s="15">
        <f>IFERROR(SUMIFS(DataEntry!$GM:$GM,DataEntry!$A:$A,"Ngabu",DataEntry!$B:$B,"Nsanje",DataEntry!$G:$G,"Q3"),"")</f>
        <v>59569353.43</v>
      </c>
      <c r="G295" s="15">
        <f>IFERROR(SUMIFS(DataEntry!$GM:$GM,DataEntry!$A:$A,"Ngabu",DataEntry!$B:$B,"Nsanje",DataEntry!$G:$G,"Q4"),"")</f>
        <v>60018022.32</v>
      </c>
      <c r="H295" s="20">
        <f t="shared" si="22"/>
        <v>229897814.34999999</v>
      </c>
    </row>
    <row r="296" spans="1:8" x14ac:dyDescent="0.3">
      <c r="A296" s="21" t="s">
        <v>289</v>
      </c>
      <c r="B296" s="21" t="s">
        <v>294</v>
      </c>
      <c r="C296" s="12" t="s">
        <v>317</v>
      </c>
      <c r="D296" s="9">
        <f>IFERROR(SUMIFS(DataEntry!$GX:$GX,DataEntry!$A:$A,"Ngabu",DataEntry!$B:$B,"Nsanje",DataEntry!$G:$G,"Q1"),"")</f>
        <v>60161650.639999993</v>
      </c>
      <c r="E296" s="9">
        <f>IFERROR(SUMIFS(DataEntry!$GX:$GX,DataEntry!$A:$A,"Ngabu",DataEntry!$B:$B,"Nsanje",DataEntry!$G:$G,"Q2"),"")</f>
        <v>60124108.640000001</v>
      </c>
      <c r="F296" s="9">
        <f>IFERROR(SUMIFS(DataEntry!$GX:$GX,DataEntry!$A:$A,"Ngabu",DataEntry!$B:$B,"Nsanje",DataEntry!$G:$G,"Q3"),"")</f>
        <v>64942528.349999994</v>
      </c>
      <c r="G296" s="9">
        <f>IFERROR(SUMIFS(DataEntry!$GX:$GX,DataEntry!$A:$A,"Ngabu",DataEntry!$B:$B,"Nsanje",DataEntry!$G:$G,"Q4"),"")</f>
        <v>65513908.489999995</v>
      </c>
      <c r="H296" s="22">
        <f t="shared" si="22"/>
        <v>250742196.12</v>
      </c>
    </row>
    <row r="297" spans="1:8" x14ac:dyDescent="0.3">
      <c r="A297" s="19" t="s">
        <v>289</v>
      </c>
      <c r="B297" s="19" t="s">
        <v>294</v>
      </c>
      <c r="C297" s="6" t="s">
        <v>318</v>
      </c>
      <c r="D297" s="15">
        <f>IFERROR(SUMIFS(DataEntry!$CS:$CS,DataEntry!$A:$A,"Ngabu",DataEntry!$B:$B,"Nsanje",DataEntry!$G:$G,"Q1"),"")</f>
        <v>5737</v>
      </c>
      <c r="E297" s="15">
        <f>IFERROR(SUMIFS(DataEntry!$CS:$CS,DataEntry!$A:$A,"Ngabu",DataEntry!$B:$B,"Nsanje",DataEntry!$G:$G,"Q2"),"")</f>
        <v>5454</v>
      </c>
      <c r="F297" s="15">
        <f>IFERROR(SUMIFS(DataEntry!$CS:$CS,DataEntry!$A:$A,"Ngabu",DataEntry!$B:$B,"Nsanje",DataEntry!$G:$G,"Q3"),"")</f>
        <v>5554</v>
      </c>
      <c r="G297" s="15">
        <f>IFERROR(SUMIFS(DataEntry!$CS:$CS,DataEntry!$A:$A,"Ngabu",DataEntry!$B:$B,"Nsanje",DataEntry!$G:$G,"Q4"),"")</f>
        <v>5980</v>
      </c>
      <c r="H297" s="20">
        <f t="shared" si="22"/>
        <v>22725</v>
      </c>
    </row>
    <row r="298" spans="1:8" x14ac:dyDescent="0.3">
      <c r="A298" s="21" t="s">
        <v>289</v>
      </c>
      <c r="B298" s="21" t="s">
        <v>294</v>
      </c>
      <c r="C298" s="12" t="s">
        <v>319</v>
      </c>
      <c r="D298" s="9">
        <f>IFERROR(SUMIFS(DataEntry!$CA:$CA,DataEntry!$A:$A,"Ngabu",DataEntry!$B:$B,"Nsanje",DataEntry!$G:$G,"Q1"),"")</f>
        <v>6</v>
      </c>
      <c r="E298" s="9">
        <f>IFERROR(SUMIFS(DataEntry!$CA:$CA,DataEntry!$A:$A,"Ngabu",DataEntry!$B:$B,"Nsanje",DataEntry!$G:$G,"Q2"),"")</f>
        <v>5</v>
      </c>
      <c r="F298" s="9">
        <f>IFERROR(SUMIFS(DataEntry!$CA:$CA,DataEntry!$A:$A,"Ngabu",DataEntry!$B:$B,"Nsanje",DataEntry!$G:$G,"Q3"),"")</f>
        <v>47</v>
      </c>
      <c r="G298" s="9">
        <f>IFERROR(SUMIFS(DataEntry!$CA:$CA,DataEntry!$A:$A,"Ngabu",DataEntry!$B:$B,"Nsanje",DataEntry!$G:$G,"Q4"),"")</f>
        <v>80</v>
      </c>
      <c r="H298" s="22">
        <f t="shared" si="22"/>
        <v>138</v>
      </c>
    </row>
    <row r="299" spans="1:8" x14ac:dyDescent="0.3">
      <c r="A299" s="19" t="s">
        <v>289</v>
      </c>
      <c r="B299" s="19" t="s">
        <v>294</v>
      </c>
      <c r="C299" s="6" t="s">
        <v>320</v>
      </c>
      <c r="D299" s="15">
        <f>IFERROR(SUMIFS(DataEntry!$DV:$DV,DataEntry!$A:$A,"Ngabu",DataEntry!$B:$B,"Nsanje",DataEntry!$G:$G,"Q1"),"")</f>
        <v>401</v>
      </c>
      <c r="E299" s="15">
        <f>IFERROR(SUMIFS(DataEntry!$DV:$DV,DataEntry!$A:$A,"Ngabu",DataEntry!$B:$B,"Nsanje",DataEntry!$G:$G,"Q2"),"")</f>
        <v>414</v>
      </c>
      <c r="F299" s="15">
        <f>IFERROR(SUMIFS(DataEntry!$DV:$DV,DataEntry!$A:$A,"Ngabu",DataEntry!$B:$B,"Nsanje",DataEntry!$G:$G,"Q3"),"")</f>
        <v>403</v>
      </c>
      <c r="G299" s="15">
        <f>IFERROR(SUMIFS(DataEntry!$DV:$DV,DataEntry!$A:$A,"Ngabu",DataEntry!$B:$B,"Nsanje",DataEntry!$G:$G,"Q4"),"")</f>
        <v>433</v>
      </c>
      <c r="H299" s="20">
        <f t="shared" si="22"/>
        <v>1651</v>
      </c>
    </row>
    <row r="300" spans="1:8" x14ac:dyDescent="0.3">
      <c r="A300" s="21" t="s">
        <v>289</v>
      </c>
      <c r="B300" s="21" t="s">
        <v>294</v>
      </c>
      <c r="C300" s="12" t="s">
        <v>243</v>
      </c>
      <c r="D300" s="10">
        <f>IFERROR(AVERAGEIFS(DataEntry!$HC:$HC,DataEntry!$A:$A,"Ngabu",DataEntry!$B:$B,"Nsanje",DataEntry!$G:$G,"Q1"),"")</f>
        <v>0.51139404468741934</v>
      </c>
      <c r="E300" s="10">
        <f>IFERROR(AVERAGEIFS(DataEntry!$HC:$HC,DataEntry!$A:$A,"Ngabu",DataEntry!$B:$B,"Nsanje",DataEntry!$G:$G,"Q2"),"")</f>
        <v>0.81799203914412166</v>
      </c>
      <c r="F300" s="10">
        <f>IFERROR(AVERAGEIFS(DataEntry!$HC:$HC,DataEntry!$A:$A,"Ngabu",DataEntry!$B:$B,"Nsanje",DataEntry!$G:$G,"Q3"),"")</f>
        <v>0.5005468251440538</v>
      </c>
      <c r="G300" s="10">
        <f>IFERROR(AVERAGEIFS(DataEntry!$HC:$HC,DataEntry!$A:$A,"Ngabu",DataEntry!$B:$B,"Nsanje",DataEntry!$G:$G,"Q4"),"")</f>
        <v>6615150.6585062817</v>
      </c>
      <c r="H300" s="23">
        <f>IFERROR(AVERAGE(D300:G300),"")</f>
        <v>1653788.1221097976</v>
      </c>
    </row>
    <row r="301" spans="1:8" x14ac:dyDescent="0.3">
      <c r="A301" s="19" t="s">
        <v>289</v>
      </c>
      <c r="B301" s="19" t="s">
        <v>294</v>
      </c>
      <c r="C301" s="6" t="s">
        <v>242</v>
      </c>
      <c r="D301" s="16">
        <f>IFERROR(AVERAGEIFS(DataEntry!$HB:$HB,DataEntry!$A:$A,"Ngabu",DataEntry!$B:$B,"Nsanje",DataEntry!$G:$G,"Q1"),"")</f>
        <v>0.12811694433199697</v>
      </c>
      <c r="E301" s="16">
        <f>IFERROR(AVERAGEIFS(DataEntry!$HB:$HB,DataEntry!$A:$A,"Ngabu",DataEntry!$B:$B,"Nsanje",DataEntry!$G:$G,"Q2"),"")</f>
        <v>0.13904068178401605</v>
      </c>
      <c r="F301" s="16">
        <f>IFERROR(AVERAGEIFS(DataEntry!$HB:$HB,DataEntry!$A:$A,"Ngabu",DataEntry!$B:$B,"Nsanje",DataEntry!$G:$G,"Q3"),"")</f>
        <v>0.10333632854198854</v>
      </c>
      <c r="G301" s="16">
        <f>IFERROR(AVERAGEIFS(DataEntry!$HB:$HB,DataEntry!$A:$A,"Ngabu",DataEntry!$B:$B,"Nsanje",DataEntry!$G:$G,"Q4"),"")</f>
        <v>7560092.4571478106</v>
      </c>
      <c r="H301" s="24">
        <f>IFERROR(AVERAGE(D301:G301),"")</f>
        <v>1890023.2069104414</v>
      </c>
    </row>
    <row r="302" spans="1:8" x14ac:dyDescent="0.3">
      <c r="A302" s="21" t="s">
        <v>295</v>
      </c>
      <c r="B302" s="21" t="s">
        <v>296</v>
      </c>
      <c r="C302" s="12" t="s">
        <v>40</v>
      </c>
      <c r="D302" s="9">
        <f>IFERROR(SUMIFS(DataEntry!$H:$H,DataEntry!$A:$A,"Zomba",DataEntry!$B:$B,"Chiradzulu",DataEntry!$G:$G,"Q1"),"")</f>
        <v>8392</v>
      </c>
      <c r="E302" s="9">
        <f>IFERROR(SUMIFS(DataEntry!$H:$H,DataEntry!$A:$A,"Zomba",DataEntry!$B:$B,"Chiradzulu",DataEntry!$G:$G,"Q2"),"")</f>
        <v>7502</v>
      </c>
      <c r="F302" s="9">
        <f>IFERROR(SUMIFS(DataEntry!$H:$H,DataEntry!$A:$A,"Zomba",DataEntry!$B:$B,"Chiradzulu",DataEntry!$G:$G,"Q3"),"")</f>
        <v>4627</v>
      </c>
      <c r="G302" s="9">
        <f>IFERROR(SUMIFS(DataEntry!$H:$H,DataEntry!$A:$A,"Zomba",DataEntry!$B:$B,"Chiradzulu",DataEntry!$G:$G,"Q4"),"")</f>
        <v>6448</v>
      </c>
      <c r="H302" s="22">
        <f>IFERROR(SUM(D302:G302),"")</f>
        <v>26969</v>
      </c>
    </row>
    <row r="303" spans="1:8" x14ac:dyDescent="0.3">
      <c r="A303" s="19" t="s">
        <v>295</v>
      </c>
      <c r="B303" s="19" t="s">
        <v>296</v>
      </c>
      <c r="C303" s="6" t="s">
        <v>312</v>
      </c>
      <c r="D303" s="15">
        <f>IFERROR(SUMIFS(DataEntry!$S:$S,DataEntry!$A:$A,"Zomba",DataEntry!$B:$B,"Chiradzulu",DataEntry!$G:$G,"Q1"),"")</f>
        <v>6240.8999999999905</v>
      </c>
      <c r="E303" s="15">
        <f>IFERROR(SUMIFS(DataEntry!$S:$S,DataEntry!$A:$A,"Zomba",DataEntry!$B:$B,"Chiradzulu",DataEntry!$G:$G,"Q2"),"")</f>
        <v>6253.8999999999905</v>
      </c>
      <c r="F303" s="15">
        <f>IFERROR(SUMIFS(DataEntry!$S:$S,DataEntry!$A:$A,"Zomba",DataEntry!$B:$B,"Chiradzulu",DataEntry!$G:$G,"Q3"),"")</f>
        <v>4278.7999999999993</v>
      </c>
      <c r="G303" s="15">
        <f>IFERROR(SUMIFS(DataEntry!$S:$S,DataEntry!$A:$A,"Zomba",DataEntry!$B:$B,"Chiradzulu",DataEntry!$G:$G,"Q4"),"")</f>
        <v>5998.5999999999822</v>
      </c>
      <c r="H303" s="20">
        <f>IFERROR(SUM(D303:G303),"")</f>
        <v>22772.199999999961</v>
      </c>
    </row>
    <row r="304" spans="1:8" x14ac:dyDescent="0.3">
      <c r="A304" s="21" t="s">
        <v>295</v>
      </c>
      <c r="B304" s="21" t="s">
        <v>296</v>
      </c>
      <c r="C304" s="12" t="s">
        <v>313</v>
      </c>
      <c r="D304" s="9">
        <f>IFERROR(SUMIFS(DataEntry!$T:$T,DataEntry!$A:$A,"Zomba",DataEntry!$B:$B,"Chiradzulu",DataEntry!$G:$G,"Q1"),"")</f>
        <v>2151.1000000000131</v>
      </c>
      <c r="E304" s="9">
        <f>IFERROR(SUMIFS(DataEntry!$T:$T,DataEntry!$A:$A,"Zomba",DataEntry!$B:$B,"Chiradzulu",DataEntry!$G:$G,"Q2"),"")</f>
        <v>1248.1000000000138</v>
      </c>
      <c r="F304" s="9">
        <f>IFERROR(SUMIFS(DataEntry!$T:$T,DataEntry!$A:$A,"Zomba",DataEntry!$B:$B,"Chiradzulu",DataEntry!$G:$G,"Q3"),"")</f>
        <v>348.20000000000238</v>
      </c>
      <c r="G304" s="9">
        <f>IFERROR(SUMIFS(DataEntry!$T:$T,DataEntry!$A:$A,"Zomba",DataEntry!$B:$B,"Chiradzulu",DataEntry!$G:$G,"Q4"),"")</f>
        <v>449.40000000001805</v>
      </c>
      <c r="H304" s="22">
        <f>IFERROR(SUM(D304:G304),"")</f>
        <v>4196.8000000000475</v>
      </c>
    </row>
    <row r="305" spans="1:8" x14ac:dyDescent="0.3">
      <c r="A305" s="19" t="s">
        <v>295</v>
      </c>
      <c r="B305" s="19" t="s">
        <v>296</v>
      </c>
      <c r="C305" s="6" t="s">
        <v>53</v>
      </c>
      <c r="D305" s="16">
        <f>IFERROR(AVERAGEIFS(DataEntry!$U:$U,DataEntry!$A:$A,"Zomba",DataEntry!$B:$B,"Chiradzulu",DataEntry!$G:$G,"Q1"),"")</f>
        <v>0.2517422062241772</v>
      </c>
      <c r="E305" s="16">
        <f>IFERROR(AVERAGEIFS(DataEntry!$U:$U,DataEntry!$A:$A,"Zomba",DataEntry!$B:$B,"Chiradzulu",DataEntry!$G:$G,"Q2"),"")</f>
        <v>0.16677196580798406</v>
      </c>
      <c r="F305" s="16">
        <f>IFERROR(AVERAGEIFS(DataEntry!$U:$U,DataEntry!$A:$A,"Zomba",DataEntry!$B:$B,"Chiradzulu",DataEntry!$G:$G,"Q3"),"")</f>
        <v>7.386309018451935E-2</v>
      </c>
      <c r="G305" s="16">
        <f>IFERROR(AVERAGEIFS(DataEntry!$U:$U,DataEntry!$A:$A,"Zomba",DataEntry!$B:$B,"Chiradzulu",DataEntry!$G:$G,"Q4"),"")</f>
        <v>7.0143775846760778E-2</v>
      </c>
      <c r="H305" s="24">
        <f>IFERROR(AVERAGE(D305:G305),"")</f>
        <v>0.14063025951586033</v>
      </c>
    </row>
    <row r="306" spans="1:8" x14ac:dyDescent="0.3">
      <c r="A306" s="21" t="s">
        <v>295</v>
      </c>
      <c r="B306" s="21" t="s">
        <v>296</v>
      </c>
      <c r="C306" s="12" t="s">
        <v>314</v>
      </c>
      <c r="D306" s="9">
        <f>IFERROR(SUMIFS(DataEntry!$AU:$AU,DataEntry!$A:$A,"Zomba",DataEntry!$B:$B,"Chiradzulu",DataEntry!$G:$G,"Q1"),"")</f>
        <v>4338301.6641699998</v>
      </c>
      <c r="E306" s="9">
        <f>IFERROR(SUMIFS(DataEntry!$AU:$AU,DataEntry!$A:$A,"Zomba",DataEntry!$B:$B,"Chiradzulu",DataEntry!$G:$G,"Q2"),"")</f>
        <v>633723.06326000008</v>
      </c>
      <c r="F306" s="9">
        <f>IFERROR(SUMIFS(DataEntry!$AU:$AU,DataEntry!$A:$A,"Zomba",DataEntry!$B:$B,"Chiradzulu",DataEntry!$G:$G,"Q3"),"")</f>
        <v>610762.02047999995</v>
      </c>
      <c r="G306" s="9">
        <f>IFERROR(SUMIFS(DataEntry!$AU:$AU,DataEntry!$A:$A,"Zomba",DataEntry!$B:$B,"Chiradzulu",DataEntry!$G:$G,"Q4"),"")</f>
        <v>751999.17743000004</v>
      </c>
      <c r="H306" s="22">
        <f t="shared" ref="H306:H312" si="23">IFERROR(SUM(D306:G306),"")</f>
        <v>6334785.9253400005</v>
      </c>
    </row>
    <row r="307" spans="1:8" x14ac:dyDescent="0.3">
      <c r="A307" s="19" t="s">
        <v>295</v>
      </c>
      <c r="B307" s="19" t="s">
        <v>296</v>
      </c>
      <c r="C307" s="6" t="s">
        <v>315</v>
      </c>
      <c r="D307" s="15">
        <f>IFERROR(SUMIFS(DataEntry!$GB:$GB,DataEntry!$A:$A,"Zomba",DataEntry!$B:$B,"Chiradzulu",DataEntry!$G:$G,"Q1"),"")</f>
        <v>8627351.1499999985</v>
      </c>
      <c r="E307" s="15">
        <f>IFERROR(SUMIFS(DataEntry!$GB:$GB,DataEntry!$A:$A,"Zomba",DataEntry!$B:$B,"Chiradzulu",DataEntry!$G:$G,"Q2"),"")</f>
        <v>9697764.2599999998</v>
      </c>
      <c r="F307" s="15">
        <f>IFERROR(SUMIFS(DataEntry!$GB:$GB,DataEntry!$A:$A,"Zomba",DataEntry!$B:$B,"Chiradzulu",DataEntry!$G:$G,"Q3"),"")</f>
        <v>6908626.4900000002</v>
      </c>
      <c r="G307" s="15">
        <f>IFERROR(SUMIFS(DataEntry!$GB:$GB,DataEntry!$A:$A,"Zomba",DataEntry!$B:$B,"Chiradzulu",DataEntry!$G:$G,"Q4"),"")</f>
        <v>7817381.169999999</v>
      </c>
      <c r="H307" s="20">
        <f t="shared" si="23"/>
        <v>33051123.069999997</v>
      </c>
    </row>
    <row r="308" spans="1:8" x14ac:dyDescent="0.3">
      <c r="A308" s="21" t="s">
        <v>295</v>
      </c>
      <c r="B308" s="21" t="s">
        <v>296</v>
      </c>
      <c r="C308" s="12" t="s">
        <v>316</v>
      </c>
      <c r="D308" s="9">
        <f>IFERROR(SUMIFS(DataEntry!$GM:$GM,DataEntry!$A:$A,"Zomba",DataEntry!$B:$B,"Chiradzulu",DataEntry!$G:$G,"Q1"),"")</f>
        <v>8534382.0800000019</v>
      </c>
      <c r="E308" s="9">
        <f>IFERROR(SUMIFS(DataEntry!$GM:$GM,DataEntry!$A:$A,"Zomba",DataEntry!$B:$B,"Chiradzulu",DataEntry!$G:$G,"Q2"),"")</f>
        <v>9103633.2699999996</v>
      </c>
      <c r="F308" s="9">
        <f>IFERROR(SUMIFS(DataEntry!$GM:$GM,DataEntry!$A:$A,"Zomba",DataEntry!$B:$B,"Chiradzulu",DataEntry!$G:$G,"Q3"),"")</f>
        <v>6600486.2000000011</v>
      </c>
      <c r="G308" s="9">
        <f>IFERROR(SUMIFS(DataEntry!$GM:$GM,DataEntry!$A:$A,"Zomba",DataEntry!$B:$B,"Chiradzulu",DataEntry!$G:$G,"Q4"),"")</f>
        <v>8002985.1799999997</v>
      </c>
      <c r="H308" s="22">
        <f t="shared" si="23"/>
        <v>32241486.730000004</v>
      </c>
    </row>
    <row r="309" spans="1:8" x14ac:dyDescent="0.3">
      <c r="A309" s="19" t="s">
        <v>295</v>
      </c>
      <c r="B309" s="19" t="s">
        <v>296</v>
      </c>
      <c r="C309" s="6" t="s">
        <v>317</v>
      </c>
      <c r="D309" s="15">
        <f>IFERROR(SUMIFS(DataEntry!$GX:$GX,DataEntry!$A:$A,"Zomba",DataEntry!$B:$B,"Chiradzulu",DataEntry!$G:$G,"Q1"),"")</f>
        <v>8700240.2300000004</v>
      </c>
      <c r="E309" s="15">
        <f>IFERROR(SUMIFS(DataEntry!$GX:$GX,DataEntry!$A:$A,"Zomba",DataEntry!$B:$B,"Chiradzulu",DataEntry!$G:$G,"Q2"),"")</f>
        <v>9307514.8399999999</v>
      </c>
      <c r="F309" s="15">
        <f>IFERROR(SUMIFS(DataEntry!$GX:$GX,DataEntry!$A:$A,"Zomba",DataEntry!$B:$B,"Chiradzulu",DataEntry!$G:$G,"Q3"),"")</f>
        <v>6788810.5200000005</v>
      </c>
      <c r="G309" s="15">
        <f>IFERROR(SUMIFS(DataEntry!$GX:$GX,DataEntry!$A:$A,"Zomba",DataEntry!$B:$B,"Chiradzulu",DataEntry!$G:$G,"Q4"),"")</f>
        <v>8144513.21</v>
      </c>
      <c r="H309" s="20">
        <f t="shared" si="23"/>
        <v>32941078.800000001</v>
      </c>
    </row>
    <row r="310" spans="1:8" x14ac:dyDescent="0.3">
      <c r="A310" s="21" t="s">
        <v>295</v>
      </c>
      <c r="B310" s="21" t="s">
        <v>296</v>
      </c>
      <c r="C310" s="12" t="s">
        <v>318</v>
      </c>
      <c r="D310" s="9">
        <f>IFERROR(SUMIFS(DataEntry!$CS:$CS,DataEntry!$A:$A,"Zomba",DataEntry!$B:$B,"Chiradzulu",DataEntry!$G:$G,"Q1"),"")</f>
        <v>980</v>
      </c>
      <c r="E310" s="9">
        <f>IFERROR(SUMIFS(DataEntry!$CS:$CS,DataEntry!$A:$A,"Zomba",DataEntry!$B:$B,"Chiradzulu",DataEntry!$G:$G,"Q2"),"")</f>
        <v>1072</v>
      </c>
      <c r="F310" s="9">
        <f>IFERROR(SUMIFS(DataEntry!$CS:$CS,DataEntry!$A:$A,"Zomba",DataEntry!$B:$B,"Chiradzulu",DataEntry!$G:$G,"Q3"),"")</f>
        <v>1146</v>
      </c>
      <c r="G310" s="9">
        <f>IFERROR(SUMIFS(DataEntry!$CS:$CS,DataEntry!$A:$A,"Zomba",DataEntry!$B:$B,"Chiradzulu",DataEntry!$G:$G,"Q4"),"")</f>
        <v>1155</v>
      </c>
      <c r="H310" s="22">
        <f t="shared" si="23"/>
        <v>4353</v>
      </c>
    </row>
    <row r="311" spans="1:8" x14ac:dyDescent="0.3">
      <c r="A311" s="19" t="s">
        <v>295</v>
      </c>
      <c r="B311" s="19" t="s">
        <v>296</v>
      </c>
      <c r="C311" s="6" t="s">
        <v>319</v>
      </c>
      <c r="D311" s="15">
        <f>IFERROR(SUMIFS(DataEntry!$CA:$CA,DataEntry!$A:$A,"Zomba",DataEntry!$B:$B,"Chiradzulu",DataEntry!$G:$G,"Q1"),"")</f>
        <v>13</v>
      </c>
      <c r="E311" s="15">
        <f>IFERROR(SUMIFS(DataEntry!$CA:$CA,DataEntry!$A:$A,"Zomba",DataEntry!$B:$B,"Chiradzulu",DataEntry!$G:$G,"Q2"),"")</f>
        <v>11</v>
      </c>
      <c r="F311" s="15">
        <f>IFERROR(SUMIFS(DataEntry!$CA:$CA,DataEntry!$A:$A,"Zomba",DataEntry!$B:$B,"Chiradzulu",DataEntry!$G:$G,"Q3"),"")</f>
        <v>14</v>
      </c>
      <c r="G311" s="15">
        <f>IFERROR(SUMIFS(DataEntry!$CA:$CA,DataEntry!$A:$A,"Zomba",DataEntry!$B:$B,"Chiradzulu",DataEntry!$G:$G,"Q4"),"")</f>
        <v>0</v>
      </c>
      <c r="H311" s="20">
        <f t="shared" si="23"/>
        <v>38</v>
      </c>
    </row>
    <row r="312" spans="1:8" x14ac:dyDescent="0.3">
      <c r="A312" s="21" t="s">
        <v>295</v>
      </c>
      <c r="B312" s="21" t="s">
        <v>296</v>
      </c>
      <c r="C312" s="12" t="s">
        <v>320</v>
      </c>
      <c r="D312" s="9">
        <f>IFERROR(SUMIFS(DataEntry!$DV:$DV,DataEntry!$A:$A,"Zomba",DataEntry!$B:$B,"Chiradzulu",DataEntry!$G:$G,"Q1"),"")</f>
        <v>0</v>
      </c>
      <c r="E312" s="9">
        <f>IFERROR(SUMIFS(DataEntry!$DV:$DV,DataEntry!$A:$A,"Zomba",DataEntry!$B:$B,"Chiradzulu",DataEntry!$G:$G,"Q2"),"")</f>
        <v>0</v>
      </c>
      <c r="F312" s="9">
        <f>IFERROR(SUMIFS(DataEntry!$DV:$DV,DataEntry!$A:$A,"Zomba",DataEntry!$B:$B,"Chiradzulu",DataEntry!$G:$G,"Q3"),"")</f>
        <v>0</v>
      </c>
      <c r="G312" s="9">
        <f>IFERROR(SUMIFS(DataEntry!$DV:$DV,DataEntry!$A:$A,"Zomba",DataEntry!$B:$B,"Chiradzulu",DataEntry!$G:$G,"Q4"),"")</f>
        <v>0</v>
      </c>
      <c r="H312" s="22">
        <f t="shared" si="23"/>
        <v>0</v>
      </c>
    </row>
    <row r="313" spans="1:8" x14ac:dyDescent="0.3">
      <c r="A313" s="19" t="s">
        <v>295</v>
      </c>
      <c r="B313" s="19" t="s">
        <v>296</v>
      </c>
      <c r="C313" s="6" t="s">
        <v>243</v>
      </c>
      <c r="D313" s="16">
        <f>IFERROR(AVERAGEIFS(DataEntry!$HC:$HC,DataEntry!$A:$A,"Zomba",DataEntry!$B:$B,"Chiradzulu",DataEntry!$G:$G,"Q1"),"")</f>
        <v>0.19432393753732569</v>
      </c>
      <c r="E313" s="16">
        <f>IFERROR(AVERAGEIFS(DataEntry!$HC:$HC,DataEntry!$A:$A,"Zomba",DataEntry!$B:$B,"Chiradzulu",DataEntry!$G:$G,"Q2"),"")</f>
        <v>-3.6805818413001927E-3</v>
      </c>
      <c r="F313" s="16">
        <f>IFERROR(AVERAGEIFS(DataEntry!$HC:$HC,DataEntry!$A:$A,"Zomba",DataEntry!$B:$B,"Chiradzulu",DataEntry!$G:$G,"Q3"),"")</f>
        <v>0.17797956952100599</v>
      </c>
      <c r="G313" s="16">
        <f>IFERROR(AVERAGEIFS(DataEntry!$HC:$HC,DataEntry!$A:$A,"Zomba",DataEntry!$B:$B,"Chiradzulu",DataEntry!$G:$G,"Q4"),"")</f>
        <v>0.11938914050955145</v>
      </c>
      <c r="H313" s="24">
        <f>IFERROR(AVERAGE(D313:G313),"")</f>
        <v>0.12200301643164574</v>
      </c>
    </row>
    <row r="314" spans="1:8" x14ac:dyDescent="0.3">
      <c r="A314" s="21" t="s">
        <v>295</v>
      </c>
      <c r="B314" s="21" t="s">
        <v>296</v>
      </c>
      <c r="C314" s="12" t="s">
        <v>242</v>
      </c>
      <c r="D314" s="10">
        <f>IFERROR(AVERAGEIFS(DataEntry!$HB:$HB,DataEntry!$A:$A,"Zomba",DataEntry!$B:$B,"Chiradzulu",DataEntry!$G:$G,"Q1"),"")</f>
        <v>0.49055879662109536</v>
      </c>
      <c r="E314" s="10">
        <f>IFERROR(AVERAGEIFS(DataEntry!$HB:$HB,DataEntry!$A:$A,"Zomba",DataEntry!$B:$B,"Chiradzulu",DataEntry!$G:$G,"Q2"),"")</f>
        <v>7.2057484050408058E-2</v>
      </c>
      <c r="F314" s="10">
        <f>IFERROR(AVERAGEIFS(DataEntry!$HB:$HB,DataEntry!$A:$A,"Zomba",DataEntry!$B:$B,"Chiradzulu",DataEntry!$G:$G,"Q3"),"")</f>
        <v>9.1650159739504897E-2</v>
      </c>
      <c r="G314" s="10">
        <f>IFERROR(AVERAGEIFS(DataEntry!$HB:$HB,DataEntry!$A:$A,"Zomba",DataEntry!$B:$B,"Chiradzulu",DataEntry!$G:$G,"Q4"),"")</f>
        <v>928716.28027633391</v>
      </c>
      <c r="H314" s="23">
        <f>IFERROR(AVERAGE(D314:G314),"")</f>
        <v>232179.23363569358</v>
      </c>
    </row>
    <row r="315" spans="1:8" x14ac:dyDescent="0.3">
      <c r="A315" s="19" t="s">
        <v>295</v>
      </c>
      <c r="B315" s="19" t="s">
        <v>297</v>
      </c>
      <c r="C315" s="6" t="s">
        <v>40</v>
      </c>
      <c r="D315" s="15">
        <f>IFERROR(SUMIFS(DataEntry!$H:$H,DataEntry!$A:$A,"Zomba",DataEntry!$B:$B,"Domasi",DataEntry!$G:$G,"Q1"),"")</f>
        <v>81552</v>
      </c>
      <c r="E315" s="15">
        <f>IFERROR(SUMIFS(DataEntry!$H:$H,DataEntry!$A:$A,"Zomba",DataEntry!$B:$B,"Domasi",DataEntry!$G:$G,"Q2"),"")</f>
        <v>89174</v>
      </c>
      <c r="F315" s="15">
        <f>IFERROR(SUMIFS(DataEntry!$H:$H,DataEntry!$A:$A,"Zomba",DataEntry!$B:$B,"Domasi",DataEntry!$G:$G,"Q3"),"")</f>
        <v>82914</v>
      </c>
      <c r="G315" s="15">
        <f>IFERROR(SUMIFS(DataEntry!$H:$H,DataEntry!$A:$A,"Zomba",DataEntry!$B:$B,"Domasi",DataEntry!$G:$G,"Q4"),"")</f>
        <v>80269</v>
      </c>
      <c r="H315" s="20">
        <f>IFERROR(SUM(D315:G315),"")</f>
        <v>333909</v>
      </c>
    </row>
    <row r="316" spans="1:8" x14ac:dyDescent="0.3">
      <c r="A316" s="21" t="s">
        <v>295</v>
      </c>
      <c r="B316" s="21" t="s">
        <v>297</v>
      </c>
      <c r="C316" s="12" t="s">
        <v>312</v>
      </c>
      <c r="D316" s="9">
        <f>IFERROR(SUMIFS(DataEntry!$S:$S,DataEntry!$A:$A,"Zomba",DataEntry!$B:$B,"Domasi",DataEntry!$G:$G,"Q1"),"")</f>
        <v>71311.200000000055</v>
      </c>
      <c r="E316" s="9">
        <f>IFERROR(SUMIFS(DataEntry!$S:$S,DataEntry!$A:$A,"Zomba",DataEntry!$B:$B,"Domasi",DataEntry!$G:$G,"Q2"),"")</f>
        <v>77777.400000000081</v>
      </c>
      <c r="F316" s="9">
        <f>IFERROR(SUMIFS(DataEntry!$S:$S,DataEntry!$A:$A,"Zomba",DataEntry!$B:$B,"Domasi",DataEntry!$G:$G,"Q3"),"")</f>
        <v>65240.800000000076</v>
      </c>
      <c r="G316" s="9">
        <f>IFERROR(SUMIFS(DataEntry!$S:$S,DataEntry!$A:$A,"Zomba",DataEntry!$B:$B,"Domasi",DataEntry!$G:$G,"Q4"),"")</f>
        <v>68701.000000000087</v>
      </c>
      <c r="H316" s="22">
        <f>IFERROR(SUM(D316:G316),"")</f>
        <v>283030.40000000031</v>
      </c>
    </row>
    <row r="317" spans="1:8" x14ac:dyDescent="0.3">
      <c r="A317" s="19" t="s">
        <v>295</v>
      </c>
      <c r="B317" s="19" t="s">
        <v>297</v>
      </c>
      <c r="C317" s="6" t="s">
        <v>313</v>
      </c>
      <c r="D317" s="15">
        <f>IFERROR(SUMIFS(DataEntry!$T:$T,DataEntry!$A:$A,"Zomba",DataEntry!$B:$B,"Domasi",DataEntry!$G:$G,"Q1"),"")</f>
        <v>10240.79999999995</v>
      </c>
      <c r="E317" s="15">
        <f>IFERROR(SUMIFS(DataEntry!$T:$T,DataEntry!$A:$A,"Zomba",DataEntry!$B:$B,"Domasi",DataEntry!$G:$G,"Q2"),"")</f>
        <v>11396.59999999992</v>
      </c>
      <c r="F317" s="15">
        <f>IFERROR(SUMIFS(DataEntry!$T:$T,DataEntry!$A:$A,"Zomba",DataEntry!$B:$B,"Domasi",DataEntry!$G:$G,"Q3"),"")</f>
        <v>17673.199999999932</v>
      </c>
      <c r="G317" s="15">
        <f>IFERROR(SUMIFS(DataEntry!$T:$T,DataEntry!$A:$A,"Zomba",DataEntry!$B:$B,"Domasi",DataEntry!$G:$G,"Q4"),"")</f>
        <v>11567.999999999916</v>
      </c>
      <c r="H317" s="20">
        <f>IFERROR(SUM(D317:G317),"")</f>
        <v>50878.599999999715</v>
      </c>
    </row>
    <row r="318" spans="1:8" x14ac:dyDescent="0.3">
      <c r="A318" s="21" t="s">
        <v>295</v>
      </c>
      <c r="B318" s="21" t="s">
        <v>297</v>
      </c>
      <c r="C318" s="12" t="s">
        <v>53</v>
      </c>
      <c r="D318" s="10">
        <f>IFERROR(AVERAGEIFS(DataEntry!$U:$U,DataEntry!$A:$A,"Zomba",DataEntry!$B:$B,"Domasi",DataEntry!$G:$G,"Q1"),"")</f>
        <v>0.12492757453390156</v>
      </c>
      <c r="E318" s="10">
        <f>IFERROR(AVERAGEIFS(DataEntry!$U:$U,DataEntry!$A:$A,"Zomba",DataEntry!$B:$B,"Domasi",DataEntry!$G:$G,"Q2"),"")</f>
        <v>0.13249281311817326</v>
      </c>
      <c r="F318" s="10">
        <f>IFERROR(AVERAGEIFS(DataEntry!$U:$U,DataEntry!$A:$A,"Zomba",DataEntry!$B:$B,"Domasi",DataEntry!$G:$G,"Q3"),"")</f>
        <v>0.22506250921827045</v>
      </c>
      <c r="G318" s="10">
        <f>IFERROR(AVERAGEIFS(DataEntry!$U:$U,DataEntry!$A:$A,"Zomba",DataEntry!$B:$B,"Domasi",DataEntry!$G:$G,"Q4"),"")</f>
        <v>0.14554797273315473</v>
      </c>
      <c r="H318" s="23">
        <f>IFERROR(AVERAGE(D318:G318),"")</f>
        <v>0.15700771740087499</v>
      </c>
    </row>
    <row r="319" spans="1:8" x14ac:dyDescent="0.3">
      <c r="A319" s="19" t="s">
        <v>295</v>
      </c>
      <c r="B319" s="19" t="s">
        <v>297</v>
      </c>
      <c r="C319" s="6" t="s">
        <v>314</v>
      </c>
      <c r="D319" s="15">
        <f>IFERROR(SUMIFS(DataEntry!$AU:$AU,DataEntry!$A:$A,"Zomba",DataEntry!$B:$B,"Domasi",DataEntry!$G:$G,"Q1"),"")</f>
        <v>11081174.939499998</v>
      </c>
      <c r="E319" s="15">
        <f>IFERROR(SUMIFS(DataEntry!$AU:$AU,DataEntry!$A:$A,"Zomba",DataEntry!$B:$B,"Domasi",DataEntry!$G:$G,"Q2"),"")</f>
        <v>4437220.7697400004</v>
      </c>
      <c r="F319" s="15">
        <f>IFERROR(SUMIFS(DataEntry!$AU:$AU,DataEntry!$A:$A,"Zomba",DataEntry!$B:$B,"Domasi",DataEntry!$G:$G,"Q3"),"")</f>
        <v>7481722.69845</v>
      </c>
      <c r="G319" s="15">
        <f>IFERROR(SUMIFS(DataEntry!$AU:$AU,DataEntry!$A:$A,"Zomba",DataEntry!$B:$B,"Domasi",DataEntry!$G:$G,"Q4"),"")</f>
        <v>8796528.3358200006</v>
      </c>
      <c r="H319" s="20">
        <f t="shared" ref="H319:H325" si="24">IFERROR(SUM(D319:G319),"")</f>
        <v>31796646.74351</v>
      </c>
    </row>
    <row r="320" spans="1:8" x14ac:dyDescent="0.3">
      <c r="A320" s="21" t="s">
        <v>295</v>
      </c>
      <c r="B320" s="21" t="s">
        <v>297</v>
      </c>
      <c r="C320" s="12" t="s">
        <v>315</v>
      </c>
      <c r="D320" s="9">
        <f>IFERROR(SUMIFS(DataEntry!$GB:$GB,DataEntry!$A:$A,"Zomba",DataEntry!$B:$B,"Domasi",DataEntry!$G:$G,"Q1"),"")</f>
        <v>179317068.81</v>
      </c>
      <c r="E320" s="9">
        <f>IFERROR(SUMIFS(DataEntry!$GB:$GB,DataEntry!$A:$A,"Zomba",DataEntry!$B:$B,"Domasi",DataEntry!$G:$G,"Q2"),"")</f>
        <v>162895610.05000001</v>
      </c>
      <c r="F320" s="9">
        <f>IFERROR(SUMIFS(DataEntry!$GB:$GB,DataEntry!$A:$A,"Zomba",DataEntry!$B:$B,"Domasi",DataEntry!$G:$G,"Q3"),"")</f>
        <v>104927237.41000001</v>
      </c>
      <c r="G320" s="9">
        <f>IFERROR(SUMIFS(DataEntry!$GB:$GB,DataEntry!$A:$A,"Zomba",DataEntry!$B:$B,"Domasi",DataEntry!$G:$G,"Q4"),"")</f>
        <v>132192688.94999999</v>
      </c>
      <c r="H320" s="22">
        <f t="shared" si="24"/>
        <v>579332605.22000003</v>
      </c>
    </row>
    <row r="321" spans="1:8" x14ac:dyDescent="0.3">
      <c r="A321" s="19" t="s">
        <v>295</v>
      </c>
      <c r="B321" s="19" t="s">
        <v>297</v>
      </c>
      <c r="C321" s="6" t="s">
        <v>316</v>
      </c>
      <c r="D321" s="15">
        <f>IFERROR(SUMIFS(DataEntry!$GM:$GM,DataEntry!$A:$A,"Zomba",DataEntry!$B:$B,"Domasi",DataEntry!$G:$G,"Q1"),"")</f>
        <v>133179252.85999998</v>
      </c>
      <c r="E321" s="15">
        <f>IFERROR(SUMIFS(DataEntry!$GM:$GM,DataEntry!$A:$A,"Zomba",DataEntry!$B:$B,"Domasi",DataEntry!$G:$G,"Q2"),"")</f>
        <v>160358964.19999999</v>
      </c>
      <c r="F321" s="15">
        <f>IFERROR(SUMIFS(DataEntry!$GM:$GM,DataEntry!$A:$A,"Zomba",DataEntry!$B:$B,"Domasi",DataEntry!$G:$G,"Q3"),"")</f>
        <v>102455826.29999998</v>
      </c>
      <c r="G321" s="15">
        <f>IFERROR(SUMIFS(DataEntry!$GM:$GM,DataEntry!$A:$A,"Zomba",DataEntry!$B:$B,"Domasi",DataEntry!$G:$G,"Q4"),"")</f>
        <v>125934921.79999998</v>
      </c>
      <c r="H321" s="20">
        <f t="shared" si="24"/>
        <v>521928965.15999985</v>
      </c>
    </row>
    <row r="322" spans="1:8" x14ac:dyDescent="0.3">
      <c r="A322" s="21" t="s">
        <v>295</v>
      </c>
      <c r="B322" s="21" t="s">
        <v>297</v>
      </c>
      <c r="C322" s="12" t="s">
        <v>317</v>
      </c>
      <c r="D322" s="9">
        <f>IFERROR(SUMIFS(DataEntry!$GX:$GX,DataEntry!$A:$A,"Zomba",DataEntry!$B:$B,"Domasi",DataEntry!$G:$G,"Q1"),"")</f>
        <v>137003932.94</v>
      </c>
      <c r="E322" s="9">
        <f>IFERROR(SUMIFS(DataEntry!$GX:$GX,DataEntry!$A:$A,"Zomba",DataEntry!$B:$B,"Domasi",DataEntry!$G:$G,"Q2"),"")</f>
        <v>164128367.56999999</v>
      </c>
      <c r="F322" s="9">
        <f>IFERROR(SUMIFS(DataEntry!$GX:$GX,DataEntry!$A:$A,"Zomba",DataEntry!$B:$B,"Domasi",DataEntry!$G:$G,"Q3"),"")</f>
        <v>106110990.25999999</v>
      </c>
      <c r="G322" s="9">
        <f>IFERROR(SUMIFS(DataEntry!$GX:$GX,DataEntry!$A:$A,"Zomba",DataEntry!$B:$B,"Domasi",DataEntry!$G:$G,"Q4"),"")</f>
        <v>129472253.67999999</v>
      </c>
      <c r="H322" s="22">
        <f t="shared" si="24"/>
        <v>536715544.44999999</v>
      </c>
    </row>
    <row r="323" spans="1:8" x14ac:dyDescent="0.3">
      <c r="A323" s="19" t="s">
        <v>295</v>
      </c>
      <c r="B323" s="19" t="s">
        <v>297</v>
      </c>
      <c r="C323" s="6" t="s">
        <v>318</v>
      </c>
      <c r="D323" s="15">
        <f>IFERROR(SUMIFS(DataEntry!$CS:$CS,DataEntry!$A:$A,"Zomba",DataEntry!$B:$B,"Domasi",DataEntry!$G:$G,"Q1"),"")</f>
        <v>3950</v>
      </c>
      <c r="E323" s="15">
        <f>IFERROR(SUMIFS(DataEntry!$CS:$CS,DataEntry!$A:$A,"Zomba",DataEntry!$B:$B,"Domasi",DataEntry!$G:$G,"Q2"),"")</f>
        <v>3964</v>
      </c>
      <c r="F323" s="15">
        <f>IFERROR(SUMIFS(DataEntry!$CS:$CS,DataEntry!$A:$A,"Zomba",DataEntry!$B:$B,"Domasi",DataEntry!$G:$G,"Q3"),"")</f>
        <v>4387</v>
      </c>
      <c r="G323" s="15">
        <f>IFERROR(SUMIFS(DataEntry!$CS:$CS,DataEntry!$A:$A,"Zomba",DataEntry!$B:$B,"Domasi",DataEntry!$G:$G,"Q4"),"")</f>
        <v>4398</v>
      </c>
      <c r="H323" s="20">
        <f t="shared" si="24"/>
        <v>16699</v>
      </c>
    </row>
    <row r="324" spans="1:8" x14ac:dyDescent="0.3">
      <c r="A324" s="21" t="s">
        <v>295</v>
      </c>
      <c r="B324" s="21" t="s">
        <v>297</v>
      </c>
      <c r="C324" s="12" t="s">
        <v>319</v>
      </c>
      <c r="D324" s="9">
        <f>IFERROR(SUMIFS(DataEntry!$CA:$CA,DataEntry!$A:$A,"Zomba",DataEntry!$B:$B,"Domasi",DataEntry!$G:$G,"Q1"),"")</f>
        <v>38</v>
      </c>
      <c r="E324" s="9">
        <f>IFERROR(SUMIFS(DataEntry!$CA:$CA,DataEntry!$A:$A,"Zomba",DataEntry!$B:$B,"Domasi",DataEntry!$G:$G,"Q2"),"")</f>
        <v>53</v>
      </c>
      <c r="F324" s="9">
        <f>IFERROR(SUMIFS(DataEntry!$CA:$CA,DataEntry!$A:$A,"Zomba",DataEntry!$B:$B,"Domasi",DataEntry!$G:$G,"Q3"),"")</f>
        <v>45</v>
      </c>
      <c r="G324" s="9">
        <f>IFERROR(SUMIFS(DataEntry!$CA:$CA,DataEntry!$A:$A,"Zomba",DataEntry!$B:$B,"Domasi",DataEntry!$G:$G,"Q4"),"")</f>
        <v>31</v>
      </c>
      <c r="H324" s="22">
        <f t="shared" si="24"/>
        <v>167</v>
      </c>
    </row>
    <row r="325" spans="1:8" x14ac:dyDescent="0.3">
      <c r="A325" s="19" t="s">
        <v>295</v>
      </c>
      <c r="B325" s="19" t="s">
        <v>297</v>
      </c>
      <c r="C325" s="6" t="s">
        <v>320</v>
      </c>
      <c r="D325" s="15">
        <f>IFERROR(SUMIFS(DataEntry!$DV:$DV,DataEntry!$A:$A,"Zomba",DataEntry!$B:$B,"Domasi",DataEntry!$G:$G,"Q1"),"")</f>
        <v>34</v>
      </c>
      <c r="E325" s="15">
        <f>IFERROR(SUMIFS(DataEntry!$DV:$DV,DataEntry!$A:$A,"Zomba",DataEntry!$B:$B,"Domasi",DataEntry!$G:$G,"Q2"),"")</f>
        <v>64</v>
      </c>
      <c r="F325" s="15">
        <f>IFERROR(SUMIFS(DataEntry!$DV:$DV,DataEntry!$A:$A,"Zomba",DataEntry!$B:$B,"Domasi",DataEntry!$G:$G,"Q3"),"")</f>
        <v>65</v>
      </c>
      <c r="G325" s="15">
        <f>IFERROR(SUMIFS(DataEntry!$DV:$DV,DataEntry!$A:$A,"Zomba",DataEntry!$B:$B,"Domasi",DataEntry!$G:$G,"Q4"),"")</f>
        <v>30</v>
      </c>
      <c r="H325" s="20">
        <f t="shared" si="24"/>
        <v>193</v>
      </c>
    </row>
    <row r="326" spans="1:8" x14ac:dyDescent="0.3">
      <c r="A326" s="21" t="s">
        <v>295</v>
      </c>
      <c r="B326" s="21" t="s">
        <v>297</v>
      </c>
      <c r="C326" s="12" t="s">
        <v>243</v>
      </c>
      <c r="D326" s="10">
        <f>IFERROR(AVERAGEIFS(DataEntry!$HC:$HC,DataEntry!$A:$A,"Zomba",DataEntry!$B:$B,"Domasi",DataEntry!$G:$G,"Q1"),"")</f>
        <v>0.43437671175242287</v>
      </c>
      <c r="E326" s="10">
        <f>IFERROR(AVERAGEIFS(DataEntry!$HC:$HC,DataEntry!$A:$A,"Zomba",DataEntry!$B:$B,"Domasi",DataEntry!$G:$G,"Q2"),"")</f>
        <v>0.36901550406906453</v>
      </c>
      <c r="F326" s="10">
        <f>IFERROR(AVERAGEIFS(DataEntry!$HC:$HC,DataEntry!$A:$A,"Zomba",DataEntry!$B:$B,"Domasi",DataEntry!$G:$G,"Q3"),"")</f>
        <v>0.29994318669188524</v>
      </c>
      <c r="G326" s="10">
        <f>IFERROR(AVERAGEIFS(DataEntry!$HC:$HC,DataEntry!$A:$A,"Zomba",DataEntry!$B:$B,"Domasi",DataEntry!$G:$G,"Q4"),"")</f>
        <v>0.19831351845019818</v>
      </c>
      <c r="H326" s="23">
        <f>IFERROR(AVERAGE(D326:G326),"")</f>
        <v>0.32541223024089272</v>
      </c>
    </row>
    <row r="327" spans="1:8" x14ac:dyDescent="0.3">
      <c r="A327" s="19" t="s">
        <v>295</v>
      </c>
      <c r="B327" s="19" t="s">
        <v>297</v>
      </c>
      <c r="C327" s="6" t="s">
        <v>242</v>
      </c>
      <c r="D327" s="16">
        <f>IFERROR(AVERAGEIFS(DataEntry!$HB:$HB,DataEntry!$A:$A,"Zomba",DataEntry!$B:$B,"Domasi",DataEntry!$G:$G,"Q1"),"")</f>
        <v>8.2600452462767829E-2</v>
      </c>
      <c r="E327" s="16">
        <f>IFERROR(AVERAGEIFS(DataEntry!$HB:$HB,DataEntry!$A:$A,"Zomba",DataEntry!$B:$B,"Domasi",DataEntry!$G:$G,"Q2"),"")</f>
        <v>2.8233885028555877E-2</v>
      </c>
      <c r="F327" s="16">
        <f>IFERROR(AVERAGEIFS(DataEntry!$HB:$HB,DataEntry!$A:$A,"Zomba",DataEntry!$B:$B,"Domasi",DataEntry!$G:$G,"Q3"),"")</f>
        <v>8.8188983832777637E-2</v>
      </c>
      <c r="G327" s="16">
        <f>IFERROR(AVERAGEIFS(DataEntry!$HB:$HB,DataEntry!$A:$A,"Zomba",DataEntry!$B:$B,"Domasi",DataEntry!$G:$G,"Q4"),"")</f>
        <v>18153071.953769941</v>
      </c>
      <c r="H327" s="24">
        <f>IFERROR(AVERAGE(D327:G327),"")</f>
        <v>4538268.0381983155</v>
      </c>
    </row>
    <row r="328" spans="1:8" x14ac:dyDescent="0.3">
      <c r="A328" s="21" t="s">
        <v>295</v>
      </c>
      <c r="B328" s="21" t="s">
        <v>298</v>
      </c>
      <c r="C328" s="12" t="s">
        <v>40</v>
      </c>
      <c r="D328" s="9">
        <f>IFERROR(SUMIFS(DataEntry!$H:$H,DataEntry!$A:$A,"Zomba",DataEntry!$B:$B,"Jali",DataEntry!$G:$G,"Q1"),"")</f>
        <v>14051</v>
      </c>
      <c r="E328" s="9">
        <f>IFERROR(SUMIFS(DataEntry!$H:$H,DataEntry!$A:$A,"Zomba",DataEntry!$B:$B,"Jali",DataEntry!$G:$G,"Q2"),"")</f>
        <v>16021</v>
      </c>
      <c r="F328" s="9">
        <f>IFERROR(SUMIFS(DataEntry!$H:$H,DataEntry!$A:$A,"Zomba",DataEntry!$B:$B,"Jali",DataEntry!$G:$G,"Q3"),"")</f>
        <v>19798</v>
      </c>
      <c r="G328" s="9">
        <f>IFERROR(SUMIFS(DataEntry!$H:$H,DataEntry!$A:$A,"Zomba",DataEntry!$B:$B,"Jali",DataEntry!$G:$G,"Q4"),"")</f>
        <v>15070</v>
      </c>
      <c r="H328" s="22">
        <f>IFERROR(SUM(D328:G328),"")</f>
        <v>64940</v>
      </c>
    </row>
    <row r="329" spans="1:8" x14ac:dyDescent="0.3">
      <c r="A329" s="19" t="s">
        <v>295</v>
      </c>
      <c r="B329" s="19" t="s">
        <v>298</v>
      </c>
      <c r="C329" s="6" t="s">
        <v>312</v>
      </c>
      <c r="D329" s="15">
        <f>IFERROR(SUMIFS(DataEntry!$S:$S,DataEntry!$A:$A,"Zomba",DataEntry!$B:$B,"Jali",DataEntry!$G:$G,"Q1"),"")</f>
        <v>10922.399999999991</v>
      </c>
      <c r="E329" s="15">
        <f>IFERROR(SUMIFS(DataEntry!$S:$S,DataEntry!$A:$A,"Zomba",DataEntry!$B:$B,"Jali",DataEntry!$G:$G,"Q2"),"")</f>
        <v>13327.100000000009</v>
      </c>
      <c r="F329" s="15">
        <f>IFERROR(SUMIFS(DataEntry!$S:$S,DataEntry!$A:$A,"Zomba",DataEntry!$B:$B,"Jali",DataEntry!$G:$G,"Q3"),"")</f>
        <v>14610.399999999961</v>
      </c>
      <c r="G329" s="15">
        <f>IFERROR(SUMIFS(DataEntry!$S:$S,DataEntry!$A:$A,"Zomba",DataEntry!$B:$B,"Jali",DataEntry!$G:$G,"Q4"),"")</f>
        <v>12416.999999999975</v>
      </c>
      <c r="H329" s="20">
        <f>IFERROR(SUM(D329:G329),"")</f>
        <v>51276.899999999936</v>
      </c>
    </row>
    <row r="330" spans="1:8" x14ac:dyDescent="0.3">
      <c r="A330" s="21" t="s">
        <v>295</v>
      </c>
      <c r="B330" s="21" t="s">
        <v>298</v>
      </c>
      <c r="C330" s="12" t="s">
        <v>313</v>
      </c>
      <c r="D330" s="9">
        <f>IFERROR(SUMIFS(DataEntry!$T:$T,DataEntry!$A:$A,"Zomba",DataEntry!$B:$B,"Jali",DataEntry!$G:$G,"Q1"),"")</f>
        <v>3128.6000000000131</v>
      </c>
      <c r="E330" s="9">
        <f>IFERROR(SUMIFS(DataEntry!$T:$T,DataEntry!$A:$A,"Zomba",DataEntry!$B:$B,"Jali",DataEntry!$G:$G,"Q2"),"")</f>
        <v>2693.899999999991</v>
      </c>
      <c r="F330" s="9">
        <f>IFERROR(SUMIFS(DataEntry!$T:$T,DataEntry!$A:$A,"Zomba",DataEntry!$B:$B,"Jali",DataEntry!$G:$G,"Q3"),"")</f>
        <v>5187.6000000000404</v>
      </c>
      <c r="G330" s="9">
        <f>IFERROR(SUMIFS(DataEntry!$T:$T,DataEntry!$A:$A,"Zomba",DataEntry!$B:$B,"Jali",DataEntry!$G:$G,"Q4"),"")</f>
        <v>2653.0000000000227</v>
      </c>
      <c r="H330" s="22">
        <f>IFERROR(SUM(D330:G330),"")</f>
        <v>13663.100000000068</v>
      </c>
    </row>
    <row r="331" spans="1:8" x14ac:dyDescent="0.3">
      <c r="A331" s="19" t="s">
        <v>295</v>
      </c>
      <c r="B331" s="19" t="s">
        <v>298</v>
      </c>
      <c r="C331" s="6" t="s">
        <v>53</v>
      </c>
      <c r="D331" s="16">
        <f>IFERROR(AVERAGEIFS(DataEntry!$U:$U,DataEntry!$A:$A,"Zomba",DataEntry!$B:$B,"Jali",DataEntry!$G:$G,"Q1"),"")</f>
        <v>0.22211961833002061</v>
      </c>
      <c r="E331" s="16">
        <f>IFERROR(AVERAGEIFS(DataEntry!$U:$U,DataEntry!$A:$A,"Zomba",DataEntry!$B:$B,"Jali",DataEntry!$G:$G,"Q2"),"")</f>
        <v>0.16248517987699843</v>
      </c>
      <c r="F331" s="16">
        <f>IFERROR(AVERAGEIFS(DataEntry!$U:$U,DataEntry!$A:$A,"Zomba",DataEntry!$B:$B,"Jali",DataEntry!$G:$G,"Q3"),"")</f>
        <v>0.26237639037057564</v>
      </c>
      <c r="G331" s="16">
        <f>IFERROR(AVERAGEIFS(DataEntry!$U:$U,DataEntry!$A:$A,"Zomba",DataEntry!$B:$B,"Jali",DataEntry!$G:$G,"Q4"),"")</f>
        <v>3.1720204590435751E-2</v>
      </c>
      <c r="H331" s="24">
        <f>IFERROR(AVERAGE(D331:G331),"")</f>
        <v>0.16967534829200762</v>
      </c>
    </row>
    <row r="332" spans="1:8" x14ac:dyDescent="0.3">
      <c r="A332" s="21" t="s">
        <v>295</v>
      </c>
      <c r="B332" s="21" t="s">
        <v>298</v>
      </c>
      <c r="C332" s="12" t="s">
        <v>314</v>
      </c>
      <c r="D332" s="9">
        <f>IFERROR(SUMIFS(DataEntry!$AU:$AU,DataEntry!$A:$A,"Zomba",DataEntry!$B:$B,"Jali",DataEntry!$G:$G,"Q1"),"")</f>
        <v>4219213.2874199999</v>
      </c>
      <c r="E332" s="9">
        <f>IFERROR(SUMIFS(DataEntry!$AU:$AU,DataEntry!$A:$A,"Zomba",DataEntry!$B:$B,"Jali",DataEntry!$G:$G,"Q2"),"")</f>
        <v>2687385.5737699997</v>
      </c>
      <c r="F332" s="9">
        <f>IFERROR(SUMIFS(DataEntry!$AU:$AU,DataEntry!$A:$A,"Zomba",DataEntry!$B:$B,"Jali",DataEntry!$G:$G,"Q3"),"")</f>
        <v>3598684.8805999998</v>
      </c>
      <c r="G332" s="9">
        <f>IFERROR(SUMIFS(DataEntry!$AU:$AU,DataEntry!$A:$A,"Zomba",DataEntry!$B:$B,"Jali",DataEntry!$G:$G,"Q4"),"")</f>
        <v>3828212.8976999996</v>
      </c>
      <c r="H332" s="22">
        <f t="shared" ref="H332:H338" si="25">IFERROR(SUM(D332:G332),"")</f>
        <v>14333496.639490001</v>
      </c>
    </row>
    <row r="333" spans="1:8" x14ac:dyDescent="0.3">
      <c r="A333" s="19" t="s">
        <v>295</v>
      </c>
      <c r="B333" s="19" t="s">
        <v>298</v>
      </c>
      <c r="C333" s="6" t="s">
        <v>315</v>
      </c>
      <c r="D333" s="15">
        <f>IFERROR(SUMIFS(DataEntry!$GB:$GB,DataEntry!$A:$A,"Zomba",DataEntry!$B:$B,"Jali",DataEntry!$G:$G,"Q1"),"")</f>
        <v>12438957.370000001</v>
      </c>
      <c r="E333" s="15">
        <f>IFERROR(SUMIFS(DataEntry!$GB:$GB,DataEntry!$A:$A,"Zomba",DataEntry!$B:$B,"Jali",DataEntry!$G:$G,"Q2"),"")</f>
        <v>14679815.52</v>
      </c>
      <c r="F333" s="15">
        <f>IFERROR(SUMIFS(DataEntry!$GB:$GB,DataEntry!$A:$A,"Zomba",DataEntry!$B:$B,"Jali",DataEntry!$G:$G,"Q3"),"")</f>
        <v>16428079.130000003</v>
      </c>
      <c r="G333" s="15">
        <f>IFERROR(SUMIFS(DataEntry!$GB:$GB,DataEntry!$A:$A,"Zomba",DataEntry!$B:$B,"Jali",DataEntry!$G:$G,"Q4"),"")</f>
        <v>14344863.34</v>
      </c>
      <c r="H333" s="20">
        <f t="shared" si="25"/>
        <v>57891715.359999999</v>
      </c>
    </row>
    <row r="334" spans="1:8" x14ac:dyDescent="0.3">
      <c r="A334" s="21" t="s">
        <v>295</v>
      </c>
      <c r="B334" s="21" t="s">
        <v>298</v>
      </c>
      <c r="C334" s="12" t="s">
        <v>316</v>
      </c>
      <c r="D334" s="9">
        <f>IFERROR(SUMIFS(DataEntry!$GM:$GM,DataEntry!$A:$A,"Zomba",DataEntry!$B:$B,"Jali",DataEntry!$G:$G,"Q1"),"")</f>
        <v>12142272.93</v>
      </c>
      <c r="E334" s="9">
        <f>IFERROR(SUMIFS(DataEntry!$GM:$GM,DataEntry!$A:$A,"Zomba",DataEntry!$B:$B,"Jali",DataEntry!$G:$G,"Q2"),"")</f>
        <v>15129665.9</v>
      </c>
      <c r="F334" s="9">
        <f>IFERROR(SUMIFS(DataEntry!$GM:$GM,DataEntry!$A:$A,"Zomba",DataEntry!$B:$B,"Jali",DataEntry!$G:$G,"Q3"),"")</f>
        <v>16825444.690000001</v>
      </c>
      <c r="G334" s="9">
        <f>IFERROR(SUMIFS(DataEntry!$GM:$GM,DataEntry!$A:$A,"Zomba",DataEntry!$B:$B,"Jali",DataEntry!$G:$G,"Q4"),"")</f>
        <v>14312844.780000001</v>
      </c>
      <c r="H334" s="22">
        <f t="shared" si="25"/>
        <v>58410228.299999997</v>
      </c>
    </row>
    <row r="335" spans="1:8" x14ac:dyDescent="0.3">
      <c r="A335" s="19" t="s">
        <v>295</v>
      </c>
      <c r="B335" s="19" t="s">
        <v>298</v>
      </c>
      <c r="C335" s="6" t="s">
        <v>317</v>
      </c>
      <c r="D335" s="15">
        <f>IFERROR(SUMIFS(DataEntry!$GX:$GX,DataEntry!$A:$A,"Zomba",DataEntry!$B:$B,"Jali",DataEntry!$G:$G,"Q1"),"")</f>
        <v>12262016.140000001</v>
      </c>
      <c r="E335" s="15">
        <f>IFERROR(SUMIFS(DataEntry!$GX:$GX,DataEntry!$A:$A,"Zomba",DataEntry!$B:$B,"Jali",DataEntry!$G:$G,"Q2"),"")</f>
        <v>15325892.799999999</v>
      </c>
      <c r="F335" s="15">
        <f>IFERROR(SUMIFS(DataEntry!$GX:$GX,DataEntry!$A:$A,"Zomba",DataEntry!$B:$B,"Jali",DataEntry!$G:$G,"Q3"),"")</f>
        <v>17146713.969999999</v>
      </c>
      <c r="G335" s="15">
        <f>IFERROR(SUMIFS(DataEntry!$GX:$GX,DataEntry!$A:$A,"Zomba",DataEntry!$B:$B,"Jali",DataEntry!$G:$G,"Q4"),"")</f>
        <v>14489380.190000001</v>
      </c>
      <c r="H335" s="20">
        <f t="shared" si="25"/>
        <v>59224003.099999994</v>
      </c>
    </row>
    <row r="336" spans="1:8" x14ac:dyDescent="0.3">
      <c r="A336" s="21" t="s">
        <v>295</v>
      </c>
      <c r="B336" s="21" t="s">
        <v>298</v>
      </c>
      <c r="C336" s="12" t="s">
        <v>318</v>
      </c>
      <c r="D336" s="9">
        <f>IFERROR(SUMIFS(DataEntry!$CS:$CS,DataEntry!$A:$A,"Zomba",DataEntry!$B:$B,"Jali",DataEntry!$G:$G,"Q1"),"")</f>
        <v>1477</v>
      </c>
      <c r="E336" s="9">
        <f>IFERROR(SUMIFS(DataEntry!$CS:$CS,DataEntry!$A:$A,"Zomba",DataEntry!$B:$B,"Jali",DataEntry!$G:$G,"Q2"),"")</f>
        <v>1584</v>
      </c>
      <c r="F336" s="9">
        <f>IFERROR(SUMIFS(DataEntry!$CS:$CS,DataEntry!$A:$A,"Zomba",DataEntry!$B:$B,"Jali",DataEntry!$G:$G,"Q3"),"")</f>
        <v>1689</v>
      </c>
      <c r="G336" s="9">
        <f>IFERROR(SUMIFS(DataEntry!$CS:$CS,DataEntry!$A:$A,"Zomba",DataEntry!$B:$B,"Jali",DataEntry!$G:$G,"Q4"),"")</f>
        <v>1728</v>
      </c>
      <c r="H336" s="22">
        <f t="shared" si="25"/>
        <v>6478</v>
      </c>
    </row>
    <row r="337" spans="1:8" x14ac:dyDescent="0.3">
      <c r="A337" s="19" t="s">
        <v>295</v>
      </c>
      <c r="B337" s="19" t="s">
        <v>298</v>
      </c>
      <c r="C337" s="6" t="s">
        <v>319</v>
      </c>
      <c r="D337" s="15">
        <f>IFERROR(SUMIFS(DataEntry!$CA:$CA,DataEntry!$A:$A,"Zomba",DataEntry!$B:$B,"Jali",DataEntry!$G:$G,"Q1"),"")</f>
        <v>17</v>
      </c>
      <c r="E337" s="15">
        <f>IFERROR(SUMIFS(DataEntry!$CA:$CA,DataEntry!$A:$A,"Zomba",DataEntry!$B:$B,"Jali",DataEntry!$G:$G,"Q2"),"")</f>
        <v>42</v>
      </c>
      <c r="F337" s="15">
        <f>IFERROR(SUMIFS(DataEntry!$CA:$CA,DataEntry!$A:$A,"Zomba",DataEntry!$B:$B,"Jali",DataEntry!$G:$G,"Q3"),"")</f>
        <v>29</v>
      </c>
      <c r="G337" s="15">
        <f>IFERROR(SUMIFS(DataEntry!$CA:$CA,DataEntry!$A:$A,"Zomba",DataEntry!$B:$B,"Jali",DataEntry!$G:$G,"Q4"),"")</f>
        <v>6</v>
      </c>
      <c r="H337" s="20">
        <f t="shared" si="25"/>
        <v>94</v>
      </c>
    </row>
    <row r="338" spans="1:8" x14ac:dyDescent="0.3">
      <c r="A338" s="21" t="s">
        <v>295</v>
      </c>
      <c r="B338" s="21" t="s">
        <v>298</v>
      </c>
      <c r="C338" s="12" t="s">
        <v>320</v>
      </c>
      <c r="D338" s="9">
        <f>IFERROR(SUMIFS(DataEntry!$DV:$DV,DataEntry!$A:$A,"Zomba",DataEntry!$B:$B,"Jali",DataEntry!$G:$G,"Q1"),"")</f>
        <v>0</v>
      </c>
      <c r="E338" s="9">
        <f>IFERROR(SUMIFS(DataEntry!$DV:$DV,DataEntry!$A:$A,"Zomba",DataEntry!$B:$B,"Jali",DataEntry!$G:$G,"Q2"),"")</f>
        <v>2</v>
      </c>
      <c r="F338" s="9">
        <f>IFERROR(SUMIFS(DataEntry!$DV:$DV,DataEntry!$A:$A,"Zomba",DataEntry!$B:$B,"Jali",DataEntry!$G:$G,"Q3"),"")</f>
        <v>2</v>
      </c>
      <c r="G338" s="9">
        <f>IFERROR(SUMIFS(DataEntry!$DV:$DV,DataEntry!$A:$A,"Zomba",DataEntry!$B:$B,"Jali",DataEntry!$G:$G,"Q4"),"")</f>
        <v>0</v>
      </c>
      <c r="H338" s="22">
        <f t="shared" si="25"/>
        <v>4</v>
      </c>
    </row>
    <row r="339" spans="1:8" x14ac:dyDescent="0.3">
      <c r="A339" s="19" t="s">
        <v>295</v>
      </c>
      <c r="B339" s="19" t="s">
        <v>298</v>
      </c>
      <c r="C339" s="6" t="s">
        <v>243</v>
      </c>
      <c r="D339" s="16">
        <f>IFERROR(AVERAGEIFS(DataEntry!$HC:$HC,DataEntry!$A:$A,"Zomba",DataEntry!$B:$B,"Jali",DataEntry!$G:$G,"Q1"),"")</f>
        <v>0.31451784765723656</v>
      </c>
      <c r="E339" s="16">
        <f>IFERROR(AVERAGEIFS(DataEntry!$HC:$HC,DataEntry!$A:$A,"Zomba",DataEntry!$B:$B,"Jali",DataEntry!$G:$G,"Q2"),"")</f>
        <v>0.33145436516721899</v>
      </c>
      <c r="F339" s="16">
        <f>IFERROR(AVERAGEIFS(DataEntry!$HC:$HC,DataEntry!$A:$A,"Zomba",DataEntry!$B:$B,"Jali",DataEntry!$G:$G,"Q3"),"")</f>
        <v>0.34337740187950255</v>
      </c>
      <c r="G339" s="16">
        <f>IFERROR(AVERAGEIFS(DataEntry!$HC:$HC,DataEntry!$A:$A,"Zomba",DataEntry!$B:$B,"Jali",DataEntry!$G:$G,"Q4"),"")</f>
        <v>0.20365774790101096</v>
      </c>
      <c r="H339" s="24">
        <f>IFERROR(AVERAGE(D339:G339),"")</f>
        <v>0.29825184065124227</v>
      </c>
    </row>
    <row r="340" spans="1:8" x14ac:dyDescent="0.3">
      <c r="A340" s="21" t="s">
        <v>295</v>
      </c>
      <c r="B340" s="21" t="s">
        <v>298</v>
      </c>
      <c r="C340" s="12" t="s">
        <v>242</v>
      </c>
      <c r="D340" s="10">
        <f>IFERROR(AVERAGEIFS(DataEntry!$HB:$HB,DataEntry!$A:$A,"Zomba",DataEntry!$B:$B,"Jali",DataEntry!$G:$G,"Q1"),"")</f>
        <v>0.34307395219899356</v>
      </c>
      <c r="E340" s="10">
        <f>IFERROR(AVERAGEIFS(DataEntry!$HB:$HB,DataEntry!$A:$A,"Zomba",DataEntry!$B:$B,"Jali",DataEntry!$G:$G,"Q2"),"")</f>
        <v>0.17481266706279011</v>
      </c>
      <c r="F340" s="10">
        <f>IFERROR(AVERAGEIFS(DataEntry!$HB:$HB,DataEntry!$A:$A,"Zomba",DataEntry!$B:$B,"Jali",DataEntry!$G:$G,"Q3"),"")</f>
        <v>0.21223844017754845</v>
      </c>
      <c r="G340" s="10">
        <f>IFERROR(AVERAGEIFS(DataEntry!$HB:$HB,DataEntry!$A:$A,"Zomba",DataEntry!$B:$B,"Jali",DataEntry!$G:$G,"Q4"),"")</f>
        <v>1813264.6337897787</v>
      </c>
      <c r="H340" s="23">
        <f>IFERROR(AVERAGE(D340:G340),"")</f>
        <v>453316.34097870952</v>
      </c>
    </row>
    <row r="341" spans="1:8" x14ac:dyDescent="0.3">
      <c r="A341" s="19" t="s">
        <v>295</v>
      </c>
      <c r="B341" s="19" t="s">
        <v>299</v>
      </c>
      <c r="C341" s="6" t="s">
        <v>40</v>
      </c>
      <c r="D341" s="15">
        <f>IFERROR(SUMIFS(DataEntry!$H:$H,DataEntry!$A:$A,"Zomba",DataEntry!$B:$B,"Kuchawe",DataEntry!$G:$G,"Q1"),"")</f>
        <v>10912</v>
      </c>
      <c r="E341" s="15">
        <f>IFERROR(SUMIFS(DataEntry!$H:$H,DataEntry!$A:$A,"Zomba",DataEntry!$B:$B,"Kuchawe",DataEntry!$G:$G,"Q2"),"")</f>
        <v>12796</v>
      </c>
      <c r="F341" s="15">
        <f>IFERROR(SUMIFS(DataEntry!$H:$H,DataEntry!$A:$A,"Zomba",DataEntry!$B:$B,"Kuchawe",DataEntry!$G:$G,"Q3"),"")</f>
        <v>12003</v>
      </c>
      <c r="G341" s="15">
        <f>IFERROR(SUMIFS(DataEntry!$H:$H,DataEntry!$A:$A,"Zomba",DataEntry!$B:$B,"Kuchawe",DataEntry!$G:$G,"Q4"),"")</f>
        <v>9485</v>
      </c>
      <c r="H341" s="20">
        <f>IFERROR(SUM(D341:G341),"")</f>
        <v>45196</v>
      </c>
    </row>
    <row r="342" spans="1:8" x14ac:dyDescent="0.3">
      <c r="A342" s="21" t="s">
        <v>295</v>
      </c>
      <c r="B342" s="21" t="s">
        <v>299</v>
      </c>
      <c r="C342" s="12" t="s">
        <v>312</v>
      </c>
      <c r="D342" s="9">
        <f>IFERROR(SUMIFS(DataEntry!$S:$S,DataEntry!$A:$A,"Zomba",DataEntry!$B:$B,"Kuchawe",DataEntry!$G:$G,"Q1"),"")</f>
        <v>7457.800000000002</v>
      </c>
      <c r="E342" s="9">
        <f>IFERROR(SUMIFS(DataEntry!$S:$S,DataEntry!$A:$A,"Zomba",DataEntry!$B:$B,"Kuchawe",DataEntry!$G:$G,"Q2"),"")</f>
        <v>9450.7000000000007</v>
      </c>
      <c r="F342" s="9">
        <f>IFERROR(SUMIFS(DataEntry!$S:$S,DataEntry!$A:$A,"Zomba",DataEntry!$B:$B,"Kuchawe",DataEntry!$G:$G,"Q3"),"")</f>
        <v>10369.5</v>
      </c>
      <c r="G342" s="9">
        <f>IFERROR(SUMIFS(DataEntry!$S:$S,DataEntry!$A:$A,"Zomba",DataEntry!$B:$B,"Kuchawe",DataEntry!$G:$G,"Q4"),"")</f>
        <v>7910.4000000000005</v>
      </c>
      <c r="H342" s="22">
        <f>IFERROR(SUM(D342:G342),"")</f>
        <v>35188.400000000001</v>
      </c>
    </row>
    <row r="343" spans="1:8" x14ac:dyDescent="0.3">
      <c r="A343" s="19" t="s">
        <v>295</v>
      </c>
      <c r="B343" s="19" t="s">
        <v>299</v>
      </c>
      <c r="C343" s="6" t="s">
        <v>313</v>
      </c>
      <c r="D343" s="15">
        <f>IFERROR(SUMIFS(DataEntry!$T:$T,DataEntry!$A:$A,"Zomba",DataEntry!$B:$B,"Kuchawe",DataEntry!$G:$G,"Q1"),"")</f>
        <v>3454.2</v>
      </c>
      <c r="E343" s="15">
        <f>IFERROR(SUMIFS(DataEntry!$T:$T,DataEntry!$A:$A,"Zomba",DataEntry!$B:$B,"Kuchawe",DataEntry!$G:$G,"Q2"),"")</f>
        <v>3345.3</v>
      </c>
      <c r="F343" s="15">
        <f>IFERROR(SUMIFS(DataEntry!$T:$T,DataEntry!$A:$A,"Zomba",DataEntry!$B:$B,"Kuchawe",DataEntry!$G:$G,"Q3"),"")</f>
        <v>1633.5000000000009</v>
      </c>
      <c r="G343" s="15">
        <f>IFERROR(SUMIFS(DataEntry!$T:$T,DataEntry!$A:$A,"Zomba",DataEntry!$B:$B,"Kuchawe",DataEntry!$G:$G,"Q4"),"")</f>
        <v>1574.5999999999997</v>
      </c>
      <c r="H343" s="20">
        <f>IFERROR(SUM(D343:G343),"")</f>
        <v>10007.6</v>
      </c>
    </row>
    <row r="344" spans="1:8" x14ac:dyDescent="0.3">
      <c r="A344" s="21" t="s">
        <v>295</v>
      </c>
      <c r="B344" s="21" t="s">
        <v>299</v>
      </c>
      <c r="C344" s="12" t="s">
        <v>53</v>
      </c>
      <c r="D344" s="10">
        <f>IFERROR(AVERAGEIFS(DataEntry!$U:$U,DataEntry!$A:$A,"Zomba",DataEntry!$B:$B,"Kuchawe",DataEntry!$G:$G,"Q1"),"")</f>
        <v>0.30677227000196455</v>
      </c>
      <c r="E344" s="10">
        <f>IFERROR(AVERAGEIFS(DataEntry!$U:$U,DataEntry!$A:$A,"Zomba",DataEntry!$B:$B,"Kuchawe",DataEntry!$G:$G,"Q2"),"")</f>
        <v>0.26392014622806903</v>
      </c>
      <c r="F344" s="10">
        <f>IFERROR(AVERAGEIFS(DataEntry!$U:$U,DataEntry!$A:$A,"Zomba",DataEntry!$B:$B,"Kuchawe",DataEntry!$G:$G,"Q3"),"")</f>
        <v>0.14680593510161111</v>
      </c>
      <c r="G344" s="10">
        <f>IFERROR(AVERAGEIFS(DataEntry!$U:$U,DataEntry!$A:$A,"Zomba",DataEntry!$B:$B,"Kuchawe",DataEntry!$G:$G,"Q4"),"")</f>
        <v>0.15411700484739413</v>
      </c>
      <c r="H344" s="23">
        <f>IFERROR(AVERAGE(D344:G344),"")</f>
        <v>0.21790383904475968</v>
      </c>
    </row>
    <row r="345" spans="1:8" x14ac:dyDescent="0.3">
      <c r="A345" s="19" t="s">
        <v>295</v>
      </c>
      <c r="B345" s="19" t="s">
        <v>299</v>
      </c>
      <c r="C345" s="6" t="s">
        <v>314</v>
      </c>
      <c r="D345" s="15">
        <f>IFERROR(SUMIFS(DataEntry!$AU:$AU,DataEntry!$A:$A,"Zomba",DataEntry!$B:$B,"Kuchawe",DataEntry!$G:$G,"Q1"),"")</f>
        <v>5016384.9263200006</v>
      </c>
      <c r="E345" s="15">
        <f>IFERROR(SUMIFS(DataEntry!$AU:$AU,DataEntry!$A:$A,"Zomba",DataEntry!$B:$B,"Kuchawe",DataEntry!$G:$G,"Q2"),"")</f>
        <v>2538802.9057999998</v>
      </c>
      <c r="F345" s="15">
        <f>IFERROR(SUMIFS(DataEntry!$AU:$AU,DataEntry!$A:$A,"Zomba",DataEntry!$B:$B,"Kuchawe",DataEntry!$G:$G,"Q3"),"")</f>
        <v>2750031.94331</v>
      </c>
      <c r="G345" s="15">
        <f>IFERROR(SUMIFS(DataEntry!$AU:$AU,DataEntry!$A:$A,"Zomba",DataEntry!$B:$B,"Kuchawe",DataEntry!$G:$G,"Q4"),"")</f>
        <v>5263605.0527900001</v>
      </c>
      <c r="H345" s="20">
        <f t="shared" ref="H345:H351" si="26">IFERROR(SUM(D345:G345),"")</f>
        <v>15568824.828220002</v>
      </c>
    </row>
    <row r="346" spans="1:8" x14ac:dyDescent="0.3">
      <c r="A346" s="21" t="s">
        <v>295</v>
      </c>
      <c r="B346" s="21" t="s">
        <v>299</v>
      </c>
      <c r="C346" s="12" t="s">
        <v>315</v>
      </c>
      <c r="D346" s="9">
        <f>IFERROR(SUMIFS(DataEntry!$GB:$GB,DataEntry!$A:$A,"Zomba",DataEntry!$B:$B,"Kuchawe",DataEntry!$G:$G,"Q1"),"")</f>
        <v>21918068.869999997</v>
      </c>
      <c r="E346" s="9">
        <f>IFERROR(SUMIFS(DataEntry!$GB:$GB,DataEntry!$A:$A,"Zomba",DataEntry!$B:$B,"Kuchawe",DataEntry!$G:$G,"Q2"),"")</f>
        <v>30337851</v>
      </c>
      <c r="F346" s="9">
        <f>IFERROR(SUMIFS(DataEntry!$GB:$GB,DataEntry!$A:$A,"Zomba",DataEntry!$B:$B,"Kuchawe",DataEntry!$G:$G,"Q3"),"")</f>
        <v>30374388.02</v>
      </c>
      <c r="G346" s="9">
        <f>IFERROR(SUMIFS(DataEntry!$GB:$GB,DataEntry!$A:$A,"Zomba",DataEntry!$B:$B,"Kuchawe",DataEntry!$G:$G,"Q4"),"")</f>
        <v>23960015.960000001</v>
      </c>
      <c r="H346" s="22">
        <f t="shared" si="26"/>
        <v>106590323.84999999</v>
      </c>
    </row>
    <row r="347" spans="1:8" x14ac:dyDescent="0.3">
      <c r="A347" s="19" t="s">
        <v>295</v>
      </c>
      <c r="B347" s="19" t="s">
        <v>299</v>
      </c>
      <c r="C347" s="6" t="s">
        <v>316</v>
      </c>
      <c r="D347" s="15">
        <f>IFERROR(SUMIFS(DataEntry!$GM:$GM,DataEntry!$A:$A,"Zomba",DataEntry!$B:$B,"Kuchawe",DataEntry!$G:$G,"Q1"),"")</f>
        <v>23546211.640000001</v>
      </c>
      <c r="E347" s="15">
        <f>IFERROR(SUMIFS(DataEntry!$GM:$GM,DataEntry!$A:$A,"Zomba",DataEntry!$B:$B,"Kuchawe",DataEntry!$G:$G,"Q2"),"")</f>
        <v>32194558.359999999</v>
      </c>
      <c r="F347" s="15">
        <f>IFERROR(SUMIFS(DataEntry!$GM:$GM,DataEntry!$A:$A,"Zomba",DataEntry!$B:$B,"Kuchawe",DataEntry!$G:$G,"Q3"),"")</f>
        <v>31993415.369999997</v>
      </c>
      <c r="G347" s="15">
        <f>IFERROR(SUMIFS(DataEntry!$GM:$GM,DataEntry!$A:$A,"Zomba",DataEntry!$B:$B,"Kuchawe",DataEntry!$G:$G,"Q4"),"")</f>
        <v>26748261.780000001</v>
      </c>
      <c r="H347" s="20">
        <f t="shared" si="26"/>
        <v>114482447.15000001</v>
      </c>
    </row>
    <row r="348" spans="1:8" x14ac:dyDescent="0.3">
      <c r="A348" s="21" t="s">
        <v>295</v>
      </c>
      <c r="B348" s="21" t="s">
        <v>299</v>
      </c>
      <c r="C348" s="12" t="s">
        <v>317</v>
      </c>
      <c r="D348" s="9">
        <f>IFERROR(SUMIFS(DataEntry!$GX:$GX,DataEntry!$A:$A,"Zomba",DataEntry!$B:$B,"Kuchawe",DataEntry!$G:$G,"Q1"),"")</f>
        <v>23732080.140000001</v>
      </c>
      <c r="E348" s="9">
        <f>IFERROR(SUMIFS(DataEntry!$GX:$GX,DataEntry!$A:$A,"Zomba",DataEntry!$B:$B,"Kuchawe",DataEntry!$G:$G,"Q2"),"")</f>
        <v>32320641.610000003</v>
      </c>
      <c r="F348" s="9">
        <f>IFERROR(SUMIFS(DataEntry!$GX:$GX,DataEntry!$A:$A,"Zomba",DataEntry!$B:$B,"Kuchawe",DataEntry!$G:$G,"Q3"),"")</f>
        <v>32193228.469999999</v>
      </c>
      <c r="G348" s="9">
        <f>IFERROR(SUMIFS(DataEntry!$GX:$GX,DataEntry!$A:$A,"Zomba",DataEntry!$B:$B,"Kuchawe",DataEntry!$G:$G,"Q4"),"")</f>
        <v>26953990.200000003</v>
      </c>
      <c r="H348" s="22">
        <f t="shared" si="26"/>
        <v>115199940.42</v>
      </c>
    </row>
    <row r="349" spans="1:8" x14ac:dyDescent="0.3">
      <c r="A349" s="19" t="s">
        <v>295</v>
      </c>
      <c r="B349" s="19" t="s">
        <v>299</v>
      </c>
      <c r="C349" s="6" t="s">
        <v>318</v>
      </c>
      <c r="D349" s="15">
        <f>IFERROR(SUMIFS(DataEntry!$CS:$CS,DataEntry!$A:$A,"Zomba",DataEntry!$B:$B,"Kuchawe",DataEntry!$G:$G,"Q1"),"")</f>
        <v>564</v>
      </c>
      <c r="E349" s="15">
        <f>IFERROR(SUMIFS(DataEntry!$CS:$CS,DataEntry!$A:$A,"Zomba",DataEntry!$B:$B,"Kuchawe",DataEntry!$G:$G,"Q2"),"")</f>
        <v>601</v>
      </c>
      <c r="F349" s="15">
        <f>IFERROR(SUMIFS(DataEntry!$CS:$CS,DataEntry!$A:$A,"Zomba",DataEntry!$B:$B,"Kuchawe",DataEntry!$G:$G,"Q3"),"")</f>
        <v>723</v>
      </c>
      <c r="G349" s="15">
        <f>IFERROR(SUMIFS(DataEntry!$CS:$CS,DataEntry!$A:$A,"Zomba",DataEntry!$B:$B,"Kuchawe",DataEntry!$G:$G,"Q4"),"")</f>
        <v>734</v>
      </c>
      <c r="H349" s="20">
        <f t="shared" si="26"/>
        <v>2622</v>
      </c>
    </row>
    <row r="350" spans="1:8" x14ac:dyDescent="0.3">
      <c r="A350" s="21" t="s">
        <v>295</v>
      </c>
      <c r="B350" s="21" t="s">
        <v>299</v>
      </c>
      <c r="C350" s="12" t="s">
        <v>319</v>
      </c>
      <c r="D350" s="9">
        <f>IFERROR(SUMIFS(DataEntry!$CA:$CA,DataEntry!$A:$A,"Zomba",DataEntry!$B:$B,"Kuchawe",DataEntry!$G:$G,"Q1"),"")</f>
        <v>0</v>
      </c>
      <c r="E350" s="9">
        <f>IFERROR(SUMIFS(DataEntry!$CA:$CA,DataEntry!$A:$A,"Zomba",DataEntry!$B:$B,"Kuchawe",DataEntry!$G:$G,"Q2"),"")</f>
        <v>0</v>
      </c>
      <c r="F350" s="9">
        <f>IFERROR(SUMIFS(DataEntry!$CA:$CA,DataEntry!$A:$A,"Zomba",DataEntry!$B:$B,"Kuchawe",DataEntry!$G:$G,"Q3"),"")</f>
        <v>15</v>
      </c>
      <c r="G350" s="9">
        <f>IFERROR(SUMIFS(DataEntry!$CA:$CA,DataEntry!$A:$A,"Zomba",DataEntry!$B:$B,"Kuchawe",DataEntry!$G:$G,"Q4"),"")</f>
        <v>7</v>
      </c>
      <c r="H350" s="22">
        <f t="shared" si="26"/>
        <v>22</v>
      </c>
    </row>
    <row r="351" spans="1:8" x14ac:dyDescent="0.3">
      <c r="A351" s="19" t="s">
        <v>295</v>
      </c>
      <c r="B351" s="19" t="s">
        <v>299</v>
      </c>
      <c r="C351" s="6" t="s">
        <v>320</v>
      </c>
      <c r="D351" s="15">
        <f>IFERROR(SUMIFS(DataEntry!$DV:$DV,DataEntry!$A:$A,"Zomba",DataEntry!$B:$B,"Kuchawe",DataEntry!$G:$G,"Q1"),"")</f>
        <v>0</v>
      </c>
      <c r="E351" s="15">
        <f>IFERROR(SUMIFS(DataEntry!$DV:$DV,DataEntry!$A:$A,"Zomba",DataEntry!$B:$B,"Kuchawe",DataEntry!$G:$G,"Q2"),"")</f>
        <v>0</v>
      </c>
      <c r="F351" s="15">
        <f>IFERROR(SUMIFS(DataEntry!$DV:$DV,DataEntry!$A:$A,"Zomba",DataEntry!$B:$B,"Kuchawe",DataEntry!$G:$G,"Q3"),"")</f>
        <v>0</v>
      </c>
      <c r="G351" s="15">
        <f>IFERROR(SUMIFS(DataEntry!$DV:$DV,DataEntry!$A:$A,"Zomba",DataEntry!$B:$B,"Kuchawe",DataEntry!$G:$G,"Q4"),"")</f>
        <v>0</v>
      </c>
      <c r="H351" s="20">
        <f t="shared" si="26"/>
        <v>0</v>
      </c>
    </row>
    <row r="352" spans="1:8" x14ac:dyDescent="0.3">
      <c r="A352" s="21" t="s">
        <v>295</v>
      </c>
      <c r="B352" s="21" t="s">
        <v>299</v>
      </c>
      <c r="C352" s="12" t="s">
        <v>243</v>
      </c>
      <c r="D352" s="10">
        <f>IFERROR(AVERAGEIFS(DataEntry!$HC:$HC,DataEntry!$A:$A,"Zomba",DataEntry!$B:$B,"Kuchawe",DataEntry!$G:$G,"Q1"),"")</f>
        <v>0.4044782021639402</v>
      </c>
      <c r="E352" s="10">
        <f>IFERROR(AVERAGEIFS(DataEntry!$HC:$HC,DataEntry!$A:$A,"Zomba",DataEntry!$B:$B,"Kuchawe",DataEntry!$G:$G,"Q2"),"")</f>
        <v>0.47266370125909973</v>
      </c>
      <c r="F352" s="10">
        <f>IFERROR(AVERAGEIFS(DataEntry!$HC:$HC,DataEntry!$A:$A,"Zomba",DataEntry!$B:$B,"Kuchawe",DataEntry!$G:$G,"Q3"),"")</f>
        <v>0.82622535679683651</v>
      </c>
      <c r="G352" s="10">
        <f>IFERROR(AVERAGEIFS(DataEntry!$HC:$HC,DataEntry!$A:$A,"Zomba",DataEntry!$B:$B,"Kuchawe",DataEntry!$G:$G,"Q4"),"")</f>
        <v>0.27608519199388665</v>
      </c>
      <c r="H352" s="23">
        <f>IFERROR(AVERAGE(D352:G352),"")</f>
        <v>0.49486311305344077</v>
      </c>
    </row>
    <row r="353" spans="1:8" x14ac:dyDescent="0.3">
      <c r="A353" s="19" t="s">
        <v>295</v>
      </c>
      <c r="B353" s="19" t="s">
        <v>299</v>
      </c>
      <c r="C353" s="6" t="s">
        <v>242</v>
      </c>
      <c r="D353" s="16">
        <f>IFERROR(AVERAGEIFS(DataEntry!$HB:$HB,DataEntry!$A:$A,"Zomba",DataEntry!$B:$B,"Kuchawe",DataEntry!$G:$G,"Q1"),"")</f>
        <v>0.21131841223307499</v>
      </c>
      <c r="E353" s="16">
        <f>IFERROR(AVERAGEIFS(DataEntry!$HB:$HB,DataEntry!$A:$A,"Zomba",DataEntry!$B:$B,"Kuchawe",DataEntry!$G:$G,"Q2"),"")</f>
        <v>8.0164255537066811E-2</v>
      </c>
      <c r="F353" s="16">
        <f>IFERROR(AVERAGEIFS(DataEntry!$HB:$HB,DataEntry!$A:$A,"Zomba",DataEntry!$B:$B,"Kuchawe",DataEntry!$G:$G,"Q3"),"")</f>
        <v>9.0432805946587438E-2</v>
      </c>
      <c r="G353" s="16">
        <f>IFERROR(AVERAGEIFS(DataEntry!$HB:$HB,DataEntry!$A:$A,"Zomba",DataEntry!$B:$B,"Kuchawe",DataEntry!$G:$G,"Q4"),"")</f>
        <v>3053392.719086857</v>
      </c>
      <c r="H353" s="24">
        <f>IFERROR(AVERAGE(D353:G353),"")</f>
        <v>763348.27525058272</v>
      </c>
    </row>
    <row r="354" spans="1:8" x14ac:dyDescent="0.3">
      <c r="A354" s="21" t="s">
        <v>295</v>
      </c>
      <c r="B354" s="21" t="s">
        <v>300</v>
      </c>
      <c r="C354" s="12" t="s">
        <v>40</v>
      </c>
      <c r="D354" s="9">
        <f>IFERROR(SUMIFS(DataEntry!$H:$H,DataEntry!$A:$A,"Zomba",DataEntry!$B:$B,"Lirangwe",DataEntry!$G:$G,"Q1"),"")</f>
        <v>20901</v>
      </c>
      <c r="E354" s="9">
        <f>IFERROR(SUMIFS(DataEntry!$H:$H,DataEntry!$A:$A,"Zomba",DataEntry!$B:$B,"Lirangwe",DataEntry!$G:$G,"Q2"),"")</f>
        <v>25206</v>
      </c>
      <c r="F354" s="9">
        <f>IFERROR(SUMIFS(DataEntry!$H:$H,DataEntry!$A:$A,"Zomba",DataEntry!$B:$B,"Lirangwe",DataEntry!$G:$G,"Q3"),"")</f>
        <v>22824</v>
      </c>
      <c r="G354" s="9">
        <f>IFERROR(SUMIFS(DataEntry!$H:$H,DataEntry!$A:$A,"Zomba",DataEntry!$B:$B,"Lirangwe",DataEntry!$G:$G,"Q4"),"")</f>
        <v>22954</v>
      </c>
      <c r="H354" s="22">
        <f>IFERROR(SUM(D354:G354),"")</f>
        <v>91885</v>
      </c>
    </row>
    <row r="355" spans="1:8" x14ac:dyDescent="0.3">
      <c r="A355" s="19" t="s">
        <v>295</v>
      </c>
      <c r="B355" s="19" t="s">
        <v>300</v>
      </c>
      <c r="C355" s="6" t="s">
        <v>312</v>
      </c>
      <c r="D355" s="15">
        <f>IFERROR(SUMIFS(DataEntry!$S:$S,DataEntry!$A:$A,"Zomba",DataEntry!$B:$B,"Lirangwe",DataEntry!$G:$G,"Q1"),"")</f>
        <v>17579.700000000008</v>
      </c>
      <c r="E355" s="15">
        <f>IFERROR(SUMIFS(DataEntry!$S:$S,DataEntry!$A:$A,"Zomba",DataEntry!$B:$B,"Lirangwe",DataEntry!$G:$G,"Q2"),"")</f>
        <v>21288.700000000099</v>
      </c>
      <c r="F355" s="15">
        <f>IFERROR(SUMIFS(DataEntry!$S:$S,DataEntry!$A:$A,"Zomba",DataEntry!$B:$B,"Lirangwe",DataEntry!$G:$G,"Q3"),"")</f>
        <v>19076.800000000068</v>
      </c>
      <c r="G355" s="15">
        <f>IFERROR(SUMIFS(DataEntry!$S:$S,DataEntry!$A:$A,"Zomba",DataEntry!$B:$B,"Lirangwe",DataEntry!$G:$G,"Q4"),"")</f>
        <v>17910.500000000055</v>
      </c>
      <c r="H355" s="20">
        <f>IFERROR(SUM(D355:G355),"")</f>
        <v>75855.70000000023</v>
      </c>
    </row>
    <row r="356" spans="1:8" x14ac:dyDescent="0.3">
      <c r="A356" s="21" t="s">
        <v>295</v>
      </c>
      <c r="B356" s="21" t="s">
        <v>300</v>
      </c>
      <c r="C356" s="12" t="s">
        <v>313</v>
      </c>
      <c r="D356" s="9">
        <f>IFERROR(SUMIFS(DataEntry!$T:$T,DataEntry!$A:$A,"Zomba",DataEntry!$B:$B,"Lirangwe",DataEntry!$G:$G,"Q1"),"")</f>
        <v>3321.2999999999893</v>
      </c>
      <c r="E356" s="9">
        <f>IFERROR(SUMIFS(DataEntry!$T:$T,DataEntry!$A:$A,"Zomba",DataEntry!$B:$B,"Lirangwe",DataEntry!$G:$G,"Q2"),"")</f>
        <v>3917.2999999998947</v>
      </c>
      <c r="F356" s="9">
        <f>IFERROR(SUMIFS(DataEntry!$T:$T,DataEntry!$A:$A,"Zomba",DataEntry!$B:$B,"Lirangwe",DataEntry!$G:$G,"Q3"),"")</f>
        <v>3747.1999999999362</v>
      </c>
      <c r="G356" s="9">
        <f>IFERROR(SUMIFS(DataEntry!$T:$T,DataEntry!$A:$A,"Zomba",DataEntry!$B:$B,"Lirangwe",DataEntry!$G:$G,"Q4"),"")</f>
        <v>5043.4999999999454</v>
      </c>
      <c r="H356" s="22">
        <f>IFERROR(SUM(D356:G356),"")</f>
        <v>16029.299999999766</v>
      </c>
    </row>
    <row r="357" spans="1:8" x14ac:dyDescent="0.3">
      <c r="A357" s="19" t="s">
        <v>295</v>
      </c>
      <c r="B357" s="19" t="s">
        <v>300</v>
      </c>
      <c r="C357" s="6" t="s">
        <v>53</v>
      </c>
      <c r="D357" s="16">
        <f>IFERROR(AVERAGEIFS(DataEntry!$U:$U,DataEntry!$A:$A,"Zomba",DataEntry!$B:$B,"Lirangwe",DataEntry!$G:$G,"Q1"),"")</f>
        <v>0.15340937310555702</v>
      </c>
      <c r="E357" s="16">
        <f>IFERROR(AVERAGEIFS(DataEntry!$U:$U,DataEntry!$A:$A,"Zomba",DataEntry!$B:$B,"Lirangwe",DataEntry!$G:$G,"Q2"),"")</f>
        <v>0.15332956511089194</v>
      </c>
      <c r="F357" s="16">
        <f>IFERROR(AVERAGEIFS(DataEntry!$U:$U,DataEntry!$A:$A,"Zomba",DataEntry!$B:$B,"Lirangwe",DataEntry!$G:$G,"Q3"),"")</f>
        <v>0.16265931341213655</v>
      </c>
      <c r="G357" s="16">
        <f>IFERROR(AVERAGEIFS(DataEntry!$U:$U,DataEntry!$A:$A,"Zomba",DataEntry!$B:$B,"Lirangwe",DataEntry!$G:$G,"Q4"),"")</f>
        <v>0.21725108765727907</v>
      </c>
      <c r="H357" s="24">
        <f>IFERROR(AVERAGE(D357:G357),"")</f>
        <v>0.17166233482146614</v>
      </c>
    </row>
    <row r="358" spans="1:8" x14ac:dyDescent="0.3">
      <c r="A358" s="21" t="s">
        <v>295</v>
      </c>
      <c r="B358" s="21" t="s">
        <v>300</v>
      </c>
      <c r="C358" s="12" t="s">
        <v>314</v>
      </c>
      <c r="D358" s="9">
        <f>IFERROR(SUMIFS(DataEntry!$AU:$AU,DataEntry!$A:$A,"Zomba",DataEntry!$B:$B,"Lirangwe",DataEntry!$G:$G,"Q1"),"")</f>
        <v>7027760.5080000004</v>
      </c>
      <c r="E358" s="9">
        <f>IFERROR(SUMIFS(DataEntry!$AU:$AU,DataEntry!$A:$A,"Zomba",DataEntry!$B:$B,"Lirangwe",DataEntry!$G:$G,"Q2"),"")</f>
        <v>2191978.6540000001</v>
      </c>
      <c r="F358" s="9">
        <f>IFERROR(SUMIFS(DataEntry!$AU:$AU,DataEntry!$A:$A,"Zomba",DataEntry!$B:$B,"Lirangwe",DataEntry!$G:$G,"Q3"),"")</f>
        <v>3030122.2960000001</v>
      </c>
      <c r="G358" s="9">
        <f>IFERROR(SUMIFS(DataEntry!$AU:$AU,DataEntry!$A:$A,"Zomba",DataEntry!$B:$B,"Lirangwe",DataEntry!$G:$G,"Q4"),"")</f>
        <v>4722178.2919999994</v>
      </c>
      <c r="H358" s="22">
        <f t="shared" ref="H358:H364" si="27">IFERROR(SUM(D358:G358),"")</f>
        <v>16972039.75</v>
      </c>
    </row>
    <row r="359" spans="1:8" x14ac:dyDescent="0.3">
      <c r="A359" s="19" t="s">
        <v>295</v>
      </c>
      <c r="B359" s="19" t="s">
        <v>300</v>
      </c>
      <c r="C359" s="6" t="s">
        <v>315</v>
      </c>
      <c r="D359" s="15">
        <f>IFERROR(SUMIFS(DataEntry!$GB:$GB,DataEntry!$A:$A,"Zomba",DataEntry!$B:$B,"Lirangwe",DataEntry!$G:$G,"Q1"),"")</f>
        <v>22464800.859999999</v>
      </c>
      <c r="E359" s="15">
        <f>IFERROR(SUMIFS(DataEntry!$GB:$GB,DataEntry!$A:$A,"Zomba",DataEntry!$B:$B,"Lirangwe",DataEntry!$G:$G,"Q2"),"")</f>
        <v>28156631.16</v>
      </c>
      <c r="F359" s="15">
        <f>IFERROR(SUMIFS(DataEntry!$GB:$GB,DataEntry!$A:$A,"Zomba",DataEntry!$B:$B,"Lirangwe",DataEntry!$G:$G,"Q3"),"")</f>
        <v>24999957.219999999</v>
      </c>
      <c r="G359" s="15">
        <f>IFERROR(SUMIFS(DataEntry!$GB:$GB,DataEntry!$A:$A,"Zomba",DataEntry!$B:$B,"Lirangwe",DataEntry!$G:$G,"Q4"),"")</f>
        <v>23854469.84</v>
      </c>
      <c r="H359" s="20">
        <f t="shared" si="27"/>
        <v>99475859.079999998</v>
      </c>
    </row>
    <row r="360" spans="1:8" x14ac:dyDescent="0.3">
      <c r="A360" s="21" t="s">
        <v>295</v>
      </c>
      <c r="B360" s="21" t="s">
        <v>300</v>
      </c>
      <c r="C360" s="12" t="s">
        <v>316</v>
      </c>
      <c r="D360" s="9">
        <f>IFERROR(SUMIFS(DataEntry!$GM:$GM,DataEntry!$A:$A,"Zomba",DataEntry!$B:$B,"Lirangwe",DataEntry!$G:$G,"Q1"),"")</f>
        <v>22478884.41</v>
      </c>
      <c r="E360" s="9">
        <f>IFERROR(SUMIFS(DataEntry!$GM:$GM,DataEntry!$A:$A,"Zomba",DataEntry!$B:$B,"Lirangwe",DataEntry!$G:$G,"Q2"),"")</f>
        <v>28262751.859999996</v>
      </c>
      <c r="F360" s="9">
        <f>IFERROR(SUMIFS(DataEntry!$GM:$GM,DataEntry!$A:$A,"Zomba",DataEntry!$B:$B,"Lirangwe",DataEntry!$G:$G,"Q3"),"")</f>
        <v>25165895.279999997</v>
      </c>
      <c r="G360" s="9">
        <f>IFERROR(SUMIFS(DataEntry!$GM:$GM,DataEntry!$A:$A,"Zomba",DataEntry!$B:$B,"Lirangwe",DataEntry!$G:$G,"Q4"),"")</f>
        <v>23683637.93</v>
      </c>
      <c r="H360" s="22">
        <f t="shared" si="27"/>
        <v>99591169.479999989</v>
      </c>
    </row>
    <row r="361" spans="1:8" x14ac:dyDescent="0.3">
      <c r="A361" s="19" t="s">
        <v>295</v>
      </c>
      <c r="B361" s="19" t="s">
        <v>300</v>
      </c>
      <c r="C361" s="6" t="s">
        <v>317</v>
      </c>
      <c r="D361" s="15">
        <f>IFERROR(SUMIFS(DataEntry!$GX:$GX,DataEntry!$A:$A,"Zomba",DataEntry!$B:$B,"Lirangwe",DataEntry!$G:$G,"Q1"),"")</f>
        <v>22711747.620000001</v>
      </c>
      <c r="E361" s="15">
        <f>IFERROR(SUMIFS(DataEntry!$GX:$GX,DataEntry!$A:$A,"Zomba",DataEntry!$B:$B,"Lirangwe",DataEntry!$G:$G,"Q2"),"")</f>
        <v>28566073.639999997</v>
      </c>
      <c r="F361" s="15">
        <f>IFERROR(SUMIFS(DataEntry!$GX:$GX,DataEntry!$A:$A,"Zomba",DataEntry!$B:$B,"Lirangwe",DataEntry!$G:$G,"Q3"),"")</f>
        <v>25530966.600000001</v>
      </c>
      <c r="G361" s="15">
        <f>IFERROR(SUMIFS(DataEntry!$GX:$GX,DataEntry!$A:$A,"Zomba",DataEntry!$B:$B,"Lirangwe",DataEntry!$G:$G,"Q4"),"")</f>
        <v>24051530.810000002</v>
      </c>
      <c r="H361" s="20">
        <f t="shared" si="27"/>
        <v>100860318.67</v>
      </c>
    </row>
    <row r="362" spans="1:8" x14ac:dyDescent="0.3">
      <c r="A362" s="21" t="s">
        <v>295</v>
      </c>
      <c r="B362" s="21" t="s">
        <v>300</v>
      </c>
      <c r="C362" s="12" t="s">
        <v>318</v>
      </c>
      <c r="D362" s="9">
        <f>IFERROR(SUMIFS(DataEntry!$CS:$CS,DataEntry!$A:$A,"Zomba",DataEntry!$B:$B,"Lirangwe",DataEntry!$G:$G,"Q1"),"")</f>
        <v>3111</v>
      </c>
      <c r="E362" s="9">
        <f>IFERROR(SUMIFS(DataEntry!$CS:$CS,DataEntry!$A:$A,"Zomba",DataEntry!$B:$B,"Lirangwe",DataEntry!$G:$G,"Q2"),"")</f>
        <v>3254</v>
      </c>
      <c r="F362" s="9">
        <f>IFERROR(SUMIFS(DataEntry!$CS:$CS,DataEntry!$A:$A,"Zomba",DataEntry!$B:$B,"Lirangwe",DataEntry!$G:$G,"Q3"),"")</f>
        <v>3477</v>
      </c>
      <c r="G362" s="9">
        <f>IFERROR(SUMIFS(DataEntry!$CS:$CS,DataEntry!$A:$A,"Zomba",DataEntry!$B:$B,"Lirangwe",DataEntry!$G:$G,"Q4"),"")</f>
        <v>3568</v>
      </c>
      <c r="H362" s="22">
        <f t="shared" si="27"/>
        <v>13410</v>
      </c>
    </row>
    <row r="363" spans="1:8" x14ac:dyDescent="0.3">
      <c r="A363" s="19" t="s">
        <v>295</v>
      </c>
      <c r="B363" s="19" t="s">
        <v>300</v>
      </c>
      <c r="C363" s="6" t="s">
        <v>319</v>
      </c>
      <c r="D363" s="15">
        <f>IFERROR(SUMIFS(DataEntry!$CA:$CA,DataEntry!$A:$A,"Zomba",DataEntry!$B:$B,"Lirangwe",DataEntry!$G:$G,"Q1"),"")</f>
        <v>33</v>
      </c>
      <c r="E363" s="15">
        <f>IFERROR(SUMIFS(DataEntry!$CA:$CA,DataEntry!$A:$A,"Zomba",DataEntry!$B:$B,"Lirangwe",DataEntry!$G:$G,"Q2"),"")</f>
        <v>65</v>
      </c>
      <c r="F363" s="15">
        <f>IFERROR(SUMIFS(DataEntry!$CA:$CA,DataEntry!$A:$A,"Zomba",DataEntry!$B:$B,"Lirangwe",DataEntry!$G:$G,"Q3"),"")</f>
        <v>50</v>
      </c>
      <c r="G363" s="15">
        <f>IFERROR(SUMIFS(DataEntry!$CA:$CA,DataEntry!$A:$A,"Zomba",DataEntry!$B:$B,"Lirangwe",DataEntry!$G:$G,"Q4"),"")</f>
        <v>35</v>
      </c>
      <c r="H363" s="20">
        <f t="shared" si="27"/>
        <v>183</v>
      </c>
    </row>
    <row r="364" spans="1:8" x14ac:dyDescent="0.3">
      <c r="A364" s="21" t="s">
        <v>295</v>
      </c>
      <c r="B364" s="21" t="s">
        <v>300</v>
      </c>
      <c r="C364" s="12" t="s">
        <v>320</v>
      </c>
      <c r="D364" s="9">
        <f>IFERROR(SUMIFS(DataEntry!$DV:$DV,DataEntry!$A:$A,"Zomba",DataEntry!$B:$B,"Lirangwe",DataEntry!$G:$G,"Q1"),"")</f>
        <v>0</v>
      </c>
      <c r="E364" s="9">
        <f>IFERROR(SUMIFS(DataEntry!$DV:$DV,DataEntry!$A:$A,"Zomba",DataEntry!$B:$B,"Lirangwe",DataEntry!$G:$G,"Q2"),"")</f>
        <v>1</v>
      </c>
      <c r="F364" s="9">
        <f>IFERROR(SUMIFS(DataEntry!$DV:$DV,DataEntry!$A:$A,"Zomba",DataEntry!$B:$B,"Lirangwe",DataEntry!$G:$G,"Q3"),"")</f>
        <v>0</v>
      </c>
      <c r="G364" s="9">
        <f>IFERROR(SUMIFS(DataEntry!$DV:$DV,DataEntry!$A:$A,"Zomba",DataEntry!$B:$B,"Lirangwe",DataEntry!$G:$G,"Q4"),"")</f>
        <v>0</v>
      </c>
      <c r="H364" s="22">
        <f t="shared" si="27"/>
        <v>1</v>
      </c>
    </row>
    <row r="365" spans="1:8" x14ac:dyDescent="0.3">
      <c r="A365" s="19" t="s">
        <v>295</v>
      </c>
      <c r="B365" s="19" t="s">
        <v>300</v>
      </c>
      <c r="C365" s="6" t="s">
        <v>243</v>
      </c>
      <c r="D365" s="16">
        <f>IFERROR(AVERAGEIFS(DataEntry!$HC:$HC,DataEntry!$A:$A,"Zomba",DataEntry!$B:$B,"Lirangwe",DataEntry!$G:$G,"Q1"),"")</f>
        <v>0.63141972883695274</v>
      </c>
      <c r="E365" s="16">
        <f>IFERROR(AVERAGEIFS(DataEntry!$HC:$HC,DataEntry!$A:$A,"Zomba",DataEntry!$B:$B,"Lirangwe",DataEntry!$G:$G,"Q2"),"")</f>
        <v>0.64316332314577085</v>
      </c>
      <c r="F365" s="16">
        <f>IFERROR(AVERAGEIFS(DataEntry!$HC:$HC,DataEntry!$A:$A,"Zomba",DataEntry!$B:$B,"Lirangwe",DataEntry!$G:$G,"Q3"),"")</f>
        <v>0.58154171480076566</v>
      </c>
      <c r="G365" s="16">
        <f>IFERROR(AVERAGEIFS(DataEntry!$HC:$HC,DataEntry!$A:$A,"Zomba",DataEntry!$B:$B,"Lirangwe",DataEntry!$G:$G,"Q4"),"")</f>
        <v>0.36904058947203494</v>
      </c>
      <c r="H365" s="24">
        <f>IFERROR(AVERAGE(D365:G365),"")</f>
        <v>0.55629133906388106</v>
      </c>
    </row>
    <row r="366" spans="1:8" x14ac:dyDescent="0.3">
      <c r="A366" s="21" t="s">
        <v>295</v>
      </c>
      <c r="B366" s="21" t="s">
        <v>300</v>
      </c>
      <c r="C366" s="12" t="s">
        <v>242</v>
      </c>
      <c r="D366" s="10">
        <f>IFERROR(AVERAGEIFS(DataEntry!$HB:$HB,DataEntry!$A:$A,"Zomba",DataEntry!$B:$B,"Lirangwe",DataEntry!$G:$G,"Q1"),"")</f>
        <v>0.31348693803574768</v>
      </c>
      <c r="E366" s="10">
        <f>IFERROR(AVERAGEIFS(DataEntry!$HB:$HB,DataEntry!$A:$A,"Zomba",DataEntry!$B:$B,"Lirangwe",DataEntry!$G:$G,"Q2"),"")</f>
        <v>7.6903266318361099E-2</v>
      </c>
      <c r="F366" s="10">
        <f>IFERROR(AVERAGEIFS(DataEntry!$HB:$HB,DataEntry!$A:$A,"Zomba",DataEntry!$B:$B,"Lirangwe",DataEntry!$G:$G,"Q3"),"")</f>
        <v>0.11946573933765198</v>
      </c>
      <c r="G366" s="10">
        <f>IFERROR(AVERAGEIFS(DataEntry!$HB:$HB,DataEntry!$A:$A,"Zomba",DataEntry!$B:$B,"Lirangwe",DataEntry!$G:$G,"Q4"),"")</f>
        <v>2608883.1689613839</v>
      </c>
      <c r="H366" s="23">
        <f>IFERROR(AVERAGE(D366:G366),"")</f>
        <v>652220.9197043319</v>
      </c>
    </row>
    <row r="367" spans="1:8" x14ac:dyDescent="0.3">
      <c r="A367" s="19" t="s">
        <v>295</v>
      </c>
      <c r="B367" s="19" t="s">
        <v>301</v>
      </c>
      <c r="C367" s="6" t="s">
        <v>40</v>
      </c>
      <c r="D367" s="15">
        <f>IFERROR(SUMIFS(DataEntry!$H:$H,DataEntry!$A:$A,"Zomba",DataEntry!$B:$B,"Mwanza",DataEntry!$G:$G,"Q1"),"")</f>
        <v>106687</v>
      </c>
      <c r="E367" s="15">
        <f>IFERROR(SUMIFS(DataEntry!$H:$H,DataEntry!$A:$A,"Zomba",DataEntry!$B:$B,"Mwanza",DataEntry!$G:$G,"Q2"),"")</f>
        <v>116723</v>
      </c>
      <c r="F367" s="15">
        <f>IFERROR(SUMIFS(DataEntry!$H:$H,DataEntry!$A:$A,"Zomba",DataEntry!$B:$B,"Mwanza",DataEntry!$G:$G,"Q3"),"")</f>
        <v>128272</v>
      </c>
      <c r="G367" s="15">
        <f>IFERROR(SUMIFS(DataEntry!$H:$H,DataEntry!$A:$A,"Zomba",DataEntry!$B:$B,"Mwanza",DataEntry!$G:$G,"Q4"),"")</f>
        <v>119671</v>
      </c>
      <c r="H367" s="20">
        <f>IFERROR(SUM(D367:G367),"")</f>
        <v>471353</v>
      </c>
    </row>
    <row r="368" spans="1:8" x14ac:dyDescent="0.3">
      <c r="A368" s="21" t="s">
        <v>295</v>
      </c>
      <c r="B368" s="21" t="s">
        <v>301</v>
      </c>
      <c r="C368" s="12" t="s">
        <v>312</v>
      </c>
      <c r="D368" s="9">
        <f>IFERROR(SUMIFS(DataEntry!$S:$S,DataEntry!$A:$A,"Zomba",DataEntry!$B:$B,"Mwanza",DataEntry!$G:$G,"Q1"),"")</f>
        <v>78798.7</v>
      </c>
      <c r="E368" s="9">
        <f>IFERROR(SUMIFS(DataEntry!$S:$S,DataEntry!$A:$A,"Zomba",DataEntry!$B:$B,"Mwanza",DataEntry!$G:$G,"Q2"),"")</f>
        <v>78548.3</v>
      </c>
      <c r="F368" s="9">
        <f>IFERROR(SUMIFS(DataEntry!$S:$S,DataEntry!$A:$A,"Zomba",DataEntry!$B:$B,"Mwanza",DataEntry!$G:$G,"Q3"),"")</f>
        <v>93157.599999999991</v>
      </c>
      <c r="G368" s="9">
        <f>IFERROR(SUMIFS(DataEntry!$S:$S,DataEntry!$A:$A,"Zomba",DataEntry!$B:$B,"Mwanza",DataEntry!$G:$G,"Q4"),"")</f>
        <v>81351</v>
      </c>
      <c r="H368" s="22">
        <f>IFERROR(SUM(D368:G368),"")</f>
        <v>331855.59999999998</v>
      </c>
    </row>
    <row r="369" spans="1:8" x14ac:dyDescent="0.3">
      <c r="A369" s="19" t="s">
        <v>295</v>
      </c>
      <c r="B369" s="19" t="s">
        <v>301</v>
      </c>
      <c r="C369" s="6" t="s">
        <v>313</v>
      </c>
      <c r="D369" s="15">
        <f>IFERROR(SUMIFS(DataEntry!$T:$T,DataEntry!$A:$A,"Zomba",DataEntry!$B:$B,"Mwanza",DataEntry!$G:$G,"Q1"),"")</f>
        <v>27888.3</v>
      </c>
      <c r="E369" s="15">
        <f>IFERROR(SUMIFS(DataEntry!$T:$T,DataEntry!$A:$A,"Zomba",DataEntry!$B:$B,"Mwanza",DataEntry!$G:$G,"Q2"),"")</f>
        <v>38174.699999999997</v>
      </c>
      <c r="F369" s="15">
        <f>IFERROR(SUMIFS(DataEntry!$T:$T,DataEntry!$A:$A,"Zomba",DataEntry!$B:$B,"Mwanza",DataEntry!$G:$G,"Q3"),"")</f>
        <v>35114.399999999994</v>
      </c>
      <c r="G369" s="15">
        <f>IFERROR(SUMIFS(DataEntry!$T:$T,DataEntry!$A:$A,"Zomba",DataEntry!$B:$B,"Mwanza",DataEntry!$G:$G,"Q4"),"")</f>
        <v>38320.000000000007</v>
      </c>
      <c r="H369" s="20">
        <f>IFERROR(SUM(D369:G369),"")</f>
        <v>139497.4</v>
      </c>
    </row>
    <row r="370" spans="1:8" x14ac:dyDescent="0.3">
      <c r="A370" s="21" t="s">
        <v>295</v>
      </c>
      <c r="B370" s="21" t="s">
        <v>301</v>
      </c>
      <c r="C370" s="12" t="s">
        <v>53</v>
      </c>
      <c r="D370" s="10">
        <f>IFERROR(AVERAGEIFS(DataEntry!$U:$U,DataEntry!$A:$A,"Zomba",DataEntry!$B:$B,"Mwanza",DataEntry!$G:$G,"Q1"),"")</f>
        <v>0.25917731429715413</v>
      </c>
      <c r="E370" s="10">
        <f>IFERROR(AVERAGEIFS(DataEntry!$U:$U,DataEntry!$A:$A,"Zomba",DataEntry!$B:$B,"Mwanza",DataEntry!$G:$G,"Q2"),"")</f>
        <v>0.32583427317903685</v>
      </c>
      <c r="F370" s="10">
        <f>IFERROR(AVERAGEIFS(DataEntry!$U:$U,DataEntry!$A:$A,"Zomba",DataEntry!$B:$B,"Mwanza",DataEntry!$G:$G,"Q3"),"")</f>
        <v>0.27430666819244698</v>
      </c>
      <c r="G370" s="10">
        <f>IFERROR(AVERAGEIFS(DataEntry!$U:$U,DataEntry!$A:$A,"Zomba",DataEntry!$B:$B,"Mwanza",DataEntry!$G:$G,"Q4"),"")</f>
        <v>0.32050330848045555</v>
      </c>
      <c r="H370" s="23">
        <f>IFERROR(AVERAGE(D370:G370),"")</f>
        <v>0.29495539103727336</v>
      </c>
    </row>
    <row r="371" spans="1:8" x14ac:dyDescent="0.3">
      <c r="A371" s="19" t="s">
        <v>295</v>
      </c>
      <c r="B371" s="19" t="s">
        <v>301</v>
      </c>
      <c r="C371" s="6" t="s">
        <v>314</v>
      </c>
      <c r="D371" s="15">
        <f>IFERROR(SUMIFS(DataEntry!$AU:$AU,DataEntry!$A:$A,"Zomba",DataEntry!$B:$B,"Mwanza",DataEntry!$G:$G,"Q1"),"")</f>
        <v>27104612.857999999</v>
      </c>
      <c r="E371" s="15">
        <f>IFERROR(SUMIFS(DataEntry!$AU:$AU,DataEntry!$A:$A,"Zomba",DataEntry!$B:$B,"Mwanza",DataEntry!$G:$G,"Q2"),"")</f>
        <v>18061202.215999998</v>
      </c>
      <c r="F371" s="15">
        <f>IFERROR(SUMIFS(DataEntry!$AU:$AU,DataEntry!$A:$A,"Zomba",DataEntry!$B:$B,"Mwanza",DataEntry!$G:$G,"Q3"),"")</f>
        <v>18554216.006999999</v>
      </c>
      <c r="G371" s="15">
        <f>IFERROR(SUMIFS(DataEntry!$AU:$AU,DataEntry!$A:$A,"Zomba",DataEntry!$B:$B,"Mwanza",DataEntry!$G:$G,"Q4"),"")</f>
        <v>16754107.895</v>
      </c>
      <c r="H371" s="20">
        <f t="shared" ref="H371:H377" si="28">IFERROR(SUM(D371:G371),"")</f>
        <v>80474138.975999996</v>
      </c>
    </row>
    <row r="372" spans="1:8" x14ac:dyDescent="0.3">
      <c r="A372" s="21" t="s">
        <v>295</v>
      </c>
      <c r="B372" s="21" t="s">
        <v>301</v>
      </c>
      <c r="C372" s="12" t="s">
        <v>315</v>
      </c>
      <c r="D372" s="9">
        <f>IFERROR(SUMIFS(DataEntry!$GB:$GB,DataEntry!$A:$A,"Zomba",DataEntry!$B:$B,"Mwanza",DataEntry!$G:$G,"Q1"),"")</f>
        <v>120868085.37999994</v>
      </c>
      <c r="E372" s="9">
        <f>IFERROR(SUMIFS(DataEntry!$GB:$GB,DataEntry!$A:$A,"Zomba",DataEntry!$B:$B,"Mwanza",DataEntry!$G:$G,"Q2"),"")</f>
        <v>104096652.16000004</v>
      </c>
      <c r="F372" s="9">
        <f>IFERROR(SUMIFS(DataEntry!$GB:$GB,DataEntry!$A:$A,"Zomba",DataEntry!$B:$B,"Mwanza",DataEntry!$G:$G,"Q3"),"")</f>
        <v>134584713.33999997</v>
      </c>
      <c r="G372" s="9">
        <f>IFERROR(SUMIFS(DataEntry!$GB:$GB,DataEntry!$A:$A,"Zomba",DataEntry!$B:$B,"Mwanza",DataEntry!$G:$G,"Q4"),"")</f>
        <v>105833407.19999999</v>
      </c>
      <c r="H372" s="22">
        <f t="shared" si="28"/>
        <v>465382858.07999992</v>
      </c>
    </row>
    <row r="373" spans="1:8" x14ac:dyDescent="0.3">
      <c r="A373" s="19" t="s">
        <v>295</v>
      </c>
      <c r="B373" s="19" t="s">
        <v>301</v>
      </c>
      <c r="C373" s="6" t="s">
        <v>316</v>
      </c>
      <c r="D373" s="15">
        <f>IFERROR(SUMIFS(DataEntry!$GM:$GM,DataEntry!$A:$A,"Zomba",DataEntry!$B:$B,"Mwanza",DataEntry!$G:$G,"Q1"),"")</f>
        <v>94153682.859999999</v>
      </c>
      <c r="E373" s="15">
        <f>IFERROR(SUMIFS(DataEntry!$GM:$GM,DataEntry!$A:$A,"Zomba",DataEntry!$B:$B,"Mwanza",DataEntry!$G:$G,"Q2"),"")</f>
        <v>93052661.890000001</v>
      </c>
      <c r="F373" s="15">
        <f>IFERROR(SUMIFS(DataEntry!$GM:$GM,DataEntry!$A:$A,"Zomba",DataEntry!$B:$B,"Mwanza",DataEntry!$G:$G,"Q3"),"")</f>
        <v>122672626.78</v>
      </c>
      <c r="G373" s="15">
        <f>IFERROR(SUMIFS(DataEntry!$GM:$GM,DataEntry!$A:$A,"Zomba",DataEntry!$B:$B,"Mwanza",DataEntry!$G:$G,"Q4"),"")</f>
        <v>98841999.210000008</v>
      </c>
      <c r="H373" s="20">
        <f t="shared" si="28"/>
        <v>408720970.74000001</v>
      </c>
    </row>
    <row r="374" spans="1:8" x14ac:dyDescent="0.3">
      <c r="A374" s="21" t="s">
        <v>295</v>
      </c>
      <c r="B374" s="21" t="s">
        <v>301</v>
      </c>
      <c r="C374" s="12" t="s">
        <v>317</v>
      </c>
      <c r="D374" s="9">
        <f>IFERROR(SUMIFS(DataEntry!$GX:$GX,DataEntry!$A:$A,"Zomba",DataEntry!$B:$B,"Mwanza",DataEntry!$G:$G,"Q1"),"")</f>
        <v>106010124.94</v>
      </c>
      <c r="E374" s="9">
        <f>IFERROR(SUMIFS(DataEntry!$GX:$GX,DataEntry!$A:$A,"Zomba",DataEntry!$B:$B,"Mwanza",DataEntry!$G:$G,"Q2"),"")</f>
        <v>104980007.09999999</v>
      </c>
      <c r="F374" s="9">
        <f>IFERROR(SUMIFS(DataEntry!$GX:$GX,DataEntry!$A:$A,"Zomba",DataEntry!$B:$B,"Mwanza",DataEntry!$G:$G,"Q3"),"")</f>
        <v>135162404.34999999</v>
      </c>
      <c r="G374" s="9">
        <f>IFERROR(SUMIFS(DataEntry!$GX:$GX,DataEntry!$A:$A,"Zomba",DataEntry!$B:$B,"Mwanza",DataEntry!$G:$G,"Q4"),"")</f>
        <v>111364610.59</v>
      </c>
      <c r="H374" s="22">
        <f t="shared" si="28"/>
        <v>457517146.98000002</v>
      </c>
    </row>
    <row r="375" spans="1:8" x14ac:dyDescent="0.3">
      <c r="A375" s="19" t="s">
        <v>295</v>
      </c>
      <c r="B375" s="19" t="s">
        <v>301</v>
      </c>
      <c r="C375" s="6" t="s">
        <v>318</v>
      </c>
      <c r="D375" s="15">
        <f>IFERROR(SUMIFS(DataEntry!$CS:$CS,DataEntry!$A:$A,"Zomba",DataEntry!$B:$B,"Mwanza",DataEntry!$G:$G,"Q1"),"")</f>
        <v>9165</v>
      </c>
      <c r="E375" s="15">
        <f>IFERROR(SUMIFS(DataEntry!$CS:$CS,DataEntry!$A:$A,"Zomba",DataEntry!$B:$B,"Mwanza",DataEntry!$G:$G,"Q2"),"")</f>
        <v>9274</v>
      </c>
      <c r="F375" s="15">
        <f>IFERROR(SUMIFS(DataEntry!$CS:$CS,DataEntry!$A:$A,"Zomba",DataEntry!$B:$B,"Mwanza",DataEntry!$G:$G,"Q3"),"")</f>
        <v>9734</v>
      </c>
      <c r="G375" s="15">
        <f>IFERROR(SUMIFS(DataEntry!$CS:$CS,DataEntry!$A:$A,"Zomba",DataEntry!$B:$B,"Mwanza",DataEntry!$G:$G,"Q4"),"")</f>
        <v>9898</v>
      </c>
      <c r="H375" s="20">
        <f t="shared" si="28"/>
        <v>38071</v>
      </c>
    </row>
    <row r="376" spans="1:8" x14ac:dyDescent="0.3">
      <c r="A376" s="21" t="s">
        <v>295</v>
      </c>
      <c r="B376" s="21" t="s">
        <v>301</v>
      </c>
      <c r="C376" s="12" t="s">
        <v>319</v>
      </c>
      <c r="D376" s="9">
        <f>IFERROR(SUMIFS(DataEntry!$CA:$CA,DataEntry!$A:$A,"Zomba",DataEntry!$B:$B,"Mwanza",DataEntry!$G:$G,"Q1"),"")</f>
        <v>62</v>
      </c>
      <c r="E376" s="9">
        <f>IFERROR(SUMIFS(DataEntry!$CA:$CA,DataEntry!$A:$A,"Zomba",DataEntry!$B:$B,"Mwanza",DataEntry!$G:$G,"Q2"),"")</f>
        <v>133</v>
      </c>
      <c r="F376" s="9">
        <f>IFERROR(SUMIFS(DataEntry!$CA:$CA,DataEntry!$A:$A,"Zomba",DataEntry!$B:$B,"Mwanza",DataEntry!$G:$G,"Q3"),"")</f>
        <v>65</v>
      </c>
      <c r="G376" s="9">
        <f>IFERROR(SUMIFS(DataEntry!$CA:$CA,DataEntry!$A:$A,"Zomba",DataEntry!$B:$B,"Mwanza",DataEntry!$G:$G,"Q4"),"")</f>
        <v>66</v>
      </c>
      <c r="H376" s="22">
        <f t="shared" si="28"/>
        <v>326</v>
      </c>
    </row>
    <row r="377" spans="1:8" x14ac:dyDescent="0.3">
      <c r="A377" s="19" t="s">
        <v>295</v>
      </c>
      <c r="B377" s="19" t="s">
        <v>301</v>
      </c>
      <c r="C377" s="6" t="s">
        <v>320</v>
      </c>
      <c r="D377" s="15">
        <f>IFERROR(SUMIFS(DataEntry!$DV:$DV,DataEntry!$A:$A,"Zomba",DataEntry!$B:$B,"Mwanza",DataEntry!$G:$G,"Q1"),"")</f>
        <v>1639</v>
      </c>
      <c r="E377" s="15">
        <f>IFERROR(SUMIFS(DataEntry!$DV:$DV,DataEntry!$A:$A,"Zomba",DataEntry!$B:$B,"Mwanza",DataEntry!$G:$G,"Q2"),"")</f>
        <v>1585</v>
      </c>
      <c r="F377" s="15">
        <f>IFERROR(SUMIFS(DataEntry!$DV:$DV,DataEntry!$A:$A,"Zomba",DataEntry!$B:$B,"Mwanza",DataEntry!$G:$G,"Q3"),"")</f>
        <v>1525</v>
      </c>
      <c r="G377" s="15">
        <f>IFERROR(SUMIFS(DataEntry!$DV:$DV,DataEntry!$A:$A,"Zomba",DataEntry!$B:$B,"Mwanza",DataEntry!$G:$G,"Q4"),"")</f>
        <v>1701</v>
      </c>
      <c r="H377" s="20">
        <f t="shared" si="28"/>
        <v>6450</v>
      </c>
    </row>
    <row r="378" spans="1:8" x14ac:dyDescent="0.3">
      <c r="A378" s="21" t="s">
        <v>295</v>
      </c>
      <c r="B378" s="21" t="s">
        <v>301</v>
      </c>
      <c r="C378" s="12" t="s">
        <v>243</v>
      </c>
      <c r="D378" s="10">
        <f>IFERROR(AVERAGEIFS(DataEntry!$HC:$HC,DataEntry!$A:$A,"Zomba",DataEntry!$B:$B,"Mwanza",DataEntry!$G:$G,"Q1"),"")</f>
        <v>0.25206531194119197</v>
      </c>
      <c r="E378" s="10">
        <f>IFERROR(AVERAGEIFS(DataEntry!$HC:$HC,DataEntry!$A:$A,"Zomba",DataEntry!$B:$B,"Mwanza",DataEntry!$G:$G,"Q2"),"")</f>
        <v>0.22041107173733732</v>
      </c>
      <c r="F378" s="10">
        <f>IFERROR(AVERAGEIFS(DataEntry!$HC:$HC,DataEntry!$A:$A,"Zomba",DataEntry!$B:$B,"Mwanza",DataEntry!$G:$G,"Q3"),"")</f>
        <v>0.27717669635782083</v>
      </c>
      <c r="G378" s="10">
        <f>IFERROR(AVERAGEIFS(DataEntry!$HC:$HC,DataEntry!$A:$A,"Zomba",DataEntry!$B:$B,"Mwanza",DataEntry!$G:$G,"Q4"),"")</f>
        <v>0.12988338321804552</v>
      </c>
      <c r="H378" s="23">
        <f>IFERROR(AVERAGE(D378:G378),"")</f>
        <v>0.2198841158135989</v>
      </c>
    </row>
    <row r="379" spans="1:8" x14ac:dyDescent="0.3">
      <c r="A379" s="19" t="s">
        <v>295</v>
      </c>
      <c r="B379" s="19" t="s">
        <v>301</v>
      </c>
      <c r="C379" s="6" t="s">
        <v>242</v>
      </c>
      <c r="D379" s="16">
        <f>IFERROR(AVERAGEIFS(DataEntry!$HB:$HB,DataEntry!$A:$A,"Zomba",DataEntry!$B:$B,"Mwanza",DataEntry!$G:$G,"Q1"),"")</f>
        <v>0.24334472268069163</v>
      </c>
      <c r="E379" s="16">
        <f>IFERROR(AVERAGEIFS(DataEntry!$HB:$HB,DataEntry!$A:$A,"Zomba",DataEntry!$B:$B,"Mwanza",DataEntry!$G:$G,"Q2"),"")</f>
        <v>0.17289640821925689</v>
      </c>
      <c r="F379" s="16">
        <f>IFERROR(AVERAGEIFS(DataEntry!$HB:$HB,DataEntry!$A:$A,"Zomba",DataEntry!$B:$B,"Mwanza",DataEntry!$G:$G,"Q3"),"")</f>
        <v>0.13971106046179183</v>
      </c>
      <c r="G379" s="16">
        <f>IFERROR(AVERAGEIFS(DataEntry!$HB:$HB,DataEntry!$A:$A,"Zomba",DataEntry!$B:$B,"Mwanza",DataEntry!$G:$G,"Q4"),"")</f>
        <v>13748793.733196676</v>
      </c>
      <c r="H379" s="24">
        <f>IFERROR(AVERAGE(D379:G379),"")</f>
        <v>3437198.5722872168</v>
      </c>
    </row>
    <row r="380" spans="1:8" x14ac:dyDescent="0.3">
      <c r="A380" s="21" t="s">
        <v>295</v>
      </c>
      <c r="B380" s="21" t="s">
        <v>302</v>
      </c>
      <c r="C380" s="12" t="s">
        <v>40</v>
      </c>
      <c r="D380" s="9">
        <f>IFERROR(SUMIFS(DataEntry!$H:$H,DataEntry!$A:$A,"Zomba",DataEntry!$B:$B,"Namadzi",DataEntry!$G:$G,"Q1"),"")</f>
        <v>22440</v>
      </c>
      <c r="E380" s="9">
        <f>IFERROR(SUMIFS(DataEntry!$H:$H,DataEntry!$A:$A,"Zomba",DataEntry!$B:$B,"Namadzi",DataEntry!$G:$G,"Q2"),"")</f>
        <v>30057</v>
      </c>
      <c r="F380" s="9">
        <f>IFERROR(SUMIFS(DataEntry!$H:$H,DataEntry!$A:$A,"Zomba",DataEntry!$B:$B,"Namadzi",DataEntry!$G:$G,"Q3"),"")</f>
        <v>27107</v>
      </c>
      <c r="G380" s="9">
        <f>IFERROR(SUMIFS(DataEntry!$H:$H,DataEntry!$A:$A,"Zomba",DataEntry!$B:$B,"Namadzi",DataEntry!$G:$G,"Q4"),"")</f>
        <v>29884</v>
      </c>
      <c r="H380" s="22">
        <f>IFERROR(SUM(D380:G380),"")</f>
        <v>109488</v>
      </c>
    </row>
    <row r="381" spans="1:8" x14ac:dyDescent="0.3">
      <c r="A381" s="19" t="s">
        <v>295</v>
      </c>
      <c r="B381" s="19" t="s">
        <v>302</v>
      </c>
      <c r="C381" s="6" t="s">
        <v>312</v>
      </c>
      <c r="D381" s="15">
        <f>IFERROR(SUMIFS(DataEntry!$S:$S,DataEntry!$A:$A,"Zomba",DataEntry!$B:$B,"Namadzi",DataEntry!$G:$G,"Q1"),"")</f>
        <v>19548.999999999993</v>
      </c>
      <c r="E381" s="15">
        <f>IFERROR(SUMIFS(DataEntry!$S:$S,DataEntry!$A:$A,"Zomba",DataEntry!$B:$B,"Namadzi",DataEntry!$G:$G,"Q2"),"")</f>
        <v>24389.299999999988</v>
      </c>
      <c r="F381" s="15">
        <f>IFERROR(SUMIFS(DataEntry!$S:$S,DataEntry!$A:$A,"Zomba",DataEntry!$B:$B,"Namadzi",DataEntry!$G:$G,"Q3"),"")</f>
        <v>22123</v>
      </c>
      <c r="G381" s="15">
        <f>IFERROR(SUMIFS(DataEntry!$S:$S,DataEntry!$A:$A,"Zomba",DataEntry!$B:$B,"Namadzi",DataEntry!$G:$G,"Q4"),"")</f>
        <v>22993.299999999996</v>
      </c>
      <c r="H381" s="20">
        <f>IFERROR(SUM(D381:G381),"")</f>
        <v>89054.599999999977</v>
      </c>
    </row>
    <row r="382" spans="1:8" x14ac:dyDescent="0.3">
      <c r="A382" s="21" t="s">
        <v>295</v>
      </c>
      <c r="B382" s="21" t="s">
        <v>302</v>
      </c>
      <c r="C382" s="12" t="s">
        <v>313</v>
      </c>
      <c r="D382" s="9">
        <f>IFERROR(SUMIFS(DataEntry!$T:$T,DataEntry!$A:$A,"Zomba",DataEntry!$B:$B,"Namadzi",DataEntry!$G:$G,"Q1"),"")</f>
        <v>2891.0000000000109</v>
      </c>
      <c r="E382" s="9">
        <f>IFERROR(SUMIFS(DataEntry!$T:$T,DataEntry!$A:$A,"Zomba",DataEntry!$B:$B,"Namadzi",DataEntry!$G:$G,"Q2"),"")</f>
        <v>5667.7000000000135</v>
      </c>
      <c r="F382" s="9">
        <f>IFERROR(SUMIFS(DataEntry!$T:$T,DataEntry!$A:$A,"Zomba",DataEntry!$B:$B,"Namadzi",DataEntry!$G:$G,"Q3"),"")</f>
        <v>4984.0000000000173</v>
      </c>
      <c r="G382" s="9">
        <f>IFERROR(SUMIFS(DataEntry!$T:$T,DataEntry!$A:$A,"Zomba",DataEntry!$B:$B,"Namadzi",DataEntry!$G:$G,"Q4"),"")</f>
        <v>6890.7000000000062</v>
      </c>
      <c r="H382" s="22">
        <f>IFERROR(SUM(D382:G382),"")</f>
        <v>20433.400000000045</v>
      </c>
    </row>
    <row r="383" spans="1:8" x14ac:dyDescent="0.3">
      <c r="A383" s="19" t="s">
        <v>295</v>
      </c>
      <c r="B383" s="19" t="s">
        <v>302</v>
      </c>
      <c r="C383" s="6" t="s">
        <v>53</v>
      </c>
      <c r="D383" s="16">
        <f>IFERROR(AVERAGEIFS(DataEntry!$U:$U,DataEntry!$A:$A,"Zomba",DataEntry!$B:$B,"Namadzi",DataEntry!$G:$G,"Q1"),"")</f>
        <v>0.16215010772733535</v>
      </c>
      <c r="E383" s="16">
        <f>IFERROR(AVERAGEIFS(DataEntry!$U:$U,DataEntry!$A:$A,"Zomba",DataEntry!$B:$B,"Namadzi",DataEntry!$G:$G,"Q2"),"")</f>
        <v>0.19032475568318855</v>
      </c>
      <c r="F383" s="16">
        <f>IFERROR(AVERAGEIFS(DataEntry!$U:$U,DataEntry!$A:$A,"Zomba",DataEntry!$B:$B,"Namadzi",DataEntry!$G:$G,"Q3"),"")</f>
        <v>0.20739850122553904</v>
      </c>
      <c r="G383" s="16">
        <f>IFERROR(AVERAGEIFS(DataEntry!$U:$U,DataEntry!$A:$A,"Zomba",DataEntry!$B:$B,"Namadzi",DataEntry!$G:$G,"Q4"),"")</f>
        <v>0.33672239359088357</v>
      </c>
      <c r="H383" s="24">
        <f>IFERROR(AVERAGE(D383:G383),"")</f>
        <v>0.22414893955673665</v>
      </c>
    </row>
    <row r="384" spans="1:8" x14ac:dyDescent="0.3">
      <c r="A384" s="21" t="s">
        <v>295</v>
      </c>
      <c r="B384" s="21" t="s">
        <v>302</v>
      </c>
      <c r="C384" s="12" t="s">
        <v>314</v>
      </c>
      <c r="D384" s="9">
        <f>IFERROR(SUMIFS(DataEntry!$AU:$AU,DataEntry!$A:$A,"Zomba",DataEntry!$B:$B,"Namadzi",DataEntry!$G:$G,"Q1"),"")</f>
        <v>6942670.9311500005</v>
      </c>
      <c r="E384" s="9">
        <f>IFERROR(SUMIFS(DataEntry!$AU:$AU,DataEntry!$A:$A,"Zomba",DataEntry!$B:$B,"Namadzi",DataEntry!$G:$G,"Q2"),"")</f>
        <v>3472793.2811799999</v>
      </c>
      <c r="F384" s="9">
        <f>IFERROR(SUMIFS(DataEntry!$AU:$AU,DataEntry!$A:$A,"Zomba",DataEntry!$B:$B,"Namadzi",DataEntry!$G:$G,"Q3"),"")</f>
        <v>3513236.3527000002</v>
      </c>
      <c r="G384" s="9">
        <f>IFERROR(SUMIFS(DataEntry!$AU:$AU,DataEntry!$A:$A,"Zomba",DataEntry!$B:$B,"Namadzi",DataEntry!$G:$G,"Q4"),"")</f>
        <v>3058545.9588799998</v>
      </c>
      <c r="H384" s="22">
        <f t="shared" ref="H384:H390" si="29">IFERROR(SUM(D384:G384),"")</f>
        <v>16987246.523910001</v>
      </c>
    </row>
    <row r="385" spans="1:8" x14ac:dyDescent="0.3">
      <c r="A385" s="19" t="s">
        <v>295</v>
      </c>
      <c r="B385" s="19" t="s">
        <v>302</v>
      </c>
      <c r="C385" s="6" t="s">
        <v>315</v>
      </c>
      <c r="D385" s="15">
        <f>IFERROR(SUMIFS(DataEntry!$GB:$GB,DataEntry!$A:$A,"Zomba",DataEntry!$B:$B,"Namadzi",DataEntry!$G:$G,"Q1"),"")</f>
        <v>40155130.439999998</v>
      </c>
      <c r="E385" s="15">
        <f>IFERROR(SUMIFS(DataEntry!$GB:$GB,DataEntry!$A:$A,"Zomba",DataEntry!$B:$B,"Namadzi",DataEntry!$G:$G,"Q2"),"")</f>
        <v>52988713.450000003</v>
      </c>
      <c r="F385" s="15">
        <f>IFERROR(SUMIFS(DataEntry!$GB:$GB,DataEntry!$A:$A,"Zomba",DataEntry!$B:$B,"Namadzi",DataEntry!$G:$G,"Q3"),"")</f>
        <v>46264032.25</v>
      </c>
      <c r="G385" s="15">
        <f>IFERROR(SUMIFS(DataEntry!$GB:$GB,DataEntry!$A:$A,"Zomba",DataEntry!$B:$B,"Namadzi",DataEntry!$G:$G,"Q4"),"")</f>
        <v>50555417.270000003</v>
      </c>
      <c r="H385" s="20">
        <f t="shared" si="29"/>
        <v>189963293.41</v>
      </c>
    </row>
    <row r="386" spans="1:8" x14ac:dyDescent="0.3">
      <c r="A386" s="21" t="s">
        <v>295</v>
      </c>
      <c r="B386" s="21" t="s">
        <v>302</v>
      </c>
      <c r="C386" s="12" t="s">
        <v>316</v>
      </c>
      <c r="D386" s="9">
        <f>IFERROR(SUMIFS(DataEntry!$GM:$GM,DataEntry!$A:$A,"Zomba",DataEntry!$B:$B,"Namadzi",DataEntry!$G:$G,"Q1"),"")</f>
        <v>41166429.020000003</v>
      </c>
      <c r="E386" s="9">
        <f>IFERROR(SUMIFS(DataEntry!$GM:$GM,DataEntry!$A:$A,"Zomba",DataEntry!$B:$B,"Namadzi",DataEntry!$G:$G,"Q2"),"")</f>
        <v>52986235.149999999</v>
      </c>
      <c r="F386" s="9">
        <f>IFERROR(SUMIFS(DataEntry!$GM:$GM,DataEntry!$A:$A,"Zomba",DataEntry!$B:$B,"Namadzi",DataEntry!$G:$G,"Q3"),"")</f>
        <v>47654636.660000004</v>
      </c>
      <c r="G386" s="9">
        <f>IFERROR(SUMIFS(DataEntry!$GM:$GM,DataEntry!$A:$A,"Zomba",DataEntry!$B:$B,"Namadzi",DataEntry!$G:$G,"Q4"),"")</f>
        <v>50690541.739999995</v>
      </c>
      <c r="H386" s="22">
        <f t="shared" si="29"/>
        <v>192497842.56999999</v>
      </c>
    </row>
    <row r="387" spans="1:8" x14ac:dyDescent="0.3">
      <c r="A387" s="19" t="s">
        <v>295</v>
      </c>
      <c r="B387" s="19" t="s">
        <v>302</v>
      </c>
      <c r="C387" s="6" t="s">
        <v>317</v>
      </c>
      <c r="D387" s="15">
        <f>IFERROR(SUMIFS(DataEntry!$GX:$GX,DataEntry!$A:$A,"Zomba",DataEntry!$B:$B,"Namadzi",DataEntry!$G:$G,"Q1"),"")</f>
        <v>41842743.830000006</v>
      </c>
      <c r="E387" s="15">
        <f>IFERROR(SUMIFS(DataEntry!$GX:$GX,DataEntry!$A:$A,"Zomba",DataEntry!$B:$B,"Namadzi",DataEntry!$G:$G,"Q2"),"")</f>
        <v>53415344.380000003</v>
      </c>
      <c r="F387" s="15">
        <f>IFERROR(SUMIFS(DataEntry!$GX:$GX,DataEntry!$A:$A,"Zomba",DataEntry!$B:$B,"Namadzi",DataEntry!$G:$G,"Q3"),"")</f>
        <v>48076249.040000007</v>
      </c>
      <c r="G387" s="15">
        <f>IFERROR(SUMIFS(DataEntry!$GX:$GX,DataEntry!$A:$A,"Zomba",DataEntry!$B:$B,"Namadzi",DataEntry!$G:$G,"Q4"),"")</f>
        <v>51102027.450000003</v>
      </c>
      <c r="H387" s="20">
        <f t="shared" si="29"/>
        <v>194436364.69999999</v>
      </c>
    </row>
    <row r="388" spans="1:8" x14ac:dyDescent="0.3">
      <c r="A388" s="21" t="s">
        <v>295</v>
      </c>
      <c r="B388" s="21" t="s">
        <v>302</v>
      </c>
      <c r="C388" s="12" t="s">
        <v>318</v>
      </c>
      <c r="D388" s="9">
        <f>IFERROR(SUMIFS(DataEntry!$CS:$CS,DataEntry!$A:$A,"Zomba",DataEntry!$B:$B,"Namadzi",DataEntry!$G:$G,"Q1"),"")</f>
        <v>1393</v>
      </c>
      <c r="E388" s="9">
        <f>IFERROR(SUMIFS(DataEntry!$CS:$CS,DataEntry!$A:$A,"Zomba",DataEntry!$B:$B,"Namadzi",DataEntry!$G:$G,"Q2"),"")</f>
        <v>1493</v>
      </c>
      <c r="F388" s="9">
        <f>IFERROR(SUMIFS(DataEntry!$CS:$CS,DataEntry!$A:$A,"Zomba",DataEntry!$B:$B,"Namadzi",DataEntry!$G:$G,"Q3"),"")</f>
        <v>1579</v>
      </c>
      <c r="G388" s="9">
        <f>IFERROR(SUMIFS(DataEntry!$CS:$CS,DataEntry!$A:$A,"Zomba",DataEntry!$B:$B,"Namadzi",DataEntry!$G:$G,"Q4"),"")</f>
        <v>1649</v>
      </c>
      <c r="H388" s="22">
        <f t="shared" si="29"/>
        <v>6114</v>
      </c>
    </row>
    <row r="389" spans="1:8" x14ac:dyDescent="0.3">
      <c r="A389" s="19" t="s">
        <v>295</v>
      </c>
      <c r="B389" s="19" t="s">
        <v>302</v>
      </c>
      <c r="C389" s="6" t="s">
        <v>319</v>
      </c>
      <c r="D389" s="15">
        <f>IFERROR(SUMIFS(DataEntry!$CA:$CA,DataEntry!$A:$A,"Zomba",DataEntry!$B:$B,"Namadzi",DataEntry!$G:$G,"Q1"),"")</f>
        <v>13</v>
      </c>
      <c r="E389" s="15">
        <f>IFERROR(SUMIFS(DataEntry!$CA:$CA,DataEntry!$A:$A,"Zomba",DataEntry!$B:$B,"Namadzi",DataEntry!$G:$G,"Q2"),"")</f>
        <v>21</v>
      </c>
      <c r="F389" s="15">
        <f>IFERROR(SUMIFS(DataEntry!$CA:$CA,DataEntry!$A:$A,"Zomba",DataEntry!$B:$B,"Namadzi",DataEntry!$G:$G,"Q3"),"")</f>
        <v>4</v>
      </c>
      <c r="G389" s="15">
        <f>IFERROR(SUMIFS(DataEntry!$CA:$CA,DataEntry!$A:$A,"Zomba",DataEntry!$B:$B,"Namadzi",DataEntry!$G:$G,"Q4"),"")</f>
        <v>2</v>
      </c>
      <c r="H389" s="20">
        <f t="shared" si="29"/>
        <v>40</v>
      </c>
    </row>
    <row r="390" spans="1:8" x14ac:dyDescent="0.3">
      <c r="A390" s="21" t="s">
        <v>295</v>
      </c>
      <c r="B390" s="21" t="s">
        <v>302</v>
      </c>
      <c r="C390" s="12" t="s">
        <v>320</v>
      </c>
      <c r="D390" s="9">
        <f>IFERROR(SUMIFS(DataEntry!$DV:$DV,DataEntry!$A:$A,"Zomba",DataEntry!$B:$B,"Namadzi",DataEntry!$G:$G,"Q1"),"")</f>
        <v>0</v>
      </c>
      <c r="E390" s="9">
        <f>IFERROR(SUMIFS(DataEntry!$DV:$DV,DataEntry!$A:$A,"Zomba",DataEntry!$B:$B,"Namadzi",DataEntry!$G:$G,"Q2"),"")</f>
        <v>1</v>
      </c>
      <c r="F390" s="9">
        <f>IFERROR(SUMIFS(DataEntry!$DV:$DV,DataEntry!$A:$A,"Zomba",DataEntry!$B:$B,"Namadzi",DataEntry!$G:$G,"Q3"),"")</f>
        <v>0</v>
      </c>
      <c r="G390" s="9">
        <f>IFERROR(SUMIFS(DataEntry!$DV:$DV,DataEntry!$A:$A,"Zomba",DataEntry!$B:$B,"Namadzi",DataEntry!$G:$G,"Q4"),"")</f>
        <v>0</v>
      </c>
      <c r="H390" s="22">
        <f t="shared" si="29"/>
        <v>1</v>
      </c>
    </row>
    <row r="391" spans="1:8" x14ac:dyDescent="0.3">
      <c r="A391" s="19" t="s">
        <v>295</v>
      </c>
      <c r="B391" s="19" t="s">
        <v>302</v>
      </c>
      <c r="C391" s="6" t="s">
        <v>243</v>
      </c>
      <c r="D391" s="16">
        <f>IFERROR(AVERAGEIFS(DataEntry!$HC:$HC,DataEntry!$A:$A,"Zomba",DataEntry!$B:$B,"Namadzi",DataEntry!$G:$G,"Q1"),"")</f>
        <v>0.3090176650621394</v>
      </c>
      <c r="E391" s="16">
        <f>IFERROR(AVERAGEIFS(DataEntry!$HC:$HC,DataEntry!$A:$A,"Zomba",DataEntry!$B:$B,"Namadzi",DataEntry!$G:$G,"Q2"),"")</f>
        <v>0.36496254262692468</v>
      </c>
      <c r="F391" s="16">
        <f>IFERROR(AVERAGEIFS(DataEntry!$HC:$HC,DataEntry!$A:$A,"Zomba",DataEntry!$B:$B,"Namadzi",DataEntry!$G:$G,"Q3"),"")</f>
        <v>0.35636682321077751</v>
      </c>
      <c r="G391" s="16">
        <f>IFERROR(AVERAGEIFS(DataEntry!$HC:$HC,DataEntry!$A:$A,"Zomba",DataEntry!$B:$B,"Namadzi",DataEntry!$G:$G,"Q4"),"")</f>
        <v>0.23788989263196114</v>
      </c>
      <c r="H391" s="24">
        <f>IFERROR(AVERAGE(D391:G391),"")</f>
        <v>0.31705923088295074</v>
      </c>
    </row>
    <row r="392" spans="1:8" x14ac:dyDescent="0.3">
      <c r="A392" s="21" t="s">
        <v>295</v>
      </c>
      <c r="B392" s="21" t="s">
        <v>302</v>
      </c>
      <c r="C392" s="12" t="s">
        <v>242</v>
      </c>
      <c r="D392" s="10">
        <f>IFERROR(AVERAGEIFS(DataEntry!$HB:$HB,DataEntry!$A:$A,"Zomba",DataEntry!$B:$B,"Namadzi",DataEntry!$G:$G,"Q1"),"")</f>
        <v>0.16802343133521427</v>
      </c>
      <c r="E392" s="10">
        <f>IFERROR(AVERAGEIFS(DataEntry!$HB:$HB,DataEntry!$A:$A,"Zomba",DataEntry!$B:$B,"Namadzi",DataEntry!$G:$G,"Q2"),"")</f>
        <v>9.2929535003806629E-2</v>
      </c>
      <c r="F392" s="10">
        <f>IFERROR(AVERAGEIFS(DataEntry!$HB:$HB,DataEntry!$A:$A,"Zomba",DataEntry!$B:$B,"Namadzi",DataEntry!$G:$G,"Q3"),"")</f>
        <v>0.11352674716807283</v>
      </c>
      <c r="G392" s="10">
        <f>IFERROR(AVERAGEIFS(DataEntry!$HB:$HB,DataEntry!$A:$A,"Zomba",DataEntry!$B:$B,"Namadzi",DataEntry!$G:$G,"Q4"),"")</f>
        <v>1593619.3337824603</v>
      </c>
      <c r="H392" s="23">
        <f>IFERROR(AVERAGE(D392:G392),"")</f>
        <v>398404.92706554348</v>
      </c>
    </row>
    <row r="393" spans="1:8" x14ac:dyDescent="0.3">
      <c r="A393" s="19" t="s">
        <v>295</v>
      </c>
      <c r="B393" s="19" t="s">
        <v>303</v>
      </c>
      <c r="C393" s="6" t="s">
        <v>40</v>
      </c>
      <c r="D393" s="15">
        <f>IFERROR(SUMIFS(DataEntry!$H:$H,DataEntry!$A:$A,"Zomba",DataEntry!$B:$B,"Neno",DataEntry!$G:$G,"Q1"),"")</f>
        <v>21485</v>
      </c>
      <c r="E393" s="15">
        <f>IFERROR(SUMIFS(DataEntry!$H:$H,DataEntry!$A:$A,"Zomba",DataEntry!$B:$B,"Neno",DataEntry!$G:$G,"Q2"),"")</f>
        <v>29128</v>
      </c>
      <c r="F393" s="15">
        <f>IFERROR(SUMIFS(DataEntry!$H:$H,DataEntry!$A:$A,"Zomba",DataEntry!$B:$B,"Neno",DataEntry!$G:$G,"Q3"),"")</f>
        <v>20789</v>
      </c>
      <c r="G393" s="15">
        <f>IFERROR(SUMIFS(DataEntry!$H:$H,DataEntry!$A:$A,"Zomba",DataEntry!$B:$B,"Neno",DataEntry!$G:$G,"Q4"),"")</f>
        <v>24625</v>
      </c>
      <c r="H393" s="20">
        <f>IFERROR(SUM(D393:G393),"")</f>
        <v>96027</v>
      </c>
    </row>
    <row r="394" spans="1:8" x14ac:dyDescent="0.3">
      <c r="A394" s="21" t="s">
        <v>295</v>
      </c>
      <c r="B394" s="21" t="s">
        <v>303</v>
      </c>
      <c r="C394" s="12" t="s">
        <v>312</v>
      </c>
      <c r="D394" s="9">
        <f>IFERROR(SUMIFS(DataEntry!$S:$S,DataEntry!$A:$A,"Zomba",DataEntry!$B:$B,"Neno",DataEntry!$G:$G,"Q1"),"")</f>
        <v>15468.900000000001</v>
      </c>
      <c r="E394" s="9">
        <f>IFERROR(SUMIFS(DataEntry!$S:$S,DataEntry!$A:$A,"Zomba",DataEntry!$B:$B,"Neno",DataEntry!$G:$G,"Q2"),"")</f>
        <v>23470.100000000071</v>
      </c>
      <c r="F394" s="9">
        <f>IFERROR(SUMIFS(DataEntry!$S:$S,DataEntry!$A:$A,"Zomba",DataEntry!$B:$B,"Neno",DataEntry!$G:$G,"Q3"),"")</f>
        <v>18385.50000000008</v>
      </c>
      <c r="G394" s="9">
        <f>IFERROR(SUMIFS(DataEntry!$S:$S,DataEntry!$A:$A,"Zomba",DataEntry!$B:$B,"Neno",DataEntry!$G:$G,"Q4"),"")</f>
        <v>16679.50000000004</v>
      </c>
      <c r="H394" s="22">
        <f>IFERROR(SUM(D394:G394),"")</f>
        <v>74004.000000000189</v>
      </c>
    </row>
    <row r="395" spans="1:8" x14ac:dyDescent="0.3">
      <c r="A395" s="19" t="s">
        <v>295</v>
      </c>
      <c r="B395" s="19" t="s">
        <v>303</v>
      </c>
      <c r="C395" s="6" t="s">
        <v>313</v>
      </c>
      <c r="D395" s="15">
        <f>IFERROR(SUMIFS(DataEntry!$T:$T,DataEntry!$A:$A,"Zomba",DataEntry!$B:$B,"Neno",DataEntry!$G:$G,"Q1"),"")</f>
        <v>6016.1</v>
      </c>
      <c r="E395" s="15">
        <f>IFERROR(SUMIFS(DataEntry!$T:$T,DataEntry!$A:$A,"Zomba",DataEntry!$B:$B,"Neno",DataEntry!$G:$G,"Q2"),"")</f>
        <v>5657.8999999999396</v>
      </c>
      <c r="F395" s="15">
        <f>IFERROR(SUMIFS(DataEntry!$T:$T,DataEntry!$A:$A,"Zomba",DataEntry!$B:$B,"Neno",DataEntry!$G:$G,"Q3"),"")</f>
        <v>2403.4999999999191</v>
      </c>
      <c r="G395" s="15">
        <f>IFERROR(SUMIFS(DataEntry!$T:$T,DataEntry!$A:$A,"Zomba",DataEntry!$B:$B,"Neno",DataEntry!$G:$G,"Q4"),"")</f>
        <v>7945.49999999996</v>
      </c>
      <c r="H395" s="20">
        <f>IFERROR(SUM(D395:G395),"")</f>
        <v>22022.999999999818</v>
      </c>
    </row>
    <row r="396" spans="1:8" x14ac:dyDescent="0.3">
      <c r="A396" s="21" t="s">
        <v>295</v>
      </c>
      <c r="B396" s="21" t="s">
        <v>303</v>
      </c>
      <c r="C396" s="12" t="s">
        <v>53</v>
      </c>
      <c r="D396" s="10">
        <f>IFERROR(AVERAGEIFS(DataEntry!$U:$U,DataEntry!$A:$A,"Zomba",DataEntry!$B:$B,"Neno",DataEntry!$G:$G,"Q1"),"")</f>
        <v>0.27707467915592127</v>
      </c>
      <c r="E396" s="10">
        <f>IFERROR(AVERAGEIFS(DataEntry!$U:$U,DataEntry!$A:$A,"Zomba",DataEntry!$B:$B,"Neno",DataEntry!$G:$G,"Q2"),"")</f>
        <v>0.19916472461253579</v>
      </c>
      <c r="F396" s="10">
        <f>IFERROR(AVERAGEIFS(DataEntry!$U:$U,DataEntry!$A:$A,"Zomba",DataEntry!$B:$B,"Neno",DataEntry!$G:$G,"Q3"),"")</f>
        <v>0.11964230803001792</v>
      </c>
      <c r="G396" s="10">
        <f>IFERROR(AVERAGEIFS(DataEntry!$U:$U,DataEntry!$A:$A,"Zomba",DataEntry!$B:$B,"Neno",DataEntry!$G:$G,"Q4"),"")</f>
        <v>0.31247113530339149</v>
      </c>
      <c r="H396" s="23">
        <f>IFERROR(AVERAGE(D396:G396),"")</f>
        <v>0.22708821177546662</v>
      </c>
    </row>
    <row r="397" spans="1:8" x14ac:dyDescent="0.3">
      <c r="A397" s="19" t="s">
        <v>295</v>
      </c>
      <c r="B397" s="19" t="s">
        <v>303</v>
      </c>
      <c r="C397" s="6" t="s">
        <v>314</v>
      </c>
      <c r="D397" s="15">
        <f>IFERROR(SUMIFS(DataEntry!$AU:$AU,DataEntry!$A:$A,"Zomba",DataEntry!$B:$B,"Neno",DataEntry!$G:$G,"Q1"),"")</f>
        <v>11510051.46758</v>
      </c>
      <c r="E397" s="15">
        <f>IFERROR(SUMIFS(DataEntry!$AU:$AU,DataEntry!$A:$A,"Zomba",DataEntry!$B:$B,"Neno",DataEntry!$G:$G,"Q2"),"")</f>
        <v>8027837.4637000002</v>
      </c>
      <c r="F397" s="15">
        <f>IFERROR(SUMIFS(DataEntry!$AU:$AU,DataEntry!$A:$A,"Zomba",DataEntry!$B:$B,"Neno",DataEntry!$G:$G,"Q3"),"")</f>
        <v>7220264.1453299997</v>
      </c>
      <c r="G397" s="15">
        <f>IFERROR(SUMIFS(DataEntry!$AU:$AU,DataEntry!$A:$A,"Zomba",DataEntry!$B:$B,"Neno",DataEntry!$G:$G,"Q4"),"")</f>
        <v>9826121.1807100009</v>
      </c>
      <c r="H397" s="20">
        <f t="shared" ref="H397:H403" si="30">IFERROR(SUM(D397:G397),"")</f>
        <v>36584274.257320002</v>
      </c>
    </row>
    <row r="398" spans="1:8" x14ac:dyDescent="0.3">
      <c r="A398" s="21" t="s">
        <v>295</v>
      </c>
      <c r="B398" s="21" t="s">
        <v>303</v>
      </c>
      <c r="C398" s="12" t="s">
        <v>315</v>
      </c>
      <c r="D398" s="9">
        <f>IFERROR(SUMIFS(DataEntry!$GB:$GB,DataEntry!$A:$A,"Zomba",DataEntry!$B:$B,"Neno",DataEntry!$G:$G,"Q1"),"")</f>
        <v>22484907.519999996</v>
      </c>
      <c r="E398" s="9">
        <f>IFERROR(SUMIFS(DataEntry!$GB:$GB,DataEntry!$A:$A,"Zomba",DataEntry!$B:$B,"Neno",DataEntry!$G:$G,"Q2"),"")</f>
        <v>32113404.829999998</v>
      </c>
      <c r="F398" s="9">
        <f>IFERROR(SUMIFS(DataEntry!$GB:$GB,DataEntry!$A:$A,"Zomba",DataEntry!$B:$B,"Neno",DataEntry!$G:$G,"Q3"),"")</f>
        <v>27011548.019999996</v>
      </c>
      <c r="G398" s="9">
        <f>IFERROR(SUMIFS(DataEntry!$GB:$GB,DataEntry!$A:$A,"Zomba",DataEntry!$B:$B,"Neno",DataEntry!$G:$G,"Q4"),"")</f>
        <v>21505239.260000002</v>
      </c>
      <c r="H398" s="22">
        <f t="shared" si="30"/>
        <v>103115099.63</v>
      </c>
    </row>
    <row r="399" spans="1:8" x14ac:dyDescent="0.3">
      <c r="A399" s="19" t="s">
        <v>295</v>
      </c>
      <c r="B399" s="19" t="s">
        <v>303</v>
      </c>
      <c r="C399" s="6" t="s">
        <v>316</v>
      </c>
      <c r="D399" s="15">
        <f>IFERROR(SUMIFS(DataEntry!$GM:$GM,DataEntry!$A:$A,"Zomba",DataEntry!$B:$B,"Neno",DataEntry!$G:$G,"Q1"),"")</f>
        <v>17077658.650000002</v>
      </c>
      <c r="E399" s="15">
        <f>IFERROR(SUMIFS(DataEntry!$GM:$GM,DataEntry!$A:$A,"Zomba",DataEntry!$B:$B,"Neno",DataEntry!$G:$G,"Q2"),"")</f>
        <v>32490490.32</v>
      </c>
      <c r="F399" s="15">
        <f>IFERROR(SUMIFS(DataEntry!$GM:$GM,DataEntry!$A:$A,"Zomba",DataEntry!$B:$B,"Neno",DataEntry!$G:$G,"Q3"),"")</f>
        <v>27295029.890000001</v>
      </c>
      <c r="G399" s="15">
        <f>IFERROR(SUMIFS(DataEntry!$GM:$GM,DataEntry!$A:$A,"Zomba",DataEntry!$B:$B,"Neno",DataEntry!$G:$G,"Q4"),"")</f>
        <v>21955446.75</v>
      </c>
      <c r="H399" s="20">
        <f t="shared" si="30"/>
        <v>98818625.609999999</v>
      </c>
    </row>
    <row r="400" spans="1:8" x14ac:dyDescent="0.3">
      <c r="A400" s="21" t="s">
        <v>295</v>
      </c>
      <c r="B400" s="21" t="s">
        <v>303</v>
      </c>
      <c r="C400" s="12" t="s">
        <v>317</v>
      </c>
      <c r="D400" s="9">
        <f>IFERROR(SUMIFS(DataEntry!$GX:$GX,DataEntry!$A:$A,"Zomba",DataEntry!$B:$B,"Neno",DataEntry!$G:$G,"Q1"),"")</f>
        <v>20161486.25</v>
      </c>
      <c r="E400" s="9">
        <f>IFERROR(SUMIFS(DataEntry!$GX:$GX,DataEntry!$A:$A,"Zomba",DataEntry!$B:$B,"Neno",DataEntry!$G:$G,"Q2"),"")</f>
        <v>33594108.740000002</v>
      </c>
      <c r="F400" s="9">
        <f>IFERROR(SUMIFS(DataEntry!$GX:$GX,DataEntry!$A:$A,"Zomba",DataEntry!$B:$B,"Neno",DataEntry!$G:$G,"Q3"),"")</f>
        <v>27458872.459999997</v>
      </c>
      <c r="G400" s="9">
        <f>IFERROR(SUMIFS(DataEntry!$GX:$GX,DataEntry!$A:$A,"Zomba",DataEntry!$B:$B,"Neno",DataEntry!$G:$G,"Q4"),"")</f>
        <v>22195499.609999999</v>
      </c>
      <c r="H400" s="22">
        <f t="shared" si="30"/>
        <v>103409967.06</v>
      </c>
    </row>
    <row r="401" spans="1:8" x14ac:dyDescent="0.3">
      <c r="A401" s="19" t="s">
        <v>295</v>
      </c>
      <c r="B401" s="19" t="s">
        <v>303</v>
      </c>
      <c r="C401" s="6" t="s">
        <v>318</v>
      </c>
      <c r="D401" s="15">
        <f>IFERROR(SUMIFS(DataEntry!$CS:$CS,DataEntry!$A:$A,"Zomba",DataEntry!$B:$B,"Neno",DataEntry!$G:$G,"Q1"),"")</f>
        <v>2381</v>
      </c>
      <c r="E401" s="15">
        <f>IFERROR(SUMIFS(DataEntry!$CS:$CS,DataEntry!$A:$A,"Zomba",DataEntry!$B:$B,"Neno",DataEntry!$G:$G,"Q2"),"")</f>
        <v>2405</v>
      </c>
      <c r="F401" s="15">
        <f>IFERROR(SUMIFS(DataEntry!$CS:$CS,DataEntry!$A:$A,"Zomba",DataEntry!$B:$B,"Neno",DataEntry!$G:$G,"Q3"),"")</f>
        <v>2485</v>
      </c>
      <c r="G401" s="15">
        <f>IFERROR(SUMIFS(DataEntry!$CS:$CS,DataEntry!$A:$A,"Zomba",DataEntry!$B:$B,"Neno",DataEntry!$G:$G,"Q4"),"")</f>
        <v>2555</v>
      </c>
      <c r="H401" s="20">
        <f t="shared" si="30"/>
        <v>9826</v>
      </c>
    </row>
    <row r="402" spans="1:8" x14ac:dyDescent="0.3">
      <c r="A402" s="21" t="s">
        <v>295</v>
      </c>
      <c r="B402" s="21" t="s">
        <v>303</v>
      </c>
      <c r="C402" s="12" t="s">
        <v>319</v>
      </c>
      <c r="D402" s="9">
        <f>IFERROR(SUMIFS(DataEntry!$CA:$CA,DataEntry!$A:$A,"Zomba",DataEntry!$B:$B,"Neno",DataEntry!$G:$G,"Q1"),"")</f>
        <v>19</v>
      </c>
      <c r="E402" s="9">
        <f>IFERROR(SUMIFS(DataEntry!$CA:$CA,DataEntry!$A:$A,"Zomba",DataEntry!$B:$B,"Neno",DataEntry!$G:$G,"Q2"),"")</f>
        <v>32</v>
      </c>
      <c r="F402" s="9">
        <f>IFERROR(SUMIFS(DataEntry!$CA:$CA,DataEntry!$A:$A,"Zomba",DataEntry!$B:$B,"Neno",DataEntry!$G:$G,"Q3"),"")</f>
        <v>25</v>
      </c>
      <c r="G402" s="9">
        <f>IFERROR(SUMIFS(DataEntry!$CA:$CA,DataEntry!$A:$A,"Zomba",DataEntry!$B:$B,"Neno",DataEntry!$G:$G,"Q4"),"")</f>
        <v>11</v>
      </c>
      <c r="H402" s="22">
        <f t="shared" si="30"/>
        <v>87</v>
      </c>
    </row>
    <row r="403" spans="1:8" x14ac:dyDescent="0.3">
      <c r="A403" s="19" t="s">
        <v>295</v>
      </c>
      <c r="B403" s="19" t="s">
        <v>303</v>
      </c>
      <c r="C403" s="6" t="s">
        <v>320</v>
      </c>
      <c r="D403" s="15">
        <f>IFERROR(SUMIFS(DataEntry!$DV:$DV,DataEntry!$A:$A,"Zomba",DataEntry!$B:$B,"Neno",DataEntry!$G:$G,"Q1"),"")</f>
        <v>2</v>
      </c>
      <c r="E403" s="15">
        <f>IFERROR(SUMIFS(DataEntry!$DV:$DV,DataEntry!$A:$A,"Zomba",DataEntry!$B:$B,"Neno",DataEntry!$G:$G,"Q2"),"")</f>
        <v>0</v>
      </c>
      <c r="F403" s="15">
        <f>IFERROR(SUMIFS(DataEntry!$DV:$DV,DataEntry!$A:$A,"Zomba",DataEntry!$B:$B,"Neno",DataEntry!$G:$G,"Q3"),"")</f>
        <v>1</v>
      </c>
      <c r="G403" s="15">
        <f>IFERROR(SUMIFS(DataEntry!$DV:$DV,DataEntry!$A:$A,"Zomba",DataEntry!$B:$B,"Neno",DataEntry!$G:$G,"Q4"),"")</f>
        <v>0</v>
      </c>
      <c r="H403" s="20">
        <f t="shared" si="30"/>
        <v>3</v>
      </c>
    </row>
    <row r="404" spans="1:8" x14ac:dyDescent="0.3">
      <c r="A404" s="21" t="s">
        <v>295</v>
      </c>
      <c r="B404" s="21" t="s">
        <v>303</v>
      </c>
      <c r="C404" s="12" t="s">
        <v>243</v>
      </c>
      <c r="D404" s="10">
        <f>IFERROR(AVERAGEIFS(DataEntry!$HC:$HC,DataEntry!$A:$A,"Zomba",DataEntry!$B:$B,"Neno",DataEntry!$G:$G,"Q1"),"")</f>
        <v>0.13446442305686099</v>
      </c>
      <c r="E404" s="10">
        <f>IFERROR(AVERAGEIFS(DataEntry!$HC:$HC,DataEntry!$A:$A,"Zomba",DataEntry!$B:$B,"Neno",DataEntry!$G:$G,"Q2"),"")</f>
        <v>0.16670601017093878</v>
      </c>
      <c r="F404" s="10">
        <f>IFERROR(AVERAGEIFS(DataEntry!$HC:$HC,DataEntry!$A:$A,"Zomba",DataEntry!$B:$B,"Neno",DataEntry!$G:$G,"Q3"),"")</f>
        <v>0.1583333966138141</v>
      </c>
      <c r="G404" s="10">
        <f>IFERROR(AVERAGEIFS(DataEntry!$HC:$HC,DataEntry!$A:$A,"Zomba",DataEntry!$B:$B,"Neno",DataEntry!$G:$G,"Q4"),"")</f>
        <v>8.7405244989566436E-2</v>
      </c>
      <c r="H404" s="23">
        <f>IFERROR(AVERAGE(D404:G404),"")</f>
        <v>0.13672726870779509</v>
      </c>
    </row>
    <row r="405" spans="1:8" x14ac:dyDescent="0.3">
      <c r="A405" s="19" t="s">
        <v>295</v>
      </c>
      <c r="B405" s="19" t="s">
        <v>303</v>
      </c>
      <c r="C405" s="6" t="s">
        <v>242</v>
      </c>
      <c r="D405" s="16">
        <f>IFERROR(AVERAGEIFS(DataEntry!$HB:$HB,DataEntry!$A:$A,"Zomba",DataEntry!$B:$B,"Neno",DataEntry!$G:$G,"Q1"),"")</f>
        <v>0.56878773044878517</v>
      </c>
      <c r="E405" s="16">
        <f>IFERROR(AVERAGEIFS(DataEntry!$HB:$HB,DataEntry!$A:$A,"Zomba",DataEntry!$B:$B,"Neno",DataEntry!$G:$G,"Q2"),"")</f>
        <v>0.24839266394265877</v>
      </c>
      <c r="F405" s="16">
        <f>IFERROR(AVERAGEIFS(DataEntry!$HB:$HB,DataEntry!$A:$A,"Zomba",DataEntry!$B:$B,"Neno",DataEntry!$G:$G,"Q3"),"")</f>
        <v>0.27031734549352104</v>
      </c>
      <c r="G405" s="16">
        <f>IFERROR(AVERAGEIFS(DataEntry!$HB:$HB,DataEntry!$A:$A,"Zomba",DataEntry!$B:$B,"Neno",DataEntry!$G:$G,"Q4"),"")</f>
        <v>2422389.007983468</v>
      </c>
      <c r="H405" s="24">
        <f>IFERROR(AVERAGE(D405:G405),"")</f>
        <v>605597.52387030201</v>
      </c>
    </row>
    <row r="406" spans="1:8" x14ac:dyDescent="0.3">
      <c r="A406" s="21" t="s">
        <v>295</v>
      </c>
      <c r="B406" s="21" t="s">
        <v>304</v>
      </c>
      <c r="C406" s="12" t="s">
        <v>40</v>
      </c>
      <c r="D406" s="9">
        <f>IFERROR(SUMIFS(DataEntry!$H:$H,DataEntry!$A:$A,"Zomba",DataEntry!$B:$B,"Thondwe",DataEntry!$G:$G,"Q1"),"")</f>
        <v>15740</v>
      </c>
      <c r="E406" s="9">
        <f>IFERROR(SUMIFS(DataEntry!$H:$H,DataEntry!$A:$A,"Zomba",DataEntry!$B:$B,"Thondwe",DataEntry!$G:$G,"Q2"),"")</f>
        <v>16560</v>
      </c>
      <c r="F406" s="9">
        <f>IFERROR(SUMIFS(DataEntry!$H:$H,DataEntry!$A:$A,"Zomba",DataEntry!$B:$B,"Thondwe",DataEntry!$G:$G,"Q3"),"")</f>
        <v>9520</v>
      </c>
      <c r="G406" s="9">
        <f>IFERROR(SUMIFS(DataEntry!$H:$H,DataEntry!$A:$A,"Zomba",DataEntry!$B:$B,"Thondwe",DataEntry!$G:$G,"Q4"),"")</f>
        <v>7410</v>
      </c>
      <c r="H406" s="22">
        <f>IFERROR(SUM(D406:G406),"")</f>
        <v>49230</v>
      </c>
    </row>
    <row r="407" spans="1:8" x14ac:dyDescent="0.3">
      <c r="A407" s="19" t="s">
        <v>295</v>
      </c>
      <c r="B407" s="19" t="s">
        <v>304</v>
      </c>
      <c r="C407" s="6" t="s">
        <v>312</v>
      </c>
      <c r="D407" s="15">
        <f>IFERROR(SUMIFS(DataEntry!$S:$S,DataEntry!$A:$A,"Zomba",DataEntry!$B:$B,"Thondwe",DataEntry!$G:$G,"Q1"),"")</f>
        <v>7483.7999999999993</v>
      </c>
      <c r="E407" s="15">
        <f>IFERROR(SUMIFS(DataEntry!$S:$S,DataEntry!$A:$A,"Zomba",DataEntry!$B:$B,"Thondwe",DataEntry!$G:$G,"Q2"),"")</f>
        <v>6885.8999999999905</v>
      </c>
      <c r="F407" s="15">
        <f>IFERROR(SUMIFS(DataEntry!$S:$S,DataEntry!$A:$A,"Zomba",DataEntry!$B:$B,"Thondwe",DataEntry!$G:$G,"Q3"),"")</f>
        <v>7127.5999999999804</v>
      </c>
      <c r="G407" s="15">
        <f>IFERROR(SUMIFS(DataEntry!$S:$S,DataEntry!$A:$A,"Zomba",DataEntry!$B:$B,"Thondwe",DataEntry!$G:$G,"Q4"),"")</f>
        <v>6233.4999999999909</v>
      </c>
      <c r="H407" s="20">
        <f>IFERROR(SUM(D407:G407),"")</f>
        <v>27730.799999999959</v>
      </c>
    </row>
    <row r="408" spans="1:8" x14ac:dyDescent="0.3">
      <c r="A408" s="21" t="s">
        <v>295</v>
      </c>
      <c r="B408" s="21" t="s">
        <v>304</v>
      </c>
      <c r="C408" s="12" t="s">
        <v>313</v>
      </c>
      <c r="D408" s="9">
        <f>IFERROR(SUMIFS(DataEntry!$T:$T,DataEntry!$A:$A,"Zomba",DataEntry!$B:$B,"Thondwe",DataEntry!$G:$G,"Q1"),"")</f>
        <v>8256.2000000000007</v>
      </c>
      <c r="E408" s="9">
        <f>IFERROR(SUMIFS(DataEntry!$T:$T,DataEntry!$A:$A,"Zomba",DataEntry!$B:$B,"Thondwe",DataEntry!$G:$G,"Q2"),"")</f>
        <v>9674.1000000000095</v>
      </c>
      <c r="F408" s="9">
        <f>IFERROR(SUMIFS(DataEntry!$T:$T,DataEntry!$A:$A,"Zomba",DataEntry!$B:$B,"Thondwe",DataEntry!$G:$G,"Q3"),"")</f>
        <v>2392.4000000000246</v>
      </c>
      <c r="G408" s="9">
        <f>IFERROR(SUMIFS(DataEntry!$T:$T,DataEntry!$A:$A,"Zomba",DataEntry!$B:$B,"Thondwe",DataEntry!$G:$G,"Q4"),"")</f>
        <v>1176.5000000000095</v>
      </c>
      <c r="H408" s="22">
        <f>IFERROR(SUM(D408:G408),"")</f>
        <v>21499.200000000044</v>
      </c>
    </row>
    <row r="409" spans="1:8" x14ac:dyDescent="0.3">
      <c r="A409" s="19" t="s">
        <v>295</v>
      </c>
      <c r="B409" s="19" t="s">
        <v>304</v>
      </c>
      <c r="C409" s="6" t="s">
        <v>53</v>
      </c>
      <c r="D409" s="16">
        <f>IFERROR(AVERAGEIFS(DataEntry!$U:$U,DataEntry!$A:$A,"Zomba",DataEntry!$B:$B,"Thondwe",DataEntry!$G:$G,"Q1"),"")</f>
        <v>0.51529734329669508</v>
      </c>
      <c r="E409" s="16">
        <f>IFERROR(AVERAGEIFS(DataEntry!$U:$U,DataEntry!$A:$A,"Zomba",DataEntry!$B:$B,"Thondwe",DataEntry!$G:$G,"Q2"),"")</f>
        <v>0.5032367256906416</v>
      </c>
      <c r="F409" s="16">
        <f>IFERROR(AVERAGEIFS(DataEntry!$U:$U,DataEntry!$A:$A,"Zomba",DataEntry!$B:$B,"Thondwe",DataEntry!$G:$G,"Q3"),"")</f>
        <v>0.20505140045452674</v>
      </c>
      <c r="G409" s="16">
        <f>IFERROR(AVERAGEIFS(DataEntry!$U:$U,DataEntry!$A:$A,"Zomba",DataEntry!$B:$B,"Thondwe",DataEntry!$G:$G,"Q4"),"")</f>
        <v>0.16096299184027196</v>
      </c>
      <c r="H409" s="24">
        <f>IFERROR(AVERAGE(D409:G409),"")</f>
        <v>0.34613711532053382</v>
      </c>
    </row>
    <row r="410" spans="1:8" x14ac:dyDescent="0.3">
      <c r="A410" s="21" t="s">
        <v>295</v>
      </c>
      <c r="B410" s="21" t="s">
        <v>304</v>
      </c>
      <c r="C410" s="12" t="s">
        <v>314</v>
      </c>
      <c r="D410" s="9">
        <f>IFERROR(SUMIFS(DataEntry!$AU:$AU,DataEntry!$A:$A,"Zomba",DataEntry!$B:$B,"Thondwe",DataEntry!$G:$G,"Q1"),"")</f>
        <v>4467228.0086599998</v>
      </c>
      <c r="E410" s="9">
        <f>IFERROR(SUMIFS(DataEntry!$AU:$AU,DataEntry!$A:$A,"Zomba",DataEntry!$B:$B,"Thondwe",DataEntry!$G:$G,"Q2"),"")</f>
        <v>2817136.41708</v>
      </c>
      <c r="F410" s="9">
        <f>IFERROR(SUMIFS(DataEntry!$AU:$AU,DataEntry!$A:$A,"Zomba",DataEntry!$B:$B,"Thondwe",DataEntry!$G:$G,"Q3"),"")</f>
        <v>1758909.9975800002</v>
      </c>
      <c r="G410" s="9">
        <f>IFERROR(SUMIFS(DataEntry!$AU:$AU,DataEntry!$A:$A,"Zomba",DataEntry!$B:$B,"Thondwe",DataEntry!$G:$G,"Q4"),"")</f>
        <v>1730034.97144</v>
      </c>
      <c r="H410" s="22">
        <f t="shared" ref="H410:H416" si="31">IFERROR(SUM(D410:G410),"")</f>
        <v>10773309.39476</v>
      </c>
    </row>
    <row r="411" spans="1:8" x14ac:dyDescent="0.3">
      <c r="A411" s="19" t="s">
        <v>295</v>
      </c>
      <c r="B411" s="19" t="s">
        <v>304</v>
      </c>
      <c r="C411" s="6" t="s">
        <v>315</v>
      </c>
      <c r="D411" s="15">
        <f>IFERROR(SUMIFS(DataEntry!$GB:$GB,DataEntry!$A:$A,"Zomba",DataEntry!$B:$B,"Thondwe",DataEntry!$G:$G,"Q1"),"")</f>
        <v>9862680.0899999999</v>
      </c>
      <c r="E411" s="15">
        <f>IFERROR(SUMIFS(DataEntry!$GB:$GB,DataEntry!$A:$A,"Zomba",DataEntry!$B:$B,"Thondwe",DataEntry!$G:$G,"Q2"),"")</f>
        <v>8315545.3599999994</v>
      </c>
      <c r="F411" s="15">
        <f>IFERROR(SUMIFS(DataEntry!$GB:$GB,DataEntry!$A:$A,"Zomba",DataEntry!$B:$B,"Thondwe",DataEntry!$G:$G,"Q3"),"")</f>
        <v>10044763.85</v>
      </c>
      <c r="G411" s="15">
        <f>IFERROR(SUMIFS(DataEntry!$GB:$GB,DataEntry!$A:$A,"Zomba",DataEntry!$B:$B,"Thondwe",DataEntry!$G:$G,"Q4"),"")</f>
        <v>7603905.2000000002</v>
      </c>
      <c r="H411" s="20">
        <f t="shared" si="31"/>
        <v>35826894.5</v>
      </c>
    </row>
    <row r="412" spans="1:8" x14ac:dyDescent="0.3">
      <c r="A412" s="21" t="s">
        <v>295</v>
      </c>
      <c r="B412" s="21" t="s">
        <v>304</v>
      </c>
      <c r="C412" s="12" t="s">
        <v>316</v>
      </c>
      <c r="D412" s="9">
        <f>IFERROR(SUMIFS(DataEntry!$GM:$GM,DataEntry!$A:$A,"Zomba",DataEntry!$B:$B,"Thondwe",DataEntry!$G:$G,"Q1"),"")</f>
        <v>8194807.7399999993</v>
      </c>
      <c r="E412" s="9">
        <f>IFERROR(SUMIFS(DataEntry!$GM:$GM,DataEntry!$A:$A,"Zomba",DataEntry!$B:$B,"Thondwe",DataEntry!$G:$G,"Q2"),"")</f>
        <v>8433402.3900000006</v>
      </c>
      <c r="F412" s="9">
        <f>IFERROR(SUMIFS(DataEntry!$GM:$GM,DataEntry!$A:$A,"Zomba",DataEntry!$B:$B,"Thondwe",DataEntry!$G:$G,"Q3"),"")</f>
        <v>8723261.3499999996</v>
      </c>
      <c r="G412" s="9">
        <f>IFERROR(SUMIFS(DataEntry!$GM:$GM,DataEntry!$A:$A,"Zomba",DataEntry!$B:$B,"Thondwe",DataEntry!$G:$G,"Q4"),"")</f>
        <v>7740258.2799999993</v>
      </c>
      <c r="H412" s="22">
        <f t="shared" si="31"/>
        <v>33091729.759999998</v>
      </c>
    </row>
    <row r="413" spans="1:8" x14ac:dyDescent="0.3">
      <c r="A413" s="19" t="s">
        <v>295</v>
      </c>
      <c r="B413" s="19" t="s">
        <v>304</v>
      </c>
      <c r="C413" s="6" t="s">
        <v>317</v>
      </c>
      <c r="D413" s="15">
        <f>IFERROR(SUMIFS(DataEntry!$GX:$GX,DataEntry!$A:$A,"Zomba",DataEntry!$B:$B,"Thondwe",DataEntry!$G:$G,"Q1"),"")</f>
        <v>9233549.7899999991</v>
      </c>
      <c r="E413" s="15">
        <f>IFERROR(SUMIFS(DataEntry!$GX:$GX,DataEntry!$A:$A,"Zomba",DataEntry!$B:$B,"Thondwe",DataEntry!$G:$G,"Q2"),"")</f>
        <v>8928358.3699999992</v>
      </c>
      <c r="F413" s="15">
        <f>IFERROR(SUMIFS(DataEntry!$GX:$GX,DataEntry!$A:$A,"Zomba",DataEntry!$B:$B,"Thondwe",DataEntry!$G:$G,"Q3"),"")</f>
        <v>9080036.120000001</v>
      </c>
      <c r="G413" s="15">
        <f>IFERROR(SUMIFS(DataEntry!$GX:$GX,DataEntry!$A:$A,"Zomba",DataEntry!$B:$B,"Thondwe",DataEntry!$G:$G,"Q4"),"")</f>
        <v>7950364.1899999995</v>
      </c>
      <c r="H413" s="20">
        <f t="shared" si="31"/>
        <v>35192308.469999999</v>
      </c>
    </row>
    <row r="414" spans="1:8" x14ac:dyDescent="0.3">
      <c r="A414" s="21" t="s">
        <v>295</v>
      </c>
      <c r="B414" s="21" t="s">
        <v>304</v>
      </c>
      <c r="C414" s="12" t="s">
        <v>318</v>
      </c>
      <c r="D414" s="9">
        <f>IFERROR(SUMIFS(DataEntry!$CS:$CS,DataEntry!$A:$A,"Zomba",DataEntry!$B:$B,"Thondwe",DataEntry!$G:$G,"Q1"),"")</f>
        <v>1274</v>
      </c>
      <c r="E414" s="9">
        <f>IFERROR(SUMIFS(DataEntry!$CS:$CS,DataEntry!$A:$A,"Zomba",DataEntry!$B:$B,"Thondwe",DataEntry!$G:$G,"Q2"),"")</f>
        <v>1707</v>
      </c>
      <c r="F414" s="9">
        <f>IFERROR(SUMIFS(DataEntry!$CS:$CS,DataEntry!$A:$A,"Zomba",DataEntry!$B:$B,"Thondwe",DataEntry!$G:$G,"Q3"),"")</f>
        <v>1659</v>
      </c>
      <c r="G414" s="9">
        <f>IFERROR(SUMIFS(DataEntry!$CS:$CS,DataEntry!$A:$A,"Zomba",DataEntry!$B:$B,"Thondwe",DataEntry!$G:$G,"Q4"),"")</f>
        <v>1658</v>
      </c>
      <c r="H414" s="22">
        <f t="shared" si="31"/>
        <v>6298</v>
      </c>
    </row>
    <row r="415" spans="1:8" x14ac:dyDescent="0.3">
      <c r="A415" s="19" t="s">
        <v>295</v>
      </c>
      <c r="B415" s="19" t="s">
        <v>304</v>
      </c>
      <c r="C415" s="6" t="s">
        <v>319</v>
      </c>
      <c r="D415" s="15">
        <f>IFERROR(SUMIFS(DataEntry!$CA:$CA,DataEntry!$A:$A,"Zomba",DataEntry!$B:$B,"Thondwe",DataEntry!$G:$G,"Q1"),"")</f>
        <v>21</v>
      </c>
      <c r="E415" s="15">
        <f>IFERROR(SUMIFS(DataEntry!$CA:$CA,DataEntry!$A:$A,"Zomba",DataEntry!$B:$B,"Thondwe",DataEntry!$G:$G,"Q2"),"")</f>
        <v>26</v>
      </c>
      <c r="F415" s="15">
        <f>IFERROR(SUMIFS(DataEntry!$CA:$CA,DataEntry!$A:$A,"Zomba",DataEntry!$B:$B,"Thondwe",DataEntry!$G:$G,"Q3"),"")</f>
        <v>42</v>
      </c>
      <c r="G415" s="15">
        <f>IFERROR(SUMIFS(DataEntry!$CA:$CA,DataEntry!$A:$A,"Zomba",DataEntry!$B:$B,"Thondwe",DataEntry!$G:$G,"Q4"),"")</f>
        <v>25</v>
      </c>
      <c r="H415" s="20">
        <f t="shared" si="31"/>
        <v>114</v>
      </c>
    </row>
    <row r="416" spans="1:8" x14ac:dyDescent="0.3">
      <c r="A416" s="21" t="s">
        <v>295</v>
      </c>
      <c r="B416" s="21" t="s">
        <v>304</v>
      </c>
      <c r="C416" s="12" t="s">
        <v>320</v>
      </c>
      <c r="D416" s="9">
        <f>IFERROR(SUMIFS(DataEntry!$DV:$DV,DataEntry!$A:$A,"Zomba",DataEntry!$B:$B,"Thondwe",DataEntry!$G:$G,"Q1"),"")</f>
        <v>0</v>
      </c>
      <c r="E416" s="9">
        <f>IFERROR(SUMIFS(DataEntry!$DV:$DV,DataEntry!$A:$A,"Zomba",DataEntry!$B:$B,"Thondwe",DataEntry!$G:$G,"Q2"),"")</f>
        <v>0</v>
      </c>
      <c r="F416" s="9">
        <f>IFERROR(SUMIFS(DataEntry!$DV:$DV,DataEntry!$A:$A,"Zomba",DataEntry!$B:$B,"Thondwe",DataEntry!$G:$G,"Q3"),"")</f>
        <v>0</v>
      </c>
      <c r="G416" s="9">
        <f>IFERROR(SUMIFS(DataEntry!$DV:$DV,DataEntry!$A:$A,"Zomba",DataEntry!$B:$B,"Thondwe",DataEntry!$G:$G,"Q4"),"")</f>
        <v>0</v>
      </c>
      <c r="H416" s="22">
        <f t="shared" si="31"/>
        <v>0</v>
      </c>
    </row>
    <row r="417" spans="1:8" x14ac:dyDescent="0.3">
      <c r="A417" s="19" t="s">
        <v>295</v>
      </c>
      <c r="B417" s="19" t="s">
        <v>304</v>
      </c>
      <c r="C417" s="6" t="s">
        <v>243</v>
      </c>
      <c r="D417" s="16">
        <f>IFERROR(AVERAGEIFS(DataEntry!$HC:$HC,DataEntry!$A:$A,"Zomba",DataEntry!$B:$B,"Thondwe",DataEntry!$G:$G,"Q1"),"")</f>
        <v>0.17445505969469358</v>
      </c>
      <c r="E417" s="16">
        <f>IFERROR(AVERAGEIFS(DataEntry!$HC:$HC,DataEntry!$A:$A,"Zomba",DataEntry!$B:$B,"Thondwe",DataEntry!$G:$G,"Q2"),"")</f>
        <v>0.14637844624755192</v>
      </c>
      <c r="F417" s="16">
        <f>IFERROR(AVERAGEIFS(DataEntry!$HC:$HC,DataEntry!$A:$A,"Zomba",DataEntry!$B:$B,"Thondwe",DataEntry!$G:$G,"Q3"),"")</f>
        <v>0.17764528991163772</v>
      </c>
      <c r="G417" s="16">
        <f>IFERROR(AVERAGEIFS(DataEntry!$HC:$HC,DataEntry!$A:$A,"Zomba",DataEntry!$B:$B,"Thondwe",DataEntry!$G:$G,"Q4"),"")</f>
        <v>8.5701275541151811E-2</v>
      </c>
      <c r="H417" s="24">
        <f>IFERROR(AVERAGE(D417:G417),"")</f>
        <v>0.14604501784875876</v>
      </c>
    </row>
    <row r="418" spans="1:8" x14ac:dyDescent="0.3">
      <c r="A418" s="21" t="s">
        <v>295</v>
      </c>
      <c r="B418" s="21" t="s">
        <v>304</v>
      </c>
      <c r="C418" s="12" t="s">
        <v>242</v>
      </c>
      <c r="D418" s="10">
        <f>IFERROR(AVERAGEIFS(DataEntry!$HB:$HB,DataEntry!$A:$A,"Zomba",DataEntry!$B:$B,"Thondwe",DataEntry!$G:$G,"Q1"),"")</f>
        <v>0.47581135491779641</v>
      </c>
      <c r="E418" s="10">
        <f>IFERROR(AVERAGEIFS(DataEntry!$HB:$HB,DataEntry!$A:$A,"Zomba",DataEntry!$B:$B,"Thondwe",DataEntry!$G:$G,"Q2"),"")</f>
        <v>0.30948896870961801</v>
      </c>
      <c r="F418" s="10">
        <f>IFERROR(AVERAGEIFS(DataEntry!$HB:$HB,DataEntry!$A:$A,"Zomba",DataEntry!$B:$B,"Thondwe",DataEntry!$G:$G,"Q3"),"")</f>
        <v>0.20341229512299397</v>
      </c>
      <c r="G418" s="10">
        <f>IFERROR(AVERAGEIFS(DataEntry!$HB:$HB,DataEntry!$A:$A,"Zomba",DataEntry!$B:$B,"Thondwe",DataEntry!$G:$G,"Q4"),"")</f>
        <v>946434.67438004294</v>
      </c>
      <c r="H418" s="23">
        <f>IFERROR(AVERAGE(D418:G418),"")</f>
        <v>236608.91577316541</v>
      </c>
    </row>
    <row r="419" spans="1:8" x14ac:dyDescent="0.3">
      <c r="A419" s="19" t="s">
        <v>295</v>
      </c>
      <c r="B419" s="19" t="s">
        <v>295</v>
      </c>
      <c r="C419" s="6" t="s">
        <v>40</v>
      </c>
      <c r="D419" s="15">
        <f>IFERROR(SUMIFS(DataEntry!$H:$H,DataEntry!$A:$A,"Zomba",DataEntry!$B:$B,"Zomba",DataEntry!$G:$G,"Q1"),"")</f>
        <v>1445162</v>
      </c>
      <c r="E419" s="15">
        <f>IFERROR(SUMIFS(DataEntry!$H:$H,DataEntry!$A:$A,"Zomba",DataEntry!$B:$B,"Zomba",DataEntry!$G:$G,"Q2"),"")</f>
        <v>1544239</v>
      </c>
      <c r="F419" s="15">
        <f>IFERROR(SUMIFS(DataEntry!$H:$H,DataEntry!$A:$A,"Zomba",DataEntry!$B:$B,"Zomba",DataEntry!$G:$G,"Q3"),"")</f>
        <v>1669583</v>
      </c>
      <c r="G419" s="15">
        <f>IFERROR(SUMIFS(DataEntry!$H:$H,DataEntry!$A:$A,"Zomba",DataEntry!$B:$B,"Zomba",DataEntry!$G:$G,"Q4"),"")</f>
        <v>1414895</v>
      </c>
      <c r="H419" s="20">
        <f>IFERROR(SUM(D419:G419),"")</f>
        <v>6073879</v>
      </c>
    </row>
    <row r="420" spans="1:8" x14ac:dyDescent="0.3">
      <c r="A420" s="21" t="s">
        <v>295</v>
      </c>
      <c r="B420" s="21" t="s">
        <v>295</v>
      </c>
      <c r="C420" s="12" t="s">
        <v>312</v>
      </c>
      <c r="D420" s="9">
        <f>IFERROR(SUMIFS(DataEntry!$S:$S,DataEntry!$A:$A,"Zomba",DataEntry!$B:$B,"Zomba",DataEntry!$G:$G,"Q1"),"")</f>
        <v>907362.29999999702</v>
      </c>
      <c r="E420" s="9">
        <f>IFERROR(SUMIFS(DataEntry!$S:$S,DataEntry!$A:$A,"Zomba",DataEntry!$B:$B,"Zomba",DataEntry!$G:$G,"Q2"),"")</f>
        <v>961518.49999999965</v>
      </c>
      <c r="F420" s="9">
        <f>IFERROR(SUMIFS(DataEntry!$S:$S,DataEntry!$A:$A,"Zomba",DataEntry!$B:$B,"Zomba",DataEntry!$G:$G,"Q3"),"")</f>
        <v>1095698.6000000029</v>
      </c>
      <c r="G420" s="9">
        <f>IFERROR(SUMIFS(DataEntry!$S:$S,DataEntry!$A:$A,"Zomba",DataEntry!$B:$B,"Zomba",DataEntry!$G:$G,"Q4"),"")</f>
        <v>994916.00000000582</v>
      </c>
      <c r="H420" s="22">
        <f>IFERROR(SUM(D420:G420),"")</f>
        <v>3959495.400000005</v>
      </c>
    </row>
    <row r="421" spans="1:8" x14ac:dyDescent="0.3">
      <c r="A421" s="19" t="s">
        <v>295</v>
      </c>
      <c r="B421" s="19" t="s">
        <v>295</v>
      </c>
      <c r="C421" s="6" t="s">
        <v>313</v>
      </c>
      <c r="D421" s="15">
        <f>IFERROR(SUMIFS(DataEntry!$T:$T,DataEntry!$A:$A,"Zomba",DataEntry!$B:$B,"Zomba",DataEntry!$G:$G,"Q1"),"")</f>
        <v>537799.70000000298</v>
      </c>
      <c r="E421" s="15">
        <f>IFERROR(SUMIFS(DataEntry!$T:$T,DataEntry!$A:$A,"Zomba",DataEntry!$B:$B,"Zomba",DataEntry!$G:$G,"Q2"),"")</f>
        <v>582720.50000000093</v>
      </c>
      <c r="F421" s="15">
        <f>IFERROR(SUMIFS(DataEntry!$T:$T,DataEntry!$A:$A,"Zomba",DataEntry!$B:$B,"Zomba",DataEntry!$G:$G,"Q3"),"")</f>
        <v>573884.39999999804</v>
      </c>
      <c r="G421" s="15">
        <f>IFERROR(SUMIFS(DataEntry!$T:$T,DataEntry!$A:$A,"Zomba",DataEntry!$B:$B,"Zomba",DataEntry!$G:$G,"Q4"),"")</f>
        <v>419978.99999999406</v>
      </c>
      <c r="H421" s="20">
        <f>IFERROR(SUM(D421:G421),"")</f>
        <v>2114383.5999999959</v>
      </c>
    </row>
    <row r="422" spans="1:8" x14ac:dyDescent="0.3">
      <c r="A422" s="21" t="s">
        <v>295</v>
      </c>
      <c r="B422" s="21" t="s">
        <v>295</v>
      </c>
      <c r="C422" s="12" t="s">
        <v>53</v>
      </c>
      <c r="D422" s="10">
        <f>IFERROR(AVERAGEIFS(DataEntry!$U:$U,DataEntry!$A:$A,"Zomba",DataEntry!$B:$B,"Zomba",DataEntry!$G:$G,"Q1"),"")</f>
        <v>0.37251282063431829</v>
      </c>
      <c r="E422" s="10">
        <f>IFERROR(AVERAGEIFS(DataEntry!$U:$U,DataEntry!$A:$A,"Zomba",DataEntry!$B:$B,"Zomba",DataEntry!$G:$G,"Q2"),"")</f>
        <v>0.37736253689076121</v>
      </c>
      <c r="F422" s="10">
        <f>IFERROR(AVERAGEIFS(DataEntry!$U:$U,DataEntry!$A:$A,"Zomba",DataEntry!$B:$B,"Zomba",DataEntry!$G:$G,"Q3"),"")</f>
        <v>0.34361854977150369</v>
      </c>
      <c r="G422" s="10">
        <f>IFERROR(AVERAGEIFS(DataEntry!$U:$U,DataEntry!$A:$A,"Zomba",DataEntry!$B:$B,"Zomba",DataEntry!$G:$G,"Q4"),"")</f>
        <v>0.29744761860920471</v>
      </c>
      <c r="H422" s="23">
        <f>IFERROR(AVERAGE(D422:G422),"")</f>
        <v>0.347735381476447</v>
      </c>
    </row>
    <row r="423" spans="1:8" x14ac:dyDescent="0.3">
      <c r="A423" s="19" t="s">
        <v>295</v>
      </c>
      <c r="B423" s="19" t="s">
        <v>295</v>
      </c>
      <c r="C423" s="6" t="s">
        <v>314</v>
      </c>
      <c r="D423" s="15">
        <f>IFERROR(SUMIFS(DataEntry!$AU:$AU,DataEntry!$A:$A,"Zomba",DataEntry!$B:$B,"Zomba",DataEntry!$G:$G,"Q1"),"")</f>
        <v>416883826.69901001</v>
      </c>
      <c r="E423" s="15">
        <f>IFERROR(SUMIFS(DataEntry!$AU:$AU,DataEntry!$A:$A,"Zomba",DataEntry!$B:$B,"Zomba",DataEntry!$G:$G,"Q2"),"")</f>
        <v>263871688.22904</v>
      </c>
      <c r="F423" s="15">
        <f>IFERROR(SUMIFS(DataEntry!$AU:$AU,DataEntry!$A:$A,"Zomba",DataEntry!$B:$B,"Zomba",DataEntry!$G:$G,"Q3"),"")</f>
        <v>297850089.55528998</v>
      </c>
      <c r="G423" s="15">
        <f>IFERROR(SUMIFS(DataEntry!$AU:$AU,DataEntry!$A:$A,"Zomba",DataEntry!$B:$B,"Zomba",DataEntry!$G:$G,"Q4"),"")</f>
        <v>312433254.32956004</v>
      </c>
      <c r="H423" s="20">
        <f t="shared" ref="H423:H429" si="32">IFERROR(SUM(D423:G423),"")</f>
        <v>1291038858.8129001</v>
      </c>
    </row>
    <row r="424" spans="1:8" x14ac:dyDescent="0.3">
      <c r="A424" s="21" t="s">
        <v>295</v>
      </c>
      <c r="B424" s="21" t="s">
        <v>295</v>
      </c>
      <c r="C424" s="12" t="s">
        <v>315</v>
      </c>
      <c r="D424" s="9">
        <f>IFERROR(SUMIFS(DataEntry!$GB:$GB,DataEntry!$A:$A,"Zomba",DataEntry!$B:$B,"Zomba",DataEntry!$G:$G,"Q1"),"")</f>
        <v>1643038201.249999</v>
      </c>
      <c r="E424" s="9">
        <f>IFERROR(SUMIFS(DataEntry!$GB:$GB,DataEntry!$A:$A,"Zomba",DataEntry!$B:$B,"Zomba",DataEntry!$G:$G,"Q2"),"")</f>
        <v>1519289415.5599999</v>
      </c>
      <c r="F424" s="9">
        <f>IFERROR(SUMIFS(DataEntry!$GB:$GB,DataEntry!$A:$A,"Zomba",DataEntry!$B:$B,"Zomba",DataEntry!$G:$G,"Q3"),"")</f>
        <v>1862473061.5199997</v>
      </c>
      <c r="G424" s="9">
        <f>IFERROR(SUMIFS(DataEntry!$GB:$GB,DataEntry!$A:$A,"Zomba",DataEntry!$B:$B,"Zomba",DataEntry!$G:$G,"Q4"),"")</f>
        <v>1426058603.9299996</v>
      </c>
      <c r="H424" s="22">
        <f t="shared" si="32"/>
        <v>6450859282.2599983</v>
      </c>
    </row>
    <row r="425" spans="1:8" x14ac:dyDescent="0.3">
      <c r="A425" s="19" t="s">
        <v>295</v>
      </c>
      <c r="B425" s="19" t="s">
        <v>295</v>
      </c>
      <c r="C425" s="6" t="s">
        <v>316</v>
      </c>
      <c r="D425" s="15">
        <f>IFERROR(SUMIFS(DataEntry!$GM:$GM,DataEntry!$A:$A,"Zomba",DataEntry!$B:$B,"Zomba",DataEntry!$G:$G,"Q1"),"")</f>
        <v>1528004725.5500002</v>
      </c>
      <c r="E425" s="15">
        <f>IFERROR(SUMIFS(DataEntry!$GM:$GM,DataEntry!$A:$A,"Zomba",DataEntry!$B:$B,"Zomba",DataEntry!$G:$G,"Q2"),"")</f>
        <v>1515414890.8199999</v>
      </c>
      <c r="F425" s="15">
        <f>IFERROR(SUMIFS(DataEntry!$GM:$GM,DataEntry!$A:$A,"Zomba",DataEntry!$B:$B,"Zomba",DataEntry!$G:$G,"Q3"),"")</f>
        <v>1808337533.6500001</v>
      </c>
      <c r="G425" s="15">
        <f>IFERROR(SUMIFS(DataEntry!$GM:$GM,DataEntry!$A:$A,"Zomba",DataEntry!$B:$B,"Zomba",DataEntry!$G:$G,"Q4"),"")</f>
        <v>1719501350.49</v>
      </c>
      <c r="H425" s="20">
        <f t="shared" si="32"/>
        <v>6571258500.5100002</v>
      </c>
    </row>
    <row r="426" spans="1:8" x14ac:dyDescent="0.3">
      <c r="A426" s="21" t="s">
        <v>295</v>
      </c>
      <c r="B426" s="21" t="s">
        <v>295</v>
      </c>
      <c r="C426" s="12" t="s">
        <v>317</v>
      </c>
      <c r="D426" s="9">
        <f>IFERROR(SUMIFS(DataEntry!$GX:$GX,DataEntry!$A:$A,"Zomba",DataEntry!$B:$B,"Zomba",DataEntry!$G:$G,"Q1"),"")</f>
        <v>1581647226.23</v>
      </c>
      <c r="E426" s="9">
        <f>IFERROR(SUMIFS(DataEntry!$GX:$GX,DataEntry!$A:$A,"Zomba",DataEntry!$B:$B,"Zomba",DataEntry!$G:$G,"Q2"),"")</f>
        <v>1568797366.9200001</v>
      </c>
      <c r="F426" s="9">
        <f>IFERROR(SUMIFS(DataEntry!$GX:$GX,DataEntry!$A:$A,"Zomba",DataEntry!$B:$B,"Zomba",DataEntry!$G:$G,"Q3"),"")</f>
        <v>1862189644.5499997</v>
      </c>
      <c r="G426" s="9">
        <f>IFERROR(SUMIFS(DataEntry!$GX:$GX,DataEntry!$A:$A,"Zomba",DataEntry!$B:$B,"Zomba",DataEntry!$G:$G,"Q4"),"")</f>
        <v>1770289492.03</v>
      </c>
      <c r="H426" s="22">
        <f t="shared" si="32"/>
        <v>6782923729.7299995</v>
      </c>
    </row>
    <row r="427" spans="1:8" x14ac:dyDescent="0.3">
      <c r="A427" s="19" t="s">
        <v>295</v>
      </c>
      <c r="B427" s="19" t="s">
        <v>295</v>
      </c>
      <c r="C427" s="6" t="s">
        <v>318</v>
      </c>
      <c r="D427" s="15">
        <f>IFERROR(SUMIFS(DataEntry!$CS:$CS,DataEntry!$A:$A,"Zomba",DataEntry!$B:$B,"Zomba",DataEntry!$G:$G,"Q1"),"")</f>
        <v>50970</v>
      </c>
      <c r="E427" s="15">
        <f>IFERROR(SUMIFS(DataEntry!$CS:$CS,DataEntry!$A:$A,"Zomba",DataEntry!$B:$B,"Zomba",DataEntry!$G:$G,"Q2"),"")</f>
        <v>54915</v>
      </c>
      <c r="F427" s="15">
        <f>IFERROR(SUMIFS(DataEntry!$CS:$CS,DataEntry!$A:$A,"Zomba",DataEntry!$B:$B,"Zomba",DataEntry!$G:$G,"Q3"),"")</f>
        <v>56050</v>
      </c>
      <c r="G427" s="15">
        <f>IFERROR(SUMIFS(DataEntry!$CS:$CS,DataEntry!$A:$A,"Zomba",DataEntry!$B:$B,"Zomba",DataEntry!$G:$G,"Q4"),"")</f>
        <v>57810</v>
      </c>
      <c r="H427" s="20">
        <f t="shared" si="32"/>
        <v>219745</v>
      </c>
    </row>
    <row r="428" spans="1:8" x14ac:dyDescent="0.3">
      <c r="A428" s="21" t="s">
        <v>295</v>
      </c>
      <c r="B428" s="21" t="s">
        <v>295</v>
      </c>
      <c r="C428" s="12" t="s">
        <v>319</v>
      </c>
      <c r="D428" s="9">
        <f>IFERROR(SUMIFS(DataEntry!$CA:$CA,DataEntry!$A:$A,"Zomba",DataEntry!$B:$B,"Zomba",DataEntry!$G:$G,"Q1"),"")</f>
        <v>320</v>
      </c>
      <c r="E428" s="9">
        <f>IFERROR(SUMIFS(DataEntry!$CA:$CA,DataEntry!$A:$A,"Zomba",DataEntry!$B:$B,"Zomba",DataEntry!$G:$G,"Q2"),"")</f>
        <v>600</v>
      </c>
      <c r="F428" s="9">
        <f>IFERROR(SUMIFS(DataEntry!$CA:$CA,DataEntry!$A:$A,"Zomba",DataEntry!$B:$B,"Zomba",DataEntry!$G:$G,"Q3"),"")</f>
        <v>459</v>
      </c>
      <c r="G428" s="9">
        <f>IFERROR(SUMIFS(DataEntry!$CA:$CA,DataEntry!$A:$A,"Zomba",DataEntry!$B:$B,"Zomba",DataEntry!$G:$G,"Q4"),"")</f>
        <v>334</v>
      </c>
      <c r="H428" s="22">
        <f t="shared" si="32"/>
        <v>1713</v>
      </c>
    </row>
    <row r="429" spans="1:8" x14ac:dyDescent="0.3">
      <c r="A429" s="19" t="s">
        <v>295</v>
      </c>
      <c r="B429" s="19" t="s">
        <v>295</v>
      </c>
      <c r="C429" s="6" t="s">
        <v>320</v>
      </c>
      <c r="D429" s="15">
        <f>IFERROR(SUMIFS(DataEntry!$DV:$DV,DataEntry!$A:$A,"Zomba",DataEntry!$B:$B,"Zomba",DataEntry!$G:$G,"Q1"),"")</f>
        <v>3167</v>
      </c>
      <c r="E429" s="15">
        <f>IFERROR(SUMIFS(DataEntry!$DV:$DV,DataEntry!$A:$A,"Zomba",DataEntry!$B:$B,"Zomba",DataEntry!$G:$G,"Q2"),"")</f>
        <v>3027</v>
      </c>
      <c r="F429" s="15">
        <f>IFERROR(SUMIFS(DataEntry!$DV:$DV,DataEntry!$A:$A,"Zomba",DataEntry!$B:$B,"Zomba",DataEntry!$G:$G,"Q3"),"")</f>
        <v>3768</v>
      </c>
      <c r="G429" s="15">
        <f>IFERROR(SUMIFS(DataEntry!$DV:$DV,DataEntry!$A:$A,"Zomba",DataEntry!$B:$B,"Zomba",DataEntry!$G:$G,"Q4"),"")</f>
        <v>3282</v>
      </c>
      <c r="H429" s="20">
        <f t="shared" si="32"/>
        <v>13244</v>
      </c>
    </row>
    <row r="430" spans="1:8" x14ac:dyDescent="0.3">
      <c r="A430" s="21" t="s">
        <v>295</v>
      </c>
      <c r="B430" s="21" t="s">
        <v>295</v>
      </c>
      <c r="C430" s="12" t="s">
        <v>243</v>
      </c>
      <c r="D430" s="10">
        <f>IFERROR(AVERAGEIFS(DataEntry!$HC:$HC,DataEntry!$A:$A,"Zomba",DataEntry!$B:$B,"Zomba",DataEntry!$G:$G,"Q1"),"")</f>
        <v>0.29963110908549767</v>
      </c>
      <c r="E430" s="10">
        <f>IFERROR(AVERAGEIFS(DataEntry!$HC:$HC,DataEntry!$A:$A,"Zomba",DataEntry!$B:$B,"Zomba",DataEntry!$G:$G,"Q2"),"")</f>
        <v>0.28092980648616178</v>
      </c>
      <c r="F430" s="10">
        <f>IFERROR(AVERAGEIFS(DataEntry!$HC:$HC,DataEntry!$A:$A,"Zomba",DataEntry!$B:$B,"Zomba",DataEntry!$G:$G,"Q3"),"")</f>
        <v>0.44203790231311596</v>
      </c>
      <c r="G430" s="10">
        <f>IFERROR(AVERAGEIFS(DataEntry!$HC:$HC,DataEntry!$A:$A,"Zomba",DataEntry!$B:$B,"Zomba",DataEntry!$G:$G,"Q4"),"")</f>
        <v>0.19183124614111149</v>
      </c>
      <c r="H430" s="23">
        <f>IFERROR(AVERAGE(D430:G430),"")</f>
        <v>0.30360751600647173</v>
      </c>
    </row>
    <row r="431" spans="1:8" x14ac:dyDescent="0.3">
      <c r="A431" s="19" t="s">
        <v>295</v>
      </c>
      <c r="B431" s="19" t="s">
        <v>295</v>
      </c>
      <c r="C431" s="6" t="s">
        <v>242</v>
      </c>
      <c r="D431" s="16">
        <f>IFERROR(AVERAGEIFS(DataEntry!$HB:$HB,DataEntry!$A:$A,"Zomba",DataEntry!$B:$B,"Zomba",DataEntry!$G:$G,"Q1"),"")</f>
        <v>0.26201979168564238</v>
      </c>
      <c r="E431" s="16">
        <f>IFERROR(AVERAGEIFS(DataEntry!$HB:$HB,DataEntry!$A:$A,"Zomba",DataEntry!$B:$B,"Zomba",DataEntry!$G:$G,"Q2"),"")</f>
        <v>0.16935829103869304</v>
      </c>
      <c r="F431" s="16">
        <f>IFERROR(AVERAGEIFS(DataEntry!$HB:$HB,DataEntry!$A:$A,"Zomba",DataEntry!$B:$B,"Zomba",DataEntry!$G:$G,"Q3"),"")</f>
        <v>0.16074606940036573</v>
      </c>
      <c r="G431" s="16">
        <f>IFERROR(AVERAGEIFS(DataEntry!$HB:$HB,DataEntry!$A:$A,"Zomba",DataEntry!$B:$B,"Zomba",DataEntry!$G:$G,"Q4"),"")</f>
        <v>183127195.6271877</v>
      </c>
      <c r="H431" s="24">
        <f>IFERROR(AVERAGE(D431:G431),"")</f>
        <v>45781799.054827966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93"/>
  <sheetViews>
    <sheetView showGridLines="0" workbookViewId="0"/>
  </sheetViews>
  <sheetFormatPr defaultColWidth="8.6640625" defaultRowHeight="14.4" x14ac:dyDescent="0.3"/>
  <cols>
    <col min="1" max="1" width="8.88671875" style="28" customWidth="1"/>
    <col min="2" max="2" width="11.109375" style="28" customWidth="1"/>
    <col min="3" max="3" width="41" style="28" customWidth="1"/>
    <col min="4" max="4" width="17.21875" style="28" customWidth="1"/>
    <col min="5" max="5" width="19.33203125" style="28" customWidth="1"/>
  </cols>
  <sheetData>
    <row r="1" spans="1:4" ht="25.5" customHeight="1" x14ac:dyDescent="0.3">
      <c r="A1" s="44" t="s">
        <v>321</v>
      </c>
      <c r="B1" s="45"/>
      <c r="C1" s="45"/>
      <c r="D1" s="45"/>
    </row>
    <row r="2" spans="1:4" ht="21.75" customHeight="1" x14ac:dyDescent="0.3">
      <c r="A2" s="25" t="s">
        <v>33</v>
      </c>
      <c r="B2" s="25" t="s">
        <v>34</v>
      </c>
      <c r="C2" s="25" t="s">
        <v>306</v>
      </c>
      <c r="D2" s="25" t="s">
        <v>322</v>
      </c>
    </row>
    <row r="3" spans="1:4" x14ac:dyDescent="0.3">
      <c r="A3" s="19" t="s">
        <v>255</v>
      </c>
      <c r="B3" s="19" t="s">
        <v>256</v>
      </c>
      <c r="C3" s="6" t="s">
        <v>40</v>
      </c>
      <c r="D3" s="20">
        <f>IFERROR(SUMIFS(DataEntry!$H:$H,DataEntry!$A:$A,"Liwonde",DataEntry!$B:$B,"Balaka"),"")</f>
        <v>609672</v>
      </c>
    </row>
    <row r="4" spans="1:4" x14ac:dyDescent="0.3">
      <c r="A4" s="21" t="s">
        <v>255</v>
      </c>
      <c r="B4" s="21" t="s">
        <v>256</v>
      </c>
      <c r="C4" s="12" t="s">
        <v>323</v>
      </c>
      <c r="D4" s="22">
        <f>IFERROR(SUMIFS(DataEntry!$S:$S,DataEntry!$A:$A,"Liwonde",DataEntry!$B:$B,"Balaka"),"")</f>
        <v>424507.20000000007</v>
      </c>
    </row>
    <row r="5" spans="1:4" x14ac:dyDescent="0.3">
      <c r="A5" s="19" t="s">
        <v>255</v>
      </c>
      <c r="B5" s="19" t="s">
        <v>256</v>
      </c>
      <c r="C5" s="6" t="s">
        <v>324</v>
      </c>
      <c r="D5" s="20">
        <f>IFERROR(SUMIFS(DataEntry!$T:$T,DataEntry!$A:$A,"Liwonde",DataEntry!$B:$B,"Balaka"),"")</f>
        <v>185164.7999999999</v>
      </c>
    </row>
    <row r="6" spans="1:4" x14ac:dyDescent="0.3">
      <c r="A6" s="21" t="s">
        <v>255</v>
      </c>
      <c r="B6" s="21" t="s">
        <v>256</v>
      </c>
      <c r="C6" s="12" t="s">
        <v>325</v>
      </c>
      <c r="D6" s="23">
        <f>IFERROR(AVERAGEIFS(DataEntry!$U:$U,DataEntry!$A:$A,"Liwonde",DataEntry!$B:$B,"Balaka"),"")</f>
        <v>0.30334875112451937</v>
      </c>
    </row>
    <row r="7" spans="1:4" x14ac:dyDescent="0.3">
      <c r="A7" s="19" t="s">
        <v>255</v>
      </c>
      <c r="B7" s="19" t="s">
        <v>256</v>
      </c>
      <c r="C7" s="6" t="s">
        <v>326</v>
      </c>
      <c r="D7" s="20">
        <f>IFERROR(SUMIFS(DataEntry!$V:$V,DataEntry!$A:$A,"Liwonde",DataEntry!$B:$B,"Balaka"),"")</f>
        <v>1282</v>
      </c>
    </row>
    <row r="8" spans="1:4" x14ac:dyDescent="0.3">
      <c r="A8" s="21" t="s">
        <v>255</v>
      </c>
      <c r="B8" s="21" t="s">
        <v>256</v>
      </c>
      <c r="C8" s="12" t="s">
        <v>327</v>
      </c>
      <c r="D8" s="22">
        <f>IFERROR(SUMIFS(DataEntry!$AH:$AH,DataEntry!$A:$A,"Liwonde",DataEntry!$B:$B,"Balaka"),"")</f>
        <v>4519421.78</v>
      </c>
    </row>
    <row r="9" spans="1:4" x14ac:dyDescent="0.3">
      <c r="A9" s="19" t="s">
        <v>255</v>
      </c>
      <c r="B9" s="19" t="s">
        <v>256</v>
      </c>
      <c r="C9" s="6" t="s">
        <v>328</v>
      </c>
      <c r="D9" s="20">
        <f>IFERROR(SUMIFS(DataEntry!$AL:$AL,DataEntry!$A:$A,"Liwonde",DataEntry!$B:$B,"Balaka"),"")</f>
        <v>47075571.2905</v>
      </c>
    </row>
    <row r="10" spans="1:4" x14ac:dyDescent="0.3">
      <c r="A10" s="21" t="s">
        <v>255</v>
      </c>
      <c r="B10" s="21" t="s">
        <v>256</v>
      </c>
      <c r="C10" s="12" t="s">
        <v>329</v>
      </c>
      <c r="D10" s="22">
        <f>IFERROR(SUMIFS(DataEntry!$AP:$AP,DataEntry!$A:$A,"Liwonde",DataEntry!$B:$B,"Balaka"),"")</f>
        <v>8421414</v>
      </c>
    </row>
    <row r="11" spans="1:4" x14ac:dyDescent="0.3">
      <c r="A11" s="19" t="s">
        <v>255</v>
      </c>
      <c r="B11" s="19" t="s">
        <v>256</v>
      </c>
      <c r="C11" s="6" t="s">
        <v>330</v>
      </c>
      <c r="D11" s="20">
        <f>IFERROR(SUMIFS(DataEntry!$AU:$AU,DataEntry!$A:$A,"Liwonde",DataEntry!$B:$B,"Balaka"),"")</f>
        <v>376007792.83050001</v>
      </c>
    </row>
    <row r="12" spans="1:4" x14ac:dyDescent="0.3">
      <c r="A12" s="21" t="s">
        <v>255</v>
      </c>
      <c r="B12" s="21" t="s">
        <v>256</v>
      </c>
      <c r="C12" s="12" t="s">
        <v>331</v>
      </c>
      <c r="D12" s="23">
        <f>IFERROR(AVERAGEIFS(DataEntry!$AV:$AV,DataEntry!$A:$A,"Liwonde",DataEntry!$B:$B,"Balaka"),"")</f>
        <v>624.20341960635426</v>
      </c>
    </row>
    <row r="13" spans="1:4" x14ac:dyDescent="0.3">
      <c r="A13" s="19" t="s">
        <v>255</v>
      </c>
      <c r="B13" s="19" t="s">
        <v>256</v>
      </c>
      <c r="C13" s="6" t="s">
        <v>332</v>
      </c>
      <c r="D13" s="20">
        <f>IFERROR(SUMIFS(DataEntry!$GB:$GB,DataEntry!$A:$A,"Liwonde",DataEntry!$B:$B,"Balaka"),"")</f>
        <v>617728861.18000007</v>
      </c>
    </row>
    <row r="14" spans="1:4" x14ac:dyDescent="0.3">
      <c r="A14" s="21" t="s">
        <v>255</v>
      </c>
      <c r="B14" s="21" t="s">
        <v>256</v>
      </c>
      <c r="C14" s="12" t="s">
        <v>333</v>
      </c>
      <c r="D14" s="22">
        <f>IFERROR(SUMIFS(DataEntry!$GM:$GM,DataEntry!$A:$A,"Liwonde",DataEntry!$B:$B,"Balaka"),"")</f>
        <v>503631577.42000061</v>
      </c>
    </row>
    <row r="15" spans="1:4" x14ac:dyDescent="0.3">
      <c r="A15" s="19" t="s">
        <v>255</v>
      </c>
      <c r="B15" s="19" t="s">
        <v>256</v>
      </c>
      <c r="C15" s="6" t="s">
        <v>334</v>
      </c>
      <c r="D15" s="20">
        <f>IFERROR(SUMIFS(DataEntry!$GX:$GX,DataEntry!$A:$A,"Liwonde",DataEntry!$B:$B,"Balaka"),"")</f>
        <v>556453722.13000059</v>
      </c>
    </row>
    <row r="16" spans="1:4" x14ac:dyDescent="0.3">
      <c r="A16" s="21" t="s">
        <v>255</v>
      </c>
      <c r="B16" s="21" t="s">
        <v>256</v>
      </c>
      <c r="C16" s="12" t="s">
        <v>335</v>
      </c>
      <c r="D16" s="22">
        <f>IFERROR(SUMIFS(DataEntry!$GY:$GY,DataEntry!$A:$A,"Liwonde",DataEntry!$B:$B,"Balaka"),"")</f>
        <v>2675095747.3399997</v>
      </c>
    </row>
    <row r="17" spans="1:4" x14ac:dyDescent="0.3">
      <c r="A17" s="19" t="s">
        <v>255</v>
      </c>
      <c r="B17" s="19" t="s">
        <v>256</v>
      </c>
      <c r="C17" s="6" t="s">
        <v>336</v>
      </c>
      <c r="D17" s="20">
        <f>IFERROR(SUMIFS(DataEntry!$GZ:$GZ,DataEntry!$A:$A,"Liwonde",DataEntry!$B:$B,"Balaka"),"")</f>
        <v>36015807.479999997</v>
      </c>
    </row>
    <row r="18" spans="1:4" x14ac:dyDescent="0.3">
      <c r="A18" s="21" t="s">
        <v>255</v>
      </c>
      <c r="B18" s="21" t="s">
        <v>256</v>
      </c>
      <c r="C18" s="12" t="s">
        <v>337</v>
      </c>
      <c r="D18" s="22">
        <f>IFERROR(SUMIFS(DataEntry!$HA:$HA,DataEntry!$A:$A,"Liwonde",DataEntry!$B:$B,"Balaka"),"")</f>
        <v>2711111554.8199997</v>
      </c>
    </row>
    <row r="19" spans="1:4" x14ac:dyDescent="0.3">
      <c r="A19" s="19" t="s">
        <v>255</v>
      </c>
      <c r="B19" s="19" t="s">
        <v>256</v>
      </c>
      <c r="C19" s="6" t="s">
        <v>338</v>
      </c>
      <c r="D19" s="24">
        <f>IFERROR(AVERAGEIFS(DataEntry!$HC:$HC,DataEntry!$A:$A,"Liwonde",DataEntry!$B:$B,"Balaka"),"")</f>
        <v>10146387.808790779</v>
      </c>
    </row>
    <row r="20" spans="1:4" x14ac:dyDescent="0.3">
      <c r="A20" s="21" t="s">
        <v>255</v>
      </c>
      <c r="B20" s="21" t="s">
        <v>256</v>
      </c>
      <c r="C20" s="12" t="s">
        <v>339</v>
      </c>
      <c r="D20" s="23">
        <f>IFERROR(AVERAGEIFS(DataEntry!$HB:$HB,DataEntry!$A:$A,"Liwonde",DataEntry!$B:$B,"Balaka"),"")</f>
        <v>3648292.7379893553</v>
      </c>
    </row>
    <row r="21" spans="1:4" x14ac:dyDescent="0.3">
      <c r="A21" s="19" t="s">
        <v>255</v>
      </c>
      <c r="B21" s="19" t="s">
        <v>256</v>
      </c>
      <c r="C21" s="6" t="s">
        <v>340</v>
      </c>
      <c r="D21" s="20">
        <f>IFERROR(SUMIFS(DataEntry!$CS:$CS,DataEntry!$A:$A,"Liwonde",DataEntry!$B:$B,"Balaka"),"")</f>
        <v>63985</v>
      </c>
    </row>
    <row r="22" spans="1:4" x14ac:dyDescent="0.3">
      <c r="A22" s="21" t="s">
        <v>255</v>
      </c>
      <c r="B22" s="21" t="s">
        <v>256</v>
      </c>
      <c r="C22" s="12" t="s">
        <v>341</v>
      </c>
      <c r="D22" s="22">
        <f>IFERROR(SUMIFS(DataEntry!$CT:$CT,DataEntry!$A:$A,"Liwonde",DataEntry!$B:$B,"Balaka"),"")</f>
        <v>97300</v>
      </c>
    </row>
    <row r="23" spans="1:4" x14ac:dyDescent="0.3">
      <c r="A23" s="19" t="s">
        <v>255</v>
      </c>
      <c r="B23" s="19" t="s">
        <v>256</v>
      </c>
      <c r="C23" s="6" t="s">
        <v>342</v>
      </c>
      <c r="D23" s="20">
        <f>IFERROR(SUMIFS(DataEntry!$CV:$CV,DataEntry!$A:$A,"Liwonde",DataEntry!$B:$B,"Balaka"),"")</f>
        <v>439991.23699</v>
      </c>
    </row>
    <row r="24" spans="1:4" x14ac:dyDescent="0.3">
      <c r="A24" s="21" t="s">
        <v>255</v>
      </c>
      <c r="B24" s="21" t="s">
        <v>256</v>
      </c>
      <c r="C24" s="12" t="s">
        <v>343</v>
      </c>
      <c r="D24" s="23">
        <f>IFERROR(AVERAGEIFS(DataEntry!$CW:$CW,DataEntry!$A:$A,"Liwonde",DataEntry!$B:$B,"Balaka"),"")</f>
        <v>0.84813574611733566</v>
      </c>
    </row>
    <row r="25" spans="1:4" x14ac:dyDescent="0.3">
      <c r="A25" s="19" t="s">
        <v>255</v>
      </c>
      <c r="B25" s="19" t="s">
        <v>256</v>
      </c>
      <c r="C25" s="6" t="s">
        <v>344</v>
      </c>
      <c r="D25" s="20">
        <f>IFERROR(SUMIFS(DataEntry!$CA:$CA,DataEntry!$A:$A,"Liwonde",DataEntry!$B:$B,"Balaka"),"")</f>
        <v>456</v>
      </c>
    </row>
    <row r="26" spans="1:4" x14ac:dyDescent="0.3">
      <c r="A26" s="21" t="s">
        <v>255</v>
      </c>
      <c r="B26" s="21" t="s">
        <v>256</v>
      </c>
      <c r="C26" s="12" t="s">
        <v>345</v>
      </c>
      <c r="D26" s="22">
        <f>IFERROR(SUMIFS(DataEntry!$DV:$DV,DataEntry!$A:$A,"Liwonde",DataEntry!$B:$B,"Balaka"),"")</f>
        <v>2928</v>
      </c>
    </row>
    <row r="27" spans="1:4" x14ac:dyDescent="0.3">
      <c r="A27" s="19" t="s">
        <v>255</v>
      </c>
      <c r="B27" s="19" t="s">
        <v>256</v>
      </c>
      <c r="C27" s="6" t="s">
        <v>346</v>
      </c>
      <c r="D27" s="20">
        <f>IFERROR(SUMIFS(DataEntry!$FG:$FG,DataEntry!$A:$A,"Liwonde",DataEntry!$B:$B,"Balaka"),"")</f>
        <v>2235</v>
      </c>
    </row>
    <row r="28" spans="1:4" x14ac:dyDescent="0.3">
      <c r="A28" s="21" t="s">
        <v>255</v>
      </c>
      <c r="B28" s="21" t="s">
        <v>256</v>
      </c>
      <c r="C28" s="12" t="s">
        <v>347</v>
      </c>
      <c r="D28" s="23">
        <f>IFERROR(AVERAGEIFS(DataEntry!$HK:$HK,DataEntry!$A:$A,"Liwonde",DataEntry!$B:$B,"Balaka"),"")</f>
        <v>1.391488413547237</v>
      </c>
    </row>
    <row r="29" spans="1:4" x14ac:dyDescent="0.3">
      <c r="A29" s="19" t="s">
        <v>255</v>
      </c>
      <c r="B29" s="19" t="s">
        <v>256</v>
      </c>
      <c r="C29" s="6" t="s">
        <v>348</v>
      </c>
      <c r="D29" s="24">
        <f>IFERROR(AVERAGEIFS(DataEntry!$HN:$HN,DataEntry!$A:$A,"Liwonde",DataEntry!$B:$B,"Balaka"),"")</f>
        <v>1.4626615282865281</v>
      </c>
    </row>
    <row r="30" spans="1:4" x14ac:dyDescent="0.3">
      <c r="A30" s="21" t="s">
        <v>255</v>
      </c>
      <c r="B30" s="21" t="s">
        <v>255</v>
      </c>
      <c r="C30" s="12" t="s">
        <v>40</v>
      </c>
      <c r="D30" s="22">
        <f>IFERROR(SUMIFS(DataEntry!$H:$H,DataEntry!$A:$A,"Liwonde",DataEntry!$B:$B,"Liwonde"),"")</f>
        <v>784015</v>
      </c>
    </row>
    <row r="31" spans="1:4" x14ac:dyDescent="0.3">
      <c r="A31" s="19" t="s">
        <v>255</v>
      </c>
      <c r="B31" s="19" t="s">
        <v>255</v>
      </c>
      <c r="C31" s="6" t="s">
        <v>323</v>
      </c>
      <c r="D31" s="20">
        <f>IFERROR(SUMIFS(DataEntry!$S:$S,DataEntry!$A:$A,"Liwonde",DataEntry!$B:$B,"Liwonde"),"")</f>
        <v>549443.89999999991</v>
      </c>
    </row>
    <row r="32" spans="1:4" x14ac:dyDescent="0.3">
      <c r="A32" s="21" t="s">
        <v>255</v>
      </c>
      <c r="B32" s="21" t="s">
        <v>255</v>
      </c>
      <c r="C32" s="12" t="s">
        <v>324</v>
      </c>
      <c r="D32" s="22">
        <f>IFERROR(SUMIFS(DataEntry!$T:$T,DataEntry!$A:$A,"Liwonde",DataEntry!$B:$B,"Liwonde"),"")</f>
        <v>234571.1</v>
      </c>
    </row>
    <row r="33" spans="1:4" x14ac:dyDescent="0.3">
      <c r="A33" s="19" t="s">
        <v>255</v>
      </c>
      <c r="B33" s="19" t="s">
        <v>255</v>
      </c>
      <c r="C33" s="6" t="s">
        <v>325</v>
      </c>
      <c r="D33" s="24">
        <f>IFERROR(AVERAGEIFS(DataEntry!$U:$U,DataEntry!$A:$A,"Liwonde",DataEntry!$B:$B,"Liwonde"),"")</f>
        <v>0.29915896510664081</v>
      </c>
    </row>
    <row r="34" spans="1:4" x14ac:dyDescent="0.3">
      <c r="A34" s="21" t="s">
        <v>255</v>
      </c>
      <c r="B34" s="21" t="s">
        <v>255</v>
      </c>
      <c r="C34" s="12" t="s">
        <v>326</v>
      </c>
      <c r="D34" s="22">
        <f>IFERROR(SUMIFS(DataEntry!$V:$V,DataEntry!$A:$A,"Liwonde",DataEntry!$B:$B,"Liwonde"),"")</f>
        <v>4061</v>
      </c>
    </row>
    <row r="35" spans="1:4" x14ac:dyDescent="0.3">
      <c r="A35" s="19" t="s">
        <v>255</v>
      </c>
      <c r="B35" s="19" t="s">
        <v>255</v>
      </c>
      <c r="C35" s="6" t="s">
        <v>327</v>
      </c>
      <c r="D35" s="20">
        <f>IFERROR(SUMIFS(DataEntry!$AH:$AH,DataEntry!$A:$A,"Liwonde",DataEntry!$B:$B,"Liwonde"),"")</f>
        <v>31254298.366059996</v>
      </c>
    </row>
    <row r="36" spans="1:4" x14ac:dyDescent="0.3">
      <c r="A36" s="21" t="s">
        <v>255</v>
      </c>
      <c r="B36" s="21" t="s">
        <v>255</v>
      </c>
      <c r="C36" s="12" t="s">
        <v>328</v>
      </c>
      <c r="D36" s="22">
        <f>IFERROR(SUMIFS(DataEntry!$AL:$AL,DataEntry!$A:$A,"Liwonde",DataEntry!$B:$B,"Liwonde"),"")</f>
        <v>110096534.1027627</v>
      </c>
    </row>
    <row r="37" spans="1:4" x14ac:dyDescent="0.3">
      <c r="A37" s="19" t="s">
        <v>255</v>
      </c>
      <c r="B37" s="19" t="s">
        <v>255</v>
      </c>
      <c r="C37" s="6" t="s">
        <v>329</v>
      </c>
      <c r="D37" s="20">
        <f>IFERROR(SUMIFS(DataEntry!$AP:$AP,DataEntry!$A:$A,"Liwonde",DataEntry!$B:$B,"Liwonde"),"")</f>
        <v>11136030</v>
      </c>
    </row>
    <row r="38" spans="1:4" x14ac:dyDescent="0.3">
      <c r="A38" s="21" t="s">
        <v>255</v>
      </c>
      <c r="B38" s="21" t="s">
        <v>255</v>
      </c>
      <c r="C38" s="12" t="s">
        <v>330</v>
      </c>
      <c r="D38" s="22">
        <f>IFERROR(SUMIFS(DataEntry!$AU:$AU,DataEntry!$A:$A,"Liwonde",DataEntry!$B:$B,"Liwonde"),"")</f>
        <v>466923705.29882276</v>
      </c>
    </row>
    <row r="39" spans="1:4" x14ac:dyDescent="0.3">
      <c r="A39" s="19" t="s">
        <v>255</v>
      </c>
      <c r="B39" s="19" t="s">
        <v>255</v>
      </c>
      <c r="C39" s="6" t="s">
        <v>331</v>
      </c>
      <c r="D39" s="24">
        <f>IFERROR(AVERAGEIFS(DataEntry!$AV:$AV,DataEntry!$A:$A,"Liwonde",DataEntry!$B:$B,"Liwonde"),"")</f>
        <v>602.34643795413695</v>
      </c>
    </row>
    <row r="40" spans="1:4" x14ac:dyDescent="0.3">
      <c r="A40" s="21" t="s">
        <v>255</v>
      </c>
      <c r="B40" s="21" t="s">
        <v>255</v>
      </c>
      <c r="C40" s="12" t="s">
        <v>332</v>
      </c>
      <c r="D40" s="22">
        <f>IFERROR(SUMIFS(DataEntry!$GB:$GB,DataEntry!$A:$A,"Liwonde",DataEntry!$B:$B,"Liwonde"),"")</f>
        <v>828118777.75999987</v>
      </c>
    </row>
    <row r="41" spans="1:4" x14ac:dyDescent="0.3">
      <c r="A41" s="19" t="s">
        <v>255</v>
      </c>
      <c r="B41" s="19" t="s">
        <v>255</v>
      </c>
      <c r="C41" s="6" t="s">
        <v>333</v>
      </c>
      <c r="D41" s="20">
        <f>IFERROR(SUMIFS(DataEntry!$GM:$GM,DataEntry!$A:$A,"Liwonde",DataEntry!$B:$B,"Liwonde"),"")</f>
        <v>737331011.57999992</v>
      </c>
    </row>
    <row r="42" spans="1:4" x14ac:dyDescent="0.3">
      <c r="A42" s="21" t="s">
        <v>255</v>
      </c>
      <c r="B42" s="21" t="s">
        <v>255</v>
      </c>
      <c r="C42" s="12" t="s">
        <v>334</v>
      </c>
      <c r="D42" s="22">
        <f>IFERROR(SUMIFS(DataEntry!$GX:$GX,DataEntry!$A:$A,"Liwonde",DataEntry!$B:$B,"Liwonde"),"")</f>
        <v>783925079.3499999</v>
      </c>
    </row>
    <row r="43" spans="1:4" x14ac:dyDescent="0.3">
      <c r="A43" s="19" t="s">
        <v>255</v>
      </c>
      <c r="B43" s="19" t="s">
        <v>255</v>
      </c>
      <c r="C43" s="6" t="s">
        <v>335</v>
      </c>
      <c r="D43" s="20">
        <f>IFERROR(SUMIFS(DataEntry!$GY:$GY,DataEntry!$A:$A,"Liwonde",DataEntry!$B:$B,"Liwonde"),"")</f>
        <v>2022920355.4399941</v>
      </c>
    </row>
    <row r="44" spans="1:4" x14ac:dyDescent="0.3">
      <c r="A44" s="21" t="s">
        <v>255</v>
      </c>
      <c r="B44" s="21" t="s">
        <v>255</v>
      </c>
      <c r="C44" s="12" t="s">
        <v>336</v>
      </c>
      <c r="D44" s="22">
        <f>IFERROR(SUMIFS(DataEntry!$GZ:$GZ,DataEntry!$A:$A,"Liwonde",DataEntry!$B:$B,"Liwonde"),"")</f>
        <v>83331112.340000004</v>
      </c>
    </row>
    <row r="45" spans="1:4" x14ac:dyDescent="0.3">
      <c r="A45" s="19" t="s">
        <v>255</v>
      </c>
      <c r="B45" s="19" t="s">
        <v>255</v>
      </c>
      <c r="C45" s="6" t="s">
        <v>337</v>
      </c>
      <c r="D45" s="20">
        <f>IFERROR(SUMIFS(DataEntry!$HA:$HA,DataEntry!$A:$A,"Liwonde",DataEntry!$B:$B,"Liwonde"),"")</f>
        <v>2106251467.7799938</v>
      </c>
    </row>
    <row r="46" spans="1:4" x14ac:dyDescent="0.3">
      <c r="A46" s="21" t="s">
        <v>255</v>
      </c>
      <c r="B46" s="21" t="s">
        <v>255</v>
      </c>
      <c r="C46" s="12" t="s">
        <v>338</v>
      </c>
      <c r="D46" s="23">
        <f>IFERROR(AVERAGEIFS(DataEntry!$HC:$HC,DataEntry!$A:$A,"Liwonde",DataEntry!$B:$B,"Liwonde"),"")</f>
        <v>9231286.8364327494</v>
      </c>
    </row>
    <row r="47" spans="1:4" x14ac:dyDescent="0.3">
      <c r="A47" s="19" t="s">
        <v>255</v>
      </c>
      <c r="B47" s="19" t="s">
        <v>255</v>
      </c>
      <c r="C47" s="6" t="s">
        <v>339</v>
      </c>
      <c r="D47" s="24">
        <f>IFERROR(AVERAGEIFS(DataEntry!$HB:$HB,DataEntry!$A:$A,"Liwonde",DataEntry!$B:$B,"Liwonde"),"")</f>
        <v>5405922.6190705504</v>
      </c>
    </row>
    <row r="48" spans="1:4" x14ac:dyDescent="0.3">
      <c r="A48" s="21" t="s">
        <v>255</v>
      </c>
      <c r="B48" s="21" t="s">
        <v>255</v>
      </c>
      <c r="C48" s="12" t="s">
        <v>340</v>
      </c>
      <c r="D48" s="22">
        <f>IFERROR(SUMIFS(DataEntry!$CS:$CS,DataEntry!$A:$A,"Liwonde",DataEntry!$B:$B,"Liwonde"),"")</f>
        <v>52356</v>
      </c>
    </row>
    <row r="49" spans="1:4" x14ac:dyDescent="0.3">
      <c r="A49" s="19" t="s">
        <v>255</v>
      </c>
      <c r="B49" s="19" t="s">
        <v>255</v>
      </c>
      <c r="C49" s="6" t="s">
        <v>341</v>
      </c>
      <c r="D49" s="20">
        <f>IFERROR(SUMIFS(DataEntry!$CT:$CT,DataEntry!$A:$A,"Liwonde",DataEntry!$B:$B,"Liwonde"),"")</f>
        <v>72999</v>
      </c>
    </row>
    <row r="50" spans="1:4" x14ac:dyDescent="0.3">
      <c r="A50" s="21" t="s">
        <v>255</v>
      </c>
      <c r="B50" s="21" t="s">
        <v>255</v>
      </c>
      <c r="C50" s="12" t="s">
        <v>342</v>
      </c>
      <c r="D50" s="22">
        <f>IFERROR(SUMIFS(DataEntry!$CV:$CV,DataEntry!$A:$A,"Liwonde",DataEntry!$B:$B,"Liwonde"),"")</f>
        <v>405949.91</v>
      </c>
    </row>
    <row r="51" spans="1:4" x14ac:dyDescent="0.3">
      <c r="A51" s="19" t="s">
        <v>255</v>
      </c>
      <c r="B51" s="19" t="s">
        <v>255</v>
      </c>
      <c r="C51" s="6" t="s">
        <v>343</v>
      </c>
      <c r="D51" s="24">
        <f>IFERROR(AVERAGEIFS(DataEntry!$CW:$CW,DataEntry!$A:$A,"Liwonde",DataEntry!$B:$B,"Liwonde"),"")</f>
        <v>0.90578349263101554</v>
      </c>
    </row>
    <row r="52" spans="1:4" x14ac:dyDescent="0.3">
      <c r="A52" s="21" t="s">
        <v>255</v>
      </c>
      <c r="B52" s="21" t="s">
        <v>255</v>
      </c>
      <c r="C52" s="12" t="s">
        <v>344</v>
      </c>
      <c r="D52" s="22">
        <f>IFERROR(SUMIFS(DataEntry!$CA:$CA,DataEntry!$A:$A,"Liwonde",DataEntry!$B:$B,"Liwonde"),"")</f>
        <v>376</v>
      </c>
    </row>
    <row r="53" spans="1:4" x14ac:dyDescent="0.3">
      <c r="A53" s="19" t="s">
        <v>255</v>
      </c>
      <c r="B53" s="19" t="s">
        <v>255</v>
      </c>
      <c r="C53" s="6" t="s">
        <v>345</v>
      </c>
      <c r="D53" s="20">
        <f>IFERROR(SUMIFS(DataEntry!$DV:$DV,DataEntry!$A:$A,"Liwonde",DataEntry!$B:$B,"Liwonde"),"")</f>
        <v>3591</v>
      </c>
    </row>
    <row r="54" spans="1:4" x14ac:dyDescent="0.3">
      <c r="A54" s="21" t="s">
        <v>255</v>
      </c>
      <c r="B54" s="21" t="s">
        <v>255</v>
      </c>
      <c r="C54" s="12" t="s">
        <v>346</v>
      </c>
      <c r="D54" s="22">
        <f>IFERROR(SUMIFS(DataEntry!$FG:$FG,DataEntry!$A:$A,"Liwonde",DataEntry!$B:$B,"Liwonde"),"")</f>
        <v>1704</v>
      </c>
    </row>
    <row r="55" spans="1:4" x14ac:dyDescent="0.3">
      <c r="A55" s="19" t="s">
        <v>255</v>
      </c>
      <c r="B55" s="19" t="s">
        <v>255</v>
      </c>
      <c r="C55" s="6" t="s">
        <v>347</v>
      </c>
      <c r="D55" s="24">
        <f>IFERROR(AVERAGEIFS(DataEntry!$HK:$HK,DataEntry!$A:$A,"Liwonde",DataEntry!$B:$B,"Liwonde"),"")</f>
        <v>1.2019152404237978</v>
      </c>
    </row>
    <row r="56" spans="1:4" x14ac:dyDescent="0.3">
      <c r="A56" s="21" t="s">
        <v>255</v>
      </c>
      <c r="B56" s="21" t="s">
        <v>255</v>
      </c>
      <c r="C56" s="12" t="s">
        <v>348</v>
      </c>
      <c r="D56" s="23">
        <f>IFERROR(AVERAGEIFS(DataEntry!$HN:$HN,DataEntry!$A:$A,"Liwonde",DataEntry!$B:$B,"Liwonde"),"")</f>
        <v>2.0241771708683474</v>
      </c>
    </row>
    <row r="57" spans="1:4" x14ac:dyDescent="0.3">
      <c r="A57" s="19" t="s">
        <v>255</v>
      </c>
      <c r="B57" s="19" t="s">
        <v>274</v>
      </c>
      <c r="C57" s="6" t="s">
        <v>40</v>
      </c>
      <c r="D57" s="20">
        <f>IFERROR(SUMIFS(DataEntry!$H:$H,DataEntry!$A:$A,"Liwonde",DataEntry!$B:$B,"Machinga"),"")</f>
        <v>26499</v>
      </c>
    </row>
    <row r="58" spans="1:4" x14ac:dyDescent="0.3">
      <c r="A58" s="21" t="s">
        <v>255</v>
      </c>
      <c r="B58" s="21" t="s">
        <v>274</v>
      </c>
      <c r="C58" s="12" t="s">
        <v>323</v>
      </c>
      <c r="D58" s="22">
        <f>IFERROR(SUMIFS(DataEntry!$S:$S,DataEntry!$A:$A,"Liwonde",DataEntry!$B:$B,"Machinga"),"")</f>
        <v>20726.099999999999</v>
      </c>
    </row>
    <row r="59" spans="1:4" x14ac:dyDescent="0.3">
      <c r="A59" s="19" t="s">
        <v>255</v>
      </c>
      <c r="B59" s="19" t="s">
        <v>274</v>
      </c>
      <c r="C59" s="6" t="s">
        <v>324</v>
      </c>
      <c r="D59" s="20">
        <f>IFERROR(SUMIFS(DataEntry!$T:$T,DataEntry!$A:$A,"Liwonde",DataEntry!$B:$B,"Machinga"),"")</f>
        <v>5772.9</v>
      </c>
    </row>
    <row r="60" spans="1:4" x14ac:dyDescent="0.3">
      <c r="A60" s="21" t="s">
        <v>255</v>
      </c>
      <c r="B60" s="21" t="s">
        <v>274</v>
      </c>
      <c r="C60" s="12" t="s">
        <v>325</v>
      </c>
      <c r="D60" s="23">
        <f>IFERROR(AVERAGEIFS(DataEntry!$U:$U,DataEntry!$A:$A,"Liwonde",DataEntry!$B:$B,"Machinga"),"")</f>
        <v>0.21423400520299438</v>
      </c>
    </row>
    <row r="61" spans="1:4" x14ac:dyDescent="0.3">
      <c r="A61" s="19" t="s">
        <v>255</v>
      </c>
      <c r="B61" s="19" t="s">
        <v>274</v>
      </c>
      <c r="C61" s="6" t="s">
        <v>326</v>
      </c>
      <c r="D61" s="20">
        <f>IFERROR(SUMIFS(DataEntry!$V:$V,DataEntry!$A:$A,"Liwonde",DataEntry!$B:$B,"Machinga"),"")</f>
        <v>101</v>
      </c>
    </row>
    <row r="62" spans="1:4" x14ac:dyDescent="0.3">
      <c r="A62" s="21" t="s">
        <v>255</v>
      </c>
      <c r="B62" s="21" t="s">
        <v>274</v>
      </c>
      <c r="C62" s="12" t="s">
        <v>327</v>
      </c>
      <c r="D62" s="22">
        <f>IFERROR(SUMIFS(DataEntry!$AH:$AH,DataEntry!$A:$A,"Liwonde",DataEntry!$B:$B,"Machinga"),"")</f>
        <v>356054.29000000004</v>
      </c>
    </row>
    <row r="63" spans="1:4" x14ac:dyDescent="0.3">
      <c r="A63" s="19" t="s">
        <v>255</v>
      </c>
      <c r="B63" s="19" t="s">
        <v>274</v>
      </c>
      <c r="C63" s="6" t="s">
        <v>328</v>
      </c>
      <c r="D63" s="20">
        <f>IFERROR(SUMIFS(DataEntry!$AL:$AL,DataEntry!$A:$A,"Liwonde",DataEntry!$B:$B,"Machinga"),"")</f>
        <v>7124262.2045899257</v>
      </c>
    </row>
    <row r="64" spans="1:4" x14ac:dyDescent="0.3">
      <c r="A64" s="21" t="s">
        <v>255</v>
      </c>
      <c r="B64" s="21" t="s">
        <v>274</v>
      </c>
      <c r="C64" s="12" t="s">
        <v>329</v>
      </c>
      <c r="D64" s="22">
        <f>IFERROR(SUMIFS(DataEntry!$AP:$AP,DataEntry!$A:$A,"Liwonde",DataEntry!$B:$B,"Machinga"),"")</f>
        <v>0</v>
      </c>
    </row>
    <row r="65" spans="1:4" x14ac:dyDescent="0.3">
      <c r="A65" s="19" t="s">
        <v>255</v>
      </c>
      <c r="B65" s="19" t="s">
        <v>274</v>
      </c>
      <c r="C65" s="6" t="s">
        <v>330</v>
      </c>
      <c r="D65" s="20">
        <f>IFERROR(SUMIFS(DataEntry!$AU:$AU,DataEntry!$A:$A,"Liwonde",DataEntry!$B:$B,"Machinga"),"")</f>
        <v>25753222.154589925</v>
      </c>
    </row>
    <row r="66" spans="1:4" x14ac:dyDescent="0.3">
      <c r="A66" s="21" t="s">
        <v>255</v>
      </c>
      <c r="B66" s="21" t="s">
        <v>274</v>
      </c>
      <c r="C66" s="12" t="s">
        <v>331</v>
      </c>
      <c r="D66" s="23">
        <f>IFERROR(AVERAGEIFS(DataEntry!$AV:$AV,DataEntry!$A:$A,"Liwonde",DataEntry!$B:$B,"Machinga"),"")</f>
        <v>988.98334597122675</v>
      </c>
    </row>
    <row r="67" spans="1:4" x14ac:dyDescent="0.3">
      <c r="A67" s="19" t="s">
        <v>255</v>
      </c>
      <c r="B67" s="19" t="s">
        <v>274</v>
      </c>
      <c r="C67" s="6" t="s">
        <v>332</v>
      </c>
      <c r="D67" s="20">
        <f>IFERROR(SUMIFS(DataEntry!$GB:$GB,DataEntry!$A:$A,"Liwonde",DataEntry!$B:$B,"Machinga"),"")</f>
        <v>32950059.150000002</v>
      </c>
    </row>
    <row r="68" spans="1:4" x14ac:dyDescent="0.3">
      <c r="A68" s="21" t="s">
        <v>255</v>
      </c>
      <c r="B68" s="21" t="s">
        <v>274</v>
      </c>
      <c r="C68" s="12" t="s">
        <v>333</v>
      </c>
      <c r="D68" s="22">
        <f>IFERROR(SUMIFS(DataEntry!$GM:$GM,DataEntry!$A:$A,"Liwonde",DataEntry!$B:$B,"Machinga"),"")</f>
        <v>29624519.860000003</v>
      </c>
    </row>
    <row r="69" spans="1:4" x14ac:dyDescent="0.3">
      <c r="A69" s="19" t="s">
        <v>255</v>
      </c>
      <c r="B69" s="19" t="s">
        <v>274</v>
      </c>
      <c r="C69" s="6" t="s">
        <v>334</v>
      </c>
      <c r="D69" s="20">
        <f>IFERROR(SUMIFS(DataEntry!$GX:$GX,DataEntry!$A:$A,"Liwonde",DataEntry!$B:$B,"Machinga"),"")</f>
        <v>29787492.460000008</v>
      </c>
    </row>
    <row r="70" spans="1:4" x14ac:dyDescent="0.3">
      <c r="A70" s="21" t="s">
        <v>255</v>
      </c>
      <c r="B70" s="21" t="s">
        <v>274</v>
      </c>
      <c r="C70" s="12" t="s">
        <v>335</v>
      </c>
      <c r="D70" s="22">
        <f>IFERROR(SUMIFS(DataEntry!$GY:$GY,DataEntry!$A:$A,"Liwonde",DataEntry!$B:$B,"Machinga"),"")</f>
        <v>186785494.56999999</v>
      </c>
    </row>
    <row r="71" spans="1:4" x14ac:dyDescent="0.3">
      <c r="A71" s="19" t="s">
        <v>255</v>
      </c>
      <c r="B71" s="19" t="s">
        <v>274</v>
      </c>
      <c r="C71" s="6" t="s">
        <v>336</v>
      </c>
      <c r="D71" s="20">
        <f>IFERROR(SUMIFS(DataEntry!$GZ:$GZ,DataEntry!$A:$A,"Liwonde",DataEntry!$B:$B,"Machinga"),"")</f>
        <v>5892898.0799999991</v>
      </c>
    </row>
    <row r="72" spans="1:4" x14ac:dyDescent="0.3">
      <c r="A72" s="21" t="s">
        <v>255</v>
      </c>
      <c r="B72" s="21" t="s">
        <v>274</v>
      </c>
      <c r="C72" s="12" t="s">
        <v>337</v>
      </c>
      <c r="D72" s="22">
        <f>IFERROR(SUMIFS(DataEntry!$HA:$HA,DataEntry!$A:$A,"Liwonde",DataEntry!$B:$B,"Machinga"),"")</f>
        <v>192678392.64999995</v>
      </c>
    </row>
    <row r="73" spans="1:4" x14ac:dyDescent="0.3">
      <c r="A73" s="19" t="s">
        <v>255</v>
      </c>
      <c r="B73" s="19" t="s">
        <v>274</v>
      </c>
      <c r="C73" s="6" t="s">
        <v>338</v>
      </c>
      <c r="D73" s="24">
        <f>IFERROR(AVERAGEIFS(DataEntry!$HC:$HC,DataEntry!$A:$A,"Liwonde",DataEntry!$B:$B,"Machinga"),"")</f>
        <v>965791.58002866374</v>
      </c>
    </row>
    <row r="74" spans="1:4" x14ac:dyDescent="0.3">
      <c r="A74" s="21" t="s">
        <v>255</v>
      </c>
      <c r="B74" s="21" t="s">
        <v>274</v>
      </c>
      <c r="C74" s="12" t="s">
        <v>339</v>
      </c>
      <c r="D74" s="23">
        <f>IFERROR(AVERAGEIFS(DataEntry!$HB:$HB,DataEntry!$A:$A,"Liwonde",DataEntry!$B:$B,"Machinga"),"")</f>
        <v>206524.08316932095</v>
      </c>
    </row>
    <row r="75" spans="1:4" x14ac:dyDescent="0.3">
      <c r="A75" s="19" t="s">
        <v>255</v>
      </c>
      <c r="B75" s="19" t="s">
        <v>274</v>
      </c>
      <c r="C75" s="6" t="s">
        <v>340</v>
      </c>
      <c r="D75" s="20">
        <f>IFERROR(SUMIFS(DataEntry!$CS:$CS,DataEntry!$A:$A,"Liwonde",DataEntry!$B:$B,"Machinga"),"")</f>
        <v>4779.6000000000004</v>
      </c>
    </row>
    <row r="76" spans="1:4" x14ac:dyDescent="0.3">
      <c r="A76" s="21" t="s">
        <v>255</v>
      </c>
      <c r="B76" s="21" t="s">
        <v>274</v>
      </c>
      <c r="C76" s="12" t="s">
        <v>341</v>
      </c>
      <c r="D76" s="22">
        <f>IFERROR(SUMIFS(DataEntry!$CT:$CT,DataEntry!$A:$A,"Liwonde",DataEntry!$B:$B,"Machinga"),"")</f>
        <v>6988.6</v>
      </c>
    </row>
    <row r="77" spans="1:4" x14ac:dyDescent="0.3">
      <c r="A77" s="19" t="s">
        <v>255</v>
      </c>
      <c r="B77" s="19" t="s">
        <v>274</v>
      </c>
      <c r="C77" s="6" t="s">
        <v>342</v>
      </c>
      <c r="D77" s="20">
        <f>IFERROR(SUMIFS(DataEntry!$CV:$CV,DataEntry!$A:$A,"Liwonde",DataEntry!$B:$B,"Machinga"),"")</f>
        <v>14723.603499999999</v>
      </c>
    </row>
    <row r="78" spans="1:4" x14ac:dyDescent="0.3">
      <c r="A78" s="21" t="s">
        <v>255</v>
      </c>
      <c r="B78" s="21" t="s">
        <v>274</v>
      </c>
      <c r="C78" s="12" t="s">
        <v>343</v>
      </c>
      <c r="D78" s="23">
        <f>IFERROR(AVERAGEIFS(DataEntry!$CW:$CW,DataEntry!$A:$A,"Liwonde",DataEntry!$B:$B,"Machinga"),"")</f>
        <v>0.83248204655323432</v>
      </c>
    </row>
    <row r="79" spans="1:4" x14ac:dyDescent="0.3">
      <c r="A79" s="19" t="s">
        <v>255</v>
      </c>
      <c r="B79" s="19" t="s">
        <v>274</v>
      </c>
      <c r="C79" s="6" t="s">
        <v>344</v>
      </c>
      <c r="D79" s="20">
        <f>IFERROR(SUMIFS(DataEntry!$CA:$CA,DataEntry!$A:$A,"Liwonde",DataEntry!$B:$B,"Machinga"),"")</f>
        <v>49</v>
      </c>
    </row>
    <row r="80" spans="1:4" x14ac:dyDescent="0.3">
      <c r="A80" s="21" t="s">
        <v>255</v>
      </c>
      <c r="B80" s="21" t="s">
        <v>274</v>
      </c>
      <c r="C80" s="12" t="s">
        <v>345</v>
      </c>
      <c r="D80" s="22">
        <f>IFERROR(SUMIFS(DataEntry!$DV:$DV,DataEntry!$A:$A,"Liwonde",DataEntry!$B:$B,"Machinga"),"")</f>
        <v>0</v>
      </c>
    </row>
    <row r="81" spans="1:4" x14ac:dyDescent="0.3">
      <c r="A81" s="19" t="s">
        <v>255</v>
      </c>
      <c r="B81" s="19" t="s">
        <v>274</v>
      </c>
      <c r="C81" s="6" t="s">
        <v>346</v>
      </c>
      <c r="D81" s="20">
        <f>IFERROR(SUMIFS(DataEntry!$FG:$FG,DataEntry!$A:$A,"Liwonde",DataEntry!$B:$B,"Machinga"),"")</f>
        <v>588</v>
      </c>
    </row>
    <row r="82" spans="1:4" x14ac:dyDescent="0.3">
      <c r="A82" s="21" t="s">
        <v>255</v>
      </c>
      <c r="B82" s="21" t="s">
        <v>274</v>
      </c>
      <c r="C82" s="12" t="s">
        <v>347</v>
      </c>
      <c r="D82" s="23">
        <f>IFERROR(AVERAGEIFS(DataEntry!$HK:$HK,DataEntry!$A:$A,"Liwonde",DataEntry!$B:$B,"Machinga"),"")</f>
        <v>5.9750000000000005</v>
      </c>
    </row>
    <row r="83" spans="1:4" x14ac:dyDescent="0.3">
      <c r="A83" s="19" t="s">
        <v>255</v>
      </c>
      <c r="B83" s="19" t="s">
        <v>274</v>
      </c>
      <c r="C83" s="6" t="s">
        <v>348</v>
      </c>
      <c r="D83" s="24">
        <f>IFERROR(AVERAGEIFS(DataEntry!$HN:$HN,DataEntry!$A:$A,"Liwonde",DataEntry!$B:$B,"Machinga"),"")</f>
        <v>0.62191874148395887</v>
      </c>
    </row>
    <row r="84" spans="1:4" x14ac:dyDescent="0.3">
      <c r="A84" s="21" t="s">
        <v>255</v>
      </c>
      <c r="B84" s="21" t="s">
        <v>275</v>
      </c>
      <c r="C84" s="12" t="s">
        <v>40</v>
      </c>
      <c r="D84" s="22">
        <f>IFERROR(SUMIFS(DataEntry!$H:$H,DataEntry!$A:$A,"Liwonde",DataEntry!$B:$B,"Ntaja"),"")</f>
        <v>39736</v>
      </c>
    </row>
    <row r="85" spans="1:4" x14ac:dyDescent="0.3">
      <c r="A85" s="19" t="s">
        <v>255</v>
      </c>
      <c r="B85" s="19" t="s">
        <v>275</v>
      </c>
      <c r="C85" s="6" t="s">
        <v>323</v>
      </c>
      <c r="D85" s="20">
        <f>IFERROR(SUMIFS(DataEntry!$S:$S,DataEntry!$A:$A,"Liwonde",DataEntry!$B:$B,"Ntaja"),"")</f>
        <v>36445.899999999994</v>
      </c>
    </row>
    <row r="86" spans="1:4" x14ac:dyDescent="0.3">
      <c r="A86" s="21" t="s">
        <v>255</v>
      </c>
      <c r="B86" s="21" t="s">
        <v>275</v>
      </c>
      <c r="C86" s="12" t="s">
        <v>324</v>
      </c>
      <c r="D86" s="22">
        <f>IFERROR(SUMIFS(DataEntry!$T:$T,DataEntry!$A:$A,"Liwonde",DataEntry!$B:$B,"Ntaja"),"")</f>
        <v>3290.1000000000026</v>
      </c>
    </row>
    <row r="87" spans="1:4" x14ac:dyDescent="0.3">
      <c r="A87" s="19" t="s">
        <v>255</v>
      </c>
      <c r="B87" s="19" t="s">
        <v>275</v>
      </c>
      <c r="C87" s="6" t="s">
        <v>325</v>
      </c>
      <c r="D87" s="24">
        <f>IFERROR(AVERAGEIFS(DataEntry!$U:$U,DataEntry!$A:$A,"Liwonde",DataEntry!$B:$B,"Ntaja"),"")</f>
        <v>8.3891255904176065E-2</v>
      </c>
    </row>
    <row r="88" spans="1:4" x14ac:dyDescent="0.3">
      <c r="A88" s="21" t="s">
        <v>255</v>
      </c>
      <c r="B88" s="21" t="s">
        <v>275</v>
      </c>
      <c r="C88" s="12" t="s">
        <v>326</v>
      </c>
      <c r="D88" s="22">
        <f>IFERROR(SUMIFS(DataEntry!$V:$V,DataEntry!$A:$A,"Liwonde",DataEntry!$B:$B,"Ntaja"),"")</f>
        <v>101</v>
      </c>
    </row>
    <row r="89" spans="1:4" x14ac:dyDescent="0.3">
      <c r="A89" s="19" t="s">
        <v>255</v>
      </c>
      <c r="B89" s="19" t="s">
        <v>275</v>
      </c>
      <c r="C89" s="6" t="s">
        <v>327</v>
      </c>
      <c r="D89" s="20">
        <f>IFERROR(SUMIFS(DataEntry!$AH:$AH,DataEntry!$A:$A,"Liwonde",DataEntry!$B:$B,"Ntaja"),"")</f>
        <v>356054.29</v>
      </c>
    </row>
    <row r="90" spans="1:4" x14ac:dyDescent="0.3">
      <c r="A90" s="21" t="s">
        <v>255</v>
      </c>
      <c r="B90" s="21" t="s">
        <v>275</v>
      </c>
      <c r="C90" s="12" t="s">
        <v>328</v>
      </c>
      <c r="D90" s="22">
        <f>IFERROR(SUMIFS(DataEntry!$AL:$AL,DataEntry!$A:$A,"Liwonde",DataEntry!$B:$B,"Ntaja"),"")</f>
        <v>7262884.9400000004</v>
      </c>
    </row>
    <row r="91" spans="1:4" x14ac:dyDescent="0.3">
      <c r="A91" s="19" t="s">
        <v>255</v>
      </c>
      <c r="B91" s="19" t="s">
        <v>275</v>
      </c>
      <c r="C91" s="6" t="s">
        <v>329</v>
      </c>
      <c r="D91" s="20">
        <f>IFERROR(SUMIFS(DataEntry!$AP:$AP,DataEntry!$A:$A,"Liwonde",DataEntry!$B:$B,"Ntaja"),"")</f>
        <v>0</v>
      </c>
    </row>
    <row r="92" spans="1:4" x14ac:dyDescent="0.3">
      <c r="A92" s="21" t="s">
        <v>255</v>
      </c>
      <c r="B92" s="21" t="s">
        <v>275</v>
      </c>
      <c r="C92" s="12" t="s">
        <v>330</v>
      </c>
      <c r="D92" s="22">
        <f>IFERROR(SUMIFS(DataEntry!$AU:$AU,DataEntry!$A:$A,"Liwonde",DataEntry!$B:$B,"Ntaja"),"")</f>
        <v>61979182.489999995</v>
      </c>
    </row>
    <row r="93" spans="1:4" x14ac:dyDescent="0.3">
      <c r="A93" s="19" t="s">
        <v>255</v>
      </c>
      <c r="B93" s="19" t="s">
        <v>275</v>
      </c>
      <c r="C93" s="6" t="s">
        <v>331</v>
      </c>
      <c r="D93" s="24">
        <f>IFERROR(AVERAGEIFS(DataEntry!$AV:$AV,DataEntry!$A:$A,"Liwonde",DataEntry!$B:$B,"Ntaja"),"")</f>
        <v>1444.5025823729372</v>
      </c>
    </row>
    <row r="94" spans="1:4" x14ac:dyDescent="0.3">
      <c r="A94" s="21" t="s">
        <v>255</v>
      </c>
      <c r="B94" s="21" t="s">
        <v>275</v>
      </c>
      <c r="C94" s="12" t="s">
        <v>332</v>
      </c>
      <c r="D94" s="22">
        <f>IFERROR(SUMIFS(DataEntry!$GB:$GB,DataEntry!$A:$A,"Liwonde",DataEntry!$B:$B,"Ntaja"),"")</f>
        <v>48548272.309999995</v>
      </c>
    </row>
    <row r="95" spans="1:4" x14ac:dyDescent="0.3">
      <c r="A95" s="19" t="s">
        <v>255</v>
      </c>
      <c r="B95" s="19" t="s">
        <v>275</v>
      </c>
      <c r="C95" s="6" t="s">
        <v>333</v>
      </c>
      <c r="D95" s="20">
        <f>IFERROR(SUMIFS(DataEntry!$GM:$GM,DataEntry!$A:$A,"Liwonde",DataEntry!$B:$B,"Ntaja"),"")</f>
        <v>50669582.13000001</v>
      </c>
    </row>
    <row r="96" spans="1:4" x14ac:dyDescent="0.3">
      <c r="A96" s="21" t="s">
        <v>255</v>
      </c>
      <c r="B96" s="21" t="s">
        <v>275</v>
      </c>
      <c r="C96" s="12" t="s">
        <v>334</v>
      </c>
      <c r="D96" s="22">
        <f>IFERROR(SUMIFS(DataEntry!$GX:$GX,DataEntry!$A:$A,"Liwonde",DataEntry!$B:$B,"Ntaja"),"")</f>
        <v>50755532.13000001</v>
      </c>
    </row>
    <row r="97" spans="1:4" x14ac:dyDescent="0.3">
      <c r="A97" s="19" t="s">
        <v>255</v>
      </c>
      <c r="B97" s="19" t="s">
        <v>275</v>
      </c>
      <c r="C97" s="6" t="s">
        <v>335</v>
      </c>
      <c r="D97" s="20">
        <f>IFERROR(SUMIFS(DataEntry!$GY:$GY,DataEntry!$A:$A,"Liwonde",DataEntry!$B:$B,"Ntaja"),"")</f>
        <v>4891140.05</v>
      </c>
    </row>
    <row r="98" spans="1:4" x14ac:dyDescent="0.3">
      <c r="A98" s="21" t="s">
        <v>255</v>
      </c>
      <c r="B98" s="21" t="s">
        <v>275</v>
      </c>
      <c r="C98" s="12" t="s">
        <v>336</v>
      </c>
      <c r="D98" s="22">
        <f>IFERROR(SUMIFS(DataEntry!$GZ:$GZ,DataEntry!$A:$A,"Liwonde",DataEntry!$B:$B,"Ntaja"),"")</f>
        <v>1952583.8</v>
      </c>
    </row>
    <row r="99" spans="1:4" x14ac:dyDescent="0.3">
      <c r="A99" s="19" t="s">
        <v>255</v>
      </c>
      <c r="B99" s="19" t="s">
        <v>275</v>
      </c>
      <c r="C99" s="6" t="s">
        <v>337</v>
      </c>
      <c r="D99" s="20">
        <f>IFERROR(SUMIFS(DataEntry!$HA:$HA,DataEntry!$A:$A,"Liwonde",DataEntry!$B:$B,"Ntaja"),"")</f>
        <v>6843723.8499999996</v>
      </c>
    </row>
    <row r="100" spans="1:4" x14ac:dyDescent="0.3">
      <c r="A100" s="21" t="s">
        <v>255</v>
      </c>
      <c r="B100" s="21" t="s">
        <v>275</v>
      </c>
      <c r="C100" s="12" t="s">
        <v>338</v>
      </c>
      <c r="D100" s="23">
        <f>IFERROR(AVERAGEIFS(DataEntry!$HC:$HC,DataEntry!$A:$A,"Liwonde",DataEntry!$B:$B,"Ntaja"),"")</f>
        <v>37073.85492500593</v>
      </c>
    </row>
    <row r="101" spans="1:4" x14ac:dyDescent="0.3">
      <c r="A101" s="19" t="s">
        <v>255</v>
      </c>
      <c r="B101" s="19" t="s">
        <v>275</v>
      </c>
      <c r="C101" s="6" t="s">
        <v>339</v>
      </c>
      <c r="D101" s="24">
        <f>IFERROR(AVERAGEIFS(DataEntry!$HB:$HB,DataEntry!$A:$A,"Liwonde",DataEntry!$B:$B,"Ntaja"),"")</f>
        <v>316440.0944664678</v>
      </c>
    </row>
    <row r="102" spans="1:4" x14ac:dyDescent="0.3">
      <c r="A102" s="21" t="s">
        <v>255</v>
      </c>
      <c r="B102" s="21" t="s">
        <v>275</v>
      </c>
      <c r="C102" s="12" t="s">
        <v>340</v>
      </c>
      <c r="D102" s="22">
        <f>IFERROR(SUMIFS(DataEntry!$CS:$CS,DataEntry!$A:$A,"Liwonde",DataEntry!$B:$B,"Ntaja"),"")</f>
        <v>7987</v>
      </c>
    </row>
    <row r="103" spans="1:4" x14ac:dyDescent="0.3">
      <c r="A103" s="19" t="s">
        <v>255</v>
      </c>
      <c r="B103" s="19" t="s">
        <v>275</v>
      </c>
      <c r="C103" s="6" t="s">
        <v>341</v>
      </c>
      <c r="D103" s="20">
        <f>IFERROR(SUMIFS(DataEntry!$CT:$CT,DataEntry!$A:$A,"Liwonde",DataEntry!$B:$B,"Ntaja"),"")</f>
        <v>8024</v>
      </c>
    </row>
    <row r="104" spans="1:4" x14ac:dyDescent="0.3">
      <c r="A104" s="21" t="s">
        <v>255</v>
      </c>
      <c r="B104" s="21" t="s">
        <v>275</v>
      </c>
      <c r="C104" s="12" t="s">
        <v>342</v>
      </c>
      <c r="D104" s="22">
        <f>IFERROR(SUMIFS(DataEntry!$CV:$CV,DataEntry!$A:$A,"Liwonde",DataEntry!$B:$B,"Ntaja"),"")</f>
        <v>34655.030400000003</v>
      </c>
    </row>
    <row r="105" spans="1:4" x14ac:dyDescent="0.3">
      <c r="A105" s="19" t="s">
        <v>255</v>
      </c>
      <c r="B105" s="19" t="s">
        <v>275</v>
      </c>
      <c r="C105" s="6" t="s">
        <v>343</v>
      </c>
      <c r="D105" s="24">
        <f>IFERROR(AVERAGEIFS(DataEntry!$CW:$CW,DataEntry!$A:$A,"Liwonde",DataEntry!$B:$B,"Ntaja"),"")</f>
        <v>0.67934725923297667</v>
      </c>
    </row>
    <row r="106" spans="1:4" x14ac:dyDescent="0.3">
      <c r="A106" s="21" t="s">
        <v>255</v>
      </c>
      <c r="B106" s="21" t="s">
        <v>275</v>
      </c>
      <c r="C106" s="12" t="s">
        <v>344</v>
      </c>
      <c r="D106" s="22">
        <f>IFERROR(SUMIFS(DataEntry!$CA:$CA,DataEntry!$A:$A,"Liwonde",DataEntry!$B:$B,"Ntaja"),"")</f>
        <v>123</v>
      </c>
    </row>
    <row r="107" spans="1:4" x14ac:dyDescent="0.3">
      <c r="A107" s="19" t="s">
        <v>255</v>
      </c>
      <c r="B107" s="19" t="s">
        <v>275</v>
      </c>
      <c r="C107" s="6" t="s">
        <v>345</v>
      </c>
      <c r="D107" s="20">
        <f>IFERROR(SUMIFS(DataEntry!$DV:$DV,DataEntry!$A:$A,"Liwonde",DataEntry!$B:$B,"Ntaja"),"")</f>
        <v>0</v>
      </c>
    </row>
    <row r="108" spans="1:4" x14ac:dyDescent="0.3">
      <c r="A108" s="21" t="s">
        <v>255</v>
      </c>
      <c r="B108" s="21" t="s">
        <v>275</v>
      </c>
      <c r="C108" s="12" t="s">
        <v>346</v>
      </c>
      <c r="D108" s="22">
        <f>IFERROR(SUMIFS(DataEntry!$FG:$FG,DataEntry!$A:$A,"Liwonde",DataEntry!$B:$B,"Ntaja"),"")</f>
        <v>889</v>
      </c>
    </row>
    <row r="109" spans="1:4" x14ac:dyDescent="0.3">
      <c r="A109" s="19" t="s">
        <v>255</v>
      </c>
      <c r="B109" s="19" t="s">
        <v>275</v>
      </c>
      <c r="C109" s="6" t="s">
        <v>347</v>
      </c>
      <c r="D109" s="24">
        <f>IFERROR(AVERAGEIFS(DataEntry!$HK:$HK,DataEntry!$A:$A,"Liwonde",DataEntry!$B:$B,"Ntaja"),"")</f>
        <v>0.57694985984998925</v>
      </c>
    </row>
    <row r="110" spans="1:4" x14ac:dyDescent="0.3">
      <c r="A110" s="21" t="s">
        <v>255</v>
      </c>
      <c r="B110" s="21" t="s">
        <v>275</v>
      </c>
      <c r="C110" s="12" t="s">
        <v>348</v>
      </c>
      <c r="D110" s="23">
        <f>IFERROR(AVERAGEIFS(DataEntry!$HN:$HN,DataEntry!$A:$A,"Liwonde",DataEntry!$B:$B,"Ntaja"),"")</f>
        <v>0.97709383802061145</v>
      </c>
    </row>
    <row r="111" spans="1:4" x14ac:dyDescent="0.3">
      <c r="A111" s="19" t="s">
        <v>276</v>
      </c>
      <c r="B111" s="19" t="s">
        <v>276</v>
      </c>
      <c r="C111" s="6" t="s">
        <v>40</v>
      </c>
      <c r="D111" s="20">
        <f>IFERROR(SUMIFS(DataEntry!$H:$H,DataEntry!$A:$A,"Mangochi",DataEntry!$B:$B,"Mangochi"),"")</f>
        <v>1822657.5</v>
      </c>
    </row>
    <row r="112" spans="1:4" x14ac:dyDescent="0.3">
      <c r="A112" s="21" t="s">
        <v>276</v>
      </c>
      <c r="B112" s="21" t="s">
        <v>276</v>
      </c>
      <c r="C112" s="12" t="s">
        <v>323</v>
      </c>
      <c r="D112" s="22">
        <f>IFERROR(SUMIFS(DataEntry!$S:$S,DataEntry!$A:$A,"Mangochi",DataEntry!$B:$B,"Mangochi"),"")</f>
        <v>1172154.0999999996</v>
      </c>
    </row>
    <row r="113" spans="1:4" x14ac:dyDescent="0.3">
      <c r="A113" s="19" t="s">
        <v>276</v>
      </c>
      <c r="B113" s="19" t="s">
        <v>276</v>
      </c>
      <c r="C113" s="6" t="s">
        <v>324</v>
      </c>
      <c r="D113" s="20">
        <f>IFERROR(SUMIFS(DataEntry!$T:$T,DataEntry!$A:$A,"Mangochi",DataEntry!$B:$B,"Mangochi"),"")</f>
        <v>650503.40000000014</v>
      </c>
    </row>
    <row r="114" spans="1:4" x14ac:dyDescent="0.3">
      <c r="A114" s="21" t="s">
        <v>276</v>
      </c>
      <c r="B114" s="21" t="s">
        <v>276</v>
      </c>
      <c r="C114" s="12" t="s">
        <v>325</v>
      </c>
      <c r="D114" s="23">
        <f>IFERROR(AVERAGEIFS(DataEntry!$U:$U,DataEntry!$A:$A,"Mangochi",DataEntry!$B:$B,"Mangochi"),"")</f>
        <v>0.35518679026639255</v>
      </c>
    </row>
    <row r="115" spans="1:4" x14ac:dyDescent="0.3">
      <c r="A115" s="19" t="s">
        <v>276</v>
      </c>
      <c r="B115" s="19" t="s">
        <v>276</v>
      </c>
      <c r="C115" s="6" t="s">
        <v>326</v>
      </c>
      <c r="D115" s="20">
        <f>IFERROR(SUMIFS(DataEntry!$V:$V,DataEntry!$A:$A,"Mangochi",DataEntry!$B:$B,"Mangochi"),"")</f>
        <v>4034.85</v>
      </c>
    </row>
    <row r="116" spans="1:4" x14ac:dyDescent="0.3">
      <c r="A116" s="21" t="s">
        <v>276</v>
      </c>
      <c r="B116" s="21" t="s">
        <v>276</v>
      </c>
      <c r="C116" s="12" t="s">
        <v>327</v>
      </c>
      <c r="D116" s="22">
        <f>IFERROR(SUMIFS(DataEntry!$AH:$AH,DataEntry!$A:$A,"Mangochi",DataEntry!$B:$B,"Mangochi"),"")</f>
        <v>97395389.13499999</v>
      </c>
    </row>
    <row r="117" spans="1:4" x14ac:dyDescent="0.3">
      <c r="A117" s="19" t="s">
        <v>276</v>
      </c>
      <c r="B117" s="19" t="s">
        <v>276</v>
      </c>
      <c r="C117" s="6" t="s">
        <v>328</v>
      </c>
      <c r="D117" s="20">
        <f>IFERROR(SUMIFS(DataEntry!$AL:$AL,DataEntry!$A:$A,"Mangochi",DataEntry!$B:$B,"Mangochi"),"")</f>
        <v>82338175.921074986</v>
      </c>
    </row>
    <row r="118" spans="1:4" x14ac:dyDescent="0.3">
      <c r="A118" s="21" t="s">
        <v>276</v>
      </c>
      <c r="B118" s="21" t="s">
        <v>276</v>
      </c>
      <c r="C118" s="12" t="s">
        <v>329</v>
      </c>
      <c r="D118" s="22">
        <f>IFERROR(SUMIFS(DataEntry!$AP:$AP,DataEntry!$A:$A,"Mangochi",DataEntry!$B:$B,"Mangochi"),"")</f>
        <v>27573210.290000003</v>
      </c>
    </row>
    <row r="119" spans="1:4" x14ac:dyDescent="0.3">
      <c r="A119" s="19" t="s">
        <v>276</v>
      </c>
      <c r="B119" s="19" t="s">
        <v>276</v>
      </c>
      <c r="C119" s="6" t="s">
        <v>330</v>
      </c>
      <c r="D119" s="20">
        <f>IFERROR(SUMIFS(DataEntry!$AU:$AU,DataEntry!$A:$A,"Mangochi",DataEntry!$B:$B,"Mangochi"),"")</f>
        <v>657578274.32357502</v>
      </c>
    </row>
    <row r="120" spans="1:4" x14ac:dyDescent="0.3">
      <c r="A120" s="21" t="s">
        <v>276</v>
      </c>
      <c r="B120" s="21" t="s">
        <v>276</v>
      </c>
      <c r="C120" s="12" t="s">
        <v>331</v>
      </c>
      <c r="D120" s="23">
        <f>IFERROR(AVERAGEIFS(DataEntry!$AV:$AV,DataEntry!$A:$A,"Mangochi",DataEntry!$B:$B,"Mangochi"),"")</f>
        <v>363.98297317013152</v>
      </c>
    </row>
    <row r="121" spans="1:4" x14ac:dyDescent="0.3">
      <c r="A121" s="19" t="s">
        <v>276</v>
      </c>
      <c r="B121" s="19" t="s">
        <v>276</v>
      </c>
      <c r="C121" s="6" t="s">
        <v>332</v>
      </c>
      <c r="D121" s="20">
        <f>IFERROR(SUMIFS(DataEntry!$GB:$GB,DataEntry!$A:$A,"Mangochi",DataEntry!$B:$B,"Mangochi"),"")</f>
        <v>1497306947.9300001</v>
      </c>
    </row>
    <row r="122" spans="1:4" x14ac:dyDescent="0.3">
      <c r="A122" s="21" t="s">
        <v>276</v>
      </c>
      <c r="B122" s="21" t="s">
        <v>276</v>
      </c>
      <c r="C122" s="12" t="s">
        <v>333</v>
      </c>
      <c r="D122" s="22">
        <f>IFERROR(SUMIFS(DataEntry!$GM:$GM,DataEntry!$A:$A,"Mangochi",DataEntry!$B:$B,"Mangochi"),"")</f>
        <v>1279776342.9400001</v>
      </c>
    </row>
    <row r="123" spans="1:4" x14ac:dyDescent="0.3">
      <c r="A123" s="19" t="s">
        <v>276</v>
      </c>
      <c r="B123" s="19" t="s">
        <v>276</v>
      </c>
      <c r="C123" s="6" t="s">
        <v>334</v>
      </c>
      <c r="D123" s="20">
        <f>IFERROR(SUMIFS(DataEntry!$GX:$GX,DataEntry!$A:$A,"Mangochi",DataEntry!$B:$B,"Mangochi"),"")</f>
        <v>1352681640.5800002</v>
      </c>
    </row>
    <row r="124" spans="1:4" x14ac:dyDescent="0.3">
      <c r="A124" s="21" t="s">
        <v>276</v>
      </c>
      <c r="B124" s="21" t="s">
        <v>276</v>
      </c>
      <c r="C124" s="12" t="s">
        <v>335</v>
      </c>
      <c r="D124" s="22">
        <f>IFERROR(SUMIFS(DataEntry!$GY:$GY,DataEntry!$A:$A,"Mangochi",DataEntry!$B:$B,"Mangochi"),"")</f>
        <v>1089523502.6900065</v>
      </c>
    </row>
    <row r="125" spans="1:4" x14ac:dyDescent="0.3">
      <c r="A125" s="19" t="s">
        <v>276</v>
      </c>
      <c r="B125" s="19" t="s">
        <v>276</v>
      </c>
      <c r="C125" s="6" t="s">
        <v>336</v>
      </c>
      <c r="D125" s="20">
        <f>IFERROR(SUMIFS(DataEntry!$GZ:$GZ,DataEntry!$A:$A,"Mangochi",DataEntry!$B:$B,"Mangochi"),"")</f>
        <v>4556256320.7799988</v>
      </c>
    </row>
    <row r="126" spans="1:4" x14ac:dyDescent="0.3">
      <c r="A126" s="21" t="s">
        <v>276</v>
      </c>
      <c r="B126" s="21" t="s">
        <v>276</v>
      </c>
      <c r="C126" s="12" t="s">
        <v>337</v>
      </c>
      <c r="D126" s="22">
        <f>IFERROR(SUMIFS(DataEntry!$HA:$HA,DataEntry!$A:$A,"Mangochi",DataEntry!$B:$B,"Mangochi"),"")</f>
        <v>5645779823.4700069</v>
      </c>
    </row>
    <row r="127" spans="1:4" x14ac:dyDescent="0.3">
      <c r="A127" s="19" t="s">
        <v>276</v>
      </c>
      <c r="B127" s="19" t="s">
        <v>276</v>
      </c>
      <c r="C127" s="6" t="s">
        <v>338</v>
      </c>
      <c r="D127" s="24">
        <f>IFERROR(AVERAGEIFS(DataEntry!$HC:$HC,DataEntry!$A:$A,"Mangochi",DataEntry!$B:$B,"Mangochi"),"")</f>
        <v>5655629.899067414</v>
      </c>
    </row>
    <row r="128" spans="1:4" x14ac:dyDescent="0.3">
      <c r="A128" s="21" t="s">
        <v>276</v>
      </c>
      <c r="B128" s="21" t="s">
        <v>276</v>
      </c>
      <c r="C128" s="12" t="s">
        <v>339</v>
      </c>
      <c r="D128" s="23">
        <f>IFERROR(AVERAGEIFS(DataEntry!$HB:$HB,DataEntry!$A:$A,"Mangochi",DataEntry!$B:$B,"Mangochi"),"")</f>
        <v>9886694.0534279402</v>
      </c>
    </row>
    <row r="129" spans="1:4" x14ac:dyDescent="0.3">
      <c r="A129" s="19" t="s">
        <v>276</v>
      </c>
      <c r="B129" s="19" t="s">
        <v>276</v>
      </c>
      <c r="C129" s="6" t="s">
        <v>340</v>
      </c>
      <c r="D129" s="20">
        <f>IFERROR(SUMIFS(DataEntry!$CS:$CS,DataEntry!$A:$A,"Mangochi",DataEntry!$B:$B,"Mangochi"),"")</f>
        <v>100281</v>
      </c>
    </row>
    <row r="130" spans="1:4" x14ac:dyDescent="0.3">
      <c r="A130" s="21" t="s">
        <v>276</v>
      </c>
      <c r="B130" s="21" t="s">
        <v>276</v>
      </c>
      <c r="C130" s="12" t="s">
        <v>341</v>
      </c>
      <c r="D130" s="22">
        <f>IFERROR(SUMIFS(DataEntry!$CT:$CT,DataEntry!$A:$A,"Mangochi",DataEntry!$B:$B,"Mangochi"),"")</f>
        <v>129884</v>
      </c>
    </row>
    <row r="131" spans="1:4" x14ac:dyDescent="0.3">
      <c r="A131" s="19" t="s">
        <v>276</v>
      </c>
      <c r="B131" s="19" t="s">
        <v>276</v>
      </c>
      <c r="C131" s="6" t="s">
        <v>342</v>
      </c>
      <c r="D131" s="20">
        <f>IFERROR(SUMIFS(DataEntry!$CV:$CV,DataEntry!$A:$A,"Mangochi",DataEntry!$B:$B,"Mangochi"),"")</f>
        <v>577083</v>
      </c>
    </row>
    <row r="132" spans="1:4" x14ac:dyDescent="0.3">
      <c r="A132" s="21" t="s">
        <v>276</v>
      </c>
      <c r="B132" s="21" t="s">
        <v>276</v>
      </c>
      <c r="C132" s="12" t="s">
        <v>343</v>
      </c>
      <c r="D132" s="23">
        <f>IFERROR(AVERAGEIFS(DataEntry!$CW:$CW,DataEntry!$A:$A,"Mangochi",DataEntry!$B:$B,"Mangochi"),"")</f>
        <v>0.9394288578218587</v>
      </c>
    </row>
    <row r="133" spans="1:4" x14ac:dyDescent="0.3">
      <c r="A133" s="19" t="s">
        <v>276</v>
      </c>
      <c r="B133" s="19" t="s">
        <v>276</v>
      </c>
      <c r="C133" s="6" t="s">
        <v>344</v>
      </c>
      <c r="D133" s="20">
        <f>IFERROR(SUMIFS(DataEntry!$CA:$CA,DataEntry!$A:$A,"Mangochi",DataEntry!$B:$B,"Mangochi"),"")</f>
        <v>1057</v>
      </c>
    </row>
    <row r="134" spans="1:4" x14ac:dyDescent="0.3">
      <c r="A134" s="21" t="s">
        <v>276</v>
      </c>
      <c r="B134" s="21" t="s">
        <v>276</v>
      </c>
      <c r="C134" s="12" t="s">
        <v>345</v>
      </c>
      <c r="D134" s="22">
        <f>IFERROR(SUMIFS(DataEntry!$DV:$DV,DataEntry!$A:$A,"Mangochi",DataEntry!$B:$B,"Mangochi"),"")</f>
        <v>3468</v>
      </c>
    </row>
    <row r="135" spans="1:4" x14ac:dyDescent="0.3">
      <c r="A135" s="19" t="s">
        <v>276</v>
      </c>
      <c r="B135" s="19" t="s">
        <v>276</v>
      </c>
      <c r="C135" s="6" t="s">
        <v>346</v>
      </c>
      <c r="D135" s="20">
        <f>IFERROR(SUMIFS(DataEntry!$FG:$FG,DataEntry!$A:$A,"Mangochi",DataEntry!$B:$B,"Mangochi"),"")</f>
        <v>2385</v>
      </c>
    </row>
    <row r="136" spans="1:4" x14ac:dyDescent="0.3">
      <c r="A136" s="21" t="s">
        <v>276</v>
      </c>
      <c r="B136" s="21" t="s">
        <v>276</v>
      </c>
      <c r="C136" s="12" t="s">
        <v>347</v>
      </c>
      <c r="D136" s="23">
        <f>IFERROR(AVERAGEIFS(DataEntry!$HK:$HK,DataEntry!$A:$A,"Mangochi",DataEntry!$B:$B,"Mangochi"),"")</f>
        <v>5.9673222095977516E-2</v>
      </c>
    </row>
    <row r="137" spans="1:4" x14ac:dyDescent="0.3">
      <c r="A137" s="19" t="s">
        <v>276</v>
      </c>
      <c r="B137" s="19" t="s">
        <v>276</v>
      </c>
      <c r="C137" s="6" t="s">
        <v>348</v>
      </c>
      <c r="D137" s="24">
        <f>IFERROR(AVERAGEIFS(DataEntry!$HN:$HN,DataEntry!$A:$A,"Mangochi",DataEntry!$B:$B,"Mangochi"),"")</f>
        <v>0.47562795931925073</v>
      </c>
    </row>
    <row r="138" spans="1:4" x14ac:dyDescent="0.3">
      <c r="A138" s="21" t="s">
        <v>276</v>
      </c>
      <c r="B138" s="21" t="s">
        <v>277</v>
      </c>
      <c r="C138" s="12" t="s">
        <v>40</v>
      </c>
      <c r="D138" s="22">
        <f>IFERROR(SUMIFS(DataEntry!$H:$H,DataEntry!$A:$A,"Mangochi",DataEntry!$B:$B,"Monkey Bay"),"")</f>
        <v>777457</v>
      </c>
    </row>
    <row r="139" spans="1:4" x14ac:dyDescent="0.3">
      <c r="A139" s="19" t="s">
        <v>276</v>
      </c>
      <c r="B139" s="19" t="s">
        <v>277</v>
      </c>
      <c r="C139" s="6" t="s">
        <v>323</v>
      </c>
      <c r="D139" s="20">
        <f>IFERROR(SUMIFS(DataEntry!$S:$S,DataEntry!$A:$A,"Mangochi",DataEntry!$B:$B,"Monkey Bay"),"")</f>
        <v>616112.1</v>
      </c>
    </row>
    <row r="140" spans="1:4" x14ac:dyDescent="0.3">
      <c r="A140" s="21" t="s">
        <v>276</v>
      </c>
      <c r="B140" s="21" t="s">
        <v>277</v>
      </c>
      <c r="C140" s="12" t="s">
        <v>324</v>
      </c>
      <c r="D140" s="22">
        <f>IFERROR(SUMIFS(DataEntry!$T:$T,DataEntry!$A:$A,"Mangochi",DataEntry!$B:$B,"Monkey Bay"),"")</f>
        <v>161344.89999999997</v>
      </c>
    </row>
    <row r="141" spans="1:4" x14ac:dyDescent="0.3">
      <c r="A141" s="19" t="s">
        <v>276</v>
      </c>
      <c r="B141" s="19" t="s">
        <v>277</v>
      </c>
      <c r="C141" s="6" t="s">
        <v>325</v>
      </c>
      <c r="D141" s="24">
        <f>IFERROR(AVERAGEIFS(DataEntry!$U:$U,DataEntry!$A:$A,"Mangochi",DataEntry!$B:$B,"Monkey Bay"),"")</f>
        <v>0.20939517385970943</v>
      </c>
    </row>
    <row r="142" spans="1:4" x14ac:dyDescent="0.3">
      <c r="A142" s="21" t="s">
        <v>276</v>
      </c>
      <c r="B142" s="21" t="s">
        <v>277</v>
      </c>
      <c r="C142" s="12" t="s">
        <v>326</v>
      </c>
      <c r="D142" s="22">
        <f>IFERROR(SUMIFS(DataEntry!$V:$V,DataEntry!$A:$A,"Mangochi",DataEntry!$B:$B,"Monkey Bay"),"")</f>
        <v>1670</v>
      </c>
    </row>
    <row r="143" spans="1:4" x14ac:dyDescent="0.3">
      <c r="A143" s="19" t="s">
        <v>276</v>
      </c>
      <c r="B143" s="19" t="s">
        <v>277</v>
      </c>
      <c r="C143" s="6" t="s">
        <v>327</v>
      </c>
      <c r="D143" s="20">
        <f>IFERROR(SUMIFS(DataEntry!$AH:$AH,DataEntry!$A:$A,"Mangochi",DataEntry!$B:$B,"Monkey Bay"),"")</f>
        <v>39961597</v>
      </c>
    </row>
    <row r="144" spans="1:4" x14ac:dyDescent="0.3">
      <c r="A144" s="21" t="s">
        <v>276</v>
      </c>
      <c r="B144" s="21" t="s">
        <v>277</v>
      </c>
      <c r="C144" s="12" t="s">
        <v>328</v>
      </c>
      <c r="D144" s="22">
        <f>IFERROR(SUMIFS(DataEntry!$AL:$AL,DataEntry!$A:$A,"Mangochi",DataEntry!$B:$B,"Monkey Bay"),"")</f>
        <v>60836252.235000007</v>
      </c>
    </row>
    <row r="145" spans="1:4" x14ac:dyDescent="0.3">
      <c r="A145" s="19" t="s">
        <v>276</v>
      </c>
      <c r="B145" s="19" t="s">
        <v>277</v>
      </c>
      <c r="C145" s="6" t="s">
        <v>329</v>
      </c>
      <c r="D145" s="20">
        <f>IFERROR(SUMIFS(DataEntry!$AP:$AP,DataEntry!$A:$A,"Mangochi",DataEntry!$B:$B,"Monkey Bay"),"")</f>
        <v>6519189.7999999998</v>
      </c>
    </row>
    <row r="146" spans="1:4" x14ac:dyDescent="0.3">
      <c r="A146" s="21" t="s">
        <v>276</v>
      </c>
      <c r="B146" s="21" t="s">
        <v>277</v>
      </c>
      <c r="C146" s="12" t="s">
        <v>330</v>
      </c>
      <c r="D146" s="22">
        <f>IFERROR(SUMIFS(DataEntry!$AU:$AU,DataEntry!$A:$A,"Mangochi",DataEntry!$B:$B,"Monkey Bay"),"")</f>
        <v>188635112.57250005</v>
      </c>
    </row>
    <row r="147" spans="1:4" x14ac:dyDescent="0.3">
      <c r="A147" s="19" t="s">
        <v>276</v>
      </c>
      <c r="B147" s="19" t="s">
        <v>277</v>
      </c>
      <c r="C147" s="6" t="s">
        <v>331</v>
      </c>
      <c r="D147" s="24">
        <f>IFERROR(AVERAGEIFS(DataEntry!$AV:$AV,DataEntry!$A:$A,"Mangochi",DataEntry!$B:$B,"Monkey Bay"),"")</f>
        <v>242.48198002504193</v>
      </c>
    </row>
    <row r="148" spans="1:4" x14ac:dyDescent="0.3">
      <c r="A148" s="21" t="s">
        <v>276</v>
      </c>
      <c r="B148" s="21" t="s">
        <v>277</v>
      </c>
      <c r="C148" s="12" t="s">
        <v>332</v>
      </c>
      <c r="D148" s="22">
        <f>IFERROR(SUMIFS(DataEntry!$GB:$GB,DataEntry!$A:$A,"Mangochi",DataEntry!$B:$B,"Monkey Bay"),"")</f>
        <v>1111032617.8299999</v>
      </c>
    </row>
    <row r="149" spans="1:4" x14ac:dyDescent="0.3">
      <c r="A149" s="19" t="s">
        <v>276</v>
      </c>
      <c r="B149" s="19" t="s">
        <v>277</v>
      </c>
      <c r="C149" s="6" t="s">
        <v>333</v>
      </c>
      <c r="D149" s="20">
        <f>IFERROR(SUMIFS(DataEntry!$GM:$GM,DataEntry!$A:$A,"Mangochi",DataEntry!$B:$B,"Monkey Bay"),"")</f>
        <v>1207813208.6600001</v>
      </c>
    </row>
    <row r="150" spans="1:4" x14ac:dyDescent="0.3">
      <c r="A150" s="21" t="s">
        <v>276</v>
      </c>
      <c r="B150" s="21" t="s">
        <v>277</v>
      </c>
      <c r="C150" s="12" t="s">
        <v>334</v>
      </c>
      <c r="D150" s="22">
        <f>IFERROR(SUMIFS(DataEntry!$GX:$GX,DataEntry!$A:$A,"Mangochi",DataEntry!$B:$B,"Monkey Bay"),"")</f>
        <v>1232837844.3999999</v>
      </c>
    </row>
    <row r="151" spans="1:4" x14ac:dyDescent="0.3">
      <c r="A151" s="19" t="s">
        <v>276</v>
      </c>
      <c r="B151" s="19" t="s">
        <v>277</v>
      </c>
      <c r="C151" s="6" t="s">
        <v>335</v>
      </c>
      <c r="D151" s="20">
        <f>IFERROR(SUMIFS(DataEntry!$GY:$GY,DataEntry!$A:$A,"Mangochi",DataEntry!$B:$B,"Monkey Bay"),"")</f>
        <v>336796852.10999948</v>
      </c>
    </row>
    <row r="152" spans="1:4" x14ac:dyDescent="0.3">
      <c r="A152" s="21" t="s">
        <v>276</v>
      </c>
      <c r="B152" s="21" t="s">
        <v>277</v>
      </c>
      <c r="C152" s="12" t="s">
        <v>336</v>
      </c>
      <c r="D152" s="22">
        <f>IFERROR(SUMIFS(DataEntry!$GZ:$GZ,DataEntry!$A:$A,"Mangochi",DataEntry!$B:$B,"Monkey Bay"),"")</f>
        <v>4117293172.4100008</v>
      </c>
    </row>
    <row r="153" spans="1:4" x14ac:dyDescent="0.3">
      <c r="A153" s="19" t="s">
        <v>276</v>
      </c>
      <c r="B153" s="19" t="s">
        <v>277</v>
      </c>
      <c r="C153" s="6" t="s">
        <v>337</v>
      </c>
      <c r="D153" s="20">
        <f>IFERROR(SUMIFS(DataEntry!$HA:$HA,DataEntry!$A:$A,"Mangochi",DataEntry!$B:$B,"Monkey Bay"),"")</f>
        <v>4454090024.5200005</v>
      </c>
    </row>
    <row r="154" spans="1:4" x14ac:dyDescent="0.3">
      <c r="A154" s="21" t="s">
        <v>276</v>
      </c>
      <c r="B154" s="21" t="s">
        <v>277</v>
      </c>
      <c r="C154" s="12" t="s">
        <v>338</v>
      </c>
      <c r="D154" s="23">
        <f>IFERROR(AVERAGEIFS(DataEntry!$HC:$HC,DataEntry!$A:$A,"Mangochi",DataEntry!$B:$B,"Monkey Bay"),"")</f>
        <v>866556.79162820836</v>
      </c>
    </row>
    <row r="155" spans="1:4" x14ac:dyDescent="0.3">
      <c r="A155" s="19" t="s">
        <v>276</v>
      </c>
      <c r="B155" s="19" t="s">
        <v>277</v>
      </c>
      <c r="C155" s="6" t="s">
        <v>339</v>
      </c>
      <c r="D155" s="24">
        <f>IFERROR(AVERAGEIFS(DataEntry!$HB:$HB,DataEntry!$A:$A,"Mangochi",DataEntry!$B:$B,"Monkey Bay"),"")</f>
        <v>7691346.4873460932</v>
      </c>
    </row>
    <row r="156" spans="1:4" x14ac:dyDescent="0.3">
      <c r="A156" s="21" t="s">
        <v>276</v>
      </c>
      <c r="B156" s="21" t="s">
        <v>277</v>
      </c>
      <c r="C156" s="12" t="s">
        <v>340</v>
      </c>
      <c r="D156" s="22">
        <f>IFERROR(SUMIFS(DataEntry!$CS:$CS,DataEntry!$A:$A,"Mangochi",DataEntry!$B:$B,"Monkey Bay"),"")</f>
        <v>27534</v>
      </c>
    </row>
    <row r="157" spans="1:4" x14ac:dyDescent="0.3">
      <c r="A157" s="19" t="s">
        <v>276</v>
      </c>
      <c r="B157" s="19" t="s">
        <v>277</v>
      </c>
      <c r="C157" s="6" t="s">
        <v>341</v>
      </c>
      <c r="D157" s="20">
        <f>IFERROR(SUMIFS(DataEntry!$CT:$CT,DataEntry!$A:$A,"Mangochi",DataEntry!$B:$B,"Monkey Bay"),"")</f>
        <v>32952</v>
      </c>
    </row>
    <row r="158" spans="1:4" x14ac:dyDescent="0.3">
      <c r="A158" s="21" t="s">
        <v>276</v>
      </c>
      <c r="B158" s="21" t="s">
        <v>277</v>
      </c>
      <c r="C158" s="12" t="s">
        <v>342</v>
      </c>
      <c r="D158" s="22">
        <f>IFERROR(SUMIFS(DataEntry!$CV:$CV,DataEntry!$A:$A,"Mangochi",DataEntry!$B:$B,"Monkey Bay"),"")</f>
        <v>228619</v>
      </c>
    </row>
    <row r="159" spans="1:4" x14ac:dyDescent="0.3">
      <c r="A159" s="19" t="s">
        <v>276</v>
      </c>
      <c r="B159" s="19" t="s">
        <v>277</v>
      </c>
      <c r="C159" s="6" t="s">
        <v>343</v>
      </c>
      <c r="D159" s="24">
        <f>IFERROR(AVERAGEIFS(DataEntry!$CW:$CW,DataEntry!$A:$A,"Mangochi",DataEntry!$B:$B,"Monkey Bay"),"")</f>
        <v>0.84432880821745071</v>
      </c>
    </row>
    <row r="160" spans="1:4" x14ac:dyDescent="0.3">
      <c r="A160" s="21" t="s">
        <v>276</v>
      </c>
      <c r="B160" s="21" t="s">
        <v>277</v>
      </c>
      <c r="C160" s="12" t="s">
        <v>344</v>
      </c>
      <c r="D160" s="22">
        <f>IFERROR(SUMIFS(DataEntry!$CA:$CA,DataEntry!$A:$A,"Mangochi",DataEntry!$B:$B,"Monkey Bay"),"")</f>
        <v>485</v>
      </c>
    </row>
    <row r="161" spans="1:4" x14ac:dyDescent="0.3">
      <c r="A161" s="19" t="s">
        <v>276</v>
      </c>
      <c r="B161" s="19" t="s">
        <v>277</v>
      </c>
      <c r="C161" s="6" t="s">
        <v>345</v>
      </c>
      <c r="D161" s="20">
        <f>IFERROR(SUMIFS(DataEntry!$DV:$DV,DataEntry!$A:$A,"Mangochi",DataEntry!$B:$B,"Monkey Bay"),"")</f>
        <v>358</v>
      </c>
    </row>
    <row r="162" spans="1:4" x14ac:dyDescent="0.3">
      <c r="A162" s="21" t="s">
        <v>276</v>
      </c>
      <c r="B162" s="21" t="s">
        <v>277</v>
      </c>
      <c r="C162" s="12" t="s">
        <v>346</v>
      </c>
      <c r="D162" s="22">
        <f>IFERROR(SUMIFS(DataEntry!$FG:$FG,DataEntry!$A:$A,"Mangochi",DataEntry!$B:$B,"Monkey Bay"),"")</f>
        <v>598</v>
      </c>
    </row>
    <row r="163" spans="1:4" x14ac:dyDescent="0.3">
      <c r="A163" s="19" t="s">
        <v>276</v>
      </c>
      <c r="B163" s="19" t="s">
        <v>277</v>
      </c>
      <c r="C163" s="6" t="s">
        <v>347</v>
      </c>
      <c r="D163" s="24">
        <f>IFERROR(AVERAGEIFS(DataEntry!$HK:$HK,DataEntry!$A:$A,"Mangochi",DataEntry!$B:$B,"Monkey Bay"),"")</f>
        <v>0.76965307264408678</v>
      </c>
    </row>
    <row r="164" spans="1:4" x14ac:dyDescent="0.3">
      <c r="A164" s="21" t="s">
        <v>276</v>
      </c>
      <c r="B164" s="21" t="s">
        <v>277</v>
      </c>
      <c r="C164" s="12" t="s">
        <v>348</v>
      </c>
      <c r="D164" s="23">
        <f>IFERROR(AVERAGEIFS(DataEntry!$HN:$HN,DataEntry!$A:$A,"Mangochi",DataEntry!$B:$B,"Monkey Bay"),"")</f>
        <v>0.46812714319171905</v>
      </c>
    </row>
    <row r="165" spans="1:4" x14ac:dyDescent="0.3">
      <c r="A165" s="19" t="s">
        <v>276</v>
      </c>
      <c r="B165" s="19" t="s">
        <v>278</v>
      </c>
      <c r="C165" s="6" t="s">
        <v>40</v>
      </c>
      <c r="D165" s="20">
        <f>IFERROR(SUMIFS(DataEntry!$H:$H,DataEntry!$A:$A,"Mangochi",DataEntry!$B:$B,"Namwera"),"")</f>
        <v>47423</v>
      </c>
    </row>
    <row r="166" spans="1:4" x14ac:dyDescent="0.3">
      <c r="A166" s="21" t="s">
        <v>276</v>
      </c>
      <c r="B166" s="21" t="s">
        <v>278</v>
      </c>
      <c r="C166" s="12" t="s">
        <v>323</v>
      </c>
      <c r="D166" s="22">
        <f>IFERROR(SUMIFS(DataEntry!$S:$S,DataEntry!$A:$A,"Mangochi",DataEntry!$B:$B,"Namwera"),"")</f>
        <v>39955.9</v>
      </c>
    </row>
    <row r="167" spans="1:4" x14ac:dyDescent="0.3">
      <c r="A167" s="19" t="s">
        <v>276</v>
      </c>
      <c r="B167" s="19" t="s">
        <v>278</v>
      </c>
      <c r="C167" s="6" t="s">
        <v>324</v>
      </c>
      <c r="D167" s="20">
        <f>IFERROR(SUMIFS(DataEntry!$T:$T,DataEntry!$A:$A,"Mangochi",DataEntry!$B:$B,"Namwera"),"")</f>
        <v>7467.1000000000022</v>
      </c>
    </row>
    <row r="168" spans="1:4" x14ac:dyDescent="0.3">
      <c r="A168" s="21" t="s">
        <v>276</v>
      </c>
      <c r="B168" s="21" t="s">
        <v>278</v>
      </c>
      <c r="C168" s="12" t="s">
        <v>325</v>
      </c>
      <c r="D168" s="23">
        <f>IFERROR(AVERAGEIFS(DataEntry!$U:$U,DataEntry!$A:$A,"Mangochi",DataEntry!$B:$B,"Namwera"),"")</f>
        <v>0.16689017110170848</v>
      </c>
    </row>
    <row r="169" spans="1:4" x14ac:dyDescent="0.3">
      <c r="A169" s="19" t="s">
        <v>276</v>
      </c>
      <c r="B169" s="19" t="s">
        <v>278</v>
      </c>
      <c r="C169" s="6" t="s">
        <v>326</v>
      </c>
      <c r="D169" s="20">
        <f>IFERROR(SUMIFS(DataEntry!$V:$V,DataEntry!$A:$A,"Mangochi",DataEntry!$B:$B,"Namwera"),"")</f>
        <v>56</v>
      </c>
    </row>
    <row r="170" spans="1:4" x14ac:dyDescent="0.3">
      <c r="A170" s="21" t="s">
        <v>276</v>
      </c>
      <c r="B170" s="21" t="s">
        <v>278</v>
      </c>
      <c r="C170" s="12" t="s">
        <v>327</v>
      </c>
      <c r="D170" s="22">
        <f>IFERROR(SUMIFS(DataEntry!$AH:$AH,DataEntry!$A:$A,"Mangochi",DataEntry!$B:$B,"Namwera"),"")</f>
        <v>1340029.5999999999</v>
      </c>
    </row>
    <row r="171" spans="1:4" x14ac:dyDescent="0.3">
      <c r="A171" s="19" t="s">
        <v>276</v>
      </c>
      <c r="B171" s="19" t="s">
        <v>278</v>
      </c>
      <c r="C171" s="6" t="s">
        <v>328</v>
      </c>
      <c r="D171" s="20">
        <f>IFERROR(SUMIFS(DataEntry!$AL:$AL,DataEntry!$A:$A,"Mangochi",DataEntry!$B:$B,"Namwera"),"")</f>
        <v>7136665.9275000002</v>
      </c>
    </row>
    <row r="172" spans="1:4" x14ac:dyDescent="0.3">
      <c r="A172" s="21" t="s">
        <v>276</v>
      </c>
      <c r="B172" s="21" t="s">
        <v>278</v>
      </c>
      <c r="C172" s="12" t="s">
        <v>329</v>
      </c>
      <c r="D172" s="22">
        <f>IFERROR(SUMIFS(DataEntry!$AP:$AP,DataEntry!$A:$A,"Mangochi",DataEntry!$B:$B,"Namwera"),"")</f>
        <v>175000</v>
      </c>
    </row>
    <row r="173" spans="1:4" x14ac:dyDescent="0.3">
      <c r="A173" s="19" t="s">
        <v>276</v>
      </c>
      <c r="B173" s="19" t="s">
        <v>278</v>
      </c>
      <c r="C173" s="6" t="s">
        <v>330</v>
      </c>
      <c r="D173" s="20">
        <f>IFERROR(SUMIFS(DataEntry!$AU:$AU,DataEntry!$A:$A,"Mangochi",DataEntry!$B:$B,"Namwera"),"")</f>
        <v>68972904.047499999</v>
      </c>
    </row>
    <row r="174" spans="1:4" x14ac:dyDescent="0.3">
      <c r="A174" s="21" t="s">
        <v>276</v>
      </c>
      <c r="B174" s="21" t="s">
        <v>278</v>
      </c>
      <c r="C174" s="12" t="s">
        <v>331</v>
      </c>
      <c r="D174" s="23">
        <f>IFERROR(AVERAGEIFS(DataEntry!$AV:$AV,DataEntry!$A:$A,"Mangochi",DataEntry!$B:$B,"Namwera"),"")</f>
        <v>1635.1550887954536</v>
      </c>
    </row>
    <row r="175" spans="1:4" x14ac:dyDescent="0.3">
      <c r="A175" s="19" t="s">
        <v>276</v>
      </c>
      <c r="B175" s="19" t="s">
        <v>278</v>
      </c>
      <c r="C175" s="6" t="s">
        <v>332</v>
      </c>
      <c r="D175" s="20">
        <f>IFERROR(SUMIFS(DataEntry!$GB:$GB,DataEntry!$A:$A,"Mangochi",DataEntry!$B:$B,"Namwera"),"")</f>
        <v>66543755.599999994</v>
      </c>
    </row>
    <row r="176" spans="1:4" x14ac:dyDescent="0.3">
      <c r="A176" s="21" t="s">
        <v>276</v>
      </c>
      <c r="B176" s="21" t="s">
        <v>278</v>
      </c>
      <c r="C176" s="12" t="s">
        <v>333</v>
      </c>
      <c r="D176" s="22">
        <f>IFERROR(SUMIFS(DataEntry!$GM:$GM,DataEntry!$A:$A,"Mangochi",DataEntry!$B:$B,"Namwera"),"")</f>
        <v>50221425</v>
      </c>
    </row>
    <row r="177" spans="1:4" x14ac:dyDescent="0.3">
      <c r="A177" s="19" t="s">
        <v>276</v>
      </c>
      <c r="B177" s="19" t="s">
        <v>278</v>
      </c>
      <c r="C177" s="6" t="s">
        <v>334</v>
      </c>
      <c r="D177" s="20">
        <f>IFERROR(SUMIFS(DataEntry!$GX:$GX,DataEntry!$A:$A,"Mangochi",DataEntry!$B:$B,"Namwera"),"")</f>
        <v>50318506.270000011</v>
      </c>
    </row>
    <row r="178" spans="1:4" x14ac:dyDescent="0.3">
      <c r="A178" s="21" t="s">
        <v>276</v>
      </c>
      <c r="B178" s="21" t="s">
        <v>278</v>
      </c>
      <c r="C178" s="12" t="s">
        <v>335</v>
      </c>
      <c r="D178" s="22">
        <f>IFERROR(SUMIFS(DataEntry!$GY:$GY,DataEntry!$A:$A,"Mangochi",DataEntry!$B:$B,"Namwera"),"")</f>
        <v>-24533463.399999641</v>
      </c>
    </row>
    <row r="179" spans="1:4" x14ac:dyDescent="0.3">
      <c r="A179" s="19" t="s">
        <v>276</v>
      </c>
      <c r="B179" s="19" t="s">
        <v>278</v>
      </c>
      <c r="C179" s="6" t="s">
        <v>336</v>
      </c>
      <c r="D179" s="20">
        <f>IFERROR(SUMIFS(DataEntry!$GZ:$GZ,DataEntry!$A:$A,"Mangochi",DataEntry!$B:$B,"Namwera"),"")</f>
        <v>751359609.24000037</v>
      </c>
    </row>
    <row r="180" spans="1:4" x14ac:dyDescent="0.3">
      <c r="A180" s="21" t="s">
        <v>276</v>
      </c>
      <c r="B180" s="21" t="s">
        <v>278</v>
      </c>
      <c r="C180" s="12" t="s">
        <v>337</v>
      </c>
      <c r="D180" s="22">
        <f>IFERROR(SUMIFS(DataEntry!$HA:$HA,DataEntry!$A:$A,"Mangochi",DataEntry!$B:$B,"Namwera"),"")</f>
        <v>726826145.84000063</v>
      </c>
    </row>
    <row r="181" spans="1:4" x14ac:dyDescent="0.3">
      <c r="A181" s="19" t="s">
        <v>276</v>
      </c>
      <c r="B181" s="19" t="s">
        <v>278</v>
      </c>
      <c r="C181" s="6" t="s">
        <v>338</v>
      </c>
      <c r="D181" s="24">
        <f>IFERROR(AVERAGEIFS(DataEntry!$HC:$HC,DataEntry!$A:$A,"Mangochi",DataEntry!$B:$B,"Namwera"),"")</f>
        <v>-281964.31359974126</v>
      </c>
    </row>
    <row r="182" spans="1:4" x14ac:dyDescent="0.3">
      <c r="A182" s="21" t="s">
        <v>276</v>
      </c>
      <c r="B182" s="21" t="s">
        <v>278</v>
      </c>
      <c r="C182" s="12" t="s">
        <v>339</v>
      </c>
      <c r="D182" s="23">
        <f>IFERROR(AVERAGEIFS(DataEntry!$HB:$HB,DataEntry!$A:$A,"Mangochi",DataEntry!$B:$B,"Namwera"),"")</f>
        <v>383391.82671489241</v>
      </c>
    </row>
    <row r="183" spans="1:4" x14ac:dyDescent="0.3">
      <c r="A183" s="19" t="s">
        <v>276</v>
      </c>
      <c r="B183" s="19" t="s">
        <v>278</v>
      </c>
      <c r="C183" s="6" t="s">
        <v>340</v>
      </c>
      <c r="D183" s="20">
        <f>IFERROR(SUMIFS(DataEntry!$CS:$CS,DataEntry!$A:$A,"Mangochi",DataEntry!$B:$B,"Namwera"),"")</f>
        <v>9404</v>
      </c>
    </row>
    <row r="184" spans="1:4" x14ac:dyDescent="0.3">
      <c r="A184" s="21" t="s">
        <v>276</v>
      </c>
      <c r="B184" s="21" t="s">
        <v>278</v>
      </c>
      <c r="C184" s="12" t="s">
        <v>341</v>
      </c>
      <c r="D184" s="22">
        <f>IFERROR(SUMIFS(DataEntry!$CT:$CT,DataEntry!$A:$A,"Mangochi",DataEntry!$B:$B,"Namwera"),"")</f>
        <v>12168</v>
      </c>
    </row>
    <row r="185" spans="1:4" x14ac:dyDescent="0.3">
      <c r="A185" s="19" t="s">
        <v>276</v>
      </c>
      <c r="B185" s="19" t="s">
        <v>278</v>
      </c>
      <c r="C185" s="6" t="s">
        <v>342</v>
      </c>
      <c r="D185" s="20">
        <f>IFERROR(SUMIFS(DataEntry!$CV:$CV,DataEntry!$A:$A,"Mangochi",DataEntry!$B:$B,"Namwera"),"")</f>
        <v>79522</v>
      </c>
    </row>
    <row r="186" spans="1:4" x14ac:dyDescent="0.3">
      <c r="A186" s="21" t="s">
        <v>276</v>
      </c>
      <c r="B186" s="21" t="s">
        <v>278</v>
      </c>
      <c r="C186" s="12" t="s">
        <v>343</v>
      </c>
      <c r="D186" s="23">
        <f>IFERROR(AVERAGEIFS(DataEntry!$CW:$CW,DataEntry!$A:$A,"Mangochi",DataEntry!$B:$B,"Namwera"),"")</f>
        <v>0.72664651416420012</v>
      </c>
    </row>
    <row r="187" spans="1:4" x14ac:dyDescent="0.3">
      <c r="A187" s="19" t="s">
        <v>276</v>
      </c>
      <c r="B187" s="19" t="s">
        <v>278</v>
      </c>
      <c r="C187" s="6" t="s">
        <v>344</v>
      </c>
      <c r="D187" s="20">
        <f>IFERROR(SUMIFS(DataEntry!$CA:$CA,DataEntry!$A:$A,"Mangochi",DataEntry!$B:$B,"Namwera"),"")</f>
        <v>117</v>
      </c>
    </row>
    <row r="188" spans="1:4" x14ac:dyDescent="0.3">
      <c r="A188" s="21" t="s">
        <v>276</v>
      </c>
      <c r="B188" s="21" t="s">
        <v>278</v>
      </c>
      <c r="C188" s="12" t="s">
        <v>345</v>
      </c>
      <c r="D188" s="22">
        <f>IFERROR(SUMIFS(DataEntry!$DV:$DV,DataEntry!$A:$A,"Mangochi",DataEntry!$B:$B,"Namwera"),"")</f>
        <v>58</v>
      </c>
    </row>
    <row r="189" spans="1:4" x14ac:dyDescent="0.3">
      <c r="A189" s="19" t="s">
        <v>276</v>
      </c>
      <c r="B189" s="19" t="s">
        <v>278</v>
      </c>
      <c r="C189" s="6" t="s">
        <v>346</v>
      </c>
      <c r="D189" s="20">
        <f>IFERROR(SUMIFS(DataEntry!$FG:$FG,DataEntry!$A:$A,"Mangochi",DataEntry!$B:$B,"Namwera"),"")</f>
        <v>469</v>
      </c>
    </row>
    <row r="190" spans="1:4" x14ac:dyDescent="0.3">
      <c r="A190" s="21" t="s">
        <v>276</v>
      </c>
      <c r="B190" s="21" t="s">
        <v>278</v>
      </c>
      <c r="C190" s="12" t="s">
        <v>347</v>
      </c>
      <c r="D190" s="23">
        <f>IFERROR(AVERAGEIFS(DataEntry!$HK:$HK,DataEntry!$A:$A,"Mangochi",DataEntry!$B:$B,"Namwera"),"")</f>
        <v>0.76312561349326058</v>
      </c>
    </row>
    <row r="191" spans="1:4" x14ac:dyDescent="0.3">
      <c r="A191" s="19" t="s">
        <v>276</v>
      </c>
      <c r="B191" s="19" t="s">
        <v>278</v>
      </c>
      <c r="C191" s="6" t="s">
        <v>348</v>
      </c>
      <c r="D191" s="24">
        <f>IFERROR(AVERAGEIFS(DataEntry!$HN:$HN,DataEntry!$A:$A,"Mangochi",DataEntry!$B:$B,"Namwera"),"")</f>
        <v>0.73754181600955793</v>
      </c>
    </row>
    <row r="192" spans="1:4" x14ac:dyDescent="0.3">
      <c r="A192" s="21" t="s">
        <v>276</v>
      </c>
      <c r="B192" s="21" t="s">
        <v>279</v>
      </c>
      <c r="C192" s="12" t="s">
        <v>40</v>
      </c>
      <c r="D192" s="22">
        <f>IFERROR(SUMIFS(DataEntry!$H:$H,DataEntry!$A:$A,"Mangochi",DataEntry!$B:$B,"Nkhudzi"),"")</f>
        <v>347313.5</v>
      </c>
    </row>
    <row r="193" spans="1:4" x14ac:dyDescent="0.3">
      <c r="A193" s="19" t="s">
        <v>276</v>
      </c>
      <c r="B193" s="19" t="s">
        <v>279</v>
      </c>
      <c r="C193" s="6" t="s">
        <v>323</v>
      </c>
      <c r="D193" s="20">
        <f>IFERROR(SUMIFS(DataEntry!$S:$S,DataEntry!$A:$A,"Mangochi",DataEntry!$B:$B,"Nkhudzi"),"")</f>
        <v>274330.39999999997</v>
      </c>
    </row>
    <row r="194" spans="1:4" x14ac:dyDescent="0.3">
      <c r="A194" s="21" t="s">
        <v>276</v>
      </c>
      <c r="B194" s="21" t="s">
        <v>279</v>
      </c>
      <c r="C194" s="12" t="s">
        <v>324</v>
      </c>
      <c r="D194" s="22">
        <f>IFERROR(SUMIFS(DataEntry!$T:$T,DataEntry!$A:$A,"Mangochi",DataEntry!$B:$B,"Nkhudzi"),"")</f>
        <v>72983.099999999962</v>
      </c>
    </row>
    <row r="195" spans="1:4" x14ac:dyDescent="0.3">
      <c r="A195" s="19" t="s">
        <v>276</v>
      </c>
      <c r="B195" s="19" t="s">
        <v>279</v>
      </c>
      <c r="C195" s="6" t="s">
        <v>325</v>
      </c>
      <c r="D195" s="24">
        <f>IFERROR(AVERAGEIFS(DataEntry!$U:$U,DataEntry!$A:$A,"Mangochi",DataEntry!$B:$B,"Nkhudzi"),"")</f>
        <v>0.19663012059485283</v>
      </c>
    </row>
    <row r="196" spans="1:4" x14ac:dyDescent="0.3">
      <c r="A196" s="21" t="s">
        <v>276</v>
      </c>
      <c r="B196" s="21" t="s">
        <v>279</v>
      </c>
      <c r="C196" s="12" t="s">
        <v>326</v>
      </c>
      <c r="D196" s="22">
        <f>IFERROR(SUMIFS(DataEntry!$V:$V,DataEntry!$A:$A,"Mangochi",DataEntry!$B:$B,"Nkhudzi"),"")</f>
        <v>1218.1499999999999</v>
      </c>
    </row>
    <row r="197" spans="1:4" x14ac:dyDescent="0.3">
      <c r="A197" s="19" t="s">
        <v>276</v>
      </c>
      <c r="B197" s="19" t="s">
        <v>279</v>
      </c>
      <c r="C197" s="6" t="s">
        <v>327</v>
      </c>
      <c r="D197" s="20">
        <f>IFERROR(SUMIFS(DataEntry!$AH:$AH,DataEntry!$A:$A,"Mangochi",DataEntry!$B:$B,"Nkhudzi"),"")</f>
        <v>29149233.164999999</v>
      </c>
    </row>
    <row r="198" spans="1:4" x14ac:dyDescent="0.3">
      <c r="A198" s="21" t="s">
        <v>276</v>
      </c>
      <c r="B198" s="21" t="s">
        <v>279</v>
      </c>
      <c r="C198" s="12" t="s">
        <v>328</v>
      </c>
      <c r="D198" s="22">
        <f>IFERROR(SUMIFS(DataEntry!$AL:$AL,DataEntry!$A:$A,"Mangochi",DataEntry!$B:$B,"Nkhudzi"),"")</f>
        <v>115491702.64714999</v>
      </c>
    </row>
    <row r="199" spans="1:4" x14ac:dyDescent="0.3">
      <c r="A199" s="19" t="s">
        <v>276</v>
      </c>
      <c r="B199" s="19" t="s">
        <v>279</v>
      </c>
      <c r="C199" s="6" t="s">
        <v>329</v>
      </c>
      <c r="D199" s="20">
        <f>IFERROR(SUMIFS(DataEntry!$AP:$AP,DataEntry!$A:$A,"Mangochi",DataEntry!$B:$B,"Nkhudzi"),"")</f>
        <v>0</v>
      </c>
    </row>
    <row r="200" spans="1:4" x14ac:dyDescent="0.3">
      <c r="A200" s="21" t="s">
        <v>276</v>
      </c>
      <c r="B200" s="21" t="s">
        <v>279</v>
      </c>
      <c r="C200" s="12" t="s">
        <v>330</v>
      </c>
      <c r="D200" s="22">
        <f>IFERROR(SUMIFS(DataEntry!$AU:$AU,DataEntry!$A:$A,"Mangochi",DataEntry!$B:$B,"Nkhudzi"),"")</f>
        <v>339958370.54215002</v>
      </c>
    </row>
    <row r="201" spans="1:4" x14ac:dyDescent="0.3">
      <c r="A201" s="19" t="s">
        <v>276</v>
      </c>
      <c r="B201" s="19" t="s">
        <v>279</v>
      </c>
      <c r="C201" s="6" t="s">
        <v>331</v>
      </c>
      <c r="D201" s="24">
        <f>IFERROR(AVERAGEIFS(DataEntry!$AV:$AV,DataEntry!$A:$A,"Mangochi",DataEntry!$B:$B,"Nkhudzi"),"")</f>
        <v>1039.693702182881</v>
      </c>
    </row>
    <row r="202" spans="1:4" x14ac:dyDescent="0.3">
      <c r="A202" s="21" t="s">
        <v>276</v>
      </c>
      <c r="B202" s="21" t="s">
        <v>279</v>
      </c>
      <c r="C202" s="12" t="s">
        <v>332</v>
      </c>
      <c r="D202" s="22">
        <f>IFERROR(SUMIFS(DataEntry!$GB:$GB,DataEntry!$A:$A,"Mangochi",DataEntry!$B:$B,"Nkhudzi"),"")</f>
        <v>390024942</v>
      </c>
    </row>
    <row r="203" spans="1:4" x14ac:dyDescent="0.3">
      <c r="A203" s="19" t="s">
        <v>276</v>
      </c>
      <c r="B203" s="19" t="s">
        <v>279</v>
      </c>
      <c r="C203" s="6" t="s">
        <v>333</v>
      </c>
      <c r="D203" s="20">
        <f>IFERROR(SUMIFS(DataEntry!$GM:$GM,DataEntry!$A:$A,"Mangochi",DataEntry!$B:$B,"Nkhudzi"),"")</f>
        <v>408726246.86000001</v>
      </c>
    </row>
    <row r="204" spans="1:4" x14ac:dyDescent="0.3">
      <c r="A204" s="21" t="s">
        <v>276</v>
      </c>
      <c r="B204" s="21" t="s">
        <v>279</v>
      </c>
      <c r="C204" s="12" t="s">
        <v>334</v>
      </c>
      <c r="D204" s="22">
        <f>IFERROR(SUMIFS(DataEntry!$GX:$GX,DataEntry!$A:$A,"Mangochi",DataEntry!$B:$B,"Nkhudzi"),"")</f>
        <v>409064785.94000006</v>
      </c>
    </row>
    <row r="205" spans="1:4" x14ac:dyDescent="0.3">
      <c r="A205" s="19" t="s">
        <v>276</v>
      </c>
      <c r="B205" s="19" t="s">
        <v>279</v>
      </c>
      <c r="C205" s="6" t="s">
        <v>335</v>
      </c>
      <c r="D205" s="20">
        <f>IFERROR(SUMIFS(DataEntry!$GY:$GY,DataEntry!$A:$A,"Mangochi",DataEntry!$B:$B,"Nkhudzi"),"")</f>
        <v>1778923.2499999986</v>
      </c>
    </row>
    <row r="206" spans="1:4" x14ac:dyDescent="0.3">
      <c r="A206" s="21" t="s">
        <v>276</v>
      </c>
      <c r="B206" s="21" t="s">
        <v>279</v>
      </c>
      <c r="C206" s="12" t="s">
        <v>336</v>
      </c>
      <c r="D206" s="22">
        <f>IFERROR(SUMIFS(DataEntry!$GZ:$GZ,DataEntry!$A:$A,"Mangochi",DataEntry!$B:$B,"Nkhudzi"),"")</f>
        <v>47007757.039999999</v>
      </c>
    </row>
    <row r="207" spans="1:4" x14ac:dyDescent="0.3">
      <c r="A207" s="19" t="s">
        <v>276</v>
      </c>
      <c r="B207" s="19" t="s">
        <v>279</v>
      </c>
      <c r="C207" s="6" t="s">
        <v>337</v>
      </c>
      <c r="D207" s="20">
        <f>IFERROR(SUMIFS(DataEntry!$HA:$HA,DataEntry!$A:$A,"Mangochi",DataEntry!$B:$B,"Nkhudzi"),"")</f>
        <v>48786680.289999992</v>
      </c>
    </row>
    <row r="208" spans="1:4" x14ac:dyDescent="0.3">
      <c r="A208" s="21" t="s">
        <v>276</v>
      </c>
      <c r="B208" s="21" t="s">
        <v>279</v>
      </c>
      <c r="C208" s="12" t="s">
        <v>338</v>
      </c>
      <c r="D208" s="23">
        <f>IFERROR(AVERAGEIFS(DataEntry!$HC:$HC,DataEntry!$A:$A,"Mangochi",DataEntry!$B:$B,"Nkhudzi"),"")</f>
        <v>16265.751639422588</v>
      </c>
    </row>
    <row r="209" spans="1:4" x14ac:dyDescent="0.3">
      <c r="A209" s="19" t="s">
        <v>276</v>
      </c>
      <c r="B209" s="19" t="s">
        <v>279</v>
      </c>
      <c r="C209" s="6" t="s">
        <v>339</v>
      </c>
      <c r="D209" s="24">
        <f>IFERROR(AVERAGEIFS(DataEntry!$HB:$HB,DataEntry!$A:$A,"Mangochi",DataEntry!$B:$B,"Nkhudzi"),"")</f>
        <v>2595052.4660989605</v>
      </c>
    </row>
    <row r="210" spans="1:4" x14ac:dyDescent="0.3">
      <c r="A210" s="21" t="s">
        <v>276</v>
      </c>
      <c r="B210" s="21" t="s">
        <v>279</v>
      </c>
      <c r="C210" s="12" t="s">
        <v>340</v>
      </c>
      <c r="D210" s="22">
        <f>IFERROR(SUMIFS(DataEntry!$CS:$CS,DataEntry!$A:$A,"Mangochi",DataEntry!$B:$B,"Nkhudzi"),"")</f>
        <v>51298</v>
      </c>
    </row>
    <row r="211" spans="1:4" x14ac:dyDescent="0.3">
      <c r="A211" s="19" t="s">
        <v>276</v>
      </c>
      <c r="B211" s="19" t="s">
        <v>279</v>
      </c>
      <c r="C211" s="6" t="s">
        <v>341</v>
      </c>
      <c r="D211" s="20">
        <f>IFERROR(SUMIFS(DataEntry!$CT:$CT,DataEntry!$A:$A,"Mangochi",DataEntry!$B:$B,"Nkhudzi"),"")</f>
        <v>51300</v>
      </c>
    </row>
    <row r="212" spans="1:4" x14ac:dyDescent="0.3">
      <c r="A212" s="21" t="s">
        <v>276</v>
      </c>
      <c r="B212" s="21" t="s">
        <v>279</v>
      </c>
      <c r="C212" s="12" t="s">
        <v>342</v>
      </c>
      <c r="D212" s="22">
        <f>IFERROR(SUMIFS(DataEntry!$CV:$CV,DataEntry!$A:$A,"Mangochi",DataEntry!$B:$B,"Nkhudzi"),"")</f>
        <v>35250</v>
      </c>
    </row>
    <row r="213" spans="1:4" x14ac:dyDescent="0.3">
      <c r="A213" s="19" t="s">
        <v>276</v>
      </c>
      <c r="B213" s="19" t="s">
        <v>279</v>
      </c>
      <c r="C213" s="6" t="s">
        <v>343</v>
      </c>
      <c r="D213" s="24">
        <f>IFERROR(AVERAGEIFS(DataEntry!$CW:$CW,DataEntry!$A:$A,"Mangochi",DataEntry!$B:$B,"Nkhudzi"),"")</f>
        <v>0.378625134264232</v>
      </c>
    </row>
    <row r="214" spans="1:4" x14ac:dyDescent="0.3">
      <c r="A214" s="21" t="s">
        <v>276</v>
      </c>
      <c r="B214" s="21" t="s">
        <v>279</v>
      </c>
      <c r="C214" s="12" t="s">
        <v>344</v>
      </c>
      <c r="D214" s="22">
        <f>IFERROR(SUMIFS(DataEntry!$CA:$CA,DataEntry!$A:$A,"Mangochi",DataEntry!$B:$B,"Nkhudzi"),"")</f>
        <v>616</v>
      </c>
    </row>
    <row r="215" spans="1:4" x14ac:dyDescent="0.3">
      <c r="A215" s="19" t="s">
        <v>276</v>
      </c>
      <c r="B215" s="19" t="s">
        <v>279</v>
      </c>
      <c r="C215" s="6" t="s">
        <v>345</v>
      </c>
      <c r="D215" s="20">
        <f>IFERROR(SUMIFS(DataEntry!$DV:$DV,DataEntry!$A:$A,"Mangochi",DataEntry!$B:$B,"Nkhudzi"),"")</f>
        <v>238</v>
      </c>
    </row>
    <row r="216" spans="1:4" x14ac:dyDescent="0.3">
      <c r="A216" s="21" t="s">
        <v>276</v>
      </c>
      <c r="B216" s="21" t="s">
        <v>279</v>
      </c>
      <c r="C216" s="12" t="s">
        <v>346</v>
      </c>
      <c r="D216" s="22">
        <f>IFERROR(SUMIFS(DataEntry!$FG:$FG,DataEntry!$A:$A,"Mangochi",DataEntry!$B:$B,"Nkhudzi"),"")</f>
        <v>998</v>
      </c>
    </row>
    <row r="217" spans="1:4" x14ac:dyDescent="0.3">
      <c r="A217" s="19" t="s">
        <v>276</v>
      </c>
      <c r="B217" s="19" t="s">
        <v>279</v>
      </c>
      <c r="C217" s="6" t="s">
        <v>347</v>
      </c>
      <c r="D217" s="24">
        <f>IFERROR(AVERAGEIFS(DataEntry!$HK:$HK,DataEntry!$A:$A,"Mangochi",DataEntry!$B:$B,"Nkhudzi"),"")</f>
        <v>0.64611368687633941</v>
      </c>
    </row>
    <row r="218" spans="1:4" x14ac:dyDescent="0.3">
      <c r="A218" s="21" t="s">
        <v>276</v>
      </c>
      <c r="B218" s="21" t="s">
        <v>279</v>
      </c>
      <c r="C218" s="12" t="s">
        <v>348</v>
      </c>
      <c r="D218" s="23">
        <f>IFERROR(AVERAGEIFS(DataEntry!$HN:$HN,DataEntry!$A:$A,"Mangochi",DataEntry!$B:$B,"Nkhudzi"),"")</f>
        <v>9.0147817460317459</v>
      </c>
    </row>
    <row r="219" spans="1:4" x14ac:dyDescent="0.3">
      <c r="A219" s="19" t="s">
        <v>280</v>
      </c>
      <c r="B219" s="19" t="s">
        <v>281</v>
      </c>
      <c r="C219" s="6" t="s">
        <v>40</v>
      </c>
      <c r="D219" s="20">
        <f>IFERROR(SUMIFS(DataEntry!$H:$H,DataEntry!$A:$A,"Mulanje",DataEntry!$B:$B,"Luchenza"),"")</f>
        <v>168030</v>
      </c>
    </row>
    <row r="220" spans="1:4" x14ac:dyDescent="0.3">
      <c r="A220" s="21" t="s">
        <v>280</v>
      </c>
      <c r="B220" s="21" t="s">
        <v>281</v>
      </c>
      <c r="C220" s="12" t="s">
        <v>323</v>
      </c>
      <c r="D220" s="22">
        <f>IFERROR(SUMIFS(DataEntry!$S:$S,DataEntry!$A:$A,"Mulanje",DataEntry!$B:$B,"Luchenza"),"")</f>
        <v>122096.9</v>
      </c>
    </row>
    <row r="221" spans="1:4" x14ac:dyDescent="0.3">
      <c r="A221" s="19" t="s">
        <v>280</v>
      </c>
      <c r="B221" s="19" t="s">
        <v>281</v>
      </c>
      <c r="C221" s="6" t="s">
        <v>324</v>
      </c>
      <c r="D221" s="20">
        <f>IFERROR(SUMIFS(DataEntry!$T:$T,DataEntry!$A:$A,"Mulanje",DataEntry!$B:$B,"Luchenza"),"")</f>
        <v>45933.1</v>
      </c>
    </row>
    <row r="222" spans="1:4" x14ac:dyDescent="0.3">
      <c r="A222" s="21" t="s">
        <v>280</v>
      </c>
      <c r="B222" s="21" t="s">
        <v>281</v>
      </c>
      <c r="C222" s="12" t="s">
        <v>325</v>
      </c>
      <c r="D222" s="23">
        <f>IFERROR(AVERAGEIFS(DataEntry!$U:$U,DataEntry!$A:$A,"Mulanje",DataEntry!$B:$B,"Luchenza"),"")</f>
        <v>0.27398476542841949</v>
      </c>
    </row>
    <row r="223" spans="1:4" x14ac:dyDescent="0.3">
      <c r="A223" s="19" t="s">
        <v>280</v>
      </c>
      <c r="B223" s="19" t="s">
        <v>281</v>
      </c>
      <c r="C223" s="6" t="s">
        <v>326</v>
      </c>
      <c r="D223" s="20">
        <f>IFERROR(SUMIFS(DataEntry!$V:$V,DataEntry!$A:$A,"Mulanje",DataEntry!$B:$B,"Luchenza"),"")</f>
        <v>450</v>
      </c>
    </row>
    <row r="224" spans="1:4" x14ac:dyDescent="0.3">
      <c r="A224" s="21" t="s">
        <v>280</v>
      </c>
      <c r="B224" s="21" t="s">
        <v>281</v>
      </c>
      <c r="C224" s="12" t="s">
        <v>327</v>
      </c>
      <c r="D224" s="22">
        <f>IFERROR(SUMIFS(DataEntry!$AH:$AH,DataEntry!$A:$A,"Mulanje",DataEntry!$B:$B,"Luchenza"),"")</f>
        <v>2300251.5</v>
      </c>
    </row>
    <row r="225" spans="1:4" x14ac:dyDescent="0.3">
      <c r="A225" s="19" t="s">
        <v>280</v>
      </c>
      <c r="B225" s="19" t="s">
        <v>281</v>
      </c>
      <c r="C225" s="6" t="s">
        <v>328</v>
      </c>
      <c r="D225" s="20">
        <f>IFERROR(SUMIFS(DataEntry!$AL:$AL,DataEntry!$A:$A,"Mulanje",DataEntry!$B:$B,"Luchenza"),"")</f>
        <v>11130422.621610001</v>
      </c>
    </row>
    <row r="226" spans="1:4" x14ac:dyDescent="0.3">
      <c r="A226" s="21" t="s">
        <v>280</v>
      </c>
      <c r="B226" s="21" t="s">
        <v>281</v>
      </c>
      <c r="C226" s="12" t="s">
        <v>329</v>
      </c>
      <c r="D226" s="22">
        <f>IFERROR(SUMIFS(DataEntry!$AP:$AP,DataEntry!$A:$A,"Mulanje",DataEntry!$B:$B,"Luchenza"),"")</f>
        <v>2408654</v>
      </c>
    </row>
    <row r="227" spans="1:4" x14ac:dyDescent="0.3">
      <c r="A227" s="19" t="s">
        <v>280</v>
      </c>
      <c r="B227" s="19" t="s">
        <v>281</v>
      </c>
      <c r="C227" s="6" t="s">
        <v>330</v>
      </c>
      <c r="D227" s="20">
        <f>IFERROR(SUMIFS(DataEntry!$AU:$AU,DataEntry!$A:$A,"Mulanje",DataEntry!$B:$B,"Luchenza"),"")</f>
        <v>162641724.57161003</v>
      </c>
    </row>
    <row r="228" spans="1:4" x14ac:dyDescent="0.3">
      <c r="A228" s="21" t="s">
        <v>280</v>
      </c>
      <c r="B228" s="21" t="s">
        <v>281</v>
      </c>
      <c r="C228" s="12" t="s">
        <v>331</v>
      </c>
      <c r="D228" s="23">
        <f>IFERROR(AVERAGEIFS(DataEntry!$AV:$AV,DataEntry!$A:$A,"Mulanje",DataEntry!$B:$B,"Luchenza"),"")</f>
        <v>989.69223783049449</v>
      </c>
    </row>
    <row r="229" spans="1:4" x14ac:dyDescent="0.3">
      <c r="A229" s="19" t="s">
        <v>280</v>
      </c>
      <c r="B229" s="19" t="s">
        <v>281</v>
      </c>
      <c r="C229" s="6" t="s">
        <v>332</v>
      </c>
      <c r="D229" s="20">
        <f>IFERROR(SUMIFS(DataEntry!$GB:$GB,DataEntry!$A:$A,"Mulanje",DataEntry!$B:$B,"Luchenza"),"")</f>
        <v>263650376.62</v>
      </c>
    </row>
    <row r="230" spans="1:4" x14ac:dyDescent="0.3">
      <c r="A230" s="21" t="s">
        <v>280</v>
      </c>
      <c r="B230" s="21" t="s">
        <v>281</v>
      </c>
      <c r="C230" s="12" t="s">
        <v>333</v>
      </c>
      <c r="D230" s="22">
        <f>IFERROR(SUMIFS(DataEntry!$GM:$GM,DataEntry!$A:$A,"Mulanje",DataEntry!$B:$B,"Luchenza"),"")</f>
        <v>95510874.089999989</v>
      </c>
    </row>
    <row r="231" spans="1:4" x14ac:dyDescent="0.3">
      <c r="A231" s="19" t="s">
        <v>280</v>
      </c>
      <c r="B231" s="19" t="s">
        <v>281</v>
      </c>
      <c r="C231" s="6" t="s">
        <v>334</v>
      </c>
      <c r="D231" s="20">
        <f>IFERROR(SUMIFS(DataEntry!$GX:$GX,DataEntry!$A:$A,"Mulanje",DataEntry!$B:$B,"Luchenza"),"")</f>
        <v>103936590.08</v>
      </c>
    </row>
    <row r="232" spans="1:4" x14ac:dyDescent="0.3">
      <c r="A232" s="21" t="s">
        <v>280</v>
      </c>
      <c r="B232" s="21" t="s">
        <v>281</v>
      </c>
      <c r="C232" s="12" t="s">
        <v>335</v>
      </c>
      <c r="D232" s="22">
        <f>IFERROR(SUMIFS(DataEntry!$GY:$GY,DataEntry!$A:$A,"Mulanje",DataEntry!$B:$B,"Luchenza"),"")</f>
        <v>863952519.79999995</v>
      </c>
    </row>
    <row r="233" spans="1:4" x14ac:dyDescent="0.3">
      <c r="A233" s="19" t="s">
        <v>280</v>
      </c>
      <c r="B233" s="19" t="s">
        <v>281</v>
      </c>
      <c r="C233" s="6" t="s">
        <v>336</v>
      </c>
      <c r="D233" s="20">
        <f>IFERROR(SUMIFS(DataEntry!$GZ:$GZ,DataEntry!$A:$A,"Mulanje",DataEntry!$B:$B,"Luchenza"),"")</f>
        <v>1327711709.24</v>
      </c>
    </row>
    <row r="234" spans="1:4" x14ac:dyDescent="0.3">
      <c r="A234" s="21" t="s">
        <v>280</v>
      </c>
      <c r="B234" s="21" t="s">
        <v>281</v>
      </c>
      <c r="C234" s="12" t="s">
        <v>337</v>
      </c>
      <c r="D234" s="22">
        <f>IFERROR(SUMIFS(DataEntry!$HA:$HA,DataEntry!$A:$A,"Mulanje",DataEntry!$B:$B,"Luchenza"),"")</f>
        <v>2135795681.4200001</v>
      </c>
    </row>
    <row r="235" spans="1:4" x14ac:dyDescent="0.3">
      <c r="A235" s="19" t="s">
        <v>280</v>
      </c>
      <c r="B235" s="19" t="s">
        <v>281</v>
      </c>
      <c r="C235" s="6" t="s">
        <v>338</v>
      </c>
      <c r="D235" s="24">
        <f>IFERROR(AVERAGEIFS(DataEntry!$HC:$HC,DataEntry!$A:$A,"Mulanje",DataEntry!$B:$B,"Luchenza"),"")</f>
        <v>1089296.7616666688</v>
      </c>
    </row>
    <row r="236" spans="1:4" x14ac:dyDescent="0.3">
      <c r="A236" s="21" t="s">
        <v>280</v>
      </c>
      <c r="B236" s="21" t="s">
        <v>281</v>
      </c>
      <c r="C236" s="12" t="s">
        <v>339</v>
      </c>
      <c r="D236" s="23">
        <f>IFERROR(AVERAGEIFS(DataEntry!$HB:$HB,DataEntry!$A:$A,"Mulanje",DataEntry!$B:$B,"Luchenza"),"")</f>
        <v>13111875.013587192</v>
      </c>
    </row>
    <row r="237" spans="1:4" x14ac:dyDescent="0.3">
      <c r="A237" s="19" t="s">
        <v>280</v>
      </c>
      <c r="B237" s="19" t="s">
        <v>281</v>
      </c>
      <c r="C237" s="6" t="s">
        <v>340</v>
      </c>
      <c r="D237" s="20">
        <f>IFERROR(SUMIFS(DataEntry!$CS:$CS,DataEntry!$A:$A,"Mulanje",DataEntry!$B:$B,"Luchenza"),"")</f>
        <v>22449</v>
      </c>
    </row>
    <row r="238" spans="1:4" x14ac:dyDescent="0.3">
      <c r="A238" s="21" t="s">
        <v>280</v>
      </c>
      <c r="B238" s="21" t="s">
        <v>281</v>
      </c>
      <c r="C238" s="12" t="s">
        <v>341</v>
      </c>
      <c r="D238" s="22">
        <f>IFERROR(SUMIFS(DataEntry!$CT:$CT,DataEntry!$A:$A,"Mulanje",DataEntry!$B:$B,"Luchenza"),"")</f>
        <v>34064</v>
      </c>
    </row>
    <row r="239" spans="1:4" x14ac:dyDescent="0.3">
      <c r="A239" s="19" t="s">
        <v>280</v>
      </c>
      <c r="B239" s="19" t="s">
        <v>281</v>
      </c>
      <c r="C239" s="6" t="s">
        <v>342</v>
      </c>
      <c r="D239" s="20">
        <f>IFERROR(SUMIFS(DataEntry!$CV:$CV,DataEntry!$A:$A,"Mulanje",DataEntry!$B:$B,"Luchenza"),"")</f>
        <v>197795</v>
      </c>
    </row>
    <row r="240" spans="1:4" x14ac:dyDescent="0.3">
      <c r="A240" s="21" t="s">
        <v>280</v>
      </c>
      <c r="B240" s="21" t="s">
        <v>281</v>
      </c>
      <c r="C240" s="12" t="s">
        <v>343</v>
      </c>
      <c r="D240" s="23">
        <f>IFERROR(AVERAGEIFS(DataEntry!$CW:$CW,DataEntry!$A:$A,"Mulanje",DataEntry!$B:$B,"Luchenza"),"")</f>
        <v>0.9056547619047618</v>
      </c>
    </row>
    <row r="241" spans="1:4" x14ac:dyDescent="0.3">
      <c r="A241" s="19" t="s">
        <v>280</v>
      </c>
      <c r="B241" s="19" t="s">
        <v>281</v>
      </c>
      <c r="C241" s="6" t="s">
        <v>344</v>
      </c>
      <c r="D241" s="20">
        <f>IFERROR(SUMIFS(DataEntry!$CA:$CA,DataEntry!$A:$A,"Mulanje",DataEntry!$B:$B,"Luchenza"),"")</f>
        <v>210</v>
      </c>
    </row>
    <row r="242" spans="1:4" x14ac:dyDescent="0.3">
      <c r="A242" s="21" t="s">
        <v>280</v>
      </c>
      <c r="B242" s="21" t="s">
        <v>281</v>
      </c>
      <c r="C242" s="12" t="s">
        <v>345</v>
      </c>
      <c r="D242" s="22">
        <f>IFERROR(SUMIFS(DataEntry!$DV:$DV,DataEntry!$A:$A,"Mulanje",DataEntry!$B:$B,"Luchenza"),"")</f>
        <v>273</v>
      </c>
    </row>
    <row r="243" spans="1:4" x14ac:dyDescent="0.3">
      <c r="A243" s="19" t="s">
        <v>280</v>
      </c>
      <c r="B243" s="19" t="s">
        <v>281</v>
      </c>
      <c r="C243" s="6" t="s">
        <v>346</v>
      </c>
      <c r="D243" s="20">
        <f>IFERROR(SUMIFS(DataEntry!$FG:$FG,DataEntry!$A:$A,"Mulanje",DataEntry!$B:$B,"Luchenza"),"")</f>
        <v>1529</v>
      </c>
    </row>
    <row r="244" spans="1:4" x14ac:dyDescent="0.3">
      <c r="A244" s="21" t="s">
        <v>280</v>
      </c>
      <c r="B244" s="21" t="s">
        <v>281</v>
      </c>
      <c r="C244" s="12" t="s">
        <v>347</v>
      </c>
      <c r="D244" s="23">
        <f>IFERROR(AVERAGEIFS(DataEntry!$HK:$HK,DataEntry!$A:$A,"Mulanje",DataEntry!$B:$B,"Luchenza"),"")</f>
        <v>1.678030303030303</v>
      </c>
    </row>
    <row r="245" spans="1:4" x14ac:dyDescent="0.3">
      <c r="A245" s="19" t="s">
        <v>280</v>
      </c>
      <c r="B245" s="19" t="s">
        <v>281</v>
      </c>
      <c r="C245" s="6" t="s">
        <v>348</v>
      </c>
      <c r="D245" s="24">
        <f>IFERROR(AVERAGEIFS(DataEntry!$HN:$HN,DataEntry!$A:$A,"Mulanje",DataEntry!$B:$B,"Luchenza"),"")</f>
        <v>3.6479166666666667</v>
      </c>
    </row>
    <row r="246" spans="1:4" x14ac:dyDescent="0.3">
      <c r="A246" s="21" t="s">
        <v>280</v>
      </c>
      <c r="B246" s="21" t="s">
        <v>282</v>
      </c>
      <c r="C246" s="12" t="s">
        <v>40</v>
      </c>
      <c r="D246" s="22">
        <f>IFERROR(SUMIFS(DataEntry!$H:$H,DataEntry!$A:$A,"Mulanje",DataEntry!$B:$B,"MUST"),"")</f>
        <v>239475</v>
      </c>
    </row>
    <row r="247" spans="1:4" x14ac:dyDescent="0.3">
      <c r="A247" s="19" t="s">
        <v>280</v>
      </c>
      <c r="B247" s="19" t="s">
        <v>282</v>
      </c>
      <c r="C247" s="6" t="s">
        <v>323</v>
      </c>
      <c r="D247" s="20">
        <f>IFERROR(SUMIFS(DataEntry!$S:$S,DataEntry!$A:$A,"Mulanje",DataEntry!$B:$B,"MUST"),"")</f>
        <v>189461.7</v>
      </c>
    </row>
    <row r="248" spans="1:4" x14ac:dyDescent="0.3">
      <c r="A248" s="21" t="s">
        <v>280</v>
      </c>
      <c r="B248" s="21" t="s">
        <v>282</v>
      </c>
      <c r="C248" s="12" t="s">
        <v>324</v>
      </c>
      <c r="D248" s="22">
        <f>IFERROR(SUMIFS(DataEntry!$T:$T,DataEntry!$A:$A,"Mulanje",DataEntry!$B:$B,"MUST"),"")</f>
        <v>50013.30000000001</v>
      </c>
    </row>
    <row r="249" spans="1:4" x14ac:dyDescent="0.3">
      <c r="A249" s="19" t="s">
        <v>280</v>
      </c>
      <c r="B249" s="19" t="s">
        <v>282</v>
      </c>
      <c r="C249" s="6" t="s">
        <v>325</v>
      </c>
      <c r="D249" s="24">
        <f>IFERROR(AVERAGEIFS(DataEntry!$U:$U,DataEntry!$A:$A,"Mulanje",DataEntry!$B:$B,"MUST"),"")</f>
        <v>0.21593263953789923</v>
      </c>
    </row>
    <row r="250" spans="1:4" x14ac:dyDescent="0.3">
      <c r="A250" s="21" t="s">
        <v>280</v>
      </c>
      <c r="B250" s="21" t="s">
        <v>282</v>
      </c>
      <c r="C250" s="12" t="s">
        <v>326</v>
      </c>
      <c r="D250" s="22">
        <f>IFERROR(SUMIFS(DataEntry!$V:$V,DataEntry!$A:$A,"Mulanje",DataEntry!$B:$B,"MUST"),"")</f>
        <v>244</v>
      </c>
    </row>
    <row r="251" spans="1:4" x14ac:dyDescent="0.3">
      <c r="A251" s="19" t="s">
        <v>280</v>
      </c>
      <c r="B251" s="19" t="s">
        <v>282</v>
      </c>
      <c r="C251" s="6" t="s">
        <v>327</v>
      </c>
      <c r="D251" s="20">
        <f>IFERROR(SUMIFS(DataEntry!$AH:$AH,DataEntry!$A:$A,"Mulanje",DataEntry!$B:$B,"MUST"),"")</f>
        <v>1247247.48</v>
      </c>
    </row>
    <row r="252" spans="1:4" x14ac:dyDescent="0.3">
      <c r="A252" s="21" t="s">
        <v>280</v>
      </c>
      <c r="B252" s="21" t="s">
        <v>282</v>
      </c>
      <c r="C252" s="12" t="s">
        <v>328</v>
      </c>
      <c r="D252" s="22">
        <f>IFERROR(SUMIFS(DataEntry!$AL:$AL,DataEntry!$A:$A,"Mulanje",DataEntry!$B:$B,"MUST"),"")</f>
        <v>18458202.914999999</v>
      </c>
    </row>
    <row r="253" spans="1:4" x14ac:dyDescent="0.3">
      <c r="A253" s="19" t="s">
        <v>280</v>
      </c>
      <c r="B253" s="19" t="s">
        <v>282</v>
      </c>
      <c r="C253" s="6" t="s">
        <v>329</v>
      </c>
      <c r="D253" s="20">
        <f>IFERROR(SUMIFS(DataEntry!$AP:$AP,DataEntry!$A:$A,"Mulanje",DataEntry!$B:$B,"MUST"),"")</f>
        <v>52500</v>
      </c>
    </row>
    <row r="254" spans="1:4" x14ac:dyDescent="0.3">
      <c r="A254" s="21" t="s">
        <v>280</v>
      </c>
      <c r="B254" s="21" t="s">
        <v>282</v>
      </c>
      <c r="C254" s="12" t="s">
        <v>330</v>
      </c>
      <c r="D254" s="22">
        <f>IFERROR(SUMIFS(DataEntry!$AU:$AU,DataEntry!$A:$A,"Mulanje",DataEntry!$B:$B,"MUST"),"")</f>
        <v>180250703.75999999</v>
      </c>
    </row>
    <row r="255" spans="1:4" x14ac:dyDescent="0.3">
      <c r="A255" s="19" t="s">
        <v>280</v>
      </c>
      <c r="B255" s="19" t="s">
        <v>282</v>
      </c>
      <c r="C255" s="6" t="s">
        <v>331</v>
      </c>
      <c r="D255" s="24">
        <f>IFERROR(AVERAGEIFS(DataEntry!$AV:$AV,DataEntry!$A:$A,"Mulanje",DataEntry!$B:$B,"MUST"),"")</f>
        <v>840.63294726876927</v>
      </c>
    </row>
    <row r="256" spans="1:4" x14ac:dyDescent="0.3">
      <c r="A256" s="21" t="s">
        <v>280</v>
      </c>
      <c r="B256" s="21" t="s">
        <v>282</v>
      </c>
      <c r="C256" s="12" t="s">
        <v>332</v>
      </c>
      <c r="D256" s="22">
        <f>IFERROR(SUMIFS(DataEntry!$GB:$GB,DataEntry!$A:$A,"Mulanje",DataEntry!$B:$B,"MUST"),"")</f>
        <v>579594511.47000003</v>
      </c>
    </row>
    <row r="257" spans="1:4" x14ac:dyDescent="0.3">
      <c r="A257" s="19" t="s">
        <v>280</v>
      </c>
      <c r="B257" s="19" t="s">
        <v>282</v>
      </c>
      <c r="C257" s="6" t="s">
        <v>333</v>
      </c>
      <c r="D257" s="20">
        <f>IFERROR(SUMIFS(DataEntry!$GM:$GM,DataEntry!$A:$A,"Mulanje",DataEntry!$B:$B,"MUST"),"")</f>
        <v>27654166.220000003</v>
      </c>
    </row>
    <row r="258" spans="1:4" x14ac:dyDescent="0.3">
      <c r="A258" s="21" t="s">
        <v>280</v>
      </c>
      <c r="B258" s="21" t="s">
        <v>282</v>
      </c>
      <c r="C258" s="12" t="s">
        <v>334</v>
      </c>
      <c r="D258" s="22">
        <f>IFERROR(SUMIFS(DataEntry!$GX:$GX,DataEntry!$A:$A,"Mulanje",DataEntry!$B:$B,"MUST"),"")</f>
        <v>20918831.460000001</v>
      </c>
    </row>
    <row r="259" spans="1:4" x14ac:dyDescent="0.3">
      <c r="A259" s="19" t="s">
        <v>280</v>
      </c>
      <c r="B259" s="19" t="s">
        <v>282</v>
      </c>
      <c r="C259" s="6" t="s">
        <v>335</v>
      </c>
      <c r="D259" s="20">
        <f>IFERROR(SUMIFS(DataEntry!$GY:$GY,DataEntry!$A:$A,"Mulanje",DataEntry!$B:$B,"MUST"),"")</f>
        <v>150838839.50999999</v>
      </c>
    </row>
    <row r="260" spans="1:4" x14ac:dyDescent="0.3">
      <c r="A260" s="21" t="s">
        <v>280</v>
      </c>
      <c r="B260" s="21" t="s">
        <v>282</v>
      </c>
      <c r="C260" s="12" t="s">
        <v>336</v>
      </c>
      <c r="D260" s="22">
        <f>IFERROR(SUMIFS(DataEntry!$GZ:$GZ,DataEntry!$A:$A,"Mulanje",DataEntry!$B:$B,"MUST"),"")</f>
        <v>-214987388.29999995</v>
      </c>
    </row>
    <row r="261" spans="1:4" x14ac:dyDescent="0.3">
      <c r="A261" s="19" t="s">
        <v>280</v>
      </c>
      <c r="B261" s="19" t="s">
        <v>282</v>
      </c>
      <c r="C261" s="6" t="s">
        <v>337</v>
      </c>
      <c r="D261" s="20">
        <f>IFERROR(SUMIFS(DataEntry!$HA:$HA,DataEntry!$A:$A,"Mulanje",DataEntry!$B:$B,"MUST"),"")</f>
        <v>-77129902.709999979</v>
      </c>
    </row>
    <row r="262" spans="1:4" x14ac:dyDescent="0.3">
      <c r="A262" s="21" t="s">
        <v>280</v>
      </c>
      <c r="B262" s="21" t="s">
        <v>282</v>
      </c>
      <c r="C262" s="12" t="s">
        <v>338</v>
      </c>
      <c r="D262" s="23">
        <f>IFERROR(AVERAGEIFS(DataEntry!$HC:$HC,DataEntry!$A:$A,"Mulanje",DataEntry!$B:$B,"MUST"),"")</f>
        <v>736646.87110159406</v>
      </c>
    </row>
    <row r="263" spans="1:4" x14ac:dyDescent="0.3">
      <c r="A263" s="19" t="s">
        <v>280</v>
      </c>
      <c r="B263" s="19" t="s">
        <v>282</v>
      </c>
      <c r="C263" s="6" t="s">
        <v>339</v>
      </c>
      <c r="D263" s="24">
        <f>IFERROR(AVERAGEIFS(DataEntry!$HB:$HB,DataEntry!$A:$A,"Mulanje",DataEntry!$B:$B,"MUST"),"")</f>
        <v>-709770.89202675456</v>
      </c>
    </row>
    <row r="264" spans="1:4" x14ac:dyDescent="0.3">
      <c r="A264" s="21" t="s">
        <v>280</v>
      </c>
      <c r="B264" s="21" t="s">
        <v>282</v>
      </c>
      <c r="C264" s="12" t="s">
        <v>340</v>
      </c>
      <c r="D264" s="22">
        <f>IFERROR(SUMIFS(DataEntry!$CS:$CS,DataEntry!$A:$A,"Mulanje",DataEntry!$B:$B,"MUST"),"")</f>
        <v>3458</v>
      </c>
    </row>
    <row r="265" spans="1:4" x14ac:dyDescent="0.3">
      <c r="A265" s="19" t="s">
        <v>280</v>
      </c>
      <c r="B265" s="19" t="s">
        <v>282</v>
      </c>
      <c r="C265" s="6" t="s">
        <v>341</v>
      </c>
      <c r="D265" s="20">
        <f>IFERROR(SUMIFS(DataEntry!$CT:$CT,DataEntry!$A:$A,"Mulanje",DataEntry!$B:$B,"MUST"),"")</f>
        <v>3578</v>
      </c>
    </row>
    <row r="266" spans="1:4" x14ac:dyDescent="0.3">
      <c r="A266" s="21" t="s">
        <v>280</v>
      </c>
      <c r="B266" s="21" t="s">
        <v>282</v>
      </c>
      <c r="C266" s="12" t="s">
        <v>342</v>
      </c>
      <c r="D266" s="22">
        <f>IFERROR(SUMIFS(DataEntry!$CV:$CV,DataEntry!$A:$A,"Mulanje",DataEntry!$B:$B,"MUST"),"")</f>
        <v>49220</v>
      </c>
    </row>
    <row r="267" spans="1:4" x14ac:dyDescent="0.3">
      <c r="A267" s="19" t="s">
        <v>280</v>
      </c>
      <c r="B267" s="19" t="s">
        <v>282</v>
      </c>
      <c r="C267" s="6" t="s">
        <v>343</v>
      </c>
      <c r="D267" s="24">
        <f>IFERROR(AVERAGEIFS(DataEntry!$CW:$CW,DataEntry!$A:$A,"Mulanje",DataEntry!$B:$B,"MUST"),"")</f>
        <v>0.94096505314674639</v>
      </c>
    </row>
    <row r="268" spans="1:4" x14ac:dyDescent="0.3">
      <c r="A268" s="21" t="s">
        <v>280</v>
      </c>
      <c r="B268" s="21" t="s">
        <v>282</v>
      </c>
      <c r="C268" s="12" t="s">
        <v>344</v>
      </c>
      <c r="D268" s="22">
        <f>IFERROR(SUMIFS(DataEntry!$CA:$CA,DataEntry!$A:$A,"Mulanje",DataEntry!$B:$B,"MUST"),"")</f>
        <v>57</v>
      </c>
    </row>
    <row r="269" spans="1:4" x14ac:dyDescent="0.3">
      <c r="A269" s="19" t="s">
        <v>280</v>
      </c>
      <c r="B269" s="19" t="s">
        <v>282</v>
      </c>
      <c r="C269" s="6" t="s">
        <v>345</v>
      </c>
      <c r="D269" s="20">
        <f>IFERROR(SUMIFS(DataEntry!$DV:$DV,DataEntry!$A:$A,"Mulanje",DataEntry!$B:$B,"MUST"),"")</f>
        <v>0</v>
      </c>
    </row>
    <row r="270" spans="1:4" x14ac:dyDescent="0.3">
      <c r="A270" s="21" t="s">
        <v>280</v>
      </c>
      <c r="B270" s="21" t="s">
        <v>282</v>
      </c>
      <c r="C270" s="12" t="s">
        <v>346</v>
      </c>
      <c r="D270" s="22">
        <f>IFERROR(SUMIFS(DataEntry!$FG:$FG,DataEntry!$A:$A,"Mulanje",DataEntry!$B:$B,"MUST"),"")</f>
        <v>141</v>
      </c>
    </row>
    <row r="271" spans="1:4" x14ac:dyDescent="0.3">
      <c r="A271" s="19" t="s">
        <v>280</v>
      </c>
      <c r="B271" s="19" t="s">
        <v>282</v>
      </c>
      <c r="C271" s="6" t="s">
        <v>347</v>
      </c>
      <c r="D271" s="24">
        <f>IFERROR(AVERAGEIFS(DataEntry!$HK:$HK,DataEntry!$A:$A,"Mulanje",DataEntry!$B:$B,"MUST"),"")</f>
        <v>0.8571428571428571</v>
      </c>
    </row>
    <row r="272" spans="1:4" x14ac:dyDescent="0.3">
      <c r="A272" s="21" t="s">
        <v>280</v>
      </c>
      <c r="B272" s="21" t="s">
        <v>282</v>
      </c>
      <c r="C272" s="12" t="s">
        <v>348</v>
      </c>
      <c r="D272" s="23">
        <f>IFERROR(AVERAGEIFS(DataEntry!$HN:$HN,DataEntry!$A:$A,"Mulanje",DataEntry!$B:$B,"MUST"),"")</f>
        <v>1.7430555555555551</v>
      </c>
    </row>
    <row r="273" spans="1:4" x14ac:dyDescent="0.3">
      <c r="A273" s="19" t="s">
        <v>280</v>
      </c>
      <c r="B273" s="19" t="s">
        <v>283</v>
      </c>
      <c r="C273" s="6" t="s">
        <v>40</v>
      </c>
      <c r="D273" s="20">
        <f>IFERROR(SUMIFS(DataEntry!$H:$H,DataEntry!$A:$A,"Mulanje",DataEntry!$B:$B,"Migowi"),"")</f>
        <v>11159</v>
      </c>
    </row>
    <row r="274" spans="1:4" x14ac:dyDescent="0.3">
      <c r="A274" s="21" t="s">
        <v>280</v>
      </c>
      <c r="B274" s="21" t="s">
        <v>283</v>
      </c>
      <c r="C274" s="12" t="s">
        <v>323</v>
      </c>
      <c r="D274" s="22">
        <f>IFERROR(SUMIFS(DataEntry!$S:$S,DataEntry!$A:$A,"Mulanje",DataEntry!$B:$B,"Migowi"),"")</f>
        <v>8832</v>
      </c>
    </row>
    <row r="275" spans="1:4" x14ac:dyDescent="0.3">
      <c r="A275" s="19" t="s">
        <v>280</v>
      </c>
      <c r="B275" s="19" t="s">
        <v>283</v>
      </c>
      <c r="C275" s="6" t="s">
        <v>324</v>
      </c>
      <c r="D275" s="20">
        <f>IFERROR(SUMIFS(DataEntry!$T:$T,DataEntry!$A:$A,"Mulanje",DataEntry!$B:$B,"Migowi"),"")</f>
        <v>2327</v>
      </c>
    </row>
    <row r="276" spans="1:4" x14ac:dyDescent="0.3">
      <c r="A276" s="21" t="s">
        <v>280</v>
      </c>
      <c r="B276" s="21" t="s">
        <v>283</v>
      </c>
      <c r="C276" s="12" t="s">
        <v>325</v>
      </c>
      <c r="D276" s="23">
        <f>IFERROR(AVERAGEIFS(DataEntry!$U:$U,DataEntry!$A:$A,"Mulanje",DataEntry!$B:$B,"Migowi"),"")</f>
        <v>0.2097978078145554</v>
      </c>
    </row>
    <row r="277" spans="1:4" x14ac:dyDescent="0.3">
      <c r="A277" s="19" t="s">
        <v>280</v>
      </c>
      <c r="B277" s="19" t="s">
        <v>283</v>
      </c>
      <c r="C277" s="6" t="s">
        <v>326</v>
      </c>
      <c r="D277" s="20">
        <f>IFERROR(SUMIFS(DataEntry!$V:$V,DataEntry!$A:$A,"Mulanje",DataEntry!$B:$B,"Migowi"),"")</f>
        <v>12</v>
      </c>
    </row>
    <row r="278" spans="1:4" x14ac:dyDescent="0.3">
      <c r="A278" s="21" t="s">
        <v>280</v>
      </c>
      <c r="B278" s="21" t="s">
        <v>283</v>
      </c>
      <c r="C278" s="12" t="s">
        <v>327</v>
      </c>
      <c r="D278" s="22">
        <f>IFERROR(SUMIFS(DataEntry!$AH:$AH,DataEntry!$A:$A,"Mulanje",DataEntry!$B:$B,"Migowi"),"")</f>
        <v>61340.039999999986</v>
      </c>
    </row>
    <row r="279" spans="1:4" x14ac:dyDescent="0.3">
      <c r="A279" s="19" t="s">
        <v>280</v>
      </c>
      <c r="B279" s="19" t="s">
        <v>283</v>
      </c>
      <c r="C279" s="6" t="s">
        <v>328</v>
      </c>
      <c r="D279" s="20">
        <f>IFERROR(SUMIFS(DataEntry!$AL:$AL,DataEntry!$A:$A,"Mulanje",DataEntry!$B:$B,"Migowi"),"")</f>
        <v>1223046.591</v>
      </c>
    </row>
    <row r="280" spans="1:4" x14ac:dyDescent="0.3">
      <c r="A280" s="21" t="s">
        <v>280</v>
      </c>
      <c r="B280" s="21" t="s">
        <v>283</v>
      </c>
      <c r="C280" s="12" t="s">
        <v>329</v>
      </c>
      <c r="D280" s="22">
        <f>IFERROR(SUMIFS(DataEntry!$AP:$AP,DataEntry!$A:$A,"Mulanje",DataEntry!$B:$B,"Migowi"),"")</f>
        <v>0</v>
      </c>
    </row>
    <row r="281" spans="1:4" x14ac:dyDescent="0.3">
      <c r="A281" s="19" t="s">
        <v>280</v>
      </c>
      <c r="B281" s="19" t="s">
        <v>283</v>
      </c>
      <c r="C281" s="6" t="s">
        <v>330</v>
      </c>
      <c r="D281" s="20">
        <f>IFERROR(SUMIFS(DataEntry!$AU:$AU,DataEntry!$A:$A,"Mulanje",DataEntry!$B:$B,"Migowi"),"")</f>
        <v>1284386.6310000001</v>
      </c>
    </row>
    <row r="282" spans="1:4" x14ac:dyDescent="0.3">
      <c r="A282" s="21" t="s">
        <v>280</v>
      </c>
      <c r="B282" s="21" t="s">
        <v>283</v>
      </c>
      <c r="C282" s="12" t="s">
        <v>331</v>
      </c>
      <c r="D282" s="23">
        <f>IFERROR(AVERAGEIFS(DataEntry!$AV:$AV,DataEntry!$A:$A,"Mulanje",DataEntry!$B:$B,"Migowi"),"")</f>
        <v>123.77801249498083</v>
      </c>
    </row>
    <row r="283" spans="1:4" x14ac:dyDescent="0.3">
      <c r="A283" s="19" t="s">
        <v>280</v>
      </c>
      <c r="B283" s="19" t="s">
        <v>283</v>
      </c>
      <c r="C283" s="6" t="s">
        <v>332</v>
      </c>
      <c r="D283" s="20">
        <f>IFERROR(SUMIFS(DataEntry!$GB:$GB,DataEntry!$A:$A,"Mulanje",DataEntry!$B:$B,"Migowi"),"")</f>
        <v>13263213</v>
      </c>
    </row>
    <row r="284" spans="1:4" x14ac:dyDescent="0.3">
      <c r="A284" s="21" t="s">
        <v>280</v>
      </c>
      <c r="B284" s="21" t="s">
        <v>283</v>
      </c>
      <c r="C284" s="12" t="s">
        <v>333</v>
      </c>
      <c r="D284" s="22">
        <f>IFERROR(SUMIFS(DataEntry!$GM:$GM,DataEntry!$A:$A,"Mulanje",DataEntry!$B:$B,"Migowi"),"")</f>
        <v>0</v>
      </c>
    </row>
    <row r="285" spans="1:4" x14ac:dyDescent="0.3">
      <c r="A285" s="19" t="s">
        <v>280</v>
      </c>
      <c r="B285" s="19" t="s">
        <v>283</v>
      </c>
      <c r="C285" s="6" t="s">
        <v>334</v>
      </c>
      <c r="D285" s="20">
        <f>IFERROR(SUMIFS(DataEntry!$GX:$GX,DataEntry!$A:$A,"Mulanje",DataEntry!$B:$B,"Migowi"),"")</f>
        <v>0</v>
      </c>
    </row>
    <row r="286" spans="1:4" x14ac:dyDescent="0.3">
      <c r="A286" s="21" t="s">
        <v>280</v>
      </c>
      <c r="B286" s="21" t="s">
        <v>283</v>
      </c>
      <c r="C286" s="12" t="s">
        <v>335</v>
      </c>
      <c r="D286" s="22">
        <f>IFERROR(SUMIFS(DataEntry!$GY:$GY,DataEntry!$A:$A,"Mulanje",DataEntry!$B:$B,"Migowi"),"")</f>
        <v>0</v>
      </c>
    </row>
    <row r="287" spans="1:4" x14ac:dyDescent="0.3">
      <c r="A287" s="19" t="s">
        <v>280</v>
      </c>
      <c r="B287" s="19" t="s">
        <v>283</v>
      </c>
      <c r="C287" s="6" t="s">
        <v>336</v>
      </c>
      <c r="D287" s="20">
        <f>IFERROR(SUMIFS(DataEntry!$GZ:$GZ,DataEntry!$A:$A,"Mulanje",DataEntry!$B:$B,"Migowi"),"")</f>
        <v>0</v>
      </c>
    </row>
    <row r="288" spans="1:4" x14ac:dyDescent="0.3">
      <c r="A288" s="21" t="s">
        <v>280</v>
      </c>
      <c r="B288" s="21" t="s">
        <v>283</v>
      </c>
      <c r="C288" s="12" t="s">
        <v>337</v>
      </c>
      <c r="D288" s="22">
        <f>IFERROR(SUMIFS(DataEntry!$HA:$HA,DataEntry!$A:$A,"Mulanje",DataEntry!$B:$B,"Migowi"),"")</f>
        <v>0</v>
      </c>
    </row>
    <row r="289" spans="1:4" x14ac:dyDescent="0.3">
      <c r="A289" s="19" t="s">
        <v>280</v>
      </c>
      <c r="B289" s="19" t="s">
        <v>283</v>
      </c>
      <c r="C289" s="6" t="s">
        <v>338</v>
      </c>
      <c r="D289" s="24">
        <f>IFERROR(AVERAGEIFS(DataEntry!$HC:$HC,DataEntry!$A:$A,"Mulanje",DataEntry!$B:$B,"Migowi"),"")</f>
        <v>0</v>
      </c>
    </row>
    <row r="290" spans="1:4" x14ac:dyDescent="0.3">
      <c r="A290" s="21" t="s">
        <v>280</v>
      </c>
      <c r="B290" s="21" t="s">
        <v>283</v>
      </c>
      <c r="C290" s="12" t="s">
        <v>339</v>
      </c>
      <c r="D290" s="23">
        <f>IFERROR(AVERAGEIFS(DataEntry!$HB:$HB,DataEntry!$A:$A,"Mulanje",DataEntry!$B:$B,"Migowi"),"")</f>
        <v>0</v>
      </c>
    </row>
    <row r="291" spans="1:4" x14ac:dyDescent="0.3">
      <c r="A291" s="19" t="s">
        <v>280</v>
      </c>
      <c r="B291" s="19" t="s">
        <v>283</v>
      </c>
      <c r="C291" s="6" t="s">
        <v>340</v>
      </c>
      <c r="D291" s="20">
        <f>IFERROR(SUMIFS(DataEntry!$CS:$CS,DataEntry!$A:$A,"Mulanje",DataEntry!$B:$B,"Migowi"),"")</f>
        <v>912</v>
      </c>
    </row>
    <row r="292" spans="1:4" x14ac:dyDescent="0.3">
      <c r="A292" s="21" t="s">
        <v>280</v>
      </c>
      <c r="B292" s="21" t="s">
        <v>283</v>
      </c>
      <c r="C292" s="12" t="s">
        <v>341</v>
      </c>
      <c r="D292" s="22">
        <f>IFERROR(SUMIFS(DataEntry!$CT:$CT,DataEntry!$A:$A,"Mulanje",DataEntry!$B:$B,"Migowi"),"")</f>
        <v>912</v>
      </c>
    </row>
    <row r="293" spans="1:4" x14ac:dyDescent="0.3">
      <c r="A293" s="19" t="s">
        <v>280</v>
      </c>
      <c r="B293" s="19" t="s">
        <v>283</v>
      </c>
      <c r="C293" s="6" t="s">
        <v>342</v>
      </c>
      <c r="D293" s="20">
        <f>IFERROR(SUMIFS(DataEntry!$CV:$CV,DataEntry!$A:$A,"Mulanje",DataEntry!$B:$B,"Migowi"),"")</f>
        <v>6636</v>
      </c>
    </row>
    <row r="294" spans="1:4" x14ac:dyDescent="0.3">
      <c r="A294" s="21" t="s">
        <v>280</v>
      </c>
      <c r="B294" s="21" t="s">
        <v>283</v>
      </c>
      <c r="C294" s="12" t="s">
        <v>343</v>
      </c>
      <c r="D294" s="23">
        <f>IFERROR(AVERAGEIFS(DataEntry!$CW:$CW,DataEntry!$A:$A,"Mulanje",DataEntry!$B:$B,"Migowi"),"")</f>
        <v>1</v>
      </c>
    </row>
    <row r="295" spans="1:4" x14ac:dyDescent="0.3">
      <c r="A295" s="19" t="s">
        <v>280</v>
      </c>
      <c r="B295" s="19" t="s">
        <v>283</v>
      </c>
      <c r="C295" s="6" t="s">
        <v>344</v>
      </c>
      <c r="D295" s="20">
        <f>IFERROR(SUMIFS(DataEntry!$CA:$CA,DataEntry!$A:$A,"Mulanje",DataEntry!$B:$B,"Migowi"),"")</f>
        <v>0</v>
      </c>
    </row>
    <row r="296" spans="1:4" x14ac:dyDescent="0.3">
      <c r="A296" s="21" t="s">
        <v>280</v>
      </c>
      <c r="B296" s="21" t="s">
        <v>283</v>
      </c>
      <c r="C296" s="12" t="s">
        <v>345</v>
      </c>
      <c r="D296" s="22">
        <f>IFERROR(SUMIFS(DataEntry!$DV:$DV,DataEntry!$A:$A,"Mulanje",DataEntry!$B:$B,"Migowi"),"")</f>
        <v>0</v>
      </c>
    </row>
    <row r="297" spans="1:4" x14ac:dyDescent="0.3">
      <c r="A297" s="19" t="s">
        <v>280</v>
      </c>
      <c r="B297" s="19" t="s">
        <v>283</v>
      </c>
      <c r="C297" s="6" t="s">
        <v>346</v>
      </c>
      <c r="D297" s="20">
        <f>IFERROR(SUMIFS(DataEntry!$FG:$FG,DataEntry!$A:$A,"Mulanje",DataEntry!$B:$B,"Migowi"),"")</f>
        <v>18</v>
      </c>
    </row>
    <row r="298" spans="1:4" x14ac:dyDescent="0.3">
      <c r="A298" s="21" t="s">
        <v>280</v>
      </c>
      <c r="B298" s="21" t="s">
        <v>283</v>
      </c>
      <c r="C298" s="12" t="s">
        <v>347</v>
      </c>
      <c r="D298" s="23" t="str">
        <f>IFERROR(AVERAGEIFS(DataEntry!$HK:$HK,DataEntry!$A:$A,"Mulanje",DataEntry!$B:$B,"Migowi"),"")</f>
        <v/>
      </c>
    </row>
    <row r="299" spans="1:4" x14ac:dyDescent="0.3">
      <c r="A299" s="19" t="s">
        <v>280</v>
      </c>
      <c r="B299" s="19" t="s">
        <v>283</v>
      </c>
      <c r="C299" s="6" t="s">
        <v>348</v>
      </c>
      <c r="D299" s="24">
        <f>IFERROR(AVERAGEIFS(DataEntry!$HN:$HN,DataEntry!$A:$A,"Mulanje",DataEntry!$B:$B,"Migowi"),"")</f>
        <v>0.21594844549390005</v>
      </c>
    </row>
    <row r="300" spans="1:4" x14ac:dyDescent="0.3">
      <c r="A300" s="21" t="s">
        <v>280</v>
      </c>
      <c r="B300" s="21" t="s">
        <v>284</v>
      </c>
      <c r="C300" s="12" t="s">
        <v>40</v>
      </c>
      <c r="D300" s="22">
        <f>IFERROR(SUMIFS(DataEntry!$H:$H,DataEntry!$A:$A,"Mulanje",DataEntry!$B:$B,"Mikolongwe"),"")</f>
        <v>9510</v>
      </c>
    </row>
    <row r="301" spans="1:4" x14ac:dyDescent="0.3">
      <c r="A301" s="19" t="s">
        <v>280</v>
      </c>
      <c r="B301" s="19" t="s">
        <v>284</v>
      </c>
      <c r="C301" s="6" t="s">
        <v>323</v>
      </c>
      <c r="D301" s="20">
        <f>IFERROR(SUMIFS(DataEntry!$S:$S,DataEntry!$A:$A,"Mulanje",DataEntry!$B:$B,"Mikolongwe"),"")</f>
        <v>7426</v>
      </c>
    </row>
    <row r="302" spans="1:4" x14ac:dyDescent="0.3">
      <c r="A302" s="21" t="s">
        <v>280</v>
      </c>
      <c r="B302" s="21" t="s">
        <v>284</v>
      </c>
      <c r="C302" s="12" t="s">
        <v>324</v>
      </c>
      <c r="D302" s="22">
        <f>IFERROR(SUMIFS(DataEntry!$T:$T,DataEntry!$A:$A,"Mulanje",DataEntry!$B:$B,"Mikolongwe"),"")</f>
        <v>2084</v>
      </c>
    </row>
    <row r="303" spans="1:4" x14ac:dyDescent="0.3">
      <c r="A303" s="19" t="s">
        <v>280</v>
      </c>
      <c r="B303" s="19" t="s">
        <v>284</v>
      </c>
      <c r="C303" s="6" t="s">
        <v>325</v>
      </c>
      <c r="D303" s="24">
        <f>IFERROR(AVERAGEIFS(DataEntry!$U:$U,DataEntry!$A:$A,"Mulanje",DataEntry!$B:$B,"Mikolongwe"),"")</f>
        <v>0.2220801481894201</v>
      </c>
    </row>
    <row r="304" spans="1:4" x14ac:dyDescent="0.3">
      <c r="A304" s="21" t="s">
        <v>280</v>
      </c>
      <c r="B304" s="21" t="s">
        <v>284</v>
      </c>
      <c r="C304" s="12" t="s">
        <v>326</v>
      </c>
      <c r="D304" s="22">
        <f>IFERROR(SUMIFS(DataEntry!$V:$V,DataEntry!$A:$A,"Mulanje",DataEntry!$B:$B,"Mikolongwe"),"")</f>
        <v>49</v>
      </c>
    </row>
    <row r="305" spans="1:4" x14ac:dyDescent="0.3">
      <c r="A305" s="19" t="s">
        <v>280</v>
      </c>
      <c r="B305" s="19" t="s">
        <v>284</v>
      </c>
      <c r="C305" s="6" t="s">
        <v>327</v>
      </c>
      <c r="D305" s="20">
        <f>IFERROR(SUMIFS(DataEntry!$AH:$AH,DataEntry!$A:$A,"Mulanje",DataEntry!$B:$B,"Mikolongwe"),"")</f>
        <v>250471.83</v>
      </c>
    </row>
    <row r="306" spans="1:4" x14ac:dyDescent="0.3">
      <c r="A306" s="21" t="s">
        <v>280</v>
      </c>
      <c r="B306" s="21" t="s">
        <v>284</v>
      </c>
      <c r="C306" s="12" t="s">
        <v>328</v>
      </c>
      <c r="D306" s="22">
        <f>IFERROR(SUMIFS(DataEntry!$AL:$AL,DataEntry!$A:$A,"Mulanje",DataEntry!$B:$B,"Mikolongwe"),"")</f>
        <v>1441857.7064999999</v>
      </c>
    </row>
    <row r="307" spans="1:4" x14ac:dyDescent="0.3">
      <c r="A307" s="19" t="s">
        <v>280</v>
      </c>
      <c r="B307" s="19" t="s">
        <v>284</v>
      </c>
      <c r="C307" s="6" t="s">
        <v>329</v>
      </c>
      <c r="D307" s="20">
        <f>IFERROR(SUMIFS(DataEntry!$AP:$AP,DataEntry!$A:$A,"Mulanje",DataEntry!$B:$B,"Mikolongwe"),"")</f>
        <v>0</v>
      </c>
    </row>
    <row r="308" spans="1:4" x14ac:dyDescent="0.3">
      <c r="A308" s="21" t="s">
        <v>280</v>
      </c>
      <c r="B308" s="21" t="s">
        <v>284</v>
      </c>
      <c r="C308" s="12" t="s">
        <v>330</v>
      </c>
      <c r="D308" s="22">
        <f>IFERROR(SUMIFS(DataEntry!$AU:$AU,DataEntry!$A:$A,"Mulanje",DataEntry!$B:$B,"Mikolongwe"),"")</f>
        <v>4098427.7764999992</v>
      </c>
    </row>
    <row r="309" spans="1:4" x14ac:dyDescent="0.3">
      <c r="A309" s="19" t="s">
        <v>280</v>
      </c>
      <c r="B309" s="19" t="s">
        <v>284</v>
      </c>
      <c r="C309" s="6" t="s">
        <v>331</v>
      </c>
      <c r="D309" s="24">
        <f>IFERROR(AVERAGEIFS(DataEntry!$AV:$AV,DataEntry!$A:$A,"Mulanje",DataEntry!$B:$B,"Mikolongwe"),"")</f>
        <v>456.22128967733653</v>
      </c>
    </row>
    <row r="310" spans="1:4" x14ac:dyDescent="0.3">
      <c r="A310" s="21" t="s">
        <v>280</v>
      </c>
      <c r="B310" s="21" t="s">
        <v>284</v>
      </c>
      <c r="C310" s="12" t="s">
        <v>332</v>
      </c>
      <c r="D310" s="22">
        <f>IFERROR(SUMIFS(DataEntry!$GB:$GB,DataEntry!$A:$A,"Mulanje",DataEntry!$B:$B,"Mikolongwe"),"")</f>
        <v>4967800</v>
      </c>
    </row>
    <row r="311" spans="1:4" x14ac:dyDescent="0.3">
      <c r="A311" s="19" t="s">
        <v>280</v>
      </c>
      <c r="B311" s="19" t="s">
        <v>284</v>
      </c>
      <c r="C311" s="6" t="s">
        <v>333</v>
      </c>
      <c r="D311" s="20">
        <f>IFERROR(SUMIFS(DataEntry!$GM:$GM,DataEntry!$A:$A,"Mulanje",DataEntry!$B:$B,"Mikolongwe"),"")</f>
        <v>1503876.71</v>
      </c>
    </row>
    <row r="312" spans="1:4" x14ac:dyDescent="0.3">
      <c r="A312" s="21" t="s">
        <v>280</v>
      </c>
      <c r="B312" s="21" t="s">
        <v>284</v>
      </c>
      <c r="C312" s="12" t="s">
        <v>334</v>
      </c>
      <c r="D312" s="22">
        <f>IFERROR(SUMIFS(DataEntry!$GX:$GX,DataEntry!$A:$A,"Mulanje",DataEntry!$B:$B,"Mikolongwe"),"")</f>
        <v>503876.70999999996</v>
      </c>
    </row>
    <row r="313" spans="1:4" x14ac:dyDescent="0.3">
      <c r="A313" s="19" t="s">
        <v>280</v>
      </c>
      <c r="B313" s="19" t="s">
        <v>284</v>
      </c>
      <c r="C313" s="6" t="s">
        <v>335</v>
      </c>
      <c r="D313" s="20">
        <f>IFERROR(SUMIFS(DataEntry!$GY:$GY,DataEntry!$A:$A,"Mulanje",DataEntry!$B:$B,"Mikolongwe"),"")</f>
        <v>27420051.879999999</v>
      </c>
    </row>
    <row r="314" spans="1:4" x14ac:dyDescent="0.3">
      <c r="A314" s="21" t="s">
        <v>280</v>
      </c>
      <c r="B314" s="21" t="s">
        <v>284</v>
      </c>
      <c r="C314" s="12" t="s">
        <v>336</v>
      </c>
      <c r="D314" s="22">
        <f>IFERROR(SUMIFS(DataEntry!$GZ:$GZ,DataEntry!$A:$A,"Mulanje",DataEntry!$B:$B,"Mikolongwe"),"")</f>
        <v>0</v>
      </c>
    </row>
    <row r="315" spans="1:4" x14ac:dyDescent="0.3">
      <c r="A315" s="19" t="s">
        <v>280</v>
      </c>
      <c r="B315" s="19" t="s">
        <v>284</v>
      </c>
      <c r="C315" s="6" t="s">
        <v>337</v>
      </c>
      <c r="D315" s="20">
        <f>IFERROR(SUMIFS(DataEntry!$HA:$HA,DataEntry!$A:$A,"Mulanje",DataEntry!$B:$B,"Mikolongwe"),"")</f>
        <v>25602635.469999999</v>
      </c>
    </row>
    <row r="316" spans="1:4" x14ac:dyDescent="0.3">
      <c r="A316" s="21" t="s">
        <v>280</v>
      </c>
      <c r="B316" s="21" t="s">
        <v>284</v>
      </c>
      <c r="C316" s="12" t="s">
        <v>338</v>
      </c>
      <c r="D316" s="23">
        <f>IFERROR(AVERAGEIFS(DataEntry!$HC:$HC,DataEntry!$A:$A,"Mulanje",DataEntry!$B:$B,"Mikolongwe"),"")</f>
        <v>83333.49562989315</v>
      </c>
    </row>
    <row r="317" spans="1:4" x14ac:dyDescent="0.3">
      <c r="A317" s="19" t="s">
        <v>280</v>
      </c>
      <c r="B317" s="19" t="s">
        <v>284</v>
      </c>
      <c r="C317" s="6" t="s">
        <v>339</v>
      </c>
      <c r="D317" s="24">
        <f>IFERROR(AVERAGEIFS(DataEntry!$HB:$HB,DataEntry!$A:$A,"Mulanje",DataEntry!$B:$B,"Mikolongwe"),"")</f>
        <v>908708.69825440634</v>
      </c>
    </row>
    <row r="318" spans="1:4" x14ac:dyDescent="0.3">
      <c r="A318" s="21" t="s">
        <v>280</v>
      </c>
      <c r="B318" s="21" t="s">
        <v>284</v>
      </c>
      <c r="C318" s="12" t="s">
        <v>340</v>
      </c>
      <c r="D318" s="22">
        <f>IFERROR(SUMIFS(DataEntry!$CS:$CS,DataEntry!$A:$A,"Mulanje",DataEntry!$B:$B,"Mikolongwe"),"")</f>
        <v>591</v>
      </c>
    </row>
    <row r="319" spans="1:4" x14ac:dyDescent="0.3">
      <c r="A319" s="19" t="s">
        <v>280</v>
      </c>
      <c r="B319" s="19" t="s">
        <v>284</v>
      </c>
      <c r="C319" s="6" t="s">
        <v>341</v>
      </c>
      <c r="D319" s="20">
        <f>IFERROR(SUMIFS(DataEntry!$CT:$CT,DataEntry!$A:$A,"Mulanje",DataEntry!$B:$B,"Mikolongwe"),"")</f>
        <v>784</v>
      </c>
    </row>
    <row r="320" spans="1:4" x14ac:dyDescent="0.3">
      <c r="A320" s="21" t="s">
        <v>280</v>
      </c>
      <c r="B320" s="21" t="s">
        <v>284</v>
      </c>
      <c r="C320" s="12" t="s">
        <v>342</v>
      </c>
      <c r="D320" s="22">
        <f>IFERROR(SUMIFS(DataEntry!$CV:$CV,DataEntry!$A:$A,"Mulanje",DataEntry!$B:$B,"Mikolongwe"),"")</f>
        <v>12384</v>
      </c>
    </row>
    <row r="321" spans="1:4" x14ac:dyDescent="0.3">
      <c r="A321" s="19" t="s">
        <v>280</v>
      </c>
      <c r="B321" s="19" t="s">
        <v>284</v>
      </c>
      <c r="C321" s="6" t="s">
        <v>343</v>
      </c>
      <c r="D321" s="24">
        <f>IFERROR(AVERAGEIFS(DataEntry!$CW:$CW,DataEntry!$A:$A,"Mulanje",DataEntry!$B:$B,"Mikolongwe"),"")</f>
        <v>0.8203497615262324</v>
      </c>
    </row>
    <row r="322" spans="1:4" x14ac:dyDescent="0.3">
      <c r="A322" s="21" t="s">
        <v>280</v>
      </c>
      <c r="B322" s="21" t="s">
        <v>284</v>
      </c>
      <c r="C322" s="12" t="s">
        <v>344</v>
      </c>
      <c r="D322" s="22">
        <f>IFERROR(SUMIFS(DataEntry!$CA:$CA,DataEntry!$A:$A,"Mulanje",DataEntry!$B:$B,"Mikolongwe"),"")</f>
        <v>0</v>
      </c>
    </row>
    <row r="323" spans="1:4" x14ac:dyDescent="0.3">
      <c r="A323" s="19" t="s">
        <v>280</v>
      </c>
      <c r="B323" s="19" t="s">
        <v>284</v>
      </c>
      <c r="C323" s="6" t="s">
        <v>345</v>
      </c>
      <c r="D323" s="20">
        <f>IFERROR(SUMIFS(DataEntry!$DV:$DV,DataEntry!$A:$A,"Mulanje",DataEntry!$B:$B,"Mikolongwe"),"")</f>
        <v>0</v>
      </c>
    </row>
    <row r="324" spans="1:4" x14ac:dyDescent="0.3">
      <c r="A324" s="21" t="s">
        <v>280</v>
      </c>
      <c r="B324" s="21" t="s">
        <v>284</v>
      </c>
      <c r="C324" s="12" t="s">
        <v>346</v>
      </c>
      <c r="D324" s="22">
        <f>IFERROR(SUMIFS(DataEntry!$FG:$FG,DataEntry!$A:$A,"Mulanje",DataEntry!$B:$B,"Mikolongwe"),"")</f>
        <v>101</v>
      </c>
    </row>
    <row r="325" spans="1:4" x14ac:dyDescent="0.3">
      <c r="A325" s="19" t="s">
        <v>280</v>
      </c>
      <c r="B325" s="19" t="s">
        <v>284</v>
      </c>
      <c r="C325" s="6" t="s">
        <v>347</v>
      </c>
      <c r="D325" s="24" t="str">
        <f>IFERROR(AVERAGEIFS(DataEntry!$HK:$HK,DataEntry!$A:$A,"Mulanje",DataEntry!$B:$B,"Mikolongwe"),"")</f>
        <v/>
      </c>
    </row>
    <row r="326" spans="1:4" x14ac:dyDescent="0.3">
      <c r="A326" s="21" t="s">
        <v>280</v>
      </c>
      <c r="B326" s="21" t="s">
        <v>284</v>
      </c>
      <c r="C326" s="12" t="s">
        <v>348</v>
      </c>
      <c r="D326" s="23">
        <f>IFERROR(AVERAGEIFS(DataEntry!$HN:$HN,DataEntry!$A:$A,"Mulanje",DataEntry!$B:$B,"Mikolongwe"),"")</f>
        <v>0.63630952380952377</v>
      </c>
    </row>
    <row r="327" spans="1:4" x14ac:dyDescent="0.3">
      <c r="A327" s="19" t="s">
        <v>280</v>
      </c>
      <c r="B327" s="19" t="s">
        <v>280</v>
      </c>
      <c r="C327" s="6" t="s">
        <v>40</v>
      </c>
      <c r="D327" s="20">
        <f>IFERROR(SUMIFS(DataEntry!$H:$H,DataEntry!$A:$A,"Mulanje",DataEntry!$B:$B,"Mulanje"),"")</f>
        <v>479914</v>
      </c>
    </row>
    <row r="328" spans="1:4" x14ac:dyDescent="0.3">
      <c r="A328" s="21" t="s">
        <v>280</v>
      </c>
      <c r="B328" s="21" t="s">
        <v>280</v>
      </c>
      <c r="C328" s="12" t="s">
        <v>323</v>
      </c>
      <c r="D328" s="22">
        <f>IFERROR(SUMIFS(DataEntry!$S:$S,DataEntry!$A:$A,"Mulanje",DataEntry!$B:$B,"Mulanje"),"")</f>
        <v>334895.90000000014</v>
      </c>
    </row>
    <row r="329" spans="1:4" x14ac:dyDescent="0.3">
      <c r="A329" s="19" t="s">
        <v>280</v>
      </c>
      <c r="B329" s="19" t="s">
        <v>280</v>
      </c>
      <c r="C329" s="6" t="s">
        <v>324</v>
      </c>
      <c r="D329" s="20">
        <f>IFERROR(SUMIFS(DataEntry!$T:$T,DataEntry!$A:$A,"Mulanje",DataEntry!$B:$B,"Mulanje"),"")</f>
        <v>145018.10000000003</v>
      </c>
    </row>
    <row r="330" spans="1:4" x14ac:dyDescent="0.3">
      <c r="A330" s="21" t="s">
        <v>280</v>
      </c>
      <c r="B330" s="21" t="s">
        <v>280</v>
      </c>
      <c r="C330" s="12" t="s">
        <v>325</v>
      </c>
      <c r="D330" s="23">
        <f>IFERROR(AVERAGEIFS(DataEntry!$U:$U,DataEntry!$A:$A,"Mulanje",DataEntry!$B:$B,"Mulanje"),"")</f>
        <v>0.30360012828841249</v>
      </c>
    </row>
    <row r="331" spans="1:4" x14ac:dyDescent="0.3">
      <c r="A331" s="19" t="s">
        <v>280</v>
      </c>
      <c r="B331" s="19" t="s">
        <v>280</v>
      </c>
      <c r="C331" s="6" t="s">
        <v>326</v>
      </c>
      <c r="D331" s="20">
        <f>IFERROR(SUMIFS(DataEntry!$V:$V,DataEntry!$A:$A,"Mulanje",DataEntry!$B:$B,"Mulanje"),"")</f>
        <v>1062.5</v>
      </c>
    </row>
    <row r="332" spans="1:4" x14ac:dyDescent="0.3">
      <c r="A332" s="21" t="s">
        <v>280</v>
      </c>
      <c r="B332" s="21" t="s">
        <v>280</v>
      </c>
      <c r="C332" s="12" t="s">
        <v>327</v>
      </c>
      <c r="D332" s="22">
        <f>IFERROR(SUMIFS(DataEntry!$AH:$AH,DataEntry!$A:$A,"Mulanje",DataEntry!$B:$B,"Mulanje"),"")</f>
        <v>5431149.375</v>
      </c>
    </row>
    <row r="333" spans="1:4" x14ac:dyDescent="0.3">
      <c r="A333" s="19" t="s">
        <v>280</v>
      </c>
      <c r="B333" s="19" t="s">
        <v>280</v>
      </c>
      <c r="C333" s="6" t="s">
        <v>328</v>
      </c>
      <c r="D333" s="20">
        <f>IFERROR(SUMIFS(DataEntry!$AL:$AL,DataEntry!$A:$A,"Mulanje",DataEntry!$B:$B,"Mulanje"),"")</f>
        <v>280091.397</v>
      </c>
    </row>
    <row r="334" spans="1:4" x14ac:dyDescent="0.3">
      <c r="A334" s="21" t="s">
        <v>280</v>
      </c>
      <c r="B334" s="21" t="s">
        <v>280</v>
      </c>
      <c r="C334" s="12" t="s">
        <v>329</v>
      </c>
      <c r="D334" s="22">
        <f>IFERROR(SUMIFS(DataEntry!$AP:$AP,DataEntry!$A:$A,"Mulanje",DataEntry!$B:$B,"Mulanje"),"")</f>
        <v>5400205.9000000004</v>
      </c>
    </row>
    <row r="335" spans="1:4" x14ac:dyDescent="0.3">
      <c r="A335" s="19" t="s">
        <v>280</v>
      </c>
      <c r="B335" s="19" t="s">
        <v>280</v>
      </c>
      <c r="C335" s="6" t="s">
        <v>330</v>
      </c>
      <c r="D335" s="20">
        <f>IFERROR(SUMIFS(DataEntry!$AU:$AU,DataEntry!$A:$A,"Mulanje",DataEntry!$B:$B,"Mulanje"),"")</f>
        <v>340558889.45700002</v>
      </c>
    </row>
    <row r="336" spans="1:4" x14ac:dyDescent="0.3">
      <c r="A336" s="21" t="s">
        <v>280</v>
      </c>
      <c r="B336" s="21" t="s">
        <v>280</v>
      </c>
      <c r="C336" s="12" t="s">
        <v>331</v>
      </c>
      <c r="D336" s="23">
        <f>IFERROR(AVERAGEIFS(DataEntry!$AV:$AV,DataEntry!$A:$A,"Mulanje",DataEntry!$B:$B,"Mulanje"),"")</f>
        <v>716.0710207611836</v>
      </c>
    </row>
    <row r="337" spans="1:4" x14ac:dyDescent="0.3">
      <c r="A337" s="19" t="s">
        <v>280</v>
      </c>
      <c r="B337" s="19" t="s">
        <v>280</v>
      </c>
      <c r="C337" s="6" t="s">
        <v>332</v>
      </c>
      <c r="D337" s="20">
        <f>IFERROR(SUMIFS(DataEntry!$GB:$GB,DataEntry!$A:$A,"Mulanje",DataEntry!$B:$B,"Mulanje"),"")</f>
        <v>522180783.96999985</v>
      </c>
    </row>
    <row r="338" spans="1:4" x14ac:dyDescent="0.3">
      <c r="A338" s="21" t="s">
        <v>280</v>
      </c>
      <c r="B338" s="21" t="s">
        <v>280</v>
      </c>
      <c r="C338" s="12" t="s">
        <v>333</v>
      </c>
      <c r="D338" s="22">
        <f>IFERROR(SUMIFS(DataEntry!$GM:$GM,DataEntry!$A:$A,"Mulanje",DataEntry!$B:$B,"Mulanje"),"")</f>
        <v>295018049.69</v>
      </c>
    </row>
    <row r="339" spans="1:4" x14ac:dyDescent="0.3">
      <c r="A339" s="19" t="s">
        <v>280</v>
      </c>
      <c r="B339" s="19" t="s">
        <v>280</v>
      </c>
      <c r="C339" s="6" t="s">
        <v>334</v>
      </c>
      <c r="D339" s="20">
        <f>IFERROR(SUMIFS(DataEntry!$GX:$GX,DataEntry!$A:$A,"Mulanje",DataEntry!$B:$B,"Mulanje"),"")</f>
        <v>306827018.50999999</v>
      </c>
    </row>
    <row r="340" spans="1:4" x14ac:dyDescent="0.3">
      <c r="A340" s="21" t="s">
        <v>280</v>
      </c>
      <c r="B340" s="21" t="s">
        <v>280</v>
      </c>
      <c r="C340" s="12" t="s">
        <v>335</v>
      </c>
      <c r="D340" s="22">
        <f>IFERROR(SUMIFS(DataEntry!$GY:$GY,DataEntry!$A:$A,"Mulanje",DataEntry!$B:$B,"Mulanje"),"")</f>
        <v>1326852476.8100002</v>
      </c>
    </row>
    <row r="341" spans="1:4" x14ac:dyDescent="0.3">
      <c r="A341" s="19" t="s">
        <v>280</v>
      </c>
      <c r="B341" s="19" t="s">
        <v>280</v>
      </c>
      <c r="C341" s="6" t="s">
        <v>336</v>
      </c>
      <c r="D341" s="20">
        <f>IFERROR(SUMIFS(DataEntry!$GZ:$GZ,DataEntry!$A:$A,"Mulanje",DataEntry!$B:$B,"Mulanje"),"")</f>
        <v>5642144.0100000007</v>
      </c>
    </row>
    <row r="342" spans="1:4" x14ac:dyDescent="0.3">
      <c r="A342" s="21" t="s">
        <v>280</v>
      </c>
      <c r="B342" s="21" t="s">
        <v>280</v>
      </c>
      <c r="C342" s="12" t="s">
        <v>337</v>
      </c>
      <c r="D342" s="22">
        <f>IFERROR(SUMIFS(DataEntry!$HA:$HA,DataEntry!$A:$A,"Mulanje",DataEntry!$B:$B,"Mulanje"),"")</f>
        <v>1263367104.7</v>
      </c>
    </row>
    <row r="343" spans="1:4" x14ac:dyDescent="0.3">
      <c r="A343" s="19" t="s">
        <v>280</v>
      </c>
      <c r="B343" s="19" t="s">
        <v>280</v>
      </c>
      <c r="C343" s="6" t="s">
        <v>338</v>
      </c>
      <c r="D343" s="24">
        <f>IFERROR(AVERAGEIFS(DataEntry!$HC:$HC,DataEntry!$A:$A,"Mulanje",DataEntry!$B:$B,"Mulanje"),"")</f>
        <v>3612996.556152632</v>
      </c>
    </row>
    <row r="344" spans="1:4" x14ac:dyDescent="0.3">
      <c r="A344" s="21" t="s">
        <v>280</v>
      </c>
      <c r="B344" s="21" t="s">
        <v>280</v>
      </c>
      <c r="C344" s="12" t="s">
        <v>339</v>
      </c>
      <c r="D344" s="23">
        <f>IFERROR(AVERAGEIFS(DataEntry!$HB:$HB,DataEntry!$A:$A,"Mulanje",DataEntry!$B:$B,"Mulanje"),"")</f>
        <v>5817703.0204918161</v>
      </c>
    </row>
    <row r="345" spans="1:4" x14ac:dyDescent="0.3">
      <c r="A345" s="19" t="s">
        <v>280</v>
      </c>
      <c r="B345" s="19" t="s">
        <v>280</v>
      </c>
      <c r="C345" s="6" t="s">
        <v>340</v>
      </c>
      <c r="D345" s="20">
        <f>IFERROR(SUMIFS(DataEntry!$CS:$CS,DataEntry!$A:$A,"Mulanje",DataEntry!$B:$B,"Mulanje"),"")</f>
        <v>40621</v>
      </c>
    </row>
    <row r="346" spans="1:4" x14ac:dyDescent="0.3">
      <c r="A346" s="21" t="s">
        <v>280</v>
      </c>
      <c r="B346" s="21" t="s">
        <v>280</v>
      </c>
      <c r="C346" s="12" t="s">
        <v>341</v>
      </c>
      <c r="D346" s="22">
        <f>IFERROR(SUMIFS(DataEntry!$CT:$CT,DataEntry!$A:$A,"Mulanje",DataEntry!$B:$B,"Mulanje"),"")</f>
        <v>51358</v>
      </c>
    </row>
    <row r="347" spans="1:4" x14ac:dyDescent="0.3">
      <c r="A347" s="19" t="s">
        <v>280</v>
      </c>
      <c r="B347" s="19" t="s">
        <v>280</v>
      </c>
      <c r="C347" s="6" t="s">
        <v>342</v>
      </c>
      <c r="D347" s="20">
        <f>IFERROR(SUMIFS(DataEntry!$CV:$CV,DataEntry!$A:$A,"Mulanje",DataEntry!$B:$B,"Mulanje"),"")</f>
        <v>248465</v>
      </c>
    </row>
    <row r="348" spans="1:4" x14ac:dyDescent="0.3">
      <c r="A348" s="21" t="s">
        <v>280</v>
      </c>
      <c r="B348" s="21" t="s">
        <v>280</v>
      </c>
      <c r="C348" s="12" t="s">
        <v>343</v>
      </c>
      <c r="D348" s="23">
        <f>IFERROR(AVERAGEIFS(DataEntry!$CW:$CW,DataEntry!$A:$A,"Mulanje",DataEntry!$B:$B,"Mulanje"),"")</f>
        <v>0.82821666666666671</v>
      </c>
    </row>
    <row r="349" spans="1:4" x14ac:dyDescent="0.3">
      <c r="A349" s="19" t="s">
        <v>280</v>
      </c>
      <c r="B349" s="19" t="s">
        <v>280</v>
      </c>
      <c r="C349" s="6" t="s">
        <v>344</v>
      </c>
      <c r="D349" s="20">
        <f>IFERROR(SUMIFS(DataEntry!$CA:$CA,DataEntry!$A:$A,"Mulanje",DataEntry!$B:$B,"Mulanje"),"")</f>
        <v>423</v>
      </c>
    </row>
    <row r="350" spans="1:4" x14ac:dyDescent="0.3">
      <c r="A350" s="21" t="s">
        <v>280</v>
      </c>
      <c r="B350" s="21" t="s">
        <v>280</v>
      </c>
      <c r="C350" s="12" t="s">
        <v>345</v>
      </c>
      <c r="D350" s="22">
        <f>IFERROR(SUMIFS(DataEntry!$DV:$DV,DataEntry!$A:$A,"Mulanje",DataEntry!$B:$B,"Mulanje"),"")</f>
        <v>860</v>
      </c>
    </row>
    <row r="351" spans="1:4" x14ac:dyDescent="0.3">
      <c r="A351" s="19" t="s">
        <v>280</v>
      </c>
      <c r="B351" s="19" t="s">
        <v>280</v>
      </c>
      <c r="C351" s="6" t="s">
        <v>346</v>
      </c>
      <c r="D351" s="20">
        <f>IFERROR(SUMIFS(DataEntry!$FG:$FG,DataEntry!$A:$A,"Mulanje",DataEntry!$B:$B,"Mulanje"),"")</f>
        <v>422</v>
      </c>
    </row>
    <row r="352" spans="1:4" x14ac:dyDescent="0.3">
      <c r="A352" s="21" t="s">
        <v>280</v>
      </c>
      <c r="B352" s="21" t="s">
        <v>280</v>
      </c>
      <c r="C352" s="12" t="s">
        <v>347</v>
      </c>
      <c r="D352" s="23">
        <f>IFERROR(AVERAGEIFS(DataEntry!$HK:$HK,DataEntry!$A:$A,"Mulanje",DataEntry!$B:$B,"Mulanje"),"")</f>
        <v>1</v>
      </c>
    </row>
    <row r="353" spans="1:4" x14ac:dyDescent="0.3">
      <c r="A353" s="19" t="s">
        <v>280</v>
      </c>
      <c r="B353" s="19" t="s">
        <v>280</v>
      </c>
      <c r="C353" s="6" t="s">
        <v>348</v>
      </c>
      <c r="D353" s="24">
        <f>IFERROR(AVERAGEIFS(DataEntry!$HN:$HN,DataEntry!$A:$A,"Mulanje",DataEntry!$B:$B,"Mulanje"),"")</f>
        <v>3.8056451612903222</v>
      </c>
    </row>
    <row r="354" spans="1:4" x14ac:dyDescent="0.3">
      <c r="A354" s="21" t="s">
        <v>280</v>
      </c>
      <c r="B354" s="21" t="s">
        <v>285</v>
      </c>
      <c r="C354" s="12" t="s">
        <v>40</v>
      </c>
      <c r="D354" s="22">
        <f>IFERROR(SUMIFS(DataEntry!$H:$H,DataEntry!$A:$A,"Mulanje",DataEntry!$B:$B,"Muloza"),"")</f>
        <v>99498</v>
      </c>
    </row>
    <row r="355" spans="1:4" x14ac:dyDescent="0.3">
      <c r="A355" s="19" t="s">
        <v>280</v>
      </c>
      <c r="B355" s="19" t="s">
        <v>285</v>
      </c>
      <c r="C355" s="6" t="s">
        <v>323</v>
      </c>
      <c r="D355" s="20">
        <f>IFERROR(SUMIFS(DataEntry!$S:$S,DataEntry!$A:$A,"Mulanje",DataEntry!$B:$B,"Muloza"),"")</f>
        <v>70995</v>
      </c>
    </row>
    <row r="356" spans="1:4" x14ac:dyDescent="0.3">
      <c r="A356" s="21" t="s">
        <v>280</v>
      </c>
      <c r="B356" s="21" t="s">
        <v>285</v>
      </c>
      <c r="C356" s="12" t="s">
        <v>324</v>
      </c>
      <c r="D356" s="22">
        <f>IFERROR(SUMIFS(DataEntry!$T:$T,DataEntry!$A:$A,"Mulanje",DataEntry!$B:$B,"Muloza"),"")</f>
        <v>28503</v>
      </c>
    </row>
    <row r="357" spans="1:4" x14ac:dyDescent="0.3">
      <c r="A357" s="19" t="s">
        <v>280</v>
      </c>
      <c r="B357" s="19" t="s">
        <v>285</v>
      </c>
      <c r="C357" s="6" t="s">
        <v>325</v>
      </c>
      <c r="D357" s="24">
        <f>IFERROR(AVERAGEIFS(DataEntry!$U:$U,DataEntry!$A:$A,"Mulanje",DataEntry!$B:$B,"Muloza"),"")</f>
        <v>0.28353389946056606</v>
      </c>
    </row>
    <row r="358" spans="1:4" x14ac:dyDescent="0.3">
      <c r="A358" s="21" t="s">
        <v>280</v>
      </c>
      <c r="B358" s="21" t="s">
        <v>285</v>
      </c>
      <c r="C358" s="12" t="s">
        <v>326</v>
      </c>
      <c r="D358" s="22">
        <f>IFERROR(SUMIFS(DataEntry!$V:$V,DataEntry!$A:$A,"Mulanje",DataEntry!$B:$B,"Muloza"),"")</f>
        <v>174</v>
      </c>
    </row>
    <row r="359" spans="1:4" x14ac:dyDescent="0.3">
      <c r="A359" s="19" t="s">
        <v>280</v>
      </c>
      <c r="B359" s="19" t="s">
        <v>285</v>
      </c>
      <c r="C359" s="6" t="s">
        <v>327</v>
      </c>
      <c r="D359" s="20">
        <f>IFERROR(SUMIFS(DataEntry!$AH:$AH,DataEntry!$A:$A,"Mulanje",DataEntry!$B:$B,"Muloza"),"")</f>
        <v>889430.58</v>
      </c>
    </row>
    <row r="360" spans="1:4" x14ac:dyDescent="0.3">
      <c r="A360" s="21" t="s">
        <v>280</v>
      </c>
      <c r="B360" s="21" t="s">
        <v>285</v>
      </c>
      <c r="C360" s="12" t="s">
        <v>328</v>
      </c>
      <c r="D360" s="22">
        <f>IFERROR(SUMIFS(DataEntry!$AL:$AL,DataEntry!$A:$A,"Mulanje",DataEntry!$B:$B,"Muloza"),"")</f>
        <v>16247475.2655</v>
      </c>
    </row>
    <row r="361" spans="1:4" x14ac:dyDescent="0.3">
      <c r="A361" s="19" t="s">
        <v>280</v>
      </c>
      <c r="B361" s="19" t="s">
        <v>285</v>
      </c>
      <c r="C361" s="6" t="s">
        <v>329</v>
      </c>
      <c r="D361" s="20">
        <f>IFERROR(SUMIFS(DataEntry!$AP:$AP,DataEntry!$A:$A,"Mulanje",DataEntry!$B:$B,"Muloza"),"")</f>
        <v>452340.3</v>
      </c>
    </row>
    <row r="362" spans="1:4" x14ac:dyDescent="0.3">
      <c r="A362" s="21" t="s">
        <v>280</v>
      </c>
      <c r="B362" s="21" t="s">
        <v>285</v>
      </c>
      <c r="C362" s="12" t="s">
        <v>330</v>
      </c>
      <c r="D362" s="22">
        <f>IFERROR(SUMIFS(DataEntry!$AU:$AU,DataEntry!$A:$A,"Mulanje",DataEntry!$B:$B,"Muloza"),"")</f>
        <v>98519633.228</v>
      </c>
    </row>
    <row r="363" spans="1:4" x14ac:dyDescent="0.3">
      <c r="A363" s="19" t="s">
        <v>280</v>
      </c>
      <c r="B363" s="19" t="s">
        <v>285</v>
      </c>
      <c r="C363" s="6" t="s">
        <v>331</v>
      </c>
      <c r="D363" s="24">
        <f>IFERROR(AVERAGEIFS(DataEntry!$AV:$AV,DataEntry!$A:$A,"Mulanje",DataEntry!$B:$B,"Muloza"),"")</f>
        <v>988.61530808647501</v>
      </c>
    </row>
    <row r="364" spans="1:4" x14ac:dyDescent="0.3">
      <c r="A364" s="21" t="s">
        <v>280</v>
      </c>
      <c r="B364" s="21" t="s">
        <v>285</v>
      </c>
      <c r="C364" s="12" t="s">
        <v>332</v>
      </c>
      <c r="D364" s="22">
        <f>IFERROR(SUMIFS(DataEntry!$GB:$GB,DataEntry!$A:$A,"Mulanje",DataEntry!$B:$B,"Muloza"),"")</f>
        <v>97998270.720000044</v>
      </c>
    </row>
    <row r="365" spans="1:4" x14ac:dyDescent="0.3">
      <c r="A365" s="19" t="s">
        <v>280</v>
      </c>
      <c r="B365" s="19" t="s">
        <v>285</v>
      </c>
      <c r="C365" s="6" t="s">
        <v>333</v>
      </c>
      <c r="D365" s="20">
        <f>IFERROR(SUMIFS(DataEntry!$GM:$GM,DataEntry!$A:$A,"Mulanje",DataEntry!$B:$B,"Muloza"),"")</f>
        <v>52740866.840000004</v>
      </c>
    </row>
    <row r="366" spans="1:4" x14ac:dyDescent="0.3">
      <c r="A366" s="21" t="s">
        <v>280</v>
      </c>
      <c r="B366" s="21" t="s">
        <v>285</v>
      </c>
      <c r="C366" s="12" t="s">
        <v>334</v>
      </c>
      <c r="D366" s="22">
        <f>IFERROR(SUMIFS(DataEntry!$GX:$GX,DataEntry!$A:$A,"Mulanje",DataEntry!$B:$B,"Muloza"),"")</f>
        <v>57139293.31000001</v>
      </c>
    </row>
    <row r="367" spans="1:4" x14ac:dyDescent="0.3">
      <c r="A367" s="19" t="s">
        <v>280</v>
      </c>
      <c r="B367" s="19" t="s">
        <v>285</v>
      </c>
      <c r="C367" s="6" t="s">
        <v>335</v>
      </c>
      <c r="D367" s="20">
        <f>IFERROR(SUMIFS(DataEntry!$GY:$GY,DataEntry!$A:$A,"Mulanje",DataEntry!$B:$B,"Muloza"),"")</f>
        <v>441356522.35000002</v>
      </c>
    </row>
    <row r="368" spans="1:4" x14ac:dyDescent="0.3">
      <c r="A368" s="21" t="s">
        <v>280</v>
      </c>
      <c r="B368" s="21" t="s">
        <v>285</v>
      </c>
      <c r="C368" s="12" t="s">
        <v>336</v>
      </c>
      <c r="D368" s="22">
        <f>IFERROR(SUMIFS(DataEntry!$GZ:$GZ,DataEntry!$A:$A,"Mulanje",DataEntry!$B:$B,"Muloza"),"")</f>
        <v>0</v>
      </c>
    </row>
    <row r="369" spans="1:4" x14ac:dyDescent="0.3">
      <c r="A369" s="19" t="s">
        <v>280</v>
      </c>
      <c r="B369" s="19" t="s">
        <v>285</v>
      </c>
      <c r="C369" s="6" t="s">
        <v>337</v>
      </c>
      <c r="D369" s="20">
        <f>IFERROR(SUMIFS(DataEntry!$HA:$HA,DataEntry!$A:$A,"Mulanje",DataEntry!$B:$B,"Muloza"),"")</f>
        <v>412854964.11000001</v>
      </c>
    </row>
    <row r="370" spans="1:4" x14ac:dyDescent="0.3">
      <c r="A370" s="21" t="s">
        <v>280</v>
      </c>
      <c r="B370" s="21" t="s">
        <v>285</v>
      </c>
      <c r="C370" s="12" t="s">
        <v>338</v>
      </c>
      <c r="D370" s="23">
        <f>IFERROR(AVERAGEIFS(DataEntry!$HC:$HC,DataEntry!$A:$A,"Mulanje",DataEntry!$B:$B,"Muloza"),"")</f>
        <v>596779.95493884024</v>
      </c>
    </row>
    <row r="371" spans="1:4" x14ac:dyDescent="0.3">
      <c r="A371" s="19" t="s">
        <v>280</v>
      </c>
      <c r="B371" s="19" t="s">
        <v>285</v>
      </c>
      <c r="C371" s="6" t="s">
        <v>339</v>
      </c>
      <c r="D371" s="24">
        <f>IFERROR(AVERAGEIFS(DataEntry!$HB:$HB,DataEntry!$A:$A,"Mulanje",DataEntry!$B:$B,"Muloza"),"")</f>
        <v>2375131.3497536206</v>
      </c>
    </row>
    <row r="372" spans="1:4" x14ac:dyDescent="0.3">
      <c r="A372" s="21" t="s">
        <v>280</v>
      </c>
      <c r="B372" s="21" t="s">
        <v>285</v>
      </c>
      <c r="C372" s="12" t="s">
        <v>340</v>
      </c>
      <c r="D372" s="22">
        <f>IFERROR(SUMIFS(DataEntry!$CS:$CS,DataEntry!$A:$A,"Mulanje",DataEntry!$B:$B,"Muloza"),"")</f>
        <v>13993</v>
      </c>
    </row>
    <row r="373" spans="1:4" x14ac:dyDescent="0.3">
      <c r="A373" s="19" t="s">
        <v>280</v>
      </c>
      <c r="B373" s="19" t="s">
        <v>285</v>
      </c>
      <c r="C373" s="6" t="s">
        <v>341</v>
      </c>
      <c r="D373" s="20">
        <f>IFERROR(SUMIFS(DataEntry!$CT:$CT,DataEntry!$A:$A,"Mulanje",DataEntry!$B:$B,"Muloza"),"")</f>
        <v>19989</v>
      </c>
    </row>
    <row r="374" spans="1:4" x14ac:dyDescent="0.3">
      <c r="A374" s="21" t="s">
        <v>280</v>
      </c>
      <c r="B374" s="21" t="s">
        <v>285</v>
      </c>
      <c r="C374" s="12" t="s">
        <v>342</v>
      </c>
      <c r="D374" s="22">
        <f>IFERROR(SUMIFS(DataEntry!$CV:$CV,DataEntry!$A:$A,"Mulanje",DataEntry!$B:$B,"Muloza"),"")</f>
        <v>108010</v>
      </c>
    </row>
    <row r="375" spans="1:4" x14ac:dyDescent="0.3">
      <c r="A375" s="19" t="s">
        <v>280</v>
      </c>
      <c r="B375" s="19" t="s">
        <v>285</v>
      </c>
      <c r="C375" s="6" t="s">
        <v>343</v>
      </c>
      <c r="D375" s="24">
        <f>IFERROR(AVERAGEIFS(DataEntry!$CW:$CW,DataEntry!$A:$A,"Mulanje",DataEntry!$B:$B,"Muloza"),"")</f>
        <v>0.91751613999320414</v>
      </c>
    </row>
    <row r="376" spans="1:4" x14ac:dyDescent="0.3">
      <c r="A376" s="21" t="s">
        <v>280</v>
      </c>
      <c r="B376" s="21" t="s">
        <v>285</v>
      </c>
      <c r="C376" s="12" t="s">
        <v>344</v>
      </c>
      <c r="D376" s="22">
        <f>IFERROR(SUMIFS(DataEntry!$CA:$CA,DataEntry!$A:$A,"Mulanje",DataEntry!$B:$B,"Muloza"),"")</f>
        <v>107</v>
      </c>
    </row>
    <row r="377" spans="1:4" x14ac:dyDescent="0.3">
      <c r="A377" s="19" t="s">
        <v>280</v>
      </c>
      <c r="B377" s="19" t="s">
        <v>285</v>
      </c>
      <c r="C377" s="6" t="s">
        <v>345</v>
      </c>
      <c r="D377" s="20">
        <f>IFERROR(SUMIFS(DataEntry!$DV:$DV,DataEntry!$A:$A,"Mulanje",DataEntry!$B:$B,"Muloza"),"")</f>
        <v>15</v>
      </c>
    </row>
    <row r="378" spans="1:4" x14ac:dyDescent="0.3">
      <c r="A378" s="21" t="s">
        <v>280</v>
      </c>
      <c r="B378" s="21" t="s">
        <v>285</v>
      </c>
      <c r="C378" s="12" t="s">
        <v>346</v>
      </c>
      <c r="D378" s="22">
        <f>IFERROR(SUMIFS(DataEntry!$FG:$FG,DataEntry!$A:$A,"Mulanje",DataEntry!$B:$B,"Muloza"),"")</f>
        <v>272</v>
      </c>
    </row>
    <row r="379" spans="1:4" x14ac:dyDescent="0.3">
      <c r="A379" s="19" t="s">
        <v>280</v>
      </c>
      <c r="B379" s="19" t="s">
        <v>285</v>
      </c>
      <c r="C379" s="6" t="s">
        <v>347</v>
      </c>
      <c r="D379" s="24">
        <f>IFERROR(AVERAGEIFS(DataEntry!$HK:$HK,DataEntry!$A:$A,"Mulanje",DataEntry!$B:$B,"Muloza"),"")</f>
        <v>1.0329705505761844</v>
      </c>
    </row>
    <row r="380" spans="1:4" x14ac:dyDescent="0.3">
      <c r="A380" s="21" t="s">
        <v>280</v>
      </c>
      <c r="B380" s="21" t="s">
        <v>285</v>
      </c>
      <c r="C380" s="12" t="s">
        <v>348</v>
      </c>
      <c r="D380" s="23">
        <f>IFERROR(AVERAGEIFS(DataEntry!$HN:$HN,DataEntry!$A:$A,"Mulanje",DataEntry!$B:$B,"Muloza"),"")</f>
        <v>0.47916666666666657</v>
      </c>
    </row>
    <row r="381" spans="1:4" x14ac:dyDescent="0.3">
      <c r="A381" s="19" t="s">
        <v>280</v>
      </c>
      <c r="B381" s="19" t="s">
        <v>286</v>
      </c>
      <c r="C381" s="6" t="s">
        <v>40</v>
      </c>
      <c r="D381" s="20">
        <f>IFERROR(SUMIFS(DataEntry!$H:$H,DataEntry!$A:$A,"Mulanje",DataEntry!$B:$B,"Nkando"),"")</f>
        <v>14310</v>
      </c>
    </row>
    <row r="382" spans="1:4" x14ac:dyDescent="0.3">
      <c r="A382" s="21" t="s">
        <v>280</v>
      </c>
      <c r="B382" s="21" t="s">
        <v>286</v>
      </c>
      <c r="C382" s="12" t="s">
        <v>323</v>
      </c>
      <c r="D382" s="22">
        <f>IFERROR(SUMIFS(DataEntry!$S:$S,DataEntry!$A:$A,"Mulanje",DataEntry!$B:$B,"Nkando"),"")</f>
        <v>11092.700000000003</v>
      </c>
    </row>
    <row r="383" spans="1:4" x14ac:dyDescent="0.3">
      <c r="A383" s="19" t="s">
        <v>280</v>
      </c>
      <c r="B383" s="19" t="s">
        <v>286</v>
      </c>
      <c r="C383" s="6" t="s">
        <v>324</v>
      </c>
      <c r="D383" s="20">
        <f>IFERROR(SUMIFS(DataEntry!$T:$T,DataEntry!$A:$A,"Mulanje",DataEntry!$B:$B,"Nkando"),"")</f>
        <v>3217.2999999999988</v>
      </c>
    </row>
    <row r="384" spans="1:4" x14ac:dyDescent="0.3">
      <c r="A384" s="21" t="s">
        <v>280</v>
      </c>
      <c r="B384" s="21" t="s">
        <v>286</v>
      </c>
      <c r="C384" s="12" t="s">
        <v>325</v>
      </c>
      <c r="D384" s="23">
        <f>IFERROR(AVERAGEIFS(DataEntry!$U:$U,DataEntry!$A:$A,"Mulanje",DataEntry!$B:$B,"Nkando"),"")</f>
        <v>0.2310138693721755</v>
      </c>
    </row>
    <row r="385" spans="1:4" x14ac:dyDescent="0.3">
      <c r="A385" s="19" t="s">
        <v>280</v>
      </c>
      <c r="B385" s="19" t="s">
        <v>286</v>
      </c>
      <c r="C385" s="6" t="s">
        <v>326</v>
      </c>
      <c r="D385" s="20">
        <f>IFERROR(SUMIFS(DataEntry!$V:$V,DataEntry!$A:$A,"Mulanje",DataEntry!$B:$B,"Nkando"),"")</f>
        <v>11</v>
      </c>
    </row>
    <row r="386" spans="1:4" x14ac:dyDescent="0.3">
      <c r="A386" s="21" t="s">
        <v>280</v>
      </c>
      <c r="B386" s="21" t="s">
        <v>286</v>
      </c>
      <c r="C386" s="12" t="s">
        <v>327</v>
      </c>
      <c r="D386" s="22">
        <f>IFERROR(SUMIFS(DataEntry!$AH:$AH,DataEntry!$A:$A,"Mulanje",DataEntry!$B:$B,"Nkando"),"")</f>
        <v>56228.369999999988</v>
      </c>
    </row>
    <row r="387" spans="1:4" x14ac:dyDescent="0.3">
      <c r="A387" s="19" t="s">
        <v>280</v>
      </c>
      <c r="B387" s="19" t="s">
        <v>286</v>
      </c>
      <c r="C387" s="6" t="s">
        <v>328</v>
      </c>
      <c r="D387" s="20">
        <f>IFERROR(SUMIFS(DataEntry!$AL:$AL,DataEntry!$A:$A,"Mulanje",DataEntry!$B:$B,"Nkando"),"")</f>
        <v>2784139.7174999998</v>
      </c>
    </row>
    <row r="388" spans="1:4" x14ac:dyDescent="0.3">
      <c r="A388" s="21" t="s">
        <v>280</v>
      </c>
      <c r="B388" s="21" t="s">
        <v>286</v>
      </c>
      <c r="C388" s="12" t="s">
        <v>329</v>
      </c>
      <c r="D388" s="22">
        <f>IFERROR(SUMIFS(DataEntry!$AP:$AP,DataEntry!$A:$A,"Mulanje",DataEntry!$B:$B,"Nkando"),"")</f>
        <v>0</v>
      </c>
    </row>
    <row r="389" spans="1:4" x14ac:dyDescent="0.3">
      <c r="A389" s="19" t="s">
        <v>280</v>
      </c>
      <c r="B389" s="19" t="s">
        <v>286</v>
      </c>
      <c r="C389" s="6" t="s">
        <v>330</v>
      </c>
      <c r="D389" s="20">
        <f>IFERROR(SUMIFS(DataEntry!$AU:$AU,DataEntry!$A:$A,"Mulanje",DataEntry!$B:$B,"Nkando"),"")</f>
        <v>8806827.2274999991</v>
      </c>
    </row>
    <row r="390" spans="1:4" x14ac:dyDescent="0.3">
      <c r="A390" s="21" t="s">
        <v>280</v>
      </c>
      <c r="B390" s="21" t="s">
        <v>286</v>
      </c>
      <c r="C390" s="12" t="s">
        <v>331</v>
      </c>
      <c r="D390" s="23">
        <f>IFERROR(AVERAGEIFS(DataEntry!$AV:$AV,DataEntry!$A:$A,"Mulanje",DataEntry!$B:$B,"Nkando"),"")</f>
        <v>592.7533358461302</v>
      </c>
    </row>
    <row r="391" spans="1:4" x14ac:dyDescent="0.3">
      <c r="A391" s="19" t="s">
        <v>280</v>
      </c>
      <c r="B391" s="19" t="s">
        <v>286</v>
      </c>
      <c r="C391" s="6" t="s">
        <v>332</v>
      </c>
      <c r="D391" s="20">
        <f>IFERROR(SUMIFS(DataEntry!$GB:$GB,DataEntry!$A:$A,"Mulanje",DataEntry!$B:$B,"Nkando"),"")</f>
        <v>22356609.809999995</v>
      </c>
    </row>
    <row r="392" spans="1:4" x14ac:dyDescent="0.3">
      <c r="A392" s="21" t="s">
        <v>280</v>
      </c>
      <c r="B392" s="21" t="s">
        <v>286</v>
      </c>
      <c r="C392" s="12" t="s">
        <v>333</v>
      </c>
      <c r="D392" s="22">
        <f>IFERROR(SUMIFS(DataEntry!$GM:$GM,DataEntry!$A:$A,"Mulanje",DataEntry!$B:$B,"Nkando"),"")</f>
        <v>2088044.12</v>
      </c>
    </row>
    <row r="393" spans="1:4" x14ac:dyDescent="0.3">
      <c r="A393" s="19" t="s">
        <v>280</v>
      </c>
      <c r="B393" s="19" t="s">
        <v>286</v>
      </c>
      <c r="C393" s="6" t="s">
        <v>334</v>
      </c>
      <c r="D393" s="20">
        <f>IFERROR(SUMIFS(DataEntry!$GX:$GX,DataEntry!$A:$A,"Mulanje",DataEntry!$B:$B,"Nkando"),"")</f>
        <v>2362491.02</v>
      </c>
    </row>
    <row r="394" spans="1:4" x14ac:dyDescent="0.3">
      <c r="A394" s="21" t="s">
        <v>280</v>
      </c>
      <c r="B394" s="21" t="s">
        <v>286</v>
      </c>
      <c r="C394" s="12" t="s">
        <v>335</v>
      </c>
      <c r="D394" s="22">
        <f>IFERROR(SUMIFS(DataEntry!$GY:$GY,DataEntry!$A:$A,"Mulanje",DataEntry!$B:$B,"Nkando"),"")</f>
        <v>204355806.19999999</v>
      </c>
    </row>
    <row r="395" spans="1:4" x14ac:dyDescent="0.3">
      <c r="A395" s="19" t="s">
        <v>280</v>
      </c>
      <c r="B395" s="19" t="s">
        <v>286</v>
      </c>
      <c r="C395" s="6" t="s">
        <v>336</v>
      </c>
      <c r="D395" s="20">
        <f>IFERROR(SUMIFS(DataEntry!$GZ:$GZ,DataEntry!$A:$A,"Mulanje",DataEntry!$B:$B,"Nkando"),"")</f>
        <v>73137022.919999987</v>
      </c>
    </row>
    <row r="396" spans="1:4" x14ac:dyDescent="0.3">
      <c r="A396" s="21" t="s">
        <v>280</v>
      </c>
      <c r="B396" s="21" t="s">
        <v>286</v>
      </c>
      <c r="C396" s="12" t="s">
        <v>337</v>
      </c>
      <c r="D396" s="22">
        <f>IFERROR(SUMIFS(DataEntry!$HA:$HA,DataEntry!$A:$A,"Mulanje",DataEntry!$B:$B,"Nkando"),"")</f>
        <v>254156325.01999995</v>
      </c>
    </row>
    <row r="397" spans="1:4" x14ac:dyDescent="0.3">
      <c r="A397" s="19" t="s">
        <v>280</v>
      </c>
      <c r="B397" s="19" t="s">
        <v>286</v>
      </c>
      <c r="C397" s="6" t="s">
        <v>338</v>
      </c>
      <c r="D397" s="24">
        <f>IFERROR(AVERAGEIFS(DataEntry!$HC:$HC,DataEntry!$A:$A,"Mulanje",DataEntry!$B:$B,"Nkando"),"")</f>
        <v>0.10787465830484753</v>
      </c>
    </row>
    <row r="398" spans="1:4" x14ac:dyDescent="0.3">
      <c r="A398" s="21" t="s">
        <v>280</v>
      </c>
      <c r="B398" s="21" t="s">
        <v>286</v>
      </c>
      <c r="C398" s="12" t="s">
        <v>339</v>
      </c>
      <c r="D398" s="23">
        <f>IFERROR(AVERAGEIFS(DataEntry!$HB:$HB,DataEntry!$A:$A,"Mulanje",DataEntry!$B:$B,"Nkando"),"")</f>
        <v>3.0731153268287881</v>
      </c>
    </row>
    <row r="399" spans="1:4" x14ac:dyDescent="0.3">
      <c r="A399" s="19" t="s">
        <v>280</v>
      </c>
      <c r="B399" s="19" t="s">
        <v>286</v>
      </c>
      <c r="C399" s="6" t="s">
        <v>340</v>
      </c>
      <c r="D399" s="20">
        <f>IFERROR(SUMIFS(DataEntry!$CS:$CS,DataEntry!$A:$A,"Mulanje",DataEntry!$B:$B,"Nkando"),"")</f>
        <v>2850</v>
      </c>
    </row>
    <row r="400" spans="1:4" x14ac:dyDescent="0.3">
      <c r="A400" s="21" t="s">
        <v>280</v>
      </c>
      <c r="B400" s="21" t="s">
        <v>286</v>
      </c>
      <c r="C400" s="12" t="s">
        <v>341</v>
      </c>
      <c r="D400" s="22">
        <f>IFERROR(SUMIFS(DataEntry!$CT:$CT,DataEntry!$A:$A,"Mulanje",DataEntry!$B:$B,"Nkando"),"")</f>
        <v>3271</v>
      </c>
    </row>
    <row r="401" spans="1:4" x14ac:dyDescent="0.3">
      <c r="A401" s="19" t="s">
        <v>280</v>
      </c>
      <c r="B401" s="19" t="s">
        <v>286</v>
      </c>
      <c r="C401" s="6" t="s">
        <v>342</v>
      </c>
      <c r="D401" s="20">
        <f>IFERROR(SUMIFS(DataEntry!$CV:$CV,DataEntry!$A:$A,"Mulanje",DataEntry!$B:$B,"Nkando"),"")</f>
        <v>13910</v>
      </c>
    </row>
    <row r="402" spans="1:4" x14ac:dyDescent="0.3">
      <c r="A402" s="21" t="s">
        <v>280</v>
      </c>
      <c r="B402" s="21" t="s">
        <v>286</v>
      </c>
      <c r="C402" s="12" t="s">
        <v>343</v>
      </c>
      <c r="D402" s="23">
        <f>IFERROR(AVERAGEIFS(DataEntry!$CW:$CW,DataEntry!$A:$A,"Mulanje",DataEntry!$B:$B,"Nkando"),"")</f>
        <v>0.51518518518518508</v>
      </c>
    </row>
    <row r="403" spans="1:4" x14ac:dyDescent="0.3">
      <c r="A403" s="19" t="s">
        <v>280</v>
      </c>
      <c r="B403" s="19" t="s">
        <v>286</v>
      </c>
      <c r="C403" s="6" t="s">
        <v>344</v>
      </c>
      <c r="D403" s="20">
        <f>IFERROR(SUMIFS(DataEntry!$CA:$CA,DataEntry!$A:$A,"Mulanje",DataEntry!$B:$B,"Nkando"),"")</f>
        <v>8</v>
      </c>
    </row>
    <row r="404" spans="1:4" x14ac:dyDescent="0.3">
      <c r="A404" s="21" t="s">
        <v>280</v>
      </c>
      <c r="B404" s="21" t="s">
        <v>286</v>
      </c>
      <c r="C404" s="12" t="s">
        <v>345</v>
      </c>
      <c r="D404" s="22">
        <f>IFERROR(SUMIFS(DataEntry!$DV:$DV,DataEntry!$A:$A,"Mulanje",DataEntry!$B:$B,"Nkando"),"")</f>
        <v>0</v>
      </c>
    </row>
    <row r="405" spans="1:4" x14ac:dyDescent="0.3">
      <c r="A405" s="19" t="s">
        <v>280</v>
      </c>
      <c r="B405" s="19" t="s">
        <v>286</v>
      </c>
      <c r="C405" s="6" t="s">
        <v>346</v>
      </c>
      <c r="D405" s="20">
        <f>IFERROR(SUMIFS(DataEntry!$FG:$FG,DataEntry!$A:$A,"Mulanje",DataEntry!$B:$B,"Nkando"),"")</f>
        <v>52</v>
      </c>
    </row>
    <row r="406" spans="1:4" x14ac:dyDescent="0.3">
      <c r="A406" s="21" t="s">
        <v>280</v>
      </c>
      <c r="B406" s="21" t="s">
        <v>286</v>
      </c>
      <c r="C406" s="12" t="s">
        <v>347</v>
      </c>
      <c r="D406" s="23">
        <f>IFERROR(AVERAGEIFS(DataEntry!$HK:$HK,DataEntry!$A:$A,"Mulanje",DataEntry!$B:$B,"Nkando"),"")</f>
        <v>1</v>
      </c>
    </row>
    <row r="407" spans="1:4" x14ac:dyDescent="0.3">
      <c r="A407" s="19" t="s">
        <v>280</v>
      </c>
      <c r="B407" s="19" t="s">
        <v>286</v>
      </c>
      <c r="C407" s="6" t="s">
        <v>348</v>
      </c>
      <c r="D407" s="24">
        <f>IFERROR(AVERAGEIFS(DataEntry!$HN:$HN,DataEntry!$A:$A,"Mulanje",DataEntry!$B:$B,"Nkando"),"")</f>
        <v>0.83751803751803744</v>
      </c>
    </row>
    <row r="408" spans="1:4" x14ac:dyDescent="0.3">
      <c r="A408" s="21" t="s">
        <v>280</v>
      </c>
      <c r="B408" s="21" t="s">
        <v>287</v>
      </c>
      <c r="C408" s="12" t="s">
        <v>40</v>
      </c>
      <c r="D408" s="22">
        <f>IFERROR(SUMIFS(DataEntry!$H:$H,DataEntry!$A:$A,"Mulanje",DataEntry!$B:$B,"Phalombe"),"")</f>
        <v>113019</v>
      </c>
    </row>
    <row r="409" spans="1:4" x14ac:dyDescent="0.3">
      <c r="A409" s="19" t="s">
        <v>280</v>
      </c>
      <c r="B409" s="19" t="s">
        <v>287</v>
      </c>
      <c r="C409" s="6" t="s">
        <v>323</v>
      </c>
      <c r="D409" s="20">
        <f>IFERROR(SUMIFS(DataEntry!$S:$S,DataEntry!$A:$A,"Mulanje",DataEntry!$B:$B,"Phalombe"),"")</f>
        <v>78402.199999999983</v>
      </c>
    </row>
    <row r="410" spans="1:4" x14ac:dyDescent="0.3">
      <c r="A410" s="21" t="s">
        <v>280</v>
      </c>
      <c r="B410" s="21" t="s">
        <v>287</v>
      </c>
      <c r="C410" s="12" t="s">
        <v>324</v>
      </c>
      <c r="D410" s="22">
        <f>IFERROR(SUMIFS(DataEntry!$T:$T,DataEntry!$A:$A,"Mulanje",DataEntry!$B:$B,"Phalombe"),"")</f>
        <v>34616.799999999996</v>
      </c>
    </row>
    <row r="411" spans="1:4" x14ac:dyDescent="0.3">
      <c r="A411" s="19" t="s">
        <v>280</v>
      </c>
      <c r="B411" s="19" t="s">
        <v>287</v>
      </c>
      <c r="C411" s="6" t="s">
        <v>325</v>
      </c>
      <c r="D411" s="24">
        <f>IFERROR(AVERAGEIFS(DataEntry!$U:$U,DataEntry!$A:$A,"Mulanje",DataEntry!$B:$B,"Phalombe"),"")</f>
        <v>0.30702375045527375</v>
      </c>
    </row>
    <row r="412" spans="1:4" x14ac:dyDescent="0.3">
      <c r="A412" s="21" t="s">
        <v>280</v>
      </c>
      <c r="B412" s="21" t="s">
        <v>287</v>
      </c>
      <c r="C412" s="12" t="s">
        <v>326</v>
      </c>
      <c r="D412" s="22">
        <f>IFERROR(SUMIFS(DataEntry!$V:$V,DataEntry!$A:$A,"Mulanje",DataEntry!$B:$B,"Phalombe"),"")</f>
        <v>288</v>
      </c>
    </row>
    <row r="413" spans="1:4" x14ac:dyDescent="0.3">
      <c r="A413" s="19" t="s">
        <v>280</v>
      </c>
      <c r="B413" s="19" t="s">
        <v>287</v>
      </c>
      <c r="C413" s="6" t="s">
        <v>327</v>
      </c>
      <c r="D413" s="20">
        <f>IFERROR(SUMIFS(DataEntry!$AH:$AH,DataEntry!$A:$A,"Mulanje",DataEntry!$B:$B,"Phalombe"),"")</f>
        <v>1472160.9600000002</v>
      </c>
    </row>
    <row r="414" spans="1:4" x14ac:dyDescent="0.3">
      <c r="A414" s="21" t="s">
        <v>280</v>
      </c>
      <c r="B414" s="21" t="s">
        <v>287</v>
      </c>
      <c r="C414" s="12" t="s">
        <v>328</v>
      </c>
      <c r="D414" s="22">
        <f>IFERROR(SUMIFS(DataEntry!$AL:$AL,DataEntry!$A:$A,"Mulanje",DataEntry!$B:$B,"Phalombe"),"")</f>
        <v>244571.01300000001</v>
      </c>
    </row>
    <row r="415" spans="1:4" x14ac:dyDescent="0.3">
      <c r="A415" s="19" t="s">
        <v>280</v>
      </c>
      <c r="B415" s="19" t="s">
        <v>287</v>
      </c>
      <c r="C415" s="6" t="s">
        <v>329</v>
      </c>
      <c r="D415" s="20">
        <f>IFERROR(SUMIFS(DataEntry!$AP:$AP,DataEntry!$A:$A,"Mulanje",DataEntry!$B:$B,"Phalombe"),"")</f>
        <v>0</v>
      </c>
    </row>
    <row r="416" spans="1:4" x14ac:dyDescent="0.3">
      <c r="A416" s="21" t="s">
        <v>280</v>
      </c>
      <c r="B416" s="21" t="s">
        <v>287</v>
      </c>
      <c r="C416" s="12" t="s">
        <v>330</v>
      </c>
      <c r="D416" s="22">
        <f>IFERROR(SUMIFS(DataEntry!$AU:$AU,DataEntry!$A:$A,"Mulanje",DataEntry!$B:$B,"Phalombe"),"")</f>
        <v>82489130.053000003</v>
      </c>
    </row>
    <row r="417" spans="1:4" x14ac:dyDescent="0.3">
      <c r="A417" s="19" t="s">
        <v>280</v>
      </c>
      <c r="B417" s="19" t="s">
        <v>287</v>
      </c>
      <c r="C417" s="6" t="s">
        <v>331</v>
      </c>
      <c r="D417" s="24">
        <f>IFERROR(AVERAGEIFS(DataEntry!$AV:$AV,DataEntry!$A:$A,"Mulanje",DataEntry!$B:$B,"Phalombe"),"")</f>
        <v>756.66941964449495</v>
      </c>
    </row>
    <row r="418" spans="1:4" x14ac:dyDescent="0.3">
      <c r="A418" s="21" t="s">
        <v>280</v>
      </c>
      <c r="B418" s="21" t="s">
        <v>287</v>
      </c>
      <c r="C418" s="12" t="s">
        <v>332</v>
      </c>
      <c r="D418" s="22">
        <f>IFERROR(SUMIFS(DataEntry!$GB:$GB,DataEntry!$A:$A,"Mulanje",DataEntry!$B:$B,"Phalombe"),"")</f>
        <v>128478923.50999999</v>
      </c>
    </row>
    <row r="419" spans="1:4" x14ac:dyDescent="0.3">
      <c r="A419" s="19" t="s">
        <v>280</v>
      </c>
      <c r="B419" s="19" t="s">
        <v>287</v>
      </c>
      <c r="C419" s="6" t="s">
        <v>333</v>
      </c>
      <c r="D419" s="20">
        <f>IFERROR(SUMIFS(DataEntry!$GM:$GM,DataEntry!$A:$A,"Mulanje",DataEntry!$B:$B,"Phalombe"),"")</f>
        <v>96837703.059999987</v>
      </c>
    </row>
    <row r="420" spans="1:4" x14ac:dyDescent="0.3">
      <c r="A420" s="21" t="s">
        <v>280</v>
      </c>
      <c r="B420" s="21" t="s">
        <v>287</v>
      </c>
      <c r="C420" s="12" t="s">
        <v>334</v>
      </c>
      <c r="D420" s="22">
        <f>IFERROR(SUMIFS(DataEntry!$GX:$GX,DataEntry!$A:$A,"Mulanje",DataEntry!$B:$B,"Phalombe"),"")</f>
        <v>104663648.98</v>
      </c>
    </row>
    <row r="421" spans="1:4" x14ac:dyDescent="0.3">
      <c r="A421" s="19" t="s">
        <v>280</v>
      </c>
      <c r="B421" s="19" t="s">
        <v>287</v>
      </c>
      <c r="C421" s="6" t="s">
        <v>335</v>
      </c>
      <c r="D421" s="20">
        <f>IFERROR(SUMIFS(DataEntry!$GY:$GY,DataEntry!$A:$A,"Mulanje",DataEntry!$B:$B,"Phalombe"),"")</f>
        <v>305599674.37</v>
      </c>
    </row>
    <row r="422" spans="1:4" x14ac:dyDescent="0.3">
      <c r="A422" s="21" t="s">
        <v>280</v>
      </c>
      <c r="B422" s="21" t="s">
        <v>287</v>
      </c>
      <c r="C422" s="12" t="s">
        <v>336</v>
      </c>
      <c r="D422" s="22">
        <f>IFERROR(SUMIFS(DataEntry!$GZ:$GZ,DataEntry!$A:$A,"Mulanje",DataEntry!$B:$B,"Phalombe"),"")</f>
        <v>5505639.3800000008</v>
      </c>
    </row>
    <row r="423" spans="1:4" x14ac:dyDescent="0.3">
      <c r="A423" s="19" t="s">
        <v>280</v>
      </c>
      <c r="B423" s="19" t="s">
        <v>287</v>
      </c>
      <c r="C423" s="6" t="s">
        <v>337</v>
      </c>
      <c r="D423" s="20">
        <f>IFERROR(SUMIFS(DataEntry!$HA:$HA,DataEntry!$A:$A,"Mulanje",DataEntry!$B:$B,"Phalombe"),"")</f>
        <v>298886026.24000001</v>
      </c>
    </row>
    <row r="424" spans="1:4" x14ac:dyDescent="0.3">
      <c r="A424" s="21" t="s">
        <v>280</v>
      </c>
      <c r="B424" s="21" t="s">
        <v>287</v>
      </c>
      <c r="C424" s="12" t="s">
        <v>338</v>
      </c>
      <c r="D424" s="23">
        <f>IFERROR(AVERAGEIFS(DataEntry!$HC:$HC,DataEntry!$A:$A,"Mulanje",DataEntry!$B:$B,"Phalombe"),"")</f>
        <v>679711.21217006561</v>
      </c>
    </row>
    <row r="425" spans="1:4" x14ac:dyDescent="0.3">
      <c r="A425" s="19" t="s">
        <v>280</v>
      </c>
      <c r="B425" s="19" t="s">
        <v>287</v>
      </c>
      <c r="C425" s="6" t="s">
        <v>339</v>
      </c>
      <c r="D425" s="24">
        <f>IFERROR(AVERAGEIFS(DataEntry!$HB:$HB,DataEntry!$A:$A,"Mulanje",DataEntry!$B:$B,"Phalombe"),"")</f>
        <v>1056506.7727295128</v>
      </c>
    </row>
    <row r="426" spans="1:4" x14ac:dyDescent="0.3">
      <c r="A426" s="21" t="s">
        <v>280</v>
      </c>
      <c r="B426" s="21" t="s">
        <v>287</v>
      </c>
      <c r="C426" s="12" t="s">
        <v>340</v>
      </c>
      <c r="D426" s="22">
        <f>IFERROR(SUMIFS(DataEntry!$CS:$CS,DataEntry!$A:$A,"Mulanje",DataEntry!$B:$B,"Phalombe"),"")</f>
        <v>9458</v>
      </c>
    </row>
    <row r="427" spans="1:4" x14ac:dyDescent="0.3">
      <c r="A427" s="19" t="s">
        <v>280</v>
      </c>
      <c r="B427" s="19" t="s">
        <v>287</v>
      </c>
      <c r="C427" s="6" t="s">
        <v>341</v>
      </c>
      <c r="D427" s="20">
        <f>IFERROR(SUMIFS(DataEntry!$CT:$CT,DataEntry!$A:$A,"Mulanje",DataEntry!$B:$B,"Phalombe"),"")</f>
        <v>12804</v>
      </c>
    </row>
    <row r="428" spans="1:4" x14ac:dyDescent="0.3">
      <c r="A428" s="21" t="s">
        <v>280</v>
      </c>
      <c r="B428" s="21" t="s">
        <v>287</v>
      </c>
      <c r="C428" s="12" t="s">
        <v>342</v>
      </c>
      <c r="D428" s="22">
        <f>IFERROR(SUMIFS(DataEntry!$CV:$CV,DataEntry!$A:$A,"Mulanje",DataEntry!$B:$B,"Phalombe"),"")</f>
        <v>89635</v>
      </c>
    </row>
    <row r="429" spans="1:4" x14ac:dyDescent="0.3">
      <c r="A429" s="19" t="s">
        <v>280</v>
      </c>
      <c r="B429" s="19" t="s">
        <v>287</v>
      </c>
      <c r="C429" s="6" t="s">
        <v>343</v>
      </c>
      <c r="D429" s="24">
        <f>IFERROR(AVERAGEIFS(DataEntry!$CW:$CW,DataEntry!$A:$A,"Mulanje",DataEntry!$B:$B,"Phalombe"),"")</f>
        <v>0.74598854822064664</v>
      </c>
    </row>
    <row r="430" spans="1:4" x14ac:dyDescent="0.3">
      <c r="A430" s="21" t="s">
        <v>280</v>
      </c>
      <c r="B430" s="21" t="s">
        <v>287</v>
      </c>
      <c r="C430" s="12" t="s">
        <v>344</v>
      </c>
      <c r="D430" s="22">
        <f>IFERROR(SUMIFS(DataEntry!$CA:$CA,DataEntry!$A:$A,"Mulanje",DataEntry!$B:$B,"Phalombe"),"")</f>
        <v>51</v>
      </c>
    </row>
    <row r="431" spans="1:4" x14ac:dyDescent="0.3">
      <c r="A431" s="19" t="s">
        <v>280</v>
      </c>
      <c r="B431" s="19" t="s">
        <v>287</v>
      </c>
      <c r="C431" s="6" t="s">
        <v>345</v>
      </c>
      <c r="D431" s="20">
        <f>IFERROR(SUMIFS(DataEntry!$DV:$DV,DataEntry!$A:$A,"Mulanje",DataEntry!$B:$B,"Phalombe"),"")</f>
        <v>160</v>
      </c>
    </row>
    <row r="432" spans="1:4" x14ac:dyDescent="0.3">
      <c r="A432" s="21" t="s">
        <v>280</v>
      </c>
      <c r="B432" s="21" t="s">
        <v>287</v>
      </c>
      <c r="C432" s="12" t="s">
        <v>346</v>
      </c>
      <c r="D432" s="22">
        <f>IFERROR(SUMIFS(DataEntry!$FG:$FG,DataEntry!$A:$A,"Mulanje",DataEntry!$B:$B,"Phalombe"),"")</f>
        <v>312</v>
      </c>
    </row>
    <row r="433" spans="1:4" x14ac:dyDescent="0.3">
      <c r="A433" s="19" t="s">
        <v>280</v>
      </c>
      <c r="B433" s="19" t="s">
        <v>287</v>
      </c>
      <c r="C433" s="6" t="s">
        <v>347</v>
      </c>
      <c r="D433" s="24">
        <f>IFERROR(AVERAGEIFS(DataEntry!$HK:$HK,DataEntry!$A:$A,"Mulanje",DataEntry!$B:$B,"Phalombe"),"")</f>
        <v>1.3333333333333333</v>
      </c>
    </row>
    <row r="434" spans="1:4" x14ac:dyDescent="0.3">
      <c r="A434" s="21" t="s">
        <v>280</v>
      </c>
      <c r="B434" s="21" t="s">
        <v>287</v>
      </c>
      <c r="C434" s="12" t="s">
        <v>348</v>
      </c>
      <c r="D434" s="23">
        <f>IFERROR(AVERAGEIFS(DataEntry!$HN:$HN,DataEntry!$A:$A,"Mulanje",DataEntry!$B:$B,"Phalombe"),"")</f>
        <v>0.48263888888888884</v>
      </c>
    </row>
    <row r="435" spans="1:4" x14ac:dyDescent="0.3">
      <c r="A435" s="19" t="s">
        <v>280</v>
      </c>
      <c r="B435" s="19" t="s">
        <v>288</v>
      </c>
      <c r="C435" s="6" t="s">
        <v>40</v>
      </c>
      <c r="D435" s="20">
        <f>IFERROR(SUMIFS(DataEntry!$H:$H,DataEntry!$A:$A,"Mulanje",DataEntry!$B:$B,"Thyolo"),"")</f>
        <v>224915</v>
      </c>
    </row>
    <row r="436" spans="1:4" x14ac:dyDescent="0.3">
      <c r="A436" s="21" t="s">
        <v>280</v>
      </c>
      <c r="B436" s="21" t="s">
        <v>288</v>
      </c>
      <c r="C436" s="12" t="s">
        <v>323</v>
      </c>
      <c r="D436" s="22">
        <f>IFERROR(SUMIFS(DataEntry!$S:$S,DataEntry!$A:$A,"Mulanje",DataEntry!$B:$B,"Thyolo"),"")</f>
        <v>129608.90000000002</v>
      </c>
    </row>
    <row r="437" spans="1:4" x14ac:dyDescent="0.3">
      <c r="A437" s="19" t="s">
        <v>280</v>
      </c>
      <c r="B437" s="19" t="s">
        <v>288</v>
      </c>
      <c r="C437" s="6" t="s">
        <v>324</v>
      </c>
      <c r="D437" s="20">
        <f>IFERROR(SUMIFS(DataEntry!$T:$T,DataEntry!$A:$A,"Mulanje",DataEntry!$B:$B,"Thyolo"),"")</f>
        <v>95306.1</v>
      </c>
    </row>
    <row r="438" spans="1:4" x14ac:dyDescent="0.3">
      <c r="A438" s="21" t="s">
        <v>280</v>
      </c>
      <c r="B438" s="21" t="s">
        <v>288</v>
      </c>
      <c r="C438" s="12" t="s">
        <v>325</v>
      </c>
      <c r="D438" s="23">
        <f>IFERROR(AVERAGEIFS(DataEntry!$U:$U,DataEntry!$A:$A,"Mulanje",DataEntry!$B:$B,"Thyolo"),"")</f>
        <v>0.42155799746382455</v>
      </c>
    </row>
    <row r="439" spans="1:4" x14ac:dyDescent="0.3">
      <c r="A439" s="19" t="s">
        <v>280</v>
      </c>
      <c r="B439" s="19" t="s">
        <v>288</v>
      </c>
      <c r="C439" s="6" t="s">
        <v>326</v>
      </c>
      <c r="D439" s="20">
        <f>IFERROR(SUMIFS(DataEntry!$V:$V,DataEntry!$A:$A,"Mulanje",DataEntry!$B:$B,"Thyolo"),"")</f>
        <v>911</v>
      </c>
    </row>
    <row r="440" spans="1:4" x14ac:dyDescent="0.3">
      <c r="A440" s="21" t="s">
        <v>280</v>
      </c>
      <c r="B440" s="21" t="s">
        <v>288</v>
      </c>
      <c r="C440" s="12" t="s">
        <v>327</v>
      </c>
      <c r="D440" s="22">
        <f>IFERROR(SUMIFS(DataEntry!$AH:$AH,DataEntry!$A:$A,"Mulanje",DataEntry!$B:$B,"Thyolo"),"")</f>
        <v>10487182.620000001</v>
      </c>
    </row>
    <row r="441" spans="1:4" x14ac:dyDescent="0.3">
      <c r="A441" s="19" t="s">
        <v>280</v>
      </c>
      <c r="B441" s="19" t="s">
        <v>288</v>
      </c>
      <c r="C441" s="6" t="s">
        <v>328</v>
      </c>
      <c r="D441" s="20">
        <f>IFERROR(SUMIFS(DataEntry!$AL:$AL,DataEntry!$A:$A,"Mulanje",DataEntry!$B:$B,"Thyolo"),"")</f>
        <v>35988067.425000004</v>
      </c>
    </row>
    <row r="442" spans="1:4" x14ac:dyDescent="0.3">
      <c r="A442" s="21" t="s">
        <v>280</v>
      </c>
      <c r="B442" s="21" t="s">
        <v>288</v>
      </c>
      <c r="C442" s="12" t="s">
        <v>329</v>
      </c>
      <c r="D442" s="22">
        <f>IFERROR(SUMIFS(DataEntry!$AP:$AP,DataEntry!$A:$A,"Mulanje",DataEntry!$B:$B,"Thyolo"),"")</f>
        <v>164040</v>
      </c>
    </row>
    <row r="443" spans="1:4" x14ac:dyDescent="0.3">
      <c r="A443" s="19" t="s">
        <v>280</v>
      </c>
      <c r="B443" s="19" t="s">
        <v>288</v>
      </c>
      <c r="C443" s="6" t="s">
        <v>330</v>
      </c>
      <c r="D443" s="20">
        <f>IFERROR(SUMIFS(DataEntry!$AU:$AU,DataEntry!$A:$A,"Mulanje",DataEntry!$B:$B,"Thyolo"),"")</f>
        <v>220859833.78999999</v>
      </c>
    </row>
    <row r="444" spans="1:4" x14ac:dyDescent="0.3">
      <c r="A444" s="21" t="s">
        <v>280</v>
      </c>
      <c r="B444" s="21" t="s">
        <v>288</v>
      </c>
      <c r="C444" s="12" t="s">
        <v>331</v>
      </c>
      <c r="D444" s="23">
        <f>IFERROR(AVERAGEIFS(DataEntry!$AV:$AV,DataEntry!$A:$A,"Mulanje",DataEntry!$B:$B,"Thyolo"),"")</f>
        <v>999.47756703364541</v>
      </c>
    </row>
    <row r="445" spans="1:4" x14ac:dyDescent="0.3">
      <c r="A445" s="19" t="s">
        <v>280</v>
      </c>
      <c r="B445" s="19" t="s">
        <v>288</v>
      </c>
      <c r="C445" s="6" t="s">
        <v>332</v>
      </c>
      <c r="D445" s="20">
        <f>IFERROR(SUMIFS(DataEntry!$GB:$GB,DataEntry!$A:$A,"Mulanje",DataEntry!$B:$B,"Thyolo"),"")</f>
        <v>209923942.05999997</v>
      </c>
    </row>
    <row r="446" spans="1:4" x14ac:dyDescent="0.3">
      <c r="A446" s="21" t="s">
        <v>280</v>
      </c>
      <c r="B446" s="21" t="s">
        <v>288</v>
      </c>
      <c r="C446" s="12" t="s">
        <v>333</v>
      </c>
      <c r="D446" s="22">
        <f>IFERROR(SUMIFS(DataEntry!$GM:$GM,DataEntry!$A:$A,"Mulanje",DataEntry!$B:$B,"Thyolo"),"")</f>
        <v>83545246.269999996</v>
      </c>
    </row>
    <row r="447" spans="1:4" x14ac:dyDescent="0.3">
      <c r="A447" s="19" t="s">
        <v>280</v>
      </c>
      <c r="B447" s="19" t="s">
        <v>288</v>
      </c>
      <c r="C447" s="6" t="s">
        <v>334</v>
      </c>
      <c r="D447" s="20">
        <f>IFERROR(SUMIFS(DataEntry!$GX:$GX,DataEntry!$A:$A,"Mulanje",DataEntry!$B:$B,"Thyolo"),"")</f>
        <v>97185365.11999999</v>
      </c>
    </row>
    <row r="448" spans="1:4" x14ac:dyDescent="0.3">
      <c r="A448" s="21" t="s">
        <v>280</v>
      </c>
      <c r="B448" s="21" t="s">
        <v>288</v>
      </c>
      <c r="C448" s="12" t="s">
        <v>335</v>
      </c>
      <c r="D448" s="22">
        <f>IFERROR(SUMIFS(DataEntry!$GY:$GY,DataEntry!$A:$A,"Mulanje",DataEntry!$B:$B,"Thyolo"),"")</f>
        <v>426715507.03999996</v>
      </c>
    </row>
    <row r="449" spans="1:4" x14ac:dyDescent="0.3">
      <c r="A449" s="19" t="s">
        <v>280</v>
      </c>
      <c r="B449" s="19" t="s">
        <v>288</v>
      </c>
      <c r="C449" s="6" t="s">
        <v>336</v>
      </c>
      <c r="D449" s="20">
        <f>IFERROR(SUMIFS(DataEntry!$GZ:$GZ,DataEntry!$A:$A,"Mulanje",DataEntry!$B:$B,"Thyolo"),"")</f>
        <v>5964309.7199999988</v>
      </c>
    </row>
    <row r="450" spans="1:4" x14ac:dyDescent="0.3">
      <c r="A450" s="21" t="s">
        <v>280</v>
      </c>
      <c r="B450" s="21" t="s">
        <v>288</v>
      </c>
      <c r="C450" s="12" t="s">
        <v>337</v>
      </c>
      <c r="D450" s="22">
        <f>IFERROR(SUMIFS(DataEntry!$HA:$HA,DataEntry!$A:$A,"Mulanje",DataEntry!$B:$B,"Thyolo"),"")</f>
        <v>409362839.36999995</v>
      </c>
    </row>
    <row r="451" spans="1:4" x14ac:dyDescent="0.3">
      <c r="A451" s="19" t="s">
        <v>280</v>
      </c>
      <c r="B451" s="19" t="s">
        <v>288</v>
      </c>
      <c r="C451" s="6" t="s">
        <v>338</v>
      </c>
      <c r="D451" s="24">
        <f>IFERROR(AVERAGEIFS(DataEntry!$HC:$HC,DataEntry!$A:$A,"Mulanje",DataEntry!$B:$B,"Thyolo"),"")</f>
        <v>494082.97144585784</v>
      </c>
    </row>
    <row r="452" spans="1:4" x14ac:dyDescent="0.3">
      <c r="A452" s="21" t="s">
        <v>280</v>
      </c>
      <c r="B452" s="21" t="s">
        <v>288</v>
      </c>
      <c r="C452" s="12" t="s">
        <v>339</v>
      </c>
      <c r="D452" s="23">
        <f>IFERROR(AVERAGEIFS(DataEntry!$HB:$HB,DataEntry!$A:$A,"Mulanje",DataEntry!$B:$B,"Thyolo"),"")</f>
        <v>1984738.1403108898</v>
      </c>
    </row>
    <row r="453" spans="1:4" x14ac:dyDescent="0.3">
      <c r="A453" s="19" t="s">
        <v>280</v>
      </c>
      <c r="B453" s="19" t="s">
        <v>288</v>
      </c>
      <c r="C453" s="6" t="s">
        <v>340</v>
      </c>
      <c r="D453" s="20">
        <f>IFERROR(SUMIFS(DataEntry!$CS:$CS,DataEntry!$A:$A,"Mulanje",DataEntry!$B:$B,"Thyolo"),"")</f>
        <v>20942</v>
      </c>
    </row>
    <row r="454" spans="1:4" x14ac:dyDescent="0.3">
      <c r="A454" s="21" t="s">
        <v>280</v>
      </c>
      <c r="B454" s="21" t="s">
        <v>288</v>
      </c>
      <c r="C454" s="12" t="s">
        <v>341</v>
      </c>
      <c r="D454" s="22">
        <f>IFERROR(SUMIFS(DataEntry!$CT:$CT,DataEntry!$A:$A,"Mulanje",DataEntry!$B:$B,"Thyolo"),"")</f>
        <v>27384</v>
      </c>
    </row>
    <row r="455" spans="1:4" x14ac:dyDescent="0.3">
      <c r="A455" s="19" t="s">
        <v>280</v>
      </c>
      <c r="B455" s="19" t="s">
        <v>288</v>
      </c>
      <c r="C455" s="6" t="s">
        <v>342</v>
      </c>
      <c r="D455" s="20">
        <f>IFERROR(SUMIFS(DataEntry!$CV:$CV,DataEntry!$A:$A,"Mulanje",DataEntry!$B:$B,"Thyolo"),"")</f>
        <v>133025</v>
      </c>
    </row>
    <row r="456" spans="1:4" x14ac:dyDescent="0.3">
      <c r="A456" s="21" t="s">
        <v>280</v>
      </c>
      <c r="B456" s="21" t="s">
        <v>288</v>
      </c>
      <c r="C456" s="12" t="s">
        <v>343</v>
      </c>
      <c r="D456" s="23">
        <f>IFERROR(AVERAGEIFS(DataEntry!$CW:$CW,DataEntry!$A:$A,"Mulanje",DataEntry!$B:$B,"Thyolo"),"")</f>
        <v>0.92339997223379122</v>
      </c>
    </row>
    <row r="457" spans="1:4" x14ac:dyDescent="0.3">
      <c r="A457" s="19" t="s">
        <v>280</v>
      </c>
      <c r="B457" s="19" t="s">
        <v>288</v>
      </c>
      <c r="C457" s="6" t="s">
        <v>344</v>
      </c>
      <c r="D457" s="20">
        <f>IFERROR(SUMIFS(DataEntry!$CA:$CA,DataEntry!$A:$A,"Mulanje",DataEntry!$B:$B,"Thyolo"),"")</f>
        <v>145</v>
      </c>
    </row>
    <row r="458" spans="1:4" x14ac:dyDescent="0.3">
      <c r="A458" s="21" t="s">
        <v>280</v>
      </c>
      <c r="B458" s="21" t="s">
        <v>288</v>
      </c>
      <c r="C458" s="12" t="s">
        <v>345</v>
      </c>
      <c r="D458" s="22">
        <f>IFERROR(SUMIFS(DataEntry!$DV:$DV,DataEntry!$A:$A,"Mulanje",DataEntry!$B:$B,"Thyolo"),"")</f>
        <v>403</v>
      </c>
    </row>
    <row r="459" spans="1:4" x14ac:dyDescent="0.3">
      <c r="A459" s="19" t="s">
        <v>280</v>
      </c>
      <c r="B459" s="19" t="s">
        <v>288</v>
      </c>
      <c r="C459" s="6" t="s">
        <v>346</v>
      </c>
      <c r="D459" s="20">
        <f>IFERROR(SUMIFS(DataEntry!$FG:$FG,DataEntry!$A:$A,"Mulanje",DataEntry!$B:$B,"Thyolo"),"")</f>
        <v>1395</v>
      </c>
    </row>
    <row r="460" spans="1:4" x14ac:dyDescent="0.3">
      <c r="A460" s="21" t="s">
        <v>280</v>
      </c>
      <c r="B460" s="21" t="s">
        <v>288</v>
      </c>
      <c r="C460" s="12" t="s">
        <v>347</v>
      </c>
      <c r="D460" s="23">
        <f>IFERROR(AVERAGEIFS(DataEntry!$HK:$HK,DataEntry!$A:$A,"Mulanje",DataEntry!$B:$B,"Thyolo"),"")</f>
        <v>0.89141414141414144</v>
      </c>
    </row>
    <row r="461" spans="1:4" x14ac:dyDescent="0.3">
      <c r="A461" s="19" t="s">
        <v>280</v>
      </c>
      <c r="B461" s="19" t="s">
        <v>288</v>
      </c>
      <c r="C461" s="6" t="s">
        <v>348</v>
      </c>
      <c r="D461" s="24">
        <f>IFERROR(AVERAGEIFS(DataEntry!$HN:$HN,DataEntry!$A:$A,"Mulanje",DataEntry!$B:$B,"Thyolo"),"")</f>
        <v>0.38974867724867729</v>
      </c>
    </row>
    <row r="462" spans="1:4" x14ac:dyDescent="0.3">
      <c r="A462" s="21" t="s">
        <v>289</v>
      </c>
      <c r="B462" s="21" t="s">
        <v>290</v>
      </c>
      <c r="C462" s="12" t="s">
        <v>40</v>
      </c>
      <c r="D462" s="22">
        <f>IFERROR(SUMIFS(DataEntry!$H:$H,DataEntry!$A:$A,"Ngabu",DataEntry!$B:$B,"Bangula"),"")</f>
        <v>103525</v>
      </c>
    </row>
    <row r="463" spans="1:4" x14ac:dyDescent="0.3">
      <c r="A463" s="19" t="s">
        <v>289</v>
      </c>
      <c r="B463" s="19" t="s">
        <v>290</v>
      </c>
      <c r="C463" s="6" t="s">
        <v>323</v>
      </c>
      <c r="D463" s="20">
        <f>IFERROR(SUMIFS(DataEntry!$S:$S,DataEntry!$A:$A,"Ngabu",DataEntry!$B:$B,"Bangula"),"")</f>
        <v>83075</v>
      </c>
    </row>
    <row r="464" spans="1:4" x14ac:dyDescent="0.3">
      <c r="A464" s="21" t="s">
        <v>289</v>
      </c>
      <c r="B464" s="21" t="s">
        <v>290</v>
      </c>
      <c r="C464" s="12" t="s">
        <v>324</v>
      </c>
      <c r="D464" s="22">
        <f>IFERROR(SUMIFS(DataEntry!$T:$T,DataEntry!$A:$A,"Ngabu",DataEntry!$B:$B,"Bangula"),"")</f>
        <v>20450</v>
      </c>
    </row>
    <row r="465" spans="1:4" x14ac:dyDescent="0.3">
      <c r="A465" s="19" t="s">
        <v>289</v>
      </c>
      <c r="B465" s="19" t="s">
        <v>290</v>
      </c>
      <c r="C465" s="6" t="s">
        <v>325</v>
      </c>
      <c r="D465" s="24">
        <f>IFERROR(AVERAGEIFS(DataEntry!$U:$U,DataEntry!$A:$A,"Ngabu",DataEntry!$B:$B,"Bangula"),"")</f>
        <v>0.19480740050904347</v>
      </c>
    </row>
    <row r="466" spans="1:4" x14ac:dyDescent="0.3">
      <c r="A466" s="21" t="s">
        <v>289</v>
      </c>
      <c r="B466" s="21" t="s">
        <v>290</v>
      </c>
      <c r="C466" s="12" t="s">
        <v>326</v>
      </c>
      <c r="D466" s="22">
        <f>IFERROR(SUMIFS(DataEntry!$V:$V,DataEntry!$A:$A,"Ngabu",DataEntry!$B:$B,"Bangula"),"")</f>
        <v>149</v>
      </c>
    </row>
    <row r="467" spans="1:4" x14ac:dyDescent="0.3">
      <c r="A467" s="19" t="s">
        <v>289</v>
      </c>
      <c r="B467" s="19" t="s">
        <v>290</v>
      </c>
      <c r="C467" s="6" t="s">
        <v>327</v>
      </c>
      <c r="D467" s="20">
        <f>IFERROR(SUMIFS(DataEntry!$AH:$AH,DataEntry!$A:$A,"Ngabu",DataEntry!$B:$B,"Bangula"),"")</f>
        <v>525268.21000000008</v>
      </c>
    </row>
    <row r="468" spans="1:4" x14ac:dyDescent="0.3">
      <c r="A468" s="21" t="s">
        <v>289</v>
      </c>
      <c r="B468" s="21" t="s">
        <v>290</v>
      </c>
      <c r="C468" s="12" t="s">
        <v>328</v>
      </c>
      <c r="D468" s="22">
        <f>IFERROR(SUMIFS(DataEntry!$AL:$AL,DataEntry!$A:$A,"Ngabu",DataEntry!$B:$B,"Bangula"),"")</f>
        <v>4639028.0451299995</v>
      </c>
    </row>
    <row r="469" spans="1:4" x14ac:dyDescent="0.3">
      <c r="A469" s="19" t="s">
        <v>289</v>
      </c>
      <c r="B469" s="19" t="s">
        <v>290</v>
      </c>
      <c r="C469" s="6" t="s">
        <v>329</v>
      </c>
      <c r="D469" s="20">
        <f>IFERROR(SUMIFS(DataEntry!$AP:$AP,DataEntry!$A:$A,"Ngabu",DataEntry!$B:$B,"Bangula"),"")</f>
        <v>0</v>
      </c>
    </row>
    <row r="470" spans="1:4" x14ac:dyDescent="0.3">
      <c r="A470" s="21" t="s">
        <v>289</v>
      </c>
      <c r="B470" s="21" t="s">
        <v>290</v>
      </c>
      <c r="C470" s="12" t="s">
        <v>330</v>
      </c>
      <c r="D470" s="22">
        <f>IFERROR(SUMIFS(DataEntry!$AU:$AU,DataEntry!$A:$A,"Ngabu",DataEntry!$B:$B,"Bangula"),"")</f>
        <v>5164296.2551300004</v>
      </c>
    </row>
    <row r="471" spans="1:4" x14ac:dyDescent="0.3">
      <c r="A471" s="19" t="s">
        <v>289</v>
      </c>
      <c r="B471" s="19" t="s">
        <v>290</v>
      </c>
      <c r="C471" s="6" t="s">
        <v>331</v>
      </c>
      <c r="D471" s="24">
        <f>IFERROR(AVERAGEIFS(DataEntry!$AV:$AV,DataEntry!$A:$A,"Ngabu",DataEntry!$B:$B,"Bangula"),"")</f>
        <v>49.146421396895938</v>
      </c>
    </row>
    <row r="472" spans="1:4" x14ac:dyDescent="0.3">
      <c r="A472" s="21" t="s">
        <v>289</v>
      </c>
      <c r="B472" s="21" t="s">
        <v>290</v>
      </c>
      <c r="C472" s="12" t="s">
        <v>332</v>
      </c>
      <c r="D472" s="22">
        <f>IFERROR(SUMIFS(DataEntry!$GB:$GB,DataEntry!$A:$A,"Ngabu",DataEntry!$B:$B,"Bangula"),"")</f>
        <v>113965998.77</v>
      </c>
    </row>
    <row r="473" spans="1:4" x14ac:dyDescent="0.3">
      <c r="A473" s="19" t="s">
        <v>289</v>
      </c>
      <c r="B473" s="19" t="s">
        <v>290</v>
      </c>
      <c r="C473" s="6" t="s">
        <v>333</v>
      </c>
      <c r="D473" s="20">
        <f>IFERROR(SUMIFS(DataEntry!$GM:$GM,DataEntry!$A:$A,"Ngabu",DataEntry!$B:$B,"Bangula"),"")</f>
        <v>112496613.66</v>
      </c>
    </row>
    <row r="474" spans="1:4" x14ac:dyDescent="0.3">
      <c r="A474" s="21" t="s">
        <v>289</v>
      </c>
      <c r="B474" s="21" t="s">
        <v>290</v>
      </c>
      <c r="C474" s="12" t="s">
        <v>334</v>
      </c>
      <c r="D474" s="22">
        <f>IFERROR(SUMIFS(DataEntry!$GX:$GX,DataEntry!$A:$A,"Ngabu",DataEntry!$B:$B,"Bangula"),"")</f>
        <v>114418529.52999999</v>
      </c>
    </row>
    <row r="475" spans="1:4" x14ac:dyDescent="0.3">
      <c r="A475" s="19" t="s">
        <v>289</v>
      </c>
      <c r="B475" s="19" t="s">
        <v>290</v>
      </c>
      <c r="C475" s="6" t="s">
        <v>335</v>
      </c>
      <c r="D475" s="20">
        <f>IFERROR(SUMIFS(DataEntry!$GY:$GY,DataEntry!$A:$A,"Ngabu",DataEntry!$B:$B,"Bangula"),"")</f>
        <v>23276411.59</v>
      </c>
    </row>
    <row r="476" spans="1:4" x14ac:dyDescent="0.3">
      <c r="A476" s="21" t="s">
        <v>289</v>
      </c>
      <c r="B476" s="21" t="s">
        <v>290</v>
      </c>
      <c r="C476" s="12" t="s">
        <v>336</v>
      </c>
      <c r="D476" s="22">
        <f>IFERROR(SUMIFS(DataEntry!$GZ:$GZ,DataEntry!$A:$A,"Ngabu",DataEntry!$B:$B,"Bangula"),"")</f>
        <v>3521469.0699999994</v>
      </c>
    </row>
    <row r="477" spans="1:4" x14ac:dyDescent="0.3">
      <c r="A477" s="19" t="s">
        <v>289</v>
      </c>
      <c r="B477" s="19" t="s">
        <v>290</v>
      </c>
      <c r="C477" s="6" t="s">
        <v>337</v>
      </c>
      <c r="D477" s="20">
        <f>IFERROR(SUMIFS(DataEntry!$HA:$HA,DataEntry!$A:$A,"Ngabu",DataEntry!$B:$B,"Bangula"),"")</f>
        <v>26797880.659999996</v>
      </c>
    </row>
    <row r="478" spans="1:4" x14ac:dyDescent="0.3">
      <c r="A478" s="21" t="s">
        <v>289</v>
      </c>
      <c r="B478" s="21" t="s">
        <v>290</v>
      </c>
      <c r="C478" s="12" t="s">
        <v>338</v>
      </c>
      <c r="D478" s="23">
        <f>IFERROR(AVERAGEIFS(DataEntry!$HC:$HC,DataEntry!$A:$A,"Ngabu",DataEntry!$B:$B,"Bangula"),"")</f>
        <v>166794.35433820641</v>
      </c>
    </row>
    <row r="479" spans="1:4" x14ac:dyDescent="0.3">
      <c r="A479" s="19" t="s">
        <v>289</v>
      </c>
      <c r="B479" s="19" t="s">
        <v>290</v>
      </c>
      <c r="C479" s="6" t="s">
        <v>339</v>
      </c>
      <c r="D479" s="24">
        <f>IFERROR(AVERAGEIFS(DataEntry!$HB:$HB,DataEntry!$A:$A,"Ngabu",DataEntry!$B:$B,"Bangula"),"")</f>
        <v>1945629.6011378162</v>
      </c>
    </row>
    <row r="480" spans="1:4" x14ac:dyDescent="0.3">
      <c r="A480" s="21" t="s">
        <v>289</v>
      </c>
      <c r="B480" s="21" t="s">
        <v>290</v>
      </c>
      <c r="C480" s="12" t="s">
        <v>340</v>
      </c>
      <c r="D480" s="22">
        <f>IFERROR(SUMIFS(DataEntry!$CS:$CS,DataEntry!$A:$A,"Ngabu",DataEntry!$B:$B,"Bangula"),"")</f>
        <v>11059</v>
      </c>
    </row>
    <row r="481" spans="1:4" x14ac:dyDescent="0.3">
      <c r="A481" s="19" t="s">
        <v>289</v>
      </c>
      <c r="B481" s="19" t="s">
        <v>290</v>
      </c>
      <c r="C481" s="6" t="s">
        <v>341</v>
      </c>
      <c r="D481" s="20">
        <f>IFERROR(SUMIFS(DataEntry!$CT:$CT,DataEntry!$A:$A,"Ngabu",DataEntry!$B:$B,"Bangula"),"")</f>
        <v>14433</v>
      </c>
    </row>
    <row r="482" spans="1:4" x14ac:dyDescent="0.3">
      <c r="A482" s="21" t="s">
        <v>289</v>
      </c>
      <c r="B482" s="21" t="s">
        <v>290</v>
      </c>
      <c r="C482" s="12" t="s">
        <v>342</v>
      </c>
      <c r="D482" s="22">
        <f>IFERROR(SUMIFS(DataEntry!$CV:$CV,DataEntry!$A:$A,"Ngabu",DataEntry!$B:$B,"Bangula"),"")</f>
        <v>89184</v>
      </c>
    </row>
    <row r="483" spans="1:4" x14ac:dyDescent="0.3">
      <c r="A483" s="19" t="s">
        <v>289</v>
      </c>
      <c r="B483" s="19" t="s">
        <v>290</v>
      </c>
      <c r="C483" s="6" t="s">
        <v>343</v>
      </c>
      <c r="D483" s="24">
        <f>IFERROR(AVERAGEIFS(DataEntry!$CW:$CW,DataEntry!$A:$A,"Ngabu",DataEntry!$B:$B,"Bangula"),"")</f>
        <v>0.63269604429752679</v>
      </c>
    </row>
    <row r="484" spans="1:4" x14ac:dyDescent="0.3">
      <c r="A484" s="21" t="s">
        <v>289</v>
      </c>
      <c r="B484" s="21" t="s">
        <v>290</v>
      </c>
      <c r="C484" s="12" t="s">
        <v>344</v>
      </c>
      <c r="D484" s="22">
        <f>IFERROR(SUMIFS(DataEntry!$CA:$CA,DataEntry!$A:$A,"Ngabu",DataEntry!$B:$B,"Bangula"),"")</f>
        <v>115</v>
      </c>
    </row>
    <row r="485" spans="1:4" x14ac:dyDescent="0.3">
      <c r="A485" s="19" t="s">
        <v>289</v>
      </c>
      <c r="B485" s="19" t="s">
        <v>290</v>
      </c>
      <c r="C485" s="6" t="s">
        <v>345</v>
      </c>
      <c r="D485" s="20">
        <f>IFERROR(SUMIFS(DataEntry!$DV:$DV,DataEntry!$A:$A,"Ngabu",DataEntry!$B:$B,"Bangula"),"")</f>
        <v>0</v>
      </c>
    </row>
    <row r="486" spans="1:4" x14ac:dyDescent="0.3">
      <c r="A486" s="21" t="s">
        <v>289</v>
      </c>
      <c r="B486" s="21" t="s">
        <v>290</v>
      </c>
      <c r="C486" s="12" t="s">
        <v>346</v>
      </c>
      <c r="D486" s="22">
        <f>IFERROR(SUMIFS(DataEntry!$FG:$FG,DataEntry!$A:$A,"Ngabu",DataEntry!$B:$B,"Bangula"),"")</f>
        <v>495</v>
      </c>
    </row>
    <row r="487" spans="1:4" x14ac:dyDescent="0.3">
      <c r="A487" s="19" t="s">
        <v>289</v>
      </c>
      <c r="B487" s="19" t="s">
        <v>290</v>
      </c>
      <c r="C487" s="6" t="s">
        <v>347</v>
      </c>
      <c r="D487" s="24">
        <f>IFERROR(AVERAGEIFS(DataEntry!$HK:$HK,DataEntry!$A:$A,"Ngabu",DataEntry!$B:$B,"Bangula"),"")</f>
        <v>2.8111111111111104</v>
      </c>
    </row>
    <row r="488" spans="1:4" x14ac:dyDescent="0.3">
      <c r="A488" s="21" t="s">
        <v>289</v>
      </c>
      <c r="B488" s="21" t="s">
        <v>290</v>
      </c>
      <c r="C488" s="12" t="s">
        <v>348</v>
      </c>
      <c r="D488" s="23">
        <f>IFERROR(AVERAGEIFS(DataEntry!$HN:$HN,DataEntry!$A:$A,"Ngabu",DataEntry!$B:$B,"Bangula"),"")</f>
        <v>1.6680765993265994</v>
      </c>
    </row>
    <row r="489" spans="1:4" x14ac:dyDescent="0.3">
      <c r="A489" s="19" t="s">
        <v>289</v>
      </c>
      <c r="B489" s="19" t="s">
        <v>291</v>
      </c>
      <c r="C489" s="6" t="s">
        <v>40</v>
      </c>
      <c r="D489" s="20">
        <f>IFERROR(SUMIFS(DataEntry!$H:$H,DataEntry!$A:$A,"Ngabu",DataEntry!$B:$B,"Chikwawa"),"")</f>
        <v>326396</v>
      </c>
    </row>
    <row r="490" spans="1:4" x14ac:dyDescent="0.3">
      <c r="A490" s="21" t="s">
        <v>289</v>
      </c>
      <c r="B490" s="21" t="s">
        <v>291</v>
      </c>
      <c r="C490" s="12" t="s">
        <v>323</v>
      </c>
      <c r="D490" s="22">
        <f>IFERROR(SUMIFS(DataEntry!$S:$S,DataEntry!$A:$A,"Ngabu",DataEntry!$B:$B,"Chikwawa"),"")</f>
        <v>250516</v>
      </c>
    </row>
    <row r="491" spans="1:4" x14ac:dyDescent="0.3">
      <c r="A491" s="19" t="s">
        <v>289</v>
      </c>
      <c r="B491" s="19" t="s">
        <v>291</v>
      </c>
      <c r="C491" s="6" t="s">
        <v>324</v>
      </c>
      <c r="D491" s="20">
        <f>IFERROR(SUMIFS(DataEntry!$T:$T,DataEntry!$A:$A,"Ngabu",DataEntry!$B:$B,"Chikwawa"),"")</f>
        <v>75880</v>
      </c>
    </row>
    <row r="492" spans="1:4" x14ac:dyDescent="0.3">
      <c r="A492" s="21" t="s">
        <v>289</v>
      </c>
      <c r="B492" s="21" t="s">
        <v>291</v>
      </c>
      <c r="C492" s="12" t="s">
        <v>325</v>
      </c>
      <c r="D492" s="23">
        <f>IFERROR(AVERAGEIFS(DataEntry!$U:$U,DataEntry!$A:$A,"Ngabu",DataEntry!$B:$B,"Chikwawa"),"")</f>
        <v>0.2326639730105915</v>
      </c>
    </row>
    <row r="493" spans="1:4" x14ac:dyDescent="0.3">
      <c r="A493" s="19" t="s">
        <v>289</v>
      </c>
      <c r="B493" s="19" t="s">
        <v>291</v>
      </c>
      <c r="C493" s="6" t="s">
        <v>326</v>
      </c>
      <c r="D493" s="20">
        <f>IFERROR(SUMIFS(DataEntry!$V:$V,DataEntry!$A:$A,"Ngabu",DataEntry!$B:$B,"Chikwawa"),"")</f>
        <v>360</v>
      </c>
    </row>
    <row r="494" spans="1:4" x14ac:dyDescent="0.3">
      <c r="A494" s="21" t="s">
        <v>289</v>
      </c>
      <c r="B494" s="21" t="s">
        <v>291</v>
      </c>
      <c r="C494" s="12" t="s">
        <v>327</v>
      </c>
      <c r="D494" s="22">
        <f>IFERROR(SUMIFS(DataEntry!$AH:$AH,DataEntry!$A:$A,"Ngabu",DataEntry!$B:$B,"Chikwawa"),"")</f>
        <v>1269104.3999999999</v>
      </c>
    </row>
    <row r="495" spans="1:4" x14ac:dyDescent="0.3">
      <c r="A495" s="19" t="s">
        <v>289</v>
      </c>
      <c r="B495" s="19" t="s">
        <v>291</v>
      </c>
      <c r="C495" s="6" t="s">
        <v>328</v>
      </c>
      <c r="D495" s="20">
        <f>IFERROR(SUMIFS(DataEntry!$AL:$AL,DataEntry!$A:$A,"Ngabu",DataEntry!$B:$B,"Chikwawa"),"")</f>
        <v>26734174.884</v>
      </c>
    </row>
    <row r="496" spans="1:4" x14ac:dyDescent="0.3">
      <c r="A496" s="21" t="s">
        <v>289</v>
      </c>
      <c r="B496" s="21" t="s">
        <v>291</v>
      </c>
      <c r="C496" s="12" t="s">
        <v>329</v>
      </c>
      <c r="D496" s="22">
        <f>IFERROR(SUMIFS(DataEntry!$AP:$AP,DataEntry!$A:$A,"Ngabu",DataEntry!$B:$B,"Chikwawa"),"")</f>
        <v>2999198</v>
      </c>
    </row>
    <row r="497" spans="1:4" x14ac:dyDescent="0.3">
      <c r="A497" s="19" t="s">
        <v>289</v>
      </c>
      <c r="B497" s="19" t="s">
        <v>291</v>
      </c>
      <c r="C497" s="6" t="s">
        <v>330</v>
      </c>
      <c r="D497" s="20">
        <f>IFERROR(SUMIFS(DataEntry!$AU:$AU,DataEntry!$A:$A,"Ngabu",DataEntry!$B:$B,"Chikwawa"),"")</f>
        <v>31002477.284000002</v>
      </c>
    </row>
    <row r="498" spans="1:4" x14ac:dyDescent="0.3">
      <c r="A498" s="21" t="s">
        <v>289</v>
      </c>
      <c r="B498" s="21" t="s">
        <v>291</v>
      </c>
      <c r="C498" s="12" t="s">
        <v>331</v>
      </c>
      <c r="D498" s="23">
        <f>IFERROR(AVERAGEIFS(DataEntry!$AV:$AV,DataEntry!$A:$A,"Ngabu",DataEntry!$B:$B,"Chikwawa"),"")</f>
        <v>94.484809531764668</v>
      </c>
    </row>
    <row r="499" spans="1:4" x14ac:dyDescent="0.3">
      <c r="A499" s="19" t="s">
        <v>289</v>
      </c>
      <c r="B499" s="19" t="s">
        <v>291</v>
      </c>
      <c r="C499" s="6" t="s">
        <v>332</v>
      </c>
      <c r="D499" s="20">
        <f>IFERROR(SUMIFS(DataEntry!$GB:$GB,DataEntry!$A:$A,"Ngabu",DataEntry!$B:$B,"Chikwawa"),"")</f>
        <v>350626094.88</v>
      </c>
    </row>
    <row r="500" spans="1:4" x14ac:dyDescent="0.3">
      <c r="A500" s="21" t="s">
        <v>289</v>
      </c>
      <c r="B500" s="21" t="s">
        <v>291</v>
      </c>
      <c r="C500" s="12" t="s">
        <v>333</v>
      </c>
      <c r="D500" s="22">
        <f>IFERROR(SUMIFS(DataEntry!$GM:$GM,DataEntry!$A:$A,"Ngabu",DataEntry!$B:$B,"Chikwawa"),"")</f>
        <v>326439563.49000001</v>
      </c>
    </row>
    <row r="501" spans="1:4" x14ac:dyDescent="0.3">
      <c r="A501" s="19" t="s">
        <v>289</v>
      </c>
      <c r="B501" s="19" t="s">
        <v>291</v>
      </c>
      <c r="C501" s="6" t="s">
        <v>334</v>
      </c>
      <c r="D501" s="20">
        <f>IFERROR(SUMIFS(DataEntry!$GX:$GX,DataEntry!$A:$A,"Ngabu",DataEntry!$B:$B,"Chikwawa"),"")</f>
        <v>361125066.44999993</v>
      </c>
    </row>
    <row r="502" spans="1:4" x14ac:dyDescent="0.3">
      <c r="A502" s="21" t="s">
        <v>289</v>
      </c>
      <c r="B502" s="21" t="s">
        <v>291</v>
      </c>
      <c r="C502" s="12" t="s">
        <v>335</v>
      </c>
      <c r="D502" s="22">
        <f>IFERROR(SUMIFS(DataEntry!$GY:$GY,DataEntry!$A:$A,"Ngabu",DataEntry!$B:$B,"Chikwawa"),"")</f>
        <v>491443737.74999994</v>
      </c>
    </row>
    <row r="503" spans="1:4" x14ac:dyDescent="0.3">
      <c r="A503" s="19" t="s">
        <v>289</v>
      </c>
      <c r="B503" s="19" t="s">
        <v>291</v>
      </c>
      <c r="C503" s="6" t="s">
        <v>336</v>
      </c>
      <c r="D503" s="20">
        <f>IFERROR(SUMIFS(DataEntry!$GZ:$GZ,DataEntry!$A:$A,"Ngabu",DataEntry!$B:$B,"Chikwawa"),"")</f>
        <v>75922120.669999987</v>
      </c>
    </row>
    <row r="504" spans="1:4" x14ac:dyDescent="0.3">
      <c r="A504" s="21" t="s">
        <v>289</v>
      </c>
      <c r="B504" s="21" t="s">
        <v>291</v>
      </c>
      <c r="C504" s="12" t="s">
        <v>337</v>
      </c>
      <c r="D504" s="22">
        <f>IFERROR(SUMIFS(DataEntry!$HA:$HA,DataEntry!$A:$A,"Ngabu",DataEntry!$B:$B,"Chikwawa"),"")</f>
        <v>567365858.41999996</v>
      </c>
    </row>
    <row r="505" spans="1:4" x14ac:dyDescent="0.3">
      <c r="A505" s="19" t="s">
        <v>289</v>
      </c>
      <c r="B505" s="19" t="s">
        <v>291</v>
      </c>
      <c r="C505" s="6" t="s">
        <v>338</v>
      </c>
      <c r="D505" s="24">
        <f>IFERROR(AVERAGEIFS(DataEntry!$HC:$HC,DataEntry!$A:$A,"Ngabu",DataEntry!$B:$B,"Chikwawa"),"")</f>
        <v>2570792.9305833224</v>
      </c>
    </row>
    <row r="506" spans="1:4" x14ac:dyDescent="0.3">
      <c r="A506" s="21" t="s">
        <v>289</v>
      </c>
      <c r="B506" s="21" t="s">
        <v>291</v>
      </c>
      <c r="C506" s="12" t="s">
        <v>339</v>
      </c>
      <c r="D506" s="23">
        <f>IFERROR(AVERAGEIFS(DataEntry!$HB:$HB,DataEntry!$A:$A,"Ngabu",DataEntry!$B:$B,"Chikwawa"),"")</f>
        <v>2259549.6124048564</v>
      </c>
    </row>
    <row r="507" spans="1:4" x14ac:dyDescent="0.3">
      <c r="A507" s="19" t="s">
        <v>289</v>
      </c>
      <c r="B507" s="19" t="s">
        <v>291</v>
      </c>
      <c r="C507" s="6" t="s">
        <v>340</v>
      </c>
      <c r="D507" s="20">
        <f>IFERROR(SUMIFS(DataEntry!$CS:$CS,DataEntry!$A:$A,"Ngabu",DataEntry!$B:$B,"Chikwawa"),"")</f>
        <v>33673</v>
      </c>
    </row>
    <row r="508" spans="1:4" x14ac:dyDescent="0.3">
      <c r="A508" s="21" t="s">
        <v>289</v>
      </c>
      <c r="B508" s="21" t="s">
        <v>291</v>
      </c>
      <c r="C508" s="12" t="s">
        <v>341</v>
      </c>
      <c r="D508" s="22">
        <f>IFERROR(SUMIFS(DataEntry!$CT:$CT,DataEntry!$A:$A,"Ngabu",DataEntry!$B:$B,"Chikwawa"),"")</f>
        <v>47971</v>
      </c>
    </row>
    <row r="509" spans="1:4" x14ac:dyDescent="0.3">
      <c r="A509" s="19" t="s">
        <v>289</v>
      </c>
      <c r="B509" s="19" t="s">
        <v>291</v>
      </c>
      <c r="C509" s="6" t="s">
        <v>342</v>
      </c>
      <c r="D509" s="20">
        <f>IFERROR(SUMIFS(DataEntry!$CV:$CV,DataEntry!$A:$A,"Ngabu",DataEntry!$B:$B,"Chikwawa"),"")</f>
        <v>205006</v>
      </c>
    </row>
    <row r="510" spans="1:4" x14ac:dyDescent="0.3">
      <c r="A510" s="21" t="s">
        <v>289</v>
      </c>
      <c r="B510" s="21" t="s">
        <v>291</v>
      </c>
      <c r="C510" s="12" t="s">
        <v>343</v>
      </c>
      <c r="D510" s="23">
        <f>IFERROR(AVERAGEIFS(DataEntry!$CW:$CW,DataEntry!$A:$A,"Ngabu",DataEntry!$B:$B,"Chikwawa"),"")</f>
        <v>0.76357742820030561</v>
      </c>
    </row>
    <row r="511" spans="1:4" x14ac:dyDescent="0.3">
      <c r="A511" s="19" t="s">
        <v>289</v>
      </c>
      <c r="B511" s="19" t="s">
        <v>291</v>
      </c>
      <c r="C511" s="6" t="s">
        <v>344</v>
      </c>
      <c r="D511" s="20">
        <f>IFERROR(SUMIFS(DataEntry!$CA:$CA,DataEntry!$A:$A,"Ngabu",DataEntry!$B:$B,"Chikwawa"),"")</f>
        <v>219</v>
      </c>
    </row>
    <row r="512" spans="1:4" x14ac:dyDescent="0.3">
      <c r="A512" s="21" t="s">
        <v>289</v>
      </c>
      <c r="B512" s="21" t="s">
        <v>291</v>
      </c>
      <c r="C512" s="12" t="s">
        <v>345</v>
      </c>
      <c r="D512" s="22">
        <f>IFERROR(SUMIFS(DataEntry!$DV:$DV,DataEntry!$A:$A,"Ngabu",DataEntry!$B:$B,"Chikwawa"),"")</f>
        <v>1403</v>
      </c>
    </row>
    <row r="513" spans="1:4" x14ac:dyDescent="0.3">
      <c r="A513" s="19" t="s">
        <v>289</v>
      </c>
      <c r="B513" s="19" t="s">
        <v>291</v>
      </c>
      <c r="C513" s="6" t="s">
        <v>346</v>
      </c>
      <c r="D513" s="20">
        <f>IFERROR(SUMIFS(DataEntry!$FG:$FG,DataEntry!$A:$A,"Ngabu",DataEntry!$B:$B,"Chikwawa"),"")</f>
        <v>837</v>
      </c>
    </row>
    <row r="514" spans="1:4" x14ac:dyDescent="0.3">
      <c r="A514" s="21" t="s">
        <v>289</v>
      </c>
      <c r="B514" s="21" t="s">
        <v>291</v>
      </c>
      <c r="C514" s="12" t="s">
        <v>347</v>
      </c>
      <c r="D514" s="23">
        <f>IFERROR(AVERAGEIFS(DataEntry!$HK:$HK,DataEntry!$A:$A,"Ngabu",DataEntry!$B:$B,"Chikwawa"),"")</f>
        <v>2.4226907630522092</v>
      </c>
    </row>
    <row r="515" spans="1:4" x14ac:dyDescent="0.3">
      <c r="A515" s="19" t="s">
        <v>289</v>
      </c>
      <c r="B515" s="19" t="s">
        <v>291</v>
      </c>
      <c r="C515" s="6" t="s">
        <v>348</v>
      </c>
      <c r="D515" s="24">
        <f>IFERROR(AVERAGEIFS(DataEntry!$HN:$HN,DataEntry!$A:$A,"Ngabu",DataEntry!$B:$B,"Chikwawa"),"")</f>
        <v>4.3208333333333337</v>
      </c>
    </row>
    <row r="516" spans="1:4" x14ac:dyDescent="0.3">
      <c r="A516" s="21" t="s">
        <v>289</v>
      </c>
      <c r="B516" s="21" t="s">
        <v>292</v>
      </c>
      <c r="C516" s="12" t="s">
        <v>40</v>
      </c>
      <c r="D516" s="22">
        <f>IFERROR(SUMIFS(DataEntry!$H:$H,DataEntry!$A:$A,"Ngabu",DataEntry!$B:$B,"Miseu Folo"),"")</f>
        <v>54515</v>
      </c>
    </row>
    <row r="517" spans="1:4" x14ac:dyDescent="0.3">
      <c r="A517" s="19" t="s">
        <v>289</v>
      </c>
      <c r="B517" s="19" t="s">
        <v>292</v>
      </c>
      <c r="C517" s="6" t="s">
        <v>323</v>
      </c>
      <c r="D517" s="20">
        <f>IFERROR(SUMIFS(DataEntry!$S:$S,DataEntry!$A:$A,"Ngabu",DataEntry!$B:$B,"Miseu Folo"),"")</f>
        <v>43006</v>
      </c>
    </row>
    <row r="518" spans="1:4" x14ac:dyDescent="0.3">
      <c r="A518" s="21" t="s">
        <v>289</v>
      </c>
      <c r="B518" s="21" t="s">
        <v>292</v>
      </c>
      <c r="C518" s="12" t="s">
        <v>324</v>
      </c>
      <c r="D518" s="22">
        <f>IFERROR(SUMIFS(DataEntry!$T:$T,DataEntry!$A:$A,"Ngabu",DataEntry!$B:$B,"Miseu Folo"),"")</f>
        <v>11509</v>
      </c>
    </row>
    <row r="519" spans="1:4" x14ac:dyDescent="0.3">
      <c r="A519" s="19" t="s">
        <v>289</v>
      </c>
      <c r="B519" s="19" t="s">
        <v>292</v>
      </c>
      <c r="C519" s="6" t="s">
        <v>325</v>
      </c>
      <c r="D519" s="24">
        <f>IFERROR(AVERAGEIFS(DataEntry!$U:$U,DataEntry!$A:$A,"Ngabu",DataEntry!$B:$B,"Miseu Folo"),"")</f>
        <v>0.20755258132384202</v>
      </c>
    </row>
    <row r="520" spans="1:4" x14ac:dyDescent="0.3">
      <c r="A520" s="21" t="s">
        <v>289</v>
      </c>
      <c r="B520" s="21" t="s">
        <v>292</v>
      </c>
      <c r="C520" s="12" t="s">
        <v>326</v>
      </c>
      <c r="D520" s="22">
        <f>IFERROR(SUMIFS(DataEntry!$V:$V,DataEntry!$A:$A,"Ngabu",DataEntry!$B:$B,"Miseu Folo"),"")</f>
        <v>81.100000000000009</v>
      </c>
    </row>
    <row r="521" spans="1:4" x14ac:dyDescent="0.3">
      <c r="A521" s="19" t="s">
        <v>289</v>
      </c>
      <c r="B521" s="19" t="s">
        <v>292</v>
      </c>
      <c r="C521" s="6" t="s">
        <v>327</v>
      </c>
      <c r="D521" s="20">
        <f>IFERROR(SUMIFS(DataEntry!$AH:$AH,DataEntry!$A:$A,"Ngabu",DataEntry!$B:$B,"Miseu Folo"),"")</f>
        <v>285901.01900000003</v>
      </c>
    </row>
    <row r="522" spans="1:4" x14ac:dyDescent="0.3">
      <c r="A522" s="21" t="s">
        <v>289</v>
      </c>
      <c r="B522" s="21" t="s">
        <v>292</v>
      </c>
      <c r="C522" s="12" t="s">
        <v>328</v>
      </c>
      <c r="D522" s="22">
        <f>IFERROR(SUMIFS(DataEntry!$AL:$AL,DataEntry!$A:$A,"Ngabu",DataEntry!$B:$B,"Miseu Folo"),"")</f>
        <v>2235516.2864999999</v>
      </c>
    </row>
    <row r="523" spans="1:4" x14ac:dyDescent="0.3">
      <c r="A523" s="19" t="s">
        <v>289</v>
      </c>
      <c r="B523" s="19" t="s">
        <v>292</v>
      </c>
      <c r="C523" s="6" t="s">
        <v>329</v>
      </c>
      <c r="D523" s="20">
        <f>IFERROR(SUMIFS(DataEntry!$AP:$AP,DataEntry!$A:$A,"Ngabu",DataEntry!$B:$B,"Miseu Folo"),"")</f>
        <v>0</v>
      </c>
    </row>
    <row r="524" spans="1:4" x14ac:dyDescent="0.3">
      <c r="A524" s="21" t="s">
        <v>289</v>
      </c>
      <c r="B524" s="21" t="s">
        <v>292</v>
      </c>
      <c r="C524" s="12" t="s">
        <v>330</v>
      </c>
      <c r="D524" s="22">
        <f>IFERROR(SUMIFS(DataEntry!$AU:$AU,DataEntry!$A:$A,"Ngabu",DataEntry!$B:$B,"Miseu Folo"),"")</f>
        <v>2521417.3054999998</v>
      </c>
    </row>
    <row r="525" spans="1:4" x14ac:dyDescent="0.3">
      <c r="A525" s="19" t="s">
        <v>289</v>
      </c>
      <c r="B525" s="19" t="s">
        <v>292</v>
      </c>
      <c r="C525" s="6" t="s">
        <v>331</v>
      </c>
      <c r="D525" s="24">
        <f>IFERROR(AVERAGEIFS(DataEntry!$AV:$AV,DataEntry!$A:$A,"Ngabu",DataEntry!$B:$B,"Miseu Folo"),"")</f>
        <v>50.272415356319563</v>
      </c>
    </row>
    <row r="526" spans="1:4" x14ac:dyDescent="0.3">
      <c r="A526" s="21" t="s">
        <v>289</v>
      </c>
      <c r="B526" s="21" t="s">
        <v>292</v>
      </c>
      <c r="C526" s="12" t="s">
        <v>332</v>
      </c>
      <c r="D526" s="22">
        <f>IFERROR(SUMIFS(DataEntry!$GB:$GB,DataEntry!$A:$A,"Ngabu",DataEntry!$B:$B,"Miseu Folo"),"")</f>
        <v>42464409</v>
      </c>
    </row>
    <row r="527" spans="1:4" x14ac:dyDescent="0.3">
      <c r="A527" s="19" t="s">
        <v>289</v>
      </c>
      <c r="B527" s="19" t="s">
        <v>292</v>
      </c>
      <c r="C527" s="6" t="s">
        <v>333</v>
      </c>
      <c r="D527" s="20">
        <f>IFERROR(SUMIFS(DataEntry!$GM:$GM,DataEntry!$A:$A,"Ngabu",DataEntry!$B:$B,"Miseu Folo"),"")</f>
        <v>46786944.779999994</v>
      </c>
    </row>
    <row r="528" spans="1:4" x14ac:dyDescent="0.3">
      <c r="A528" s="21" t="s">
        <v>289</v>
      </c>
      <c r="B528" s="21" t="s">
        <v>292</v>
      </c>
      <c r="C528" s="12" t="s">
        <v>334</v>
      </c>
      <c r="D528" s="22">
        <f>IFERROR(SUMIFS(DataEntry!$GX:$GX,DataEntry!$A:$A,"Ngabu",DataEntry!$B:$B,"Miseu Folo"),"")</f>
        <v>50009349.220000006</v>
      </c>
    </row>
    <row r="529" spans="1:4" x14ac:dyDescent="0.3">
      <c r="A529" s="19" t="s">
        <v>289</v>
      </c>
      <c r="B529" s="19" t="s">
        <v>292</v>
      </c>
      <c r="C529" s="6" t="s">
        <v>335</v>
      </c>
      <c r="D529" s="20">
        <f>IFERROR(SUMIFS(DataEntry!$GY:$GY,DataEntry!$A:$A,"Ngabu",DataEntry!$B:$B,"Miseu Folo"),"")</f>
        <v>75288626.519999996</v>
      </c>
    </row>
    <row r="530" spans="1:4" x14ac:dyDescent="0.3">
      <c r="A530" s="21" t="s">
        <v>289</v>
      </c>
      <c r="B530" s="21" t="s">
        <v>292</v>
      </c>
      <c r="C530" s="12" t="s">
        <v>336</v>
      </c>
      <c r="D530" s="22">
        <f>IFERROR(SUMIFS(DataEntry!$GZ:$GZ,DataEntry!$A:$A,"Ngabu",DataEntry!$B:$B,"Miseu Folo"),"")</f>
        <v>3854770.75</v>
      </c>
    </row>
    <row r="531" spans="1:4" x14ac:dyDescent="0.3">
      <c r="A531" s="19" t="s">
        <v>289</v>
      </c>
      <c r="B531" s="19" t="s">
        <v>292</v>
      </c>
      <c r="C531" s="6" t="s">
        <v>337</v>
      </c>
      <c r="D531" s="20">
        <f>IFERROR(SUMIFS(DataEntry!$HA:$HA,DataEntry!$A:$A,"Ngabu",DataEntry!$B:$B,"Miseu Folo"),"")</f>
        <v>79143397.269999981</v>
      </c>
    </row>
    <row r="532" spans="1:4" x14ac:dyDescent="0.3">
      <c r="A532" s="21" t="s">
        <v>289</v>
      </c>
      <c r="B532" s="21" t="s">
        <v>292</v>
      </c>
      <c r="C532" s="12" t="s">
        <v>338</v>
      </c>
      <c r="D532" s="23">
        <f>IFERROR(AVERAGEIFS(DataEntry!$HC:$HC,DataEntry!$A:$A,"Ngabu",DataEntry!$B:$B,"Miseu Folo"),"")</f>
        <v>788733.96538625797</v>
      </c>
    </row>
    <row r="533" spans="1:4" x14ac:dyDescent="0.3">
      <c r="A533" s="19" t="s">
        <v>289</v>
      </c>
      <c r="B533" s="19" t="s">
        <v>292</v>
      </c>
      <c r="C533" s="6" t="s">
        <v>339</v>
      </c>
      <c r="D533" s="24">
        <f>IFERROR(AVERAGEIFS(DataEntry!$HB:$HB,DataEntry!$A:$A,"Ngabu",DataEntry!$B:$B,"Miseu Folo"),"")</f>
        <v>287101.36999600189</v>
      </c>
    </row>
    <row r="534" spans="1:4" x14ac:dyDescent="0.3">
      <c r="A534" s="21" t="s">
        <v>289</v>
      </c>
      <c r="B534" s="21" t="s">
        <v>292</v>
      </c>
      <c r="C534" s="12" t="s">
        <v>340</v>
      </c>
      <c r="D534" s="22">
        <f>IFERROR(SUMIFS(DataEntry!$CS:$CS,DataEntry!$A:$A,"Ngabu",DataEntry!$B:$B,"Miseu Folo"),"")</f>
        <v>9229</v>
      </c>
    </row>
    <row r="535" spans="1:4" x14ac:dyDescent="0.3">
      <c r="A535" s="19" t="s">
        <v>289</v>
      </c>
      <c r="B535" s="19" t="s">
        <v>292</v>
      </c>
      <c r="C535" s="6" t="s">
        <v>341</v>
      </c>
      <c r="D535" s="20">
        <f>IFERROR(SUMIFS(DataEntry!$CT:$CT,DataEntry!$A:$A,"Ngabu",DataEntry!$B:$B,"Miseu Folo"),"")</f>
        <v>9229</v>
      </c>
    </row>
    <row r="536" spans="1:4" x14ac:dyDescent="0.3">
      <c r="A536" s="21" t="s">
        <v>289</v>
      </c>
      <c r="B536" s="21" t="s">
        <v>292</v>
      </c>
      <c r="C536" s="12" t="s">
        <v>342</v>
      </c>
      <c r="D536" s="22">
        <f>IFERROR(SUMIFS(DataEntry!$CV:$CV,DataEntry!$A:$A,"Ngabu",DataEntry!$B:$B,"Miseu Folo"),"")</f>
        <v>64462</v>
      </c>
    </row>
    <row r="537" spans="1:4" x14ac:dyDescent="0.3">
      <c r="A537" s="19" t="s">
        <v>289</v>
      </c>
      <c r="B537" s="19" t="s">
        <v>292</v>
      </c>
      <c r="C537" s="6" t="s">
        <v>343</v>
      </c>
      <c r="D537" s="24">
        <f>IFERROR(AVERAGEIFS(DataEntry!$CW:$CW,DataEntry!$A:$A,"Ngabu",DataEntry!$B:$B,"Miseu Folo"),"")</f>
        <v>0.73872516991857096</v>
      </c>
    </row>
    <row r="538" spans="1:4" x14ac:dyDescent="0.3">
      <c r="A538" s="21" t="s">
        <v>289</v>
      </c>
      <c r="B538" s="21" t="s">
        <v>292</v>
      </c>
      <c r="C538" s="12" t="s">
        <v>344</v>
      </c>
      <c r="D538" s="22">
        <f>IFERROR(SUMIFS(DataEntry!$CA:$CA,DataEntry!$A:$A,"Ngabu",DataEntry!$B:$B,"Miseu Folo"),"")</f>
        <v>83</v>
      </c>
    </row>
    <row r="539" spans="1:4" x14ac:dyDescent="0.3">
      <c r="A539" s="19" t="s">
        <v>289</v>
      </c>
      <c r="B539" s="19" t="s">
        <v>292</v>
      </c>
      <c r="C539" s="6" t="s">
        <v>345</v>
      </c>
      <c r="D539" s="20">
        <f>IFERROR(SUMIFS(DataEntry!$DV:$DV,DataEntry!$A:$A,"Ngabu",DataEntry!$B:$B,"Miseu Folo"),"")</f>
        <v>0</v>
      </c>
    </row>
    <row r="540" spans="1:4" x14ac:dyDescent="0.3">
      <c r="A540" s="21" t="s">
        <v>289</v>
      </c>
      <c r="B540" s="21" t="s">
        <v>292</v>
      </c>
      <c r="C540" s="12" t="s">
        <v>346</v>
      </c>
      <c r="D540" s="22">
        <f>IFERROR(SUMIFS(DataEntry!$FG:$FG,DataEntry!$A:$A,"Ngabu",DataEntry!$B:$B,"Miseu Folo"),"")</f>
        <v>316</v>
      </c>
    </row>
    <row r="541" spans="1:4" x14ac:dyDescent="0.3">
      <c r="A541" s="19" t="s">
        <v>289</v>
      </c>
      <c r="B541" s="19" t="s">
        <v>292</v>
      </c>
      <c r="C541" s="6" t="s">
        <v>347</v>
      </c>
      <c r="D541" s="24">
        <f>IFERROR(AVERAGEIFS(DataEntry!$HK:$HK,DataEntry!$A:$A,"Ngabu",DataEntry!$B:$B,"Miseu Folo"),"")</f>
        <v>0.94921875</v>
      </c>
    </row>
    <row r="542" spans="1:4" x14ac:dyDescent="0.3">
      <c r="A542" s="21" t="s">
        <v>289</v>
      </c>
      <c r="B542" s="21" t="s">
        <v>292</v>
      </c>
      <c r="C542" s="12" t="s">
        <v>348</v>
      </c>
      <c r="D542" s="23">
        <f>IFERROR(AVERAGEIFS(DataEntry!$HN:$HN,DataEntry!$A:$A,"Ngabu",DataEntry!$B:$B,"Miseu Folo"),"")</f>
        <v>0.88630952380952388</v>
      </c>
    </row>
    <row r="543" spans="1:4" x14ac:dyDescent="0.3">
      <c r="A543" s="19" t="s">
        <v>289</v>
      </c>
      <c r="B543" s="19" t="s">
        <v>293</v>
      </c>
      <c r="C543" s="6" t="s">
        <v>40</v>
      </c>
      <c r="D543" s="20">
        <f>IFERROR(SUMIFS(DataEntry!$H:$H,DataEntry!$A:$A,"Ngabu",DataEntry!$B:$B,"Nchalo"),"")</f>
        <v>369455</v>
      </c>
    </row>
    <row r="544" spans="1:4" x14ac:dyDescent="0.3">
      <c r="A544" s="21" t="s">
        <v>289</v>
      </c>
      <c r="B544" s="21" t="s">
        <v>293</v>
      </c>
      <c r="C544" s="12" t="s">
        <v>323</v>
      </c>
      <c r="D544" s="22">
        <f>IFERROR(SUMIFS(DataEntry!$S:$S,DataEntry!$A:$A,"Ngabu",DataEntry!$B:$B,"Nchalo"),"")</f>
        <v>265547</v>
      </c>
    </row>
    <row r="545" spans="1:4" x14ac:dyDescent="0.3">
      <c r="A545" s="19" t="s">
        <v>289</v>
      </c>
      <c r="B545" s="19" t="s">
        <v>293</v>
      </c>
      <c r="C545" s="6" t="s">
        <v>324</v>
      </c>
      <c r="D545" s="20">
        <f>IFERROR(SUMIFS(DataEntry!$T:$T,DataEntry!$A:$A,"Ngabu",DataEntry!$B:$B,"Nchalo"),"")</f>
        <v>103908</v>
      </c>
    </row>
    <row r="546" spans="1:4" x14ac:dyDescent="0.3">
      <c r="A546" s="21" t="s">
        <v>289</v>
      </c>
      <c r="B546" s="21" t="s">
        <v>293</v>
      </c>
      <c r="C546" s="12" t="s">
        <v>325</v>
      </c>
      <c r="D546" s="23">
        <f>IFERROR(AVERAGEIFS(DataEntry!$U:$U,DataEntry!$A:$A,"Ngabu",DataEntry!$B:$B,"Nchalo"),"")</f>
        <v>0.28245144549703588</v>
      </c>
    </row>
    <row r="547" spans="1:4" x14ac:dyDescent="0.3">
      <c r="A547" s="19" t="s">
        <v>289</v>
      </c>
      <c r="B547" s="19" t="s">
        <v>293</v>
      </c>
      <c r="C547" s="6" t="s">
        <v>326</v>
      </c>
      <c r="D547" s="20">
        <f>IFERROR(SUMIFS(DataEntry!$V:$V,DataEntry!$A:$A,"Ngabu",DataEntry!$B:$B,"Nchalo"),"")</f>
        <v>221</v>
      </c>
    </row>
    <row r="548" spans="1:4" x14ac:dyDescent="0.3">
      <c r="A548" s="21" t="s">
        <v>289</v>
      </c>
      <c r="B548" s="21" t="s">
        <v>293</v>
      </c>
      <c r="C548" s="12" t="s">
        <v>327</v>
      </c>
      <c r="D548" s="22">
        <f>IFERROR(SUMIFS(DataEntry!$AH:$AH,DataEntry!$A:$A,"Ngabu",DataEntry!$B:$B,"Nchalo"),"")</f>
        <v>779089.09</v>
      </c>
    </row>
    <row r="549" spans="1:4" x14ac:dyDescent="0.3">
      <c r="A549" s="19" t="s">
        <v>289</v>
      </c>
      <c r="B549" s="19" t="s">
        <v>293</v>
      </c>
      <c r="C549" s="6" t="s">
        <v>328</v>
      </c>
      <c r="D549" s="20">
        <f>IFERROR(SUMIFS(DataEntry!$AL:$AL,DataEntry!$A:$A,"Ngabu",DataEntry!$B:$B,"Nchalo"),"")</f>
        <v>11360231.180999998</v>
      </c>
    </row>
    <row r="550" spans="1:4" x14ac:dyDescent="0.3">
      <c r="A550" s="21" t="s">
        <v>289</v>
      </c>
      <c r="B550" s="21" t="s">
        <v>293</v>
      </c>
      <c r="C550" s="12" t="s">
        <v>329</v>
      </c>
      <c r="D550" s="22">
        <f>IFERROR(SUMIFS(DataEntry!$AP:$AP,DataEntry!$A:$A,"Ngabu",DataEntry!$B:$B,"Nchalo"),"")</f>
        <v>0</v>
      </c>
    </row>
    <row r="551" spans="1:4" x14ac:dyDescent="0.3">
      <c r="A551" s="19" t="s">
        <v>289</v>
      </c>
      <c r="B551" s="19" t="s">
        <v>293</v>
      </c>
      <c r="C551" s="6" t="s">
        <v>330</v>
      </c>
      <c r="D551" s="20">
        <f>IFERROR(SUMIFS(DataEntry!$AU:$AU,DataEntry!$A:$A,"Ngabu",DataEntry!$B:$B,"Nchalo"),"")</f>
        <v>12139320.271000002</v>
      </c>
    </row>
    <row r="552" spans="1:4" x14ac:dyDescent="0.3">
      <c r="A552" s="21" t="s">
        <v>289</v>
      </c>
      <c r="B552" s="21" t="s">
        <v>293</v>
      </c>
      <c r="C552" s="12" t="s">
        <v>331</v>
      </c>
      <c r="D552" s="23">
        <f>IFERROR(AVERAGEIFS(DataEntry!$AV:$AV,DataEntry!$A:$A,"Ngabu",DataEntry!$B:$B,"Nchalo"),"")</f>
        <v>32.852855497533717</v>
      </c>
    </row>
    <row r="553" spans="1:4" x14ac:dyDescent="0.3">
      <c r="A553" s="19" t="s">
        <v>289</v>
      </c>
      <c r="B553" s="19" t="s">
        <v>293</v>
      </c>
      <c r="C553" s="6" t="s">
        <v>332</v>
      </c>
      <c r="D553" s="20">
        <f>IFERROR(SUMIFS(DataEntry!$GB:$GB,DataEntry!$A:$A,"Ngabu",DataEntry!$B:$B,"Nchalo"),"")</f>
        <v>247411981.12</v>
      </c>
    </row>
    <row r="554" spans="1:4" x14ac:dyDescent="0.3">
      <c r="A554" s="21" t="s">
        <v>289</v>
      </c>
      <c r="B554" s="21" t="s">
        <v>293</v>
      </c>
      <c r="C554" s="12" t="s">
        <v>333</v>
      </c>
      <c r="D554" s="22">
        <f>IFERROR(SUMIFS(DataEntry!$GM:$GM,DataEntry!$A:$A,"Ngabu",DataEntry!$B:$B,"Nchalo"),"")</f>
        <v>207861937.34999999</v>
      </c>
    </row>
    <row r="555" spans="1:4" x14ac:dyDescent="0.3">
      <c r="A555" s="19" t="s">
        <v>289</v>
      </c>
      <c r="B555" s="19" t="s">
        <v>293</v>
      </c>
      <c r="C555" s="6" t="s">
        <v>334</v>
      </c>
      <c r="D555" s="20">
        <f>IFERROR(SUMIFS(DataEntry!$GX:$GX,DataEntry!$A:$A,"Ngabu",DataEntry!$B:$B,"Nchalo"),"")</f>
        <v>235188284.67000002</v>
      </c>
    </row>
    <row r="556" spans="1:4" x14ac:dyDescent="0.3">
      <c r="A556" s="21" t="s">
        <v>289</v>
      </c>
      <c r="B556" s="21" t="s">
        <v>293</v>
      </c>
      <c r="C556" s="12" t="s">
        <v>335</v>
      </c>
      <c r="D556" s="22">
        <f>IFERROR(SUMIFS(DataEntry!$GY:$GY,DataEntry!$A:$A,"Ngabu",DataEntry!$B:$B,"Nchalo"),"")</f>
        <v>364213754.12</v>
      </c>
    </row>
    <row r="557" spans="1:4" x14ac:dyDescent="0.3">
      <c r="A557" s="19" t="s">
        <v>289</v>
      </c>
      <c r="B557" s="19" t="s">
        <v>293</v>
      </c>
      <c r="C557" s="6" t="s">
        <v>336</v>
      </c>
      <c r="D557" s="20">
        <f>IFERROR(SUMIFS(DataEntry!$GZ:$GZ,DataEntry!$A:$A,"Ngabu",DataEntry!$B:$B,"Nchalo"),"")</f>
        <v>10612429.68</v>
      </c>
    </row>
    <row r="558" spans="1:4" x14ac:dyDescent="0.3">
      <c r="A558" s="21" t="s">
        <v>289</v>
      </c>
      <c r="B558" s="21" t="s">
        <v>293</v>
      </c>
      <c r="C558" s="12" t="s">
        <v>337</v>
      </c>
      <c r="D558" s="22">
        <f>IFERROR(SUMIFS(DataEntry!$HA:$HA,DataEntry!$A:$A,"Ngabu",DataEntry!$B:$B,"Nchalo"),"")</f>
        <v>374826183.80000001</v>
      </c>
    </row>
    <row r="559" spans="1:4" x14ac:dyDescent="0.3">
      <c r="A559" s="19" t="s">
        <v>289</v>
      </c>
      <c r="B559" s="19" t="s">
        <v>293</v>
      </c>
      <c r="C559" s="6" t="s">
        <v>338</v>
      </c>
      <c r="D559" s="24">
        <f>IFERROR(AVERAGEIFS(DataEntry!$HC:$HC,DataEntry!$A:$A,"Ngabu",DataEntry!$B:$B,"Nchalo"),"")</f>
        <v>2231529.5472854837</v>
      </c>
    </row>
    <row r="560" spans="1:4" x14ac:dyDescent="0.3">
      <c r="A560" s="21" t="s">
        <v>289</v>
      </c>
      <c r="B560" s="21" t="s">
        <v>293</v>
      </c>
      <c r="C560" s="12" t="s">
        <v>339</v>
      </c>
      <c r="D560" s="23">
        <f>IFERROR(AVERAGEIFS(DataEntry!$HB:$HB,DataEntry!$A:$A,"Ngabu",DataEntry!$B:$B,"Nchalo"),"")</f>
        <v>1800444.2953899705</v>
      </c>
    </row>
    <row r="561" spans="1:4" x14ac:dyDescent="0.3">
      <c r="A561" s="19" t="s">
        <v>289</v>
      </c>
      <c r="B561" s="19" t="s">
        <v>293</v>
      </c>
      <c r="C561" s="6" t="s">
        <v>340</v>
      </c>
      <c r="D561" s="20">
        <f>IFERROR(SUMIFS(DataEntry!$CS:$CS,DataEntry!$A:$A,"Ngabu",DataEntry!$B:$B,"Nchalo"),"")</f>
        <v>25003</v>
      </c>
    </row>
    <row r="562" spans="1:4" x14ac:dyDescent="0.3">
      <c r="A562" s="21" t="s">
        <v>289</v>
      </c>
      <c r="B562" s="21" t="s">
        <v>293</v>
      </c>
      <c r="C562" s="12" t="s">
        <v>341</v>
      </c>
      <c r="D562" s="22">
        <f>IFERROR(SUMIFS(DataEntry!$CT:$CT,DataEntry!$A:$A,"Ngabu",DataEntry!$B:$B,"Nchalo"),"")</f>
        <v>32975</v>
      </c>
    </row>
    <row r="563" spans="1:4" x14ac:dyDescent="0.3">
      <c r="A563" s="19" t="s">
        <v>289</v>
      </c>
      <c r="B563" s="19" t="s">
        <v>293</v>
      </c>
      <c r="C563" s="6" t="s">
        <v>342</v>
      </c>
      <c r="D563" s="20">
        <f>IFERROR(SUMIFS(DataEntry!$CV:$CV,DataEntry!$A:$A,"Ngabu",DataEntry!$B:$B,"Nchalo"),"")</f>
        <v>197512</v>
      </c>
    </row>
    <row r="564" spans="1:4" x14ac:dyDescent="0.3">
      <c r="A564" s="21" t="s">
        <v>289</v>
      </c>
      <c r="B564" s="21" t="s">
        <v>293</v>
      </c>
      <c r="C564" s="12" t="s">
        <v>343</v>
      </c>
      <c r="D564" s="23">
        <f>IFERROR(AVERAGEIFS(DataEntry!$CW:$CW,DataEntry!$A:$A,"Ngabu",DataEntry!$B:$B,"Nchalo"),"")</f>
        <v>0.7756106446903992</v>
      </c>
    </row>
    <row r="565" spans="1:4" x14ac:dyDescent="0.3">
      <c r="A565" s="19" t="s">
        <v>289</v>
      </c>
      <c r="B565" s="19" t="s">
        <v>293</v>
      </c>
      <c r="C565" s="6" t="s">
        <v>344</v>
      </c>
      <c r="D565" s="20">
        <f>IFERROR(SUMIFS(DataEntry!$CA:$CA,DataEntry!$A:$A,"Ngabu",DataEntry!$B:$B,"Nchalo"),"")</f>
        <v>193</v>
      </c>
    </row>
    <row r="566" spans="1:4" x14ac:dyDescent="0.3">
      <c r="A566" s="21" t="s">
        <v>289</v>
      </c>
      <c r="B566" s="21" t="s">
        <v>293</v>
      </c>
      <c r="C566" s="12" t="s">
        <v>345</v>
      </c>
      <c r="D566" s="22">
        <f>IFERROR(SUMIFS(DataEntry!$DV:$DV,DataEntry!$A:$A,"Ngabu",DataEntry!$B:$B,"Nchalo"),"")</f>
        <v>3600</v>
      </c>
    </row>
    <row r="567" spans="1:4" x14ac:dyDescent="0.3">
      <c r="A567" s="19" t="s">
        <v>289</v>
      </c>
      <c r="B567" s="19" t="s">
        <v>293</v>
      </c>
      <c r="C567" s="6" t="s">
        <v>346</v>
      </c>
      <c r="D567" s="20">
        <f>IFERROR(SUMIFS(DataEntry!$FG:$FG,DataEntry!$A:$A,"Ngabu",DataEntry!$B:$B,"Nchalo"),"")</f>
        <v>1548</v>
      </c>
    </row>
    <row r="568" spans="1:4" x14ac:dyDescent="0.3">
      <c r="A568" s="21" t="s">
        <v>289</v>
      </c>
      <c r="B568" s="21" t="s">
        <v>293</v>
      </c>
      <c r="C568" s="12" t="s">
        <v>347</v>
      </c>
      <c r="D568" s="23">
        <f>IFERROR(AVERAGEIFS(DataEntry!$HK:$HK,DataEntry!$A:$A,"Ngabu",DataEntry!$B:$B,"Nchalo"),"")</f>
        <v>7.0895061728395063</v>
      </c>
    </row>
    <row r="569" spans="1:4" x14ac:dyDescent="0.3">
      <c r="A569" s="19" t="s">
        <v>289</v>
      </c>
      <c r="B569" s="19" t="s">
        <v>293</v>
      </c>
      <c r="C569" s="6" t="s">
        <v>348</v>
      </c>
      <c r="D569" s="24" t="str">
        <f>IFERROR(AVERAGEIFS(DataEntry!$HN:$HN,DataEntry!$A:$A,"Ngabu",DataEntry!$B:$B,"Nchalo"),"")</f>
        <v/>
      </c>
    </row>
    <row r="570" spans="1:4" x14ac:dyDescent="0.3">
      <c r="A570" s="21" t="s">
        <v>289</v>
      </c>
      <c r="B570" s="21" t="s">
        <v>289</v>
      </c>
      <c r="C570" s="12" t="s">
        <v>40</v>
      </c>
      <c r="D570" s="22">
        <f>IFERROR(SUMIFS(DataEntry!$H:$H,DataEntry!$A:$A,"Ngabu",DataEntry!$B:$B,"Ngabu"),"")</f>
        <v>121973</v>
      </c>
    </row>
    <row r="571" spans="1:4" x14ac:dyDescent="0.3">
      <c r="A571" s="19" t="s">
        <v>289</v>
      </c>
      <c r="B571" s="19" t="s">
        <v>289</v>
      </c>
      <c r="C571" s="6" t="s">
        <v>323</v>
      </c>
      <c r="D571" s="20">
        <f>IFERROR(SUMIFS(DataEntry!$S:$S,DataEntry!$A:$A,"Ngabu",DataEntry!$B:$B,"Ngabu"),"")</f>
        <v>93898</v>
      </c>
    </row>
    <row r="572" spans="1:4" x14ac:dyDescent="0.3">
      <c r="A572" s="21" t="s">
        <v>289</v>
      </c>
      <c r="B572" s="21" t="s">
        <v>289</v>
      </c>
      <c r="C572" s="12" t="s">
        <v>324</v>
      </c>
      <c r="D572" s="22">
        <f>IFERROR(SUMIFS(DataEntry!$T:$T,DataEntry!$A:$A,"Ngabu",DataEntry!$B:$B,"Ngabu"),"")</f>
        <v>28075</v>
      </c>
    </row>
    <row r="573" spans="1:4" x14ac:dyDescent="0.3">
      <c r="A573" s="19" t="s">
        <v>289</v>
      </c>
      <c r="B573" s="19" t="s">
        <v>289</v>
      </c>
      <c r="C573" s="6" t="s">
        <v>325</v>
      </c>
      <c r="D573" s="24">
        <f>IFERROR(AVERAGEIFS(DataEntry!$U:$U,DataEntry!$A:$A,"Ngabu",DataEntry!$B:$B,"Ngabu"),"")</f>
        <v>0.22672851116895512</v>
      </c>
    </row>
    <row r="574" spans="1:4" x14ac:dyDescent="0.3">
      <c r="A574" s="21" t="s">
        <v>289</v>
      </c>
      <c r="B574" s="21" t="s">
        <v>289</v>
      </c>
      <c r="C574" s="12" t="s">
        <v>326</v>
      </c>
      <c r="D574" s="22">
        <f>IFERROR(SUMIFS(DataEntry!$V:$V,DataEntry!$A:$A,"Ngabu",DataEntry!$B:$B,"Ngabu"),"")</f>
        <v>153</v>
      </c>
    </row>
    <row r="575" spans="1:4" x14ac:dyDescent="0.3">
      <c r="A575" s="19" t="s">
        <v>289</v>
      </c>
      <c r="B575" s="19" t="s">
        <v>289</v>
      </c>
      <c r="C575" s="6" t="s">
        <v>327</v>
      </c>
      <c r="D575" s="20">
        <f>IFERROR(SUMIFS(DataEntry!$AH:$AH,DataEntry!$A:$A,"Ngabu",DataEntry!$B:$B,"Ngabu"),"")</f>
        <v>539369.37</v>
      </c>
    </row>
    <row r="576" spans="1:4" x14ac:dyDescent="0.3">
      <c r="A576" s="21" t="s">
        <v>289</v>
      </c>
      <c r="B576" s="21" t="s">
        <v>289</v>
      </c>
      <c r="C576" s="12" t="s">
        <v>328</v>
      </c>
      <c r="D576" s="22">
        <f>IFERROR(SUMIFS(DataEntry!$AL:$AL,DataEntry!$A:$A,"Ngabu",DataEntry!$B:$B,"Ngabu"),"")</f>
        <v>2332771.375395</v>
      </c>
    </row>
    <row r="577" spans="1:4" x14ac:dyDescent="0.3">
      <c r="A577" s="19" t="s">
        <v>289</v>
      </c>
      <c r="B577" s="19" t="s">
        <v>289</v>
      </c>
      <c r="C577" s="6" t="s">
        <v>329</v>
      </c>
      <c r="D577" s="20">
        <f>IFERROR(SUMIFS(DataEntry!$AP:$AP,DataEntry!$A:$A,"Ngabu",DataEntry!$B:$B,"Ngabu"),"")</f>
        <v>0</v>
      </c>
    </row>
    <row r="578" spans="1:4" x14ac:dyDescent="0.3">
      <c r="A578" s="21" t="s">
        <v>289</v>
      </c>
      <c r="B578" s="21" t="s">
        <v>289</v>
      </c>
      <c r="C578" s="12" t="s">
        <v>330</v>
      </c>
      <c r="D578" s="22">
        <f>IFERROR(SUMIFS(DataEntry!$AU:$AU,DataEntry!$A:$A,"Ngabu",DataEntry!$B:$B,"Ngabu"),"")</f>
        <v>2872140.7453950006</v>
      </c>
    </row>
    <row r="579" spans="1:4" x14ac:dyDescent="0.3">
      <c r="A579" s="19" t="s">
        <v>289</v>
      </c>
      <c r="B579" s="19" t="s">
        <v>289</v>
      </c>
      <c r="C579" s="6" t="s">
        <v>331</v>
      </c>
      <c r="D579" s="24">
        <f>IFERROR(AVERAGEIFS(DataEntry!$AV:$AV,DataEntry!$A:$A,"Ngabu",DataEntry!$B:$B,"Ngabu"),"")</f>
        <v>27.268029786515395</v>
      </c>
    </row>
    <row r="580" spans="1:4" x14ac:dyDescent="0.3">
      <c r="A580" s="21" t="s">
        <v>289</v>
      </c>
      <c r="B580" s="21" t="s">
        <v>289</v>
      </c>
      <c r="C580" s="12" t="s">
        <v>332</v>
      </c>
      <c r="D580" s="22">
        <f>IFERROR(SUMIFS(DataEntry!$GB:$GB,DataEntry!$A:$A,"Ngabu",DataEntry!$B:$B,"Ngabu"),"")</f>
        <v>119745085.15000001</v>
      </c>
    </row>
    <row r="581" spans="1:4" x14ac:dyDescent="0.3">
      <c r="A581" s="19" t="s">
        <v>289</v>
      </c>
      <c r="B581" s="19" t="s">
        <v>289</v>
      </c>
      <c r="C581" s="6" t="s">
        <v>333</v>
      </c>
      <c r="D581" s="20">
        <f>IFERROR(SUMIFS(DataEntry!$GM:$GM,DataEntry!$A:$A,"Ngabu",DataEntry!$B:$B,"Ngabu"),"")</f>
        <v>110218046.34</v>
      </c>
    </row>
    <row r="582" spans="1:4" x14ac:dyDescent="0.3">
      <c r="A582" s="21" t="s">
        <v>289</v>
      </c>
      <c r="B582" s="21" t="s">
        <v>289</v>
      </c>
      <c r="C582" s="12" t="s">
        <v>334</v>
      </c>
      <c r="D582" s="22">
        <f>IFERROR(SUMIFS(DataEntry!$GX:$GX,DataEntry!$A:$A,"Ngabu",DataEntry!$B:$B,"Ngabu"),"")</f>
        <v>124979275.92999999</v>
      </c>
    </row>
    <row r="583" spans="1:4" x14ac:dyDescent="0.3">
      <c r="A583" s="19" t="s">
        <v>289</v>
      </c>
      <c r="B583" s="19" t="s">
        <v>289</v>
      </c>
      <c r="C583" s="6" t="s">
        <v>335</v>
      </c>
      <c r="D583" s="20">
        <f>IFERROR(SUMIFS(DataEntry!$GY:$GY,DataEntry!$A:$A,"Ngabu",DataEntry!$B:$B,"Ngabu"),"")</f>
        <v>297451972.77000004</v>
      </c>
    </row>
    <row r="584" spans="1:4" x14ac:dyDescent="0.3">
      <c r="A584" s="21" t="s">
        <v>289</v>
      </c>
      <c r="B584" s="21" t="s">
        <v>289</v>
      </c>
      <c r="C584" s="12" t="s">
        <v>336</v>
      </c>
      <c r="D584" s="22">
        <f>IFERROR(SUMIFS(DataEntry!$GZ:$GZ,DataEntry!$A:$A,"Ngabu",DataEntry!$B:$B,"Ngabu"),"")</f>
        <v>26975624.400000002</v>
      </c>
    </row>
    <row r="585" spans="1:4" x14ac:dyDescent="0.3">
      <c r="A585" s="19" t="s">
        <v>289</v>
      </c>
      <c r="B585" s="19" t="s">
        <v>289</v>
      </c>
      <c r="C585" s="6" t="s">
        <v>337</v>
      </c>
      <c r="D585" s="20">
        <f>IFERROR(SUMIFS(DataEntry!$HA:$HA,DataEntry!$A:$A,"Ngabu",DataEntry!$B:$B,"Ngabu"),"")</f>
        <v>324427597.17000002</v>
      </c>
    </row>
    <row r="586" spans="1:4" x14ac:dyDescent="0.3">
      <c r="A586" s="21" t="s">
        <v>289</v>
      </c>
      <c r="B586" s="21" t="s">
        <v>289</v>
      </c>
      <c r="C586" s="12" t="s">
        <v>338</v>
      </c>
      <c r="D586" s="23">
        <f>IFERROR(AVERAGEIFS(DataEntry!$HC:$HC,DataEntry!$A:$A,"Ngabu",DataEntry!$B:$B,"Ngabu"),"")</f>
        <v>1680175.1402811538</v>
      </c>
    </row>
    <row r="587" spans="1:4" x14ac:dyDescent="0.3">
      <c r="A587" s="19" t="s">
        <v>289</v>
      </c>
      <c r="B587" s="19" t="s">
        <v>289</v>
      </c>
      <c r="C587" s="6" t="s">
        <v>339</v>
      </c>
      <c r="D587" s="24">
        <f>IFERROR(AVERAGEIFS(DataEntry!$HB:$HB,DataEntry!$A:$A,"Ngabu",DataEntry!$B:$B,"Ngabu"),"")</f>
        <v>768733.36122502957</v>
      </c>
    </row>
    <row r="588" spans="1:4" x14ac:dyDescent="0.3">
      <c r="A588" s="21" t="s">
        <v>289</v>
      </c>
      <c r="B588" s="21" t="s">
        <v>289</v>
      </c>
      <c r="C588" s="12" t="s">
        <v>340</v>
      </c>
      <c r="D588" s="22">
        <f>IFERROR(SUMIFS(DataEntry!$CS:$CS,DataEntry!$A:$A,"Ngabu",DataEntry!$B:$B,"Ngabu"),"")</f>
        <v>12348</v>
      </c>
    </row>
    <row r="589" spans="1:4" x14ac:dyDescent="0.3">
      <c r="A589" s="19" t="s">
        <v>289</v>
      </c>
      <c r="B589" s="19" t="s">
        <v>289</v>
      </c>
      <c r="C589" s="6" t="s">
        <v>341</v>
      </c>
      <c r="D589" s="20">
        <f>IFERROR(SUMIFS(DataEntry!$CT:$CT,DataEntry!$A:$A,"Ngabu",DataEntry!$B:$B,"Ngabu"),"")</f>
        <v>22139</v>
      </c>
    </row>
    <row r="590" spans="1:4" x14ac:dyDescent="0.3">
      <c r="A590" s="21" t="s">
        <v>289</v>
      </c>
      <c r="B590" s="21" t="s">
        <v>289</v>
      </c>
      <c r="C590" s="12" t="s">
        <v>342</v>
      </c>
      <c r="D590" s="22">
        <f>IFERROR(SUMIFS(DataEntry!$CV:$CV,DataEntry!$A:$A,"Ngabu",DataEntry!$B:$B,"Ngabu"),"")</f>
        <v>138902</v>
      </c>
    </row>
    <row r="591" spans="1:4" x14ac:dyDescent="0.3">
      <c r="A591" s="19" t="s">
        <v>289</v>
      </c>
      <c r="B591" s="19" t="s">
        <v>289</v>
      </c>
      <c r="C591" s="6" t="s">
        <v>343</v>
      </c>
      <c r="D591" s="24">
        <f>IFERROR(AVERAGEIFS(DataEntry!$CW:$CW,DataEntry!$A:$A,"Ngabu",DataEntry!$B:$B,"Ngabu"),"")</f>
        <v>0.62476918308663043</v>
      </c>
    </row>
    <row r="592" spans="1:4" x14ac:dyDescent="0.3">
      <c r="A592" s="21" t="s">
        <v>289</v>
      </c>
      <c r="B592" s="21" t="s">
        <v>289</v>
      </c>
      <c r="C592" s="12" t="s">
        <v>344</v>
      </c>
      <c r="D592" s="22">
        <f>IFERROR(SUMIFS(DataEntry!$CA:$CA,DataEntry!$A:$A,"Ngabu",DataEntry!$B:$B,"Ngabu"),"")</f>
        <v>30</v>
      </c>
    </row>
    <row r="593" spans="1:4" x14ac:dyDescent="0.3">
      <c r="A593" s="19" t="s">
        <v>289</v>
      </c>
      <c r="B593" s="19" t="s">
        <v>289</v>
      </c>
      <c r="C593" s="6" t="s">
        <v>345</v>
      </c>
      <c r="D593" s="20">
        <f>IFERROR(SUMIFS(DataEntry!$DV:$DV,DataEntry!$A:$A,"Ngabu",DataEntry!$B:$B,"Ngabu"),"")</f>
        <v>1136</v>
      </c>
    </row>
    <row r="594" spans="1:4" x14ac:dyDescent="0.3">
      <c r="A594" s="21" t="s">
        <v>289</v>
      </c>
      <c r="B594" s="21" t="s">
        <v>289</v>
      </c>
      <c r="C594" s="12" t="s">
        <v>346</v>
      </c>
      <c r="D594" s="22">
        <f>IFERROR(SUMIFS(DataEntry!$FG:$FG,DataEntry!$A:$A,"Ngabu",DataEntry!$B:$B,"Ngabu"),"")</f>
        <v>401</v>
      </c>
    </row>
    <row r="595" spans="1:4" x14ac:dyDescent="0.3">
      <c r="A595" s="19" t="s">
        <v>289</v>
      </c>
      <c r="B595" s="19" t="s">
        <v>289</v>
      </c>
      <c r="C595" s="6" t="s">
        <v>347</v>
      </c>
      <c r="D595" s="24">
        <f>IFERROR(AVERAGEIFS(DataEntry!$HK:$HK,DataEntry!$A:$A,"Ngabu",DataEntry!$B:$B,"Ngabu"),"")</f>
        <v>6.5606060606060597</v>
      </c>
    </row>
    <row r="596" spans="1:4" x14ac:dyDescent="0.3">
      <c r="A596" s="21" t="s">
        <v>289</v>
      </c>
      <c r="B596" s="21" t="s">
        <v>289</v>
      </c>
      <c r="C596" s="12" t="s">
        <v>348</v>
      </c>
      <c r="D596" s="23" t="str">
        <f>IFERROR(AVERAGEIFS(DataEntry!$HN:$HN,DataEntry!$A:$A,"Ngabu",DataEntry!$B:$B,"Ngabu"),"")</f>
        <v/>
      </c>
    </row>
    <row r="597" spans="1:4" x14ac:dyDescent="0.3">
      <c r="A597" s="19" t="s">
        <v>289</v>
      </c>
      <c r="B597" s="19" t="s">
        <v>294</v>
      </c>
      <c r="C597" s="6" t="s">
        <v>40</v>
      </c>
      <c r="D597" s="20">
        <f>IFERROR(SUMIFS(DataEntry!$H:$H,DataEntry!$A:$A,"Ngabu",DataEntry!$B:$B,"Nsanje"),"")</f>
        <v>259550</v>
      </c>
    </row>
    <row r="598" spans="1:4" x14ac:dyDescent="0.3">
      <c r="A598" s="21" t="s">
        <v>289</v>
      </c>
      <c r="B598" s="21" t="s">
        <v>294</v>
      </c>
      <c r="C598" s="12" t="s">
        <v>323</v>
      </c>
      <c r="D598" s="22">
        <f>IFERROR(SUMIFS(DataEntry!$S:$S,DataEntry!$A:$A,"Ngabu",DataEntry!$B:$B,"Nsanje"),"")</f>
        <v>190108</v>
      </c>
    </row>
    <row r="599" spans="1:4" x14ac:dyDescent="0.3">
      <c r="A599" s="19" t="s">
        <v>289</v>
      </c>
      <c r="B599" s="19" t="s">
        <v>294</v>
      </c>
      <c r="C599" s="6" t="s">
        <v>324</v>
      </c>
      <c r="D599" s="20">
        <f>IFERROR(SUMIFS(DataEntry!$T:$T,DataEntry!$A:$A,"Ngabu",DataEntry!$B:$B,"Nsanje"),"")</f>
        <v>69442</v>
      </c>
    </row>
    <row r="600" spans="1:4" x14ac:dyDescent="0.3">
      <c r="A600" s="21" t="s">
        <v>289</v>
      </c>
      <c r="B600" s="21" t="s">
        <v>294</v>
      </c>
      <c r="C600" s="12" t="s">
        <v>325</v>
      </c>
      <c r="D600" s="23">
        <f>IFERROR(AVERAGEIFS(DataEntry!$U:$U,DataEntry!$A:$A,"Ngabu",DataEntry!$B:$B,"Nsanje"),"")</f>
        <v>0.26694070746351506</v>
      </c>
    </row>
    <row r="601" spans="1:4" x14ac:dyDescent="0.3">
      <c r="A601" s="19" t="s">
        <v>289</v>
      </c>
      <c r="B601" s="19" t="s">
        <v>294</v>
      </c>
      <c r="C601" s="6" t="s">
        <v>326</v>
      </c>
      <c r="D601" s="20">
        <f>IFERROR(SUMIFS(DataEntry!$V:$V,DataEntry!$A:$A,"Ngabu",DataEntry!$B:$B,"Nsanje"),"")</f>
        <v>153</v>
      </c>
    </row>
    <row r="602" spans="1:4" x14ac:dyDescent="0.3">
      <c r="A602" s="21" t="s">
        <v>289</v>
      </c>
      <c r="B602" s="21" t="s">
        <v>294</v>
      </c>
      <c r="C602" s="12" t="s">
        <v>327</v>
      </c>
      <c r="D602" s="22">
        <f>IFERROR(SUMIFS(DataEntry!$AH:$AH,DataEntry!$A:$A,"Ngabu",DataEntry!$B:$B,"Nsanje"),"")</f>
        <v>539369.37</v>
      </c>
    </row>
    <row r="603" spans="1:4" x14ac:dyDescent="0.3">
      <c r="A603" s="19" t="s">
        <v>289</v>
      </c>
      <c r="B603" s="19" t="s">
        <v>294</v>
      </c>
      <c r="C603" s="6" t="s">
        <v>328</v>
      </c>
      <c r="D603" s="20">
        <f>IFERROR(SUMIFS(DataEntry!$AL:$AL,DataEntry!$A:$A,"Ngabu",DataEntry!$B:$B,"Nsanje"),"")</f>
        <v>23227369.473000005</v>
      </c>
    </row>
    <row r="604" spans="1:4" x14ac:dyDescent="0.3">
      <c r="A604" s="21" t="s">
        <v>289</v>
      </c>
      <c r="B604" s="21" t="s">
        <v>294</v>
      </c>
      <c r="C604" s="12" t="s">
        <v>329</v>
      </c>
      <c r="D604" s="22">
        <f>IFERROR(SUMIFS(DataEntry!$AP:$AP,DataEntry!$A:$A,"Ngabu",DataEntry!$B:$B,"Nsanje"),"")</f>
        <v>3588949.2</v>
      </c>
    </row>
    <row r="605" spans="1:4" x14ac:dyDescent="0.3">
      <c r="A605" s="19" t="s">
        <v>289</v>
      </c>
      <c r="B605" s="19" t="s">
        <v>294</v>
      </c>
      <c r="C605" s="6" t="s">
        <v>330</v>
      </c>
      <c r="D605" s="20">
        <f>IFERROR(SUMIFS(DataEntry!$AU:$AU,DataEntry!$A:$A,"Ngabu",DataEntry!$B:$B,"Nsanje"),"")</f>
        <v>27355688.043000005</v>
      </c>
    </row>
    <row r="606" spans="1:4" x14ac:dyDescent="0.3">
      <c r="A606" s="21" t="s">
        <v>289</v>
      </c>
      <c r="B606" s="21" t="s">
        <v>294</v>
      </c>
      <c r="C606" s="12" t="s">
        <v>331</v>
      </c>
      <c r="D606" s="23">
        <f>IFERROR(AVERAGEIFS(DataEntry!$AV:$AV,DataEntry!$A:$A,"Ngabu",DataEntry!$B:$B,"Nsanje"),"")</f>
        <v>105.69913090989229</v>
      </c>
    </row>
    <row r="607" spans="1:4" x14ac:dyDescent="0.3">
      <c r="A607" s="19" t="s">
        <v>289</v>
      </c>
      <c r="B607" s="19" t="s">
        <v>294</v>
      </c>
      <c r="C607" s="6" t="s">
        <v>332</v>
      </c>
      <c r="D607" s="20">
        <f>IFERROR(SUMIFS(DataEntry!$GB:$GB,DataEntry!$A:$A,"Ngabu",DataEntry!$B:$B,"Nsanje"),"")</f>
        <v>263885973.88</v>
      </c>
    </row>
    <row r="608" spans="1:4" x14ac:dyDescent="0.3">
      <c r="A608" s="21" t="s">
        <v>289</v>
      </c>
      <c r="B608" s="21" t="s">
        <v>294</v>
      </c>
      <c r="C608" s="12" t="s">
        <v>333</v>
      </c>
      <c r="D608" s="22">
        <f>IFERROR(SUMIFS(DataEntry!$GM:$GM,DataEntry!$A:$A,"Ngabu",DataEntry!$B:$B,"Nsanje"),"")</f>
        <v>229897814.34999996</v>
      </c>
    </row>
    <row r="609" spans="1:4" x14ac:dyDescent="0.3">
      <c r="A609" s="19" t="s">
        <v>289</v>
      </c>
      <c r="B609" s="19" t="s">
        <v>294</v>
      </c>
      <c r="C609" s="6" t="s">
        <v>334</v>
      </c>
      <c r="D609" s="20">
        <f>IFERROR(SUMIFS(DataEntry!$GX:$GX,DataEntry!$A:$A,"Ngabu",DataEntry!$B:$B,"Nsanje"),"")</f>
        <v>250742196.12</v>
      </c>
    </row>
    <row r="610" spans="1:4" x14ac:dyDescent="0.3">
      <c r="A610" s="21" t="s">
        <v>289</v>
      </c>
      <c r="B610" s="21" t="s">
        <v>294</v>
      </c>
      <c r="C610" s="12" t="s">
        <v>335</v>
      </c>
      <c r="D610" s="22">
        <f>IFERROR(SUMIFS(DataEntry!$GY:$GY,DataEntry!$A:$A,"Ngabu",DataEntry!$B:$B,"Nsanje"),"")</f>
        <v>268860418.13</v>
      </c>
    </row>
    <row r="611" spans="1:4" x14ac:dyDescent="0.3">
      <c r="A611" s="19" t="s">
        <v>289</v>
      </c>
      <c r="B611" s="19" t="s">
        <v>294</v>
      </c>
      <c r="C611" s="6" t="s">
        <v>336</v>
      </c>
      <c r="D611" s="20">
        <f>IFERROR(SUMIFS(DataEntry!$GZ:$GZ,DataEntry!$A:$A,"Ngabu",DataEntry!$B:$B,"Nsanje"),"")</f>
        <v>11632977.74</v>
      </c>
    </row>
    <row r="612" spans="1:4" x14ac:dyDescent="0.3">
      <c r="A612" s="21" t="s">
        <v>289</v>
      </c>
      <c r="B612" s="21" t="s">
        <v>294</v>
      </c>
      <c r="C612" s="12" t="s">
        <v>337</v>
      </c>
      <c r="D612" s="22">
        <f>IFERROR(SUMIFS(DataEntry!$HA:$HA,DataEntry!$A:$A,"Ngabu",DataEntry!$B:$B,"Nsanje"),"")</f>
        <v>280493395.87</v>
      </c>
    </row>
    <row r="613" spans="1:4" x14ac:dyDescent="0.3">
      <c r="A613" s="19" t="s">
        <v>289</v>
      </c>
      <c r="B613" s="19" t="s">
        <v>294</v>
      </c>
      <c r="C613" s="6" t="s">
        <v>338</v>
      </c>
      <c r="D613" s="24">
        <f>IFERROR(AVERAGEIFS(DataEntry!$HC:$HC,DataEntry!$A:$A,"Ngabu",DataEntry!$B:$B,"Nsanje"),"")</f>
        <v>1653788.1221097978</v>
      </c>
    </row>
    <row r="614" spans="1:4" x14ac:dyDescent="0.3">
      <c r="A614" s="21" t="s">
        <v>289</v>
      </c>
      <c r="B614" s="21" t="s">
        <v>294</v>
      </c>
      <c r="C614" s="12" t="s">
        <v>339</v>
      </c>
      <c r="D614" s="23">
        <f>IFERROR(AVERAGEIFS(DataEntry!$HB:$HB,DataEntry!$A:$A,"Ngabu",DataEntry!$B:$B,"Nsanje"),"")</f>
        <v>1890023.2069104414</v>
      </c>
    </row>
    <row r="615" spans="1:4" x14ac:dyDescent="0.3">
      <c r="A615" s="19" t="s">
        <v>289</v>
      </c>
      <c r="B615" s="19" t="s">
        <v>294</v>
      </c>
      <c r="C615" s="6" t="s">
        <v>340</v>
      </c>
      <c r="D615" s="20">
        <f>IFERROR(SUMIFS(DataEntry!$CS:$CS,DataEntry!$A:$A,"Ngabu",DataEntry!$B:$B,"Nsanje"),"")</f>
        <v>22725</v>
      </c>
    </row>
    <row r="616" spans="1:4" x14ac:dyDescent="0.3">
      <c r="A616" s="21" t="s">
        <v>289</v>
      </c>
      <c r="B616" s="21" t="s">
        <v>294</v>
      </c>
      <c r="C616" s="12" t="s">
        <v>341</v>
      </c>
      <c r="D616" s="22">
        <f>IFERROR(SUMIFS(DataEntry!$CT:$CT,DataEntry!$A:$A,"Ngabu",DataEntry!$B:$B,"Nsanje"),"")</f>
        <v>30231</v>
      </c>
    </row>
    <row r="617" spans="1:4" x14ac:dyDescent="0.3">
      <c r="A617" s="19" t="s">
        <v>289</v>
      </c>
      <c r="B617" s="19" t="s">
        <v>294</v>
      </c>
      <c r="C617" s="6" t="s">
        <v>342</v>
      </c>
      <c r="D617" s="20">
        <f>IFERROR(SUMIFS(DataEntry!$CV:$CV,DataEntry!$A:$A,"Ngabu",DataEntry!$B:$B,"Nsanje"),"")</f>
        <v>216310</v>
      </c>
    </row>
    <row r="618" spans="1:4" x14ac:dyDescent="0.3">
      <c r="A618" s="21" t="s">
        <v>289</v>
      </c>
      <c r="B618" s="21" t="s">
        <v>294</v>
      </c>
      <c r="C618" s="12" t="s">
        <v>343</v>
      </c>
      <c r="D618" s="23">
        <f>IFERROR(AVERAGEIFS(DataEntry!$CW:$CW,DataEntry!$A:$A,"Ngabu",DataEntry!$B:$B,"Nsanje"),"")</f>
        <v>0.69376373015243065</v>
      </c>
    </row>
    <row r="619" spans="1:4" x14ac:dyDescent="0.3">
      <c r="A619" s="19" t="s">
        <v>289</v>
      </c>
      <c r="B619" s="19" t="s">
        <v>294</v>
      </c>
      <c r="C619" s="6" t="s">
        <v>344</v>
      </c>
      <c r="D619" s="20">
        <f>IFERROR(SUMIFS(DataEntry!$CA:$CA,DataEntry!$A:$A,"Ngabu",DataEntry!$B:$B,"Nsanje"),"")</f>
        <v>138</v>
      </c>
    </row>
    <row r="620" spans="1:4" x14ac:dyDescent="0.3">
      <c r="A620" s="21" t="s">
        <v>289</v>
      </c>
      <c r="B620" s="21" t="s">
        <v>294</v>
      </c>
      <c r="C620" s="12" t="s">
        <v>345</v>
      </c>
      <c r="D620" s="22">
        <f>IFERROR(SUMIFS(DataEntry!$DV:$DV,DataEntry!$A:$A,"Ngabu",DataEntry!$B:$B,"Nsanje"),"")</f>
        <v>1651</v>
      </c>
    </row>
    <row r="621" spans="1:4" x14ac:dyDescent="0.3">
      <c r="A621" s="19" t="s">
        <v>289</v>
      </c>
      <c r="B621" s="19" t="s">
        <v>294</v>
      </c>
      <c r="C621" s="6" t="s">
        <v>346</v>
      </c>
      <c r="D621" s="20">
        <f>IFERROR(SUMIFS(DataEntry!$FG:$FG,DataEntry!$A:$A,"Ngabu",DataEntry!$B:$B,"Nsanje"),"")</f>
        <v>3432</v>
      </c>
    </row>
    <row r="622" spans="1:4" x14ac:dyDescent="0.3">
      <c r="A622" s="21" t="s">
        <v>289</v>
      </c>
      <c r="B622" s="21" t="s">
        <v>294</v>
      </c>
      <c r="C622" s="12" t="s">
        <v>347</v>
      </c>
      <c r="D622" s="23">
        <f>IFERROR(AVERAGEIFS(DataEntry!$HK:$HK,DataEntry!$A:$A,"Ngabu",DataEntry!$B:$B,"Nsanje"),"")</f>
        <v>10.305398815743645</v>
      </c>
    </row>
    <row r="623" spans="1:4" x14ac:dyDescent="0.3">
      <c r="A623" s="19" t="s">
        <v>289</v>
      </c>
      <c r="B623" s="19" t="s">
        <v>294</v>
      </c>
      <c r="C623" s="6" t="s">
        <v>348</v>
      </c>
      <c r="D623" s="24">
        <f>IFERROR(AVERAGEIFS(DataEntry!$HN:$HN,DataEntry!$A:$A,"Ngabu",DataEntry!$B:$B,"Nsanje"),"")</f>
        <v>1.9141414141414139</v>
      </c>
    </row>
    <row r="624" spans="1:4" x14ac:dyDescent="0.3">
      <c r="A624" s="21" t="s">
        <v>295</v>
      </c>
      <c r="B624" s="21" t="s">
        <v>296</v>
      </c>
      <c r="C624" s="12" t="s">
        <v>40</v>
      </c>
      <c r="D624" s="22">
        <f>IFERROR(SUMIFS(DataEntry!$H:$H,DataEntry!$A:$A,"Zomba",DataEntry!$B:$B,"Chiradzulu"),"")</f>
        <v>26969</v>
      </c>
    </row>
    <row r="625" spans="1:4" x14ac:dyDescent="0.3">
      <c r="A625" s="19" t="s">
        <v>295</v>
      </c>
      <c r="B625" s="19" t="s">
        <v>296</v>
      </c>
      <c r="C625" s="6" t="s">
        <v>323</v>
      </c>
      <c r="D625" s="20">
        <f>IFERROR(SUMIFS(DataEntry!$S:$S,DataEntry!$A:$A,"Zomba",DataEntry!$B:$B,"Chiradzulu"),"")</f>
        <v>22772.199999999961</v>
      </c>
    </row>
    <row r="626" spans="1:4" x14ac:dyDescent="0.3">
      <c r="A626" s="21" t="s">
        <v>295</v>
      </c>
      <c r="B626" s="21" t="s">
        <v>296</v>
      </c>
      <c r="C626" s="12" t="s">
        <v>324</v>
      </c>
      <c r="D626" s="22">
        <f>IFERROR(SUMIFS(DataEntry!$T:$T,DataEntry!$A:$A,"Zomba",DataEntry!$B:$B,"Chiradzulu"),"")</f>
        <v>4196.8000000000475</v>
      </c>
    </row>
    <row r="627" spans="1:4" x14ac:dyDescent="0.3">
      <c r="A627" s="19" t="s">
        <v>295</v>
      </c>
      <c r="B627" s="19" t="s">
        <v>296</v>
      </c>
      <c r="C627" s="6" t="s">
        <v>325</v>
      </c>
      <c r="D627" s="24">
        <f>IFERROR(AVERAGEIFS(DataEntry!$U:$U,DataEntry!$A:$A,"Zomba",DataEntry!$B:$B,"Chiradzulu"),"")</f>
        <v>0.14063025951586036</v>
      </c>
    </row>
    <row r="628" spans="1:4" x14ac:dyDescent="0.3">
      <c r="A628" s="21" t="s">
        <v>295</v>
      </c>
      <c r="B628" s="21" t="s">
        <v>296</v>
      </c>
      <c r="C628" s="12" t="s">
        <v>326</v>
      </c>
      <c r="D628" s="22">
        <f>IFERROR(SUMIFS(DataEntry!$V:$V,DataEntry!$A:$A,"Zomba",DataEntry!$B:$B,"Chiradzulu"),"")</f>
        <v>85.2</v>
      </c>
    </row>
    <row r="629" spans="1:4" x14ac:dyDescent="0.3">
      <c r="A629" s="19" t="s">
        <v>295</v>
      </c>
      <c r="B629" s="19" t="s">
        <v>296</v>
      </c>
      <c r="C629" s="6" t="s">
        <v>327</v>
      </c>
      <c r="D629" s="20">
        <f>IFERROR(SUMIFS(DataEntry!$AH:$AH,DataEntry!$A:$A,"Zomba",DataEntry!$B:$B,"Chiradzulu"),"")</f>
        <v>2215200</v>
      </c>
    </row>
    <row r="630" spans="1:4" x14ac:dyDescent="0.3">
      <c r="A630" s="21" t="s">
        <v>295</v>
      </c>
      <c r="B630" s="21" t="s">
        <v>296</v>
      </c>
      <c r="C630" s="12" t="s">
        <v>328</v>
      </c>
      <c r="D630" s="22">
        <f>IFERROR(SUMIFS(DataEntry!$AL:$AL,DataEntry!$A:$A,"Zomba",DataEntry!$B:$B,"Chiradzulu"),"")</f>
        <v>418978.26534000004</v>
      </c>
    </row>
    <row r="631" spans="1:4" x14ac:dyDescent="0.3">
      <c r="A631" s="19" t="s">
        <v>295</v>
      </c>
      <c r="B631" s="19" t="s">
        <v>296</v>
      </c>
      <c r="C631" s="6" t="s">
        <v>329</v>
      </c>
      <c r="D631" s="20">
        <f>IFERROR(SUMIFS(DataEntry!$AP:$AP,DataEntry!$A:$A,"Zomba",DataEntry!$B:$B,"Chiradzulu"),"")</f>
        <v>0</v>
      </c>
    </row>
    <row r="632" spans="1:4" x14ac:dyDescent="0.3">
      <c r="A632" s="21" t="s">
        <v>295</v>
      </c>
      <c r="B632" s="21" t="s">
        <v>296</v>
      </c>
      <c r="C632" s="12" t="s">
        <v>330</v>
      </c>
      <c r="D632" s="22">
        <f>IFERROR(SUMIFS(DataEntry!$AU:$AU,DataEntry!$A:$A,"Zomba",DataEntry!$B:$B,"Chiradzulu"),"")</f>
        <v>6334785.9253400005</v>
      </c>
    </row>
    <row r="633" spans="1:4" x14ac:dyDescent="0.3">
      <c r="A633" s="19" t="s">
        <v>295</v>
      </c>
      <c r="B633" s="19" t="s">
        <v>296</v>
      </c>
      <c r="C633" s="6" t="s">
        <v>331</v>
      </c>
      <c r="D633" s="24">
        <f>IFERROR(AVERAGEIFS(DataEntry!$AV:$AV,DataEntry!$A:$A,"Zomba",DataEntry!$B:$B,"Chiradzulu"),"")</f>
        <v>222.35517203655914</v>
      </c>
    </row>
    <row r="634" spans="1:4" x14ac:dyDescent="0.3">
      <c r="A634" s="21" t="s">
        <v>295</v>
      </c>
      <c r="B634" s="21" t="s">
        <v>296</v>
      </c>
      <c r="C634" s="12" t="s">
        <v>332</v>
      </c>
      <c r="D634" s="22">
        <f>IFERROR(SUMIFS(DataEntry!$GB:$GB,DataEntry!$A:$A,"Zomba",DataEntry!$B:$B,"Chiradzulu"),"")</f>
        <v>33051123.070000004</v>
      </c>
    </row>
    <row r="635" spans="1:4" x14ac:dyDescent="0.3">
      <c r="A635" s="19" t="s">
        <v>295</v>
      </c>
      <c r="B635" s="19" t="s">
        <v>296</v>
      </c>
      <c r="C635" s="6" t="s">
        <v>333</v>
      </c>
      <c r="D635" s="20">
        <f>IFERROR(SUMIFS(DataEntry!$GM:$GM,DataEntry!$A:$A,"Zomba",DataEntry!$B:$B,"Chiradzulu"),"")</f>
        <v>32241486.73</v>
      </c>
    </row>
    <row r="636" spans="1:4" x14ac:dyDescent="0.3">
      <c r="A636" s="21" t="s">
        <v>295</v>
      </c>
      <c r="B636" s="21" t="s">
        <v>296</v>
      </c>
      <c r="C636" s="12" t="s">
        <v>334</v>
      </c>
      <c r="D636" s="22">
        <f>IFERROR(SUMIFS(DataEntry!$GX:$GX,DataEntry!$A:$A,"Zomba",DataEntry!$B:$B,"Chiradzulu"),"")</f>
        <v>32941078.800000001</v>
      </c>
    </row>
    <row r="637" spans="1:4" x14ac:dyDescent="0.3">
      <c r="A637" s="19" t="s">
        <v>295</v>
      </c>
      <c r="B637" s="19" t="s">
        <v>296</v>
      </c>
      <c r="C637" s="6" t="s">
        <v>335</v>
      </c>
      <c r="D637" s="20">
        <f>IFERROR(SUMIFS(DataEntry!$GY:$GY,DataEntry!$A:$A,"Zomba",DataEntry!$B:$B,"Chiradzulu"),"")</f>
        <v>-2543577357.1499968</v>
      </c>
    </row>
    <row r="638" spans="1:4" x14ac:dyDescent="0.3">
      <c r="A638" s="21" t="s">
        <v>295</v>
      </c>
      <c r="B638" s="21" t="s">
        <v>296</v>
      </c>
      <c r="C638" s="12" t="s">
        <v>336</v>
      </c>
      <c r="D638" s="22">
        <f>IFERROR(SUMIFS(DataEntry!$GZ:$GZ,DataEntry!$A:$A,"Zomba",DataEntry!$B:$B,"Chiradzulu"),"")</f>
        <v>-273634.19999999995</v>
      </c>
    </row>
    <row r="639" spans="1:4" x14ac:dyDescent="0.3">
      <c r="A639" s="19" t="s">
        <v>295</v>
      </c>
      <c r="B639" s="19" t="s">
        <v>296</v>
      </c>
      <c r="C639" s="6" t="s">
        <v>337</v>
      </c>
      <c r="D639" s="20">
        <f>IFERROR(SUMIFS(DataEntry!$HA:$HA,DataEntry!$A:$A,"Zomba",DataEntry!$B:$B,"Chiradzulu"),"")</f>
        <v>-2543850991.3499966</v>
      </c>
    </row>
    <row r="640" spans="1:4" x14ac:dyDescent="0.3">
      <c r="A640" s="21" t="s">
        <v>295</v>
      </c>
      <c r="B640" s="21" t="s">
        <v>296</v>
      </c>
      <c r="C640" s="12" t="s">
        <v>338</v>
      </c>
      <c r="D640" s="23">
        <f>IFERROR(AVERAGEIFS(DataEntry!$HC:$HC,DataEntry!$A:$A,"Zomba",DataEntry!$B:$B,"Chiradzulu"),"")</f>
        <v>0.12200301643164572</v>
      </c>
    </row>
    <row r="641" spans="1:4" x14ac:dyDescent="0.3">
      <c r="A641" s="19" t="s">
        <v>295</v>
      </c>
      <c r="B641" s="19" t="s">
        <v>296</v>
      </c>
      <c r="C641" s="6" t="s">
        <v>339</v>
      </c>
      <c r="D641" s="24">
        <f>IFERROR(AVERAGEIFS(DataEntry!$HB:$HB,DataEntry!$A:$A,"Zomba",DataEntry!$B:$B,"Chiradzulu"),"")</f>
        <v>232179.23363569358</v>
      </c>
    </row>
    <row r="642" spans="1:4" x14ac:dyDescent="0.3">
      <c r="A642" s="21" t="s">
        <v>295</v>
      </c>
      <c r="B642" s="21" t="s">
        <v>296</v>
      </c>
      <c r="C642" s="12" t="s">
        <v>340</v>
      </c>
      <c r="D642" s="22">
        <f>IFERROR(SUMIFS(DataEntry!$CS:$CS,DataEntry!$A:$A,"Zomba",DataEntry!$B:$B,"Chiradzulu"),"")</f>
        <v>4353</v>
      </c>
    </row>
    <row r="643" spans="1:4" x14ac:dyDescent="0.3">
      <c r="A643" s="19" t="s">
        <v>295</v>
      </c>
      <c r="B643" s="19" t="s">
        <v>296</v>
      </c>
      <c r="C643" s="6" t="s">
        <v>341</v>
      </c>
      <c r="D643" s="20">
        <f>IFERROR(SUMIFS(DataEntry!$CT:$CT,DataEntry!$A:$A,"Zomba",DataEntry!$B:$B,"Chiradzulu"),"")</f>
        <v>5829</v>
      </c>
    </row>
    <row r="644" spans="1:4" x14ac:dyDescent="0.3">
      <c r="A644" s="21" t="s">
        <v>295</v>
      </c>
      <c r="B644" s="21" t="s">
        <v>296</v>
      </c>
      <c r="C644" s="12" t="s">
        <v>342</v>
      </c>
      <c r="D644" s="22">
        <f>IFERROR(SUMIFS(DataEntry!$CV:$CV,DataEntry!$A:$A,"Zomba",DataEntry!$B:$B,"Chiradzulu"),"")</f>
        <v>31108.799999999999</v>
      </c>
    </row>
    <row r="645" spans="1:4" x14ac:dyDescent="0.3">
      <c r="A645" s="19" t="s">
        <v>295</v>
      </c>
      <c r="B645" s="19" t="s">
        <v>296</v>
      </c>
      <c r="C645" s="6" t="s">
        <v>343</v>
      </c>
      <c r="D645" s="24">
        <f>IFERROR(AVERAGEIFS(DataEntry!$CW:$CW,DataEntry!$A:$A,"Zomba",DataEntry!$B:$B,"Chiradzulu"),"")</f>
        <v>0.7567571588340346</v>
      </c>
    </row>
    <row r="646" spans="1:4" x14ac:dyDescent="0.3">
      <c r="A646" s="21" t="s">
        <v>295</v>
      </c>
      <c r="B646" s="21" t="s">
        <v>296</v>
      </c>
      <c r="C646" s="12" t="s">
        <v>344</v>
      </c>
      <c r="D646" s="22">
        <f>IFERROR(SUMIFS(DataEntry!$CA:$CA,DataEntry!$A:$A,"Zomba",DataEntry!$B:$B,"Chiradzulu"),"")</f>
        <v>38</v>
      </c>
    </row>
    <row r="647" spans="1:4" x14ac:dyDescent="0.3">
      <c r="A647" s="19" t="s">
        <v>295</v>
      </c>
      <c r="B647" s="19" t="s">
        <v>296</v>
      </c>
      <c r="C647" s="6" t="s">
        <v>345</v>
      </c>
      <c r="D647" s="20">
        <f>IFERROR(SUMIFS(DataEntry!$DV:$DV,DataEntry!$A:$A,"Zomba",DataEntry!$B:$B,"Chiradzulu"),"")</f>
        <v>0</v>
      </c>
    </row>
    <row r="648" spans="1:4" x14ac:dyDescent="0.3">
      <c r="A648" s="21" t="s">
        <v>295</v>
      </c>
      <c r="B648" s="21" t="s">
        <v>296</v>
      </c>
      <c r="C648" s="12" t="s">
        <v>346</v>
      </c>
      <c r="D648" s="22">
        <f>IFERROR(SUMIFS(DataEntry!$FG:$FG,DataEntry!$A:$A,"Zomba",DataEntry!$B:$B,"Chiradzulu"),"")</f>
        <v>173</v>
      </c>
    </row>
    <row r="649" spans="1:4" x14ac:dyDescent="0.3">
      <c r="A649" s="19" t="s">
        <v>295</v>
      </c>
      <c r="B649" s="19" t="s">
        <v>296</v>
      </c>
      <c r="C649" s="6" t="s">
        <v>347</v>
      </c>
      <c r="D649" s="24">
        <f>IFERROR(AVERAGEIFS(DataEntry!$HK:$HK,DataEntry!$A:$A,"Zomba",DataEntry!$B:$B,"Chiradzulu"),"")</f>
        <v>0.91623376623376629</v>
      </c>
    </row>
    <row r="650" spans="1:4" x14ac:dyDescent="0.3">
      <c r="A650" s="21" t="s">
        <v>295</v>
      </c>
      <c r="B650" s="21" t="s">
        <v>296</v>
      </c>
      <c r="C650" s="12" t="s">
        <v>348</v>
      </c>
      <c r="D650" s="23">
        <f>IFERROR(AVERAGEIFS(DataEntry!$HN:$HN,DataEntry!$A:$A,"Zomba",DataEntry!$B:$B,"Chiradzulu"),"")</f>
        <v>0.31329605467536503</v>
      </c>
    </row>
    <row r="651" spans="1:4" x14ac:dyDescent="0.3">
      <c r="A651" s="19" t="s">
        <v>295</v>
      </c>
      <c r="B651" s="19" t="s">
        <v>297</v>
      </c>
      <c r="C651" s="6" t="s">
        <v>40</v>
      </c>
      <c r="D651" s="20">
        <f>IFERROR(SUMIFS(DataEntry!$H:$H,DataEntry!$A:$A,"Zomba",DataEntry!$B:$B,"Domasi"),"")</f>
        <v>333909</v>
      </c>
    </row>
    <row r="652" spans="1:4" x14ac:dyDescent="0.3">
      <c r="A652" s="21" t="s">
        <v>295</v>
      </c>
      <c r="B652" s="21" t="s">
        <v>297</v>
      </c>
      <c r="C652" s="12" t="s">
        <v>323</v>
      </c>
      <c r="D652" s="22">
        <f>IFERROR(SUMIFS(DataEntry!$S:$S,DataEntry!$A:$A,"Zomba",DataEntry!$B:$B,"Domasi"),"")</f>
        <v>283030.40000000026</v>
      </c>
    </row>
    <row r="653" spans="1:4" x14ac:dyDescent="0.3">
      <c r="A653" s="19" t="s">
        <v>295</v>
      </c>
      <c r="B653" s="19" t="s">
        <v>297</v>
      </c>
      <c r="C653" s="6" t="s">
        <v>324</v>
      </c>
      <c r="D653" s="20">
        <f>IFERROR(SUMIFS(DataEntry!$T:$T,DataEntry!$A:$A,"Zomba",DataEntry!$B:$B,"Domasi"),"")</f>
        <v>50878.599999999722</v>
      </c>
    </row>
    <row r="654" spans="1:4" x14ac:dyDescent="0.3">
      <c r="A654" s="21" t="s">
        <v>295</v>
      </c>
      <c r="B654" s="21" t="s">
        <v>297</v>
      </c>
      <c r="C654" s="12" t="s">
        <v>325</v>
      </c>
      <c r="D654" s="23">
        <f>IFERROR(AVERAGEIFS(DataEntry!$U:$U,DataEntry!$A:$A,"Zomba",DataEntry!$B:$B,"Domasi"),"")</f>
        <v>0.15700771740087499</v>
      </c>
    </row>
    <row r="655" spans="1:4" x14ac:dyDescent="0.3">
      <c r="A655" s="19" t="s">
        <v>295</v>
      </c>
      <c r="B655" s="19" t="s">
        <v>297</v>
      </c>
      <c r="C655" s="6" t="s">
        <v>326</v>
      </c>
      <c r="D655" s="20">
        <f>IFERROR(SUMIFS(DataEntry!$V:$V,DataEntry!$A:$A,"Zomba",DataEntry!$B:$B,"Domasi"),"")</f>
        <v>615.5</v>
      </c>
    </row>
    <row r="656" spans="1:4" x14ac:dyDescent="0.3">
      <c r="A656" s="21" t="s">
        <v>295</v>
      </c>
      <c r="B656" s="21" t="s">
        <v>297</v>
      </c>
      <c r="C656" s="12" t="s">
        <v>327</v>
      </c>
      <c r="D656" s="22">
        <f>IFERROR(SUMIFS(DataEntry!$AH:$AH,DataEntry!$A:$A,"Zomba",DataEntry!$B:$B,"Domasi"),"")</f>
        <v>24857800</v>
      </c>
    </row>
    <row r="657" spans="1:4" x14ac:dyDescent="0.3">
      <c r="A657" s="19" t="s">
        <v>295</v>
      </c>
      <c r="B657" s="19" t="s">
        <v>297</v>
      </c>
      <c r="C657" s="6" t="s">
        <v>328</v>
      </c>
      <c r="D657" s="20">
        <f>IFERROR(SUMIFS(DataEntry!$AL:$AL,DataEntry!$A:$A,"Zomba",DataEntry!$B:$B,"Domasi"),"")</f>
        <v>701068.68351</v>
      </c>
    </row>
    <row r="658" spans="1:4" x14ac:dyDescent="0.3">
      <c r="A658" s="21" t="s">
        <v>295</v>
      </c>
      <c r="B658" s="21" t="s">
        <v>297</v>
      </c>
      <c r="C658" s="12" t="s">
        <v>329</v>
      </c>
      <c r="D658" s="22">
        <f>IFERROR(SUMIFS(DataEntry!$AP:$AP,DataEntry!$A:$A,"Zomba",DataEntry!$B:$B,"Domasi"),"")</f>
        <v>0</v>
      </c>
    </row>
    <row r="659" spans="1:4" x14ac:dyDescent="0.3">
      <c r="A659" s="19" t="s">
        <v>295</v>
      </c>
      <c r="B659" s="19" t="s">
        <v>297</v>
      </c>
      <c r="C659" s="6" t="s">
        <v>330</v>
      </c>
      <c r="D659" s="20">
        <f>IFERROR(SUMIFS(DataEntry!$AU:$AU,DataEntry!$A:$A,"Zomba",DataEntry!$B:$B,"Domasi"),"")</f>
        <v>31796646.74351</v>
      </c>
    </row>
    <row r="660" spans="1:4" x14ac:dyDescent="0.3">
      <c r="A660" s="21" t="s">
        <v>295</v>
      </c>
      <c r="B660" s="21" t="s">
        <v>297</v>
      </c>
      <c r="C660" s="12" t="s">
        <v>331</v>
      </c>
      <c r="D660" s="23">
        <f>IFERROR(AVERAGEIFS(DataEntry!$AV:$AV,DataEntry!$A:$A,"Zomba",DataEntry!$B:$B,"Domasi"),"")</f>
        <v>97.238288594638959</v>
      </c>
    </row>
    <row r="661" spans="1:4" x14ac:dyDescent="0.3">
      <c r="A661" s="19" t="s">
        <v>295</v>
      </c>
      <c r="B661" s="19" t="s">
        <v>297</v>
      </c>
      <c r="C661" s="6" t="s">
        <v>332</v>
      </c>
      <c r="D661" s="20">
        <f>IFERROR(SUMIFS(DataEntry!$GB:$GB,DataEntry!$A:$A,"Zomba",DataEntry!$B:$B,"Domasi"),"")</f>
        <v>579332605.21999991</v>
      </c>
    </row>
    <row r="662" spans="1:4" x14ac:dyDescent="0.3">
      <c r="A662" s="21" t="s">
        <v>295</v>
      </c>
      <c r="B662" s="21" t="s">
        <v>297</v>
      </c>
      <c r="C662" s="12" t="s">
        <v>333</v>
      </c>
      <c r="D662" s="22">
        <f>IFERROR(SUMIFS(DataEntry!$GM:$GM,DataEntry!$A:$A,"Zomba",DataEntry!$B:$B,"Domasi"),"")</f>
        <v>521928965.15999997</v>
      </c>
    </row>
    <row r="663" spans="1:4" x14ac:dyDescent="0.3">
      <c r="A663" s="19" t="s">
        <v>295</v>
      </c>
      <c r="B663" s="19" t="s">
        <v>297</v>
      </c>
      <c r="C663" s="6" t="s">
        <v>334</v>
      </c>
      <c r="D663" s="20">
        <f>IFERROR(SUMIFS(DataEntry!$GX:$GX,DataEntry!$A:$A,"Zomba",DataEntry!$B:$B,"Domasi"),"")</f>
        <v>536715544.44999993</v>
      </c>
    </row>
    <row r="664" spans="1:4" x14ac:dyDescent="0.3">
      <c r="A664" s="21" t="s">
        <v>295</v>
      </c>
      <c r="B664" s="21" t="s">
        <v>297</v>
      </c>
      <c r="C664" s="12" t="s">
        <v>335</v>
      </c>
      <c r="D664" s="22">
        <f>IFERROR(SUMIFS(DataEntry!$GY:$GY,DataEntry!$A:$A,"Zomba",DataEntry!$B:$B,"Domasi"),"")</f>
        <v>1030080015.0099989</v>
      </c>
    </row>
    <row r="665" spans="1:4" x14ac:dyDescent="0.3">
      <c r="A665" s="19" t="s">
        <v>295</v>
      </c>
      <c r="B665" s="19" t="s">
        <v>297</v>
      </c>
      <c r="C665" s="6" t="s">
        <v>336</v>
      </c>
      <c r="D665" s="20">
        <f>IFERROR(SUMIFS(DataEntry!$GZ:$GZ,DataEntry!$A:$A,"Zomba",DataEntry!$B:$B,"Domasi"),"")</f>
        <v>0</v>
      </c>
    </row>
    <row r="666" spans="1:4" x14ac:dyDescent="0.3">
      <c r="A666" s="21" t="s">
        <v>295</v>
      </c>
      <c r="B666" s="21" t="s">
        <v>297</v>
      </c>
      <c r="C666" s="12" t="s">
        <v>337</v>
      </c>
      <c r="D666" s="22">
        <f>IFERROR(SUMIFS(DataEntry!$HA:$HA,DataEntry!$A:$A,"Zomba",DataEntry!$B:$B,"Domasi"),"")</f>
        <v>1030080015.0099989</v>
      </c>
    </row>
    <row r="667" spans="1:4" x14ac:dyDescent="0.3">
      <c r="A667" s="19" t="s">
        <v>295</v>
      </c>
      <c r="B667" s="19" t="s">
        <v>297</v>
      </c>
      <c r="C667" s="6" t="s">
        <v>338</v>
      </c>
      <c r="D667" s="24">
        <f>IFERROR(AVERAGEIFS(DataEntry!$HC:$HC,DataEntry!$A:$A,"Zomba",DataEntry!$B:$B,"Domasi"),"")</f>
        <v>0.32541223024089266</v>
      </c>
    </row>
    <row r="668" spans="1:4" x14ac:dyDescent="0.3">
      <c r="A668" s="21" t="s">
        <v>295</v>
      </c>
      <c r="B668" s="21" t="s">
        <v>297</v>
      </c>
      <c r="C668" s="12" t="s">
        <v>339</v>
      </c>
      <c r="D668" s="23">
        <f>IFERROR(AVERAGEIFS(DataEntry!$HB:$HB,DataEntry!$A:$A,"Zomba",DataEntry!$B:$B,"Domasi"),"")</f>
        <v>4538268.0381983155</v>
      </c>
    </row>
    <row r="669" spans="1:4" x14ac:dyDescent="0.3">
      <c r="A669" s="19" t="s">
        <v>295</v>
      </c>
      <c r="B669" s="19" t="s">
        <v>297</v>
      </c>
      <c r="C669" s="6" t="s">
        <v>340</v>
      </c>
      <c r="D669" s="20">
        <f>IFERROR(SUMIFS(DataEntry!$CS:$CS,DataEntry!$A:$A,"Zomba",DataEntry!$B:$B,"Domasi"),"")</f>
        <v>16699</v>
      </c>
    </row>
    <row r="670" spans="1:4" x14ac:dyDescent="0.3">
      <c r="A670" s="21" t="s">
        <v>295</v>
      </c>
      <c r="B670" s="21" t="s">
        <v>297</v>
      </c>
      <c r="C670" s="12" t="s">
        <v>341</v>
      </c>
      <c r="D670" s="22">
        <f>IFERROR(SUMIFS(DataEntry!$CT:$CT,DataEntry!$A:$A,"Zomba",DataEntry!$B:$B,"Domasi"),"")</f>
        <v>25529</v>
      </c>
    </row>
    <row r="671" spans="1:4" x14ac:dyDescent="0.3">
      <c r="A671" s="19" t="s">
        <v>295</v>
      </c>
      <c r="B671" s="19" t="s">
        <v>297</v>
      </c>
      <c r="C671" s="6" t="s">
        <v>342</v>
      </c>
      <c r="D671" s="20">
        <f>IFERROR(SUMIFS(DataEntry!$CV:$CV,DataEntry!$A:$A,"Zomba",DataEntry!$B:$B,"Domasi"),"")</f>
        <v>127632.20000000003</v>
      </c>
    </row>
    <row r="672" spans="1:4" x14ac:dyDescent="0.3">
      <c r="A672" s="21" t="s">
        <v>295</v>
      </c>
      <c r="B672" s="21" t="s">
        <v>297</v>
      </c>
      <c r="C672" s="12" t="s">
        <v>343</v>
      </c>
      <c r="D672" s="23">
        <f>IFERROR(AVERAGEIFS(DataEntry!$CW:$CW,DataEntry!$A:$A,"Zomba",DataEntry!$B:$B,"Domasi"),"")</f>
        <v>0.99645310899549822</v>
      </c>
    </row>
    <row r="673" spans="1:4" x14ac:dyDescent="0.3">
      <c r="A673" s="19" t="s">
        <v>295</v>
      </c>
      <c r="B673" s="19" t="s">
        <v>297</v>
      </c>
      <c r="C673" s="6" t="s">
        <v>344</v>
      </c>
      <c r="D673" s="20">
        <f>IFERROR(SUMIFS(DataEntry!$CA:$CA,DataEntry!$A:$A,"Zomba",DataEntry!$B:$B,"Domasi"),"")</f>
        <v>167</v>
      </c>
    </row>
    <row r="674" spans="1:4" x14ac:dyDescent="0.3">
      <c r="A674" s="21" t="s">
        <v>295</v>
      </c>
      <c r="B674" s="21" t="s">
        <v>297</v>
      </c>
      <c r="C674" s="12" t="s">
        <v>345</v>
      </c>
      <c r="D674" s="22">
        <f>IFERROR(SUMIFS(DataEntry!$DV:$DV,DataEntry!$A:$A,"Zomba",DataEntry!$B:$B,"Domasi"),"")</f>
        <v>193</v>
      </c>
    </row>
    <row r="675" spans="1:4" x14ac:dyDescent="0.3">
      <c r="A675" s="19" t="s">
        <v>295</v>
      </c>
      <c r="B675" s="19" t="s">
        <v>297</v>
      </c>
      <c r="C675" s="6" t="s">
        <v>346</v>
      </c>
      <c r="D675" s="20">
        <f>IFERROR(SUMIFS(DataEntry!$FG:$FG,DataEntry!$A:$A,"Zomba",DataEntry!$B:$B,"Domasi"),"")</f>
        <v>505</v>
      </c>
    </row>
    <row r="676" spans="1:4" x14ac:dyDescent="0.3">
      <c r="A676" s="21" t="s">
        <v>295</v>
      </c>
      <c r="B676" s="21" t="s">
        <v>297</v>
      </c>
      <c r="C676" s="12" t="s">
        <v>347</v>
      </c>
      <c r="D676" s="23">
        <f>IFERROR(AVERAGEIFS(DataEntry!$HK:$HK,DataEntry!$A:$A,"Zomba",DataEntry!$B:$B,"Domasi"),"")</f>
        <v>1.6092972467400386</v>
      </c>
    </row>
    <row r="677" spans="1:4" x14ac:dyDescent="0.3">
      <c r="A677" s="19" t="s">
        <v>295</v>
      </c>
      <c r="B677" s="19" t="s">
        <v>297</v>
      </c>
      <c r="C677" s="6" t="s">
        <v>348</v>
      </c>
      <c r="D677" s="24">
        <f>IFERROR(AVERAGEIFS(DataEntry!$HN:$HN,DataEntry!$A:$A,"Zomba",DataEntry!$B:$B,"Domasi"),"")</f>
        <v>0.79471353493335606</v>
      </c>
    </row>
    <row r="678" spans="1:4" x14ac:dyDescent="0.3">
      <c r="A678" s="21" t="s">
        <v>295</v>
      </c>
      <c r="B678" s="21" t="s">
        <v>298</v>
      </c>
      <c r="C678" s="12" t="s">
        <v>40</v>
      </c>
      <c r="D678" s="22">
        <f>IFERROR(SUMIFS(DataEntry!$H:$H,DataEntry!$A:$A,"Zomba",DataEntry!$B:$B,"Jali"),"")</f>
        <v>64940</v>
      </c>
    </row>
    <row r="679" spans="1:4" x14ac:dyDescent="0.3">
      <c r="A679" s="19" t="s">
        <v>295</v>
      </c>
      <c r="B679" s="19" t="s">
        <v>298</v>
      </c>
      <c r="C679" s="6" t="s">
        <v>323</v>
      </c>
      <c r="D679" s="20">
        <f>IFERROR(SUMIFS(DataEntry!$S:$S,DataEntry!$A:$A,"Zomba",DataEntry!$B:$B,"Jali"),"")</f>
        <v>51276.899999999943</v>
      </c>
    </row>
    <row r="680" spans="1:4" x14ac:dyDescent="0.3">
      <c r="A680" s="21" t="s">
        <v>295</v>
      </c>
      <c r="B680" s="21" t="s">
        <v>298</v>
      </c>
      <c r="C680" s="12" t="s">
        <v>324</v>
      </c>
      <c r="D680" s="22">
        <f>IFERROR(SUMIFS(DataEntry!$T:$T,DataEntry!$A:$A,"Zomba",DataEntry!$B:$B,"Jali"),"")</f>
        <v>13663.100000000066</v>
      </c>
    </row>
    <row r="681" spans="1:4" x14ac:dyDescent="0.3">
      <c r="A681" s="19" t="s">
        <v>295</v>
      </c>
      <c r="B681" s="19" t="s">
        <v>298</v>
      </c>
      <c r="C681" s="6" t="s">
        <v>325</v>
      </c>
      <c r="D681" s="24">
        <f>IFERROR(AVERAGEIFS(DataEntry!$U:$U,DataEntry!$A:$A,"Zomba",DataEntry!$B:$B,"Jali"),"")</f>
        <v>0.16967534829200767</v>
      </c>
    </row>
    <row r="682" spans="1:4" x14ac:dyDescent="0.3">
      <c r="A682" s="21" t="s">
        <v>295</v>
      </c>
      <c r="B682" s="21" t="s">
        <v>298</v>
      </c>
      <c r="C682" s="12" t="s">
        <v>326</v>
      </c>
      <c r="D682" s="22">
        <f>IFERROR(SUMIFS(DataEntry!$V:$V,DataEntry!$A:$A,"Zomba",DataEntry!$B:$B,"Jali"),"")</f>
        <v>141</v>
      </c>
    </row>
    <row r="683" spans="1:4" x14ac:dyDescent="0.3">
      <c r="A683" s="19" t="s">
        <v>295</v>
      </c>
      <c r="B683" s="19" t="s">
        <v>298</v>
      </c>
      <c r="C683" s="6" t="s">
        <v>327</v>
      </c>
      <c r="D683" s="20">
        <f>IFERROR(SUMIFS(DataEntry!$AH:$AH,DataEntry!$A:$A,"Zomba",DataEntry!$B:$B,"Jali"),"")</f>
        <v>11742816</v>
      </c>
    </row>
    <row r="684" spans="1:4" x14ac:dyDescent="0.3">
      <c r="A684" s="21" t="s">
        <v>295</v>
      </c>
      <c r="B684" s="21" t="s">
        <v>298</v>
      </c>
      <c r="C684" s="12" t="s">
        <v>328</v>
      </c>
      <c r="D684" s="22">
        <f>IFERROR(SUMIFS(DataEntry!$AL:$AL,DataEntry!$A:$A,"Zomba",DataEntry!$B:$B,"Jali"),"")</f>
        <v>1363083.2094899998</v>
      </c>
    </row>
    <row r="685" spans="1:4" x14ac:dyDescent="0.3">
      <c r="A685" s="19" t="s">
        <v>295</v>
      </c>
      <c r="B685" s="19" t="s">
        <v>298</v>
      </c>
      <c r="C685" s="6" t="s">
        <v>329</v>
      </c>
      <c r="D685" s="20">
        <f>IFERROR(SUMIFS(DataEntry!$AP:$AP,DataEntry!$A:$A,"Zomba",DataEntry!$B:$B,"Jali"),"")</f>
        <v>0</v>
      </c>
    </row>
    <row r="686" spans="1:4" x14ac:dyDescent="0.3">
      <c r="A686" s="21" t="s">
        <v>295</v>
      </c>
      <c r="B686" s="21" t="s">
        <v>298</v>
      </c>
      <c r="C686" s="12" t="s">
        <v>330</v>
      </c>
      <c r="D686" s="22">
        <f>IFERROR(SUMIFS(DataEntry!$AU:$AU,DataEntry!$A:$A,"Zomba",DataEntry!$B:$B,"Jali"),"")</f>
        <v>14333496.639490001</v>
      </c>
    </row>
    <row r="687" spans="1:4" x14ac:dyDescent="0.3">
      <c r="A687" s="19" t="s">
        <v>295</v>
      </c>
      <c r="B687" s="19" t="s">
        <v>298</v>
      </c>
      <c r="C687" s="6" t="s">
        <v>331</v>
      </c>
      <c r="D687" s="24">
        <f>IFERROR(AVERAGEIFS(DataEntry!$AV:$AV,DataEntry!$A:$A,"Zomba",DataEntry!$B:$B,"Jali"),"")</f>
        <v>234.25128656040047</v>
      </c>
    </row>
    <row r="688" spans="1:4" x14ac:dyDescent="0.3">
      <c r="A688" s="21" t="s">
        <v>295</v>
      </c>
      <c r="B688" s="21" t="s">
        <v>298</v>
      </c>
      <c r="C688" s="12" t="s">
        <v>332</v>
      </c>
      <c r="D688" s="22">
        <f>IFERROR(SUMIFS(DataEntry!$GB:$GB,DataEntry!$A:$A,"Zomba",DataEntry!$B:$B,"Jali"),"")</f>
        <v>57891715.359999999</v>
      </c>
    </row>
    <row r="689" spans="1:4" x14ac:dyDescent="0.3">
      <c r="A689" s="19" t="s">
        <v>295</v>
      </c>
      <c r="B689" s="19" t="s">
        <v>298</v>
      </c>
      <c r="C689" s="6" t="s">
        <v>333</v>
      </c>
      <c r="D689" s="20">
        <f>IFERROR(SUMIFS(DataEntry!$GM:$GM,DataEntry!$A:$A,"Zomba",DataEntry!$B:$B,"Jali"),"")</f>
        <v>58410228.29999999</v>
      </c>
    </row>
    <row r="690" spans="1:4" x14ac:dyDescent="0.3">
      <c r="A690" s="21" t="s">
        <v>295</v>
      </c>
      <c r="B690" s="21" t="s">
        <v>298</v>
      </c>
      <c r="C690" s="12" t="s">
        <v>334</v>
      </c>
      <c r="D690" s="22">
        <f>IFERROR(SUMIFS(DataEntry!$GX:$GX,DataEntry!$A:$A,"Zomba",DataEntry!$B:$B,"Jali"),"")</f>
        <v>59224003.100000001</v>
      </c>
    </row>
    <row r="691" spans="1:4" x14ac:dyDescent="0.3">
      <c r="A691" s="19" t="s">
        <v>295</v>
      </c>
      <c r="B691" s="19" t="s">
        <v>298</v>
      </c>
      <c r="C691" s="6" t="s">
        <v>335</v>
      </c>
      <c r="D691" s="20">
        <f>IFERROR(SUMIFS(DataEntry!$GY:$GY,DataEntry!$A:$A,"Zomba",DataEntry!$B:$B,"Jali"),"")</f>
        <v>118167756.06</v>
      </c>
    </row>
    <row r="692" spans="1:4" x14ac:dyDescent="0.3">
      <c r="A692" s="21" t="s">
        <v>295</v>
      </c>
      <c r="B692" s="21" t="s">
        <v>298</v>
      </c>
      <c r="C692" s="12" t="s">
        <v>336</v>
      </c>
      <c r="D692" s="22">
        <f>IFERROR(SUMIFS(DataEntry!$GZ:$GZ,DataEntry!$A:$A,"Zomba",DataEntry!$B:$B,"Jali"),"")</f>
        <v>66011.099999999991</v>
      </c>
    </row>
    <row r="693" spans="1:4" x14ac:dyDescent="0.3">
      <c r="A693" s="19" t="s">
        <v>295</v>
      </c>
      <c r="B693" s="19" t="s">
        <v>298</v>
      </c>
      <c r="C693" s="6" t="s">
        <v>337</v>
      </c>
      <c r="D693" s="20">
        <f>IFERROR(SUMIFS(DataEntry!$HA:$HA,DataEntry!$A:$A,"Zomba",DataEntry!$B:$B,"Jali"),"")</f>
        <v>118233767.16000001</v>
      </c>
    </row>
    <row r="694" spans="1:4" x14ac:dyDescent="0.3">
      <c r="A694" s="21" t="s">
        <v>295</v>
      </c>
      <c r="B694" s="21" t="s">
        <v>298</v>
      </c>
      <c r="C694" s="12" t="s">
        <v>338</v>
      </c>
      <c r="D694" s="23">
        <f>IFERROR(AVERAGEIFS(DataEntry!$HC:$HC,DataEntry!$A:$A,"Zomba",DataEntry!$B:$B,"Jali"),"")</f>
        <v>0.29825184065124227</v>
      </c>
    </row>
    <row r="695" spans="1:4" x14ac:dyDescent="0.3">
      <c r="A695" s="19" t="s">
        <v>295</v>
      </c>
      <c r="B695" s="19" t="s">
        <v>298</v>
      </c>
      <c r="C695" s="6" t="s">
        <v>339</v>
      </c>
      <c r="D695" s="24">
        <f>IFERROR(AVERAGEIFS(DataEntry!$HB:$HB,DataEntry!$A:$A,"Zomba",DataEntry!$B:$B,"Jali"),"")</f>
        <v>453316.34097870952</v>
      </c>
    </row>
    <row r="696" spans="1:4" x14ac:dyDescent="0.3">
      <c r="A696" s="21" t="s">
        <v>295</v>
      </c>
      <c r="B696" s="21" t="s">
        <v>298</v>
      </c>
      <c r="C696" s="12" t="s">
        <v>340</v>
      </c>
      <c r="D696" s="22">
        <f>IFERROR(SUMIFS(DataEntry!$CS:$CS,DataEntry!$A:$A,"Zomba",DataEntry!$B:$B,"Jali"),"")</f>
        <v>6478</v>
      </c>
    </row>
    <row r="697" spans="1:4" x14ac:dyDescent="0.3">
      <c r="A697" s="19" t="s">
        <v>295</v>
      </c>
      <c r="B697" s="19" t="s">
        <v>298</v>
      </c>
      <c r="C697" s="6" t="s">
        <v>341</v>
      </c>
      <c r="D697" s="20">
        <f>IFERROR(SUMIFS(DataEntry!$CT:$CT,DataEntry!$A:$A,"Zomba",DataEntry!$B:$B,"Jali"),"")</f>
        <v>6478</v>
      </c>
    </row>
    <row r="698" spans="1:4" x14ac:dyDescent="0.3">
      <c r="A698" s="21" t="s">
        <v>295</v>
      </c>
      <c r="B698" s="21" t="s">
        <v>298</v>
      </c>
      <c r="C698" s="12" t="s">
        <v>342</v>
      </c>
      <c r="D698" s="22">
        <f>IFERROR(SUMIFS(DataEntry!$CV:$CV,DataEntry!$A:$A,"Zomba",DataEntry!$B:$B,"Jali"),"")</f>
        <v>72145.2</v>
      </c>
    </row>
    <row r="699" spans="1:4" x14ac:dyDescent="0.3">
      <c r="A699" s="19" t="s">
        <v>295</v>
      </c>
      <c r="B699" s="19" t="s">
        <v>298</v>
      </c>
      <c r="C699" s="6" t="s">
        <v>343</v>
      </c>
      <c r="D699" s="24">
        <f>IFERROR(AVERAGEIFS(DataEntry!$CW:$CW,DataEntry!$A:$A,"Zomba",DataEntry!$B:$B,"Jali"),"")</f>
        <v>0.84711019034856705</v>
      </c>
    </row>
    <row r="700" spans="1:4" x14ac:dyDescent="0.3">
      <c r="A700" s="21" t="s">
        <v>295</v>
      </c>
      <c r="B700" s="21" t="s">
        <v>298</v>
      </c>
      <c r="C700" s="12" t="s">
        <v>344</v>
      </c>
      <c r="D700" s="22">
        <f>IFERROR(SUMIFS(DataEntry!$CA:$CA,DataEntry!$A:$A,"Zomba",DataEntry!$B:$B,"Jali"),"")</f>
        <v>94</v>
      </c>
    </row>
    <row r="701" spans="1:4" x14ac:dyDescent="0.3">
      <c r="A701" s="19" t="s">
        <v>295</v>
      </c>
      <c r="B701" s="19" t="s">
        <v>298</v>
      </c>
      <c r="C701" s="6" t="s">
        <v>345</v>
      </c>
      <c r="D701" s="20">
        <f>IFERROR(SUMIFS(DataEntry!$DV:$DV,DataEntry!$A:$A,"Zomba",DataEntry!$B:$B,"Jali"),"")</f>
        <v>4</v>
      </c>
    </row>
    <row r="702" spans="1:4" x14ac:dyDescent="0.3">
      <c r="A702" s="21" t="s">
        <v>295</v>
      </c>
      <c r="B702" s="21" t="s">
        <v>298</v>
      </c>
      <c r="C702" s="12" t="s">
        <v>346</v>
      </c>
      <c r="D702" s="22">
        <f>IFERROR(SUMIFS(DataEntry!$FG:$FG,DataEntry!$A:$A,"Zomba",DataEntry!$B:$B,"Jali"),"")</f>
        <v>230</v>
      </c>
    </row>
    <row r="703" spans="1:4" x14ac:dyDescent="0.3">
      <c r="A703" s="19" t="s">
        <v>295</v>
      </c>
      <c r="B703" s="19" t="s">
        <v>298</v>
      </c>
      <c r="C703" s="6" t="s">
        <v>347</v>
      </c>
      <c r="D703" s="24">
        <f>IFERROR(AVERAGEIFS(DataEntry!$HK:$HK,DataEntry!$A:$A,"Zomba",DataEntry!$B:$B,"Jali"),"")</f>
        <v>3.9037037037037035</v>
      </c>
    </row>
    <row r="704" spans="1:4" x14ac:dyDescent="0.3">
      <c r="A704" s="21" t="s">
        <v>295</v>
      </c>
      <c r="B704" s="21" t="s">
        <v>298</v>
      </c>
      <c r="C704" s="12" t="s">
        <v>348</v>
      </c>
      <c r="D704" s="23">
        <f>IFERROR(AVERAGEIFS(DataEntry!$HN:$HN,DataEntry!$A:$A,"Zomba",DataEntry!$B:$B,"Jali"),"")</f>
        <v>1</v>
      </c>
    </row>
    <row r="705" spans="1:4" x14ac:dyDescent="0.3">
      <c r="A705" s="19" t="s">
        <v>295</v>
      </c>
      <c r="B705" s="19" t="s">
        <v>299</v>
      </c>
      <c r="C705" s="6" t="s">
        <v>40</v>
      </c>
      <c r="D705" s="20">
        <f>IFERROR(SUMIFS(DataEntry!$H:$H,DataEntry!$A:$A,"Zomba",DataEntry!$B:$B,"Kuchawe"),"")</f>
        <v>45196</v>
      </c>
    </row>
    <row r="706" spans="1:4" x14ac:dyDescent="0.3">
      <c r="A706" s="21" t="s">
        <v>295</v>
      </c>
      <c r="B706" s="21" t="s">
        <v>299</v>
      </c>
      <c r="C706" s="12" t="s">
        <v>323</v>
      </c>
      <c r="D706" s="22">
        <f>IFERROR(SUMIFS(DataEntry!$S:$S,DataEntry!$A:$A,"Zomba",DataEntry!$B:$B,"Kuchawe"),"")</f>
        <v>35188.400000000001</v>
      </c>
    </row>
    <row r="707" spans="1:4" x14ac:dyDescent="0.3">
      <c r="A707" s="19" t="s">
        <v>295</v>
      </c>
      <c r="B707" s="19" t="s">
        <v>299</v>
      </c>
      <c r="C707" s="6" t="s">
        <v>324</v>
      </c>
      <c r="D707" s="20">
        <f>IFERROR(SUMIFS(DataEntry!$T:$T,DataEntry!$A:$A,"Zomba",DataEntry!$B:$B,"Kuchawe"),"")</f>
        <v>10007.600000000002</v>
      </c>
    </row>
    <row r="708" spans="1:4" x14ac:dyDescent="0.3">
      <c r="A708" s="21" t="s">
        <v>295</v>
      </c>
      <c r="B708" s="21" t="s">
        <v>299</v>
      </c>
      <c r="C708" s="12" t="s">
        <v>325</v>
      </c>
      <c r="D708" s="23">
        <f>IFERROR(AVERAGEIFS(DataEntry!$U:$U,DataEntry!$A:$A,"Zomba",DataEntry!$B:$B,"Kuchawe"),"")</f>
        <v>0.21790383904475974</v>
      </c>
    </row>
    <row r="709" spans="1:4" x14ac:dyDescent="0.3">
      <c r="A709" s="19" t="s">
        <v>295</v>
      </c>
      <c r="B709" s="19" t="s">
        <v>299</v>
      </c>
      <c r="C709" s="6" t="s">
        <v>326</v>
      </c>
      <c r="D709" s="20">
        <f>IFERROR(SUMIFS(DataEntry!$V:$V,DataEntry!$A:$A,"Zomba",DataEntry!$B:$B,"Kuchawe"),"")</f>
        <v>179</v>
      </c>
    </row>
    <row r="710" spans="1:4" x14ac:dyDescent="0.3">
      <c r="A710" s="21" t="s">
        <v>295</v>
      </c>
      <c r="B710" s="21" t="s">
        <v>299</v>
      </c>
      <c r="C710" s="12" t="s">
        <v>327</v>
      </c>
      <c r="D710" s="22">
        <f>IFERROR(SUMIFS(DataEntry!$AH:$AH,DataEntry!$A:$A,"Zomba",DataEntry!$B:$B,"Kuchawe"),"")</f>
        <v>5486960</v>
      </c>
    </row>
    <row r="711" spans="1:4" x14ac:dyDescent="0.3">
      <c r="A711" s="19" t="s">
        <v>295</v>
      </c>
      <c r="B711" s="19" t="s">
        <v>299</v>
      </c>
      <c r="C711" s="6" t="s">
        <v>328</v>
      </c>
      <c r="D711" s="20">
        <f>IFERROR(SUMIFS(DataEntry!$AL:$AL,DataEntry!$A:$A,"Zomba",DataEntry!$B:$B,"Kuchawe"),"")</f>
        <v>7581401.3782199994</v>
      </c>
    </row>
    <row r="712" spans="1:4" x14ac:dyDescent="0.3">
      <c r="A712" s="21" t="s">
        <v>295</v>
      </c>
      <c r="B712" s="21" t="s">
        <v>299</v>
      </c>
      <c r="C712" s="12" t="s">
        <v>329</v>
      </c>
      <c r="D712" s="22">
        <f>IFERROR(SUMIFS(DataEntry!$AP:$AP,DataEntry!$A:$A,"Zomba",DataEntry!$B:$B,"Kuchawe"),"")</f>
        <v>0</v>
      </c>
    </row>
    <row r="713" spans="1:4" x14ac:dyDescent="0.3">
      <c r="A713" s="19" t="s">
        <v>295</v>
      </c>
      <c r="B713" s="19" t="s">
        <v>299</v>
      </c>
      <c r="C713" s="6" t="s">
        <v>330</v>
      </c>
      <c r="D713" s="20">
        <f>IFERROR(SUMIFS(DataEntry!$AU:$AU,DataEntry!$A:$A,"Zomba",DataEntry!$B:$B,"Kuchawe"),"")</f>
        <v>15568824.828220002</v>
      </c>
    </row>
    <row r="714" spans="1:4" x14ac:dyDescent="0.3">
      <c r="A714" s="21" t="s">
        <v>295</v>
      </c>
      <c r="B714" s="21" t="s">
        <v>299</v>
      </c>
      <c r="C714" s="12" t="s">
        <v>331</v>
      </c>
      <c r="D714" s="23">
        <f>IFERROR(AVERAGEIFS(DataEntry!$AV:$AV,DataEntry!$A:$A,"Zomba",DataEntry!$B:$B,"Kuchawe"),"")</f>
        <v>356.39489304496055</v>
      </c>
    </row>
    <row r="715" spans="1:4" x14ac:dyDescent="0.3">
      <c r="A715" s="19" t="s">
        <v>295</v>
      </c>
      <c r="B715" s="19" t="s">
        <v>299</v>
      </c>
      <c r="C715" s="6" t="s">
        <v>332</v>
      </c>
      <c r="D715" s="20">
        <f>IFERROR(SUMIFS(DataEntry!$GB:$GB,DataEntry!$A:$A,"Zomba",DataEntry!$B:$B,"Kuchawe"),"")</f>
        <v>106590323.84999999</v>
      </c>
    </row>
    <row r="716" spans="1:4" x14ac:dyDescent="0.3">
      <c r="A716" s="21" t="s">
        <v>295</v>
      </c>
      <c r="B716" s="21" t="s">
        <v>299</v>
      </c>
      <c r="C716" s="12" t="s">
        <v>333</v>
      </c>
      <c r="D716" s="22">
        <f>IFERROR(SUMIFS(DataEntry!$GM:$GM,DataEntry!$A:$A,"Zomba",DataEntry!$B:$B,"Kuchawe"),"")</f>
        <v>114482447.14999999</v>
      </c>
    </row>
    <row r="717" spans="1:4" x14ac:dyDescent="0.3">
      <c r="A717" s="19" t="s">
        <v>295</v>
      </c>
      <c r="B717" s="19" t="s">
        <v>299</v>
      </c>
      <c r="C717" s="6" t="s">
        <v>334</v>
      </c>
      <c r="D717" s="20">
        <f>IFERROR(SUMIFS(DataEntry!$GX:$GX,DataEntry!$A:$A,"Zomba",DataEntry!$B:$B,"Kuchawe"),"")</f>
        <v>115199940.41999999</v>
      </c>
    </row>
    <row r="718" spans="1:4" x14ac:dyDescent="0.3">
      <c r="A718" s="21" t="s">
        <v>295</v>
      </c>
      <c r="B718" s="21" t="s">
        <v>299</v>
      </c>
      <c r="C718" s="12" t="s">
        <v>335</v>
      </c>
      <c r="D718" s="22">
        <f>IFERROR(SUMIFS(DataEntry!$GY:$GY,DataEntry!$A:$A,"Zomba",DataEntry!$B:$B,"Kuchawe"),"")</f>
        <v>98480594.530000046</v>
      </c>
    </row>
    <row r="719" spans="1:4" x14ac:dyDescent="0.3">
      <c r="A719" s="19" t="s">
        <v>295</v>
      </c>
      <c r="B719" s="19" t="s">
        <v>299</v>
      </c>
      <c r="C719" s="6" t="s">
        <v>336</v>
      </c>
      <c r="D719" s="20">
        <f>IFERROR(SUMIFS(DataEntry!$GZ:$GZ,DataEntry!$A:$A,"Zomba",DataEntry!$B:$B,"Kuchawe"),"")</f>
        <v>-349806.12000000005</v>
      </c>
    </row>
    <row r="720" spans="1:4" x14ac:dyDescent="0.3">
      <c r="A720" s="21" t="s">
        <v>295</v>
      </c>
      <c r="B720" s="21" t="s">
        <v>299</v>
      </c>
      <c r="C720" s="12" t="s">
        <v>337</v>
      </c>
      <c r="D720" s="22">
        <f>IFERROR(SUMIFS(DataEntry!$HA:$HA,DataEntry!$A:$A,"Zomba",DataEntry!$B:$B,"Kuchawe"),"")</f>
        <v>98130788.410000071</v>
      </c>
    </row>
    <row r="721" spans="1:4" x14ac:dyDescent="0.3">
      <c r="A721" s="19" t="s">
        <v>295</v>
      </c>
      <c r="B721" s="19" t="s">
        <v>299</v>
      </c>
      <c r="C721" s="6" t="s">
        <v>338</v>
      </c>
      <c r="D721" s="24">
        <f>IFERROR(AVERAGEIFS(DataEntry!$HC:$HC,DataEntry!$A:$A,"Zomba",DataEntry!$B:$B,"Kuchawe"),"")</f>
        <v>0.49486311305344088</v>
      </c>
    </row>
    <row r="722" spans="1:4" x14ac:dyDescent="0.3">
      <c r="A722" s="21" t="s">
        <v>295</v>
      </c>
      <c r="B722" s="21" t="s">
        <v>299</v>
      </c>
      <c r="C722" s="12" t="s">
        <v>339</v>
      </c>
      <c r="D722" s="23">
        <f>IFERROR(AVERAGEIFS(DataEntry!$HB:$HB,DataEntry!$A:$A,"Zomba",DataEntry!$B:$B,"Kuchawe"),"")</f>
        <v>763348.27525058261</v>
      </c>
    </row>
    <row r="723" spans="1:4" x14ac:dyDescent="0.3">
      <c r="A723" s="19" t="s">
        <v>295</v>
      </c>
      <c r="B723" s="19" t="s">
        <v>299</v>
      </c>
      <c r="C723" s="6" t="s">
        <v>340</v>
      </c>
      <c r="D723" s="20">
        <f>IFERROR(SUMIFS(DataEntry!$CS:$CS,DataEntry!$A:$A,"Zomba",DataEntry!$B:$B,"Kuchawe"),"")</f>
        <v>2622</v>
      </c>
    </row>
    <row r="724" spans="1:4" x14ac:dyDescent="0.3">
      <c r="A724" s="21" t="s">
        <v>295</v>
      </c>
      <c r="B724" s="21" t="s">
        <v>299</v>
      </c>
      <c r="C724" s="12" t="s">
        <v>341</v>
      </c>
      <c r="D724" s="22">
        <f>IFERROR(SUMIFS(DataEntry!$CT:$CT,DataEntry!$A:$A,"Zomba",DataEntry!$B:$B,"Kuchawe"),"")</f>
        <v>3897</v>
      </c>
    </row>
    <row r="725" spans="1:4" x14ac:dyDescent="0.3">
      <c r="A725" s="19" t="s">
        <v>295</v>
      </c>
      <c r="B725" s="19" t="s">
        <v>299</v>
      </c>
      <c r="C725" s="6" t="s">
        <v>342</v>
      </c>
      <c r="D725" s="20">
        <f>IFERROR(SUMIFS(DataEntry!$CV:$CV,DataEntry!$A:$A,"Zomba",DataEntry!$B:$B,"Kuchawe"),"")</f>
        <v>23411.5</v>
      </c>
    </row>
    <row r="726" spans="1:4" x14ac:dyDescent="0.3">
      <c r="A726" s="21" t="s">
        <v>295</v>
      </c>
      <c r="B726" s="21" t="s">
        <v>299</v>
      </c>
      <c r="C726" s="12" t="s">
        <v>343</v>
      </c>
      <c r="D726" s="23">
        <f>IFERROR(AVERAGEIFS(DataEntry!$CW:$CW,DataEntry!$A:$A,"Zomba",DataEntry!$B:$B,"Kuchawe"),"")</f>
        <v>0.99333330239441908</v>
      </c>
    </row>
    <row r="727" spans="1:4" x14ac:dyDescent="0.3">
      <c r="A727" s="19" t="s">
        <v>295</v>
      </c>
      <c r="B727" s="19" t="s">
        <v>299</v>
      </c>
      <c r="C727" s="6" t="s">
        <v>344</v>
      </c>
      <c r="D727" s="20">
        <f>IFERROR(SUMIFS(DataEntry!$CA:$CA,DataEntry!$A:$A,"Zomba",DataEntry!$B:$B,"Kuchawe"),"")</f>
        <v>22</v>
      </c>
    </row>
    <row r="728" spans="1:4" x14ac:dyDescent="0.3">
      <c r="A728" s="21" t="s">
        <v>295</v>
      </c>
      <c r="B728" s="21" t="s">
        <v>299</v>
      </c>
      <c r="C728" s="12" t="s">
        <v>345</v>
      </c>
      <c r="D728" s="22">
        <f>IFERROR(SUMIFS(DataEntry!$DV:$DV,DataEntry!$A:$A,"Zomba",DataEntry!$B:$B,"Kuchawe"),"")</f>
        <v>0</v>
      </c>
    </row>
    <row r="729" spans="1:4" x14ac:dyDescent="0.3">
      <c r="A729" s="19" t="s">
        <v>295</v>
      </c>
      <c r="B729" s="19" t="s">
        <v>299</v>
      </c>
      <c r="C729" s="6" t="s">
        <v>346</v>
      </c>
      <c r="D729" s="20">
        <f>IFERROR(SUMIFS(DataEntry!$FG:$FG,DataEntry!$A:$A,"Zomba",DataEntry!$B:$B,"Kuchawe"),"")</f>
        <v>418</v>
      </c>
    </row>
    <row r="730" spans="1:4" x14ac:dyDescent="0.3">
      <c r="A730" s="21" t="s">
        <v>295</v>
      </c>
      <c r="B730" s="21" t="s">
        <v>299</v>
      </c>
      <c r="C730" s="12" t="s">
        <v>347</v>
      </c>
      <c r="D730" s="23">
        <f>IFERROR(AVERAGEIFS(DataEntry!$HK:$HK,DataEntry!$A:$A,"Zomba",DataEntry!$B:$B,"Kuchawe"),"")</f>
        <v>0.15</v>
      </c>
    </row>
    <row r="731" spans="1:4" x14ac:dyDescent="0.3">
      <c r="A731" s="19" t="s">
        <v>295</v>
      </c>
      <c r="B731" s="19" t="s">
        <v>299</v>
      </c>
      <c r="C731" s="6" t="s">
        <v>348</v>
      </c>
      <c r="D731" s="24">
        <f>IFERROR(AVERAGEIFS(DataEntry!$HN:$HN,DataEntry!$A:$A,"Zomba",DataEntry!$B:$B,"Kuchawe"),"")</f>
        <v>0.68055555555555569</v>
      </c>
    </row>
    <row r="732" spans="1:4" x14ac:dyDescent="0.3">
      <c r="A732" s="21" t="s">
        <v>295</v>
      </c>
      <c r="B732" s="21" t="s">
        <v>300</v>
      </c>
      <c r="C732" s="12" t="s">
        <v>40</v>
      </c>
      <c r="D732" s="22">
        <f>IFERROR(SUMIFS(DataEntry!$H:$H,DataEntry!$A:$A,"Zomba",DataEntry!$B:$B,"Lirangwe"),"")</f>
        <v>91885</v>
      </c>
    </row>
    <row r="733" spans="1:4" x14ac:dyDescent="0.3">
      <c r="A733" s="19" t="s">
        <v>295</v>
      </c>
      <c r="B733" s="19" t="s">
        <v>300</v>
      </c>
      <c r="C733" s="6" t="s">
        <v>323</v>
      </c>
      <c r="D733" s="20">
        <f>IFERROR(SUMIFS(DataEntry!$S:$S,DataEntry!$A:$A,"Zomba",DataEntry!$B:$B,"Lirangwe"),"")</f>
        <v>75855.70000000023</v>
      </c>
    </row>
    <row r="734" spans="1:4" x14ac:dyDescent="0.3">
      <c r="A734" s="21" t="s">
        <v>295</v>
      </c>
      <c r="B734" s="21" t="s">
        <v>300</v>
      </c>
      <c r="C734" s="12" t="s">
        <v>324</v>
      </c>
      <c r="D734" s="22">
        <f>IFERROR(SUMIFS(DataEntry!$T:$T,DataEntry!$A:$A,"Zomba",DataEntry!$B:$B,"Lirangwe"),"")</f>
        <v>16029.299999999766</v>
      </c>
    </row>
    <row r="735" spans="1:4" x14ac:dyDescent="0.3">
      <c r="A735" s="19" t="s">
        <v>295</v>
      </c>
      <c r="B735" s="19" t="s">
        <v>300</v>
      </c>
      <c r="C735" s="6" t="s">
        <v>325</v>
      </c>
      <c r="D735" s="24">
        <f>IFERROR(AVERAGEIFS(DataEntry!$U:$U,DataEntry!$A:$A,"Zomba",DataEntry!$B:$B,"Lirangwe"),"")</f>
        <v>0.17166233482146617</v>
      </c>
    </row>
    <row r="736" spans="1:4" x14ac:dyDescent="0.3">
      <c r="A736" s="21" t="s">
        <v>295</v>
      </c>
      <c r="B736" s="21" t="s">
        <v>300</v>
      </c>
      <c r="C736" s="12" t="s">
        <v>326</v>
      </c>
      <c r="D736" s="22">
        <f>IFERROR(SUMIFS(DataEntry!$V:$V,DataEntry!$A:$A,"Zomba",DataEntry!$B:$B,"Lirangwe"),"")</f>
        <v>73.25</v>
      </c>
    </row>
    <row r="737" spans="1:4" x14ac:dyDescent="0.3">
      <c r="A737" s="19" t="s">
        <v>295</v>
      </c>
      <c r="B737" s="19" t="s">
        <v>300</v>
      </c>
      <c r="C737" s="6" t="s">
        <v>327</v>
      </c>
      <c r="D737" s="20">
        <f>IFERROR(SUMIFS(DataEntry!$AH:$AH,DataEntry!$A:$A,"Zomba",DataEntry!$B:$B,"Lirangwe"),"")</f>
        <v>1904500</v>
      </c>
    </row>
    <row r="738" spans="1:4" x14ac:dyDescent="0.3">
      <c r="A738" s="21" t="s">
        <v>295</v>
      </c>
      <c r="B738" s="21" t="s">
        <v>300</v>
      </c>
      <c r="C738" s="12" t="s">
        <v>328</v>
      </c>
      <c r="D738" s="22">
        <f>IFERROR(SUMIFS(DataEntry!$AL:$AL,DataEntry!$A:$A,"Zomba",DataEntry!$B:$B,"Lirangwe"),"")</f>
        <v>9863099.7000000011</v>
      </c>
    </row>
    <row r="739" spans="1:4" x14ac:dyDescent="0.3">
      <c r="A739" s="19" t="s">
        <v>295</v>
      </c>
      <c r="B739" s="19" t="s">
        <v>300</v>
      </c>
      <c r="C739" s="6" t="s">
        <v>329</v>
      </c>
      <c r="D739" s="20">
        <f>IFERROR(SUMIFS(DataEntry!$AP:$AP,DataEntry!$A:$A,"Zomba",DataEntry!$B:$B,"Lirangwe"),"")</f>
        <v>0</v>
      </c>
    </row>
    <row r="740" spans="1:4" x14ac:dyDescent="0.3">
      <c r="A740" s="21" t="s">
        <v>295</v>
      </c>
      <c r="B740" s="21" t="s">
        <v>300</v>
      </c>
      <c r="C740" s="12" t="s">
        <v>330</v>
      </c>
      <c r="D740" s="22">
        <f>IFERROR(SUMIFS(DataEntry!$AU:$AU,DataEntry!$A:$A,"Zomba",DataEntry!$B:$B,"Lirangwe"),"")</f>
        <v>16972039.750000004</v>
      </c>
    </row>
    <row r="741" spans="1:4" x14ac:dyDescent="0.3">
      <c r="A741" s="19" t="s">
        <v>295</v>
      </c>
      <c r="B741" s="19" t="s">
        <v>300</v>
      </c>
      <c r="C741" s="6" t="s">
        <v>331</v>
      </c>
      <c r="D741" s="24">
        <f>IFERROR(AVERAGEIFS(DataEntry!$AV:$AV,DataEntry!$A:$A,"Zomba",DataEntry!$B:$B,"Lirangwe"),"")</f>
        <v>192.75670523264662</v>
      </c>
    </row>
    <row r="742" spans="1:4" x14ac:dyDescent="0.3">
      <c r="A742" s="21" t="s">
        <v>295</v>
      </c>
      <c r="B742" s="21" t="s">
        <v>300</v>
      </c>
      <c r="C742" s="12" t="s">
        <v>332</v>
      </c>
      <c r="D742" s="22">
        <f>IFERROR(SUMIFS(DataEntry!$GB:$GB,DataEntry!$A:$A,"Zomba",DataEntry!$B:$B,"Lirangwe"),"")</f>
        <v>99475859.079999998</v>
      </c>
    </row>
    <row r="743" spans="1:4" x14ac:dyDescent="0.3">
      <c r="A743" s="19" t="s">
        <v>295</v>
      </c>
      <c r="B743" s="19" t="s">
        <v>300</v>
      </c>
      <c r="C743" s="6" t="s">
        <v>333</v>
      </c>
      <c r="D743" s="20">
        <f>IFERROR(SUMIFS(DataEntry!$GM:$GM,DataEntry!$A:$A,"Zomba",DataEntry!$B:$B,"Lirangwe"),"")</f>
        <v>99591169.479999989</v>
      </c>
    </row>
    <row r="744" spans="1:4" x14ac:dyDescent="0.3">
      <c r="A744" s="21" t="s">
        <v>295</v>
      </c>
      <c r="B744" s="21" t="s">
        <v>300</v>
      </c>
      <c r="C744" s="12" t="s">
        <v>334</v>
      </c>
      <c r="D744" s="22">
        <f>IFERROR(SUMIFS(DataEntry!$GX:$GX,DataEntry!$A:$A,"Zomba",DataEntry!$B:$B,"Lirangwe"),"")</f>
        <v>100860318.67000002</v>
      </c>
    </row>
    <row r="745" spans="1:4" x14ac:dyDescent="0.3">
      <c r="A745" s="19" t="s">
        <v>295</v>
      </c>
      <c r="B745" s="19" t="s">
        <v>300</v>
      </c>
      <c r="C745" s="6" t="s">
        <v>335</v>
      </c>
      <c r="D745" s="20">
        <f>IFERROR(SUMIFS(DataEntry!$GY:$GY,DataEntry!$A:$A,"Zomba",DataEntry!$B:$B,"Lirangwe"),"")</f>
        <v>64296360.030000016</v>
      </c>
    </row>
    <row r="746" spans="1:4" x14ac:dyDescent="0.3">
      <c r="A746" s="21" t="s">
        <v>295</v>
      </c>
      <c r="B746" s="21" t="s">
        <v>300</v>
      </c>
      <c r="C746" s="12" t="s">
        <v>336</v>
      </c>
      <c r="D746" s="22">
        <f>IFERROR(SUMIFS(DataEntry!$GZ:$GZ,DataEntry!$A:$A,"Zomba",DataEntry!$B:$B,"Lirangwe"),"")</f>
        <v>0</v>
      </c>
    </row>
    <row r="747" spans="1:4" x14ac:dyDescent="0.3">
      <c r="A747" s="19" t="s">
        <v>295</v>
      </c>
      <c r="B747" s="19" t="s">
        <v>300</v>
      </c>
      <c r="C747" s="6" t="s">
        <v>337</v>
      </c>
      <c r="D747" s="20">
        <f>IFERROR(SUMIFS(DataEntry!$HA:$HA,DataEntry!$A:$A,"Zomba",DataEntry!$B:$B,"Lirangwe"),"")</f>
        <v>64296360.030000016</v>
      </c>
    </row>
    <row r="748" spans="1:4" x14ac:dyDescent="0.3">
      <c r="A748" s="21" t="s">
        <v>295</v>
      </c>
      <c r="B748" s="21" t="s">
        <v>300</v>
      </c>
      <c r="C748" s="12" t="s">
        <v>338</v>
      </c>
      <c r="D748" s="23">
        <f>IFERROR(AVERAGEIFS(DataEntry!$HC:$HC,DataEntry!$A:$A,"Zomba",DataEntry!$B:$B,"Lirangwe"),"")</f>
        <v>0.55629133906388106</v>
      </c>
    </row>
    <row r="749" spans="1:4" x14ac:dyDescent="0.3">
      <c r="A749" s="19" t="s">
        <v>295</v>
      </c>
      <c r="B749" s="19" t="s">
        <v>300</v>
      </c>
      <c r="C749" s="6" t="s">
        <v>339</v>
      </c>
      <c r="D749" s="24">
        <f>IFERROR(AVERAGEIFS(DataEntry!$HB:$HB,DataEntry!$A:$A,"Zomba",DataEntry!$B:$B,"Lirangwe"),"")</f>
        <v>652220.9197043319</v>
      </c>
    </row>
    <row r="750" spans="1:4" x14ac:dyDescent="0.3">
      <c r="A750" s="21" t="s">
        <v>295</v>
      </c>
      <c r="B750" s="21" t="s">
        <v>300</v>
      </c>
      <c r="C750" s="12" t="s">
        <v>340</v>
      </c>
      <c r="D750" s="22">
        <f>IFERROR(SUMIFS(DataEntry!$CS:$CS,DataEntry!$A:$A,"Zomba",DataEntry!$B:$B,"Lirangwe"),"")</f>
        <v>13410</v>
      </c>
    </row>
    <row r="751" spans="1:4" x14ac:dyDescent="0.3">
      <c r="A751" s="19" t="s">
        <v>295</v>
      </c>
      <c r="B751" s="19" t="s">
        <v>300</v>
      </c>
      <c r="C751" s="6" t="s">
        <v>341</v>
      </c>
      <c r="D751" s="20">
        <f>IFERROR(SUMIFS(DataEntry!$CT:$CT,DataEntry!$A:$A,"Zomba",DataEntry!$B:$B,"Lirangwe"),"")</f>
        <v>14120</v>
      </c>
    </row>
    <row r="752" spans="1:4" x14ac:dyDescent="0.3">
      <c r="A752" s="21" t="s">
        <v>295</v>
      </c>
      <c r="B752" s="21" t="s">
        <v>300</v>
      </c>
      <c r="C752" s="12" t="s">
        <v>342</v>
      </c>
      <c r="D752" s="22">
        <f>IFERROR(SUMIFS(DataEntry!$CV:$CV,DataEntry!$A:$A,"Zomba",DataEntry!$B:$B,"Lirangwe"),"")</f>
        <v>92522.6</v>
      </c>
    </row>
    <row r="753" spans="1:4" x14ac:dyDescent="0.3">
      <c r="A753" s="19" t="s">
        <v>295</v>
      </c>
      <c r="B753" s="19" t="s">
        <v>300</v>
      </c>
      <c r="C753" s="6" t="s">
        <v>343</v>
      </c>
      <c r="D753" s="24">
        <f>IFERROR(AVERAGEIFS(DataEntry!$CW:$CW,DataEntry!$A:$A,"Zomba",DataEntry!$B:$B,"Lirangwe"),"")</f>
        <v>0.92282861848873232</v>
      </c>
    </row>
    <row r="754" spans="1:4" x14ac:dyDescent="0.3">
      <c r="A754" s="21" t="s">
        <v>295</v>
      </c>
      <c r="B754" s="21" t="s">
        <v>300</v>
      </c>
      <c r="C754" s="12" t="s">
        <v>344</v>
      </c>
      <c r="D754" s="22">
        <f>IFERROR(SUMIFS(DataEntry!$CA:$CA,DataEntry!$A:$A,"Zomba",DataEntry!$B:$B,"Lirangwe"),"")</f>
        <v>183</v>
      </c>
    </row>
    <row r="755" spans="1:4" x14ac:dyDescent="0.3">
      <c r="A755" s="19" t="s">
        <v>295</v>
      </c>
      <c r="B755" s="19" t="s">
        <v>300</v>
      </c>
      <c r="C755" s="6" t="s">
        <v>345</v>
      </c>
      <c r="D755" s="20">
        <f>IFERROR(SUMIFS(DataEntry!$DV:$DV,DataEntry!$A:$A,"Zomba",DataEntry!$B:$B,"Lirangwe"),"")</f>
        <v>1</v>
      </c>
    </row>
    <row r="756" spans="1:4" x14ac:dyDescent="0.3">
      <c r="A756" s="21" t="s">
        <v>295</v>
      </c>
      <c r="B756" s="21" t="s">
        <v>300</v>
      </c>
      <c r="C756" s="12" t="s">
        <v>346</v>
      </c>
      <c r="D756" s="22">
        <f>IFERROR(SUMIFS(DataEntry!$FG:$FG,DataEntry!$A:$A,"Zomba",DataEntry!$B:$B,"Lirangwe"),"")</f>
        <v>351</v>
      </c>
    </row>
    <row r="757" spans="1:4" x14ac:dyDescent="0.3">
      <c r="A757" s="19" t="s">
        <v>295</v>
      </c>
      <c r="B757" s="19" t="s">
        <v>300</v>
      </c>
      <c r="C757" s="6" t="s">
        <v>347</v>
      </c>
      <c r="D757" s="24">
        <f>IFERROR(AVERAGEIFS(DataEntry!$HK:$HK,DataEntry!$A:$A,"Zomba",DataEntry!$B:$B,"Lirangwe"),"")</f>
        <v>2.405963827838828</v>
      </c>
    </row>
    <row r="758" spans="1:4" x14ac:dyDescent="0.3">
      <c r="A758" s="21" t="s">
        <v>295</v>
      </c>
      <c r="B758" s="21" t="s">
        <v>300</v>
      </c>
      <c r="C758" s="12" t="s">
        <v>348</v>
      </c>
      <c r="D758" s="23">
        <f>IFERROR(AVERAGEIFS(DataEntry!$HN:$HN,DataEntry!$A:$A,"Zomba",DataEntry!$B:$B,"Lirangwe"),"")</f>
        <v>2.8181818181818183</v>
      </c>
    </row>
    <row r="759" spans="1:4" x14ac:dyDescent="0.3">
      <c r="A759" s="19" t="s">
        <v>295</v>
      </c>
      <c r="B759" s="19" t="s">
        <v>301</v>
      </c>
      <c r="C759" s="6" t="s">
        <v>40</v>
      </c>
      <c r="D759" s="20">
        <f>IFERROR(SUMIFS(DataEntry!$H:$H,DataEntry!$A:$A,"Zomba",DataEntry!$B:$B,"Mwanza"),"")</f>
        <v>471353</v>
      </c>
    </row>
    <row r="760" spans="1:4" x14ac:dyDescent="0.3">
      <c r="A760" s="21" t="s">
        <v>295</v>
      </c>
      <c r="B760" s="21" t="s">
        <v>301</v>
      </c>
      <c r="C760" s="12" t="s">
        <v>323</v>
      </c>
      <c r="D760" s="22">
        <f>IFERROR(SUMIFS(DataEntry!$S:$S,DataEntry!$A:$A,"Zomba",DataEntry!$B:$B,"Mwanza"),"")</f>
        <v>331855.59999999998</v>
      </c>
    </row>
    <row r="761" spans="1:4" x14ac:dyDescent="0.3">
      <c r="A761" s="19" t="s">
        <v>295</v>
      </c>
      <c r="B761" s="19" t="s">
        <v>301</v>
      </c>
      <c r="C761" s="6" t="s">
        <v>324</v>
      </c>
      <c r="D761" s="20">
        <f>IFERROR(SUMIFS(DataEntry!$T:$T,DataEntry!$A:$A,"Zomba",DataEntry!$B:$B,"Mwanza"),"")</f>
        <v>139497.40000000002</v>
      </c>
    </row>
    <row r="762" spans="1:4" x14ac:dyDescent="0.3">
      <c r="A762" s="21" t="s">
        <v>295</v>
      </c>
      <c r="B762" s="21" t="s">
        <v>301</v>
      </c>
      <c r="C762" s="12" t="s">
        <v>325</v>
      </c>
      <c r="D762" s="23">
        <f>IFERROR(AVERAGEIFS(DataEntry!$U:$U,DataEntry!$A:$A,"Zomba",DataEntry!$B:$B,"Mwanza"),"")</f>
        <v>0.29495539103727336</v>
      </c>
    </row>
    <row r="763" spans="1:4" x14ac:dyDescent="0.3">
      <c r="A763" s="19" t="s">
        <v>295</v>
      </c>
      <c r="B763" s="19" t="s">
        <v>301</v>
      </c>
      <c r="C763" s="6" t="s">
        <v>326</v>
      </c>
      <c r="D763" s="20">
        <f>IFERROR(SUMIFS(DataEntry!$V:$V,DataEntry!$A:$A,"Zomba",DataEntry!$B:$B,"Mwanza"),"")</f>
        <v>135.5</v>
      </c>
    </row>
    <row r="764" spans="1:4" x14ac:dyDescent="0.3">
      <c r="A764" s="21" t="s">
        <v>295</v>
      </c>
      <c r="B764" s="21" t="s">
        <v>301</v>
      </c>
      <c r="C764" s="12" t="s">
        <v>327</v>
      </c>
      <c r="D764" s="22">
        <f>IFERROR(SUMIFS(DataEntry!$AH:$AH,DataEntry!$A:$A,"Zomba",DataEntry!$B:$B,"Mwanza"),"")</f>
        <v>3523000</v>
      </c>
    </row>
    <row r="765" spans="1:4" x14ac:dyDescent="0.3">
      <c r="A765" s="19" t="s">
        <v>295</v>
      </c>
      <c r="B765" s="19" t="s">
        <v>301</v>
      </c>
      <c r="C765" s="6" t="s">
        <v>328</v>
      </c>
      <c r="D765" s="20">
        <f>IFERROR(SUMIFS(DataEntry!$AL:$AL,DataEntry!$A:$A,"Zomba",DataEntry!$B:$B,"Mwanza"),"")</f>
        <v>64971486.605999999</v>
      </c>
    </row>
    <row r="766" spans="1:4" x14ac:dyDescent="0.3">
      <c r="A766" s="21" t="s">
        <v>295</v>
      </c>
      <c r="B766" s="21" t="s">
        <v>301</v>
      </c>
      <c r="C766" s="12" t="s">
        <v>329</v>
      </c>
      <c r="D766" s="22">
        <f>IFERROR(SUMIFS(DataEntry!$AP:$AP,DataEntry!$A:$A,"Zomba",DataEntry!$B:$B,"Mwanza"),"")</f>
        <v>0</v>
      </c>
    </row>
    <row r="767" spans="1:4" x14ac:dyDescent="0.3">
      <c r="A767" s="19" t="s">
        <v>295</v>
      </c>
      <c r="B767" s="19" t="s">
        <v>301</v>
      </c>
      <c r="C767" s="6" t="s">
        <v>330</v>
      </c>
      <c r="D767" s="20">
        <f>IFERROR(SUMIFS(DataEntry!$AU:$AU,DataEntry!$A:$A,"Zomba",DataEntry!$B:$B,"Mwanza"),"")</f>
        <v>80474138.975999981</v>
      </c>
    </row>
    <row r="768" spans="1:4" x14ac:dyDescent="0.3">
      <c r="A768" s="21" t="s">
        <v>295</v>
      </c>
      <c r="B768" s="21" t="s">
        <v>301</v>
      </c>
      <c r="C768" s="12" t="s">
        <v>331</v>
      </c>
      <c r="D768" s="23">
        <f>IFERROR(AVERAGEIFS(DataEntry!$AV:$AV,DataEntry!$A:$A,"Zomba",DataEntry!$B:$B,"Mwanza"),"")</f>
        <v>171.50073708413518</v>
      </c>
    </row>
    <row r="769" spans="1:4" x14ac:dyDescent="0.3">
      <c r="A769" s="19" t="s">
        <v>295</v>
      </c>
      <c r="B769" s="19" t="s">
        <v>301</v>
      </c>
      <c r="C769" s="6" t="s">
        <v>332</v>
      </c>
      <c r="D769" s="20">
        <f>IFERROR(SUMIFS(DataEntry!$GB:$GB,DataEntry!$A:$A,"Zomba",DataEntry!$B:$B,"Mwanza"),"")</f>
        <v>465382858.07999998</v>
      </c>
    </row>
    <row r="770" spans="1:4" x14ac:dyDescent="0.3">
      <c r="A770" s="21" t="s">
        <v>295</v>
      </c>
      <c r="B770" s="21" t="s">
        <v>301</v>
      </c>
      <c r="C770" s="12" t="s">
        <v>333</v>
      </c>
      <c r="D770" s="22">
        <f>IFERROR(SUMIFS(DataEntry!$GM:$GM,DataEntry!$A:$A,"Zomba",DataEntry!$B:$B,"Mwanza"),"")</f>
        <v>408720970.73999995</v>
      </c>
    </row>
    <row r="771" spans="1:4" x14ac:dyDescent="0.3">
      <c r="A771" s="19" t="s">
        <v>295</v>
      </c>
      <c r="B771" s="19" t="s">
        <v>301</v>
      </c>
      <c r="C771" s="6" t="s">
        <v>334</v>
      </c>
      <c r="D771" s="20">
        <f>IFERROR(SUMIFS(DataEntry!$GX:$GX,DataEntry!$A:$A,"Zomba",DataEntry!$B:$B,"Mwanza"),"")</f>
        <v>457517146.97999996</v>
      </c>
    </row>
    <row r="772" spans="1:4" x14ac:dyDescent="0.3">
      <c r="A772" s="21" t="s">
        <v>295</v>
      </c>
      <c r="B772" s="21" t="s">
        <v>301</v>
      </c>
      <c r="C772" s="12" t="s">
        <v>335</v>
      </c>
      <c r="D772" s="22">
        <f>IFERROR(SUMIFS(DataEntry!$GY:$GY,DataEntry!$A:$A,"Zomba",DataEntry!$B:$B,"Mwanza"),"")</f>
        <v>1454770395.4299986</v>
      </c>
    </row>
    <row r="773" spans="1:4" x14ac:dyDescent="0.3">
      <c r="A773" s="19" t="s">
        <v>295</v>
      </c>
      <c r="B773" s="19" t="s">
        <v>301</v>
      </c>
      <c r="C773" s="6" t="s">
        <v>336</v>
      </c>
      <c r="D773" s="20">
        <f>IFERROR(SUMIFS(DataEntry!$GZ:$GZ,DataEntry!$A:$A,"Zomba",DataEntry!$B:$B,"Mwanza"),"")</f>
        <v>-20979533.789999999</v>
      </c>
    </row>
    <row r="774" spans="1:4" x14ac:dyDescent="0.3">
      <c r="A774" s="21" t="s">
        <v>295</v>
      </c>
      <c r="B774" s="21" t="s">
        <v>301</v>
      </c>
      <c r="C774" s="12" t="s">
        <v>337</v>
      </c>
      <c r="D774" s="22">
        <f>IFERROR(SUMIFS(DataEntry!$HA:$HA,DataEntry!$A:$A,"Zomba",DataEntry!$B:$B,"Mwanza"),"")</f>
        <v>1433790861.6399984</v>
      </c>
    </row>
    <row r="775" spans="1:4" x14ac:dyDescent="0.3">
      <c r="A775" s="19" t="s">
        <v>295</v>
      </c>
      <c r="B775" s="19" t="s">
        <v>301</v>
      </c>
      <c r="C775" s="6" t="s">
        <v>338</v>
      </c>
      <c r="D775" s="24">
        <f>IFERROR(AVERAGEIFS(DataEntry!$HC:$HC,DataEntry!$A:$A,"Zomba",DataEntry!$B:$B,"Mwanza"),"")</f>
        <v>0.21988411581359887</v>
      </c>
    </row>
    <row r="776" spans="1:4" x14ac:dyDescent="0.3">
      <c r="A776" s="21" t="s">
        <v>295</v>
      </c>
      <c r="B776" s="21" t="s">
        <v>301</v>
      </c>
      <c r="C776" s="12" t="s">
        <v>339</v>
      </c>
      <c r="D776" s="23">
        <f>IFERROR(AVERAGEIFS(DataEntry!$HB:$HB,DataEntry!$A:$A,"Zomba",DataEntry!$B:$B,"Mwanza"),"")</f>
        <v>3437198.5722872168</v>
      </c>
    </row>
    <row r="777" spans="1:4" x14ac:dyDescent="0.3">
      <c r="A777" s="19" t="s">
        <v>295</v>
      </c>
      <c r="B777" s="19" t="s">
        <v>301</v>
      </c>
      <c r="C777" s="6" t="s">
        <v>340</v>
      </c>
      <c r="D777" s="20">
        <f>IFERROR(SUMIFS(DataEntry!$CS:$CS,DataEntry!$A:$A,"Zomba",DataEntry!$B:$B,"Mwanza"),"")</f>
        <v>38071</v>
      </c>
    </row>
    <row r="778" spans="1:4" x14ac:dyDescent="0.3">
      <c r="A778" s="21" t="s">
        <v>295</v>
      </c>
      <c r="B778" s="21" t="s">
        <v>301</v>
      </c>
      <c r="C778" s="12" t="s">
        <v>341</v>
      </c>
      <c r="D778" s="22">
        <f>IFERROR(SUMIFS(DataEntry!$CT:$CT,DataEntry!$A:$A,"Zomba",DataEntry!$B:$B,"Mwanza"),"")</f>
        <v>49393</v>
      </c>
    </row>
    <row r="779" spans="1:4" x14ac:dyDescent="0.3">
      <c r="A779" s="19" t="s">
        <v>295</v>
      </c>
      <c r="B779" s="19" t="s">
        <v>301</v>
      </c>
      <c r="C779" s="6" t="s">
        <v>342</v>
      </c>
      <c r="D779" s="20">
        <f>IFERROR(SUMIFS(DataEntry!$CV:$CV,DataEntry!$A:$A,"Zomba",DataEntry!$B:$B,"Mwanza"),"")</f>
        <v>242130.3</v>
      </c>
    </row>
    <row r="780" spans="1:4" x14ac:dyDescent="0.3">
      <c r="A780" s="21" t="s">
        <v>295</v>
      </c>
      <c r="B780" s="21" t="s">
        <v>301</v>
      </c>
      <c r="C780" s="12" t="s">
        <v>343</v>
      </c>
      <c r="D780" s="23">
        <f>IFERROR(AVERAGEIFS(DataEntry!$CW:$CW,DataEntry!$A:$A,"Zomba",DataEntry!$B:$B,"Mwanza"),"")</f>
        <v>0.86194153449321265</v>
      </c>
    </row>
    <row r="781" spans="1:4" x14ac:dyDescent="0.3">
      <c r="A781" s="19" t="s">
        <v>295</v>
      </c>
      <c r="B781" s="19" t="s">
        <v>301</v>
      </c>
      <c r="C781" s="6" t="s">
        <v>344</v>
      </c>
      <c r="D781" s="20">
        <f>IFERROR(SUMIFS(DataEntry!$CA:$CA,DataEntry!$A:$A,"Zomba",DataEntry!$B:$B,"Mwanza"),"")</f>
        <v>326</v>
      </c>
    </row>
    <row r="782" spans="1:4" x14ac:dyDescent="0.3">
      <c r="A782" s="21" t="s">
        <v>295</v>
      </c>
      <c r="B782" s="21" t="s">
        <v>301</v>
      </c>
      <c r="C782" s="12" t="s">
        <v>345</v>
      </c>
      <c r="D782" s="22">
        <f>IFERROR(SUMIFS(DataEntry!$DV:$DV,DataEntry!$A:$A,"Zomba",DataEntry!$B:$B,"Mwanza"),"")</f>
        <v>6450</v>
      </c>
    </row>
    <row r="783" spans="1:4" x14ac:dyDescent="0.3">
      <c r="A783" s="19" t="s">
        <v>295</v>
      </c>
      <c r="B783" s="19" t="s">
        <v>301</v>
      </c>
      <c r="C783" s="6" t="s">
        <v>346</v>
      </c>
      <c r="D783" s="20">
        <f>IFERROR(SUMIFS(DataEntry!$FG:$FG,DataEntry!$A:$A,"Zomba",DataEntry!$B:$B,"Mwanza"),"")</f>
        <v>918</v>
      </c>
    </row>
    <row r="784" spans="1:4" x14ac:dyDescent="0.3">
      <c r="A784" s="21" t="s">
        <v>295</v>
      </c>
      <c r="B784" s="21" t="s">
        <v>301</v>
      </c>
      <c r="C784" s="12" t="s">
        <v>347</v>
      </c>
      <c r="D784" s="23">
        <f>IFERROR(AVERAGEIFS(DataEntry!$HK:$HK,DataEntry!$A:$A,"Zomba",DataEntry!$B:$B,"Mwanza"),"")</f>
        <v>2.9963601532567044</v>
      </c>
    </row>
    <row r="785" spans="1:4" x14ac:dyDescent="0.3">
      <c r="A785" s="19" t="s">
        <v>295</v>
      </c>
      <c r="B785" s="19" t="s">
        <v>301</v>
      </c>
      <c r="C785" s="6" t="s">
        <v>348</v>
      </c>
      <c r="D785" s="24">
        <f>IFERROR(AVERAGEIFS(DataEntry!$HN:$HN,DataEntry!$A:$A,"Zomba",DataEntry!$B:$B,"Mwanza"),"")</f>
        <v>0.49460804053827312</v>
      </c>
    </row>
    <row r="786" spans="1:4" x14ac:dyDescent="0.3">
      <c r="A786" s="21" t="s">
        <v>295</v>
      </c>
      <c r="B786" s="21" t="s">
        <v>302</v>
      </c>
      <c r="C786" s="12" t="s">
        <v>40</v>
      </c>
      <c r="D786" s="22">
        <f>IFERROR(SUMIFS(DataEntry!$H:$H,DataEntry!$A:$A,"Zomba",DataEntry!$B:$B,"Namadzi"),"")</f>
        <v>109488</v>
      </c>
    </row>
    <row r="787" spans="1:4" x14ac:dyDescent="0.3">
      <c r="A787" s="19" t="s">
        <v>295</v>
      </c>
      <c r="B787" s="19" t="s">
        <v>302</v>
      </c>
      <c r="C787" s="6" t="s">
        <v>323</v>
      </c>
      <c r="D787" s="20">
        <f>IFERROR(SUMIFS(DataEntry!$S:$S,DataEntry!$A:$A,"Zomba",DataEntry!$B:$B,"Namadzi"),"")</f>
        <v>89054.599999999962</v>
      </c>
    </row>
    <row r="788" spans="1:4" x14ac:dyDescent="0.3">
      <c r="A788" s="21" t="s">
        <v>295</v>
      </c>
      <c r="B788" s="21" t="s">
        <v>302</v>
      </c>
      <c r="C788" s="12" t="s">
        <v>324</v>
      </c>
      <c r="D788" s="22">
        <f>IFERROR(SUMIFS(DataEntry!$T:$T,DataEntry!$A:$A,"Zomba",DataEntry!$B:$B,"Namadzi"),"")</f>
        <v>20433.400000000049</v>
      </c>
    </row>
    <row r="789" spans="1:4" x14ac:dyDescent="0.3">
      <c r="A789" s="19" t="s">
        <v>295</v>
      </c>
      <c r="B789" s="19" t="s">
        <v>302</v>
      </c>
      <c r="C789" s="6" t="s">
        <v>325</v>
      </c>
      <c r="D789" s="24">
        <f>IFERROR(AVERAGEIFS(DataEntry!$U:$U,DataEntry!$A:$A,"Zomba",DataEntry!$B:$B,"Namadzi"),"")</f>
        <v>0.22414893955673662</v>
      </c>
    </row>
    <row r="790" spans="1:4" x14ac:dyDescent="0.3">
      <c r="A790" s="21" t="s">
        <v>295</v>
      </c>
      <c r="B790" s="21" t="s">
        <v>302</v>
      </c>
      <c r="C790" s="12" t="s">
        <v>326</v>
      </c>
      <c r="D790" s="22">
        <f>IFERROR(SUMIFS(DataEntry!$V:$V,DataEntry!$A:$A,"Zomba",DataEntry!$B:$B,"Namadzi"),"")</f>
        <v>63.7</v>
      </c>
    </row>
    <row r="791" spans="1:4" x14ac:dyDescent="0.3">
      <c r="A791" s="19" t="s">
        <v>295</v>
      </c>
      <c r="B791" s="19" t="s">
        <v>302</v>
      </c>
      <c r="C791" s="6" t="s">
        <v>327</v>
      </c>
      <c r="D791" s="20">
        <f>IFERROR(SUMIFS(DataEntry!$AH:$AH,DataEntry!$A:$A,"Zomba",DataEntry!$B:$B,"Namadzi"),"")</f>
        <v>1656200</v>
      </c>
    </row>
    <row r="792" spans="1:4" x14ac:dyDescent="0.3">
      <c r="A792" s="21" t="s">
        <v>295</v>
      </c>
      <c r="B792" s="21" t="s">
        <v>302</v>
      </c>
      <c r="C792" s="12" t="s">
        <v>328</v>
      </c>
      <c r="D792" s="22">
        <f>IFERROR(SUMIFS(DataEntry!$AL:$AL,DataEntry!$A:$A,"Zomba",DataEntry!$B:$B,"Namadzi"),"")</f>
        <v>11517436.343909999</v>
      </c>
    </row>
    <row r="793" spans="1:4" x14ac:dyDescent="0.3">
      <c r="A793" s="19" t="s">
        <v>295</v>
      </c>
      <c r="B793" s="19" t="s">
        <v>302</v>
      </c>
      <c r="C793" s="6" t="s">
        <v>329</v>
      </c>
      <c r="D793" s="20">
        <f>IFERROR(SUMIFS(DataEntry!$AP:$AP,DataEntry!$A:$A,"Zomba",DataEntry!$B:$B,"Namadzi"),"")</f>
        <v>0</v>
      </c>
    </row>
    <row r="794" spans="1:4" x14ac:dyDescent="0.3">
      <c r="A794" s="21" t="s">
        <v>295</v>
      </c>
      <c r="B794" s="21" t="s">
        <v>302</v>
      </c>
      <c r="C794" s="12" t="s">
        <v>330</v>
      </c>
      <c r="D794" s="22">
        <f>IFERROR(SUMIFS(DataEntry!$AU:$AU,DataEntry!$A:$A,"Zomba",DataEntry!$B:$B,"Namadzi"),"")</f>
        <v>16987246.523910001</v>
      </c>
    </row>
    <row r="795" spans="1:4" x14ac:dyDescent="0.3">
      <c r="A795" s="19" t="s">
        <v>295</v>
      </c>
      <c r="B795" s="19" t="s">
        <v>302</v>
      </c>
      <c r="C795" s="6" t="s">
        <v>331</v>
      </c>
      <c r="D795" s="24">
        <f>IFERROR(AVERAGEIFS(DataEntry!$AV:$AV,DataEntry!$A:$A,"Zomba",DataEntry!$B:$B,"Namadzi"),"")</f>
        <v>170.06548202182938</v>
      </c>
    </row>
    <row r="796" spans="1:4" x14ac:dyDescent="0.3">
      <c r="A796" s="21" t="s">
        <v>295</v>
      </c>
      <c r="B796" s="21" t="s">
        <v>302</v>
      </c>
      <c r="C796" s="12" t="s">
        <v>332</v>
      </c>
      <c r="D796" s="22">
        <f>IFERROR(SUMIFS(DataEntry!$GB:$GB,DataEntry!$A:$A,"Zomba",DataEntry!$B:$B,"Namadzi"),"")</f>
        <v>189963293.41000003</v>
      </c>
    </row>
    <row r="797" spans="1:4" x14ac:dyDescent="0.3">
      <c r="A797" s="19" t="s">
        <v>295</v>
      </c>
      <c r="B797" s="19" t="s">
        <v>302</v>
      </c>
      <c r="C797" s="6" t="s">
        <v>333</v>
      </c>
      <c r="D797" s="20">
        <f>IFERROR(SUMIFS(DataEntry!$GM:$GM,DataEntry!$A:$A,"Zomba",DataEntry!$B:$B,"Namadzi"),"")</f>
        <v>192497842.56999999</v>
      </c>
    </row>
    <row r="798" spans="1:4" x14ac:dyDescent="0.3">
      <c r="A798" s="21" t="s">
        <v>295</v>
      </c>
      <c r="B798" s="21" t="s">
        <v>302</v>
      </c>
      <c r="C798" s="12" t="s">
        <v>334</v>
      </c>
      <c r="D798" s="22">
        <f>IFERROR(SUMIFS(DataEntry!$GX:$GX,DataEntry!$A:$A,"Zomba",DataEntry!$B:$B,"Namadzi"),"")</f>
        <v>194436364.70000002</v>
      </c>
    </row>
    <row r="799" spans="1:4" x14ac:dyDescent="0.3">
      <c r="A799" s="19" t="s">
        <v>295</v>
      </c>
      <c r="B799" s="19" t="s">
        <v>302</v>
      </c>
      <c r="C799" s="6" t="s">
        <v>335</v>
      </c>
      <c r="D799" s="20">
        <f>IFERROR(SUMIFS(DataEntry!$GY:$GY,DataEntry!$A:$A,"Zomba",DataEntry!$B:$B,"Namadzi"),"")</f>
        <v>309791137.42000002</v>
      </c>
    </row>
    <row r="800" spans="1:4" x14ac:dyDescent="0.3">
      <c r="A800" s="21" t="s">
        <v>295</v>
      </c>
      <c r="B800" s="21" t="s">
        <v>302</v>
      </c>
      <c r="C800" s="12" t="s">
        <v>336</v>
      </c>
      <c r="D800" s="22">
        <f>IFERROR(SUMIFS(DataEntry!$GZ:$GZ,DataEntry!$A:$A,"Zomba",DataEntry!$B:$B,"Namadzi"),"")</f>
        <v>50269.68</v>
      </c>
    </row>
    <row r="801" spans="1:4" x14ac:dyDescent="0.3">
      <c r="A801" s="19" t="s">
        <v>295</v>
      </c>
      <c r="B801" s="19" t="s">
        <v>302</v>
      </c>
      <c r="C801" s="6" t="s">
        <v>337</v>
      </c>
      <c r="D801" s="20">
        <f>IFERROR(SUMIFS(DataEntry!$HA:$HA,DataEntry!$A:$A,"Zomba",DataEntry!$B:$B,"Namadzi"),"")</f>
        <v>309841407.10000002</v>
      </c>
    </row>
    <row r="802" spans="1:4" x14ac:dyDescent="0.3">
      <c r="A802" s="21" t="s">
        <v>295</v>
      </c>
      <c r="B802" s="21" t="s">
        <v>302</v>
      </c>
      <c r="C802" s="12" t="s">
        <v>338</v>
      </c>
      <c r="D802" s="23">
        <f>IFERROR(AVERAGEIFS(DataEntry!$HC:$HC,DataEntry!$A:$A,"Zomba",DataEntry!$B:$B,"Namadzi"),"")</f>
        <v>0.31705923088295068</v>
      </c>
    </row>
    <row r="803" spans="1:4" x14ac:dyDescent="0.3">
      <c r="A803" s="19" t="s">
        <v>295</v>
      </c>
      <c r="B803" s="19" t="s">
        <v>302</v>
      </c>
      <c r="C803" s="6" t="s">
        <v>339</v>
      </c>
      <c r="D803" s="24">
        <f>IFERROR(AVERAGEIFS(DataEntry!$HB:$HB,DataEntry!$A:$A,"Zomba",DataEntry!$B:$B,"Namadzi"),"")</f>
        <v>398404.92706554342</v>
      </c>
    </row>
    <row r="804" spans="1:4" x14ac:dyDescent="0.3">
      <c r="A804" s="21" t="s">
        <v>295</v>
      </c>
      <c r="B804" s="21" t="s">
        <v>302</v>
      </c>
      <c r="C804" s="12" t="s">
        <v>340</v>
      </c>
      <c r="D804" s="22">
        <f>IFERROR(SUMIFS(DataEntry!$CS:$CS,DataEntry!$A:$A,"Zomba",DataEntry!$B:$B,"Namadzi"),"")</f>
        <v>6114</v>
      </c>
    </row>
    <row r="805" spans="1:4" x14ac:dyDescent="0.3">
      <c r="A805" s="19" t="s">
        <v>295</v>
      </c>
      <c r="B805" s="19" t="s">
        <v>302</v>
      </c>
      <c r="C805" s="6" t="s">
        <v>341</v>
      </c>
      <c r="D805" s="20">
        <f>IFERROR(SUMIFS(DataEntry!$CT:$CT,DataEntry!$A:$A,"Zomba",DataEntry!$B:$B,"Namadzi"),"")</f>
        <v>8682</v>
      </c>
    </row>
    <row r="806" spans="1:4" x14ac:dyDescent="0.3">
      <c r="A806" s="21" t="s">
        <v>295</v>
      </c>
      <c r="B806" s="21" t="s">
        <v>302</v>
      </c>
      <c r="C806" s="12" t="s">
        <v>342</v>
      </c>
      <c r="D806" s="22">
        <f>IFERROR(SUMIFS(DataEntry!$CV:$CV,DataEntry!$A:$A,"Zomba",DataEntry!$B:$B,"Namadzi"),"")</f>
        <v>42957.700000000004</v>
      </c>
    </row>
    <row r="807" spans="1:4" x14ac:dyDescent="0.3">
      <c r="A807" s="19" t="s">
        <v>295</v>
      </c>
      <c r="B807" s="19" t="s">
        <v>302</v>
      </c>
      <c r="C807" s="6" t="s">
        <v>343</v>
      </c>
      <c r="D807" s="24">
        <f>IFERROR(AVERAGEIFS(DataEntry!$CW:$CW,DataEntry!$A:$A,"Zomba",DataEntry!$B:$B,"Namadzi"),"")</f>
        <v>0.96086148812446748</v>
      </c>
    </row>
    <row r="808" spans="1:4" x14ac:dyDescent="0.3">
      <c r="A808" s="21" t="s">
        <v>295</v>
      </c>
      <c r="B808" s="21" t="s">
        <v>302</v>
      </c>
      <c r="C808" s="12" t="s">
        <v>344</v>
      </c>
      <c r="D808" s="22">
        <f>IFERROR(SUMIFS(DataEntry!$CA:$CA,DataEntry!$A:$A,"Zomba",DataEntry!$B:$B,"Namadzi"),"")</f>
        <v>40</v>
      </c>
    </row>
    <row r="809" spans="1:4" x14ac:dyDescent="0.3">
      <c r="A809" s="19" t="s">
        <v>295</v>
      </c>
      <c r="B809" s="19" t="s">
        <v>302</v>
      </c>
      <c r="C809" s="6" t="s">
        <v>345</v>
      </c>
      <c r="D809" s="20">
        <f>IFERROR(SUMIFS(DataEntry!$DV:$DV,DataEntry!$A:$A,"Zomba",DataEntry!$B:$B,"Namadzi"),"")</f>
        <v>1</v>
      </c>
    </row>
    <row r="810" spans="1:4" x14ac:dyDescent="0.3">
      <c r="A810" s="21" t="s">
        <v>295</v>
      </c>
      <c r="B810" s="21" t="s">
        <v>302</v>
      </c>
      <c r="C810" s="12" t="s">
        <v>346</v>
      </c>
      <c r="D810" s="22">
        <f>IFERROR(SUMIFS(DataEntry!$FG:$FG,DataEntry!$A:$A,"Zomba",DataEntry!$B:$B,"Namadzi"),"")</f>
        <v>515</v>
      </c>
    </row>
    <row r="811" spans="1:4" x14ac:dyDescent="0.3">
      <c r="A811" s="19" t="s">
        <v>295</v>
      </c>
      <c r="B811" s="19" t="s">
        <v>302</v>
      </c>
      <c r="C811" s="6" t="s">
        <v>347</v>
      </c>
      <c r="D811" s="24">
        <f>IFERROR(AVERAGEIFS(DataEntry!$HK:$HK,DataEntry!$A:$A,"Zomba",DataEntry!$B:$B,"Namadzi"),"")</f>
        <v>0.63596491228070173</v>
      </c>
    </row>
    <row r="812" spans="1:4" x14ac:dyDescent="0.3">
      <c r="A812" s="21" t="s">
        <v>295</v>
      </c>
      <c r="B812" s="21" t="s">
        <v>302</v>
      </c>
      <c r="C812" s="12" t="s">
        <v>348</v>
      </c>
      <c r="D812" s="23">
        <f>IFERROR(AVERAGEIFS(DataEntry!$HN:$HN,DataEntry!$A:$A,"Zomba",DataEntry!$B:$B,"Namadzi"),"")</f>
        <v>0.61805555555555547</v>
      </c>
    </row>
    <row r="813" spans="1:4" x14ac:dyDescent="0.3">
      <c r="A813" s="19" t="s">
        <v>295</v>
      </c>
      <c r="B813" s="19" t="s">
        <v>303</v>
      </c>
      <c r="C813" s="6" t="s">
        <v>40</v>
      </c>
      <c r="D813" s="20">
        <f>IFERROR(SUMIFS(DataEntry!$H:$H,DataEntry!$A:$A,"Zomba",DataEntry!$B:$B,"Neno"),"")</f>
        <v>96027</v>
      </c>
    </row>
    <row r="814" spans="1:4" x14ac:dyDescent="0.3">
      <c r="A814" s="21" t="s">
        <v>295</v>
      </c>
      <c r="B814" s="21" t="s">
        <v>303</v>
      </c>
      <c r="C814" s="12" t="s">
        <v>323</v>
      </c>
      <c r="D814" s="22">
        <f>IFERROR(SUMIFS(DataEntry!$S:$S,DataEntry!$A:$A,"Zomba",DataEntry!$B:$B,"Neno"),"")</f>
        <v>74004.000000000189</v>
      </c>
    </row>
    <row r="815" spans="1:4" x14ac:dyDescent="0.3">
      <c r="A815" s="19" t="s">
        <v>295</v>
      </c>
      <c r="B815" s="19" t="s">
        <v>303</v>
      </c>
      <c r="C815" s="6" t="s">
        <v>324</v>
      </c>
      <c r="D815" s="20">
        <f>IFERROR(SUMIFS(DataEntry!$T:$T,DataEntry!$A:$A,"Zomba",DataEntry!$B:$B,"Neno"),"")</f>
        <v>22022.999999999818</v>
      </c>
    </row>
    <row r="816" spans="1:4" x14ac:dyDescent="0.3">
      <c r="A816" s="21" t="s">
        <v>295</v>
      </c>
      <c r="B816" s="21" t="s">
        <v>303</v>
      </c>
      <c r="C816" s="12" t="s">
        <v>325</v>
      </c>
      <c r="D816" s="23">
        <f>IFERROR(AVERAGEIFS(DataEntry!$U:$U,DataEntry!$A:$A,"Zomba",DataEntry!$B:$B,"Neno"),"")</f>
        <v>0.22708821177546665</v>
      </c>
    </row>
    <row r="817" spans="1:4" x14ac:dyDescent="0.3">
      <c r="A817" s="19" t="s">
        <v>295</v>
      </c>
      <c r="B817" s="19" t="s">
        <v>303</v>
      </c>
      <c r="C817" s="6" t="s">
        <v>326</v>
      </c>
      <c r="D817" s="20">
        <f>IFERROR(SUMIFS(DataEntry!$V:$V,DataEntry!$A:$A,"Zomba",DataEntry!$B:$B,"Neno"),"")</f>
        <v>196</v>
      </c>
    </row>
    <row r="818" spans="1:4" x14ac:dyDescent="0.3">
      <c r="A818" s="21" t="s">
        <v>295</v>
      </c>
      <c r="B818" s="21" t="s">
        <v>303</v>
      </c>
      <c r="C818" s="12" t="s">
        <v>327</v>
      </c>
      <c r="D818" s="22">
        <f>IFERROR(SUMIFS(DataEntry!$AH:$AH,DataEntry!$A:$A,"Zomba",DataEntry!$B:$B,"Neno"),"")</f>
        <v>5096000</v>
      </c>
    </row>
    <row r="819" spans="1:4" x14ac:dyDescent="0.3">
      <c r="A819" s="19" t="s">
        <v>295</v>
      </c>
      <c r="B819" s="19" t="s">
        <v>303</v>
      </c>
      <c r="C819" s="6" t="s">
        <v>328</v>
      </c>
      <c r="D819" s="20">
        <f>IFERROR(SUMIFS(DataEntry!$AL:$AL,DataEntry!$A:$A,"Zomba",DataEntry!$B:$B,"Neno"),"")</f>
        <v>26713004.047320001</v>
      </c>
    </row>
    <row r="820" spans="1:4" x14ac:dyDescent="0.3">
      <c r="A820" s="21" t="s">
        <v>295</v>
      </c>
      <c r="B820" s="21" t="s">
        <v>303</v>
      </c>
      <c r="C820" s="12" t="s">
        <v>329</v>
      </c>
      <c r="D820" s="22">
        <f>IFERROR(SUMIFS(DataEntry!$AP:$AP,DataEntry!$A:$A,"Zomba",DataEntry!$B:$B,"Neno"),"")</f>
        <v>0</v>
      </c>
    </row>
    <row r="821" spans="1:4" x14ac:dyDescent="0.3">
      <c r="A821" s="19" t="s">
        <v>295</v>
      </c>
      <c r="B821" s="19" t="s">
        <v>303</v>
      </c>
      <c r="C821" s="6" t="s">
        <v>330</v>
      </c>
      <c r="D821" s="20">
        <f>IFERROR(SUMIFS(DataEntry!$AU:$AU,DataEntry!$A:$A,"Zomba",DataEntry!$B:$B,"Neno"),"")</f>
        <v>36584274.257320002</v>
      </c>
    </row>
    <row r="822" spans="1:4" x14ac:dyDescent="0.3">
      <c r="A822" s="21" t="s">
        <v>295</v>
      </c>
      <c r="B822" s="21" t="s">
        <v>303</v>
      </c>
      <c r="C822" s="12" t="s">
        <v>331</v>
      </c>
      <c r="D822" s="23">
        <f>IFERROR(AVERAGEIFS(DataEntry!$AV:$AV,DataEntry!$A:$A,"Zomba",DataEntry!$B:$B,"Neno"),"")</f>
        <v>389.63513188604907</v>
      </c>
    </row>
    <row r="823" spans="1:4" x14ac:dyDescent="0.3">
      <c r="A823" s="19" t="s">
        <v>295</v>
      </c>
      <c r="B823" s="19" t="s">
        <v>303</v>
      </c>
      <c r="C823" s="6" t="s">
        <v>332</v>
      </c>
      <c r="D823" s="20">
        <f>IFERROR(SUMIFS(DataEntry!$GB:$GB,DataEntry!$A:$A,"Zomba",DataEntry!$B:$B,"Neno"),"")</f>
        <v>103115099.62999998</v>
      </c>
    </row>
    <row r="824" spans="1:4" x14ac:dyDescent="0.3">
      <c r="A824" s="21" t="s">
        <v>295</v>
      </c>
      <c r="B824" s="21" t="s">
        <v>303</v>
      </c>
      <c r="C824" s="12" t="s">
        <v>333</v>
      </c>
      <c r="D824" s="22">
        <f>IFERROR(SUMIFS(DataEntry!$GM:$GM,DataEntry!$A:$A,"Zomba",DataEntry!$B:$B,"Neno"),"")</f>
        <v>98818625.609999999</v>
      </c>
    </row>
    <row r="825" spans="1:4" x14ac:dyDescent="0.3">
      <c r="A825" s="19" t="s">
        <v>295</v>
      </c>
      <c r="B825" s="19" t="s">
        <v>303</v>
      </c>
      <c r="C825" s="6" t="s">
        <v>334</v>
      </c>
      <c r="D825" s="20">
        <f>IFERROR(SUMIFS(DataEntry!$GX:$GX,DataEntry!$A:$A,"Zomba",DataEntry!$B:$B,"Neno"),"")</f>
        <v>103409967.06</v>
      </c>
    </row>
    <row r="826" spans="1:4" x14ac:dyDescent="0.3">
      <c r="A826" s="21" t="s">
        <v>295</v>
      </c>
      <c r="B826" s="21" t="s">
        <v>303</v>
      </c>
      <c r="C826" s="12" t="s">
        <v>335</v>
      </c>
      <c r="D826" s="22">
        <f>IFERROR(SUMIFS(DataEntry!$GY:$GY,DataEntry!$A:$A,"Zomba",DataEntry!$B:$B,"Neno"),"")</f>
        <v>592856953.59999931</v>
      </c>
    </row>
    <row r="827" spans="1:4" x14ac:dyDescent="0.3">
      <c r="A827" s="19" t="s">
        <v>295</v>
      </c>
      <c r="B827" s="19" t="s">
        <v>303</v>
      </c>
      <c r="C827" s="6" t="s">
        <v>336</v>
      </c>
      <c r="D827" s="20">
        <f>IFERROR(SUMIFS(DataEntry!$GZ:$GZ,DataEntry!$A:$A,"Zomba",DataEntry!$B:$B,"Neno"),"")</f>
        <v>0</v>
      </c>
    </row>
    <row r="828" spans="1:4" x14ac:dyDescent="0.3">
      <c r="A828" s="21" t="s">
        <v>295</v>
      </c>
      <c r="B828" s="21" t="s">
        <v>303</v>
      </c>
      <c r="C828" s="12" t="s">
        <v>337</v>
      </c>
      <c r="D828" s="22">
        <f>IFERROR(SUMIFS(DataEntry!$HA:$HA,DataEntry!$A:$A,"Zomba",DataEntry!$B:$B,"Neno"),"")</f>
        <v>592856953.59999931</v>
      </c>
    </row>
    <row r="829" spans="1:4" x14ac:dyDescent="0.3">
      <c r="A829" s="19" t="s">
        <v>295</v>
      </c>
      <c r="B829" s="19" t="s">
        <v>303</v>
      </c>
      <c r="C829" s="6" t="s">
        <v>338</v>
      </c>
      <c r="D829" s="24">
        <f>IFERROR(AVERAGEIFS(DataEntry!$HC:$HC,DataEntry!$A:$A,"Zomba",DataEntry!$B:$B,"Neno"),"")</f>
        <v>0.13672726870779506</v>
      </c>
    </row>
    <row r="830" spans="1:4" x14ac:dyDescent="0.3">
      <c r="A830" s="21" t="s">
        <v>295</v>
      </c>
      <c r="B830" s="21" t="s">
        <v>303</v>
      </c>
      <c r="C830" s="12" t="s">
        <v>339</v>
      </c>
      <c r="D830" s="23">
        <f>IFERROR(AVERAGEIFS(DataEntry!$HB:$HB,DataEntry!$A:$A,"Zomba",DataEntry!$B:$B,"Neno"),"")</f>
        <v>605597.5238703019</v>
      </c>
    </row>
    <row r="831" spans="1:4" x14ac:dyDescent="0.3">
      <c r="A831" s="19" t="s">
        <v>295</v>
      </c>
      <c r="B831" s="19" t="s">
        <v>303</v>
      </c>
      <c r="C831" s="6" t="s">
        <v>340</v>
      </c>
      <c r="D831" s="20">
        <f>IFERROR(SUMIFS(DataEntry!$CS:$CS,DataEntry!$A:$A,"Zomba",DataEntry!$B:$B,"Neno"),"")</f>
        <v>9826</v>
      </c>
    </row>
    <row r="832" spans="1:4" x14ac:dyDescent="0.3">
      <c r="A832" s="21" t="s">
        <v>295</v>
      </c>
      <c r="B832" s="21" t="s">
        <v>303</v>
      </c>
      <c r="C832" s="12" t="s">
        <v>341</v>
      </c>
      <c r="D832" s="22">
        <f>IFERROR(SUMIFS(DataEntry!$CT:$CT,DataEntry!$A:$A,"Zomba",DataEntry!$B:$B,"Neno"),"")</f>
        <v>12049</v>
      </c>
    </row>
    <row r="833" spans="1:4" x14ac:dyDescent="0.3">
      <c r="A833" s="19" t="s">
        <v>295</v>
      </c>
      <c r="B833" s="19" t="s">
        <v>303</v>
      </c>
      <c r="C833" s="6" t="s">
        <v>342</v>
      </c>
      <c r="D833" s="20">
        <f>IFERROR(SUMIFS(DataEntry!$CV:$CV,DataEntry!$A:$A,"Zomba",DataEntry!$B:$B,"Neno"),"")</f>
        <v>36658.799999999996</v>
      </c>
    </row>
    <row r="834" spans="1:4" x14ac:dyDescent="0.3">
      <c r="A834" s="21" t="s">
        <v>295</v>
      </c>
      <c r="B834" s="21" t="s">
        <v>303</v>
      </c>
      <c r="C834" s="12" t="s">
        <v>343</v>
      </c>
      <c r="D834" s="23">
        <f>IFERROR(AVERAGEIFS(DataEntry!$CW:$CW,DataEntry!$A:$A,"Zomba",DataEntry!$B:$B,"Neno"),"")</f>
        <v>0.99882082188246235</v>
      </c>
    </row>
    <row r="835" spans="1:4" x14ac:dyDescent="0.3">
      <c r="A835" s="19" t="s">
        <v>295</v>
      </c>
      <c r="B835" s="19" t="s">
        <v>303</v>
      </c>
      <c r="C835" s="6" t="s">
        <v>344</v>
      </c>
      <c r="D835" s="20">
        <f>IFERROR(SUMIFS(DataEntry!$CA:$CA,DataEntry!$A:$A,"Zomba",DataEntry!$B:$B,"Neno"),"")</f>
        <v>87</v>
      </c>
    </row>
    <row r="836" spans="1:4" x14ac:dyDescent="0.3">
      <c r="A836" s="21" t="s">
        <v>295</v>
      </c>
      <c r="B836" s="21" t="s">
        <v>303</v>
      </c>
      <c r="C836" s="12" t="s">
        <v>345</v>
      </c>
      <c r="D836" s="22">
        <f>IFERROR(SUMIFS(DataEntry!$DV:$DV,DataEntry!$A:$A,"Zomba",DataEntry!$B:$B,"Neno"),"")</f>
        <v>3</v>
      </c>
    </row>
    <row r="837" spans="1:4" x14ac:dyDescent="0.3">
      <c r="A837" s="19" t="s">
        <v>295</v>
      </c>
      <c r="B837" s="19" t="s">
        <v>303</v>
      </c>
      <c r="C837" s="6" t="s">
        <v>346</v>
      </c>
      <c r="D837" s="20">
        <f>IFERROR(SUMIFS(DataEntry!$FG:$FG,DataEntry!$A:$A,"Zomba",DataEntry!$B:$B,"Neno"),"")</f>
        <v>192</v>
      </c>
    </row>
    <row r="838" spans="1:4" x14ac:dyDescent="0.3">
      <c r="A838" s="21" t="s">
        <v>295</v>
      </c>
      <c r="B838" s="21" t="s">
        <v>303</v>
      </c>
      <c r="C838" s="12" t="s">
        <v>347</v>
      </c>
      <c r="D838" s="23">
        <f>IFERROR(AVERAGEIFS(DataEntry!$HK:$HK,DataEntry!$A:$A,"Zomba",DataEntry!$B:$B,"Neno"),"")</f>
        <v>0.53240093240093234</v>
      </c>
    </row>
    <row r="839" spans="1:4" x14ac:dyDescent="0.3">
      <c r="A839" s="19" t="s">
        <v>295</v>
      </c>
      <c r="B839" s="19" t="s">
        <v>303</v>
      </c>
      <c r="C839" s="6" t="s">
        <v>348</v>
      </c>
      <c r="D839" s="24">
        <f>IFERROR(AVERAGEIFS(DataEntry!$HN:$HN,DataEntry!$A:$A,"Zomba",DataEntry!$B:$B,"Neno"),"")</f>
        <v>1.0380517287953912</v>
      </c>
    </row>
    <row r="840" spans="1:4" x14ac:dyDescent="0.3">
      <c r="A840" s="21" t="s">
        <v>295</v>
      </c>
      <c r="B840" s="21" t="s">
        <v>304</v>
      </c>
      <c r="C840" s="12" t="s">
        <v>40</v>
      </c>
      <c r="D840" s="22">
        <f>IFERROR(SUMIFS(DataEntry!$H:$H,DataEntry!$A:$A,"Zomba",DataEntry!$B:$B,"Thondwe"),"")</f>
        <v>49230</v>
      </c>
    </row>
    <row r="841" spans="1:4" x14ac:dyDescent="0.3">
      <c r="A841" s="19" t="s">
        <v>295</v>
      </c>
      <c r="B841" s="19" t="s">
        <v>304</v>
      </c>
      <c r="C841" s="6" t="s">
        <v>323</v>
      </c>
      <c r="D841" s="20">
        <f>IFERROR(SUMIFS(DataEntry!$S:$S,DataEntry!$A:$A,"Zomba",DataEntry!$B:$B,"Thondwe"),"")</f>
        <v>27730.799999999959</v>
      </c>
    </row>
    <row r="842" spans="1:4" x14ac:dyDescent="0.3">
      <c r="A842" s="21" t="s">
        <v>295</v>
      </c>
      <c r="B842" s="21" t="s">
        <v>304</v>
      </c>
      <c r="C842" s="12" t="s">
        <v>324</v>
      </c>
      <c r="D842" s="22">
        <f>IFERROR(SUMIFS(DataEntry!$T:$T,DataEntry!$A:$A,"Zomba",DataEntry!$B:$B,"Thondwe"),"")</f>
        <v>21499.200000000044</v>
      </c>
    </row>
    <row r="843" spans="1:4" x14ac:dyDescent="0.3">
      <c r="A843" s="19" t="s">
        <v>295</v>
      </c>
      <c r="B843" s="19" t="s">
        <v>304</v>
      </c>
      <c r="C843" s="6" t="s">
        <v>325</v>
      </c>
      <c r="D843" s="24">
        <f>IFERROR(AVERAGEIFS(DataEntry!$U:$U,DataEntry!$A:$A,"Zomba",DataEntry!$B:$B,"Thondwe"),"")</f>
        <v>0.34613711532053393</v>
      </c>
    </row>
    <row r="844" spans="1:4" x14ac:dyDescent="0.3">
      <c r="A844" s="21" t="s">
        <v>295</v>
      </c>
      <c r="B844" s="21" t="s">
        <v>304</v>
      </c>
      <c r="C844" s="12" t="s">
        <v>326</v>
      </c>
      <c r="D844" s="22">
        <f>IFERROR(SUMIFS(DataEntry!$V:$V,DataEntry!$A:$A,"Zomba",DataEntry!$B:$B,"Thondwe"),"")</f>
        <v>103</v>
      </c>
    </row>
    <row r="845" spans="1:4" x14ac:dyDescent="0.3">
      <c r="A845" s="19" t="s">
        <v>295</v>
      </c>
      <c r="B845" s="19" t="s">
        <v>304</v>
      </c>
      <c r="C845" s="6" t="s">
        <v>327</v>
      </c>
      <c r="D845" s="20">
        <f>IFERROR(SUMIFS(DataEntry!$AH:$AH,DataEntry!$A:$A,"Zomba",DataEntry!$B:$B,"Thondwe"),"")</f>
        <v>8567536</v>
      </c>
    </row>
    <row r="846" spans="1:4" x14ac:dyDescent="0.3">
      <c r="A846" s="21" t="s">
        <v>295</v>
      </c>
      <c r="B846" s="21" t="s">
        <v>304</v>
      </c>
      <c r="C846" s="12" t="s">
        <v>328</v>
      </c>
      <c r="D846" s="22">
        <f>IFERROR(SUMIFS(DataEntry!$AL:$AL,DataEntry!$A:$A,"Zomba",DataEntry!$B:$B,"Thondwe"),"")</f>
        <v>1145537.4447599999</v>
      </c>
    </row>
    <row r="847" spans="1:4" x14ac:dyDescent="0.3">
      <c r="A847" s="19" t="s">
        <v>295</v>
      </c>
      <c r="B847" s="19" t="s">
        <v>304</v>
      </c>
      <c r="C847" s="6" t="s">
        <v>329</v>
      </c>
      <c r="D847" s="20">
        <f>IFERROR(SUMIFS(DataEntry!$AP:$AP,DataEntry!$A:$A,"Zomba",DataEntry!$B:$B,"Thondwe"),"")</f>
        <v>0</v>
      </c>
    </row>
    <row r="848" spans="1:4" x14ac:dyDescent="0.3">
      <c r="A848" s="21" t="s">
        <v>295</v>
      </c>
      <c r="B848" s="21" t="s">
        <v>304</v>
      </c>
      <c r="C848" s="12" t="s">
        <v>330</v>
      </c>
      <c r="D848" s="22">
        <f>IFERROR(SUMIFS(DataEntry!$AU:$AU,DataEntry!$A:$A,"Zomba",DataEntry!$B:$B,"Thondwe"),"")</f>
        <v>10773309.394760001</v>
      </c>
    </row>
    <row r="849" spans="1:4" x14ac:dyDescent="0.3">
      <c r="A849" s="19" t="s">
        <v>295</v>
      </c>
      <c r="B849" s="19" t="s">
        <v>304</v>
      </c>
      <c r="C849" s="6" t="s">
        <v>331</v>
      </c>
      <c r="D849" s="24">
        <f>IFERROR(AVERAGEIFS(DataEntry!$AV:$AV,DataEntry!$A:$A,"Zomba",DataEntry!$B:$B,"Thondwe"),"")</f>
        <v>214.83606281956861</v>
      </c>
    </row>
    <row r="850" spans="1:4" x14ac:dyDescent="0.3">
      <c r="A850" s="21" t="s">
        <v>295</v>
      </c>
      <c r="B850" s="21" t="s">
        <v>304</v>
      </c>
      <c r="C850" s="12" t="s">
        <v>332</v>
      </c>
      <c r="D850" s="22">
        <f>IFERROR(SUMIFS(DataEntry!$GB:$GB,DataEntry!$A:$A,"Zomba",DataEntry!$B:$B,"Thondwe"),"")</f>
        <v>35826894.5</v>
      </c>
    </row>
    <row r="851" spans="1:4" x14ac:dyDescent="0.3">
      <c r="A851" s="19" t="s">
        <v>295</v>
      </c>
      <c r="B851" s="19" t="s">
        <v>304</v>
      </c>
      <c r="C851" s="6" t="s">
        <v>333</v>
      </c>
      <c r="D851" s="20">
        <f>IFERROR(SUMIFS(DataEntry!$GM:$GM,DataEntry!$A:$A,"Zomba",DataEntry!$B:$B,"Thondwe"),"")</f>
        <v>33091729.760000002</v>
      </c>
    </row>
    <row r="852" spans="1:4" x14ac:dyDescent="0.3">
      <c r="A852" s="21" t="s">
        <v>295</v>
      </c>
      <c r="B852" s="21" t="s">
        <v>304</v>
      </c>
      <c r="C852" s="12" t="s">
        <v>334</v>
      </c>
      <c r="D852" s="22">
        <f>IFERROR(SUMIFS(DataEntry!$GX:$GX,DataEntry!$A:$A,"Zomba",DataEntry!$B:$B,"Thondwe"),"")</f>
        <v>35192308.469999991</v>
      </c>
    </row>
    <row r="853" spans="1:4" x14ac:dyDescent="0.3">
      <c r="A853" s="19" t="s">
        <v>295</v>
      </c>
      <c r="B853" s="19" t="s">
        <v>304</v>
      </c>
      <c r="C853" s="6" t="s">
        <v>335</v>
      </c>
      <c r="D853" s="20">
        <f>IFERROR(SUMIFS(DataEntry!$GY:$GY,DataEntry!$A:$A,"Zomba",DataEntry!$B:$B,"Thondwe"),"")</f>
        <v>190052333.42000002</v>
      </c>
    </row>
    <row r="854" spans="1:4" x14ac:dyDescent="0.3">
      <c r="A854" s="21" t="s">
        <v>295</v>
      </c>
      <c r="B854" s="21" t="s">
        <v>304</v>
      </c>
      <c r="C854" s="12" t="s">
        <v>336</v>
      </c>
      <c r="D854" s="22">
        <f>IFERROR(SUMIFS(DataEntry!$GZ:$GZ,DataEntry!$A:$A,"Zomba",DataEntry!$B:$B,"Thondwe"),"")</f>
        <v>0</v>
      </c>
    </row>
    <row r="855" spans="1:4" x14ac:dyDescent="0.3">
      <c r="A855" s="19" t="s">
        <v>295</v>
      </c>
      <c r="B855" s="19" t="s">
        <v>304</v>
      </c>
      <c r="C855" s="6" t="s">
        <v>337</v>
      </c>
      <c r="D855" s="20">
        <f>IFERROR(SUMIFS(DataEntry!$HA:$HA,DataEntry!$A:$A,"Zomba",DataEntry!$B:$B,"Thondwe"),"")</f>
        <v>190052333.42000002</v>
      </c>
    </row>
    <row r="856" spans="1:4" x14ac:dyDescent="0.3">
      <c r="A856" s="21" t="s">
        <v>295</v>
      </c>
      <c r="B856" s="21" t="s">
        <v>304</v>
      </c>
      <c r="C856" s="12" t="s">
        <v>338</v>
      </c>
      <c r="D856" s="23">
        <f>IFERROR(AVERAGEIFS(DataEntry!$HC:$HC,DataEntry!$A:$A,"Zomba",DataEntry!$B:$B,"Thondwe"),"")</f>
        <v>0.14604501784875876</v>
      </c>
    </row>
    <row r="857" spans="1:4" x14ac:dyDescent="0.3">
      <c r="A857" s="19" t="s">
        <v>295</v>
      </c>
      <c r="B857" s="19" t="s">
        <v>304</v>
      </c>
      <c r="C857" s="6" t="s">
        <v>339</v>
      </c>
      <c r="D857" s="24">
        <f>IFERROR(AVERAGEIFS(DataEntry!$HB:$HB,DataEntry!$A:$A,"Zomba",DataEntry!$B:$B,"Thondwe"),"")</f>
        <v>236608.91577316541</v>
      </c>
    </row>
    <row r="858" spans="1:4" x14ac:dyDescent="0.3">
      <c r="A858" s="21" t="s">
        <v>295</v>
      </c>
      <c r="B858" s="21" t="s">
        <v>304</v>
      </c>
      <c r="C858" s="12" t="s">
        <v>340</v>
      </c>
      <c r="D858" s="22">
        <f>IFERROR(SUMIFS(DataEntry!$CS:$CS,DataEntry!$A:$A,"Zomba",DataEntry!$B:$B,"Thondwe"),"")</f>
        <v>6298</v>
      </c>
    </row>
    <row r="859" spans="1:4" x14ac:dyDescent="0.3">
      <c r="A859" s="19" t="s">
        <v>295</v>
      </c>
      <c r="B859" s="19" t="s">
        <v>304</v>
      </c>
      <c r="C859" s="6" t="s">
        <v>341</v>
      </c>
      <c r="D859" s="20">
        <f>IFERROR(SUMIFS(DataEntry!$CT:$CT,DataEntry!$A:$A,"Zomba",DataEntry!$B:$B,"Thondwe"),"")</f>
        <v>7369</v>
      </c>
    </row>
    <row r="860" spans="1:4" x14ac:dyDescent="0.3">
      <c r="A860" s="21" t="s">
        <v>295</v>
      </c>
      <c r="B860" s="21" t="s">
        <v>304</v>
      </c>
      <c r="C860" s="12" t="s">
        <v>342</v>
      </c>
      <c r="D860" s="22">
        <f>IFERROR(SUMIFS(DataEntry!$CV:$CV,DataEntry!$A:$A,"Zomba",DataEntry!$B:$B,"Thondwe"),"")</f>
        <v>42749.4</v>
      </c>
    </row>
    <row r="861" spans="1:4" x14ac:dyDescent="0.3">
      <c r="A861" s="19" t="s">
        <v>295</v>
      </c>
      <c r="B861" s="19" t="s">
        <v>304</v>
      </c>
      <c r="C861" s="6" t="s">
        <v>343</v>
      </c>
      <c r="D861" s="24">
        <f>IFERROR(AVERAGEIFS(DataEntry!$CW:$CW,DataEntry!$A:$A,"Zomba",DataEntry!$B:$B,"Thondwe"),"")</f>
        <v>0.9816693392131125</v>
      </c>
    </row>
    <row r="862" spans="1:4" x14ac:dyDescent="0.3">
      <c r="A862" s="21" t="s">
        <v>295</v>
      </c>
      <c r="B862" s="21" t="s">
        <v>304</v>
      </c>
      <c r="C862" s="12" t="s">
        <v>344</v>
      </c>
      <c r="D862" s="22">
        <f>IFERROR(SUMIFS(DataEntry!$CA:$CA,DataEntry!$A:$A,"Zomba",DataEntry!$B:$B,"Thondwe"),"")</f>
        <v>114</v>
      </c>
    </row>
    <row r="863" spans="1:4" x14ac:dyDescent="0.3">
      <c r="A863" s="19" t="s">
        <v>295</v>
      </c>
      <c r="B863" s="19" t="s">
        <v>304</v>
      </c>
      <c r="C863" s="6" t="s">
        <v>345</v>
      </c>
      <c r="D863" s="20">
        <f>IFERROR(SUMIFS(DataEntry!$DV:$DV,DataEntry!$A:$A,"Zomba",DataEntry!$B:$B,"Thondwe"),"")</f>
        <v>0</v>
      </c>
    </row>
    <row r="864" spans="1:4" x14ac:dyDescent="0.3">
      <c r="A864" s="21" t="s">
        <v>295</v>
      </c>
      <c r="B864" s="21" t="s">
        <v>304</v>
      </c>
      <c r="C864" s="12" t="s">
        <v>346</v>
      </c>
      <c r="D864" s="22">
        <f>IFERROR(SUMIFS(DataEntry!$FG:$FG,DataEntry!$A:$A,"Zomba",DataEntry!$B:$B,"Thondwe"),"")</f>
        <v>71</v>
      </c>
    </row>
    <row r="865" spans="1:4" x14ac:dyDescent="0.3">
      <c r="A865" s="19" t="s">
        <v>295</v>
      </c>
      <c r="B865" s="19" t="s">
        <v>304</v>
      </c>
      <c r="C865" s="6" t="s">
        <v>347</v>
      </c>
      <c r="D865" s="24">
        <f>IFERROR(AVERAGEIFS(DataEntry!$HK:$HK,DataEntry!$A:$A,"Zomba",DataEntry!$B:$B,"Thondwe"),"")</f>
        <v>2.1544612794612799</v>
      </c>
    </row>
    <row r="866" spans="1:4" x14ac:dyDescent="0.3">
      <c r="A866" s="21" t="s">
        <v>295</v>
      </c>
      <c r="B866" s="21" t="s">
        <v>304</v>
      </c>
      <c r="C866" s="12" t="s">
        <v>348</v>
      </c>
      <c r="D866" s="23">
        <f>IFERROR(AVERAGEIFS(DataEntry!$HN:$HN,DataEntry!$A:$A,"Zomba",DataEntry!$B:$B,"Thondwe"),"")</f>
        <v>0.81153490137643736</v>
      </c>
    </row>
    <row r="867" spans="1:4" x14ac:dyDescent="0.3">
      <c r="A867" s="19" t="s">
        <v>295</v>
      </c>
      <c r="B867" s="19" t="s">
        <v>295</v>
      </c>
      <c r="C867" s="6" t="s">
        <v>40</v>
      </c>
      <c r="D867" s="20">
        <f>IFERROR(SUMIFS(DataEntry!$H:$H,DataEntry!$A:$A,"Zomba",DataEntry!$B:$B,"Zomba"),"")</f>
        <v>6073879</v>
      </c>
    </row>
    <row r="868" spans="1:4" x14ac:dyDescent="0.3">
      <c r="A868" s="21" t="s">
        <v>295</v>
      </c>
      <c r="B868" s="21" t="s">
        <v>295</v>
      </c>
      <c r="C868" s="12" t="s">
        <v>323</v>
      </c>
      <c r="D868" s="22">
        <f>IFERROR(SUMIFS(DataEntry!$S:$S,DataEntry!$A:$A,"Zomba",DataEntry!$B:$B,"Zomba"),"")</f>
        <v>3959495.4000000055</v>
      </c>
    </row>
    <row r="869" spans="1:4" x14ac:dyDescent="0.3">
      <c r="A869" s="19" t="s">
        <v>295</v>
      </c>
      <c r="B869" s="19" t="s">
        <v>295</v>
      </c>
      <c r="C869" s="6" t="s">
        <v>324</v>
      </c>
      <c r="D869" s="20">
        <f>IFERROR(SUMIFS(DataEntry!$T:$T,DataEntry!$A:$A,"Zomba",DataEntry!$B:$B,"Zomba"),"")</f>
        <v>2114383.5999999964</v>
      </c>
    </row>
    <row r="870" spans="1:4" x14ac:dyDescent="0.3">
      <c r="A870" s="21" t="s">
        <v>295</v>
      </c>
      <c r="B870" s="21" t="s">
        <v>295</v>
      </c>
      <c r="C870" s="12" t="s">
        <v>325</v>
      </c>
      <c r="D870" s="23">
        <f>IFERROR(AVERAGEIFS(DataEntry!$U:$U,DataEntry!$A:$A,"Zomba",DataEntry!$B:$B,"Zomba"),"")</f>
        <v>0.34773538147644695</v>
      </c>
    </row>
    <row r="871" spans="1:4" x14ac:dyDescent="0.3">
      <c r="A871" s="19" t="s">
        <v>295</v>
      </c>
      <c r="B871" s="19" t="s">
        <v>295</v>
      </c>
      <c r="C871" s="6" t="s">
        <v>326</v>
      </c>
      <c r="D871" s="20">
        <f>IFERROR(SUMIFS(DataEntry!$V:$V,DataEntry!$A:$A,"Zomba",DataEntry!$B:$B,"Zomba"),"")</f>
        <v>13467</v>
      </c>
    </row>
    <row r="872" spans="1:4" x14ac:dyDescent="0.3">
      <c r="A872" s="21" t="s">
        <v>295</v>
      </c>
      <c r="B872" s="21" t="s">
        <v>295</v>
      </c>
      <c r="C872" s="12" t="s">
        <v>327</v>
      </c>
      <c r="D872" s="22">
        <f>IFERROR(SUMIFS(DataEntry!$AH:$AH,DataEntry!$A:$A,"Zomba",DataEntry!$B:$B,"Zomba"),"")</f>
        <v>1126220648</v>
      </c>
    </row>
    <row r="873" spans="1:4" x14ac:dyDescent="0.3">
      <c r="A873" s="19" t="s">
        <v>295</v>
      </c>
      <c r="B873" s="19" t="s">
        <v>295</v>
      </c>
      <c r="C873" s="6" t="s">
        <v>328</v>
      </c>
      <c r="D873" s="20">
        <f>IFERROR(SUMIFS(DataEntry!$AL:$AL,DataEntry!$A:$A,"Zomba",DataEntry!$B:$B,"Zomba"),"")</f>
        <v>95471158.482899994</v>
      </c>
    </row>
    <row r="874" spans="1:4" x14ac:dyDescent="0.3">
      <c r="A874" s="21" t="s">
        <v>295</v>
      </c>
      <c r="B874" s="21" t="s">
        <v>295</v>
      </c>
      <c r="C874" s="12" t="s">
        <v>329</v>
      </c>
      <c r="D874" s="22">
        <f>IFERROR(SUMIFS(DataEntry!$AP:$AP,DataEntry!$A:$A,"Zomba",DataEntry!$B:$B,"Zomba"),"")</f>
        <v>0</v>
      </c>
    </row>
    <row r="875" spans="1:4" x14ac:dyDescent="0.3">
      <c r="A875" s="19" t="s">
        <v>295</v>
      </c>
      <c r="B875" s="19" t="s">
        <v>295</v>
      </c>
      <c r="C875" s="6" t="s">
        <v>330</v>
      </c>
      <c r="D875" s="20">
        <f>IFERROR(SUMIFS(DataEntry!$AU:$AU,DataEntry!$A:$A,"Zomba",DataEntry!$B:$B,"Zomba"),"")</f>
        <v>1291038858.8129003</v>
      </c>
    </row>
    <row r="876" spans="1:4" x14ac:dyDescent="0.3">
      <c r="A876" s="21" t="s">
        <v>295</v>
      </c>
      <c r="B876" s="21" t="s">
        <v>295</v>
      </c>
      <c r="C876" s="12" t="s">
        <v>331</v>
      </c>
      <c r="D876" s="23">
        <f>IFERROR(AVERAGEIFS(DataEntry!$AV:$AV,DataEntry!$A:$A,"Zomba",DataEntry!$B:$B,"Zomba"),"")</f>
        <v>214.13455025321556</v>
      </c>
    </row>
    <row r="877" spans="1:4" x14ac:dyDescent="0.3">
      <c r="A877" s="19" t="s">
        <v>295</v>
      </c>
      <c r="B877" s="19" t="s">
        <v>295</v>
      </c>
      <c r="C877" s="6" t="s">
        <v>332</v>
      </c>
      <c r="D877" s="20">
        <f>IFERROR(SUMIFS(DataEntry!$GB:$GB,DataEntry!$A:$A,"Zomba",DataEntry!$B:$B,"Zomba"),"")</f>
        <v>6450859282.2599983</v>
      </c>
    </row>
    <row r="878" spans="1:4" x14ac:dyDescent="0.3">
      <c r="A878" s="21" t="s">
        <v>295</v>
      </c>
      <c r="B878" s="21" t="s">
        <v>295</v>
      </c>
      <c r="C878" s="12" t="s">
        <v>333</v>
      </c>
      <c r="D878" s="22">
        <f>IFERROR(SUMIFS(DataEntry!$GM:$GM,DataEntry!$A:$A,"Zomba",DataEntry!$B:$B,"Zomba"),"")</f>
        <v>6571258500.5100002</v>
      </c>
    </row>
    <row r="879" spans="1:4" x14ac:dyDescent="0.3">
      <c r="A879" s="19" t="s">
        <v>295</v>
      </c>
      <c r="B879" s="19" t="s">
        <v>295</v>
      </c>
      <c r="C879" s="6" t="s">
        <v>334</v>
      </c>
      <c r="D879" s="20">
        <f>IFERROR(SUMIFS(DataEntry!$GX:$GX,DataEntry!$A:$A,"Zomba",DataEntry!$B:$B,"Zomba"),"")</f>
        <v>6782923729.7299995</v>
      </c>
    </row>
    <row r="880" spans="1:4" x14ac:dyDescent="0.3">
      <c r="A880" s="21" t="s">
        <v>295</v>
      </c>
      <c r="B880" s="21" t="s">
        <v>295</v>
      </c>
      <c r="C880" s="12" t="s">
        <v>335</v>
      </c>
      <c r="D880" s="22">
        <f>IFERROR(SUMIFS(DataEntry!$GY:$GY,DataEntry!$A:$A,"Zomba",DataEntry!$B:$B,"Zomba"),"")</f>
        <v>13127607538.71014</v>
      </c>
    </row>
    <row r="881" spans="1:4" x14ac:dyDescent="0.3">
      <c r="A881" s="19" t="s">
        <v>295</v>
      </c>
      <c r="B881" s="19" t="s">
        <v>295</v>
      </c>
      <c r="C881" s="6" t="s">
        <v>336</v>
      </c>
      <c r="D881" s="20">
        <f>IFERROR(SUMIFS(DataEntry!$GZ:$GZ,DataEntry!$A:$A,"Zomba",DataEntry!$B:$B,"Zomba"),"")</f>
        <v>5125801282.0299997</v>
      </c>
    </row>
    <row r="882" spans="1:4" x14ac:dyDescent="0.3">
      <c r="A882" s="21" t="s">
        <v>295</v>
      </c>
      <c r="B882" s="21" t="s">
        <v>295</v>
      </c>
      <c r="C882" s="12" t="s">
        <v>337</v>
      </c>
      <c r="D882" s="22">
        <f>IFERROR(SUMIFS(DataEntry!$HA:$HA,DataEntry!$A:$A,"Zomba",DataEntry!$B:$B,"Zomba"),"")</f>
        <v>18253408820.740143</v>
      </c>
    </row>
    <row r="883" spans="1:4" x14ac:dyDescent="0.3">
      <c r="A883" s="19" t="s">
        <v>295</v>
      </c>
      <c r="B883" s="19" t="s">
        <v>295</v>
      </c>
      <c r="C883" s="6" t="s">
        <v>338</v>
      </c>
      <c r="D883" s="24">
        <f>IFERROR(AVERAGEIFS(DataEntry!$HC:$HC,DataEntry!$A:$A,"Zomba",DataEntry!$B:$B,"Zomba"),"")</f>
        <v>0.30360751600647179</v>
      </c>
    </row>
    <row r="884" spans="1:4" x14ac:dyDescent="0.3">
      <c r="A884" s="21" t="s">
        <v>295</v>
      </c>
      <c r="B884" s="21" t="s">
        <v>295</v>
      </c>
      <c r="C884" s="12" t="s">
        <v>339</v>
      </c>
      <c r="D884" s="23">
        <f>IFERROR(AVERAGEIFS(DataEntry!$HB:$HB,DataEntry!$A:$A,"Zomba",DataEntry!$B:$B,"Zomba"),"")</f>
        <v>45781799.054827958</v>
      </c>
    </row>
    <row r="885" spans="1:4" x14ac:dyDescent="0.3">
      <c r="A885" s="19" t="s">
        <v>295</v>
      </c>
      <c r="B885" s="19" t="s">
        <v>295</v>
      </c>
      <c r="C885" s="6" t="s">
        <v>340</v>
      </c>
      <c r="D885" s="20">
        <f>IFERROR(SUMIFS(DataEntry!$CS:$CS,DataEntry!$A:$A,"Zomba",DataEntry!$B:$B,"Zomba"),"")</f>
        <v>219745</v>
      </c>
    </row>
    <row r="886" spans="1:4" x14ac:dyDescent="0.3">
      <c r="A886" s="21" t="s">
        <v>295</v>
      </c>
      <c r="B886" s="21" t="s">
        <v>295</v>
      </c>
      <c r="C886" s="12" t="s">
        <v>341</v>
      </c>
      <c r="D886" s="22">
        <f>IFERROR(SUMIFS(DataEntry!$CT:$CT,DataEntry!$A:$A,"Zomba",DataEntry!$B:$B,"Zomba"),"")</f>
        <v>317889</v>
      </c>
    </row>
    <row r="887" spans="1:4" x14ac:dyDescent="0.3">
      <c r="A887" s="19" t="s">
        <v>295</v>
      </c>
      <c r="B887" s="19" t="s">
        <v>295</v>
      </c>
      <c r="C887" s="6" t="s">
        <v>342</v>
      </c>
      <c r="D887" s="20">
        <f>IFERROR(SUMIFS(DataEntry!$CV:$CV,DataEntry!$A:$A,"Zomba",DataEntry!$B:$B,"Zomba"),"")</f>
        <v>1693624.5999999999</v>
      </c>
    </row>
    <row r="888" spans="1:4" x14ac:dyDescent="0.3">
      <c r="A888" s="21" t="s">
        <v>295</v>
      </c>
      <c r="B888" s="21" t="s">
        <v>295</v>
      </c>
      <c r="C888" s="12" t="s">
        <v>343</v>
      </c>
      <c r="D888" s="23">
        <f>IFERROR(AVERAGEIFS(DataEntry!$CW:$CW,DataEntry!$A:$A,"Zomba",DataEntry!$B:$B,"Zomba"),"")</f>
        <v>0.99985475850290717</v>
      </c>
    </row>
    <row r="889" spans="1:4" x14ac:dyDescent="0.3">
      <c r="A889" s="19" t="s">
        <v>295</v>
      </c>
      <c r="B889" s="19" t="s">
        <v>295</v>
      </c>
      <c r="C889" s="6" t="s">
        <v>344</v>
      </c>
      <c r="D889" s="20">
        <f>IFERROR(SUMIFS(DataEntry!$CA:$CA,DataEntry!$A:$A,"Zomba",DataEntry!$B:$B,"Zomba"),"")</f>
        <v>1713</v>
      </c>
    </row>
    <row r="890" spans="1:4" x14ac:dyDescent="0.3">
      <c r="A890" s="21" t="s">
        <v>295</v>
      </c>
      <c r="B890" s="21" t="s">
        <v>295</v>
      </c>
      <c r="C890" s="12" t="s">
        <v>345</v>
      </c>
      <c r="D890" s="22">
        <f>IFERROR(SUMIFS(DataEntry!$DV:$DV,DataEntry!$A:$A,"Zomba",DataEntry!$B:$B,"Zomba"),"")</f>
        <v>13244</v>
      </c>
    </row>
    <row r="891" spans="1:4" x14ac:dyDescent="0.3">
      <c r="A891" s="19" t="s">
        <v>295</v>
      </c>
      <c r="B891" s="19" t="s">
        <v>295</v>
      </c>
      <c r="C891" s="6" t="s">
        <v>346</v>
      </c>
      <c r="D891" s="20">
        <f>IFERROR(SUMIFS(DataEntry!$FG:$FG,DataEntry!$A:$A,"Zomba",DataEntry!$B:$B,"Zomba"),"")</f>
        <v>6319</v>
      </c>
    </row>
    <row r="892" spans="1:4" x14ac:dyDescent="0.3">
      <c r="A892" s="21" t="s">
        <v>295</v>
      </c>
      <c r="B892" s="21" t="s">
        <v>295</v>
      </c>
      <c r="C892" s="12" t="s">
        <v>347</v>
      </c>
      <c r="D892" s="23">
        <f>IFERROR(AVERAGEIFS(DataEntry!$HK:$HK,DataEntry!$A:$A,"Zomba",DataEntry!$B:$B,"Zomba"),"")</f>
        <v>4.1195334846228402</v>
      </c>
    </row>
    <row r="893" spans="1:4" x14ac:dyDescent="0.3">
      <c r="A893" s="19" t="s">
        <v>295</v>
      </c>
      <c r="B893" s="19" t="s">
        <v>295</v>
      </c>
      <c r="C893" s="6" t="s">
        <v>348</v>
      </c>
      <c r="D893" s="24">
        <f>IFERROR(AVERAGEIFS(DataEntry!$HN:$HN,DataEntry!$A:$A,"Zomba",DataEntry!$B:$B,"Zomba"),"")</f>
        <v>0.87415475178938651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showGridLines="0" workbookViewId="0"/>
  </sheetViews>
  <sheetFormatPr defaultColWidth="8.6640625" defaultRowHeight="14.4" x14ac:dyDescent="0.3"/>
  <cols>
    <col min="1" max="1" width="8.88671875" style="28" customWidth="1"/>
    <col min="3" max="3" width="8.88671875" style="28" customWidth="1"/>
    <col min="4" max="4" width="11.109375" style="28" customWidth="1"/>
    <col min="6" max="6" width="5.21875" style="28" customWidth="1"/>
    <col min="7" max="7" width="26.6640625" style="28" customWidth="1"/>
  </cols>
  <sheetData>
    <row r="1" spans="1:7" ht="25.5" customHeight="1" x14ac:dyDescent="0.3">
      <c r="A1" s="46" t="s">
        <v>349</v>
      </c>
      <c r="B1" s="47"/>
      <c r="C1" s="47"/>
      <c r="D1" s="47"/>
      <c r="E1" s="47"/>
      <c r="F1" s="47"/>
      <c r="G1" s="47"/>
    </row>
    <row r="3" spans="1:7" x14ac:dyDescent="0.3">
      <c r="A3" s="26" t="s">
        <v>350</v>
      </c>
      <c r="C3" s="26" t="s">
        <v>351</v>
      </c>
      <c r="D3" s="26" t="s">
        <v>352</v>
      </c>
      <c r="F3" s="26" t="s">
        <v>353</v>
      </c>
      <c r="G3" s="26" t="s">
        <v>354</v>
      </c>
    </row>
    <row r="4" spans="1:7" x14ac:dyDescent="0.3">
      <c r="A4" s="1" t="s">
        <v>255</v>
      </c>
      <c r="C4" s="1" t="s">
        <v>255</v>
      </c>
      <c r="D4" s="1" t="s">
        <v>256</v>
      </c>
      <c r="F4" s="1" t="s">
        <v>259</v>
      </c>
      <c r="G4" s="1" t="s">
        <v>355</v>
      </c>
    </row>
    <row r="5" spans="1:7" x14ac:dyDescent="0.3">
      <c r="A5" s="27" t="s">
        <v>276</v>
      </c>
      <c r="C5" s="27" t="s">
        <v>255</v>
      </c>
      <c r="D5" s="27" t="s">
        <v>255</v>
      </c>
      <c r="F5" s="27" t="s">
        <v>263</v>
      </c>
      <c r="G5" s="27" t="s">
        <v>356</v>
      </c>
    </row>
    <row r="6" spans="1:7" x14ac:dyDescent="0.3">
      <c r="A6" s="1" t="s">
        <v>280</v>
      </c>
      <c r="C6" s="1" t="s">
        <v>255</v>
      </c>
      <c r="D6" s="1" t="s">
        <v>274</v>
      </c>
      <c r="F6" s="1" t="s">
        <v>267</v>
      </c>
      <c r="G6" s="1" t="s">
        <v>357</v>
      </c>
    </row>
    <row r="7" spans="1:7" x14ac:dyDescent="0.3">
      <c r="A7" s="27" t="s">
        <v>289</v>
      </c>
      <c r="C7" s="27" t="s">
        <v>255</v>
      </c>
      <c r="D7" s="27" t="s">
        <v>275</v>
      </c>
      <c r="F7" s="27" t="s">
        <v>271</v>
      </c>
      <c r="G7" s="27" t="s">
        <v>358</v>
      </c>
    </row>
    <row r="8" spans="1:7" x14ac:dyDescent="0.3">
      <c r="A8" s="1" t="s">
        <v>295</v>
      </c>
      <c r="C8" s="1" t="s">
        <v>276</v>
      </c>
      <c r="D8" s="1" t="s">
        <v>276</v>
      </c>
    </row>
    <row r="9" spans="1:7" x14ac:dyDescent="0.3">
      <c r="C9" s="27" t="s">
        <v>276</v>
      </c>
      <c r="D9" s="27" t="s">
        <v>277</v>
      </c>
    </row>
    <row r="10" spans="1:7" x14ac:dyDescent="0.3">
      <c r="C10" s="1" t="s">
        <v>276</v>
      </c>
      <c r="D10" s="1" t="s">
        <v>278</v>
      </c>
    </row>
    <row r="11" spans="1:7" x14ac:dyDescent="0.3">
      <c r="C11" s="27" t="s">
        <v>276</v>
      </c>
      <c r="D11" s="27" t="s">
        <v>279</v>
      </c>
    </row>
    <row r="12" spans="1:7" x14ac:dyDescent="0.3">
      <c r="C12" s="1" t="s">
        <v>280</v>
      </c>
      <c r="D12" s="1" t="s">
        <v>281</v>
      </c>
    </row>
    <row r="13" spans="1:7" x14ac:dyDescent="0.3">
      <c r="C13" s="27" t="s">
        <v>280</v>
      </c>
      <c r="D13" s="27" t="s">
        <v>282</v>
      </c>
    </row>
    <row r="14" spans="1:7" x14ac:dyDescent="0.3">
      <c r="C14" s="1" t="s">
        <v>280</v>
      </c>
      <c r="D14" s="1" t="s">
        <v>283</v>
      </c>
    </row>
    <row r="15" spans="1:7" x14ac:dyDescent="0.3">
      <c r="C15" s="27" t="s">
        <v>280</v>
      </c>
      <c r="D15" s="27" t="s">
        <v>284</v>
      </c>
    </row>
    <row r="16" spans="1:7" x14ac:dyDescent="0.3">
      <c r="C16" s="1" t="s">
        <v>280</v>
      </c>
      <c r="D16" s="1" t="s">
        <v>280</v>
      </c>
    </row>
    <row r="17" spans="3:4" x14ac:dyDescent="0.3">
      <c r="C17" s="27" t="s">
        <v>280</v>
      </c>
      <c r="D17" s="27" t="s">
        <v>285</v>
      </c>
    </row>
    <row r="18" spans="3:4" x14ac:dyDescent="0.3">
      <c r="C18" s="1" t="s">
        <v>280</v>
      </c>
      <c r="D18" s="1" t="s">
        <v>286</v>
      </c>
    </row>
    <row r="19" spans="3:4" x14ac:dyDescent="0.3">
      <c r="C19" s="27" t="s">
        <v>280</v>
      </c>
      <c r="D19" s="27" t="s">
        <v>287</v>
      </c>
    </row>
    <row r="20" spans="3:4" x14ac:dyDescent="0.3">
      <c r="C20" s="1" t="s">
        <v>280</v>
      </c>
      <c r="D20" s="1" t="s">
        <v>288</v>
      </c>
    </row>
    <row r="21" spans="3:4" x14ac:dyDescent="0.3">
      <c r="C21" s="27" t="s">
        <v>289</v>
      </c>
      <c r="D21" s="27" t="s">
        <v>290</v>
      </c>
    </row>
    <row r="22" spans="3:4" x14ac:dyDescent="0.3">
      <c r="C22" s="1" t="s">
        <v>289</v>
      </c>
      <c r="D22" s="1" t="s">
        <v>291</v>
      </c>
    </row>
    <row r="23" spans="3:4" x14ac:dyDescent="0.3">
      <c r="C23" s="27" t="s">
        <v>289</v>
      </c>
      <c r="D23" s="27" t="s">
        <v>292</v>
      </c>
    </row>
    <row r="24" spans="3:4" x14ac:dyDescent="0.3">
      <c r="C24" s="1" t="s">
        <v>289</v>
      </c>
      <c r="D24" s="1" t="s">
        <v>293</v>
      </c>
    </row>
    <row r="25" spans="3:4" x14ac:dyDescent="0.3">
      <c r="C25" s="27" t="s">
        <v>289</v>
      </c>
      <c r="D25" s="27" t="s">
        <v>289</v>
      </c>
    </row>
    <row r="26" spans="3:4" x14ac:dyDescent="0.3">
      <c r="C26" s="1" t="s">
        <v>289</v>
      </c>
      <c r="D26" s="1" t="s">
        <v>294</v>
      </c>
    </row>
    <row r="27" spans="3:4" x14ac:dyDescent="0.3">
      <c r="C27" s="27" t="s">
        <v>295</v>
      </c>
      <c r="D27" s="27" t="s">
        <v>296</v>
      </c>
    </row>
    <row r="28" spans="3:4" x14ac:dyDescent="0.3">
      <c r="C28" s="1" t="s">
        <v>295</v>
      </c>
      <c r="D28" s="1" t="s">
        <v>297</v>
      </c>
    </row>
    <row r="29" spans="3:4" x14ac:dyDescent="0.3">
      <c r="C29" s="27" t="s">
        <v>295</v>
      </c>
      <c r="D29" s="27" t="s">
        <v>298</v>
      </c>
    </row>
    <row r="30" spans="3:4" x14ac:dyDescent="0.3">
      <c r="C30" s="1" t="s">
        <v>295</v>
      </c>
      <c r="D30" s="1" t="s">
        <v>299</v>
      </c>
    </row>
    <row r="31" spans="3:4" x14ac:dyDescent="0.3">
      <c r="C31" s="27" t="s">
        <v>295</v>
      </c>
      <c r="D31" s="27" t="s">
        <v>300</v>
      </c>
    </row>
    <row r="32" spans="3:4" x14ac:dyDescent="0.3">
      <c r="C32" s="1" t="s">
        <v>295</v>
      </c>
      <c r="D32" s="1" t="s">
        <v>301</v>
      </c>
    </row>
    <row r="33" spans="3:4" x14ac:dyDescent="0.3">
      <c r="C33" s="27" t="s">
        <v>295</v>
      </c>
      <c r="D33" s="27" t="s">
        <v>302</v>
      </c>
    </row>
    <row r="34" spans="3:4" x14ac:dyDescent="0.3">
      <c r="C34" s="1" t="s">
        <v>295</v>
      </c>
      <c r="D34" s="1" t="s">
        <v>303</v>
      </c>
    </row>
    <row r="35" spans="3:4" x14ac:dyDescent="0.3">
      <c r="C35" s="27" t="s">
        <v>295</v>
      </c>
      <c r="D35" s="27" t="s">
        <v>304</v>
      </c>
    </row>
    <row r="36" spans="3:4" x14ac:dyDescent="0.3">
      <c r="C36" s="1" t="s">
        <v>295</v>
      </c>
      <c r="D36" s="1" t="s">
        <v>295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DataEntry</vt:lpstr>
      <vt:lpstr>Quarterly</vt:lpstr>
      <vt:lpstr>Annual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Cromwell Mhango</cp:lastModifiedBy>
  <dcterms:created xsi:type="dcterms:W3CDTF">2026-06-10T17:53:44Z</dcterms:created>
  <dcterms:modified xsi:type="dcterms:W3CDTF">2026-06-11T09:41:13Z</dcterms:modified>
</cp:coreProperties>
</file>