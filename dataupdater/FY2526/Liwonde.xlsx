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landa Mkwende\Documents\SRWB\2026\April 2026\PM\"/>
    </mc:Choice>
  </mc:AlternateContent>
  <xr:revisionPtr revIDLastSave="0" documentId="13_ncr:1_{ADDA4F9C-9C12-4E4A-B2D0-1273EF54040F}" xr6:coauthVersionLast="47" xr6:coauthVersionMax="47" xr10:uidLastSave="{00000000-0000-0000-0000-000000000000}"/>
  <bookViews>
    <workbookView xWindow="-108" yWindow="-108" windowWidth="23256" windowHeight="12456" tabRatio="889" activeTab="3" xr2:uid="{00000000-000D-0000-FFFF-FFFF00000000}"/>
  </bookViews>
  <sheets>
    <sheet name="Balaka" sheetId="1" r:id="rId1"/>
    <sheet name="Liwonde" sheetId="2" r:id="rId2"/>
    <sheet name="Machinga" sheetId="3" r:id="rId3"/>
    <sheet name="Ntaja" sheetId="4" r:id="rId4"/>
    <sheet name="Zone Monthly" sheetId="11" r:id="rId5"/>
    <sheet name="1st QTR" sheetId="12" r:id="rId6"/>
    <sheet name="2nd QTR " sheetId="13" r:id="rId7"/>
    <sheet name="Midyear Summary" sheetId="14" r:id="rId8"/>
    <sheet name="3rd QTR" sheetId="15" r:id="rId9"/>
    <sheet name="4th QTR" sheetId="16" r:id="rId10"/>
    <sheet name="Zone Annual Summary" sheetId="1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4" i="1" l="1"/>
  <c r="N140" i="1"/>
  <c r="M229" i="2"/>
  <c r="M51" i="2" l="1"/>
  <c r="L36" i="2"/>
  <c r="M36" i="2"/>
  <c r="M140" i="1"/>
  <c r="M51" i="1"/>
  <c r="L204" i="1"/>
  <c r="O36" i="2" l="1"/>
  <c r="N36" i="2"/>
  <c r="K36" i="2"/>
  <c r="J36" i="2"/>
  <c r="I36" i="2"/>
  <c r="H36" i="2"/>
  <c r="G36" i="2"/>
  <c r="F36" i="2" l="1"/>
  <c r="E36" i="2" l="1"/>
  <c r="E46" i="1"/>
  <c r="D62" i="1" l="1"/>
  <c r="O263" i="4" l="1"/>
  <c r="N263" i="4"/>
  <c r="M263" i="4"/>
  <c r="L263" i="4"/>
  <c r="K263" i="4"/>
  <c r="J263" i="4"/>
  <c r="I263" i="4"/>
  <c r="H263" i="4"/>
  <c r="G263" i="4"/>
  <c r="F263" i="4"/>
  <c r="E263" i="4"/>
  <c r="D263" i="4"/>
  <c r="P262" i="4"/>
  <c r="P261" i="4"/>
  <c r="P257" i="4"/>
  <c r="M256" i="4"/>
  <c r="M258" i="4" s="1"/>
  <c r="P254" i="4"/>
  <c r="P253" i="4"/>
  <c r="I250" i="4"/>
  <c r="O247" i="4"/>
  <c r="N247" i="4"/>
  <c r="M247" i="4"/>
  <c r="L247" i="4"/>
  <c r="K247" i="4"/>
  <c r="J247" i="4"/>
  <c r="I247" i="4"/>
  <c r="H247" i="4"/>
  <c r="G247" i="4"/>
  <c r="F247" i="4"/>
  <c r="E247" i="4"/>
  <c r="D247" i="4"/>
  <c r="P246" i="4"/>
  <c r="P245" i="4"/>
  <c r="P247" i="4" s="1"/>
  <c r="O242" i="4"/>
  <c r="N242" i="4"/>
  <c r="M242" i="4"/>
  <c r="L242" i="4"/>
  <c r="K242" i="4"/>
  <c r="J242" i="4"/>
  <c r="I242" i="4"/>
  <c r="H242" i="4"/>
  <c r="G242" i="4"/>
  <c r="F242" i="4"/>
  <c r="E242" i="4"/>
  <c r="D242" i="4"/>
  <c r="P241" i="4"/>
  <c r="P240" i="4"/>
  <c r="P239" i="4"/>
  <c r="P238" i="4"/>
  <c r="O236" i="4"/>
  <c r="N236" i="4"/>
  <c r="M236" i="4"/>
  <c r="L236" i="4"/>
  <c r="K236" i="4"/>
  <c r="J236" i="4"/>
  <c r="I236" i="4"/>
  <c r="H236" i="4"/>
  <c r="G236" i="4"/>
  <c r="F236" i="4"/>
  <c r="E236" i="4"/>
  <c r="D236" i="4"/>
  <c r="P235" i="4"/>
  <c r="P234" i="4"/>
  <c r="P233" i="4"/>
  <c r="P232" i="4"/>
  <c r="O229" i="4"/>
  <c r="N229" i="4"/>
  <c r="M229" i="4"/>
  <c r="L229" i="4"/>
  <c r="K229" i="4"/>
  <c r="J229" i="4"/>
  <c r="I229" i="4"/>
  <c r="H229" i="4"/>
  <c r="G229" i="4"/>
  <c r="F229" i="4"/>
  <c r="E229" i="4"/>
  <c r="D229" i="4"/>
  <c r="P228" i="4"/>
  <c r="P227" i="4"/>
  <c r="P226" i="4"/>
  <c r="P225" i="4"/>
  <c r="O223" i="4"/>
  <c r="N223" i="4"/>
  <c r="M223" i="4"/>
  <c r="L223" i="4"/>
  <c r="L251" i="4" s="1"/>
  <c r="K223" i="4"/>
  <c r="J223" i="4"/>
  <c r="I223" i="4"/>
  <c r="H223" i="4"/>
  <c r="H230" i="4" s="1"/>
  <c r="G223" i="4"/>
  <c r="F223" i="4"/>
  <c r="E223" i="4"/>
  <c r="E230" i="4" s="1"/>
  <c r="D223" i="4"/>
  <c r="D230" i="4" s="1"/>
  <c r="P222" i="4"/>
  <c r="P221" i="4"/>
  <c r="P220" i="4"/>
  <c r="P219" i="4"/>
  <c r="I217" i="4"/>
  <c r="O216" i="4"/>
  <c r="N216" i="4"/>
  <c r="M216" i="4"/>
  <c r="L216" i="4"/>
  <c r="K216" i="4"/>
  <c r="J216" i="4"/>
  <c r="I216" i="4"/>
  <c r="H216" i="4"/>
  <c r="G216" i="4"/>
  <c r="F216" i="4"/>
  <c r="E216" i="4"/>
  <c r="D216" i="4"/>
  <c r="P215" i="4"/>
  <c r="P214" i="4"/>
  <c r="P213" i="4"/>
  <c r="P212" i="4"/>
  <c r="O210" i="4"/>
  <c r="N210" i="4"/>
  <c r="M210" i="4"/>
  <c r="L210" i="4"/>
  <c r="K210" i="4"/>
  <c r="K251" i="4" s="1"/>
  <c r="J210" i="4"/>
  <c r="I210" i="4"/>
  <c r="H210" i="4"/>
  <c r="H250" i="4" s="1"/>
  <c r="G210" i="4"/>
  <c r="G250" i="4" s="1"/>
  <c r="F210" i="4"/>
  <c r="F217" i="4" s="1"/>
  <c r="E210" i="4"/>
  <c r="E217" i="4" s="1"/>
  <c r="D210" i="4"/>
  <c r="D217" i="4" s="1"/>
  <c r="P209" i="4"/>
  <c r="P208" i="4"/>
  <c r="P207" i="4"/>
  <c r="P206" i="4"/>
  <c r="O204" i="4"/>
  <c r="N204" i="4"/>
  <c r="M204" i="4"/>
  <c r="L204" i="4"/>
  <c r="K204" i="4"/>
  <c r="J204" i="4"/>
  <c r="I204" i="4"/>
  <c r="H204" i="4"/>
  <c r="G204" i="4"/>
  <c r="F204" i="4"/>
  <c r="E204" i="4"/>
  <c r="D204" i="4"/>
  <c r="P203" i="4"/>
  <c r="P202" i="4"/>
  <c r="P201" i="4"/>
  <c r="P200" i="4"/>
  <c r="P199" i="4"/>
  <c r="P197" i="4"/>
  <c r="P196" i="4"/>
  <c r="P195" i="4"/>
  <c r="P194" i="4"/>
  <c r="O193" i="4"/>
  <c r="N193" i="4"/>
  <c r="M193" i="4"/>
  <c r="L193" i="4"/>
  <c r="K193" i="4"/>
  <c r="J193" i="4"/>
  <c r="I193" i="4"/>
  <c r="H193" i="4"/>
  <c r="G193" i="4"/>
  <c r="F193" i="4"/>
  <c r="E193" i="4"/>
  <c r="D193" i="4"/>
  <c r="P192" i="4"/>
  <c r="P191" i="4"/>
  <c r="P190" i="4"/>
  <c r="P189" i="4"/>
  <c r="P187" i="4"/>
  <c r="P186" i="4"/>
  <c r="P185" i="4"/>
  <c r="P184" i="4"/>
  <c r="P182" i="4"/>
  <c r="P181" i="4"/>
  <c r="P180" i="4"/>
  <c r="P179" i="4"/>
  <c r="P178" i="4"/>
  <c r="P177" i="4"/>
  <c r="P175" i="4"/>
  <c r="P174" i="4"/>
  <c r="P173" i="4"/>
  <c r="P172" i="4"/>
  <c r="P171" i="4"/>
  <c r="P170" i="4"/>
  <c r="P169" i="4"/>
  <c r="P168" i="4"/>
  <c r="P167" i="4"/>
  <c r="P165" i="4"/>
  <c r="P164" i="4"/>
  <c r="P163" i="4"/>
  <c r="P162" i="4"/>
  <c r="P161" i="4"/>
  <c r="P160" i="4"/>
  <c r="P159" i="4"/>
  <c r="P158" i="4"/>
  <c r="P157" i="4"/>
  <c r="P156" i="4"/>
  <c r="P155" i="4"/>
  <c r="P154" i="4"/>
  <c r="P153" i="4"/>
  <c r="O148" i="4"/>
  <c r="N148" i="4"/>
  <c r="M148" i="4"/>
  <c r="L148" i="4"/>
  <c r="K148" i="4"/>
  <c r="J148" i="4"/>
  <c r="I148" i="4"/>
  <c r="H148" i="4"/>
  <c r="G148" i="4"/>
  <c r="F148" i="4"/>
  <c r="E148" i="4"/>
  <c r="D148" i="4"/>
  <c r="O147" i="4"/>
  <c r="N147" i="4"/>
  <c r="M147" i="4"/>
  <c r="L147" i="4"/>
  <c r="K147" i="4"/>
  <c r="J147" i="4"/>
  <c r="I147" i="4"/>
  <c r="H147" i="4"/>
  <c r="G147" i="4"/>
  <c r="F147" i="4"/>
  <c r="E147" i="4"/>
  <c r="D147" i="4"/>
  <c r="O146" i="4"/>
  <c r="N146" i="4"/>
  <c r="M146" i="4"/>
  <c r="L146" i="4"/>
  <c r="K146" i="4"/>
  <c r="J146" i="4"/>
  <c r="J149" i="4" s="1"/>
  <c r="I146" i="4"/>
  <c r="H146" i="4"/>
  <c r="G146" i="4"/>
  <c r="F146" i="4"/>
  <c r="E146" i="4"/>
  <c r="E149" i="4" s="1"/>
  <c r="D146" i="4"/>
  <c r="O145" i="4"/>
  <c r="O149" i="4" s="1"/>
  <c r="N145" i="4"/>
  <c r="N149" i="4" s="1"/>
  <c r="M145" i="4"/>
  <c r="L145" i="4"/>
  <c r="K145" i="4"/>
  <c r="K149" i="4" s="1"/>
  <c r="J145" i="4"/>
  <c r="I145" i="4"/>
  <c r="H145" i="4"/>
  <c r="G145" i="4"/>
  <c r="F145" i="4"/>
  <c r="E145" i="4"/>
  <c r="D145" i="4"/>
  <c r="O144" i="4"/>
  <c r="N144" i="4"/>
  <c r="M144" i="4"/>
  <c r="L144" i="4"/>
  <c r="K144" i="4"/>
  <c r="J144" i="4"/>
  <c r="I144" i="4"/>
  <c r="H144" i="4"/>
  <c r="G144" i="4"/>
  <c r="F144" i="4"/>
  <c r="E144" i="4"/>
  <c r="D144" i="4"/>
  <c r="P143" i="4"/>
  <c r="P142" i="4"/>
  <c r="P141" i="4"/>
  <c r="P140" i="4"/>
  <c r="O139" i="4"/>
  <c r="N139" i="4"/>
  <c r="M139" i="4"/>
  <c r="L139" i="4"/>
  <c r="K139" i="4"/>
  <c r="J139" i="4"/>
  <c r="I139" i="4"/>
  <c r="H139" i="4"/>
  <c r="G139" i="4"/>
  <c r="F139" i="4"/>
  <c r="E139" i="4"/>
  <c r="D139" i="4"/>
  <c r="P138" i="4"/>
  <c r="P137" i="4"/>
  <c r="P136" i="4"/>
  <c r="P135" i="4"/>
  <c r="P139" i="4" s="1"/>
  <c r="O134" i="4"/>
  <c r="N134" i="4"/>
  <c r="M134" i="4"/>
  <c r="L134" i="4"/>
  <c r="K134" i="4"/>
  <c r="J134" i="4"/>
  <c r="I134" i="4"/>
  <c r="H134" i="4"/>
  <c r="G134" i="4"/>
  <c r="F134" i="4"/>
  <c r="E134" i="4"/>
  <c r="D134" i="4"/>
  <c r="P133" i="4"/>
  <c r="P132" i="4"/>
  <c r="P131" i="4"/>
  <c r="P130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P128" i="4"/>
  <c r="P148" i="4" s="1"/>
  <c r="P127" i="4"/>
  <c r="P126" i="4"/>
  <c r="P125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P122" i="4"/>
  <c r="P123" i="4" s="1"/>
  <c r="P121" i="4"/>
  <c r="O117" i="4"/>
  <c r="N117" i="4"/>
  <c r="M117" i="4"/>
  <c r="L117" i="4"/>
  <c r="L118" i="4" s="1"/>
  <c r="L119" i="4" s="1"/>
  <c r="K117" i="4"/>
  <c r="J117" i="4"/>
  <c r="I117" i="4"/>
  <c r="H117" i="4"/>
  <c r="G117" i="4"/>
  <c r="F117" i="4"/>
  <c r="E117" i="4"/>
  <c r="D117" i="4"/>
  <c r="P116" i="4"/>
  <c r="P115" i="4"/>
  <c r="P114" i="4"/>
  <c r="P113" i="4"/>
  <c r="P117" i="4" s="1"/>
  <c r="O111" i="4"/>
  <c r="P111" i="4" s="1"/>
  <c r="N111" i="4"/>
  <c r="M111" i="4"/>
  <c r="M118" i="4" s="1"/>
  <c r="L111" i="4"/>
  <c r="K111" i="4"/>
  <c r="J111" i="4"/>
  <c r="J118" i="4" s="1"/>
  <c r="I111" i="4"/>
  <c r="H111" i="4"/>
  <c r="G111" i="4"/>
  <c r="G118" i="4" s="1"/>
  <c r="F111" i="4"/>
  <c r="E111" i="4"/>
  <c r="E118" i="4" s="1"/>
  <c r="D111" i="4"/>
  <c r="P110" i="4"/>
  <c r="P109" i="4"/>
  <c r="P108" i="4"/>
  <c r="P107" i="4"/>
  <c r="O105" i="4"/>
  <c r="N105" i="4"/>
  <c r="M105" i="4"/>
  <c r="L105" i="4"/>
  <c r="K105" i="4"/>
  <c r="J105" i="4"/>
  <c r="I105" i="4"/>
  <c r="H105" i="4"/>
  <c r="G105" i="4"/>
  <c r="F105" i="4"/>
  <c r="E105" i="4"/>
  <c r="E119" i="4" s="1"/>
  <c r="D105" i="4"/>
  <c r="P104" i="4"/>
  <c r="P103" i="4"/>
  <c r="P102" i="4"/>
  <c r="P101" i="4"/>
  <c r="P98" i="4"/>
  <c r="O93" i="4"/>
  <c r="O94" i="4" s="1"/>
  <c r="N93" i="4"/>
  <c r="M93" i="4"/>
  <c r="M94" i="4" s="1"/>
  <c r="L93" i="4"/>
  <c r="K93" i="4"/>
  <c r="J93" i="4"/>
  <c r="I93" i="4"/>
  <c r="H93" i="4"/>
  <c r="G93" i="4"/>
  <c r="F93" i="4"/>
  <c r="E93" i="4"/>
  <c r="D93" i="4"/>
  <c r="O92" i="4"/>
  <c r="N92" i="4"/>
  <c r="M92" i="4"/>
  <c r="L92" i="4"/>
  <c r="K92" i="4"/>
  <c r="J92" i="4"/>
  <c r="I92" i="4"/>
  <c r="H92" i="4"/>
  <c r="G92" i="4"/>
  <c r="F92" i="4"/>
  <c r="E92" i="4"/>
  <c r="D92" i="4"/>
  <c r="O91" i="4"/>
  <c r="O256" i="4" s="1"/>
  <c r="O258" i="4" s="1"/>
  <c r="N91" i="4"/>
  <c r="N256" i="4" s="1"/>
  <c r="N258" i="4" s="1"/>
  <c r="M91" i="4"/>
  <c r="L91" i="4"/>
  <c r="L256" i="4" s="1"/>
  <c r="L258" i="4" s="1"/>
  <c r="K91" i="4"/>
  <c r="K256" i="4" s="1"/>
  <c r="K258" i="4" s="1"/>
  <c r="J91" i="4"/>
  <c r="J256" i="4" s="1"/>
  <c r="J258" i="4" s="1"/>
  <c r="I91" i="4"/>
  <c r="I256" i="4" s="1"/>
  <c r="I258" i="4" s="1"/>
  <c r="H91" i="4"/>
  <c r="H256" i="4" s="1"/>
  <c r="H258" i="4" s="1"/>
  <c r="G91" i="4"/>
  <c r="F91" i="4"/>
  <c r="F256" i="4" s="1"/>
  <c r="F258" i="4" s="1"/>
  <c r="E91" i="4"/>
  <c r="E256" i="4" s="1"/>
  <c r="E258" i="4" s="1"/>
  <c r="D91" i="4"/>
  <c r="D256" i="4" s="1"/>
  <c r="O90" i="4"/>
  <c r="N90" i="4"/>
  <c r="M90" i="4"/>
  <c r="L90" i="4"/>
  <c r="K90" i="4"/>
  <c r="J90" i="4"/>
  <c r="I90" i="4"/>
  <c r="H90" i="4"/>
  <c r="G90" i="4"/>
  <c r="F90" i="4"/>
  <c r="E90" i="4"/>
  <c r="D90" i="4"/>
  <c r="P90" i="4" s="1"/>
  <c r="O88" i="4"/>
  <c r="O89" i="4" s="1"/>
  <c r="N88" i="4"/>
  <c r="N89" i="4" s="1"/>
  <c r="M88" i="4"/>
  <c r="M89" i="4" s="1"/>
  <c r="L88" i="4"/>
  <c r="L89" i="4" s="1"/>
  <c r="K88" i="4"/>
  <c r="K89" i="4" s="1"/>
  <c r="J88" i="4"/>
  <c r="J89" i="4" s="1"/>
  <c r="I88" i="4"/>
  <c r="I89" i="4" s="1"/>
  <c r="H88" i="4"/>
  <c r="H89" i="4" s="1"/>
  <c r="G88" i="4"/>
  <c r="G89" i="4" s="1"/>
  <c r="F88" i="4"/>
  <c r="F89" i="4" s="1"/>
  <c r="E88" i="4"/>
  <c r="E89" i="4" s="1"/>
  <c r="D88" i="4"/>
  <c r="P87" i="4"/>
  <c r="P86" i="4"/>
  <c r="P85" i="4"/>
  <c r="P84" i="4"/>
  <c r="O83" i="4"/>
  <c r="L83" i="4"/>
  <c r="E83" i="4"/>
  <c r="O82" i="4"/>
  <c r="N82" i="4"/>
  <c r="N83" i="4" s="1"/>
  <c r="M82" i="4"/>
  <c r="M83" i="4" s="1"/>
  <c r="L82" i="4"/>
  <c r="K82" i="4"/>
  <c r="K83" i="4" s="1"/>
  <c r="J82" i="4"/>
  <c r="J83" i="4" s="1"/>
  <c r="I82" i="4"/>
  <c r="I83" i="4" s="1"/>
  <c r="H82" i="4"/>
  <c r="H83" i="4" s="1"/>
  <c r="G82" i="4"/>
  <c r="G83" i="4" s="1"/>
  <c r="F82" i="4"/>
  <c r="F83" i="4" s="1"/>
  <c r="E82" i="4"/>
  <c r="D82" i="4"/>
  <c r="D83" i="4" s="1"/>
  <c r="P81" i="4"/>
  <c r="P82" i="4" s="1"/>
  <c r="P83" i="4" s="1"/>
  <c r="P80" i="4"/>
  <c r="P79" i="4"/>
  <c r="P78" i="4"/>
  <c r="F77" i="4"/>
  <c r="O76" i="4"/>
  <c r="N76" i="4"/>
  <c r="N77" i="4" s="1"/>
  <c r="M76" i="4"/>
  <c r="M77" i="4" s="1"/>
  <c r="L76" i="4"/>
  <c r="L77" i="4" s="1"/>
  <c r="K76" i="4"/>
  <c r="K77" i="4" s="1"/>
  <c r="J76" i="4"/>
  <c r="J77" i="4" s="1"/>
  <c r="I76" i="4"/>
  <c r="I77" i="4" s="1"/>
  <c r="H76" i="4"/>
  <c r="H77" i="4" s="1"/>
  <c r="G76" i="4"/>
  <c r="G77" i="4" s="1"/>
  <c r="F76" i="4"/>
  <c r="E76" i="4"/>
  <c r="E77" i="4" s="1"/>
  <c r="D76" i="4"/>
  <c r="D77" i="4" s="1"/>
  <c r="P75" i="4"/>
  <c r="P74" i="4"/>
  <c r="P76" i="4" s="1"/>
  <c r="P73" i="4"/>
  <c r="P72" i="4"/>
  <c r="P77" i="4" s="1"/>
  <c r="H71" i="4"/>
  <c r="O70" i="4"/>
  <c r="O71" i="4" s="1"/>
  <c r="N70" i="4"/>
  <c r="N71" i="4" s="1"/>
  <c r="M70" i="4"/>
  <c r="M71" i="4" s="1"/>
  <c r="L70" i="4"/>
  <c r="L71" i="4" s="1"/>
  <c r="K70" i="4"/>
  <c r="K71" i="4" s="1"/>
  <c r="J70" i="4"/>
  <c r="J71" i="4" s="1"/>
  <c r="I70" i="4"/>
  <c r="I71" i="4" s="1"/>
  <c r="G70" i="4"/>
  <c r="G71" i="4" s="1"/>
  <c r="F70" i="4"/>
  <c r="F71" i="4" s="1"/>
  <c r="E70" i="4"/>
  <c r="E71" i="4" s="1"/>
  <c r="D70" i="4"/>
  <c r="D71" i="4" s="1"/>
  <c r="P69" i="4"/>
  <c r="P68" i="4"/>
  <c r="P67" i="4"/>
  <c r="P66" i="4"/>
  <c r="P63" i="4"/>
  <c r="O62" i="4"/>
  <c r="N62" i="4"/>
  <c r="M62" i="4"/>
  <c r="L62" i="4"/>
  <c r="K62" i="4"/>
  <c r="J62" i="4"/>
  <c r="I62" i="4"/>
  <c r="H62" i="4"/>
  <c r="G62" i="4"/>
  <c r="F62" i="4"/>
  <c r="E62" i="4"/>
  <c r="D62" i="4"/>
  <c r="P61" i="4"/>
  <c r="P56" i="4"/>
  <c r="P55" i="4"/>
  <c r="P54" i="4"/>
  <c r="P52" i="4"/>
  <c r="P51" i="4"/>
  <c r="P50" i="4"/>
  <c r="P49" i="4"/>
  <c r="O46" i="4"/>
  <c r="O47" i="4" s="1"/>
  <c r="N46" i="4"/>
  <c r="N47" i="4" s="1"/>
  <c r="M46" i="4"/>
  <c r="M47" i="4" s="1"/>
  <c r="L46" i="4"/>
  <c r="L47" i="4" s="1"/>
  <c r="K46" i="4"/>
  <c r="K47" i="4" s="1"/>
  <c r="J46" i="4"/>
  <c r="J47" i="4" s="1"/>
  <c r="I46" i="4"/>
  <c r="I47" i="4" s="1"/>
  <c r="H46" i="4"/>
  <c r="H47" i="4" s="1"/>
  <c r="G46" i="4"/>
  <c r="G47" i="4" s="1"/>
  <c r="F46" i="4"/>
  <c r="F47" i="4" s="1"/>
  <c r="E46" i="4"/>
  <c r="E47" i="4" s="1"/>
  <c r="D46" i="4"/>
  <c r="D47" i="4" s="1"/>
  <c r="O45" i="4"/>
  <c r="N45" i="4"/>
  <c r="M45" i="4"/>
  <c r="L45" i="4"/>
  <c r="K45" i="4"/>
  <c r="J45" i="4"/>
  <c r="I45" i="4"/>
  <c r="H45" i="4"/>
  <c r="G45" i="4"/>
  <c r="F45" i="4"/>
  <c r="E45" i="4"/>
  <c r="D45" i="4"/>
  <c r="P44" i="4"/>
  <c r="O40" i="4"/>
  <c r="N40" i="4"/>
  <c r="M40" i="4"/>
  <c r="L40" i="4"/>
  <c r="K40" i="4"/>
  <c r="J40" i="4"/>
  <c r="I40" i="4"/>
  <c r="H40" i="4"/>
  <c r="G40" i="4"/>
  <c r="F40" i="4"/>
  <c r="E40" i="4"/>
  <c r="D40" i="4"/>
  <c r="P39" i="4"/>
  <c r="O38" i="4"/>
  <c r="N38" i="4"/>
  <c r="M38" i="4"/>
  <c r="L38" i="4"/>
  <c r="K38" i="4"/>
  <c r="J38" i="4"/>
  <c r="I38" i="4"/>
  <c r="H38" i="4"/>
  <c r="G38" i="4"/>
  <c r="F38" i="4"/>
  <c r="E38" i="4"/>
  <c r="D38" i="4"/>
  <c r="P37" i="4"/>
  <c r="O34" i="4"/>
  <c r="N34" i="4"/>
  <c r="M34" i="4"/>
  <c r="L34" i="4"/>
  <c r="K34" i="4"/>
  <c r="J34" i="4"/>
  <c r="I34" i="4"/>
  <c r="H34" i="4"/>
  <c r="G34" i="4"/>
  <c r="F34" i="4"/>
  <c r="E34" i="4"/>
  <c r="D34" i="4"/>
  <c r="P33" i="4"/>
  <c r="O32" i="4"/>
  <c r="N32" i="4"/>
  <c r="M32" i="4"/>
  <c r="L32" i="4"/>
  <c r="K32" i="4"/>
  <c r="J32" i="4"/>
  <c r="I32" i="4"/>
  <c r="H32" i="4"/>
  <c r="G32" i="4"/>
  <c r="F32" i="4"/>
  <c r="E32" i="4"/>
  <c r="D32" i="4"/>
  <c r="P31" i="4"/>
  <c r="O30" i="4"/>
  <c r="N30" i="4"/>
  <c r="M30" i="4"/>
  <c r="L30" i="4"/>
  <c r="K30" i="4"/>
  <c r="J30" i="4"/>
  <c r="I30" i="4"/>
  <c r="H30" i="4"/>
  <c r="G30" i="4"/>
  <c r="F30" i="4"/>
  <c r="E30" i="4"/>
  <c r="D30" i="4"/>
  <c r="P29" i="4"/>
  <c r="O21" i="4"/>
  <c r="N21" i="4"/>
  <c r="M21" i="4"/>
  <c r="L21" i="4"/>
  <c r="K21" i="4"/>
  <c r="J21" i="4"/>
  <c r="I21" i="4"/>
  <c r="H21" i="4"/>
  <c r="G21" i="4"/>
  <c r="F21" i="4"/>
  <c r="E21" i="4"/>
  <c r="D21" i="4"/>
  <c r="P20" i="4"/>
  <c r="P19" i="4"/>
  <c r="P18" i="4"/>
  <c r="P17" i="4"/>
  <c r="O15" i="4"/>
  <c r="N15" i="4"/>
  <c r="M15" i="4"/>
  <c r="M22" i="4" s="1"/>
  <c r="M24" i="4" s="1"/>
  <c r="M25" i="4" s="1"/>
  <c r="L15" i="4"/>
  <c r="K15" i="4"/>
  <c r="J15" i="4"/>
  <c r="I15" i="4"/>
  <c r="H15" i="4"/>
  <c r="G15" i="4"/>
  <c r="F15" i="4"/>
  <c r="E15" i="4"/>
  <c r="D15" i="4"/>
  <c r="P14" i="4"/>
  <c r="P13" i="4"/>
  <c r="P12" i="4"/>
  <c r="P11" i="4"/>
  <c r="P9" i="4"/>
  <c r="O263" i="3"/>
  <c r="N263" i="3"/>
  <c r="M263" i="3"/>
  <c r="L263" i="3"/>
  <c r="K263" i="3"/>
  <c r="J263" i="3"/>
  <c r="I263" i="3"/>
  <c r="H263" i="3"/>
  <c r="G263" i="3"/>
  <c r="F263" i="3"/>
  <c r="E263" i="3"/>
  <c r="D263" i="3"/>
  <c r="P262" i="3"/>
  <c r="P261" i="3"/>
  <c r="P257" i="3"/>
  <c r="P254" i="3"/>
  <c r="P253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P246" i="3"/>
  <c r="P245" i="3"/>
  <c r="P247" i="3" s="1"/>
  <c r="O242" i="3"/>
  <c r="N242" i="3"/>
  <c r="L242" i="3"/>
  <c r="K242" i="3"/>
  <c r="J242" i="3"/>
  <c r="I242" i="3"/>
  <c r="H242" i="3"/>
  <c r="G242" i="3"/>
  <c r="F242" i="3"/>
  <c r="E242" i="3"/>
  <c r="D242" i="3"/>
  <c r="P241" i="3"/>
  <c r="P240" i="3"/>
  <c r="P239" i="3"/>
  <c r="P238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P235" i="3"/>
  <c r="P234" i="3"/>
  <c r="P233" i="3"/>
  <c r="P232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P228" i="3"/>
  <c r="P227" i="3"/>
  <c r="P226" i="3"/>
  <c r="P225" i="3"/>
  <c r="O223" i="3"/>
  <c r="N223" i="3"/>
  <c r="N230" i="3" s="1"/>
  <c r="M223" i="3"/>
  <c r="L223" i="3"/>
  <c r="K223" i="3"/>
  <c r="J223" i="3"/>
  <c r="I223" i="3"/>
  <c r="H223" i="3"/>
  <c r="H230" i="3" s="1"/>
  <c r="G223" i="3"/>
  <c r="G230" i="3" s="1"/>
  <c r="F223" i="3"/>
  <c r="E223" i="3"/>
  <c r="D223" i="3"/>
  <c r="D230" i="3" s="1"/>
  <c r="P222" i="3"/>
  <c r="P221" i="3"/>
  <c r="P220" i="3"/>
  <c r="P219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P215" i="3"/>
  <c r="P214" i="3"/>
  <c r="P213" i="3"/>
  <c r="P212" i="3"/>
  <c r="O210" i="3"/>
  <c r="N210" i="3"/>
  <c r="M210" i="3"/>
  <c r="L210" i="3"/>
  <c r="K210" i="3"/>
  <c r="K251" i="3" s="1"/>
  <c r="J210" i="3"/>
  <c r="J250" i="3" s="1"/>
  <c r="I210" i="3"/>
  <c r="H210" i="3"/>
  <c r="H250" i="3" s="1"/>
  <c r="G210" i="3"/>
  <c r="F210" i="3"/>
  <c r="E210" i="3"/>
  <c r="D210" i="3"/>
  <c r="P209" i="3"/>
  <c r="P208" i="3"/>
  <c r="P207" i="3"/>
  <c r="P206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P203" i="3"/>
  <c r="P202" i="3"/>
  <c r="P201" i="3"/>
  <c r="P200" i="3"/>
  <c r="P199" i="3"/>
  <c r="P197" i="3"/>
  <c r="P196" i="3"/>
  <c r="P195" i="3"/>
  <c r="P194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P192" i="3"/>
  <c r="P191" i="3"/>
  <c r="P190" i="3"/>
  <c r="P189" i="3"/>
  <c r="P187" i="3"/>
  <c r="P186" i="3"/>
  <c r="P185" i="3"/>
  <c r="P184" i="3"/>
  <c r="P182" i="3"/>
  <c r="P181" i="3"/>
  <c r="P180" i="3"/>
  <c r="P179" i="3"/>
  <c r="P178" i="3"/>
  <c r="P177" i="3"/>
  <c r="P175" i="3"/>
  <c r="P174" i="3"/>
  <c r="P173" i="3"/>
  <c r="P172" i="3"/>
  <c r="P171" i="3"/>
  <c r="P170" i="3"/>
  <c r="P169" i="3"/>
  <c r="P168" i="3"/>
  <c r="P167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O146" i="3"/>
  <c r="N146" i="3"/>
  <c r="M146" i="3"/>
  <c r="L146" i="3"/>
  <c r="K146" i="3"/>
  <c r="K149" i="3" s="1"/>
  <c r="J146" i="3"/>
  <c r="I146" i="3"/>
  <c r="H146" i="3"/>
  <c r="G146" i="3"/>
  <c r="F146" i="3"/>
  <c r="E146" i="3"/>
  <c r="D146" i="3"/>
  <c r="O145" i="3"/>
  <c r="O149" i="3" s="1"/>
  <c r="N145" i="3"/>
  <c r="M145" i="3"/>
  <c r="L145" i="3"/>
  <c r="L149" i="3" s="1"/>
  <c r="K145" i="3"/>
  <c r="J145" i="3"/>
  <c r="J149" i="3" s="1"/>
  <c r="I145" i="3"/>
  <c r="I149" i="3" s="1"/>
  <c r="H145" i="3"/>
  <c r="H149" i="3" s="1"/>
  <c r="G145" i="3"/>
  <c r="G149" i="3" s="1"/>
  <c r="F145" i="3"/>
  <c r="F149" i="3" s="1"/>
  <c r="E145" i="3"/>
  <c r="E149" i="3" s="1"/>
  <c r="D145" i="3"/>
  <c r="D149" i="3" s="1"/>
  <c r="O144" i="3"/>
  <c r="N144" i="3"/>
  <c r="M144" i="3"/>
  <c r="L144" i="3"/>
  <c r="K144" i="3"/>
  <c r="J144" i="3"/>
  <c r="I144" i="3"/>
  <c r="H144" i="3"/>
  <c r="G144" i="3"/>
  <c r="F144" i="3"/>
  <c r="E144" i="3"/>
  <c r="D144" i="3"/>
  <c r="P143" i="3"/>
  <c r="P142" i="3"/>
  <c r="P141" i="3"/>
  <c r="P140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P138" i="3"/>
  <c r="P137" i="3"/>
  <c r="P136" i="3"/>
  <c r="P135" i="3"/>
  <c r="P139" i="3" s="1"/>
  <c r="O134" i="3"/>
  <c r="N134" i="3"/>
  <c r="M134" i="3"/>
  <c r="L134" i="3"/>
  <c r="K134" i="3"/>
  <c r="J134" i="3"/>
  <c r="I134" i="3"/>
  <c r="H134" i="3"/>
  <c r="G134" i="3"/>
  <c r="F134" i="3"/>
  <c r="E134" i="3"/>
  <c r="D134" i="3"/>
  <c r="P133" i="3"/>
  <c r="P132" i="3"/>
  <c r="P131" i="3"/>
  <c r="P130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P128" i="3"/>
  <c r="P127" i="3"/>
  <c r="P147" i="3" s="1"/>
  <c r="P126" i="3"/>
  <c r="P125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P122" i="3"/>
  <c r="P123" i="3" s="1"/>
  <c r="P121" i="3"/>
  <c r="K118" i="3"/>
  <c r="O117" i="3"/>
  <c r="N117" i="3"/>
  <c r="M117" i="3"/>
  <c r="L117" i="3"/>
  <c r="L118" i="3" s="1"/>
  <c r="L119" i="3" s="1"/>
  <c r="K117" i="3"/>
  <c r="J117" i="3"/>
  <c r="I117" i="3"/>
  <c r="H117" i="3"/>
  <c r="G117" i="3"/>
  <c r="F117" i="3"/>
  <c r="E117" i="3"/>
  <c r="D117" i="3"/>
  <c r="P116" i="3"/>
  <c r="P115" i="3"/>
  <c r="P114" i="3"/>
  <c r="P113" i="3"/>
  <c r="O111" i="3"/>
  <c r="N111" i="3"/>
  <c r="M111" i="3"/>
  <c r="M118" i="3" s="1"/>
  <c r="M119" i="3" s="1"/>
  <c r="L111" i="3"/>
  <c r="K111" i="3"/>
  <c r="J111" i="3"/>
  <c r="J118" i="3" s="1"/>
  <c r="I111" i="3"/>
  <c r="H111" i="3"/>
  <c r="G111" i="3"/>
  <c r="F111" i="3"/>
  <c r="F118" i="3" s="1"/>
  <c r="E111" i="3"/>
  <c r="D111" i="3"/>
  <c r="P110" i="3"/>
  <c r="P109" i="3"/>
  <c r="P108" i="3"/>
  <c r="P107" i="3"/>
  <c r="O105" i="3"/>
  <c r="P105" i="3" s="1"/>
  <c r="N105" i="3"/>
  <c r="M105" i="3"/>
  <c r="L105" i="3"/>
  <c r="K105" i="3"/>
  <c r="J105" i="3"/>
  <c r="I105" i="3"/>
  <c r="H105" i="3"/>
  <c r="G105" i="3"/>
  <c r="F105" i="3"/>
  <c r="E105" i="3"/>
  <c r="D105" i="3"/>
  <c r="P104" i="3"/>
  <c r="P103" i="3"/>
  <c r="P102" i="3"/>
  <c r="P101" i="3"/>
  <c r="P98" i="3"/>
  <c r="O93" i="3"/>
  <c r="N93" i="3"/>
  <c r="M93" i="3"/>
  <c r="M94" i="3" s="1"/>
  <c r="L93" i="3"/>
  <c r="K93" i="3"/>
  <c r="J93" i="3"/>
  <c r="I93" i="3"/>
  <c r="H93" i="3"/>
  <c r="G93" i="3"/>
  <c r="F93" i="3"/>
  <c r="E93" i="3"/>
  <c r="E94" i="3" s="1"/>
  <c r="D93" i="3"/>
  <c r="O92" i="3"/>
  <c r="O94" i="3" s="1"/>
  <c r="N92" i="3"/>
  <c r="M92" i="3"/>
  <c r="L92" i="3"/>
  <c r="K92" i="3"/>
  <c r="J92" i="3"/>
  <c r="I92" i="3"/>
  <c r="H92" i="3"/>
  <c r="G92" i="3"/>
  <c r="G94" i="3" s="1"/>
  <c r="G95" i="3" s="1"/>
  <c r="G255" i="3" s="1"/>
  <c r="F92" i="3"/>
  <c r="E92" i="3"/>
  <c r="D92" i="3"/>
  <c r="O91" i="3"/>
  <c r="O256" i="3" s="1"/>
  <c r="O258" i="3" s="1"/>
  <c r="N91" i="3"/>
  <c r="N256" i="3" s="1"/>
  <c r="N258" i="3" s="1"/>
  <c r="M91" i="3"/>
  <c r="M256" i="3" s="1"/>
  <c r="M258" i="3" s="1"/>
  <c r="L91" i="3"/>
  <c r="L256" i="3" s="1"/>
  <c r="L258" i="3" s="1"/>
  <c r="K91" i="3"/>
  <c r="K256" i="3" s="1"/>
  <c r="K258" i="3" s="1"/>
  <c r="J91" i="3"/>
  <c r="I91" i="3"/>
  <c r="I256" i="3" s="1"/>
  <c r="I258" i="3" s="1"/>
  <c r="H91" i="3"/>
  <c r="H256" i="3" s="1"/>
  <c r="H258" i="3" s="1"/>
  <c r="G91" i="3"/>
  <c r="G256" i="3" s="1"/>
  <c r="G258" i="3" s="1"/>
  <c r="F91" i="3"/>
  <c r="F256" i="3" s="1"/>
  <c r="F258" i="3" s="1"/>
  <c r="E91" i="3"/>
  <c r="E256" i="3" s="1"/>
  <c r="E258" i="3" s="1"/>
  <c r="D91" i="3"/>
  <c r="D256" i="3" s="1"/>
  <c r="D258" i="3" s="1"/>
  <c r="O90" i="3"/>
  <c r="N90" i="3"/>
  <c r="M90" i="3"/>
  <c r="L90" i="3"/>
  <c r="K90" i="3"/>
  <c r="J90" i="3"/>
  <c r="I90" i="3"/>
  <c r="H90" i="3"/>
  <c r="G90" i="3"/>
  <c r="F90" i="3"/>
  <c r="E90" i="3"/>
  <c r="D90" i="3"/>
  <c r="P90" i="3" s="1"/>
  <c r="I89" i="3"/>
  <c r="F89" i="3"/>
  <c r="O88" i="3"/>
  <c r="O89" i="3" s="1"/>
  <c r="N88" i="3"/>
  <c r="N89" i="3" s="1"/>
  <c r="M88" i="3"/>
  <c r="M89" i="3" s="1"/>
  <c r="L88" i="3"/>
  <c r="L89" i="3" s="1"/>
  <c r="K88" i="3"/>
  <c r="K89" i="3" s="1"/>
  <c r="J88" i="3"/>
  <c r="J89" i="3" s="1"/>
  <c r="I88" i="3"/>
  <c r="H88" i="3"/>
  <c r="H89" i="3" s="1"/>
  <c r="G88" i="3"/>
  <c r="G89" i="3" s="1"/>
  <c r="F88" i="3"/>
  <c r="E88" i="3"/>
  <c r="E89" i="3" s="1"/>
  <c r="D88" i="3"/>
  <c r="P87" i="3"/>
  <c r="P86" i="3"/>
  <c r="P85" i="3"/>
  <c r="P84" i="3"/>
  <c r="N83" i="3"/>
  <c r="L83" i="3"/>
  <c r="D83" i="3"/>
  <c r="O82" i="3"/>
  <c r="O83" i="3" s="1"/>
  <c r="N82" i="3"/>
  <c r="M82" i="3"/>
  <c r="M83" i="3" s="1"/>
  <c r="L82" i="3"/>
  <c r="K82" i="3"/>
  <c r="K83" i="3" s="1"/>
  <c r="J82" i="3"/>
  <c r="J83" i="3" s="1"/>
  <c r="I82" i="3"/>
  <c r="I83" i="3" s="1"/>
  <c r="H82" i="3"/>
  <c r="H83" i="3" s="1"/>
  <c r="G82" i="3"/>
  <c r="G83" i="3" s="1"/>
  <c r="F82" i="3"/>
  <c r="F83" i="3" s="1"/>
  <c r="E82" i="3"/>
  <c r="E83" i="3" s="1"/>
  <c r="D82" i="3"/>
  <c r="P81" i="3"/>
  <c r="P82" i="3" s="1"/>
  <c r="P80" i="3"/>
  <c r="P79" i="3"/>
  <c r="P78" i="3"/>
  <c r="P83" i="3" s="1"/>
  <c r="J77" i="3"/>
  <c r="H77" i="3"/>
  <c r="O76" i="3"/>
  <c r="O77" i="3" s="1"/>
  <c r="N76" i="3"/>
  <c r="N77" i="3" s="1"/>
  <c r="M76" i="3"/>
  <c r="M77" i="3" s="1"/>
  <c r="L76" i="3"/>
  <c r="L77" i="3" s="1"/>
  <c r="K76" i="3"/>
  <c r="K77" i="3" s="1"/>
  <c r="J76" i="3"/>
  <c r="I76" i="3"/>
  <c r="I77" i="3" s="1"/>
  <c r="H76" i="3"/>
  <c r="G76" i="3"/>
  <c r="G77" i="3" s="1"/>
  <c r="F76" i="3"/>
  <c r="F77" i="3" s="1"/>
  <c r="E76" i="3"/>
  <c r="E77" i="3" s="1"/>
  <c r="D76" i="3"/>
  <c r="D77" i="3" s="1"/>
  <c r="P75" i="3"/>
  <c r="P74" i="3"/>
  <c r="P73" i="3"/>
  <c r="P72" i="3"/>
  <c r="N71" i="3"/>
  <c r="F71" i="3"/>
  <c r="O70" i="3"/>
  <c r="O71" i="3" s="1"/>
  <c r="N70" i="3"/>
  <c r="M70" i="3"/>
  <c r="M71" i="3" s="1"/>
  <c r="L70" i="3"/>
  <c r="L71" i="3" s="1"/>
  <c r="K70" i="3"/>
  <c r="K71" i="3" s="1"/>
  <c r="J70" i="3"/>
  <c r="J71" i="3" s="1"/>
  <c r="I70" i="3"/>
  <c r="I71" i="3" s="1"/>
  <c r="H71" i="3"/>
  <c r="G70" i="3"/>
  <c r="G71" i="3" s="1"/>
  <c r="F70" i="3"/>
  <c r="E70" i="3"/>
  <c r="E71" i="3" s="1"/>
  <c r="D70" i="3"/>
  <c r="D71" i="3" s="1"/>
  <c r="P69" i="3"/>
  <c r="P68" i="3"/>
  <c r="P67" i="3"/>
  <c r="P66" i="3"/>
  <c r="P63" i="3"/>
  <c r="O62" i="3"/>
  <c r="N62" i="3"/>
  <c r="M62" i="3"/>
  <c r="L62" i="3"/>
  <c r="K62" i="3"/>
  <c r="J62" i="3"/>
  <c r="I62" i="3"/>
  <c r="H62" i="3"/>
  <c r="G62" i="3"/>
  <c r="F62" i="3"/>
  <c r="E62" i="3"/>
  <c r="D62" i="3"/>
  <c r="P61" i="3"/>
  <c r="P56" i="3"/>
  <c r="P55" i="3"/>
  <c r="P54" i="3"/>
  <c r="P52" i="3"/>
  <c r="P51" i="3"/>
  <c r="P50" i="3"/>
  <c r="P49" i="3"/>
  <c r="N47" i="3"/>
  <c r="G47" i="3"/>
  <c r="O46" i="3"/>
  <c r="O47" i="3" s="1"/>
  <c r="N46" i="3"/>
  <c r="M46" i="3"/>
  <c r="M47" i="3" s="1"/>
  <c r="L46" i="3"/>
  <c r="L47" i="3" s="1"/>
  <c r="K46" i="3"/>
  <c r="J46" i="3"/>
  <c r="J47" i="3" s="1"/>
  <c r="I46" i="3"/>
  <c r="I47" i="3" s="1"/>
  <c r="H46" i="3"/>
  <c r="H47" i="3" s="1"/>
  <c r="G46" i="3"/>
  <c r="F46" i="3"/>
  <c r="F47" i="3" s="1"/>
  <c r="E46" i="3"/>
  <c r="E47" i="3" s="1"/>
  <c r="D46" i="3"/>
  <c r="D47" i="3" s="1"/>
  <c r="O45" i="3"/>
  <c r="N45" i="3"/>
  <c r="M45" i="3"/>
  <c r="L45" i="3"/>
  <c r="K45" i="3"/>
  <c r="J45" i="3"/>
  <c r="I45" i="3"/>
  <c r="H45" i="3"/>
  <c r="G45" i="3"/>
  <c r="F45" i="3"/>
  <c r="E45" i="3"/>
  <c r="D45" i="3"/>
  <c r="P44" i="3"/>
  <c r="O40" i="3"/>
  <c r="N40" i="3"/>
  <c r="M40" i="3"/>
  <c r="L40" i="3"/>
  <c r="K40" i="3"/>
  <c r="J40" i="3"/>
  <c r="I40" i="3"/>
  <c r="H40" i="3"/>
  <c r="G40" i="3"/>
  <c r="F40" i="3"/>
  <c r="E40" i="3"/>
  <c r="D40" i="3"/>
  <c r="P39" i="3"/>
  <c r="O38" i="3"/>
  <c r="N38" i="3"/>
  <c r="M38" i="3"/>
  <c r="L38" i="3"/>
  <c r="K38" i="3"/>
  <c r="J38" i="3"/>
  <c r="I38" i="3"/>
  <c r="H38" i="3"/>
  <c r="G38" i="3"/>
  <c r="F38" i="3"/>
  <c r="E38" i="3"/>
  <c r="D38" i="3"/>
  <c r="P37" i="3"/>
  <c r="O34" i="3"/>
  <c r="N34" i="3"/>
  <c r="M34" i="3"/>
  <c r="L34" i="3"/>
  <c r="K34" i="3"/>
  <c r="J34" i="3"/>
  <c r="I34" i="3"/>
  <c r="H34" i="3"/>
  <c r="G34" i="3"/>
  <c r="F34" i="3"/>
  <c r="E34" i="3"/>
  <c r="D34" i="3"/>
  <c r="P33" i="3"/>
  <c r="O32" i="3"/>
  <c r="N32" i="3"/>
  <c r="M32" i="3"/>
  <c r="L32" i="3"/>
  <c r="K32" i="3"/>
  <c r="J32" i="3"/>
  <c r="I32" i="3"/>
  <c r="H32" i="3"/>
  <c r="G32" i="3"/>
  <c r="F32" i="3"/>
  <c r="E32" i="3"/>
  <c r="D32" i="3"/>
  <c r="P31" i="3"/>
  <c r="O30" i="3"/>
  <c r="N30" i="3"/>
  <c r="M30" i="3"/>
  <c r="L30" i="3"/>
  <c r="K30" i="3"/>
  <c r="J30" i="3"/>
  <c r="I30" i="3"/>
  <c r="H30" i="3"/>
  <c r="G30" i="3"/>
  <c r="F30" i="3"/>
  <c r="E30" i="3"/>
  <c r="D30" i="3"/>
  <c r="P29" i="3"/>
  <c r="O21" i="3"/>
  <c r="N21" i="3"/>
  <c r="M21" i="3"/>
  <c r="L21" i="3"/>
  <c r="K21" i="3"/>
  <c r="J21" i="3"/>
  <c r="I21" i="3"/>
  <c r="H21" i="3"/>
  <c r="G21" i="3"/>
  <c r="F21" i="3"/>
  <c r="E21" i="3"/>
  <c r="D21" i="3"/>
  <c r="P20" i="3"/>
  <c r="P19" i="3"/>
  <c r="P18" i="3"/>
  <c r="P17" i="3"/>
  <c r="O15" i="3"/>
  <c r="N15" i="3"/>
  <c r="M15" i="3"/>
  <c r="M22" i="3" s="1"/>
  <c r="L15" i="3"/>
  <c r="K15" i="3"/>
  <c r="J15" i="3"/>
  <c r="I15" i="3"/>
  <c r="H15" i="3"/>
  <c r="H22" i="3" s="1"/>
  <c r="H24" i="3" s="1"/>
  <c r="H25" i="3" s="1"/>
  <c r="G15" i="3"/>
  <c r="G22" i="3" s="1"/>
  <c r="G24" i="3" s="1"/>
  <c r="G25" i="3" s="1"/>
  <c r="F15" i="3"/>
  <c r="E15" i="3"/>
  <c r="D15" i="3"/>
  <c r="P14" i="3"/>
  <c r="P13" i="3"/>
  <c r="P12" i="3"/>
  <c r="P11" i="3"/>
  <c r="P9" i="3"/>
  <c r="O263" i="2"/>
  <c r="N263" i="2"/>
  <c r="M263" i="2"/>
  <c r="L263" i="2"/>
  <c r="K263" i="2"/>
  <c r="J263" i="2"/>
  <c r="I263" i="2"/>
  <c r="H263" i="2"/>
  <c r="G263" i="2"/>
  <c r="F263" i="2"/>
  <c r="E263" i="2"/>
  <c r="D263" i="2"/>
  <c r="P262" i="2"/>
  <c r="P261" i="2"/>
  <c r="P257" i="2"/>
  <c r="P254" i="2"/>
  <c r="P253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P246" i="2"/>
  <c r="P245" i="2"/>
  <c r="P247" i="2" s="1"/>
  <c r="O242" i="2"/>
  <c r="N242" i="2"/>
  <c r="M242" i="2"/>
  <c r="L242" i="2"/>
  <c r="K242" i="2"/>
  <c r="J242" i="2"/>
  <c r="I242" i="2"/>
  <c r="H242" i="2"/>
  <c r="G242" i="2"/>
  <c r="F242" i="2"/>
  <c r="E242" i="2"/>
  <c r="D242" i="2"/>
  <c r="P241" i="2"/>
  <c r="P240" i="2"/>
  <c r="P239" i="2"/>
  <c r="P238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P235" i="2"/>
  <c r="P234" i="2"/>
  <c r="P233" i="2"/>
  <c r="P232" i="2"/>
  <c r="O229" i="2"/>
  <c r="N229" i="2"/>
  <c r="L229" i="2"/>
  <c r="K229" i="2"/>
  <c r="J229" i="2"/>
  <c r="I229" i="2"/>
  <c r="H229" i="2"/>
  <c r="G229" i="2"/>
  <c r="F229" i="2"/>
  <c r="E229" i="2"/>
  <c r="D229" i="2"/>
  <c r="P228" i="2"/>
  <c r="P227" i="2"/>
  <c r="P226" i="2"/>
  <c r="P225" i="2"/>
  <c r="O223" i="2"/>
  <c r="N223" i="2"/>
  <c r="M223" i="2"/>
  <c r="L223" i="2"/>
  <c r="L230" i="2" s="1"/>
  <c r="K223" i="2"/>
  <c r="J223" i="2"/>
  <c r="I223" i="2"/>
  <c r="H223" i="2"/>
  <c r="G223" i="2"/>
  <c r="F223" i="2"/>
  <c r="E223" i="2"/>
  <c r="D223" i="2"/>
  <c r="D230" i="2" s="1"/>
  <c r="P222" i="2"/>
  <c r="P221" i="2"/>
  <c r="P220" i="2"/>
  <c r="P219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P215" i="2"/>
  <c r="P214" i="2"/>
  <c r="P213" i="2"/>
  <c r="P212" i="2"/>
  <c r="O210" i="2"/>
  <c r="N210" i="2"/>
  <c r="M210" i="2"/>
  <c r="L210" i="2"/>
  <c r="K210" i="2"/>
  <c r="K250" i="2" s="1"/>
  <c r="J210" i="2"/>
  <c r="J251" i="2" s="1"/>
  <c r="I210" i="2"/>
  <c r="H210" i="2"/>
  <c r="H250" i="2" s="1"/>
  <c r="G210" i="2"/>
  <c r="G250" i="2" s="1"/>
  <c r="F210" i="2"/>
  <c r="F217" i="2" s="1"/>
  <c r="E210" i="2"/>
  <c r="E217" i="2" s="1"/>
  <c r="D210" i="2"/>
  <c r="D217" i="2" s="1"/>
  <c r="P209" i="2"/>
  <c r="P208" i="2"/>
  <c r="P207" i="2"/>
  <c r="P206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P203" i="2"/>
  <c r="P202" i="2"/>
  <c r="P201" i="2"/>
  <c r="P200" i="2"/>
  <c r="P199" i="2"/>
  <c r="P197" i="2"/>
  <c r="P196" i="2"/>
  <c r="P195" i="2"/>
  <c r="P194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P192" i="2"/>
  <c r="P191" i="2"/>
  <c r="P190" i="2"/>
  <c r="P189" i="2"/>
  <c r="P187" i="2"/>
  <c r="P186" i="2"/>
  <c r="P185" i="2"/>
  <c r="P184" i="2"/>
  <c r="P182" i="2"/>
  <c r="P181" i="2"/>
  <c r="P180" i="2"/>
  <c r="P179" i="2"/>
  <c r="P178" i="2"/>
  <c r="P177" i="2"/>
  <c r="P175" i="2"/>
  <c r="P174" i="2"/>
  <c r="P173" i="2"/>
  <c r="P172" i="2"/>
  <c r="P171" i="2"/>
  <c r="P170" i="2"/>
  <c r="P169" i="2"/>
  <c r="P168" i="2"/>
  <c r="P167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O145" i="2"/>
  <c r="N145" i="2"/>
  <c r="M145" i="2"/>
  <c r="M149" i="2" s="1"/>
  <c r="L145" i="2"/>
  <c r="K145" i="2"/>
  <c r="K149" i="2" s="1"/>
  <c r="J145" i="2"/>
  <c r="J149" i="2" s="1"/>
  <c r="I145" i="2"/>
  <c r="I149" i="2" s="1"/>
  <c r="H145" i="2"/>
  <c r="H149" i="2" s="1"/>
  <c r="G145" i="2"/>
  <c r="G149" i="2" s="1"/>
  <c r="F145" i="2"/>
  <c r="F149" i="2" s="1"/>
  <c r="E145" i="2"/>
  <c r="E149" i="2" s="1"/>
  <c r="D145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P143" i="2"/>
  <c r="P142" i="2"/>
  <c r="P141" i="2"/>
  <c r="P140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P138" i="2"/>
  <c r="P137" i="2"/>
  <c r="P136" i="2"/>
  <c r="P135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P133" i="2"/>
  <c r="P132" i="2"/>
  <c r="P131" i="2"/>
  <c r="P130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P128" i="2"/>
  <c r="P127" i="2"/>
  <c r="P126" i="2"/>
  <c r="P125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P122" i="2"/>
  <c r="P121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P116" i="2"/>
  <c r="P115" i="2"/>
  <c r="P114" i="2"/>
  <c r="P113" i="2"/>
  <c r="O111" i="2"/>
  <c r="P111" i="2" s="1"/>
  <c r="N111" i="2"/>
  <c r="M111" i="2"/>
  <c r="L111" i="2"/>
  <c r="K111" i="2"/>
  <c r="J111" i="2"/>
  <c r="I111" i="2"/>
  <c r="I118" i="2" s="1"/>
  <c r="H111" i="2"/>
  <c r="H118" i="2" s="1"/>
  <c r="G111" i="2"/>
  <c r="F111" i="2"/>
  <c r="F118" i="2" s="1"/>
  <c r="E111" i="2"/>
  <c r="D111" i="2"/>
  <c r="P110" i="2"/>
  <c r="P109" i="2"/>
  <c r="P108" i="2"/>
  <c r="P107" i="2"/>
  <c r="O105" i="2"/>
  <c r="P105" i="2" s="1"/>
  <c r="N105" i="2"/>
  <c r="M105" i="2"/>
  <c r="L105" i="2"/>
  <c r="K105" i="2"/>
  <c r="J105" i="2"/>
  <c r="I105" i="2"/>
  <c r="I119" i="2" s="1"/>
  <c r="H105" i="2"/>
  <c r="G105" i="2"/>
  <c r="F105" i="2"/>
  <c r="E105" i="2"/>
  <c r="D105" i="2"/>
  <c r="P104" i="2"/>
  <c r="P103" i="2"/>
  <c r="P102" i="2"/>
  <c r="P101" i="2"/>
  <c r="P98" i="2"/>
  <c r="O93" i="2"/>
  <c r="N93" i="2"/>
  <c r="M93" i="2"/>
  <c r="L93" i="2"/>
  <c r="K93" i="2"/>
  <c r="J93" i="2"/>
  <c r="I93" i="2"/>
  <c r="H93" i="2"/>
  <c r="G93" i="2"/>
  <c r="F93" i="2"/>
  <c r="E93" i="2"/>
  <c r="D93" i="2"/>
  <c r="O92" i="2"/>
  <c r="N92" i="2"/>
  <c r="M92" i="2"/>
  <c r="L92" i="2"/>
  <c r="L94" i="2" s="1"/>
  <c r="K92" i="2"/>
  <c r="J92" i="2"/>
  <c r="I92" i="2"/>
  <c r="H92" i="2"/>
  <c r="G92" i="2"/>
  <c r="F92" i="2"/>
  <c r="E92" i="2"/>
  <c r="D92" i="2"/>
  <c r="O91" i="2"/>
  <c r="O256" i="2" s="1"/>
  <c r="O258" i="2" s="1"/>
  <c r="N91" i="2"/>
  <c r="N256" i="2" s="1"/>
  <c r="N258" i="2" s="1"/>
  <c r="M91" i="2"/>
  <c r="M256" i="2" s="1"/>
  <c r="M258" i="2" s="1"/>
  <c r="L91" i="2"/>
  <c r="L256" i="2" s="1"/>
  <c r="L258" i="2" s="1"/>
  <c r="K91" i="2"/>
  <c r="K256" i="2" s="1"/>
  <c r="K258" i="2" s="1"/>
  <c r="J91" i="2"/>
  <c r="J256" i="2" s="1"/>
  <c r="J258" i="2" s="1"/>
  <c r="I91" i="2"/>
  <c r="I256" i="2" s="1"/>
  <c r="I258" i="2" s="1"/>
  <c r="H91" i="2"/>
  <c r="H256" i="2" s="1"/>
  <c r="H258" i="2" s="1"/>
  <c r="G91" i="2"/>
  <c r="G256" i="2" s="1"/>
  <c r="G258" i="2" s="1"/>
  <c r="F91" i="2"/>
  <c r="F256" i="2" s="1"/>
  <c r="F258" i="2" s="1"/>
  <c r="E91" i="2"/>
  <c r="E256" i="2" s="1"/>
  <c r="E258" i="2" s="1"/>
  <c r="D91" i="2"/>
  <c r="D256" i="2" s="1"/>
  <c r="D258" i="2" s="1"/>
  <c r="O90" i="2"/>
  <c r="N90" i="2"/>
  <c r="M90" i="2"/>
  <c r="L90" i="2"/>
  <c r="K90" i="2"/>
  <c r="J90" i="2"/>
  <c r="I90" i="2"/>
  <c r="H90" i="2"/>
  <c r="G90" i="2"/>
  <c r="F90" i="2"/>
  <c r="E90" i="2"/>
  <c r="D90" i="2"/>
  <c r="P90" i="2" s="1"/>
  <c r="O88" i="2"/>
  <c r="O89" i="2" s="1"/>
  <c r="N88" i="2"/>
  <c r="N89" i="2" s="1"/>
  <c r="M88" i="2"/>
  <c r="M89" i="2" s="1"/>
  <c r="L88" i="2"/>
  <c r="L89" i="2" s="1"/>
  <c r="K88" i="2"/>
  <c r="K89" i="2" s="1"/>
  <c r="J88" i="2"/>
  <c r="J89" i="2" s="1"/>
  <c r="I88" i="2"/>
  <c r="I89" i="2" s="1"/>
  <c r="H88" i="2"/>
  <c r="H89" i="2" s="1"/>
  <c r="G88" i="2"/>
  <c r="G89" i="2" s="1"/>
  <c r="F88" i="2"/>
  <c r="F89" i="2" s="1"/>
  <c r="E88" i="2"/>
  <c r="E89" i="2" s="1"/>
  <c r="D88" i="2"/>
  <c r="D89" i="2" s="1"/>
  <c r="P87" i="2"/>
  <c r="P86" i="2"/>
  <c r="P85" i="2"/>
  <c r="P84" i="2"/>
  <c r="O82" i="2"/>
  <c r="O83" i="2" s="1"/>
  <c r="N82" i="2"/>
  <c r="N83" i="2" s="1"/>
  <c r="M82" i="2"/>
  <c r="M83" i="2" s="1"/>
  <c r="L82" i="2"/>
  <c r="L83" i="2" s="1"/>
  <c r="K82" i="2"/>
  <c r="K83" i="2" s="1"/>
  <c r="J82" i="2"/>
  <c r="J83" i="2" s="1"/>
  <c r="I82" i="2"/>
  <c r="I83" i="2" s="1"/>
  <c r="H82" i="2"/>
  <c r="H83" i="2" s="1"/>
  <c r="G82" i="2"/>
  <c r="G83" i="2" s="1"/>
  <c r="F82" i="2"/>
  <c r="F83" i="2" s="1"/>
  <c r="E82" i="2"/>
  <c r="E83" i="2" s="1"/>
  <c r="D82" i="2"/>
  <c r="D83" i="2" s="1"/>
  <c r="P81" i="2"/>
  <c r="P80" i="2"/>
  <c r="P82" i="2" s="1"/>
  <c r="P79" i="2"/>
  <c r="P78" i="2"/>
  <c r="O76" i="2"/>
  <c r="O77" i="2" s="1"/>
  <c r="N76" i="2"/>
  <c r="N77" i="2" s="1"/>
  <c r="M76" i="2"/>
  <c r="M77" i="2" s="1"/>
  <c r="L76" i="2"/>
  <c r="L77" i="2" s="1"/>
  <c r="K76" i="2"/>
  <c r="K77" i="2" s="1"/>
  <c r="J76" i="2"/>
  <c r="J77" i="2" s="1"/>
  <c r="I76" i="2"/>
  <c r="I77" i="2" s="1"/>
  <c r="H76" i="2"/>
  <c r="H77" i="2" s="1"/>
  <c r="G76" i="2"/>
  <c r="G77" i="2" s="1"/>
  <c r="F76" i="2"/>
  <c r="F77" i="2" s="1"/>
  <c r="E76" i="2"/>
  <c r="E77" i="2" s="1"/>
  <c r="D76" i="2"/>
  <c r="D77" i="2" s="1"/>
  <c r="P75" i="2"/>
  <c r="P74" i="2"/>
  <c r="P76" i="2" s="1"/>
  <c r="P73" i="2"/>
  <c r="P72" i="2"/>
  <c r="O71" i="2"/>
  <c r="H71" i="2"/>
  <c r="N70" i="2"/>
  <c r="N71" i="2" s="1"/>
  <c r="M70" i="2"/>
  <c r="M71" i="2" s="1"/>
  <c r="L70" i="2"/>
  <c r="L71" i="2" s="1"/>
  <c r="K70" i="2"/>
  <c r="K71" i="2" s="1"/>
  <c r="J70" i="2"/>
  <c r="J71" i="2" s="1"/>
  <c r="I70" i="2"/>
  <c r="I71" i="2" s="1"/>
  <c r="G70" i="2"/>
  <c r="G71" i="2" s="1"/>
  <c r="F70" i="2"/>
  <c r="F71" i="2" s="1"/>
  <c r="E70" i="2"/>
  <c r="E71" i="2" s="1"/>
  <c r="D70" i="2"/>
  <c r="D71" i="2" s="1"/>
  <c r="P69" i="2"/>
  <c r="P68" i="2"/>
  <c r="P67" i="2"/>
  <c r="P66" i="2"/>
  <c r="P63" i="2"/>
  <c r="O62" i="2"/>
  <c r="N62" i="2"/>
  <c r="M62" i="2"/>
  <c r="L62" i="2"/>
  <c r="K62" i="2"/>
  <c r="J62" i="2"/>
  <c r="I62" i="2"/>
  <c r="H62" i="2"/>
  <c r="G62" i="2"/>
  <c r="F62" i="2"/>
  <c r="E62" i="2"/>
  <c r="D62" i="2"/>
  <c r="P61" i="2"/>
  <c r="P56" i="2"/>
  <c r="P55" i="2"/>
  <c r="P54" i="2"/>
  <c r="P52" i="2"/>
  <c r="P51" i="2"/>
  <c r="P50" i="2"/>
  <c r="P49" i="2"/>
  <c r="O46" i="2"/>
  <c r="O47" i="2" s="1"/>
  <c r="N46" i="2"/>
  <c r="N47" i="2" s="1"/>
  <c r="M46" i="2"/>
  <c r="M47" i="2" s="1"/>
  <c r="L46" i="2"/>
  <c r="L47" i="2" s="1"/>
  <c r="K46" i="2"/>
  <c r="K47" i="2" s="1"/>
  <c r="J46" i="2"/>
  <c r="J47" i="2" s="1"/>
  <c r="I46" i="2"/>
  <c r="I47" i="2" s="1"/>
  <c r="H46" i="2"/>
  <c r="H47" i="2" s="1"/>
  <c r="G46" i="2"/>
  <c r="G47" i="2" s="1"/>
  <c r="F46" i="2"/>
  <c r="F47" i="2" s="1"/>
  <c r="E46" i="2"/>
  <c r="E47" i="2" s="1"/>
  <c r="D46" i="2"/>
  <c r="D47" i="2" s="1"/>
  <c r="O45" i="2"/>
  <c r="N45" i="2"/>
  <c r="M45" i="2"/>
  <c r="L45" i="2"/>
  <c r="K45" i="2"/>
  <c r="J45" i="2"/>
  <c r="I45" i="2"/>
  <c r="H45" i="2"/>
  <c r="G45" i="2"/>
  <c r="F45" i="2"/>
  <c r="E45" i="2"/>
  <c r="D45" i="2"/>
  <c r="P44" i="2"/>
  <c r="O40" i="2"/>
  <c r="N40" i="2"/>
  <c r="M40" i="2"/>
  <c r="L40" i="2"/>
  <c r="K40" i="2"/>
  <c r="J40" i="2"/>
  <c r="I40" i="2"/>
  <c r="H40" i="2"/>
  <c r="G40" i="2"/>
  <c r="F40" i="2"/>
  <c r="E40" i="2"/>
  <c r="D40" i="2"/>
  <c r="P39" i="2"/>
  <c r="O38" i="2"/>
  <c r="N38" i="2"/>
  <c r="M38" i="2"/>
  <c r="L38" i="2"/>
  <c r="K38" i="2"/>
  <c r="J38" i="2"/>
  <c r="I38" i="2"/>
  <c r="H38" i="2"/>
  <c r="G38" i="2"/>
  <c r="F38" i="2"/>
  <c r="E38" i="2"/>
  <c r="D38" i="2"/>
  <c r="P37" i="2"/>
  <c r="O34" i="2"/>
  <c r="N34" i="2"/>
  <c r="M34" i="2"/>
  <c r="L34" i="2"/>
  <c r="K34" i="2"/>
  <c r="J34" i="2"/>
  <c r="I34" i="2"/>
  <c r="H34" i="2"/>
  <c r="G34" i="2"/>
  <c r="F34" i="2"/>
  <c r="E34" i="2"/>
  <c r="D34" i="2"/>
  <c r="P33" i="2"/>
  <c r="O32" i="2"/>
  <c r="N32" i="2"/>
  <c r="M32" i="2"/>
  <c r="L32" i="2"/>
  <c r="K32" i="2"/>
  <c r="J32" i="2"/>
  <c r="I32" i="2"/>
  <c r="H32" i="2"/>
  <c r="G32" i="2"/>
  <c r="F32" i="2"/>
  <c r="E32" i="2"/>
  <c r="D32" i="2"/>
  <c r="P31" i="2"/>
  <c r="O30" i="2"/>
  <c r="N30" i="2"/>
  <c r="M30" i="2"/>
  <c r="L30" i="2"/>
  <c r="K30" i="2"/>
  <c r="J30" i="2"/>
  <c r="I30" i="2"/>
  <c r="H30" i="2"/>
  <c r="G30" i="2"/>
  <c r="F30" i="2"/>
  <c r="E30" i="2"/>
  <c r="D30" i="2"/>
  <c r="P29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P19" i="2"/>
  <c r="P18" i="2"/>
  <c r="P17" i="2"/>
  <c r="O15" i="2"/>
  <c r="N15" i="2"/>
  <c r="M15" i="2"/>
  <c r="L15" i="2"/>
  <c r="K15" i="2"/>
  <c r="J15" i="2"/>
  <c r="I15" i="2"/>
  <c r="H15" i="2"/>
  <c r="G15" i="2"/>
  <c r="F15" i="2"/>
  <c r="E15" i="2"/>
  <c r="D15" i="2"/>
  <c r="D22" i="2" s="1"/>
  <c r="D24" i="2" s="1"/>
  <c r="D25" i="2" s="1"/>
  <c r="P14" i="2"/>
  <c r="P13" i="2"/>
  <c r="P12" i="2"/>
  <c r="P11" i="2"/>
  <c r="P9" i="2"/>
  <c r="O263" i="1"/>
  <c r="N263" i="1"/>
  <c r="M263" i="1"/>
  <c r="L263" i="1"/>
  <c r="K263" i="1"/>
  <c r="J263" i="1"/>
  <c r="I263" i="1"/>
  <c r="H263" i="1"/>
  <c r="G263" i="1"/>
  <c r="F263" i="1"/>
  <c r="E263" i="1"/>
  <c r="O247" i="1"/>
  <c r="N247" i="1"/>
  <c r="M247" i="1"/>
  <c r="L247" i="1"/>
  <c r="K247" i="1"/>
  <c r="J247" i="1"/>
  <c r="I247" i="1"/>
  <c r="H247" i="1"/>
  <c r="G247" i="1"/>
  <c r="F247" i="1"/>
  <c r="E247" i="1"/>
  <c r="O242" i="1"/>
  <c r="N242" i="1"/>
  <c r="M242" i="1"/>
  <c r="L242" i="1"/>
  <c r="K242" i="1"/>
  <c r="J242" i="1"/>
  <c r="I242" i="1"/>
  <c r="H242" i="1"/>
  <c r="G242" i="1"/>
  <c r="F242" i="1"/>
  <c r="E242" i="1"/>
  <c r="O236" i="1"/>
  <c r="N236" i="1"/>
  <c r="M236" i="1"/>
  <c r="L236" i="1"/>
  <c r="K236" i="1"/>
  <c r="J236" i="1"/>
  <c r="I236" i="1"/>
  <c r="H236" i="1"/>
  <c r="G236" i="1"/>
  <c r="F236" i="1"/>
  <c r="E236" i="1"/>
  <c r="O229" i="1"/>
  <c r="N229" i="1"/>
  <c r="M229" i="1"/>
  <c r="L229" i="1"/>
  <c r="K229" i="1"/>
  <c r="J229" i="1"/>
  <c r="I229" i="1"/>
  <c r="I230" i="1" s="1"/>
  <c r="H229" i="1"/>
  <c r="G229" i="1"/>
  <c r="F229" i="1"/>
  <c r="E229" i="1"/>
  <c r="O223" i="1"/>
  <c r="N223" i="1"/>
  <c r="M223" i="1"/>
  <c r="L223" i="1"/>
  <c r="K223" i="1"/>
  <c r="J223" i="1"/>
  <c r="I223" i="1"/>
  <c r="H223" i="1"/>
  <c r="H230" i="1" s="1"/>
  <c r="G223" i="1"/>
  <c r="G230" i="1" s="1"/>
  <c r="F223" i="1"/>
  <c r="E223" i="1"/>
  <c r="O216" i="1"/>
  <c r="N216" i="1"/>
  <c r="M216" i="1"/>
  <c r="L216" i="1"/>
  <c r="K216" i="1"/>
  <c r="J216" i="1"/>
  <c r="I216" i="1"/>
  <c r="H216" i="1"/>
  <c r="G216" i="1"/>
  <c r="F216" i="1"/>
  <c r="E216" i="1"/>
  <c r="O210" i="1"/>
  <c r="N210" i="1"/>
  <c r="M210" i="1"/>
  <c r="L210" i="1"/>
  <c r="K210" i="1"/>
  <c r="J210" i="1"/>
  <c r="J251" i="1" s="1"/>
  <c r="I210" i="1"/>
  <c r="I250" i="1" s="1"/>
  <c r="H210" i="1"/>
  <c r="H251" i="1" s="1"/>
  <c r="G210" i="1"/>
  <c r="F210" i="1"/>
  <c r="E210" i="1"/>
  <c r="E217" i="1" s="1"/>
  <c r="N204" i="1"/>
  <c r="M204" i="1"/>
  <c r="K204" i="1"/>
  <c r="J204" i="1"/>
  <c r="I204" i="1"/>
  <c r="H204" i="1"/>
  <c r="G204" i="1"/>
  <c r="F204" i="1"/>
  <c r="E204" i="1"/>
  <c r="O193" i="1"/>
  <c r="N193" i="1"/>
  <c r="M193" i="1"/>
  <c r="L193" i="1"/>
  <c r="K193" i="1"/>
  <c r="J193" i="1"/>
  <c r="I193" i="1"/>
  <c r="H193" i="1"/>
  <c r="G193" i="1"/>
  <c r="F193" i="1"/>
  <c r="E193" i="1"/>
  <c r="O148" i="1"/>
  <c r="N148" i="1"/>
  <c r="M148" i="1"/>
  <c r="L148" i="1"/>
  <c r="K148" i="1"/>
  <c r="J148" i="1"/>
  <c r="I148" i="1"/>
  <c r="H148" i="1"/>
  <c r="G148" i="1"/>
  <c r="F148" i="1"/>
  <c r="E148" i="1"/>
  <c r="O147" i="1"/>
  <c r="N147" i="1"/>
  <c r="M147" i="1"/>
  <c r="L147" i="1"/>
  <c r="K147" i="1"/>
  <c r="J147" i="1"/>
  <c r="I147" i="1"/>
  <c r="H147" i="1"/>
  <c r="G147" i="1"/>
  <c r="F147" i="1"/>
  <c r="E147" i="1"/>
  <c r="O146" i="1"/>
  <c r="N146" i="1"/>
  <c r="M146" i="1"/>
  <c r="L146" i="1"/>
  <c r="K146" i="1"/>
  <c r="J146" i="1"/>
  <c r="I146" i="1"/>
  <c r="H146" i="1"/>
  <c r="G146" i="1"/>
  <c r="F146" i="1"/>
  <c r="E146" i="1"/>
  <c r="N145" i="1"/>
  <c r="M145" i="1"/>
  <c r="M149" i="1" s="1"/>
  <c r="L145" i="1"/>
  <c r="K145" i="1"/>
  <c r="K149" i="1" s="1"/>
  <c r="J145" i="1"/>
  <c r="I145" i="1"/>
  <c r="H145" i="1"/>
  <c r="G145" i="1"/>
  <c r="F145" i="1"/>
  <c r="E145" i="1"/>
  <c r="N144" i="1"/>
  <c r="O140" i="1" s="1"/>
  <c r="O145" i="1" s="1"/>
  <c r="M144" i="1"/>
  <c r="L144" i="1"/>
  <c r="K144" i="1"/>
  <c r="J144" i="1"/>
  <c r="I144" i="1"/>
  <c r="H144" i="1"/>
  <c r="G144" i="1"/>
  <c r="F144" i="1"/>
  <c r="E144" i="1"/>
  <c r="O139" i="1"/>
  <c r="N139" i="1"/>
  <c r="M139" i="1"/>
  <c r="L139" i="1"/>
  <c r="K139" i="1"/>
  <c r="J139" i="1"/>
  <c r="I139" i="1"/>
  <c r="H139" i="1"/>
  <c r="G139" i="1"/>
  <c r="F139" i="1"/>
  <c r="E139" i="1"/>
  <c r="O134" i="1"/>
  <c r="N134" i="1"/>
  <c r="M134" i="1"/>
  <c r="L134" i="1"/>
  <c r="K134" i="1"/>
  <c r="J134" i="1"/>
  <c r="I134" i="1"/>
  <c r="H134" i="1"/>
  <c r="G134" i="1"/>
  <c r="F134" i="1"/>
  <c r="E134" i="1"/>
  <c r="O129" i="1"/>
  <c r="N129" i="1"/>
  <c r="M129" i="1"/>
  <c r="L129" i="1"/>
  <c r="K129" i="1"/>
  <c r="J129" i="1"/>
  <c r="I129" i="1"/>
  <c r="H129" i="1"/>
  <c r="G129" i="1"/>
  <c r="F129" i="1"/>
  <c r="E129" i="1"/>
  <c r="O123" i="1"/>
  <c r="N123" i="1"/>
  <c r="M123" i="1"/>
  <c r="L123" i="1"/>
  <c r="K123" i="1"/>
  <c r="J123" i="1"/>
  <c r="I123" i="1"/>
  <c r="H123" i="1"/>
  <c r="G123" i="1"/>
  <c r="F123" i="1"/>
  <c r="E123" i="1"/>
  <c r="O117" i="1"/>
  <c r="N117" i="1"/>
  <c r="M117" i="1"/>
  <c r="L117" i="1"/>
  <c r="K117" i="1"/>
  <c r="J117" i="1"/>
  <c r="I117" i="1"/>
  <c r="H117" i="1"/>
  <c r="G117" i="1"/>
  <c r="F117" i="1"/>
  <c r="E117" i="1"/>
  <c r="O111" i="1"/>
  <c r="N111" i="1"/>
  <c r="M111" i="1"/>
  <c r="L111" i="1"/>
  <c r="K111" i="1"/>
  <c r="J111" i="1"/>
  <c r="I111" i="1"/>
  <c r="H111" i="1"/>
  <c r="G111" i="1"/>
  <c r="F111" i="1"/>
  <c r="E111" i="1"/>
  <c r="O105" i="1"/>
  <c r="N105" i="1"/>
  <c r="M105" i="1"/>
  <c r="L105" i="1"/>
  <c r="K105" i="1"/>
  <c r="J105" i="1"/>
  <c r="I105" i="1"/>
  <c r="H105" i="1"/>
  <c r="G105" i="1"/>
  <c r="F105" i="1"/>
  <c r="E105" i="1"/>
  <c r="O93" i="1"/>
  <c r="N93" i="1"/>
  <c r="M93" i="1"/>
  <c r="L93" i="1"/>
  <c r="K93" i="1"/>
  <c r="J93" i="1"/>
  <c r="J94" i="1" s="1"/>
  <c r="I93" i="1"/>
  <c r="H93" i="1"/>
  <c r="H94" i="1" s="1"/>
  <c r="G93" i="1"/>
  <c r="F93" i="1"/>
  <c r="E93" i="1"/>
  <c r="O92" i="1"/>
  <c r="N92" i="1"/>
  <c r="M92" i="1"/>
  <c r="L92" i="1"/>
  <c r="K92" i="1"/>
  <c r="J92" i="1"/>
  <c r="I92" i="1"/>
  <c r="I94" i="1" s="1"/>
  <c r="H92" i="1"/>
  <c r="G92" i="1"/>
  <c r="F92" i="1"/>
  <c r="E92" i="1"/>
  <c r="O91" i="1"/>
  <c r="O256" i="1" s="1"/>
  <c r="O258" i="1" s="1"/>
  <c r="N91" i="1"/>
  <c r="N256" i="1" s="1"/>
  <c r="N258" i="1" s="1"/>
  <c r="M91" i="1"/>
  <c r="M256" i="1" s="1"/>
  <c r="M258" i="1" s="1"/>
  <c r="L91" i="1"/>
  <c r="L256" i="1" s="1"/>
  <c r="L258" i="1" s="1"/>
  <c r="K91" i="1"/>
  <c r="K256" i="1" s="1"/>
  <c r="K258" i="1" s="1"/>
  <c r="J91" i="1"/>
  <c r="J256" i="1" s="1"/>
  <c r="J258" i="1" s="1"/>
  <c r="I91" i="1"/>
  <c r="I256" i="1" s="1"/>
  <c r="I258" i="1" s="1"/>
  <c r="H91" i="1"/>
  <c r="H256" i="1" s="1"/>
  <c r="H258" i="1" s="1"/>
  <c r="G91" i="1"/>
  <c r="G256" i="1" s="1"/>
  <c r="G258" i="1" s="1"/>
  <c r="F91" i="1"/>
  <c r="F256" i="1" s="1"/>
  <c r="F258" i="1" s="1"/>
  <c r="E91" i="1"/>
  <c r="E256" i="1" s="1"/>
  <c r="E258" i="1" s="1"/>
  <c r="O90" i="1"/>
  <c r="N90" i="1"/>
  <c r="M90" i="1"/>
  <c r="L90" i="1"/>
  <c r="K90" i="1"/>
  <c r="J90" i="1"/>
  <c r="I90" i="1"/>
  <c r="H90" i="1"/>
  <c r="G90" i="1"/>
  <c r="F90" i="1"/>
  <c r="E90" i="1"/>
  <c r="I89" i="1"/>
  <c r="E89" i="1"/>
  <c r="O88" i="1"/>
  <c r="O89" i="1" s="1"/>
  <c r="N88" i="1"/>
  <c r="N89" i="1" s="1"/>
  <c r="M88" i="1"/>
  <c r="M89" i="1" s="1"/>
  <c r="L88" i="1"/>
  <c r="L89" i="1" s="1"/>
  <c r="K88" i="1"/>
  <c r="K89" i="1" s="1"/>
  <c r="J88" i="1"/>
  <c r="J89" i="1" s="1"/>
  <c r="I88" i="1"/>
  <c r="H88" i="1"/>
  <c r="H89" i="1" s="1"/>
  <c r="G88" i="1"/>
  <c r="G89" i="1" s="1"/>
  <c r="F88" i="1"/>
  <c r="F89" i="1" s="1"/>
  <c r="E88" i="1"/>
  <c r="N83" i="1"/>
  <c r="M83" i="1"/>
  <c r="K83" i="1"/>
  <c r="O82" i="1"/>
  <c r="O83" i="1" s="1"/>
  <c r="N82" i="1"/>
  <c r="M82" i="1"/>
  <c r="L82" i="1"/>
  <c r="L83" i="1" s="1"/>
  <c r="K82" i="1"/>
  <c r="J82" i="1"/>
  <c r="J83" i="1" s="1"/>
  <c r="I82" i="1"/>
  <c r="I83" i="1" s="1"/>
  <c r="H82" i="1"/>
  <c r="H83" i="1" s="1"/>
  <c r="G82" i="1"/>
  <c r="G83" i="1" s="1"/>
  <c r="F82" i="1"/>
  <c r="F83" i="1" s="1"/>
  <c r="E82" i="1"/>
  <c r="E83" i="1" s="1"/>
  <c r="J77" i="1"/>
  <c r="O76" i="1"/>
  <c r="O77" i="1" s="1"/>
  <c r="N76" i="1"/>
  <c r="N77" i="1" s="1"/>
  <c r="M76" i="1"/>
  <c r="M77" i="1" s="1"/>
  <c r="L76" i="1"/>
  <c r="L77" i="1" s="1"/>
  <c r="K76" i="1"/>
  <c r="K77" i="1" s="1"/>
  <c r="J76" i="1"/>
  <c r="I76" i="1"/>
  <c r="I77" i="1" s="1"/>
  <c r="H76" i="1"/>
  <c r="H77" i="1" s="1"/>
  <c r="G76" i="1"/>
  <c r="G77" i="1" s="1"/>
  <c r="F76" i="1"/>
  <c r="F77" i="1" s="1"/>
  <c r="E76" i="1"/>
  <c r="E77" i="1" s="1"/>
  <c r="N70" i="1"/>
  <c r="N71" i="1" s="1"/>
  <c r="M70" i="1"/>
  <c r="M71" i="1" s="1"/>
  <c r="L70" i="1"/>
  <c r="L71" i="1" s="1"/>
  <c r="K70" i="1"/>
  <c r="K71" i="1" s="1"/>
  <c r="J70" i="1"/>
  <c r="J71" i="1" s="1"/>
  <c r="I70" i="1"/>
  <c r="I71" i="1" s="1"/>
  <c r="H71" i="1"/>
  <c r="G70" i="1"/>
  <c r="G71" i="1" s="1"/>
  <c r="F70" i="1"/>
  <c r="F71" i="1" s="1"/>
  <c r="E70" i="1"/>
  <c r="E71" i="1" s="1"/>
  <c r="O62" i="1"/>
  <c r="N62" i="1"/>
  <c r="M62" i="1"/>
  <c r="L62" i="1"/>
  <c r="K62" i="1"/>
  <c r="J62" i="1"/>
  <c r="I62" i="1"/>
  <c r="H62" i="1"/>
  <c r="G62" i="1"/>
  <c r="F62" i="1"/>
  <c r="E62" i="1"/>
  <c r="O46" i="1"/>
  <c r="O47" i="1" s="1"/>
  <c r="N46" i="1"/>
  <c r="N47" i="1" s="1"/>
  <c r="M46" i="1"/>
  <c r="M47" i="1" s="1"/>
  <c r="L46" i="1"/>
  <c r="L47" i="1" s="1"/>
  <c r="K46" i="1"/>
  <c r="K47" i="1" s="1"/>
  <c r="J46" i="1"/>
  <c r="J47" i="1" s="1"/>
  <c r="I46" i="1"/>
  <c r="I47" i="1" s="1"/>
  <c r="H46" i="1"/>
  <c r="H47" i="1" s="1"/>
  <c r="G46" i="1"/>
  <c r="G47" i="1" s="1"/>
  <c r="F46" i="1"/>
  <c r="F47" i="1" s="1"/>
  <c r="E47" i="1"/>
  <c r="O45" i="1"/>
  <c r="N45" i="1"/>
  <c r="M45" i="1"/>
  <c r="L45" i="1"/>
  <c r="K45" i="1"/>
  <c r="J45" i="1"/>
  <c r="I45" i="1"/>
  <c r="H45" i="1"/>
  <c r="G45" i="1"/>
  <c r="F45" i="1"/>
  <c r="E45" i="1"/>
  <c r="O40" i="1"/>
  <c r="N40" i="1"/>
  <c r="M40" i="1"/>
  <c r="L40" i="1"/>
  <c r="K40" i="1"/>
  <c r="J40" i="1"/>
  <c r="I40" i="1"/>
  <c r="H40" i="1"/>
  <c r="G40" i="1"/>
  <c r="F40" i="1"/>
  <c r="E40" i="1"/>
  <c r="O38" i="1"/>
  <c r="N38" i="1"/>
  <c r="M38" i="1"/>
  <c r="L38" i="1"/>
  <c r="K38" i="1"/>
  <c r="J38" i="1"/>
  <c r="I38" i="1"/>
  <c r="H38" i="1"/>
  <c r="G38" i="1"/>
  <c r="F38" i="1"/>
  <c r="E38" i="1"/>
  <c r="O34" i="1"/>
  <c r="N34" i="1"/>
  <c r="M34" i="1"/>
  <c r="L34" i="1"/>
  <c r="K34" i="1"/>
  <c r="J34" i="1"/>
  <c r="I34" i="1"/>
  <c r="H34" i="1"/>
  <c r="G34" i="1"/>
  <c r="F34" i="1"/>
  <c r="E34" i="1"/>
  <c r="O32" i="1"/>
  <c r="N32" i="1"/>
  <c r="M32" i="1"/>
  <c r="L32" i="1"/>
  <c r="K32" i="1"/>
  <c r="J32" i="1"/>
  <c r="I32" i="1"/>
  <c r="H32" i="1"/>
  <c r="G32" i="1"/>
  <c r="F32" i="1"/>
  <c r="E32" i="1"/>
  <c r="O30" i="1"/>
  <c r="N30" i="1"/>
  <c r="M30" i="1"/>
  <c r="L30" i="1"/>
  <c r="K30" i="1"/>
  <c r="J30" i="1"/>
  <c r="I30" i="1"/>
  <c r="H30" i="1"/>
  <c r="G30" i="1"/>
  <c r="F30" i="1"/>
  <c r="E30" i="1"/>
  <c r="O21" i="1"/>
  <c r="N21" i="1"/>
  <c r="M21" i="1"/>
  <c r="L21" i="1"/>
  <c r="K21" i="1"/>
  <c r="J21" i="1"/>
  <c r="I21" i="1"/>
  <c r="H21" i="1"/>
  <c r="H22" i="1" s="1"/>
  <c r="H24" i="1" s="1"/>
  <c r="H25" i="1" s="1"/>
  <c r="G21" i="1"/>
  <c r="F21" i="1"/>
  <c r="E21" i="1"/>
  <c r="O15" i="1"/>
  <c r="N15" i="1"/>
  <c r="M15" i="1"/>
  <c r="L15" i="1"/>
  <c r="L22" i="1" s="1"/>
  <c r="L24" i="1" s="1"/>
  <c r="L25" i="1" s="1"/>
  <c r="K15" i="1"/>
  <c r="K22" i="1" s="1"/>
  <c r="K24" i="1" s="1"/>
  <c r="K25" i="1" s="1"/>
  <c r="J15" i="1"/>
  <c r="I15" i="1"/>
  <c r="H15" i="1"/>
  <c r="G15" i="1"/>
  <c r="F15" i="1"/>
  <c r="E15" i="1"/>
  <c r="O230" i="4" l="1"/>
  <c r="O243" i="4" s="1"/>
  <c r="O230" i="2"/>
  <c r="O243" i="2" s="1"/>
  <c r="O230" i="1"/>
  <c r="O243" i="1" s="1"/>
  <c r="O217" i="3"/>
  <c r="O118" i="3"/>
  <c r="P111" i="3"/>
  <c r="O22" i="3"/>
  <c r="O24" i="3" s="1"/>
  <c r="O25" i="3" s="1"/>
  <c r="M94" i="2"/>
  <c r="M95" i="2" s="1"/>
  <c r="M255" i="2" s="1"/>
  <c r="M259" i="2" s="1"/>
  <c r="P77" i="2"/>
  <c r="L118" i="2"/>
  <c r="L119" i="2" s="1"/>
  <c r="J118" i="2"/>
  <c r="J119" i="2" s="1"/>
  <c r="L250" i="2"/>
  <c r="L251" i="2"/>
  <c r="O22" i="2"/>
  <c r="O24" i="2" s="1"/>
  <c r="O25" i="2" s="1"/>
  <c r="O217" i="1"/>
  <c r="N230" i="4"/>
  <c r="N243" i="4" s="1"/>
  <c r="N230" i="2"/>
  <c r="N243" i="2" s="1"/>
  <c r="N118" i="4"/>
  <c r="N243" i="3"/>
  <c r="N118" i="3"/>
  <c r="N119" i="3"/>
  <c r="N94" i="3"/>
  <c r="N250" i="1"/>
  <c r="O144" i="1"/>
  <c r="N118" i="1"/>
  <c r="N119" i="1" s="1"/>
  <c r="M250" i="1"/>
  <c r="M230" i="1"/>
  <c r="M118" i="1"/>
  <c r="M119" i="1" s="1"/>
  <c r="P83" i="2"/>
  <c r="M230" i="2"/>
  <c r="M243" i="2" s="1"/>
  <c r="M22" i="1"/>
  <c r="M24" i="1" s="1"/>
  <c r="M25" i="1" s="1"/>
  <c r="E94" i="1"/>
  <c r="E95" i="1" s="1"/>
  <c r="E255" i="1" s="1"/>
  <c r="E259" i="1" s="1"/>
  <c r="M94" i="1"/>
  <c r="M95" i="1" s="1"/>
  <c r="M255" i="1" s="1"/>
  <c r="M259" i="1" s="1"/>
  <c r="O118" i="1"/>
  <c r="O119" i="1" s="1"/>
  <c r="J149" i="1"/>
  <c r="F217" i="1"/>
  <c r="O118" i="2"/>
  <c r="O119" i="2" s="1"/>
  <c r="N22" i="3"/>
  <c r="N24" i="3" s="1"/>
  <c r="N25" i="3" s="1"/>
  <c r="H22" i="4"/>
  <c r="H24" i="4" s="1"/>
  <c r="H25" i="4" s="1"/>
  <c r="J119" i="4"/>
  <c r="I251" i="4"/>
  <c r="M22" i="2"/>
  <c r="M24" i="2" s="1"/>
  <c r="M25" i="2" s="1"/>
  <c r="K230" i="3"/>
  <c r="N22" i="2"/>
  <c r="N24" i="2" s="1"/>
  <c r="N25" i="2" s="1"/>
  <c r="L217" i="3"/>
  <c r="F22" i="1"/>
  <c r="F24" i="1" s="1"/>
  <c r="F25" i="1" s="1"/>
  <c r="N22" i="1"/>
  <c r="N24" i="1" s="1"/>
  <c r="N25" i="1" s="1"/>
  <c r="F94" i="1"/>
  <c r="P30" i="2"/>
  <c r="P89" i="2"/>
  <c r="O94" i="2"/>
  <c r="O95" i="2" s="1"/>
  <c r="O255" i="2" s="1"/>
  <c r="O259" i="2" s="1"/>
  <c r="P117" i="2"/>
  <c r="P118" i="2" s="1"/>
  <c r="P119" i="2" s="1"/>
  <c r="N149" i="2"/>
  <c r="M95" i="3"/>
  <c r="M255" i="3" s="1"/>
  <c r="M259" i="3" s="1"/>
  <c r="P144" i="3"/>
  <c r="M149" i="3"/>
  <c r="I22" i="4"/>
  <c r="I24" i="4" s="1"/>
  <c r="I25" i="4" s="1"/>
  <c r="E94" i="4"/>
  <c r="E95" i="4" s="1"/>
  <c r="E255" i="4" s="1"/>
  <c r="E259" i="4" s="1"/>
  <c r="O118" i="4"/>
  <c r="O119" i="4" s="1"/>
  <c r="D149" i="4"/>
  <c r="L149" i="4"/>
  <c r="K217" i="4"/>
  <c r="J250" i="4"/>
  <c r="M95" i="4"/>
  <c r="M255" i="4" s="1"/>
  <c r="M259" i="4" s="1"/>
  <c r="K94" i="1"/>
  <c r="D22" i="3"/>
  <c r="D24" i="3" s="1"/>
  <c r="D25" i="3" s="1"/>
  <c r="O22" i="1"/>
  <c r="O24" i="1" s="1"/>
  <c r="O25" i="1" s="1"/>
  <c r="I118" i="1"/>
  <c r="I119" i="1" s="1"/>
  <c r="N217" i="1"/>
  <c r="P123" i="2"/>
  <c r="P139" i="2"/>
  <c r="O149" i="2"/>
  <c r="J230" i="2"/>
  <c r="G251" i="2"/>
  <c r="P89" i="3"/>
  <c r="N95" i="3"/>
  <c r="N255" i="3" s="1"/>
  <c r="N259" i="3" s="1"/>
  <c r="P148" i="3"/>
  <c r="N149" i="3"/>
  <c r="N94" i="4"/>
  <c r="N95" i="4" s="1"/>
  <c r="N255" i="4" s="1"/>
  <c r="N259" i="4" s="1"/>
  <c r="D118" i="4"/>
  <c r="K118" i="4"/>
  <c r="K119" i="4" s="1"/>
  <c r="P147" i="4"/>
  <c r="M149" i="4"/>
  <c r="I149" i="4"/>
  <c r="L217" i="4"/>
  <c r="K250" i="4"/>
  <c r="K230" i="4"/>
  <c r="K243" i="4" s="1"/>
  <c r="K217" i="2"/>
  <c r="K230" i="2"/>
  <c r="K243" i="2" s="1"/>
  <c r="I22" i="3"/>
  <c r="I24" i="3" s="1"/>
  <c r="I25" i="3" s="1"/>
  <c r="O95" i="3"/>
  <c r="O255" i="3" s="1"/>
  <c r="O259" i="3" s="1"/>
  <c r="I251" i="3"/>
  <c r="I230" i="3"/>
  <c r="O95" i="4"/>
  <c r="O255" i="4" s="1"/>
  <c r="O259" i="4" s="1"/>
  <c r="M119" i="4"/>
  <c r="J230" i="1"/>
  <c r="N94" i="2"/>
  <c r="N95" i="2" s="1"/>
  <c r="N255" i="2" s="1"/>
  <c r="N259" i="2" s="1"/>
  <c r="L217" i="2"/>
  <c r="P76" i="3"/>
  <c r="D94" i="3"/>
  <c r="D95" i="3" s="1"/>
  <c r="D255" i="3" s="1"/>
  <c r="D259" i="3" s="1"/>
  <c r="P117" i="3"/>
  <c r="P118" i="3" s="1"/>
  <c r="P119" i="3" s="1"/>
  <c r="J217" i="3"/>
  <c r="D22" i="4"/>
  <c r="D24" i="4" s="1"/>
  <c r="D25" i="4" s="1"/>
  <c r="H94" i="4"/>
  <c r="N119" i="4"/>
  <c r="M230" i="4"/>
  <c r="M243" i="4" s="1"/>
  <c r="M118" i="2"/>
  <c r="M119" i="2" s="1"/>
  <c r="L94" i="1"/>
  <c r="L95" i="1" s="1"/>
  <c r="L255" i="1" s="1"/>
  <c r="L259" i="1" s="1"/>
  <c r="P34" i="2"/>
  <c r="N118" i="2"/>
  <c r="N119" i="2" s="1"/>
  <c r="P144" i="2"/>
  <c r="D149" i="2"/>
  <c r="L149" i="2"/>
  <c r="E250" i="2"/>
  <c r="M230" i="3"/>
  <c r="M243" i="3" s="1"/>
  <c r="G22" i="4"/>
  <c r="G24" i="4" s="1"/>
  <c r="G25" i="4" s="1"/>
  <c r="P89" i="4"/>
  <c r="F149" i="4"/>
  <c r="L230" i="1"/>
  <c r="L243" i="1" s="1"/>
  <c r="L230" i="4"/>
  <c r="L243" i="4" s="1"/>
  <c r="L250" i="4"/>
  <c r="L94" i="4"/>
  <c r="L95" i="4" s="1"/>
  <c r="L255" i="4" s="1"/>
  <c r="L259" i="4" s="1"/>
  <c r="L250" i="3"/>
  <c r="L230" i="3"/>
  <c r="L243" i="3" s="1"/>
  <c r="L251" i="3"/>
  <c r="L94" i="3"/>
  <c r="L95" i="3" s="1"/>
  <c r="L255" i="3" s="1"/>
  <c r="L259" i="3" s="1"/>
  <c r="L22" i="3"/>
  <c r="L24" i="3" s="1"/>
  <c r="L25" i="3" s="1"/>
  <c r="L243" i="2"/>
  <c r="L95" i="2"/>
  <c r="L255" i="2" s="1"/>
  <c r="L259" i="2" s="1"/>
  <c r="L22" i="2"/>
  <c r="L24" i="2" s="1"/>
  <c r="L25" i="2" s="1"/>
  <c r="L251" i="1"/>
  <c r="L149" i="1"/>
  <c r="L118" i="1"/>
  <c r="L119" i="1" s="1"/>
  <c r="K217" i="3"/>
  <c r="K250" i="3"/>
  <c r="K47" i="3"/>
  <c r="K251" i="2"/>
  <c r="K118" i="2"/>
  <c r="K119" i="2" s="1"/>
  <c r="K94" i="2"/>
  <c r="K95" i="2" s="1"/>
  <c r="K255" i="2" s="1"/>
  <c r="K259" i="2" s="1"/>
  <c r="K22" i="2"/>
  <c r="K24" i="2" s="1"/>
  <c r="K25" i="2" s="1"/>
  <c r="K251" i="1"/>
  <c r="K118" i="1"/>
  <c r="K119" i="1" s="1"/>
  <c r="J230" i="4"/>
  <c r="J243" i="4" s="1"/>
  <c r="J251" i="4"/>
  <c r="J217" i="4"/>
  <c r="P70" i="4"/>
  <c r="P71" i="4" s="1"/>
  <c r="P263" i="3"/>
  <c r="J251" i="3"/>
  <c r="J119" i="3"/>
  <c r="J22" i="3"/>
  <c r="J24" i="3" s="1"/>
  <c r="J25" i="3" s="1"/>
  <c r="J243" i="2"/>
  <c r="J217" i="2"/>
  <c r="J250" i="2"/>
  <c r="P204" i="2"/>
  <c r="J243" i="1"/>
  <c r="J118" i="1"/>
  <c r="J119" i="1" s="1"/>
  <c r="I230" i="2"/>
  <c r="I230" i="4"/>
  <c r="I243" i="4" s="1"/>
  <c r="I118" i="4"/>
  <c r="I119" i="4" s="1"/>
  <c r="I94" i="4"/>
  <c r="I95" i="4" s="1"/>
  <c r="I255" i="4" s="1"/>
  <c r="I259" i="4" s="1"/>
  <c r="I243" i="3"/>
  <c r="I250" i="3"/>
  <c r="I217" i="3"/>
  <c r="I118" i="3"/>
  <c r="I119" i="3" s="1"/>
  <c r="I243" i="2"/>
  <c r="I251" i="2"/>
  <c r="I250" i="2"/>
  <c r="I217" i="2"/>
  <c r="I22" i="2"/>
  <c r="I24" i="2" s="1"/>
  <c r="I25" i="2" s="1"/>
  <c r="I243" i="1"/>
  <c r="I149" i="1"/>
  <c r="I95" i="1"/>
  <c r="I255" i="1" s="1"/>
  <c r="I259" i="1" s="1"/>
  <c r="I22" i="1"/>
  <c r="I24" i="1" s="1"/>
  <c r="I25" i="1" s="1"/>
  <c r="H251" i="3"/>
  <c r="H230" i="2"/>
  <c r="H243" i="2" s="1"/>
  <c r="P263" i="4"/>
  <c r="H243" i="4"/>
  <c r="H251" i="4"/>
  <c r="G217" i="4"/>
  <c r="H217" i="4"/>
  <c r="P144" i="4"/>
  <c r="H149" i="4"/>
  <c r="P146" i="4"/>
  <c r="H118" i="4"/>
  <c r="H119" i="4"/>
  <c r="H95" i="4"/>
  <c r="H255" i="4" s="1"/>
  <c r="H259" i="4" s="1"/>
  <c r="P92" i="4"/>
  <c r="P93" i="4"/>
  <c r="H243" i="3"/>
  <c r="H217" i="3"/>
  <c r="H118" i="3"/>
  <c r="H119" i="3" s="1"/>
  <c r="H94" i="3"/>
  <c r="H95" i="3" s="1"/>
  <c r="H255" i="3" s="1"/>
  <c r="H259" i="3" s="1"/>
  <c r="H217" i="2"/>
  <c r="H251" i="2"/>
  <c r="H119" i="2"/>
  <c r="H94" i="2"/>
  <c r="H95" i="2" s="1"/>
  <c r="H255" i="2" s="1"/>
  <c r="H259" i="2" s="1"/>
  <c r="H22" i="2"/>
  <c r="H24" i="2" s="1"/>
  <c r="H25" i="2" s="1"/>
  <c r="P45" i="2"/>
  <c r="H243" i="1"/>
  <c r="H149" i="1"/>
  <c r="H95" i="1"/>
  <c r="H255" i="1" s="1"/>
  <c r="H259" i="1" s="1"/>
  <c r="G230" i="4"/>
  <c r="G230" i="2"/>
  <c r="G243" i="2" s="1"/>
  <c r="G243" i="4"/>
  <c r="G149" i="4"/>
  <c r="G119" i="4"/>
  <c r="G94" i="4"/>
  <c r="G95" i="4" s="1"/>
  <c r="G255" i="4" s="1"/>
  <c r="G259" i="4" s="1"/>
  <c r="G243" i="3"/>
  <c r="G217" i="3"/>
  <c r="G118" i="3"/>
  <c r="G119" i="3" s="1"/>
  <c r="G217" i="2"/>
  <c r="G118" i="2"/>
  <c r="G119" i="2" s="1"/>
  <c r="G94" i="2"/>
  <c r="G95" i="2" s="1"/>
  <c r="G255" i="2" s="1"/>
  <c r="G259" i="2" s="1"/>
  <c r="G22" i="2"/>
  <c r="G24" i="2" s="1"/>
  <c r="G25" i="2" s="1"/>
  <c r="G243" i="1"/>
  <c r="G250" i="1"/>
  <c r="G149" i="1"/>
  <c r="G94" i="1"/>
  <c r="G95" i="1" s="1"/>
  <c r="G255" i="1" s="1"/>
  <c r="G259" i="1" s="1"/>
  <c r="O94" i="1"/>
  <c r="H118" i="1"/>
  <c r="H119" i="1" s="1"/>
  <c r="N149" i="1"/>
  <c r="G118" i="1"/>
  <c r="G119" i="1" s="1"/>
  <c r="O149" i="1"/>
  <c r="O251" i="1"/>
  <c r="K230" i="1"/>
  <c r="K243" i="1" s="1"/>
  <c r="F95" i="1"/>
  <c r="F255" i="1" s="1"/>
  <c r="F259" i="1" s="1"/>
  <c r="J250" i="1"/>
  <c r="J22" i="1"/>
  <c r="J24" i="1" s="1"/>
  <c r="J25" i="1" s="1"/>
  <c r="M251" i="1"/>
  <c r="K217" i="1"/>
  <c r="J95" i="1"/>
  <c r="J255" i="1" s="1"/>
  <c r="J259" i="1" s="1"/>
  <c r="L217" i="1"/>
  <c r="H250" i="1"/>
  <c r="G217" i="1"/>
  <c r="M243" i="1"/>
  <c r="M217" i="1"/>
  <c r="N230" i="1"/>
  <c r="N243" i="1" s="1"/>
  <c r="G22" i="1"/>
  <c r="G24" i="1" s="1"/>
  <c r="G25" i="1" s="1"/>
  <c r="F230" i="3"/>
  <c r="F243" i="3" s="1"/>
  <c r="F230" i="2"/>
  <c r="F243" i="2" s="1"/>
  <c r="F230" i="1"/>
  <c r="F243" i="1" s="1"/>
  <c r="F230" i="4"/>
  <c r="F243" i="4" s="1"/>
  <c r="F250" i="4"/>
  <c r="F118" i="4"/>
  <c r="F119" i="4" s="1"/>
  <c r="F94" i="4"/>
  <c r="F95" i="4" s="1"/>
  <c r="F255" i="4" s="1"/>
  <c r="F259" i="4" s="1"/>
  <c r="F22" i="4"/>
  <c r="F24" i="4" s="1"/>
  <c r="F25" i="4" s="1"/>
  <c r="F119" i="3"/>
  <c r="P70" i="3"/>
  <c r="P71" i="3" s="1"/>
  <c r="F22" i="3"/>
  <c r="F24" i="3" s="1"/>
  <c r="F25" i="3" s="1"/>
  <c r="P32" i="3"/>
  <c r="F250" i="2"/>
  <c r="F251" i="2"/>
  <c r="F94" i="2"/>
  <c r="F95" i="2" s="1"/>
  <c r="F255" i="2" s="1"/>
  <c r="F259" i="2" s="1"/>
  <c r="F22" i="2"/>
  <c r="F24" i="2" s="1"/>
  <c r="F25" i="2" s="1"/>
  <c r="F250" i="1"/>
  <c r="F149" i="1"/>
  <c r="F118" i="1"/>
  <c r="E230" i="1"/>
  <c r="E243" i="1" s="1"/>
  <c r="E243" i="4"/>
  <c r="E250" i="4"/>
  <c r="P21" i="4"/>
  <c r="E22" i="4"/>
  <c r="E24" i="4" s="1"/>
  <c r="E25" i="4" s="1"/>
  <c r="P45" i="4"/>
  <c r="E230" i="3"/>
  <c r="E243" i="3" s="1"/>
  <c r="E118" i="3"/>
  <c r="E119" i="3" s="1"/>
  <c r="E22" i="3"/>
  <c r="E24" i="3" s="1"/>
  <c r="E25" i="3" s="1"/>
  <c r="P263" i="2"/>
  <c r="P236" i="2"/>
  <c r="E230" i="2"/>
  <c r="E243" i="2" s="1"/>
  <c r="P229" i="2"/>
  <c r="E251" i="2"/>
  <c r="P146" i="2"/>
  <c r="P147" i="2"/>
  <c r="E118" i="2"/>
  <c r="E119" i="2" s="1"/>
  <c r="P91" i="2"/>
  <c r="P92" i="2"/>
  <c r="P93" i="2"/>
  <c r="E94" i="2"/>
  <c r="E95" i="2" s="1"/>
  <c r="E255" i="2" s="1"/>
  <c r="E259" i="2" s="1"/>
  <c r="P70" i="2"/>
  <c r="P71" i="2" s="1"/>
  <c r="E22" i="2"/>
  <c r="E24" i="2" s="1"/>
  <c r="E25" i="2" s="1"/>
  <c r="P38" i="2"/>
  <c r="E250" i="1"/>
  <c r="E149" i="1"/>
  <c r="E118" i="1"/>
  <c r="E22" i="1"/>
  <c r="E24" i="1" s="1"/>
  <c r="E25" i="1" s="1"/>
  <c r="P236" i="4"/>
  <c r="P193" i="4"/>
  <c r="D94" i="4"/>
  <c r="D95" i="4" s="1"/>
  <c r="D255" i="4" s="1"/>
  <c r="D259" i="4" s="1"/>
  <c r="P15" i="4"/>
  <c r="P242" i="3"/>
  <c r="P236" i="3"/>
  <c r="D118" i="3"/>
  <c r="D119" i="3" s="1"/>
  <c r="P21" i="3"/>
  <c r="P15" i="3"/>
  <c r="P62" i="3"/>
  <c r="P30" i="3"/>
  <c r="P45" i="3"/>
  <c r="D250" i="2"/>
  <c r="P193" i="2"/>
  <c r="D118" i="2"/>
  <c r="D119" i="2" s="1"/>
  <c r="D94" i="2"/>
  <c r="D95" i="2" s="1"/>
  <c r="D255" i="2" s="1"/>
  <c r="D259" i="2" s="1"/>
  <c r="P21" i="2"/>
  <c r="P32" i="2"/>
  <c r="P46" i="4"/>
  <c r="P47" i="4" s="1"/>
  <c r="P210" i="4"/>
  <c r="D258" i="4"/>
  <c r="L22" i="4"/>
  <c r="L24" i="4" s="1"/>
  <c r="L25" i="4" s="1"/>
  <c r="P91" i="4"/>
  <c r="G256" i="4"/>
  <c r="G258" i="4" s="1"/>
  <c r="P216" i="4"/>
  <c r="P242" i="4"/>
  <c r="N22" i="4"/>
  <c r="N24" i="4" s="1"/>
  <c r="N25" i="4" s="1"/>
  <c r="P30" i="4"/>
  <c r="P88" i="4"/>
  <c r="D251" i="4"/>
  <c r="P32" i="4"/>
  <c r="J94" i="4"/>
  <c r="J95" i="4" s="1"/>
  <c r="J255" i="4" s="1"/>
  <c r="P204" i="4"/>
  <c r="P229" i="4"/>
  <c r="E251" i="4"/>
  <c r="P34" i="4"/>
  <c r="K94" i="4"/>
  <c r="K95" i="4" s="1"/>
  <c r="K255" i="4" s="1"/>
  <c r="K259" i="4" s="1"/>
  <c r="M250" i="4"/>
  <c r="M217" i="4"/>
  <c r="M251" i="4"/>
  <c r="F251" i="4"/>
  <c r="O250" i="4"/>
  <c r="O217" i="4"/>
  <c r="P40" i="4"/>
  <c r="P62" i="4"/>
  <c r="P118" i="4"/>
  <c r="P129" i="4"/>
  <c r="O251" i="4"/>
  <c r="J22" i="4"/>
  <c r="J24" i="4" s="1"/>
  <c r="J25" i="4" s="1"/>
  <c r="P134" i="4"/>
  <c r="P145" i="4"/>
  <c r="D243" i="4"/>
  <c r="P223" i="4"/>
  <c r="K22" i="4"/>
  <c r="K24" i="4" s="1"/>
  <c r="K25" i="4" s="1"/>
  <c r="O22" i="4"/>
  <c r="O24" i="4" s="1"/>
  <c r="O25" i="4" s="1"/>
  <c r="P38" i="4"/>
  <c r="D119" i="4"/>
  <c r="N251" i="4"/>
  <c r="N250" i="4"/>
  <c r="N217" i="4"/>
  <c r="D250" i="4"/>
  <c r="G251" i="4"/>
  <c r="D89" i="4"/>
  <c r="P105" i="4"/>
  <c r="M24" i="3"/>
  <c r="M25" i="3" s="1"/>
  <c r="K94" i="3"/>
  <c r="K95" i="3" s="1"/>
  <c r="K255" i="3" s="1"/>
  <c r="K259" i="3" s="1"/>
  <c r="P193" i="3"/>
  <c r="O250" i="3"/>
  <c r="O230" i="3"/>
  <c r="O243" i="3" s="1"/>
  <c r="O251" i="3"/>
  <c r="D217" i="3"/>
  <c r="D251" i="3"/>
  <c r="D250" i="3"/>
  <c r="P210" i="3"/>
  <c r="D243" i="3"/>
  <c r="D89" i="3"/>
  <c r="P88" i="3"/>
  <c r="I94" i="3"/>
  <c r="I95" i="3" s="1"/>
  <c r="I255" i="3" s="1"/>
  <c r="E217" i="3"/>
  <c r="E251" i="3"/>
  <c r="E250" i="3"/>
  <c r="J256" i="3"/>
  <c r="J94" i="3"/>
  <c r="J95" i="3" s="1"/>
  <c r="J255" i="3" s="1"/>
  <c r="J259" i="3" s="1"/>
  <c r="P146" i="3"/>
  <c r="P129" i="3"/>
  <c r="F217" i="3"/>
  <c r="F250" i="3"/>
  <c r="F251" i="3"/>
  <c r="K119" i="3"/>
  <c r="P204" i="3"/>
  <c r="J230" i="3"/>
  <c r="J243" i="3" s="1"/>
  <c r="K243" i="3"/>
  <c r="P40" i="3"/>
  <c r="M251" i="3"/>
  <c r="M250" i="3"/>
  <c r="M217" i="3"/>
  <c r="P134" i="3"/>
  <c r="P145" i="3"/>
  <c r="P216" i="3"/>
  <c r="G251" i="3"/>
  <c r="P34" i="3"/>
  <c r="P229" i="3"/>
  <c r="P38" i="3"/>
  <c r="P91" i="3"/>
  <c r="P92" i="3"/>
  <c r="P93" i="3"/>
  <c r="E95" i="3"/>
  <c r="E255" i="3" s="1"/>
  <c r="E259" i="3" s="1"/>
  <c r="P46" i="3"/>
  <c r="P47" i="3" s="1"/>
  <c r="F94" i="3"/>
  <c r="F95" i="3" s="1"/>
  <c r="F255" i="3" s="1"/>
  <c r="F259" i="3" s="1"/>
  <c r="K22" i="3"/>
  <c r="K24" i="3" s="1"/>
  <c r="K25" i="3" s="1"/>
  <c r="G259" i="3"/>
  <c r="N251" i="3"/>
  <c r="N250" i="3"/>
  <c r="N217" i="3"/>
  <c r="G250" i="3"/>
  <c r="P77" i="3"/>
  <c r="P223" i="3"/>
  <c r="O119" i="3"/>
  <c r="O250" i="2"/>
  <c r="O217" i="2"/>
  <c r="P148" i="2"/>
  <c r="D243" i="2"/>
  <c r="P223" i="2"/>
  <c r="P15" i="2"/>
  <c r="P46" i="2"/>
  <c r="P47" i="2" s="1"/>
  <c r="P129" i="2"/>
  <c r="M251" i="2"/>
  <c r="M250" i="2"/>
  <c r="M217" i="2"/>
  <c r="N251" i="2"/>
  <c r="N250" i="2"/>
  <c r="N217" i="2"/>
  <c r="P210" i="2"/>
  <c r="O251" i="2"/>
  <c r="I94" i="2"/>
  <c r="I95" i="2" s="1"/>
  <c r="I255" i="2" s="1"/>
  <c r="I259" i="2" s="1"/>
  <c r="P40" i="2"/>
  <c r="J94" i="2"/>
  <c r="J95" i="2" s="1"/>
  <c r="J255" i="2" s="1"/>
  <c r="J259" i="2" s="1"/>
  <c r="F119" i="2"/>
  <c r="P134" i="2"/>
  <c r="P145" i="2"/>
  <c r="J22" i="2"/>
  <c r="J24" i="2" s="1"/>
  <c r="J25" i="2" s="1"/>
  <c r="P62" i="2"/>
  <c r="P216" i="2"/>
  <c r="P242" i="2"/>
  <c r="D251" i="2"/>
  <c r="P256" i="2"/>
  <c r="P258" i="2" s="1"/>
  <c r="P88" i="2"/>
  <c r="N95" i="1"/>
  <c r="N255" i="1" s="1"/>
  <c r="N259" i="1" s="1"/>
  <c r="E119" i="1"/>
  <c r="F119" i="1"/>
  <c r="O95" i="1"/>
  <c r="O255" i="1" s="1"/>
  <c r="O259" i="1" s="1"/>
  <c r="L250" i="1"/>
  <c r="N251" i="1"/>
  <c r="O250" i="1"/>
  <c r="K95" i="1"/>
  <c r="K255" i="1" s="1"/>
  <c r="K259" i="1" s="1"/>
  <c r="E251" i="1"/>
  <c r="H217" i="1"/>
  <c r="F251" i="1"/>
  <c r="K250" i="1"/>
  <c r="I217" i="1"/>
  <c r="G251" i="1"/>
  <c r="J217" i="1"/>
  <c r="N94" i="1"/>
  <c r="I251" i="1"/>
  <c r="G201" i="16"/>
  <c r="G200" i="16"/>
  <c r="P119" i="4" l="1"/>
  <c r="P94" i="4"/>
  <c r="P95" i="4" s="1"/>
  <c r="P94" i="2"/>
  <c r="P95" i="2" s="1"/>
  <c r="P22" i="3"/>
  <c r="P24" i="3" s="1"/>
  <c r="P25" i="3" s="1"/>
  <c r="P94" i="3"/>
  <c r="P95" i="3" s="1"/>
  <c r="P256" i="4"/>
  <c r="P258" i="4" s="1"/>
  <c r="P22" i="2"/>
  <c r="P24" i="2" s="1"/>
  <c r="P25" i="2" s="1"/>
  <c r="P230" i="4"/>
  <c r="P22" i="4"/>
  <c r="P24" i="4" s="1"/>
  <c r="P25" i="4" s="1"/>
  <c r="P230" i="2"/>
  <c r="P243" i="3"/>
  <c r="J259" i="4"/>
  <c r="P255" i="4"/>
  <c r="P259" i="4" s="1"/>
  <c r="P217" i="4"/>
  <c r="P251" i="4"/>
  <c r="P250" i="4"/>
  <c r="P243" i="4"/>
  <c r="P149" i="4"/>
  <c r="I259" i="3"/>
  <c r="P255" i="3"/>
  <c r="P259" i="3" s="1"/>
  <c r="P230" i="3"/>
  <c r="P149" i="3"/>
  <c r="P217" i="3"/>
  <c r="P251" i="3"/>
  <c r="P250" i="3"/>
  <c r="J258" i="3"/>
  <c r="P256" i="3"/>
  <c r="P258" i="3" s="1"/>
  <c r="P217" i="2"/>
  <c r="P250" i="2"/>
  <c r="P251" i="2"/>
  <c r="P149" i="2"/>
  <c r="P243" i="2"/>
  <c r="P255" i="2"/>
  <c r="P259" i="2" s="1"/>
  <c r="O201" i="11"/>
  <c r="O200" i="11"/>
  <c r="B37" i="4" l="1"/>
  <c r="B35" i="4"/>
  <c r="B33" i="4"/>
  <c r="B31" i="4"/>
  <c r="B29" i="4"/>
  <c r="B37" i="3"/>
  <c r="B35" i="3"/>
  <c r="B33" i="3"/>
  <c r="B31" i="3"/>
  <c r="B29" i="3"/>
  <c r="B37" i="2"/>
  <c r="B35" i="2"/>
  <c r="B33" i="2"/>
  <c r="B31" i="2"/>
  <c r="B29" i="2"/>
  <c r="D46" i="1"/>
  <c r="I41" i="2" l="1"/>
  <c r="N41" i="2"/>
  <c r="F41" i="2"/>
  <c r="M41" i="2"/>
  <c r="E41" i="2"/>
  <c r="L41" i="2"/>
  <c r="D41" i="2"/>
  <c r="O41" i="2"/>
  <c r="K41" i="2"/>
  <c r="G41" i="2"/>
  <c r="J41" i="2"/>
  <c r="H41" i="2"/>
  <c r="J41" i="4"/>
  <c r="O41" i="4"/>
  <c r="G41" i="4"/>
  <c r="N41" i="4"/>
  <c r="F41" i="4"/>
  <c r="M41" i="4"/>
  <c r="E41" i="4"/>
  <c r="I41" i="4"/>
  <c r="L41" i="4"/>
  <c r="D41" i="4"/>
  <c r="K41" i="4"/>
  <c r="H41" i="4"/>
  <c r="M41" i="3"/>
  <c r="E41" i="3"/>
  <c r="D41" i="3"/>
  <c r="J41" i="3"/>
  <c r="I41" i="3"/>
  <c r="H41" i="3"/>
  <c r="O41" i="3"/>
  <c r="G41" i="3"/>
  <c r="N41" i="3"/>
  <c r="F41" i="3"/>
  <c r="L41" i="3"/>
  <c r="K41" i="3"/>
  <c r="F233" i="15"/>
  <c r="E200" i="15"/>
  <c r="E201" i="15"/>
  <c r="E202" i="15"/>
  <c r="E203" i="15"/>
  <c r="H42" i="4" l="1"/>
  <c r="H58" i="4"/>
  <c r="E42" i="2"/>
  <c r="E58" i="2"/>
  <c r="G58" i="3"/>
  <c r="G42" i="3"/>
  <c r="G58" i="4"/>
  <c r="G42" i="4"/>
  <c r="K42" i="3"/>
  <c r="K58" i="3"/>
  <c r="H42" i="2"/>
  <c r="H58" i="2"/>
  <c r="M42" i="2"/>
  <c r="M58" i="2"/>
  <c r="N42" i="4"/>
  <c r="N58" i="4"/>
  <c r="P41" i="2"/>
  <c r="P42" i="2" s="1"/>
  <c r="D58" i="2"/>
  <c r="D42" i="2"/>
  <c r="O58" i="4"/>
  <c r="O42" i="4"/>
  <c r="I58" i="3"/>
  <c r="I42" i="3"/>
  <c r="I58" i="4"/>
  <c r="I42" i="4"/>
  <c r="D42" i="3"/>
  <c r="D58" i="3"/>
  <c r="P41" i="3"/>
  <c r="P42" i="3" s="1"/>
  <c r="E42" i="4"/>
  <c r="E58" i="4"/>
  <c r="J42" i="2"/>
  <c r="J58" i="2"/>
  <c r="F42" i="2"/>
  <c r="F58" i="2"/>
  <c r="O58" i="2"/>
  <c r="O42" i="2"/>
  <c r="K42" i="4"/>
  <c r="K58" i="4"/>
  <c r="L42" i="2"/>
  <c r="L58" i="2"/>
  <c r="L42" i="4"/>
  <c r="L58" i="4"/>
  <c r="J58" i="3"/>
  <c r="J42" i="3"/>
  <c r="L58" i="3"/>
  <c r="L42" i="3"/>
  <c r="F58" i="3"/>
  <c r="F42" i="3"/>
  <c r="E42" i="3"/>
  <c r="E58" i="3"/>
  <c r="M58" i="4"/>
  <c r="M42" i="4"/>
  <c r="G58" i="2"/>
  <c r="G42" i="2"/>
  <c r="N58" i="2"/>
  <c r="N42" i="2"/>
  <c r="O58" i="3"/>
  <c r="O42" i="3"/>
  <c r="H58" i="3"/>
  <c r="H42" i="3"/>
  <c r="D58" i="4"/>
  <c r="P41" i="4"/>
  <c r="P42" i="4" s="1"/>
  <c r="D42" i="4"/>
  <c r="J58" i="4"/>
  <c r="J42" i="4"/>
  <c r="N42" i="3"/>
  <c r="N58" i="3"/>
  <c r="M58" i="3"/>
  <c r="M42" i="3"/>
  <c r="F42" i="4"/>
  <c r="F58" i="4"/>
  <c r="K58" i="2"/>
  <c r="K42" i="2"/>
  <c r="I58" i="2"/>
  <c r="I42" i="2"/>
  <c r="L233" i="11"/>
  <c r="L200" i="11"/>
  <c r="K60" i="2" l="1"/>
  <c r="K59" i="2"/>
  <c r="K249" i="2"/>
  <c r="I60" i="4"/>
  <c r="I59" i="4"/>
  <c r="I249" i="4"/>
  <c r="N59" i="4"/>
  <c r="N249" i="4"/>
  <c r="N60" i="4"/>
  <c r="G249" i="4"/>
  <c r="G59" i="4"/>
  <c r="G60" i="4"/>
  <c r="E59" i="4"/>
  <c r="E60" i="4"/>
  <c r="E249" i="4"/>
  <c r="G60" i="2"/>
  <c r="G59" i="2"/>
  <c r="G249" i="2"/>
  <c r="M59" i="3"/>
  <c r="M60" i="3"/>
  <c r="M249" i="3"/>
  <c r="O249" i="4"/>
  <c r="O59" i="4"/>
  <c r="O60" i="4"/>
  <c r="H59" i="2"/>
  <c r="H249" i="2"/>
  <c r="H60" i="2"/>
  <c r="E60" i="2"/>
  <c r="E249" i="2"/>
  <c r="E59" i="2"/>
  <c r="F59" i="3"/>
  <c r="F60" i="3"/>
  <c r="F249" i="3"/>
  <c r="M59" i="2"/>
  <c r="M249" i="2"/>
  <c r="M60" i="2"/>
  <c r="D59" i="4"/>
  <c r="D60" i="4"/>
  <c r="D249" i="4"/>
  <c r="P58" i="4"/>
  <c r="L60" i="3"/>
  <c r="L249" i="3"/>
  <c r="L59" i="3"/>
  <c r="G59" i="3"/>
  <c r="G60" i="3"/>
  <c r="G249" i="3"/>
  <c r="N59" i="3"/>
  <c r="N60" i="3"/>
  <c r="N249" i="3"/>
  <c r="H60" i="3"/>
  <c r="H59" i="3"/>
  <c r="H249" i="3"/>
  <c r="M249" i="4"/>
  <c r="M59" i="4"/>
  <c r="M60" i="4"/>
  <c r="J59" i="3"/>
  <c r="J249" i="3"/>
  <c r="J60" i="3"/>
  <c r="O249" i="2"/>
  <c r="O59" i="2"/>
  <c r="O60" i="2"/>
  <c r="D59" i="3"/>
  <c r="D249" i="3"/>
  <c r="D60" i="3"/>
  <c r="P58" i="3"/>
  <c r="L59" i="2"/>
  <c r="L60" i="2"/>
  <c r="L249" i="2"/>
  <c r="F59" i="4"/>
  <c r="F60" i="4"/>
  <c r="F249" i="4"/>
  <c r="I60" i="2"/>
  <c r="I59" i="2"/>
  <c r="I249" i="2"/>
  <c r="E59" i="3"/>
  <c r="E60" i="3"/>
  <c r="E249" i="3"/>
  <c r="F60" i="2"/>
  <c r="F59" i="2"/>
  <c r="F249" i="2"/>
  <c r="D59" i="2"/>
  <c r="P58" i="2"/>
  <c r="D249" i="2"/>
  <c r="D60" i="2"/>
  <c r="K59" i="3"/>
  <c r="K249" i="3"/>
  <c r="K60" i="3"/>
  <c r="H60" i="4"/>
  <c r="H59" i="4"/>
  <c r="H249" i="4"/>
  <c r="J59" i="4"/>
  <c r="J249" i="4"/>
  <c r="J60" i="4"/>
  <c r="J59" i="2"/>
  <c r="J60" i="2"/>
  <c r="J249" i="2"/>
  <c r="N59" i="2"/>
  <c r="N60" i="2"/>
  <c r="N249" i="2"/>
  <c r="K249" i="4"/>
  <c r="K59" i="4"/>
  <c r="K60" i="4"/>
  <c r="I60" i="3"/>
  <c r="I249" i="3"/>
  <c r="I59" i="3"/>
  <c r="L60" i="4"/>
  <c r="L59" i="4"/>
  <c r="L249" i="4"/>
  <c r="O60" i="3"/>
  <c r="O59" i="3"/>
  <c r="O249" i="3"/>
  <c r="G52" i="14"/>
  <c r="F52" i="14"/>
  <c r="E52" i="14"/>
  <c r="D52" i="14"/>
  <c r="B37" i="13"/>
  <c r="B35" i="13"/>
  <c r="B33" i="13"/>
  <c r="B31" i="13"/>
  <c r="B29" i="13"/>
  <c r="B37" i="12"/>
  <c r="B35" i="12"/>
  <c r="B33" i="12"/>
  <c r="B31" i="12"/>
  <c r="B29" i="12"/>
  <c r="B37" i="11"/>
  <c r="B35" i="11"/>
  <c r="B33" i="11"/>
  <c r="B31" i="11"/>
  <c r="B29" i="11"/>
  <c r="B37" i="17"/>
  <c r="B35" i="17"/>
  <c r="B33" i="17"/>
  <c r="B31" i="17"/>
  <c r="B29" i="17"/>
  <c r="B37" i="16"/>
  <c r="B35" i="16"/>
  <c r="B33" i="16"/>
  <c r="B31" i="16"/>
  <c r="B29" i="16"/>
  <c r="B37" i="15"/>
  <c r="B35" i="15"/>
  <c r="B33" i="15"/>
  <c r="B31" i="15"/>
  <c r="B29" i="15"/>
  <c r="B37" i="14"/>
  <c r="B35" i="14"/>
  <c r="B33" i="14"/>
  <c r="B31" i="14"/>
  <c r="B29" i="14"/>
  <c r="P59" i="4" l="1"/>
  <c r="P249" i="4"/>
  <c r="P60" i="4"/>
  <c r="P59" i="2"/>
  <c r="P60" i="2"/>
  <c r="P249" i="2"/>
  <c r="P60" i="3"/>
  <c r="P249" i="3"/>
  <c r="P59" i="3"/>
  <c r="B37" i="1"/>
  <c r="B35" i="1"/>
  <c r="B33" i="1"/>
  <c r="B31" i="1"/>
  <c r="B29" i="1"/>
  <c r="F41" i="1" l="1"/>
  <c r="E41" i="1"/>
  <c r="L41" i="1"/>
  <c r="K41" i="1"/>
  <c r="M41" i="1"/>
  <c r="J41" i="1"/>
  <c r="I41" i="1"/>
  <c r="O41" i="1"/>
  <c r="N41" i="1"/>
  <c r="H41" i="1"/>
  <c r="G41" i="1"/>
  <c r="D34" i="1"/>
  <c r="D32" i="1"/>
  <c r="D30" i="1"/>
  <c r="D15" i="1"/>
  <c r="E42" i="1" l="1"/>
  <c r="E58" i="1"/>
  <c r="G42" i="1"/>
  <c r="G58" i="1"/>
  <c r="H58" i="1"/>
  <c r="H42" i="1"/>
  <c r="O42" i="1"/>
  <c r="O58" i="1"/>
  <c r="I58" i="1"/>
  <c r="I42" i="1"/>
  <c r="J58" i="1"/>
  <c r="J42" i="1"/>
  <c r="L58" i="1"/>
  <c r="L42" i="1"/>
  <c r="F42" i="1"/>
  <c r="F58" i="1"/>
  <c r="N58" i="1"/>
  <c r="N42" i="1"/>
  <c r="M58" i="1"/>
  <c r="M42" i="1"/>
  <c r="K58" i="1"/>
  <c r="K42" i="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O233" i="11"/>
  <c r="N233" i="11"/>
  <c r="M233" i="11"/>
  <c r="K233" i="11"/>
  <c r="J233" i="11"/>
  <c r="I233" i="11"/>
  <c r="H233" i="11"/>
  <c r="G233" i="11"/>
  <c r="F233" i="11"/>
  <c r="E233" i="11"/>
  <c r="D233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N201" i="11"/>
  <c r="M201" i="11"/>
  <c r="L201" i="11"/>
  <c r="K201" i="11"/>
  <c r="J201" i="11"/>
  <c r="I201" i="11"/>
  <c r="H201" i="11"/>
  <c r="G201" i="11"/>
  <c r="F201" i="11"/>
  <c r="E201" i="11"/>
  <c r="D201" i="11"/>
  <c r="N200" i="11"/>
  <c r="M200" i="11"/>
  <c r="K200" i="11"/>
  <c r="J200" i="11"/>
  <c r="I200" i="11"/>
  <c r="H200" i="11"/>
  <c r="G200" i="11"/>
  <c r="F200" i="11"/>
  <c r="E200" i="11"/>
  <c r="D200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O66" i="11"/>
  <c r="N66" i="11"/>
  <c r="M66" i="11"/>
  <c r="L66" i="11"/>
  <c r="K66" i="11"/>
  <c r="J66" i="11"/>
  <c r="I66" i="11"/>
  <c r="H66" i="11"/>
  <c r="F66" i="11"/>
  <c r="E66" i="11"/>
  <c r="D66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O44" i="11"/>
  <c r="N44" i="11"/>
  <c r="M44" i="11"/>
  <c r="L44" i="11"/>
  <c r="K44" i="11"/>
  <c r="J44" i="11"/>
  <c r="I44" i="11"/>
  <c r="H44" i="11"/>
  <c r="G44" i="11"/>
  <c r="F44" i="11"/>
  <c r="E44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O33" i="11"/>
  <c r="N33" i="11"/>
  <c r="M33" i="11"/>
  <c r="L33" i="11"/>
  <c r="K33" i="11"/>
  <c r="J33" i="11"/>
  <c r="I33" i="11"/>
  <c r="H33" i="11"/>
  <c r="G33" i="11"/>
  <c r="F33" i="11"/>
  <c r="E33" i="11"/>
  <c r="O31" i="11"/>
  <c r="N31" i="11"/>
  <c r="M31" i="11"/>
  <c r="L31" i="11"/>
  <c r="K31" i="11"/>
  <c r="J31" i="11"/>
  <c r="I31" i="11"/>
  <c r="H31" i="11"/>
  <c r="G31" i="11"/>
  <c r="F31" i="11"/>
  <c r="E31" i="11"/>
  <c r="O29" i="11"/>
  <c r="N29" i="11"/>
  <c r="M29" i="11"/>
  <c r="L29" i="11"/>
  <c r="K29" i="11"/>
  <c r="J29" i="11"/>
  <c r="I29" i="11"/>
  <c r="H29" i="11"/>
  <c r="G29" i="11"/>
  <c r="F29" i="11"/>
  <c r="E29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O9" i="11"/>
  <c r="N9" i="11"/>
  <c r="M9" i="11"/>
  <c r="L9" i="11"/>
  <c r="K9" i="11"/>
  <c r="J9" i="11"/>
  <c r="I9" i="11"/>
  <c r="H9" i="11"/>
  <c r="G9" i="11"/>
  <c r="F9" i="11"/>
  <c r="E9" i="11"/>
  <c r="H229" i="11" l="1"/>
  <c r="N60" i="1"/>
  <c r="N59" i="1"/>
  <c r="N249" i="1"/>
  <c r="H249" i="1"/>
  <c r="H59" i="1"/>
  <c r="H60" i="1"/>
  <c r="F249" i="1"/>
  <c r="F60" i="1"/>
  <c r="F59" i="1"/>
  <c r="G59" i="1"/>
  <c r="G60" i="1"/>
  <c r="G249" i="1"/>
  <c r="I249" i="1"/>
  <c r="I59" i="1"/>
  <c r="I60" i="1"/>
  <c r="O60" i="1"/>
  <c r="O59" i="1"/>
  <c r="O249" i="1"/>
  <c r="K249" i="1"/>
  <c r="K60" i="1"/>
  <c r="K59" i="1"/>
  <c r="M60" i="1"/>
  <c r="M59" i="1"/>
  <c r="M249" i="1"/>
  <c r="J59" i="1"/>
  <c r="J60" i="1"/>
  <c r="J249" i="1"/>
  <c r="E60" i="1"/>
  <c r="E59" i="1"/>
  <c r="E249" i="1"/>
  <c r="L59" i="1"/>
  <c r="L60" i="1"/>
  <c r="L249" i="1"/>
  <c r="E144" i="11"/>
  <c r="F144" i="11"/>
  <c r="G144" i="11"/>
  <c r="N144" i="11"/>
  <c r="M144" i="11"/>
  <c r="L144" i="11"/>
  <c r="O144" i="11"/>
  <c r="J144" i="11"/>
  <c r="K144" i="11"/>
  <c r="H144" i="11"/>
  <c r="I144" i="11"/>
  <c r="D9" i="11" l="1"/>
  <c r="D44" i="11"/>
  <c r="D33" i="11"/>
  <c r="D31" i="11"/>
  <c r="D29" i="11"/>
  <c r="D70" i="1" l="1"/>
  <c r="D71" i="1" s="1"/>
  <c r="D76" i="1"/>
  <c r="D77" i="1" s="1"/>
  <c r="D82" i="1"/>
  <c r="D83" i="1" s="1"/>
  <c r="D88" i="1"/>
  <c r="D89" i="1" s="1"/>
  <c r="D90" i="1"/>
  <c r="D246" i="16" l="1"/>
  <c r="E246" i="16"/>
  <c r="F246" i="16"/>
  <c r="G246" i="16"/>
  <c r="G245" i="16"/>
  <c r="F245" i="16"/>
  <c r="E245" i="16"/>
  <c r="D245" i="16"/>
  <c r="H246" i="16" l="1"/>
  <c r="H245" i="16"/>
  <c r="P246" i="1" l="1"/>
  <c r="P245" i="1"/>
  <c r="G143" i="16" l="1"/>
  <c r="F143" i="16"/>
  <c r="E143" i="16"/>
  <c r="D143" i="16"/>
  <c r="G142" i="16"/>
  <c r="F142" i="16"/>
  <c r="E142" i="16"/>
  <c r="D142" i="16"/>
  <c r="G141" i="16"/>
  <c r="F141" i="16"/>
  <c r="E141" i="16"/>
  <c r="D141" i="16"/>
  <c r="G140" i="16"/>
  <c r="F140" i="16"/>
  <c r="E140" i="16"/>
  <c r="D140" i="16"/>
  <c r="G138" i="16"/>
  <c r="F138" i="16"/>
  <c r="E138" i="16"/>
  <c r="D138" i="16"/>
  <c r="G137" i="16"/>
  <c r="F137" i="16"/>
  <c r="E137" i="16"/>
  <c r="D137" i="16"/>
  <c r="G136" i="16"/>
  <c r="F136" i="16"/>
  <c r="E136" i="16"/>
  <c r="D136" i="16"/>
  <c r="G135" i="16"/>
  <c r="F135" i="16"/>
  <c r="E135" i="16"/>
  <c r="D135" i="16"/>
  <c r="G133" i="16"/>
  <c r="F133" i="16"/>
  <c r="E133" i="16"/>
  <c r="D133" i="16"/>
  <c r="G132" i="16"/>
  <c r="F132" i="16"/>
  <c r="E132" i="16"/>
  <c r="D132" i="16"/>
  <c r="G131" i="16"/>
  <c r="F131" i="16"/>
  <c r="E131" i="16"/>
  <c r="D131" i="16"/>
  <c r="G130" i="16"/>
  <c r="F130" i="16"/>
  <c r="E130" i="16"/>
  <c r="D130" i="16"/>
  <c r="G128" i="16"/>
  <c r="F128" i="16"/>
  <c r="E128" i="16"/>
  <c r="D128" i="16"/>
  <c r="G127" i="16"/>
  <c r="F127" i="16"/>
  <c r="E127" i="16"/>
  <c r="D127" i="16"/>
  <c r="G126" i="16"/>
  <c r="F126" i="16"/>
  <c r="E126" i="16"/>
  <c r="D126" i="16"/>
  <c r="G125" i="16"/>
  <c r="F125" i="16"/>
  <c r="E125" i="16"/>
  <c r="D125" i="16"/>
  <c r="D50" i="12"/>
  <c r="E50" i="12"/>
  <c r="F50" i="12"/>
  <c r="G50" i="12"/>
  <c r="D51" i="12"/>
  <c r="E51" i="12"/>
  <c r="F51" i="12"/>
  <c r="G51" i="12"/>
  <c r="P75" i="1"/>
  <c r="P74" i="1"/>
  <c r="P73" i="1"/>
  <c r="P72" i="1"/>
  <c r="G87" i="16"/>
  <c r="F87" i="16"/>
  <c r="E87" i="16"/>
  <c r="D87" i="16"/>
  <c r="G86" i="16"/>
  <c r="F86" i="16"/>
  <c r="E86" i="16"/>
  <c r="D86" i="16"/>
  <c r="G85" i="16"/>
  <c r="F85" i="16"/>
  <c r="E85" i="16"/>
  <c r="D85" i="16"/>
  <c r="G84" i="16"/>
  <c r="F84" i="16"/>
  <c r="E84" i="16"/>
  <c r="D84" i="16"/>
  <c r="G81" i="16"/>
  <c r="F81" i="16"/>
  <c r="E81" i="16"/>
  <c r="D81" i="16"/>
  <c r="G80" i="16"/>
  <c r="F80" i="16"/>
  <c r="E80" i="16"/>
  <c r="D80" i="16"/>
  <c r="G79" i="16"/>
  <c r="F79" i="16"/>
  <c r="E79" i="16"/>
  <c r="D79" i="16"/>
  <c r="G78" i="16"/>
  <c r="F78" i="16"/>
  <c r="E78" i="16"/>
  <c r="D78" i="16"/>
  <c r="G75" i="16"/>
  <c r="F75" i="16"/>
  <c r="E75" i="16"/>
  <c r="D75" i="16"/>
  <c r="G74" i="16"/>
  <c r="F74" i="16"/>
  <c r="E74" i="16"/>
  <c r="D74" i="16"/>
  <c r="G73" i="16"/>
  <c r="F73" i="16"/>
  <c r="E73" i="16"/>
  <c r="D73" i="16"/>
  <c r="G72" i="16"/>
  <c r="F72" i="16"/>
  <c r="E72" i="16"/>
  <c r="D72" i="16"/>
  <c r="G66" i="16"/>
  <c r="F66" i="16"/>
  <c r="E66" i="16"/>
  <c r="D66" i="16"/>
  <c r="P86" i="1"/>
  <c r="P87" i="1"/>
  <c r="D87" i="17" s="1"/>
  <c r="G84" i="17"/>
  <c r="G78" i="17"/>
  <c r="G72" i="17"/>
  <c r="G66" i="17"/>
  <c r="E84" i="17"/>
  <c r="E78" i="17"/>
  <c r="E72" i="17"/>
  <c r="E66" i="17"/>
  <c r="D84" i="17"/>
  <c r="D78" i="17"/>
  <c r="D72" i="17"/>
  <c r="D66" i="17"/>
  <c r="P262" i="1"/>
  <c r="P261" i="1"/>
  <c r="P116" i="1"/>
  <c r="P115" i="1"/>
  <c r="P114" i="1"/>
  <c r="P113" i="1"/>
  <c r="P80" i="1"/>
  <c r="O46" i="11"/>
  <c r="P196" i="1"/>
  <c r="E88" i="16" l="1"/>
  <c r="F76" i="16"/>
  <c r="G76" i="16"/>
  <c r="G77" i="16" s="1"/>
  <c r="G82" i="16"/>
  <c r="G83" i="16" s="1"/>
  <c r="G88" i="16"/>
  <c r="G89" i="16" s="1"/>
  <c r="F88" i="16"/>
  <c r="F89" i="16" s="1"/>
  <c r="G144" i="16"/>
  <c r="E90" i="16"/>
  <c r="F144" i="16"/>
  <c r="D76" i="16"/>
  <c r="D77" i="16" s="1"/>
  <c r="D82" i="16"/>
  <c r="D83" i="16" s="1"/>
  <c r="E144" i="16"/>
  <c r="E76" i="16"/>
  <c r="E77" i="16" s="1"/>
  <c r="E82" i="16"/>
  <c r="E83" i="16" s="1"/>
  <c r="D88" i="16"/>
  <c r="D89" i="16" s="1"/>
  <c r="P76" i="1"/>
  <c r="P77" i="1" s="1"/>
  <c r="H127" i="16"/>
  <c r="H135" i="16"/>
  <c r="H137" i="16"/>
  <c r="H140" i="16"/>
  <c r="H132" i="16"/>
  <c r="H133" i="16"/>
  <c r="H128" i="16"/>
  <c r="G90" i="16"/>
  <c r="H141" i="16"/>
  <c r="H138" i="16"/>
  <c r="H136" i="16"/>
  <c r="H131" i="16"/>
  <c r="H125" i="16"/>
  <c r="F82" i="16"/>
  <c r="F83" i="16" s="1"/>
  <c r="H75" i="16"/>
  <c r="F77" i="16"/>
  <c r="F90" i="16"/>
  <c r="H142" i="16"/>
  <c r="H143" i="16"/>
  <c r="H130" i="16"/>
  <c r="H126" i="16"/>
  <c r="P263" i="1"/>
  <c r="H86" i="16"/>
  <c r="H80" i="16"/>
  <c r="D90" i="16"/>
  <c r="H66" i="16"/>
  <c r="E89" i="16"/>
  <c r="H144" i="16" l="1"/>
  <c r="H139" i="16"/>
  <c r="H134" i="16"/>
  <c r="H129" i="16"/>
  <c r="H90" i="16"/>
  <c r="G122" i="16"/>
  <c r="F122" i="16"/>
  <c r="E122" i="16"/>
  <c r="D122" i="16"/>
  <c r="G121" i="16"/>
  <c r="F121" i="16"/>
  <c r="E121" i="16"/>
  <c r="D121" i="16"/>
  <c r="G116" i="16"/>
  <c r="F116" i="16"/>
  <c r="E116" i="16"/>
  <c r="D116" i="16"/>
  <c r="G115" i="16"/>
  <c r="F115" i="16"/>
  <c r="E115" i="16"/>
  <c r="D115" i="16"/>
  <c r="G114" i="16"/>
  <c r="F114" i="16"/>
  <c r="E114" i="16"/>
  <c r="D114" i="16"/>
  <c r="G113" i="16"/>
  <c r="F113" i="16"/>
  <c r="E113" i="16"/>
  <c r="D113" i="16"/>
  <c r="G110" i="16"/>
  <c r="F110" i="16"/>
  <c r="E110" i="16"/>
  <c r="D110" i="16"/>
  <c r="G109" i="16"/>
  <c r="F109" i="16"/>
  <c r="E109" i="16"/>
  <c r="D109" i="16"/>
  <c r="G108" i="16"/>
  <c r="F108" i="16"/>
  <c r="E108" i="16"/>
  <c r="D108" i="16"/>
  <c r="G107" i="16"/>
  <c r="F107" i="16"/>
  <c r="E107" i="16"/>
  <c r="D107" i="16"/>
  <c r="G102" i="16"/>
  <c r="G103" i="16"/>
  <c r="G104" i="16"/>
  <c r="F102" i="16"/>
  <c r="F103" i="16"/>
  <c r="F104" i="16"/>
  <c r="E102" i="16"/>
  <c r="E103" i="16"/>
  <c r="E104" i="16"/>
  <c r="D102" i="16"/>
  <c r="D103" i="16"/>
  <c r="D104" i="16"/>
  <c r="G101" i="16"/>
  <c r="F101" i="16"/>
  <c r="E101" i="16"/>
  <c r="D101" i="16"/>
  <c r="G98" i="16"/>
  <c r="F98" i="16"/>
  <c r="E98" i="16"/>
  <c r="D98" i="16"/>
  <c r="D144" i="16"/>
  <c r="G139" i="16"/>
  <c r="F139" i="16"/>
  <c r="E139" i="16"/>
  <c r="D139" i="16"/>
  <c r="G134" i="16"/>
  <c r="F134" i="16"/>
  <c r="E134" i="16"/>
  <c r="D134" i="16"/>
  <c r="G148" i="16"/>
  <c r="F148" i="16"/>
  <c r="E148" i="16"/>
  <c r="D148" i="16"/>
  <c r="G147" i="16"/>
  <c r="F147" i="16"/>
  <c r="E147" i="16"/>
  <c r="D147" i="16"/>
  <c r="G146" i="16"/>
  <c r="F146" i="16"/>
  <c r="E146" i="16"/>
  <c r="D146" i="16"/>
  <c r="G145" i="16"/>
  <c r="F145" i="16"/>
  <c r="E145" i="16"/>
  <c r="D145" i="16"/>
  <c r="H263" i="16"/>
  <c r="G257" i="16"/>
  <c r="F257" i="16"/>
  <c r="E257" i="16"/>
  <c r="D257" i="16"/>
  <c r="G254" i="16"/>
  <c r="F254" i="16"/>
  <c r="E254" i="16"/>
  <c r="D254" i="16"/>
  <c r="G253" i="16"/>
  <c r="F253" i="16"/>
  <c r="E253" i="16"/>
  <c r="D253" i="16"/>
  <c r="G262" i="16"/>
  <c r="F262" i="16"/>
  <c r="E262" i="16"/>
  <c r="D262" i="16"/>
  <c r="G261" i="16"/>
  <c r="F261" i="16"/>
  <c r="E261" i="16"/>
  <c r="D261" i="16"/>
  <c r="G241" i="16"/>
  <c r="F241" i="16"/>
  <c r="E241" i="16"/>
  <c r="D241" i="16"/>
  <c r="G240" i="16"/>
  <c r="F240" i="16"/>
  <c r="E240" i="16"/>
  <c r="D240" i="16"/>
  <c r="G239" i="16"/>
  <c r="F239" i="16"/>
  <c r="E239" i="16"/>
  <c r="D239" i="16"/>
  <c r="G238" i="16"/>
  <c r="F238" i="16"/>
  <c r="E238" i="16"/>
  <c r="D238" i="16"/>
  <c r="G235" i="16"/>
  <c r="F235" i="16"/>
  <c r="E235" i="16"/>
  <c r="D235" i="16"/>
  <c r="G234" i="16"/>
  <c r="F234" i="16"/>
  <c r="E234" i="16"/>
  <c r="D234" i="16"/>
  <c r="G233" i="16"/>
  <c r="F233" i="16"/>
  <c r="E233" i="16"/>
  <c r="D233" i="16"/>
  <c r="G232" i="16"/>
  <c r="F232" i="16"/>
  <c r="E232" i="16"/>
  <c r="D232" i="16"/>
  <c r="G228" i="16"/>
  <c r="F228" i="16"/>
  <c r="E228" i="16"/>
  <c r="D228" i="16"/>
  <c r="G227" i="16"/>
  <c r="F227" i="16"/>
  <c r="E227" i="16"/>
  <c r="D227" i="16"/>
  <c r="G226" i="16"/>
  <c r="F226" i="16"/>
  <c r="E226" i="16"/>
  <c r="D226" i="16"/>
  <c r="G225" i="16"/>
  <c r="F225" i="16"/>
  <c r="E225" i="16"/>
  <c r="D225" i="16"/>
  <c r="G222" i="16"/>
  <c r="F222" i="16"/>
  <c r="E222" i="16"/>
  <c r="D222" i="16"/>
  <c r="G221" i="16"/>
  <c r="F221" i="16"/>
  <c r="E221" i="16"/>
  <c r="D221" i="16"/>
  <c r="G220" i="16"/>
  <c r="F220" i="16"/>
  <c r="E220" i="16"/>
  <c r="D220" i="16"/>
  <c r="G219" i="16"/>
  <c r="F219" i="16"/>
  <c r="E219" i="16"/>
  <c r="D219" i="16"/>
  <c r="G215" i="16"/>
  <c r="F215" i="16"/>
  <c r="E215" i="16"/>
  <c r="D215" i="16"/>
  <c r="G214" i="16"/>
  <c r="F214" i="16"/>
  <c r="E214" i="16"/>
  <c r="D214" i="16"/>
  <c r="G213" i="16"/>
  <c r="F213" i="16"/>
  <c r="E213" i="16"/>
  <c r="D213" i="16"/>
  <c r="G212" i="16"/>
  <c r="F212" i="16"/>
  <c r="E212" i="16"/>
  <c r="D212" i="16"/>
  <c r="G209" i="16"/>
  <c r="F209" i="16"/>
  <c r="E209" i="16"/>
  <c r="D209" i="16"/>
  <c r="G208" i="16"/>
  <c r="F208" i="16"/>
  <c r="E208" i="16"/>
  <c r="D208" i="16"/>
  <c r="G207" i="16"/>
  <c r="F207" i="16"/>
  <c r="E207" i="16"/>
  <c r="D207" i="16"/>
  <c r="G206" i="16"/>
  <c r="F206" i="16"/>
  <c r="E206" i="16"/>
  <c r="D206" i="16"/>
  <c r="G203" i="16"/>
  <c r="F203" i="16"/>
  <c r="E203" i="16"/>
  <c r="D203" i="16"/>
  <c r="G202" i="16"/>
  <c r="F202" i="16"/>
  <c r="E202" i="16"/>
  <c r="D202" i="16"/>
  <c r="F201" i="16"/>
  <c r="E201" i="16"/>
  <c r="D201" i="16"/>
  <c r="F200" i="16"/>
  <c r="E200" i="16"/>
  <c r="D200" i="16"/>
  <c r="G199" i="16"/>
  <c r="F199" i="16"/>
  <c r="E199" i="16"/>
  <c r="D199" i="16"/>
  <c r="G197" i="16"/>
  <c r="F197" i="16"/>
  <c r="E197" i="16"/>
  <c r="D197" i="16"/>
  <c r="G196" i="16"/>
  <c r="F196" i="16"/>
  <c r="E196" i="16"/>
  <c r="D196" i="16"/>
  <c r="G195" i="16"/>
  <c r="F195" i="16"/>
  <c r="E195" i="16"/>
  <c r="D195" i="16"/>
  <c r="G194" i="16"/>
  <c r="F194" i="16"/>
  <c r="E194" i="16"/>
  <c r="D194" i="16"/>
  <c r="G187" i="16"/>
  <c r="F187" i="16"/>
  <c r="E187" i="16"/>
  <c r="D187" i="16"/>
  <c r="G186" i="16"/>
  <c r="F186" i="16"/>
  <c r="E186" i="16"/>
  <c r="D186" i="16"/>
  <c r="G185" i="16"/>
  <c r="F185" i="16"/>
  <c r="E185" i="16"/>
  <c r="D185" i="16"/>
  <c r="G184" i="16"/>
  <c r="F184" i="16"/>
  <c r="E184" i="16"/>
  <c r="D184" i="16"/>
  <c r="G182" i="16"/>
  <c r="F182" i="16"/>
  <c r="E182" i="16"/>
  <c r="D182" i="16"/>
  <c r="G181" i="16"/>
  <c r="F181" i="16"/>
  <c r="E181" i="16"/>
  <c r="D181" i="16"/>
  <c r="G180" i="16"/>
  <c r="F180" i="16"/>
  <c r="E180" i="16"/>
  <c r="D180" i="16"/>
  <c r="G179" i="16"/>
  <c r="F179" i="16"/>
  <c r="E179" i="16"/>
  <c r="D179" i="16"/>
  <c r="G178" i="16"/>
  <c r="F178" i="16"/>
  <c r="E178" i="16"/>
  <c r="D178" i="16"/>
  <c r="G177" i="16"/>
  <c r="F177" i="16"/>
  <c r="E177" i="16"/>
  <c r="D177" i="16"/>
  <c r="G175" i="16"/>
  <c r="F175" i="16"/>
  <c r="E175" i="16"/>
  <c r="D175" i="16"/>
  <c r="G174" i="16"/>
  <c r="F174" i="16"/>
  <c r="E174" i="16"/>
  <c r="D174" i="16"/>
  <c r="G173" i="16"/>
  <c r="F173" i="16"/>
  <c r="E173" i="16"/>
  <c r="D173" i="16"/>
  <c r="G172" i="16"/>
  <c r="F172" i="16"/>
  <c r="E172" i="16"/>
  <c r="D172" i="16"/>
  <c r="G171" i="16"/>
  <c r="F171" i="16"/>
  <c r="E171" i="16"/>
  <c r="D171" i="16"/>
  <c r="G170" i="16"/>
  <c r="F170" i="16"/>
  <c r="E170" i="16"/>
  <c r="D170" i="16"/>
  <c r="G169" i="16"/>
  <c r="F169" i="16"/>
  <c r="E169" i="16"/>
  <c r="D169" i="16"/>
  <c r="G168" i="16"/>
  <c r="F168" i="16"/>
  <c r="E168" i="16"/>
  <c r="D168" i="16"/>
  <c r="G167" i="16"/>
  <c r="F167" i="16"/>
  <c r="E167" i="16"/>
  <c r="D167" i="16"/>
  <c r="G165" i="16"/>
  <c r="F165" i="16"/>
  <c r="E165" i="16"/>
  <c r="D165" i="16"/>
  <c r="G164" i="16"/>
  <c r="F164" i="16"/>
  <c r="E164" i="16"/>
  <c r="D164" i="16"/>
  <c r="G163" i="16"/>
  <c r="F163" i="16"/>
  <c r="E163" i="16"/>
  <c r="D163" i="16"/>
  <c r="G162" i="16"/>
  <c r="F162" i="16"/>
  <c r="E162" i="16"/>
  <c r="D162" i="16"/>
  <c r="G161" i="16"/>
  <c r="F161" i="16"/>
  <c r="E161" i="16"/>
  <c r="D161" i="16"/>
  <c r="G160" i="16"/>
  <c r="F160" i="16"/>
  <c r="E160" i="16"/>
  <c r="D160" i="16"/>
  <c r="G159" i="16"/>
  <c r="F159" i="16"/>
  <c r="E159" i="16"/>
  <c r="D159" i="16"/>
  <c r="G158" i="16"/>
  <c r="F158" i="16"/>
  <c r="E158" i="16"/>
  <c r="D158" i="16"/>
  <c r="G157" i="16"/>
  <c r="F157" i="16"/>
  <c r="E157" i="16"/>
  <c r="D157" i="16"/>
  <c r="G156" i="16"/>
  <c r="F156" i="16"/>
  <c r="E156" i="16"/>
  <c r="D156" i="16"/>
  <c r="G155" i="16"/>
  <c r="F155" i="16"/>
  <c r="E155" i="16"/>
  <c r="D155" i="16"/>
  <c r="G154" i="16"/>
  <c r="F154" i="16"/>
  <c r="E154" i="16"/>
  <c r="D154" i="16"/>
  <c r="G153" i="16"/>
  <c r="F153" i="16"/>
  <c r="E153" i="16"/>
  <c r="D153" i="16"/>
  <c r="G69" i="16"/>
  <c r="G93" i="16" s="1"/>
  <c r="F69" i="16"/>
  <c r="F93" i="16" s="1"/>
  <c r="E69" i="16"/>
  <c r="E93" i="16" s="1"/>
  <c r="D69" i="16"/>
  <c r="D93" i="16" s="1"/>
  <c r="G68" i="16"/>
  <c r="G92" i="16" s="1"/>
  <c r="F68" i="16"/>
  <c r="F92" i="16" s="1"/>
  <c r="E68" i="16"/>
  <c r="E92" i="16" s="1"/>
  <c r="D68" i="16"/>
  <c r="D92" i="16" s="1"/>
  <c r="G67" i="16"/>
  <c r="G91" i="16" s="1"/>
  <c r="F67" i="16"/>
  <c r="F91" i="16" s="1"/>
  <c r="E67" i="16"/>
  <c r="E91" i="16" s="1"/>
  <c r="D67" i="16"/>
  <c r="D91" i="16" s="1"/>
  <c r="G56" i="16"/>
  <c r="F56" i="16"/>
  <c r="E56" i="16"/>
  <c r="D56" i="16"/>
  <c r="G55" i="16"/>
  <c r="F55" i="16"/>
  <c r="E55" i="16"/>
  <c r="D55" i="16"/>
  <c r="G54" i="16"/>
  <c r="F54" i="16"/>
  <c r="E54" i="16"/>
  <c r="D54" i="16"/>
  <c r="G51" i="16"/>
  <c r="F51" i="16"/>
  <c r="E51" i="16"/>
  <c r="D51" i="16"/>
  <c r="G50" i="16"/>
  <c r="F50" i="16"/>
  <c r="E50" i="16"/>
  <c r="D50" i="16"/>
  <c r="G49" i="16"/>
  <c r="F49" i="16"/>
  <c r="E49" i="16"/>
  <c r="D49" i="16"/>
  <c r="G44" i="16"/>
  <c r="F44" i="16"/>
  <c r="E44" i="16"/>
  <c r="D44" i="16"/>
  <c r="G35" i="16"/>
  <c r="F35" i="16"/>
  <c r="E35" i="16"/>
  <c r="D35" i="16"/>
  <c r="G33" i="16"/>
  <c r="F33" i="16"/>
  <c r="E33" i="16"/>
  <c r="D33" i="16"/>
  <c r="G31" i="16"/>
  <c r="F31" i="16"/>
  <c r="E31" i="16"/>
  <c r="D31" i="16"/>
  <c r="G29" i="16"/>
  <c r="F29" i="16"/>
  <c r="E29" i="16"/>
  <c r="D29" i="16"/>
  <c r="G20" i="16"/>
  <c r="F20" i="16"/>
  <c r="E20" i="16"/>
  <c r="G19" i="16"/>
  <c r="F19" i="16"/>
  <c r="E19" i="16"/>
  <c r="G18" i="16"/>
  <c r="F18" i="16"/>
  <c r="E18" i="16"/>
  <c r="G17" i="16"/>
  <c r="F17" i="16"/>
  <c r="E17" i="16"/>
  <c r="G14" i="16"/>
  <c r="F14" i="16"/>
  <c r="E14" i="16"/>
  <c r="G13" i="16"/>
  <c r="F13" i="16"/>
  <c r="E13" i="16"/>
  <c r="G12" i="16"/>
  <c r="F12" i="16"/>
  <c r="E12" i="16"/>
  <c r="G11" i="16"/>
  <c r="F11" i="16"/>
  <c r="E11" i="16"/>
  <c r="G9" i="16"/>
  <c r="F9" i="16"/>
  <c r="E9" i="16"/>
  <c r="G94" i="16" l="1"/>
  <c r="G95" i="16" s="1"/>
  <c r="E263" i="16"/>
  <c r="G263" i="16"/>
  <c r="D236" i="16"/>
  <c r="F263" i="16"/>
  <c r="G236" i="16"/>
  <c r="H103" i="16"/>
  <c r="H116" i="16"/>
  <c r="H110" i="16"/>
  <c r="H101" i="16"/>
  <c r="F236" i="16"/>
  <c r="H115" i="16"/>
  <c r="H108" i="16"/>
  <c r="H109" i="16"/>
  <c r="H102" i="16"/>
  <c r="F94" i="16"/>
  <c r="F95" i="16" s="1"/>
  <c r="E236" i="16"/>
  <c r="H113" i="16"/>
  <c r="H114" i="16"/>
  <c r="H107" i="16"/>
  <c r="H104" i="16"/>
  <c r="E94" i="16"/>
  <c r="E95" i="16" s="1"/>
  <c r="D263" i="16"/>
  <c r="D94" i="16"/>
  <c r="D95" i="16" s="1"/>
  <c r="H93" i="16"/>
  <c r="D149" i="16"/>
  <c r="E149" i="16"/>
  <c r="F149" i="16"/>
  <c r="G149" i="16"/>
  <c r="F129" i="16"/>
  <c r="G129" i="16"/>
  <c r="D129" i="16"/>
  <c r="E129" i="16"/>
  <c r="H111" i="16" l="1"/>
  <c r="H117" i="16"/>
  <c r="H105" i="16"/>
  <c r="H118" i="16" l="1"/>
  <c r="H119" i="16" s="1"/>
  <c r="N46" i="11" l="1"/>
  <c r="G46" i="16" l="1"/>
  <c r="F256" i="16" l="1"/>
  <c r="F46" i="16"/>
  <c r="F255" i="16" l="1"/>
  <c r="E46" i="16"/>
  <c r="E256" i="16" l="1"/>
  <c r="E255" i="16" l="1"/>
  <c r="D46" i="16" l="1"/>
  <c r="M46" i="11"/>
  <c r="I46" i="11" l="1"/>
  <c r="J46" i="11"/>
  <c r="K46" i="11"/>
  <c r="L46" i="11"/>
  <c r="H46" i="11" l="1"/>
  <c r="G46" i="11"/>
  <c r="F46" i="11"/>
  <c r="D46" i="11"/>
  <c r="E46" i="11"/>
  <c r="G122" i="15" l="1"/>
  <c r="F122" i="15"/>
  <c r="E122" i="15"/>
  <c r="D122" i="15"/>
  <c r="G121" i="15"/>
  <c r="F121" i="15"/>
  <c r="E121" i="15"/>
  <c r="D121" i="15"/>
  <c r="G116" i="15"/>
  <c r="F116" i="15"/>
  <c r="E116" i="15"/>
  <c r="D116" i="15"/>
  <c r="G115" i="15"/>
  <c r="F115" i="15"/>
  <c r="E115" i="15"/>
  <c r="D115" i="15"/>
  <c r="G114" i="15"/>
  <c r="F114" i="15"/>
  <c r="E114" i="15"/>
  <c r="D114" i="15"/>
  <c r="G113" i="15"/>
  <c r="F113" i="15"/>
  <c r="E113" i="15"/>
  <c r="D113" i="15"/>
  <c r="G110" i="15"/>
  <c r="F110" i="15"/>
  <c r="E110" i="15"/>
  <c r="D110" i="15"/>
  <c r="G109" i="15"/>
  <c r="F109" i="15"/>
  <c r="E109" i="15"/>
  <c r="D109" i="15"/>
  <c r="G108" i="15"/>
  <c r="F108" i="15"/>
  <c r="E108" i="15"/>
  <c r="D108" i="15"/>
  <c r="G107" i="15"/>
  <c r="F107" i="15"/>
  <c r="E107" i="15"/>
  <c r="D107" i="15"/>
  <c r="G104" i="15"/>
  <c r="F104" i="15"/>
  <c r="E104" i="15"/>
  <c r="D104" i="15"/>
  <c r="G103" i="15"/>
  <c r="F103" i="15"/>
  <c r="E103" i="15"/>
  <c r="D103" i="15"/>
  <c r="G102" i="15"/>
  <c r="F102" i="15"/>
  <c r="E102" i="15"/>
  <c r="D102" i="15"/>
  <c r="G101" i="15"/>
  <c r="F101" i="15"/>
  <c r="E101" i="15"/>
  <c r="D101" i="15"/>
  <c r="G140" i="15"/>
  <c r="F140" i="15"/>
  <c r="E140" i="15"/>
  <c r="D140" i="15"/>
  <c r="G135" i="15"/>
  <c r="F135" i="15"/>
  <c r="E135" i="15"/>
  <c r="D135" i="15"/>
  <c r="G130" i="15"/>
  <c r="F130" i="15"/>
  <c r="E130" i="15"/>
  <c r="D130" i="15"/>
  <c r="G125" i="15"/>
  <c r="F125" i="15"/>
  <c r="E125" i="15"/>
  <c r="D125" i="15"/>
  <c r="G84" i="15"/>
  <c r="F84" i="15"/>
  <c r="E84" i="15"/>
  <c r="D84" i="15"/>
  <c r="G78" i="15"/>
  <c r="F78" i="15"/>
  <c r="E78" i="15"/>
  <c r="D78" i="15"/>
  <c r="G72" i="15"/>
  <c r="F72" i="15"/>
  <c r="E72" i="15"/>
  <c r="D72" i="15"/>
  <c r="G66" i="15"/>
  <c r="F66" i="15"/>
  <c r="E66" i="15"/>
  <c r="D66" i="15"/>
  <c r="G262" i="15"/>
  <c r="F262" i="15"/>
  <c r="E262" i="15"/>
  <c r="D262" i="15"/>
  <c r="G261" i="15"/>
  <c r="F261" i="15"/>
  <c r="E261" i="15"/>
  <c r="D261" i="15"/>
  <c r="G257" i="15"/>
  <c r="F257" i="15"/>
  <c r="E257" i="15"/>
  <c r="D257" i="15"/>
  <c r="G254" i="15"/>
  <c r="F254" i="15"/>
  <c r="E254" i="15"/>
  <c r="D254" i="15"/>
  <c r="G253" i="15"/>
  <c r="F253" i="15"/>
  <c r="E253" i="15"/>
  <c r="D253" i="15"/>
  <c r="G246" i="15"/>
  <c r="F246" i="15"/>
  <c r="E246" i="15"/>
  <c r="D246" i="15"/>
  <c r="G245" i="15"/>
  <c r="F245" i="15"/>
  <c r="E245" i="15"/>
  <c r="D245" i="15"/>
  <c r="G241" i="15"/>
  <c r="F241" i="15"/>
  <c r="E241" i="15"/>
  <c r="D241" i="15"/>
  <c r="G240" i="15"/>
  <c r="F240" i="15"/>
  <c r="E240" i="15"/>
  <c r="D240" i="15"/>
  <c r="G239" i="15"/>
  <c r="F239" i="15"/>
  <c r="E239" i="15"/>
  <c r="D239" i="15"/>
  <c r="G238" i="15"/>
  <c r="F238" i="15"/>
  <c r="E238" i="15"/>
  <c r="D238" i="15"/>
  <c r="G235" i="15"/>
  <c r="F235" i="15"/>
  <c r="E235" i="15"/>
  <c r="D235" i="15"/>
  <c r="G234" i="15"/>
  <c r="F234" i="15"/>
  <c r="E234" i="15"/>
  <c r="D234" i="15"/>
  <c r="G233" i="15"/>
  <c r="E233" i="15"/>
  <c r="D233" i="15"/>
  <c r="G232" i="15"/>
  <c r="F232" i="15"/>
  <c r="E232" i="15"/>
  <c r="D232" i="15"/>
  <c r="G228" i="15"/>
  <c r="F228" i="15"/>
  <c r="E228" i="15"/>
  <c r="D228" i="15"/>
  <c r="G227" i="15"/>
  <c r="F227" i="15"/>
  <c r="E227" i="15"/>
  <c r="D227" i="15"/>
  <c r="G226" i="15"/>
  <c r="F226" i="15"/>
  <c r="E226" i="15"/>
  <c r="D226" i="15"/>
  <c r="G225" i="15"/>
  <c r="F225" i="15"/>
  <c r="E225" i="15"/>
  <c r="D225" i="15"/>
  <c r="G222" i="15"/>
  <c r="F222" i="15"/>
  <c r="E222" i="15"/>
  <c r="D222" i="15"/>
  <c r="G221" i="15"/>
  <c r="F221" i="15"/>
  <c r="E221" i="15"/>
  <c r="D221" i="15"/>
  <c r="G220" i="15"/>
  <c r="F220" i="15"/>
  <c r="E220" i="15"/>
  <c r="D220" i="15"/>
  <c r="G219" i="15"/>
  <c r="F219" i="15"/>
  <c r="E219" i="15"/>
  <c r="D219" i="15"/>
  <c r="G215" i="15"/>
  <c r="F215" i="15"/>
  <c r="E215" i="15"/>
  <c r="D215" i="15"/>
  <c r="G214" i="15"/>
  <c r="F214" i="15"/>
  <c r="E214" i="15"/>
  <c r="D214" i="15"/>
  <c r="G213" i="15"/>
  <c r="F213" i="15"/>
  <c r="E213" i="15"/>
  <c r="D213" i="15"/>
  <c r="G212" i="15"/>
  <c r="F212" i="15"/>
  <c r="E212" i="15"/>
  <c r="D212" i="15"/>
  <c r="G209" i="15"/>
  <c r="F209" i="15"/>
  <c r="E209" i="15"/>
  <c r="D209" i="15"/>
  <c r="G208" i="15"/>
  <c r="F208" i="15"/>
  <c r="E208" i="15"/>
  <c r="D208" i="15"/>
  <c r="G207" i="15"/>
  <c r="F207" i="15"/>
  <c r="E207" i="15"/>
  <c r="D207" i="15"/>
  <c r="G206" i="15"/>
  <c r="F206" i="15"/>
  <c r="E206" i="15"/>
  <c r="D206" i="15"/>
  <c r="G203" i="15"/>
  <c r="F203" i="15"/>
  <c r="D203" i="15"/>
  <c r="G202" i="15"/>
  <c r="F202" i="15"/>
  <c r="D202" i="15"/>
  <c r="G201" i="15"/>
  <c r="F201" i="15"/>
  <c r="D201" i="15"/>
  <c r="G200" i="15"/>
  <c r="F200" i="15"/>
  <c r="D200" i="15"/>
  <c r="G199" i="15"/>
  <c r="F199" i="15"/>
  <c r="E199" i="15"/>
  <c r="D199" i="15"/>
  <c r="G197" i="15"/>
  <c r="F197" i="15"/>
  <c r="E197" i="15"/>
  <c r="D197" i="15"/>
  <c r="G196" i="15"/>
  <c r="F196" i="15"/>
  <c r="E196" i="15"/>
  <c r="D196" i="15"/>
  <c r="G195" i="15"/>
  <c r="F195" i="15"/>
  <c r="E195" i="15"/>
  <c r="D195" i="15"/>
  <c r="G194" i="15"/>
  <c r="F194" i="15"/>
  <c r="E194" i="15"/>
  <c r="D194" i="15"/>
  <c r="G192" i="15"/>
  <c r="F192" i="15"/>
  <c r="E192" i="15"/>
  <c r="D192" i="15"/>
  <c r="G191" i="15"/>
  <c r="F191" i="15"/>
  <c r="E191" i="15"/>
  <c r="D191" i="15"/>
  <c r="G190" i="15"/>
  <c r="F190" i="15"/>
  <c r="E190" i="15"/>
  <c r="D190" i="15"/>
  <c r="G189" i="15"/>
  <c r="F189" i="15"/>
  <c r="E189" i="15"/>
  <c r="D189" i="15"/>
  <c r="G187" i="15"/>
  <c r="F187" i="15"/>
  <c r="E187" i="15"/>
  <c r="D187" i="15"/>
  <c r="G186" i="15"/>
  <c r="F186" i="15"/>
  <c r="E186" i="15"/>
  <c r="D186" i="15"/>
  <c r="G185" i="15"/>
  <c r="F185" i="15"/>
  <c r="E185" i="15"/>
  <c r="D185" i="15"/>
  <c r="G184" i="15"/>
  <c r="F184" i="15"/>
  <c r="E184" i="15"/>
  <c r="D184" i="15"/>
  <c r="G182" i="15"/>
  <c r="F182" i="15"/>
  <c r="E182" i="15"/>
  <c r="D182" i="15"/>
  <c r="G181" i="15"/>
  <c r="F181" i="15"/>
  <c r="E181" i="15"/>
  <c r="D181" i="15"/>
  <c r="G180" i="15"/>
  <c r="F180" i="15"/>
  <c r="E180" i="15"/>
  <c r="D180" i="15"/>
  <c r="G179" i="15"/>
  <c r="F179" i="15"/>
  <c r="E179" i="15"/>
  <c r="D179" i="15"/>
  <c r="G178" i="15"/>
  <c r="F178" i="15"/>
  <c r="E178" i="15"/>
  <c r="D178" i="15"/>
  <c r="G177" i="15"/>
  <c r="F177" i="15"/>
  <c r="E177" i="15"/>
  <c r="D177" i="15"/>
  <c r="G175" i="15"/>
  <c r="F175" i="15"/>
  <c r="E175" i="15"/>
  <c r="D175" i="15"/>
  <c r="G174" i="15"/>
  <c r="F174" i="15"/>
  <c r="E174" i="15"/>
  <c r="D174" i="15"/>
  <c r="G173" i="15"/>
  <c r="F173" i="15"/>
  <c r="E173" i="15"/>
  <c r="D173" i="15"/>
  <c r="G172" i="15"/>
  <c r="F172" i="15"/>
  <c r="E172" i="15"/>
  <c r="D172" i="15"/>
  <c r="G171" i="15"/>
  <c r="F171" i="15"/>
  <c r="E171" i="15"/>
  <c r="D171" i="15"/>
  <c r="G170" i="15"/>
  <c r="F170" i="15"/>
  <c r="E170" i="15"/>
  <c r="D170" i="15"/>
  <c r="G169" i="15"/>
  <c r="F169" i="15"/>
  <c r="E169" i="15"/>
  <c r="D169" i="15"/>
  <c r="G168" i="15"/>
  <c r="F168" i="15"/>
  <c r="E168" i="15"/>
  <c r="D168" i="15"/>
  <c r="G167" i="15"/>
  <c r="F167" i="15"/>
  <c r="E167" i="15"/>
  <c r="D167" i="15"/>
  <c r="G165" i="15"/>
  <c r="F165" i="15"/>
  <c r="E165" i="15"/>
  <c r="D165" i="15"/>
  <c r="G164" i="15"/>
  <c r="F164" i="15"/>
  <c r="E164" i="15"/>
  <c r="D164" i="15"/>
  <c r="G163" i="15"/>
  <c r="F163" i="15"/>
  <c r="E163" i="15"/>
  <c r="D163" i="15"/>
  <c r="G162" i="15"/>
  <c r="F162" i="15"/>
  <c r="E162" i="15"/>
  <c r="D162" i="15"/>
  <c r="G161" i="15"/>
  <c r="F161" i="15"/>
  <c r="E161" i="15"/>
  <c r="D161" i="15"/>
  <c r="G160" i="15"/>
  <c r="F160" i="15"/>
  <c r="E160" i="15"/>
  <c r="D160" i="15"/>
  <c r="G159" i="15"/>
  <c r="F159" i="15"/>
  <c r="E159" i="15"/>
  <c r="D159" i="15"/>
  <c r="G158" i="15"/>
  <c r="F158" i="15"/>
  <c r="E158" i="15"/>
  <c r="D158" i="15"/>
  <c r="G157" i="15"/>
  <c r="F157" i="15"/>
  <c r="E157" i="15"/>
  <c r="D157" i="15"/>
  <c r="G156" i="15"/>
  <c r="F156" i="15"/>
  <c r="E156" i="15"/>
  <c r="D156" i="15"/>
  <c r="G155" i="15"/>
  <c r="F155" i="15"/>
  <c r="E155" i="15"/>
  <c r="D155" i="15"/>
  <c r="G154" i="15"/>
  <c r="F154" i="15"/>
  <c r="E154" i="15"/>
  <c r="D154" i="15"/>
  <c r="G153" i="15"/>
  <c r="F153" i="15"/>
  <c r="E153" i="15"/>
  <c r="D153" i="15"/>
  <c r="G143" i="15"/>
  <c r="F143" i="15"/>
  <c r="E143" i="15"/>
  <c r="D143" i="15"/>
  <c r="G142" i="15"/>
  <c r="F142" i="15"/>
  <c r="E142" i="15"/>
  <c r="D142" i="15"/>
  <c r="G141" i="15"/>
  <c r="F141" i="15"/>
  <c r="E141" i="15"/>
  <c r="D141" i="15"/>
  <c r="G138" i="15"/>
  <c r="F138" i="15"/>
  <c r="E138" i="15"/>
  <c r="D138" i="15"/>
  <c r="G137" i="15"/>
  <c r="F137" i="15"/>
  <c r="E137" i="15"/>
  <c r="D137" i="15"/>
  <c r="G136" i="15"/>
  <c r="F136" i="15"/>
  <c r="E136" i="15"/>
  <c r="D136" i="15"/>
  <c r="G133" i="15"/>
  <c r="F133" i="15"/>
  <c r="E133" i="15"/>
  <c r="D133" i="15"/>
  <c r="G132" i="15"/>
  <c r="F132" i="15"/>
  <c r="E132" i="15"/>
  <c r="D132" i="15"/>
  <c r="G131" i="15"/>
  <c r="F131" i="15"/>
  <c r="E131" i="15"/>
  <c r="D131" i="15"/>
  <c r="G128" i="15"/>
  <c r="F128" i="15"/>
  <c r="E128" i="15"/>
  <c r="D128" i="15"/>
  <c r="G127" i="15"/>
  <c r="F127" i="15"/>
  <c r="E127" i="15"/>
  <c r="D127" i="15"/>
  <c r="G126" i="15"/>
  <c r="F126" i="15"/>
  <c r="E126" i="15"/>
  <c r="D126" i="15"/>
  <c r="G98" i="15"/>
  <c r="F98" i="15"/>
  <c r="E98" i="15"/>
  <c r="D98" i="15"/>
  <c r="G87" i="15"/>
  <c r="F87" i="15"/>
  <c r="E87" i="15"/>
  <c r="D87" i="15"/>
  <c r="G86" i="15"/>
  <c r="F86" i="15"/>
  <c r="E86" i="15"/>
  <c r="D86" i="15"/>
  <c r="G85" i="15"/>
  <c r="F85" i="15"/>
  <c r="E85" i="15"/>
  <c r="D85" i="15"/>
  <c r="G81" i="15"/>
  <c r="F81" i="15"/>
  <c r="E81" i="15"/>
  <c r="D81" i="15"/>
  <c r="G80" i="15"/>
  <c r="F80" i="15"/>
  <c r="E80" i="15"/>
  <c r="D80" i="15"/>
  <c r="G79" i="15"/>
  <c r="F79" i="15"/>
  <c r="E79" i="15"/>
  <c r="D79" i="15"/>
  <c r="G75" i="15"/>
  <c r="F75" i="15"/>
  <c r="E75" i="15"/>
  <c r="D75" i="15"/>
  <c r="G74" i="15"/>
  <c r="F74" i="15"/>
  <c r="E74" i="15"/>
  <c r="D74" i="15"/>
  <c r="G73" i="15"/>
  <c r="F73" i="15"/>
  <c r="E73" i="15"/>
  <c r="D73" i="15"/>
  <c r="G69" i="15"/>
  <c r="F69" i="15"/>
  <c r="E69" i="15"/>
  <c r="D69" i="15"/>
  <c r="G68" i="15"/>
  <c r="F68" i="15"/>
  <c r="E68" i="15"/>
  <c r="D68" i="15"/>
  <c r="G67" i="15"/>
  <c r="F67" i="15"/>
  <c r="E67" i="15"/>
  <c r="D67" i="15"/>
  <c r="G56" i="15"/>
  <c r="F56" i="15"/>
  <c r="E56" i="15"/>
  <c r="D56" i="15"/>
  <c r="G55" i="15"/>
  <c r="F55" i="15"/>
  <c r="E55" i="15"/>
  <c r="D55" i="15"/>
  <c r="G54" i="15"/>
  <c r="F54" i="15"/>
  <c r="E54" i="15"/>
  <c r="D54" i="15"/>
  <c r="G51" i="15"/>
  <c r="F51" i="15"/>
  <c r="E51" i="15"/>
  <c r="D51" i="15"/>
  <c r="G50" i="15"/>
  <c r="F50" i="15"/>
  <c r="E50" i="15"/>
  <c r="D50" i="15"/>
  <c r="G49" i="15"/>
  <c r="F49" i="15"/>
  <c r="E49" i="15"/>
  <c r="D49" i="15"/>
  <c r="H122" i="15" l="1"/>
  <c r="H121" i="15"/>
  <c r="H261" i="15"/>
  <c r="H262" i="15"/>
  <c r="F263" i="15"/>
  <c r="G139" i="15"/>
  <c r="G90" i="15"/>
  <c r="G145" i="15"/>
  <c r="E145" i="15"/>
  <c r="G148" i="15"/>
  <c r="E247" i="15"/>
  <c r="H245" i="15"/>
  <c r="G111" i="15"/>
  <c r="H246" i="15"/>
  <c r="E134" i="15"/>
  <c r="F247" i="15"/>
  <c r="D247" i="15"/>
  <c r="D90" i="15"/>
  <c r="D145" i="15"/>
  <c r="E90" i="15"/>
  <c r="G247" i="15"/>
  <c r="F145" i="15"/>
  <c r="F92" i="15"/>
  <c r="D111" i="15"/>
  <c r="G92" i="15"/>
  <c r="D117" i="15"/>
  <c r="F90" i="15"/>
  <c r="G93" i="15"/>
  <c r="E148" i="15"/>
  <c r="E139" i="15"/>
  <c r="G91" i="15"/>
  <c r="E263" i="15"/>
  <c r="H72" i="15"/>
  <c r="H78" i="15"/>
  <c r="G117" i="15"/>
  <c r="H66" i="15"/>
  <c r="H84" i="15"/>
  <c r="G263" i="15"/>
  <c r="G129" i="15"/>
  <c r="F139" i="15"/>
  <c r="F147" i="15"/>
  <c r="F134" i="15"/>
  <c r="F129" i="15"/>
  <c r="F93" i="15"/>
  <c r="F91" i="15"/>
  <c r="E147" i="15"/>
  <c r="H103" i="15"/>
  <c r="E91" i="15"/>
  <c r="F111" i="15"/>
  <c r="E111" i="15"/>
  <c r="H108" i="15"/>
  <c r="H110" i="15"/>
  <c r="H109" i="15"/>
  <c r="H102" i="15"/>
  <c r="H101" i="15"/>
  <c r="H104" i="15"/>
  <c r="F148" i="15"/>
  <c r="F144" i="15"/>
  <c r="F146" i="15"/>
  <c r="F117" i="15"/>
  <c r="G144" i="15"/>
  <c r="G147" i="15"/>
  <c r="G134" i="15"/>
  <c r="G146" i="15"/>
  <c r="E144" i="15"/>
  <c r="E129" i="15"/>
  <c r="E146" i="15"/>
  <c r="H114" i="15"/>
  <c r="H116" i="15"/>
  <c r="E117" i="15"/>
  <c r="E93" i="15"/>
  <c r="E92" i="15"/>
  <c r="H68" i="15"/>
  <c r="H75" i="15"/>
  <c r="H85" i="15"/>
  <c r="H79" i="15"/>
  <c r="H86" i="15"/>
  <c r="H73" i="15"/>
  <c r="H80" i="15"/>
  <c r="H87" i="15"/>
  <c r="H67" i="15"/>
  <c r="H74" i="15"/>
  <c r="H81" i="15"/>
  <c r="D263" i="15"/>
  <c r="D129" i="15"/>
  <c r="D144" i="15"/>
  <c r="D139" i="15"/>
  <c r="D148" i="15"/>
  <c r="D147" i="15"/>
  <c r="D134" i="15"/>
  <c r="D146" i="15"/>
  <c r="D93" i="15"/>
  <c r="D91" i="15"/>
  <c r="D92" i="15"/>
  <c r="H69" i="15"/>
  <c r="H115" i="15"/>
  <c r="H113" i="15"/>
  <c r="H107" i="15"/>
  <c r="G46" i="15"/>
  <c r="G44" i="15"/>
  <c r="G39" i="15"/>
  <c r="G37" i="15"/>
  <c r="G35" i="15"/>
  <c r="G33" i="15"/>
  <c r="G31" i="15"/>
  <c r="F33" i="15"/>
  <c r="F31" i="15"/>
  <c r="E31" i="15"/>
  <c r="G29" i="15"/>
  <c r="G20" i="15"/>
  <c r="G19" i="15"/>
  <c r="G18" i="15"/>
  <c r="G17" i="15"/>
  <c r="G12" i="15"/>
  <c r="G13" i="15"/>
  <c r="G14" i="15"/>
  <c r="G11" i="15"/>
  <c r="G9" i="15"/>
  <c r="F63" i="15"/>
  <c r="F61" i="15"/>
  <c r="F46" i="15"/>
  <c r="F44" i="15"/>
  <c r="F39" i="15"/>
  <c r="F37" i="15"/>
  <c r="F35" i="15"/>
  <c r="F29" i="15"/>
  <c r="F20" i="15"/>
  <c r="F19" i="15"/>
  <c r="F18" i="15"/>
  <c r="F17" i="15"/>
  <c r="F12" i="15"/>
  <c r="F13" i="15"/>
  <c r="F14" i="15"/>
  <c r="F11" i="15"/>
  <c r="F9" i="15"/>
  <c r="E88" i="15"/>
  <c r="E89" i="15" s="1"/>
  <c r="F88" i="15"/>
  <c r="F89" i="15" s="1"/>
  <c r="G88" i="15"/>
  <c r="G89" i="15" s="1"/>
  <c r="D88" i="15"/>
  <c r="E63" i="15"/>
  <c r="E61" i="15"/>
  <c r="D63" i="15"/>
  <c r="D61" i="15"/>
  <c r="D46" i="15"/>
  <c r="D44" i="15"/>
  <c r="E46" i="15"/>
  <c r="E44" i="15"/>
  <c r="E39" i="15"/>
  <c r="E37" i="15"/>
  <c r="E35" i="15"/>
  <c r="E33" i="15"/>
  <c r="E29" i="15"/>
  <c r="D39" i="15"/>
  <c r="D37" i="15"/>
  <c r="D35" i="15"/>
  <c r="D33" i="15"/>
  <c r="D31" i="15"/>
  <c r="D29" i="15"/>
  <c r="E20" i="15"/>
  <c r="E19" i="15"/>
  <c r="E18" i="15"/>
  <c r="E17" i="15"/>
  <c r="E14" i="15"/>
  <c r="E13" i="15"/>
  <c r="E12" i="15"/>
  <c r="E11" i="15"/>
  <c r="E9" i="15"/>
  <c r="E118" i="15" l="1"/>
  <c r="H263" i="15"/>
  <c r="F118" i="15"/>
  <c r="F94" i="15"/>
  <c r="F95" i="15" s="1"/>
  <c r="H61" i="15"/>
  <c r="G118" i="15"/>
  <c r="D118" i="15"/>
  <c r="H91" i="15"/>
  <c r="G94" i="15"/>
  <c r="G95" i="15" s="1"/>
  <c r="H90" i="15"/>
  <c r="E21" i="15"/>
  <c r="G149" i="15"/>
  <c r="F149" i="15"/>
  <c r="E149" i="15"/>
  <c r="H105" i="15"/>
  <c r="E94" i="15"/>
  <c r="E95" i="15" s="1"/>
  <c r="H111" i="15"/>
  <c r="H92" i="15"/>
  <c r="H117" i="15"/>
  <c r="H93" i="15"/>
  <c r="H88" i="15"/>
  <c r="H89" i="15" s="1"/>
  <c r="D149" i="15"/>
  <c r="D89" i="15"/>
  <c r="D94" i="15"/>
  <c r="H94" i="15" l="1"/>
  <c r="H95" i="15" s="1"/>
  <c r="D95" i="15"/>
  <c r="G256" i="15" l="1"/>
  <c r="G255" i="15" l="1"/>
  <c r="F256" i="15" l="1"/>
  <c r="F255" i="15" l="1"/>
  <c r="E83" i="15"/>
  <c r="E256" i="15"/>
  <c r="E255" i="15" l="1"/>
  <c r="D256" i="15" l="1"/>
  <c r="P88" i="1" l="1"/>
  <c r="D255" i="15"/>
  <c r="G61" i="13" l="1"/>
  <c r="F61" i="13"/>
  <c r="E61" i="13"/>
  <c r="D61" i="13"/>
  <c r="G122" i="14"/>
  <c r="F122" i="14"/>
  <c r="E122" i="14"/>
  <c r="D122" i="14"/>
  <c r="G121" i="14"/>
  <c r="F121" i="14"/>
  <c r="E121" i="14"/>
  <c r="D121" i="14"/>
  <c r="H61" i="13" l="1"/>
  <c r="H122" i="14" l="1"/>
  <c r="H121" i="14"/>
  <c r="P245" i="11" l="1"/>
  <c r="P246" i="11"/>
  <c r="P113" i="11"/>
  <c r="P114" i="11"/>
  <c r="P115" i="11"/>
  <c r="P116" i="11"/>
  <c r="N216" i="11" l="1"/>
  <c r="L247" i="11"/>
  <c r="N204" i="11"/>
  <c r="K204" i="11"/>
  <c r="J147" i="11"/>
  <c r="J145" i="11"/>
  <c r="J247" i="11"/>
  <c r="K247" i="11"/>
  <c r="N247" i="11"/>
  <c r="O247" i="11"/>
  <c r="O147" i="11"/>
  <c r="O129" i="11"/>
  <c r="L145" i="11"/>
  <c r="I216" i="11"/>
  <c r="I229" i="11"/>
  <c r="O134" i="11"/>
  <c r="L146" i="11"/>
  <c r="K145" i="11"/>
  <c r="O146" i="11"/>
  <c r="L147" i="11"/>
  <c r="K146" i="11"/>
  <c r="I148" i="11"/>
  <c r="L148" i="11"/>
  <c r="K147" i="11"/>
  <c r="J146" i="11"/>
  <c r="I145" i="11"/>
  <c r="K148" i="11"/>
  <c r="I146" i="11"/>
  <c r="O204" i="11"/>
  <c r="M247" i="11"/>
  <c r="J148" i="11"/>
  <c r="I147" i="11"/>
  <c r="I236" i="11"/>
  <c r="N229" i="11"/>
  <c r="M204" i="11"/>
  <c r="I204" i="11"/>
  <c r="K216" i="11"/>
  <c r="O70" i="11"/>
  <c r="O71" i="11" s="1"/>
  <c r="O263" i="11"/>
  <c r="O193" i="11"/>
  <c r="O148" i="11"/>
  <c r="O145" i="11"/>
  <c r="O139" i="11"/>
  <c r="O88" i="11"/>
  <c r="O89" i="11" s="1"/>
  <c r="O90" i="11"/>
  <c r="O216" i="11"/>
  <c r="O236" i="11"/>
  <c r="O229" i="11"/>
  <c r="N88" i="11"/>
  <c r="N89" i="11" s="1"/>
  <c r="N263" i="11"/>
  <c r="N193" i="11"/>
  <c r="N147" i="11"/>
  <c r="N139" i="11"/>
  <c r="N148" i="11"/>
  <c r="N146" i="11"/>
  <c r="N145" i="11"/>
  <c r="N134" i="11"/>
  <c r="N129" i="11"/>
  <c r="O117" i="11"/>
  <c r="N76" i="11"/>
  <c r="N77" i="11" s="1"/>
  <c r="O76" i="11"/>
  <c r="O77" i="11" s="1"/>
  <c r="O93" i="11"/>
  <c r="N93" i="11"/>
  <c r="N70" i="11"/>
  <c r="N71" i="11" s="1"/>
  <c r="N92" i="11"/>
  <c r="N91" i="11"/>
  <c r="N256" i="11" s="1"/>
  <c r="N236" i="11"/>
  <c r="M263" i="11"/>
  <c r="M193" i="11"/>
  <c r="M139" i="11"/>
  <c r="M148" i="11"/>
  <c r="M146" i="11"/>
  <c r="M145" i="11"/>
  <c r="M147" i="11"/>
  <c r="M134" i="11"/>
  <c r="M129" i="11"/>
  <c r="N117" i="11"/>
  <c r="M117" i="11"/>
  <c r="M76" i="11"/>
  <c r="M77" i="11" s="1"/>
  <c r="M70" i="11"/>
  <c r="M71" i="11" s="1"/>
  <c r="M93" i="11"/>
  <c r="M92" i="11"/>
  <c r="M236" i="11"/>
  <c r="M229" i="11"/>
  <c r="M216" i="11"/>
  <c r="L263" i="11"/>
  <c r="L129" i="11"/>
  <c r="L134" i="11"/>
  <c r="L229" i="11"/>
  <c r="L236" i="11"/>
  <c r="L216" i="11"/>
  <c r="L204" i="11"/>
  <c r="L193" i="11"/>
  <c r="L82" i="11"/>
  <c r="L83" i="11" s="1"/>
  <c r="K229" i="11"/>
  <c r="L117" i="11"/>
  <c r="L91" i="11"/>
  <c r="L256" i="11" s="1"/>
  <c r="L76" i="11"/>
  <c r="L77" i="11" s="1"/>
  <c r="L70" i="11"/>
  <c r="L71" i="11" s="1"/>
  <c r="L92" i="11"/>
  <c r="L93" i="11"/>
  <c r="K76" i="11"/>
  <c r="K77" i="11" s="1"/>
  <c r="K82" i="11"/>
  <c r="K83" i="11" s="1"/>
  <c r="K263" i="11"/>
  <c r="K193" i="11"/>
  <c r="L139" i="11"/>
  <c r="K134" i="11"/>
  <c r="K129" i="11"/>
  <c r="K139" i="11"/>
  <c r="K117" i="11"/>
  <c r="K91" i="11"/>
  <c r="K256" i="11" s="1"/>
  <c r="K70" i="11"/>
  <c r="K71" i="11" s="1"/>
  <c r="K92" i="11"/>
  <c r="K93" i="11"/>
  <c r="J263" i="11"/>
  <c r="J204" i="11"/>
  <c r="J134" i="11"/>
  <c r="J129" i="11"/>
  <c r="J88" i="11"/>
  <c r="J89" i="11" s="1"/>
  <c r="J93" i="11"/>
  <c r="J76" i="11"/>
  <c r="J77" i="11" s="1"/>
  <c r="J70" i="11"/>
  <c r="J71" i="11" s="1"/>
  <c r="J92" i="11"/>
  <c r="J82" i="11"/>
  <c r="J83" i="11" s="1"/>
  <c r="J90" i="11"/>
  <c r="J91" i="11"/>
  <c r="J256" i="11" s="1"/>
  <c r="J139" i="11"/>
  <c r="J193" i="11"/>
  <c r="K236" i="11"/>
  <c r="J236" i="11"/>
  <c r="J216" i="11"/>
  <c r="J229" i="11"/>
  <c r="I247" i="11"/>
  <c r="J117" i="11"/>
  <c r="I129" i="11"/>
  <c r="I134" i="11"/>
  <c r="I263" i="11"/>
  <c r="I193" i="11"/>
  <c r="I139" i="11"/>
  <c r="I117" i="11"/>
  <c r="I88" i="11"/>
  <c r="I89" i="11" s="1"/>
  <c r="I91" i="11"/>
  <c r="I256" i="11" s="1"/>
  <c r="I92" i="11"/>
  <c r="I82" i="11"/>
  <c r="I83" i="11" s="1"/>
  <c r="I93" i="11"/>
  <c r="I70" i="11"/>
  <c r="I71" i="11" s="1"/>
  <c r="I90" i="11"/>
  <c r="O82" i="11"/>
  <c r="O83" i="11" s="1"/>
  <c r="I76" i="11"/>
  <c r="I77" i="11" s="1"/>
  <c r="O91" i="11"/>
  <c r="O256" i="11" s="1"/>
  <c r="N90" i="11"/>
  <c r="L88" i="11"/>
  <c r="L89" i="11" s="1"/>
  <c r="N82" i="11"/>
  <c r="N83" i="11" s="1"/>
  <c r="O92" i="11"/>
  <c r="M90" i="11"/>
  <c r="K88" i="11"/>
  <c r="K89" i="11" s="1"/>
  <c r="M82" i="11"/>
  <c r="M83" i="11" s="1"/>
  <c r="M91" i="11"/>
  <c r="M256" i="11" s="1"/>
  <c r="L90" i="11"/>
  <c r="M88" i="11"/>
  <c r="M89" i="11" s="1"/>
  <c r="K90" i="11"/>
  <c r="G262" i="13"/>
  <c r="F262" i="13"/>
  <c r="E262" i="13"/>
  <c r="D262" i="13"/>
  <c r="G261" i="13"/>
  <c r="F261" i="13"/>
  <c r="E261" i="13"/>
  <c r="D261" i="13"/>
  <c r="G257" i="13"/>
  <c r="F257" i="13"/>
  <c r="E257" i="13"/>
  <c r="D257" i="13"/>
  <c r="G254" i="13"/>
  <c r="F254" i="13"/>
  <c r="E254" i="13"/>
  <c r="D254" i="13"/>
  <c r="G253" i="13"/>
  <c r="F253" i="13"/>
  <c r="E253" i="13"/>
  <c r="D253" i="13"/>
  <c r="G246" i="13"/>
  <c r="F246" i="13"/>
  <c r="E246" i="13"/>
  <c r="D246" i="13"/>
  <c r="G245" i="13"/>
  <c r="F245" i="13"/>
  <c r="E245" i="13"/>
  <c r="D245" i="13"/>
  <c r="G241" i="13"/>
  <c r="F241" i="13"/>
  <c r="E241" i="13"/>
  <c r="D241" i="13"/>
  <c r="G240" i="13"/>
  <c r="F240" i="13"/>
  <c r="E240" i="13"/>
  <c r="D240" i="13"/>
  <c r="G239" i="13"/>
  <c r="F239" i="13"/>
  <c r="E239" i="13"/>
  <c r="D239" i="13"/>
  <c r="G238" i="13"/>
  <c r="F238" i="13"/>
  <c r="E238" i="13"/>
  <c r="D238" i="13"/>
  <c r="G235" i="13"/>
  <c r="F235" i="13"/>
  <c r="E235" i="13"/>
  <c r="D235" i="13"/>
  <c r="G234" i="13"/>
  <c r="F234" i="13"/>
  <c r="E234" i="13"/>
  <c r="D234" i="13"/>
  <c r="G233" i="13"/>
  <c r="F233" i="13"/>
  <c r="E233" i="13"/>
  <c r="D233" i="13"/>
  <c r="G232" i="13"/>
  <c r="F232" i="13"/>
  <c r="E232" i="13"/>
  <c r="D232" i="13"/>
  <c r="G228" i="13"/>
  <c r="F228" i="13"/>
  <c r="E228" i="13"/>
  <c r="D228" i="13"/>
  <c r="G227" i="13"/>
  <c r="F227" i="13"/>
  <c r="E227" i="13"/>
  <c r="D227" i="13"/>
  <c r="G226" i="13"/>
  <c r="F226" i="13"/>
  <c r="E226" i="13"/>
  <c r="D226" i="13"/>
  <c r="G225" i="13"/>
  <c r="F225" i="13"/>
  <c r="E225" i="13"/>
  <c r="D225" i="13"/>
  <c r="G222" i="13"/>
  <c r="F222" i="13"/>
  <c r="E222" i="13"/>
  <c r="D222" i="13"/>
  <c r="G221" i="13"/>
  <c r="F221" i="13"/>
  <c r="E221" i="13"/>
  <c r="D221" i="13"/>
  <c r="G220" i="13"/>
  <c r="F220" i="13"/>
  <c r="E220" i="13"/>
  <c r="D220" i="13"/>
  <c r="G219" i="13"/>
  <c r="F219" i="13"/>
  <c r="E219" i="13"/>
  <c r="D219" i="13"/>
  <c r="G215" i="13"/>
  <c r="F215" i="13"/>
  <c r="E215" i="13"/>
  <c r="D215" i="13"/>
  <c r="G214" i="13"/>
  <c r="F214" i="13"/>
  <c r="E214" i="13"/>
  <c r="D214" i="13"/>
  <c r="G213" i="13"/>
  <c r="F213" i="13"/>
  <c r="E213" i="13"/>
  <c r="D213" i="13"/>
  <c r="G212" i="13"/>
  <c r="F212" i="13"/>
  <c r="E212" i="13"/>
  <c r="D212" i="13"/>
  <c r="G209" i="13"/>
  <c r="F209" i="13"/>
  <c r="E209" i="13"/>
  <c r="D209" i="13"/>
  <c r="G208" i="13"/>
  <c r="F208" i="13"/>
  <c r="E208" i="13"/>
  <c r="D208" i="13"/>
  <c r="G207" i="13"/>
  <c r="F207" i="13"/>
  <c r="E207" i="13"/>
  <c r="D207" i="13"/>
  <c r="G206" i="13"/>
  <c r="F206" i="13"/>
  <c r="E206" i="13"/>
  <c r="D206" i="13"/>
  <c r="G203" i="13"/>
  <c r="F203" i="13"/>
  <c r="E203" i="13"/>
  <c r="D203" i="13"/>
  <c r="G202" i="13"/>
  <c r="F202" i="13"/>
  <c r="E202" i="13"/>
  <c r="D202" i="13"/>
  <c r="G201" i="13"/>
  <c r="F201" i="13"/>
  <c r="E201" i="13"/>
  <c r="D201" i="13"/>
  <c r="G200" i="13"/>
  <c r="F200" i="13"/>
  <c r="E200" i="13"/>
  <c r="D200" i="13"/>
  <c r="G199" i="13"/>
  <c r="F199" i="13"/>
  <c r="E199" i="13"/>
  <c r="D199" i="13"/>
  <c r="G197" i="13"/>
  <c r="F197" i="13"/>
  <c r="E197" i="13"/>
  <c r="D197" i="13"/>
  <c r="G196" i="13"/>
  <c r="F196" i="13"/>
  <c r="E196" i="13"/>
  <c r="D196" i="13"/>
  <c r="G195" i="13"/>
  <c r="F195" i="13"/>
  <c r="E195" i="13"/>
  <c r="D195" i="13"/>
  <c r="G194" i="13"/>
  <c r="F194" i="13"/>
  <c r="E194" i="13"/>
  <c r="D194" i="13"/>
  <c r="G192" i="13"/>
  <c r="F192" i="13"/>
  <c r="E192" i="13"/>
  <c r="D192" i="13"/>
  <c r="G191" i="13"/>
  <c r="F191" i="13"/>
  <c r="E191" i="13"/>
  <c r="D191" i="13"/>
  <c r="G190" i="13"/>
  <c r="F190" i="13"/>
  <c r="E190" i="13"/>
  <c r="D190" i="13"/>
  <c r="G189" i="13"/>
  <c r="F189" i="13"/>
  <c r="E189" i="13"/>
  <c r="D189" i="13"/>
  <c r="G187" i="13"/>
  <c r="F187" i="13"/>
  <c r="E187" i="13"/>
  <c r="D187" i="13"/>
  <c r="G186" i="13"/>
  <c r="F186" i="13"/>
  <c r="E186" i="13"/>
  <c r="D186" i="13"/>
  <c r="G185" i="13"/>
  <c r="F185" i="13"/>
  <c r="E185" i="13"/>
  <c r="D185" i="13"/>
  <c r="G184" i="13"/>
  <c r="F184" i="13"/>
  <c r="E184" i="13"/>
  <c r="D184" i="13"/>
  <c r="G182" i="13"/>
  <c r="F182" i="13"/>
  <c r="E182" i="13"/>
  <c r="D182" i="13"/>
  <c r="G181" i="13"/>
  <c r="F181" i="13"/>
  <c r="E181" i="13"/>
  <c r="D181" i="13"/>
  <c r="G180" i="13"/>
  <c r="F180" i="13"/>
  <c r="E180" i="13"/>
  <c r="D180" i="13"/>
  <c r="G179" i="13"/>
  <c r="F179" i="13"/>
  <c r="E179" i="13"/>
  <c r="D179" i="13"/>
  <c r="G178" i="13"/>
  <c r="F178" i="13"/>
  <c r="E178" i="13"/>
  <c r="D178" i="13"/>
  <c r="G177" i="13"/>
  <c r="F177" i="13"/>
  <c r="E177" i="13"/>
  <c r="D177" i="13"/>
  <c r="G175" i="13"/>
  <c r="F175" i="13"/>
  <c r="E175" i="13"/>
  <c r="D175" i="13"/>
  <c r="G174" i="13"/>
  <c r="F174" i="13"/>
  <c r="E174" i="13"/>
  <c r="D174" i="13"/>
  <c r="G173" i="13"/>
  <c r="F173" i="13"/>
  <c r="E173" i="13"/>
  <c r="D173" i="13"/>
  <c r="G172" i="13"/>
  <c r="F172" i="13"/>
  <c r="E172" i="13"/>
  <c r="D172" i="13"/>
  <c r="G171" i="13"/>
  <c r="F171" i="13"/>
  <c r="E171" i="13"/>
  <c r="D171" i="13"/>
  <c r="G170" i="13"/>
  <c r="F170" i="13"/>
  <c r="E170" i="13"/>
  <c r="D170" i="13"/>
  <c r="G169" i="13"/>
  <c r="F169" i="13"/>
  <c r="E169" i="13"/>
  <c r="D169" i="13"/>
  <c r="G168" i="13"/>
  <c r="F168" i="13"/>
  <c r="E168" i="13"/>
  <c r="D168" i="13"/>
  <c r="G167" i="13"/>
  <c r="F167" i="13"/>
  <c r="E167" i="13"/>
  <c r="D167" i="13"/>
  <c r="G165" i="13"/>
  <c r="F165" i="13"/>
  <c r="E165" i="13"/>
  <c r="D165" i="13"/>
  <c r="G164" i="13"/>
  <c r="F164" i="13"/>
  <c r="E164" i="13"/>
  <c r="D164" i="13"/>
  <c r="G163" i="13"/>
  <c r="F163" i="13"/>
  <c r="E163" i="13"/>
  <c r="D163" i="13"/>
  <c r="G162" i="13"/>
  <c r="F162" i="13"/>
  <c r="E162" i="13"/>
  <c r="D162" i="13"/>
  <c r="G161" i="13"/>
  <c r="F161" i="13"/>
  <c r="E161" i="13"/>
  <c r="D161" i="13"/>
  <c r="G160" i="13"/>
  <c r="F160" i="13"/>
  <c r="E160" i="13"/>
  <c r="D160" i="13"/>
  <c r="G159" i="13"/>
  <c r="F159" i="13"/>
  <c r="E159" i="13"/>
  <c r="D159" i="13"/>
  <c r="G158" i="13"/>
  <c r="F158" i="13"/>
  <c r="E158" i="13"/>
  <c r="D158" i="13"/>
  <c r="G157" i="13"/>
  <c r="F157" i="13"/>
  <c r="E157" i="13"/>
  <c r="D157" i="13"/>
  <c r="G156" i="13"/>
  <c r="F156" i="13"/>
  <c r="E156" i="13"/>
  <c r="D156" i="13"/>
  <c r="G155" i="13"/>
  <c r="F155" i="13"/>
  <c r="E155" i="13"/>
  <c r="D155" i="13"/>
  <c r="G154" i="13"/>
  <c r="F154" i="13"/>
  <c r="E154" i="13"/>
  <c r="D154" i="13"/>
  <c r="G153" i="13"/>
  <c r="F153" i="13"/>
  <c r="E153" i="13"/>
  <c r="D153" i="13"/>
  <c r="G143" i="13"/>
  <c r="F143" i="13"/>
  <c r="E143" i="13"/>
  <c r="D143" i="13"/>
  <c r="G142" i="13"/>
  <c r="F142" i="13"/>
  <c r="E142" i="13"/>
  <c r="G141" i="13"/>
  <c r="F141" i="13"/>
  <c r="E141" i="13"/>
  <c r="D141" i="13"/>
  <c r="G138" i="13"/>
  <c r="F138" i="13"/>
  <c r="E138" i="13"/>
  <c r="D138" i="13"/>
  <c r="G137" i="13"/>
  <c r="F137" i="13"/>
  <c r="E137" i="13"/>
  <c r="D137" i="13"/>
  <c r="G136" i="13"/>
  <c r="F136" i="13"/>
  <c r="E136" i="13"/>
  <c r="D136" i="13"/>
  <c r="G133" i="13"/>
  <c r="F133" i="13"/>
  <c r="E133" i="13"/>
  <c r="D133" i="13"/>
  <c r="G132" i="13"/>
  <c r="F132" i="13"/>
  <c r="E132" i="13"/>
  <c r="D132" i="13"/>
  <c r="G131" i="13"/>
  <c r="F131" i="13"/>
  <c r="E131" i="13"/>
  <c r="D131" i="13"/>
  <c r="G128" i="13"/>
  <c r="F128" i="13"/>
  <c r="E128" i="13"/>
  <c r="D128" i="13"/>
  <c r="G127" i="13"/>
  <c r="F127" i="13"/>
  <c r="E127" i="13"/>
  <c r="D127" i="13"/>
  <c r="G126" i="13"/>
  <c r="F126" i="13"/>
  <c r="E126" i="13"/>
  <c r="D126" i="13"/>
  <c r="G140" i="13"/>
  <c r="F140" i="13"/>
  <c r="E140" i="13"/>
  <c r="D140" i="13"/>
  <c r="G135" i="13"/>
  <c r="F135" i="13"/>
  <c r="E135" i="13"/>
  <c r="D135" i="13"/>
  <c r="G130" i="13"/>
  <c r="F130" i="13"/>
  <c r="E130" i="13"/>
  <c r="D130" i="13"/>
  <c r="G125" i="13"/>
  <c r="F125" i="13"/>
  <c r="E125" i="13"/>
  <c r="D125" i="13"/>
  <c r="G122" i="13"/>
  <c r="F122" i="13"/>
  <c r="E122" i="13"/>
  <c r="D122" i="13"/>
  <c r="G121" i="13"/>
  <c r="F121" i="13"/>
  <c r="E121" i="13"/>
  <c r="D121" i="13"/>
  <c r="G116" i="13"/>
  <c r="F116" i="13"/>
  <c r="E116" i="13"/>
  <c r="D116" i="13"/>
  <c r="G115" i="13"/>
  <c r="F115" i="13"/>
  <c r="E115" i="13"/>
  <c r="D115" i="13"/>
  <c r="G114" i="13"/>
  <c r="F114" i="13"/>
  <c r="E114" i="13"/>
  <c r="D114" i="13"/>
  <c r="G113" i="13"/>
  <c r="F113" i="13"/>
  <c r="E113" i="13"/>
  <c r="D113" i="13"/>
  <c r="G110" i="13"/>
  <c r="F110" i="13"/>
  <c r="E110" i="13"/>
  <c r="D110" i="13"/>
  <c r="G109" i="13"/>
  <c r="F109" i="13"/>
  <c r="E109" i="13"/>
  <c r="D109" i="13"/>
  <c r="G108" i="13"/>
  <c r="F108" i="13"/>
  <c r="E108" i="13"/>
  <c r="D108" i="13"/>
  <c r="G107" i="13"/>
  <c r="F107" i="13"/>
  <c r="E107" i="13"/>
  <c r="D107" i="13"/>
  <c r="G104" i="13"/>
  <c r="F104" i="13"/>
  <c r="E104" i="13"/>
  <c r="D104" i="13"/>
  <c r="G103" i="13"/>
  <c r="F103" i="13"/>
  <c r="E103" i="13"/>
  <c r="D103" i="13"/>
  <c r="G102" i="13"/>
  <c r="F102" i="13"/>
  <c r="E102" i="13"/>
  <c r="D102" i="13"/>
  <c r="G101" i="13"/>
  <c r="F101" i="13"/>
  <c r="E101" i="13"/>
  <c r="D101" i="13"/>
  <c r="G98" i="13"/>
  <c r="F98" i="13"/>
  <c r="E98" i="13"/>
  <c r="D98" i="13"/>
  <c r="G87" i="13"/>
  <c r="F87" i="13"/>
  <c r="E87" i="13"/>
  <c r="D87" i="13"/>
  <c r="G86" i="13"/>
  <c r="F86" i="13"/>
  <c r="E86" i="13"/>
  <c r="D86" i="13"/>
  <c r="G85" i="13"/>
  <c r="F85" i="13"/>
  <c r="E85" i="13"/>
  <c r="D85" i="13"/>
  <c r="G84" i="13"/>
  <c r="F84" i="13"/>
  <c r="E84" i="13"/>
  <c r="D84" i="13"/>
  <c r="G81" i="13"/>
  <c r="F81" i="13"/>
  <c r="E81" i="13"/>
  <c r="D81" i="13"/>
  <c r="G80" i="13"/>
  <c r="F80" i="13"/>
  <c r="E80" i="13"/>
  <c r="D80" i="13"/>
  <c r="G79" i="13"/>
  <c r="F79" i="13"/>
  <c r="E79" i="13"/>
  <c r="D79" i="13"/>
  <c r="G78" i="13"/>
  <c r="F78" i="13"/>
  <c r="E78" i="13"/>
  <c r="D78" i="13"/>
  <c r="G75" i="13"/>
  <c r="F75" i="13"/>
  <c r="E75" i="13"/>
  <c r="D75" i="13"/>
  <c r="G74" i="13"/>
  <c r="F74" i="13"/>
  <c r="E74" i="13"/>
  <c r="D74" i="13"/>
  <c r="G73" i="13"/>
  <c r="F73" i="13"/>
  <c r="E73" i="13"/>
  <c r="D73" i="13"/>
  <c r="G72" i="13"/>
  <c r="F72" i="13"/>
  <c r="E72" i="13"/>
  <c r="D72" i="13"/>
  <c r="D236" i="13" l="1"/>
  <c r="G263" i="13"/>
  <c r="E144" i="13"/>
  <c r="E88" i="13"/>
  <c r="E89" i="13" s="1"/>
  <c r="E263" i="13"/>
  <c r="D88" i="13"/>
  <c r="D89" i="13" s="1"/>
  <c r="F111" i="13"/>
  <c r="H84" i="13"/>
  <c r="H195" i="13"/>
  <c r="H109" i="13"/>
  <c r="H125" i="13"/>
  <c r="G88" i="13"/>
  <c r="G89" i="13" s="1"/>
  <c r="F263" i="13"/>
  <c r="F88" i="13"/>
  <c r="F89" i="13" s="1"/>
  <c r="H86" i="13"/>
  <c r="E236" i="13"/>
  <c r="J149" i="11"/>
  <c r="H72" i="13"/>
  <c r="H78" i="13"/>
  <c r="O149" i="11"/>
  <c r="I149" i="11"/>
  <c r="L149" i="11"/>
  <c r="K149" i="11"/>
  <c r="O94" i="11"/>
  <c r="O95" i="11" s="1"/>
  <c r="O255" i="11" s="1"/>
  <c r="N94" i="11"/>
  <c r="N95" i="11" s="1"/>
  <c r="N255" i="11" s="1"/>
  <c r="N149" i="11"/>
  <c r="M149" i="11"/>
  <c r="M94" i="11"/>
  <c r="M95" i="11" s="1"/>
  <c r="M255" i="11" s="1"/>
  <c r="L94" i="11"/>
  <c r="L95" i="11" s="1"/>
  <c r="L255" i="11" s="1"/>
  <c r="K94" i="11"/>
  <c r="K95" i="11" s="1"/>
  <c r="K255" i="11" s="1"/>
  <c r="J94" i="11"/>
  <c r="J95" i="11" s="1"/>
  <c r="J255" i="11" s="1"/>
  <c r="D263" i="13"/>
  <c r="D117" i="13"/>
  <c r="H262" i="13"/>
  <c r="H126" i="13"/>
  <c r="G147" i="13"/>
  <c r="G144" i="13"/>
  <c r="F146" i="13"/>
  <c r="F134" i="13"/>
  <c r="H261" i="13"/>
  <c r="H196" i="13"/>
  <c r="H101" i="13"/>
  <c r="I94" i="11"/>
  <c r="I95" i="11" s="1"/>
  <c r="I255" i="11" s="1"/>
  <c r="H80" i="13"/>
  <c r="H79" i="13"/>
  <c r="H75" i="13"/>
  <c r="H113" i="13"/>
  <c r="G236" i="13"/>
  <c r="H110" i="13"/>
  <c r="G111" i="13"/>
  <c r="F236" i="13"/>
  <c r="E117" i="13"/>
  <c r="E129" i="13"/>
  <c r="H103" i="13"/>
  <c r="H104" i="13"/>
  <c r="G117" i="13"/>
  <c r="H130" i="13"/>
  <c r="H115" i="13"/>
  <c r="H133" i="13"/>
  <c r="H116" i="13"/>
  <c r="D148" i="13"/>
  <c r="H127" i="13"/>
  <c r="H138" i="13"/>
  <c r="H121" i="13"/>
  <c r="H128" i="13"/>
  <c r="G134" i="13"/>
  <c r="H132" i="13"/>
  <c r="H102" i="13"/>
  <c r="H107" i="13"/>
  <c r="H108" i="13"/>
  <c r="H140" i="13"/>
  <c r="H137" i="13"/>
  <c r="E111" i="13"/>
  <c r="H122" i="13"/>
  <c r="H131" i="13"/>
  <c r="G139" i="13"/>
  <c r="H143" i="13"/>
  <c r="D146" i="13"/>
  <c r="H141" i="13"/>
  <c r="E147" i="13"/>
  <c r="F139" i="13"/>
  <c r="F148" i="13"/>
  <c r="H136" i="13"/>
  <c r="D139" i="13"/>
  <c r="G146" i="13"/>
  <c r="F129" i="13"/>
  <c r="G148" i="13"/>
  <c r="E146" i="13"/>
  <c r="D145" i="13"/>
  <c r="H135" i="13"/>
  <c r="E139" i="13"/>
  <c r="E134" i="13"/>
  <c r="E145" i="13"/>
  <c r="G145" i="13"/>
  <c r="D134" i="13"/>
  <c r="F144" i="13"/>
  <c r="D129" i="13"/>
  <c r="F147" i="13"/>
  <c r="F145" i="13"/>
  <c r="E148" i="13"/>
  <c r="G129" i="13"/>
  <c r="H114" i="13"/>
  <c r="F117" i="13"/>
  <c r="F118" i="13" s="1"/>
  <c r="D111" i="13"/>
  <c r="E118" i="13" l="1"/>
  <c r="D118" i="13"/>
  <c r="G118" i="13"/>
  <c r="H145" i="13"/>
  <c r="H263" i="13"/>
  <c r="H117" i="13"/>
  <c r="H146" i="13"/>
  <c r="H111" i="13"/>
  <c r="H134" i="13"/>
  <c r="H148" i="13"/>
  <c r="G149" i="13"/>
  <c r="H139" i="13"/>
  <c r="E149" i="13"/>
  <c r="F149" i="13"/>
  <c r="H129" i="13"/>
  <c r="G66" i="13" l="1"/>
  <c r="G90" i="13" s="1"/>
  <c r="F66" i="13"/>
  <c r="F90" i="13" s="1"/>
  <c r="D66" i="13"/>
  <c r="G69" i="13"/>
  <c r="G93" i="13" s="1"/>
  <c r="F69" i="13"/>
  <c r="F93" i="13" s="1"/>
  <c r="E69" i="13"/>
  <c r="E93" i="13" s="1"/>
  <c r="D69" i="13"/>
  <c r="D93" i="13" s="1"/>
  <c r="G68" i="13"/>
  <c r="G92" i="13" s="1"/>
  <c r="F68" i="13"/>
  <c r="F92" i="13" s="1"/>
  <c r="E68" i="13"/>
  <c r="E92" i="13" s="1"/>
  <c r="D68" i="13"/>
  <c r="D92" i="13" s="1"/>
  <c r="G67" i="13"/>
  <c r="G91" i="13" s="1"/>
  <c r="F67" i="13"/>
  <c r="F91" i="13" s="1"/>
  <c r="E67" i="13"/>
  <c r="E91" i="13" s="1"/>
  <c r="D67" i="13"/>
  <c r="D91" i="13" s="1"/>
  <c r="G63" i="13"/>
  <c r="F63" i="13"/>
  <c r="E63" i="13"/>
  <c r="D63" i="13"/>
  <c r="G56" i="13"/>
  <c r="F56" i="13"/>
  <c r="E56" i="13"/>
  <c r="D56" i="13"/>
  <c r="G55" i="13"/>
  <c r="F55" i="13"/>
  <c r="E55" i="13"/>
  <c r="D55" i="13"/>
  <c r="G54" i="13"/>
  <c r="F54" i="13"/>
  <c r="E54" i="13"/>
  <c r="D54" i="13"/>
  <c r="G51" i="13"/>
  <c r="F51" i="13"/>
  <c r="E51" i="13"/>
  <c r="D51" i="13"/>
  <c r="G50" i="13"/>
  <c r="F50" i="13"/>
  <c r="E50" i="13"/>
  <c r="D50" i="13"/>
  <c r="G49" i="13"/>
  <c r="F49" i="13"/>
  <c r="E49" i="13"/>
  <c r="D49" i="13"/>
  <c r="G46" i="13"/>
  <c r="F46" i="13"/>
  <c r="E46" i="13"/>
  <c r="D46" i="13"/>
  <c r="G44" i="13"/>
  <c r="F44" i="13"/>
  <c r="E44" i="13"/>
  <c r="D44" i="13"/>
  <c r="G39" i="13"/>
  <c r="F39" i="13"/>
  <c r="E39" i="13"/>
  <c r="D39" i="13"/>
  <c r="G37" i="13"/>
  <c r="F37" i="13"/>
  <c r="E37" i="13"/>
  <c r="D37" i="13"/>
  <c r="G35" i="13"/>
  <c r="F35" i="13"/>
  <c r="E35" i="13"/>
  <c r="D35" i="13"/>
  <c r="G33" i="13"/>
  <c r="F33" i="13"/>
  <c r="E33" i="13"/>
  <c r="D33" i="13"/>
  <c r="G31" i="13"/>
  <c r="F31" i="13"/>
  <c r="E31" i="13"/>
  <c r="D31" i="13"/>
  <c r="G29" i="13"/>
  <c r="F29" i="13"/>
  <c r="E29" i="13"/>
  <c r="D29" i="13"/>
  <c r="G20" i="13"/>
  <c r="G19" i="13"/>
  <c r="G18" i="13"/>
  <c r="G17" i="13"/>
  <c r="G12" i="13"/>
  <c r="G13" i="13"/>
  <c r="G14" i="13"/>
  <c r="G11" i="13"/>
  <c r="G9" i="13"/>
  <c r="F20" i="13"/>
  <c r="F19" i="13"/>
  <c r="F18" i="13"/>
  <c r="F17" i="13"/>
  <c r="F12" i="13"/>
  <c r="F13" i="13"/>
  <c r="F14" i="13"/>
  <c r="F11" i="13"/>
  <c r="F9" i="13"/>
  <c r="E20" i="13"/>
  <c r="E19" i="13"/>
  <c r="E18" i="13"/>
  <c r="E17" i="13"/>
  <c r="E12" i="13"/>
  <c r="E13" i="13"/>
  <c r="E14" i="13"/>
  <c r="E11" i="13"/>
  <c r="E9" i="13"/>
  <c r="H88" i="11"/>
  <c r="H70" i="11" l="1"/>
  <c r="H71" i="11" s="1"/>
  <c r="H134" i="11"/>
  <c r="H82" i="11"/>
  <c r="H83" i="11" s="1"/>
  <c r="H236" i="11"/>
  <c r="H148" i="11"/>
  <c r="H117" i="11"/>
  <c r="H76" i="11"/>
  <c r="H77" i="11" s="1"/>
  <c r="H147" i="11"/>
  <c r="H242" i="11"/>
  <c r="H92" i="11"/>
  <c r="H139" i="11"/>
  <c r="H146" i="11"/>
  <c r="H91" i="11"/>
  <c r="H256" i="11" s="1"/>
  <c r="H129" i="11"/>
  <c r="H145" i="11"/>
  <c r="H263" i="11"/>
  <c r="H193" i="11"/>
  <c r="H93" i="11"/>
  <c r="D94" i="13"/>
  <c r="H93" i="13"/>
  <c r="E94" i="13"/>
  <c r="F94" i="13"/>
  <c r="F95" i="13" s="1"/>
  <c r="D90" i="13"/>
  <c r="G94" i="13"/>
  <c r="G95" i="13" s="1"/>
  <c r="H89" i="11"/>
  <c r="H90" i="11"/>
  <c r="H94" i="11" l="1"/>
  <c r="H95" i="11" s="1"/>
  <c r="H255" i="11" s="1"/>
  <c r="H149" i="11"/>
  <c r="D95" i="13"/>
  <c r="G88" i="11" l="1"/>
  <c r="G89" i="11" s="1"/>
  <c r="G111" i="11"/>
  <c r="G247" i="11"/>
  <c r="G139" i="11"/>
  <c r="G105" i="11"/>
  <c r="G82" i="11"/>
  <c r="G83" i="11" s="1"/>
  <c r="G70" i="11"/>
  <c r="G146" i="11"/>
  <c r="G193" i="11"/>
  <c r="G129" i="11"/>
  <c r="G145" i="11"/>
  <c r="G236" i="11"/>
  <c r="G91" i="11"/>
  <c r="G256" i="11" s="1"/>
  <c r="G117" i="11"/>
  <c r="G134" i="11"/>
  <c r="G148" i="11"/>
  <c r="G216" i="11"/>
  <c r="G229" i="11"/>
  <c r="G242" i="11"/>
  <c r="G76" i="11"/>
  <c r="G77" i="11" s="1"/>
  <c r="G263" i="11"/>
  <c r="G93" i="11"/>
  <c r="G92" i="11"/>
  <c r="G118" i="11" l="1"/>
  <c r="G119" i="11" s="1"/>
  <c r="G94" i="11"/>
  <c r="F256" i="13" l="1"/>
  <c r="F255" i="13" l="1"/>
  <c r="G256" i="13" l="1"/>
  <c r="E256" i="13" l="1"/>
  <c r="D256" i="13" l="1"/>
  <c r="D246" i="12" l="1"/>
  <c r="E246" i="12"/>
  <c r="F246" i="12"/>
  <c r="G246" i="12"/>
  <c r="G245" i="12"/>
  <c r="F245" i="12"/>
  <c r="E245" i="12"/>
  <c r="D245" i="12"/>
  <c r="H245" i="12" l="1"/>
  <c r="H246" i="12"/>
  <c r="F70" i="11" l="1"/>
  <c r="F71" i="11" s="1"/>
  <c r="F147" i="11"/>
  <c r="F146" i="11"/>
  <c r="F145" i="11"/>
  <c r="F76" i="11"/>
  <c r="F77" i="11" s="1"/>
  <c r="F148" i="11"/>
  <c r="F236" i="11"/>
  <c r="F263" i="11"/>
  <c r="F117" i="11"/>
  <c r="F92" i="11"/>
  <c r="F82" i="11"/>
  <c r="F83" i="11" s="1"/>
  <c r="F129" i="11"/>
  <c r="F91" i="11"/>
  <c r="F256" i="11" s="1"/>
  <c r="F134" i="11"/>
  <c r="F90" i="11"/>
  <c r="F139" i="11"/>
  <c r="F88" i="11"/>
  <c r="F89" i="11" s="1"/>
  <c r="F93" i="11"/>
  <c r="F149" i="11" l="1"/>
  <c r="D142" i="13" l="1"/>
  <c r="G147" i="11"/>
  <c r="G149" i="11" s="1"/>
  <c r="D147" i="13" l="1"/>
  <c r="D149" i="13" s="1"/>
  <c r="D144" i="13"/>
  <c r="H142" i="13"/>
  <c r="H147" i="13" l="1"/>
  <c r="H144" i="13"/>
  <c r="H149" i="13" s="1"/>
  <c r="E88" i="11" l="1"/>
  <c r="E89" i="11" s="1"/>
  <c r="E247" i="11" l="1"/>
  <c r="E76" i="11" l="1"/>
  <c r="E77" i="11" s="1"/>
  <c r="E145" i="11"/>
  <c r="E146" i="11"/>
  <c r="E148" i="11"/>
  <c r="E242" i="11"/>
  <c r="E117" i="11"/>
  <c r="E91" i="11"/>
  <c r="E256" i="11" s="1"/>
  <c r="E236" i="11"/>
  <c r="E93" i="11"/>
  <c r="E92" i="11"/>
  <c r="E90" i="11"/>
  <c r="E263" i="11"/>
  <c r="E139" i="11"/>
  <c r="E134" i="11"/>
  <c r="E129" i="11"/>
  <c r="G262" i="17" l="1"/>
  <c r="F262" i="17"/>
  <c r="E262" i="17"/>
  <c r="D262" i="17"/>
  <c r="G261" i="17"/>
  <c r="F261" i="17"/>
  <c r="E261" i="17"/>
  <c r="D261" i="17"/>
  <c r="G246" i="17"/>
  <c r="F246" i="17"/>
  <c r="E246" i="17"/>
  <c r="D246" i="17"/>
  <c r="G245" i="17"/>
  <c r="F245" i="17"/>
  <c r="E245" i="17"/>
  <c r="D245" i="17"/>
  <c r="G196" i="17"/>
  <c r="F196" i="17"/>
  <c r="E196" i="17"/>
  <c r="D196" i="17"/>
  <c r="G116" i="17"/>
  <c r="F116" i="17"/>
  <c r="E116" i="17"/>
  <c r="D116" i="17"/>
  <c r="G115" i="17"/>
  <c r="F115" i="17"/>
  <c r="E115" i="17"/>
  <c r="D115" i="17"/>
  <c r="G114" i="17"/>
  <c r="F114" i="17"/>
  <c r="E114" i="17"/>
  <c r="D114" i="17"/>
  <c r="G113" i="17"/>
  <c r="F113" i="17"/>
  <c r="E113" i="17"/>
  <c r="D113" i="17"/>
  <c r="D90" i="17"/>
  <c r="G86" i="17"/>
  <c r="F86" i="17"/>
  <c r="E86" i="17"/>
  <c r="D86" i="17"/>
  <c r="G80" i="17"/>
  <c r="F80" i="17"/>
  <c r="E80" i="17"/>
  <c r="D80" i="17"/>
  <c r="G75" i="17"/>
  <c r="F75" i="17"/>
  <c r="E75" i="17"/>
  <c r="D75" i="17"/>
  <c r="G35" i="17"/>
  <c r="F35" i="17"/>
  <c r="E35" i="17"/>
  <c r="D35" i="17"/>
  <c r="G262" i="14"/>
  <c r="F262" i="14"/>
  <c r="E262" i="14"/>
  <c r="D262" i="14"/>
  <c r="G261" i="14"/>
  <c r="F261" i="14"/>
  <c r="E261" i="14"/>
  <c r="D261" i="14"/>
  <c r="G257" i="14"/>
  <c r="F257" i="14"/>
  <c r="E257" i="14"/>
  <c r="D257" i="14"/>
  <c r="G254" i="14"/>
  <c r="F254" i="14"/>
  <c r="E254" i="14"/>
  <c r="D254" i="14"/>
  <c r="G253" i="14"/>
  <c r="F253" i="14"/>
  <c r="E253" i="14"/>
  <c r="D253" i="14"/>
  <c r="G196" i="14"/>
  <c r="F196" i="14"/>
  <c r="E196" i="14"/>
  <c r="D196" i="14"/>
  <c r="G246" i="14"/>
  <c r="F246" i="14"/>
  <c r="E246" i="14"/>
  <c r="D246" i="14"/>
  <c r="G245" i="14"/>
  <c r="F245" i="14"/>
  <c r="E245" i="14"/>
  <c r="D245" i="14"/>
  <c r="G241" i="14"/>
  <c r="F241" i="14"/>
  <c r="E241" i="14"/>
  <c r="D241" i="14"/>
  <c r="G240" i="14"/>
  <c r="F240" i="14"/>
  <c r="E240" i="14"/>
  <c r="D240" i="14"/>
  <c r="G239" i="14"/>
  <c r="F239" i="14"/>
  <c r="E239" i="14"/>
  <c r="D239" i="14"/>
  <c r="G238" i="14"/>
  <c r="F238" i="14"/>
  <c r="E238" i="14"/>
  <c r="D238" i="14"/>
  <c r="G235" i="14"/>
  <c r="F235" i="14"/>
  <c r="E235" i="14"/>
  <c r="D235" i="14"/>
  <c r="G234" i="14"/>
  <c r="F234" i="14"/>
  <c r="E234" i="14"/>
  <c r="D234" i="14"/>
  <c r="G233" i="14"/>
  <c r="F233" i="14"/>
  <c r="E233" i="14"/>
  <c r="D233" i="14"/>
  <c r="G232" i="14"/>
  <c r="F232" i="14"/>
  <c r="E232" i="14"/>
  <c r="D232" i="14"/>
  <c r="G228" i="14"/>
  <c r="F228" i="14"/>
  <c r="E228" i="14"/>
  <c r="D228" i="14"/>
  <c r="G227" i="14"/>
  <c r="F227" i="14"/>
  <c r="E227" i="14"/>
  <c r="D227" i="14"/>
  <c r="G226" i="14"/>
  <c r="F226" i="14"/>
  <c r="E226" i="14"/>
  <c r="D226" i="14"/>
  <c r="G225" i="14"/>
  <c r="F225" i="14"/>
  <c r="E225" i="14"/>
  <c r="D225" i="14"/>
  <c r="G222" i="14"/>
  <c r="F222" i="14"/>
  <c r="E222" i="14"/>
  <c r="D222" i="14"/>
  <c r="G221" i="14"/>
  <c r="F221" i="14"/>
  <c r="E221" i="14"/>
  <c r="D221" i="14"/>
  <c r="G220" i="14"/>
  <c r="F220" i="14"/>
  <c r="E220" i="14"/>
  <c r="D220" i="14"/>
  <c r="G219" i="14"/>
  <c r="F219" i="14"/>
  <c r="E219" i="14"/>
  <c r="D219" i="14"/>
  <c r="G215" i="14"/>
  <c r="F215" i="14"/>
  <c r="E215" i="14"/>
  <c r="D215" i="14"/>
  <c r="G214" i="14"/>
  <c r="F214" i="14"/>
  <c r="E214" i="14"/>
  <c r="D214" i="14"/>
  <c r="G213" i="14"/>
  <c r="F213" i="14"/>
  <c r="E213" i="14"/>
  <c r="D213" i="14"/>
  <c r="G212" i="14"/>
  <c r="F212" i="14"/>
  <c r="E212" i="14"/>
  <c r="D212" i="14"/>
  <c r="G209" i="14"/>
  <c r="F209" i="14"/>
  <c r="E209" i="14"/>
  <c r="D209" i="14"/>
  <c r="G208" i="14"/>
  <c r="F208" i="14"/>
  <c r="E208" i="14"/>
  <c r="D208" i="14"/>
  <c r="G207" i="14"/>
  <c r="F207" i="14"/>
  <c r="E207" i="14"/>
  <c r="D207" i="14"/>
  <c r="G206" i="14"/>
  <c r="F206" i="14"/>
  <c r="E206" i="14"/>
  <c r="D206" i="14"/>
  <c r="G203" i="14"/>
  <c r="F203" i="14"/>
  <c r="E203" i="14"/>
  <c r="D203" i="14"/>
  <c r="G202" i="14"/>
  <c r="F202" i="14"/>
  <c r="E202" i="14"/>
  <c r="D202" i="14"/>
  <c r="G201" i="14"/>
  <c r="F201" i="14"/>
  <c r="E201" i="14"/>
  <c r="D201" i="14"/>
  <c r="G200" i="14"/>
  <c r="F200" i="14"/>
  <c r="E200" i="14"/>
  <c r="D200" i="14"/>
  <c r="G199" i="14"/>
  <c r="F199" i="14"/>
  <c r="E199" i="14"/>
  <c r="D199" i="14"/>
  <c r="G197" i="14"/>
  <c r="F197" i="14"/>
  <c r="E197" i="14"/>
  <c r="D197" i="14"/>
  <c r="G195" i="14"/>
  <c r="F195" i="14"/>
  <c r="E195" i="14"/>
  <c r="D195" i="14"/>
  <c r="G194" i="14"/>
  <c r="F194" i="14"/>
  <c r="E194" i="14"/>
  <c r="D194" i="14"/>
  <c r="G192" i="14"/>
  <c r="F192" i="14"/>
  <c r="E192" i="14"/>
  <c r="D192" i="14"/>
  <c r="G191" i="14"/>
  <c r="F191" i="14"/>
  <c r="E191" i="14"/>
  <c r="D191" i="14"/>
  <c r="G190" i="14"/>
  <c r="F190" i="14"/>
  <c r="E190" i="14"/>
  <c r="D190" i="14"/>
  <c r="G189" i="14"/>
  <c r="F189" i="14"/>
  <c r="E189" i="14"/>
  <c r="D189" i="14"/>
  <c r="G187" i="14"/>
  <c r="F187" i="14"/>
  <c r="E187" i="14"/>
  <c r="D187" i="14"/>
  <c r="G186" i="14"/>
  <c r="F186" i="14"/>
  <c r="E186" i="14"/>
  <c r="D186" i="14"/>
  <c r="G185" i="14"/>
  <c r="F185" i="14"/>
  <c r="E185" i="14"/>
  <c r="D185" i="14"/>
  <c r="G184" i="14"/>
  <c r="F184" i="14"/>
  <c r="E184" i="14"/>
  <c r="D184" i="14"/>
  <c r="G182" i="14"/>
  <c r="F182" i="14"/>
  <c r="E182" i="14"/>
  <c r="D182" i="14"/>
  <c r="G181" i="14"/>
  <c r="F181" i="14"/>
  <c r="E181" i="14"/>
  <c r="D181" i="14"/>
  <c r="G180" i="14"/>
  <c r="F180" i="14"/>
  <c r="E180" i="14"/>
  <c r="D180" i="14"/>
  <c r="G179" i="14"/>
  <c r="F179" i="14"/>
  <c r="E179" i="14"/>
  <c r="D179" i="14"/>
  <c r="G178" i="14"/>
  <c r="F178" i="14"/>
  <c r="E178" i="14"/>
  <c r="D178" i="14"/>
  <c r="G177" i="14"/>
  <c r="F177" i="14"/>
  <c r="E177" i="14"/>
  <c r="D177" i="14"/>
  <c r="G175" i="14"/>
  <c r="F175" i="14"/>
  <c r="E175" i="14"/>
  <c r="D175" i="14"/>
  <c r="G174" i="14"/>
  <c r="F174" i="14"/>
  <c r="E174" i="14"/>
  <c r="D174" i="14"/>
  <c r="G173" i="14"/>
  <c r="F173" i="14"/>
  <c r="E173" i="14"/>
  <c r="D173" i="14"/>
  <c r="G172" i="14"/>
  <c r="F172" i="14"/>
  <c r="E172" i="14"/>
  <c r="D172" i="14"/>
  <c r="G171" i="14"/>
  <c r="F171" i="14"/>
  <c r="E171" i="14"/>
  <c r="D171" i="14"/>
  <c r="G170" i="14"/>
  <c r="F170" i="14"/>
  <c r="E170" i="14"/>
  <c r="D170" i="14"/>
  <c r="G169" i="14"/>
  <c r="F169" i="14"/>
  <c r="E169" i="14"/>
  <c r="D169" i="14"/>
  <c r="G168" i="14"/>
  <c r="F168" i="14"/>
  <c r="E168" i="14"/>
  <c r="D168" i="14"/>
  <c r="G167" i="14"/>
  <c r="F167" i="14"/>
  <c r="E167" i="14"/>
  <c r="D167" i="14"/>
  <c r="G165" i="14"/>
  <c r="F165" i="14"/>
  <c r="E165" i="14"/>
  <c r="D165" i="14"/>
  <c r="G164" i="14"/>
  <c r="F164" i="14"/>
  <c r="E164" i="14"/>
  <c r="D164" i="14"/>
  <c r="G163" i="14"/>
  <c r="F163" i="14"/>
  <c r="E163" i="14"/>
  <c r="D163" i="14"/>
  <c r="G162" i="14"/>
  <c r="F162" i="14"/>
  <c r="E162" i="14"/>
  <c r="D162" i="14"/>
  <c r="G161" i="14"/>
  <c r="F161" i="14"/>
  <c r="E161" i="14"/>
  <c r="D161" i="14"/>
  <c r="G160" i="14"/>
  <c r="F160" i="14"/>
  <c r="E160" i="14"/>
  <c r="D160" i="14"/>
  <c r="G159" i="14"/>
  <c r="F159" i="14"/>
  <c r="E159" i="14"/>
  <c r="D159" i="14"/>
  <c r="G158" i="14"/>
  <c r="F158" i="14"/>
  <c r="E158" i="14"/>
  <c r="D158" i="14"/>
  <c r="G157" i="14"/>
  <c r="F157" i="14"/>
  <c r="E157" i="14"/>
  <c r="D157" i="14"/>
  <c r="G156" i="14"/>
  <c r="F156" i="14"/>
  <c r="E156" i="14"/>
  <c r="D156" i="14"/>
  <c r="G155" i="14"/>
  <c r="F155" i="14"/>
  <c r="E155" i="14"/>
  <c r="D155" i="14"/>
  <c r="G154" i="14"/>
  <c r="F154" i="14"/>
  <c r="E154" i="14"/>
  <c r="D154" i="14"/>
  <c r="G153" i="14"/>
  <c r="F153" i="14"/>
  <c r="E153" i="14"/>
  <c r="D153" i="14"/>
  <c r="G143" i="14"/>
  <c r="F143" i="14"/>
  <c r="E143" i="14"/>
  <c r="D143" i="14"/>
  <c r="G142" i="14"/>
  <c r="F142" i="14"/>
  <c r="E142" i="14"/>
  <c r="G141" i="14"/>
  <c r="F141" i="14"/>
  <c r="E141" i="14"/>
  <c r="D141" i="14"/>
  <c r="G138" i="14"/>
  <c r="F138" i="14"/>
  <c r="E138" i="14"/>
  <c r="D138" i="14"/>
  <c r="G137" i="14"/>
  <c r="F137" i="14"/>
  <c r="E137" i="14"/>
  <c r="D137" i="14"/>
  <c r="G136" i="14"/>
  <c r="F136" i="14"/>
  <c r="E136" i="14"/>
  <c r="D136" i="14"/>
  <c r="G133" i="14"/>
  <c r="F133" i="14"/>
  <c r="E133" i="14"/>
  <c r="D133" i="14"/>
  <c r="G132" i="14"/>
  <c r="F132" i="14"/>
  <c r="E132" i="14"/>
  <c r="D132" i="14"/>
  <c r="G131" i="14"/>
  <c r="F131" i="14"/>
  <c r="E131" i="14"/>
  <c r="D131" i="14"/>
  <c r="G128" i="14"/>
  <c r="F128" i="14"/>
  <c r="E128" i="14"/>
  <c r="D128" i="14"/>
  <c r="G127" i="14"/>
  <c r="F127" i="14"/>
  <c r="E127" i="14"/>
  <c r="D127" i="14"/>
  <c r="G126" i="14"/>
  <c r="F126" i="14"/>
  <c r="E126" i="14"/>
  <c r="D126" i="14"/>
  <c r="G135" i="14"/>
  <c r="F135" i="14"/>
  <c r="E135" i="14"/>
  <c r="D135" i="14"/>
  <c r="G140" i="14"/>
  <c r="F140" i="14"/>
  <c r="E140" i="14"/>
  <c r="D140" i="14"/>
  <c r="G130" i="14"/>
  <c r="F130" i="14"/>
  <c r="E130" i="14"/>
  <c r="D130" i="14"/>
  <c r="G125" i="14"/>
  <c r="F125" i="14"/>
  <c r="E125" i="14"/>
  <c r="D125" i="14"/>
  <c r="H36" i="14"/>
  <c r="G116" i="14"/>
  <c r="F116" i="14"/>
  <c r="E116" i="14"/>
  <c r="D116" i="14"/>
  <c r="G115" i="14"/>
  <c r="F115" i="14"/>
  <c r="E115" i="14"/>
  <c r="D115" i="14"/>
  <c r="G114" i="14"/>
  <c r="F114" i="14"/>
  <c r="E114" i="14"/>
  <c r="D114" i="14"/>
  <c r="G113" i="14"/>
  <c r="F113" i="14"/>
  <c r="E113" i="14"/>
  <c r="D113" i="14"/>
  <c r="G110" i="14"/>
  <c r="F110" i="14"/>
  <c r="E110" i="14"/>
  <c r="D110" i="14"/>
  <c r="G109" i="14"/>
  <c r="F109" i="14"/>
  <c r="E109" i="14"/>
  <c r="D109" i="14"/>
  <c r="G108" i="14"/>
  <c r="F108" i="14"/>
  <c r="E108" i="14"/>
  <c r="D108" i="14"/>
  <c r="G107" i="14"/>
  <c r="F107" i="14"/>
  <c r="E107" i="14"/>
  <c r="D107" i="14"/>
  <c r="G104" i="14"/>
  <c r="F104" i="14"/>
  <c r="E104" i="14"/>
  <c r="D104" i="14"/>
  <c r="G103" i="14"/>
  <c r="F103" i="14"/>
  <c r="E103" i="14"/>
  <c r="D103" i="14"/>
  <c r="G102" i="14"/>
  <c r="F102" i="14"/>
  <c r="E102" i="14"/>
  <c r="D102" i="14"/>
  <c r="G101" i="14"/>
  <c r="F101" i="14"/>
  <c r="E101" i="14"/>
  <c r="D101" i="14"/>
  <c r="G98" i="14"/>
  <c r="F98" i="14"/>
  <c r="E98" i="14"/>
  <c r="D98" i="14"/>
  <c r="G84" i="14"/>
  <c r="F84" i="14"/>
  <c r="E84" i="14"/>
  <c r="D84" i="14"/>
  <c r="G78" i="14"/>
  <c r="F78" i="14"/>
  <c r="E78" i="14"/>
  <c r="D78" i="14"/>
  <c r="G72" i="14"/>
  <c r="F72" i="14"/>
  <c r="E72" i="14"/>
  <c r="D72" i="14"/>
  <c r="G87" i="14"/>
  <c r="F87" i="14"/>
  <c r="E87" i="14"/>
  <c r="D87" i="14"/>
  <c r="G86" i="14"/>
  <c r="F86" i="14"/>
  <c r="E86" i="14"/>
  <c r="D86" i="14"/>
  <c r="G85" i="14"/>
  <c r="F85" i="14"/>
  <c r="E85" i="14"/>
  <c r="D85" i="14"/>
  <c r="G81" i="14"/>
  <c r="F81" i="14"/>
  <c r="E81" i="14"/>
  <c r="D81" i="14"/>
  <c r="G80" i="14"/>
  <c r="F80" i="14"/>
  <c r="E80" i="14"/>
  <c r="D80" i="14"/>
  <c r="G79" i="14"/>
  <c r="F79" i="14"/>
  <c r="E79" i="14"/>
  <c r="D79" i="14"/>
  <c r="G75" i="14"/>
  <c r="F75" i="14"/>
  <c r="E75" i="14"/>
  <c r="D75" i="14"/>
  <c r="G74" i="14"/>
  <c r="F74" i="14"/>
  <c r="E74" i="14"/>
  <c r="D74" i="14"/>
  <c r="G73" i="14"/>
  <c r="F73" i="14"/>
  <c r="E73" i="14"/>
  <c r="D73" i="14"/>
  <c r="G69" i="14"/>
  <c r="F69" i="14"/>
  <c r="E69" i="14"/>
  <c r="D69" i="14"/>
  <c r="G68" i="14"/>
  <c r="F68" i="14"/>
  <c r="E68" i="14"/>
  <c r="D68" i="14"/>
  <c r="G67" i="14"/>
  <c r="F67" i="14"/>
  <c r="E67" i="14"/>
  <c r="D67" i="14"/>
  <c r="G66" i="14"/>
  <c r="F66" i="14"/>
  <c r="E66" i="14"/>
  <c r="D66" i="14"/>
  <c r="G63" i="14"/>
  <c r="F63" i="14"/>
  <c r="E63" i="14"/>
  <c r="D63" i="14"/>
  <c r="G61" i="14"/>
  <c r="F61" i="14"/>
  <c r="E61" i="14"/>
  <c r="D61" i="14"/>
  <c r="G56" i="14"/>
  <c r="F56" i="14"/>
  <c r="E56" i="14"/>
  <c r="D56" i="14"/>
  <c r="G55" i="14"/>
  <c r="F55" i="14"/>
  <c r="E55" i="14"/>
  <c r="D55" i="14"/>
  <c r="G54" i="14"/>
  <c r="F54" i="14"/>
  <c r="E54" i="14"/>
  <c r="D54" i="14"/>
  <c r="G51" i="14"/>
  <c r="F51" i="14"/>
  <c r="E51" i="14"/>
  <c r="D51" i="14"/>
  <c r="G50" i="14"/>
  <c r="F50" i="14"/>
  <c r="E50" i="14"/>
  <c r="D50" i="14"/>
  <c r="G49" i="14"/>
  <c r="F49" i="14"/>
  <c r="E49" i="14"/>
  <c r="D49" i="14"/>
  <c r="G46" i="14"/>
  <c r="F46" i="14"/>
  <c r="E46" i="14"/>
  <c r="D46" i="14"/>
  <c r="G44" i="14"/>
  <c r="F44" i="14"/>
  <c r="E44" i="14"/>
  <c r="D44" i="14"/>
  <c r="G39" i="14"/>
  <c r="F39" i="14"/>
  <c r="E39" i="14"/>
  <c r="D39" i="14"/>
  <c r="G37" i="14"/>
  <c r="F37" i="14"/>
  <c r="E37" i="14"/>
  <c r="D37" i="14"/>
  <c r="G35" i="14"/>
  <c r="F35" i="14"/>
  <c r="E35" i="14"/>
  <c r="D35" i="14"/>
  <c r="G33" i="14"/>
  <c r="F33" i="14"/>
  <c r="E33" i="14"/>
  <c r="D33" i="14"/>
  <c r="G31" i="14"/>
  <c r="F31" i="14"/>
  <c r="E31" i="14"/>
  <c r="D31" i="14"/>
  <c r="G29" i="14"/>
  <c r="F29" i="14"/>
  <c r="E29" i="14"/>
  <c r="D29" i="14"/>
  <c r="G20" i="14"/>
  <c r="G19" i="14"/>
  <c r="G18" i="14"/>
  <c r="G17" i="14"/>
  <c r="G14" i="14"/>
  <c r="G13" i="14"/>
  <c r="G12" i="14"/>
  <c r="G11" i="14"/>
  <c r="G9" i="14"/>
  <c r="F20" i="14"/>
  <c r="F19" i="14"/>
  <c r="F18" i="14"/>
  <c r="F17" i="14"/>
  <c r="F14" i="14"/>
  <c r="F13" i="14"/>
  <c r="F12" i="14"/>
  <c r="F11" i="14"/>
  <c r="F9" i="14"/>
  <c r="G262" i="12"/>
  <c r="F262" i="12"/>
  <c r="E262" i="12"/>
  <c r="D262" i="12"/>
  <c r="G261" i="12"/>
  <c r="F261" i="12"/>
  <c r="E261" i="12"/>
  <c r="D261" i="12"/>
  <c r="G257" i="12"/>
  <c r="F257" i="12"/>
  <c r="E257" i="12"/>
  <c r="D257" i="12"/>
  <c r="G254" i="12"/>
  <c r="F254" i="12"/>
  <c r="E254" i="12"/>
  <c r="D254" i="12"/>
  <c r="G253" i="12"/>
  <c r="F253" i="12"/>
  <c r="E253" i="12"/>
  <c r="D253" i="12"/>
  <c r="G241" i="12"/>
  <c r="F241" i="12"/>
  <c r="E241" i="12"/>
  <c r="D241" i="12"/>
  <c r="G240" i="12"/>
  <c r="F240" i="12"/>
  <c r="E240" i="12"/>
  <c r="D240" i="12"/>
  <c r="G239" i="12"/>
  <c r="F239" i="12"/>
  <c r="E239" i="12"/>
  <c r="D239" i="12"/>
  <c r="G238" i="12"/>
  <c r="F238" i="12"/>
  <c r="E238" i="12"/>
  <c r="D238" i="12"/>
  <c r="G235" i="12"/>
  <c r="F235" i="12"/>
  <c r="E235" i="12"/>
  <c r="D235" i="12"/>
  <c r="G234" i="12"/>
  <c r="F234" i="12"/>
  <c r="E234" i="12"/>
  <c r="D234" i="12"/>
  <c r="G233" i="12"/>
  <c r="F233" i="12"/>
  <c r="E233" i="12"/>
  <c r="D233" i="12"/>
  <c r="G232" i="12"/>
  <c r="F232" i="12"/>
  <c r="E232" i="12"/>
  <c r="D232" i="12"/>
  <c r="G228" i="12"/>
  <c r="F228" i="12"/>
  <c r="E228" i="12"/>
  <c r="D228" i="12"/>
  <c r="G227" i="12"/>
  <c r="F227" i="12"/>
  <c r="E227" i="12"/>
  <c r="D227" i="12"/>
  <c r="G226" i="12"/>
  <c r="F226" i="12"/>
  <c r="E226" i="12"/>
  <c r="D226" i="12"/>
  <c r="G225" i="12"/>
  <c r="F225" i="12"/>
  <c r="E225" i="12"/>
  <c r="D225" i="12"/>
  <c r="G222" i="12"/>
  <c r="F222" i="12"/>
  <c r="E222" i="12"/>
  <c r="D222" i="12"/>
  <c r="G221" i="12"/>
  <c r="F221" i="12"/>
  <c r="E221" i="12"/>
  <c r="D221" i="12"/>
  <c r="G220" i="12"/>
  <c r="F220" i="12"/>
  <c r="E220" i="12"/>
  <c r="D220" i="12"/>
  <c r="G219" i="12"/>
  <c r="F219" i="12"/>
  <c r="E219" i="12"/>
  <c r="D219" i="12"/>
  <c r="G215" i="12"/>
  <c r="F215" i="12"/>
  <c r="E215" i="12"/>
  <c r="D215" i="12"/>
  <c r="G214" i="12"/>
  <c r="F214" i="12"/>
  <c r="E214" i="12"/>
  <c r="D214" i="12"/>
  <c r="G213" i="12"/>
  <c r="F213" i="12"/>
  <c r="E213" i="12"/>
  <c r="D213" i="12"/>
  <c r="G212" i="12"/>
  <c r="F212" i="12"/>
  <c r="E212" i="12"/>
  <c r="D212" i="12"/>
  <c r="G209" i="12"/>
  <c r="F209" i="12"/>
  <c r="E209" i="12"/>
  <c r="D209" i="12"/>
  <c r="G208" i="12"/>
  <c r="F208" i="12"/>
  <c r="E208" i="12"/>
  <c r="D208" i="12"/>
  <c r="G207" i="12"/>
  <c r="F207" i="12"/>
  <c r="E207" i="12"/>
  <c r="D207" i="12"/>
  <c r="G206" i="12"/>
  <c r="F206" i="12"/>
  <c r="E206" i="12"/>
  <c r="D206" i="12"/>
  <c r="G203" i="12"/>
  <c r="F203" i="12"/>
  <c r="E203" i="12"/>
  <c r="D203" i="12"/>
  <c r="G202" i="12"/>
  <c r="F202" i="12"/>
  <c r="E202" i="12"/>
  <c r="D202" i="12"/>
  <c r="G201" i="12"/>
  <c r="F201" i="12"/>
  <c r="E201" i="12"/>
  <c r="D201" i="12"/>
  <c r="G200" i="12"/>
  <c r="F200" i="12"/>
  <c r="E200" i="12"/>
  <c r="D200" i="12"/>
  <c r="G199" i="12"/>
  <c r="F199" i="12"/>
  <c r="E199" i="12"/>
  <c r="D199" i="12"/>
  <c r="G196" i="12"/>
  <c r="F196" i="12"/>
  <c r="E196" i="12"/>
  <c r="D196" i="12"/>
  <c r="G197" i="12"/>
  <c r="F197" i="12"/>
  <c r="E197" i="12"/>
  <c r="D197" i="12"/>
  <c r="G195" i="12"/>
  <c r="F195" i="12"/>
  <c r="E195" i="12"/>
  <c r="D195" i="12"/>
  <c r="G194" i="12"/>
  <c r="F194" i="12"/>
  <c r="E194" i="12"/>
  <c r="D194" i="12"/>
  <c r="G192" i="12"/>
  <c r="F192" i="12"/>
  <c r="E192" i="12"/>
  <c r="D192" i="12"/>
  <c r="G191" i="12"/>
  <c r="F191" i="12"/>
  <c r="E191" i="12"/>
  <c r="D191" i="12"/>
  <c r="G190" i="12"/>
  <c r="F190" i="12"/>
  <c r="E190" i="12"/>
  <c r="D190" i="12"/>
  <c r="G189" i="12"/>
  <c r="F189" i="12"/>
  <c r="E189" i="12"/>
  <c r="D189" i="12"/>
  <c r="G187" i="12"/>
  <c r="F187" i="12"/>
  <c r="E187" i="12"/>
  <c r="D187" i="12"/>
  <c r="G186" i="12"/>
  <c r="F186" i="12"/>
  <c r="E186" i="12"/>
  <c r="D186" i="12"/>
  <c r="G185" i="12"/>
  <c r="F185" i="12"/>
  <c r="E185" i="12"/>
  <c r="D185" i="12"/>
  <c r="G184" i="12"/>
  <c r="F184" i="12"/>
  <c r="E184" i="12"/>
  <c r="D184" i="12"/>
  <c r="G182" i="12"/>
  <c r="F182" i="12"/>
  <c r="E182" i="12"/>
  <c r="D182" i="12"/>
  <c r="G181" i="12"/>
  <c r="F181" i="12"/>
  <c r="E181" i="12"/>
  <c r="D181" i="12"/>
  <c r="G180" i="12"/>
  <c r="F180" i="12"/>
  <c r="E180" i="12"/>
  <c r="D180" i="12"/>
  <c r="G179" i="12"/>
  <c r="F179" i="12"/>
  <c r="E179" i="12"/>
  <c r="D179" i="12"/>
  <c r="G178" i="12"/>
  <c r="F178" i="12"/>
  <c r="E178" i="12"/>
  <c r="D178" i="12"/>
  <c r="G177" i="12"/>
  <c r="F177" i="12"/>
  <c r="E177" i="12"/>
  <c r="D177" i="12"/>
  <c r="G175" i="12"/>
  <c r="F175" i="12"/>
  <c r="E175" i="12"/>
  <c r="D175" i="12"/>
  <c r="G174" i="12"/>
  <c r="F174" i="12"/>
  <c r="E174" i="12"/>
  <c r="D174" i="12"/>
  <c r="G173" i="12"/>
  <c r="F173" i="12"/>
  <c r="E173" i="12"/>
  <c r="D173" i="12"/>
  <c r="G172" i="12"/>
  <c r="F172" i="12"/>
  <c r="E172" i="12"/>
  <c r="D172" i="12"/>
  <c r="G171" i="12"/>
  <c r="F171" i="12"/>
  <c r="E171" i="12"/>
  <c r="D171" i="12"/>
  <c r="G170" i="12"/>
  <c r="F170" i="12"/>
  <c r="E170" i="12"/>
  <c r="D170" i="12"/>
  <c r="G169" i="12"/>
  <c r="F169" i="12"/>
  <c r="E169" i="12"/>
  <c r="D169" i="12"/>
  <c r="G168" i="12"/>
  <c r="F168" i="12"/>
  <c r="E168" i="12"/>
  <c r="D168" i="12"/>
  <c r="G167" i="12"/>
  <c r="F167" i="12"/>
  <c r="E167" i="12"/>
  <c r="D167" i="12"/>
  <c r="G165" i="12"/>
  <c r="F165" i="12"/>
  <c r="E165" i="12"/>
  <c r="D165" i="12"/>
  <c r="G164" i="12"/>
  <c r="F164" i="12"/>
  <c r="E164" i="12"/>
  <c r="D164" i="12"/>
  <c r="G163" i="12"/>
  <c r="F163" i="12"/>
  <c r="E163" i="12"/>
  <c r="D163" i="12"/>
  <c r="G162" i="12"/>
  <c r="F162" i="12"/>
  <c r="E162" i="12"/>
  <c r="D162" i="12"/>
  <c r="G161" i="12"/>
  <c r="F161" i="12"/>
  <c r="E161" i="12"/>
  <c r="D161" i="12"/>
  <c r="G160" i="12"/>
  <c r="F160" i="12"/>
  <c r="E160" i="12"/>
  <c r="D160" i="12"/>
  <c r="G159" i="12"/>
  <c r="F159" i="12"/>
  <c r="E159" i="12"/>
  <c r="D159" i="12"/>
  <c r="G158" i="12"/>
  <c r="F158" i="12"/>
  <c r="E158" i="12"/>
  <c r="D158" i="12"/>
  <c r="G157" i="12"/>
  <c r="F157" i="12"/>
  <c r="E157" i="12"/>
  <c r="D157" i="12"/>
  <c r="G156" i="12"/>
  <c r="F156" i="12"/>
  <c r="E156" i="12"/>
  <c r="D156" i="12"/>
  <c r="G155" i="12"/>
  <c r="F155" i="12"/>
  <c r="E155" i="12"/>
  <c r="D155" i="12"/>
  <c r="G154" i="12"/>
  <c r="F154" i="12"/>
  <c r="E154" i="12"/>
  <c r="D154" i="12"/>
  <c r="G153" i="12"/>
  <c r="F153" i="12"/>
  <c r="E153" i="12"/>
  <c r="D153" i="12"/>
  <c r="G143" i="12"/>
  <c r="F143" i="12"/>
  <c r="E143" i="12"/>
  <c r="D143" i="12"/>
  <c r="G142" i="12"/>
  <c r="F142" i="12"/>
  <c r="E142" i="12"/>
  <c r="G141" i="12"/>
  <c r="F141" i="12"/>
  <c r="E141" i="12"/>
  <c r="D141" i="12"/>
  <c r="G138" i="12"/>
  <c r="F138" i="12"/>
  <c r="E138" i="12"/>
  <c r="D138" i="12"/>
  <c r="G137" i="12"/>
  <c r="F137" i="12"/>
  <c r="E137" i="12"/>
  <c r="D137" i="12"/>
  <c r="G136" i="12"/>
  <c r="F136" i="12"/>
  <c r="E136" i="12"/>
  <c r="D136" i="12"/>
  <c r="G133" i="12"/>
  <c r="F133" i="12"/>
  <c r="E133" i="12"/>
  <c r="D133" i="12"/>
  <c r="G132" i="12"/>
  <c r="F132" i="12"/>
  <c r="E132" i="12"/>
  <c r="D132" i="12"/>
  <c r="G131" i="12"/>
  <c r="F131" i="12"/>
  <c r="E131" i="12"/>
  <c r="D131" i="12"/>
  <c r="G128" i="12"/>
  <c r="F128" i="12"/>
  <c r="E128" i="12"/>
  <c r="D128" i="12"/>
  <c r="G127" i="12"/>
  <c r="F127" i="12"/>
  <c r="E127" i="12"/>
  <c r="D127" i="12"/>
  <c r="G126" i="12"/>
  <c r="F126" i="12"/>
  <c r="E126" i="12"/>
  <c r="D126" i="12"/>
  <c r="G140" i="12"/>
  <c r="F140" i="12"/>
  <c r="E140" i="12"/>
  <c r="D140" i="12"/>
  <c r="G135" i="12"/>
  <c r="F135" i="12"/>
  <c r="E135" i="12"/>
  <c r="D135" i="12"/>
  <c r="G130" i="12"/>
  <c r="F130" i="12"/>
  <c r="E130" i="12"/>
  <c r="D130" i="12"/>
  <c r="G125" i="12"/>
  <c r="F125" i="12"/>
  <c r="E125" i="12"/>
  <c r="D125" i="12"/>
  <c r="G122" i="12"/>
  <c r="F122" i="12"/>
  <c r="E122" i="12"/>
  <c r="D122" i="12"/>
  <c r="G121" i="12"/>
  <c r="F121" i="12"/>
  <c r="E121" i="12"/>
  <c r="D121" i="12"/>
  <c r="G116" i="12"/>
  <c r="F116" i="12"/>
  <c r="E116" i="12"/>
  <c r="D116" i="12"/>
  <c r="G115" i="12"/>
  <c r="F115" i="12"/>
  <c r="E115" i="12"/>
  <c r="D115" i="12"/>
  <c r="G114" i="12"/>
  <c r="F114" i="12"/>
  <c r="E114" i="12"/>
  <c r="D114" i="12"/>
  <c r="G113" i="12"/>
  <c r="F113" i="12"/>
  <c r="E113" i="12"/>
  <c r="D113" i="12"/>
  <c r="G110" i="12"/>
  <c r="F110" i="12"/>
  <c r="E110" i="12"/>
  <c r="D110" i="12"/>
  <c r="G109" i="12"/>
  <c r="F109" i="12"/>
  <c r="E109" i="12"/>
  <c r="D109" i="12"/>
  <c r="G108" i="12"/>
  <c r="F108" i="12"/>
  <c r="E108" i="12"/>
  <c r="D108" i="12"/>
  <c r="G107" i="12"/>
  <c r="F107" i="12"/>
  <c r="E107" i="12"/>
  <c r="D107" i="12"/>
  <c r="G104" i="12"/>
  <c r="F104" i="12"/>
  <c r="E104" i="12"/>
  <c r="D104" i="12"/>
  <c r="G103" i="12"/>
  <c r="F103" i="12"/>
  <c r="E103" i="12"/>
  <c r="D103" i="12"/>
  <c r="G102" i="12"/>
  <c r="F102" i="12"/>
  <c r="E102" i="12"/>
  <c r="D102" i="12"/>
  <c r="G101" i="12"/>
  <c r="F101" i="12"/>
  <c r="E101" i="12"/>
  <c r="D101" i="12"/>
  <c r="G84" i="12"/>
  <c r="F84" i="12"/>
  <c r="E84" i="12"/>
  <c r="D84" i="12"/>
  <c r="G78" i="12"/>
  <c r="F78" i="12"/>
  <c r="E78" i="12"/>
  <c r="D78" i="12"/>
  <c r="G72" i="12"/>
  <c r="F72" i="12"/>
  <c r="E72" i="12"/>
  <c r="D72" i="12"/>
  <c r="G66" i="12"/>
  <c r="F66" i="12"/>
  <c r="E66" i="12"/>
  <c r="D66" i="12"/>
  <c r="G63" i="12"/>
  <c r="F63" i="12"/>
  <c r="E63" i="12"/>
  <c r="D63" i="12"/>
  <c r="G61" i="12"/>
  <c r="F61" i="12"/>
  <c r="E61" i="12"/>
  <c r="D61" i="12"/>
  <c r="G98" i="12"/>
  <c r="F98" i="12"/>
  <c r="E98" i="12"/>
  <c r="D98" i="12"/>
  <c r="G87" i="12"/>
  <c r="F87" i="12"/>
  <c r="E87" i="12"/>
  <c r="D87" i="12"/>
  <c r="G86" i="12"/>
  <c r="F86" i="12"/>
  <c r="E86" i="12"/>
  <c r="D86" i="12"/>
  <c r="G85" i="12"/>
  <c r="F85" i="12"/>
  <c r="E85" i="12"/>
  <c r="D85" i="12"/>
  <c r="G81" i="12"/>
  <c r="F81" i="12"/>
  <c r="E81" i="12"/>
  <c r="D81" i="12"/>
  <c r="G80" i="12"/>
  <c r="F80" i="12"/>
  <c r="E80" i="12"/>
  <c r="D80" i="12"/>
  <c r="G79" i="12"/>
  <c r="F79" i="12"/>
  <c r="E79" i="12"/>
  <c r="D79" i="12"/>
  <c r="G75" i="12"/>
  <c r="F75" i="12"/>
  <c r="E75" i="12"/>
  <c r="D75" i="12"/>
  <c r="G74" i="12"/>
  <c r="F74" i="12"/>
  <c r="E74" i="12"/>
  <c r="D74" i="12"/>
  <c r="G73" i="12"/>
  <c r="F73" i="12"/>
  <c r="E73" i="12"/>
  <c r="D73" i="12"/>
  <c r="G69" i="12"/>
  <c r="F69" i="12"/>
  <c r="E69" i="12"/>
  <c r="D69" i="12"/>
  <c r="G68" i="12"/>
  <c r="F68" i="12"/>
  <c r="E68" i="12"/>
  <c r="D68" i="12"/>
  <c r="G67" i="12"/>
  <c r="F67" i="12"/>
  <c r="E67" i="12"/>
  <c r="D67" i="12"/>
  <c r="G56" i="12"/>
  <c r="F56" i="12"/>
  <c r="E56" i="12"/>
  <c r="D56" i="12"/>
  <c r="G55" i="12"/>
  <c r="F55" i="12"/>
  <c r="E55" i="12"/>
  <c r="D55" i="12"/>
  <c r="G54" i="12"/>
  <c r="F54" i="12"/>
  <c r="E54" i="12"/>
  <c r="D54" i="12"/>
  <c r="G49" i="12"/>
  <c r="F49" i="12"/>
  <c r="E49" i="12"/>
  <c r="D49" i="12"/>
  <c r="G46" i="12"/>
  <c r="F46" i="12"/>
  <c r="E46" i="12"/>
  <c r="D46" i="12"/>
  <c r="G44" i="12"/>
  <c r="F44" i="12"/>
  <c r="E44" i="12"/>
  <c r="D44" i="12"/>
  <c r="G39" i="12"/>
  <c r="F39" i="12"/>
  <c r="E39" i="12"/>
  <c r="D39" i="12"/>
  <c r="G37" i="12"/>
  <c r="F37" i="12"/>
  <c r="E37" i="12"/>
  <c r="D37" i="12"/>
  <c r="G35" i="12"/>
  <c r="F35" i="12"/>
  <c r="E35" i="12"/>
  <c r="D35" i="12"/>
  <c r="G33" i="12"/>
  <c r="F33" i="12"/>
  <c r="E33" i="12"/>
  <c r="D33" i="12"/>
  <c r="G31" i="12"/>
  <c r="F31" i="12"/>
  <c r="E31" i="12"/>
  <c r="D31" i="12"/>
  <c r="G29" i="12"/>
  <c r="F29" i="12"/>
  <c r="E29" i="12"/>
  <c r="D29" i="12"/>
  <c r="P262" i="11"/>
  <c r="P261" i="11"/>
  <c r="E263" i="17" l="1"/>
  <c r="G263" i="14"/>
  <c r="H61" i="12"/>
  <c r="H63" i="12"/>
  <c r="H29" i="12"/>
  <c r="G90" i="14"/>
  <c r="H121" i="12"/>
  <c r="F90" i="14"/>
  <c r="G263" i="12"/>
  <c r="F236" i="14"/>
  <c r="E236" i="12"/>
  <c r="F263" i="17"/>
  <c r="F88" i="14"/>
  <c r="F89" i="14" s="1"/>
  <c r="E145" i="14"/>
  <c r="H79" i="14"/>
  <c r="P263" i="11"/>
  <c r="H136" i="14"/>
  <c r="H126" i="12"/>
  <c r="H116" i="14"/>
  <c r="H110" i="14"/>
  <c r="H104" i="14"/>
  <c r="H85" i="14"/>
  <c r="H84" i="14"/>
  <c r="H78" i="14"/>
  <c r="H246" i="14"/>
  <c r="G236" i="12"/>
  <c r="G145" i="14"/>
  <c r="G145" i="12"/>
  <c r="H84" i="12"/>
  <c r="H72" i="14"/>
  <c r="H66" i="14"/>
  <c r="H66" i="12"/>
  <c r="F236" i="12"/>
  <c r="H141" i="14"/>
  <c r="H140" i="14"/>
  <c r="F145" i="14"/>
  <c r="F145" i="12"/>
  <c r="F93" i="12"/>
  <c r="H245" i="14"/>
  <c r="H196" i="14"/>
  <c r="H143" i="14"/>
  <c r="E145" i="12"/>
  <c r="H135" i="14"/>
  <c r="H137" i="14"/>
  <c r="H138" i="14"/>
  <c r="H132" i="14"/>
  <c r="H127" i="14"/>
  <c r="H114" i="12"/>
  <c r="H113" i="14"/>
  <c r="H114" i="14"/>
  <c r="H115" i="14"/>
  <c r="H108" i="12"/>
  <c r="H107" i="14"/>
  <c r="H108" i="14"/>
  <c r="H109" i="14"/>
  <c r="H102" i="12"/>
  <c r="H101" i="14"/>
  <c r="H102" i="14"/>
  <c r="H103" i="14"/>
  <c r="E90" i="14"/>
  <c r="H68" i="14"/>
  <c r="D236" i="12"/>
  <c r="H196" i="12"/>
  <c r="D145" i="14"/>
  <c r="H130" i="14"/>
  <c r="H133" i="14"/>
  <c r="H125" i="14"/>
  <c r="D145" i="12"/>
  <c r="H125" i="12"/>
  <c r="H128" i="14"/>
  <c r="H115" i="12"/>
  <c r="H116" i="12"/>
  <c r="H109" i="12"/>
  <c r="H110" i="12"/>
  <c r="H104" i="12"/>
  <c r="H103" i="12"/>
  <c r="H98" i="14"/>
  <c r="D90" i="14"/>
  <c r="H78" i="12"/>
  <c r="H73" i="14"/>
  <c r="H72" i="12"/>
  <c r="H69" i="14"/>
  <c r="D263" i="17"/>
  <c r="H261" i="17"/>
  <c r="H116" i="17"/>
  <c r="H196" i="17"/>
  <c r="H262" i="17"/>
  <c r="H246" i="17"/>
  <c r="H245" i="17"/>
  <c r="H80" i="17"/>
  <c r="H113" i="17"/>
  <c r="H115" i="17"/>
  <c r="G263" i="17"/>
  <c r="H114" i="17"/>
  <c r="H86" i="17"/>
  <c r="H113" i="12"/>
  <c r="H101" i="12"/>
  <c r="H107" i="12"/>
  <c r="H35" i="14"/>
  <c r="D148" i="11"/>
  <c r="H131" i="14"/>
  <c r="H126" i="14"/>
  <c r="H61" i="14"/>
  <c r="F263" i="14"/>
  <c r="D263" i="11"/>
  <c r="D146" i="11"/>
  <c r="H35" i="12"/>
  <c r="F134" i="14"/>
  <c r="E236" i="14"/>
  <c r="D236" i="14"/>
  <c r="F263" i="12"/>
  <c r="F88" i="12"/>
  <c r="F89" i="12" s="1"/>
  <c r="G134" i="12"/>
  <c r="G139" i="12"/>
  <c r="F134" i="12"/>
  <c r="E263" i="12"/>
  <c r="D129" i="11"/>
  <c r="D147" i="11"/>
  <c r="D134" i="11"/>
  <c r="D144" i="11"/>
  <c r="D236" i="11"/>
  <c r="D145" i="11"/>
  <c r="D139" i="11"/>
  <c r="F92" i="12"/>
  <c r="F91" i="14"/>
  <c r="F256" i="14" s="1"/>
  <c r="F92" i="14"/>
  <c r="F93" i="14"/>
  <c r="F91" i="12"/>
  <c r="F256" i="12" s="1"/>
  <c r="E134" i="12"/>
  <c r="D263" i="14"/>
  <c r="D148" i="12"/>
  <c r="D139" i="12"/>
  <c r="D129" i="12"/>
  <c r="D88" i="14"/>
  <c r="D89" i="14" s="1"/>
  <c r="D93" i="12"/>
  <c r="D91" i="14"/>
  <c r="D256" i="14" s="1"/>
  <c r="G236" i="14"/>
  <c r="H80" i="12"/>
  <c r="G139" i="14"/>
  <c r="G148" i="12"/>
  <c r="G148" i="14"/>
  <c r="G134" i="14"/>
  <c r="G129" i="12"/>
  <c r="G129" i="14"/>
  <c r="G147" i="12"/>
  <c r="G147" i="14"/>
  <c r="G146" i="12"/>
  <c r="G146" i="14"/>
  <c r="G144" i="12"/>
  <c r="G144" i="14"/>
  <c r="G93" i="12"/>
  <c r="G88" i="12"/>
  <c r="G89" i="12" s="1"/>
  <c r="G93" i="14"/>
  <c r="G88" i="14"/>
  <c r="G89" i="14" s="1"/>
  <c r="H86" i="12"/>
  <c r="G92" i="12"/>
  <c r="G92" i="14"/>
  <c r="G91" i="14"/>
  <c r="G256" i="14" s="1"/>
  <c r="D90" i="11"/>
  <c r="H75" i="12"/>
  <c r="G91" i="12"/>
  <c r="G256" i="12" s="1"/>
  <c r="H262" i="14"/>
  <c r="F139" i="14"/>
  <c r="F139" i="12"/>
  <c r="F146" i="14"/>
  <c r="F148" i="14"/>
  <c r="F148" i="12"/>
  <c r="F129" i="14"/>
  <c r="F129" i="12"/>
  <c r="F147" i="12"/>
  <c r="F147" i="14"/>
  <c r="F146" i="12"/>
  <c r="F144" i="14"/>
  <c r="F144" i="12"/>
  <c r="H261" i="12"/>
  <c r="E263" i="14"/>
  <c r="H262" i="12"/>
  <c r="E134" i="14"/>
  <c r="E129" i="14"/>
  <c r="E129" i="12"/>
  <c r="E148" i="14"/>
  <c r="E148" i="12"/>
  <c r="E144" i="12"/>
  <c r="E146" i="14"/>
  <c r="E144" i="14"/>
  <c r="E139" i="12"/>
  <c r="E139" i="14"/>
  <c r="E146" i="12"/>
  <c r="E147" i="12"/>
  <c r="E147" i="14"/>
  <c r="E93" i="12"/>
  <c r="D93" i="11"/>
  <c r="P93" i="11" s="1"/>
  <c r="D91" i="11"/>
  <c r="D256" i="11" s="1"/>
  <c r="E91" i="14"/>
  <c r="E256" i="14" s="1"/>
  <c r="E92" i="14"/>
  <c r="E88" i="14"/>
  <c r="E89" i="14" s="1"/>
  <c r="E93" i="14"/>
  <c r="D88" i="11"/>
  <c r="D89" i="11" s="1"/>
  <c r="E88" i="12"/>
  <c r="E89" i="12" s="1"/>
  <c r="D92" i="11"/>
  <c r="P92" i="11" s="1"/>
  <c r="E91" i="12"/>
  <c r="E256" i="12" s="1"/>
  <c r="E92" i="12"/>
  <c r="D263" i="12"/>
  <c r="H261" i="14"/>
  <c r="D148" i="14"/>
  <c r="D134" i="12"/>
  <c r="D134" i="14"/>
  <c r="D129" i="14"/>
  <c r="D146" i="12"/>
  <c r="D146" i="14"/>
  <c r="D139" i="14"/>
  <c r="D88" i="12"/>
  <c r="D89" i="12" s="1"/>
  <c r="H85" i="12"/>
  <c r="D92" i="14"/>
  <c r="D93" i="14"/>
  <c r="D92" i="12"/>
  <c r="D91" i="12"/>
  <c r="D256" i="12" s="1"/>
  <c r="E90" i="12"/>
  <c r="F90" i="12"/>
  <c r="G90" i="12"/>
  <c r="D90" i="12"/>
  <c r="F94" i="12" l="1"/>
  <c r="F95" i="12" s="1"/>
  <c r="F255" i="12" s="1"/>
  <c r="D94" i="12"/>
  <c r="D95" i="12" s="1"/>
  <c r="D255" i="12" s="1"/>
  <c r="H90" i="14"/>
  <c r="H139" i="14"/>
  <c r="H111" i="14"/>
  <c r="H105" i="14"/>
  <c r="H117" i="14"/>
  <c r="H134" i="14"/>
  <c r="H90" i="12"/>
  <c r="H263" i="17"/>
  <c r="H117" i="17"/>
  <c r="H91" i="14"/>
  <c r="H122" i="12"/>
  <c r="F94" i="14"/>
  <c r="F95" i="14" s="1"/>
  <c r="F255" i="14" s="1"/>
  <c r="D94" i="11"/>
  <c r="D149" i="11"/>
  <c r="G94" i="14"/>
  <c r="G95" i="14" s="1"/>
  <c r="G255" i="14" s="1"/>
  <c r="G94" i="12"/>
  <c r="G95" i="12" s="1"/>
  <c r="G255" i="12" s="1"/>
  <c r="H92" i="14"/>
  <c r="H93" i="12"/>
  <c r="H263" i="14"/>
  <c r="H263" i="12"/>
  <c r="G149" i="12"/>
  <c r="G149" i="14"/>
  <c r="H93" i="14"/>
  <c r="F149" i="14"/>
  <c r="F149" i="12"/>
  <c r="E149" i="14"/>
  <c r="E149" i="12"/>
  <c r="E94" i="12"/>
  <c r="E95" i="12" s="1"/>
  <c r="E255" i="12" s="1"/>
  <c r="H92" i="12"/>
  <c r="E94" i="14"/>
  <c r="E95" i="14" s="1"/>
  <c r="E255" i="14" s="1"/>
  <c r="H88" i="12"/>
  <c r="D94" i="14"/>
  <c r="D95" i="14" s="1"/>
  <c r="D255" i="14" s="1"/>
  <c r="H118" i="14" l="1"/>
  <c r="H119" i="14" s="1"/>
  <c r="H94" i="14"/>
  <c r="H95" i="14" s="1"/>
  <c r="D263" i="1" l="1"/>
  <c r="D146" i="1" l="1"/>
  <c r="D147" i="1"/>
  <c r="D148" i="1"/>
  <c r="D145" i="1"/>
  <c r="D144" i="1"/>
  <c r="D139" i="1"/>
  <c r="D134" i="1"/>
  <c r="D129" i="1"/>
  <c r="D93" i="1"/>
  <c r="P93" i="1" s="1"/>
  <c r="D92" i="1"/>
  <c r="D91" i="1"/>
  <c r="E147" i="11" l="1"/>
  <c r="E149" i="11" s="1"/>
  <c r="D142" i="12"/>
  <c r="D142" i="14"/>
  <c r="D149" i="1"/>
  <c r="H142" i="14" l="1"/>
  <c r="H144" i="14" s="1"/>
  <c r="D144" i="14"/>
  <c r="D147" i="14"/>
  <c r="D149" i="14" s="1"/>
  <c r="D144" i="12"/>
  <c r="D147" i="12"/>
  <c r="D149" i="12" s="1"/>
  <c r="D236" i="1"/>
  <c r="D256" i="1" l="1"/>
  <c r="D20" i="16" l="1"/>
  <c r="D19" i="16"/>
  <c r="D18" i="16"/>
  <c r="D17" i="16"/>
  <c r="D12" i="16"/>
  <c r="D13" i="16"/>
  <c r="D14" i="16"/>
  <c r="D11" i="16"/>
  <c r="D9" i="16"/>
  <c r="D20" i="15"/>
  <c r="D19" i="15"/>
  <c r="D18" i="15"/>
  <c r="D17" i="15"/>
  <c r="D12" i="15"/>
  <c r="D13" i="15"/>
  <c r="D14" i="15"/>
  <c r="D11" i="15"/>
  <c r="D9" i="15"/>
  <c r="E20" i="14"/>
  <c r="E19" i="14"/>
  <c r="E18" i="14"/>
  <c r="E17" i="14"/>
  <c r="E12" i="14"/>
  <c r="E13" i="14"/>
  <c r="E14" i="14"/>
  <c r="E11" i="14"/>
  <c r="E9" i="14"/>
  <c r="D20" i="14"/>
  <c r="D19" i="14"/>
  <c r="D18" i="14"/>
  <c r="D17" i="14"/>
  <c r="D12" i="14"/>
  <c r="D13" i="14"/>
  <c r="D14" i="14"/>
  <c r="D11" i="14"/>
  <c r="D9" i="14"/>
  <c r="H18" i="14" l="1"/>
  <c r="H19" i="14"/>
  <c r="H20" i="14"/>
  <c r="H14" i="14"/>
  <c r="H12" i="14"/>
  <c r="H11" i="14"/>
  <c r="H17" i="14"/>
  <c r="H13" i="14"/>
  <c r="D20" i="13"/>
  <c r="D19" i="13"/>
  <c r="D18" i="13"/>
  <c r="D17" i="13"/>
  <c r="D12" i="13"/>
  <c r="D13" i="13"/>
  <c r="D14" i="13"/>
  <c r="D11" i="13"/>
  <c r="D9" i="13"/>
  <c r="H9" i="13" s="1"/>
  <c r="G20" i="12"/>
  <c r="G19" i="12"/>
  <c r="G18" i="12"/>
  <c r="G17" i="12"/>
  <c r="G12" i="12"/>
  <c r="G13" i="12"/>
  <c r="G38" i="12" s="1"/>
  <c r="G14" i="12"/>
  <c r="G11" i="12"/>
  <c r="G36" i="12" s="1"/>
  <c r="G9" i="12"/>
  <c r="G40" i="12" s="1"/>
  <c r="F20" i="12"/>
  <c r="F19" i="12"/>
  <c r="F18" i="12"/>
  <c r="F17" i="12"/>
  <c r="F12" i="12"/>
  <c r="F13" i="12"/>
  <c r="F38" i="12" s="1"/>
  <c r="F14" i="12"/>
  <c r="F11" i="12"/>
  <c r="F36" i="12" s="1"/>
  <c r="F9" i="12"/>
  <c r="F40" i="12" s="1"/>
  <c r="E18" i="12"/>
  <c r="E19" i="12"/>
  <c r="E20" i="12"/>
  <c r="E17" i="12"/>
  <c r="E12" i="12"/>
  <c r="E13" i="12"/>
  <c r="E38" i="12" s="1"/>
  <c r="E14" i="12"/>
  <c r="E11" i="12"/>
  <c r="E36" i="12" s="1"/>
  <c r="E9" i="12"/>
  <c r="E40" i="12" s="1"/>
  <c r="H247" i="17" l="1"/>
  <c r="G247" i="17"/>
  <c r="F247" i="17"/>
  <c r="E247" i="17"/>
  <c r="D247" i="17"/>
  <c r="G117" i="17"/>
  <c r="F117" i="17"/>
  <c r="E117" i="17"/>
  <c r="D117" i="17"/>
  <c r="H84" i="17"/>
  <c r="H78" i="17"/>
  <c r="H72" i="17"/>
  <c r="H66" i="17"/>
  <c r="F259" i="16"/>
  <c r="E259" i="16"/>
  <c r="F258" i="16"/>
  <c r="E258" i="16"/>
  <c r="H257" i="16"/>
  <c r="H254" i="16"/>
  <c r="H253" i="16"/>
  <c r="H247" i="16"/>
  <c r="G247" i="16"/>
  <c r="F247" i="16"/>
  <c r="E247" i="16"/>
  <c r="D247" i="16"/>
  <c r="G242" i="16"/>
  <c r="F242" i="16"/>
  <c r="E242" i="16"/>
  <c r="D242" i="16"/>
  <c r="H241" i="16"/>
  <c r="H240" i="16"/>
  <c r="H239" i="16"/>
  <c r="H238" i="16"/>
  <c r="H235" i="16"/>
  <c r="H234" i="16"/>
  <c r="H233" i="16"/>
  <c r="H232" i="16"/>
  <c r="G229" i="16"/>
  <c r="F229" i="16"/>
  <c r="E229" i="16"/>
  <c r="D229" i="16"/>
  <c r="H228" i="16"/>
  <c r="H227" i="16"/>
  <c r="H226" i="16"/>
  <c r="H225" i="16"/>
  <c r="G223" i="16"/>
  <c r="F223" i="16"/>
  <c r="E223" i="16"/>
  <c r="D223" i="16"/>
  <c r="H222" i="16"/>
  <c r="H221" i="16"/>
  <c r="H220" i="16"/>
  <c r="H219" i="16"/>
  <c r="G216" i="16"/>
  <c r="F216" i="16"/>
  <c r="E216" i="16"/>
  <c r="D216" i="16"/>
  <c r="H215" i="16"/>
  <c r="H214" i="16"/>
  <c r="H213" i="16"/>
  <c r="H212" i="16"/>
  <c r="G210" i="16"/>
  <c r="F210" i="16"/>
  <c r="E210" i="16"/>
  <c r="D210" i="16"/>
  <c r="H209" i="16"/>
  <c r="H208" i="16"/>
  <c r="H207" i="16"/>
  <c r="H206" i="16"/>
  <c r="G204" i="16"/>
  <c r="F204" i="16"/>
  <c r="E204" i="16"/>
  <c r="D204" i="16"/>
  <c r="H203" i="16"/>
  <c r="H202" i="16"/>
  <c r="H201" i="16"/>
  <c r="H200" i="16"/>
  <c r="H199" i="16"/>
  <c r="H197" i="16"/>
  <c r="H195" i="16"/>
  <c r="H194" i="16"/>
  <c r="G193" i="16"/>
  <c r="F193" i="16"/>
  <c r="E193" i="16"/>
  <c r="D193" i="16"/>
  <c r="H192" i="16"/>
  <c r="H191" i="16"/>
  <c r="H190" i="16"/>
  <c r="H189" i="16"/>
  <c r="H187" i="16"/>
  <c r="H186" i="16"/>
  <c r="H185" i="16"/>
  <c r="H184" i="16"/>
  <c r="H182" i="16"/>
  <c r="H181" i="16"/>
  <c r="H180" i="16"/>
  <c r="H179" i="16"/>
  <c r="H178" i="16"/>
  <c r="H177" i="16"/>
  <c r="H175" i="16"/>
  <c r="H174" i="16"/>
  <c r="H173" i="16"/>
  <c r="H172" i="16"/>
  <c r="H171" i="16"/>
  <c r="H170" i="16"/>
  <c r="H169" i="16"/>
  <c r="H168" i="16"/>
  <c r="H167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48" i="16"/>
  <c r="G123" i="16"/>
  <c r="F123" i="16"/>
  <c r="E123" i="16"/>
  <c r="D123" i="16"/>
  <c r="G117" i="16"/>
  <c r="F117" i="16"/>
  <c r="E117" i="16"/>
  <c r="D117" i="16"/>
  <c r="G111" i="16"/>
  <c r="F111" i="16"/>
  <c r="E111" i="16"/>
  <c r="D111" i="16"/>
  <c r="G105" i="16"/>
  <c r="F105" i="16"/>
  <c r="E105" i="16"/>
  <c r="D105" i="16"/>
  <c r="H98" i="16"/>
  <c r="H87" i="16"/>
  <c r="H85" i="16"/>
  <c r="H84" i="16"/>
  <c r="H78" i="16"/>
  <c r="H74" i="16"/>
  <c r="H76" i="16" s="1"/>
  <c r="H73" i="16"/>
  <c r="H72" i="16"/>
  <c r="G70" i="16"/>
  <c r="G71" i="16" s="1"/>
  <c r="F70" i="16"/>
  <c r="F71" i="16" s="1"/>
  <c r="E70" i="16"/>
  <c r="E71" i="16" s="1"/>
  <c r="D70" i="16"/>
  <c r="D71" i="16" s="1"/>
  <c r="H69" i="16"/>
  <c r="H68" i="16"/>
  <c r="H67" i="16"/>
  <c r="H63" i="16"/>
  <c r="G62" i="16"/>
  <c r="F62" i="16"/>
  <c r="E62" i="16"/>
  <c r="H56" i="16"/>
  <c r="H55" i="16"/>
  <c r="H54" i="16"/>
  <c r="H51" i="16"/>
  <c r="H50" i="16"/>
  <c r="H49" i="16"/>
  <c r="G47" i="16"/>
  <c r="F47" i="16"/>
  <c r="E47" i="16"/>
  <c r="H46" i="16"/>
  <c r="G45" i="16"/>
  <c r="F45" i="16"/>
  <c r="E45" i="16"/>
  <c r="H44" i="16"/>
  <c r="G40" i="16"/>
  <c r="F40" i="16"/>
  <c r="E40" i="16"/>
  <c r="G38" i="16"/>
  <c r="F38" i="16"/>
  <c r="E38" i="16"/>
  <c r="G34" i="16"/>
  <c r="F34" i="16"/>
  <c r="E34" i="16"/>
  <c r="H33" i="16"/>
  <c r="G32" i="16"/>
  <c r="F32" i="16"/>
  <c r="E32" i="16"/>
  <c r="H31" i="16"/>
  <c r="G30" i="16"/>
  <c r="F30" i="16"/>
  <c r="E30" i="16"/>
  <c r="H29" i="16"/>
  <c r="G21" i="16"/>
  <c r="F21" i="16"/>
  <c r="E21" i="16"/>
  <c r="H20" i="16"/>
  <c r="H19" i="16"/>
  <c r="H18" i="16"/>
  <c r="H17" i="16"/>
  <c r="G15" i="16"/>
  <c r="F15" i="16"/>
  <c r="E15" i="16"/>
  <c r="H14" i="16"/>
  <c r="H13" i="16"/>
  <c r="H12" i="16"/>
  <c r="D47" i="16"/>
  <c r="G259" i="15"/>
  <c r="F259" i="15"/>
  <c r="E259" i="15"/>
  <c r="D259" i="15"/>
  <c r="G258" i="15"/>
  <c r="F258" i="15"/>
  <c r="E258" i="15"/>
  <c r="D258" i="15"/>
  <c r="H257" i="15"/>
  <c r="H256" i="15"/>
  <c r="H255" i="15"/>
  <c r="H254" i="15"/>
  <c r="H253" i="15"/>
  <c r="H247" i="15"/>
  <c r="G242" i="15"/>
  <c r="F242" i="15"/>
  <c r="E242" i="15"/>
  <c r="D242" i="15"/>
  <c r="H241" i="15"/>
  <c r="H240" i="15"/>
  <c r="H239" i="15"/>
  <c r="H238" i="15"/>
  <c r="H235" i="15"/>
  <c r="H234" i="15"/>
  <c r="H233" i="15"/>
  <c r="H232" i="15"/>
  <c r="G229" i="15"/>
  <c r="F229" i="15"/>
  <c r="E229" i="15"/>
  <c r="D229" i="15"/>
  <c r="H228" i="15"/>
  <c r="H227" i="15"/>
  <c r="H226" i="15"/>
  <c r="H225" i="15"/>
  <c r="G223" i="15"/>
  <c r="F223" i="15"/>
  <c r="E223" i="15"/>
  <c r="D223" i="15"/>
  <c r="H222" i="15"/>
  <c r="H221" i="15"/>
  <c r="H220" i="15"/>
  <c r="H219" i="15"/>
  <c r="G216" i="15"/>
  <c r="F216" i="15"/>
  <c r="E216" i="15"/>
  <c r="D216" i="15"/>
  <c r="H215" i="15"/>
  <c r="H214" i="15"/>
  <c r="H213" i="15"/>
  <c r="H212" i="15"/>
  <c r="G210" i="15"/>
  <c r="F210" i="15"/>
  <c r="E210" i="15"/>
  <c r="D210" i="15"/>
  <c r="H209" i="15"/>
  <c r="H208" i="15"/>
  <c r="H207" i="15"/>
  <c r="H206" i="15"/>
  <c r="G204" i="15"/>
  <c r="F204" i="15"/>
  <c r="E204" i="15"/>
  <c r="D204" i="15"/>
  <c r="H203" i="15"/>
  <c r="H202" i="15"/>
  <c r="H201" i="15"/>
  <c r="H200" i="15"/>
  <c r="H199" i="15"/>
  <c r="H197" i="15"/>
  <c r="H195" i="15"/>
  <c r="H194" i="15"/>
  <c r="G193" i="15"/>
  <c r="F193" i="15"/>
  <c r="E193" i="15"/>
  <c r="D193" i="15"/>
  <c r="H192" i="15"/>
  <c r="H191" i="15"/>
  <c r="H190" i="15"/>
  <c r="H189" i="15"/>
  <c r="H187" i="15"/>
  <c r="H186" i="15"/>
  <c r="H185" i="15"/>
  <c r="H184" i="15"/>
  <c r="H182" i="15"/>
  <c r="H181" i="15"/>
  <c r="H180" i="15"/>
  <c r="H179" i="15"/>
  <c r="H178" i="15"/>
  <c r="H177" i="15"/>
  <c r="H175" i="15"/>
  <c r="H174" i="15"/>
  <c r="H173" i="15"/>
  <c r="H172" i="15"/>
  <c r="H171" i="15"/>
  <c r="H170" i="15"/>
  <c r="H169" i="15"/>
  <c r="H168" i="15"/>
  <c r="H167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43" i="15"/>
  <c r="H142" i="15"/>
  <c r="H141" i="15"/>
  <c r="H140" i="15"/>
  <c r="H138" i="15"/>
  <c r="H137" i="15"/>
  <c r="H136" i="15"/>
  <c r="H135" i="15"/>
  <c r="H133" i="15"/>
  <c r="H132" i="15"/>
  <c r="H131" i="15"/>
  <c r="H130" i="15"/>
  <c r="H128" i="15"/>
  <c r="H127" i="15"/>
  <c r="H126" i="15"/>
  <c r="H125" i="15"/>
  <c r="G123" i="15"/>
  <c r="F123" i="15"/>
  <c r="E123" i="15"/>
  <c r="D123" i="15"/>
  <c r="H118" i="15"/>
  <c r="H119" i="15" s="1"/>
  <c r="G105" i="15"/>
  <c r="G119" i="15" s="1"/>
  <c r="F105" i="15"/>
  <c r="F119" i="15" s="1"/>
  <c r="E105" i="15"/>
  <c r="E119" i="15" s="1"/>
  <c r="D105" i="15"/>
  <c r="D119" i="15" s="1"/>
  <c r="H98" i="15"/>
  <c r="G82" i="15"/>
  <c r="G83" i="15" s="1"/>
  <c r="F82" i="15"/>
  <c r="F83" i="15" s="1"/>
  <c r="E82" i="15"/>
  <c r="D82" i="15"/>
  <c r="G76" i="15"/>
  <c r="G77" i="15" s="1"/>
  <c r="F76" i="15"/>
  <c r="F77" i="15" s="1"/>
  <c r="E76" i="15"/>
  <c r="E77" i="15" s="1"/>
  <c r="D76" i="15"/>
  <c r="G70" i="15"/>
  <c r="G71" i="15" s="1"/>
  <c r="F70" i="15"/>
  <c r="F71" i="15" s="1"/>
  <c r="E70" i="15"/>
  <c r="E71" i="15" s="1"/>
  <c r="D70" i="15"/>
  <c r="H63" i="15"/>
  <c r="G62" i="15"/>
  <c r="F62" i="15"/>
  <c r="E62" i="15"/>
  <c r="H56" i="15"/>
  <c r="H55" i="15"/>
  <c r="H54" i="15"/>
  <c r="H51" i="15"/>
  <c r="H50" i="15"/>
  <c r="H49" i="15"/>
  <c r="G47" i="15"/>
  <c r="F47" i="15"/>
  <c r="E47" i="15"/>
  <c r="H46" i="15"/>
  <c r="G45" i="15"/>
  <c r="F45" i="15"/>
  <c r="E45" i="15"/>
  <c r="H44" i="15"/>
  <c r="G40" i="15"/>
  <c r="F40" i="15"/>
  <c r="E40" i="15"/>
  <c r="G38" i="15"/>
  <c r="F38" i="15"/>
  <c r="E38" i="15"/>
  <c r="G34" i="15"/>
  <c r="F34" i="15"/>
  <c r="E34" i="15"/>
  <c r="H33" i="15"/>
  <c r="G32" i="15"/>
  <c r="F32" i="15"/>
  <c r="E32" i="15"/>
  <c r="H31" i="15"/>
  <c r="G30" i="15"/>
  <c r="F30" i="15"/>
  <c r="E30" i="15"/>
  <c r="H29" i="15"/>
  <c r="G21" i="15"/>
  <c r="F21" i="15"/>
  <c r="H20" i="15"/>
  <c r="H19" i="15"/>
  <c r="H18" i="15"/>
  <c r="H17" i="15"/>
  <c r="G15" i="15"/>
  <c r="F15" i="15"/>
  <c r="E15" i="15"/>
  <c r="H14" i="15"/>
  <c r="H13" i="15"/>
  <c r="H12" i="15"/>
  <c r="D15" i="15"/>
  <c r="D47" i="15"/>
  <c r="G259" i="14"/>
  <c r="F259" i="14"/>
  <c r="E259" i="14"/>
  <c r="D259" i="14"/>
  <c r="G258" i="14"/>
  <c r="F258" i="14"/>
  <c r="E258" i="14"/>
  <c r="D258" i="14"/>
  <c r="H257" i="14"/>
  <c r="H256" i="14"/>
  <c r="H255" i="14"/>
  <c r="H254" i="14"/>
  <c r="H253" i="14"/>
  <c r="H247" i="14"/>
  <c r="G247" i="14"/>
  <c r="F247" i="14"/>
  <c r="E247" i="14"/>
  <c r="D247" i="14"/>
  <c r="G242" i="14"/>
  <c r="F242" i="14"/>
  <c r="E242" i="14"/>
  <c r="D242" i="14"/>
  <c r="H241" i="14"/>
  <c r="H240" i="14"/>
  <c r="H239" i="14"/>
  <c r="H238" i="14"/>
  <c r="H235" i="14"/>
  <c r="H234" i="14"/>
  <c r="H233" i="14"/>
  <c r="H232" i="14"/>
  <c r="G229" i="14"/>
  <c r="F229" i="14"/>
  <c r="E229" i="14"/>
  <c r="D229" i="14"/>
  <c r="H228" i="14"/>
  <c r="H227" i="14"/>
  <c r="H226" i="14"/>
  <c r="H225" i="14"/>
  <c r="G223" i="14"/>
  <c r="F223" i="14"/>
  <c r="E223" i="14"/>
  <c r="D223" i="14"/>
  <c r="H222" i="14"/>
  <c r="H221" i="14"/>
  <c r="H220" i="14"/>
  <c r="H219" i="14"/>
  <c r="G216" i="14"/>
  <c r="F216" i="14"/>
  <c r="E216" i="14"/>
  <c r="D216" i="14"/>
  <c r="H215" i="14"/>
  <c r="H214" i="14"/>
  <c r="H213" i="14"/>
  <c r="H212" i="14"/>
  <c r="G210" i="14"/>
  <c r="F210" i="14"/>
  <c r="E210" i="14"/>
  <c r="D210" i="14"/>
  <c r="H209" i="14"/>
  <c r="H208" i="14"/>
  <c r="H207" i="14"/>
  <c r="H206" i="14"/>
  <c r="G204" i="14"/>
  <c r="F204" i="14"/>
  <c r="E204" i="14"/>
  <c r="D204" i="14"/>
  <c r="H203" i="14"/>
  <c r="H202" i="14"/>
  <c r="H201" i="14"/>
  <c r="H200" i="14"/>
  <c r="H199" i="14"/>
  <c r="H197" i="14"/>
  <c r="H195" i="14"/>
  <c r="H194" i="14"/>
  <c r="G193" i="14"/>
  <c r="F193" i="14"/>
  <c r="E193" i="14"/>
  <c r="D193" i="14"/>
  <c r="H192" i="14"/>
  <c r="H191" i="14"/>
  <c r="H190" i="14"/>
  <c r="H189" i="14"/>
  <c r="H187" i="14"/>
  <c r="H186" i="14"/>
  <c r="H185" i="14"/>
  <c r="H184" i="14"/>
  <c r="H182" i="14"/>
  <c r="H181" i="14"/>
  <c r="H180" i="14"/>
  <c r="H179" i="14"/>
  <c r="H178" i="14"/>
  <c r="H177" i="14"/>
  <c r="H175" i="14"/>
  <c r="H174" i="14"/>
  <c r="H173" i="14"/>
  <c r="H172" i="14"/>
  <c r="H171" i="14"/>
  <c r="H170" i="14"/>
  <c r="H169" i="14"/>
  <c r="H168" i="14"/>
  <c r="H167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G123" i="14"/>
  <c r="F123" i="14"/>
  <c r="E123" i="14"/>
  <c r="D123" i="14"/>
  <c r="G117" i="14"/>
  <c r="F117" i="14"/>
  <c r="E117" i="14"/>
  <c r="D117" i="14"/>
  <c r="G111" i="14"/>
  <c r="F111" i="14"/>
  <c r="E111" i="14"/>
  <c r="D111" i="14"/>
  <c r="G105" i="14"/>
  <c r="F105" i="14"/>
  <c r="E105" i="14"/>
  <c r="D105" i="14"/>
  <c r="H87" i="14"/>
  <c r="G82" i="14"/>
  <c r="G83" i="14" s="1"/>
  <c r="F82" i="14"/>
  <c r="F83" i="14" s="1"/>
  <c r="E82" i="14"/>
  <c r="E83" i="14" s="1"/>
  <c r="D82" i="14"/>
  <c r="D83" i="14" s="1"/>
  <c r="G76" i="14"/>
  <c r="G77" i="14" s="1"/>
  <c r="F76" i="14"/>
  <c r="F77" i="14" s="1"/>
  <c r="E76" i="14"/>
  <c r="E77" i="14" s="1"/>
  <c r="D76" i="14"/>
  <c r="D77" i="14" s="1"/>
  <c r="G70" i="14"/>
  <c r="G71" i="14" s="1"/>
  <c r="F70" i="14"/>
  <c r="F71" i="14" s="1"/>
  <c r="E70" i="14"/>
  <c r="E71" i="14" s="1"/>
  <c r="D70" i="14"/>
  <c r="D71" i="14" s="1"/>
  <c r="H67" i="14"/>
  <c r="H63" i="14"/>
  <c r="G62" i="14"/>
  <c r="F62" i="14"/>
  <c r="E62" i="14"/>
  <c r="H56" i="14"/>
  <c r="H55" i="14"/>
  <c r="H54" i="14"/>
  <c r="H51" i="14"/>
  <c r="H50" i="14"/>
  <c r="H49" i="14"/>
  <c r="G47" i="14"/>
  <c r="F47" i="14"/>
  <c r="E47" i="14"/>
  <c r="H46" i="14"/>
  <c r="G45" i="14"/>
  <c r="F45" i="14"/>
  <c r="E45" i="14"/>
  <c r="H44" i="14"/>
  <c r="G40" i="14"/>
  <c r="F40" i="14"/>
  <c r="E40" i="14"/>
  <c r="G38" i="14"/>
  <c r="F38" i="14"/>
  <c r="E38" i="14"/>
  <c r="G34" i="14"/>
  <c r="F34" i="14"/>
  <c r="E34" i="14"/>
  <c r="H33" i="14"/>
  <c r="G32" i="14"/>
  <c r="F32" i="14"/>
  <c r="E32" i="14"/>
  <c r="H31" i="14"/>
  <c r="G30" i="14"/>
  <c r="F30" i="14"/>
  <c r="E30" i="14"/>
  <c r="H29" i="14"/>
  <c r="G21" i="14"/>
  <c r="F21" i="14"/>
  <c r="E21" i="14"/>
  <c r="G15" i="14"/>
  <c r="F15" i="14"/>
  <c r="E15" i="14"/>
  <c r="H9" i="14"/>
  <c r="H62" i="14" s="1"/>
  <c r="D47" i="14"/>
  <c r="F259" i="13"/>
  <c r="G258" i="13"/>
  <c r="F258" i="13"/>
  <c r="E258" i="13"/>
  <c r="D258" i="13"/>
  <c r="H257" i="13"/>
  <c r="H256" i="13"/>
  <c r="H254" i="13"/>
  <c r="H253" i="13"/>
  <c r="G247" i="13"/>
  <c r="F247" i="13"/>
  <c r="E247" i="13"/>
  <c r="D247" i="13"/>
  <c r="G242" i="13"/>
  <c r="F242" i="13"/>
  <c r="E242" i="13"/>
  <c r="D242" i="13"/>
  <c r="H241" i="13"/>
  <c r="H240" i="13"/>
  <c r="H239" i="13"/>
  <c r="H238" i="13"/>
  <c r="H235" i="13"/>
  <c r="H234" i="13"/>
  <c r="H233" i="13"/>
  <c r="H232" i="13"/>
  <c r="G229" i="13"/>
  <c r="F229" i="13"/>
  <c r="E229" i="13"/>
  <c r="D229" i="13"/>
  <c r="H228" i="13"/>
  <c r="H227" i="13"/>
  <c r="H226" i="13"/>
  <c r="H225" i="13"/>
  <c r="G223" i="13"/>
  <c r="F223" i="13"/>
  <c r="E223" i="13"/>
  <c r="D223" i="13"/>
  <c r="H222" i="13"/>
  <c r="H221" i="13"/>
  <c r="H220" i="13"/>
  <c r="H219" i="13"/>
  <c r="G216" i="13"/>
  <c r="F216" i="13"/>
  <c r="E216" i="13"/>
  <c r="D216" i="13"/>
  <c r="H215" i="13"/>
  <c r="H214" i="13"/>
  <c r="H213" i="13"/>
  <c r="H212" i="13"/>
  <c r="G210" i="13"/>
  <c r="F210" i="13"/>
  <c r="E210" i="13"/>
  <c r="D210" i="13"/>
  <c r="H209" i="13"/>
  <c r="H208" i="13"/>
  <c r="H207" i="13"/>
  <c r="H206" i="13"/>
  <c r="G204" i="13"/>
  <c r="F204" i="13"/>
  <c r="E204" i="13"/>
  <c r="D204" i="13"/>
  <c r="H203" i="13"/>
  <c r="H202" i="13"/>
  <c r="H201" i="13"/>
  <c r="H200" i="13"/>
  <c r="H199" i="13"/>
  <c r="H197" i="13"/>
  <c r="H194" i="13"/>
  <c r="G193" i="13"/>
  <c r="F193" i="13"/>
  <c r="E193" i="13"/>
  <c r="D193" i="13"/>
  <c r="H192" i="13"/>
  <c r="H191" i="13"/>
  <c r="H190" i="13"/>
  <c r="H189" i="13"/>
  <c r="H187" i="13"/>
  <c r="H186" i="13"/>
  <c r="H185" i="13"/>
  <c r="H184" i="13"/>
  <c r="H182" i="13"/>
  <c r="H181" i="13"/>
  <c r="H180" i="13"/>
  <c r="H179" i="13"/>
  <c r="H178" i="13"/>
  <c r="H177" i="13"/>
  <c r="H175" i="13"/>
  <c r="H174" i="13"/>
  <c r="H173" i="13"/>
  <c r="H172" i="13"/>
  <c r="H171" i="13"/>
  <c r="H170" i="13"/>
  <c r="H169" i="13"/>
  <c r="H168" i="13"/>
  <c r="H167" i="13"/>
  <c r="H165" i="13"/>
  <c r="H164" i="13"/>
  <c r="H163" i="13"/>
  <c r="H162" i="13"/>
  <c r="H161" i="13"/>
  <c r="H160" i="13"/>
  <c r="H159" i="13"/>
  <c r="H158" i="13"/>
  <c r="H157" i="13"/>
  <c r="H156" i="13"/>
  <c r="H155" i="13"/>
  <c r="H154" i="13"/>
  <c r="H153" i="13"/>
  <c r="G123" i="13"/>
  <c r="F123" i="13"/>
  <c r="E123" i="13"/>
  <c r="D123" i="13"/>
  <c r="G105" i="13"/>
  <c r="G119" i="13" s="1"/>
  <c r="F105" i="13"/>
  <c r="F119" i="13" s="1"/>
  <c r="E105" i="13"/>
  <c r="E119" i="13" s="1"/>
  <c r="D105" i="13"/>
  <c r="D119" i="13" s="1"/>
  <c r="H98" i="13"/>
  <c r="H87" i="13"/>
  <c r="H85" i="13"/>
  <c r="G82" i="13"/>
  <c r="G83" i="13" s="1"/>
  <c r="F82" i="13"/>
  <c r="F83" i="13" s="1"/>
  <c r="E82" i="13"/>
  <c r="E83" i="13" s="1"/>
  <c r="D82" i="13"/>
  <c r="D83" i="13" s="1"/>
  <c r="G76" i="13"/>
  <c r="G77" i="13" s="1"/>
  <c r="F76" i="13"/>
  <c r="F77" i="13" s="1"/>
  <c r="E76" i="13"/>
  <c r="E77" i="13" s="1"/>
  <c r="D76" i="13"/>
  <c r="D77" i="13" s="1"/>
  <c r="H74" i="13"/>
  <c r="H76" i="13" s="1"/>
  <c r="H73" i="13"/>
  <c r="G70" i="13"/>
  <c r="G71" i="13" s="1"/>
  <c r="F70" i="13"/>
  <c r="F71" i="13" s="1"/>
  <c r="E70" i="13"/>
  <c r="D70" i="13"/>
  <c r="D71" i="13" s="1"/>
  <c r="H69" i="13"/>
  <c r="H68" i="13"/>
  <c r="H67" i="13"/>
  <c r="H63" i="13"/>
  <c r="G62" i="13"/>
  <c r="F62" i="13"/>
  <c r="E62" i="13"/>
  <c r="H56" i="13"/>
  <c r="H55" i="13"/>
  <c r="H54" i="13"/>
  <c r="H51" i="13"/>
  <c r="H50" i="13"/>
  <c r="H49" i="13"/>
  <c r="G47" i="13"/>
  <c r="F47" i="13"/>
  <c r="E47" i="13"/>
  <c r="H46" i="13"/>
  <c r="G45" i="13"/>
  <c r="F45" i="13"/>
  <c r="E45" i="13"/>
  <c r="H44" i="13"/>
  <c r="G40" i="13"/>
  <c r="F40" i="13"/>
  <c r="E40" i="13"/>
  <c r="G38" i="13"/>
  <c r="F38" i="13"/>
  <c r="E38" i="13"/>
  <c r="G34" i="13"/>
  <c r="F34" i="13"/>
  <c r="E34" i="13"/>
  <c r="H33" i="13"/>
  <c r="G32" i="13"/>
  <c r="F32" i="13"/>
  <c r="E32" i="13"/>
  <c r="H31" i="13"/>
  <c r="G30" i="13"/>
  <c r="F30" i="13"/>
  <c r="E30" i="13"/>
  <c r="H29" i="13"/>
  <c r="G21" i="13"/>
  <c r="F21" i="13"/>
  <c r="E21" i="13"/>
  <c r="H20" i="13"/>
  <c r="H19" i="13"/>
  <c r="H18" i="13"/>
  <c r="H17" i="13"/>
  <c r="G15" i="13"/>
  <c r="F15" i="13"/>
  <c r="E15" i="13"/>
  <c r="H14" i="13"/>
  <c r="H13" i="13"/>
  <c r="H12" i="13"/>
  <c r="D47" i="13"/>
  <c r="D20" i="12"/>
  <c r="H20" i="12" s="1"/>
  <c r="D19" i="12"/>
  <c r="D18" i="12"/>
  <c r="H18" i="12" s="1"/>
  <c r="D17" i="12"/>
  <c r="H17" i="12" s="1"/>
  <c r="D14" i="12"/>
  <c r="H14" i="12" s="1"/>
  <c r="D13" i="12"/>
  <c r="D38" i="12" s="1"/>
  <c r="D12" i="12"/>
  <c r="H12" i="12" s="1"/>
  <c r="D11" i="12"/>
  <c r="D36" i="12" s="1"/>
  <c r="D9" i="12"/>
  <c r="H87" i="12"/>
  <c r="G259" i="12"/>
  <c r="F259" i="12"/>
  <c r="E259" i="12"/>
  <c r="D259" i="12"/>
  <c r="G258" i="12"/>
  <c r="F258" i="12"/>
  <c r="E258" i="12"/>
  <c r="D258" i="12"/>
  <c r="H257" i="12"/>
  <c r="H256" i="12"/>
  <c r="H255" i="12"/>
  <c r="H254" i="12"/>
  <c r="H253" i="12"/>
  <c r="H247" i="12"/>
  <c r="G247" i="12"/>
  <c r="F247" i="12"/>
  <c r="E247" i="12"/>
  <c r="D247" i="12"/>
  <c r="G242" i="12"/>
  <c r="F242" i="12"/>
  <c r="E242" i="12"/>
  <c r="D242" i="12"/>
  <c r="H241" i="12"/>
  <c r="H240" i="12"/>
  <c r="H239" i="12"/>
  <c r="H238" i="12"/>
  <c r="H235" i="12"/>
  <c r="H234" i="12"/>
  <c r="H233" i="12"/>
  <c r="H232" i="12"/>
  <c r="G229" i="12"/>
  <c r="F229" i="12"/>
  <c r="E229" i="12"/>
  <c r="D229" i="12"/>
  <c r="H228" i="12"/>
  <c r="H227" i="12"/>
  <c r="H226" i="12"/>
  <c r="H225" i="12"/>
  <c r="G223" i="12"/>
  <c r="F223" i="12"/>
  <c r="E223" i="12"/>
  <c r="D223" i="12"/>
  <c r="H222" i="12"/>
  <c r="H221" i="12"/>
  <c r="H220" i="12"/>
  <c r="H219" i="12"/>
  <c r="G216" i="12"/>
  <c r="F216" i="12"/>
  <c r="E216" i="12"/>
  <c r="D216" i="12"/>
  <c r="H215" i="12"/>
  <c r="H214" i="12"/>
  <c r="H213" i="12"/>
  <c r="H212" i="12"/>
  <c r="G210" i="12"/>
  <c r="F210" i="12"/>
  <c r="E210" i="12"/>
  <c r="D210" i="12"/>
  <c r="H209" i="12"/>
  <c r="H208" i="12"/>
  <c r="H207" i="12"/>
  <c r="H206" i="12"/>
  <c r="G204" i="12"/>
  <c r="F204" i="12"/>
  <c r="E204" i="12"/>
  <c r="D204" i="12"/>
  <c r="H203" i="12"/>
  <c r="H202" i="12"/>
  <c r="H201" i="12"/>
  <c r="H200" i="12"/>
  <c r="H199" i="12"/>
  <c r="H197" i="12"/>
  <c r="H195" i="12"/>
  <c r="H194" i="12"/>
  <c r="G193" i="12"/>
  <c r="F193" i="12"/>
  <c r="E193" i="12"/>
  <c r="D193" i="12"/>
  <c r="H192" i="12"/>
  <c r="H191" i="12"/>
  <c r="H190" i="12"/>
  <c r="H189" i="12"/>
  <c r="H187" i="12"/>
  <c r="H186" i="12"/>
  <c r="H185" i="12"/>
  <c r="H184" i="12"/>
  <c r="H182" i="12"/>
  <c r="H181" i="12"/>
  <c r="H180" i="12"/>
  <c r="H179" i="12"/>
  <c r="H178" i="12"/>
  <c r="H177" i="12"/>
  <c r="H175" i="12"/>
  <c r="H174" i="12"/>
  <c r="H173" i="12"/>
  <c r="H172" i="12"/>
  <c r="H171" i="12"/>
  <c r="H170" i="12"/>
  <c r="H169" i="12"/>
  <c r="H168" i="12"/>
  <c r="H167" i="12"/>
  <c r="H165" i="12"/>
  <c r="H164" i="12"/>
  <c r="H163" i="12"/>
  <c r="H162" i="12"/>
  <c r="H161" i="12"/>
  <c r="H160" i="12"/>
  <c r="H159" i="12"/>
  <c r="H158" i="12"/>
  <c r="H157" i="12"/>
  <c r="H156" i="12"/>
  <c r="H155" i="12"/>
  <c r="H154" i="12"/>
  <c r="H153" i="12"/>
  <c r="H143" i="12"/>
  <c r="H142" i="12"/>
  <c r="H141" i="12"/>
  <c r="H140" i="12"/>
  <c r="H138" i="12"/>
  <c r="H137" i="12"/>
  <c r="H136" i="12"/>
  <c r="H135" i="12"/>
  <c r="H133" i="12"/>
  <c r="H132" i="12"/>
  <c r="H131" i="12"/>
  <c r="H130" i="12"/>
  <c r="H128" i="12"/>
  <c r="H127" i="12"/>
  <c r="G123" i="12"/>
  <c r="F123" i="12"/>
  <c r="E123" i="12"/>
  <c r="D123" i="12"/>
  <c r="G117" i="12"/>
  <c r="F117" i="12"/>
  <c r="E117" i="12"/>
  <c r="D117" i="12"/>
  <c r="G111" i="12"/>
  <c r="F111" i="12"/>
  <c r="E111" i="12"/>
  <c r="D111" i="12"/>
  <c r="G105" i="12"/>
  <c r="F105" i="12"/>
  <c r="E105" i="12"/>
  <c r="D105" i="12"/>
  <c r="H98" i="12"/>
  <c r="G82" i="12"/>
  <c r="G83" i="12" s="1"/>
  <c r="F82" i="12"/>
  <c r="F83" i="12" s="1"/>
  <c r="E82" i="12"/>
  <c r="E83" i="12" s="1"/>
  <c r="D82" i="12"/>
  <c r="D83" i="12" s="1"/>
  <c r="H79" i="12"/>
  <c r="G76" i="12"/>
  <c r="G77" i="12" s="1"/>
  <c r="F76" i="12"/>
  <c r="F77" i="12" s="1"/>
  <c r="E76" i="12"/>
  <c r="E77" i="12" s="1"/>
  <c r="D76" i="12"/>
  <c r="D77" i="12" s="1"/>
  <c r="G70" i="12"/>
  <c r="G71" i="12" s="1"/>
  <c r="F70" i="12"/>
  <c r="F71" i="12" s="1"/>
  <c r="E70" i="12"/>
  <c r="E71" i="12" s="1"/>
  <c r="D70" i="12"/>
  <c r="D71" i="12" s="1"/>
  <c r="H69" i="12"/>
  <c r="H68" i="12"/>
  <c r="H67" i="12"/>
  <c r="G62" i="12"/>
  <c r="F62" i="12"/>
  <c r="E62" i="12"/>
  <c r="H56" i="12"/>
  <c r="H55" i="12"/>
  <c r="H54" i="12"/>
  <c r="H51" i="12"/>
  <c r="H50" i="12"/>
  <c r="H49" i="12"/>
  <c r="G47" i="12"/>
  <c r="F47" i="12"/>
  <c r="E47" i="12"/>
  <c r="H46" i="12"/>
  <c r="G45" i="12"/>
  <c r="F45" i="12"/>
  <c r="E45" i="12"/>
  <c r="H44" i="12"/>
  <c r="D41" i="12"/>
  <c r="G34" i="12"/>
  <c r="F34" i="12"/>
  <c r="E34" i="12"/>
  <c r="H33" i="12"/>
  <c r="G32" i="12"/>
  <c r="F32" i="12"/>
  <c r="E32" i="12"/>
  <c r="H31" i="12"/>
  <c r="G30" i="12"/>
  <c r="F30" i="12"/>
  <c r="E30" i="12"/>
  <c r="G21" i="12"/>
  <c r="F21" i="12"/>
  <c r="E21" i="12"/>
  <c r="G15" i="12"/>
  <c r="F15" i="12"/>
  <c r="E15" i="12"/>
  <c r="M259" i="11"/>
  <c r="L259" i="11"/>
  <c r="K259" i="11"/>
  <c r="J259" i="11"/>
  <c r="I259" i="11"/>
  <c r="H259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P257" i="11"/>
  <c r="P256" i="11"/>
  <c r="P254" i="11"/>
  <c r="P253" i="11"/>
  <c r="P247" i="11"/>
  <c r="H247" i="11"/>
  <c r="F247" i="11"/>
  <c r="D247" i="11"/>
  <c r="O242" i="11"/>
  <c r="N242" i="11"/>
  <c r="M242" i="11"/>
  <c r="L242" i="11"/>
  <c r="K242" i="11"/>
  <c r="J242" i="11"/>
  <c r="I242" i="11"/>
  <c r="F242" i="11"/>
  <c r="D242" i="11"/>
  <c r="P241" i="11"/>
  <c r="P240" i="11"/>
  <c r="P239" i="11"/>
  <c r="P238" i="11"/>
  <c r="P235" i="11"/>
  <c r="P234" i="11"/>
  <c r="P233" i="11"/>
  <c r="P232" i="11"/>
  <c r="F229" i="11"/>
  <c r="E229" i="11"/>
  <c r="D229" i="11"/>
  <c r="P228" i="11"/>
  <c r="P227" i="11"/>
  <c r="P226" i="11"/>
  <c r="P225" i="11"/>
  <c r="O223" i="11"/>
  <c r="N223" i="11"/>
  <c r="M223" i="11"/>
  <c r="M230" i="11" s="1"/>
  <c r="M243" i="11" s="1"/>
  <c r="L223" i="11"/>
  <c r="L230" i="11" s="1"/>
  <c r="L243" i="11" s="1"/>
  <c r="K223" i="11"/>
  <c r="K230" i="11" s="1"/>
  <c r="J223" i="11"/>
  <c r="J230" i="11" s="1"/>
  <c r="J243" i="11" s="1"/>
  <c r="I223" i="11"/>
  <c r="I230" i="11" s="1"/>
  <c r="H223" i="11"/>
  <c r="G223" i="11"/>
  <c r="F223" i="11"/>
  <c r="E223" i="11"/>
  <c r="D223" i="11"/>
  <c r="P222" i="11"/>
  <c r="P221" i="11"/>
  <c r="P220" i="11"/>
  <c r="P219" i="11"/>
  <c r="H216" i="11"/>
  <c r="F216" i="11"/>
  <c r="E216" i="11"/>
  <c r="D216" i="11"/>
  <c r="P215" i="11"/>
  <c r="P214" i="11"/>
  <c r="P213" i="11"/>
  <c r="P212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P209" i="11"/>
  <c r="P208" i="11"/>
  <c r="P207" i="11"/>
  <c r="P206" i="11"/>
  <c r="H204" i="11"/>
  <c r="G204" i="11"/>
  <c r="F204" i="11"/>
  <c r="E204" i="11"/>
  <c r="D204" i="11"/>
  <c r="P203" i="11"/>
  <c r="P202" i="11"/>
  <c r="P201" i="11"/>
  <c r="P200" i="11"/>
  <c r="P199" i="11"/>
  <c r="P197" i="11"/>
  <c r="P195" i="11"/>
  <c r="P194" i="11"/>
  <c r="F193" i="11"/>
  <c r="E193" i="11"/>
  <c r="D193" i="11"/>
  <c r="P192" i="11"/>
  <c r="P191" i="11"/>
  <c r="P190" i="11"/>
  <c r="P189" i="11"/>
  <c r="P187" i="11"/>
  <c r="P186" i="11"/>
  <c r="P185" i="11"/>
  <c r="P184" i="11"/>
  <c r="P182" i="11"/>
  <c r="P181" i="11"/>
  <c r="P180" i="11"/>
  <c r="P179" i="11"/>
  <c r="P178" i="11"/>
  <c r="P177" i="11"/>
  <c r="P175" i="11"/>
  <c r="P174" i="11"/>
  <c r="P173" i="11"/>
  <c r="P172" i="11"/>
  <c r="P171" i="11"/>
  <c r="P170" i="11"/>
  <c r="P169" i="11"/>
  <c r="P168" i="11"/>
  <c r="P167" i="11"/>
  <c r="P165" i="11"/>
  <c r="P164" i="11"/>
  <c r="P163" i="11"/>
  <c r="P162" i="11"/>
  <c r="P161" i="11"/>
  <c r="P160" i="11"/>
  <c r="P159" i="11"/>
  <c r="P158" i="11"/>
  <c r="P157" i="11"/>
  <c r="P156" i="11"/>
  <c r="P155" i="11"/>
  <c r="P154" i="11"/>
  <c r="P153" i="11"/>
  <c r="P143" i="11"/>
  <c r="P142" i="11"/>
  <c r="P141" i="11"/>
  <c r="P140" i="11"/>
  <c r="P138" i="11"/>
  <c r="P137" i="11"/>
  <c r="P136" i="11"/>
  <c r="P135" i="11"/>
  <c r="P133" i="11"/>
  <c r="P132" i="11"/>
  <c r="P131" i="11"/>
  <c r="P130" i="11"/>
  <c r="P128" i="11"/>
  <c r="P127" i="11"/>
  <c r="P126" i="11"/>
  <c r="P125" i="11"/>
  <c r="M123" i="11"/>
  <c r="L123" i="11"/>
  <c r="K123" i="11"/>
  <c r="J123" i="11"/>
  <c r="I123" i="11"/>
  <c r="H123" i="11"/>
  <c r="G123" i="11"/>
  <c r="F123" i="11"/>
  <c r="E123" i="11"/>
  <c r="D123" i="11"/>
  <c r="P122" i="11"/>
  <c r="N123" i="11"/>
  <c r="P121" i="11"/>
  <c r="P117" i="11"/>
  <c r="D117" i="11"/>
  <c r="O111" i="11"/>
  <c r="N111" i="11"/>
  <c r="N118" i="11" s="1"/>
  <c r="M111" i="11"/>
  <c r="M118" i="11" s="1"/>
  <c r="L111" i="11"/>
  <c r="L118" i="11" s="1"/>
  <c r="K111" i="11"/>
  <c r="K118" i="11" s="1"/>
  <c r="J111" i="11"/>
  <c r="J118" i="11" s="1"/>
  <c r="I111" i="11"/>
  <c r="I118" i="11" s="1"/>
  <c r="H111" i="11"/>
  <c r="H118" i="11" s="1"/>
  <c r="F111" i="11"/>
  <c r="F118" i="11" s="1"/>
  <c r="E111" i="11"/>
  <c r="E118" i="11" s="1"/>
  <c r="D111" i="11"/>
  <c r="P110" i="11"/>
  <c r="P109" i="11"/>
  <c r="P108" i="11"/>
  <c r="P107" i="11"/>
  <c r="O105" i="11"/>
  <c r="P105" i="11" s="1"/>
  <c r="N105" i="11"/>
  <c r="M105" i="11"/>
  <c r="L105" i="11"/>
  <c r="K105" i="11"/>
  <c r="J105" i="11"/>
  <c r="I105" i="11"/>
  <c r="H105" i="11"/>
  <c r="F105" i="11"/>
  <c r="E105" i="11"/>
  <c r="D105" i="11"/>
  <c r="P104" i="11"/>
  <c r="P103" i="11"/>
  <c r="P102" i="11"/>
  <c r="P101" i="11"/>
  <c r="P98" i="11"/>
  <c r="D95" i="11"/>
  <c r="D255" i="11" s="1"/>
  <c r="F94" i="11"/>
  <c r="E94" i="11"/>
  <c r="P90" i="11"/>
  <c r="P84" i="11"/>
  <c r="E82" i="11"/>
  <c r="E83" i="11" s="1"/>
  <c r="D82" i="11"/>
  <c r="D83" i="11" s="1"/>
  <c r="P81" i="11"/>
  <c r="P82" i="11" s="1"/>
  <c r="P78" i="11"/>
  <c r="D76" i="11"/>
  <c r="D77" i="11" s="1"/>
  <c r="P73" i="11"/>
  <c r="P72" i="11"/>
  <c r="E70" i="11"/>
  <c r="E71" i="11" s="1"/>
  <c r="D70" i="11"/>
  <c r="D71" i="11" s="1"/>
  <c r="P69" i="11"/>
  <c r="P68" i="11"/>
  <c r="P67" i="11"/>
  <c r="P66" i="11"/>
  <c r="P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P61" i="11"/>
  <c r="P56" i="11"/>
  <c r="P55" i="11"/>
  <c r="P54" i="11"/>
  <c r="P51" i="11"/>
  <c r="P50" i="11"/>
  <c r="P49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P46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P44" i="11"/>
  <c r="H38" i="11"/>
  <c r="G38" i="11"/>
  <c r="F38" i="11"/>
  <c r="E38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P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P31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P29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P20" i="11"/>
  <c r="P19" i="11"/>
  <c r="P18" i="11"/>
  <c r="P17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P14" i="11"/>
  <c r="P13" i="11"/>
  <c r="P12" i="11"/>
  <c r="P11" i="11"/>
  <c r="P9" i="11"/>
  <c r="G257" i="17"/>
  <c r="G254" i="17"/>
  <c r="G253" i="17"/>
  <c r="G241" i="17"/>
  <c r="G240" i="17"/>
  <c r="G239" i="17"/>
  <c r="G238" i="17"/>
  <c r="G235" i="17"/>
  <c r="G234" i="17"/>
  <c r="G233" i="17"/>
  <c r="G232" i="17"/>
  <c r="G228" i="17"/>
  <c r="G227" i="17"/>
  <c r="G226" i="17"/>
  <c r="G225" i="17"/>
  <c r="G222" i="17"/>
  <c r="G221" i="17"/>
  <c r="G220" i="17"/>
  <c r="G219" i="17"/>
  <c r="G215" i="17"/>
  <c r="G214" i="17"/>
  <c r="G213" i="17"/>
  <c r="G212" i="17"/>
  <c r="G209" i="17"/>
  <c r="G208" i="17"/>
  <c r="G207" i="17"/>
  <c r="G206" i="17"/>
  <c r="G203" i="17"/>
  <c r="G202" i="17"/>
  <c r="G201" i="17"/>
  <c r="G200" i="17"/>
  <c r="G199" i="17"/>
  <c r="G197" i="17"/>
  <c r="G195" i="17"/>
  <c r="G194" i="17"/>
  <c r="G192" i="17"/>
  <c r="G191" i="17"/>
  <c r="G190" i="17"/>
  <c r="G189" i="17"/>
  <c r="G187" i="17"/>
  <c r="G186" i="17"/>
  <c r="G185" i="17"/>
  <c r="G184" i="17"/>
  <c r="G182" i="17"/>
  <c r="G181" i="17"/>
  <c r="G180" i="17"/>
  <c r="G179" i="17"/>
  <c r="G178" i="17"/>
  <c r="G177" i="17"/>
  <c r="G175" i="17"/>
  <c r="G174" i="17"/>
  <c r="G173" i="17"/>
  <c r="G172" i="17"/>
  <c r="G171" i="17"/>
  <c r="G170" i="17"/>
  <c r="G169" i="17"/>
  <c r="G168" i="17"/>
  <c r="G167" i="17"/>
  <c r="G165" i="17"/>
  <c r="G164" i="17"/>
  <c r="G163" i="17"/>
  <c r="G162" i="17"/>
  <c r="G161" i="17"/>
  <c r="G160" i="17"/>
  <c r="G159" i="17"/>
  <c r="G158" i="17"/>
  <c r="G157" i="17"/>
  <c r="G156" i="17"/>
  <c r="G155" i="17"/>
  <c r="G154" i="17"/>
  <c r="G153" i="17"/>
  <c r="G143" i="17"/>
  <c r="G142" i="17"/>
  <c r="G141" i="17"/>
  <c r="G140" i="17"/>
  <c r="G138" i="17"/>
  <c r="G137" i="17"/>
  <c r="G136" i="17"/>
  <c r="G135" i="17"/>
  <c r="G133" i="17"/>
  <c r="G132" i="17"/>
  <c r="G131" i="17"/>
  <c r="G130" i="17"/>
  <c r="G128" i="17"/>
  <c r="G127" i="17"/>
  <c r="G126" i="17"/>
  <c r="G125" i="17"/>
  <c r="G121" i="17"/>
  <c r="G110" i="17"/>
  <c r="G109" i="17"/>
  <c r="G108" i="17"/>
  <c r="G107" i="17"/>
  <c r="G104" i="17"/>
  <c r="G103" i="17"/>
  <c r="G102" i="17"/>
  <c r="G101" i="17"/>
  <c r="G98" i="17"/>
  <c r="G87" i="17"/>
  <c r="G88" i="17" s="1"/>
  <c r="G85" i="17"/>
  <c r="G90" i="17"/>
  <c r="G69" i="17"/>
  <c r="G68" i="17"/>
  <c r="G67" i="17"/>
  <c r="G63" i="17"/>
  <c r="G61" i="17"/>
  <c r="G56" i="17"/>
  <c r="G55" i="17"/>
  <c r="G54" i="17"/>
  <c r="G52" i="15"/>
  <c r="G52" i="13"/>
  <c r="G51" i="17"/>
  <c r="G50" i="17"/>
  <c r="G49" i="17"/>
  <c r="G46" i="17"/>
  <c r="G44" i="17"/>
  <c r="G33" i="17"/>
  <c r="G31" i="17"/>
  <c r="G29" i="17"/>
  <c r="G14" i="17"/>
  <c r="G13" i="17"/>
  <c r="G12" i="17"/>
  <c r="G11" i="17"/>
  <c r="F257" i="17"/>
  <c r="F254" i="17"/>
  <c r="F253" i="17"/>
  <c r="F241" i="17"/>
  <c r="F240" i="17"/>
  <c r="F239" i="17"/>
  <c r="F238" i="17"/>
  <c r="F235" i="17"/>
  <c r="F234" i="17"/>
  <c r="F233" i="17"/>
  <c r="F228" i="17"/>
  <c r="F227" i="17"/>
  <c r="F226" i="17"/>
  <c r="F225" i="17"/>
  <c r="F222" i="17"/>
  <c r="F221" i="17"/>
  <c r="F220" i="17"/>
  <c r="F219" i="17"/>
  <c r="F215" i="17"/>
  <c r="F214" i="17"/>
  <c r="F213" i="17"/>
  <c r="F212" i="17"/>
  <c r="F209" i="17"/>
  <c r="F208" i="17"/>
  <c r="F207" i="17"/>
  <c r="F206" i="17"/>
  <c r="F203" i="17"/>
  <c r="F202" i="17"/>
  <c r="F201" i="17"/>
  <c r="F200" i="17"/>
  <c r="F199" i="17"/>
  <c r="F197" i="17"/>
  <c r="F195" i="17"/>
  <c r="F194" i="17"/>
  <c r="F192" i="17"/>
  <c r="F191" i="17"/>
  <c r="F190" i="17"/>
  <c r="F189" i="17"/>
  <c r="F187" i="17"/>
  <c r="F186" i="17"/>
  <c r="F185" i="17"/>
  <c r="F184" i="17"/>
  <c r="F182" i="17"/>
  <c r="F181" i="17"/>
  <c r="F180" i="17"/>
  <c r="F179" i="17"/>
  <c r="F178" i="17"/>
  <c r="F177" i="17"/>
  <c r="F175" i="17"/>
  <c r="F174" i="17"/>
  <c r="F173" i="17"/>
  <c r="F172" i="17"/>
  <c r="F171" i="17"/>
  <c r="F170" i="17"/>
  <c r="F169" i="17"/>
  <c r="F168" i="17"/>
  <c r="F167" i="17"/>
  <c r="F165" i="17"/>
  <c r="F164" i="17"/>
  <c r="F163" i="17"/>
  <c r="F162" i="17"/>
  <c r="F161" i="17"/>
  <c r="F160" i="17"/>
  <c r="F159" i="17"/>
  <c r="F158" i="17"/>
  <c r="F157" i="17"/>
  <c r="F156" i="17"/>
  <c r="F155" i="17"/>
  <c r="F154" i="17"/>
  <c r="F153" i="17"/>
  <c r="F143" i="17"/>
  <c r="F142" i="17"/>
  <c r="F141" i="17"/>
  <c r="F140" i="17"/>
  <c r="F138" i="17"/>
  <c r="F137" i="17"/>
  <c r="F136" i="17"/>
  <c r="F135" i="17"/>
  <c r="F133" i="17"/>
  <c r="F132" i="17"/>
  <c r="F131" i="17"/>
  <c r="F130" i="17"/>
  <c r="F128" i="17"/>
  <c r="F127" i="17"/>
  <c r="F126" i="17"/>
  <c r="F125" i="17"/>
  <c r="F121" i="17"/>
  <c r="F110" i="17"/>
  <c r="F109" i="17"/>
  <c r="F108" i="17"/>
  <c r="F107" i="17"/>
  <c r="F104" i="17"/>
  <c r="F103" i="17"/>
  <c r="F102" i="17"/>
  <c r="F101" i="17"/>
  <c r="F98" i="17"/>
  <c r="F85" i="17"/>
  <c r="F79" i="17"/>
  <c r="F69" i="17"/>
  <c r="F68" i="17"/>
  <c r="F67" i="17"/>
  <c r="F63" i="17"/>
  <c r="F61" i="17"/>
  <c r="F56" i="17"/>
  <c r="F55" i="17"/>
  <c r="F54" i="17"/>
  <c r="F52" i="15"/>
  <c r="F52" i="12"/>
  <c r="F51" i="17"/>
  <c r="F50" i="17"/>
  <c r="F49" i="17"/>
  <c r="F46" i="17"/>
  <c r="F44" i="17"/>
  <c r="F33" i="17"/>
  <c r="F31" i="17"/>
  <c r="F29" i="17"/>
  <c r="F14" i="17"/>
  <c r="F13" i="17"/>
  <c r="F12" i="17"/>
  <c r="F11" i="17"/>
  <c r="E257" i="17"/>
  <c r="E254" i="17"/>
  <c r="E253" i="17"/>
  <c r="E241" i="17"/>
  <c r="E240" i="17"/>
  <c r="E239" i="17"/>
  <c r="E238" i="17"/>
  <c r="E235" i="17"/>
  <c r="E234" i="17"/>
  <c r="E233" i="17"/>
  <c r="E232" i="17"/>
  <c r="E228" i="17"/>
  <c r="E227" i="17"/>
  <c r="E226" i="17"/>
  <c r="E225" i="17"/>
  <c r="E222" i="17"/>
  <c r="E221" i="17"/>
  <c r="E220" i="17"/>
  <c r="E219" i="17"/>
  <c r="E215" i="17"/>
  <c r="E214" i="17"/>
  <c r="E213" i="17"/>
  <c r="E212" i="17"/>
  <c r="E209" i="17"/>
  <c r="E208" i="17"/>
  <c r="E207" i="17"/>
  <c r="E206" i="17"/>
  <c r="E203" i="17"/>
  <c r="E202" i="17"/>
  <c r="E201" i="17"/>
  <c r="E200" i="17"/>
  <c r="E199" i="17"/>
  <c r="E197" i="17"/>
  <c r="E195" i="17"/>
  <c r="E194" i="17"/>
  <c r="E192" i="17"/>
  <c r="E191" i="17"/>
  <c r="E190" i="17"/>
  <c r="E189" i="17"/>
  <c r="E187" i="17"/>
  <c r="E186" i="17"/>
  <c r="E185" i="17"/>
  <c r="E184" i="17"/>
  <c r="E182" i="17"/>
  <c r="E181" i="17"/>
  <c r="E180" i="17"/>
  <c r="E179" i="17"/>
  <c r="E178" i="17"/>
  <c r="E177" i="17"/>
  <c r="E175" i="17"/>
  <c r="E174" i="17"/>
  <c r="E173" i="17"/>
  <c r="E172" i="17"/>
  <c r="E171" i="17"/>
  <c r="E170" i="17"/>
  <c r="E169" i="17"/>
  <c r="E168" i="17"/>
  <c r="E167" i="17"/>
  <c r="E165" i="17"/>
  <c r="E164" i="17"/>
  <c r="E163" i="17"/>
  <c r="E162" i="17"/>
  <c r="E161" i="17"/>
  <c r="E160" i="17"/>
  <c r="E159" i="17"/>
  <c r="E158" i="17"/>
  <c r="E157" i="17"/>
  <c r="E156" i="17"/>
  <c r="E155" i="17"/>
  <c r="E154" i="17"/>
  <c r="E153" i="17"/>
  <c r="E143" i="17"/>
  <c r="E142" i="17"/>
  <c r="E141" i="17"/>
  <c r="E140" i="17"/>
  <c r="E138" i="17"/>
  <c r="E137" i="17"/>
  <c r="E136" i="17"/>
  <c r="E135" i="17"/>
  <c r="E133" i="17"/>
  <c r="E132" i="17"/>
  <c r="E131" i="17"/>
  <c r="E130" i="17"/>
  <c r="E128" i="17"/>
  <c r="E127" i="17"/>
  <c r="E126" i="17"/>
  <c r="E125" i="17"/>
  <c r="E121" i="17"/>
  <c r="E110" i="17"/>
  <c r="E109" i="17"/>
  <c r="E108" i="17"/>
  <c r="E107" i="17"/>
  <c r="E104" i="17"/>
  <c r="E103" i="17"/>
  <c r="E102" i="17"/>
  <c r="E101" i="17"/>
  <c r="E98" i="17"/>
  <c r="E87" i="17"/>
  <c r="E88" i="17" s="1"/>
  <c r="E73" i="17"/>
  <c r="E69" i="17"/>
  <c r="E68" i="17"/>
  <c r="E67" i="17"/>
  <c r="E63" i="17"/>
  <c r="E61" i="17"/>
  <c r="E56" i="17"/>
  <c r="E55" i="17"/>
  <c r="E54" i="17"/>
  <c r="E52" i="13"/>
  <c r="E52" i="12"/>
  <c r="E51" i="17"/>
  <c r="E50" i="17"/>
  <c r="E49" i="17"/>
  <c r="E46" i="17"/>
  <c r="E44" i="17"/>
  <c r="E33" i="17"/>
  <c r="E31" i="17"/>
  <c r="E29" i="17"/>
  <c r="D22" i="11" l="1"/>
  <c r="L22" i="11"/>
  <c r="E230" i="11"/>
  <c r="E243" i="11" s="1"/>
  <c r="E12" i="17"/>
  <c r="E11" i="17"/>
  <c r="E14" i="17"/>
  <c r="E13" i="17"/>
  <c r="F118" i="16"/>
  <c r="F119" i="16" s="1"/>
  <c r="G66" i="11"/>
  <c r="E66" i="13"/>
  <c r="E71" i="13" s="1"/>
  <c r="G255" i="13"/>
  <c r="G259" i="13" s="1"/>
  <c r="I243" i="11"/>
  <c r="G251" i="13"/>
  <c r="G250" i="13"/>
  <c r="G250" i="14"/>
  <c r="G251" i="14"/>
  <c r="G118" i="16"/>
  <c r="G119" i="16" s="1"/>
  <c r="G251" i="12"/>
  <c r="G250" i="12"/>
  <c r="F250" i="13"/>
  <c r="F251" i="13"/>
  <c r="F251" i="14"/>
  <c r="F250" i="14"/>
  <c r="F250" i="12"/>
  <c r="F251" i="12"/>
  <c r="E251" i="13"/>
  <c r="E250" i="13"/>
  <c r="E251" i="14"/>
  <c r="E250" i="14"/>
  <c r="E250" i="12"/>
  <c r="E251" i="12"/>
  <c r="J217" i="11"/>
  <c r="J251" i="11"/>
  <c r="J250" i="11"/>
  <c r="D251" i="13"/>
  <c r="D250" i="13"/>
  <c r="D250" i="14"/>
  <c r="D251" i="14"/>
  <c r="K217" i="11"/>
  <c r="K251" i="11"/>
  <c r="K250" i="11"/>
  <c r="L217" i="11"/>
  <c r="L251" i="11"/>
  <c r="L250" i="11"/>
  <c r="M217" i="11"/>
  <c r="M251" i="11"/>
  <c r="M250" i="11"/>
  <c r="D251" i="12"/>
  <c r="D250" i="12"/>
  <c r="N217" i="11"/>
  <c r="N251" i="11"/>
  <c r="N250" i="11"/>
  <c r="I217" i="11"/>
  <c r="I251" i="11"/>
  <c r="I250" i="11"/>
  <c r="O217" i="11"/>
  <c r="O251" i="11"/>
  <c r="O250" i="11"/>
  <c r="H251" i="11"/>
  <c r="H250" i="11"/>
  <c r="G251" i="11"/>
  <c r="G250" i="11"/>
  <c r="F204" i="17"/>
  <c r="E204" i="17"/>
  <c r="D251" i="11"/>
  <c r="D250" i="11"/>
  <c r="E251" i="11"/>
  <c r="E250" i="11"/>
  <c r="F251" i="11"/>
  <c r="F250" i="11"/>
  <c r="G204" i="17"/>
  <c r="E118" i="16"/>
  <c r="E119" i="16" s="1"/>
  <c r="D62" i="12"/>
  <c r="H9" i="12"/>
  <c r="H34" i="12" s="1"/>
  <c r="E119" i="11"/>
  <c r="F118" i="12"/>
  <c r="F119" i="12" s="1"/>
  <c r="H11" i="12"/>
  <c r="H36" i="12" s="1"/>
  <c r="E145" i="17"/>
  <c r="P32" i="11"/>
  <c r="D32" i="12"/>
  <c r="E52" i="15"/>
  <c r="F52" i="13"/>
  <c r="G52" i="12"/>
  <c r="H22" i="11"/>
  <c r="H70" i="16"/>
  <c r="H71" i="16" s="1"/>
  <c r="H236" i="16"/>
  <c r="G230" i="15"/>
  <c r="G243" i="15" s="1"/>
  <c r="G230" i="13"/>
  <c r="G243" i="13" s="1"/>
  <c r="G145" i="17"/>
  <c r="G118" i="12"/>
  <c r="G119" i="12" s="1"/>
  <c r="G256" i="16"/>
  <c r="G258" i="16" s="1"/>
  <c r="F230" i="13"/>
  <c r="F243" i="13" s="1"/>
  <c r="F230" i="15"/>
  <c r="F243" i="15" s="1"/>
  <c r="F145" i="17"/>
  <c r="F84" i="17"/>
  <c r="F78" i="17"/>
  <c r="F72" i="17"/>
  <c r="F66" i="17"/>
  <c r="E118" i="12"/>
  <c r="E119" i="12" s="1"/>
  <c r="D230" i="16"/>
  <c r="D243" i="16" s="1"/>
  <c r="H111" i="12"/>
  <c r="D21" i="12"/>
  <c r="G230" i="16"/>
  <c r="G243" i="16" s="1"/>
  <c r="G22" i="16"/>
  <c r="G24" i="16" s="1"/>
  <c r="G25" i="16" s="1"/>
  <c r="E230" i="16"/>
  <c r="E243" i="16" s="1"/>
  <c r="F230" i="16"/>
  <c r="F243" i="16" s="1"/>
  <c r="G105" i="17"/>
  <c r="G111" i="17"/>
  <c r="G118" i="17" s="1"/>
  <c r="H146" i="16"/>
  <c r="E111" i="17"/>
  <c r="E118" i="17" s="1"/>
  <c r="F111" i="17"/>
  <c r="F118" i="17" s="1"/>
  <c r="D118" i="16"/>
  <c r="D119" i="16" s="1"/>
  <c r="H145" i="16"/>
  <c r="D217" i="16"/>
  <c r="D250" i="16"/>
  <c r="D251" i="16"/>
  <c r="F217" i="16"/>
  <c r="E217" i="16"/>
  <c r="E251" i="16"/>
  <c r="E250" i="16"/>
  <c r="G217" i="16"/>
  <c r="F251" i="16"/>
  <c r="F250" i="16"/>
  <c r="G250" i="16"/>
  <c r="G251" i="16"/>
  <c r="F22" i="16"/>
  <c r="F24" i="16" s="1"/>
  <c r="F25" i="16" s="1"/>
  <c r="E105" i="17"/>
  <c r="F122" i="17"/>
  <c r="F123" i="17" s="1"/>
  <c r="F105" i="17"/>
  <c r="F40" i="11"/>
  <c r="N40" i="11"/>
  <c r="G40" i="11"/>
  <c r="O40" i="11"/>
  <c r="I38" i="11"/>
  <c r="H40" i="11"/>
  <c r="I40" i="11"/>
  <c r="K38" i="11"/>
  <c r="J40" i="11"/>
  <c r="L38" i="11"/>
  <c r="E95" i="11"/>
  <c r="E255" i="11" s="1"/>
  <c r="E259" i="11" s="1"/>
  <c r="K40" i="11"/>
  <c r="M38" i="11"/>
  <c r="F95" i="11"/>
  <c r="F255" i="11" s="1"/>
  <c r="L40" i="11"/>
  <c r="N38" i="11"/>
  <c r="H119" i="11"/>
  <c r="E40" i="11"/>
  <c r="M40" i="11"/>
  <c r="O38" i="11"/>
  <c r="P111" i="11"/>
  <c r="P118" i="11" s="1"/>
  <c r="P119" i="11" s="1"/>
  <c r="O118" i="11"/>
  <c r="O119" i="11" s="1"/>
  <c r="N119" i="11"/>
  <c r="M119" i="11"/>
  <c r="E230" i="15"/>
  <c r="E243" i="15" s="1"/>
  <c r="L119" i="11"/>
  <c r="G223" i="17"/>
  <c r="D230" i="15"/>
  <c r="D243" i="15" s="1"/>
  <c r="H258" i="15"/>
  <c r="K119" i="11"/>
  <c r="D83" i="15"/>
  <c r="H82" i="15"/>
  <c r="H83" i="15" s="1"/>
  <c r="D77" i="15"/>
  <c r="D71" i="15"/>
  <c r="H70" i="15"/>
  <c r="H71" i="15" s="1"/>
  <c r="G250" i="15"/>
  <c r="G251" i="15"/>
  <c r="F251" i="15"/>
  <c r="F250" i="15"/>
  <c r="D217" i="15"/>
  <c r="D251" i="15"/>
  <c r="D250" i="15"/>
  <c r="E217" i="15"/>
  <c r="E251" i="15"/>
  <c r="E250" i="15"/>
  <c r="H144" i="15"/>
  <c r="H139" i="15"/>
  <c r="H148" i="15"/>
  <c r="H146" i="15"/>
  <c r="H145" i="15"/>
  <c r="G22" i="15"/>
  <c r="G24" i="15" s="1"/>
  <c r="G25" i="15" s="1"/>
  <c r="G229" i="17"/>
  <c r="E229" i="17"/>
  <c r="E210" i="17"/>
  <c r="J119" i="11"/>
  <c r="G20" i="17"/>
  <c r="G18" i="17"/>
  <c r="G19" i="17"/>
  <c r="F20" i="17"/>
  <c r="F17" i="17"/>
  <c r="F18" i="17"/>
  <c r="F19" i="17"/>
  <c r="E18" i="17"/>
  <c r="E20" i="17"/>
  <c r="E19" i="17"/>
  <c r="E17" i="17"/>
  <c r="D118" i="14"/>
  <c r="D119" i="14" s="1"/>
  <c r="I119" i="11"/>
  <c r="G118" i="14"/>
  <c r="G119" i="14" s="1"/>
  <c r="E118" i="14"/>
  <c r="E119" i="14" s="1"/>
  <c r="F118" i="14"/>
  <c r="F119" i="14" s="1"/>
  <c r="H258" i="13"/>
  <c r="H105" i="13"/>
  <c r="G22" i="13"/>
  <c r="G24" i="13" s="1"/>
  <c r="G25" i="13" s="1"/>
  <c r="F223" i="17"/>
  <c r="E242" i="17"/>
  <c r="E230" i="13"/>
  <c r="E243" i="13" s="1"/>
  <c r="E223" i="17"/>
  <c r="H242" i="13"/>
  <c r="H119" i="13"/>
  <c r="H118" i="13"/>
  <c r="H236" i="13"/>
  <c r="H229" i="13"/>
  <c r="D217" i="13"/>
  <c r="E217" i="13"/>
  <c r="F22" i="13"/>
  <c r="F24" i="13" s="1"/>
  <c r="F25" i="13" s="1"/>
  <c r="E193" i="17"/>
  <c r="H236" i="12"/>
  <c r="D118" i="12"/>
  <c r="D119" i="12" s="1"/>
  <c r="H117" i="12"/>
  <c r="G242" i="17"/>
  <c r="F242" i="17"/>
  <c r="E236" i="17"/>
  <c r="G15" i="17"/>
  <c r="F15" i="17"/>
  <c r="H105" i="12"/>
  <c r="H19" i="12"/>
  <c r="H21" i="12" s="1"/>
  <c r="K243" i="11"/>
  <c r="F119" i="11"/>
  <c r="P85" i="11"/>
  <c r="D38" i="11"/>
  <c r="D40" i="11"/>
  <c r="D118" i="11"/>
  <c r="D119" i="11" s="1"/>
  <c r="G129" i="17"/>
  <c r="G139" i="17"/>
  <c r="F81" i="17"/>
  <c r="G236" i="17"/>
  <c r="G216" i="17"/>
  <c r="G210" i="17"/>
  <c r="E216" i="17"/>
  <c r="G134" i="17"/>
  <c r="G148" i="17"/>
  <c r="G146" i="17"/>
  <c r="G144" i="17"/>
  <c r="G147" i="17"/>
  <c r="G70" i="17"/>
  <c r="G71" i="17" s="1"/>
  <c r="F210" i="17"/>
  <c r="F139" i="17"/>
  <c r="F134" i="17"/>
  <c r="F148" i="17"/>
  <c r="F129" i="17"/>
  <c r="F146" i="17"/>
  <c r="F144" i="17"/>
  <c r="F147" i="17"/>
  <c r="F70" i="17"/>
  <c r="E134" i="17"/>
  <c r="E129" i="17"/>
  <c r="E148" i="17"/>
  <c r="E146" i="17"/>
  <c r="E139" i="17"/>
  <c r="E144" i="17"/>
  <c r="E147" i="17"/>
  <c r="E70" i="17"/>
  <c r="E71" i="17" s="1"/>
  <c r="E90" i="17"/>
  <c r="E81" i="17"/>
  <c r="E82" i="17" s="1"/>
  <c r="D259" i="11"/>
  <c r="H70" i="14"/>
  <c r="H71" i="14" s="1"/>
  <c r="D40" i="12"/>
  <c r="D45" i="12"/>
  <c r="D30" i="12"/>
  <c r="D47" i="12"/>
  <c r="D34" i="12"/>
  <c r="G193" i="17"/>
  <c r="G9" i="17"/>
  <c r="F193" i="17"/>
  <c r="F9" i="17"/>
  <c r="H193" i="12"/>
  <c r="H32" i="14"/>
  <c r="P70" i="11"/>
  <c r="P71" i="11" s="1"/>
  <c r="P204" i="11"/>
  <c r="E217" i="11"/>
  <c r="F232" i="17"/>
  <c r="F236" i="17" s="1"/>
  <c r="H242" i="14"/>
  <c r="H236" i="14"/>
  <c r="G230" i="14"/>
  <c r="G243" i="14" s="1"/>
  <c r="G22" i="14"/>
  <c r="G24" i="14" s="1"/>
  <c r="G25" i="14" s="1"/>
  <c r="G17" i="17"/>
  <c r="F230" i="12"/>
  <c r="F243" i="12" s="1"/>
  <c r="F230" i="14"/>
  <c r="F243" i="14" s="1"/>
  <c r="F229" i="17"/>
  <c r="F216" i="17"/>
  <c r="E230" i="14"/>
  <c r="E243" i="14" s="1"/>
  <c r="H229" i="14"/>
  <c r="H258" i="14"/>
  <c r="D217" i="14"/>
  <c r="E217" i="14"/>
  <c r="H146" i="14"/>
  <c r="H147" i="14"/>
  <c r="H148" i="14"/>
  <c r="H145" i="14"/>
  <c r="F22" i="14"/>
  <c r="F24" i="14" s="1"/>
  <c r="F25" i="14" s="1"/>
  <c r="H147" i="12"/>
  <c r="P258" i="11"/>
  <c r="D217" i="11"/>
  <c r="P193" i="11"/>
  <c r="P144" i="11"/>
  <c r="P147" i="11"/>
  <c r="P148" i="11"/>
  <c r="P134" i="11"/>
  <c r="E9" i="17"/>
  <c r="E22" i="14"/>
  <c r="E24" i="14" s="1"/>
  <c r="E25" i="14" s="1"/>
  <c r="P45" i="11"/>
  <c r="E22" i="11"/>
  <c r="M22" i="11"/>
  <c r="H204" i="16"/>
  <c r="H147" i="16"/>
  <c r="H229" i="16"/>
  <c r="D15" i="16"/>
  <c r="H242" i="16"/>
  <c r="H193" i="16"/>
  <c r="H216" i="16"/>
  <c r="E22" i="16"/>
  <c r="E24" i="16" s="1"/>
  <c r="E25" i="16" s="1"/>
  <c r="H204" i="15"/>
  <c r="H229" i="15"/>
  <c r="H242" i="15"/>
  <c r="H193" i="15"/>
  <c r="H147" i="15"/>
  <c r="E22" i="15"/>
  <c r="E24" i="15" s="1"/>
  <c r="E25" i="15" s="1"/>
  <c r="H216" i="15"/>
  <c r="F22" i="15"/>
  <c r="F24" i="15" s="1"/>
  <c r="F25" i="15" s="1"/>
  <c r="H134" i="15"/>
  <c r="H236" i="15"/>
  <c r="F217" i="15"/>
  <c r="H193" i="14"/>
  <c r="D230" i="14"/>
  <c r="D243" i="14" s="1"/>
  <c r="H216" i="14"/>
  <c r="H123" i="14"/>
  <c r="F217" i="14"/>
  <c r="H52" i="14"/>
  <c r="H204" i="14"/>
  <c r="H193" i="13"/>
  <c r="D230" i="13"/>
  <c r="D243" i="13" s="1"/>
  <c r="H216" i="13"/>
  <c r="H70" i="13"/>
  <c r="D15" i="13"/>
  <c r="F217" i="13"/>
  <c r="H11" i="13"/>
  <c r="H15" i="13" s="1"/>
  <c r="E22" i="13"/>
  <c r="E24" i="13" s="1"/>
  <c r="E25" i="13" s="1"/>
  <c r="H204" i="13"/>
  <c r="G230" i="12"/>
  <c r="G243" i="12" s="1"/>
  <c r="H145" i="12"/>
  <c r="H81" i="12"/>
  <c r="H82" i="12" s="1"/>
  <c r="H83" i="12" s="1"/>
  <c r="D15" i="12"/>
  <c r="H70" i="12"/>
  <c r="H71" i="12" s="1"/>
  <c r="E217" i="12"/>
  <c r="K22" i="11"/>
  <c r="P236" i="11"/>
  <c r="P123" i="11"/>
  <c r="P223" i="11"/>
  <c r="P30" i="11"/>
  <c r="P216" i="11"/>
  <c r="F22" i="11"/>
  <c r="N22" i="11"/>
  <c r="P62" i="11"/>
  <c r="P146" i="11"/>
  <c r="P210" i="11"/>
  <c r="F230" i="11"/>
  <c r="F243" i="11" s="1"/>
  <c r="N230" i="11"/>
  <c r="N243" i="11" s="1"/>
  <c r="G22" i="11"/>
  <c r="O22" i="11"/>
  <c r="P47" i="11"/>
  <c r="P242" i="11"/>
  <c r="J22" i="11"/>
  <c r="P15" i="11"/>
  <c r="P21" i="11"/>
  <c r="P229" i="11"/>
  <c r="D230" i="11"/>
  <c r="D243" i="11" s="1"/>
  <c r="I22" i="11"/>
  <c r="P34" i="11"/>
  <c r="P145" i="11"/>
  <c r="P139" i="11"/>
  <c r="G79" i="17"/>
  <c r="G73" i="17"/>
  <c r="E79" i="17"/>
  <c r="D38" i="13"/>
  <c r="D15" i="14"/>
  <c r="H30" i="14"/>
  <c r="D40" i="15"/>
  <c r="H9" i="16"/>
  <c r="H34" i="16" s="1"/>
  <c r="H15" i="14"/>
  <c r="D30" i="14"/>
  <c r="D62" i="16"/>
  <c r="D30" i="15"/>
  <c r="H11" i="16"/>
  <c r="H15" i="16" s="1"/>
  <c r="D30" i="16"/>
  <c r="D38" i="14"/>
  <c r="H47" i="14"/>
  <c r="D40" i="13"/>
  <c r="H11" i="15"/>
  <c r="H15" i="15" s="1"/>
  <c r="D38" i="15"/>
  <c r="D38" i="16"/>
  <c r="D30" i="13"/>
  <c r="G52" i="17"/>
  <c r="P79" i="11"/>
  <c r="P83" i="11" s="1"/>
  <c r="H52" i="16"/>
  <c r="F52" i="17"/>
  <c r="F73" i="17"/>
  <c r="F91" i="17" s="1"/>
  <c r="P87" i="11"/>
  <c r="H39" i="16"/>
  <c r="J38" i="11"/>
  <c r="E52" i="17"/>
  <c r="H123" i="13"/>
  <c r="D40" i="14"/>
  <c r="H123" i="15"/>
  <c r="D40" i="16"/>
  <c r="H39" i="13"/>
  <c r="H77" i="13"/>
  <c r="H89" i="13"/>
  <c r="O259" i="11"/>
  <c r="H92" i="13"/>
  <c r="H74" i="14"/>
  <c r="H76" i="14" s="1"/>
  <c r="H89" i="16"/>
  <c r="H21" i="16"/>
  <c r="H77" i="16"/>
  <c r="H37" i="16"/>
  <c r="H79" i="16"/>
  <c r="D21" i="16"/>
  <c r="D34" i="16"/>
  <c r="D45" i="16"/>
  <c r="D41" i="16"/>
  <c r="H81" i="16"/>
  <c r="H82" i="16" s="1"/>
  <c r="E41" i="16"/>
  <c r="H91" i="16"/>
  <c r="D32" i="16"/>
  <c r="F41" i="16"/>
  <c r="G41" i="16"/>
  <c r="H210" i="16"/>
  <c r="H223" i="16"/>
  <c r="H21" i="15"/>
  <c r="H129" i="15"/>
  <c r="G217" i="15"/>
  <c r="D21" i="15"/>
  <c r="D22" i="15" s="1"/>
  <c r="D24" i="15" s="1"/>
  <c r="D25" i="15" s="1"/>
  <c r="D34" i="15"/>
  <c r="D45" i="15"/>
  <c r="D41" i="15"/>
  <c r="E41" i="15"/>
  <c r="D62" i="15"/>
  <c r="D32" i="15"/>
  <c r="F41" i="15"/>
  <c r="H9" i="15"/>
  <c r="G41" i="15"/>
  <c r="H210" i="15"/>
  <c r="H223" i="15"/>
  <c r="H21" i="14"/>
  <c r="H89" i="14"/>
  <c r="H129" i="14"/>
  <c r="G217" i="14"/>
  <c r="D21" i="14"/>
  <c r="D34" i="14"/>
  <c r="D45" i="14"/>
  <c r="D41" i="14"/>
  <c r="H81" i="14"/>
  <c r="H82" i="14" s="1"/>
  <c r="H34" i="14"/>
  <c r="E41" i="14"/>
  <c r="H45" i="14"/>
  <c r="D62" i="14"/>
  <c r="D32" i="14"/>
  <c r="F41" i="14"/>
  <c r="G41" i="14"/>
  <c r="H210" i="14"/>
  <c r="H223" i="14"/>
  <c r="H21" i="13"/>
  <c r="G217" i="13"/>
  <c r="D21" i="13"/>
  <c r="D34" i="13"/>
  <c r="D45" i="13"/>
  <c r="D41" i="13"/>
  <c r="H81" i="13"/>
  <c r="H82" i="13" s="1"/>
  <c r="E41" i="13"/>
  <c r="D62" i="13"/>
  <c r="H91" i="13"/>
  <c r="D32" i="13"/>
  <c r="F41" i="13"/>
  <c r="H32" i="13"/>
  <c r="G41" i="13"/>
  <c r="H210" i="13"/>
  <c r="H223" i="13"/>
  <c r="H13" i="12"/>
  <c r="H89" i="12"/>
  <c r="F217" i="12"/>
  <c r="H242" i="12"/>
  <c r="H144" i="12"/>
  <c r="H91" i="12"/>
  <c r="H223" i="12"/>
  <c r="F22" i="12"/>
  <c r="F24" i="12" s="1"/>
  <c r="F25" i="12" s="1"/>
  <c r="H139" i="12"/>
  <c r="D230" i="12"/>
  <c r="D243" i="12" s="1"/>
  <c r="D217" i="12"/>
  <c r="E230" i="12"/>
  <c r="E243" i="12" s="1"/>
  <c r="H258" i="12"/>
  <c r="H204" i="12"/>
  <c r="G41" i="12"/>
  <c r="G42" i="12" s="1"/>
  <c r="G217" i="12"/>
  <c r="E22" i="12"/>
  <c r="E24" i="12" s="1"/>
  <c r="E25" i="12" s="1"/>
  <c r="H148" i="12"/>
  <c r="H73" i="12"/>
  <c r="H134" i="12"/>
  <c r="G22" i="12"/>
  <c r="G24" i="12" s="1"/>
  <c r="G25" i="12" s="1"/>
  <c r="H216" i="12"/>
  <c r="H146" i="12"/>
  <c r="H129" i="12"/>
  <c r="H74" i="12"/>
  <c r="H76" i="12" s="1"/>
  <c r="H210" i="12"/>
  <c r="H229" i="12"/>
  <c r="F41" i="12"/>
  <c r="E41" i="12"/>
  <c r="P91" i="11"/>
  <c r="F217" i="11"/>
  <c r="G230" i="11"/>
  <c r="G243" i="11" s="1"/>
  <c r="O230" i="11"/>
  <c r="O243" i="11" s="1"/>
  <c r="O123" i="11"/>
  <c r="P129" i="11"/>
  <c r="G217" i="11"/>
  <c r="H230" i="11"/>
  <c r="H243" i="11" s="1"/>
  <c r="H217" i="11"/>
  <c r="P74" i="11"/>
  <c r="F87" i="17"/>
  <c r="F88" i="17" s="1"/>
  <c r="E15" i="17" l="1"/>
  <c r="H119" i="12"/>
  <c r="E90" i="13"/>
  <c r="H66" i="13"/>
  <c r="H71" i="13" s="1"/>
  <c r="G90" i="11"/>
  <c r="G95" i="11" s="1"/>
  <c r="G255" i="11" s="1"/>
  <c r="G71" i="11"/>
  <c r="E255" i="13"/>
  <c r="E259" i="13" s="1"/>
  <c r="G230" i="17"/>
  <c r="G243" i="17" s="1"/>
  <c r="H251" i="13"/>
  <c r="H251" i="12"/>
  <c r="H250" i="12"/>
  <c r="H251" i="14"/>
  <c r="H250" i="14"/>
  <c r="F230" i="17"/>
  <c r="F243" i="17" s="1"/>
  <c r="P251" i="11"/>
  <c r="P250" i="11"/>
  <c r="G119" i="17"/>
  <c r="H37" i="13"/>
  <c r="H38" i="13" s="1"/>
  <c r="F90" i="17"/>
  <c r="H37" i="12"/>
  <c r="H38" i="12" s="1"/>
  <c r="D22" i="16"/>
  <c r="D24" i="16" s="1"/>
  <c r="D25" i="16" s="1"/>
  <c r="H15" i="12"/>
  <c r="H22" i="12" s="1"/>
  <c r="H24" i="12" s="1"/>
  <c r="H25" i="12" s="1"/>
  <c r="D22" i="12"/>
  <c r="D24" i="12" s="1"/>
  <c r="D25" i="12" s="1"/>
  <c r="F71" i="17"/>
  <c r="E230" i="17"/>
  <c r="E243" i="17" s="1"/>
  <c r="P37" i="11"/>
  <c r="P38" i="11" s="1"/>
  <c r="H39" i="12"/>
  <c r="H40" i="12" s="1"/>
  <c r="H41" i="11"/>
  <c r="H42" i="11" s="1"/>
  <c r="G39" i="17"/>
  <c r="G40" i="17" s="1"/>
  <c r="G37" i="17"/>
  <c r="F39" i="17"/>
  <c r="F40" i="17" s="1"/>
  <c r="F37" i="17"/>
  <c r="D41" i="11"/>
  <c r="D42" i="11" s="1"/>
  <c r="G41" i="11"/>
  <c r="E41" i="11"/>
  <c r="E42" i="11" s="1"/>
  <c r="E39" i="17"/>
  <c r="E40" i="17" s="1"/>
  <c r="E37" i="17"/>
  <c r="E38" i="17" s="1"/>
  <c r="H243" i="16"/>
  <c r="F41" i="11"/>
  <c r="F42" i="11" s="1"/>
  <c r="E119" i="17"/>
  <c r="H149" i="16"/>
  <c r="F119" i="17"/>
  <c r="E251" i="17"/>
  <c r="E21" i="17"/>
  <c r="E22" i="17" s="1"/>
  <c r="E24" i="17" s="1"/>
  <c r="E25" i="17" s="1"/>
  <c r="F21" i="17"/>
  <c r="F22" i="17" s="1"/>
  <c r="F24" i="17" s="1"/>
  <c r="F25" i="17" s="1"/>
  <c r="F82" i="17"/>
  <c r="F83" i="17" s="1"/>
  <c r="H123" i="17"/>
  <c r="E250" i="17"/>
  <c r="E217" i="17"/>
  <c r="H37" i="15"/>
  <c r="H38" i="15" s="1"/>
  <c r="H230" i="16"/>
  <c r="H251" i="16"/>
  <c r="H250" i="16"/>
  <c r="P39" i="11"/>
  <c r="P40" i="11" s="1"/>
  <c r="O41" i="11"/>
  <c r="H39" i="15"/>
  <c r="H40" i="15" s="1"/>
  <c r="N41" i="11"/>
  <c r="E122" i="17"/>
  <c r="E123" i="17" s="1"/>
  <c r="G122" i="17"/>
  <c r="G123" i="17" s="1"/>
  <c r="F259" i="11"/>
  <c r="J41" i="11"/>
  <c r="I41" i="11"/>
  <c r="M41" i="11"/>
  <c r="K41" i="11"/>
  <c r="L41" i="11"/>
  <c r="G251" i="17"/>
  <c r="F251" i="17"/>
  <c r="H22" i="16"/>
  <c r="H24" i="16" s="1"/>
  <c r="H25" i="16" s="1"/>
  <c r="G21" i="17"/>
  <c r="G22" i="17" s="1"/>
  <c r="G24" i="17" s="1"/>
  <c r="G25" i="17" s="1"/>
  <c r="H76" i="15"/>
  <c r="H77" i="15" s="1"/>
  <c r="H243" i="15"/>
  <c r="H230" i="15"/>
  <c r="H251" i="15"/>
  <c r="H250" i="15"/>
  <c r="H149" i="15"/>
  <c r="H243" i="13"/>
  <c r="H245" i="13" s="1"/>
  <c r="H246" i="13" s="1"/>
  <c r="H247" i="13" s="1"/>
  <c r="D22" i="13"/>
  <c r="D24" i="13" s="1"/>
  <c r="D25" i="13" s="1"/>
  <c r="H230" i="13"/>
  <c r="F250" i="17"/>
  <c r="F93" i="17"/>
  <c r="P89" i="11"/>
  <c r="H39" i="14"/>
  <c r="H40" i="14" s="1"/>
  <c r="H118" i="12"/>
  <c r="G217" i="17"/>
  <c r="G250" i="17"/>
  <c r="H45" i="12"/>
  <c r="H62" i="12"/>
  <c r="H37" i="14"/>
  <c r="H38" i="14" s="1"/>
  <c r="F256" i="17"/>
  <c r="F258" i="17" s="1"/>
  <c r="F74" i="17"/>
  <c r="F76" i="17" s="1"/>
  <c r="E149" i="17"/>
  <c r="G149" i="17"/>
  <c r="G81" i="17"/>
  <c r="G82" i="17" s="1"/>
  <c r="G91" i="17"/>
  <c r="G256" i="17" s="1"/>
  <c r="G258" i="17" s="1"/>
  <c r="G74" i="17"/>
  <c r="G76" i="17" s="1"/>
  <c r="F217" i="17"/>
  <c r="F149" i="17"/>
  <c r="H149" i="14"/>
  <c r="E74" i="17"/>
  <c r="E76" i="17" s="1"/>
  <c r="E85" i="17"/>
  <c r="E93" i="17" s="1"/>
  <c r="E83" i="17"/>
  <c r="H30" i="12"/>
  <c r="H47" i="12"/>
  <c r="H32" i="12"/>
  <c r="G47" i="17"/>
  <c r="G62" i="17"/>
  <c r="G30" i="17"/>
  <c r="G32" i="17"/>
  <c r="G45" i="17"/>
  <c r="G34" i="17"/>
  <c r="F45" i="17"/>
  <c r="F47" i="17"/>
  <c r="F30" i="17"/>
  <c r="F62" i="17"/>
  <c r="F32" i="17"/>
  <c r="F38" i="17"/>
  <c r="F34" i="17"/>
  <c r="P243" i="11"/>
  <c r="H230" i="14"/>
  <c r="P217" i="11"/>
  <c r="H243" i="14"/>
  <c r="H22" i="14"/>
  <c r="P149" i="11"/>
  <c r="P22" i="11"/>
  <c r="P24" i="11" s="1"/>
  <c r="P25" i="11" s="1"/>
  <c r="E47" i="17"/>
  <c r="E34" i="17"/>
  <c r="E45" i="17"/>
  <c r="E32" i="17"/>
  <c r="E30" i="17"/>
  <c r="E62" i="17"/>
  <c r="H22" i="15"/>
  <c r="H24" i="15" s="1"/>
  <c r="H25" i="15" s="1"/>
  <c r="H38" i="16"/>
  <c r="H40" i="16"/>
  <c r="H32" i="16"/>
  <c r="D22" i="14"/>
  <c r="D24" i="14" s="1"/>
  <c r="H83" i="14"/>
  <c r="H47" i="16"/>
  <c r="H30" i="16"/>
  <c r="H45" i="16"/>
  <c r="H83" i="13"/>
  <c r="H77" i="14"/>
  <c r="F58" i="16"/>
  <c r="F249" i="16" s="1"/>
  <c r="F42" i="16"/>
  <c r="H217" i="16"/>
  <c r="E42" i="16"/>
  <c r="E58" i="16"/>
  <c r="E249" i="16" s="1"/>
  <c r="D42" i="16"/>
  <c r="H41" i="16"/>
  <c r="H42" i="16" s="1"/>
  <c r="D58" i="16"/>
  <c r="D249" i="16" s="1"/>
  <c r="H92" i="16"/>
  <c r="H94" i="16" s="1"/>
  <c r="H83" i="16"/>
  <c r="G58" i="16"/>
  <c r="G249" i="16" s="1"/>
  <c r="G42" i="16"/>
  <c r="G58" i="15"/>
  <c r="G249" i="15" s="1"/>
  <c r="G42" i="15"/>
  <c r="E42" i="15"/>
  <c r="E58" i="15"/>
  <c r="E249" i="15" s="1"/>
  <c r="H62" i="15"/>
  <c r="H45" i="15"/>
  <c r="H34" i="15"/>
  <c r="H47" i="15"/>
  <c r="F58" i="15"/>
  <c r="F249" i="15" s="1"/>
  <c r="F42" i="15"/>
  <c r="H32" i="15"/>
  <c r="H217" i="15"/>
  <c r="D42" i="15"/>
  <c r="H41" i="15"/>
  <c r="H42" i="15" s="1"/>
  <c r="H30" i="15"/>
  <c r="H217" i="14"/>
  <c r="D42" i="14"/>
  <c r="H41" i="14"/>
  <c r="H42" i="14" s="1"/>
  <c r="D58" i="14"/>
  <c r="D249" i="14" s="1"/>
  <c r="G58" i="14"/>
  <c r="G249" i="14" s="1"/>
  <c r="G42" i="14"/>
  <c r="E42" i="14"/>
  <c r="E58" i="14"/>
  <c r="E249" i="14" s="1"/>
  <c r="F58" i="14"/>
  <c r="F249" i="14" s="1"/>
  <c r="F42" i="14"/>
  <c r="H259" i="14"/>
  <c r="H40" i="13"/>
  <c r="D42" i="13"/>
  <c r="H217" i="13"/>
  <c r="G58" i="13"/>
  <c r="G249" i="13" s="1"/>
  <c r="G42" i="13"/>
  <c r="E42" i="13"/>
  <c r="E58" i="13"/>
  <c r="E249" i="13" s="1"/>
  <c r="H94" i="13"/>
  <c r="H62" i="13"/>
  <c r="H47" i="13"/>
  <c r="H45" i="13"/>
  <c r="H34" i="13"/>
  <c r="H30" i="13"/>
  <c r="F42" i="13"/>
  <c r="F58" i="13"/>
  <c r="F249" i="13" s="1"/>
  <c r="H22" i="13"/>
  <c r="H24" i="13" s="1"/>
  <c r="H25" i="13" s="1"/>
  <c r="H243" i="12"/>
  <c r="H230" i="12"/>
  <c r="H149" i="12"/>
  <c r="G58" i="12"/>
  <c r="G249" i="12" s="1"/>
  <c r="E58" i="12"/>
  <c r="E249" i="12" s="1"/>
  <c r="E42" i="12"/>
  <c r="F42" i="12"/>
  <c r="F58" i="12"/>
  <c r="F249" i="12" s="1"/>
  <c r="H217" i="12"/>
  <c r="H77" i="12"/>
  <c r="D42" i="12"/>
  <c r="N259" i="11"/>
  <c r="P230" i="11"/>
  <c r="P76" i="11"/>
  <c r="P77" i="11" s="1"/>
  <c r="G259" i="11" l="1"/>
  <c r="P255" i="11"/>
  <c r="P259" i="11" s="1"/>
  <c r="E95" i="13"/>
  <c r="H90" i="13"/>
  <c r="H95" i="13" s="1"/>
  <c r="G41" i="17"/>
  <c r="G58" i="17" s="1"/>
  <c r="G60" i="17" s="1"/>
  <c r="H250" i="13"/>
  <c r="H41" i="12"/>
  <c r="H42" i="12" s="1"/>
  <c r="G38" i="17"/>
  <c r="E41" i="17"/>
  <c r="E42" i="17" s="1"/>
  <c r="H41" i="13"/>
  <c r="H42" i="13" s="1"/>
  <c r="H90" i="17"/>
  <c r="F41" i="17"/>
  <c r="F42" i="17" s="1"/>
  <c r="G255" i="16"/>
  <c r="G259" i="16" s="1"/>
  <c r="G42" i="11"/>
  <c r="N42" i="11"/>
  <c r="O42" i="11"/>
  <c r="P41" i="11"/>
  <c r="P42" i="11" s="1"/>
  <c r="I42" i="11"/>
  <c r="K42" i="11"/>
  <c r="J42" i="11"/>
  <c r="M42" i="11"/>
  <c r="L42" i="11"/>
  <c r="F77" i="17"/>
  <c r="F92" i="17"/>
  <c r="F94" i="17" s="1"/>
  <c r="G83" i="17"/>
  <c r="G93" i="17"/>
  <c r="G77" i="17"/>
  <c r="G92" i="17"/>
  <c r="E77" i="17"/>
  <c r="E92" i="17"/>
  <c r="E94" i="17" s="1"/>
  <c r="E99" i="17" s="1"/>
  <c r="E91" i="17"/>
  <c r="E256" i="17" s="1"/>
  <c r="E258" i="17" s="1"/>
  <c r="D25" i="14"/>
  <c r="H24" i="14"/>
  <c r="H25" i="14" s="1"/>
  <c r="G60" i="12"/>
  <c r="H95" i="16"/>
  <c r="D59" i="16"/>
  <c r="H58" i="16"/>
  <c r="H249" i="16" s="1"/>
  <c r="D60" i="16"/>
  <c r="G59" i="16"/>
  <c r="G60" i="16"/>
  <c r="E59" i="16"/>
  <c r="E60" i="16"/>
  <c r="F59" i="16"/>
  <c r="F60" i="16"/>
  <c r="E59" i="15"/>
  <c r="E60" i="15"/>
  <c r="H259" i="15"/>
  <c r="G59" i="15"/>
  <c r="G60" i="15"/>
  <c r="F59" i="15"/>
  <c r="F60" i="15"/>
  <c r="F59" i="14"/>
  <c r="F60" i="14"/>
  <c r="E59" i="14"/>
  <c r="E60" i="14"/>
  <c r="G59" i="14"/>
  <c r="G60" i="14"/>
  <c r="D59" i="14"/>
  <c r="H58" i="14"/>
  <c r="H249" i="14" s="1"/>
  <c r="D60" i="14"/>
  <c r="G59" i="13"/>
  <c r="G60" i="13"/>
  <c r="F59" i="13"/>
  <c r="F60" i="13"/>
  <c r="E59" i="13"/>
  <c r="E60" i="13"/>
  <c r="G59" i="12"/>
  <c r="E59" i="12"/>
  <c r="E60" i="12"/>
  <c r="F59" i="12"/>
  <c r="F60" i="12"/>
  <c r="H259" i="12"/>
  <c r="H94" i="12"/>
  <c r="H95" i="12" s="1"/>
  <c r="P94" i="11"/>
  <c r="P95" i="11" s="1"/>
  <c r="G42" i="17" l="1"/>
  <c r="G249" i="17"/>
  <c r="G59" i="17"/>
  <c r="E58" i="17"/>
  <c r="E249" i="17" s="1"/>
  <c r="F58" i="17"/>
  <c r="F249" i="17" s="1"/>
  <c r="F95" i="17"/>
  <c r="F255" i="17" s="1"/>
  <c r="F259" i="17" s="1"/>
  <c r="F99" i="17"/>
  <c r="G94" i="17"/>
  <c r="E95" i="17"/>
  <c r="E255" i="17" s="1"/>
  <c r="E259" i="17" s="1"/>
  <c r="H59" i="16"/>
  <c r="H60" i="16"/>
  <c r="H59" i="14"/>
  <c r="H60" i="14"/>
  <c r="E60" i="17" l="1"/>
  <c r="E59" i="17"/>
  <c r="F60" i="17"/>
  <c r="F59" i="17"/>
  <c r="G95" i="17"/>
  <c r="G255" i="17" s="1"/>
  <c r="G259" i="17" s="1"/>
  <c r="G99" i="17"/>
  <c r="H123" i="12"/>
  <c r="D229" i="1"/>
  <c r="P228" i="1"/>
  <c r="D228" i="17" s="1"/>
  <c r="H228" i="17" s="1"/>
  <c r="P227" i="1"/>
  <c r="D227" i="17" s="1"/>
  <c r="H227" i="17" s="1"/>
  <c r="P226" i="1"/>
  <c r="D226" i="17" s="1"/>
  <c r="H226" i="17" s="1"/>
  <c r="P225" i="1"/>
  <c r="D225" i="17" s="1"/>
  <c r="D111" i="1"/>
  <c r="P104" i="1"/>
  <c r="D104" i="17" s="1"/>
  <c r="H104" i="17" s="1"/>
  <c r="D105" i="1"/>
  <c r="D117" i="1"/>
  <c r="D118" i="1" l="1"/>
  <c r="D119" i="1" s="1"/>
  <c r="P111" i="1"/>
  <c r="P105" i="1"/>
  <c r="P229" i="1"/>
  <c r="D229" i="17"/>
  <c r="H225" i="17"/>
  <c r="P187" i="1"/>
  <c r="D187" i="17" s="1"/>
  <c r="H187" i="17" s="1"/>
  <c r="P186" i="1"/>
  <c r="D186" i="17" s="1"/>
  <c r="H186" i="17" s="1"/>
  <c r="P185" i="1"/>
  <c r="D185" i="17" s="1"/>
  <c r="H185" i="17" s="1"/>
  <c r="P184" i="1"/>
  <c r="D184" i="17" s="1"/>
  <c r="H184" i="17" s="1"/>
  <c r="D193" i="1"/>
  <c r="H229" i="17" l="1"/>
  <c r="P247" i="1"/>
  <c r="D247" i="1"/>
  <c r="P117" i="1"/>
  <c r="P118" i="1" s="1"/>
  <c r="P119" i="1" s="1"/>
  <c r="P98" i="1"/>
  <c r="D98" i="17" s="1"/>
  <c r="H98" i="17" s="1"/>
  <c r="D94" i="1"/>
  <c r="D95" i="1" s="1"/>
  <c r="D255" i="1" s="1"/>
  <c r="P68" i="1"/>
  <c r="D68" i="17" s="1"/>
  <c r="P69" i="1"/>
  <c r="D69" i="17" s="1"/>
  <c r="D21" i="1"/>
  <c r="P9" i="1"/>
  <c r="P13" i="1"/>
  <c r="P18" i="1"/>
  <c r="D38" i="1"/>
  <c r="D40" i="1"/>
  <c r="D45" i="1"/>
  <c r="D47" i="1"/>
  <c r="E58" i="11"/>
  <c r="E249" i="11" s="1"/>
  <c r="F58" i="11"/>
  <c r="F249" i="11" s="1"/>
  <c r="H58" i="11"/>
  <c r="H249" i="11" s="1"/>
  <c r="I58" i="11"/>
  <c r="I249" i="11" s="1"/>
  <c r="K58" i="11"/>
  <c r="K249" i="11" s="1"/>
  <c r="L58" i="11"/>
  <c r="L249" i="11" s="1"/>
  <c r="M58" i="11"/>
  <c r="M249" i="11" s="1"/>
  <c r="N58" i="11"/>
  <c r="N249" i="11" s="1"/>
  <c r="O58" i="11"/>
  <c r="O249" i="11" s="1"/>
  <c r="P61" i="1"/>
  <c r="D61" i="17" s="1"/>
  <c r="P66" i="1"/>
  <c r="P78" i="1"/>
  <c r="P84" i="1"/>
  <c r="P101" i="1"/>
  <c r="D101" i="17" s="1"/>
  <c r="H101" i="17" s="1"/>
  <c r="P102" i="1"/>
  <c r="D102" i="17" s="1"/>
  <c r="H102" i="17" s="1"/>
  <c r="P103" i="1"/>
  <c r="D103" i="17" s="1"/>
  <c r="H103" i="17" s="1"/>
  <c r="P107" i="1"/>
  <c r="D107" i="17" s="1"/>
  <c r="H107" i="17" s="1"/>
  <c r="P108" i="1"/>
  <c r="D108" i="17" s="1"/>
  <c r="H108" i="17" s="1"/>
  <c r="P109" i="1"/>
  <c r="D109" i="17" s="1"/>
  <c r="H109" i="17" s="1"/>
  <c r="P110" i="1"/>
  <c r="D110" i="17" s="1"/>
  <c r="H110" i="17" s="1"/>
  <c r="P121" i="1"/>
  <c r="D121" i="17" s="1"/>
  <c r="P122" i="1"/>
  <c r="D122" i="17" s="1"/>
  <c r="D123" i="1"/>
  <c r="P125" i="1"/>
  <c r="D125" i="17" s="1"/>
  <c r="P130" i="1"/>
  <c r="D130" i="17" s="1"/>
  <c r="H130" i="17" s="1"/>
  <c r="P140" i="1"/>
  <c r="D140" i="17" s="1"/>
  <c r="H140" i="17" s="1"/>
  <c r="D258" i="1"/>
  <c r="D13" i="17" l="1"/>
  <c r="H13" i="17" s="1"/>
  <c r="D9" i="17"/>
  <c r="H9" i="17" s="1"/>
  <c r="D255" i="13"/>
  <c r="D259" i="13" s="1"/>
  <c r="D123" i="17"/>
  <c r="I60" i="11"/>
  <c r="I59" i="11"/>
  <c r="H60" i="11"/>
  <c r="H59" i="11"/>
  <c r="D52" i="12"/>
  <c r="J58" i="11"/>
  <c r="J249" i="11" s="1"/>
  <c r="D52" i="15"/>
  <c r="O60" i="11"/>
  <c r="O59" i="11"/>
  <c r="G58" i="11"/>
  <c r="G249" i="11" s="1"/>
  <c r="D52" i="13"/>
  <c r="K59" i="11"/>
  <c r="K60" i="11"/>
  <c r="N60" i="11"/>
  <c r="N59" i="11"/>
  <c r="F60" i="11"/>
  <c r="F59" i="11"/>
  <c r="L59" i="11"/>
  <c r="L60" i="11"/>
  <c r="M60" i="11"/>
  <c r="M59" i="11"/>
  <c r="E59" i="11"/>
  <c r="E60" i="11"/>
  <c r="H125" i="17"/>
  <c r="H111" i="17"/>
  <c r="H118" i="17" s="1"/>
  <c r="H105" i="17"/>
  <c r="D105" i="17"/>
  <c r="D111" i="17"/>
  <c r="D118" i="17" s="1"/>
  <c r="D18" i="17"/>
  <c r="H18" i="17" s="1"/>
  <c r="H69" i="17"/>
  <c r="D70" i="17"/>
  <c r="H68" i="17"/>
  <c r="P70" i="1"/>
  <c r="D216" i="1"/>
  <c r="M24" i="11"/>
  <c r="M25" i="11" s="1"/>
  <c r="D242" i="1"/>
  <c r="D204" i="1"/>
  <c r="D223" i="1"/>
  <c r="D41" i="1"/>
  <c r="D58" i="1" s="1"/>
  <c r="P90" i="1"/>
  <c r="P135" i="1"/>
  <c r="P136" i="1"/>
  <c r="D136" i="17" s="1"/>
  <c r="H136" i="17" s="1"/>
  <c r="P127" i="1"/>
  <c r="D127" i="17" s="1"/>
  <c r="H127" i="17" s="1"/>
  <c r="P162" i="1"/>
  <c r="D162" i="17" s="1"/>
  <c r="H162" i="17" s="1"/>
  <c r="P133" i="1"/>
  <c r="D133" i="17" s="1"/>
  <c r="H133" i="17" s="1"/>
  <c r="P209" i="1"/>
  <c r="D209" i="17" s="1"/>
  <c r="H209" i="17" s="1"/>
  <c r="P191" i="1"/>
  <c r="D191" i="17" s="1"/>
  <c r="H191" i="17" s="1"/>
  <c r="P172" i="1"/>
  <c r="D172" i="17" s="1"/>
  <c r="H172" i="17" s="1"/>
  <c r="P46" i="1"/>
  <c r="D46" i="17" s="1"/>
  <c r="H46" i="17" s="1"/>
  <c r="P29" i="1"/>
  <c r="D29" i="17" s="1"/>
  <c r="P190" i="1"/>
  <c r="D190" i="17" s="1"/>
  <c r="H190" i="17" s="1"/>
  <c r="P171" i="1"/>
  <c r="D171" i="17" s="1"/>
  <c r="H171" i="17" s="1"/>
  <c r="P219" i="1"/>
  <c r="D219" i="17" s="1"/>
  <c r="P192" i="1"/>
  <c r="D192" i="17" s="1"/>
  <c r="H192" i="17" s="1"/>
  <c r="P160" i="1"/>
  <c r="D160" i="17" s="1"/>
  <c r="H160" i="17" s="1"/>
  <c r="P180" i="1"/>
  <c r="D180" i="17" s="1"/>
  <c r="H180" i="17" s="1"/>
  <c r="P220" i="1"/>
  <c r="D220" i="17" s="1"/>
  <c r="H220" i="17" s="1"/>
  <c r="P194" i="1"/>
  <c r="D194" i="17" s="1"/>
  <c r="H194" i="17" s="1"/>
  <c r="P174" i="1"/>
  <c r="D174" i="17" s="1"/>
  <c r="H174" i="17" s="1"/>
  <c r="P161" i="1"/>
  <c r="D161" i="17" s="1"/>
  <c r="H161" i="17" s="1"/>
  <c r="P126" i="1"/>
  <c r="D126" i="17" s="1"/>
  <c r="P81" i="1"/>
  <c r="P233" i="1"/>
  <c r="D233" i="17" s="1"/>
  <c r="H233" i="17" s="1"/>
  <c r="P206" i="1"/>
  <c r="D206" i="17" s="1"/>
  <c r="P197" i="1"/>
  <c r="D197" i="17" s="1"/>
  <c r="H197" i="17" s="1"/>
  <c r="P177" i="1"/>
  <c r="D177" i="17" s="1"/>
  <c r="H177" i="17" s="1"/>
  <c r="P163" i="1"/>
  <c r="D163" i="17" s="1"/>
  <c r="H163" i="17" s="1"/>
  <c r="P137" i="1"/>
  <c r="D137" i="17" s="1"/>
  <c r="H137" i="17" s="1"/>
  <c r="P128" i="1"/>
  <c r="D128" i="17" s="1"/>
  <c r="H128" i="17" s="1"/>
  <c r="P85" i="1"/>
  <c r="D85" i="17" s="1"/>
  <c r="D73" i="17"/>
  <c r="P253" i="1"/>
  <c r="D253" i="17" s="1"/>
  <c r="H253" i="17" s="1"/>
  <c r="P207" i="1"/>
  <c r="D207" i="17" s="1"/>
  <c r="H207" i="17" s="1"/>
  <c r="P164" i="1"/>
  <c r="D164" i="17" s="1"/>
  <c r="H164" i="17" s="1"/>
  <c r="P138" i="1"/>
  <c r="D138" i="17" s="1"/>
  <c r="H138" i="17" s="1"/>
  <c r="P79" i="1"/>
  <c r="D79" i="17" s="1"/>
  <c r="P56" i="1"/>
  <c r="D56" i="17" s="1"/>
  <c r="H56" i="17" s="1"/>
  <c r="P49" i="1"/>
  <c r="D49" i="17" s="1"/>
  <c r="H49" i="17" s="1"/>
  <c r="P44" i="1"/>
  <c r="D44" i="17" s="1"/>
  <c r="H44" i="17" s="1"/>
  <c r="P39" i="1"/>
  <c r="D39" i="17" s="1"/>
  <c r="H39" i="17" s="1"/>
  <c r="P254" i="1"/>
  <c r="D254" i="17" s="1"/>
  <c r="H254" i="17" s="1"/>
  <c r="P234" i="1"/>
  <c r="D234" i="17" s="1"/>
  <c r="H234" i="17" s="1"/>
  <c r="P208" i="1"/>
  <c r="D208" i="17" s="1"/>
  <c r="H208" i="17" s="1"/>
  <c r="P165" i="1"/>
  <c r="D165" i="17" s="1"/>
  <c r="H165" i="17" s="1"/>
  <c r="P153" i="1"/>
  <c r="D153" i="17" s="1"/>
  <c r="P63" i="1"/>
  <c r="D63" i="17" s="1"/>
  <c r="H63" i="17" s="1"/>
  <c r="P50" i="1"/>
  <c r="D50" i="17" s="1"/>
  <c r="H50" i="17" s="1"/>
  <c r="P175" i="1"/>
  <c r="D175" i="17" s="1"/>
  <c r="H175" i="17" s="1"/>
  <c r="P167" i="1"/>
  <c r="D167" i="17" s="1"/>
  <c r="H167" i="17" s="1"/>
  <c r="P154" i="1"/>
  <c r="D154" i="17" s="1"/>
  <c r="H154" i="17" s="1"/>
  <c r="P123" i="1"/>
  <c r="P54" i="1"/>
  <c r="D54" i="17" s="1"/>
  <c r="H54" i="17" s="1"/>
  <c r="P51" i="1"/>
  <c r="D51" i="17" s="1"/>
  <c r="H51" i="17" s="1"/>
  <c r="P31" i="1"/>
  <c r="D31" i="17" s="1"/>
  <c r="H31" i="17" s="1"/>
  <c r="P11" i="1"/>
  <c r="P232" i="1"/>
  <c r="D232" i="17" s="1"/>
  <c r="P181" i="1"/>
  <c r="D181" i="17" s="1"/>
  <c r="H181" i="17" s="1"/>
  <c r="P168" i="1"/>
  <c r="D168" i="17" s="1"/>
  <c r="H168" i="17" s="1"/>
  <c r="P52" i="1"/>
  <c r="D52" i="17" s="1"/>
  <c r="H52" i="17" s="1"/>
  <c r="P19" i="1"/>
  <c r="P222" i="1"/>
  <c r="D222" i="17" s="1"/>
  <c r="H222" i="17" s="1"/>
  <c r="P182" i="1"/>
  <c r="D182" i="17" s="1"/>
  <c r="H182" i="17" s="1"/>
  <c r="P178" i="1"/>
  <c r="D178" i="17" s="1"/>
  <c r="H178" i="17" s="1"/>
  <c r="P169" i="1"/>
  <c r="D169" i="17" s="1"/>
  <c r="H169" i="17" s="1"/>
  <c r="P20" i="1"/>
  <c r="P221" i="1"/>
  <c r="D221" i="17" s="1"/>
  <c r="H221" i="17" s="1"/>
  <c r="P195" i="1"/>
  <c r="D195" i="17" s="1"/>
  <c r="H195" i="17" s="1"/>
  <c r="P189" i="1"/>
  <c r="D189" i="17" s="1"/>
  <c r="H189" i="17" s="1"/>
  <c r="P179" i="1"/>
  <c r="D179" i="17" s="1"/>
  <c r="H179" i="17" s="1"/>
  <c r="P173" i="1"/>
  <c r="D173" i="17" s="1"/>
  <c r="H173" i="17" s="1"/>
  <c r="P170" i="1"/>
  <c r="D170" i="17" s="1"/>
  <c r="H170" i="17" s="1"/>
  <c r="P55" i="1"/>
  <c r="D55" i="17" s="1"/>
  <c r="H55" i="17" s="1"/>
  <c r="P159" i="1"/>
  <c r="D159" i="17" s="1"/>
  <c r="H159" i="17" s="1"/>
  <c r="P132" i="1"/>
  <c r="D132" i="17" s="1"/>
  <c r="H132" i="17" s="1"/>
  <c r="P257" i="1"/>
  <c r="D257" i="17" s="1"/>
  <c r="H257" i="17" s="1"/>
  <c r="P158" i="1"/>
  <c r="D158" i="17" s="1"/>
  <c r="H158" i="17" s="1"/>
  <c r="P143" i="1"/>
  <c r="D143" i="17" s="1"/>
  <c r="H143" i="17" s="1"/>
  <c r="P131" i="1"/>
  <c r="D131" i="17" s="1"/>
  <c r="H131" i="17" s="1"/>
  <c r="P67" i="1"/>
  <c r="D67" i="17" s="1"/>
  <c r="P37" i="1"/>
  <c r="D37" i="17" s="1"/>
  <c r="H37" i="17" s="1"/>
  <c r="P203" i="1"/>
  <c r="D203" i="17" s="1"/>
  <c r="H203" i="17" s="1"/>
  <c r="P157" i="1"/>
  <c r="D157" i="17" s="1"/>
  <c r="H157" i="17" s="1"/>
  <c r="P142" i="1"/>
  <c r="D142" i="17" s="1"/>
  <c r="H142" i="17" s="1"/>
  <c r="P241" i="1"/>
  <c r="D241" i="17" s="1"/>
  <c r="H241" i="17" s="1"/>
  <c r="P215" i="1"/>
  <c r="D215" i="17" s="1"/>
  <c r="H215" i="17" s="1"/>
  <c r="P202" i="1"/>
  <c r="D202" i="17" s="1"/>
  <c r="H202" i="17" s="1"/>
  <c r="P156" i="1"/>
  <c r="D156" i="17" s="1"/>
  <c r="H156" i="17" s="1"/>
  <c r="P141" i="1"/>
  <c r="D141" i="17" s="1"/>
  <c r="H141" i="17" s="1"/>
  <c r="P33" i="1"/>
  <c r="D33" i="17" s="1"/>
  <c r="H33" i="17" s="1"/>
  <c r="P240" i="1"/>
  <c r="D240" i="17" s="1"/>
  <c r="H240" i="17" s="1"/>
  <c r="P214" i="1"/>
  <c r="D214" i="17" s="1"/>
  <c r="H214" i="17" s="1"/>
  <c r="P201" i="1"/>
  <c r="D201" i="17" s="1"/>
  <c r="H201" i="17" s="1"/>
  <c r="P155" i="1"/>
  <c r="D155" i="17" s="1"/>
  <c r="H155" i="17" s="1"/>
  <c r="P17" i="1"/>
  <c r="P239" i="1"/>
  <c r="D239" i="17" s="1"/>
  <c r="H239" i="17" s="1"/>
  <c r="P213" i="1"/>
  <c r="D213" i="17" s="1"/>
  <c r="H213" i="17" s="1"/>
  <c r="P200" i="1"/>
  <c r="D200" i="17" s="1"/>
  <c r="H200" i="17" s="1"/>
  <c r="P238" i="1"/>
  <c r="D238" i="17" s="1"/>
  <c r="P212" i="1"/>
  <c r="D212" i="17" s="1"/>
  <c r="P199" i="1"/>
  <c r="D199" i="17" s="1"/>
  <c r="P14" i="1"/>
  <c r="P235" i="1"/>
  <c r="D235" i="17" s="1"/>
  <c r="H235" i="17" s="1"/>
  <c r="D210" i="1"/>
  <c r="P12" i="1"/>
  <c r="D62" i="17" l="1"/>
  <c r="D30" i="17"/>
  <c r="H255" i="13"/>
  <c r="H259" i="13" s="1"/>
  <c r="D11" i="17"/>
  <c r="H11" i="17" s="1"/>
  <c r="D14" i="17"/>
  <c r="H14" i="17" s="1"/>
  <c r="D12" i="17"/>
  <c r="H12" i="17" s="1"/>
  <c r="K24" i="11"/>
  <c r="K25" i="11" s="1"/>
  <c r="I24" i="11"/>
  <c r="I25" i="11" s="1"/>
  <c r="J24" i="11"/>
  <c r="J25" i="11" s="1"/>
  <c r="L24" i="11"/>
  <c r="L25" i="11" s="1"/>
  <c r="N24" i="11"/>
  <c r="N25" i="11" s="1"/>
  <c r="D250" i="1"/>
  <c r="D251" i="1"/>
  <c r="O24" i="11"/>
  <c r="O25" i="11" s="1"/>
  <c r="H24" i="11"/>
  <c r="H25" i="11" s="1"/>
  <c r="G24" i="11"/>
  <c r="G25" i="11" s="1"/>
  <c r="F24" i="11"/>
  <c r="F25" i="11" s="1"/>
  <c r="E24" i="11"/>
  <c r="E25" i="11" s="1"/>
  <c r="D38" i="17"/>
  <c r="H52" i="13"/>
  <c r="D58" i="13"/>
  <c r="D249" i="13" s="1"/>
  <c r="P52" i="11"/>
  <c r="D58" i="11"/>
  <c r="D249" i="11" s="1"/>
  <c r="G59" i="11"/>
  <c r="G60" i="11"/>
  <c r="H52" i="15"/>
  <c r="D58" i="15"/>
  <c r="H52" i="12"/>
  <c r="D58" i="12"/>
  <c r="D249" i="12" s="1"/>
  <c r="J59" i="11"/>
  <c r="J60" i="11"/>
  <c r="P145" i="1"/>
  <c r="D135" i="17"/>
  <c r="D139" i="17" s="1"/>
  <c r="H148" i="17"/>
  <c r="D119" i="17"/>
  <c r="P256" i="1"/>
  <c r="P258" i="1" s="1"/>
  <c r="D256" i="16"/>
  <c r="D40" i="17"/>
  <c r="H144" i="17"/>
  <c r="H134" i="17"/>
  <c r="H147" i="17"/>
  <c r="H119" i="17"/>
  <c r="D19" i="17"/>
  <c r="H19" i="17" s="1"/>
  <c r="D20" i="17"/>
  <c r="H20" i="17" s="1"/>
  <c r="D17" i="17"/>
  <c r="H17" i="17" s="1"/>
  <c r="D204" i="17"/>
  <c r="H204" i="17" s="1"/>
  <c r="H199" i="17"/>
  <c r="H70" i="17"/>
  <c r="D134" i="17"/>
  <c r="D129" i="17"/>
  <c r="H126" i="17"/>
  <c r="D144" i="17"/>
  <c r="D148" i="17"/>
  <c r="D147" i="17"/>
  <c r="D146" i="17"/>
  <c r="H85" i="17"/>
  <c r="P82" i="1"/>
  <c r="P83" i="1" s="1"/>
  <c r="D81" i="17"/>
  <c r="D82" i="17" s="1"/>
  <c r="H79" i="17"/>
  <c r="D74" i="17"/>
  <c r="D76" i="17" s="1"/>
  <c r="H73" i="17"/>
  <c r="D91" i="17"/>
  <c r="H67" i="17"/>
  <c r="D71" i="17"/>
  <c r="D193" i="17"/>
  <c r="H153" i="17"/>
  <c r="H193" i="17" s="1"/>
  <c r="D47" i="17"/>
  <c r="D45" i="17"/>
  <c r="D34" i="17"/>
  <c r="D32" i="17"/>
  <c r="H29" i="17"/>
  <c r="H30" i="17" s="1"/>
  <c r="D41" i="17"/>
  <c r="D242" i="17"/>
  <c r="H238" i="17"/>
  <c r="H242" i="17" s="1"/>
  <c r="D236" i="17"/>
  <c r="H232" i="17"/>
  <c r="H236" i="17" s="1"/>
  <c r="D223" i="17"/>
  <c r="H219" i="17"/>
  <c r="D210" i="17"/>
  <c r="H206" i="17"/>
  <c r="D216" i="17"/>
  <c r="H212" i="17"/>
  <c r="H32" i="17"/>
  <c r="H38" i="17"/>
  <c r="H47" i="17"/>
  <c r="H34" i="17"/>
  <c r="H40" i="17"/>
  <c r="H45" i="17"/>
  <c r="D230" i="1"/>
  <c r="P71" i="1"/>
  <c r="D217" i="1"/>
  <c r="P147" i="1"/>
  <c r="P21" i="1"/>
  <c r="P139" i="1"/>
  <c r="D42" i="1"/>
  <c r="P236" i="1"/>
  <c r="P41" i="1"/>
  <c r="P42" i="1" s="1"/>
  <c r="D59" i="1"/>
  <c r="P91" i="1"/>
  <c r="P242" i="1"/>
  <c r="P15" i="1"/>
  <c r="P204" i="1"/>
  <c r="P193" i="1"/>
  <c r="P129" i="1"/>
  <c r="P144" i="1"/>
  <c r="P89" i="1"/>
  <c r="D22" i="1"/>
  <c r="D24" i="1" s="1"/>
  <c r="P38" i="1"/>
  <c r="P45" i="1"/>
  <c r="P62" i="1"/>
  <c r="P32" i="1"/>
  <c r="P30" i="1"/>
  <c r="P47" i="1"/>
  <c r="P34" i="1"/>
  <c r="P216" i="1"/>
  <c r="P134" i="1"/>
  <c r="P148" i="1"/>
  <c r="P40" i="1"/>
  <c r="D259" i="1"/>
  <c r="P92" i="1"/>
  <c r="P210" i="1"/>
  <c r="P223" i="1"/>
  <c r="P146" i="1"/>
  <c r="D15" i="17" l="1"/>
  <c r="H15" i="17"/>
  <c r="D25" i="1"/>
  <c r="D24" i="11"/>
  <c r="D25" i="11" s="1"/>
  <c r="D60" i="11"/>
  <c r="P58" i="11"/>
  <c r="P249" i="11" s="1"/>
  <c r="D59" i="11"/>
  <c r="H58" i="12"/>
  <c r="H249" i="12" s="1"/>
  <c r="D60" i="12"/>
  <c r="D59" i="12"/>
  <c r="D59" i="13"/>
  <c r="H58" i="13"/>
  <c r="H249" i="13" s="1"/>
  <c r="D60" i="13"/>
  <c r="D249" i="15"/>
  <c r="D60" i="15"/>
  <c r="D59" i="15"/>
  <c r="H58" i="15"/>
  <c r="H135" i="17"/>
  <c r="D145" i="17"/>
  <c r="D149" i="17" s="1"/>
  <c r="D258" i="16"/>
  <c r="H256" i="16"/>
  <c r="H258" i="16" s="1"/>
  <c r="H129" i="17"/>
  <c r="H146" i="17"/>
  <c r="H87" i="17"/>
  <c r="H89" i="17" s="1"/>
  <c r="D88" i="17"/>
  <c r="D89" i="17" s="1"/>
  <c r="P255" i="1"/>
  <c r="P259" i="1" s="1"/>
  <c r="D255" i="16"/>
  <c r="H21" i="17"/>
  <c r="D21" i="17"/>
  <c r="H71" i="17"/>
  <c r="D83" i="17"/>
  <c r="H81" i="17"/>
  <c r="D93" i="17"/>
  <c r="H93" i="17" s="1"/>
  <c r="D77" i="17"/>
  <c r="H74" i="17"/>
  <c r="H76" i="17" s="1"/>
  <c r="D92" i="17"/>
  <c r="D256" i="17"/>
  <c r="H91" i="17"/>
  <c r="H41" i="17"/>
  <c r="H42" i="17" s="1"/>
  <c r="D58" i="17"/>
  <c r="D42" i="17"/>
  <c r="H223" i="17"/>
  <c r="D230" i="17"/>
  <c r="D250" i="17"/>
  <c r="D251" i="17"/>
  <c r="H210" i="17"/>
  <c r="D243" i="1"/>
  <c r="D249" i="1" s="1"/>
  <c r="P230" i="1"/>
  <c r="D217" i="17"/>
  <c r="H216" i="17"/>
  <c r="P251" i="1"/>
  <c r="P250" i="1"/>
  <c r="P243" i="1"/>
  <c r="P94" i="1"/>
  <c r="P95" i="1" s="1"/>
  <c r="P217" i="1"/>
  <c r="P22" i="1"/>
  <c r="P24" i="1" s="1"/>
  <c r="P25" i="1" s="1"/>
  <c r="D60" i="1"/>
  <c r="P149" i="1"/>
  <c r="P58" i="1"/>
  <c r="D22" i="17" l="1"/>
  <c r="D24" i="17" s="1"/>
  <c r="D25" i="17" s="1"/>
  <c r="H22" i="17"/>
  <c r="H24" i="17" s="1"/>
  <c r="H25" i="17" s="1"/>
  <c r="H88" i="17"/>
  <c r="H249" i="15"/>
  <c r="H59" i="15"/>
  <c r="H60" i="15"/>
  <c r="H59" i="12"/>
  <c r="H60" i="12"/>
  <c r="H60" i="13"/>
  <c r="H59" i="13"/>
  <c r="P59" i="11"/>
  <c r="P60" i="11"/>
  <c r="H145" i="17"/>
  <c r="H139" i="17"/>
  <c r="H149" i="17" s="1"/>
  <c r="H255" i="16"/>
  <c r="H259" i="16" s="1"/>
  <c r="D259" i="16"/>
  <c r="H82" i="17"/>
  <c r="H83" i="17" s="1"/>
  <c r="H92" i="17"/>
  <c r="D94" i="17"/>
  <c r="H77" i="17"/>
  <c r="D258" i="17"/>
  <c r="H256" i="17"/>
  <c r="H258" i="17" s="1"/>
  <c r="H58" i="17"/>
  <c r="H59" i="17" s="1"/>
  <c r="D59" i="17"/>
  <c r="D243" i="17"/>
  <c r="D249" i="17" s="1"/>
  <c r="H230" i="17"/>
  <c r="H251" i="17"/>
  <c r="H250" i="17"/>
  <c r="H243" i="17"/>
  <c r="H217" i="17"/>
  <c r="P249" i="1"/>
  <c r="P60" i="1"/>
  <c r="P59" i="1"/>
  <c r="D60" i="17" l="1"/>
  <c r="D95" i="17"/>
  <c r="D255" i="17" s="1"/>
  <c r="D259" i="17" s="1"/>
  <c r="D99" i="17"/>
  <c r="H94" i="17"/>
  <c r="H95" i="17" s="1"/>
  <c r="H249" i="17"/>
  <c r="H60" i="17"/>
  <c r="H255" i="17" l="1"/>
  <c r="H259" i="17" s="1"/>
</calcChain>
</file>

<file path=xl/sharedStrings.xml><?xml version="1.0" encoding="utf-8"?>
<sst xmlns="http://schemas.openxmlformats.org/spreadsheetml/2006/main" count="5397" uniqueCount="225">
  <si>
    <t>Days</t>
  </si>
  <si>
    <t>Response time to queries</t>
  </si>
  <si>
    <t>Total time taken to resolve queries</t>
  </si>
  <si>
    <t>No</t>
  </si>
  <si>
    <t>Total number of queries received</t>
  </si>
  <si>
    <t>CUSTOMER SERVICE QUALITY</t>
  </si>
  <si>
    <t>%</t>
  </si>
  <si>
    <t>Connectivity Rate</t>
  </si>
  <si>
    <t>Connection days</t>
  </si>
  <si>
    <t>Total number of days taken to connect paid up customers</t>
  </si>
  <si>
    <t>Total number of paid up new water applicants</t>
  </si>
  <si>
    <t>Total number of customers fully paid</t>
  </si>
  <si>
    <t>Total number of days taken to give a quotation</t>
  </si>
  <si>
    <t>Total number of customers applied for new connection</t>
  </si>
  <si>
    <t>CONNECTIVITY RATE</t>
  </si>
  <si>
    <t>Collection/Total Sales</t>
  </si>
  <si>
    <t>Operational Cost/Sales</t>
  </si>
  <si>
    <t>PERFORMANCE INDICATORS</t>
  </si>
  <si>
    <t>MK</t>
  </si>
  <si>
    <t>Total Meter Rental</t>
  </si>
  <si>
    <t>Meter Rental Commercial/Industrial</t>
  </si>
  <si>
    <t>Meter Rental Institutions</t>
  </si>
  <si>
    <t>Meter Rental CWP</t>
  </si>
  <si>
    <t>Meter Rental Individual</t>
  </si>
  <si>
    <t>METER RENTAL</t>
  </si>
  <si>
    <t>Total Service Charge</t>
  </si>
  <si>
    <t>Service Charge Commercial/Industrial</t>
  </si>
  <si>
    <t>Service Charge Institutions</t>
  </si>
  <si>
    <t>Service Charge CWP</t>
  </si>
  <si>
    <t>Service Charge Individual</t>
  </si>
  <si>
    <t>SERVICE CHARGES</t>
  </si>
  <si>
    <t>Mk</t>
  </si>
  <si>
    <t>Amount Billed Commercial/Industrial</t>
  </si>
  <si>
    <t>Amount Billed Institutions</t>
  </si>
  <si>
    <t>Amount Billed CWP</t>
  </si>
  <si>
    <t>Amount Billed Individual</t>
  </si>
  <si>
    <t>Total Amount Billed Postpaid</t>
  </si>
  <si>
    <t>AMOUNT BILLED POSTPAID</t>
  </si>
  <si>
    <t>TOTAL CASH COLLECTED</t>
  </si>
  <si>
    <t>Total Cash Collected Prepaid</t>
  </si>
  <si>
    <t>Cash collected Institutions</t>
  </si>
  <si>
    <t>Cash Collected Commercial/Industrial</t>
  </si>
  <si>
    <t>Cash Collected CWP</t>
  </si>
  <si>
    <t>Cash Collected Individuals</t>
  </si>
  <si>
    <t>CASH COLLECTED PREPAID</t>
  </si>
  <si>
    <t>Total Cash Collected Post Paid</t>
  </si>
  <si>
    <t>CASH COLLECTED POSTPAID</t>
  </si>
  <si>
    <t>m</t>
  </si>
  <si>
    <t>Total development lines done</t>
  </si>
  <si>
    <t>110mm</t>
  </si>
  <si>
    <t>90mm</t>
  </si>
  <si>
    <t>63mm</t>
  </si>
  <si>
    <t>50mm</t>
  </si>
  <si>
    <t>32mm</t>
  </si>
  <si>
    <t>Pipes (PVC, GI, DI)</t>
  </si>
  <si>
    <t>Hrs</t>
  </si>
  <si>
    <t>Power Failure</t>
  </si>
  <si>
    <t>No.</t>
  </si>
  <si>
    <t>Pump Failure</t>
  </si>
  <si>
    <t>Total Breakdowns</t>
  </si>
  <si>
    <t>150mm</t>
  </si>
  <si>
    <t>100mm</t>
  </si>
  <si>
    <t>75mm</t>
  </si>
  <si>
    <r>
      <rPr>
        <b/>
        <sz val="10"/>
        <rFont val="Arial"/>
        <family val="2"/>
      </rPr>
      <t>Ø</t>
    </r>
    <r>
      <rPr>
        <b/>
        <i/>
        <sz val="10"/>
        <rFont val="Arial"/>
        <family val="2"/>
      </rPr>
      <t>Size</t>
    </r>
  </si>
  <si>
    <t>AC</t>
  </si>
  <si>
    <t>525mm</t>
  </si>
  <si>
    <t>350mm</t>
  </si>
  <si>
    <t>300mm</t>
  </si>
  <si>
    <t>250mm</t>
  </si>
  <si>
    <t>200mm</t>
  </si>
  <si>
    <t>DI</t>
  </si>
  <si>
    <t>40mm</t>
  </si>
  <si>
    <t>25mm</t>
  </si>
  <si>
    <t>20mm</t>
  </si>
  <si>
    <t>15mm</t>
  </si>
  <si>
    <t>GI</t>
  </si>
  <si>
    <t>315mm</t>
  </si>
  <si>
    <t>160mm</t>
  </si>
  <si>
    <t>PVC</t>
  </si>
  <si>
    <t>Pipe  Burst</t>
  </si>
  <si>
    <t>BREAKDOWNS</t>
  </si>
  <si>
    <t>Carried Forward</t>
  </si>
  <si>
    <t>Replaced</t>
  </si>
  <si>
    <t>Repaired</t>
  </si>
  <si>
    <t>New</t>
  </si>
  <si>
    <t>Brought Forward</t>
  </si>
  <si>
    <t xml:space="preserve">Aggregated Stuck Meters </t>
  </si>
  <si>
    <t xml:space="preserve">Stuck Individual Meters </t>
  </si>
  <si>
    <t xml:space="preserve">Repaired </t>
  </si>
  <si>
    <t>Stuck Meters CWP</t>
  </si>
  <si>
    <t>Stuck Master (Commercial / Industrial Meters)</t>
  </si>
  <si>
    <t>Stuck Master (institutional Meters)</t>
  </si>
  <si>
    <t>STUCK METERS</t>
  </si>
  <si>
    <t>% of Population Supplied</t>
  </si>
  <si>
    <t>Population Supplied</t>
  </si>
  <si>
    <t>Population in Supply Area</t>
  </si>
  <si>
    <t>Total Active Prepaid Consumers</t>
  </si>
  <si>
    <t>Total Active Postpaid Consumers</t>
  </si>
  <si>
    <t>Total Disconnected Accounts</t>
  </si>
  <si>
    <t>Disconnected CWP</t>
  </si>
  <si>
    <t>Disconnected Commercial/Industrial Accounts</t>
  </si>
  <si>
    <t>Disconnected institutional Accounts</t>
  </si>
  <si>
    <t>Disconnected Individual Accounts</t>
  </si>
  <si>
    <t>Active and Disconnected Accounts</t>
  </si>
  <si>
    <t>Done this Month Prepaid</t>
  </si>
  <si>
    <t>Done this Month Postpaid</t>
  </si>
  <si>
    <t>Applied this Month</t>
  </si>
  <si>
    <t>Aggregated New Water connections</t>
  </si>
  <si>
    <t>New CWP</t>
  </si>
  <si>
    <t>New Commercial/Industrial Water Connections</t>
  </si>
  <si>
    <t>New Institutional Water Connections</t>
  </si>
  <si>
    <t>New Individual Water Connections</t>
  </si>
  <si>
    <t>Water Connections and Disconnections</t>
  </si>
  <si>
    <t>Temporary Staff Employed</t>
  </si>
  <si>
    <t>No/1000m3</t>
  </si>
  <si>
    <t>Staff/Vol.1000m3 of Volume Produced/hour       (12 hour day)</t>
  </si>
  <si>
    <t>Permanent Staff Employed</t>
  </si>
  <si>
    <t>Mk/m3</t>
  </si>
  <si>
    <t>Cost/Vol. Billed</t>
  </si>
  <si>
    <t>Cost/Vol. Produced</t>
  </si>
  <si>
    <t>Total Operating Costs</t>
  </si>
  <si>
    <t>Operating Costs</t>
  </si>
  <si>
    <t>Other Overhead Costs</t>
  </si>
  <si>
    <t>Wages</t>
  </si>
  <si>
    <t>Staff Costs</t>
  </si>
  <si>
    <t>Salaries and Wages</t>
  </si>
  <si>
    <t>Maintenance</t>
  </si>
  <si>
    <t>Cost of fuel</t>
  </si>
  <si>
    <t>litres</t>
  </si>
  <si>
    <t>km</t>
  </si>
  <si>
    <t>Distances covered</t>
  </si>
  <si>
    <t>Plant and Vehicle Maintenance</t>
  </si>
  <si>
    <t xml:space="preserve">Cost/vol. Produced </t>
  </si>
  <si>
    <t>Cost of Power</t>
  </si>
  <si>
    <t>Kw/m3</t>
  </si>
  <si>
    <t>Power/ Vol. Produced</t>
  </si>
  <si>
    <t>Kw</t>
  </si>
  <si>
    <t>Power Usage</t>
  </si>
  <si>
    <t>Power</t>
  </si>
  <si>
    <t>Cost/vol. Produced (chemicals)</t>
  </si>
  <si>
    <t>Cost of Chemicals</t>
  </si>
  <si>
    <t>kg/mg litre</t>
  </si>
  <si>
    <t>kg</t>
  </si>
  <si>
    <t>Potasium permanganate</t>
  </si>
  <si>
    <t>litres/mg litre</t>
  </si>
  <si>
    <t>Algae floc</t>
  </si>
  <si>
    <t>Soda</t>
  </si>
  <si>
    <t>Aluminium sulphate</t>
  </si>
  <si>
    <t xml:space="preserve">Chlorine </t>
  </si>
  <si>
    <t>Rate(MK/kg)</t>
  </si>
  <si>
    <t>Chemical</t>
  </si>
  <si>
    <t>Chemicals</t>
  </si>
  <si>
    <t>OPERATING EXPENSES</t>
  </si>
  <si>
    <t>Percentage</t>
  </si>
  <si>
    <t>m3</t>
  </si>
  <si>
    <t>Volume</t>
  </si>
  <si>
    <t>Volume Billed Commercial/Industrial</t>
  </si>
  <si>
    <t>Volume Billed Institutions</t>
  </si>
  <si>
    <t>Volume Billed CWPs</t>
  </si>
  <si>
    <t>Volume Billed Individuals</t>
  </si>
  <si>
    <t>Total Volume Billed Post Paid</t>
  </si>
  <si>
    <t>PRODUCTION</t>
  </si>
  <si>
    <t>TOTALS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</si>
  <si>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</si>
  <si>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</si>
  <si>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</si>
  <si>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</si>
  <si>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</si>
  <si>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</si>
  <si>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</si>
  <si>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</si>
  <si>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</si>
  <si>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</si>
  <si>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</si>
  <si>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</si>
  <si>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UNITS</t>
  </si>
  <si>
    <t>PARAMETERS</t>
  </si>
  <si>
    <t>SOUTHERN REGION WATER BOARD</t>
  </si>
  <si>
    <t>Volume Produced</t>
  </si>
  <si>
    <t>REVENUE WATER - POSTPAID</t>
  </si>
  <si>
    <t>REVENUE WATER - PREPAID</t>
  </si>
  <si>
    <t>Non-Revenue Water (NRW)</t>
  </si>
  <si>
    <t xml:space="preserve"> Individuals</t>
  </si>
  <si>
    <t xml:space="preserve"> CWPs</t>
  </si>
  <si>
    <t>Institutions</t>
  </si>
  <si>
    <t>Commercial/Industrial</t>
  </si>
  <si>
    <t>Total Volume  Prepaid</t>
  </si>
  <si>
    <t>TOTAL REVENUE WATER</t>
  </si>
  <si>
    <t>Sud floc</t>
  </si>
  <si>
    <t>Fuel Used (litres)</t>
  </si>
  <si>
    <t>Total Done</t>
  </si>
  <si>
    <t>Prepaid Metering</t>
  </si>
  <si>
    <t>Prepaid Meters Installed</t>
  </si>
  <si>
    <t>Total Active Customers</t>
  </si>
  <si>
    <t>Total Metered Consumers</t>
  </si>
  <si>
    <t>Active Postpaid Individual Consumers</t>
  </si>
  <si>
    <t>Active Postpaid Institutional Consumers</t>
  </si>
  <si>
    <t>Active Postpaid Commercial/Industrial</t>
  </si>
  <si>
    <t>Active Postpaid CWP</t>
  </si>
  <si>
    <t>Active Prepaid Individual Consumers</t>
  </si>
  <si>
    <t>Active Prepaid Institutional Consumers</t>
  </si>
  <si>
    <t>Active Prepaid Commercial/Industrial</t>
  </si>
  <si>
    <t>Active Prepiad CWP</t>
  </si>
  <si>
    <t>SERVICE COVERAGE</t>
  </si>
  <si>
    <t>Estimated Normal Water Supply</t>
  </si>
  <si>
    <t>PIPELINE EXTENSIONS</t>
  </si>
  <si>
    <t>DEBTORS</t>
  </si>
  <si>
    <t>Private</t>
  </si>
  <si>
    <t>Public</t>
  </si>
  <si>
    <t>Total</t>
  </si>
  <si>
    <t>Collection/TotalSales + Private Debtors</t>
  </si>
  <si>
    <t>HDPE</t>
  </si>
  <si>
    <t>Postpaid Consumers</t>
  </si>
  <si>
    <t>AMOUNT BILLED PREPAID</t>
  </si>
  <si>
    <t>Total Amount Billed Prepaid</t>
  </si>
  <si>
    <t>TOTAL AMOUNT BILLED</t>
  </si>
  <si>
    <t>TOTAL SALES</t>
  </si>
  <si>
    <t>NON-REVENUE WATER (NRW)</t>
  </si>
  <si>
    <t>Prepaid Consumers</t>
  </si>
  <si>
    <t>LIWONDE ZONE</t>
  </si>
  <si>
    <t>Balaka</t>
  </si>
  <si>
    <t>Liwonde</t>
  </si>
  <si>
    <t>Machinga</t>
  </si>
  <si>
    <t>Ntaja</t>
  </si>
  <si>
    <t xml:space="preserve"> MONTHLY REPORTS - 2025/2026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</si>
</sst>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_(* #,##0.0_);_(* \(#,##0.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b/>
      <i/>
      <sz val="11"/>
      <color indexed="8"/>
      <name val="Arial"/>
      <family val="2"/>
    </font>
    <font>
      <b/>
      <i/>
      <sz val="12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color indexed="8"/>
      <name val="Arial"/>
      <family val="2"/>
    </font>
    <font>
      <b/>
      <i/>
      <sz val="12"/>
      <color theme="1"/>
      <name val="Arial"/>
      <family val="2"/>
    </font>
    <font>
      <b/>
      <i/>
      <sz val="12"/>
      <name val="Arial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5" fillId="0" borderId="0">
      <alignment vertical="center"/>
    </xf>
    <xf numFmtId="43" fontId="26" fillId="0" borderId="0">
      <protection locked="0"/>
    </xf>
    <xf numFmtId="9" fontId="26" fillId="0" borderId="0">
      <protection locked="0"/>
    </xf>
    <xf numFmtId="43" fontId="3" fillId="0" borderId="0">
      <protection locked="0"/>
    </xf>
    <xf numFmtId="43" fontId="26" fillId="0" borderId="0">
      <protection locked="0"/>
    </xf>
    <xf numFmtId="9" fontId="26" fillId="0" borderId="0">
      <protection locked="0"/>
    </xf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7" fillId="0" borderId="0">
      <alignment vertical="center"/>
    </xf>
  </cellStyleXfs>
  <cellXfs count="521">
    <xf numFmtId="0" fontId="0" fillId="0" borderId="0" xfId="0"/>
    <xf numFmtId="165" fontId="4" fillId="0" borderId="1" xfId="3" applyNumberFormat="1" applyFont="1" applyFill="1" applyBorder="1"/>
    <xf numFmtId="164" fontId="4" fillId="0" borderId="1" xfId="3" applyFont="1" applyFill="1" applyBorder="1"/>
    <xf numFmtId="165" fontId="4" fillId="0" borderId="4" xfId="1" applyNumberFormat="1" applyFont="1" applyFill="1" applyBorder="1"/>
    <xf numFmtId="0" fontId="6" fillId="0" borderId="1" xfId="0" applyFont="1" applyBorder="1"/>
    <xf numFmtId="0" fontId="4" fillId="0" borderId="1" xfId="3" applyNumberFormat="1" applyFont="1" applyFill="1" applyBorder="1"/>
    <xf numFmtId="166" fontId="4" fillId="0" borderId="7" xfId="2" applyNumberFormat="1" applyFont="1" applyFill="1" applyBorder="1"/>
    <xf numFmtId="166" fontId="4" fillId="0" borderId="1" xfId="2" applyNumberFormat="1" applyFont="1" applyFill="1" applyBorder="1"/>
    <xf numFmtId="4" fontId="5" fillId="0" borderId="10" xfId="0" applyNumberFormat="1" applyFont="1" applyBorder="1"/>
    <xf numFmtId="164" fontId="8" fillId="0" borderId="1" xfId="1" applyFont="1" applyFill="1" applyBorder="1"/>
    <xf numFmtId="164" fontId="8" fillId="0" borderId="1" xfId="3" applyFont="1" applyFill="1" applyBorder="1"/>
    <xf numFmtId="164" fontId="4" fillId="0" borderId="4" xfId="1" applyFont="1" applyFill="1" applyBorder="1"/>
    <xf numFmtId="164" fontId="8" fillId="0" borderId="11" xfId="1" applyFont="1" applyFill="1" applyBorder="1"/>
    <xf numFmtId="164" fontId="4" fillId="0" borderId="1" xfId="1" applyFont="1" applyFill="1" applyBorder="1"/>
    <xf numFmtId="0" fontId="9" fillId="0" borderId="1" xfId="0" applyFont="1" applyBorder="1"/>
    <xf numFmtId="0" fontId="6" fillId="0" borderId="16" xfId="0" applyFont="1" applyBorder="1" applyAlignment="1">
      <alignment horizontal="center" wrapText="1"/>
    </xf>
    <xf numFmtId="1" fontId="5" fillId="0" borderId="10" xfId="0" applyNumberFormat="1" applyFont="1" applyBorder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wrapText="1"/>
    </xf>
    <xf numFmtId="164" fontId="4" fillId="0" borderId="11" xfId="1" applyFont="1" applyFill="1" applyBorder="1"/>
    <xf numFmtId="0" fontId="6" fillId="0" borderId="1" xfId="0" applyFont="1" applyBorder="1" applyAlignment="1">
      <alignment wrapText="1"/>
    </xf>
    <xf numFmtId="165" fontId="4" fillId="0" borderId="1" xfId="1" applyNumberFormat="1" applyFont="1" applyFill="1" applyBorder="1"/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166" fontId="4" fillId="0" borderId="22" xfId="2" applyNumberFormat="1" applyFont="1" applyFill="1" applyBorder="1"/>
    <xf numFmtId="0" fontId="6" fillId="0" borderId="22" xfId="0" applyFont="1" applyBorder="1"/>
    <xf numFmtId="167" fontId="8" fillId="0" borderId="10" xfId="0" applyNumberFormat="1" applyFont="1" applyBorder="1"/>
    <xf numFmtId="165" fontId="8" fillId="0" borderId="10" xfId="1" applyNumberFormat="1" applyFont="1" applyBorder="1"/>
    <xf numFmtId="165" fontId="8" fillId="0" borderId="11" xfId="1" applyNumberFormat="1" applyFont="1" applyFill="1" applyBorder="1"/>
    <xf numFmtId="165" fontId="8" fillId="0" borderId="1" xfId="1" applyNumberFormat="1" applyFont="1" applyFill="1" applyBorder="1"/>
    <xf numFmtId="1" fontId="8" fillId="0" borderId="10" xfId="0" applyNumberFormat="1" applyFont="1" applyBorder="1"/>
    <xf numFmtId="0" fontId="9" fillId="0" borderId="1" xfId="0" applyFont="1" applyBorder="1" applyAlignment="1">
      <alignment vertical="center" wrapText="1"/>
    </xf>
    <xf numFmtId="1" fontId="6" fillId="0" borderId="1" xfId="0" applyNumberFormat="1" applyFont="1" applyBorder="1"/>
    <xf numFmtId="4" fontId="8" fillId="0" borderId="10" xfId="0" applyNumberFormat="1" applyFont="1" applyBorder="1"/>
    <xf numFmtId="164" fontId="8" fillId="0" borderId="10" xfId="1" applyFont="1" applyFill="1" applyBorder="1"/>
    <xf numFmtId="164" fontId="8" fillId="0" borderId="4" xfId="1" applyFont="1" applyFill="1" applyBorder="1"/>
    <xf numFmtId="2" fontId="6" fillId="0" borderId="1" xfId="0" applyNumberFormat="1" applyFont="1" applyBorder="1"/>
    <xf numFmtId="165" fontId="8" fillId="0" borderId="4" xfId="1" applyNumberFormat="1" applyFont="1" applyFill="1" applyBorder="1"/>
    <xf numFmtId="2" fontId="4" fillId="0" borderId="10" xfId="0" applyNumberFormat="1" applyFont="1" applyBorder="1"/>
    <xf numFmtId="167" fontId="8" fillId="0" borderId="10" xfId="1" applyNumberFormat="1" applyFont="1" applyBorder="1"/>
    <xf numFmtId="0" fontId="12" fillId="0" borderId="10" xfId="0" applyFont="1" applyBorder="1" applyAlignment="1">
      <alignment wrapText="1"/>
    </xf>
    <xf numFmtId="164" fontId="12" fillId="0" borderId="1" xfId="1" applyFont="1" applyFill="1" applyBorder="1" applyAlignment="1">
      <alignment wrapText="1"/>
    </xf>
    <xf numFmtId="164" fontId="12" fillId="0" borderId="11" xfId="1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0" xfId="0" applyFont="1" applyAlignment="1">
      <alignment wrapText="1"/>
    </xf>
    <xf numFmtId="166" fontId="8" fillId="0" borderId="1" xfId="2" applyNumberFormat="1" applyFont="1" applyBorder="1"/>
    <xf numFmtId="9" fontId="6" fillId="0" borderId="1" xfId="2" applyFont="1" applyBorder="1"/>
    <xf numFmtId="2" fontId="6" fillId="0" borderId="1" xfId="0" applyNumberFormat="1" applyFont="1" applyBorder="1" applyAlignment="1">
      <alignment wrapText="1"/>
    </xf>
    <xf numFmtId="164" fontId="4" fillId="0" borderId="1" xfId="1" applyFont="1" applyBorder="1"/>
    <xf numFmtId="165" fontId="8" fillId="0" borderId="10" xfId="1" applyNumberFormat="1" applyFont="1" applyFill="1" applyBorder="1"/>
    <xf numFmtId="165" fontId="8" fillId="0" borderId="24" xfId="1" applyNumberFormat="1" applyFont="1" applyFill="1" applyBorder="1"/>
    <xf numFmtId="0" fontId="6" fillId="0" borderId="24" xfId="0" applyFont="1" applyBorder="1"/>
    <xf numFmtId="4" fontId="8" fillId="5" borderId="27" xfId="0" applyNumberFormat="1" applyFont="1" applyFill="1" applyBorder="1"/>
    <xf numFmtId="164" fontId="8" fillId="5" borderId="31" xfId="1" applyFont="1" applyFill="1" applyBorder="1"/>
    <xf numFmtId="0" fontId="8" fillId="5" borderId="31" xfId="0" applyFont="1" applyFill="1" applyBorder="1"/>
    <xf numFmtId="0" fontId="5" fillId="0" borderId="1" xfId="0" applyFont="1" applyBorder="1"/>
    <xf numFmtId="0" fontId="15" fillId="0" borderId="0" xfId="0" applyFont="1"/>
    <xf numFmtId="4" fontId="4" fillId="0" borderId="10" xfId="0" applyNumberFormat="1" applyFont="1" applyBorder="1"/>
    <xf numFmtId="1" fontId="4" fillId="0" borderId="22" xfId="0" applyNumberFormat="1" applyFont="1" applyBorder="1"/>
    <xf numFmtId="1" fontId="4" fillId="0" borderId="39" xfId="0" applyNumberFormat="1" applyFont="1" applyBorder="1"/>
    <xf numFmtId="0" fontId="6" fillId="0" borderId="22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8" fillId="0" borderId="1" xfId="0" applyFont="1" applyBorder="1" applyAlignment="1">
      <alignment horizontal="center" wrapText="1"/>
    </xf>
    <xf numFmtId="0" fontId="19" fillId="0" borderId="3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9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13" fillId="0" borderId="30" xfId="0" applyFont="1" applyBorder="1" applyAlignment="1">
      <alignment vertical="center"/>
    </xf>
    <xf numFmtId="0" fontId="13" fillId="0" borderId="29" xfId="0" applyFont="1" applyBorder="1" applyAlignment="1">
      <alignment vertical="center"/>
    </xf>
    <xf numFmtId="0" fontId="13" fillId="0" borderId="27" xfId="0" applyFont="1" applyBorder="1" applyAlignment="1">
      <alignment vertical="center"/>
    </xf>
    <xf numFmtId="0" fontId="10" fillId="9" borderId="1" xfId="0" applyFont="1" applyFill="1" applyBorder="1" applyAlignment="1">
      <alignment horizontal="center" wrapText="1"/>
    </xf>
    <xf numFmtId="0" fontId="14" fillId="0" borderId="30" xfId="0" applyFont="1" applyBorder="1" applyAlignment="1">
      <alignment vertical="center" wrapText="1"/>
    </xf>
    <xf numFmtId="0" fontId="14" fillId="7" borderId="30" xfId="0" applyFont="1" applyFill="1" applyBorder="1" applyAlignment="1">
      <alignment vertical="center" wrapText="1"/>
    </xf>
    <xf numFmtId="0" fontId="13" fillId="6" borderId="37" xfId="0" applyFont="1" applyFill="1" applyBorder="1" applyAlignment="1">
      <alignment vertical="center"/>
    </xf>
    <xf numFmtId="0" fontId="13" fillId="6" borderId="36" xfId="0" applyFont="1" applyFill="1" applyBorder="1" applyAlignment="1">
      <alignment vertical="center"/>
    </xf>
    <xf numFmtId="0" fontId="13" fillId="6" borderId="34" xfId="0" applyFont="1" applyFill="1" applyBorder="1" applyAlignment="1">
      <alignment vertical="center"/>
    </xf>
    <xf numFmtId="0" fontId="13" fillId="6" borderId="28" xfId="0" applyFont="1" applyFill="1" applyBorder="1" applyAlignment="1">
      <alignment vertical="center"/>
    </xf>
    <xf numFmtId="0" fontId="13" fillId="6" borderId="33" xfId="0" applyFont="1" applyFill="1" applyBorder="1" applyAlignment="1">
      <alignment vertical="center"/>
    </xf>
    <xf numFmtId="164" fontId="4" fillId="0" borderId="10" xfId="1" applyFont="1" applyBorder="1"/>
    <xf numFmtId="166" fontId="4" fillId="0" borderId="10" xfId="2" applyNumberFormat="1" applyFont="1" applyBorder="1"/>
    <xf numFmtId="0" fontId="11" fillId="0" borderId="19" xfId="0" applyFont="1" applyBorder="1" applyAlignment="1">
      <alignment wrapText="1"/>
    </xf>
    <xf numFmtId="164" fontId="4" fillId="0" borderId="10" xfId="1" applyFont="1" applyFill="1" applyBorder="1"/>
    <xf numFmtId="0" fontId="4" fillId="0" borderId="10" xfId="1" applyNumberFormat="1" applyFont="1" applyFill="1" applyBorder="1"/>
    <xf numFmtId="165" fontId="4" fillId="0" borderId="40" xfId="1" applyNumberFormat="1" applyFont="1" applyFill="1" applyBorder="1"/>
    <xf numFmtId="165" fontId="4" fillId="0" borderId="10" xfId="1" applyNumberFormat="1" applyFont="1" applyFill="1" applyBorder="1"/>
    <xf numFmtId="1" fontId="4" fillId="0" borderId="41" xfId="0" applyNumberFormat="1" applyFont="1" applyBorder="1"/>
    <xf numFmtId="1" fontId="4" fillId="0" borderId="43" xfId="0" applyNumberFormat="1" applyFont="1" applyBorder="1"/>
    <xf numFmtId="166" fontId="4" fillId="0" borderId="41" xfId="2" applyNumberFormat="1" applyFont="1" applyFill="1" applyBorder="1"/>
    <xf numFmtId="1" fontId="8" fillId="0" borderId="10" xfId="3" applyNumberFormat="1" applyFont="1" applyFill="1" applyBorder="1"/>
    <xf numFmtId="2" fontId="8" fillId="0" borderId="10" xfId="0" applyNumberFormat="1" applyFont="1" applyBorder="1"/>
    <xf numFmtId="166" fontId="4" fillId="0" borderId="10" xfId="2" applyNumberFormat="1" applyFont="1" applyFill="1" applyBorder="1"/>
    <xf numFmtId="166" fontId="4" fillId="0" borderId="42" xfId="2" applyNumberFormat="1" applyFont="1" applyFill="1" applyBorder="1"/>
    <xf numFmtId="164" fontId="4" fillId="0" borderId="10" xfId="3" applyFont="1" applyFill="1" applyBorder="1"/>
    <xf numFmtId="0" fontId="4" fillId="0" borderId="10" xfId="3" applyNumberFormat="1" applyFont="1" applyFill="1" applyBorder="1"/>
    <xf numFmtId="0" fontId="0" fillId="0" borderId="7" xfId="0" applyBorder="1"/>
    <xf numFmtId="165" fontId="4" fillId="0" borderId="7" xfId="3" applyNumberFormat="1" applyFont="1" applyFill="1" applyBorder="1"/>
    <xf numFmtId="0" fontId="14" fillId="8" borderId="30" xfId="0" applyFont="1" applyFill="1" applyBorder="1"/>
    <xf numFmtId="0" fontId="14" fillId="8" borderId="29" xfId="0" applyFont="1" applyFill="1" applyBorder="1"/>
    <xf numFmtId="0" fontId="5" fillId="0" borderId="6" xfId="0" applyFont="1" applyBorder="1" applyAlignment="1">
      <alignment horizontal="left" wrapText="1"/>
    </xf>
    <xf numFmtId="0" fontId="14" fillId="8" borderId="27" xfId="0" applyFont="1" applyFill="1" applyBorder="1"/>
    <xf numFmtId="0" fontId="14" fillId="0" borderId="2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4" fillId="7" borderId="29" xfId="0" applyFont="1" applyFill="1" applyBorder="1" applyAlignment="1">
      <alignment vertical="center" wrapText="1"/>
    </xf>
    <xf numFmtId="0" fontId="14" fillId="7" borderId="27" xfId="0" applyFont="1" applyFill="1" applyBorder="1" applyAlignment="1">
      <alignment vertical="center" wrapText="1"/>
    </xf>
    <xf numFmtId="0" fontId="13" fillId="6" borderId="35" xfId="0" applyFont="1" applyFill="1" applyBorder="1" applyAlignment="1">
      <alignment horizontal="center" vertical="center"/>
    </xf>
    <xf numFmtId="0" fontId="2" fillId="0" borderId="0" xfId="0" applyFont="1"/>
    <xf numFmtId="165" fontId="4" fillId="0" borderId="1" xfId="1" applyNumberFormat="1" applyFont="1" applyBorder="1"/>
    <xf numFmtId="1" fontId="4" fillId="0" borderId="1" xfId="1" applyNumberFormat="1" applyFont="1" applyFill="1" applyBorder="1"/>
    <xf numFmtId="0" fontId="4" fillId="0" borderId="4" xfId="1" applyNumberFormat="1" applyFont="1" applyFill="1" applyBorder="1"/>
    <xf numFmtId="1" fontId="8" fillId="0" borderId="1" xfId="0" applyNumberFormat="1" applyFont="1" applyBorder="1"/>
    <xf numFmtId="1" fontId="8" fillId="0" borderId="22" xfId="0" applyNumberFormat="1" applyFont="1" applyBorder="1"/>
    <xf numFmtId="1" fontId="8" fillId="0" borderId="7" xfId="0" applyNumberFormat="1" applyFont="1" applyBorder="1"/>
    <xf numFmtId="0" fontId="8" fillId="0" borderId="1" xfId="3" applyNumberFormat="1" applyFont="1" applyFill="1" applyBorder="1"/>
    <xf numFmtId="0" fontId="8" fillId="0" borderId="4" xfId="1" applyNumberFormat="1" applyFont="1" applyFill="1" applyBorder="1"/>
    <xf numFmtId="0" fontId="8" fillId="0" borderId="1" xfId="1" applyNumberFormat="1" applyFont="1" applyFill="1" applyBorder="1"/>
    <xf numFmtId="0" fontId="4" fillId="0" borderId="1" xfId="1" applyNumberFormat="1" applyFont="1" applyFill="1" applyBorder="1"/>
    <xf numFmtId="164" fontId="8" fillId="0" borderId="1" xfId="1" applyFont="1" applyFill="1" applyBorder="1" applyAlignment="1">
      <alignment horizontal="center" wrapText="1"/>
    </xf>
    <xf numFmtId="1" fontId="8" fillId="0" borderId="41" xfId="0" applyNumberFormat="1" applyFont="1" applyBorder="1"/>
    <xf numFmtId="1" fontId="8" fillId="0" borderId="42" xfId="0" applyNumberFormat="1" applyFont="1" applyBorder="1"/>
    <xf numFmtId="0" fontId="8" fillId="0" borderId="10" xfId="0" applyFont="1" applyBorder="1"/>
    <xf numFmtId="0" fontId="8" fillId="0" borderId="40" xfId="1" applyNumberFormat="1" applyFont="1" applyFill="1" applyBorder="1"/>
    <xf numFmtId="0" fontId="8" fillId="0" borderId="10" xfId="1" applyNumberFormat="1" applyFont="1" applyFill="1" applyBorder="1"/>
    <xf numFmtId="0" fontId="8" fillId="0" borderId="41" xfId="0" applyFont="1" applyBorder="1"/>
    <xf numFmtId="0" fontId="8" fillId="0" borderId="42" xfId="0" applyFont="1" applyBorder="1"/>
    <xf numFmtId="165" fontId="8" fillId="0" borderId="7" xfId="3" applyNumberFormat="1" applyFont="1" applyFill="1" applyBorder="1"/>
    <xf numFmtId="165" fontId="8" fillId="0" borderId="23" xfId="1" applyNumberFormat="1" applyFont="1" applyFill="1" applyBorder="1"/>
    <xf numFmtId="166" fontId="8" fillId="0" borderId="10" xfId="2" applyNumberFormat="1" applyFont="1" applyBorder="1"/>
    <xf numFmtId="164" fontId="4" fillId="0" borderId="1" xfId="1" applyFont="1" applyFill="1" applyBorder="1" applyAlignment="1">
      <alignment horizontal="left" wrapText="1"/>
    </xf>
    <xf numFmtId="1" fontId="8" fillId="0" borderId="10" xfId="1" applyNumberFormat="1" applyFont="1" applyFill="1" applyBorder="1"/>
    <xf numFmtId="1" fontId="4" fillId="0" borderId="1" xfId="3" applyNumberFormat="1" applyFont="1" applyFill="1" applyBorder="1"/>
    <xf numFmtId="164" fontId="8" fillId="0" borderId="10" xfId="1" applyFont="1" applyBorder="1"/>
    <xf numFmtId="164" fontId="8" fillId="0" borderId="10" xfId="1" applyFont="1" applyFill="1" applyBorder="1" applyAlignment="1">
      <alignment horizontal="left" wrapText="1"/>
    </xf>
    <xf numFmtId="165" fontId="8" fillId="0" borderId="42" xfId="3" applyNumberFormat="1" applyFont="1" applyFill="1" applyBorder="1"/>
    <xf numFmtId="3" fontId="8" fillId="0" borderId="10" xfId="0" applyNumberFormat="1" applyFont="1" applyBorder="1"/>
    <xf numFmtId="167" fontId="4" fillId="0" borderId="1" xfId="1" applyNumberFormat="1" applyFont="1" applyFill="1" applyBorder="1"/>
    <xf numFmtId="165" fontId="8" fillId="0" borderId="40" xfId="1" applyNumberFormat="1" applyFont="1" applyFill="1" applyBorder="1"/>
    <xf numFmtId="1" fontId="8" fillId="0" borderId="43" xfId="0" applyNumberFormat="1" applyFont="1" applyBorder="1"/>
    <xf numFmtId="164" fontId="0" fillId="0" borderId="0" xfId="0" applyNumberFormat="1"/>
    <xf numFmtId="2" fontId="8" fillId="0" borderId="10" xfId="1" applyNumberFormat="1" applyFont="1" applyFill="1" applyBorder="1"/>
    <xf numFmtId="1" fontId="8" fillId="0" borderId="10" xfId="1" applyNumberFormat="1" applyFont="1" applyBorder="1"/>
    <xf numFmtId="1" fontId="8" fillId="0" borderId="41" xfId="1" applyNumberFormat="1" applyFont="1" applyFill="1" applyBorder="1"/>
    <xf numFmtId="1" fontId="8" fillId="0" borderId="42" xfId="1" applyNumberFormat="1" applyFont="1" applyFill="1" applyBorder="1"/>
    <xf numFmtId="165" fontId="4" fillId="0" borderId="42" xfId="3" applyNumberFormat="1" applyFont="1" applyFill="1" applyBorder="1"/>
    <xf numFmtId="165" fontId="4" fillId="0" borderId="24" xfId="1" applyNumberFormat="1" applyFont="1" applyFill="1" applyBorder="1"/>
    <xf numFmtId="164" fontId="4" fillId="0" borderId="22" xfId="1" applyFont="1" applyFill="1" applyBorder="1"/>
    <xf numFmtId="164" fontId="8" fillId="0" borderId="1" xfId="0" applyNumberFormat="1" applyFont="1" applyBorder="1" applyAlignment="1">
      <alignment horizontal="center" wrapText="1"/>
    </xf>
    <xf numFmtId="165" fontId="4" fillId="0" borderId="49" xfId="1" applyNumberFormat="1" applyFont="1" applyFill="1" applyBorder="1"/>
    <xf numFmtId="165" fontId="4" fillId="0" borderId="22" xfId="1" applyNumberFormat="1" applyFont="1" applyFill="1" applyBorder="1"/>
    <xf numFmtId="164" fontId="13" fillId="6" borderId="36" xfId="0" applyNumberFormat="1" applyFont="1" applyFill="1" applyBorder="1" applyAlignment="1">
      <alignment vertical="center"/>
    </xf>
    <xf numFmtId="2" fontId="20" fillId="0" borderId="42" xfId="0" applyNumberFormat="1" applyFont="1" applyBorder="1"/>
    <xf numFmtId="164" fontId="12" fillId="0" borderId="22" xfId="1" applyFont="1" applyFill="1" applyBorder="1" applyAlignment="1">
      <alignment wrapText="1"/>
    </xf>
    <xf numFmtId="0" fontId="11" fillId="9" borderId="3" xfId="0" applyFont="1" applyFill="1" applyBorder="1" applyAlignment="1">
      <alignment wrapText="1"/>
    </xf>
    <xf numFmtId="0" fontId="11" fillId="9" borderId="6" xfId="0" applyFont="1" applyFill="1" applyBorder="1" applyAlignment="1">
      <alignment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6" fillId="0" borderId="3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8" fillId="5" borderId="30" xfId="0" applyFont="1" applyFill="1" applyBorder="1" applyAlignment="1">
      <alignment wrapText="1"/>
    </xf>
    <xf numFmtId="0" fontId="8" fillId="5" borderId="32" xfId="0" applyFont="1" applyFill="1" applyBorder="1" applyAlignment="1">
      <alignment wrapText="1"/>
    </xf>
    <xf numFmtId="0" fontId="6" fillId="0" borderId="3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26" xfId="0" applyFont="1" applyBorder="1" applyAlignment="1">
      <alignment wrapText="1"/>
    </xf>
    <xf numFmtId="0" fontId="6" fillId="0" borderId="25" xfId="0" applyFont="1" applyBorder="1" applyAlignment="1">
      <alignment wrapText="1"/>
    </xf>
    <xf numFmtId="0" fontId="6" fillId="0" borderId="19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11" fillId="2" borderId="3" xfId="0" applyFont="1" applyFill="1" applyBorder="1" applyAlignment="1">
      <alignment wrapText="1"/>
    </xf>
    <xf numFmtId="0" fontId="11" fillId="2" borderId="6" xfId="0" applyFont="1" applyFill="1" applyBorder="1" applyAlignment="1">
      <alignment wrapText="1"/>
    </xf>
    <xf numFmtId="0" fontId="11" fillId="2" borderId="5" xfId="0" applyFont="1" applyFill="1" applyBorder="1" applyAlignment="1">
      <alignment wrapText="1"/>
    </xf>
    <xf numFmtId="2" fontId="6" fillId="0" borderId="3" xfId="0" applyNumberFormat="1" applyFont="1" applyBorder="1" applyAlignment="1">
      <alignment wrapText="1"/>
    </xf>
    <xf numFmtId="2" fontId="6" fillId="0" borderId="2" xfId="0" applyNumberFormat="1" applyFont="1" applyBorder="1" applyAlignment="1">
      <alignment wrapText="1"/>
    </xf>
    <xf numFmtId="1" fontId="6" fillId="0" borderId="3" xfId="0" applyNumberFormat="1" applyFont="1" applyBorder="1" applyAlignment="1">
      <alignment wrapText="1"/>
    </xf>
    <xf numFmtId="1" fontId="6" fillId="0" borderId="2" xfId="0" applyNumberFormat="1" applyFont="1" applyBorder="1" applyAlignment="1">
      <alignment wrapText="1"/>
    </xf>
    <xf numFmtId="1" fontId="5" fillId="9" borderId="3" xfId="0" applyNumberFormat="1" applyFont="1" applyFill="1" applyBorder="1" applyAlignment="1">
      <alignment wrapText="1"/>
    </xf>
    <xf numFmtId="1" fontId="5" fillId="9" borderId="6" xfId="0" applyNumberFormat="1" applyFont="1" applyFill="1" applyBorder="1" applyAlignment="1">
      <alignment wrapText="1"/>
    </xf>
    <xf numFmtId="1" fontId="5" fillId="9" borderId="5" xfId="0" applyNumberFormat="1" applyFont="1" applyFill="1" applyBorder="1" applyAlignment="1">
      <alignment wrapText="1"/>
    </xf>
    <xf numFmtId="0" fontId="10" fillId="0" borderId="3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9" fillId="0" borderId="19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7" fillId="9" borderId="30" xfId="0" applyFont="1" applyFill="1" applyBorder="1" applyAlignment="1">
      <alignment vertical="center" wrapText="1"/>
    </xf>
    <xf numFmtId="0" fontId="17" fillId="9" borderId="29" xfId="0" applyFont="1" applyFill="1" applyBorder="1" applyAlignment="1">
      <alignment vertical="center" wrapText="1"/>
    </xf>
    <xf numFmtId="0" fontId="17" fillId="9" borderId="27" xfId="0" applyFont="1" applyFill="1" applyBorder="1" applyAlignment="1">
      <alignment vertical="center" wrapText="1"/>
    </xf>
    <xf numFmtId="0" fontId="9" fillId="9" borderId="34" xfId="0" applyFont="1" applyFill="1" applyBorder="1" applyAlignment="1">
      <alignment vertical="center" wrapText="1"/>
    </xf>
    <xf numFmtId="0" fontId="9" fillId="9" borderId="28" xfId="0" applyFont="1" applyFill="1" applyBorder="1" applyAlignment="1">
      <alignment vertical="center" wrapText="1"/>
    </xf>
    <xf numFmtId="0" fontId="10" fillId="9" borderId="3" xfId="0" applyFont="1" applyFill="1" applyBorder="1" applyAlignment="1">
      <alignment wrapText="1"/>
    </xf>
    <xf numFmtId="0" fontId="10" fillId="9" borderId="6" xfId="0" applyFont="1" applyFill="1" applyBorder="1" applyAlignment="1">
      <alignment wrapText="1"/>
    </xf>
    <xf numFmtId="0" fontId="10" fillId="9" borderId="5" xfId="0" applyFont="1" applyFill="1" applyBorder="1" applyAlignment="1">
      <alignment wrapText="1"/>
    </xf>
    <xf numFmtId="0" fontId="7" fillId="9" borderId="3" xfId="0" applyFont="1" applyFill="1" applyBorder="1" applyAlignment="1">
      <alignment wrapText="1"/>
    </xf>
    <xf numFmtId="0" fontId="7" fillId="9" borderId="6" xfId="0" applyFont="1" applyFill="1" applyBorder="1" applyAlignment="1">
      <alignment wrapText="1"/>
    </xf>
    <xf numFmtId="0" fontId="7" fillId="9" borderId="5" xfId="0" applyFont="1" applyFill="1" applyBorder="1" applyAlignment="1">
      <alignment wrapText="1"/>
    </xf>
    <xf numFmtId="0" fontId="6" fillId="0" borderId="14" xfId="0" applyFont="1" applyBorder="1" applyAlignment="1">
      <alignment wrapText="1"/>
    </xf>
    <xf numFmtId="0" fontId="6" fillId="0" borderId="16" xfId="0" applyFont="1" applyBorder="1" applyAlignment="1">
      <alignment wrapText="1"/>
    </xf>
    <xf numFmtId="0" fontId="6" fillId="0" borderId="14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0" fillId="0" borderId="18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9" borderId="3" xfId="0" applyFont="1" applyFill="1" applyBorder="1" applyAlignment="1">
      <alignment vertical="top" wrapText="1"/>
    </xf>
    <xf numFmtId="0" fontId="10" fillId="9" borderId="6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 wrapText="1"/>
    </xf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7" fillId="9" borderId="30" xfId="0" applyFont="1" applyFill="1" applyBorder="1" applyAlignment="1">
      <alignment wrapText="1"/>
    </xf>
    <xf numFmtId="0" fontId="7" fillId="9" borderId="29" xfId="0" applyFont="1" applyFill="1" applyBorder="1" applyAlignment="1">
      <alignment wrapText="1"/>
    </xf>
    <xf numFmtId="0" fontId="7" fillId="9" borderId="27" xfId="0" applyFont="1" applyFill="1" applyBorder="1" applyAlignment="1">
      <alignment wrapText="1"/>
    </xf>
    <xf numFmtId="0" fontId="7" fillId="9" borderId="45" xfId="0" applyFont="1" applyFill="1" applyBorder="1" applyAlignment="1">
      <alignment wrapText="1"/>
    </xf>
    <xf numFmtId="0" fontId="6" fillId="0" borderId="34" xfId="0" applyFont="1" applyBorder="1" applyAlignment="1">
      <alignment wrapText="1"/>
    </xf>
    <xf numFmtId="0" fontId="6" fillId="0" borderId="44" xfId="0" applyFont="1" applyBorder="1" applyAlignment="1">
      <alignment wrapText="1"/>
    </xf>
    <xf numFmtId="0" fontId="7" fillId="9" borderId="12" xfId="0" applyFont="1" applyFill="1" applyBorder="1" applyAlignment="1">
      <alignment wrapText="1"/>
    </xf>
    <xf numFmtId="0" fontId="7" fillId="9" borderId="21" xfId="0" applyFont="1" applyFill="1" applyBorder="1" applyAlignment="1">
      <alignment wrapText="1"/>
    </xf>
    <xf numFmtId="0" fontId="7" fillId="9" borderId="20" xfId="0" applyFont="1" applyFill="1" applyBorder="1" applyAlignment="1">
      <alignment wrapText="1"/>
    </xf>
    <xf numFmtId="0" fontId="6" fillId="9" borderId="3" xfId="0" applyFont="1" applyFill="1" applyBorder="1" applyAlignment="1">
      <alignment wrapText="1"/>
    </xf>
    <xf numFmtId="0" fontId="6" fillId="9" borderId="6" xfId="0" applyFont="1" applyFill="1" applyBorder="1" applyAlignment="1">
      <alignment wrapText="1"/>
    </xf>
    <xf numFmtId="0" fontId="10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8" fillId="0" borderId="3" xfId="0" applyFont="1" applyBorder="1" applyAlignment="1">
      <alignment wrapText="1"/>
    </xf>
    <xf numFmtId="0" fontId="18" fillId="0" borderId="2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2" xfId="0" applyFont="1" applyBorder="1" applyAlignment="1">
      <alignment wrapText="1"/>
    </xf>
    <xf numFmtId="0" fontId="11" fillId="9" borderId="5" xfId="0" applyFont="1" applyFill="1" applyBorder="1" applyAlignment="1">
      <alignment wrapText="1"/>
    </xf>
    <xf numFmtId="0" fontId="13" fillId="6" borderId="35" xfId="0" applyFont="1" applyFill="1" applyBorder="1" applyAlignment="1">
      <alignment vertical="center"/>
    </xf>
    <xf numFmtId="0" fontId="7" fillId="0" borderId="3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7" fillId="0" borderId="5" xfId="0" applyFont="1" applyBorder="1" applyAlignment="1">
      <alignment wrapText="1"/>
    </xf>
    <xf numFmtId="164" fontId="8" fillId="5" borderId="31" xfId="1" applyFont="1" applyFill="1" applyBorder="1" applyAlignment="1"/>
    <xf numFmtId="165" fontId="8" fillId="0" borderId="24" xfId="1" applyNumberFormat="1" applyFont="1" applyFill="1" applyBorder="1" applyAlignment="1"/>
    <xf numFmtId="165" fontId="4" fillId="0" borderId="1" xfId="1" applyNumberFormat="1" applyFont="1" applyFill="1" applyBorder="1" applyAlignment="1"/>
    <xf numFmtId="165" fontId="8" fillId="0" borderId="10" xfId="1" applyNumberFormat="1" applyFont="1" applyFill="1" applyBorder="1" applyAlignment="1"/>
    <xf numFmtId="165" fontId="8" fillId="0" borderId="1" xfId="1" applyNumberFormat="1" applyFont="1" applyFill="1" applyBorder="1" applyAlignment="1"/>
    <xf numFmtId="0" fontId="19" fillId="0" borderId="3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164" fontId="4" fillId="0" borderId="1" xfId="1" applyFont="1" applyBorder="1" applyAlignment="1"/>
    <xf numFmtId="2" fontId="6" fillId="0" borderId="22" xfId="0" applyNumberFormat="1" applyFont="1" applyBorder="1"/>
    <xf numFmtId="9" fontId="6" fillId="0" borderId="22" xfId="2" applyFont="1" applyBorder="1" applyAlignment="1"/>
    <xf numFmtId="166" fontId="8" fillId="0" borderId="22" xfId="2" applyNumberFormat="1" applyFont="1" applyBorder="1" applyAlignment="1"/>
    <xf numFmtId="0" fontId="11" fillId="0" borderId="19" xfId="0" applyFont="1" applyBorder="1"/>
    <xf numFmtId="0" fontId="11" fillId="0" borderId="0" xfId="0" applyFont="1"/>
    <xf numFmtId="0" fontId="11" fillId="0" borderId="1" xfId="0" applyFont="1" applyBorder="1"/>
    <xf numFmtId="164" fontId="12" fillId="0" borderId="1" xfId="1" applyFont="1" applyFill="1" applyBorder="1" applyAlignment="1"/>
    <xf numFmtId="0" fontId="12" fillId="0" borderId="10" xfId="0" applyFont="1" applyBorder="1"/>
    <xf numFmtId="165" fontId="8" fillId="0" borderId="4" xfId="1" applyNumberFormat="1" applyFont="1" applyFill="1" applyBorder="1" applyAlignment="1"/>
    <xf numFmtId="167" fontId="8" fillId="0" borderId="10" xfId="1" applyNumberFormat="1" applyFont="1" applyBorder="1" applyAlignment="1"/>
    <xf numFmtId="164" fontId="4" fillId="0" borderId="1" xfId="1" applyFont="1" applyFill="1" applyBorder="1" applyAlignment="1"/>
    <xf numFmtId="164" fontId="4" fillId="0" borderId="4" xfId="1" applyFont="1" applyFill="1" applyBorder="1" applyAlignment="1"/>
    <xf numFmtId="164" fontId="8" fillId="0" borderId="4" xfId="1" applyFont="1" applyFill="1" applyBorder="1" applyAlignment="1"/>
    <xf numFmtId="164" fontId="4" fillId="0" borderId="1" xfId="3" applyFont="1" applyFill="1" applyBorder="1" applyAlignment="1"/>
    <xf numFmtId="165" fontId="4" fillId="0" borderId="4" xfId="1" applyNumberFormat="1" applyFont="1" applyFill="1" applyBorder="1" applyAlignment="1"/>
    <xf numFmtId="164" fontId="8" fillId="0" borderId="10" xfId="1" applyFont="1" applyFill="1" applyBorder="1" applyAlignment="1"/>
    <xf numFmtId="0" fontId="6" fillId="0" borderId="3" xfId="0" applyFont="1" applyBorder="1" applyAlignment="1">
      <alignment horizontal="left"/>
    </xf>
    <xf numFmtId="1" fontId="8" fillId="0" borderId="4" xfId="1" applyNumberFormat="1" applyFont="1" applyFill="1" applyBorder="1" applyAlignment="1"/>
    <xf numFmtId="1" fontId="4" fillId="0" borderId="4" xfId="1" applyNumberFormat="1" applyFont="1" applyFill="1" applyBorder="1" applyAlignment="1"/>
    <xf numFmtId="1" fontId="8" fillId="0" borderId="40" xfId="1" applyNumberFormat="1" applyFont="1" applyFill="1" applyBorder="1" applyAlignment="1"/>
    <xf numFmtId="1" fontId="8" fillId="0" borderId="1" xfId="1" applyNumberFormat="1" applyFont="1" applyFill="1" applyBorder="1" applyAlignment="1"/>
    <xf numFmtId="1" fontId="8" fillId="0" borderId="10" xfId="1" applyNumberFormat="1" applyFont="1" applyFill="1" applyBorder="1" applyAlignment="1"/>
    <xf numFmtId="0" fontId="9" fillId="0" borderId="1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6" fillId="0" borderId="4" xfId="0" applyFont="1" applyBorder="1"/>
    <xf numFmtId="165" fontId="4" fillId="0" borderId="38" xfId="1" applyNumberFormat="1" applyFont="1" applyFill="1" applyBorder="1" applyAlignment="1"/>
    <xf numFmtId="165" fontId="8" fillId="0" borderId="10" xfId="1" applyNumberFormat="1" applyFont="1" applyBorder="1" applyAlignment="1"/>
    <xf numFmtId="165" fontId="8" fillId="0" borderId="11" xfId="1" applyNumberFormat="1" applyFont="1" applyFill="1" applyBorder="1" applyAlignment="1"/>
    <xf numFmtId="165" fontId="4" fillId="0" borderId="11" xfId="1" applyNumberFormat="1" applyFont="1" applyFill="1" applyBorder="1" applyAlignmen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165" fontId="4" fillId="0" borderId="11" xfId="3" applyNumberFormat="1" applyFont="1" applyFill="1" applyBorder="1" applyAlignment="1"/>
    <xf numFmtId="166" fontId="4" fillId="0" borderId="22" xfId="2" applyNumberFormat="1" applyFont="1" applyFill="1" applyBorder="1" applyAlignment="1"/>
    <xf numFmtId="0" fontId="6" fillId="0" borderId="1" xfId="0" applyFont="1" applyBorder="1" applyAlignment="1">
      <alignment horizontal="left"/>
    </xf>
    <xf numFmtId="1" fontId="8" fillId="0" borderId="10" xfId="3" applyNumberFormat="1" applyFont="1" applyFill="1" applyBorder="1" applyAlignment="1"/>
    <xf numFmtId="0" fontId="10" fillId="9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/>
    </xf>
    <xf numFmtId="164" fontId="8" fillId="0" borderId="1" xfId="1" applyFont="1" applyFill="1" applyBorder="1" applyAlignment="1"/>
    <xf numFmtId="0" fontId="6" fillId="0" borderId="1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4" fontId="8" fillId="0" borderId="1" xfId="3" applyFont="1" applyFill="1" applyBorder="1" applyAlignment="1"/>
    <xf numFmtId="0" fontId="5" fillId="0" borderId="6" xfId="0" applyFont="1" applyBorder="1" applyAlignment="1">
      <alignment horizontal="left"/>
    </xf>
    <xf numFmtId="164" fontId="4" fillId="0" borderId="1" xfId="1" applyFont="1" applyFill="1" applyBorder="1" applyAlignment="1">
      <alignment horizontal="left"/>
    </xf>
    <xf numFmtId="164" fontId="8" fillId="0" borderId="10" xfId="1" applyFont="1" applyFill="1" applyBorder="1" applyAlignment="1">
      <alignment horizontal="left"/>
    </xf>
    <xf numFmtId="164" fontId="8" fillId="0" borderId="1" xfId="1" applyFont="1" applyFill="1" applyBorder="1" applyAlignment="1">
      <alignment horizontal="center"/>
    </xf>
    <xf numFmtId="166" fontId="4" fillId="0" borderId="1" xfId="2" applyNumberFormat="1" applyFont="1" applyFill="1" applyBorder="1" applyAlignment="1"/>
    <xf numFmtId="166" fontId="4" fillId="0" borderId="7" xfId="2" applyNumberFormat="1" applyFont="1" applyFill="1" applyBorder="1" applyAlignment="1"/>
    <xf numFmtId="165" fontId="4" fillId="0" borderId="1" xfId="3" applyNumberFormat="1" applyFont="1" applyFill="1" applyBorder="1" applyAlignment="1"/>
    <xf numFmtId="165" fontId="4" fillId="0" borderId="7" xfId="3" applyNumberFormat="1" applyFont="1" applyFill="1" applyBorder="1" applyAlignment="1"/>
    <xf numFmtId="0" fontId="11" fillId="9" borderId="3" xfId="0" applyFont="1" applyFill="1" applyBorder="1"/>
    <xf numFmtId="0" fontId="11" fillId="9" borderId="6" xfId="0" applyFont="1" applyFill="1" applyBorder="1"/>
    <xf numFmtId="0" fontId="6" fillId="0" borderId="18" xfId="0" applyFont="1" applyBorder="1" applyAlignment="1">
      <alignment vertical="center"/>
    </xf>
    <xf numFmtId="0" fontId="8" fillId="5" borderId="30" xfId="0" applyFont="1" applyFill="1" applyBorder="1"/>
    <xf numFmtId="0" fontId="8" fillId="5" borderId="32" xfId="0" applyFont="1" applyFill="1" applyBorder="1"/>
    <xf numFmtId="0" fontId="7" fillId="9" borderId="3" xfId="0" applyFont="1" applyFill="1" applyBorder="1"/>
    <xf numFmtId="0" fontId="7" fillId="9" borderId="6" xfId="0" applyFont="1" applyFill="1" applyBorder="1"/>
    <xf numFmtId="0" fontId="6" fillId="0" borderId="3" xfId="0" applyFont="1" applyBorder="1"/>
    <xf numFmtId="0" fontId="6" fillId="0" borderId="2" xfId="0" applyFont="1" applyBorder="1"/>
    <xf numFmtId="0" fontId="5" fillId="0" borderId="3" xfId="0" applyFont="1" applyBorder="1"/>
    <xf numFmtId="0" fontId="5" fillId="0" borderId="2" xfId="0" applyFont="1" applyBorder="1"/>
    <xf numFmtId="0" fontId="6" fillId="0" borderId="14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9" xfId="0" applyFont="1" applyBorder="1"/>
    <xf numFmtId="0" fontId="5" fillId="0" borderId="8" xfId="0" applyFont="1" applyBorder="1"/>
    <xf numFmtId="0" fontId="17" fillId="9" borderId="30" xfId="0" applyFont="1" applyFill="1" applyBorder="1" applyAlignment="1">
      <alignment vertical="center"/>
    </xf>
    <xf numFmtId="0" fontId="17" fillId="9" borderId="29" xfId="0" applyFont="1" applyFill="1" applyBorder="1" applyAlignment="1">
      <alignment vertical="center"/>
    </xf>
    <xf numFmtId="0" fontId="10" fillId="0" borderId="3" xfId="0" applyFont="1" applyBorder="1"/>
    <xf numFmtId="0" fontId="10" fillId="0" borderId="2" xfId="0" applyFont="1" applyBorder="1"/>
    <xf numFmtId="0" fontId="19" fillId="0" borderId="3" xfId="0" applyFont="1" applyBorder="1"/>
    <xf numFmtId="0" fontId="19" fillId="0" borderId="2" xfId="0" applyFont="1" applyBorder="1"/>
    <xf numFmtId="0" fontId="18" fillId="0" borderId="3" xfId="0" applyFont="1" applyBorder="1"/>
    <xf numFmtId="0" fontId="18" fillId="0" borderId="2" xfId="0" applyFont="1" applyBorder="1"/>
    <xf numFmtId="0" fontId="6" fillId="0" borderId="34" xfId="0" applyFont="1" applyBorder="1"/>
    <xf numFmtId="0" fontId="6" fillId="0" borderId="44" xfId="0" applyFont="1" applyBorder="1"/>
    <xf numFmtId="0" fontId="7" fillId="9" borderId="12" xfId="0" applyFont="1" applyFill="1" applyBorder="1"/>
    <xf numFmtId="0" fontId="7" fillId="9" borderId="21" xfId="0" applyFont="1" applyFill="1" applyBorder="1"/>
    <xf numFmtId="0" fontId="10" fillId="0" borderId="19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14" xfId="0" applyFont="1" applyBorder="1"/>
    <xf numFmtId="0" fontId="6" fillId="0" borderId="16" xfId="0" applyFont="1" applyBorder="1"/>
    <xf numFmtId="0" fontId="10" fillId="9" borderId="3" xfId="0" applyFont="1" applyFill="1" applyBorder="1" applyAlignment="1">
      <alignment vertical="top"/>
    </xf>
    <xf numFmtId="0" fontId="10" fillId="9" borderId="6" xfId="0" applyFont="1" applyFill="1" applyBorder="1" applyAlignment="1">
      <alignment vertical="top"/>
    </xf>
    <xf numFmtId="0" fontId="10" fillId="9" borderId="3" xfId="0" applyFont="1" applyFill="1" applyBorder="1"/>
    <xf numFmtId="0" fontId="10" fillId="9" borderId="6" xfId="0" applyFont="1" applyFill="1" applyBorder="1"/>
    <xf numFmtId="1" fontId="6" fillId="0" borderId="3" xfId="0" applyNumberFormat="1" applyFont="1" applyBorder="1"/>
    <xf numFmtId="1" fontId="6" fillId="0" borderId="2" xfId="0" applyNumberFormat="1" applyFont="1" applyBorder="1"/>
    <xf numFmtId="1" fontId="5" fillId="9" borderId="3" xfId="0" applyNumberFormat="1" applyFont="1" applyFill="1" applyBorder="1"/>
    <xf numFmtId="1" fontId="5" fillId="9" borderId="6" xfId="0" applyNumberFormat="1" applyFont="1" applyFill="1" applyBorder="1"/>
    <xf numFmtId="0" fontId="11" fillId="2" borderId="3" xfId="0" applyFont="1" applyFill="1" applyBorder="1"/>
    <xf numFmtId="0" fontId="11" fillId="2" borderId="6" xfId="0" applyFont="1" applyFill="1" applyBorder="1"/>
    <xf numFmtId="0" fontId="9" fillId="0" borderId="19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10" fillId="0" borderId="3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2" fontId="6" fillId="0" borderId="3" xfId="0" applyNumberFormat="1" applyFont="1" applyBorder="1"/>
    <xf numFmtId="2" fontId="6" fillId="0" borderId="2" xfId="0" applyNumberFormat="1" applyFont="1" applyBorder="1"/>
    <xf numFmtId="0" fontId="7" fillId="0" borderId="3" xfId="0" applyFont="1" applyBorder="1"/>
    <xf numFmtId="0" fontId="7" fillId="0" borderId="6" xfId="0" applyFont="1" applyBorder="1"/>
    <xf numFmtId="0" fontId="7" fillId="9" borderId="26" xfId="0" applyFont="1" applyFill="1" applyBorder="1"/>
    <xf numFmtId="0" fontId="7" fillId="9" borderId="46" xfId="0" applyFont="1" applyFill="1" applyBorder="1"/>
    <xf numFmtId="0" fontId="7" fillId="9" borderId="30" xfId="0" applyFont="1" applyFill="1" applyBorder="1"/>
    <xf numFmtId="0" fontId="7" fillId="9" borderId="29" xfId="0" applyFont="1" applyFill="1" applyBorder="1"/>
    <xf numFmtId="0" fontId="6" fillId="0" borderId="26" xfId="0" applyFont="1" applyBorder="1"/>
    <xf numFmtId="0" fontId="6" fillId="0" borderId="25" xfId="0" applyFont="1" applyBorder="1"/>
    <xf numFmtId="2" fontId="21" fillId="0" borderId="42" xfId="0" applyNumberFormat="1" applyFont="1" applyBorder="1"/>
    <xf numFmtId="166" fontId="8" fillId="0" borderId="41" xfId="2" applyNumberFormat="1" applyFont="1" applyFill="1" applyBorder="1"/>
    <xf numFmtId="166" fontId="8" fillId="0" borderId="10" xfId="2" applyNumberFormat="1" applyFont="1" applyFill="1" applyBorder="1"/>
    <xf numFmtId="166" fontId="8" fillId="0" borderId="42" xfId="2" applyNumberFormat="1" applyFont="1" applyFill="1" applyBorder="1"/>
    <xf numFmtId="164" fontId="8" fillId="0" borderId="10" xfId="3" applyFont="1" applyFill="1" applyBorder="1"/>
    <xf numFmtId="0" fontId="21" fillId="0" borderId="0" xfId="0" applyFont="1"/>
    <xf numFmtId="0" fontId="22" fillId="9" borderId="27" xfId="0" applyFont="1" applyFill="1" applyBorder="1"/>
    <xf numFmtId="165" fontId="8" fillId="0" borderId="23" xfId="1" applyNumberFormat="1" applyFont="1" applyFill="1" applyBorder="1" applyAlignment="1"/>
    <xf numFmtId="0" fontId="22" fillId="9" borderId="5" xfId="0" applyFont="1" applyFill="1" applyBorder="1"/>
    <xf numFmtId="0" fontId="22" fillId="0" borderId="5" xfId="0" applyFont="1" applyBorder="1"/>
    <xf numFmtId="0" fontId="22" fillId="9" borderId="47" xfId="0" applyFont="1" applyFill="1" applyBorder="1"/>
    <xf numFmtId="0" fontId="12" fillId="9" borderId="5" xfId="0" applyFont="1" applyFill="1" applyBorder="1"/>
    <xf numFmtId="0" fontId="12" fillId="2" borderId="5" xfId="0" applyFont="1" applyFill="1" applyBorder="1"/>
    <xf numFmtId="1" fontId="8" fillId="9" borderId="5" xfId="0" applyNumberFormat="1" applyFont="1" applyFill="1" applyBorder="1"/>
    <xf numFmtId="0" fontId="23" fillId="9" borderId="27" xfId="0" applyFont="1" applyFill="1" applyBorder="1" applyAlignment="1">
      <alignment vertical="center"/>
    </xf>
    <xf numFmtId="0" fontId="24" fillId="9" borderId="5" xfId="0" applyFont="1" applyFill="1" applyBorder="1"/>
    <xf numFmtId="0" fontId="24" fillId="9" borderId="5" xfId="0" applyFont="1" applyFill="1" applyBorder="1" applyAlignment="1">
      <alignment vertical="top"/>
    </xf>
    <xf numFmtId="0" fontId="22" fillId="9" borderId="20" xfId="0" applyFont="1" applyFill="1" applyBorder="1"/>
    <xf numFmtId="164" fontId="8" fillId="0" borderId="10" xfId="1" applyFont="1" applyBorder="1" applyAlignment="1"/>
    <xf numFmtId="166" fontId="8" fillId="0" borderId="41" xfId="2" applyNumberFormat="1" applyFont="1" applyBorder="1" applyAlignment="1"/>
    <xf numFmtId="0" fontId="8" fillId="0" borderId="10" xfId="1" applyNumberFormat="1" applyFont="1" applyFill="1" applyBorder="1" applyAlignment="1"/>
    <xf numFmtId="166" fontId="8" fillId="0" borderId="41" xfId="2" applyNumberFormat="1" applyFont="1" applyFill="1" applyBorder="1" applyAlignment="1"/>
    <xf numFmtId="166" fontId="8" fillId="0" borderId="10" xfId="2" applyNumberFormat="1" applyFont="1" applyFill="1" applyBorder="1" applyAlignment="1"/>
    <xf numFmtId="166" fontId="8" fillId="0" borderId="42" xfId="2" applyNumberFormat="1" applyFont="1" applyFill="1" applyBorder="1" applyAlignment="1"/>
    <xf numFmtId="164" fontId="8" fillId="0" borderId="10" xfId="3" applyFont="1" applyFill="1" applyBorder="1" applyAlignment="1"/>
    <xf numFmtId="2" fontId="8" fillId="0" borderId="10" xfId="3" applyNumberFormat="1" applyFont="1" applyFill="1" applyBorder="1" applyAlignment="1"/>
    <xf numFmtId="1" fontId="8" fillId="0" borderId="40" xfId="1" applyNumberFormat="1" applyFont="1" applyFill="1" applyBorder="1"/>
    <xf numFmtId="0" fontId="8" fillId="8" borderId="27" xfId="0" applyFont="1" applyFill="1" applyBorder="1"/>
    <xf numFmtId="0" fontId="8" fillId="0" borderId="27" xfId="0" applyFont="1" applyBorder="1" applyAlignment="1">
      <alignment vertical="center" wrapText="1"/>
    </xf>
    <xf numFmtId="0" fontId="8" fillId="7" borderId="27" xfId="0" applyFont="1" applyFill="1" applyBorder="1" applyAlignment="1">
      <alignment vertical="center" wrapText="1"/>
    </xf>
    <xf numFmtId="0" fontId="22" fillId="9" borderId="27" xfId="0" applyFont="1" applyFill="1" applyBorder="1" applyAlignment="1">
      <alignment wrapText="1"/>
    </xf>
    <xf numFmtId="0" fontId="22" fillId="9" borderId="5" xfId="0" applyFont="1" applyFill="1" applyBorder="1" applyAlignment="1">
      <alignment wrapText="1"/>
    </xf>
    <xf numFmtId="0" fontId="12" fillId="9" borderId="5" xfId="0" applyFont="1" applyFill="1" applyBorder="1" applyAlignment="1">
      <alignment wrapText="1"/>
    </xf>
    <xf numFmtId="0" fontId="12" fillId="2" borderId="5" xfId="0" applyFont="1" applyFill="1" applyBorder="1" applyAlignment="1">
      <alignment wrapText="1"/>
    </xf>
    <xf numFmtId="1" fontId="8" fillId="9" borderId="5" xfId="0" applyNumberFormat="1" applyFont="1" applyFill="1" applyBorder="1" applyAlignment="1">
      <alignment wrapText="1"/>
    </xf>
    <xf numFmtId="0" fontId="23" fillId="9" borderId="27" xfId="0" applyFont="1" applyFill="1" applyBorder="1" applyAlignment="1">
      <alignment vertical="center" wrapText="1"/>
    </xf>
    <xf numFmtId="0" fontId="24" fillId="9" borderId="5" xfId="0" applyFont="1" applyFill="1" applyBorder="1" applyAlignment="1">
      <alignment wrapText="1"/>
    </xf>
    <xf numFmtId="0" fontId="24" fillId="9" borderId="5" xfId="0" applyFont="1" applyFill="1" applyBorder="1" applyAlignment="1">
      <alignment vertical="top" wrapText="1"/>
    </xf>
    <xf numFmtId="0" fontId="22" fillId="9" borderId="20" xfId="0" applyFont="1" applyFill="1" applyBorder="1" applyAlignment="1">
      <alignment wrapText="1"/>
    </xf>
    <xf numFmtId="0" fontId="8" fillId="0" borderId="27" xfId="0" applyFont="1" applyBorder="1" applyAlignment="1">
      <alignment vertical="center"/>
    </xf>
    <xf numFmtId="0" fontId="8" fillId="6" borderId="35" xfId="0" applyFont="1" applyFill="1" applyBorder="1" applyAlignment="1">
      <alignment horizontal="center" vertical="center"/>
    </xf>
    <xf numFmtId="0" fontId="8" fillId="6" borderId="33" xfId="0" applyFont="1" applyFill="1" applyBorder="1" applyAlignment="1">
      <alignment vertical="center"/>
    </xf>
    <xf numFmtId="0" fontId="21" fillId="9" borderId="33" xfId="0" applyFont="1" applyFill="1" applyBorder="1" applyAlignment="1">
      <alignment vertical="center" wrapText="1"/>
    </xf>
    <xf numFmtId="0" fontId="8" fillId="9" borderId="5" xfId="0" applyFont="1" applyFill="1" applyBorder="1" applyAlignment="1">
      <alignment wrapText="1"/>
    </xf>
    <xf numFmtId="0" fontId="8" fillId="0" borderId="10" xfId="3" applyNumberFormat="1" applyFont="1" applyFill="1" applyBorder="1"/>
    <xf numFmtId="166" fontId="8" fillId="0" borderId="1" xfId="2" applyNumberFormat="1" applyFont="1" applyFill="1" applyBorder="1"/>
    <xf numFmtId="166" fontId="8" fillId="0" borderId="22" xfId="2" applyNumberFormat="1" applyFont="1" applyFill="1" applyBorder="1"/>
    <xf numFmtId="166" fontId="8" fillId="0" borderId="7" xfId="2" applyNumberFormat="1" applyFont="1" applyFill="1" applyBorder="1"/>
    <xf numFmtId="165" fontId="8" fillId="0" borderId="10" xfId="3" applyNumberFormat="1" applyFont="1" applyFill="1" applyBorder="1"/>
    <xf numFmtId="164" fontId="21" fillId="0" borderId="0" xfId="0" applyNumberFormat="1" applyFont="1"/>
    <xf numFmtId="1" fontId="4" fillId="0" borderId="1" xfId="1" applyNumberFormat="1" applyFont="1" applyFill="1" applyBorder="1" applyAlignment="1"/>
    <xf numFmtId="165" fontId="4" fillId="0" borderId="4" xfId="1" applyNumberFormat="1" applyFont="1" applyFill="1" applyBorder="1" applyAlignment="1">
      <alignment horizontal="right"/>
    </xf>
    <xf numFmtId="164" fontId="0" fillId="0" borderId="0" xfId="1" applyFont="1"/>
    <xf numFmtId="165" fontId="8" fillId="0" borderId="24" xfId="1" applyNumberFormat="1" applyFont="1" applyBorder="1" applyProtection="1"/>
    <xf numFmtId="165" fontId="4" fillId="0" borderId="1" xfId="1" applyNumberFormat="1" applyFont="1" applyBorder="1" applyProtection="1"/>
    <xf numFmtId="165" fontId="4" fillId="0" borderId="0" xfId="1" applyNumberFormat="1" applyFont="1" applyProtection="1"/>
    <xf numFmtId="165" fontId="8" fillId="0" borderId="4" xfId="1" applyNumberFormat="1" applyFont="1" applyBorder="1" applyProtection="1"/>
    <xf numFmtId="164" fontId="4" fillId="0" borderId="4" xfId="1" applyFont="1" applyBorder="1" applyProtection="1"/>
    <xf numFmtId="165" fontId="4" fillId="0" borderId="4" xfId="1" applyNumberFormat="1" applyFont="1" applyBorder="1" applyProtection="1"/>
    <xf numFmtId="1" fontId="4" fillId="0" borderId="38" xfId="0" applyNumberFormat="1" applyFont="1" applyBorder="1"/>
    <xf numFmtId="164" fontId="8" fillId="0" borderId="11" xfId="1" applyFont="1" applyBorder="1" applyProtection="1"/>
    <xf numFmtId="165" fontId="8" fillId="0" borderId="11" xfId="1" applyNumberFormat="1" applyFont="1" applyBorder="1" applyProtection="1"/>
    <xf numFmtId="164" fontId="4" fillId="0" borderId="1" xfId="1" applyFont="1" applyBorder="1" applyProtection="1"/>
    <xf numFmtId="4" fontId="8" fillId="0" borderId="1" xfId="0" applyNumberFormat="1" applyFont="1" applyBorder="1" applyAlignment="1">
      <alignment horizontal="right" wrapText="1"/>
    </xf>
    <xf numFmtId="164" fontId="8" fillId="0" borderId="24" xfId="1" applyFont="1" applyBorder="1" applyProtection="1"/>
    <xf numFmtId="43" fontId="0" fillId="0" borderId="0" xfId="0" applyNumberFormat="1"/>
    <xf numFmtId="164" fontId="9" fillId="4" borderId="1" xfId="1" applyFont="1" applyFill="1" applyBorder="1" applyAlignment="1">
      <alignment horizontal="center"/>
    </xf>
    <xf numFmtId="0" fontId="8" fillId="5" borderId="30" xfId="0" applyFont="1" applyFill="1" applyBorder="1" applyAlignment="1">
      <alignment horizontal="left" wrapText="1"/>
    </xf>
    <xf numFmtId="0" fontId="8" fillId="5" borderId="32" xfId="0" applyFont="1" applyFill="1" applyBorder="1" applyAlignment="1">
      <alignment horizontal="left" wrapText="1"/>
    </xf>
    <xf numFmtId="0" fontId="7" fillId="9" borderId="30" xfId="0" applyFont="1" applyFill="1" applyBorder="1" applyAlignment="1">
      <alignment horizontal="left" wrapText="1"/>
    </xf>
    <xf numFmtId="0" fontId="7" fillId="9" borderId="29" xfId="0" applyFont="1" applyFill="1" applyBorder="1" applyAlignment="1">
      <alignment horizontal="left" wrapText="1"/>
    </xf>
    <xf numFmtId="0" fontId="7" fillId="9" borderId="27" xfId="0" applyFont="1" applyFill="1" applyBorder="1" applyAlignment="1">
      <alignment horizontal="left" wrapText="1"/>
    </xf>
    <xf numFmtId="0" fontId="6" fillId="0" borderId="26" xfId="0" applyFont="1" applyBorder="1" applyAlignment="1">
      <alignment horizontal="left" wrapText="1"/>
    </xf>
    <xf numFmtId="0" fontId="6" fillId="0" borderId="25" xfId="0" applyFont="1" applyBorder="1" applyAlignment="1">
      <alignment horizontal="left" wrapText="1"/>
    </xf>
    <xf numFmtId="0" fontId="7" fillId="9" borderId="3" xfId="0" applyFont="1" applyFill="1" applyBorder="1" applyAlignment="1">
      <alignment horizontal="left" wrapText="1"/>
    </xf>
    <xf numFmtId="0" fontId="7" fillId="9" borderId="6" xfId="0" applyFont="1" applyFill="1" applyBorder="1" applyAlignment="1">
      <alignment horizontal="left" wrapText="1"/>
    </xf>
    <xf numFmtId="0" fontId="7" fillId="9" borderId="45" xfId="0" applyFont="1" applyFill="1" applyBorder="1" applyAlignment="1">
      <alignment horizontal="left" wrapText="1"/>
    </xf>
    <xf numFmtId="0" fontId="7" fillId="9" borderId="5" xfId="0" applyFont="1" applyFill="1" applyBorder="1" applyAlignment="1">
      <alignment horizontal="left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6" fillId="0" borderId="19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left" wrapText="1"/>
    </xf>
    <xf numFmtId="0" fontId="11" fillId="9" borderId="6" xfId="0" applyFont="1" applyFill="1" applyBorder="1" applyAlignment="1">
      <alignment horizontal="left" wrapText="1"/>
    </xf>
    <xf numFmtId="0" fontId="11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left" wrapText="1"/>
    </xf>
    <xf numFmtId="0" fontId="11" fillId="2" borderId="6" xfId="0" applyFont="1" applyFill="1" applyBorder="1" applyAlignment="1">
      <alignment horizontal="left" wrapText="1"/>
    </xf>
    <xf numFmtId="0" fontId="11" fillId="2" borderId="5" xfId="0" applyFont="1" applyFill="1" applyBorder="1" applyAlignment="1">
      <alignment horizontal="left" wrapText="1"/>
    </xf>
    <xf numFmtId="2" fontId="6" fillId="0" borderId="3" xfId="0" applyNumberFormat="1" applyFont="1" applyBorder="1" applyAlignment="1">
      <alignment horizontal="left" wrapText="1"/>
    </xf>
    <xf numFmtId="2" fontId="6" fillId="0" borderId="2" xfId="0" applyNumberFormat="1" applyFont="1" applyBorder="1" applyAlignment="1">
      <alignment horizontal="left" wrapText="1"/>
    </xf>
    <xf numFmtId="1" fontId="6" fillId="0" borderId="3" xfId="0" applyNumberFormat="1" applyFont="1" applyBorder="1" applyAlignment="1">
      <alignment horizontal="left" wrapText="1"/>
    </xf>
    <xf numFmtId="1" fontId="6" fillId="0" borderId="2" xfId="0" applyNumberFormat="1" applyFont="1" applyBorder="1" applyAlignment="1">
      <alignment horizontal="left" wrapText="1"/>
    </xf>
    <xf numFmtId="1" fontId="5" fillId="9" borderId="3" xfId="0" applyNumberFormat="1" applyFont="1" applyFill="1" applyBorder="1" applyAlignment="1">
      <alignment horizontal="center" wrapText="1"/>
    </xf>
    <xf numFmtId="1" fontId="5" fillId="9" borderId="6" xfId="0" applyNumberFormat="1" applyFont="1" applyFill="1" applyBorder="1" applyAlignment="1">
      <alignment horizontal="center" wrapText="1"/>
    </xf>
    <xf numFmtId="1" fontId="5" fillId="9" borderId="5" xfId="0" applyNumberFormat="1" applyFont="1" applyFill="1" applyBorder="1" applyAlignment="1">
      <alignment horizontal="center" wrapText="1"/>
    </xf>
    <xf numFmtId="0" fontId="17" fillId="9" borderId="30" xfId="0" applyFont="1" applyFill="1" applyBorder="1" applyAlignment="1">
      <alignment horizontal="left" vertical="center" wrapText="1"/>
    </xf>
    <xf numFmtId="0" fontId="17" fillId="9" borderId="29" xfId="0" applyFont="1" applyFill="1" applyBorder="1" applyAlignment="1">
      <alignment horizontal="left" vertical="center" wrapText="1"/>
    </xf>
    <xf numFmtId="0" fontId="17" fillId="9" borderId="27" xfId="0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horizontal="left" wrapText="1"/>
    </xf>
    <xf numFmtId="0" fontId="10" fillId="9" borderId="6" xfId="0" applyFont="1" applyFill="1" applyBorder="1" applyAlignment="1">
      <alignment horizontal="left" wrapText="1"/>
    </xf>
    <xf numFmtId="0" fontId="10" fillId="9" borderId="5" xfId="0" applyFont="1" applyFill="1" applyBorder="1" applyAlignment="1">
      <alignment horizontal="left" wrapText="1"/>
    </xf>
    <xf numFmtId="0" fontId="6" fillId="0" borderId="19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6" fillId="0" borderId="17" xfId="0" applyFont="1" applyBorder="1" applyAlignment="1">
      <alignment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9" borderId="34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9" borderId="3" xfId="0" applyFont="1" applyFill="1" applyBorder="1" applyAlignment="1">
      <alignment horizontal="left" vertical="top" wrapText="1"/>
    </xf>
    <xf numFmtId="0" fontId="10" fillId="9" borderId="6" xfId="0" applyFont="1" applyFill="1" applyBorder="1" applyAlignment="1">
      <alignment horizontal="left" vertical="top" wrapText="1"/>
    </xf>
    <xf numFmtId="0" fontId="10" fillId="9" borderId="5" xfId="0" applyFont="1" applyFill="1" applyBorder="1" applyAlignment="1">
      <alignment horizontal="left" vertical="top" wrapText="1"/>
    </xf>
    <xf numFmtId="0" fontId="7" fillId="9" borderId="12" xfId="0" applyFont="1" applyFill="1" applyBorder="1" applyAlignment="1">
      <alignment horizontal="left" wrapText="1"/>
    </xf>
    <xf numFmtId="0" fontId="7" fillId="9" borderId="21" xfId="0" applyFont="1" applyFill="1" applyBorder="1" applyAlignment="1">
      <alignment horizontal="left" wrapText="1"/>
    </xf>
    <xf numFmtId="0" fontId="7" fillId="9" borderId="20" xfId="0" applyFont="1" applyFill="1" applyBorder="1" applyAlignment="1">
      <alignment horizontal="left" wrapText="1"/>
    </xf>
    <xf numFmtId="0" fontId="6" fillId="0" borderId="1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10" fillId="0" borderId="19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wrapText="1"/>
    </xf>
    <xf numFmtId="0" fontId="6" fillId="9" borderId="6" xfId="0" applyFont="1" applyFill="1" applyBorder="1" applyAlignment="1">
      <alignment horizontal="left" wrapText="1"/>
    </xf>
    <xf numFmtId="0" fontId="6" fillId="9" borderId="5" xfId="0" applyFont="1" applyFill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6" fillId="0" borderId="34" xfId="0" applyFont="1" applyBorder="1" applyAlignment="1">
      <alignment horizontal="left" wrapText="1"/>
    </xf>
    <xf numFmtId="0" fontId="6" fillId="0" borderId="44" xfId="0" applyFont="1" applyBorder="1" applyAlignment="1">
      <alignment horizontal="left" wrapText="1"/>
    </xf>
    <xf numFmtId="0" fontId="18" fillId="0" borderId="3" xfId="0" applyFont="1" applyBorder="1" applyAlignment="1">
      <alignment horizontal="left" wrapText="1"/>
    </xf>
    <xf numFmtId="0" fontId="18" fillId="0" borderId="2" xfId="0" applyFont="1" applyBorder="1" applyAlignment="1">
      <alignment horizontal="left" wrapText="1"/>
    </xf>
    <xf numFmtId="0" fontId="19" fillId="0" borderId="3" xfId="0" applyFont="1" applyBorder="1" applyAlignment="1">
      <alignment horizontal="left" wrapText="1"/>
    </xf>
    <xf numFmtId="0" fontId="19" fillId="0" borderId="2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7" fillId="9" borderId="48" xfId="0" applyFont="1" applyFill="1" applyBorder="1" applyAlignment="1">
      <alignment horizontal="left" wrapText="1"/>
    </xf>
    <xf numFmtId="0" fontId="11" fillId="2" borderId="45" xfId="0" applyFont="1" applyFill="1" applyBorder="1" applyAlignment="1">
      <alignment horizontal="left" wrapText="1"/>
    </xf>
  </cellXfs>
  <cellStyles count="14">
    <cellStyle name="Comma" xfId="1" builtinId="3"/>
    <cellStyle name="Comma 2" xfId="3" xr:uid="{00000000-0005-0000-0000-000001000000}"/>
    <cellStyle name="Comma 2 2" xfId="7" xr:uid="{00000000-0005-0000-0000-000002000000}"/>
    <cellStyle name="Comma 3" xfId="8" xr:uid="{00000000-0005-0000-0000-000003000000}"/>
    <cellStyle name="Comma 4" xfId="11" xr:uid="{00000000-0005-0000-0000-000004000000}"/>
    <cellStyle name="Comma 5" xfId="5" xr:uid="{00000000-0005-0000-0000-000005000000}"/>
    <cellStyle name="Normal" xfId="0" builtinId="0"/>
    <cellStyle name="Normal 2" xfId="10" xr:uid="{00000000-0005-0000-0000-000007000000}"/>
    <cellStyle name="Normal 3" xfId="4" xr:uid="{00000000-0005-0000-0000-000008000000}"/>
    <cellStyle name="Normal 4" xfId="13" xr:uid="{00000000-0005-0000-0000-000009000000}"/>
    <cellStyle name="Percent" xfId="2" builtinId="5"/>
    <cellStyle name="Percent 2" xfId="9" xr:uid="{00000000-0005-0000-0000-00000B000000}"/>
    <cellStyle name="Percent 3" xfId="12" xr:uid="{00000000-0005-0000-0000-00000C000000}"/>
    <cellStyle name="Percent 4" xfId="6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263"/>
  <sheetViews>
    <sheetView zoomScale="70" zoomScaleNormal="70" workbookViewId="0">
      <pane xSplit="2" ySplit="8" topLeftCell="J246" activePane="bottomRight" state="frozen"/>
      <selection pane="topRight" activeCell="C1" sqref="C1"/>
      <selection pane="bottomLeft" activeCell="A9" sqref="A9"/>
      <selection pane="bottomRight" activeCell="O226" sqref="O226"/>
    </sheetView>
  </sheetViews>
  <sheetFormatPr defaultRowHeight="15.6" x14ac:dyDescent="0.3"/>
  <cols>
    <col min="1" max="1" width="39" customWidth="1"/>
    <col min="2" max="2" width="10.109375" customWidth="1"/>
    <col min="3" max="3" width="7.3320312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9" max="19" width="13.3320312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53275</v>
      </c>
      <c r="E9" s="244">
        <v>41589</v>
      </c>
      <c r="F9" s="244">
        <v>45200</v>
      </c>
      <c r="G9" s="244">
        <v>62022</v>
      </c>
      <c r="H9" s="244">
        <v>50958</v>
      </c>
      <c r="I9" s="244">
        <v>65681</v>
      </c>
      <c r="J9" s="244">
        <v>46567</v>
      </c>
      <c r="K9" s="244">
        <v>49897</v>
      </c>
      <c r="L9" s="244">
        <v>50365</v>
      </c>
      <c r="M9" s="420">
        <v>47566</v>
      </c>
      <c r="N9" s="244">
        <v>48213</v>
      </c>
      <c r="O9" s="244">
        <v>48339</v>
      </c>
      <c r="P9" s="374">
        <f>SUM(D9:O9)</f>
        <v>609672</v>
      </c>
    </row>
    <row r="10" spans="1:16" x14ac:dyDescent="0.3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5">
        <v>24957</v>
      </c>
      <c r="E11" s="245">
        <v>17592</v>
      </c>
      <c r="F11" s="245">
        <v>17881</v>
      </c>
      <c r="G11" s="245">
        <v>25332</v>
      </c>
      <c r="H11" s="245">
        <v>19421</v>
      </c>
      <c r="I11" s="245">
        <v>25495</v>
      </c>
      <c r="J11" s="245">
        <v>17150</v>
      </c>
      <c r="K11" s="245">
        <v>18041</v>
      </c>
      <c r="L11" s="245">
        <v>17458</v>
      </c>
      <c r="M11" s="421">
        <v>15995</v>
      </c>
      <c r="N11" s="245">
        <v>19774</v>
      </c>
      <c r="O11" s="245">
        <v>17560</v>
      </c>
      <c r="P11" s="246">
        <f>SUM(D11:O11)</f>
        <v>236656</v>
      </c>
    </row>
    <row r="12" spans="1:16" x14ac:dyDescent="0.3">
      <c r="A12" s="319" t="s">
        <v>158</v>
      </c>
      <c r="B12" s="320"/>
      <c r="C12" s="4" t="s">
        <v>154</v>
      </c>
      <c r="D12" s="245">
        <v>958</v>
      </c>
      <c r="E12" s="245">
        <v>714</v>
      </c>
      <c r="F12" s="245">
        <v>633</v>
      </c>
      <c r="G12" s="245">
        <v>1028</v>
      </c>
      <c r="H12" s="245">
        <v>772</v>
      </c>
      <c r="I12" s="245">
        <v>1147</v>
      </c>
      <c r="J12" s="245">
        <v>809</v>
      </c>
      <c r="K12" s="245">
        <v>738</v>
      </c>
      <c r="L12" s="245">
        <v>660</v>
      </c>
      <c r="M12" s="421">
        <v>666</v>
      </c>
      <c r="N12" s="245">
        <v>366</v>
      </c>
      <c r="O12" s="245">
        <v>489</v>
      </c>
      <c r="P12" s="246">
        <f>SUM(D12:O12)</f>
        <v>8980</v>
      </c>
    </row>
    <row r="13" spans="1:16" x14ac:dyDescent="0.3">
      <c r="A13" s="319" t="s">
        <v>157</v>
      </c>
      <c r="B13" s="320"/>
      <c r="C13" s="4" t="s">
        <v>154</v>
      </c>
      <c r="D13" s="245">
        <v>90</v>
      </c>
      <c r="E13" s="245">
        <v>80</v>
      </c>
      <c r="F13" s="245">
        <v>84</v>
      </c>
      <c r="G13" s="245">
        <v>101</v>
      </c>
      <c r="H13" s="245">
        <v>96</v>
      </c>
      <c r="I13" s="245">
        <v>115</v>
      </c>
      <c r="J13" s="245">
        <v>93</v>
      </c>
      <c r="K13" s="245">
        <v>70</v>
      </c>
      <c r="L13" s="245">
        <v>80</v>
      </c>
      <c r="M13" s="421">
        <v>103</v>
      </c>
      <c r="N13" s="245">
        <v>56</v>
      </c>
      <c r="O13" s="245">
        <v>66</v>
      </c>
      <c r="P13" s="246">
        <f>SUM(D13:O13)</f>
        <v>1034</v>
      </c>
    </row>
    <row r="14" spans="1:16" x14ac:dyDescent="0.3">
      <c r="A14" s="312" t="s">
        <v>156</v>
      </c>
      <c r="B14" s="313"/>
      <c r="C14" s="4" t="s">
        <v>154</v>
      </c>
      <c r="D14" s="245">
        <v>11</v>
      </c>
      <c r="E14" s="245">
        <v>4</v>
      </c>
      <c r="F14" s="245"/>
      <c r="G14" s="245">
        <v>56</v>
      </c>
      <c r="H14" s="245">
        <v>11</v>
      </c>
      <c r="I14" s="245">
        <v>6</v>
      </c>
      <c r="J14" s="245">
        <v>2</v>
      </c>
      <c r="K14" s="245">
        <v>7</v>
      </c>
      <c r="L14" s="245">
        <v>9</v>
      </c>
      <c r="M14" s="421">
        <v>10</v>
      </c>
      <c r="N14" s="245">
        <v>10</v>
      </c>
      <c r="O14" s="245">
        <v>4</v>
      </c>
      <c r="P14" s="246">
        <f>SUM(D14:O14)</f>
        <v>130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O15" si="0">SUM(D11:D14)</f>
        <v>26016</v>
      </c>
      <c r="E15" s="247">
        <f t="shared" si="0"/>
        <v>18390</v>
      </c>
      <c r="F15" s="247">
        <f t="shared" si="0"/>
        <v>18598</v>
      </c>
      <c r="G15" s="247">
        <f t="shared" si="0"/>
        <v>26517</v>
      </c>
      <c r="H15" s="247">
        <f t="shared" si="0"/>
        <v>20300</v>
      </c>
      <c r="I15" s="247">
        <f t="shared" si="0"/>
        <v>26763</v>
      </c>
      <c r="J15" s="247">
        <f t="shared" si="0"/>
        <v>18054</v>
      </c>
      <c r="K15" s="247">
        <f t="shared" si="0"/>
        <v>18856</v>
      </c>
      <c r="L15" s="247">
        <f t="shared" si="0"/>
        <v>18207</v>
      </c>
      <c r="M15" s="247">
        <f t="shared" si="0"/>
        <v>16774</v>
      </c>
      <c r="N15" s="247">
        <f t="shared" si="0"/>
        <v>20206</v>
      </c>
      <c r="O15" s="247">
        <f t="shared" si="0"/>
        <v>18119</v>
      </c>
      <c r="P15" s="246">
        <f t="shared" ref="P15" si="1">SUM(P11:P14)</f>
        <v>246800</v>
      </c>
    </row>
    <row r="16" spans="1:16" x14ac:dyDescent="0.3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5">
        <v>9562.5999999999894</v>
      </c>
      <c r="E17" s="245">
        <v>9832.7000000000007</v>
      </c>
      <c r="F17" s="245">
        <v>11195.3</v>
      </c>
      <c r="G17" s="245">
        <v>14278.300000000099</v>
      </c>
      <c r="H17" s="245">
        <v>13978.2</v>
      </c>
      <c r="I17" s="245">
        <v>16674.599999999999</v>
      </c>
      <c r="J17" s="245">
        <v>12658</v>
      </c>
      <c r="K17" s="245">
        <v>13870.4</v>
      </c>
      <c r="L17" s="245">
        <v>15062.8</v>
      </c>
      <c r="M17" s="422">
        <v>13862.7</v>
      </c>
      <c r="N17" s="245">
        <v>11339.5</v>
      </c>
      <c r="O17" s="245">
        <v>14183.8</v>
      </c>
      <c r="P17" s="246">
        <f>SUM(D17:O17)</f>
        <v>156498.90000000008</v>
      </c>
    </row>
    <row r="18" spans="1:16" x14ac:dyDescent="0.3">
      <c r="A18" s="319" t="s">
        <v>183</v>
      </c>
      <c r="B18" s="320"/>
      <c r="C18" s="4" t="s">
        <v>154</v>
      </c>
      <c r="D18" s="245">
        <v>43.4</v>
      </c>
      <c r="E18" s="245">
        <v>118.2</v>
      </c>
      <c r="F18" s="245">
        <v>125.7</v>
      </c>
      <c r="G18" s="245">
        <v>267.7</v>
      </c>
      <c r="H18" s="245">
        <v>356.5</v>
      </c>
      <c r="I18" s="245">
        <v>446.5</v>
      </c>
      <c r="J18" s="245">
        <v>386.9</v>
      </c>
      <c r="K18" s="245">
        <v>126</v>
      </c>
      <c r="L18" s="245">
        <v>123.3</v>
      </c>
      <c r="M18" s="421">
        <v>280.89999999999998</v>
      </c>
      <c r="N18" s="245">
        <v>128.9</v>
      </c>
      <c r="O18" s="245">
        <v>214</v>
      </c>
      <c r="P18" s="246">
        <f>SUM(D18:O18)</f>
        <v>2618</v>
      </c>
    </row>
    <row r="19" spans="1:16" x14ac:dyDescent="0.3">
      <c r="A19" s="319" t="s">
        <v>184</v>
      </c>
      <c r="B19" s="320"/>
      <c r="C19" s="4" t="s">
        <v>154</v>
      </c>
      <c r="D19" s="245">
        <v>1612.0999999999997</v>
      </c>
      <c r="E19" s="245">
        <v>720.8</v>
      </c>
      <c r="F19" s="245">
        <v>569.1</v>
      </c>
      <c r="G19" s="245">
        <v>1069</v>
      </c>
      <c r="H19" s="245">
        <v>822.6</v>
      </c>
      <c r="I19" s="245">
        <v>1097.7</v>
      </c>
      <c r="J19" s="245">
        <v>1415.9</v>
      </c>
      <c r="K19" s="245">
        <v>1261.7</v>
      </c>
      <c r="L19" s="245">
        <v>830.9</v>
      </c>
      <c r="M19" s="421">
        <v>962.7</v>
      </c>
      <c r="N19" s="245">
        <v>639.20000000000005</v>
      </c>
      <c r="O19" s="245">
        <v>943.3</v>
      </c>
      <c r="P19" s="246">
        <f>SUM(D19:O19)</f>
        <v>11945</v>
      </c>
    </row>
    <row r="20" spans="1:16" x14ac:dyDescent="0.3">
      <c r="A20" s="312" t="s">
        <v>185</v>
      </c>
      <c r="B20" s="313"/>
      <c r="C20" s="4" t="s">
        <v>154</v>
      </c>
      <c r="D20" s="245">
        <v>353.80000000000013</v>
      </c>
      <c r="E20" s="245">
        <v>595.6</v>
      </c>
      <c r="F20" s="245">
        <v>700.1</v>
      </c>
      <c r="G20" s="245">
        <v>597.6</v>
      </c>
      <c r="H20" s="245">
        <v>603.5</v>
      </c>
      <c r="I20" s="245">
        <v>513.5</v>
      </c>
      <c r="J20" s="245">
        <v>453.7</v>
      </c>
      <c r="K20" s="245">
        <v>489.8</v>
      </c>
      <c r="L20" s="245">
        <v>451.3</v>
      </c>
      <c r="M20" s="421">
        <v>564.9</v>
      </c>
      <c r="N20" s="245">
        <v>1003.5</v>
      </c>
      <c r="O20" s="245">
        <v>318</v>
      </c>
      <c r="P20" s="246">
        <f>SUM(D20:O20)</f>
        <v>6645.2999999999993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11571.899999999989</v>
      </c>
      <c r="E21" s="247">
        <f t="shared" ref="E21:O21" si="2">SUM(E17:E20)</f>
        <v>11267.300000000001</v>
      </c>
      <c r="F21" s="247">
        <f t="shared" si="2"/>
        <v>12590.2</v>
      </c>
      <c r="G21" s="247">
        <f t="shared" si="2"/>
        <v>16212.6000000001</v>
      </c>
      <c r="H21" s="247">
        <f t="shared" si="2"/>
        <v>15760.800000000001</v>
      </c>
      <c r="I21" s="247">
        <f t="shared" si="2"/>
        <v>18732.3</v>
      </c>
      <c r="J21" s="247">
        <f t="shared" si="2"/>
        <v>14914.5</v>
      </c>
      <c r="K21" s="247">
        <f t="shared" si="2"/>
        <v>15747.9</v>
      </c>
      <c r="L21" s="247">
        <f t="shared" si="2"/>
        <v>16468.3</v>
      </c>
      <c r="M21" s="247">
        <f t="shared" si="2"/>
        <v>15671.2</v>
      </c>
      <c r="N21" s="247">
        <f t="shared" si="2"/>
        <v>13111.1</v>
      </c>
      <c r="O21" s="247">
        <f t="shared" si="2"/>
        <v>15659.099999999999</v>
      </c>
      <c r="P21" s="246">
        <f t="shared" ref="P21" si="3">SUM(P17:P20)</f>
        <v>177707.20000000007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37587.899999999987</v>
      </c>
      <c r="E22" s="247">
        <f t="shared" ref="E22:O22" si="4">E21+E15</f>
        <v>29657.300000000003</v>
      </c>
      <c r="F22" s="247">
        <f t="shared" si="4"/>
        <v>31188.2</v>
      </c>
      <c r="G22" s="247">
        <f t="shared" si="4"/>
        <v>42729.6000000001</v>
      </c>
      <c r="H22" s="247">
        <f t="shared" si="4"/>
        <v>36060.800000000003</v>
      </c>
      <c r="I22" s="247">
        <f t="shared" si="4"/>
        <v>45495.3</v>
      </c>
      <c r="J22" s="247">
        <f t="shared" si="4"/>
        <v>32968.5</v>
      </c>
      <c r="K22" s="247">
        <f t="shared" si="4"/>
        <v>34603.9</v>
      </c>
      <c r="L22" s="247">
        <f t="shared" si="4"/>
        <v>34675.300000000003</v>
      </c>
      <c r="M22" s="247">
        <f t="shared" si="4"/>
        <v>32445.200000000001</v>
      </c>
      <c r="N22" s="247">
        <f t="shared" si="4"/>
        <v>33317.1</v>
      </c>
      <c r="O22" s="247">
        <f t="shared" si="4"/>
        <v>33778.1</v>
      </c>
      <c r="P22" s="246">
        <f t="shared" ref="P22" si="5">P21+P15</f>
        <v>424507.20000000007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15687.100000000013</v>
      </c>
      <c r="E24" s="250">
        <f t="shared" ref="E24:O24" si="6">E9-E22</f>
        <v>11931.699999999997</v>
      </c>
      <c r="F24" s="250">
        <f t="shared" si="6"/>
        <v>14011.8</v>
      </c>
      <c r="G24" s="250">
        <f t="shared" si="6"/>
        <v>19292.3999999999</v>
      </c>
      <c r="H24" s="250">
        <f t="shared" si="6"/>
        <v>14897.199999999997</v>
      </c>
      <c r="I24" s="250">
        <f t="shared" si="6"/>
        <v>20185.699999999997</v>
      </c>
      <c r="J24" s="250">
        <f t="shared" si="6"/>
        <v>13598.5</v>
      </c>
      <c r="K24" s="250">
        <f t="shared" si="6"/>
        <v>15293.099999999999</v>
      </c>
      <c r="L24" s="250">
        <f t="shared" si="6"/>
        <v>15689.699999999997</v>
      </c>
      <c r="M24" s="250">
        <f t="shared" si="6"/>
        <v>15120.8</v>
      </c>
      <c r="N24" s="250">
        <f t="shared" si="6"/>
        <v>14895.900000000001</v>
      </c>
      <c r="O24" s="250">
        <f t="shared" si="6"/>
        <v>14560.900000000001</v>
      </c>
      <c r="P24" s="385">
        <f t="shared" ref="P24" si="7">P9-P22</f>
        <v>185164.79999999993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8">D24/D9</f>
        <v>0.29445518535898663</v>
      </c>
      <c r="E25" s="253">
        <f t="shared" ref="E25:O25" si="9">E24/E9</f>
        <v>0.28689557334872196</v>
      </c>
      <c r="F25" s="253">
        <f t="shared" si="9"/>
        <v>0.30999557522123894</v>
      </c>
      <c r="G25" s="253">
        <f t="shared" si="9"/>
        <v>0.31105736674083229</v>
      </c>
      <c r="H25" s="253">
        <f t="shared" si="9"/>
        <v>0.29234271360728437</v>
      </c>
      <c r="I25" s="253">
        <f t="shared" si="9"/>
        <v>0.3073293646564455</v>
      </c>
      <c r="J25" s="253">
        <f t="shared" si="9"/>
        <v>0.29202010007086565</v>
      </c>
      <c r="K25" s="253">
        <f t="shared" si="9"/>
        <v>0.30649337635529189</v>
      </c>
      <c r="L25" s="253">
        <f t="shared" si="9"/>
        <v>0.31151990469572116</v>
      </c>
      <c r="M25" s="253">
        <f t="shared" si="9"/>
        <v>0.31789093049657319</v>
      </c>
      <c r="N25" s="253">
        <f t="shared" si="9"/>
        <v>0.30896023893970509</v>
      </c>
      <c r="O25" s="253">
        <f t="shared" si="9"/>
        <v>0.30122468400256525</v>
      </c>
      <c r="P25" s="386">
        <f t="shared" si="8"/>
        <v>0.30371215998110446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x14ac:dyDescent="0.3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33">
        <f>176264.5/50</f>
        <v>3525.29</v>
      </c>
      <c r="C29" s="4" t="s">
        <v>142</v>
      </c>
      <c r="D29" s="259">
        <v>86</v>
      </c>
      <c r="E29" s="259">
        <v>110</v>
      </c>
      <c r="F29" s="259">
        <v>128</v>
      </c>
      <c r="G29" s="259">
        <v>200</v>
      </c>
      <c r="H29" s="259">
        <v>128</v>
      </c>
      <c r="I29" s="259">
        <v>130</v>
      </c>
      <c r="J29" s="259">
        <v>82</v>
      </c>
      <c r="K29" s="259">
        <v>108</v>
      </c>
      <c r="L29" s="259">
        <v>110</v>
      </c>
      <c r="M29" s="423">
        <v>42</v>
      </c>
      <c r="N29" s="259">
        <v>112</v>
      </c>
      <c r="O29" s="259">
        <v>46</v>
      </c>
      <c r="P29" s="260">
        <f>SUM(D29:O29)</f>
        <v>1282</v>
      </c>
    </row>
    <row r="30" spans="1:16" x14ac:dyDescent="0.3">
      <c r="A30" s="177"/>
      <c r="B30" s="433"/>
      <c r="C30" s="37" t="s">
        <v>141</v>
      </c>
      <c r="D30" s="261">
        <f t="shared" ref="D30:P30" si="10">D29/(D9/1000)</f>
        <v>1.6142656030032849</v>
      </c>
      <c r="E30" s="261">
        <f t="shared" ref="E30:O30" si="11">E29/(E9/1000)</f>
        <v>2.6449301497992259</v>
      </c>
      <c r="F30" s="261">
        <f t="shared" si="11"/>
        <v>2.831858407079646</v>
      </c>
      <c r="G30" s="261">
        <f t="shared" si="11"/>
        <v>3.2246622166328076</v>
      </c>
      <c r="H30" s="261">
        <f t="shared" si="11"/>
        <v>2.5118725224694849</v>
      </c>
      <c r="I30" s="261">
        <f t="shared" si="11"/>
        <v>1.9792634095095996</v>
      </c>
      <c r="J30" s="261">
        <f t="shared" si="11"/>
        <v>1.7609036442115662</v>
      </c>
      <c r="K30" s="261">
        <f t="shared" si="11"/>
        <v>2.1644587850973007</v>
      </c>
      <c r="L30" s="261">
        <f t="shared" si="11"/>
        <v>2.1840563883649358</v>
      </c>
      <c r="M30" s="261">
        <f t="shared" si="11"/>
        <v>0.88298364377916994</v>
      </c>
      <c r="N30" s="261">
        <f t="shared" si="11"/>
        <v>2.323024910293904</v>
      </c>
      <c r="O30" s="261">
        <f t="shared" si="11"/>
        <v>0.95161256956081008</v>
      </c>
      <c r="P30" s="266">
        <f t="shared" si="10"/>
        <v>2.1027700140403365</v>
      </c>
    </row>
    <row r="31" spans="1:16" x14ac:dyDescent="0.3">
      <c r="A31" s="176" t="s">
        <v>147</v>
      </c>
      <c r="B31" s="433">
        <f>53000.511/50</f>
        <v>1060.0102199999999</v>
      </c>
      <c r="C31" s="4" t="s">
        <v>142</v>
      </c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60">
        <f>SUM(D31:O31)</f>
        <v>0</v>
      </c>
    </row>
    <row r="32" spans="1:16" x14ac:dyDescent="0.3">
      <c r="A32" s="177"/>
      <c r="B32" s="433"/>
      <c r="C32" s="37" t="s">
        <v>141</v>
      </c>
      <c r="D32" s="261">
        <f t="shared" ref="D32:P32" si="12">D31/(D9/1000)</f>
        <v>0</v>
      </c>
      <c r="E32" s="261">
        <f t="shared" ref="E32:O32" si="13">E31/(E9/1000)</f>
        <v>0</v>
      </c>
      <c r="F32" s="261">
        <f t="shared" si="13"/>
        <v>0</v>
      </c>
      <c r="G32" s="261">
        <f t="shared" si="13"/>
        <v>0</v>
      </c>
      <c r="H32" s="261">
        <f t="shared" si="13"/>
        <v>0</v>
      </c>
      <c r="I32" s="261">
        <f t="shared" si="13"/>
        <v>0</v>
      </c>
      <c r="J32" s="261">
        <f t="shared" si="13"/>
        <v>0</v>
      </c>
      <c r="K32" s="261">
        <f t="shared" si="13"/>
        <v>0</v>
      </c>
      <c r="L32" s="261">
        <f t="shared" si="13"/>
        <v>0</v>
      </c>
      <c r="M32" s="261">
        <f t="shared" si="13"/>
        <v>0</v>
      </c>
      <c r="N32" s="261">
        <f t="shared" si="13"/>
        <v>0</v>
      </c>
      <c r="O32" s="261">
        <f t="shared" si="13"/>
        <v>0</v>
      </c>
      <c r="P32" s="266">
        <f t="shared" si="12"/>
        <v>0</v>
      </c>
    </row>
    <row r="33" spans="1:16" x14ac:dyDescent="0.3">
      <c r="A33" s="176" t="s">
        <v>146</v>
      </c>
      <c r="B33" s="43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33"/>
      <c r="C34" s="37" t="s">
        <v>141</v>
      </c>
      <c r="D34" s="261">
        <f t="shared" ref="D34:P34" si="14">D33/(D9/1000)</f>
        <v>0</v>
      </c>
      <c r="E34" s="261">
        <f t="shared" ref="E34:O34" si="15">E33/(E9/1000)</f>
        <v>0</v>
      </c>
      <c r="F34" s="261">
        <f t="shared" si="15"/>
        <v>0</v>
      </c>
      <c r="G34" s="261">
        <f t="shared" si="15"/>
        <v>0</v>
      </c>
      <c r="H34" s="261">
        <f t="shared" si="15"/>
        <v>0</v>
      </c>
      <c r="I34" s="261">
        <f t="shared" si="15"/>
        <v>0</v>
      </c>
      <c r="J34" s="261">
        <f t="shared" si="15"/>
        <v>0</v>
      </c>
      <c r="K34" s="261">
        <f t="shared" si="15"/>
        <v>0</v>
      </c>
      <c r="L34" s="261">
        <f t="shared" si="15"/>
        <v>0</v>
      </c>
      <c r="M34" s="261">
        <f t="shared" si="15"/>
        <v>0</v>
      </c>
      <c r="N34" s="261">
        <f t="shared" si="15"/>
        <v>0</v>
      </c>
      <c r="O34" s="261">
        <f t="shared" si="15"/>
        <v>0</v>
      </c>
      <c r="P34" s="266">
        <f t="shared" si="14"/>
        <v>0</v>
      </c>
    </row>
    <row r="35" spans="1:16" x14ac:dyDescent="0.3">
      <c r="A35" s="176" t="s">
        <v>145</v>
      </c>
      <c r="B35" s="433">
        <f>745345.16/200</f>
        <v>3726.7258000000002</v>
      </c>
      <c r="C35" s="4" t="s">
        <v>128</v>
      </c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6"/>
    </row>
    <row r="36" spans="1:16" x14ac:dyDescent="0.3">
      <c r="A36" s="177"/>
      <c r="B36" s="433"/>
      <c r="C36" s="4" t="s">
        <v>144</v>
      </c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6"/>
    </row>
    <row r="37" spans="1:16" x14ac:dyDescent="0.3">
      <c r="A37" s="176" t="s">
        <v>188</v>
      </c>
      <c r="B37" s="43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33"/>
      <c r="C38" s="4" t="s">
        <v>144</v>
      </c>
      <c r="D38" s="261">
        <f t="shared" ref="D38:P38" si="16">D37/(D9/1000)</f>
        <v>0</v>
      </c>
      <c r="E38" s="261">
        <f t="shared" ref="E38:O38" si="17">E37/(E9/1000)</f>
        <v>0</v>
      </c>
      <c r="F38" s="261">
        <f t="shared" si="17"/>
        <v>0</v>
      </c>
      <c r="G38" s="261">
        <f t="shared" si="17"/>
        <v>0</v>
      </c>
      <c r="H38" s="261">
        <f t="shared" si="17"/>
        <v>0</v>
      </c>
      <c r="I38" s="261">
        <f t="shared" si="17"/>
        <v>0</v>
      </c>
      <c r="J38" s="261">
        <f t="shared" si="17"/>
        <v>0</v>
      </c>
      <c r="K38" s="261">
        <f t="shared" si="17"/>
        <v>0</v>
      </c>
      <c r="L38" s="261">
        <f t="shared" si="17"/>
        <v>0</v>
      </c>
      <c r="M38" s="261">
        <f t="shared" si="17"/>
        <v>0</v>
      </c>
      <c r="N38" s="261">
        <f t="shared" si="17"/>
        <v>0</v>
      </c>
      <c r="O38" s="261">
        <f t="shared" si="17"/>
        <v>0</v>
      </c>
      <c r="P38" s="266">
        <f t="shared" si="16"/>
        <v>0</v>
      </c>
    </row>
    <row r="39" spans="1:16" x14ac:dyDescent="0.3">
      <c r="A39" s="176" t="s">
        <v>143</v>
      </c>
      <c r="B39" s="43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33"/>
      <c r="C40" s="37" t="s">
        <v>141</v>
      </c>
      <c r="D40" s="261">
        <f t="shared" ref="D40:P40" si="18">D39/(D9/1000)</f>
        <v>0</v>
      </c>
      <c r="E40" s="261">
        <f t="shared" ref="E40:O40" si="19">E39/(E9/1000)</f>
        <v>0</v>
      </c>
      <c r="F40" s="261">
        <f t="shared" si="19"/>
        <v>0</v>
      </c>
      <c r="G40" s="261">
        <f t="shared" si="19"/>
        <v>0</v>
      </c>
      <c r="H40" s="261">
        <f t="shared" si="19"/>
        <v>0</v>
      </c>
      <c r="I40" s="261">
        <f t="shared" si="19"/>
        <v>0</v>
      </c>
      <c r="J40" s="261">
        <f t="shared" si="19"/>
        <v>0</v>
      </c>
      <c r="K40" s="261">
        <f t="shared" si="19"/>
        <v>0</v>
      </c>
      <c r="L40" s="261">
        <f t="shared" si="19"/>
        <v>0</v>
      </c>
      <c r="M40" s="261">
        <f t="shared" si="19"/>
        <v>0</v>
      </c>
      <c r="N40" s="261">
        <f t="shared" si="19"/>
        <v>0</v>
      </c>
      <c r="O40" s="261">
        <f t="shared" si="19"/>
        <v>0</v>
      </c>
      <c r="P40" s="266">
        <f t="shared" si="18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303174.94</v>
      </c>
      <c r="E41" s="263">
        <f t="shared" ref="E41:O41" si="20">(E29*$B29)+(E31*$B31)+(E33*$B33)+(E35*$B35)+(E37*$B37)+(E39*$B39)</f>
        <v>387781.9</v>
      </c>
      <c r="F41" s="263">
        <f t="shared" si="20"/>
        <v>451237.12</v>
      </c>
      <c r="G41" s="263">
        <f t="shared" si="20"/>
        <v>705058</v>
      </c>
      <c r="H41" s="263">
        <f t="shared" si="20"/>
        <v>451237.12</v>
      </c>
      <c r="I41" s="263">
        <f t="shared" si="20"/>
        <v>458287.7</v>
      </c>
      <c r="J41" s="263">
        <f t="shared" si="20"/>
        <v>289073.77999999997</v>
      </c>
      <c r="K41" s="263">
        <f t="shared" si="20"/>
        <v>380731.32</v>
      </c>
      <c r="L41" s="263">
        <f t="shared" si="20"/>
        <v>387781.9</v>
      </c>
      <c r="M41" s="263">
        <f t="shared" si="20"/>
        <v>148062.18</v>
      </c>
      <c r="N41" s="263">
        <f t="shared" si="20"/>
        <v>394832.48</v>
      </c>
      <c r="O41" s="263">
        <f t="shared" si="20"/>
        <v>162163.34</v>
      </c>
      <c r="P41" s="34">
        <f>SUM(D41:O41)</f>
        <v>4519421.7799999993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21">D41/D9</f>
        <v>5.6907543876114497</v>
      </c>
      <c r="E42" s="261">
        <f t="shared" ref="E42:O42" si="22">E41/E9</f>
        <v>9.3241458077857136</v>
      </c>
      <c r="F42" s="261">
        <f t="shared" si="22"/>
        <v>9.9831221238938053</v>
      </c>
      <c r="G42" s="261">
        <f t="shared" si="22"/>
        <v>11.36786946567347</v>
      </c>
      <c r="H42" s="261">
        <f t="shared" si="22"/>
        <v>8.8550790847364489</v>
      </c>
      <c r="I42" s="261">
        <f t="shared" si="22"/>
        <v>6.9774775049100963</v>
      </c>
      <c r="J42" s="261">
        <f t="shared" si="22"/>
        <v>6.2076960079025909</v>
      </c>
      <c r="K42" s="261">
        <f t="shared" si="22"/>
        <v>7.630344910515662</v>
      </c>
      <c r="L42" s="261">
        <f t="shared" si="22"/>
        <v>7.699432145339026</v>
      </c>
      <c r="M42" s="261">
        <f t="shared" si="22"/>
        <v>3.1127734095782702</v>
      </c>
      <c r="N42" s="261">
        <f t="shared" si="22"/>
        <v>8.1893364860099975</v>
      </c>
      <c r="O42" s="261">
        <f t="shared" si="22"/>
        <v>3.3547102753470281</v>
      </c>
      <c r="P42" s="99">
        <f t="shared" si="21"/>
        <v>7.4128741027962564</v>
      </c>
    </row>
    <row r="43" spans="1:16" x14ac:dyDescent="0.3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59">
        <v>28941.5</v>
      </c>
      <c r="E44" s="259">
        <v>32525.4</v>
      </c>
      <c r="F44" s="259">
        <v>23254.6</v>
      </c>
      <c r="G44" s="259">
        <v>20456</v>
      </c>
      <c r="H44" s="259">
        <v>56715</v>
      </c>
      <c r="I44" s="259">
        <v>25713.7</v>
      </c>
      <c r="J44" s="259">
        <v>14255</v>
      </c>
      <c r="K44" s="259">
        <v>22349</v>
      </c>
      <c r="L44" s="259">
        <v>21444</v>
      </c>
      <c r="M44" s="423">
        <v>22345</v>
      </c>
      <c r="N44" s="259">
        <v>12203</v>
      </c>
      <c r="O44" s="259">
        <v>27325</v>
      </c>
      <c r="P44" s="34">
        <f>SUM(D44:O44)</f>
        <v>307527.2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23">D44/D9</f>
        <v>0.543247301736274</v>
      </c>
      <c r="E45" s="261">
        <f t="shared" ref="E45:O45" si="24">E44/E9</f>
        <v>0.78206737358436129</v>
      </c>
      <c r="F45" s="261">
        <f t="shared" si="24"/>
        <v>0.51448230088495572</v>
      </c>
      <c r="G45" s="261">
        <f t="shared" si="24"/>
        <v>0.32981845151720357</v>
      </c>
      <c r="H45" s="261">
        <f t="shared" si="24"/>
        <v>1.1129753914988814</v>
      </c>
      <c r="I45" s="261">
        <f t="shared" si="24"/>
        <v>0.39149373487005373</v>
      </c>
      <c r="J45" s="261">
        <f t="shared" si="24"/>
        <v>0.30611806644190093</v>
      </c>
      <c r="K45" s="261">
        <f t="shared" si="24"/>
        <v>0.44790267951981083</v>
      </c>
      <c r="L45" s="261">
        <f t="shared" si="24"/>
        <v>0.42577186538270623</v>
      </c>
      <c r="M45" s="261">
        <f t="shared" si="24"/>
        <v>0.46976832191060841</v>
      </c>
      <c r="N45" s="261">
        <f t="shared" si="24"/>
        <v>0.25310600875282602</v>
      </c>
      <c r="O45" s="261">
        <f t="shared" si="24"/>
        <v>0.56527855354889422</v>
      </c>
      <c r="P45" s="266">
        <f t="shared" si="23"/>
        <v>0.50441417680326472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4857706.61625</v>
      </c>
      <c r="E46" s="264">
        <f>1.165*(16600+(E44*143.5))</f>
        <v>5456854.0585000003</v>
      </c>
      <c r="F46" s="264">
        <f t="shared" ref="F46:O46" si="25">1.165*(16600+(F44*143.5))</f>
        <v>3906984.8914999999</v>
      </c>
      <c r="G46" s="264">
        <f t="shared" si="25"/>
        <v>3439121.94</v>
      </c>
      <c r="H46" s="264">
        <f t="shared" si="25"/>
        <v>9500810.9124999996</v>
      </c>
      <c r="I46" s="264">
        <f t="shared" si="25"/>
        <v>4318091.0817499999</v>
      </c>
      <c r="J46" s="264">
        <f t="shared" si="25"/>
        <v>2402454.2625000002</v>
      </c>
      <c r="K46" s="264">
        <f t="shared" si="25"/>
        <v>3755588.9475000002</v>
      </c>
      <c r="L46" s="264">
        <f t="shared" si="25"/>
        <v>3604293.31</v>
      </c>
      <c r="M46" s="264">
        <f t="shared" si="25"/>
        <v>3754920.2375000003</v>
      </c>
      <c r="N46" s="264">
        <f t="shared" si="25"/>
        <v>2059406.0325</v>
      </c>
      <c r="O46" s="264">
        <f t="shared" si="25"/>
        <v>4587464.1875</v>
      </c>
      <c r="P46" s="34">
        <f>SUM(D46:O46)</f>
        <v>51643696.478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26">D46/D9</f>
        <v>91.181729070858751</v>
      </c>
      <c r="E47" s="261">
        <f t="shared" ref="E47:O47" si="27">E46/E9</f>
        <v>131.2090711125538</v>
      </c>
      <c r="F47" s="261">
        <f t="shared" si="27"/>
        <v>86.43771883849557</v>
      </c>
      <c r="G47" s="261">
        <f t="shared" si="27"/>
        <v>55.450032891554606</v>
      </c>
      <c r="H47" s="261">
        <f t="shared" si="27"/>
        <v>186.44395212724203</v>
      </c>
      <c r="I47" s="261">
        <f t="shared" si="27"/>
        <v>65.743382131057686</v>
      </c>
      <c r="J47" s="261">
        <f t="shared" si="27"/>
        <v>51.591347144973909</v>
      </c>
      <c r="K47" s="261">
        <f t="shared" si="27"/>
        <v>75.266828616950917</v>
      </c>
      <c r="L47" s="261">
        <f t="shared" si="27"/>
        <v>71.563452993150008</v>
      </c>
      <c r="M47" s="261">
        <f t="shared" si="27"/>
        <v>78.941265557330865</v>
      </c>
      <c r="N47" s="261">
        <f t="shared" si="27"/>
        <v>42.714745659884265</v>
      </c>
      <c r="O47" s="261">
        <f t="shared" si="27"/>
        <v>94.901925722501502</v>
      </c>
      <c r="P47" s="266">
        <f t="shared" si="26"/>
        <v>84.7073450609508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65">
        <v>3192</v>
      </c>
      <c r="E49" s="265">
        <v>4415</v>
      </c>
      <c r="F49" s="265">
        <v>7525</v>
      </c>
      <c r="G49" s="265">
        <v>5432</v>
      </c>
      <c r="H49" s="265">
        <v>5843.5151515151501</v>
      </c>
      <c r="I49" s="265">
        <v>5426</v>
      </c>
      <c r="J49" s="265">
        <v>4123.6657447829803</v>
      </c>
      <c r="K49" s="265">
        <v>5234</v>
      </c>
      <c r="L49" s="265">
        <v>5332</v>
      </c>
      <c r="M49" s="421">
        <v>6789</v>
      </c>
      <c r="N49" s="265">
        <v>6342</v>
      </c>
      <c r="O49" s="265">
        <v>6542</v>
      </c>
      <c r="P49" s="34">
        <f>SUM(D49:O49)</f>
        <v>66196.18089629813</v>
      </c>
    </row>
    <row r="50" spans="1:16" x14ac:dyDescent="0.3">
      <c r="A50" s="312" t="s">
        <v>189</v>
      </c>
      <c r="B50" s="313"/>
      <c r="C50" s="4" t="s">
        <v>128</v>
      </c>
      <c r="D50" s="265">
        <v>120</v>
      </c>
      <c r="E50" s="265">
        <v>166</v>
      </c>
      <c r="F50" s="265">
        <v>282</v>
      </c>
      <c r="G50" s="265">
        <v>198</v>
      </c>
      <c r="H50" s="265">
        <v>213</v>
      </c>
      <c r="I50" s="265">
        <v>375.00857142857097</v>
      </c>
      <c r="J50" s="265">
        <v>285</v>
      </c>
      <c r="K50" s="265">
        <v>220</v>
      </c>
      <c r="L50" s="265">
        <v>215</v>
      </c>
      <c r="M50" s="421">
        <v>115</v>
      </c>
      <c r="N50" s="265">
        <v>112</v>
      </c>
      <c r="O50" s="265">
        <v>200</v>
      </c>
      <c r="P50" s="34">
        <f>SUM(D50:O50)</f>
        <v>2501.008571428571</v>
      </c>
    </row>
    <row r="51" spans="1:16" x14ac:dyDescent="0.3">
      <c r="A51" s="312" t="s">
        <v>127</v>
      </c>
      <c r="B51" s="313"/>
      <c r="C51" s="4" t="s">
        <v>31</v>
      </c>
      <c r="D51" s="262">
        <v>327600</v>
      </c>
      <c r="E51" s="262">
        <v>453844</v>
      </c>
      <c r="F51" s="262">
        <v>769860</v>
      </c>
      <c r="G51" s="262">
        <v>540540</v>
      </c>
      <c r="H51" s="262">
        <v>581490</v>
      </c>
      <c r="I51" s="262">
        <v>1312530</v>
      </c>
      <c r="J51" s="262">
        <v>778050</v>
      </c>
      <c r="K51" s="262">
        <v>770000</v>
      </c>
      <c r="L51" s="262">
        <v>752500</v>
      </c>
      <c r="M51" s="424">
        <f>M50*5000</f>
        <v>575000</v>
      </c>
      <c r="N51" s="262">
        <v>560000</v>
      </c>
      <c r="O51" s="262">
        <v>1000000</v>
      </c>
      <c r="P51" s="266">
        <f>SUM(D51:O51)</f>
        <v>8421414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x14ac:dyDescent="0.3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x14ac:dyDescent="0.3">
      <c r="A54" s="312" t="s">
        <v>124</v>
      </c>
      <c r="B54" s="313"/>
      <c r="C54" s="4" t="s">
        <v>18</v>
      </c>
      <c r="D54" s="262">
        <v>17284771.379999999</v>
      </c>
      <c r="E54" s="262">
        <v>17895362.129999999</v>
      </c>
      <c r="F54" s="262">
        <v>17883496.800000001</v>
      </c>
      <c r="G54" s="262">
        <v>17883496.800000001</v>
      </c>
      <c r="H54" s="262">
        <v>17703746</v>
      </c>
      <c r="I54" s="262">
        <v>16664235.779999999</v>
      </c>
      <c r="J54" s="262"/>
      <c r="K54" s="262">
        <v>17028073.120000001</v>
      </c>
      <c r="L54" s="262">
        <v>17248877.329999998</v>
      </c>
      <c r="M54" s="424">
        <v>17248877.329999998</v>
      </c>
      <c r="N54" s="262">
        <v>18768051.489999998</v>
      </c>
      <c r="O54" s="262">
        <v>17872104.030000001</v>
      </c>
      <c r="P54" s="34">
        <f>SUM(D54:O54)</f>
        <v>193481092.19000003</v>
      </c>
    </row>
    <row r="55" spans="1:16" x14ac:dyDescent="0.3">
      <c r="A55" s="267" t="s">
        <v>123</v>
      </c>
      <c r="B55" s="249"/>
      <c r="C55" s="4" t="s">
        <v>18</v>
      </c>
      <c r="D55" s="262">
        <v>4389039.26</v>
      </c>
      <c r="E55" s="262">
        <v>3972300.7999999998</v>
      </c>
      <c r="F55" s="262">
        <v>4462572.32</v>
      </c>
      <c r="G55" s="262">
        <v>4854203.2</v>
      </c>
      <c r="H55" s="262">
        <v>4932611.5999999996</v>
      </c>
      <c r="I55" s="262">
        <v>6601328.1600000001</v>
      </c>
      <c r="J55" s="262">
        <v>6654152.4800000004</v>
      </c>
      <c r="K55" s="262">
        <v>6654152.4800000004</v>
      </c>
      <c r="L55" s="262">
        <v>8030642.96</v>
      </c>
      <c r="M55" s="424">
        <v>7732934.4800000004</v>
      </c>
      <c r="N55" s="262"/>
      <c r="O55" s="262">
        <v>6951595.7599999998</v>
      </c>
      <c r="P55" s="34">
        <f>SUM(D55:O55)</f>
        <v>65235533.499999993</v>
      </c>
    </row>
    <row r="56" spans="1:16" x14ac:dyDescent="0.3">
      <c r="A56" s="312" t="s">
        <v>122</v>
      </c>
      <c r="B56" s="313"/>
      <c r="C56" s="4" t="s">
        <v>18</v>
      </c>
      <c r="D56" s="262">
        <v>5018013.6900000004</v>
      </c>
      <c r="E56" s="262">
        <v>5293286.24</v>
      </c>
      <c r="F56" s="262">
        <v>10710322.16</v>
      </c>
      <c r="G56" s="262">
        <v>5255000</v>
      </c>
      <c r="H56" s="262">
        <v>8078460</v>
      </c>
      <c r="I56" s="262">
        <v>1657762.08</v>
      </c>
      <c r="J56" s="262">
        <v>1624766.84</v>
      </c>
      <c r="K56" s="262">
        <v>7454346.5599999996</v>
      </c>
      <c r="L56" s="262">
        <v>5002000</v>
      </c>
      <c r="M56" s="424">
        <v>1654402.5</v>
      </c>
      <c r="N56" s="262">
        <v>5351000</v>
      </c>
      <c r="O56" s="262">
        <v>175400</v>
      </c>
      <c r="P56" s="34">
        <f>SUM(D56:O56)</f>
        <v>57274760.070000008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>D41+D46+D51+D52+D54+D55+D56</f>
        <v>32180305.88625</v>
      </c>
      <c r="E58" s="262">
        <f t="shared" ref="E58:O58" si="28">E41+E46+E51+E52+E54+E55+E56</f>
        <v>33459429.1285</v>
      </c>
      <c r="F58" s="262">
        <f t="shared" si="28"/>
        <v>38184473.291500002</v>
      </c>
      <c r="G58" s="262">
        <f t="shared" si="28"/>
        <v>32677419.940000001</v>
      </c>
      <c r="H58" s="262">
        <f t="shared" si="28"/>
        <v>41248355.6325</v>
      </c>
      <c r="I58" s="262">
        <f t="shared" si="28"/>
        <v>31012234.801749997</v>
      </c>
      <c r="J58" s="262">
        <f t="shared" si="28"/>
        <v>11748497.362500001</v>
      </c>
      <c r="K58" s="262">
        <f t="shared" si="28"/>
        <v>36042892.427500002</v>
      </c>
      <c r="L58" s="262">
        <f t="shared" si="28"/>
        <v>35026095.5</v>
      </c>
      <c r="M58" s="262">
        <f t="shared" si="28"/>
        <v>31114196.727499999</v>
      </c>
      <c r="N58" s="262">
        <f t="shared" si="28"/>
        <v>27133290.002499998</v>
      </c>
      <c r="O58" s="262">
        <f t="shared" si="28"/>
        <v>30748727.317500003</v>
      </c>
      <c r="P58" s="34">
        <f>SUM(D58:O58)</f>
        <v>380575918.01800001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29">D58/D9</f>
        <v>604.04140565462228</v>
      </c>
      <c r="E59" s="261">
        <f t="shared" ref="E59:O59" si="30">E58/E9</f>
        <v>804.52593542763714</v>
      </c>
      <c r="F59" s="261">
        <f t="shared" si="30"/>
        <v>844.78923211283188</v>
      </c>
      <c r="G59" s="261">
        <f t="shared" si="30"/>
        <v>526.8682070878076</v>
      </c>
      <c r="H59" s="261">
        <f t="shared" si="30"/>
        <v>809.45789929942305</v>
      </c>
      <c r="I59" s="261">
        <f t="shared" si="30"/>
        <v>472.16447377095352</v>
      </c>
      <c r="J59" s="261">
        <f t="shared" si="30"/>
        <v>252.29233926385641</v>
      </c>
      <c r="K59" s="261">
        <f t="shared" si="30"/>
        <v>722.34588106499393</v>
      </c>
      <c r="L59" s="261">
        <f t="shared" si="30"/>
        <v>695.44516032959393</v>
      </c>
      <c r="M59" s="261">
        <f t="shared" si="30"/>
        <v>654.12682856452091</v>
      </c>
      <c r="N59" s="261">
        <f t="shared" si="30"/>
        <v>562.77954083960753</v>
      </c>
      <c r="O59" s="261">
        <f t="shared" si="30"/>
        <v>636.10598724632291</v>
      </c>
      <c r="P59" s="266">
        <f t="shared" si="29"/>
        <v>624.23059943379394</v>
      </c>
    </row>
    <row r="60" spans="1:16" x14ac:dyDescent="0.3">
      <c r="A60" s="312" t="s">
        <v>118</v>
      </c>
      <c r="B60" s="313"/>
      <c r="C60" s="4" t="s">
        <v>117</v>
      </c>
      <c r="D60" s="261">
        <f>D58/D22</f>
        <v>856.1347105384981</v>
      </c>
      <c r="E60" s="261">
        <f t="shared" ref="E60:O60" si="31">E58/E22</f>
        <v>1128.202133319621</v>
      </c>
      <c r="F60" s="261">
        <f t="shared" si="31"/>
        <v>1224.324369200531</v>
      </c>
      <c r="G60" s="261">
        <f t="shared" si="31"/>
        <v>764.74902503182625</v>
      </c>
      <c r="H60" s="261">
        <f t="shared" si="31"/>
        <v>1143.8558110884949</v>
      </c>
      <c r="I60" s="261">
        <f t="shared" si="31"/>
        <v>681.65799108369424</v>
      </c>
      <c r="J60" s="261">
        <f t="shared" si="31"/>
        <v>356.355228854816</v>
      </c>
      <c r="K60" s="261">
        <f t="shared" si="31"/>
        <v>1041.5846892257809</v>
      </c>
      <c r="L60" s="261">
        <f t="shared" si="31"/>
        <v>1010.1165815436348</v>
      </c>
      <c r="M60" s="261">
        <f t="shared" si="31"/>
        <v>958.97688186542223</v>
      </c>
      <c r="N60" s="261">
        <f t="shared" si="31"/>
        <v>814.39531059125795</v>
      </c>
      <c r="O60" s="261">
        <f t="shared" si="31"/>
        <v>910.31548007436788</v>
      </c>
      <c r="P60" s="387">
        <f>P58/P22</f>
        <v>896.51228063505152</v>
      </c>
    </row>
    <row r="61" spans="1:16" x14ac:dyDescent="0.3">
      <c r="A61" s="312" t="s">
        <v>116</v>
      </c>
      <c r="B61" s="313"/>
      <c r="C61" s="4" t="s">
        <v>3</v>
      </c>
      <c r="D61" s="265">
        <v>14</v>
      </c>
      <c r="E61" s="265">
        <v>14</v>
      </c>
      <c r="F61" s="265">
        <v>14</v>
      </c>
      <c r="G61" s="265">
        <v>14</v>
      </c>
      <c r="H61" s="265">
        <v>14</v>
      </c>
      <c r="I61" s="265">
        <v>14</v>
      </c>
      <c r="J61" s="265">
        <v>14</v>
      </c>
      <c r="K61" s="265">
        <v>14</v>
      </c>
      <c r="L61" s="265">
        <v>15</v>
      </c>
      <c r="M61" s="425">
        <v>14</v>
      </c>
      <c r="N61" s="265">
        <v>14</v>
      </c>
      <c r="O61" s="265">
        <v>14</v>
      </c>
      <c r="P61" s="34">
        <f>O61</f>
        <v>14</v>
      </c>
    </row>
    <row r="62" spans="1:16" ht="15.6" customHeight="1" x14ac:dyDescent="0.3">
      <c r="A62" s="312" t="s">
        <v>115</v>
      </c>
      <c r="B62" s="313"/>
      <c r="C62" s="4" t="s">
        <v>114</v>
      </c>
      <c r="D62" s="261">
        <f>(D61*1000*31)/D9</f>
        <v>8.1464101360863452</v>
      </c>
      <c r="E62" s="261">
        <f t="shared" ref="E62:O62" si="32">(E61*1000*31)/E9</f>
        <v>10.435451681935128</v>
      </c>
      <c r="F62" s="261">
        <f t="shared" si="32"/>
        <v>9.6017699115044248</v>
      </c>
      <c r="G62" s="261">
        <f t="shared" si="32"/>
        <v>6.9975170100931932</v>
      </c>
      <c r="H62" s="261">
        <f t="shared" si="32"/>
        <v>8.516817771498097</v>
      </c>
      <c r="I62" s="261">
        <f t="shared" si="32"/>
        <v>6.6076947671320472</v>
      </c>
      <c r="J62" s="261">
        <f t="shared" si="32"/>
        <v>9.3199046535099956</v>
      </c>
      <c r="K62" s="261">
        <f t="shared" si="32"/>
        <v>8.6979177104835959</v>
      </c>
      <c r="L62" s="261">
        <f t="shared" si="32"/>
        <v>9.2326020053608655</v>
      </c>
      <c r="M62" s="261">
        <f t="shared" si="32"/>
        <v>9.1241643190514239</v>
      </c>
      <c r="N62" s="261">
        <f t="shared" si="32"/>
        <v>9.0017215273888791</v>
      </c>
      <c r="O62" s="261">
        <f t="shared" si="32"/>
        <v>8.9782577215085126</v>
      </c>
      <c r="P62" s="266">
        <f t="shared" ref="P62" si="33">(P61*1000*31)/P9</f>
        <v>0.71185817948011387</v>
      </c>
    </row>
    <row r="63" spans="1:16" x14ac:dyDescent="0.3">
      <c r="A63" s="346" t="s">
        <v>113</v>
      </c>
      <c r="B63" s="347"/>
      <c r="C63" s="33" t="s">
        <v>3</v>
      </c>
      <c r="D63" s="265">
        <v>20</v>
      </c>
      <c r="E63" s="265">
        <v>20</v>
      </c>
      <c r="F63" s="265">
        <v>20</v>
      </c>
      <c r="G63" s="265">
        <v>20</v>
      </c>
      <c r="H63" s="265">
        <v>20</v>
      </c>
      <c r="I63" s="265">
        <v>39</v>
      </c>
      <c r="J63" s="265">
        <v>42</v>
      </c>
      <c r="K63" s="265">
        <v>47</v>
      </c>
      <c r="L63" s="265">
        <v>47</v>
      </c>
      <c r="M63" s="425">
        <v>50</v>
      </c>
      <c r="N63" s="265">
        <v>50</v>
      </c>
      <c r="O63" s="265">
        <v>50</v>
      </c>
      <c r="P63" s="34">
        <f>SUM(D63:O63)</f>
        <v>425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x14ac:dyDescent="0.3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x14ac:dyDescent="0.3">
      <c r="A66" s="176" t="s">
        <v>111</v>
      </c>
      <c r="B66" s="4" t="s">
        <v>85</v>
      </c>
      <c r="C66" s="4" t="s">
        <v>3</v>
      </c>
      <c r="D66" s="268">
        <v>407</v>
      </c>
      <c r="E66" s="268">
        <v>393</v>
      </c>
      <c r="F66" s="268">
        <v>399</v>
      </c>
      <c r="G66" s="268">
        <v>409</v>
      </c>
      <c r="H66" s="268">
        <v>407</v>
      </c>
      <c r="I66" s="268">
        <v>416</v>
      </c>
      <c r="J66" s="268">
        <v>422</v>
      </c>
      <c r="K66" s="268">
        <v>417</v>
      </c>
      <c r="L66" s="268">
        <v>412</v>
      </c>
      <c r="M66" s="268">
        <v>404</v>
      </c>
      <c r="N66" s="268">
        <v>408</v>
      </c>
      <c r="O66" s="268">
        <v>413</v>
      </c>
      <c r="P66" s="31">
        <f>D66</f>
        <v>407</v>
      </c>
    </row>
    <row r="67" spans="1:16" x14ac:dyDescent="0.3">
      <c r="A67" s="307"/>
      <c r="B67" s="4" t="s">
        <v>106</v>
      </c>
      <c r="C67" s="4" t="s">
        <v>3</v>
      </c>
      <c r="D67" s="269">
        <v>34</v>
      </c>
      <c r="E67" s="269">
        <v>38</v>
      </c>
      <c r="F67" s="269">
        <v>43</v>
      </c>
      <c r="G67" s="269">
        <v>59</v>
      </c>
      <c r="H67" s="269">
        <v>63</v>
      </c>
      <c r="I67" s="269">
        <v>48</v>
      </c>
      <c r="J67" s="269">
        <v>41</v>
      </c>
      <c r="K67" s="269">
        <v>27</v>
      </c>
      <c r="L67" s="269">
        <v>23</v>
      </c>
      <c r="M67" s="425">
        <v>27</v>
      </c>
      <c r="N67" s="269">
        <v>35</v>
      </c>
      <c r="O67" s="269">
        <v>30</v>
      </c>
      <c r="P67" s="31">
        <f>SUM(D67:O67)</f>
        <v>468</v>
      </c>
    </row>
    <row r="68" spans="1:16" x14ac:dyDescent="0.3">
      <c r="A68" s="307"/>
      <c r="B68" s="4" t="s">
        <v>105</v>
      </c>
      <c r="C68" s="4" t="s">
        <v>3</v>
      </c>
      <c r="D68" s="269">
        <v>48</v>
      </c>
      <c r="E68" s="269">
        <v>32</v>
      </c>
      <c r="F68" s="269">
        <v>33</v>
      </c>
      <c r="G68" s="269">
        <v>61</v>
      </c>
      <c r="H68" s="269">
        <v>54</v>
      </c>
      <c r="I68" s="269">
        <v>42</v>
      </c>
      <c r="J68" s="269">
        <v>46</v>
      </c>
      <c r="K68" s="269">
        <v>32</v>
      </c>
      <c r="L68" s="269">
        <v>31</v>
      </c>
      <c r="M68" s="425">
        <v>23</v>
      </c>
      <c r="N68" s="269">
        <v>30</v>
      </c>
      <c r="O68" s="269">
        <v>24</v>
      </c>
      <c r="P68" s="31">
        <f t="shared" ref="P68:P69" si="34">SUM(D68:O68)</f>
        <v>456</v>
      </c>
    </row>
    <row r="69" spans="1:16" x14ac:dyDescent="0.3">
      <c r="A69" s="307"/>
      <c r="B69" s="4" t="s">
        <v>104</v>
      </c>
      <c r="C69" s="4" t="s">
        <v>3</v>
      </c>
      <c r="D69" s="262">
        <v>0</v>
      </c>
      <c r="E69" s="262">
        <v>0</v>
      </c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31">
        <f t="shared" si="34"/>
        <v>0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48</v>
      </c>
      <c r="E70" s="269">
        <f t="shared" ref="E70:O70" si="35">E68+E69</f>
        <v>32</v>
      </c>
      <c r="F70" s="269">
        <f t="shared" si="35"/>
        <v>33</v>
      </c>
      <c r="G70" s="269">
        <f>G68+G69</f>
        <v>61</v>
      </c>
      <c r="H70" s="269">
        <v>54</v>
      </c>
      <c r="I70" s="269">
        <f t="shared" si="35"/>
        <v>42</v>
      </c>
      <c r="J70" s="269">
        <f t="shared" si="35"/>
        <v>46</v>
      </c>
      <c r="K70" s="269">
        <f t="shared" si="35"/>
        <v>32</v>
      </c>
      <c r="L70" s="269">
        <f t="shared" si="35"/>
        <v>31</v>
      </c>
      <c r="M70" s="269">
        <f t="shared" si="35"/>
        <v>23</v>
      </c>
      <c r="N70" s="269">
        <f t="shared" si="35"/>
        <v>30</v>
      </c>
      <c r="O70" s="269">
        <v>24</v>
      </c>
      <c r="P70" s="270">
        <f t="shared" ref="P70" si="36">P68+P69</f>
        <v>456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393</v>
      </c>
      <c r="E71" s="271">
        <f t="shared" ref="E71:O71" si="37">E66+E67-E70</f>
        <v>399</v>
      </c>
      <c r="F71" s="271">
        <f t="shared" si="37"/>
        <v>409</v>
      </c>
      <c r="G71" s="271">
        <f>G66+G67-G70</f>
        <v>407</v>
      </c>
      <c r="H71" s="271">
        <f t="shared" si="37"/>
        <v>416</v>
      </c>
      <c r="I71" s="271">
        <f t="shared" si="37"/>
        <v>422</v>
      </c>
      <c r="J71" s="271">
        <f t="shared" si="37"/>
        <v>417</v>
      </c>
      <c r="K71" s="271">
        <f t="shared" si="37"/>
        <v>412</v>
      </c>
      <c r="L71" s="271">
        <f t="shared" si="37"/>
        <v>404</v>
      </c>
      <c r="M71" s="271">
        <f t="shared" si="37"/>
        <v>408</v>
      </c>
      <c r="N71" s="271">
        <f t="shared" si="37"/>
        <v>413</v>
      </c>
      <c r="O71" s="271">
        <v>419</v>
      </c>
      <c r="P71" s="272">
        <f>P66+P67-P70</f>
        <v>419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0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38">SUM(D74:O74)</f>
        <v>0</v>
      </c>
    </row>
    <row r="75" spans="1:16" x14ac:dyDescent="0.3">
      <c r="A75" s="307"/>
      <c r="B75" s="4" t="s">
        <v>104</v>
      </c>
      <c r="C75" s="4" t="s">
        <v>3</v>
      </c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38"/>
        <v>0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0</v>
      </c>
      <c r="E76" s="269">
        <f t="shared" ref="E76:O76" si="39">E74+E75</f>
        <v>0</v>
      </c>
      <c r="F76" s="269">
        <f t="shared" si="39"/>
        <v>0</v>
      </c>
      <c r="G76" s="269">
        <f t="shared" si="39"/>
        <v>0</v>
      </c>
      <c r="H76" s="269">
        <f t="shared" si="39"/>
        <v>0</v>
      </c>
      <c r="I76" s="269">
        <f t="shared" si="39"/>
        <v>0</v>
      </c>
      <c r="J76" s="269">
        <f t="shared" si="39"/>
        <v>0</v>
      </c>
      <c r="K76" s="269">
        <f t="shared" si="39"/>
        <v>0</v>
      </c>
      <c r="L76" s="269">
        <f t="shared" si="39"/>
        <v>0</v>
      </c>
      <c r="M76" s="269">
        <f t="shared" si="39"/>
        <v>0</v>
      </c>
      <c r="N76" s="269">
        <f t="shared" si="39"/>
        <v>0</v>
      </c>
      <c r="O76" s="269">
        <f t="shared" si="39"/>
        <v>0</v>
      </c>
      <c r="P76" s="270">
        <f t="shared" ref="P76" si="40">P74+P75</f>
        <v>0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41">E72+E73-E76</f>
        <v>0</v>
      </c>
      <c r="F77" s="271">
        <f t="shared" si="41"/>
        <v>0</v>
      </c>
      <c r="G77" s="271">
        <f t="shared" si="41"/>
        <v>0</v>
      </c>
      <c r="H77" s="271">
        <f t="shared" si="41"/>
        <v>0</v>
      </c>
      <c r="I77" s="271">
        <f t="shared" si="41"/>
        <v>0</v>
      </c>
      <c r="J77" s="271">
        <f t="shared" si="41"/>
        <v>0</v>
      </c>
      <c r="K77" s="271">
        <f t="shared" si="41"/>
        <v>0</v>
      </c>
      <c r="L77" s="271">
        <f t="shared" si="41"/>
        <v>0</v>
      </c>
      <c r="M77" s="271">
        <f t="shared" si="41"/>
        <v>0</v>
      </c>
      <c r="N77" s="271">
        <f t="shared" si="41"/>
        <v>0</v>
      </c>
      <c r="O77" s="271">
        <f t="shared" si="41"/>
        <v>0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0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0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42">E80+E81</f>
        <v>0</v>
      </c>
      <c r="F82" s="269">
        <f t="shared" si="42"/>
        <v>0</v>
      </c>
      <c r="G82" s="269">
        <f t="shared" si="42"/>
        <v>0</v>
      </c>
      <c r="H82" s="269">
        <f t="shared" si="42"/>
        <v>0</v>
      </c>
      <c r="I82" s="269">
        <f t="shared" si="42"/>
        <v>0</v>
      </c>
      <c r="J82" s="269">
        <f t="shared" si="42"/>
        <v>0</v>
      </c>
      <c r="K82" s="269">
        <f t="shared" si="42"/>
        <v>0</v>
      </c>
      <c r="L82" s="269">
        <f t="shared" si="42"/>
        <v>0</v>
      </c>
      <c r="M82" s="269">
        <f t="shared" si="42"/>
        <v>0</v>
      </c>
      <c r="N82" s="269">
        <f t="shared" si="42"/>
        <v>0</v>
      </c>
      <c r="O82" s="269">
        <f t="shared" si="42"/>
        <v>0</v>
      </c>
      <c r="P82" s="270">
        <f t="shared" ref="P82" si="43">P81+P80</f>
        <v>0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O83" si="44">E78+E79-E82</f>
        <v>0</v>
      </c>
      <c r="F83" s="271">
        <f t="shared" si="44"/>
        <v>0</v>
      </c>
      <c r="G83" s="271">
        <f t="shared" si="44"/>
        <v>0</v>
      </c>
      <c r="H83" s="271">
        <f t="shared" si="44"/>
        <v>0</v>
      </c>
      <c r="I83" s="271">
        <f t="shared" si="44"/>
        <v>0</v>
      </c>
      <c r="J83" s="271">
        <f t="shared" si="44"/>
        <v>0</v>
      </c>
      <c r="K83" s="271">
        <f t="shared" si="44"/>
        <v>0</v>
      </c>
      <c r="L83" s="271">
        <f t="shared" si="44"/>
        <v>0</v>
      </c>
      <c r="M83" s="271">
        <f t="shared" si="44"/>
        <v>0</v>
      </c>
      <c r="N83" s="271">
        <f t="shared" si="44"/>
        <v>0</v>
      </c>
      <c r="O83" s="271">
        <f t="shared" si="44"/>
        <v>0</v>
      </c>
      <c r="P83" s="272">
        <f t="shared" ref="P83" si="45">P78+P79-P82</f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46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46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47">E86+E87</f>
        <v>0</v>
      </c>
      <c r="F88" s="269">
        <f t="shared" si="47"/>
        <v>0</v>
      </c>
      <c r="G88" s="269">
        <f t="shared" si="47"/>
        <v>0</v>
      </c>
      <c r="H88" s="269">
        <f t="shared" si="47"/>
        <v>0</v>
      </c>
      <c r="I88" s="269">
        <f t="shared" si="47"/>
        <v>0</v>
      </c>
      <c r="J88" s="269">
        <f t="shared" si="47"/>
        <v>0</v>
      </c>
      <c r="K88" s="269">
        <f t="shared" si="47"/>
        <v>0</v>
      </c>
      <c r="L88" s="269">
        <f t="shared" si="47"/>
        <v>0</v>
      </c>
      <c r="M88" s="269">
        <f t="shared" si="47"/>
        <v>0</v>
      </c>
      <c r="N88" s="269">
        <f t="shared" si="47"/>
        <v>0</v>
      </c>
      <c r="O88" s="269">
        <f t="shared" si="47"/>
        <v>0</v>
      </c>
      <c r="P88" s="31">
        <f t="shared" si="46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48">E84+E85-E88</f>
        <v>0</v>
      </c>
      <c r="F89" s="417">
        <f t="shared" si="48"/>
        <v>0</v>
      </c>
      <c r="G89" s="417">
        <f t="shared" si="48"/>
        <v>0</v>
      </c>
      <c r="H89" s="417">
        <f t="shared" si="48"/>
        <v>0</v>
      </c>
      <c r="I89" s="417">
        <f t="shared" si="48"/>
        <v>0</v>
      </c>
      <c r="J89" s="417">
        <f t="shared" si="48"/>
        <v>0</v>
      </c>
      <c r="K89" s="417">
        <f t="shared" si="48"/>
        <v>0</v>
      </c>
      <c r="L89" s="417">
        <f t="shared" si="48"/>
        <v>0</v>
      </c>
      <c r="M89" s="417">
        <f t="shared" si="48"/>
        <v>0</v>
      </c>
      <c r="N89" s="417">
        <f t="shared" si="48"/>
        <v>0</v>
      </c>
      <c r="O89" s="417">
        <f t="shared" si="48"/>
        <v>0</v>
      </c>
      <c r="P89" s="272">
        <f t="shared" ref="P89" si="49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" si="50">D66+D72+D78+D84</f>
        <v>407</v>
      </c>
      <c r="E90" s="119">
        <f t="shared" ref="E90:O90" si="51">E66+E72+E78+E84</f>
        <v>393</v>
      </c>
      <c r="F90" s="119">
        <f t="shared" si="51"/>
        <v>399</v>
      </c>
      <c r="G90" s="119">
        <f>G66+G72+G78+G84</f>
        <v>409</v>
      </c>
      <c r="H90" s="119">
        <f t="shared" si="51"/>
        <v>407</v>
      </c>
      <c r="I90" s="119">
        <f t="shared" si="51"/>
        <v>416</v>
      </c>
      <c r="J90" s="119">
        <f t="shared" si="51"/>
        <v>422</v>
      </c>
      <c r="K90" s="119">
        <f t="shared" si="51"/>
        <v>417</v>
      </c>
      <c r="L90" s="119">
        <f t="shared" si="51"/>
        <v>412</v>
      </c>
      <c r="M90" s="119">
        <f t="shared" si="51"/>
        <v>404</v>
      </c>
      <c r="N90" s="119">
        <f t="shared" si="51"/>
        <v>408</v>
      </c>
      <c r="O90" s="119">
        <f t="shared" si="51"/>
        <v>413</v>
      </c>
      <c r="P90" s="31">
        <f>D90</f>
        <v>407</v>
      </c>
    </row>
    <row r="91" spans="1:16" x14ac:dyDescent="0.3">
      <c r="A91" s="353"/>
      <c r="B91" s="4" t="s">
        <v>106</v>
      </c>
      <c r="C91" s="4" t="s">
        <v>3</v>
      </c>
      <c r="D91" s="119">
        <f t="shared" ref="D91:D93" si="52">D67+D73+D79+D85</f>
        <v>34</v>
      </c>
      <c r="E91" s="119">
        <f t="shared" ref="E91:O91" si="53">E67+E73+E79+E85</f>
        <v>38</v>
      </c>
      <c r="F91" s="119">
        <f t="shared" si="53"/>
        <v>43</v>
      </c>
      <c r="G91" s="119">
        <f>G67+G73+G79+G85</f>
        <v>59</v>
      </c>
      <c r="H91" s="119">
        <f t="shared" si="53"/>
        <v>63</v>
      </c>
      <c r="I91" s="119">
        <f t="shared" si="53"/>
        <v>48</v>
      </c>
      <c r="J91" s="119">
        <f t="shared" si="53"/>
        <v>41</v>
      </c>
      <c r="K91" s="119">
        <f t="shared" si="53"/>
        <v>27</v>
      </c>
      <c r="L91" s="119">
        <f t="shared" si="53"/>
        <v>23</v>
      </c>
      <c r="M91" s="119">
        <f t="shared" si="53"/>
        <v>27</v>
      </c>
      <c r="N91" s="119">
        <f t="shared" si="53"/>
        <v>35</v>
      </c>
      <c r="O91" s="119">
        <f t="shared" si="53"/>
        <v>30</v>
      </c>
      <c r="P91" s="31">
        <f>SUM(D91:O91)</f>
        <v>468</v>
      </c>
    </row>
    <row r="92" spans="1:16" x14ac:dyDescent="0.3">
      <c r="A92" s="353"/>
      <c r="B92" s="4" t="s">
        <v>105</v>
      </c>
      <c r="C92" s="4" t="s">
        <v>3</v>
      </c>
      <c r="D92" s="119">
        <f t="shared" si="52"/>
        <v>48</v>
      </c>
      <c r="E92" s="119">
        <f t="shared" ref="E92:O92" si="54">E68+E74+E80+E86</f>
        <v>32</v>
      </c>
      <c r="F92" s="119">
        <f t="shared" si="54"/>
        <v>33</v>
      </c>
      <c r="G92" s="119">
        <f>G68+G74+G80+G86</f>
        <v>61</v>
      </c>
      <c r="H92" s="119">
        <f t="shared" si="54"/>
        <v>54</v>
      </c>
      <c r="I92" s="119">
        <f t="shared" si="54"/>
        <v>42</v>
      </c>
      <c r="J92" s="119">
        <f t="shared" si="54"/>
        <v>46</v>
      </c>
      <c r="K92" s="119">
        <f t="shared" si="54"/>
        <v>32</v>
      </c>
      <c r="L92" s="119">
        <f t="shared" si="54"/>
        <v>31</v>
      </c>
      <c r="M92" s="119">
        <f t="shared" si="54"/>
        <v>23</v>
      </c>
      <c r="N92" s="119">
        <f t="shared" si="54"/>
        <v>30</v>
      </c>
      <c r="O92" s="119">
        <f t="shared" si="54"/>
        <v>24</v>
      </c>
      <c r="P92" s="31">
        <f>SUM(D92:O92)</f>
        <v>456</v>
      </c>
    </row>
    <row r="93" spans="1:16" x14ac:dyDescent="0.3">
      <c r="A93" s="353"/>
      <c r="B93" s="4" t="s">
        <v>104</v>
      </c>
      <c r="C93" s="4"/>
      <c r="D93" s="119">
        <f t="shared" si="52"/>
        <v>0</v>
      </c>
      <c r="E93" s="119">
        <f t="shared" ref="E93:O93" si="55">E69+E75+E81+E87</f>
        <v>0</v>
      </c>
      <c r="F93" s="119">
        <f t="shared" si="55"/>
        <v>0</v>
      </c>
      <c r="G93" s="119">
        <f>G69+G75+G81+G87</f>
        <v>0</v>
      </c>
      <c r="H93" s="119">
        <f t="shared" si="55"/>
        <v>0</v>
      </c>
      <c r="I93" s="119">
        <f t="shared" si="55"/>
        <v>0</v>
      </c>
      <c r="J93" s="119">
        <f t="shared" si="55"/>
        <v>0</v>
      </c>
      <c r="K93" s="119">
        <f t="shared" si="55"/>
        <v>0</v>
      </c>
      <c r="L93" s="119">
        <f t="shared" si="55"/>
        <v>0</v>
      </c>
      <c r="M93" s="119">
        <f t="shared" si="55"/>
        <v>0</v>
      </c>
      <c r="N93" s="119">
        <f t="shared" si="55"/>
        <v>0</v>
      </c>
      <c r="O93" s="119">
        <f t="shared" si="55"/>
        <v>0</v>
      </c>
      <c r="P93" s="31">
        <f>SUM(D93:O93)</f>
        <v>0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48</v>
      </c>
      <c r="E94" s="120">
        <f t="shared" ref="E94:O94" si="56">E93+E92</f>
        <v>32</v>
      </c>
      <c r="F94" s="120">
        <f t="shared" si="56"/>
        <v>33</v>
      </c>
      <c r="G94" s="120">
        <f t="shared" si="56"/>
        <v>61</v>
      </c>
      <c r="H94" s="120">
        <f t="shared" si="56"/>
        <v>54</v>
      </c>
      <c r="I94" s="120">
        <f t="shared" si="56"/>
        <v>42</v>
      </c>
      <c r="J94" s="120">
        <f t="shared" si="56"/>
        <v>46</v>
      </c>
      <c r="K94" s="120">
        <f t="shared" si="56"/>
        <v>32</v>
      </c>
      <c r="L94" s="120">
        <f t="shared" si="56"/>
        <v>31</v>
      </c>
      <c r="M94" s="120">
        <f t="shared" si="56"/>
        <v>23</v>
      </c>
      <c r="N94" s="120">
        <f t="shared" si="56"/>
        <v>30</v>
      </c>
      <c r="O94" s="120">
        <f t="shared" si="56"/>
        <v>24</v>
      </c>
      <c r="P94" s="127">
        <f t="shared" ref="P94" si="57">P93+P92</f>
        <v>456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393</v>
      </c>
      <c r="E95" s="121">
        <f t="shared" ref="E95:O95" si="58">E90+E91-E94</f>
        <v>399</v>
      </c>
      <c r="F95" s="121">
        <f t="shared" si="58"/>
        <v>409</v>
      </c>
      <c r="G95" s="121">
        <f t="shared" si="58"/>
        <v>407</v>
      </c>
      <c r="H95" s="121">
        <f t="shared" si="58"/>
        <v>416</v>
      </c>
      <c r="I95" s="121">
        <f t="shared" si="58"/>
        <v>422</v>
      </c>
      <c r="J95" s="121">
        <f t="shared" si="58"/>
        <v>417</v>
      </c>
      <c r="K95" s="121">
        <f t="shared" si="58"/>
        <v>412</v>
      </c>
      <c r="L95" s="121">
        <f t="shared" si="58"/>
        <v>404</v>
      </c>
      <c r="M95" s="121">
        <f t="shared" si="58"/>
        <v>408</v>
      </c>
      <c r="N95" s="121">
        <f t="shared" si="58"/>
        <v>413</v>
      </c>
      <c r="O95" s="121">
        <f t="shared" si="58"/>
        <v>419</v>
      </c>
      <c r="P95" s="128">
        <f t="shared" ref="P95" si="59">P90+P91-P94</f>
        <v>419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77">
        <v>61</v>
      </c>
      <c r="E98" s="277">
        <v>72</v>
      </c>
      <c r="F98" s="277">
        <v>65</v>
      </c>
      <c r="G98" s="277">
        <v>121</v>
      </c>
      <c r="H98" s="277">
        <v>62</v>
      </c>
      <c r="I98" s="277">
        <v>45</v>
      </c>
      <c r="J98" s="277">
        <v>35</v>
      </c>
      <c r="K98" s="277">
        <v>42</v>
      </c>
      <c r="L98" s="277">
        <v>15</v>
      </c>
      <c r="M98" s="426">
        <v>23</v>
      </c>
      <c r="N98" s="277">
        <v>33</v>
      </c>
      <c r="O98" s="277">
        <v>15</v>
      </c>
      <c r="P98" s="146">
        <f>SUM(D98:O98)</f>
        <v>589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5">
        <v>2565</v>
      </c>
      <c r="E101" s="265">
        <v>2601</v>
      </c>
      <c r="F101" s="265">
        <v>2569</v>
      </c>
      <c r="G101" s="265">
        <v>2642</v>
      </c>
      <c r="H101" s="265">
        <v>2554</v>
      </c>
      <c r="I101" s="265">
        <v>2508</v>
      </c>
      <c r="J101" s="265">
        <v>2520</v>
      </c>
      <c r="K101" s="265">
        <v>2694</v>
      </c>
      <c r="L101" s="265">
        <v>2683</v>
      </c>
      <c r="M101" s="425">
        <v>2740</v>
      </c>
      <c r="N101" s="265">
        <v>2696</v>
      </c>
      <c r="O101" s="265">
        <v>2544</v>
      </c>
      <c r="P101" s="278">
        <f t="shared" ref="P101:P116" si="60">O101</f>
        <v>2544</v>
      </c>
    </row>
    <row r="102" spans="1:16" x14ac:dyDescent="0.3">
      <c r="A102" s="312" t="s">
        <v>101</v>
      </c>
      <c r="B102" s="313"/>
      <c r="C102" s="4" t="s">
        <v>3</v>
      </c>
      <c r="D102" s="265">
        <v>49</v>
      </c>
      <c r="E102" s="265">
        <v>49</v>
      </c>
      <c r="F102" s="265">
        <v>51</v>
      </c>
      <c r="G102" s="265">
        <v>51</v>
      </c>
      <c r="H102" s="265">
        <v>50</v>
      </c>
      <c r="I102" s="265">
        <v>50</v>
      </c>
      <c r="J102" s="265">
        <v>50</v>
      </c>
      <c r="K102" s="265">
        <v>50</v>
      </c>
      <c r="L102" s="265">
        <v>49</v>
      </c>
      <c r="M102" s="425">
        <v>51</v>
      </c>
      <c r="N102" s="265">
        <v>51</v>
      </c>
      <c r="O102" s="265">
        <v>62</v>
      </c>
      <c r="P102" s="278">
        <f t="shared" si="60"/>
        <v>62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5">
        <v>95</v>
      </c>
      <c r="E103" s="265">
        <v>99</v>
      </c>
      <c r="F103" s="265">
        <v>99</v>
      </c>
      <c r="G103" s="265">
        <v>99</v>
      </c>
      <c r="H103" s="265">
        <v>98</v>
      </c>
      <c r="I103" s="265">
        <v>98</v>
      </c>
      <c r="J103" s="265">
        <v>97</v>
      </c>
      <c r="K103" s="265">
        <v>97</v>
      </c>
      <c r="L103" s="265">
        <v>96</v>
      </c>
      <c r="M103" s="425">
        <v>95</v>
      </c>
      <c r="N103" s="265">
        <v>95</v>
      </c>
      <c r="O103" s="265">
        <v>94</v>
      </c>
      <c r="P103" s="278">
        <f t="shared" si="60"/>
        <v>94</v>
      </c>
    </row>
    <row r="104" spans="1:16" x14ac:dyDescent="0.3">
      <c r="A104" s="319" t="s">
        <v>99</v>
      </c>
      <c r="B104" s="320"/>
      <c r="C104" s="4" t="s">
        <v>3</v>
      </c>
      <c r="D104" s="265">
        <v>20</v>
      </c>
      <c r="E104" s="265">
        <v>20</v>
      </c>
      <c r="F104" s="265">
        <v>20</v>
      </c>
      <c r="G104" s="265">
        <v>19</v>
      </c>
      <c r="H104" s="265">
        <v>18</v>
      </c>
      <c r="I104" s="265">
        <v>18</v>
      </c>
      <c r="J104" s="265">
        <v>18</v>
      </c>
      <c r="K104" s="265">
        <v>18</v>
      </c>
      <c r="L104" s="265">
        <v>18</v>
      </c>
      <c r="M104" s="425">
        <v>18</v>
      </c>
      <c r="N104" s="265">
        <v>18</v>
      </c>
      <c r="O104" s="265">
        <v>19</v>
      </c>
      <c r="P104" s="278">
        <f t="shared" si="60"/>
        <v>19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2729</v>
      </c>
      <c r="E105" s="279">
        <f t="shared" ref="E105:O105" si="61">SUM(E101:E104)</f>
        <v>2769</v>
      </c>
      <c r="F105" s="279">
        <f t="shared" si="61"/>
        <v>2739</v>
      </c>
      <c r="G105" s="279">
        <f t="shared" si="61"/>
        <v>2811</v>
      </c>
      <c r="H105" s="279">
        <f t="shared" si="61"/>
        <v>2720</v>
      </c>
      <c r="I105" s="279">
        <f t="shared" si="61"/>
        <v>2674</v>
      </c>
      <c r="J105" s="279">
        <f t="shared" si="61"/>
        <v>2685</v>
      </c>
      <c r="K105" s="279">
        <f t="shared" si="61"/>
        <v>2859</v>
      </c>
      <c r="L105" s="279">
        <f t="shared" si="61"/>
        <v>2846</v>
      </c>
      <c r="M105" s="279">
        <f t="shared" si="61"/>
        <v>2904</v>
      </c>
      <c r="N105" s="279">
        <f t="shared" si="61"/>
        <v>2860</v>
      </c>
      <c r="O105" s="279">
        <f t="shared" si="61"/>
        <v>2719</v>
      </c>
      <c r="P105" s="278">
        <f t="shared" si="60"/>
        <v>2719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265">
        <v>3360</v>
      </c>
      <c r="E107" s="265">
        <v>3347</v>
      </c>
      <c r="F107" s="265">
        <v>3054</v>
      </c>
      <c r="G107" s="265">
        <v>3156</v>
      </c>
      <c r="H107" s="265">
        <v>2958</v>
      </c>
      <c r="I107" s="265">
        <v>2946</v>
      </c>
      <c r="J107" s="265">
        <v>2980</v>
      </c>
      <c r="K107" s="265">
        <v>2962</v>
      </c>
      <c r="L107" s="265">
        <v>2964</v>
      </c>
      <c r="M107" s="425">
        <v>2903</v>
      </c>
      <c r="N107" s="265">
        <v>2948</v>
      </c>
      <c r="O107" s="265">
        <v>3166</v>
      </c>
      <c r="P107" s="278">
        <f t="shared" si="60"/>
        <v>3166</v>
      </c>
    </row>
    <row r="108" spans="1:16" x14ac:dyDescent="0.3">
      <c r="A108" s="312" t="s">
        <v>196</v>
      </c>
      <c r="B108" s="313"/>
      <c r="C108" s="4" t="s">
        <v>3</v>
      </c>
      <c r="D108" s="265">
        <v>12</v>
      </c>
      <c r="E108" s="265">
        <v>13</v>
      </c>
      <c r="F108" s="265">
        <v>9</v>
      </c>
      <c r="G108" s="265">
        <v>9</v>
      </c>
      <c r="H108" s="265">
        <v>9</v>
      </c>
      <c r="I108" s="265">
        <v>9</v>
      </c>
      <c r="J108" s="265">
        <v>8</v>
      </c>
      <c r="K108" s="265">
        <v>8</v>
      </c>
      <c r="L108" s="265">
        <v>8</v>
      </c>
      <c r="M108" s="425">
        <v>6</v>
      </c>
      <c r="N108" s="265">
        <v>6</v>
      </c>
      <c r="O108" s="265">
        <v>6</v>
      </c>
      <c r="P108" s="278">
        <f t="shared" si="60"/>
        <v>6</v>
      </c>
    </row>
    <row r="109" spans="1:16" x14ac:dyDescent="0.3">
      <c r="A109" s="312" t="s">
        <v>197</v>
      </c>
      <c r="B109" s="313"/>
      <c r="C109" s="4" t="s">
        <v>3</v>
      </c>
      <c r="D109" s="265">
        <v>1</v>
      </c>
      <c r="E109" s="265">
        <v>1</v>
      </c>
      <c r="F109" s="265">
        <v>1</v>
      </c>
      <c r="G109" s="265">
        <v>1</v>
      </c>
      <c r="H109" s="265">
        <v>2</v>
      </c>
      <c r="I109" s="265">
        <v>1</v>
      </c>
      <c r="J109" s="265">
        <v>1</v>
      </c>
      <c r="K109" s="265">
        <v>2</v>
      </c>
      <c r="L109" s="265">
        <v>2</v>
      </c>
      <c r="M109" s="425">
        <v>3</v>
      </c>
      <c r="N109" s="265">
        <v>3</v>
      </c>
      <c r="O109" s="265">
        <v>2</v>
      </c>
      <c r="P109" s="278">
        <f t="shared" si="60"/>
        <v>2</v>
      </c>
    </row>
    <row r="110" spans="1:16" x14ac:dyDescent="0.3">
      <c r="A110" s="312" t="s">
        <v>198</v>
      </c>
      <c r="B110" s="313"/>
      <c r="C110" s="4" t="s">
        <v>3</v>
      </c>
      <c r="D110" s="265">
        <v>11</v>
      </c>
      <c r="E110" s="265">
        <v>11</v>
      </c>
      <c r="F110" s="265">
        <v>11</v>
      </c>
      <c r="G110" s="265">
        <v>11</v>
      </c>
      <c r="H110" s="265">
        <v>11</v>
      </c>
      <c r="I110" s="265">
        <v>11</v>
      </c>
      <c r="J110" s="265">
        <v>11</v>
      </c>
      <c r="K110" s="265">
        <v>11</v>
      </c>
      <c r="L110" s="265">
        <v>11</v>
      </c>
      <c r="M110" s="425">
        <v>10</v>
      </c>
      <c r="N110" s="265">
        <v>10</v>
      </c>
      <c r="O110" s="265">
        <v>10</v>
      </c>
      <c r="P110" s="278">
        <f t="shared" si="60"/>
        <v>10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3384</v>
      </c>
      <c r="E111" s="279">
        <f t="shared" ref="E111:O111" si="62">SUM(E107:E110)</f>
        <v>3372</v>
      </c>
      <c r="F111" s="279">
        <f t="shared" si="62"/>
        <v>3075</v>
      </c>
      <c r="G111" s="279">
        <f t="shared" si="62"/>
        <v>3177</v>
      </c>
      <c r="H111" s="279">
        <f t="shared" si="62"/>
        <v>2980</v>
      </c>
      <c r="I111" s="279">
        <f t="shared" si="62"/>
        <v>2967</v>
      </c>
      <c r="J111" s="279">
        <f t="shared" si="62"/>
        <v>3000</v>
      </c>
      <c r="K111" s="279">
        <f t="shared" si="62"/>
        <v>2983</v>
      </c>
      <c r="L111" s="279">
        <f t="shared" si="62"/>
        <v>2985</v>
      </c>
      <c r="M111" s="279">
        <f t="shared" si="62"/>
        <v>2922</v>
      </c>
      <c r="N111" s="279">
        <f t="shared" si="62"/>
        <v>2967</v>
      </c>
      <c r="O111" s="279">
        <f t="shared" si="62"/>
        <v>3184</v>
      </c>
      <c r="P111" s="278">
        <f t="shared" si="60"/>
        <v>3184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280">
        <v>1543</v>
      </c>
      <c r="E113" s="280">
        <v>1554</v>
      </c>
      <c r="F113" s="280">
        <v>1726</v>
      </c>
      <c r="G113" s="280">
        <v>1795</v>
      </c>
      <c r="H113" s="280">
        <v>2135</v>
      </c>
      <c r="I113" s="280">
        <v>2382</v>
      </c>
      <c r="J113" s="280">
        <v>2382</v>
      </c>
      <c r="K113" s="280">
        <v>2257</v>
      </c>
      <c r="L113" s="280">
        <v>2306</v>
      </c>
      <c r="M113" s="427">
        <v>2333</v>
      </c>
      <c r="N113" s="280">
        <v>2362</v>
      </c>
      <c r="O113" s="280">
        <v>2390</v>
      </c>
      <c r="P113" s="278">
        <f t="shared" si="60"/>
        <v>2390</v>
      </c>
    </row>
    <row r="114" spans="1:16" x14ac:dyDescent="0.3">
      <c r="A114" s="312" t="s">
        <v>200</v>
      </c>
      <c r="B114" s="313"/>
      <c r="C114" s="4" t="s">
        <v>3</v>
      </c>
      <c r="D114" s="280">
        <v>74</v>
      </c>
      <c r="E114" s="280">
        <v>73</v>
      </c>
      <c r="F114" s="280">
        <v>75</v>
      </c>
      <c r="G114" s="280">
        <v>75</v>
      </c>
      <c r="H114" s="280">
        <v>76</v>
      </c>
      <c r="I114" s="280">
        <v>76</v>
      </c>
      <c r="J114" s="280">
        <v>77</v>
      </c>
      <c r="K114" s="280">
        <v>77</v>
      </c>
      <c r="L114" s="280">
        <v>78</v>
      </c>
      <c r="M114" s="428">
        <v>78</v>
      </c>
      <c r="N114" s="280">
        <v>78</v>
      </c>
      <c r="O114" s="280">
        <v>67</v>
      </c>
      <c r="P114" s="278">
        <f t="shared" si="60"/>
        <v>67</v>
      </c>
    </row>
    <row r="115" spans="1:16" x14ac:dyDescent="0.3">
      <c r="A115" s="312" t="s">
        <v>201</v>
      </c>
      <c r="B115" s="313"/>
      <c r="C115" s="4" t="s">
        <v>3</v>
      </c>
      <c r="D115" s="280">
        <v>70</v>
      </c>
      <c r="E115" s="280">
        <v>70</v>
      </c>
      <c r="F115" s="280">
        <v>71</v>
      </c>
      <c r="G115" s="280">
        <v>71</v>
      </c>
      <c r="H115" s="280">
        <v>71</v>
      </c>
      <c r="I115" s="280">
        <v>72</v>
      </c>
      <c r="J115" s="280">
        <v>73</v>
      </c>
      <c r="K115" s="280">
        <v>73</v>
      </c>
      <c r="L115" s="280">
        <v>73</v>
      </c>
      <c r="M115" s="428">
        <v>74</v>
      </c>
      <c r="N115" s="280">
        <v>74</v>
      </c>
      <c r="O115" s="280">
        <v>75</v>
      </c>
      <c r="P115" s="278">
        <f t="shared" si="60"/>
        <v>75</v>
      </c>
    </row>
    <row r="116" spans="1:16" x14ac:dyDescent="0.3">
      <c r="A116" s="312" t="s">
        <v>202</v>
      </c>
      <c r="B116" s="313"/>
      <c r="C116" s="4" t="s">
        <v>3</v>
      </c>
      <c r="D116" s="280">
        <v>3</v>
      </c>
      <c r="E116" s="280">
        <v>3</v>
      </c>
      <c r="F116" s="280">
        <v>3</v>
      </c>
      <c r="G116" s="280">
        <v>4</v>
      </c>
      <c r="H116" s="280">
        <v>5</v>
      </c>
      <c r="I116" s="280">
        <v>5</v>
      </c>
      <c r="J116" s="280">
        <v>5</v>
      </c>
      <c r="K116" s="280">
        <v>5</v>
      </c>
      <c r="L116" s="280">
        <v>5</v>
      </c>
      <c r="M116" s="428">
        <v>5</v>
      </c>
      <c r="N116" s="280">
        <v>5</v>
      </c>
      <c r="O116" s="280">
        <v>5</v>
      </c>
      <c r="P116" s="278">
        <f t="shared" si="60"/>
        <v>5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1690</v>
      </c>
      <c r="E117" s="279">
        <f t="shared" ref="E117:O117" si="63">SUM(E113:E116)</f>
        <v>1700</v>
      </c>
      <c r="F117" s="279">
        <f t="shared" si="63"/>
        <v>1875</v>
      </c>
      <c r="G117" s="279">
        <f t="shared" si="63"/>
        <v>1945</v>
      </c>
      <c r="H117" s="279">
        <f t="shared" si="63"/>
        <v>2287</v>
      </c>
      <c r="I117" s="279">
        <f t="shared" si="63"/>
        <v>2535</v>
      </c>
      <c r="J117" s="279">
        <f t="shared" si="63"/>
        <v>2537</v>
      </c>
      <c r="K117" s="279">
        <f t="shared" si="63"/>
        <v>2412</v>
      </c>
      <c r="L117" s="279">
        <f t="shared" si="63"/>
        <v>2462</v>
      </c>
      <c r="M117" s="279">
        <f t="shared" si="63"/>
        <v>2490</v>
      </c>
      <c r="N117" s="279">
        <f t="shared" si="63"/>
        <v>2519</v>
      </c>
      <c r="O117" s="279">
        <f t="shared" si="63"/>
        <v>2537</v>
      </c>
      <c r="P117" s="246">
        <f t="shared" ref="P117" si="64">SUM(P113:P116)</f>
        <v>2537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" si="65">D111+D117</f>
        <v>5074</v>
      </c>
      <c r="E118" s="279">
        <f t="shared" ref="E118:O118" si="66">E111+E117</f>
        <v>5072</v>
      </c>
      <c r="F118" s="279">
        <f t="shared" si="66"/>
        <v>4950</v>
      </c>
      <c r="G118" s="279">
        <f t="shared" si="66"/>
        <v>5122</v>
      </c>
      <c r="H118" s="279">
        <f t="shared" si="66"/>
        <v>5267</v>
      </c>
      <c r="I118" s="279">
        <f t="shared" si="66"/>
        <v>5502</v>
      </c>
      <c r="J118" s="279">
        <f t="shared" si="66"/>
        <v>5537</v>
      </c>
      <c r="K118" s="279">
        <f t="shared" si="66"/>
        <v>5395</v>
      </c>
      <c r="L118" s="279">
        <f t="shared" si="66"/>
        <v>5447</v>
      </c>
      <c r="M118" s="279">
        <f t="shared" si="66"/>
        <v>5412</v>
      </c>
      <c r="N118" s="279">
        <f t="shared" si="66"/>
        <v>5486</v>
      </c>
      <c r="O118" s="279">
        <f t="shared" si="66"/>
        <v>5721</v>
      </c>
      <c r="P118" s="279">
        <f t="shared" ref="P118" si="67">P111+P117</f>
        <v>5721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" si="68">D105+D118</f>
        <v>7803</v>
      </c>
      <c r="E119" s="279">
        <f t="shared" ref="E119:O119" si="69">E105+E118</f>
        <v>7841</v>
      </c>
      <c r="F119" s="279">
        <f t="shared" si="69"/>
        <v>7689</v>
      </c>
      <c r="G119" s="279">
        <f t="shared" si="69"/>
        <v>7933</v>
      </c>
      <c r="H119" s="279">
        <f t="shared" si="69"/>
        <v>7987</v>
      </c>
      <c r="I119" s="279">
        <f t="shared" si="69"/>
        <v>8176</v>
      </c>
      <c r="J119" s="279">
        <f t="shared" si="69"/>
        <v>8222</v>
      </c>
      <c r="K119" s="279">
        <f t="shared" si="69"/>
        <v>8254</v>
      </c>
      <c r="L119" s="279">
        <f t="shared" si="69"/>
        <v>8293</v>
      </c>
      <c r="M119" s="279">
        <f t="shared" si="69"/>
        <v>8316</v>
      </c>
      <c r="N119" s="279">
        <f t="shared" si="69"/>
        <v>8346</v>
      </c>
      <c r="O119" s="279">
        <f t="shared" si="69"/>
        <v>8440</v>
      </c>
      <c r="P119" s="279">
        <f t="shared" ref="P119" si="70">P105+P118</f>
        <v>8440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83">
        <v>41026</v>
      </c>
      <c r="E121" s="283">
        <v>41118</v>
      </c>
      <c r="F121" s="283">
        <v>41203</v>
      </c>
      <c r="G121" s="283">
        <v>41615.03</v>
      </c>
      <c r="H121" s="283">
        <v>41615.03</v>
      </c>
      <c r="I121" s="283">
        <v>41615.03</v>
      </c>
      <c r="J121" s="283">
        <v>41823.11</v>
      </c>
      <c r="K121" s="283">
        <v>42241.341099999998</v>
      </c>
      <c r="L121" s="283">
        <v>46253</v>
      </c>
      <c r="M121" s="424">
        <v>46484</v>
      </c>
      <c r="N121" s="283">
        <v>46948</v>
      </c>
      <c r="O121" s="283">
        <v>47417</v>
      </c>
      <c r="P121" s="27">
        <f>O121</f>
        <v>47417</v>
      </c>
    </row>
    <row r="122" spans="1:16" x14ac:dyDescent="0.3">
      <c r="A122" s="312" t="s">
        <v>94</v>
      </c>
      <c r="B122" s="313"/>
      <c r="C122" s="4" t="s">
        <v>3</v>
      </c>
      <c r="D122" s="283">
        <v>34872</v>
      </c>
      <c r="E122" s="283">
        <v>34127</v>
      </c>
      <c r="F122" s="283">
        <v>35022.550000000003</v>
      </c>
      <c r="G122" s="283">
        <v>35373.230000000003</v>
      </c>
      <c r="H122" s="283">
        <v>35726.959999999999</v>
      </c>
      <c r="I122" s="283">
        <v>36441.54</v>
      </c>
      <c r="J122" s="283">
        <v>36623.75</v>
      </c>
      <c r="K122" s="283">
        <v>38017.206989999999</v>
      </c>
      <c r="L122" s="283">
        <v>38017</v>
      </c>
      <c r="M122" s="425">
        <v>38207</v>
      </c>
      <c r="N122" s="283">
        <v>38589</v>
      </c>
      <c r="O122" s="283">
        <v>38974</v>
      </c>
      <c r="P122" s="27">
        <f>O122</f>
        <v>38974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71">D122/D121</f>
        <v>0.84999756252132797</v>
      </c>
      <c r="E123" s="284">
        <f t="shared" ref="E123:O123" si="72">E122/E121</f>
        <v>0.82997713896590297</v>
      </c>
      <c r="F123" s="284">
        <f t="shared" si="72"/>
        <v>0.85000000000000009</v>
      </c>
      <c r="G123" s="284">
        <f t="shared" si="72"/>
        <v>0.85001092153483981</v>
      </c>
      <c r="H123" s="284">
        <f t="shared" si="72"/>
        <v>0.85851097548169497</v>
      </c>
      <c r="I123" s="284">
        <f t="shared" si="72"/>
        <v>0.87568217540633764</v>
      </c>
      <c r="J123" s="284">
        <f t="shared" si="72"/>
        <v>0.87568212885172814</v>
      </c>
      <c r="K123" s="284">
        <f t="shared" si="72"/>
        <v>0.9</v>
      </c>
      <c r="L123" s="284">
        <f t="shared" si="72"/>
        <v>0.82193587442976668</v>
      </c>
      <c r="M123" s="284">
        <f t="shared" si="72"/>
        <v>0.82193873160657427</v>
      </c>
      <c r="N123" s="284">
        <f t="shared" si="72"/>
        <v>0.821951946834796</v>
      </c>
      <c r="O123" s="284">
        <f t="shared" si="72"/>
        <v>0.82194149777505954</v>
      </c>
      <c r="P123" s="388">
        <f t="shared" si="71"/>
        <v>0.82194149777505954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0</v>
      </c>
    </row>
    <row r="127" spans="1:16" x14ac:dyDescent="0.3">
      <c r="A127" s="307"/>
      <c r="B127" s="285" t="s">
        <v>88</v>
      </c>
      <c r="C127" s="4" t="s">
        <v>3</v>
      </c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0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" si="73">D125+D126-D127-D128</f>
        <v>0</v>
      </c>
      <c r="E129" s="268">
        <f t="shared" ref="E129:O129" si="74">E125+E126-E127-E128</f>
        <v>0</v>
      </c>
      <c r="F129" s="268">
        <f t="shared" si="74"/>
        <v>0</v>
      </c>
      <c r="G129" s="268">
        <f t="shared" si="74"/>
        <v>0</v>
      </c>
      <c r="H129" s="268">
        <f t="shared" si="74"/>
        <v>0</v>
      </c>
      <c r="I129" s="268">
        <f t="shared" si="74"/>
        <v>0</v>
      </c>
      <c r="J129" s="268">
        <f t="shared" si="74"/>
        <v>0</v>
      </c>
      <c r="K129" s="268">
        <f t="shared" si="74"/>
        <v>0</v>
      </c>
      <c r="L129" s="268">
        <f t="shared" si="74"/>
        <v>0</v>
      </c>
      <c r="M129" s="268">
        <f t="shared" si="74"/>
        <v>0</v>
      </c>
      <c r="N129" s="268">
        <f t="shared" si="74"/>
        <v>0</v>
      </c>
      <c r="O129" s="268">
        <f t="shared" si="74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31">
        <f>SUM(D131:O131)</f>
        <v>0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31">
        <f>SUM(D133:O133)</f>
        <v>0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" si="75">D130+D131-D132-D133</f>
        <v>0</v>
      </c>
      <c r="E134" s="268">
        <f t="shared" ref="E134:O134" si="76">E130+E131-E132-E133</f>
        <v>0</v>
      </c>
      <c r="F134" s="268">
        <f t="shared" si="76"/>
        <v>0</v>
      </c>
      <c r="G134" s="268">
        <f t="shared" si="76"/>
        <v>0</v>
      </c>
      <c r="H134" s="268">
        <f t="shared" si="76"/>
        <v>0</v>
      </c>
      <c r="I134" s="268">
        <f t="shared" si="76"/>
        <v>0</v>
      </c>
      <c r="J134" s="268">
        <f t="shared" si="76"/>
        <v>0</v>
      </c>
      <c r="K134" s="268">
        <f t="shared" si="76"/>
        <v>0</v>
      </c>
      <c r="L134" s="268">
        <f t="shared" si="76"/>
        <v>0</v>
      </c>
      <c r="M134" s="268">
        <f t="shared" si="76"/>
        <v>0</v>
      </c>
      <c r="N134" s="268">
        <f t="shared" si="76"/>
        <v>0</v>
      </c>
      <c r="O134" s="268">
        <f t="shared" si="76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" si="77">D135+D136-D137-D138</f>
        <v>0</v>
      </c>
      <c r="E139" s="268">
        <f t="shared" ref="E139:O139" si="78">E135+E136-E137-E138</f>
        <v>0</v>
      </c>
      <c r="F139" s="268">
        <f t="shared" si="78"/>
        <v>0</v>
      </c>
      <c r="G139" s="268">
        <f t="shared" si="78"/>
        <v>0</v>
      </c>
      <c r="H139" s="268">
        <f t="shared" si="78"/>
        <v>0</v>
      </c>
      <c r="I139" s="268">
        <f t="shared" si="78"/>
        <v>0</v>
      </c>
      <c r="J139" s="268">
        <f t="shared" si="78"/>
        <v>0</v>
      </c>
      <c r="K139" s="268">
        <f t="shared" si="78"/>
        <v>0</v>
      </c>
      <c r="L139" s="268">
        <f t="shared" si="78"/>
        <v>0</v>
      </c>
      <c r="M139" s="268">
        <f t="shared" si="78"/>
        <v>0</v>
      </c>
      <c r="N139" s="268">
        <f t="shared" si="78"/>
        <v>0</v>
      </c>
      <c r="O139" s="268">
        <f t="shared" si="78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>
        <v>376</v>
      </c>
      <c r="E140" s="268">
        <v>330</v>
      </c>
      <c r="F140" s="268">
        <v>348</v>
      </c>
      <c r="G140" s="268">
        <v>275</v>
      </c>
      <c r="H140" s="268">
        <v>243</v>
      </c>
      <c r="I140" s="268">
        <v>176</v>
      </c>
      <c r="J140" s="268">
        <v>188</v>
      </c>
      <c r="K140" s="268">
        <v>193</v>
      </c>
      <c r="L140" s="268">
        <v>192</v>
      </c>
      <c r="M140" s="425">
        <f t="shared" ref="M140" si="79">L144</f>
        <v>194</v>
      </c>
      <c r="N140" s="425">
        <f t="shared" ref="N140" si="80">M144</f>
        <v>211</v>
      </c>
      <c r="O140" s="425">
        <f t="shared" ref="O140" si="81">N144</f>
        <v>271</v>
      </c>
      <c r="P140" s="31">
        <f>D140</f>
        <v>376</v>
      </c>
    </row>
    <row r="141" spans="1:16" x14ac:dyDescent="0.3">
      <c r="A141" s="307"/>
      <c r="B141" s="4" t="s">
        <v>84</v>
      </c>
      <c r="C141" s="4" t="s">
        <v>3</v>
      </c>
      <c r="D141" s="269"/>
      <c r="E141" s="269">
        <v>18</v>
      </c>
      <c r="F141" s="269">
        <v>0</v>
      </c>
      <c r="G141" s="269"/>
      <c r="H141" s="269"/>
      <c r="I141" s="269">
        <v>12</v>
      </c>
      <c r="J141" s="269">
        <v>5</v>
      </c>
      <c r="K141" s="269"/>
      <c r="L141" s="269">
        <v>10</v>
      </c>
      <c r="M141" s="425">
        <v>25</v>
      </c>
      <c r="N141" s="269">
        <v>60</v>
      </c>
      <c r="O141" s="269">
        <v>36</v>
      </c>
      <c r="P141" s="31">
        <f>SUM(D141:O141)</f>
        <v>166</v>
      </c>
    </row>
    <row r="142" spans="1:16" x14ac:dyDescent="0.3">
      <c r="A142" s="307"/>
      <c r="B142" s="4" t="s">
        <v>83</v>
      </c>
      <c r="C142" s="4" t="s">
        <v>3</v>
      </c>
      <c r="D142" s="269">
        <v>46</v>
      </c>
      <c r="E142" s="269"/>
      <c r="F142" s="269">
        <v>0</v>
      </c>
      <c r="G142" s="269"/>
      <c r="H142" s="269"/>
      <c r="I142" s="269"/>
      <c r="J142" s="269"/>
      <c r="K142" s="269"/>
      <c r="L142" s="269">
        <v>5</v>
      </c>
      <c r="M142" s="425">
        <v>5</v>
      </c>
      <c r="N142" s="269"/>
      <c r="O142" s="269"/>
      <c r="P142" s="31">
        <f>SUM(D142:O142)</f>
        <v>56</v>
      </c>
    </row>
    <row r="143" spans="1:16" x14ac:dyDescent="0.3">
      <c r="A143" s="307"/>
      <c r="B143" s="4" t="s">
        <v>82</v>
      </c>
      <c r="C143" s="4" t="s">
        <v>3</v>
      </c>
      <c r="D143" s="269"/>
      <c r="E143" s="269"/>
      <c r="F143" s="269">
        <v>73</v>
      </c>
      <c r="G143" s="269">
        <v>32</v>
      </c>
      <c r="H143" s="269">
        <v>67</v>
      </c>
      <c r="I143" s="269"/>
      <c r="J143" s="269"/>
      <c r="K143" s="269">
        <v>1</v>
      </c>
      <c r="L143" s="269">
        <v>3</v>
      </c>
      <c r="M143" s="425">
        <v>3</v>
      </c>
      <c r="N143" s="269"/>
      <c r="O143" s="269"/>
      <c r="P143" s="31">
        <f>SUM(D143:O143)</f>
        <v>179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" si="82">D140+D141-D142-D143</f>
        <v>330</v>
      </c>
      <c r="E144" s="268">
        <f t="shared" ref="E144:O144" si="83">E140+E141-E142-E143</f>
        <v>348</v>
      </c>
      <c r="F144" s="268">
        <f t="shared" si="83"/>
        <v>275</v>
      </c>
      <c r="G144" s="268">
        <f t="shared" si="83"/>
        <v>243</v>
      </c>
      <c r="H144" s="268">
        <f t="shared" si="83"/>
        <v>176</v>
      </c>
      <c r="I144" s="268">
        <f t="shared" si="83"/>
        <v>188</v>
      </c>
      <c r="J144" s="268">
        <f t="shared" si="83"/>
        <v>193</v>
      </c>
      <c r="K144" s="268">
        <f t="shared" si="83"/>
        <v>192</v>
      </c>
      <c r="L144" s="268">
        <f t="shared" si="83"/>
        <v>194</v>
      </c>
      <c r="M144" s="268">
        <f t="shared" si="83"/>
        <v>211</v>
      </c>
      <c r="N144" s="268">
        <f t="shared" si="83"/>
        <v>271</v>
      </c>
      <c r="O144" s="268">
        <f t="shared" si="83"/>
        <v>307</v>
      </c>
      <c r="P144" s="31">
        <f>P140+P141-P142-P143</f>
        <v>307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" si="84">D125+D130+D135+D140</f>
        <v>376</v>
      </c>
      <c r="E145" s="271">
        <f t="shared" ref="E145:O145" si="85">E125+E130+E135+E140</f>
        <v>330</v>
      </c>
      <c r="F145" s="271">
        <f t="shared" si="85"/>
        <v>348</v>
      </c>
      <c r="G145" s="271">
        <f t="shared" si="85"/>
        <v>275</v>
      </c>
      <c r="H145" s="271">
        <f t="shared" si="85"/>
        <v>243</v>
      </c>
      <c r="I145" s="271">
        <f t="shared" si="85"/>
        <v>176</v>
      </c>
      <c r="J145" s="271">
        <f t="shared" si="85"/>
        <v>188</v>
      </c>
      <c r="K145" s="271">
        <f t="shared" si="85"/>
        <v>193</v>
      </c>
      <c r="L145" s="271">
        <f t="shared" si="85"/>
        <v>192</v>
      </c>
      <c r="M145" s="271">
        <f t="shared" si="85"/>
        <v>194</v>
      </c>
      <c r="N145" s="271">
        <f t="shared" si="85"/>
        <v>211</v>
      </c>
      <c r="O145" s="271">
        <f t="shared" si="85"/>
        <v>271</v>
      </c>
      <c r="P145" s="286">
        <f t="shared" ref="P145" si="86">P125+P130+P135+P140</f>
        <v>376</v>
      </c>
    </row>
    <row r="146" spans="1:16" x14ac:dyDescent="0.3">
      <c r="A146" s="307"/>
      <c r="B146" s="4" t="s">
        <v>84</v>
      </c>
      <c r="C146" s="4" t="s">
        <v>3</v>
      </c>
      <c r="D146" s="271">
        <f t="shared" ref="D146:D148" si="87">D126+D131+D136+D141</f>
        <v>0</v>
      </c>
      <c r="E146" s="271">
        <f t="shared" ref="E146:O146" si="88">E126+E131+E136+E141</f>
        <v>18</v>
      </c>
      <c r="F146" s="271">
        <f t="shared" si="88"/>
        <v>0</v>
      </c>
      <c r="G146" s="271">
        <f t="shared" si="88"/>
        <v>0</v>
      </c>
      <c r="H146" s="271">
        <f t="shared" si="88"/>
        <v>0</v>
      </c>
      <c r="I146" s="271">
        <f t="shared" si="88"/>
        <v>12</v>
      </c>
      <c r="J146" s="271">
        <f t="shared" si="88"/>
        <v>5</v>
      </c>
      <c r="K146" s="271">
        <f t="shared" si="88"/>
        <v>0</v>
      </c>
      <c r="L146" s="271">
        <f t="shared" si="88"/>
        <v>10</v>
      </c>
      <c r="M146" s="271">
        <f t="shared" si="88"/>
        <v>25</v>
      </c>
      <c r="N146" s="271">
        <f t="shared" si="88"/>
        <v>60</v>
      </c>
      <c r="O146" s="271">
        <f t="shared" si="88"/>
        <v>36</v>
      </c>
      <c r="P146" s="286">
        <f t="shared" ref="P146" si="89">P126+P131+P136+P141</f>
        <v>166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87"/>
        <v>46</v>
      </c>
      <c r="E147" s="271">
        <f t="shared" ref="E147:O147" si="90">E127+E132+E137+E142</f>
        <v>0</v>
      </c>
      <c r="F147" s="271">
        <f t="shared" si="90"/>
        <v>0</v>
      </c>
      <c r="G147" s="271">
        <f t="shared" si="90"/>
        <v>0</v>
      </c>
      <c r="H147" s="271">
        <f t="shared" si="90"/>
        <v>0</v>
      </c>
      <c r="I147" s="271">
        <f t="shared" si="90"/>
        <v>0</v>
      </c>
      <c r="J147" s="271">
        <f t="shared" si="90"/>
        <v>0</v>
      </c>
      <c r="K147" s="271">
        <f t="shared" si="90"/>
        <v>0</v>
      </c>
      <c r="L147" s="271">
        <f t="shared" si="90"/>
        <v>5</v>
      </c>
      <c r="M147" s="271">
        <f t="shared" si="90"/>
        <v>5</v>
      </c>
      <c r="N147" s="271">
        <f t="shared" si="90"/>
        <v>0</v>
      </c>
      <c r="O147" s="271">
        <f t="shared" si="90"/>
        <v>0</v>
      </c>
      <c r="P147" s="286">
        <f t="shared" ref="P147" si="91">P127+P132+P137+P142</f>
        <v>56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87"/>
        <v>0</v>
      </c>
      <c r="E148" s="271">
        <f t="shared" ref="E148:O148" si="92">E128+E133+E138+E143</f>
        <v>0</v>
      </c>
      <c r="F148" s="271">
        <f t="shared" si="92"/>
        <v>73</v>
      </c>
      <c r="G148" s="271">
        <f t="shared" si="92"/>
        <v>32</v>
      </c>
      <c r="H148" s="271">
        <f t="shared" si="92"/>
        <v>67</v>
      </c>
      <c r="I148" s="271">
        <f t="shared" si="92"/>
        <v>0</v>
      </c>
      <c r="J148" s="271">
        <f t="shared" si="92"/>
        <v>0</v>
      </c>
      <c r="K148" s="271">
        <f t="shared" si="92"/>
        <v>1</v>
      </c>
      <c r="L148" s="271">
        <f t="shared" si="92"/>
        <v>3</v>
      </c>
      <c r="M148" s="271">
        <f t="shared" si="92"/>
        <v>3</v>
      </c>
      <c r="N148" s="271">
        <f t="shared" si="92"/>
        <v>0</v>
      </c>
      <c r="O148" s="271">
        <f t="shared" si="92"/>
        <v>0</v>
      </c>
      <c r="P148" s="286">
        <f t="shared" ref="P148" si="93">P128+P133+P138+P143</f>
        <v>179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" si="94">D145+D146-D147-D148</f>
        <v>330</v>
      </c>
      <c r="E149" s="268">
        <f t="shared" ref="E149:O149" si="95">E145+E146-E147-E148</f>
        <v>348</v>
      </c>
      <c r="F149" s="268">
        <f t="shared" si="95"/>
        <v>275</v>
      </c>
      <c r="G149" s="268">
        <f t="shared" si="95"/>
        <v>243</v>
      </c>
      <c r="H149" s="268">
        <f t="shared" si="95"/>
        <v>176</v>
      </c>
      <c r="I149" s="268">
        <f t="shared" si="95"/>
        <v>188</v>
      </c>
      <c r="J149" s="268">
        <f t="shared" si="95"/>
        <v>193</v>
      </c>
      <c r="K149" s="268">
        <f t="shared" si="95"/>
        <v>192</v>
      </c>
      <c r="L149" s="268">
        <f t="shared" si="95"/>
        <v>194</v>
      </c>
      <c r="M149" s="268">
        <f t="shared" si="95"/>
        <v>211</v>
      </c>
      <c r="N149" s="268">
        <f t="shared" si="95"/>
        <v>271</v>
      </c>
      <c r="O149" s="268">
        <f t="shared" si="95"/>
        <v>307</v>
      </c>
      <c r="P149" s="286">
        <f t="shared" ref="P149" si="96">P129+P134+P139+P144</f>
        <v>307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5">
        <v>91</v>
      </c>
      <c r="E153" s="265">
        <v>111</v>
      </c>
      <c r="F153" s="265">
        <v>89</v>
      </c>
      <c r="G153" s="265">
        <v>104</v>
      </c>
      <c r="H153" s="265">
        <v>147</v>
      </c>
      <c r="I153" s="265">
        <v>111</v>
      </c>
      <c r="J153" s="265">
        <v>84</v>
      </c>
      <c r="K153" s="265">
        <v>128</v>
      </c>
      <c r="L153" s="265">
        <v>71</v>
      </c>
      <c r="M153" s="425">
        <v>115</v>
      </c>
      <c r="N153" s="265">
        <v>76</v>
      </c>
      <c r="O153" s="265">
        <v>61</v>
      </c>
      <c r="P153" s="31">
        <f t="shared" ref="P153:P165" si="97">SUM(D153:O153)</f>
        <v>1188</v>
      </c>
    </row>
    <row r="154" spans="1:16" x14ac:dyDescent="0.3">
      <c r="A154" s="336"/>
      <c r="B154" s="18" t="s">
        <v>72</v>
      </c>
      <c r="C154" s="4" t="s">
        <v>57</v>
      </c>
      <c r="D154" s="265">
        <v>52</v>
      </c>
      <c r="E154" s="265">
        <v>94</v>
      </c>
      <c r="F154" s="265">
        <v>82</v>
      </c>
      <c r="G154" s="265">
        <v>75</v>
      </c>
      <c r="H154" s="265">
        <v>64</v>
      </c>
      <c r="I154" s="265">
        <v>68</v>
      </c>
      <c r="J154" s="265">
        <v>42</v>
      </c>
      <c r="K154" s="265">
        <v>50</v>
      </c>
      <c r="L154" s="265">
        <v>29</v>
      </c>
      <c r="M154" s="425">
        <v>67</v>
      </c>
      <c r="N154" s="265">
        <v>50</v>
      </c>
      <c r="O154" s="265">
        <v>31</v>
      </c>
      <c r="P154" s="31">
        <f t="shared" si="97"/>
        <v>704</v>
      </c>
    </row>
    <row r="155" spans="1:16" x14ac:dyDescent="0.3">
      <c r="A155" s="336"/>
      <c r="B155" s="18" t="s">
        <v>53</v>
      </c>
      <c r="C155" s="4" t="s">
        <v>57</v>
      </c>
      <c r="D155" s="265">
        <v>24</v>
      </c>
      <c r="E155" s="265">
        <v>17</v>
      </c>
      <c r="F155" s="265">
        <v>12</v>
      </c>
      <c r="G155" s="265">
        <v>10</v>
      </c>
      <c r="H155" s="265">
        <v>12</v>
      </c>
      <c r="I155" s="265">
        <v>9</v>
      </c>
      <c r="J155" s="265">
        <v>8</v>
      </c>
      <c r="K155" s="265">
        <v>13</v>
      </c>
      <c r="L155" s="265">
        <v>5</v>
      </c>
      <c r="M155" s="425">
        <v>23</v>
      </c>
      <c r="N155" s="265">
        <v>24</v>
      </c>
      <c r="O155" s="265">
        <v>12</v>
      </c>
      <c r="P155" s="31">
        <f t="shared" si="97"/>
        <v>169</v>
      </c>
    </row>
    <row r="156" spans="1:16" x14ac:dyDescent="0.3">
      <c r="A156" s="336"/>
      <c r="B156" s="18" t="s">
        <v>71</v>
      </c>
      <c r="C156" s="4" t="s">
        <v>57</v>
      </c>
      <c r="D156" s="265"/>
      <c r="E156" s="265"/>
      <c r="F156" s="265">
        <v>1</v>
      </c>
      <c r="G156" s="265">
        <v>1</v>
      </c>
      <c r="H156" s="265"/>
      <c r="I156" s="265">
        <v>1</v>
      </c>
      <c r="J156" s="265">
        <v>1</v>
      </c>
      <c r="K156" s="265">
        <v>1</v>
      </c>
      <c r="L156" s="265"/>
      <c r="M156" s="425">
        <v>6</v>
      </c>
      <c r="N156" s="265">
        <v>2</v>
      </c>
      <c r="O156" s="265">
        <v>2</v>
      </c>
      <c r="P156" s="31">
        <f t="shared" si="97"/>
        <v>15</v>
      </c>
    </row>
    <row r="157" spans="1:16" x14ac:dyDescent="0.3">
      <c r="A157" s="336"/>
      <c r="B157" s="18" t="s">
        <v>52</v>
      </c>
      <c r="C157" s="4" t="s">
        <v>57</v>
      </c>
      <c r="D157" s="265">
        <v>2</v>
      </c>
      <c r="E157" s="265">
        <v>6</v>
      </c>
      <c r="F157" s="265">
        <v>3</v>
      </c>
      <c r="G157" s="265">
        <v>2</v>
      </c>
      <c r="H157" s="265"/>
      <c r="I157" s="265">
        <v>4</v>
      </c>
      <c r="J157" s="265">
        <v>5</v>
      </c>
      <c r="K157" s="265">
        <v>5</v>
      </c>
      <c r="L157" s="265">
        <v>3</v>
      </c>
      <c r="M157" s="425">
        <v>14</v>
      </c>
      <c r="N157" s="265">
        <v>3</v>
      </c>
      <c r="O157" s="265"/>
      <c r="P157" s="31">
        <f t="shared" si="97"/>
        <v>47</v>
      </c>
    </row>
    <row r="158" spans="1:16" x14ac:dyDescent="0.3">
      <c r="A158" s="336"/>
      <c r="B158" s="18" t="s">
        <v>51</v>
      </c>
      <c r="C158" s="4" t="s">
        <v>57</v>
      </c>
      <c r="D158" s="265">
        <v>7</v>
      </c>
      <c r="E158" s="265">
        <v>7</v>
      </c>
      <c r="F158" s="265">
        <v>8</v>
      </c>
      <c r="G158" s="265">
        <v>3</v>
      </c>
      <c r="H158" s="265">
        <v>9</v>
      </c>
      <c r="I158" s="265">
        <v>10</v>
      </c>
      <c r="J158" s="265">
        <v>7</v>
      </c>
      <c r="K158" s="265">
        <v>8</v>
      </c>
      <c r="L158" s="265">
        <v>4</v>
      </c>
      <c r="M158" s="265"/>
      <c r="N158" s="265">
        <v>4</v>
      </c>
      <c r="O158" s="265">
        <v>7</v>
      </c>
      <c r="P158" s="31">
        <f t="shared" si="97"/>
        <v>74</v>
      </c>
    </row>
    <row r="159" spans="1:16" x14ac:dyDescent="0.3">
      <c r="A159" s="336"/>
      <c r="B159" s="18" t="s">
        <v>62</v>
      </c>
      <c r="C159" s="4" t="s">
        <v>57</v>
      </c>
      <c r="D159" s="265"/>
      <c r="E159" s="265"/>
      <c r="F159" s="265">
        <v>2</v>
      </c>
      <c r="G159" s="265">
        <v>0</v>
      </c>
      <c r="H159" s="265"/>
      <c r="I159" s="265">
        <v>1</v>
      </c>
      <c r="J159" s="265"/>
      <c r="K159" s="265"/>
      <c r="L159" s="265"/>
      <c r="M159" s="265"/>
      <c r="N159" s="265"/>
      <c r="O159" s="265"/>
      <c r="P159" s="31">
        <f t="shared" si="97"/>
        <v>3</v>
      </c>
    </row>
    <row r="160" spans="1:16" x14ac:dyDescent="0.3">
      <c r="A160" s="336"/>
      <c r="B160" s="18" t="s">
        <v>50</v>
      </c>
      <c r="C160" s="4" t="s">
        <v>57</v>
      </c>
      <c r="D160" s="265">
        <v>1</v>
      </c>
      <c r="E160" s="265"/>
      <c r="F160" s="265"/>
      <c r="G160" s="265"/>
      <c r="H160" s="265"/>
      <c r="I160" s="265"/>
      <c r="J160" s="265"/>
      <c r="K160" s="265">
        <v>1</v>
      </c>
      <c r="L160" s="265"/>
      <c r="M160" s="265"/>
      <c r="N160" s="265"/>
      <c r="O160" s="265"/>
      <c r="P160" s="31">
        <f t="shared" si="97"/>
        <v>2</v>
      </c>
    </row>
    <row r="161" spans="1:16" x14ac:dyDescent="0.3">
      <c r="A161" s="336"/>
      <c r="B161" s="18" t="s">
        <v>49</v>
      </c>
      <c r="C161" s="4" t="s">
        <v>57</v>
      </c>
      <c r="D161" s="265">
        <v>3</v>
      </c>
      <c r="E161" s="265"/>
      <c r="F161" s="265">
        <v>2</v>
      </c>
      <c r="G161" s="265">
        <v>1</v>
      </c>
      <c r="H161" s="265">
        <v>1</v>
      </c>
      <c r="I161" s="265">
        <v>1</v>
      </c>
      <c r="J161" s="265">
        <v>1</v>
      </c>
      <c r="K161" s="265">
        <v>2</v>
      </c>
      <c r="L161" s="265">
        <v>4</v>
      </c>
      <c r="M161" s="265"/>
      <c r="N161" s="265">
        <v>2</v>
      </c>
      <c r="O161" s="265"/>
      <c r="P161" s="31">
        <f t="shared" si="97"/>
        <v>17</v>
      </c>
    </row>
    <row r="162" spans="1:16" x14ac:dyDescent="0.3">
      <c r="A162" s="336"/>
      <c r="B162" s="18" t="s">
        <v>77</v>
      </c>
      <c r="C162" s="4" t="s">
        <v>57</v>
      </c>
      <c r="D162" s="265"/>
      <c r="E162" s="265"/>
      <c r="F162" s="265"/>
      <c r="G162" s="265"/>
      <c r="H162" s="265"/>
      <c r="I162" s="265">
        <v>3</v>
      </c>
      <c r="J162" s="265"/>
      <c r="K162" s="265">
        <v>2</v>
      </c>
      <c r="L162" s="265">
        <v>4</v>
      </c>
      <c r="M162" s="265"/>
      <c r="N162" s="265"/>
      <c r="O162" s="265"/>
      <c r="P162" s="31">
        <f t="shared" si="97"/>
        <v>9</v>
      </c>
    </row>
    <row r="163" spans="1:16" x14ac:dyDescent="0.3">
      <c r="A163" s="336"/>
      <c r="B163" s="18" t="s">
        <v>69</v>
      </c>
      <c r="C163" s="4" t="s">
        <v>57</v>
      </c>
      <c r="D163" s="265"/>
      <c r="E163" s="265"/>
      <c r="F163" s="265"/>
      <c r="G163" s="265"/>
      <c r="H163" s="265"/>
      <c r="I163" s="265">
        <v>4</v>
      </c>
      <c r="J163" s="265">
        <v>1</v>
      </c>
      <c r="K163" s="265"/>
      <c r="L163" s="265"/>
      <c r="M163" s="265"/>
      <c r="N163" s="265">
        <v>2</v>
      </c>
      <c r="O163" s="265"/>
      <c r="P163" s="31">
        <f t="shared" si="97"/>
        <v>7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31">
        <f t="shared" si="97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31">
        <f t="shared" si="97"/>
        <v>0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5"/>
      <c r="E167" s="265"/>
      <c r="F167" s="265"/>
      <c r="G167" s="265"/>
      <c r="H167" s="265"/>
      <c r="I167" s="265"/>
      <c r="J167" s="265"/>
      <c r="K167" s="265"/>
      <c r="L167" s="265"/>
      <c r="M167" s="265"/>
      <c r="N167" s="265"/>
      <c r="O167" s="265"/>
      <c r="P167" s="31">
        <f t="shared" ref="P167:P175" si="98">SUM(D167:O167)</f>
        <v>0</v>
      </c>
    </row>
    <row r="168" spans="1:16" x14ac:dyDescent="0.3">
      <c r="A168" s="336"/>
      <c r="B168" s="18" t="s">
        <v>73</v>
      </c>
      <c r="C168" s="4" t="s">
        <v>57</v>
      </c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31">
        <f t="shared" si="98"/>
        <v>0</v>
      </c>
    </row>
    <row r="169" spans="1:16" x14ac:dyDescent="0.3">
      <c r="A169" s="336"/>
      <c r="B169" s="18" t="s">
        <v>72</v>
      </c>
      <c r="C169" s="4" t="s">
        <v>57</v>
      </c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31">
        <f t="shared" si="98"/>
        <v>0</v>
      </c>
    </row>
    <row r="170" spans="1:16" x14ac:dyDescent="0.3">
      <c r="A170" s="336"/>
      <c r="B170" s="18" t="s">
        <v>71</v>
      </c>
      <c r="C170" s="4" t="s">
        <v>57</v>
      </c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31">
        <f t="shared" si="98"/>
        <v>0</v>
      </c>
    </row>
    <row r="171" spans="1:16" x14ac:dyDescent="0.3">
      <c r="A171" s="336"/>
      <c r="B171" s="18" t="s">
        <v>52</v>
      </c>
      <c r="C171" s="4" t="s">
        <v>57</v>
      </c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31">
        <f t="shared" si="98"/>
        <v>0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98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98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98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98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99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99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99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99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99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99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x14ac:dyDescent="0.3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91">
        <f>SUM(D153:D192)</f>
        <v>180</v>
      </c>
      <c r="E193" s="291">
        <f t="shared" ref="E193:O193" si="100">SUM(E153:E192)</f>
        <v>235</v>
      </c>
      <c r="F193" s="291">
        <f t="shared" si="100"/>
        <v>199</v>
      </c>
      <c r="G193" s="291">
        <f t="shared" si="100"/>
        <v>196</v>
      </c>
      <c r="H193" s="291">
        <f t="shared" si="100"/>
        <v>233</v>
      </c>
      <c r="I193" s="291">
        <f t="shared" si="100"/>
        <v>212</v>
      </c>
      <c r="J193" s="291">
        <f t="shared" si="100"/>
        <v>149</v>
      </c>
      <c r="K193" s="291">
        <f t="shared" si="100"/>
        <v>210</v>
      </c>
      <c r="L193" s="291">
        <f t="shared" si="100"/>
        <v>120</v>
      </c>
      <c r="M193" s="291">
        <f t="shared" si="100"/>
        <v>225</v>
      </c>
      <c r="N193" s="291">
        <f t="shared" si="100"/>
        <v>163</v>
      </c>
      <c r="O193" s="291">
        <f t="shared" si="100"/>
        <v>113</v>
      </c>
      <c r="P193" s="266">
        <f t="shared" ref="P193" si="101">SUM(P153:P192)</f>
        <v>2235</v>
      </c>
    </row>
    <row r="194" spans="1:16" x14ac:dyDescent="0.3">
      <c r="A194" s="316" t="s">
        <v>58</v>
      </c>
      <c r="B194" s="338"/>
      <c r="C194" s="4" t="s">
        <v>57</v>
      </c>
      <c r="D194" s="265">
        <v>0</v>
      </c>
      <c r="E194" s="265">
        <v>0</v>
      </c>
      <c r="F194" s="265">
        <v>0</v>
      </c>
      <c r="G194" s="265">
        <v>0</v>
      </c>
      <c r="H194" s="265">
        <v>0</v>
      </c>
      <c r="I194" s="265">
        <v>0</v>
      </c>
      <c r="J194" s="265"/>
      <c r="K194" s="265"/>
      <c r="L194" s="265"/>
      <c r="M194" s="265"/>
      <c r="N194" s="265"/>
      <c r="O194" s="265"/>
      <c r="P194" s="34">
        <f>SUM(D194:O194)</f>
        <v>0</v>
      </c>
    </row>
    <row r="195" spans="1:16" x14ac:dyDescent="0.3">
      <c r="A195" s="318"/>
      <c r="B195" s="339"/>
      <c r="C195" s="14" t="s">
        <v>55</v>
      </c>
      <c r="D195" s="265">
        <v>0</v>
      </c>
      <c r="E195" s="265">
        <v>0</v>
      </c>
      <c r="F195" s="265">
        <v>0</v>
      </c>
      <c r="G195" s="265">
        <v>0</v>
      </c>
      <c r="H195" s="265">
        <v>0</v>
      </c>
      <c r="I195" s="265">
        <v>0</v>
      </c>
      <c r="J195" s="265"/>
      <c r="K195" s="265"/>
      <c r="L195" s="265"/>
      <c r="M195" s="265"/>
      <c r="N195" s="265"/>
      <c r="O195" s="265"/>
      <c r="P195" s="34">
        <f>SUM(D195:O195)</f>
        <v>0</v>
      </c>
    </row>
    <row r="196" spans="1:16" x14ac:dyDescent="0.3">
      <c r="A196" s="292" t="s">
        <v>204</v>
      </c>
      <c r="B196" s="293"/>
      <c r="C196" s="14" t="s">
        <v>55</v>
      </c>
      <c r="D196" s="265">
        <v>72</v>
      </c>
      <c r="E196" s="265">
        <v>520</v>
      </c>
      <c r="F196" s="265">
        <v>504</v>
      </c>
      <c r="G196" s="265">
        <v>520</v>
      </c>
      <c r="H196" s="265">
        <v>504</v>
      </c>
      <c r="I196" s="265">
        <v>520</v>
      </c>
      <c r="J196" s="265">
        <v>372</v>
      </c>
      <c r="K196" s="265">
        <v>520</v>
      </c>
      <c r="L196" s="265">
        <v>644</v>
      </c>
      <c r="M196" s="425">
        <v>468</v>
      </c>
      <c r="N196" s="265">
        <v>540</v>
      </c>
      <c r="O196" s="265">
        <v>480</v>
      </c>
      <c r="P196" s="34">
        <f>SUM(D196:O196)/12</f>
        <v>472</v>
      </c>
    </row>
    <row r="197" spans="1:16" x14ac:dyDescent="0.3">
      <c r="A197" s="312" t="s">
        <v>56</v>
      </c>
      <c r="B197" s="313"/>
      <c r="C197" s="14" t="s">
        <v>55</v>
      </c>
      <c r="D197" s="265">
        <v>503.99999999999989</v>
      </c>
      <c r="E197" s="265">
        <v>7</v>
      </c>
      <c r="F197" s="265">
        <v>36</v>
      </c>
      <c r="G197" s="265">
        <v>5</v>
      </c>
      <c r="H197" s="265">
        <v>3</v>
      </c>
      <c r="I197" s="265">
        <v>3</v>
      </c>
      <c r="J197" s="265">
        <v>10</v>
      </c>
      <c r="K197" s="265">
        <v>30</v>
      </c>
      <c r="L197" s="265">
        <v>88</v>
      </c>
      <c r="M197" s="425">
        <v>54</v>
      </c>
      <c r="N197" s="265">
        <v>62</v>
      </c>
      <c r="O197" s="265">
        <v>52</v>
      </c>
      <c r="P197" s="34">
        <f>SUM(D197:O197)</f>
        <v>853.99999999999989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>
        <v>390</v>
      </c>
      <c r="P199" s="34">
        <f t="shared" ref="P199:P204" si="102">SUM(D199:O199)</f>
        <v>390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/>
      <c r="G200" s="265"/>
      <c r="H200" s="265"/>
      <c r="I200" s="265"/>
      <c r="J200" s="265"/>
      <c r="K200" s="265"/>
      <c r="L200" s="265"/>
      <c r="M200" s="425">
        <v>372</v>
      </c>
      <c r="N200" s="265">
        <v>356</v>
      </c>
      <c r="O200" s="265"/>
      <c r="P200" s="34">
        <f t="shared" si="102"/>
        <v>728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/>
      <c r="G201" s="265"/>
      <c r="H201" s="265"/>
      <c r="I201" s="265"/>
      <c r="J201" s="265"/>
      <c r="K201" s="265"/>
      <c r="L201" s="265">
        <v>18</v>
      </c>
      <c r="M201" s="425"/>
      <c r="N201" s="265"/>
      <c r="O201" s="265"/>
      <c r="P201" s="34">
        <f t="shared" si="102"/>
        <v>18</v>
      </c>
    </row>
    <row r="202" spans="1:16" x14ac:dyDescent="0.3">
      <c r="A202" s="317"/>
      <c r="B202" s="249" t="s">
        <v>50</v>
      </c>
      <c r="C202" s="4" t="s">
        <v>47</v>
      </c>
      <c r="D202" s="265"/>
      <c r="E202" s="265"/>
      <c r="F202" s="265"/>
      <c r="G202" s="265"/>
      <c r="H202" s="265"/>
      <c r="I202" s="265"/>
      <c r="J202" s="265"/>
      <c r="K202" s="265"/>
      <c r="L202" s="265"/>
      <c r="M202" s="425">
        <v>66</v>
      </c>
      <c r="N202" s="265">
        <v>24</v>
      </c>
      <c r="O202" s="265"/>
      <c r="P202" s="34">
        <f t="shared" si="102"/>
        <v>90</v>
      </c>
    </row>
    <row r="203" spans="1:16" x14ac:dyDescent="0.3">
      <c r="A203" s="318"/>
      <c r="B203" s="249" t="s">
        <v>49</v>
      </c>
      <c r="C203" s="4" t="s">
        <v>47</v>
      </c>
      <c r="D203" s="265"/>
      <c r="E203" s="265"/>
      <c r="F203" s="265"/>
      <c r="G203" s="265"/>
      <c r="H203" s="265"/>
      <c r="I203" s="265"/>
      <c r="J203" s="265"/>
      <c r="K203" s="265"/>
      <c r="L203" s="265">
        <v>180</v>
      </c>
      <c r="M203" s="265"/>
      <c r="N203" s="265"/>
      <c r="O203" s="265">
        <v>150</v>
      </c>
      <c r="P203" s="34">
        <f t="shared" si="102"/>
        <v>330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" si="103">SUM(D199:D203)</f>
        <v>0</v>
      </c>
      <c r="E204" s="261">
        <f t="shared" ref="E204:O204" si="104">SUM(E199:E203)</f>
        <v>0</v>
      </c>
      <c r="F204" s="261">
        <f t="shared" si="104"/>
        <v>0</v>
      </c>
      <c r="G204" s="261">
        <f t="shared" si="104"/>
        <v>0</v>
      </c>
      <c r="H204" s="261">
        <f t="shared" si="104"/>
        <v>0</v>
      </c>
      <c r="I204" s="261">
        <f t="shared" si="104"/>
        <v>0</v>
      </c>
      <c r="J204" s="261">
        <f t="shared" si="104"/>
        <v>0</v>
      </c>
      <c r="K204" s="261">
        <f t="shared" si="104"/>
        <v>0</v>
      </c>
      <c r="L204" s="261">
        <f t="shared" si="104"/>
        <v>198</v>
      </c>
      <c r="M204" s="261">
        <f t="shared" si="104"/>
        <v>438</v>
      </c>
      <c r="N204" s="261">
        <f t="shared" si="104"/>
        <v>380</v>
      </c>
      <c r="O204" s="261">
        <f t="shared" si="104"/>
        <v>540</v>
      </c>
      <c r="P204" s="99">
        <f t="shared" si="102"/>
        <v>1556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2">
        <v>17408596.219999999</v>
      </c>
      <c r="E206" s="262">
        <v>37173791.259999998</v>
      </c>
      <c r="F206" s="262">
        <v>56748775.399999999</v>
      </c>
      <c r="G206" s="262">
        <v>23307259.919999998</v>
      </c>
      <c r="H206" s="262">
        <v>27549690.960000001</v>
      </c>
      <c r="I206" s="262">
        <v>21691980.350000001</v>
      </c>
      <c r="J206" s="262">
        <v>17523447.91</v>
      </c>
      <c r="K206" s="262">
        <v>19268979.989999998</v>
      </c>
      <c r="L206" s="262">
        <v>30042506.010000002</v>
      </c>
      <c r="M206" s="424">
        <v>24140238.98</v>
      </c>
      <c r="N206" s="262">
        <v>15822772.59</v>
      </c>
      <c r="O206" s="262">
        <v>25246524.48</v>
      </c>
      <c r="P206" s="34">
        <f>SUM(D206:O206)</f>
        <v>315924564.06999999</v>
      </c>
    </row>
    <row r="207" spans="1:16" x14ac:dyDescent="0.3">
      <c r="A207" s="312" t="s">
        <v>42</v>
      </c>
      <c r="B207" s="313"/>
      <c r="C207" s="4" t="s">
        <v>31</v>
      </c>
      <c r="D207" s="262">
        <v>178300</v>
      </c>
      <c r="E207" s="262">
        <v>175400</v>
      </c>
      <c r="F207" s="262">
        <v>315300</v>
      </c>
      <c r="G207" s="262">
        <v>263000</v>
      </c>
      <c r="H207" s="262">
        <v>210800</v>
      </c>
      <c r="I207" s="262">
        <v>176267.22</v>
      </c>
      <c r="J207" s="262">
        <v>148100</v>
      </c>
      <c r="K207" s="262">
        <v>91000</v>
      </c>
      <c r="L207" s="262">
        <v>130400</v>
      </c>
      <c r="M207" s="424">
        <v>184000</v>
      </c>
      <c r="N207" s="262">
        <v>104000</v>
      </c>
      <c r="O207" s="262">
        <v>63100</v>
      </c>
      <c r="P207" s="34">
        <f>SUM(D207:O207)</f>
        <v>2039667.22</v>
      </c>
    </row>
    <row r="208" spans="1:16" x14ac:dyDescent="0.3">
      <c r="A208" s="319" t="s">
        <v>41</v>
      </c>
      <c r="B208" s="320"/>
      <c r="C208" s="4" t="s">
        <v>31</v>
      </c>
      <c r="D208" s="262">
        <v>16000</v>
      </c>
      <c r="E208" s="262">
        <v>0</v>
      </c>
      <c r="F208" s="262">
        <v>38600</v>
      </c>
      <c r="G208" s="262">
        <v>61000</v>
      </c>
      <c r="H208" s="262">
        <v>67.22</v>
      </c>
      <c r="I208" s="262">
        <v>350067.22</v>
      </c>
      <c r="J208" s="262">
        <v>28900</v>
      </c>
      <c r="K208" s="262"/>
      <c r="L208" s="262">
        <v>65850</v>
      </c>
      <c r="M208" s="424">
        <v>14000</v>
      </c>
      <c r="N208" s="262">
        <v>34700</v>
      </c>
      <c r="O208" s="262">
        <v>60000</v>
      </c>
      <c r="P208" s="34">
        <f>SUM(D208:O208)</f>
        <v>669184.43999999994</v>
      </c>
    </row>
    <row r="209" spans="1:16" x14ac:dyDescent="0.3">
      <c r="A209" s="312" t="s">
        <v>40</v>
      </c>
      <c r="B209" s="313"/>
      <c r="C209" s="4" t="s">
        <v>31</v>
      </c>
      <c r="D209" s="262">
        <v>26000</v>
      </c>
      <c r="E209" s="262">
        <v>52800</v>
      </c>
      <c r="F209" s="262">
        <v>301267.21999999997</v>
      </c>
      <c r="G209" s="262">
        <v>89200</v>
      </c>
      <c r="H209" s="262">
        <v>104867.22</v>
      </c>
      <c r="I209" s="262">
        <v>67000</v>
      </c>
      <c r="J209" s="262"/>
      <c r="K209" s="262"/>
      <c r="L209" s="262">
        <v>32000</v>
      </c>
      <c r="M209" s="424">
        <v>77000</v>
      </c>
      <c r="N209" s="262">
        <v>364867.22</v>
      </c>
      <c r="O209" s="262">
        <v>247867.22</v>
      </c>
      <c r="P209" s="34">
        <f>SUM(D209:O209)</f>
        <v>1362868.88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" si="105">SUM(D206:D209)</f>
        <v>17628896.219999999</v>
      </c>
      <c r="E210" s="291">
        <f t="shared" ref="E210:O210" si="106">SUM(E206:E209)</f>
        <v>37401991.259999998</v>
      </c>
      <c r="F210" s="291">
        <f t="shared" si="106"/>
        <v>57403942.619999997</v>
      </c>
      <c r="G210" s="291">
        <f t="shared" si="106"/>
        <v>23720459.919999998</v>
      </c>
      <c r="H210" s="291">
        <f t="shared" si="106"/>
        <v>27865425.399999999</v>
      </c>
      <c r="I210" s="291">
        <f t="shared" si="106"/>
        <v>22285314.789999999</v>
      </c>
      <c r="J210" s="291">
        <f t="shared" si="106"/>
        <v>17700447.91</v>
      </c>
      <c r="K210" s="291">
        <f t="shared" si="106"/>
        <v>19359979.989999998</v>
      </c>
      <c r="L210" s="291">
        <f t="shared" si="106"/>
        <v>30270756.010000002</v>
      </c>
      <c r="M210" s="291">
        <f t="shared" si="106"/>
        <v>24415238.98</v>
      </c>
      <c r="N210" s="291">
        <f t="shared" si="106"/>
        <v>16326339.810000001</v>
      </c>
      <c r="O210" s="291">
        <f t="shared" si="106"/>
        <v>25617491.699999999</v>
      </c>
      <c r="P210" s="34">
        <f>SUM(D210:O210)</f>
        <v>319996284.60999995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2">
        <v>12283137.699999999</v>
      </c>
      <c r="E212" s="262">
        <v>12632085.33</v>
      </c>
      <c r="F212" s="262">
        <v>14435291.930000009</v>
      </c>
      <c r="G212" s="262">
        <v>18306154.350000098</v>
      </c>
      <c r="H212" s="262">
        <v>18757805.719999999</v>
      </c>
      <c r="I212" s="262">
        <v>26130021.609999999</v>
      </c>
      <c r="J212" s="262">
        <v>19671907.16</v>
      </c>
      <c r="K212" s="262">
        <v>23183278.640000001</v>
      </c>
      <c r="L212" s="262">
        <v>23832533.76000002</v>
      </c>
      <c r="M212" s="424">
        <v>20269195.030000001</v>
      </c>
      <c r="N212" s="262">
        <v>15836709.49</v>
      </c>
      <c r="O212" s="262">
        <v>19444708.239999998</v>
      </c>
      <c r="P212" s="34">
        <f>SUM(D212:O212)</f>
        <v>224782828.96000016</v>
      </c>
    </row>
    <row r="213" spans="1:16" x14ac:dyDescent="0.3">
      <c r="A213" s="312" t="s">
        <v>42</v>
      </c>
      <c r="B213" s="313"/>
      <c r="C213" s="4" t="s">
        <v>31</v>
      </c>
      <c r="D213" s="262">
        <v>9324.64</v>
      </c>
      <c r="E213" s="262">
        <v>25100</v>
      </c>
      <c r="F213" s="262">
        <v>26845.879999999997</v>
      </c>
      <c r="G213" s="262">
        <v>56900</v>
      </c>
      <c r="H213" s="262">
        <v>83000</v>
      </c>
      <c r="I213" s="262">
        <v>154524.64000000001</v>
      </c>
      <c r="J213" s="262">
        <v>103500</v>
      </c>
      <c r="K213" s="262">
        <v>26700</v>
      </c>
      <c r="L213" s="262">
        <v>26200</v>
      </c>
      <c r="M213" s="424">
        <v>81700</v>
      </c>
      <c r="N213" s="262">
        <v>42260</v>
      </c>
      <c r="O213" s="262">
        <v>62580</v>
      </c>
      <c r="P213" s="34">
        <f>SUM(D213:O213)</f>
        <v>698635.16</v>
      </c>
    </row>
    <row r="214" spans="1:16" x14ac:dyDescent="0.3">
      <c r="A214" s="319" t="s">
        <v>41</v>
      </c>
      <c r="B214" s="320"/>
      <c r="C214" s="4" t="s">
        <v>31</v>
      </c>
      <c r="D214" s="262">
        <v>1687222.81</v>
      </c>
      <c r="E214" s="262">
        <v>2809910.11</v>
      </c>
      <c r="F214" s="262">
        <v>3326633.1100000003</v>
      </c>
      <c r="G214" s="262">
        <v>2836450</v>
      </c>
      <c r="H214" s="262">
        <v>2867900</v>
      </c>
      <c r="I214" s="262">
        <v>2554072.81</v>
      </c>
      <c r="J214" s="262">
        <v>2239345.62</v>
      </c>
      <c r="K214" s="262">
        <v>2530375</v>
      </c>
      <c r="L214" s="262">
        <v>2181528.09</v>
      </c>
      <c r="M214" s="424">
        <v>2720500</v>
      </c>
      <c r="N214" s="262">
        <v>4763717.47</v>
      </c>
      <c r="O214" s="262">
        <v>1542422.81</v>
      </c>
      <c r="P214" s="34">
        <f>SUM(D214:O214)</f>
        <v>32060077.829999998</v>
      </c>
    </row>
    <row r="215" spans="1:16" x14ac:dyDescent="0.3">
      <c r="A215" s="312" t="s">
        <v>40</v>
      </c>
      <c r="B215" s="313"/>
      <c r="C215" s="4" t="s">
        <v>31</v>
      </c>
      <c r="D215" s="262">
        <v>4930154.2499999991</v>
      </c>
      <c r="E215" s="262">
        <v>2466546.38</v>
      </c>
      <c r="F215" s="262">
        <v>2412218.54</v>
      </c>
      <c r="G215" s="262">
        <v>3510164.78</v>
      </c>
      <c r="H215" s="262">
        <v>2799507</v>
      </c>
      <c r="I215" s="262">
        <v>3803513.85</v>
      </c>
      <c r="J215" s="262">
        <v>4819623.95</v>
      </c>
      <c r="K215" s="262">
        <v>4358291.1499999901</v>
      </c>
      <c r="L215" s="262">
        <v>2906763.79</v>
      </c>
      <c r="M215" s="424">
        <v>3334136.33</v>
      </c>
      <c r="N215" s="262">
        <v>1951714.6</v>
      </c>
      <c r="O215" s="262">
        <v>2898400</v>
      </c>
      <c r="P215" s="34">
        <f>SUM(D215:O215)</f>
        <v>40191034.61999999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" si="107">SUM(D212:D215)</f>
        <v>18909839.399999999</v>
      </c>
      <c r="E216" s="291">
        <f t="shared" ref="E216:O216" si="108">SUM(E212:E215)</f>
        <v>17933641.82</v>
      </c>
      <c r="F216" s="291">
        <f t="shared" si="108"/>
        <v>20200989.460000008</v>
      </c>
      <c r="G216" s="291">
        <f t="shared" si="108"/>
        <v>24709669.1300001</v>
      </c>
      <c r="H216" s="291">
        <f t="shared" si="108"/>
        <v>24508212.719999999</v>
      </c>
      <c r="I216" s="291">
        <f t="shared" si="108"/>
        <v>32642132.91</v>
      </c>
      <c r="J216" s="291">
        <f t="shared" si="108"/>
        <v>26834376.73</v>
      </c>
      <c r="K216" s="291">
        <f t="shared" si="108"/>
        <v>30098644.789999992</v>
      </c>
      <c r="L216" s="291">
        <f t="shared" si="108"/>
        <v>28947025.640000019</v>
      </c>
      <c r="M216" s="291">
        <f t="shared" si="108"/>
        <v>26405531.359999999</v>
      </c>
      <c r="N216" s="291">
        <f t="shared" si="108"/>
        <v>22594401.560000002</v>
      </c>
      <c r="O216" s="291">
        <f t="shared" si="108"/>
        <v>23948111.049999997</v>
      </c>
      <c r="P216" s="34">
        <f>SUM(D216:O216)</f>
        <v>297732576.57000011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36538735.619999997</v>
      </c>
      <c r="E217" s="291">
        <f t="shared" ref="E217:O217" si="109">E210+E216</f>
        <v>55335633.079999998</v>
      </c>
      <c r="F217" s="291">
        <f t="shared" si="109"/>
        <v>77604932.080000013</v>
      </c>
      <c r="G217" s="291">
        <f t="shared" si="109"/>
        <v>48430129.050000101</v>
      </c>
      <c r="H217" s="291">
        <f t="shared" si="109"/>
        <v>52373638.119999997</v>
      </c>
      <c r="I217" s="291">
        <f t="shared" si="109"/>
        <v>54927447.700000003</v>
      </c>
      <c r="J217" s="291">
        <f t="shared" si="109"/>
        <v>44534824.640000001</v>
      </c>
      <c r="K217" s="291">
        <f t="shared" si="109"/>
        <v>49458624.779999986</v>
      </c>
      <c r="L217" s="291">
        <f t="shared" si="109"/>
        <v>59217781.650000021</v>
      </c>
      <c r="M217" s="291">
        <f t="shared" si="109"/>
        <v>50820770.340000004</v>
      </c>
      <c r="N217" s="291">
        <f t="shared" si="109"/>
        <v>38920741.370000005</v>
      </c>
      <c r="O217" s="291">
        <f t="shared" si="109"/>
        <v>49565602.75</v>
      </c>
      <c r="P217" s="266">
        <f t="shared" ref="P217" si="110">P210+P216</f>
        <v>617728861.18000007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2">
        <v>24219711.5</v>
      </c>
      <c r="E219" s="262">
        <v>18210957.980000298</v>
      </c>
      <c r="F219" s="262">
        <v>17754700.489999998</v>
      </c>
      <c r="G219" s="262">
        <v>23938309.829999998</v>
      </c>
      <c r="H219" s="262">
        <v>18832106.120000001</v>
      </c>
      <c r="I219" s="262">
        <v>24186378.670000002</v>
      </c>
      <c r="J219" s="262">
        <v>17807809.379999999</v>
      </c>
      <c r="K219" s="262">
        <v>17976586.170000002</v>
      </c>
      <c r="L219" s="262">
        <v>17732945.98</v>
      </c>
      <c r="M219" s="424">
        <v>16119351.050000001</v>
      </c>
      <c r="N219" s="262">
        <v>20211627.75</v>
      </c>
      <c r="O219" s="262">
        <v>17559719.66</v>
      </c>
      <c r="P219" s="34">
        <f>SUM(D219:O219)</f>
        <v>234550204.58000028</v>
      </c>
    </row>
    <row r="220" spans="1:16" x14ac:dyDescent="0.3">
      <c r="A220" s="312" t="s">
        <v>34</v>
      </c>
      <c r="B220" s="313"/>
      <c r="C220" s="4" t="s">
        <v>31</v>
      </c>
      <c r="D220" s="262">
        <v>183246.24</v>
      </c>
      <c r="E220" s="262">
        <v>136573.92000000001</v>
      </c>
      <c r="F220" s="262">
        <v>121080.24</v>
      </c>
      <c r="G220" s="262">
        <v>196635.84</v>
      </c>
      <c r="H220" s="262">
        <v>147668.16</v>
      </c>
      <c r="I220" s="262">
        <v>219398.16</v>
      </c>
      <c r="J220" s="262">
        <v>154745.51999999999</v>
      </c>
      <c r="K220" s="262">
        <v>141164.64000000001</v>
      </c>
      <c r="L220" s="262">
        <v>126244.8</v>
      </c>
      <c r="M220" s="424">
        <v>127392.48</v>
      </c>
      <c r="N220" s="262">
        <v>70008.479999999996</v>
      </c>
      <c r="O220" s="262">
        <v>93535.92</v>
      </c>
      <c r="P220" s="34">
        <f>SUM(D220:O220)</f>
        <v>1717694.4000000001</v>
      </c>
    </row>
    <row r="221" spans="1:16" x14ac:dyDescent="0.3">
      <c r="A221" s="312" t="s">
        <v>33</v>
      </c>
      <c r="B221" s="313"/>
      <c r="C221" s="4" t="s">
        <v>31</v>
      </c>
      <c r="D221" s="262">
        <v>280474.64</v>
      </c>
      <c r="E221" s="262">
        <v>262007.18</v>
      </c>
      <c r="F221" s="262">
        <v>266087.19</v>
      </c>
      <c r="G221" s="262">
        <v>313271.24</v>
      </c>
      <c r="H221" s="262">
        <v>283790.59999999998</v>
      </c>
      <c r="I221" s="262">
        <v>364727.96</v>
      </c>
      <c r="J221" s="262">
        <v>277155.21999999997</v>
      </c>
      <c r="K221" s="262">
        <v>207889.96</v>
      </c>
      <c r="L221" s="262">
        <v>228676.05</v>
      </c>
      <c r="M221" s="424">
        <v>324859.8</v>
      </c>
      <c r="N221" s="262">
        <v>137731.6</v>
      </c>
      <c r="O221" s="262">
        <v>175575.51</v>
      </c>
      <c r="P221" s="34">
        <f>SUM(D221:O221)</f>
        <v>3122246.95</v>
      </c>
    </row>
    <row r="222" spans="1:16" x14ac:dyDescent="0.3">
      <c r="A222" s="312" t="s">
        <v>32</v>
      </c>
      <c r="B222" s="313"/>
      <c r="C222" s="4" t="s">
        <v>31</v>
      </c>
      <c r="D222" s="262">
        <v>32821.449999999997</v>
      </c>
      <c r="E222" s="262">
        <v>8410.99</v>
      </c>
      <c r="F222" s="262">
        <v>8410.99</v>
      </c>
      <c r="G222" s="262">
        <v>254121.01</v>
      </c>
      <c r="H222" s="262">
        <v>30364.54</v>
      </c>
      <c r="I222" s="262">
        <v>15182.27</v>
      </c>
      <c r="J222" s="262">
        <v>8410.99</v>
      </c>
      <c r="K222" s="262">
        <v>20207.62</v>
      </c>
      <c r="L222" s="262">
        <v>20207.62</v>
      </c>
      <c r="M222" s="424">
        <v>32004.25</v>
      </c>
      <c r="N222" s="262">
        <v>25232.97</v>
      </c>
      <c r="O222" s="262">
        <v>16821.98</v>
      </c>
      <c r="P222" s="34">
        <f>SUM(D222:O222)</f>
        <v>472196.67999999993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" si="111">SUM(D219:D222)</f>
        <v>24716253.829999998</v>
      </c>
      <c r="E223" s="296">
        <f t="shared" ref="E223:O223" si="112">SUM(E219:E222)</f>
        <v>18617950.070000298</v>
      </c>
      <c r="F223" s="296">
        <f t="shared" si="112"/>
        <v>18150278.909999996</v>
      </c>
      <c r="G223" s="296">
        <f t="shared" si="112"/>
        <v>24702337.919999998</v>
      </c>
      <c r="H223" s="296">
        <f t="shared" si="112"/>
        <v>19293929.420000002</v>
      </c>
      <c r="I223" s="296">
        <f t="shared" si="112"/>
        <v>24785687.060000002</v>
      </c>
      <c r="J223" s="296">
        <f t="shared" si="112"/>
        <v>18248121.109999996</v>
      </c>
      <c r="K223" s="296">
        <f t="shared" si="112"/>
        <v>18345848.390000004</v>
      </c>
      <c r="L223" s="296">
        <f t="shared" si="112"/>
        <v>18108074.450000003</v>
      </c>
      <c r="M223" s="296">
        <f t="shared" si="112"/>
        <v>16603607.580000002</v>
      </c>
      <c r="N223" s="296">
        <f t="shared" si="112"/>
        <v>20444600.800000001</v>
      </c>
      <c r="O223" s="296">
        <f t="shared" si="112"/>
        <v>17845653.070000004</v>
      </c>
      <c r="P223" s="34">
        <f>SUM(D223:O223)</f>
        <v>239862342.61000034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9" x14ac:dyDescent="0.3">
      <c r="A225" s="312" t="s">
        <v>35</v>
      </c>
      <c r="B225" s="313"/>
      <c r="C225" s="4" t="s">
        <v>31</v>
      </c>
      <c r="D225" s="262">
        <v>11979413.080000008</v>
      </c>
      <c r="E225" s="262">
        <v>12288690.50000002</v>
      </c>
      <c r="F225" s="262">
        <v>14014136.870000008</v>
      </c>
      <c r="G225" s="262">
        <v>17872550.310000088</v>
      </c>
      <c r="H225" s="262">
        <v>17520114.160000034</v>
      </c>
      <c r="I225" s="262">
        <v>20822944.670000009</v>
      </c>
      <c r="J225" s="262">
        <v>15820117.340000005</v>
      </c>
      <c r="K225" s="262">
        <v>17342171.590000026</v>
      </c>
      <c r="L225" s="262">
        <v>18795694.940000009</v>
      </c>
      <c r="M225" s="262">
        <v>17307497.230000008</v>
      </c>
      <c r="N225" s="262">
        <v>14156304.250000015</v>
      </c>
      <c r="O225" s="262">
        <v>17700982.000000034</v>
      </c>
      <c r="P225" s="34">
        <f t="shared" ref="P225:P230" si="113">SUM(D225:O225)</f>
        <v>195620616.94000027</v>
      </c>
    </row>
    <row r="226" spans="1:19" x14ac:dyDescent="0.3">
      <c r="A226" s="312" t="s">
        <v>34</v>
      </c>
      <c r="B226" s="313"/>
      <c r="C226" s="4" t="s">
        <v>31</v>
      </c>
      <c r="D226" s="262">
        <v>9324.64</v>
      </c>
      <c r="E226" s="262">
        <v>25100</v>
      </c>
      <c r="F226" s="262">
        <v>26845.879999999997</v>
      </c>
      <c r="G226" s="262">
        <v>56900</v>
      </c>
      <c r="H226" s="262">
        <v>75740</v>
      </c>
      <c r="I226" s="262">
        <v>94988.87</v>
      </c>
      <c r="J226" s="262">
        <v>82260</v>
      </c>
      <c r="K226" s="262">
        <v>26700</v>
      </c>
      <c r="L226" s="262">
        <v>26200</v>
      </c>
      <c r="M226" s="262">
        <v>59680</v>
      </c>
      <c r="N226" s="262">
        <v>27380</v>
      </c>
      <c r="O226" s="262">
        <v>45486</v>
      </c>
      <c r="P226" s="34">
        <f t="shared" si="113"/>
        <v>556605.39</v>
      </c>
    </row>
    <row r="227" spans="1:19" x14ac:dyDescent="0.3">
      <c r="A227" s="312" t="s">
        <v>33</v>
      </c>
      <c r="B227" s="313"/>
      <c r="C227" s="4" t="s">
        <v>31</v>
      </c>
      <c r="D227" s="262">
        <v>4896554.2499999991</v>
      </c>
      <c r="E227" s="262">
        <v>2185987.2800000003</v>
      </c>
      <c r="F227" s="262">
        <v>2119718.54</v>
      </c>
      <c r="G227" s="262">
        <v>3229537.6100000003</v>
      </c>
      <c r="H227" s="262">
        <v>2486071.8199999998</v>
      </c>
      <c r="I227" s="262">
        <v>3314638.1699999995</v>
      </c>
      <c r="J227" s="262">
        <v>4303436.540000001</v>
      </c>
      <c r="K227" s="262">
        <v>3796225.73</v>
      </c>
      <c r="L227" s="262">
        <v>2489367.88</v>
      </c>
      <c r="M227" s="262">
        <v>2925000.31</v>
      </c>
      <c r="N227" s="262">
        <v>1942714.6</v>
      </c>
      <c r="O227" s="262">
        <v>2867320</v>
      </c>
      <c r="P227" s="34">
        <f t="shared" si="113"/>
        <v>36556572.729999997</v>
      </c>
    </row>
    <row r="228" spans="1:19" x14ac:dyDescent="0.3">
      <c r="A228" s="312" t="s">
        <v>32</v>
      </c>
      <c r="B228" s="313"/>
      <c r="C228" s="4" t="s">
        <v>31</v>
      </c>
      <c r="D228" s="262">
        <v>1660222.81</v>
      </c>
      <c r="E228" s="262">
        <v>2797200.9</v>
      </c>
      <c r="F228" s="262">
        <v>3274923.9000000004</v>
      </c>
      <c r="G228" s="262">
        <v>2752750</v>
      </c>
      <c r="H228" s="262">
        <v>2760500</v>
      </c>
      <c r="I228" s="262">
        <v>2436112.81</v>
      </c>
      <c r="J228" s="262">
        <v>2122875.7800000003</v>
      </c>
      <c r="K228" s="262">
        <v>2257321.6100000003</v>
      </c>
      <c r="L228" s="262">
        <v>2055485.7200000002</v>
      </c>
      <c r="M228" s="262">
        <v>2671960</v>
      </c>
      <c r="N228" s="262">
        <v>4743083.41</v>
      </c>
      <c r="O228" s="262">
        <v>1503002.81</v>
      </c>
      <c r="P228" s="34">
        <f t="shared" si="113"/>
        <v>31035439.749999996</v>
      </c>
    </row>
    <row r="229" spans="1:19" x14ac:dyDescent="0.3">
      <c r="A229" s="314" t="s">
        <v>214</v>
      </c>
      <c r="B229" s="315"/>
      <c r="C229" s="4" t="s">
        <v>31</v>
      </c>
      <c r="D229" s="296">
        <f t="shared" ref="D229" si="114">SUM(D225:D228)</f>
        <v>18545514.780000005</v>
      </c>
      <c r="E229" s="296">
        <f t="shared" ref="E229:O229" si="115">SUM(E225:E228)</f>
        <v>17296978.680000018</v>
      </c>
      <c r="F229" s="296">
        <f t="shared" si="115"/>
        <v>19435625.190000013</v>
      </c>
      <c r="G229" s="296">
        <f t="shared" si="115"/>
        <v>23911737.920000087</v>
      </c>
      <c r="H229" s="296">
        <f t="shared" si="115"/>
        <v>22842425.980000034</v>
      </c>
      <c r="I229" s="296">
        <f t="shared" si="115"/>
        <v>26668684.520000007</v>
      </c>
      <c r="J229" s="296">
        <f t="shared" si="115"/>
        <v>22328689.660000008</v>
      </c>
      <c r="K229" s="296">
        <f t="shared" si="115"/>
        <v>23422418.930000026</v>
      </c>
      <c r="L229" s="296">
        <f t="shared" si="115"/>
        <v>23366748.540000007</v>
      </c>
      <c r="M229" s="296">
        <f t="shared" si="115"/>
        <v>22964137.540000007</v>
      </c>
      <c r="N229" s="296">
        <f t="shared" si="115"/>
        <v>20869482.260000013</v>
      </c>
      <c r="O229" s="296">
        <f t="shared" si="115"/>
        <v>22116790.810000032</v>
      </c>
      <c r="P229" s="34">
        <f t="shared" si="113"/>
        <v>263769234.8100003</v>
      </c>
    </row>
    <row r="230" spans="1:19" x14ac:dyDescent="0.3">
      <c r="A230" s="294" t="s">
        <v>215</v>
      </c>
      <c r="B230" s="297"/>
      <c r="C230" s="4" t="s">
        <v>31</v>
      </c>
      <c r="D230" s="296">
        <f>D223+D229</f>
        <v>43261768.609999999</v>
      </c>
      <c r="E230" s="296">
        <f t="shared" ref="E230:O230" si="116">E223+E229</f>
        <v>35914928.750000313</v>
      </c>
      <c r="F230" s="296">
        <f t="shared" si="116"/>
        <v>37585904.100000009</v>
      </c>
      <c r="G230" s="296">
        <f t="shared" si="116"/>
        <v>48614075.840000086</v>
      </c>
      <c r="H230" s="296">
        <f t="shared" si="116"/>
        <v>42136355.400000036</v>
      </c>
      <c r="I230" s="296">
        <f t="shared" si="116"/>
        <v>51454371.580000013</v>
      </c>
      <c r="J230" s="296">
        <f t="shared" si="116"/>
        <v>40576810.770000003</v>
      </c>
      <c r="K230" s="296">
        <f t="shared" si="116"/>
        <v>41768267.32000003</v>
      </c>
      <c r="L230" s="296">
        <f t="shared" si="116"/>
        <v>41474822.99000001</v>
      </c>
      <c r="M230" s="296">
        <f t="shared" si="116"/>
        <v>39567745.120000005</v>
      </c>
      <c r="N230" s="296">
        <f t="shared" si="116"/>
        <v>41314083.060000017</v>
      </c>
      <c r="O230" s="296">
        <f t="shared" si="116"/>
        <v>39962443.88000004</v>
      </c>
      <c r="P230" s="34">
        <f t="shared" si="113"/>
        <v>503631577.42000055</v>
      </c>
    </row>
    <row r="231" spans="1:19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  <c r="S231" s="432"/>
    </row>
    <row r="232" spans="1:19" x14ac:dyDescent="0.3">
      <c r="A232" s="312" t="s">
        <v>29</v>
      </c>
      <c r="B232" s="313"/>
      <c r="C232" s="4" t="s">
        <v>18</v>
      </c>
      <c r="D232" s="262">
        <v>1792290.4</v>
      </c>
      <c r="E232" s="262">
        <v>1788460.6599999799</v>
      </c>
      <c r="F232" s="262">
        <v>1626263.34</v>
      </c>
      <c r="G232" s="262">
        <v>1682555.67</v>
      </c>
      <c r="H232" s="262">
        <v>1587694.07</v>
      </c>
      <c r="I232" s="262">
        <v>1584702.28</v>
      </c>
      <c r="J232" s="262">
        <v>1606705.64</v>
      </c>
      <c r="K232" s="262">
        <v>1596633.68</v>
      </c>
      <c r="L232" s="262">
        <v>1598112.25</v>
      </c>
      <c r="M232" s="424">
        <v>1566227.62</v>
      </c>
      <c r="N232" s="262">
        <v>1586020.47</v>
      </c>
      <c r="O232" s="262">
        <v>1554802.79</v>
      </c>
      <c r="P232" s="34">
        <f>SUM(D232:O232)</f>
        <v>19570468.869999979</v>
      </c>
    </row>
    <row r="233" spans="1:19" x14ac:dyDescent="0.3">
      <c r="A233" s="312" t="s">
        <v>28</v>
      </c>
      <c r="B233" s="313"/>
      <c r="C233" s="4" t="s">
        <v>18</v>
      </c>
      <c r="D233" s="262">
        <v>2104.08</v>
      </c>
      <c r="E233" s="262">
        <v>2104.08</v>
      </c>
      <c r="F233" s="262">
        <v>2104.08</v>
      </c>
      <c r="G233" s="262">
        <v>2104.08</v>
      </c>
      <c r="H233" s="262">
        <v>2104.08</v>
      </c>
      <c r="I233" s="262">
        <v>2104.08</v>
      </c>
      <c r="J233" s="262">
        <v>2104.08</v>
      </c>
      <c r="K233" s="262">
        <v>2104.08</v>
      </c>
      <c r="L233" s="262">
        <v>2104.08</v>
      </c>
      <c r="M233" s="424">
        <v>1912.8</v>
      </c>
      <c r="N233" s="262">
        <v>1912.8</v>
      </c>
      <c r="O233" s="262">
        <v>1912.8</v>
      </c>
      <c r="P233" s="34">
        <f>SUM(D233:O233)</f>
        <v>24675.119999999999</v>
      </c>
    </row>
    <row r="234" spans="1:19" x14ac:dyDescent="0.3">
      <c r="A234" s="312" t="s">
        <v>27</v>
      </c>
      <c r="B234" s="313"/>
      <c r="C234" s="4" t="s">
        <v>18</v>
      </c>
      <c r="D234" s="262">
        <v>40723.68</v>
      </c>
      <c r="E234" s="262">
        <v>44117.32</v>
      </c>
      <c r="F234" s="262">
        <v>30542.76</v>
      </c>
      <c r="G234" s="262">
        <v>30542.76</v>
      </c>
      <c r="H234" s="262">
        <v>30542.76</v>
      </c>
      <c r="I234" s="262">
        <v>30542.76</v>
      </c>
      <c r="J234" s="262">
        <v>27149.119999999999</v>
      </c>
      <c r="K234" s="262">
        <v>27149.119999999999</v>
      </c>
      <c r="L234" s="262">
        <v>27149.119999999999</v>
      </c>
      <c r="M234" s="424">
        <v>20361.84</v>
      </c>
      <c r="N234" s="262">
        <v>20361.84</v>
      </c>
      <c r="O234" s="262">
        <v>20361.84</v>
      </c>
      <c r="P234" s="34">
        <f>SUM(D234:O234)</f>
        <v>349544.9200000001</v>
      </c>
    </row>
    <row r="235" spans="1:19" x14ac:dyDescent="0.3">
      <c r="A235" s="312" t="s">
        <v>26</v>
      </c>
      <c r="B235" s="313"/>
      <c r="C235" s="4" t="s">
        <v>18</v>
      </c>
      <c r="D235" s="262">
        <v>4637.34</v>
      </c>
      <c r="E235" s="262">
        <v>4637.34</v>
      </c>
      <c r="F235" s="262">
        <v>4637.34</v>
      </c>
      <c r="G235" s="262">
        <v>4637.34</v>
      </c>
      <c r="H235" s="262">
        <v>9274.68</v>
      </c>
      <c r="I235" s="262">
        <v>4637.34</v>
      </c>
      <c r="J235" s="262">
        <v>4637.34</v>
      </c>
      <c r="K235" s="262">
        <v>9274.68</v>
      </c>
      <c r="L235" s="262">
        <v>9274.68</v>
      </c>
      <c r="M235" s="424">
        <v>13912.02</v>
      </c>
      <c r="N235" s="262">
        <v>13912.02</v>
      </c>
      <c r="O235" s="262">
        <v>9274.68</v>
      </c>
      <c r="P235" s="34">
        <f>SUM(D235:O235)</f>
        <v>92746.800000000017</v>
      </c>
    </row>
    <row r="236" spans="1:19" x14ac:dyDescent="0.3">
      <c r="A236" s="314" t="s">
        <v>25</v>
      </c>
      <c r="B236" s="315"/>
      <c r="C236" s="4" t="s">
        <v>18</v>
      </c>
      <c r="D236" s="296">
        <f t="shared" ref="D236" si="117">SUM(D232:D235)</f>
        <v>1839755.5</v>
      </c>
      <c r="E236" s="296">
        <f t="shared" ref="E236:O236" si="118">SUM(E232:E235)</f>
        <v>1839319.3999999801</v>
      </c>
      <c r="F236" s="296">
        <f t="shared" si="118"/>
        <v>1663547.5200000003</v>
      </c>
      <c r="G236" s="296">
        <f t="shared" si="118"/>
        <v>1719839.85</v>
      </c>
      <c r="H236" s="296">
        <f t="shared" si="118"/>
        <v>1629615.59</v>
      </c>
      <c r="I236" s="296">
        <f t="shared" si="118"/>
        <v>1621986.4600000002</v>
      </c>
      <c r="J236" s="296">
        <f t="shared" si="118"/>
        <v>1640596.1800000002</v>
      </c>
      <c r="K236" s="296">
        <f t="shared" si="118"/>
        <v>1635161.56</v>
      </c>
      <c r="L236" s="296">
        <f t="shared" si="118"/>
        <v>1636640.1300000001</v>
      </c>
      <c r="M236" s="296">
        <f t="shared" si="118"/>
        <v>1602414.2800000003</v>
      </c>
      <c r="N236" s="296">
        <f t="shared" si="118"/>
        <v>1622207.1300000001</v>
      </c>
      <c r="O236" s="296">
        <f t="shared" si="118"/>
        <v>1586352.11</v>
      </c>
      <c r="P236" s="266">
        <f t="shared" ref="P236" si="119">SUM(P232:P235)</f>
        <v>20037435.709999982</v>
      </c>
    </row>
    <row r="237" spans="1:19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9" x14ac:dyDescent="0.3">
      <c r="A238" s="312" t="s">
        <v>23</v>
      </c>
      <c r="B238" s="313"/>
      <c r="C238" s="4" t="s">
        <v>18</v>
      </c>
      <c r="D238" s="261">
        <v>3000480</v>
      </c>
      <c r="E238" s="261">
        <v>2988871</v>
      </c>
      <c r="F238" s="261">
        <v>2727222</v>
      </c>
      <c r="G238" s="261">
        <v>2818308</v>
      </c>
      <c r="H238" s="261">
        <v>2637029</v>
      </c>
      <c r="I238" s="261">
        <v>2630778</v>
      </c>
      <c r="J238" s="261">
        <v>2661140</v>
      </c>
      <c r="K238" s="261">
        <v>2645066</v>
      </c>
      <c r="L238" s="261">
        <v>2646852</v>
      </c>
      <c r="M238" s="424">
        <v>2592379</v>
      </c>
      <c r="N238" s="261">
        <v>2632564</v>
      </c>
      <c r="O238" s="261">
        <v>2578984</v>
      </c>
      <c r="P238" s="34">
        <f>SUM(D238:O238)</f>
        <v>32559673</v>
      </c>
    </row>
    <row r="239" spans="1:19" x14ac:dyDescent="0.3">
      <c r="A239" s="312" t="s">
        <v>22</v>
      </c>
      <c r="B239" s="313"/>
      <c r="C239" s="4" t="s">
        <v>18</v>
      </c>
      <c r="D239" s="261">
        <v>9823</v>
      </c>
      <c r="E239" s="261">
        <v>9823</v>
      </c>
      <c r="F239" s="261">
        <v>9823</v>
      </c>
      <c r="G239" s="261">
        <v>9823</v>
      </c>
      <c r="H239" s="261">
        <v>9823</v>
      </c>
      <c r="I239" s="261">
        <v>9823</v>
      </c>
      <c r="J239" s="261">
        <v>9823</v>
      </c>
      <c r="K239" s="261">
        <v>9823</v>
      </c>
      <c r="L239" s="261">
        <v>9823</v>
      </c>
      <c r="M239" s="429">
        <v>8930</v>
      </c>
      <c r="N239" s="261">
        <v>8930</v>
      </c>
      <c r="O239" s="261">
        <v>8930</v>
      </c>
      <c r="P239" s="34">
        <f>SUM(D239:O239)</f>
        <v>115197</v>
      </c>
    </row>
    <row r="240" spans="1:19" x14ac:dyDescent="0.3">
      <c r="A240" s="312" t="s">
        <v>21</v>
      </c>
      <c r="B240" s="313"/>
      <c r="C240" s="4" t="s">
        <v>18</v>
      </c>
      <c r="D240" s="261">
        <v>10716</v>
      </c>
      <c r="E240" s="261">
        <v>11609</v>
      </c>
      <c r="F240" s="261">
        <v>8037</v>
      </c>
      <c r="G240" s="261">
        <v>8037</v>
      </c>
      <c r="H240" s="261">
        <v>8037</v>
      </c>
      <c r="I240" s="261">
        <v>8037</v>
      </c>
      <c r="J240" s="261">
        <v>7144</v>
      </c>
      <c r="K240" s="261">
        <v>7144</v>
      </c>
      <c r="L240" s="261">
        <v>7144</v>
      </c>
      <c r="M240" s="429">
        <v>5358</v>
      </c>
      <c r="N240" s="261">
        <v>5358</v>
      </c>
      <c r="O240" s="261">
        <v>5358</v>
      </c>
      <c r="P240" s="34">
        <f>SUM(D240:O240)</f>
        <v>91979</v>
      </c>
    </row>
    <row r="241" spans="1:16" x14ac:dyDescent="0.3">
      <c r="A241" s="312" t="s">
        <v>20</v>
      </c>
      <c r="B241" s="313"/>
      <c r="C241" s="4" t="s">
        <v>18</v>
      </c>
      <c r="D241" s="262">
        <v>893</v>
      </c>
      <c r="E241" s="262">
        <v>893</v>
      </c>
      <c r="F241" s="262">
        <v>893</v>
      </c>
      <c r="G241" s="262">
        <v>893</v>
      </c>
      <c r="H241" s="262">
        <v>1786</v>
      </c>
      <c r="I241" s="262">
        <v>893</v>
      </c>
      <c r="J241" s="262">
        <v>893</v>
      </c>
      <c r="K241" s="262">
        <v>1786</v>
      </c>
      <c r="L241" s="262">
        <v>1786</v>
      </c>
      <c r="M241" s="429">
        <v>2679</v>
      </c>
      <c r="N241" s="262">
        <v>2679</v>
      </c>
      <c r="O241" s="262">
        <v>1786</v>
      </c>
      <c r="P241" s="34">
        <f>SUM(D241:O241)</f>
        <v>17860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120">SUM(D238:D241)</f>
        <v>3021912</v>
      </c>
      <c r="E242" s="296">
        <f t="shared" ref="E242:O242" si="121">SUM(E238:E241)</f>
        <v>3011196</v>
      </c>
      <c r="F242" s="296">
        <f t="shared" si="121"/>
        <v>2745975</v>
      </c>
      <c r="G242" s="296">
        <f t="shared" si="121"/>
        <v>2837061</v>
      </c>
      <c r="H242" s="296">
        <f t="shared" si="121"/>
        <v>2656675</v>
      </c>
      <c r="I242" s="296">
        <f t="shared" si="121"/>
        <v>2649531</v>
      </c>
      <c r="J242" s="296">
        <f t="shared" si="121"/>
        <v>2679000</v>
      </c>
      <c r="K242" s="296">
        <f t="shared" si="121"/>
        <v>2663819</v>
      </c>
      <c r="L242" s="296">
        <f t="shared" si="121"/>
        <v>2665605</v>
      </c>
      <c r="M242" s="296">
        <f t="shared" si="121"/>
        <v>2609346</v>
      </c>
      <c r="N242" s="296">
        <f t="shared" si="121"/>
        <v>2649531</v>
      </c>
      <c r="O242" s="296">
        <f t="shared" si="121"/>
        <v>2595058</v>
      </c>
      <c r="P242" s="266">
        <f t="shared" si="120"/>
        <v>32784709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48123436.109999999</v>
      </c>
      <c r="E243" s="291">
        <f t="shared" ref="E243:O243" si="122">E230+E236+E242</f>
        <v>40765444.150000297</v>
      </c>
      <c r="F243" s="291">
        <f t="shared" si="122"/>
        <v>41995426.620000012</v>
      </c>
      <c r="G243" s="291">
        <f t="shared" si="122"/>
        <v>53170976.690000087</v>
      </c>
      <c r="H243" s="291">
        <f t="shared" si="122"/>
        <v>46422645.990000039</v>
      </c>
      <c r="I243" s="291">
        <f t="shared" si="122"/>
        <v>55725889.040000014</v>
      </c>
      <c r="J243" s="291">
        <f t="shared" si="122"/>
        <v>44896406.950000003</v>
      </c>
      <c r="K243" s="291">
        <f t="shared" si="122"/>
        <v>46067247.880000032</v>
      </c>
      <c r="L243" s="291">
        <f t="shared" si="122"/>
        <v>45777068.120000012</v>
      </c>
      <c r="M243" s="291">
        <f t="shared" si="122"/>
        <v>43779505.400000006</v>
      </c>
      <c r="N243" s="291">
        <f t="shared" si="122"/>
        <v>45585821.19000002</v>
      </c>
      <c r="O243" s="291">
        <f t="shared" si="122"/>
        <v>44143853.990000039</v>
      </c>
      <c r="P243" s="266">
        <f t="shared" ref="P243" si="123">P216+P223+P236+P242</f>
        <v>590417063.89000046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98">
        <v>316123530.96000099</v>
      </c>
      <c r="E245" s="298">
        <v>301974446.739999</v>
      </c>
      <c r="F245" s="298">
        <v>271226008.19</v>
      </c>
      <c r="G245" s="298">
        <v>277127665.78999901</v>
      </c>
      <c r="H245" s="298">
        <v>270397099.83999997</v>
      </c>
      <c r="I245" s="298">
        <v>276344663.43000001</v>
      </c>
      <c r="J245" s="298">
        <v>240642247.13999999</v>
      </c>
      <c r="K245" s="298">
        <v>173948288.69</v>
      </c>
      <c r="L245" s="298">
        <v>167835184.94999999</v>
      </c>
      <c r="M245" s="430">
        <v>121756651.55</v>
      </c>
      <c r="N245" s="298">
        <v>131300996.03</v>
      </c>
      <c r="O245" s="298">
        <v>126418964.03</v>
      </c>
      <c r="P245" s="299">
        <f>O245</f>
        <v>126418964.03</v>
      </c>
    </row>
    <row r="246" spans="1:16" x14ac:dyDescent="0.3">
      <c r="A246" s="329" t="s">
        <v>208</v>
      </c>
      <c r="B246" s="330"/>
      <c r="C246" s="4" t="s">
        <v>18</v>
      </c>
      <c r="D246" s="298">
        <v>4644828.040000001</v>
      </c>
      <c r="E246" s="298">
        <v>4837013.46</v>
      </c>
      <c r="F246" s="298">
        <v>2343196</v>
      </c>
      <c r="G246" s="298">
        <v>2663026.79</v>
      </c>
      <c r="H246" s="298">
        <v>2952170.94</v>
      </c>
      <c r="I246" s="298">
        <v>3372797.08</v>
      </c>
      <c r="J246" s="298">
        <v>3665086.08</v>
      </c>
      <c r="K246" s="298">
        <v>3213544.59</v>
      </c>
      <c r="L246" s="298">
        <v>3443415.56</v>
      </c>
      <c r="M246" s="430">
        <v>1757068.59</v>
      </c>
      <c r="N246" s="298">
        <v>1920766.6</v>
      </c>
      <c r="O246" s="298">
        <v>1202893.75</v>
      </c>
      <c r="P246" s="299">
        <f>O246</f>
        <v>1202893.75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320768359.00000101</v>
      </c>
      <c r="E247" s="300">
        <f t="shared" ref="E247:O247" si="124">E245+E246</f>
        <v>306811460.19999897</v>
      </c>
      <c r="F247" s="300">
        <f t="shared" si="124"/>
        <v>273569204.19</v>
      </c>
      <c r="G247" s="300">
        <f t="shared" si="124"/>
        <v>279790692.57999903</v>
      </c>
      <c r="H247" s="300">
        <f t="shared" si="124"/>
        <v>273349270.77999997</v>
      </c>
      <c r="I247" s="300">
        <f t="shared" si="124"/>
        <v>279717460.50999999</v>
      </c>
      <c r="J247" s="300">
        <f t="shared" si="124"/>
        <v>244307333.22</v>
      </c>
      <c r="K247" s="300">
        <f t="shared" si="124"/>
        <v>177161833.28</v>
      </c>
      <c r="L247" s="300">
        <f t="shared" si="124"/>
        <v>171278600.50999999</v>
      </c>
      <c r="M247" s="300">
        <f t="shared" si="124"/>
        <v>123513720.14</v>
      </c>
      <c r="N247" s="300">
        <f t="shared" si="124"/>
        <v>133221762.63</v>
      </c>
      <c r="O247" s="300">
        <f t="shared" si="124"/>
        <v>127621857.78</v>
      </c>
      <c r="P247" s="299">
        <f t="shared" ref="P247" si="125">P245+P246</f>
        <v>127621857.78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0.66870341121720045</v>
      </c>
      <c r="E249" s="301">
        <f t="shared" ref="E249:O249" si="126">E58/E243</f>
        <v>0.82077921205477056</v>
      </c>
      <c r="F249" s="301">
        <f t="shared" si="126"/>
        <v>0.90925313456191748</v>
      </c>
      <c r="G249" s="301">
        <f t="shared" si="126"/>
        <v>0.61457249752092047</v>
      </c>
      <c r="H249" s="301">
        <f t="shared" si="126"/>
        <v>0.888539521021386</v>
      </c>
      <c r="I249" s="301">
        <f t="shared" si="126"/>
        <v>0.55651395313746244</v>
      </c>
      <c r="J249" s="301">
        <f t="shared" si="126"/>
        <v>0.26168012454947687</v>
      </c>
      <c r="K249" s="301">
        <f t="shared" si="126"/>
        <v>0.78239734488562585</v>
      </c>
      <c r="L249" s="301">
        <f t="shared" si="126"/>
        <v>0.76514501558253112</v>
      </c>
      <c r="M249" s="301">
        <f t="shared" si="126"/>
        <v>0.71070233533291571</v>
      </c>
      <c r="N249" s="301">
        <f t="shared" si="126"/>
        <v>0.59521336446719797</v>
      </c>
      <c r="O249" s="301">
        <f t="shared" si="126"/>
        <v>0.69655738088626218</v>
      </c>
      <c r="P249" s="389">
        <f t="shared" ref="P249" si="127">P58/P243%</f>
        <v>64.458827715877874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5.1721943877125601E-2</v>
      </c>
      <c r="E250" s="284">
        <f t="shared" ref="E250:O250" si="128">E210/(E223+E245)</f>
        <v>0.11666524731142167</v>
      </c>
      <c r="F250" s="284">
        <f t="shared" si="128"/>
        <v>0.19837127359424189</v>
      </c>
      <c r="G250" s="284">
        <f t="shared" si="128"/>
        <v>7.8588807038517047E-2</v>
      </c>
      <c r="H250" s="284">
        <f t="shared" si="128"/>
        <v>9.6190156357898668E-2</v>
      </c>
      <c r="I250" s="284">
        <f t="shared" si="128"/>
        <v>7.4005541964592025E-2</v>
      </c>
      <c r="J250" s="284">
        <f t="shared" si="128"/>
        <v>6.8370438149739865E-2</v>
      </c>
      <c r="K250" s="284">
        <f t="shared" si="128"/>
        <v>0.10067899252667115</v>
      </c>
      <c r="L250" s="284">
        <f t="shared" si="128"/>
        <v>0.16279566200827825</v>
      </c>
      <c r="M250" s="284">
        <f t="shared" si="128"/>
        <v>0.1764613562703726</v>
      </c>
      <c r="N250" s="284">
        <f t="shared" si="128"/>
        <v>0.10759020459941473</v>
      </c>
      <c r="O250" s="284">
        <f t="shared" si="128"/>
        <v>0.17757293655895337</v>
      </c>
      <c r="P250" s="388">
        <f t="shared" ref="P250" si="129">P210/(P223+P245)%</f>
        <v>87.363531474050447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0.71325113996856859</v>
      </c>
      <c r="E251" s="302">
        <f t="shared" ref="E251:O251" si="130">E210/E223</f>
        <v>2.0089210208092152</v>
      </c>
      <c r="F251" s="302">
        <f t="shared" si="130"/>
        <v>3.1627030584292002</v>
      </c>
      <c r="G251" s="302">
        <f t="shared" si="130"/>
        <v>0.9602516165401076</v>
      </c>
      <c r="H251" s="302">
        <f t="shared" si="130"/>
        <v>1.4442586988586588</v>
      </c>
      <c r="I251" s="302">
        <f t="shared" si="130"/>
        <v>0.89912031633631051</v>
      </c>
      <c r="J251" s="302">
        <f t="shared" si="130"/>
        <v>0.96998741970756264</v>
      </c>
      <c r="K251" s="302">
        <f t="shared" si="130"/>
        <v>1.0552785337827593</v>
      </c>
      <c r="L251" s="302">
        <f t="shared" si="130"/>
        <v>1.6716717226662383</v>
      </c>
      <c r="M251" s="302">
        <f t="shared" si="130"/>
        <v>1.4704779586220502</v>
      </c>
      <c r="N251" s="302">
        <f t="shared" si="130"/>
        <v>0.79856486168220997</v>
      </c>
      <c r="O251" s="302">
        <f t="shared" si="130"/>
        <v>1.4355031782538175</v>
      </c>
      <c r="P251" s="390">
        <f t="shared" ref="P251" si="131">P210/P223%</f>
        <v>133.40830458338843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5">
        <v>34</v>
      </c>
      <c r="E253" s="265">
        <v>38</v>
      </c>
      <c r="F253" s="265">
        <v>43</v>
      </c>
      <c r="G253" s="265">
        <v>59</v>
      </c>
      <c r="H253" s="265">
        <v>63</v>
      </c>
      <c r="I253" s="265">
        <v>48</v>
      </c>
      <c r="J253" s="265">
        <v>41</v>
      </c>
      <c r="K253" s="265">
        <v>27</v>
      </c>
      <c r="L253" s="265">
        <v>23</v>
      </c>
      <c r="M253" s="265">
        <v>27</v>
      </c>
      <c r="N253" s="265">
        <v>33</v>
      </c>
      <c r="O253" s="265">
        <v>30</v>
      </c>
      <c r="P253" s="391">
        <f>SUM(D253:O253)</f>
        <v>466</v>
      </c>
    </row>
    <row r="254" spans="1:16" x14ac:dyDescent="0.3">
      <c r="A254" s="312" t="s">
        <v>12</v>
      </c>
      <c r="B254" s="313"/>
      <c r="C254" s="4" t="s">
        <v>3</v>
      </c>
      <c r="D254" s="265">
        <v>1</v>
      </c>
      <c r="E254" s="265">
        <v>1</v>
      </c>
      <c r="F254" s="265">
        <v>1</v>
      </c>
      <c r="G254" s="265">
        <v>1</v>
      </c>
      <c r="H254" s="265">
        <v>1</v>
      </c>
      <c r="I254" s="265">
        <v>1</v>
      </c>
      <c r="J254" s="265">
        <v>1</v>
      </c>
      <c r="K254" s="265">
        <v>1</v>
      </c>
      <c r="L254" s="265">
        <v>1</v>
      </c>
      <c r="M254" s="265">
        <v>1</v>
      </c>
      <c r="N254" s="265">
        <v>1</v>
      </c>
      <c r="O254" s="265">
        <v>1</v>
      </c>
      <c r="P254" s="391">
        <f>SUM(D254:O254)</f>
        <v>12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" si="132">D95</f>
        <v>393</v>
      </c>
      <c r="E255" s="265">
        <f t="shared" ref="E255:O255" si="133">E95</f>
        <v>399</v>
      </c>
      <c r="F255" s="265">
        <f t="shared" si="133"/>
        <v>409</v>
      </c>
      <c r="G255" s="265">
        <f t="shared" si="133"/>
        <v>407</v>
      </c>
      <c r="H255" s="265">
        <f t="shared" si="133"/>
        <v>416</v>
      </c>
      <c r="I255" s="265">
        <f t="shared" si="133"/>
        <v>422</v>
      </c>
      <c r="J255" s="265">
        <f t="shared" si="133"/>
        <v>417</v>
      </c>
      <c r="K255" s="265">
        <f t="shared" si="133"/>
        <v>412</v>
      </c>
      <c r="L255" s="265">
        <f t="shared" si="133"/>
        <v>404</v>
      </c>
      <c r="M255" s="265">
        <f t="shared" si="133"/>
        <v>408</v>
      </c>
      <c r="N255" s="265">
        <f t="shared" si="133"/>
        <v>413</v>
      </c>
      <c r="O255" s="265">
        <f t="shared" si="133"/>
        <v>419</v>
      </c>
      <c r="P255" s="391">
        <f>SUM(D255:O255)</f>
        <v>4919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" si="134">D91</f>
        <v>34</v>
      </c>
      <c r="E256" s="265">
        <f t="shared" ref="E256:O256" si="135">E91</f>
        <v>38</v>
      </c>
      <c r="F256" s="265">
        <f t="shared" si="135"/>
        <v>43</v>
      </c>
      <c r="G256" s="265">
        <f t="shared" si="135"/>
        <v>59</v>
      </c>
      <c r="H256" s="265">
        <f t="shared" si="135"/>
        <v>63</v>
      </c>
      <c r="I256" s="265">
        <f t="shared" si="135"/>
        <v>48</v>
      </c>
      <c r="J256" s="265">
        <f t="shared" si="135"/>
        <v>41</v>
      </c>
      <c r="K256" s="265">
        <f t="shared" si="135"/>
        <v>27</v>
      </c>
      <c r="L256" s="265">
        <f t="shared" si="135"/>
        <v>23</v>
      </c>
      <c r="M256" s="265">
        <f t="shared" si="135"/>
        <v>27</v>
      </c>
      <c r="N256" s="265">
        <f t="shared" si="135"/>
        <v>35</v>
      </c>
      <c r="O256" s="265">
        <f t="shared" si="135"/>
        <v>30</v>
      </c>
      <c r="P256" s="391">
        <f>SUM(D256:O256)</f>
        <v>468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20</v>
      </c>
      <c r="E257" s="265">
        <v>20</v>
      </c>
      <c r="F257" s="265">
        <v>20</v>
      </c>
      <c r="G257" s="265">
        <v>20</v>
      </c>
      <c r="H257" s="265">
        <v>20</v>
      </c>
      <c r="I257" s="265">
        <v>20</v>
      </c>
      <c r="J257" s="265">
        <v>20</v>
      </c>
      <c r="K257" s="265">
        <v>32</v>
      </c>
      <c r="L257" s="265">
        <v>20</v>
      </c>
      <c r="M257" s="425">
        <v>20</v>
      </c>
      <c r="N257" s="265">
        <v>20</v>
      </c>
      <c r="O257" s="265">
        <v>20</v>
      </c>
      <c r="P257" s="391">
        <f>SUM(D257:O257)</f>
        <v>252</v>
      </c>
    </row>
    <row r="258" spans="1:16" x14ac:dyDescent="0.3">
      <c r="A258" s="314" t="s">
        <v>8</v>
      </c>
      <c r="B258" s="315"/>
      <c r="C258" s="4" t="s">
        <v>3</v>
      </c>
      <c r="D258" s="261">
        <f t="shared" ref="D258:P258" si="136">D257/D256</f>
        <v>0.58823529411764708</v>
      </c>
      <c r="E258" s="261">
        <f t="shared" ref="E258:O258" si="137">E257/E256</f>
        <v>0.52631578947368418</v>
      </c>
      <c r="F258" s="261">
        <f t="shared" si="137"/>
        <v>0.46511627906976744</v>
      </c>
      <c r="G258" s="261">
        <f t="shared" si="137"/>
        <v>0.33898305084745761</v>
      </c>
      <c r="H258" s="261">
        <f t="shared" si="137"/>
        <v>0.31746031746031744</v>
      </c>
      <c r="I258" s="261">
        <f t="shared" si="137"/>
        <v>0.41666666666666669</v>
      </c>
      <c r="J258" s="261">
        <f t="shared" si="137"/>
        <v>0.48780487804878048</v>
      </c>
      <c r="K258" s="261">
        <f t="shared" si="137"/>
        <v>1.1851851851851851</v>
      </c>
      <c r="L258" s="261">
        <f t="shared" si="137"/>
        <v>0.86956521739130432</v>
      </c>
      <c r="M258" s="261">
        <f t="shared" si="137"/>
        <v>0.7407407407407407</v>
      </c>
      <c r="N258" s="261">
        <f t="shared" si="137"/>
        <v>0.5714285714285714</v>
      </c>
      <c r="O258" s="261">
        <f t="shared" si="137"/>
        <v>0.66666666666666663</v>
      </c>
      <c r="P258" s="391">
        <f t="shared" si="136"/>
        <v>0.53846153846153844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138">D92/D255*100</f>
        <v>12.213740458015266</v>
      </c>
      <c r="E259" s="303">
        <f t="shared" ref="E259:O259" si="139">E92/E255*100</f>
        <v>8.0200501253132828</v>
      </c>
      <c r="F259" s="303">
        <f t="shared" si="139"/>
        <v>8.0684596577017107</v>
      </c>
      <c r="G259" s="303">
        <f t="shared" si="139"/>
        <v>14.987714987714988</v>
      </c>
      <c r="H259" s="303">
        <f t="shared" si="139"/>
        <v>12.980769230769232</v>
      </c>
      <c r="I259" s="303">
        <f t="shared" si="139"/>
        <v>9.9526066350710902</v>
      </c>
      <c r="J259" s="303">
        <f t="shared" si="139"/>
        <v>11.031175059952037</v>
      </c>
      <c r="K259" s="303">
        <f t="shared" si="139"/>
        <v>7.7669902912621351</v>
      </c>
      <c r="L259" s="303">
        <f t="shared" si="139"/>
        <v>7.673267326732673</v>
      </c>
      <c r="M259" s="303">
        <f t="shared" si="139"/>
        <v>5.6372549019607847</v>
      </c>
      <c r="N259" s="303">
        <f t="shared" si="139"/>
        <v>7.2639225181598057</v>
      </c>
      <c r="O259" s="303">
        <f t="shared" si="139"/>
        <v>5.7279236276849641</v>
      </c>
      <c r="P259" s="392">
        <f t="shared" si="138"/>
        <v>9.2701768652165075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5">
        <v>12</v>
      </c>
      <c r="E261" s="265">
        <v>15</v>
      </c>
      <c r="F261" s="265">
        <v>12</v>
      </c>
      <c r="G261" s="265">
        <v>14</v>
      </c>
      <c r="H261" s="265">
        <v>15</v>
      </c>
      <c r="I261" s="265">
        <v>40</v>
      </c>
      <c r="J261" s="265">
        <v>13</v>
      </c>
      <c r="K261" s="265">
        <v>40</v>
      </c>
      <c r="L261" s="265">
        <v>45</v>
      </c>
      <c r="M261" s="425">
        <v>20</v>
      </c>
      <c r="N261" s="265">
        <v>16</v>
      </c>
      <c r="O261" s="265">
        <v>20</v>
      </c>
      <c r="P261" s="266">
        <f>SUM(D261:O261)</f>
        <v>262</v>
      </c>
    </row>
    <row r="262" spans="1:16" ht="15.75" customHeight="1" x14ac:dyDescent="0.3">
      <c r="A262" s="312" t="s">
        <v>2</v>
      </c>
      <c r="B262" s="313"/>
      <c r="C262" s="4" t="s">
        <v>0</v>
      </c>
      <c r="D262" s="265">
        <v>30</v>
      </c>
      <c r="E262" s="265">
        <v>30</v>
      </c>
      <c r="F262" s="265">
        <v>30</v>
      </c>
      <c r="G262" s="265">
        <v>30</v>
      </c>
      <c r="H262" s="265">
        <v>30</v>
      </c>
      <c r="I262" s="265">
        <v>30</v>
      </c>
      <c r="J262" s="265">
        <v>30</v>
      </c>
      <c r="K262" s="265">
        <v>7</v>
      </c>
      <c r="L262" s="265">
        <v>7</v>
      </c>
      <c r="M262" s="425">
        <v>15</v>
      </c>
      <c r="N262" s="265">
        <v>15</v>
      </c>
      <c r="O262" s="265">
        <v>15</v>
      </c>
      <c r="P262" s="266">
        <f>SUM(D262:O262)</f>
        <v>269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0.4</v>
      </c>
      <c r="E263" s="304">
        <f t="shared" ref="E263:O263" si="140">E261/E262</f>
        <v>0.5</v>
      </c>
      <c r="F263" s="304">
        <f t="shared" si="140"/>
        <v>0.4</v>
      </c>
      <c r="G263" s="304">
        <f t="shared" si="140"/>
        <v>0.46666666666666667</v>
      </c>
      <c r="H263" s="304">
        <f t="shared" si="140"/>
        <v>0.5</v>
      </c>
      <c r="I263" s="304">
        <f t="shared" si="140"/>
        <v>1.3333333333333333</v>
      </c>
      <c r="J263" s="304">
        <f t="shared" si="140"/>
        <v>0.43333333333333335</v>
      </c>
      <c r="K263" s="304">
        <f t="shared" si="140"/>
        <v>5.7142857142857144</v>
      </c>
      <c r="L263" s="304">
        <f t="shared" si="140"/>
        <v>6.4285714285714288</v>
      </c>
      <c r="M263" s="304">
        <f t="shared" si="140"/>
        <v>1.3333333333333333</v>
      </c>
      <c r="N263" s="304">
        <f t="shared" si="140"/>
        <v>1.0666666666666667</v>
      </c>
      <c r="O263" s="304">
        <f t="shared" si="140"/>
        <v>1.3333333333333333</v>
      </c>
      <c r="P263" s="367">
        <f t="shared" ref="P263" si="141">P261/P262</f>
        <v>0.97397769516728627</v>
      </c>
    </row>
  </sheetData>
  <mergeCells count="6">
    <mergeCell ref="B39:B40"/>
    <mergeCell ref="B29:B30"/>
    <mergeCell ref="B31:B32"/>
    <mergeCell ref="B33:B34"/>
    <mergeCell ref="B35:B36"/>
    <mergeCell ref="B37:B38"/>
  </mergeCells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R263"/>
  <sheetViews>
    <sheetView zoomScale="90" zoomScaleNormal="90" workbookViewId="0">
      <pane xSplit="2" ySplit="8" topLeftCell="J252" activePane="bottomRight" state="frozen"/>
      <selection pane="topRight" activeCell="C1" sqref="C1"/>
      <selection pane="bottomLeft" activeCell="A9" sqref="A9"/>
      <selection pane="bottomRight" activeCell="O226" sqref="O226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8" max="18" width="13.664062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64376</v>
      </c>
      <c r="E9" s="244">
        <v>60718</v>
      </c>
      <c r="F9" s="244">
        <v>54718</v>
      </c>
      <c r="G9" s="244">
        <v>75207</v>
      </c>
      <c r="H9" s="244">
        <v>65442</v>
      </c>
      <c r="I9" s="244">
        <v>79532</v>
      </c>
      <c r="J9" s="244">
        <v>69610</v>
      </c>
      <c r="K9" s="244">
        <v>68078</v>
      </c>
      <c r="L9" s="244">
        <v>60265</v>
      </c>
      <c r="M9" s="431">
        <v>65878</v>
      </c>
      <c r="N9" s="244">
        <v>57839</v>
      </c>
      <c r="O9" s="244">
        <v>62352</v>
      </c>
      <c r="P9" s="374">
        <f>SUM(D9:O9)</f>
        <v>784015</v>
      </c>
    </row>
    <row r="10" spans="1:16" x14ac:dyDescent="0.3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5">
        <v>30208</v>
      </c>
      <c r="E11" s="245">
        <v>23130</v>
      </c>
      <c r="F11" s="245">
        <v>18981</v>
      </c>
      <c r="G11" s="245">
        <v>28705</v>
      </c>
      <c r="H11" s="245">
        <v>24392</v>
      </c>
      <c r="I11" s="245">
        <v>30922</v>
      </c>
      <c r="J11" s="245">
        <v>23928</v>
      </c>
      <c r="K11" s="245">
        <v>24485</v>
      </c>
      <c r="L11" s="245">
        <v>22047</v>
      </c>
      <c r="M11" s="421">
        <v>24213</v>
      </c>
      <c r="N11" s="245">
        <v>22432</v>
      </c>
      <c r="O11" s="245">
        <v>23896</v>
      </c>
      <c r="P11" s="246">
        <f>SUM(D11:O11)</f>
        <v>297339</v>
      </c>
    </row>
    <row r="12" spans="1:16" x14ac:dyDescent="0.3">
      <c r="A12" s="319" t="s">
        <v>158</v>
      </c>
      <c r="B12" s="320"/>
      <c r="C12" s="4" t="s">
        <v>154</v>
      </c>
      <c r="D12" s="245">
        <v>970</v>
      </c>
      <c r="E12" s="245">
        <v>476</v>
      </c>
      <c r="F12" s="245">
        <v>423</v>
      </c>
      <c r="G12" s="245">
        <v>650</v>
      </c>
      <c r="H12" s="245">
        <v>540</v>
      </c>
      <c r="I12" s="245">
        <v>819</v>
      </c>
      <c r="J12" s="245">
        <v>606</v>
      </c>
      <c r="K12" s="245">
        <v>742</v>
      </c>
      <c r="L12" s="245">
        <v>338</v>
      </c>
      <c r="M12" s="421">
        <v>481</v>
      </c>
      <c r="N12" s="245">
        <v>472</v>
      </c>
      <c r="O12" s="245">
        <v>413</v>
      </c>
      <c r="P12" s="246">
        <f>SUM(D12:O12)</f>
        <v>6930</v>
      </c>
    </row>
    <row r="13" spans="1:16" x14ac:dyDescent="0.3">
      <c r="A13" s="319" t="s">
        <v>157</v>
      </c>
      <c r="B13" s="320"/>
      <c r="C13" s="4" t="s">
        <v>154</v>
      </c>
      <c r="D13" s="245">
        <v>936</v>
      </c>
      <c r="E13" s="245">
        <v>617</v>
      </c>
      <c r="F13" s="245">
        <v>494</v>
      </c>
      <c r="G13" s="245">
        <v>651</v>
      </c>
      <c r="H13" s="245">
        <v>373</v>
      </c>
      <c r="I13" s="245">
        <v>474</v>
      </c>
      <c r="J13" s="245">
        <v>291</v>
      </c>
      <c r="K13" s="245">
        <v>532</v>
      </c>
      <c r="L13" s="245">
        <v>313</v>
      </c>
      <c r="M13" s="421">
        <v>279</v>
      </c>
      <c r="N13" s="245">
        <v>394</v>
      </c>
      <c r="O13" s="245">
        <v>259</v>
      </c>
      <c r="P13" s="246">
        <f>SUM(D13:O13)</f>
        <v>5613</v>
      </c>
    </row>
    <row r="14" spans="1:16" x14ac:dyDescent="0.3">
      <c r="A14" s="312" t="s">
        <v>156</v>
      </c>
      <c r="B14" s="313"/>
      <c r="C14" s="4" t="s">
        <v>154</v>
      </c>
      <c r="D14" s="245">
        <v>353</v>
      </c>
      <c r="E14" s="245">
        <v>290</v>
      </c>
      <c r="F14" s="245">
        <v>191</v>
      </c>
      <c r="G14" s="245">
        <v>339</v>
      </c>
      <c r="H14" s="245">
        <v>119</v>
      </c>
      <c r="I14" s="245">
        <v>155</v>
      </c>
      <c r="J14" s="245">
        <v>13</v>
      </c>
      <c r="K14" s="245">
        <v>93</v>
      </c>
      <c r="L14" s="245">
        <v>146</v>
      </c>
      <c r="M14" s="421">
        <v>164</v>
      </c>
      <c r="N14" s="245">
        <v>34</v>
      </c>
      <c r="O14" s="245">
        <v>34</v>
      </c>
      <c r="P14" s="246">
        <f>SUM(D14:O14)</f>
        <v>1931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P15" si="0">SUM(D11:D14)</f>
        <v>32467</v>
      </c>
      <c r="E15" s="247">
        <f t="shared" si="0"/>
        <v>24513</v>
      </c>
      <c r="F15" s="247">
        <f t="shared" si="0"/>
        <v>20089</v>
      </c>
      <c r="G15" s="247">
        <f t="shared" si="0"/>
        <v>30345</v>
      </c>
      <c r="H15" s="247">
        <f t="shared" si="0"/>
        <v>25424</v>
      </c>
      <c r="I15" s="247">
        <f t="shared" si="0"/>
        <v>32370</v>
      </c>
      <c r="J15" s="247">
        <f t="shared" si="0"/>
        <v>24838</v>
      </c>
      <c r="K15" s="247">
        <f t="shared" si="0"/>
        <v>25852</v>
      </c>
      <c r="L15" s="247">
        <f t="shared" si="0"/>
        <v>22844</v>
      </c>
      <c r="M15" s="247">
        <f t="shared" si="0"/>
        <v>25137</v>
      </c>
      <c r="N15" s="247">
        <f t="shared" si="0"/>
        <v>23332</v>
      </c>
      <c r="O15" s="247">
        <f t="shared" si="0"/>
        <v>24602</v>
      </c>
      <c r="P15" s="246">
        <f t="shared" si="0"/>
        <v>311813</v>
      </c>
    </row>
    <row r="16" spans="1:16" x14ac:dyDescent="0.3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5">
        <v>11071.600000000011</v>
      </c>
      <c r="E17" s="245">
        <v>11701.7</v>
      </c>
      <c r="F17" s="245">
        <v>12704.8</v>
      </c>
      <c r="G17" s="245">
        <v>15473.4</v>
      </c>
      <c r="H17" s="245">
        <v>14811.4</v>
      </c>
      <c r="I17" s="245">
        <v>19401.099999999999</v>
      </c>
      <c r="J17" s="245">
        <v>19995.900000000001</v>
      </c>
      <c r="K17" s="245">
        <v>20022.3</v>
      </c>
      <c r="L17" s="245">
        <v>15879.7</v>
      </c>
      <c r="M17" s="421">
        <v>17790</v>
      </c>
      <c r="N17" s="245">
        <v>14953.5</v>
      </c>
      <c r="O17" s="245">
        <v>15442.6</v>
      </c>
      <c r="P17" s="246">
        <f>SUM(D17:O17)</f>
        <v>189248</v>
      </c>
    </row>
    <row r="18" spans="1:16" x14ac:dyDescent="0.3">
      <c r="A18" s="319" t="s">
        <v>183</v>
      </c>
      <c r="B18" s="320"/>
      <c r="C18" s="4" t="s">
        <v>154</v>
      </c>
      <c r="D18" s="245"/>
      <c r="E18" s="245"/>
      <c r="F18" s="245"/>
      <c r="G18" s="245"/>
      <c r="H18" s="245"/>
      <c r="I18" s="245"/>
      <c r="J18" s="245"/>
      <c r="K18" s="245">
        <v>0</v>
      </c>
      <c r="L18" s="245"/>
      <c r="M18" s="421">
        <v>10.6</v>
      </c>
      <c r="N18" s="245">
        <v>8.5</v>
      </c>
      <c r="O18" s="245">
        <v>17.100000000000001</v>
      </c>
      <c r="P18" s="246">
        <f>SUM(D18:O18)</f>
        <v>36.200000000000003</v>
      </c>
    </row>
    <row r="19" spans="1:16" x14ac:dyDescent="0.3">
      <c r="A19" s="319" t="s">
        <v>184</v>
      </c>
      <c r="B19" s="320"/>
      <c r="C19" s="4" t="s">
        <v>154</v>
      </c>
      <c r="D19" s="245">
        <v>977.5999999999998</v>
      </c>
      <c r="E19" s="245">
        <v>4927.5</v>
      </c>
      <c r="F19" s="245">
        <v>3456.1</v>
      </c>
      <c r="G19" s="245">
        <v>1749.2</v>
      </c>
      <c r="H19" s="245">
        <v>3236.7</v>
      </c>
      <c r="I19" s="245">
        <v>1207.0999999999999</v>
      </c>
      <c r="J19" s="245">
        <v>2473.1999999999998</v>
      </c>
      <c r="K19" s="245">
        <v>1449.6</v>
      </c>
      <c r="L19" s="245">
        <v>2083.4</v>
      </c>
      <c r="M19" s="421">
        <v>711.1</v>
      </c>
      <c r="N19" s="245">
        <v>567.9</v>
      </c>
      <c r="O19" s="245">
        <v>1051.7</v>
      </c>
      <c r="P19" s="246">
        <f>SUM(D19:O19)</f>
        <v>23891.1</v>
      </c>
    </row>
    <row r="20" spans="1:16" x14ac:dyDescent="0.3">
      <c r="A20" s="312" t="s">
        <v>185</v>
      </c>
      <c r="B20" s="313"/>
      <c r="C20" s="4" t="s">
        <v>154</v>
      </c>
      <c r="D20" s="245">
        <v>1886.6999999999991</v>
      </c>
      <c r="E20" s="245">
        <v>1757.4</v>
      </c>
      <c r="F20" s="245">
        <v>1590.8</v>
      </c>
      <c r="G20" s="245">
        <v>5209.7</v>
      </c>
      <c r="H20" s="245">
        <v>1938.7</v>
      </c>
      <c r="I20" s="245">
        <v>2262.3000000000002</v>
      </c>
      <c r="J20" s="245">
        <v>1755.6</v>
      </c>
      <c r="K20" s="245">
        <v>0</v>
      </c>
      <c r="L20" s="245">
        <v>1766</v>
      </c>
      <c r="M20" s="421">
        <v>2669.2</v>
      </c>
      <c r="N20" s="245">
        <v>1714.1</v>
      </c>
      <c r="O20" s="245">
        <v>1905.1</v>
      </c>
      <c r="P20" s="246">
        <f>SUM(D20:O20)</f>
        <v>24455.599999999995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13935.900000000011</v>
      </c>
      <c r="E21" s="247">
        <f t="shared" ref="E21:P21" si="1">SUM(E17:E20)</f>
        <v>18386.600000000002</v>
      </c>
      <c r="F21" s="247">
        <f t="shared" si="1"/>
        <v>17751.7</v>
      </c>
      <c r="G21" s="247">
        <f t="shared" si="1"/>
        <v>22432.3</v>
      </c>
      <c r="H21" s="247">
        <f t="shared" si="1"/>
        <v>19986.8</v>
      </c>
      <c r="I21" s="247">
        <f t="shared" si="1"/>
        <v>22870.499999999996</v>
      </c>
      <c r="J21" s="247">
        <f t="shared" si="1"/>
        <v>24224.7</v>
      </c>
      <c r="K21" s="247">
        <f t="shared" si="1"/>
        <v>21471.899999999998</v>
      </c>
      <c r="L21" s="247">
        <f t="shared" si="1"/>
        <v>19729.100000000002</v>
      </c>
      <c r="M21" s="247">
        <f t="shared" si="1"/>
        <v>21180.899999999998</v>
      </c>
      <c r="N21" s="247">
        <f t="shared" si="1"/>
        <v>17244</v>
      </c>
      <c r="O21" s="247">
        <f t="shared" si="1"/>
        <v>18416.5</v>
      </c>
      <c r="P21" s="246">
        <f t="shared" si="1"/>
        <v>237630.90000000002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46402.900000000009</v>
      </c>
      <c r="E22" s="247">
        <f t="shared" ref="E22:P22" si="2">E21+E15</f>
        <v>42899.600000000006</v>
      </c>
      <c r="F22" s="247">
        <f t="shared" si="2"/>
        <v>37840.699999999997</v>
      </c>
      <c r="G22" s="247">
        <f t="shared" si="2"/>
        <v>52777.3</v>
      </c>
      <c r="H22" s="247">
        <f t="shared" si="2"/>
        <v>45410.8</v>
      </c>
      <c r="I22" s="247">
        <f t="shared" si="2"/>
        <v>55240.5</v>
      </c>
      <c r="J22" s="247">
        <f t="shared" si="2"/>
        <v>49062.7</v>
      </c>
      <c r="K22" s="247">
        <f t="shared" si="2"/>
        <v>47323.899999999994</v>
      </c>
      <c r="L22" s="247">
        <f t="shared" si="2"/>
        <v>42573.100000000006</v>
      </c>
      <c r="M22" s="247">
        <f t="shared" si="2"/>
        <v>46317.899999999994</v>
      </c>
      <c r="N22" s="247">
        <f t="shared" si="2"/>
        <v>40576</v>
      </c>
      <c r="O22" s="247">
        <f t="shared" si="2"/>
        <v>43018.5</v>
      </c>
      <c r="P22" s="246">
        <f t="shared" si="2"/>
        <v>549443.9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17973.099999999991</v>
      </c>
      <c r="E24" s="250">
        <f t="shared" ref="E24:P24" si="3">E9-E22</f>
        <v>17818.399999999994</v>
      </c>
      <c r="F24" s="250">
        <f t="shared" si="3"/>
        <v>16877.300000000003</v>
      </c>
      <c r="G24" s="250">
        <f t="shared" si="3"/>
        <v>22429.699999999997</v>
      </c>
      <c r="H24" s="250">
        <f t="shared" si="3"/>
        <v>20031.199999999997</v>
      </c>
      <c r="I24" s="250">
        <f t="shared" si="3"/>
        <v>24291.5</v>
      </c>
      <c r="J24" s="250">
        <f t="shared" si="3"/>
        <v>20547.300000000003</v>
      </c>
      <c r="K24" s="250">
        <f t="shared" si="3"/>
        <v>20754.100000000006</v>
      </c>
      <c r="L24" s="250">
        <f t="shared" si="3"/>
        <v>17691.899999999994</v>
      </c>
      <c r="M24" s="250">
        <f t="shared" si="3"/>
        <v>19560.100000000006</v>
      </c>
      <c r="N24" s="250">
        <f t="shared" si="3"/>
        <v>17263</v>
      </c>
      <c r="O24" s="250">
        <f t="shared" si="3"/>
        <v>19333.5</v>
      </c>
      <c r="P24" s="385">
        <f t="shared" si="3"/>
        <v>234571.09999999998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4">D24/D9</f>
        <v>0.27918944948427971</v>
      </c>
      <c r="E25" s="253">
        <f t="shared" si="4"/>
        <v>0.29346157646826304</v>
      </c>
      <c r="F25" s="253">
        <f t="shared" si="4"/>
        <v>0.3084414635037831</v>
      </c>
      <c r="G25" s="253">
        <f t="shared" si="4"/>
        <v>0.29823952557607664</v>
      </c>
      <c r="H25" s="253">
        <f t="shared" si="4"/>
        <v>0.30609088964273706</v>
      </c>
      <c r="I25" s="253">
        <f t="shared" si="4"/>
        <v>0.30543051853342051</v>
      </c>
      <c r="J25" s="253">
        <f t="shared" si="4"/>
        <v>0.295177417037782</v>
      </c>
      <c r="K25" s="253">
        <f t="shared" si="4"/>
        <v>0.30485766326860375</v>
      </c>
      <c r="L25" s="253">
        <f t="shared" si="4"/>
        <v>0.29356840620592373</v>
      </c>
      <c r="M25" s="253">
        <f t="shared" si="4"/>
        <v>0.29691399253164952</v>
      </c>
      <c r="N25" s="253">
        <f t="shared" si="4"/>
        <v>0.29846643268382927</v>
      </c>
      <c r="O25" s="253">
        <f t="shared" si="4"/>
        <v>0.31007024634334102</v>
      </c>
      <c r="P25" s="386">
        <f t="shared" si="4"/>
        <v>0.29919210729386553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x14ac:dyDescent="0.3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33">
        <f>176264.5/50</f>
        <v>3525.29</v>
      </c>
      <c r="C29" s="4" t="s">
        <v>142</v>
      </c>
      <c r="D29" s="259">
        <v>276</v>
      </c>
      <c r="E29" s="259">
        <v>324</v>
      </c>
      <c r="F29" s="259">
        <v>276</v>
      </c>
      <c r="G29" s="259">
        <v>369</v>
      </c>
      <c r="H29" s="259">
        <v>348</v>
      </c>
      <c r="I29" s="259">
        <v>348</v>
      </c>
      <c r="J29" s="259">
        <v>338</v>
      </c>
      <c r="K29" s="259">
        <v>348</v>
      </c>
      <c r="L29" s="259">
        <v>370</v>
      </c>
      <c r="M29" s="423">
        <v>384</v>
      </c>
      <c r="N29" s="259">
        <v>308</v>
      </c>
      <c r="O29" s="259">
        <v>372</v>
      </c>
      <c r="P29" s="260">
        <f>SUM(D29:O29)</f>
        <v>4061</v>
      </c>
    </row>
    <row r="30" spans="1:16" x14ac:dyDescent="0.3">
      <c r="A30" s="177"/>
      <c r="B30" s="433"/>
      <c r="C30" s="37" t="s">
        <v>141</v>
      </c>
      <c r="D30" s="261">
        <f t="shared" ref="D30:P30" si="5">D29/(D9/1000)</f>
        <v>4.2873120417546913</v>
      </c>
      <c r="E30" s="261">
        <f t="shared" si="5"/>
        <v>5.3361441417701503</v>
      </c>
      <c r="F30" s="261">
        <f t="shared" si="5"/>
        <v>5.0440440074564128</v>
      </c>
      <c r="G30" s="261">
        <f t="shared" si="5"/>
        <v>4.9064581754357972</v>
      </c>
      <c r="H30" s="261">
        <f t="shared" si="5"/>
        <v>5.3176858897955448</v>
      </c>
      <c r="I30" s="261">
        <f t="shared" si="5"/>
        <v>4.3755972438766788</v>
      </c>
      <c r="J30" s="261">
        <f t="shared" si="5"/>
        <v>4.8556241919264478</v>
      </c>
      <c r="K30" s="261">
        <f t="shared" si="5"/>
        <v>5.1117835424072382</v>
      </c>
      <c r="L30" s="261">
        <f t="shared" si="5"/>
        <v>6.1395503194225505</v>
      </c>
      <c r="M30" s="261">
        <f t="shared" si="5"/>
        <v>5.8289565560581682</v>
      </c>
      <c r="N30" s="261">
        <f t="shared" si="5"/>
        <v>5.3251266446515331</v>
      </c>
      <c r="O30" s="261">
        <f t="shared" si="5"/>
        <v>5.9661277906081605</v>
      </c>
      <c r="P30" s="266">
        <f t="shared" si="5"/>
        <v>5.1797478364572109</v>
      </c>
    </row>
    <row r="31" spans="1:16" x14ac:dyDescent="0.3">
      <c r="A31" s="176" t="s">
        <v>147</v>
      </c>
      <c r="B31" s="433">
        <f>53000.511/50</f>
        <v>1060.0102199999999</v>
      </c>
      <c r="C31" s="4" t="s">
        <v>142</v>
      </c>
      <c r="D31" s="259">
        <v>658</v>
      </c>
      <c r="E31" s="259">
        <v>225</v>
      </c>
      <c r="F31" s="259"/>
      <c r="G31" s="259"/>
      <c r="H31" s="259"/>
      <c r="I31" s="259"/>
      <c r="J31" s="259"/>
      <c r="K31" s="259">
        <v>90</v>
      </c>
      <c r="L31" s="259"/>
      <c r="M31" s="259"/>
      <c r="N31" s="259">
        <v>25</v>
      </c>
      <c r="O31" s="259">
        <v>985</v>
      </c>
      <c r="P31" s="260">
        <f>SUM(D31:O31)</f>
        <v>1983</v>
      </c>
    </row>
    <row r="32" spans="1:16" x14ac:dyDescent="0.3">
      <c r="A32" s="177"/>
      <c r="B32" s="433"/>
      <c r="C32" s="37" t="s">
        <v>141</v>
      </c>
      <c r="D32" s="261">
        <f t="shared" ref="D32:P32" si="6">D31/(D9/1000)</f>
        <v>10.221200447371691</v>
      </c>
      <c r="E32" s="261">
        <f t="shared" si="6"/>
        <v>3.7056556540070487</v>
      </c>
      <c r="F32" s="261">
        <f t="shared" si="6"/>
        <v>0</v>
      </c>
      <c r="G32" s="261">
        <f t="shared" si="6"/>
        <v>0</v>
      </c>
      <c r="H32" s="261">
        <f t="shared" si="6"/>
        <v>0</v>
      </c>
      <c r="I32" s="261">
        <f t="shared" si="6"/>
        <v>0</v>
      </c>
      <c r="J32" s="261">
        <f t="shared" si="6"/>
        <v>0</v>
      </c>
      <c r="K32" s="261">
        <f t="shared" si="6"/>
        <v>1.3220129851053204</v>
      </c>
      <c r="L32" s="261">
        <f t="shared" si="6"/>
        <v>0</v>
      </c>
      <c r="M32" s="261">
        <f t="shared" si="6"/>
        <v>0</v>
      </c>
      <c r="N32" s="261">
        <f t="shared" si="6"/>
        <v>0.4322343055723647</v>
      </c>
      <c r="O32" s="261">
        <f t="shared" si="6"/>
        <v>15.797408262766231</v>
      </c>
      <c r="P32" s="266">
        <f t="shared" si="6"/>
        <v>2.5292883426975248</v>
      </c>
    </row>
    <row r="33" spans="1:16" x14ac:dyDescent="0.3">
      <c r="A33" s="176" t="s">
        <v>146</v>
      </c>
      <c r="B33" s="43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33"/>
      <c r="C34" s="37" t="s">
        <v>141</v>
      </c>
      <c r="D34" s="261">
        <f t="shared" ref="D34:P34" si="7">D33/(D9/1000)</f>
        <v>0</v>
      </c>
      <c r="E34" s="261">
        <f t="shared" si="7"/>
        <v>0</v>
      </c>
      <c r="F34" s="261">
        <f t="shared" si="7"/>
        <v>0</v>
      </c>
      <c r="G34" s="261">
        <f t="shared" si="7"/>
        <v>0</v>
      </c>
      <c r="H34" s="261">
        <f t="shared" si="7"/>
        <v>0</v>
      </c>
      <c r="I34" s="261">
        <f t="shared" si="7"/>
        <v>0</v>
      </c>
      <c r="J34" s="261">
        <f t="shared" si="7"/>
        <v>0</v>
      </c>
      <c r="K34" s="261">
        <f t="shared" si="7"/>
        <v>0</v>
      </c>
      <c r="L34" s="261">
        <f t="shared" si="7"/>
        <v>0</v>
      </c>
      <c r="M34" s="261">
        <f t="shared" si="7"/>
        <v>0</v>
      </c>
      <c r="N34" s="261">
        <f t="shared" si="7"/>
        <v>0</v>
      </c>
      <c r="O34" s="261">
        <f t="shared" si="7"/>
        <v>0</v>
      </c>
      <c r="P34" s="266">
        <f t="shared" si="7"/>
        <v>0</v>
      </c>
    </row>
    <row r="35" spans="1:16" x14ac:dyDescent="0.3">
      <c r="A35" s="176" t="s">
        <v>145</v>
      </c>
      <c r="B35" s="433">
        <f>745345.16/200</f>
        <v>3726.7258000000002</v>
      </c>
      <c r="C35" s="4" t="s">
        <v>128</v>
      </c>
      <c r="D35" s="262"/>
      <c r="E35" s="262">
        <v>336</v>
      </c>
      <c r="F35" s="262">
        <v>432</v>
      </c>
      <c r="G35" s="262">
        <v>480</v>
      </c>
      <c r="H35" s="262">
        <v>228</v>
      </c>
      <c r="I35" s="262">
        <v>435</v>
      </c>
      <c r="J35" s="262"/>
      <c r="K35" s="262">
        <v>368</v>
      </c>
      <c r="L35" s="424">
        <v>522</v>
      </c>
      <c r="M35" s="424">
        <v>709</v>
      </c>
      <c r="N35" s="262">
        <v>471</v>
      </c>
      <c r="O35" s="262"/>
      <c r="P35" s="266"/>
    </row>
    <row r="36" spans="1:16" x14ac:dyDescent="0.3">
      <c r="A36" s="177"/>
      <c r="B36" s="433"/>
      <c r="C36" s="4" t="s">
        <v>144</v>
      </c>
      <c r="D36" s="262"/>
      <c r="E36" s="262">
        <f t="shared" ref="E36:O36" si="8">E35/(E9/1000)</f>
        <v>5.5337791099838594</v>
      </c>
      <c r="F36" s="262">
        <f t="shared" si="8"/>
        <v>7.8950254029752545</v>
      </c>
      <c r="G36" s="262">
        <f t="shared" si="8"/>
        <v>6.3823846184530701</v>
      </c>
      <c r="H36" s="262">
        <f t="shared" si="8"/>
        <v>3.4840011002108739</v>
      </c>
      <c r="I36" s="262">
        <f t="shared" si="8"/>
        <v>5.4694965548458487</v>
      </c>
      <c r="J36" s="262">
        <f t="shared" si="8"/>
        <v>0</v>
      </c>
      <c r="K36" s="262">
        <f t="shared" si="8"/>
        <v>5.4055642057639766</v>
      </c>
      <c r="L36" s="429">
        <f t="shared" si="8"/>
        <v>8.6617439641583012</v>
      </c>
      <c r="M36" s="429">
        <f t="shared" si="8"/>
        <v>10.762318224596982</v>
      </c>
      <c r="N36" s="262">
        <f t="shared" si="8"/>
        <v>8.1432943169833507</v>
      </c>
      <c r="O36" s="262">
        <f t="shared" si="8"/>
        <v>0</v>
      </c>
      <c r="P36" s="266"/>
    </row>
    <row r="37" spans="1:16" x14ac:dyDescent="0.3">
      <c r="A37" s="176" t="s">
        <v>188</v>
      </c>
      <c r="B37" s="43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33"/>
      <c r="C38" s="4" t="s">
        <v>144</v>
      </c>
      <c r="D38" s="261">
        <f t="shared" ref="D38:P38" si="9">D37/(D9/1000)</f>
        <v>0</v>
      </c>
      <c r="E38" s="261">
        <f t="shared" si="9"/>
        <v>0</v>
      </c>
      <c r="F38" s="261">
        <f t="shared" si="9"/>
        <v>0</v>
      </c>
      <c r="G38" s="261">
        <f t="shared" si="9"/>
        <v>0</v>
      </c>
      <c r="H38" s="261">
        <f t="shared" si="9"/>
        <v>0</v>
      </c>
      <c r="I38" s="261">
        <f t="shared" si="9"/>
        <v>0</v>
      </c>
      <c r="J38" s="261">
        <f t="shared" si="9"/>
        <v>0</v>
      </c>
      <c r="K38" s="261">
        <f t="shared" si="9"/>
        <v>0</v>
      </c>
      <c r="L38" s="261">
        <f t="shared" si="9"/>
        <v>0</v>
      </c>
      <c r="M38" s="261">
        <f t="shared" si="9"/>
        <v>0</v>
      </c>
      <c r="N38" s="261">
        <f t="shared" si="9"/>
        <v>0</v>
      </c>
      <c r="O38" s="261">
        <f t="shared" si="9"/>
        <v>0</v>
      </c>
      <c r="P38" s="266">
        <f t="shared" si="9"/>
        <v>0</v>
      </c>
    </row>
    <row r="39" spans="1:16" x14ac:dyDescent="0.3">
      <c r="A39" s="176" t="s">
        <v>143</v>
      </c>
      <c r="B39" s="43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33"/>
      <c r="C40" s="37" t="s">
        <v>141</v>
      </c>
      <c r="D40" s="261">
        <f t="shared" ref="D40:P40" si="10">D39/(D9/1000)</f>
        <v>0</v>
      </c>
      <c r="E40" s="261">
        <f t="shared" si="10"/>
        <v>0</v>
      </c>
      <c r="F40" s="261">
        <f t="shared" si="10"/>
        <v>0</v>
      </c>
      <c r="G40" s="261">
        <f t="shared" si="10"/>
        <v>0</v>
      </c>
      <c r="H40" s="261">
        <f t="shared" si="10"/>
        <v>0</v>
      </c>
      <c r="I40" s="261">
        <f t="shared" si="10"/>
        <v>0</v>
      </c>
      <c r="J40" s="261">
        <f t="shared" si="10"/>
        <v>0</v>
      </c>
      <c r="K40" s="261">
        <f t="shared" si="10"/>
        <v>0</v>
      </c>
      <c r="L40" s="261">
        <f t="shared" si="10"/>
        <v>0</v>
      </c>
      <c r="M40" s="261">
        <f t="shared" si="10"/>
        <v>0</v>
      </c>
      <c r="N40" s="261">
        <f t="shared" si="10"/>
        <v>0</v>
      </c>
      <c r="O40" s="261">
        <f t="shared" si="10"/>
        <v>0</v>
      </c>
      <c r="P40" s="266">
        <f t="shared" si="10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1670466.7647599999</v>
      </c>
      <c r="E41" s="263">
        <f t="shared" ref="E41:O41" si="11">(E29*$B29)+(E31*$B31)+(E33*$B33)+(E35*$B35)+(E37*$B37)+(E39*$B39)</f>
        <v>2632876.1283</v>
      </c>
      <c r="F41" s="263">
        <f t="shared" si="11"/>
        <v>2582925.5855999999</v>
      </c>
      <c r="G41" s="263">
        <f t="shared" si="11"/>
        <v>3089660.3940000003</v>
      </c>
      <c r="H41" s="263">
        <f t="shared" si="11"/>
        <v>2076494.4024</v>
      </c>
      <c r="I41" s="263">
        <f t="shared" si="11"/>
        <v>2847926.6430000002</v>
      </c>
      <c r="J41" s="263">
        <f t="shared" si="11"/>
        <v>1191548.02</v>
      </c>
      <c r="K41" s="263">
        <f t="shared" si="11"/>
        <v>2693636.9342</v>
      </c>
      <c r="L41" s="263">
        <f t="shared" si="11"/>
        <v>3249708.1676000003</v>
      </c>
      <c r="M41" s="263">
        <f t="shared" si="11"/>
        <v>3995959.9522000002</v>
      </c>
      <c r="N41" s="263">
        <f t="shared" si="11"/>
        <v>2867577.4273000001</v>
      </c>
      <c r="O41" s="263">
        <f t="shared" si="11"/>
        <v>2355517.9466999997</v>
      </c>
      <c r="P41" s="34">
        <f>SUM(D41:O41)</f>
        <v>31254298.36606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12">D41/D9</f>
        <v>25.948595202559961</v>
      </c>
      <c r="E42" s="261">
        <f t="shared" si="12"/>
        <v>43.362365827267034</v>
      </c>
      <c r="F42" s="261">
        <f t="shared" si="12"/>
        <v>47.204312759969298</v>
      </c>
      <c r="G42" s="261">
        <f t="shared" si="12"/>
        <v>41.082085364394274</v>
      </c>
      <c r="H42" s="261">
        <f t="shared" si="12"/>
        <v>31.730301677821583</v>
      </c>
      <c r="I42" s="261">
        <f t="shared" si="12"/>
        <v>35.808563131821153</v>
      </c>
      <c r="J42" s="261">
        <f t="shared" si="12"/>
        <v>17.117483407556385</v>
      </c>
      <c r="K42" s="261">
        <f t="shared" si="12"/>
        <v>39.566922268574281</v>
      </c>
      <c r="L42" s="261">
        <f t="shared" si="12"/>
        <v>53.92364004978014</v>
      </c>
      <c r="M42" s="261">
        <f t="shared" si="12"/>
        <v>60.656971252922069</v>
      </c>
      <c r="N42" s="261">
        <f t="shared" si="12"/>
        <v>49.57861351856014</v>
      </c>
      <c r="O42" s="261">
        <f t="shared" si="12"/>
        <v>37.777744846997685</v>
      </c>
      <c r="P42" s="99">
        <f t="shared" si="12"/>
        <v>39.864413775323179</v>
      </c>
    </row>
    <row r="43" spans="1:16" x14ac:dyDescent="0.3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59">
        <v>56715</v>
      </c>
      <c r="E44" s="259">
        <v>55348.800000000003</v>
      </c>
      <c r="F44" s="259">
        <v>71480</v>
      </c>
      <c r="G44" s="259">
        <v>57800</v>
      </c>
      <c r="H44" s="259">
        <v>56715</v>
      </c>
      <c r="I44" s="259">
        <v>51921</v>
      </c>
      <c r="J44" s="259">
        <v>54690</v>
      </c>
      <c r="K44" s="259">
        <v>72598</v>
      </c>
      <c r="L44" s="259">
        <v>48883</v>
      </c>
      <c r="M44" s="423">
        <v>66276</v>
      </c>
      <c r="N44" s="259">
        <v>64745.762711864401</v>
      </c>
      <c r="O44" s="259">
        <v>55635</v>
      </c>
      <c r="P44" s="34">
        <f>SUM(D44:O44)</f>
        <v>712807.56271186448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13">D44/D9</f>
        <v>0.88099602336274385</v>
      </c>
      <c r="E45" s="261">
        <f t="shared" si="13"/>
        <v>0.91157152738891267</v>
      </c>
      <c r="F45" s="261">
        <f t="shared" si="13"/>
        <v>1.3063342958441464</v>
      </c>
      <c r="G45" s="261">
        <f t="shared" si="13"/>
        <v>0.76854548113872379</v>
      </c>
      <c r="H45" s="261">
        <f t="shared" si="13"/>
        <v>0.86664527367745481</v>
      </c>
      <c r="I45" s="261">
        <f t="shared" si="13"/>
        <v>0.65283156465322134</v>
      </c>
      <c r="J45" s="261">
        <f t="shared" si="13"/>
        <v>0.78566297945697461</v>
      </c>
      <c r="K45" s="261">
        <f t="shared" si="13"/>
        <v>1.0663944299186228</v>
      </c>
      <c r="L45" s="261">
        <f t="shared" si="13"/>
        <v>0.81113415747116901</v>
      </c>
      <c r="M45" s="261">
        <f t="shared" si="13"/>
        <v>1.0060414705971645</v>
      </c>
      <c r="N45" s="261">
        <f t="shared" si="13"/>
        <v>1.1194135913806325</v>
      </c>
      <c r="O45" s="261">
        <f t="shared" si="13"/>
        <v>0.89227290223248656</v>
      </c>
      <c r="P45" s="266">
        <f t="shared" si="13"/>
        <v>0.90917592483799992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9500810.9124999996</v>
      </c>
      <c r="E46" s="264">
        <f t="shared" ref="E46:O46" si="14">1.165*(16600+(E44*143.5))</f>
        <v>9272413.012000002</v>
      </c>
      <c r="F46" s="264">
        <f t="shared" si="14"/>
        <v>11969186.700000001</v>
      </c>
      <c r="G46" s="264">
        <f t="shared" si="14"/>
        <v>9682198.5</v>
      </c>
      <c r="H46" s="264">
        <f t="shared" si="14"/>
        <v>9500810.9124999996</v>
      </c>
      <c r="I46" s="264">
        <f t="shared" si="14"/>
        <v>8699361.977500001</v>
      </c>
      <c r="J46" s="264">
        <f t="shared" si="14"/>
        <v>9162276.4749999996</v>
      </c>
      <c r="K46" s="264">
        <f t="shared" si="14"/>
        <v>12156091.145</v>
      </c>
      <c r="L46" s="264">
        <f t="shared" si="14"/>
        <v>8191476.7324999999</v>
      </c>
      <c r="M46" s="264">
        <f t="shared" si="14"/>
        <v>11099194.99</v>
      </c>
      <c r="N46" s="264">
        <f t="shared" si="14"/>
        <v>10843373.745762711</v>
      </c>
      <c r="O46" s="264">
        <f t="shared" si="14"/>
        <v>9320259.2125000004</v>
      </c>
      <c r="P46" s="34">
        <f>SUM(D46:O46)</f>
        <v>119397454.31526271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15">D46/D9</f>
        <v>147.58311967969428</v>
      </c>
      <c r="E47" s="261">
        <f t="shared" si="15"/>
        <v>152.71275424091706</v>
      </c>
      <c r="F47" s="261">
        <f t="shared" si="15"/>
        <v>218.74313205892031</v>
      </c>
      <c r="G47" s="261">
        <f t="shared" si="15"/>
        <v>128.74065579001956</v>
      </c>
      <c r="H47" s="261">
        <f t="shared" si="15"/>
        <v>145.17910382476086</v>
      </c>
      <c r="I47" s="261">
        <f t="shared" si="15"/>
        <v>109.38190888573155</v>
      </c>
      <c r="J47" s="261">
        <f t="shared" si="15"/>
        <v>131.6229920270076</v>
      </c>
      <c r="K47" s="261">
        <f t="shared" si="15"/>
        <v>178.56122602015336</v>
      </c>
      <c r="L47" s="261">
        <f t="shared" si="15"/>
        <v>135.92427997179126</v>
      </c>
      <c r="M47" s="261">
        <f t="shared" si="15"/>
        <v>168.48105573939708</v>
      </c>
      <c r="N47" s="261">
        <f t="shared" si="15"/>
        <v>187.47512484245425</v>
      </c>
      <c r="O47" s="261">
        <f t="shared" si="15"/>
        <v>149.4781115681935</v>
      </c>
      <c r="P47" s="266">
        <f t="shared" si="15"/>
        <v>152.28975761339095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65">
        <v>2712</v>
      </c>
      <c r="E49" s="265">
        <v>2559</v>
      </c>
      <c r="F49" s="265">
        <v>2274</v>
      </c>
      <c r="G49" s="265">
        <v>2592</v>
      </c>
      <c r="H49" s="265">
        <v>1908</v>
      </c>
      <c r="I49" s="265">
        <v>1610</v>
      </c>
      <c r="J49" s="265">
        <v>2459</v>
      </c>
      <c r="K49" s="265">
        <v>2589</v>
      </c>
      <c r="L49" s="265">
        <v>2672</v>
      </c>
      <c r="M49" s="425">
        <v>2732</v>
      </c>
      <c r="N49" s="265">
        <v>1516</v>
      </c>
      <c r="O49" s="265">
        <v>2029</v>
      </c>
      <c r="P49" s="34">
        <f>SUM(D49:O49)</f>
        <v>27652</v>
      </c>
    </row>
    <row r="50" spans="1:16" x14ac:dyDescent="0.3">
      <c r="A50" s="312" t="s">
        <v>189</v>
      </c>
      <c r="B50" s="313"/>
      <c r="C50" s="4" t="s">
        <v>128</v>
      </c>
      <c r="D50" s="265">
        <v>300</v>
      </c>
      <c r="E50" s="265">
        <v>436</v>
      </c>
      <c r="F50" s="265">
        <v>294</v>
      </c>
      <c r="G50" s="265">
        <v>513</v>
      </c>
      <c r="H50" s="265">
        <v>580</v>
      </c>
      <c r="I50" s="265">
        <v>220</v>
      </c>
      <c r="J50" s="265">
        <v>252</v>
      </c>
      <c r="K50" s="265">
        <v>342</v>
      </c>
      <c r="L50" s="265">
        <v>351</v>
      </c>
      <c r="M50" s="425">
        <v>120</v>
      </c>
      <c r="N50" s="265">
        <v>210</v>
      </c>
      <c r="O50" s="265">
        <v>240</v>
      </c>
      <c r="P50" s="34">
        <f>SUM(D50:O50)</f>
        <v>3858</v>
      </c>
    </row>
    <row r="51" spans="1:16" x14ac:dyDescent="0.3">
      <c r="A51" s="312" t="s">
        <v>127</v>
      </c>
      <c r="B51" s="313"/>
      <c r="C51" s="4" t="s">
        <v>31</v>
      </c>
      <c r="D51" s="262">
        <v>441000</v>
      </c>
      <c r="E51" s="262">
        <v>1192024</v>
      </c>
      <c r="F51" s="262">
        <v>803796</v>
      </c>
      <c r="G51" s="262">
        <v>1402542</v>
      </c>
      <c r="H51" s="262">
        <v>1585720</v>
      </c>
      <c r="I51" s="262">
        <v>601480</v>
      </c>
      <c r="J51" s="262">
        <v>688968</v>
      </c>
      <c r="K51" s="262">
        <v>1197000</v>
      </c>
      <c r="L51" s="262">
        <v>1228500</v>
      </c>
      <c r="M51" s="424">
        <f t="shared" ref="M51" si="16">M50*3500</f>
        <v>420000</v>
      </c>
      <c r="N51" s="262">
        <v>735000</v>
      </c>
      <c r="O51" s="262">
        <v>840000</v>
      </c>
      <c r="P51" s="266">
        <f>SUM(D51:O51)</f>
        <v>11136030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x14ac:dyDescent="0.3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x14ac:dyDescent="0.3">
      <c r="A54" s="312" t="s">
        <v>124</v>
      </c>
      <c r="B54" s="313"/>
      <c r="C54" s="4" t="s">
        <v>18</v>
      </c>
      <c r="D54" s="262">
        <v>15500412.58</v>
      </c>
      <c r="E54" s="262">
        <v>15993838.800000001</v>
      </c>
      <c r="F54" s="262">
        <v>16837531.719999999</v>
      </c>
      <c r="G54" s="262">
        <v>16837531.719999999</v>
      </c>
      <c r="H54" s="262">
        <v>16622298.060000001</v>
      </c>
      <c r="I54" s="262">
        <v>16155162.279999999</v>
      </c>
      <c r="J54" s="262"/>
      <c r="K54" s="262">
        <v>16385259.02</v>
      </c>
      <c r="L54" s="262">
        <v>17248877.329999998</v>
      </c>
      <c r="M54" s="262"/>
      <c r="N54" s="262">
        <v>18768051.489999998</v>
      </c>
      <c r="O54" s="262">
        <v>17418536.25</v>
      </c>
      <c r="P54" s="34">
        <f>SUM(D54:O54)</f>
        <v>167767499.25</v>
      </c>
    </row>
    <row r="55" spans="1:16" x14ac:dyDescent="0.3">
      <c r="A55" s="267" t="s">
        <v>123</v>
      </c>
      <c r="B55" s="249"/>
      <c r="C55" s="4" t="s">
        <v>18</v>
      </c>
      <c r="D55" s="262">
        <v>3913343.38</v>
      </c>
      <c r="E55" s="262">
        <v>4019251.08</v>
      </c>
      <c r="F55" s="262">
        <v>5358554.32</v>
      </c>
      <c r="G55" s="262">
        <v>7820653.4400000004</v>
      </c>
      <c r="H55" s="262">
        <v>7793633.2000000002</v>
      </c>
      <c r="I55" s="262">
        <v>9349269.4399999995</v>
      </c>
      <c r="J55" s="262">
        <v>8484854.8800000008</v>
      </c>
      <c r="K55" s="262">
        <v>8484854.8800000008</v>
      </c>
      <c r="L55" s="262">
        <v>8030642.96</v>
      </c>
      <c r="M55" s="424">
        <v>6479315.9199999999</v>
      </c>
      <c r="N55" s="262"/>
      <c r="O55" s="262">
        <v>6951595.7599999998</v>
      </c>
      <c r="P55" s="34">
        <f>SUM(D55:O55)</f>
        <v>76685969.260000005</v>
      </c>
    </row>
    <row r="56" spans="1:16" x14ac:dyDescent="0.3">
      <c r="A56" s="312" t="s">
        <v>122</v>
      </c>
      <c r="B56" s="313"/>
      <c r="C56" s="4" t="s">
        <v>18</v>
      </c>
      <c r="D56" s="262">
        <v>7391853.6299999999</v>
      </c>
      <c r="E56" s="262">
        <v>293286.24</v>
      </c>
      <c r="F56" s="262">
        <v>19454059.48</v>
      </c>
      <c r="G56" s="262">
        <v>156000</v>
      </c>
      <c r="H56" s="262">
        <v>2545700</v>
      </c>
      <c r="I56" s="262">
        <v>16955302.079999998</v>
      </c>
      <c r="J56" s="262">
        <v>3671766.85</v>
      </c>
      <c r="K56" s="262">
        <v>4725040.12</v>
      </c>
      <c r="L56" s="262">
        <v>2000</v>
      </c>
      <c r="M56" s="424">
        <v>7683365.9199999999</v>
      </c>
      <c r="N56" s="262">
        <v>5351000</v>
      </c>
      <c r="O56" s="262">
        <v>1754000</v>
      </c>
      <c r="P56" s="34">
        <f>SUM(D56:O56)</f>
        <v>69983374.319999993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>D41+D46+D51+D52+D54+D55+D56</f>
        <v>38417887.26726</v>
      </c>
      <c r="E58" s="262">
        <f t="shared" ref="E58:O58" si="17">E41+E46+E51+E52+E54+E55+E56</f>
        <v>33403689.260299999</v>
      </c>
      <c r="F58" s="262">
        <f t="shared" si="17"/>
        <v>57006053.805600002</v>
      </c>
      <c r="G58" s="262">
        <f t="shared" si="17"/>
        <v>38988586.053999998</v>
      </c>
      <c r="H58" s="262">
        <f t="shared" si="17"/>
        <v>40124656.574900001</v>
      </c>
      <c r="I58" s="262">
        <f t="shared" si="17"/>
        <v>54608502.420499995</v>
      </c>
      <c r="J58" s="262">
        <f t="shared" si="17"/>
        <v>23199414.225000001</v>
      </c>
      <c r="K58" s="262">
        <f t="shared" si="17"/>
        <v>45641882.099199995</v>
      </c>
      <c r="L58" s="262">
        <f t="shared" si="17"/>
        <v>37951205.190099999</v>
      </c>
      <c r="M58" s="262">
        <f t="shared" si="17"/>
        <v>29677836.782200001</v>
      </c>
      <c r="N58" s="262">
        <f t="shared" si="17"/>
        <v>38565002.663062707</v>
      </c>
      <c r="O58" s="262">
        <f t="shared" si="17"/>
        <v>38639909.169199996</v>
      </c>
      <c r="P58" s="34">
        <f>SUM(D58:O58)</f>
        <v>476224625.51132274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18">D58/D9</f>
        <v>596.77344456412322</v>
      </c>
      <c r="E59" s="261">
        <f t="shared" si="18"/>
        <v>550.1447554316677</v>
      </c>
      <c r="F59" s="261">
        <f t="shared" si="18"/>
        <v>1041.8153771263569</v>
      </c>
      <c r="G59" s="261">
        <f t="shared" si="18"/>
        <v>518.41698317975715</v>
      </c>
      <c r="H59" s="261">
        <f t="shared" si="18"/>
        <v>613.13310373918887</v>
      </c>
      <c r="I59" s="261">
        <f t="shared" si="18"/>
        <v>686.62302495222048</v>
      </c>
      <c r="J59" s="261">
        <f t="shared" si="18"/>
        <v>333.27703239477091</v>
      </c>
      <c r="K59" s="261">
        <f t="shared" si="18"/>
        <v>670.43511999764974</v>
      </c>
      <c r="L59" s="261">
        <f t="shared" si="18"/>
        <v>629.73874039824113</v>
      </c>
      <c r="M59" s="261">
        <f t="shared" si="18"/>
        <v>450.49693041986706</v>
      </c>
      <c r="N59" s="261">
        <f t="shared" si="18"/>
        <v>666.76468581861218</v>
      </c>
      <c r="O59" s="261">
        <f t="shared" si="18"/>
        <v>619.70601054015901</v>
      </c>
      <c r="P59" s="266">
        <f t="shared" si="18"/>
        <v>607.41774776161515</v>
      </c>
    </row>
    <row r="60" spans="1:16" x14ac:dyDescent="0.3">
      <c r="A60" s="312" t="s">
        <v>118</v>
      </c>
      <c r="B60" s="313"/>
      <c r="C60" s="4" t="s">
        <v>117</v>
      </c>
      <c r="D60" s="261">
        <f>D58/D22</f>
        <v>827.91996334841122</v>
      </c>
      <c r="E60" s="261">
        <f t="shared" ref="E60:O60" si="19">E58/E22</f>
        <v>778.64803541991057</v>
      </c>
      <c r="F60" s="261">
        <f t="shared" si="19"/>
        <v>1506.4746108185104</v>
      </c>
      <c r="G60" s="261">
        <f t="shared" si="19"/>
        <v>738.73779170211424</v>
      </c>
      <c r="H60" s="261">
        <f t="shared" si="19"/>
        <v>883.59281437235188</v>
      </c>
      <c r="I60" s="261">
        <f t="shared" si="19"/>
        <v>988.55916257999104</v>
      </c>
      <c r="J60" s="261">
        <f t="shared" si="19"/>
        <v>472.85237512407599</v>
      </c>
      <c r="K60" s="261">
        <f t="shared" si="19"/>
        <v>964.4573270419387</v>
      </c>
      <c r="L60" s="261">
        <f t="shared" si="19"/>
        <v>891.436263511466</v>
      </c>
      <c r="M60" s="261">
        <f t="shared" si="19"/>
        <v>640.74227851867215</v>
      </c>
      <c r="N60" s="261">
        <f t="shared" si="19"/>
        <v>950.43874859677408</v>
      </c>
      <c r="O60" s="261">
        <f t="shared" si="19"/>
        <v>898.21609700942611</v>
      </c>
      <c r="P60" s="387">
        <f>P58/P22</f>
        <v>866.73930770970924</v>
      </c>
    </row>
    <row r="61" spans="1:16" x14ac:dyDescent="0.3">
      <c r="A61" s="312" t="s">
        <v>116</v>
      </c>
      <c r="B61" s="313"/>
      <c r="C61" s="4" t="s">
        <v>3</v>
      </c>
      <c r="D61" s="265">
        <v>24</v>
      </c>
      <c r="E61" s="265">
        <v>24</v>
      </c>
      <c r="F61" s="265">
        <v>24</v>
      </c>
      <c r="G61" s="265">
        <v>26</v>
      </c>
      <c r="H61" s="265">
        <v>25</v>
      </c>
      <c r="I61" s="265">
        <v>25</v>
      </c>
      <c r="J61" s="265">
        <v>25</v>
      </c>
      <c r="K61" s="265">
        <v>25</v>
      </c>
      <c r="L61" s="265">
        <v>19</v>
      </c>
      <c r="M61" s="425">
        <v>26</v>
      </c>
      <c r="N61" s="265">
        <v>26</v>
      </c>
      <c r="O61" s="265">
        <v>26</v>
      </c>
      <c r="P61" s="34">
        <f>O61</f>
        <v>26</v>
      </c>
    </row>
    <row r="62" spans="1:16" ht="15.6" customHeight="1" x14ac:dyDescent="0.3">
      <c r="A62" s="312" t="s">
        <v>115</v>
      </c>
      <c r="B62" s="313"/>
      <c r="C62" s="4" t="s">
        <v>114</v>
      </c>
      <c r="D62" s="261">
        <f t="shared" ref="D62:P62" si="20">(D61*1000*31)/D9</f>
        <v>11.557102025599603</v>
      </c>
      <c r="E62" s="261">
        <f t="shared" si="20"/>
        <v>12.253368029249975</v>
      </c>
      <c r="F62" s="261">
        <f t="shared" si="20"/>
        <v>13.596988194012939</v>
      </c>
      <c r="G62" s="261">
        <f t="shared" si="20"/>
        <v>10.717087505152445</v>
      </c>
      <c r="H62" s="261">
        <f t="shared" si="20"/>
        <v>11.842547599400996</v>
      </c>
      <c r="I62" s="261">
        <f t="shared" si="20"/>
        <v>9.7445053563345567</v>
      </c>
      <c r="J62" s="261">
        <f t="shared" si="20"/>
        <v>11.133457836517742</v>
      </c>
      <c r="K62" s="261">
        <f t="shared" si="20"/>
        <v>11.384000705073593</v>
      </c>
      <c r="L62" s="261">
        <f t="shared" si="20"/>
        <v>9.7735003733510322</v>
      </c>
      <c r="M62" s="261">
        <f t="shared" si="20"/>
        <v>12.234736937976258</v>
      </c>
      <c r="N62" s="261">
        <f t="shared" si="20"/>
        <v>13.935234011653037</v>
      </c>
      <c r="O62" s="261">
        <f t="shared" si="20"/>
        <v>12.926610212984347</v>
      </c>
      <c r="P62" s="266">
        <f t="shared" si="20"/>
        <v>1.0280415553273854</v>
      </c>
    </row>
    <row r="63" spans="1:16" x14ac:dyDescent="0.3">
      <c r="A63" s="346" t="s">
        <v>113</v>
      </c>
      <c r="B63" s="347"/>
      <c r="C63" s="33" t="s">
        <v>3</v>
      </c>
      <c r="D63" s="265">
        <v>26</v>
      </c>
      <c r="E63" s="265">
        <v>46</v>
      </c>
      <c r="F63" s="265">
        <v>46</v>
      </c>
      <c r="G63" s="265">
        <v>45</v>
      </c>
      <c r="H63" s="265">
        <v>53</v>
      </c>
      <c r="I63" s="265">
        <v>53</v>
      </c>
      <c r="J63" s="265">
        <v>55</v>
      </c>
      <c r="K63" s="265">
        <v>57</v>
      </c>
      <c r="L63" s="265">
        <v>60</v>
      </c>
      <c r="M63" s="425">
        <v>60</v>
      </c>
      <c r="N63" s="265">
        <v>50</v>
      </c>
      <c r="O63" s="265">
        <v>50</v>
      </c>
      <c r="P63" s="34">
        <f>SUM(D63:O63)</f>
        <v>601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x14ac:dyDescent="0.3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x14ac:dyDescent="0.3">
      <c r="A66" s="176" t="s">
        <v>111</v>
      </c>
      <c r="B66" s="4" t="s">
        <v>85</v>
      </c>
      <c r="C66" s="4" t="s">
        <v>3</v>
      </c>
      <c r="D66" s="268">
        <v>678</v>
      </c>
      <c r="E66" s="268">
        <v>684</v>
      </c>
      <c r="F66" s="268">
        <v>686</v>
      </c>
      <c r="G66" s="268">
        <v>712</v>
      </c>
      <c r="H66" s="268">
        <v>755</v>
      </c>
      <c r="I66" s="268">
        <v>809</v>
      </c>
      <c r="J66" s="268">
        <v>834</v>
      </c>
      <c r="K66" s="268">
        <v>842</v>
      </c>
      <c r="L66" s="268">
        <v>833</v>
      </c>
      <c r="M66" s="268">
        <v>813</v>
      </c>
      <c r="N66" s="268">
        <v>818</v>
      </c>
      <c r="O66" s="268">
        <v>832</v>
      </c>
      <c r="P66" s="31">
        <f>D66</f>
        <v>678</v>
      </c>
    </row>
    <row r="67" spans="1:16" x14ac:dyDescent="0.3">
      <c r="A67" s="307"/>
      <c r="B67" s="4" t="s">
        <v>106</v>
      </c>
      <c r="C67" s="4" t="s">
        <v>3</v>
      </c>
      <c r="D67" s="269">
        <v>42</v>
      </c>
      <c r="E67" s="269">
        <v>22</v>
      </c>
      <c r="F67" s="269">
        <v>48</v>
      </c>
      <c r="G67" s="269">
        <v>52</v>
      </c>
      <c r="H67" s="269">
        <v>76</v>
      </c>
      <c r="I67" s="269">
        <v>57</v>
      </c>
      <c r="J67" s="269">
        <v>69</v>
      </c>
      <c r="K67" s="269">
        <v>44</v>
      </c>
      <c r="L67" s="269">
        <v>19</v>
      </c>
      <c r="M67" s="269">
        <v>33</v>
      </c>
      <c r="N67" s="269">
        <v>42</v>
      </c>
      <c r="O67" s="269">
        <v>51</v>
      </c>
      <c r="P67" s="31">
        <f>SUM(D67:O67)</f>
        <v>555</v>
      </c>
    </row>
    <row r="68" spans="1:16" x14ac:dyDescent="0.3">
      <c r="A68" s="307"/>
      <c r="B68" s="4" t="s">
        <v>105</v>
      </c>
      <c r="C68" s="4" t="s">
        <v>3</v>
      </c>
      <c r="D68" s="269"/>
      <c r="E68" s="269"/>
      <c r="F68" s="269"/>
      <c r="G68" s="269"/>
      <c r="H68" s="269"/>
      <c r="I68" s="269"/>
      <c r="J68" s="269">
        <v>24</v>
      </c>
      <c r="K68" s="269">
        <v>17</v>
      </c>
      <c r="L68" s="269">
        <v>32</v>
      </c>
      <c r="M68" s="269">
        <v>28</v>
      </c>
      <c r="N68" s="269">
        <v>28</v>
      </c>
      <c r="O68" s="269">
        <v>24</v>
      </c>
      <c r="P68" s="31">
        <f t="shared" ref="P68:P69" si="21">SUM(D68:O68)</f>
        <v>153</v>
      </c>
    </row>
    <row r="69" spans="1:16" x14ac:dyDescent="0.3">
      <c r="A69" s="307"/>
      <c r="B69" s="4" t="s">
        <v>104</v>
      </c>
      <c r="C69" s="4" t="s">
        <v>3</v>
      </c>
      <c r="D69" s="418">
        <v>36</v>
      </c>
      <c r="E69" s="262">
        <v>20</v>
      </c>
      <c r="F69" s="262">
        <v>22</v>
      </c>
      <c r="G69" s="262">
        <v>9</v>
      </c>
      <c r="H69" s="262">
        <v>22</v>
      </c>
      <c r="I69" s="262">
        <v>32</v>
      </c>
      <c r="J69" s="262">
        <v>37</v>
      </c>
      <c r="K69" s="262">
        <v>36</v>
      </c>
      <c r="L69" s="262">
        <v>7</v>
      </c>
      <c r="M69" s="262"/>
      <c r="N69" s="262"/>
      <c r="O69" s="262">
        <v>2</v>
      </c>
      <c r="P69" s="31">
        <f t="shared" si="21"/>
        <v>223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36</v>
      </c>
      <c r="E70" s="269">
        <f t="shared" ref="E70:P70" si="22">E68+E69</f>
        <v>20</v>
      </c>
      <c r="F70" s="269">
        <f t="shared" si="22"/>
        <v>22</v>
      </c>
      <c r="G70" s="269">
        <f t="shared" si="22"/>
        <v>9</v>
      </c>
      <c r="H70" s="269">
        <v>22</v>
      </c>
      <c r="I70" s="269">
        <f t="shared" si="22"/>
        <v>32</v>
      </c>
      <c r="J70" s="269">
        <f t="shared" si="22"/>
        <v>61</v>
      </c>
      <c r="K70" s="269">
        <f t="shared" si="22"/>
        <v>53</v>
      </c>
      <c r="L70" s="269">
        <f t="shared" si="22"/>
        <v>39</v>
      </c>
      <c r="M70" s="269">
        <f t="shared" si="22"/>
        <v>28</v>
      </c>
      <c r="N70" s="269">
        <f t="shared" si="22"/>
        <v>28</v>
      </c>
      <c r="O70" s="269">
        <v>26</v>
      </c>
      <c r="P70" s="270">
        <f t="shared" si="22"/>
        <v>376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684</v>
      </c>
      <c r="E71" s="271">
        <f t="shared" ref="E71:O71" si="23">E66+E67-E70</f>
        <v>686</v>
      </c>
      <c r="F71" s="271">
        <f t="shared" si="23"/>
        <v>712</v>
      </c>
      <c r="G71" s="271">
        <f t="shared" si="23"/>
        <v>755</v>
      </c>
      <c r="H71" s="271">
        <f t="shared" si="23"/>
        <v>809</v>
      </c>
      <c r="I71" s="271">
        <f t="shared" si="23"/>
        <v>834</v>
      </c>
      <c r="J71" s="271">
        <f t="shared" si="23"/>
        <v>842</v>
      </c>
      <c r="K71" s="271">
        <f t="shared" si="23"/>
        <v>833</v>
      </c>
      <c r="L71" s="271">
        <f t="shared" si="23"/>
        <v>813</v>
      </c>
      <c r="M71" s="271">
        <f t="shared" si="23"/>
        <v>818</v>
      </c>
      <c r="N71" s="271">
        <f t="shared" si="23"/>
        <v>832</v>
      </c>
      <c r="O71" s="271">
        <f t="shared" si="23"/>
        <v>857</v>
      </c>
      <c r="P71" s="272">
        <f>P66+P67-P70</f>
        <v>857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0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24">SUM(D74:O74)</f>
        <v>0</v>
      </c>
    </row>
    <row r="75" spans="1:16" x14ac:dyDescent="0.3">
      <c r="A75" s="307"/>
      <c r="B75" s="4" t="s">
        <v>104</v>
      </c>
      <c r="C75" s="4" t="s">
        <v>3</v>
      </c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24"/>
        <v>0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0</v>
      </c>
      <c r="E76" s="269">
        <f t="shared" ref="E76:P76" si="25">E74+E75</f>
        <v>0</v>
      </c>
      <c r="F76" s="269">
        <f t="shared" si="25"/>
        <v>0</v>
      </c>
      <c r="G76" s="269">
        <f t="shared" si="25"/>
        <v>0</v>
      </c>
      <c r="H76" s="269">
        <f t="shared" si="25"/>
        <v>0</v>
      </c>
      <c r="I76" s="269">
        <f t="shared" si="25"/>
        <v>0</v>
      </c>
      <c r="J76" s="269">
        <f t="shared" si="25"/>
        <v>0</v>
      </c>
      <c r="K76" s="269">
        <f t="shared" si="25"/>
        <v>0</v>
      </c>
      <c r="L76" s="269">
        <f t="shared" si="25"/>
        <v>0</v>
      </c>
      <c r="M76" s="269">
        <f t="shared" si="25"/>
        <v>0</v>
      </c>
      <c r="N76" s="269">
        <f t="shared" si="25"/>
        <v>0</v>
      </c>
      <c r="O76" s="269">
        <f t="shared" si="25"/>
        <v>0</v>
      </c>
      <c r="P76" s="270">
        <f t="shared" si="25"/>
        <v>0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26">E72+E73-E76</f>
        <v>0</v>
      </c>
      <c r="F77" s="271">
        <f t="shared" si="26"/>
        <v>0</v>
      </c>
      <c r="G77" s="271">
        <f t="shared" si="26"/>
        <v>0</v>
      </c>
      <c r="H77" s="271">
        <f t="shared" si="26"/>
        <v>0</v>
      </c>
      <c r="I77" s="271">
        <f t="shared" si="26"/>
        <v>0</v>
      </c>
      <c r="J77" s="271">
        <f t="shared" si="26"/>
        <v>0</v>
      </c>
      <c r="K77" s="271">
        <f t="shared" si="26"/>
        <v>0</v>
      </c>
      <c r="L77" s="271">
        <f t="shared" si="26"/>
        <v>0</v>
      </c>
      <c r="M77" s="271">
        <f t="shared" si="26"/>
        <v>0</v>
      </c>
      <c r="N77" s="271">
        <f t="shared" si="26"/>
        <v>0</v>
      </c>
      <c r="O77" s="271">
        <f t="shared" si="26"/>
        <v>0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0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0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27">E80+E81</f>
        <v>0</v>
      </c>
      <c r="F82" s="269">
        <f t="shared" si="27"/>
        <v>0</v>
      </c>
      <c r="G82" s="269">
        <f t="shared" si="27"/>
        <v>0</v>
      </c>
      <c r="H82" s="269">
        <f t="shared" si="27"/>
        <v>0</v>
      </c>
      <c r="I82" s="269">
        <f t="shared" si="27"/>
        <v>0</v>
      </c>
      <c r="J82" s="269">
        <f t="shared" si="27"/>
        <v>0</v>
      </c>
      <c r="K82" s="269">
        <f t="shared" si="27"/>
        <v>0</v>
      </c>
      <c r="L82" s="269">
        <f t="shared" si="27"/>
        <v>0</v>
      </c>
      <c r="M82" s="269">
        <f t="shared" si="27"/>
        <v>0</v>
      </c>
      <c r="N82" s="269">
        <f t="shared" si="27"/>
        <v>0</v>
      </c>
      <c r="O82" s="269">
        <f t="shared" si="27"/>
        <v>0</v>
      </c>
      <c r="P82" s="270">
        <f t="shared" ref="P82" si="28">P81+P80</f>
        <v>0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P83" si="29">E78+E79-E82</f>
        <v>0</v>
      </c>
      <c r="F83" s="271">
        <f t="shared" si="29"/>
        <v>0</v>
      </c>
      <c r="G83" s="271">
        <f t="shared" si="29"/>
        <v>0</v>
      </c>
      <c r="H83" s="271">
        <f t="shared" si="29"/>
        <v>0</v>
      </c>
      <c r="I83" s="271">
        <f t="shared" si="29"/>
        <v>0</v>
      </c>
      <c r="J83" s="271">
        <f t="shared" si="29"/>
        <v>0</v>
      </c>
      <c r="K83" s="271">
        <f t="shared" si="29"/>
        <v>0</v>
      </c>
      <c r="L83" s="271">
        <f t="shared" si="29"/>
        <v>0</v>
      </c>
      <c r="M83" s="271">
        <f t="shared" si="29"/>
        <v>0</v>
      </c>
      <c r="N83" s="271">
        <f t="shared" si="29"/>
        <v>0</v>
      </c>
      <c r="O83" s="271">
        <f t="shared" si="29"/>
        <v>0</v>
      </c>
      <c r="P83" s="272">
        <f t="shared" si="29"/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30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30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31">E86+E87</f>
        <v>0</v>
      </c>
      <c r="F88" s="269">
        <f t="shared" si="31"/>
        <v>0</v>
      </c>
      <c r="G88" s="269">
        <f t="shared" si="31"/>
        <v>0</v>
      </c>
      <c r="H88" s="269">
        <f t="shared" si="31"/>
        <v>0</v>
      </c>
      <c r="I88" s="269">
        <f t="shared" si="31"/>
        <v>0</v>
      </c>
      <c r="J88" s="269">
        <f t="shared" si="31"/>
        <v>0</v>
      </c>
      <c r="K88" s="269">
        <f t="shared" si="31"/>
        <v>0</v>
      </c>
      <c r="L88" s="269">
        <f t="shared" si="31"/>
        <v>0</v>
      </c>
      <c r="M88" s="269">
        <f t="shared" si="31"/>
        <v>0</v>
      </c>
      <c r="N88" s="269">
        <f t="shared" si="31"/>
        <v>0</v>
      </c>
      <c r="O88" s="269">
        <f t="shared" si="31"/>
        <v>0</v>
      </c>
      <c r="P88" s="31">
        <f t="shared" si="30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32">E84+E85-E88</f>
        <v>0</v>
      </c>
      <c r="F89" s="417">
        <f t="shared" si="32"/>
        <v>0</v>
      </c>
      <c r="G89" s="417">
        <f t="shared" si="32"/>
        <v>0</v>
      </c>
      <c r="H89" s="417">
        <f t="shared" si="32"/>
        <v>0</v>
      </c>
      <c r="I89" s="417">
        <f t="shared" si="32"/>
        <v>0</v>
      </c>
      <c r="J89" s="417">
        <f t="shared" si="32"/>
        <v>0</v>
      </c>
      <c r="K89" s="417">
        <f t="shared" si="32"/>
        <v>0</v>
      </c>
      <c r="L89" s="417">
        <f t="shared" si="32"/>
        <v>0</v>
      </c>
      <c r="M89" s="417">
        <f t="shared" si="32"/>
        <v>0</v>
      </c>
      <c r="N89" s="417">
        <f t="shared" si="32"/>
        <v>0</v>
      </c>
      <c r="O89" s="417">
        <f t="shared" si="32"/>
        <v>0</v>
      </c>
      <c r="P89" s="272">
        <f t="shared" ref="P89" si="33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:O93" si="34">D66+D72+D78+D84</f>
        <v>678</v>
      </c>
      <c r="E90" s="119">
        <f t="shared" si="34"/>
        <v>684</v>
      </c>
      <c r="F90" s="119">
        <f t="shared" si="34"/>
        <v>686</v>
      </c>
      <c r="G90" s="119">
        <f t="shared" si="34"/>
        <v>712</v>
      </c>
      <c r="H90" s="119">
        <f t="shared" si="34"/>
        <v>755</v>
      </c>
      <c r="I90" s="119">
        <f t="shared" si="34"/>
        <v>809</v>
      </c>
      <c r="J90" s="119">
        <f t="shared" si="34"/>
        <v>834</v>
      </c>
      <c r="K90" s="119">
        <f t="shared" si="34"/>
        <v>842</v>
      </c>
      <c r="L90" s="119">
        <f t="shared" si="34"/>
        <v>833</v>
      </c>
      <c r="M90" s="119">
        <f t="shared" si="34"/>
        <v>813</v>
      </c>
      <c r="N90" s="119">
        <f t="shared" si="34"/>
        <v>818</v>
      </c>
      <c r="O90" s="119">
        <f t="shared" si="34"/>
        <v>832</v>
      </c>
      <c r="P90" s="31">
        <f>D90</f>
        <v>678</v>
      </c>
    </row>
    <row r="91" spans="1:16" x14ac:dyDescent="0.3">
      <c r="A91" s="353"/>
      <c r="B91" s="4" t="s">
        <v>106</v>
      </c>
      <c r="C91" s="4" t="s">
        <v>3</v>
      </c>
      <c r="D91" s="119">
        <f t="shared" si="34"/>
        <v>42</v>
      </c>
      <c r="E91" s="119">
        <f t="shared" si="34"/>
        <v>22</v>
      </c>
      <c r="F91" s="119">
        <f t="shared" si="34"/>
        <v>48</v>
      </c>
      <c r="G91" s="119">
        <f t="shared" si="34"/>
        <v>52</v>
      </c>
      <c r="H91" s="119">
        <f t="shared" si="34"/>
        <v>76</v>
      </c>
      <c r="I91" s="119">
        <f t="shared" si="34"/>
        <v>57</v>
      </c>
      <c r="J91" s="119">
        <f t="shared" si="34"/>
        <v>69</v>
      </c>
      <c r="K91" s="119">
        <f t="shared" si="34"/>
        <v>44</v>
      </c>
      <c r="L91" s="119">
        <f t="shared" si="34"/>
        <v>19</v>
      </c>
      <c r="M91" s="119">
        <f t="shared" si="34"/>
        <v>33</v>
      </c>
      <c r="N91" s="119">
        <f t="shared" si="34"/>
        <v>42</v>
      </c>
      <c r="O91" s="119">
        <f t="shared" si="34"/>
        <v>51</v>
      </c>
      <c r="P91" s="31">
        <f>SUM(D91:O91)</f>
        <v>555</v>
      </c>
    </row>
    <row r="92" spans="1:16" x14ac:dyDescent="0.3">
      <c r="A92" s="353"/>
      <c r="B92" s="4" t="s">
        <v>105</v>
      </c>
      <c r="C92" s="4" t="s">
        <v>3</v>
      </c>
      <c r="D92" s="119">
        <f t="shared" si="34"/>
        <v>0</v>
      </c>
      <c r="E92" s="119">
        <f t="shared" si="34"/>
        <v>0</v>
      </c>
      <c r="F92" s="119">
        <f t="shared" si="34"/>
        <v>0</v>
      </c>
      <c r="G92" s="119">
        <f t="shared" si="34"/>
        <v>0</v>
      </c>
      <c r="H92" s="119">
        <f t="shared" si="34"/>
        <v>0</v>
      </c>
      <c r="I92" s="119">
        <f t="shared" si="34"/>
        <v>0</v>
      </c>
      <c r="J92" s="119">
        <f t="shared" si="34"/>
        <v>24</v>
      </c>
      <c r="K92" s="119">
        <f t="shared" si="34"/>
        <v>17</v>
      </c>
      <c r="L92" s="119">
        <f t="shared" si="34"/>
        <v>32</v>
      </c>
      <c r="M92" s="119">
        <f t="shared" si="34"/>
        <v>28</v>
      </c>
      <c r="N92" s="119">
        <f t="shared" si="34"/>
        <v>28</v>
      </c>
      <c r="O92" s="119">
        <f t="shared" si="34"/>
        <v>24</v>
      </c>
      <c r="P92" s="31">
        <f>SUM(D92:O92)</f>
        <v>153</v>
      </c>
    </row>
    <row r="93" spans="1:16" x14ac:dyDescent="0.3">
      <c r="A93" s="353"/>
      <c r="B93" s="4" t="s">
        <v>104</v>
      </c>
      <c r="C93" s="4"/>
      <c r="D93" s="119">
        <f t="shared" si="34"/>
        <v>36</v>
      </c>
      <c r="E93" s="119">
        <f t="shared" si="34"/>
        <v>20</v>
      </c>
      <c r="F93" s="119">
        <f t="shared" si="34"/>
        <v>22</v>
      </c>
      <c r="G93" s="119">
        <f t="shared" si="34"/>
        <v>9</v>
      </c>
      <c r="H93" s="119">
        <f t="shared" si="34"/>
        <v>22</v>
      </c>
      <c r="I93" s="119">
        <f t="shared" si="34"/>
        <v>32</v>
      </c>
      <c r="J93" s="119">
        <f t="shared" si="34"/>
        <v>37</v>
      </c>
      <c r="K93" s="119">
        <f t="shared" si="34"/>
        <v>36</v>
      </c>
      <c r="L93" s="119">
        <f t="shared" si="34"/>
        <v>7</v>
      </c>
      <c r="M93" s="119">
        <f t="shared" si="34"/>
        <v>0</v>
      </c>
      <c r="N93" s="119">
        <f t="shared" si="34"/>
        <v>0</v>
      </c>
      <c r="O93" s="119">
        <f t="shared" si="34"/>
        <v>2</v>
      </c>
      <c r="P93" s="31">
        <f>SUM(D93:O93)</f>
        <v>223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36</v>
      </c>
      <c r="E94" s="120">
        <f t="shared" ref="E94:P94" si="35">E93+E92</f>
        <v>20</v>
      </c>
      <c r="F94" s="120">
        <f t="shared" si="35"/>
        <v>22</v>
      </c>
      <c r="G94" s="120">
        <f t="shared" si="35"/>
        <v>9</v>
      </c>
      <c r="H94" s="120">
        <f t="shared" si="35"/>
        <v>22</v>
      </c>
      <c r="I94" s="120">
        <f t="shared" si="35"/>
        <v>32</v>
      </c>
      <c r="J94" s="120">
        <f t="shared" si="35"/>
        <v>61</v>
      </c>
      <c r="K94" s="120">
        <f t="shared" si="35"/>
        <v>53</v>
      </c>
      <c r="L94" s="120">
        <f t="shared" si="35"/>
        <v>39</v>
      </c>
      <c r="M94" s="120">
        <f t="shared" si="35"/>
        <v>28</v>
      </c>
      <c r="N94" s="120">
        <f t="shared" si="35"/>
        <v>28</v>
      </c>
      <c r="O94" s="120">
        <f t="shared" si="35"/>
        <v>26</v>
      </c>
      <c r="P94" s="127">
        <f t="shared" si="35"/>
        <v>376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684</v>
      </c>
      <c r="E95" s="121">
        <f t="shared" ref="E95:P95" si="36">E90+E91-E94</f>
        <v>686</v>
      </c>
      <c r="F95" s="121">
        <f t="shared" si="36"/>
        <v>712</v>
      </c>
      <c r="G95" s="121">
        <f t="shared" si="36"/>
        <v>755</v>
      </c>
      <c r="H95" s="121">
        <f t="shared" si="36"/>
        <v>809</v>
      </c>
      <c r="I95" s="121">
        <f t="shared" si="36"/>
        <v>834</v>
      </c>
      <c r="J95" s="121">
        <f t="shared" si="36"/>
        <v>842</v>
      </c>
      <c r="K95" s="121">
        <f t="shared" si="36"/>
        <v>833</v>
      </c>
      <c r="L95" s="121">
        <f t="shared" si="36"/>
        <v>813</v>
      </c>
      <c r="M95" s="121">
        <f t="shared" si="36"/>
        <v>818</v>
      </c>
      <c r="N95" s="121">
        <f t="shared" si="36"/>
        <v>832</v>
      </c>
      <c r="O95" s="121">
        <f t="shared" si="36"/>
        <v>857</v>
      </c>
      <c r="P95" s="128">
        <f t="shared" si="36"/>
        <v>857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77">
        <v>36</v>
      </c>
      <c r="E98" s="277">
        <v>20</v>
      </c>
      <c r="F98" s="277">
        <v>63</v>
      </c>
      <c r="G98" s="277">
        <v>54</v>
      </c>
      <c r="H98" s="277">
        <v>43</v>
      </c>
      <c r="I98" s="277">
        <v>32</v>
      </c>
      <c r="J98" s="277">
        <v>45</v>
      </c>
      <c r="K98" s="277">
        <v>36</v>
      </c>
      <c r="L98" s="277">
        <v>7</v>
      </c>
      <c r="M98" s="277">
        <v>21</v>
      </c>
      <c r="N98" s="277"/>
      <c r="O98" s="277">
        <v>2</v>
      </c>
      <c r="P98" s="146">
        <f>SUM(D98:O98)</f>
        <v>359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5">
        <v>1458</v>
      </c>
      <c r="E101" s="265">
        <v>1504</v>
      </c>
      <c r="F101" s="265">
        <v>1689</v>
      </c>
      <c r="G101" s="265">
        <v>1689</v>
      </c>
      <c r="H101" s="265">
        <v>1662</v>
      </c>
      <c r="I101" s="265">
        <v>1662</v>
      </c>
      <c r="J101" s="265">
        <v>1701</v>
      </c>
      <c r="K101" s="265">
        <v>1701</v>
      </c>
      <c r="L101" s="265">
        <v>1698</v>
      </c>
      <c r="M101" s="265">
        <v>1689</v>
      </c>
      <c r="N101" s="265">
        <v>1690</v>
      </c>
      <c r="O101" s="265">
        <v>1684</v>
      </c>
      <c r="P101" s="278">
        <f t="shared" ref="P101:P116" si="37">O101</f>
        <v>1684</v>
      </c>
    </row>
    <row r="102" spans="1:16" x14ac:dyDescent="0.3">
      <c r="A102" s="312" t="s">
        <v>101</v>
      </c>
      <c r="B102" s="313"/>
      <c r="C102" s="4" t="s">
        <v>3</v>
      </c>
      <c r="D102" s="265">
        <v>33</v>
      </c>
      <c r="E102" s="265">
        <v>33</v>
      </c>
      <c r="F102" s="265">
        <v>33</v>
      </c>
      <c r="G102" s="265">
        <v>33</v>
      </c>
      <c r="H102" s="265">
        <v>33</v>
      </c>
      <c r="I102" s="265">
        <v>33</v>
      </c>
      <c r="J102" s="265">
        <v>33</v>
      </c>
      <c r="K102" s="265">
        <v>33</v>
      </c>
      <c r="L102" s="265">
        <v>33</v>
      </c>
      <c r="M102" s="265">
        <v>33</v>
      </c>
      <c r="N102" s="265">
        <v>33</v>
      </c>
      <c r="O102" s="265">
        <v>33</v>
      </c>
      <c r="P102" s="278">
        <f t="shared" si="37"/>
        <v>33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5">
        <v>20</v>
      </c>
      <c r="E103" s="265">
        <v>20</v>
      </c>
      <c r="F103" s="265">
        <v>20</v>
      </c>
      <c r="G103" s="265">
        <v>20</v>
      </c>
      <c r="H103" s="265">
        <v>20</v>
      </c>
      <c r="I103" s="265">
        <v>20</v>
      </c>
      <c r="J103" s="265">
        <v>20</v>
      </c>
      <c r="K103" s="265">
        <v>20</v>
      </c>
      <c r="L103" s="265">
        <v>20</v>
      </c>
      <c r="M103" s="265">
        <v>20</v>
      </c>
      <c r="N103" s="265">
        <v>20</v>
      </c>
      <c r="O103" s="265">
        <v>20</v>
      </c>
      <c r="P103" s="278">
        <f t="shared" si="37"/>
        <v>20</v>
      </c>
    </row>
    <row r="104" spans="1:16" x14ac:dyDescent="0.3">
      <c r="A104" s="319" t="s">
        <v>99</v>
      </c>
      <c r="B104" s="320"/>
      <c r="C104" s="4" t="s">
        <v>3</v>
      </c>
      <c r="D104" s="265">
        <v>15</v>
      </c>
      <c r="E104" s="265">
        <v>15</v>
      </c>
      <c r="F104" s="265">
        <v>15</v>
      </c>
      <c r="G104" s="265">
        <v>15</v>
      </c>
      <c r="H104" s="265">
        <v>15</v>
      </c>
      <c r="I104" s="265">
        <v>15</v>
      </c>
      <c r="J104" s="265">
        <v>15</v>
      </c>
      <c r="K104" s="265">
        <v>15</v>
      </c>
      <c r="L104" s="265">
        <v>15</v>
      </c>
      <c r="M104" s="265">
        <v>15</v>
      </c>
      <c r="N104" s="265">
        <v>15</v>
      </c>
      <c r="O104" s="265">
        <v>15</v>
      </c>
      <c r="P104" s="278">
        <f t="shared" si="37"/>
        <v>15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1526</v>
      </c>
      <c r="E105" s="279">
        <f t="shared" ref="E105:O105" si="38">SUM(E101:E104)</f>
        <v>1572</v>
      </c>
      <c r="F105" s="279">
        <f t="shared" si="38"/>
        <v>1757</v>
      </c>
      <c r="G105" s="279">
        <f t="shared" si="38"/>
        <v>1757</v>
      </c>
      <c r="H105" s="279">
        <f t="shared" si="38"/>
        <v>1730</v>
      </c>
      <c r="I105" s="279">
        <f t="shared" si="38"/>
        <v>1730</v>
      </c>
      <c r="J105" s="279">
        <f t="shared" si="38"/>
        <v>1769</v>
      </c>
      <c r="K105" s="279">
        <f t="shared" si="38"/>
        <v>1769</v>
      </c>
      <c r="L105" s="279">
        <f t="shared" si="38"/>
        <v>1766</v>
      </c>
      <c r="M105" s="279">
        <f t="shared" si="38"/>
        <v>1757</v>
      </c>
      <c r="N105" s="279">
        <f t="shared" si="38"/>
        <v>1758</v>
      </c>
      <c r="O105" s="279">
        <f t="shared" si="38"/>
        <v>1752</v>
      </c>
      <c r="P105" s="278">
        <f t="shared" si="37"/>
        <v>1752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265">
        <v>2896</v>
      </c>
      <c r="E107" s="265">
        <v>2855</v>
      </c>
      <c r="F107" s="265">
        <v>2604</v>
      </c>
      <c r="G107" s="265">
        <v>2674</v>
      </c>
      <c r="H107" s="265">
        <v>2649</v>
      </c>
      <c r="I107" s="265">
        <v>2631</v>
      </c>
      <c r="J107" s="265">
        <v>2553</v>
      </c>
      <c r="K107" s="265">
        <v>2544</v>
      </c>
      <c r="L107" s="265">
        <v>2587</v>
      </c>
      <c r="M107" s="265">
        <v>2623</v>
      </c>
      <c r="N107" s="265">
        <v>2650</v>
      </c>
      <c r="O107" s="265">
        <v>2677</v>
      </c>
      <c r="P107" s="278">
        <f t="shared" si="37"/>
        <v>2677</v>
      </c>
    </row>
    <row r="108" spans="1:16" x14ac:dyDescent="0.3">
      <c r="A108" s="312" t="s">
        <v>196</v>
      </c>
      <c r="B108" s="313"/>
      <c r="C108" s="4" t="s">
        <v>3</v>
      </c>
      <c r="D108" s="265">
        <v>14</v>
      </c>
      <c r="E108" s="265">
        <v>12</v>
      </c>
      <c r="F108" s="265">
        <v>10</v>
      </c>
      <c r="G108" s="265">
        <v>9</v>
      </c>
      <c r="H108" s="265">
        <v>8</v>
      </c>
      <c r="I108" s="265">
        <v>7</v>
      </c>
      <c r="J108" s="265">
        <v>8</v>
      </c>
      <c r="K108" s="265">
        <v>9</v>
      </c>
      <c r="L108" s="265">
        <v>9</v>
      </c>
      <c r="M108" s="265">
        <v>9</v>
      </c>
      <c r="N108" s="265">
        <v>9</v>
      </c>
      <c r="O108" s="265">
        <v>9</v>
      </c>
      <c r="P108" s="278">
        <f t="shared" si="37"/>
        <v>9</v>
      </c>
    </row>
    <row r="109" spans="1:16" x14ac:dyDescent="0.3">
      <c r="A109" s="312" t="s">
        <v>197</v>
      </c>
      <c r="B109" s="313"/>
      <c r="C109" s="4" t="s">
        <v>3</v>
      </c>
      <c r="D109" s="265">
        <v>9</v>
      </c>
      <c r="E109" s="265">
        <v>7</v>
      </c>
      <c r="F109" s="265">
        <v>6</v>
      </c>
      <c r="G109" s="265">
        <v>7</v>
      </c>
      <c r="H109" s="265">
        <v>5</v>
      </c>
      <c r="I109" s="265">
        <v>4</v>
      </c>
      <c r="J109" s="265">
        <v>5</v>
      </c>
      <c r="K109" s="265">
        <v>5</v>
      </c>
      <c r="L109" s="265">
        <v>4</v>
      </c>
      <c r="M109" s="265">
        <v>5</v>
      </c>
      <c r="N109" s="265">
        <v>5</v>
      </c>
      <c r="O109" s="265">
        <v>8</v>
      </c>
      <c r="P109" s="278">
        <f t="shared" si="37"/>
        <v>8</v>
      </c>
    </row>
    <row r="110" spans="1:16" x14ac:dyDescent="0.3">
      <c r="A110" s="312" t="s">
        <v>198</v>
      </c>
      <c r="B110" s="313"/>
      <c r="C110" s="4" t="s">
        <v>3</v>
      </c>
      <c r="D110" s="265">
        <v>13</v>
      </c>
      <c r="E110" s="265">
        <v>12</v>
      </c>
      <c r="F110" s="265">
        <v>7</v>
      </c>
      <c r="G110" s="265">
        <v>7</v>
      </c>
      <c r="H110" s="265">
        <v>9</v>
      </c>
      <c r="I110" s="265">
        <v>10</v>
      </c>
      <c r="J110" s="265">
        <v>10</v>
      </c>
      <c r="K110" s="265">
        <v>11</v>
      </c>
      <c r="L110" s="265">
        <v>11</v>
      </c>
      <c r="M110" s="265">
        <v>11</v>
      </c>
      <c r="N110" s="265">
        <v>11</v>
      </c>
      <c r="O110" s="265">
        <v>11</v>
      </c>
      <c r="P110" s="278">
        <f t="shared" si="37"/>
        <v>11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2932</v>
      </c>
      <c r="E111" s="279">
        <f t="shared" ref="E111:O111" si="39">SUM(E107:E110)</f>
        <v>2886</v>
      </c>
      <c r="F111" s="279">
        <f t="shared" si="39"/>
        <v>2627</v>
      </c>
      <c r="G111" s="279">
        <f t="shared" si="39"/>
        <v>2697</v>
      </c>
      <c r="H111" s="279">
        <f t="shared" si="39"/>
        <v>2671</v>
      </c>
      <c r="I111" s="279">
        <f t="shared" si="39"/>
        <v>2652</v>
      </c>
      <c r="J111" s="279">
        <f t="shared" si="39"/>
        <v>2576</v>
      </c>
      <c r="K111" s="279">
        <f t="shared" si="39"/>
        <v>2569</v>
      </c>
      <c r="L111" s="279">
        <f t="shared" si="39"/>
        <v>2611</v>
      </c>
      <c r="M111" s="279">
        <f t="shared" si="39"/>
        <v>2648</v>
      </c>
      <c r="N111" s="279">
        <f t="shared" si="39"/>
        <v>2675</v>
      </c>
      <c r="O111" s="279">
        <f t="shared" si="39"/>
        <v>2705</v>
      </c>
      <c r="P111" s="278">
        <f t="shared" si="37"/>
        <v>2705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280">
        <v>1128</v>
      </c>
      <c r="E113" s="280">
        <v>1148</v>
      </c>
      <c r="F113" s="280">
        <v>1383</v>
      </c>
      <c r="G113" s="280">
        <v>1437</v>
      </c>
      <c r="H113" s="280">
        <v>1511</v>
      </c>
      <c r="I113" s="280">
        <v>1543</v>
      </c>
      <c r="J113" s="280">
        <v>1604</v>
      </c>
      <c r="K113" s="280">
        <v>1636</v>
      </c>
      <c r="L113" s="280">
        <v>1636</v>
      </c>
      <c r="M113" s="280">
        <v>1636</v>
      </c>
      <c r="N113" s="280">
        <v>1636</v>
      </c>
      <c r="O113" s="280">
        <v>1636</v>
      </c>
      <c r="P113" s="278">
        <f t="shared" si="37"/>
        <v>1636</v>
      </c>
    </row>
    <row r="114" spans="1:16" x14ac:dyDescent="0.3">
      <c r="A114" s="312" t="s">
        <v>200</v>
      </c>
      <c r="B114" s="313"/>
      <c r="C114" s="4" t="s">
        <v>3</v>
      </c>
      <c r="D114" s="280">
        <v>105</v>
      </c>
      <c r="E114" s="280">
        <v>105</v>
      </c>
      <c r="F114" s="280">
        <v>44</v>
      </c>
      <c r="G114" s="280">
        <v>37</v>
      </c>
      <c r="H114" s="280">
        <v>45</v>
      </c>
      <c r="I114" s="280">
        <v>45</v>
      </c>
      <c r="J114" s="280">
        <v>45</v>
      </c>
      <c r="K114" s="280">
        <v>45</v>
      </c>
      <c r="L114" s="280">
        <v>45</v>
      </c>
      <c r="M114" s="280">
        <v>45</v>
      </c>
      <c r="N114" s="280">
        <v>45</v>
      </c>
      <c r="O114" s="280">
        <v>45</v>
      </c>
      <c r="P114" s="278">
        <f t="shared" si="37"/>
        <v>45</v>
      </c>
    </row>
    <row r="115" spans="1:16" x14ac:dyDescent="0.3">
      <c r="A115" s="312" t="s">
        <v>201</v>
      </c>
      <c r="B115" s="313"/>
      <c r="C115" s="4" t="s">
        <v>3</v>
      </c>
      <c r="D115" s="280">
        <v>186</v>
      </c>
      <c r="E115" s="280">
        <v>186</v>
      </c>
      <c r="F115" s="280">
        <v>108</v>
      </c>
      <c r="G115" s="280">
        <v>122</v>
      </c>
      <c r="H115" s="280">
        <v>114</v>
      </c>
      <c r="I115" s="280">
        <v>114</v>
      </c>
      <c r="J115" s="280">
        <v>114</v>
      </c>
      <c r="K115" s="280">
        <v>114</v>
      </c>
      <c r="L115" s="280">
        <v>114</v>
      </c>
      <c r="M115" s="280">
        <v>114</v>
      </c>
      <c r="N115" s="280">
        <v>114</v>
      </c>
      <c r="O115" s="280">
        <v>114</v>
      </c>
      <c r="P115" s="278">
        <f t="shared" si="37"/>
        <v>114</v>
      </c>
    </row>
    <row r="116" spans="1:16" x14ac:dyDescent="0.3">
      <c r="A116" s="312" t="s">
        <v>202</v>
      </c>
      <c r="B116" s="313"/>
      <c r="C116" s="4" t="s">
        <v>3</v>
      </c>
      <c r="D116" s="280">
        <v>0</v>
      </c>
      <c r="E116" s="280">
        <v>0</v>
      </c>
      <c r="F116" s="280"/>
      <c r="G116" s="280">
        <v>0</v>
      </c>
      <c r="H116" s="280">
        <v>1</v>
      </c>
      <c r="I116" s="280">
        <v>1</v>
      </c>
      <c r="J116" s="280">
        <v>1</v>
      </c>
      <c r="K116" s="280">
        <v>1</v>
      </c>
      <c r="L116" s="280">
        <v>1</v>
      </c>
      <c r="M116" s="280">
        <v>1</v>
      </c>
      <c r="N116" s="280">
        <v>1</v>
      </c>
      <c r="O116" s="280">
        <v>1</v>
      </c>
      <c r="P116" s="278">
        <f t="shared" si="37"/>
        <v>1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1419</v>
      </c>
      <c r="E117" s="279">
        <f t="shared" ref="E117:P117" si="40">SUM(E113:E116)</f>
        <v>1439</v>
      </c>
      <c r="F117" s="279">
        <f t="shared" si="40"/>
        <v>1535</v>
      </c>
      <c r="G117" s="279">
        <f t="shared" si="40"/>
        <v>1596</v>
      </c>
      <c r="H117" s="279">
        <f t="shared" si="40"/>
        <v>1671</v>
      </c>
      <c r="I117" s="279">
        <f t="shared" si="40"/>
        <v>1703</v>
      </c>
      <c r="J117" s="279">
        <f t="shared" si="40"/>
        <v>1764</v>
      </c>
      <c r="K117" s="279">
        <f t="shared" si="40"/>
        <v>1796</v>
      </c>
      <c r="L117" s="279">
        <f t="shared" si="40"/>
        <v>1796</v>
      </c>
      <c r="M117" s="279">
        <f t="shared" si="40"/>
        <v>1796</v>
      </c>
      <c r="N117" s="279">
        <f t="shared" si="40"/>
        <v>1796</v>
      </c>
      <c r="O117" s="279">
        <f t="shared" si="40"/>
        <v>1796</v>
      </c>
      <c r="P117" s="246">
        <f t="shared" si="40"/>
        <v>1796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:P118" si="41">D111+D117</f>
        <v>4351</v>
      </c>
      <c r="E118" s="279">
        <f t="shared" si="41"/>
        <v>4325</v>
      </c>
      <c r="F118" s="279">
        <f t="shared" si="41"/>
        <v>4162</v>
      </c>
      <c r="G118" s="279">
        <f t="shared" si="41"/>
        <v>4293</v>
      </c>
      <c r="H118" s="279">
        <f t="shared" si="41"/>
        <v>4342</v>
      </c>
      <c r="I118" s="279">
        <f t="shared" si="41"/>
        <v>4355</v>
      </c>
      <c r="J118" s="279">
        <f t="shared" si="41"/>
        <v>4340</v>
      </c>
      <c r="K118" s="279">
        <f t="shared" si="41"/>
        <v>4365</v>
      </c>
      <c r="L118" s="279">
        <f t="shared" si="41"/>
        <v>4407</v>
      </c>
      <c r="M118" s="279">
        <f t="shared" si="41"/>
        <v>4444</v>
      </c>
      <c r="N118" s="279">
        <f t="shared" si="41"/>
        <v>4471</v>
      </c>
      <c r="O118" s="279">
        <f t="shared" si="41"/>
        <v>4501</v>
      </c>
      <c r="P118" s="279">
        <f t="shared" si="41"/>
        <v>4501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:P119" si="42">D105+D118</f>
        <v>5877</v>
      </c>
      <c r="E119" s="279">
        <f t="shared" si="42"/>
        <v>5897</v>
      </c>
      <c r="F119" s="279">
        <f t="shared" si="42"/>
        <v>5919</v>
      </c>
      <c r="G119" s="279">
        <f t="shared" si="42"/>
        <v>6050</v>
      </c>
      <c r="H119" s="279">
        <f t="shared" si="42"/>
        <v>6072</v>
      </c>
      <c r="I119" s="279">
        <f t="shared" si="42"/>
        <v>6085</v>
      </c>
      <c r="J119" s="279">
        <f t="shared" si="42"/>
        <v>6109</v>
      </c>
      <c r="K119" s="279">
        <f t="shared" si="42"/>
        <v>6134</v>
      </c>
      <c r="L119" s="279">
        <f t="shared" si="42"/>
        <v>6173</v>
      </c>
      <c r="M119" s="279">
        <f t="shared" si="42"/>
        <v>6201</v>
      </c>
      <c r="N119" s="279">
        <f t="shared" si="42"/>
        <v>6229</v>
      </c>
      <c r="O119" s="279">
        <f t="shared" si="42"/>
        <v>6253</v>
      </c>
      <c r="P119" s="279">
        <f t="shared" si="42"/>
        <v>6253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83">
        <v>33916</v>
      </c>
      <c r="E121" s="283">
        <v>33991</v>
      </c>
      <c r="F121" s="283">
        <v>34068</v>
      </c>
      <c r="G121" s="283">
        <v>34068</v>
      </c>
      <c r="H121" s="283">
        <v>34408.68</v>
      </c>
      <c r="I121" s="283">
        <v>34753</v>
      </c>
      <c r="J121" s="283">
        <v>35100</v>
      </c>
      <c r="K121" s="283">
        <v>35451</v>
      </c>
      <c r="L121" s="283">
        <v>42663.75</v>
      </c>
      <c r="M121" s="283">
        <v>42877</v>
      </c>
      <c r="N121" s="283">
        <v>43305.77</v>
      </c>
      <c r="O121" s="283">
        <v>43739</v>
      </c>
      <c r="P121" s="27">
        <f>O121</f>
        <v>43739</v>
      </c>
    </row>
    <row r="122" spans="1:16" x14ac:dyDescent="0.3">
      <c r="A122" s="312" t="s">
        <v>94</v>
      </c>
      <c r="B122" s="313"/>
      <c r="C122" s="4" t="s">
        <v>3</v>
      </c>
      <c r="D122" s="283">
        <v>30524.400000000001</v>
      </c>
      <c r="E122" s="283">
        <v>30591</v>
      </c>
      <c r="F122" s="283">
        <v>30591</v>
      </c>
      <c r="G122" s="283">
        <v>30591</v>
      </c>
      <c r="H122" s="283">
        <v>31202.82</v>
      </c>
      <c r="I122" s="283">
        <v>31515</v>
      </c>
      <c r="J122" s="283">
        <v>32643</v>
      </c>
      <c r="K122" s="283">
        <v>32969.43</v>
      </c>
      <c r="L122" s="283">
        <v>38397.379999999997</v>
      </c>
      <c r="M122" s="283">
        <v>38588</v>
      </c>
      <c r="N122" s="283">
        <v>38973.879999999997</v>
      </c>
      <c r="O122" s="283">
        <v>39363</v>
      </c>
      <c r="P122" s="27">
        <f>O122</f>
        <v>39363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43">D122/D121</f>
        <v>0.9</v>
      </c>
      <c r="E123" s="284">
        <f t="shared" si="43"/>
        <v>0.899973522402989</v>
      </c>
      <c r="F123" s="284">
        <f t="shared" si="43"/>
        <v>0.89793941528707288</v>
      </c>
      <c r="G123" s="284">
        <f t="shared" si="43"/>
        <v>0.89793941528707288</v>
      </c>
      <c r="H123" s="284">
        <f t="shared" si="43"/>
        <v>0.90682990454734091</v>
      </c>
      <c r="I123" s="284">
        <f t="shared" si="43"/>
        <v>0.90682818749460481</v>
      </c>
      <c r="J123" s="284">
        <f t="shared" si="43"/>
        <v>0.93</v>
      </c>
      <c r="K123" s="284">
        <f t="shared" si="43"/>
        <v>0.93</v>
      </c>
      <c r="L123" s="284">
        <f t="shared" si="43"/>
        <v>0.90000011719551132</v>
      </c>
      <c r="M123" s="284">
        <f t="shared" si="43"/>
        <v>0.89996968071460226</v>
      </c>
      <c r="N123" s="284">
        <f t="shared" si="43"/>
        <v>0.89996968071460226</v>
      </c>
      <c r="O123" s="284">
        <f t="shared" si="43"/>
        <v>0.89995198792839337</v>
      </c>
      <c r="P123" s="388">
        <f t="shared" si="43"/>
        <v>0.89995198792839337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0</v>
      </c>
    </row>
    <row r="127" spans="1:16" x14ac:dyDescent="0.3">
      <c r="A127" s="307"/>
      <c r="B127" s="285" t="s">
        <v>88</v>
      </c>
      <c r="C127" s="4" t="s">
        <v>3</v>
      </c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0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:O129" si="44">D125+D126-D127-D128</f>
        <v>0</v>
      </c>
      <c r="E129" s="268">
        <f t="shared" si="44"/>
        <v>0</v>
      </c>
      <c r="F129" s="268">
        <f t="shared" si="44"/>
        <v>0</v>
      </c>
      <c r="G129" s="268">
        <f t="shared" si="44"/>
        <v>0</v>
      </c>
      <c r="H129" s="268">
        <f t="shared" si="44"/>
        <v>0</v>
      </c>
      <c r="I129" s="268">
        <f t="shared" si="44"/>
        <v>0</v>
      </c>
      <c r="J129" s="268">
        <f t="shared" si="44"/>
        <v>0</v>
      </c>
      <c r="K129" s="268">
        <f t="shared" si="44"/>
        <v>0</v>
      </c>
      <c r="L129" s="268">
        <f t="shared" si="44"/>
        <v>0</v>
      </c>
      <c r="M129" s="268">
        <f t="shared" si="44"/>
        <v>0</v>
      </c>
      <c r="N129" s="268">
        <f t="shared" si="44"/>
        <v>0</v>
      </c>
      <c r="O129" s="268">
        <f t="shared" si="44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31">
        <f>SUM(D131:O131)</f>
        <v>0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31">
        <f>SUM(D133:O133)</f>
        <v>0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:O134" si="45">D130+D131-D132-D133</f>
        <v>0</v>
      </c>
      <c r="E134" s="268">
        <f t="shared" si="45"/>
        <v>0</v>
      </c>
      <c r="F134" s="268">
        <f t="shared" si="45"/>
        <v>0</v>
      </c>
      <c r="G134" s="268">
        <f t="shared" si="45"/>
        <v>0</v>
      </c>
      <c r="H134" s="268">
        <f t="shared" si="45"/>
        <v>0</v>
      </c>
      <c r="I134" s="268">
        <f t="shared" si="45"/>
        <v>0</v>
      </c>
      <c r="J134" s="268">
        <f t="shared" si="45"/>
        <v>0</v>
      </c>
      <c r="K134" s="268">
        <f t="shared" si="45"/>
        <v>0</v>
      </c>
      <c r="L134" s="268">
        <f t="shared" si="45"/>
        <v>0</v>
      </c>
      <c r="M134" s="268">
        <f t="shared" si="45"/>
        <v>0</v>
      </c>
      <c r="N134" s="268">
        <f t="shared" si="45"/>
        <v>0</v>
      </c>
      <c r="O134" s="268">
        <f t="shared" si="45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:O139" si="46">D135+D136-D137-D138</f>
        <v>0</v>
      </c>
      <c r="E139" s="268">
        <f t="shared" si="46"/>
        <v>0</v>
      </c>
      <c r="F139" s="268">
        <f t="shared" si="46"/>
        <v>0</v>
      </c>
      <c r="G139" s="268">
        <f t="shared" si="46"/>
        <v>0</v>
      </c>
      <c r="H139" s="268">
        <f t="shared" si="46"/>
        <v>0</v>
      </c>
      <c r="I139" s="268">
        <f t="shared" si="46"/>
        <v>0</v>
      </c>
      <c r="J139" s="268">
        <f t="shared" si="46"/>
        <v>0</v>
      </c>
      <c r="K139" s="268">
        <f t="shared" si="46"/>
        <v>0</v>
      </c>
      <c r="L139" s="268">
        <f t="shared" si="46"/>
        <v>0</v>
      </c>
      <c r="M139" s="268">
        <f t="shared" si="46"/>
        <v>0</v>
      </c>
      <c r="N139" s="268">
        <f t="shared" si="46"/>
        <v>0</v>
      </c>
      <c r="O139" s="268">
        <f t="shared" si="46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>
        <v>293</v>
      </c>
      <c r="E140" s="268">
        <v>254</v>
      </c>
      <c r="F140" s="268">
        <v>268</v>
      </c>
      <c r="G140" s="268">
        <v>271</v>
      </c>
      <c r="H140" s="268">
        <v>271</v>
      </c>
      <c r="I140" s="268">
        <v>244</v>
      </c>
      <c r="J140" s="268">
        <v>232</v>
      </c>
      <c r="K140" s="268">
        <v>317</v>
      </c>
      <c r="L140" s="268">
        <v>339</v>
      </c>
      <c r="M140" s="268">
        <v>342</v>
      </c>
      <c r="N140" s="268">
        <v>342</v>
      </c>
      <c r="O140" s="268">
        <v>342</v>
      </c>
      <c r="P140" s="31">
        <f>D140</f>
        <v>293</v>
      </c>
    </row>
    <row r="141" spans="1:16" x14ac:dyDescent="0.3">
      <c r="A141" s="307"/>
      <c r="B141" s="4" t="s">
        <v>84</v>
      </c>
      <c r="C141" s="4" t="s">
        <v>3</v>
      </c>
      <c r="D141" s="269">
        <v>0</v>
      </c>
      <c r="E141" s="269">
        <v>18</v>
      </c>
      <c r="F141" s="269">
        <v>3</v>
      </c>
      <c r="G141" s="269"/>
      <c r="H141" s="269"/>
      <c r="I141" s="269"/>
      <c r="J141" s="269">
        <v>85</v>
      </c>
      <c r="K141" s="269">
        <v>22</v>
      </c>
      <c r="L141" s="269">
        <v>10</v>
      </c>
      <c r="M141" s="269"/>
      <c r="N141" s="269"/>
      <c r="O141" s="269"/>
      <c r="P141" s="31">
        <f>SUM(D141:O141)</f>
        <v>138</v>
      </c>
    </row>
    <row r="142" spans="1:16" x14ac:dyDescent="0.3">
      <c r="A142" s="307"/>
      <c r="B142" s="4" t="s">
        <v>83</v>
      </c>
      <c r="C142" s="4" t="s">
        <v>3</v>
      </c>
      <c r="D142" s="269"/>
      <c r="E142" s="269"/>
      <c r="F142" s="269"/>
      <c r="G142" s="269"/>
      <c r="H142" s="269"/>
      <c r="I142" s="269"/>
      <c r="J142" s="269"/>
      <c r="K142" s="269"/>
      <c r="L142" s="269">
        <v>4</v>
      </c>
      <c r="M142" s="269"/>
      <c r="N142" s="269"/>
      <c r="O142" s="269"/>
      <c r="P142" s="31">
        <f>SUM(D142:O142)</f>
        <v>4</v>
      </c>
    </row>
    <row r="143" spans="1:16" x14ac:dyDescent="0.3">
      <c r="A143" s="307"/>
      <c r="B143" s="4" t="s">
        <v>82</v>
      </c>
      <c r="C143" s="4" t="s">
        <v>3</v>
      </c>
      <c r="D143" s="269">
        <v>39</v>
      </c>
      <c r="E143" s="269">
        <v>4</v>
      </c>
      <c r="F143" s="269"/>
      <c r="G143" s="269"/>
      <c r="H143" s="269"/>
      <c r="I143" s="269">
        <v>12</v>
      </c>
      <c r="J143" s="269"/>
      <c r="K143" s="269"/>
      <c r="L143" s="269">
        <v>3</v>
      </c>
      <c r="M143" s="269"/>
      <c r="N143" s="269"/>
      <c r="O143" s="269"/>
      <c r="P143" s="31">
        <f>SUM(D143:O143)</f>
        <v>58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:O144" si="47">D140+D141-D142-D143</f>
        <v>254</v>
      </c>
      <c r="E144" s="268">
        <f t="shared" si="47"/>
        <v>268</v>
      </c>
      <c r="F144" s="268">
        <f t="shared" si="47"/>
        <v>271</v>
      </c>
      <c r="G144" s="268">
        <f t="shared" si="47"/>
        <v>271</v>
      </c>
      <c r="H144" s="268">
        <f t="shared" si="47"/>
        <v>271</v>
      </c>
      <c r="I144" s="268">
        <f t="shared" si="47"/>
        <v>232</v>
      </c>
      <c r="J144" s="268">
        <f t="shared" si="47"/>
        <v>317</v>
      </c>
      <c r="K144" s="268">
        <f t="shared" si="47"/>
        <v>339</v>
      </c>
      <c r="L144" s="268">
        <f t="shared" si="47"/>
        <v>342</v>
      </c>
      <c r="M144" s="268">
        <f t="shared" si="47"/>
        <v>342</v>
      </c>
      <c r="N144" s="268">
        <f t="shared" si="47"/>
        <v>342</v>
      </c>
      <c r="O144" s="268">
        <f t="shared" si="47"/>
        <v>342</v>
      </c>
      <c r="P144" s="31">
        <f>P140+P141-P142-P143</f>
        <v>369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:P149" si="48">D125+D130+D135+D140</f>
        <v>293</v>
      </c>
      <c r="E145" s="271">
        <f t="shared" si="48"/>
        <v>254</v>
      </c>
      <c r="F145" s="271">
        <f t="shared" si="48"/>
        <v>268</v>
      </c>
      <c r="G145" s="271">
        <f t="shared" si="48"/>
        <v>271</v>
      </c>
      <c r="H145" s="271">
        <f t="shared" si="48"/>
        <v>271</v>
      </c>
      <c r="I145" s="271">
        <f t="shared" si="48"/>
        <v>244</v>
      </c>
      <c r="J145" s="271">
        <f t="shared" si="48"/>
        <v>232</v>
      </c>
      <c r="K145" s="271">
        <f t="shared" si="48"/>
        <v>317</v>
      </c>
      <c r="L145" s="271">
        <f t="shared" si="48"/>
        <v>339</v>
      </c>
      <c r="M145" s="271">
        <f t="shared" si="48"/>
        <v>342</v>
      </c>
      <c r="N145" s="271">
        <f t="shared" si="48"/>
        <v>342</v>
      </c>
      <c r="O145" s="271">
        <f t="shared" si="48"/>
        <v>342</v>
      </c>
      <c r="P145" s="286">
        <f t="shared" si="48"/>
        <v>293</v>
      </c>
    </row>
    <row r="146" spans="1:16" x14ac:dyDescent="0.3">
      <c r="A146" s="307"/>
      <c r="B146" s="4" t="s">
        <v>84</v>
      </c>
      <c r="C146" s="4" t="s">
        <v>3</v>
      </c>
      <c r="D146" s="271">
        <f t="shared" si="48"/>
        <v>0</v>
      </c>
      <c r="E146" s="271">
        <f t="shared" si="48"/>
        <v>18</v>
      </c>
      <c r="F146" s="271">
        <f t="shared" si="48"/>
        <v>3</v>
      </c>
      <c r="G146" s="271">
        <f t="shared" si="48"/>
        <v>0</v>
      </c>
      <c r="H146" s="271">
        <f t="shared" si="48"/>
        <v>0</v>
      </c>
      <c r="I146" s="271">
        <f t="shared" si="48"/>
        <v>0</v>
      </c>
      <c r="J146" s="271">
        <f t="shared" si="48"/>
        <v>85</v>
      </c>
      <c r="K146" s="271">
        <f t="shared" si="48"/>
        <v>22</v>
      </c>
      <c r="L146" s="271">
        <f t="shared" si="48"/>
        <v>10</v>
      </c>
      <c r="M146" s="271">
        <f t="shared" si="48"/>
        <v>0</v>
      </c>
      <c r="N146" s="271">
        <f t="shared" si="48"/>
        <v>0</v>
      </c>
      <c r="O146" s="271">
        <f t="shared" si="48"/>
        <v>0</v>
      </c>
      <c r="P146" s="286">
        <f t="shared" si="48"/>
        <v>138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48"/>
        <v>0</v>
      </c>
      <c r="E147" s="271">
        <f t="shared" si="48"/>
        <v>0</v>
      </c>
      <c r="F147" s="271">
        <f t="shared" si="48"/>
        <v>0</v>
      </c>
      <c r="G147" s="271">
        <f t="shared" si="48"/>
        <v>0</v>
      </c>
      <c r="H147" s="271">
        <f t="shared" si="48"/>
        <v>0</v>
      </c>
      <c r="I147" s="271">
        <f t="shared" si="48"/>
        <v>0</v>
      </c>
      <c r="J147" s="271">
        <f t="shared" si="48"/>
        <v>0</v>
      </c>
      <c r="K147" s="271">
        <f t="shared" si="48"/>
        <v>0</v>
      </c>
      <c r="L147" s="271">
        <f t="shared" si="48"/>
        <v>4</v>
      </c>
      <c r="M147" s="271">
        <f t="shared" si="48"/>
        <v>0</v>
      </c>
      <c r="N147" s="271">
        <f t="shared" si="48"/>
        <v>0</v>
      </c>
      <c r="O147" s="271">
        <f t="shared" si="48"/>
        <v>0</v>
      </c>
      <c r="P147" s="286">
        <f t="shared" si="48"/>
        <v>4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48"/>
        <v>39</v>
      </c>
      <c r="E148" s="271">
        <f t="shared" si="48"/>
        <v>4</v>
      </c>
      <c r="F148" s="271">
        <f t="shared" si="48"/>
        <v>0</v>
      </c>
      <c r="G148" s="271">
        <f t="shared" si="48"/>
        <v>0</v>
      </c>
      <c r="H148" s="271">
        <f t="shared" si="48"/>
        <v>0</v>
      </c>
      <c r="I148" s="271">
        <f t="shared" si="48"/>
        <v>12</v>
      </c>
      <c r="J148" s="271">
        <f t="shared" si="48"/>
        <v>0</v>
      </c>
      <c r="K148" s="271">
        <f t="shared" si="48"/>
        <v>0</v>
      </c>
      <c r="L148" s="271">
        <f t="shared" si="48"/>
        <v>3</v>
      </c>
      <c r="M148" s="271">
        <f t="shared" si="48"/>
        <v>0</v>
      </c>
      <c r="N148" s="271">
        <f t="shared" si="48"/>
        <v>0</v>
      </c>
      <c r="O148" s="271">
        <f t="shared" si="48"/>
        <v>0</v>
      </c>
      <c r="P148" s="286">
        <f t="shared" si="48"/>
        <v>58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:O149" si="49">D145+D146-D147-D148</f>
        <v>254</v>
      </c>
      <c r="E149" s="268">
        <f t="shared" si="49"/>
        <v>268</v>
      </c>
      <c r="F149" s="268">
        <f t="shared" si="49"/>
        <v>271</v>
      </c>
      <c r="G149" s="268">
        <f t="shared" si="49"/>
        <v>271</v>
      </c>
      <c r="H149" s="268">
        <f t="shared" si="49"/>
        <v>271</v>
      </c>
      <c r="I149" s="268">
        <f t="shared" si="49"/>
        <v>232</v>
      </c>
      <c r="J149" s="268">
        <f t="shared" si="49"/>
        <v>317</v>
      </c>
      <c r="K149" s="268">
        <f t="shared" si="49"/>
        <v>339</v>
      </c>
      <c r="L149" s="268">
        <f t="shared" si="49"/>
        <v>342</v>
      </c>
      <c r="M149" s="268">
        <f t="shared" si="49"/>
        <v>342</v>
      </c>
      <c r="N149" s="268">
        <f t="shared" si="49"/>
        <v>342</v>
      </c>
      <c r="O149" s="268">
        <f t="shared" si="49"/>
        <v>342</v>
      </c>
      <c r="P149" s="286">
        <f t="shared" si="48"/>
        <v>369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5">
        <v>94</v>
      </c>
      <c r="E153" s="265">
        <v>91</v>
      </c>
      <c r="F153" s="265">
        <v>72</v>
      </c>
      <c r="G153" s="265">
        <v>84</v>
      </c>
      <c r="H153" s="265">
        <v>65</v>
      </c>
      <c r="I153" s="265">
        <v>82</v>
      </c>
      <c r="J153" s="265">
        <v>59</v>
      </c>
      <c r="K153" s="265">
        <v>66</v>
      </c>
      <c r="L153" s="265">
        <v>71</v>
      </c>
      <c r="M153" s="265">
        <v>70</v>
      </c>
      <c r="N153" s="265">
        <v>73</v>
      </c>
      <c r="O153" s="265">
        <v>40</v>
      </c>
      <c r="P153" s="31">
        <f>SUM(D153:O153)</f>
        <v>867</v>
      </c>
    </row>
    <row r="154" spans="1:16" x14ac:dyDescent="0.3">
      <c r="A154" s="336"/>
      <c r="B154" s="18" t="s">
        <v>72</v>
      </c>
      <c r="C154" s="4" t="s">
        <v>57</v>
      </c>
      <c r="D154" s="265">
        <v>28</v>
      </c>
      <c r="E154" s="265">
        <v>52</v>
      </c>
      <c r="F154" s="265">
        <v>44</v>
      </c>
      <c r="G154" s="265">
        <v>39</v>
      </c>
      <c r="H154" s="265">
        <v>25</v>
      </c>
      <c r="I154" s="265">
        <v>30</v>
      </c>
      <c r="J154" s="265">
        <v>20</v>
      </c>
      <c r="K154" s="265">
        <v>35</v>
      </c>
      <c r="L154" s="265">
        <v>29</v>
      </c>
      <c r="M154" s="265">
        <v>32</v>
      </c>
      <c r="N154" s="265">
        <v>29</v>
      </c>
      <c r="O154" s="265">
        <v>12</v>
      </c>
      <c r="P154" s="31">
        <f>SUM(D154:O154)</f>
        <v>375</v>
      </c>
    </row>
    <row r="155" spans="1:16" x14ac:dyDescent="0.3">
      <c r="A155" s="336"/>
      <c r="B155" s="18" t="s">
        <v>53</v>
      </c>
      <c r="C155" s="4" t="s">
        <v>57</v>
      </c>
      <c r="D155" s="265">
        <v>14</v>
      </c>
      <c r="E155" s="265">
        <v>6</v>
      </c>
      <c r="F155" s="265">
        <v>28</v>
      </c>
      <c r="G155" s="265">
        <v>16</v>
      </c>
      <c r="H155" s="265">
        <v>14</v>
      </c>
      <c r="I155" s="265">
        <v>18</v>
      </c>
      <c r="J155" s="265">
        <v>17</v>
      </c>
      <c r="K155" s="265">
        <v>11</v>
      </c>
      <c r="L155" s="265">
        <v>5</v>
      </c>
      <c r="M155" s="265">
        <v>16</v>
      </c>
      <c r="N155" s="265">
        <v>10</v>
      </c>
      <c r="O155" s="265">
        <v>8</v>
      </c>
      <c r="P155" s="31">
        <f>SUM(D155:O155)</f>
        <v>163</v>
      </c>
    </row>
    <row r="156" spans="1:16" x14ac:dyDescent="0.3">
      <c r="A156" s="336"/>
      <c r="B156" s="18" t="s">
        <v>71</v>
      </c>
      <c r="C156" s="4" t="s">
        <v>57</v>
      </c>
      <c r="D156" s="265">
        <v>4</v>
      </c>
      <c r="E156" s="265">
        <v>6</v>
      </c>
      <c r="F156" s="265">
        <v>2</v>
      </c>
      <c r="G156" s="265">
        <v>0</v>
      </c>
      <c r="H156" s="265">
        <v>7</v>
      </c>
      <c r="I156" s="265">
        <v>7</v>
      </c>
      <c r="J156" s="265">
        <v>0</v>
      </c>
      <c r="K156" s="265">
        <v>1</v>
      </c>
      <c r="L156" s="265"/>
      <c r="M156" s="265">
        <v>9</v>
      </c>
      <c r="N156" s="265">
        <v>2</v>
      </c>
      <c r="O156" s="265">
        <v>3</v>
      </c>
      <c r="P156" s="31">
        <f>SUM(D156:O156)</f>
        <v>41</v>
      </c>
    </row>
    <row r="157" spans="1:16" x14ac:dyDescent="0.3">
      <c r="A157" s="336"/>
      <c r="B157" s="18" t="s">
        <v>52</v>
      </c>
      <c r="C157" s="4" t="s">
        <v>57</v>
      </c>
      <c r="D157" s="265">
        <v>2</v>
      </c>
      <c r="E157" s="265">
        <v>3</v>
      </c>
      <c r="F157" s="265">
        <v>2</v>
      </c>
      <c r="G157" s="265">
        <v>2</v>
      </c>
      <c r="H157" s="265">
        <v>5</v>
      </c>
      <c r="I157" s="265">
        <v>6</v>
      </c>
      <c r="J157" s="265">
        <v>4</v>
      </c>
      <c r="K157" s="265">
        <v>3</v>
      </c>
      <c r="L157" s="265">
        <v>3</v>
      </c>
      <c r="M157" s="265">
        <v>5</v>
      </c>
      <c r="N157" s="265">
        <v>7</v>
      </c>
      <c r="O157" s="265">
        <v>5</v>
      </c>
      <c r="P157" s="31">
        <f>SUM(D157:O157)</f>
        <v>47</v>
      </c>
    </row>
    <row r="158" spans="1:16" x14ac:dyDescent="0.3">
      <c r="A158" s="336"/>
      <c r="B158" s="18" t="s">
        <v>51</v>
      </c>
      <c r="C158" s="4" t="s">
        <v>57</v>
      </c>
      <c r="D158" s="265">
        <v>8</v>
      </c>
      <c r="E158" s="265">
        <v>3</v>
      </c>
      <c r="F158" s="265">
        <v>5</v>
      </c>
      <c r="G158" s="265">
        <v>2</v>
      </c>
      <c r="H158" s="265">
        <v>6</v>
      </c>
      <c r="I158" s="265">
        <v>10</v>
      </c>
      <c r="J158" s="265">
        <v>3</v>
      </c>
      <c r="K158" s="265">
        <v>0</v>
      </c>
      <c r="L158" s="265">
        <v>4</v>
      </c>
      <c r="M158" s="265">
        <v>6</v>
      </c>
      <c r="N158" s="265">
        <v>3</v>
      </c>
      <c r="O158" s="265">
        <v>3</v>
      </c>
      <c r="P158" s="31">
        <f>SUM(D158:O158)</f>
        <v>53</v>
      </c>
    </row>
    <row r="159" spans="1:16" x14ac:dyDescent="0.3">
      <c r="A159" s="336"/>
      <c r="B159" s="18" t="s">
        <v>62</v>
      </c>
      <c r="C159" s="4" t="s">
        <v>57</v>
      </c>
      <c r="D159" s="265"/>
      <c r="E159" s="265"/>
      <c r="F159" s="265">
        <v>2</v>
      </c>
      <c r="G159" s="265">
        <v>0</v>
      </c>
      <c r="H159" s="265"/>
      <c r="I159" s="265"/>
      <c r="J159" s="265">
        <v>1</v>
      </c>
      <c r="K159" s="265">
        <v>1</v>
      </c>
      <c r="L159" s="265"/>
      <c r="M159" s="265"/>
      <c r="N159" s="265"/>
      <c r="O159" s="265"/>
      <c r="P159" s="31">
        <f>SUM(D159:O159)</f>
        <v>4</v>
      </c>
    </row>
    <row r="160" spans="1:16" x14ac:dyDescent="0.3">
      <c r="A160" s="336"/>
      <c r="B160" s="18" t="s">
        <v>50</v>
      </c>
      <c r="C160" s="4" t="s">
        <v>57</v>
      </c>
      <c r="D160" s="265">
        <v>4</v>
      </c>
      <c r="E160" s="265">
        <v>12</v>
      </c>
      <c r="F160" s="265">
        <v>6</v>
      </c>
      <c r="G160" s="265">
        <v>2</v>
      </c>
      <c r="H160" s="265">
        <v>2</v>
      </c>
      <c r="I160" s="265">
        <v>6</v>
      </c>
      <c r="J160" s="265">
        <v>1</v>
      </c>
      <c r="K160" s="265">
        <v>1</v>
      </c>
      <c r="L160" s="265"/>
      <c r="M160" s="265">
        <v>1</v>
      </c>
      <c r="N160" s="265">
        <v>2</v>
      </c>
      <c r="O160" s="265">
        <v>1</v>
      </c>
      <c r="P160" s="31">
        <f>SUM(D160:O160)</f>
        <v>38</v>
      </c>
    </row>
    <row r="161" spans="1:16" x14ac:dyDescent="0.3">
      <c r="A161" s="336"/>
      <c r="B161" s="18" t="s">
        <v>49</v>
      </c>
      <c r="C161" s="4" t="s">
        <v>57</v>
      </c>
      <c r="D161" s="265">
        <v>18</v>
      </c>
      <c r="E161" s="265">
        <v>9</v>
      </c>
      <c r="F161" s="265">
        <v>9</v>
      </c>
      <c r="G161" s="265">
        <v>7</v>
      </c>
      <c r="H161" s="265">
        <v>1</v>
      </c>
      <c r="I161" s="265">
        <v>1</v>
      </c>
      <c r="J161" s="265">
        <v>4</v>
      </c>
      <c r="K161" s="265">
        <v>3</v>
      </c>
      <c r="L161" s="265">
        <v>4</v>
      </c>
      <c r="M161" s="265">
        <v>5</v>
      </c>
      <c r="N161" s="265">
        <v>3</v>
      </c>
      <c r="O161" s="265">
        <v>5</v>
      </c>
      <c r="P161" s="31">
        <f>SUM(D161:O161)</f>
        <v>69</v>
      </c>
    </row>
    <row r="162" spans="1:16" x14ac:dyDescent="0.3">
      <c r="A162" s="336"/>
      <c r="B162" s="18" t="s">
        <v>77</v>
      </c>
      <c r="C162" s="4" t="s">
        <v>57</v>
      </c>
      <c r="D162" s="265">
        <v>9</v>
      </c>
      <c r="E162" s="265">
        <v>13</v>
      </c>
      <c r="F162" s="265">
        <v>2</v>
      </c>
      <c r="G162" s="265">
        <v>3</v>
      </c>
      <c r="H162" s="265">
        <v>1</v>
      </c>
      <c r="I162" s="265"/>
      <c r="J162" s="265">
        <v>2</v>
      </c>
      <c r="K162" s="265">
        <v>3</v>
      </c>
      <c r="L162" s="265">
        <v>4</v>
      </c>
      <c r="M162" s="265">
        <v>2</v>
      </c>
      <c r="N162" s="265"/>
      <c r="O162" s="265">
        <v>1</v>
      </c>
      <c r="P162" s="31">
        <f>SUM(D162:O162)</f>
        <v>40</v>
      </c>
    </row>
    <row r="163" spans="1:16" x14ac:dyDescent="0.3">
      <c r="A163" s="336"/>
      <c r="B163" s="18" t="s">
        <v>69</v>
      </c>
      <c r="C163" s="4" t="s">
        <v>57</v>
      </c>
      <c r="D163" s="265"/>
      <c r="E163" s="265"/>
      <c r="F163" s="265"/>
      <c r="G163" s="265"/>
      <c r="H163" s="265">
        <v>1</v>
      </c>
      <c r="I163" s="265"/>
      <c r="J163" s="265"/>
      <c r="K163" s="265"/>
      <c r="L163" s="265"/>
      <c r="M163" s="265"/>
      <c r="N163" s="265"/>
      <c r="O163" s="265"/>
      <c r="P163" s="31">
        <f t="shared" ref="P163:P165" si="50">SUM(D163:O163)</f>
        <v>1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31">
        <f t="shared" si="50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>
        <v>1</v>
      </c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31">
        <f t="shared" si="50"/>
        <v>1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5"/>
      <c r="E167" s="265"/>
      <c r="F167" s="265"/>
      <c r="G167" s="265"/>
      <c r="H167" s="265"/>
      <c r="I167" s="265">
        <v>5</v>
      </c>
      <c r="J167" s="265"/>
      <c r="K167" s="265"/>
      <c r="L167" s="265"/>
      <c r="M167" s="265"/>
      <c r="N167" s="265"/>
      <c r="O167" s="265"/>
      <c r="P167" s="31">
        <f t="shared" ref="P167:P175" si="51">SUM(D167:O167)</f>
        <v>5</v>
      </c>
    </row>
    <row r="168" spans="1:16" x14ac:dyDescent="0.3">
      <c r="A168" s="336"/>
      <c r="B168" s="18" t="s">
        <v>73</v>
      </c>
      <c r="C168" s="4" t="s">
        <v>57</v>
      </c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31">
        <f t="shared" si="51"/>
        <v>0</v>
      </c>
    </row>
    <row r="169" spans="1:16" x14ac:dyDescent="0.3">
      <c r="A169" s="336"/>
      <c r="B169" s="18" t="s">
        <v>72</v>
      </c>
      <c r="C169" s="4" t="s">
        <v>57</v>
      </c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31">
        <f t="shared" si="51"/>
        <v>0</v>
      </c>
    </row>
    <row r="170" spans="1:16" x14ac:dyDescent="0.3">
      <c r="A170" s="336"/>
      <c r="B170" s="18" t="s">
        <v>71</v>
      </c>
      <c r="C170" s="4" t="s">
        <v>57</v>
      </c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31">
        <f t="shared" si="51"/>
        <v>0</v>
      </c>
    </row>
    <row r="171" spans="1:16" x14ac:dyDescent="0.3">
      <c r="A171" s="336"/>
      <c r="B171" s="18" t="s">
        <v>52</v>
      </c>
      <c r="C171" s="4" t="s">
        <v>57</v>
      </c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31">
        <f t="shared" si="51"/>
        <v>0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51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51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51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51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52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52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52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52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52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52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x14ac:dyDescent="0.3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91">
        <f>SUM(D153:D192)</f>
        <v>181</v>
      </c>
      <c r="E193" s="291">
        <f t="shared" ref="E193:P193" si="53">SUM(E153:E192)</f>
        <v>196</v>
      </c>
      <c r="F193" s="291">
        <f t="shared" si="53"/>
        <v>172</v>
      </c>
      <c r="G193" s="291">
        <f t="shared" si="53"/>
        <v>155</v>
      </c>
      <c r="H193" s="291">
        <f t="shared" si="53"/>
        <v>127</v>
      </c>
      <c r="I193" s="291">
        <f t="shared" si="53"/>
        <v>165</v>
      </c>
      <c r="J193" s="291">
        <f t="shared" si="53"/>
        <v>111</v>
      </c>
      <c r="K193" s="291">
        <f t="shared" si="53"/>
        <v>124</v>
      </c>
      <c r="L193" s="291">
        <f t="shared" si="53"/>
        <v>120</v>
      </c>
      <c r="M193" s="291">
        <f t="shared" si="53"/>
        <v>146</v>
      </c>
      <c r="N193" s="291">
        <f t="shared" si="53"/>
        <v>129</v>
      </c>
      <c r="O193" s="291">
        <f>SUM(O153:O192)</f>
        <v>78</v>
      </c>
      <c r="P193" s="266">
        <f t="shared" si="53"/>
        <v>1704</v>
      </c>
    </row>
    <row r="194" spans="1:16" x14ac:dyDescent="0.3">
      <c r="A194" s="316" t="s">
        <v>58</v>
      </c>
      <c r="B194" s="338"/>
      <c r="C194" s="4" t="s">
        <v>57</v>
      </c>
      <c r="D194" s="265">
        <v>1</v>
      </c>
      <c r="E194" s="265"/>
      <c r="F194" s="265"/>
      <c r="G194" s="265">
        <v>1</v>
      </c>
      <c r="H194" s="265">
        <v>1</v>
      </c>
      <c r="I194" s="265">
        <v>1</v>
      </c>
      <c r="J194" s="265"/>
      <c r="K194" s="265"/>
      <c r="L194" s="265"/>
      <c r="M194" s="265"/>
      <c r="N194" s="265"/>
      <c r="O194" s="265"/>
      <c r="P194" s="34">
        <f>SUM(D194:O194)</f>
        <v>4</v>
      </c>
    </row>
    <row r="195" spans="1:16" x14ac:dyDescent="0.3">
      <c r="A195" s="318"/>
      <c r="B195" s="339"/>
      <c r="C195" s="14" t="s">
        <v>55</v>
      </c>
      <c r="D195" s="265">
        <v>56</v>
      </c>
      <c r="E195" s="265"/>
      <c r="F195" s="265"/>
      <c r="G195" s="265">
        <v>120</v>
      </c>
      <c r="H195" s="265">
        <v>6</v>
      </c>
      <c r="I195" s="265">
        <v>80</v>
      </c>
      <c r="J195" s="265"/>
      <c r="K195" s="265">
        <v>50</v>
      </c>
      <c r="L195" s="265">
        <v>20</v>
      </c>
      <c r="M195" s="265">
        <v>47</v>
      </c>
      <c r="N195" s="265">
        <v>22</v>
      </c>
      <c r="O195" s="265"/>
      <c r="P195" s="34">
        <f>SUM(D195:O195)</f>
        <v>401</v>
      </c>
    </row>
    <row r="196" spans="1:16" x14ac:dyDescent="0.3">
      <c r="A196" s="292" t="s">
        <v>204</v>
      </c>
      <c r="B196" s="293"/>
      <c r="C196" s="14" t="s">
        <v>55</v>
      </c>
      <c r="D196" s="265">
        <v>720</v>
      </c>
      <c r="E196" s="265">
        <v>720</v>
      </c>
      <c r="F196" s="265">
        <v>644</v>
      </c>
      <c r="G196" s="265">
        <v>540</v>
      </c>
      <c r="H196" s="265">
        <v>670</v>
      </c>
      <c r="I196" s="265">
        <v>620</v>
      </c>
      <c r="J196" s="265">
        <v>595</v>
      </c>
      <c r="K196" s="265">
        <v>744</v>
      </c>
      <c r="L196" s="265">
        <v>680</v>
      </c>
      <c r="M196" s="265">
        <v>744</v>
      </c>
      <c r="N196" s="265">
        <v>608</v>
      </c>
      <c r="O196" s="265">
        <v>744</v>
      </c>
      <c r="P196" s="34">
        <f>SUM(D196:O196)/12</f>
        <v>669.08333333333337</v>
      </c>
    </row>
    <row r="197" spans="1:16" x14ac:dyDescent="0.3">
      <c r="A197" s="312" t="s">
        <v>56</v>
      </c>
      <c r="B197" s="313"/>
      <c r="C197" s="14" t="s">
        <v>55</v>
      </c>
      <c r="D197" s="265"/>
      <c r="E197" s="265"/>
      <c r="F197" s="265">
        <v>21</v>
      </c>
      <c r="G197" s="265">
        <v>72</v>
      </c>
      <c r="H197" s="265">
        <v>74</v>
      </c>
      <c r="I197" s="265">
        <v>20</v>
      </c>
      <c r="J197" s="265">
        <v>74</v>
      </c>
      <c r="K197" s="265">
        <v>124</v>
      </c>
      <c r="L197" s="265">
        <v>32</v>
      </c>
      <c r="M197" s="265"/>
      <c r="N197" s="265">
        <v>40</v>
      </c>
      <c r="O197" s="265">
        <v>12</v>
      </c>
      <c r="P197" s="34">
        <f>SUM(D197:O197)</f>
        <v>469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>
        <v>30</v>
      </c>
      <c r="P199" s="34">
        <f t="shared" ref="P199:P204" si="54">SUM(D199:O199)</f>
        <v>30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34">
        <f t="shared" si="54"/>
        <v>0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/>
      <c r="G201" s="265"/>
      <c r="H201" s="265"/>
      <c r="I201" s="265"/>
      <c r="J201" s="265"/>
      <c r="K201" s="265"/>
      <c r="L201" s="265">
        <v>210</v>
      </c>
      <c r="M201" s="265"/>
      <c r="N201" s="265"/>
      <c r="O201" s="265">
        <v>122</v>
      </c>
      <c r="P201" s="34">
        <f t="shared" si="54"/>
        <v>332</v>
      </c>
    </row>
    <row r="202" spans="1:16" x14ac:dyDescent="0.3">
      <c r="A202" s="317"/>
      <c r="B202" s="249" t="s">
        <v>50</v>
      </c>
      <c r="C202" s="4" t="s">
        <v>47</v>
      </c>
      <c r="D202" s="265"/>
      <c r="E202" s="265">
        <v>500</v>
      </c>
      <c r="F202" s="265"/>
      <c r="G202" s="265"/>
      <c r="H202" s="265"/>
      <c r="I202" s="265"/>
      <c r="J202" s="265"/>
      <c r="K202" s="265"/>
      <c r="L202" s="265"/>
      <c r="M202" s="265"/>
      <c r="N202" s="265">
        <v>360</v>
      </c>
      <c r="O202" s="265"/>
      <c r="P202" s="34">
        <f t="shared" si="54"/>
        <v>860</v>
      </c>
    </row>
    <row r="203" spans="1:16" x14ac:dyDescent="0.3">
      <c r="A203" s="318"/>
      <c r="B203" s="249" t="s">
        <v>49</v>
      </c>
      <c r="C203" s="4" t="s">
        <v>47</v>
      </c>
      <c r="D203" s="265"/>
      <c r="E203" s="265"/>
      <c r="F203" s="265"/>
      <c r="G203" s="265"/>
      <c r="H203" s="265"/>
      <c r="I203" s="265"/>
      <c r="J203" s="265">
        <v>1158</v>
      </c>
      <c r="K203" s="265">
        <v>792</v>
      </c>
      <c r="L203" s="265">
        <v>180</v>
      </c>
      <c r="M203" s="265">
        <v>30</v>
      </c>
      <c r="N203" s="265">
        <v>310</v>
      </c>
      <c r="O203" s="265"/>
      <c r="P203" s="34">
        <f t="shared" si="54"/>
        <v>2470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:O204" si="55">SUM(D199:D203)</f>
        <v>0</v>
      </c>
      <c r="E204" s="261">
        <f t="shared" si="55"/>
        <v>500</v>
      </c>
      <c r="F204" s="261">
        <f t="shared" si="55"/>
        <v>0</v>
      </c>
      <c r="G204" s="261">
        <f t="shared" si="55"/>
        <v>0</v>
      </c>
      <c r="H204" s="261">
        <f t="shared" si="55"/>
        <v>0</v>
      </c>
      <c r="I204" s="261">
        <f t="shared" si="55"/>
        <v>0</v>
      </c>
      <c r="J204" s="261">
        <f t="shared" si="55"/>
        <v>1158</v>
      </c>
      <c r="K204" s="261">
        <f t="shared" si="55"/>
        <v>792</v>
      </c>
      <c r="L204" s="261">
        <f t="shared" si="55"/>
        <v>390</v>
      </c>
      <c r="M204" s="261">
        <f t="shared" si="55"/>
        <v>30</v>
      </c>
      <c r="N204" s="261">
        <f t="shared" si="55"/>
        <v>670</v>
      </c>
      <c r="O204" s="261">
        <f t="shared" si="55"/>
        <v>152</v>
      </c>
      <c r="P204" s="99">
        <f t="shared" si="54"/>
        <v>3692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2">
        <v>22564673.439999998</v>
      </c>
      <c r="E206" s="262">
        <v>36178586.619999997</v>
      </c>
      <c r="F206" s="262">
        <v>55231037.079999901</v>
      </c>
      <c r="G206" s="262">
        <v>21704845.23</v>
      </c>
      <c r="H206" s="262">
        <v>28177388.98</v>
      </c>
      <c r="I206" s="262">
        <v>23204888.82</v>
      </c>
      <c r="J206" s="262">
        <v>25387468.02</v>
      </c>
      <c r="K206" s="262">
        <v>22317439.09</v>
      </c>
      <c r="L206" s="262">
        <v>27447376.100000001</v>
      </c>
      <c r="M206" s="262">
        <v>26361814.149999999</v>
      </c>
      <c r="N206" s="262">
        <v>23361897.850000001</v>
      </c>
      <c r="O206" s="262">
        <v>30088422.030000001</v>
      </c>
      <c r="P206" s="34">
        <f>SUM(D206:O206)</f>
        <v>342025837.40999985</v>
      </c>
    </row>
    <row r="207" spans="1:16" x14ac:dyDescent="0.3">
      <c r="A207" s="312" t="s">
        <v>42</v>
      </c>
      <c r="B207" s="313"/>
      <c r="C207" s="4" t="s">
        <v>31</v>
      </c>
      <c r="D207" s="262">
        <v>32500</v>
      </c>
      <c r="E207" s="262">
        <v>57000</v>
      </c>
      <c r="F207" s="262">
        <v>337100</v>
      </c>
      <c r="G207" s="262">
        <v>61600</v>
      </c>
      <c r="H207" s="262">
        <v>210867.22</v>
      </c>
      <c r="I207" s="262">
        <v>141300</v>
      </c>
      <c r="J207" s="262">
        <v>170700</v>
      </c>
      <c r="K207" s="262">
        <v>32000</v>
      </c>
      <c r="L207" s="262">
        <v>142550</v>
      </c>
      <c r="M207" s="262">
        <v>161800</v>
      </c>
      <c r="N207" s="262">
        <v>79178</v>
      </c>
      <c r="O207" s="262">
        <v>95121</v>
      </c>
      <c r="P207" s="34">
        <f>SUM(D207:O207)</f>
        <v>1521716.22</v>
      </c>
    </row>
    <row r="208" spans="1:16" x14ac:dyDescent="0.3">
      <c r="A208" s="319" t="s">
        <v>41</v>
      </c>
      <c r="B208" s="320"/>
      <c r="C208" s="4" t="s">
        <v>31</v>
      </c>
      <c r="D208" s="262">
        <v>4754131.3100000005</v>
      </c>
      <c r="E208" s="262">
        <v>2247970</v>
      </c>
      <c r="F208" s="262">
        <v>1875470</v>
      </c>
      <c r="G208" s="262">
        <v>1536440</v>
      </c>
      <c r="H208" s="262">
        <v>1417507.22</v>
      </c>
      <c r="I208" s="262">
        <v>661540</v>
      </c>
      <c r="J208" s="262">
        <v>1183440</v>
      </c>
      <c r="K208" s="262">
        <v>371940</v>
      </c>
      <c r="L208" s="262">
        <v>442340</v>
      </c>
      <c r="M208" s="262">
        <v>1290880</v>
      </c>
      <c r="N208" s="262">
        <v>1004540</v>
      </c>
      <c r="O208" s="262">
        <v>402940</v>
      </c>
      <c r="P208" s="34">
        <f>SUM(D208:O208)</f>
        <v>17189138.530000001</v>
      </c>
    </row>
    <row r="209" spans="1:16" x14ac:dyDescent="0.3">
      <c r="A209" s="312" t="s">
        <v>40</v>
      </c>
      <c r="B209" s="313"/>
      <c r="C209" s="4" t="s">
        <v>31</v>
      </c>
      <c r="D209" s="262">
        <v>5141655.8099999996</v>
      </c>
      <c r="E209" s="262">
        <v>94867.22</v>
      </c>
      <c r="F209" s="262">
        <v>295934.44</v>
      </c>
      <c r="G209" s="262">
        <v>117500</v>
      </c>
      <c r="H209" s="262">
        <v>233000</v>
      </c>
      <c r="I209" s="262">
        <v>7671857.5599999996</v>
      </c>
      <c r="J209" s="262">
        <v>30500</v>
      </c>
      <c r="K209" s="262">
        <v>2353043.9500000002</v>
      </c>
      <c r="L209" s="262">
        <v>48400</v>
      </c>
      <c r="M209" s="262">
        <v>3095033.48</v>
      </c>
      <c r="N209" s="262">
        <v>123000</v>
      </c>
      <c r="O209" s="262">
        <v>254600</v>
      </c>
      <c r="P209" s="34">
        <f>SUM(D209:O209)</f>
        <v>19459392.460000001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:O210" si="56">SUM(D206:D209)</f>
        <v>32492960.559999999</v>
      </c>
      <c r="E210" s="291">
        <f t="shared" si="56"/>
        <v>38578423.839999996</v>
      </c>
      <c r="F210" s="291">
        <f t="shared" si="56"/>
        <v>57739541.519999899</v>
      </c>
      <c r="G210" s="291">
        <f t="shared" si="56"/>
        <v>23420385.23</v>
      </c>
      <c r="H210" s="291">
        <f t="shared" si="56"/>
        <v>30038763.419999998</v>
      </c>
      <c r="I210" s="291">
        <f t="shared" si="56"/>
        <v>31679586.379999999</v>
      </c>
      <c r="J210" s="291">
        <f t="shared" si="56"/>
        <v>26772108.02</v>
      </c>
      <c r="K210" s="291">
        <f t="shared" si="56"/>
        <v>25074423.039999999</v>
      </c>
      <c r="L210" s="291">
        <f t="shared" si="56"/>
        <v>28080666.100000001</v>
      </c>
      <c r="M210" s="291">
        <f t="shared" si="56"/>
        <v>30909527.629999999</v>
      </c>
      <c r="N210" s="291">
        <f t="shared" si="56"/>
        <v>24568615.850000001</v>
      </c>
      <c r="O210" s="291">
        <f t="shared" si="56"/>
        <v>30841083.030000001</v>
      </c>
      <c r="P210" s="34">
        <f>SUM(D210:O210)</f>
        <v>380196084.61999989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2">
        <v>13947464.579999998</v>
      </c>
      <c r="E212" s="262">
        <v>14753004.85</v>
      </c>
      <c r="F212" s="262">
        <v>16014953.609999999</v>
      </c>
      <c r="G212" s="262">
        <v>19554710.52</v>
      </c>
      <c r="H212" s="262">
        <v>19264988.48</v>
      </c>
      <c r="I212" s="262">
        <v>25015887.699999899</v>
      </c>
      <c r="J212" s="262">
        <v>26037364.77</v>
      </c>
      <c r="K212" s="262">
        <v>25943365.82</v>
      </c>
      <c r="L212" s="262">
        <v>20590855.719999999</v>
      </c>
      <c r="M212" s="262">
        <v>22981929.199999999</v>
      </c>
      <c r="N212" s="262">
        <v>20364654.550000001</v>
      </c>
      <c r="O212" s="262">
        <v>21755861.190000001</v>
      </c>
      <c r="P212" s="34">
        <f>SUM(D212:O212)</f>
        <v>246225040.98999989</v>
      </c>
    </row>
    <row r="213" spans="1:16" x14ac:dyDescent="0.3">
      <c r="A213" s="312" t="s">
        <v>42</v>
      </c>
      <c r="B213" s="313"/>
      <c r="C213" s="4" t="s">
        <v>31</v>
      </c>
      <c r="D213" s="262"/>
      <c r="E213" s="262"/>
      <c r="F213" s="262"/>
      <c r="G213" s="262"/>
      <c r="H213" s="262">
        <v>1500</v>
      </c>
      <c r="I213" s="262">
        <v>2000</v>
      </c>
      <c r="J213" s="262"/>
      <c r="K213" s="262">
        <v>13900</v>
      </c>
      <c r="L213" s="262">
        <v>29200</v>
      </c>
      <c r="M213" s="262">
        <v>5600</v>
      </c>
      <c r="N213" s="262">
        <v>4500</v>
      </c>
      <c r="O213" s="262">
        <v>9000</v>
      </c>
      <c r="P213" s="34">
        <f>SUM(D213:O213)</f>
        <v>65700</v>
      </c>
    </row>
    <row r="214" spans="1:16" x14ac:dyDescent="0.3">
      <c r="A214" s="319" t="s">
        <v>41</v>
      </c>
      <c r="B214" s="320"/>
      <c r="C214" s="4" t="s">
        <v>31</v>
      </c>
      <c r="D214" s="262">
        <v>9263418.0899999999</v>
      </c>
      <c r="E214" s="262">
        <v>8492989.6400000006</v>
      </c>
      <c r="F214" s="262">
        <v>7768191</v>
      </c>
      <c r="G214" s="262">
        <v>24809868.539999999</v>
      </c>
      <c r="H214" s="262">
        <v>9513496.1799999997</v>
      </c>
      <c r="I214" s="262">
        <v>10996858.4</v>
      </c>
      <c r="J214" s="262">
        <v>8115189.3300000001</v>
      </c>
      <c r="K214" s="262">
        <v>9554361.3800000008</v>
      </c>
      <c r="L214" s="262">
        <v>9183650</v>
      </c>
      <c r="M214" s="262">
        <v>12720637.26</v>
      </c>
      <c r="N214" s="262">
        <v>8409408.4100000001</v>
      </c>
      <c r="O214" s="262">
        <v>9967207.1199999992</v>
      </c>
      <c r="P214" s="34">
        <f>SUM(D214:O214)</f>
        <v>128795275.34999999</v>
      </c>
    </row>
    <row r="215" spans="1:16" x14ac:dyDescent="0.3">
      <c r="A215" s="312" t="s">
        <v>40</v>
      </c>
      <c r="B215" s="313"/>
      <c r="C215" s="4" t="s">
        <v>31</v>
      </c>
      <c r="D215" s="262">
        <v>3163124.8</v>
      </c>
      <c r="E215" s="262">
        <v>15057333</v>
      </c>
      <c r="F215" s="262">
        <v>10438909.4</v>
      </c>
      <c r="G215" s="262">
        <v>5286447.4000000004</v>
      </c>
      <c r="H215" s="262">
        <v>9738987.0899999999</v>
      </c>
      <c r="I215" s="262">
        <v>3675049.16</v>
      </c>
      <c r="J215" s="262">
        <v>7541179.2000000002</v>
      </c>
      <c r="K215" s="262">
        <v>4432735</v>
      </c>
      <c r="L215" s="262">
        <v>6262200</v>
      </c>
      <c r="M215" s="262">
        <v>2173463.7000000002</v>
      </c>
      <c r="N215" s="262">
        <v>1812394</v>
      </c>
      <c r="O215" s="262">
        <v>3254854.05</v>
      </c>
      <c r="P215" s="34">
        <f>SUM(D215:O215)</f>
        <v>72836676.799999997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:O216" si="57">SUM(D212:D215)</f>
        <v>26374007.469999999</v>
      </c>
      <c r="E216" s="291">
        <f t="shared" si="57"/>
        <v>38303327.490000002</v>
      </c>
      <c r="F216" s="291">
        <f t="shared" si="57"/>
        <v>34222054.009999998</v>
      </c>
      <c r="G216" s="291">
        <f t="shared" si="57"/>
        <v>49651026.460000001</v>
      </c>
      <c r="H216" s="291">
        <f t="shared" si="57"/>
        <v>38518971.75</v>
      </c>
      <c r="I216" s="291">
        <f t="shared" si="57"/>
        <v>39689795.259999901</v>
      </c>
      <c r="J216" s="291">
        <f t="shared" si="57"/>
        <v>41693733.300000004</v>
      </c>
      <c r="K216" s="291">
        <f t="shared" si="57"/>
        <v>39944362.200000003</v>
      </c>
      <c r="L216" s="291">
        <f t="shared" si="57"/>
        <v>36065905.719999999</v>
      </c>
      <c r="M216" s="291">
        <f t="shared" si="57"/>
        <v>37881630.160000004</v>
      </c>
      <c r="N216" s="291">
        <f t="shared" si="57"/>
        <v>30590956.960000001</v>
      </c>
      <c r="O216" s="291">
        <f t="shared" si="57"/>
        <v>34986922.359999999</v>
      </c>
      <c r="P216" s="34">
        <f>SUM(D216:O216)</f>
        <v>447922693.13999987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58866968.030000001</v>
      </c>
      <c r="E217" s="291">
        <f t="shared" ref="E217:P217" si="58">E210+E216</f>
        <v>76881751.329999998</v>
      </c>
      <c r="F217" s="291">
        <f t="shared" si="58"/>
        <v>91961595.529999897</v>
      </c>
      <c r="G217" s="291">
        <f t="shared" si="58"/>
        <v>73071411.689999998</v>
      </c>
      <c r="H217" s="291">
        <f t="shared" si="58"/>
        <v>68557735.170000002</v>
      </c>
      <c r="I217" s="291">
        <f t="shared" si="58"/>
        <v>71369381.639999896</v>
      </c>
      <c r="J217" s="291">
        <f t="shared" si="58"/>
        <v>68465841.320000008</v>
      </c>
      <c r="K217" s="291">
        <f t="shared" si="58"/>
        <v>65018785.240000002</v>
      </c>
      <c r="L217" s="291">
        <f t="shared" si="58"/>
        <v>64146571.82</v>
      </c>
      <c r="M217" s="291">
        <f t="shared" si="58"/>
        <v>68791157.790000007</v>
      </c>
      <c r="N217" s="291">
        <f t="shared" si="58"/>
        <v>55159572.810000002</v>
      </c>
      <c r="O217" s="291">
        <f t="shared" si="58"/>
        <v>65828005.390000001</v>
      </c>
      <c r="P217" s="266">
        <f t="shared" si="58"/>
        <v>828118777.75999975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2">
        <v>27814108.510000002</v>
      </c>
      <c r="E219" s="262">
        <v>21883103.989999998</v>
      </c>
      <c r="F219" s="262">
        <v>17723557.82</v>
      </c>
      <c r="G219" s="262">
        <v>26356470.109999999</v>
      </c>
      <c r="H219" s="262">
        <v>22381745.379999999</v>
      </c>
      <c r="I219" s="262">
        <v>28378726.629999999</v>
      </c>
      <c r="J219" s="262">
        <v>22010634.989999998</v>
      </c>
      <c r="K219" s="262">
        <v>22452052.43</v>
      </c>
      <c r="L219" s="262">
        <v>20640651.890000001</v>
      </c>
      <c r="M219" s="262">
        <v>22361248.359999999</v>
      </c>
      <c r="N219" s="262">
        <v>21051798.210000001</v>
      </c>
      <c r="O219" s="262">
        <v>22589533.809999999</v>
      </c>
      <c r="P219" s="34">
        <f>SUM(D219:O219)</f>
        <v>275643632.13</v>
      </c>
    </row>
    <row r="220" spans="1:16" x14ac:dyDescent="0.3">
      <c r="A220" s="312" t="s">
        <v>34</v>
      </c>
      <c r="B220" s="313"/>
      <c r="C220" s="4" t="s">
        <v>31</v>
      </c>
      <c r="D220" s="262">
        <v>185541.6</v>
      </c>
      <c r="E220" s="262">
        <v>91049.279999999999</v>
      </c>
      <c r="F220" s="262">
        <v>80911.44</v>
      </c>
      <c r="G220" s="262">
        <v>124332</v>
      </c>
      <c r="H220" s="262">
        <v>103291.2</v>
      </c>
      <c r="I220" s="262">
        <v>156658.32</v>
      </c>
      <c r="J220" s="262">
        <v>115915.68</v>
      </c>
      <c r="K220" s="262">
        <v>141929.76</v>
      </c>
      <c r="L220" s="262">
        <v>64652.639999999999</v>
      </c>
      <c r="M220" s="262">
        <v>92005.68</v>
      </c>
      <c r="N220" s="262">
        <v>90284.160000000003</v>
      </c>
      <c r="O220" s="262">
        <v>78998.64</v>
      </c>
      <c r="P220" s="34">
        <f>SUM(D220:O220)</f>
        <v>1325570.3999999997</v>
      </c>
    </row>
    <row r="221" spans="1:16" x14ac:dyDescent="0.3">
      <c r="A221" s="312" t="s">
        <v>33</v>
      </c>
      <c r="B221" s="313"/>
      <c r="C221" s="4" t="s">
        <v>31</v>
      </c>
      <c r="D221" s="262">
        <v>3178071.64</v>
      </c>
      <c r="E221" s="262">
        <v>2083115.36</v>
      </c>
      <c r="F221" s="262">
        <v>1664197.55</v>
      </c>
      <c r="G221" s="262">
        <v>2204247.67</v>
      </c>
      <c r="H221" s="262">
        <v>1234495.27</v>
      </c>
      <c r="I221" s="262">
        <v>1594442.69</v>
      </c>
      <c r="J221" s="262">
        <v>978630.32</v>
      </c>
      <c r="K221" s="262">
        <v>1799775.8</v>
      </c>
      <c r="L221" s="262">
        <v>1029095.41</v>
      </c>
      <c r="M221" s="262">
        <v>912375.87</v>
      </c>
      <c r="N221" s="262">
        <v>1313750.25</v>
      </c>
      <c r="O221" s="262">
        <v>858634.86</v>
      </c>
      <c r="P221" s="34">
        <f>SUM(D221:O221)</f>
        <v>18850832.689999998</v>
      </c>
    </row>
    <row r="222" spans="1:16" x14ac:dyDescent="0.3">
      <c r="A222" s="312" t="s">
        <v>32</v>
      </c>
      <c r="B222" s="313"/>
      <c r="C222" s="4" t="s">
        <v>31</v>
      </c>
      <c r="D222" s="262">
        <v>1654100.61</v>
      </c>
      <c r="E222" s="262">
        <v>1273569.6100000001</v>
      </c>
      <c r="F222" s="262">
        <v>824838.04</v>
      </c>
      <c r="G222" s="262">
        <v>1586676.21</v>
      </c>
      <c r="H222" s="262">
        <v>519295.25</v>
      </c>
      <c r="I222" s="262">
        <v>702883.86</v>
      </c>
      <c r="J222" s="262">
        <v>48826.23</v>
      </c>
      <c r="K222" s="262">
        <v>399814.05</v>
      </c>
      <c r="L222" s="262">
        <v>659676.34</v>
      </c>
      <c r="M222" s="262">
        <v>718880.03</v>
      </c>
      <c r="N222" s="262">
        <v>105840.39</v>
      </c>
      <c r="O222" s="262">
        <v>138555.62</v>
      </c>
      <c r="P222" s="34">
        <f>SUM(D222:O222)</f>
        <v>8632956.2400000002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:O223" si="59">SUM(D219:D222)</f>
        <v>32831822.360000003</v>
      </c>
      <c r="E223" s="296">
        <f t="shared" si="59"/>
        <v>25330838.239999998</v>
      </c>
      <c r="F223" s="296">
        <f t="shared" si="59"/>
        <v>20293504.850000001</v>
      </c>
      <c r="G223" s="296">
        <f t="shared" si="59"/>
        <v>30271725.990000002</v>
      </c>
      <c r="H223" s="296">
        <f t="shared" si="59"/>
        <v>24238827.099999998</v>
      </c>
      <c r="I223" s="296">
        <f t="shared" si="59"/>
        <v>30832711.5</v>
      </c>
      <c r="J223" s="296">
        <f t="shared" si="59"/>
        <v>23154007.219999999</v>
      </c>
      <c r="K223" s="296">
        <f t="shared" si="59"/>
        <v>24793572.040000003</v>
      </c>
      <c r="L223" s="296">
        <f t="shared" si="59"/>
        <v>22394076.280000001</v>
      </c>
      <c r="M223" s="296">
        <f t="shared" si="59"/>
        <v>24084509.940000001</v>
      </c>
      <c r="N223" s="296">
        <f t="shared" si="59"/>
        <v>22561673.010000002</v>
      </c>
      <c r="O223" s="296">
        <f t="shared" si="59"/>
        <v>23665722.93</v>
      </c>
      <c r="P223" s="34">
        <f>SUM(D223:O223)</f>
        <v>304452991.45999998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8" x14ac:dyDescent="0.3">
      <c r="A225" s="312" t="s">
        <v>35</v>
      </c>
      <c r="B225" s="313"/>
      <c r="C225" s="4" t="s">
        <v>31</v>
      </c>
      <c r="D225" s="262">
        <v>13814124.939999986</v>
      </c>
      <c r="E225" s="262">
        <v>14633439.349999996</v>
      </c>
      <c r="F225" s="262">
        <v>15919638.839999977</v>
      </c>
      <c r="G225" s="262">
        <v>19397922.290000018</v>
      </c>
      <c r="H225" s="262">
        <v>18567798.160000023</v>
      </c>
      <c r="I225" s="262">
        <v>24201037.169999924</v>
      </c>
      <c r="J225" s="262">
        <v>25007847.039999969</v>
      </c>
      <c r="K225" s="262">
        <v>25125924.400000021</v>
      </c>
      <c r="L225" s="262">
        <v>19934967.109999992</v>
      </c>
      <c r="M225" s="262">
        <v>22184431.439999998</v>
      </c>
      <c r="N225" s="262">
        <v>18655880.160000004</v>
      </c>
      <c r="O225" s="262">
        <v>19271306.100000005</v>
      </c>
      <c r="P225" s="34">
        <f t="shared" ref="P225:P230" si="60">SUM(D225:O225)</f>
        <v>236714316.99999991</v>
      </c>
    </row>
    <row r="226" spans="1:18" x14ac:dyDescent="0.3">
      <c r="A226" s="312" t="s">
        <v>34</v>
      </c>
      <c r="B226" s="313"/>
      <c r="C226" s="4" t="s">
        <v>31</v>
      </c>
      <c r="D226" s="262"/>
      <c r="E226" s="262"/>
      <c r="F226" s="262"/>
      <c r="G226" s="262"/>
      <c r="H226" s="262">
        <v>600</v>
      </c>
      <c r="I226" s="262">
        <v>800</v>
      </c>
      <c r="J226" s="262"/>
      <c r="K226" s="262">
        <v>12880</v>
      </c>
      <c r="L226" s="262">
        <v>15100</v>
      </c>
      <c r="M226" s="262">
        <v>2240</v>
      </c>
      <c r="N226" s="262">
        <v>1800</v>
      </c>
      <c r="O226" s="262">
        <v>3600</v>
      </c>
      <c r="P226" s="34">
        <f t="shared" si="60"/>
        <v>37020</v>
      </c>
    </row>
    <row r="227" spans="1:18" x14ac:dyDescent="0.3">
      <c r="A227" s="312" t="s">
        <v>33</v>
      </c>
      <c r="B227" s="313"/>
      <c r="C227" s="4" t="s">
        <v>31</v>
      </c>
      <c r="D227" s="262">
        <v>2971124.8</v>
      </c>
      <c r="E227" s="262">
        <v>14902773.900000002</v>
      </c>
      <c r="F227" s="262">
        <v>10395380.33</v>
      </c>
      <c r="G227" s="262">
        <v>5280447.4000000004</v>
      </c>
      <c r="H227" s="262">
        <v>9737787.0899999999</v>
      </c>
      <c r="I227" s="262">
        <v>3669049.16</v>
      </c>
      <c r="J227" s="262">
        <v>7499121.8300000001</v>
      </c>
      <c r="K227" s="262">
        <v>4376520.4000000004</v>
      </c>
      <c r="L227" s="262">
        <v>6261000</v>
      </c>
      <c r="M227" s="262">
        <v>2160885.5099999998</v>
      </c>
      <c r="N227" s="262">
        <v>1725754</v>
      </c>
      <c r="O227" s="262">
        <v>3198022.9400000004</v>
      </c>
      <c r="P227" s="34">
        <f t="shared" si="60"/>
        <v>72177867.359999985</v>
      </c>
    </row>
    <row r="228" spans="1:18" x14ac:dyDescent="0.3">
      <c r="A228" s="312" t="s">
        <v>32</v>
      </c>
      <c r="B228" s="313"/>
      <c r="C228" s="4" t="s">
        <v>31</v>
      </c>
      <c r="D228" s="262">
        <v>8921850.3900000006</v>
      </c>
      <c r="E228" s="262">
        <v>8286889.6400000006</v>
      </c>
      <c r="F228" s="262">
        <v>7454188.6600000001</v>
      </c>
      <c r="G228" s="262">
        <v>24536558.739999998</v>
      </c>
      <c r="H228" s="262">
        <v>9054878.8300000001</v>
      </c>
      <c r="I228" s="262">
        <v>10692907.67</v>
      </c>
      <c r="J228" s="262">
        <v>7801188.9400000004</v>
      </c>
      <c r="K228" s="262">
        <v>9240877.4199999981</v>
      </c>
      <c r="L228" s="262">
        <v>8233600</v>
      </c>
      <c r="M228" s="262">
        <v>12621697.26</v>
      </c>
      <c r="N228" s="262">
        <v>8097074.9700000007</v>
      </c>
      <c r="O228" s="262">
        <v>9007103.2400000002</v>
      </c>
      <c r="P228" s="34">
        <f t="shared" si="60"/>
        <v>123948815.75999999</v>
      </c>
    </row>
    <row r="229" spans="1:18" x14ac:dyDescent="0.3">
      <c r="A229" s="314" t="s">
        <v>214</v>
      </c>
      <c r="B229" s="315"/>
      <c r="C229" s="4" t="s">
        <v>31</v>
      </c>
      <c r="D229" s="296">
        <f t="shared" ref="D229:O229" si="61">SUM(D225:D228)</f>
        <v>25707100.129999988</v>
      </c>
      <c r="E229" s="296">
        <f t="shared" si="61"/>
        <v>37823102.890000001</v>
      </c>
      <c r="F229" s="296">
        <f t="shared" si="61"/>
        <v>33769207.829999983</v>
      </c>
      <c r="G229" s="296">
        <f t="shared" si="61"/>
        <v>49214928.430000022</v>
      </c>
      <c r="H229" s="296">
        <f t="shared" si="61"/>
        <v>37361064.080000021</v>
      </c>
      <c r="I229" s="296">
        <f t="shared" si="61"/>
        <v>38563793.999999925</v>
      </c>
      <c r="J229" s="296">
        <f t="shared" si="61"/>
        <v>40308157.809999965</v>
      </c>
      <c r="K229" s="296">
        <f t="shared" si="61"/>
        <v>38756202.220000014</v>
      </c>
      <c r="L229" s="296">
        <f t="shared" si="61"/>
        <v>34444667.109999992</v>
      </c>
      <c r="M229" s="296">
        <f t="shared" si="61"/>
        <v>36969254.209999993</v>
      </c>
      <c r="N229" s="296">
        <f t="shared" si="61"/>
        <v>28480509.130000003</v>
      </c>
      <c r="O229" s="296">
        <f t="shared" si="61"/>
        <v>31480032.280000009</v>
      </c>
      <c r="P229" s="34">
        <f t="shared" si="60"/>
        <v>432878020.11999989</v>
      </c>
      <c r="R229" s="419"/>
    </row>
    <row r="230" spans="1:18" x14ac:dyDescent="0.3">
      <c r="A230" s="294" t="s">
        <v>215</v>
      </c>
      <c r="B230" s="297"/>
      <c r="C230" s="4" t="s">
        <v>31</v>
      </c>
      <c r="D230" s="296">
        <f>D223+D229</f>
        <v>58538922.489999995</v>
      </c>
      <c r="E230" s="296">
        <f t="shared" ref="E230:O230" si="62">E223+E229</f>
        <v>63153941.129999995</v>
      </c>
      <c r="F230" s="296">
        <f t="shared" si="62"/>
        <v>54062712.679999985</v>
      </c>
      <c r="G230" s="296">
        <f t="shared" si="62"/>
        <v>79486654.420000017</v>
      </c>
      <c r="H230" s="296">
        <f t="shared" si="62"/>
        <v>61599891.180000022</v>
      </c>
      <c r="I230" s="296">
        <f t="shared" si="62"/>
        <v>69396505.499999925</v>
      </c>
      <c r="J230" s="296">
        <f t="shared" si="62"/>
        <v>63462165.029999964</v>
      </c>
      <c r="K230" s="296">
        <f t="shared" si="62"/>
        <v>63549774.26000002</v>
      </c>
      <c r="L230" s="296">
        <f t="shared" si="62"/>
        <v>56838743.389999993</v>
      </c>
      <c r="M230" s="296">
        <f t="shared" si="62"/>
        <v>61053764.149999991</v>
      </c>
      <c r="N230" s="296">
        <f t="shared" si="62"/>
        <v>51042182.140000001</v>
      </c>
      <c r="O230" s="296">
        <f t="shared" si="62"/>
        <v>55145755.210000008</v>
      </c>
      <c r="P230" s="34">
        <f t="shared" si="60"/>
        <v>737331011.57999992</v>
      </c>
    </row>
    <row r="231" spans="1:18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  <c r="R231" s="432"/>
    </row>
    <row r="232" spans="1:18" x14ac:dyDescent="0.3">
      <c r="A232" s="312" t="s">
        <v>29</v>
      </c>
      <c r="B232" s="313"/>
      <c r="C232" s="4" t="s">
        <v>18</v>
      </c>
      <c r="D232" s="262">
        <v>1551321.15</v>
      </c>
      <c r="E232" s="262">
        <v>1528918.01</v>
      </c>
      <c r="F232" s="262">
        <v>1395340.86</v>
      </c>
      <c r="G232" s="262">
        <v>1434754.93</v>
      </c>
      <c r="H232" s="262">
        <v>1420537.29</v>
      </c>
      <c r="I232" s="262">
        <v>1410503.69</v>
      </c>
      <c r="J232" s="262">
        <v>1358330.17</v>
      </c>
      <c r="K232" s="262">
        <v>1353364.79</v>
      </c>
      <c r="L232" s="262">
        <v>1377021.64</v>
      </c>
      <c r="M232" s="262">
        <v>1396802.97</v>
      </c>
      <c r="N232" s="262">
        <v>1411352.23</v>
      </c>
      <c r="O232" s="262">
        <v>1425840.48</v>
      </c>
      <c r="P232" s="34">
        <f>SUM(D232:O232)</f>
        <v>17064088.210000001</v>
      </c>
    </row>
    <row r="233" spans="1:18" x14ac:dyDescent="0.3">
      <c r="A233" s="312" t="s">
        <v>28</v>
      </c>
      <c r="B233" s="313"/>
      <c r="C233" s="4" t="s">
        <v>18</v>
      </c>
      <c r="D233" s="262">
        <v>2486.64</v>
      </c>
      <c r="E233" s="262">
        <v>2295.36</v>
      </c>
      <c r="F233" s="262">
        <v>1338.96</v>
      </c>
      <c r="G233" s="262">
        <v>1338.96</v>
      </c>
      <c r="H233" s="262">
        <v>1721.52</v>
      </c>
      <c r="I233" s="262">
        <v>1912.8</v>
      </c>
      <c r="J233" s="262">
        <v>1912.8</v>
      </c>
      <c r="K233" s="262">
        <v>2104.08</v>
      </c>
      <c r="L233" s="262">
        <v>2104.08</v>
      </c>
      <c r="M233" s="262">
        <v>2104.08</v>
      </c>
      <c r="N233" s="262">
        <v>2104.08</v>
      </c>
      <c r="O233" s="262">
        <v>2104.08</v>
      </c>
      <c r="P233" s="34">
        <f>SUM(D233:O233)</f>
        <v>23527.440000000002</v>
      </c>
    </row>
    <row r="234" spans="1:18" x14ac:dyDescent="0.3">
      <c r="A234" s="312" t="s">
        <v>27</v>
      </c>
      <c r="B234" s="313"/>
      <c r="C234" s="4" t="s">
        <v>18</v>
      </c>
      <c r="D234" s="262">
        <v>47510.96</v>
      </c>
      <c r="E234" s="262">
        <v>40723.68</v>
      </c>
      <c r="F234" s="262">
        <v>33936.400000000001</v>
      </c>
      <c r="G234" s="262">
        <v>30542.76</v>
      </c>
      <c r="H234" s="262">
        <v>27149.119999999999</v>
      </c>
      <c r="I234" s="262">
        <v>23755.48</v>
      </c>
      <c r="J234" s="262">
        <v>27149.119999999999</v>
      </c>
      <c r="K234" s="262">
        <v>30542.76</v>
      </c>
      <c r="L234" s="262">
        <v>30542.76</v>
      </c>
      <c r="M234" s="262">
        <v>30542.76</v>
      </c>
      <c r="N234" s="262">
        <v>30542.76</v>
      </c>
      <c r="O234" s="262">
        <v>30542.76</v>
      </c>
      <c r="P234" s="34">
        <f>SUM(D234:O234)</f>
        <v>383481.32000000007</v>
      </c>
    </row>
    <row r="235" spans="1:18" x14ac:dyDescent="0.3">
      <c r="A235" s="312" t="s">
        <v>26</v>
      </c>
      <c r="B235" s="313"/>
      <c r="C235" s="4" t="s">
        <v>18</v>
      </c>
      <c r="D235" s="262">
        <v>41736.06</v>
      </c>
      <c r="E235" s="262">
        <v>32461.38</v>
      </c>
      <c r="F235" s="262">
        <v>27824.04</v>
      </c>
      <c r="G235" s="262">
        <v>32461.38</v>
      </c>
      <c r="H235" s="262">
        <v>23186.7</v>
      </c>
      <c r="I235" s="262">
        <v>18549.36</v>
      </c>
      <c r="J235" s="262">
        <v>23186.7</v>
      </c>
      <c r="K235" s="262">
        <v>23186.7</v>
      </c>
      <c r="L235" s="262">
        <v>18549.36</v>
      </c>
      <c r="M235" s="262">
        <v>23186.7</v>
      </c>
      <c r="N235" s="262">
        <v>23186.7</v>
      </c>
      <c r="O235" s="262">
        <v>37098.720000000001</v>
      </c>
      <c r="P235" s="34">
        <f>SUM(D235:O235)</f>
        <v>324613.80000000005</v>
      </c>
    </row>
    <row r="236" spans="1:18" x14ac:dyDescent="0.3">
      <c r="A236" s="314" t="s">
        <v>25</v>
      </c>
      <c r="B236" s="315"/>
      <c r="C236" s="4" t="s">
        <v>18</v>
      </c>
      <c r="D236" s="296">
        <f t="shared" ref="D236:P236" si="63">SUM(D232:D235)</f>
        <v>1643054.8099999998</v>
      </c>
      <c r="E236" s="296">
        <f t="shared" si="63"/>
        <v>1604398.43</v>
      </c>
      <c r="F236" s="296">
        <f t="shared" si="63"/>
        <v>1458440.26</v>
      </c>
      <c r="G236" s="296">
        <f t="shared" si="63"/>
        <v>1499098.0299999998</v>
      </c>
      <c r="H236" s="296">
        <f t="shared" si="63"/>
        <v>1472594.6300000001</v>
      </c>
      <c r="I236" s="296">
        <f t="shared" si="63"/>
        <v>1454721.33</v>
      </c>
      <c r="J236" s="296">
        <f t="shared" si="63"/>
        <v>1410578.79</v>
      </c>
      <c r="K236" s="296">
        <f t="shared" si="63"/>
        <v>1409198.33</v>
      </c>
      <c r="L236" s="296">
        <f t="shared" si="63"/>
        <v>1428217.84</v>
      </c>
      <c r="M236" s="296">
        <f t="shared" si="63"/>
        <v>1452636.51</v>
      </c>
      <c r="N236" s="296">
        <f t="shared" si="63"/>
        <v>1467185.77</v>
      </c>
      <c r="O236" s="296">
        <f t="shared" si="63"/>
        <v>1495586.04</v>
      </c>
      <c r="P236" s="266">
        <f t="shared" si="63"/>
        <v>17795710.770000003</v>
      </c>
    </row>
    <row r="237" spans="1:18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8" x14ac:dyDescent="0.3">
      <c r="A238" s="312" t="s">
        <v>23</v>
      </c>
      <c r="B238" s="313"/>
      <c r="C238" s="4" t="s">
        <v>18</v>
      </c>
      <c r="D238" s="261">
        <v>2586128</v>
      </c>
      <c r="E238" s="261">
        <v>2549515</v>
      </c>
      <c r="F238" s="261">
        <v>2325372</v>
      </c>
      <c r="G238" s="261">
        <v>2387882</v>
      </c>
      <c r="H238" s="261">
        <v>2365557</v>
      </c>
      <c r="I238" s="261">
        <v>2349483</v>
      </c>
      <c r="J238" s="261">
        <v>2279829</v>
      </c>
      <c r="K238" s="261">
        <v>2271792</v>
      </c>
      <c r="L238" s="261">
        <v>2310191</v>
      </c>
      <c r="M238" s="261">
        <v>2342339</v>
      </c>
      <c r="N238" s="261">
        <v>2366450</v>
      </c>
      <c r="O238" s="261">
        <v>2390561</v>
      </c>
      <c r="P238" s="34">
        <f>SUM(D238:O238)</f>
        <v>28525099</v>
      </c>
    </row>
    <row r="239" spans="1:18" x14ac:dyDescent="0.3">
      <c r="A239" s="312" t="s">
        <v>22</v>
      </c>
      <c r="B239" s="313"/>
      <c r="C239" s="4" t="s">
        <v>18</v>
      </c>
      <c r="D239" s="261">
        <v>11609</v>
      </c>
      <c r="E239" s="261">
        <v>10716</v>
      </c>
      <c r="F239" s="261">
        <v>6251</v>
      </c>
      <c r="G239" s="261">
        <v>6251</v>
      </c>
      <c r="H239" s="261">
        <v>8037</v>
      </c>
      <c r="I239" s="261">
        <v>8930</v>
      </c>
      <c r="J239" s="261">
        <v>8930</v>
      </c>
      <c r="K239" s="261">
        <v>9823</v>
      </c>
      <c r="L239" s="261">
        <v>9823</v>
      </c>
      <c r="M239" s="261">
        <v>9823</v>
      </c>
      <c r="N239" s="261">
        <v>9823</v>
      </c>
      <c r="O239" s="261">
        <v>9823</v>
      </c>
      <c r="P239" s="34">
        <f>SUM(D239:O239)</f>
        <v>109839</v>
      </c>
    </row>
    <row r="240" spans="1:18" x14ac:dyDescent="0.3">
      <c r="A240" s="312" t="s">
        <v>21</v>
      </c>
      <c r="B240" s="313"/>
      <c r="C240" s="4" t="s">
        <v>18</v>
      </c>
      <c r="D240" s="261">
        <v>12502</v>
      </c>
      <c r="E240" s="261">
        <v>10716</v>
      </c>
      <c r="F240" s="261">
        <v>8930</v>
      </c>
      <c r="G240" s="261">
        <v>8037</v>
      </c>
      <c r="H240" s="261">
        <v>7144</v>
      </c>
      <c r="I240" s="261">
        <v>6251</v>
      </c>
      <c r="J240" s="261">
        <v>7144</v>
      </c>
      <c r="K240" s="261">
        <v>8037</v>
      </c>
      <c r="L240" s="261">
        <v>8037</v>
      </c>
      <c r="M240" s="261">
        <v>8037</v>
      </c>
      <c r="N240" s="261">
        <v>8037</v>
      </c>
      <c r="O240" s="261">
        <v>8037</v>
      </c>
      <c r="P240" s="34">
        <f>SUM(D240:O240)</f>
        <v>100909</v>
      </c>
    </row>
    <row r="241" spans="1:16" x14ac:dyDescent="0.3">
      <c r="A241" s="312" t="s">
        <v>20</v>
      </c>
      <c r="B241" s="313"/>
      <c r="C241" s="4" t="s">
        <v>18</v>
      </c>
      <c r="D241" s="262">
        <v>8037</v>
      </c>
      <c r="E241" s="262">
        <v>6251</v>
      </c>
      <c r="F241" s="262">
        <v>5358</v>
      </c>
      <c r="G241" s="262">
        <v>6251</v>
      </c>
      <c r="H241" s="262">
        <v>4465</v>
      </c>
      <c r="I241" s="262">
        <v>3572</v>
      </c>
      <c r="J241" s="262">
        <v>4465</v>
      </c>
      <c r="K241" s="262">
        <v>4465</v>
      </c>
      <c r="L241" s="262">
        <v>3572</v>
      </c>
      <c r="M241" s="262">
        <v>4465</v>
      </c>
      <c r="N241" s="262">
        <v>4465</v>
      </c>
      <c r="O241" s="262">
        <v>7144</v>
      </c>
      <c r="P241" s="34">
        <f>SUM(D241:O241)</f>
        <v>62510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64">SUM(D238:D241)</f>
        <v>2618276</v>
      </c>
      <c r="E242" s="296">
        <f t="shared" si="64"/>
        <v>2577198</v>
      </c>
      <c r="F242" s="296">
        <f t="shared" si="64"/>
        <v>2345911</v>
      </c>
      <c r="G242" s="296">
        <f t="shared" si="64"/>
        <v>2408421</v>
      </c>
      <c r="H242" s="296">
        <f t="shared" si="64"/>
        <v>2385203</v>
      </c>
      <c r="I242" s="296">
        <f t="shared" si="64"/>
        <v>2368236</v>
      </c>
      <c r="J242" s="296">
        <f t="shared" si="64"/>
        <v>2300368</v>
      </c>
      <c r="K242" s="296">
        <f t="shared" si="64"/>
        <v>2294117</v>
      </c>
      <c r="L242" s="296">
        <f t="shared" si="64"/>
        <v>2331623</v>
      </c>
      <c r="M242" s="296">
        <f t="shared" si="64"/>
        <v>2364664</v>
      </c>
      <c r="N242" s="296">
        <f t="shared" si="64"/>
        <v>2388775</v>
      </c>
      <c r="O242" s="296">
        <f t="shared" si="64"/>
        <v>2415565</v>
      </c>
      <c r="P242" s="266">
        <f t="shared" si="64"/>
        <v>28798357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62800253.299999997</v>
      </c>
      <c r="E243" s="291">
        <f t="shared" ref="E243:O243" si="65">E230+E236+E242</f>
        <v>67335537.560000002</v>
      </c>
      <c r="F243" s="291">
        <f t="shared" si="65"/>
        <v>57867063.939999983</v>
      </c>
      <c r="G243" s="291">
        <f t="shared" si="65"/>
        <v>83394173.450000018</v>
      </c>
      <c r="H243" s="291">
        <f t="shared" si="65"/>
        <v>65457688.810000025</v>
      </c>
      <c r="I243" s="291">
        <f t="shared" si="65"/>
        <v>73219462.829999924</v>
      </c>
      <c r="J243" s="291">
        <f t="shared" si="65"/>
        <v>67173111.819999963</v>
      </c>
      <c r="K243" s="291">
        <f t="shared" si="65"/>
        <v>67253089.590000018</v>
      </c>
      <c r="L243" s="291">
        <f t="shared" si="65"/>
        <v>60598584.229999997</v>
      </c>
      <c r="M243" s="291">
        <f t="shared" si="65"/>
        <v>64871064.659999989</v>
      </c>
      <c r="N243" s="291">
        <f t="shared" si="65"/>
        <v>54898142.910000004</v>
      </c>
      <c r="O243" s="291">
        <f t="shared" si="65"/>
        <v>59056906.250000007</v>
      </c>
      <c r="P243" s="266">
        <f t="shared" ref="P243" si="66">P216+P223+P236+P242</f>
        <v>798969752.36999989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98">
        <v>226342545.09999999</v>
      </c>
      <c r="E245" s="298">
        <v>215036695.40999699</v>
      </c>
      <c r="F245" s="298">
        <v>181298808.59999999</v>
      </c>
      <c r="G245" s="298">
        <v>191882856.439998</v>
      </c>
      <c r="H245" s="298">
        <v>186349517.93000001</v>
      </c>
      <c r="I245" s="298">
        <v>195125766.94999999</v>
      </c>
      <c r="J245" s="298">
        <v>194517557.02000001</v>
      </c>
      <c r="K245" s="298">
        <v>154191936.71000001</v>
      </c>
      <c r="L245" s="298">
        <v>152774245.03999999</v>
      </c>
      <c r="M245" s="298">
        <v>110775438.779999</v>
      </c>
      <c r="N245" s="298">
        <v>111298327.06999999</v>
      </c>
      <c r="O245" s="298">
        <v>103326660.39</v>
      </c>
      <c r="P245" s="299">
        <f>O245</f>
        <v>103326660.39</v>
      </c>
    </row>
    <row r="246" spans="1:16" x14ac:dyDescent="0.3">
      <c r="A246" s="329" t="s">
        <v>208</v>
      </c>
      <c r="B246" s="330"/>
      <c r="C246" s="4" t="s">
        <v>18</v>
      </c>
      <c r="D246" s="298">
        <v>8416922.3000000007</v>
      </c>
      <c r="E246" s="298">
        <v>10616782.82</v>
      </c>
      <c r="F246" s="298">
        <v>7705017.9299999997</v>
      </c>
      <c r="G246" s="298">
        <v>8175151.4199999999</v>
      </c>
      <c r="H246" s="298">
        <v>11513609.67</v>
      </c>
      <c r="I246" s="298">
        <v>5845359.9800000004</v>
      </c>
      <c r="J246" s="298">
        <v>6961042.0099999998</v>
      </c>
      <c r="K246" s="298">
        <v>6518549.21</v>
      </c>
      <c r="L246" s="298">
        <v>7741535.2800000003</v>
      </c>
      <c r="M246" s="298">
        <v>2520798.6800000002</v>
      </c>
      <c r="N246" s="298">
        <v>4181108.32</v>
      </c>
      <c r="O246" s="298">
        <v>3135234.72</v>
      </c>
      <c r="P246" s="299">
        <f>O246</f>
        <v>3135234.72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234759467.40000001</v>
      </c>
      <c r="E247" s="300">
        <f t="shared" ref="E247:P247" si="67">E245+E246</f>
        <v>225653478.22999698</v>
      </c>
      <c r="F247" s="300">
        <f t="shared" si="67"/>
        <v>189003826.53</v>
      </c>
      <c r="G247" s="300">
        <f t="shared" si="67"/>
        <v>200058007.85999799</v>
      </c>
      <c r="H247" s="300">
        <f t="shared" si="67"/>
        <v>197863127.59999999</v>
      </c>
      <c r="I247" s="300">
        <f t="shared" si="67"/>
        <v>200971126.92999998</v>
      </c>
      <c r="J247" s="300">
        <f t="shared" si="67"/>
        <v>201478599.03</v>
      </c>
      <c r="K247" s="300">
        <f t="shared" si="67"/>
        <v>160710485.92000002</v>
      </c>
      <c r="L247" s="300">
        <f t="shared" si="67"/>
        <v>160515780.31999999</v>
      </c>
      <c r="M247" s="300">
        <f t="shared" si="67"/>
        <v>113296237.45999901</v>
      </c>
      <c r="N247" s="300">
        <f t="shared" si="67"/>
        <v>115479435.38999999</v>
      </c>
      <c r="O247" s="300">
        <f t="shared" si="67"/>
        <v>106461895.11</v>
      </c>
      <c r="P247" s="299">
        <f t="shared" si="67"/>
        <v>106461895.11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0.61174732980352486</v>
      </c>
      <c r="E249" s="301">
        <f t="shared" ref="E249:O249" si="68">E58/E243</f>
        <v>0.49607815532081123</v>
      </c>
      <c r="F249" s="301">
        <f t="shared" si="68"/>
        <v>0.98512089475815245</v>
      </c>
      <c r="G249" s="301">
        <f t="shared" si="68"/>
        <v>0.46752170374799717</v>
      </c>
      <c r="H249" s="301">
        <f t="shared" si="68"/>
        <v>0.61298614882916735</v>
      </c>
      <c r="I249" s="301">
        <f t="shared" si="68"/>
        <v>0.74581948992564129</v>
      </c>
      <c r="J249" s="301">
        <f t="shared" si="68"/>
        <v>0.34536756741545899</v>
      </c>
      <c r="K249" s="301">
        <f t="shared" si="68"/>
        <v>0.67865851780862374</v>
      </c>
      <c r="L249" s="301">
        <f t="shared" si="68"/>
        <v>0.62627214269655884</v>
      </c>
      <c r="M249" s="301">
        <f t="shared" si="68"/>
        <v>0.45748959012383206</v>
      </c>
      <c r="N249" s="301">
        <f t="shared" si="68"/>
        <v>0.70248282763018333</v>
      </c>
      <c r="O249" s="301">
        <f t="shared" si="68"/>
        <v>0.6542826507983559</v>
      </c>
      <c r="P249" s="389">
        <f t="shared" ref="P249" si="69">P58/P243%</f>
        <v>59.604837867602392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0.12537104220005413</v>
      </c>
      <c r="E250" s="284">
        <f t="shared" ref="E250:O250" si="70">E210/(E223+E245)</f>
        <v>0.16049764813984677</v>
      </c>
      <c r="F250" s="284">
        <f t="shared" si="70"/>
        <v>0.2864173763962522</v>
      </c>
      <c r="G250" s="284">
        <f t="shared" si="70"/>
        <v>0.10542382233947337</v>
      </c>
      <c r="H250" s="284">
        <f t="shared" si="70"/>
        <v>0.14264209833512265</v>
      </c>
      <c r="I250" s="284">
        <f t="shared" si="70"/>
        <v>0.14020091920122416</v>
      </c>
      <c r="J250" s="284">
        <f t="shared" si="70"/>
        <v>0.1229931346957274</v>
      </c>
      <c r="K250" s="284">
        <f t="shared" si="70"/>
        <v>0.14009191702230475</v>
      </c>
      <c r="L250" s="284">
        <f t="shared" si="70"/>
        <v>0.16030676031142549</v>
      </c>
      <c r="M250" s="284">
        <f t="shared" si="70"/>
        <v>0.22919723701048894</v>
      </c>
      <c r="N250" s="284">
        <f t="shared" si="70"/>
        <v>0.18353963719794436</v>
      </c>
      <c r="O250" s="284">
        <f t="shared" si="70"/>
        <v>0.24285773858015977</v>
      </c>
      <c r="P250" s="388">
        <f t="shared" ref="P250" si="71">P210/(P223+P245)%</f>
        <v>93.2356685516651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0.98967886106703451</v>
      </c>
      <c r="E251" s="302">
        <f t="shared" ref="E251:O251" si="72">E210/E223</f>
        <v>1.5229825193499005</v>
      </c>
      <c r="F251" s="302">
        <f t="shared" si="72"/>
        <v>2.8452227422903684</v>
      </c>
      <c r="G251" s="302">
        <f t="shared" si="72"/>
        <v>0.77367194846229514</v>
      </c>
      <c r="H251" s="302">
        <f t="shared" si="72"/>
        <v>1.2392828785019883</v>
      </c>
      <c r="I251" s="302">
        <f t="shared" si="72"/>
        <v>1.0274667662621888</v>
      </c>
      <c r="J251" s="302">
        <f t="shared" si="72"/>
        <v>1.1562624026857327</v>
      </c>
      <c r="K251" s="302">
        <f t="shared" si="72"/>
        <v>1.0113275731123734</v>
      </c>
      <c r="L251" s="302">
        <f t="shared" si="72"/>
        <v>1.2539327699387475</v>
      </c>
      <c r="M251" s="302">
        <f t="shared" si="72"/>
        <v>1.2833778933846971</v>
      </c>
      <c r="N251" s="302">
        <f t="shared" si="72"/>
        <v>1.0889536356240277</v>
      </c>
      <c r="O251" s="302">
        <f t="shared" si="72"/>
        <v>1.3031963198937022</v>
      </c>
      <c r="P251" s="390">
        <f t="shared" ref="P251" si="73">P210/P223%</f>
        <v>124.87841975103447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5">
        <v>42</v>
      </c>
      <c r="E253" s="265">
        <v>22</v>
      </c>
      <c r="F253" s="265">
        <v>48</v>
      </c>
      <c r="G253" s="265">
        <v>52</v>
      </c>
      <c r="H253" s="265">
        <v>76</v>
      </c>
      <c r="I253" s="265">
        <v>57</v>
      </c>
      <c r="J253" s="265">
        <v>69</v>
      </c>
      <c r="K253" s="265">
        <v>44</v>
      </c>
      <c r="L253" s="265">
        <v>19</v>
      </c>
      <c r="M253" s="265">
        <v>28</v>
      </c>
      <c r="N253" s="265">
        <v>42</v>
      </c>
      <c r="O253" s="265">
        <v>51</v>
      </c>
      <c r="P253" s="391">
        <f>SUM(D253:O253)</f>
        <v>550</v>
      </c>
    </row>
    <row r="254" spans="1:16" x14ac:dyDescent="0.3">
      <c r="A254" s="312" t="s">
        <v>12</v>
      </c>
      <c r="B254" s="313"/>
      <c r="C254" s="4" t="s">
        <v>3</v>
      </c>
      <c r="D254" s="265">
        <v>20</v>
      </c>
      <c r="E254" s="265">
        <v>1</v>
      </c>
      <c r="F254" s="265">
        <v>1</v>
      </c>
      <c r="G254" s="265">
        <v>1</v>
      </c>
      <c r="H254" s="265">
        <v>1</v>
      </c>
      <c r="I254" s="265">
        <v>1</v>
      </c>
      <c r="J254" s="265">
        <v>1</v>
      </c>
      <c r="K254" s="265">
        <v>1</v>
      </c>
      <c r="L254" s="265">
        <v>1</v>
      </c>
      <c r="M254" s="265">
        <v>1</v>
      </c>
      <c r="N254" s="265">
        <v>1</v>
      </c>
      <c r="O254" s="265">
        <v>1</v>
      </c>
      <c r="P254" s="391">
        <f>SUM(D254:O254)</f>
        <v>31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:O255" si="74">D95</f>
        <v>684</v>
      </c>
      <c r="E255" s="265">
        <f t="shared" si="74"/>
        <v>686</v>
      </c>
      <c r="F255" s="265">
        <f t="shared" si="74"/>
        <v>712</v>
      </c>
      <c r="G255" s="265">
        <f t="shared" si="74"/>
        <v>755</v>
      </c>
      <c r="H255" s="265">
        <f t="shared" si="74"/>
        <v>809</v>
      </c>
      <c r="I255" s="265">
        <f t="shared" si="74"/>
        <v>834</v>
      </c>
      <c r="J255" s="265">
        <f t="shared" si="74"/>
        <v>842</v>
      </c>
      <c r="K255" s="265">
        <f t="shared" si="74"/>
        <v>833</v>
      </c>
      <c r="L255" s="265">
        <f t="shared" si="74"/>
        <v>813</v>
      </c>
      <c r="M255" s="265">
        <f t="shared" si="74"/>
        <v>818</v>
      </c>
      <c r="N255" s="265">
        <f t="shared" si="74"/>
        <v>832</v>
      </c>
      <c r="O255" s="265">
        <f t="shared" si="74"/>
        <v>857</v>
      </c>
      <c r="P255" s="391">
        <f>SUM(D255:O255)</f>
        <v>9475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:O256" si="75">D91</f>
        <v>42</v>
      </c>
      <c r="E256" s="265">
        <f t="shared" si="75"/>
        <v>22</v>
      </c>
      <c r="F256" s="265">
        <f t="shared" si="75"/>
        <v>48</v>
      </c>
      <c r="G256" s="265">
        <f t="shared" si="75"/>
        <v>52</v>
      </c>
      <c r="H256" s="265">
        <f t="shared" si="75"/>
        <v>76</v>
      </c>
      <c r="I256" s="265">
        <f t="shared" si="75"/>
        <v>57</v>
      </c>
      <c r="J256" s="265">
        <f t="shared" si="75"/>
        <v>69</v>
      </c>
      <c r="K256" s="265">
        <f t="shared" si="75"/>
        <v>44</v>
      </c>
      <c r="L256" s="265">
        <f t="shared" si="75"/>
        <v>19</v>
      </c>
      <c r="M256" s="265">
        <f t="shared" si="75"/>
        <v>33</v>
      </c>
      <c r="N256" s="265">
        <f t="shared" si="75"/>
        <v>42</v>
      </c>
      <c r="O256" s="265">
        <f t="shared" si="75"/>
        <v>51</v>
      </c>
      <c r="P256" s="391">
        <f>SUM(D256:O256)</f>
        <v>555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20</v>
      </c>
      <c r="E257" s="265">
        <v>20</v>
      </c>
      <c r="F257" s="265">
        <v>20</v>
      </c>
      <c r="G257" s="265">
        <v>20</v>
      </c>
      <c r="H257" s="265">
        <v>20</v>
      </c>
      <c r="I257" s="265">
        <v>20</v>
      </c>
      <c r="J257" s="265">
        <v>20</v>
      </c>
      <c r="K257" s="265">
        <v>44</v>
      </c>
      <c r="L257" s="265">
        <v>30</v>
      </c>
      <c r="M257" s="265">
        <v>30</v>
      </c>
      <c r="N257" s="265">
        <v>30</v>
      </c>
      <c r="O257" s="265">
        <v>30</v>
      </c>
      <c r="P257" s="391">
        <f>SUM(D257:O257)</f>
        <v>304</v>
      </c>
    </row>
    <row r="258" spans="1:16" x14ac:dyDescent="0.3">
      <c r="A258" s="314" t="s">
        <v>8</v>
      </c>
      <c r="B258" s="315"/>
      <c r="C258" s="4" t="s">
        <v>3</v>
      </c>
      <c r="D258" s="261">
        <f t="shared" ref="D258:P258" si="76">D257/D256</f>
        <v>0.47619047619047616</v>
      </c>
      <c r="E258" s="261">
        <f t="shared" si="76"/>
        <v>0.90909090909090906</v>
      </c>
      <c r="F258" s="261">
        <f t="shared" si="76"/>
        <v>0.41666666666666669</v>
      </c>
      <c r="G258" s="261">
        <f t="shared" si="76"/>
        <v>0.38461538461538464</v>
      </c>
      <c r="H258" s="261">
        <f t="shared" si="76"/>
        <v>0.26315789473684209</v>
      </c>
      <c r="I258" s="261">
        <f t="shared" si="76"/>
        <v>0.35087719298245612</v>
      </c>
      <c r="J258" s="261">
        <f t="shared" si="76"/>
        <v>0.28985507246376813</v>
      </c>
      <c r="K258" s="261">
        <f t="shared" si="76"/>
        <v>1</v>
      </c>
      <c r="L258" s="261">
        <f t="shared" si="76"/>
        <v>1.5789473684210527</v>
      </c>
      <c r="M258" s="261">
        <f t="shared" si="76"/>
        <v>0.90909090909090906</v>
      </c>
      <c r="N258" s="261">
        <f t="shared" si="76"/>
        <v>0.7142857142857143</v>
      </c>
      <c r="O258" s="261">
        <f t="shared" si="76"/>
        <v>0.58823529411764708</v>
      </c>
      <c r="P258" s="391">
        <f t="shared" si="76"/>
        <v>0.5477477477477477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77">D92/D255*100</f>
        <v>0</v>
      </c>
      <c r="E259" s="303">
        <f t="shared" si="77"/>
        <v>0</v>
      </c>
      <c r="F259" s="303">
        <f t="shared" si="77"/>
        <v>0</v>
      </c>
      <c r="G259" s="303">
        <f t="shared" si="77"/>
        <v>0</v>
      </c>
      <c r="H259" s="303">
        <f t="shared" si="77"/>
        <v>0</v>
      </c>
      <c r="I259" s="303">
        <f t="shared" si="77"/>
        <v>0</v>
      </c>
      <c r="J259" s="303">
        <f t="shared" si="77"/>
        <v>2.8503562945368173</v>
      </c>
      <c r="K259" s="303">
        <f t="shared" si="77"/>
        <v>2.0408163265306123</v>
      </c>
      <c r="L259" s="303">
        <f t="shared" si="77"/>
        <v>3.9360393603936039</v>
      </c>
      <c r="M259" s="303">
        <f t="shared" si="77"/>
        <v>3.4229828850855744</v>
      </c>
      <c r="N259" s="303">
        <f t="shared" si="77"/>
        <v>3.3653846153846154</v>
      </c>
      <c r="O259" s="303">
        <f t="shared" si="77"/>
        <v>2.8004667444574096</v>
      </c>
      <c r="P259" s="392">
        <f t="shared" si="77"/>
        <v>1.6147757255936677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5">
        <v>12</v>
      </c>
      <c r="E261" s="265">
        <v>14</v>
      </c>
      <c r="F261" s="265">
        <v>16</v>
      </c>
      <c r="G261" s="265">
        <v>14</v>
      </c>
      <c r="H261" s="265">
        <v>9</v>
      </c>
      <c r="I261" s="265">
        <v>18</v>
      </c>
      <c r="J261" s="265">
        <v>17</v>
      </c>
      <c r="K261" s="265">
        <v>18</v>
      </c>
      <c r="L261" s="265">
        <v>15</v>
      </c>
      <c r="M261" s="265">
        <v>13</v>
      </c>
      <c r="N261" s="265">
        <v>10</v>
      </c>
      <c r="O261" s="265">
        <v>17</v>
      </c>
      <c r="P261" s="266">
        <f>SUM(D261:O261)</f>
        <v>173</v>
      </c>
    </row>
    <row r="262" spans="1:16" ht="15.75" customHeight="1" x14ac:dyDescent="0.3">
      <c r="A262" s="312" t="s">
        <v>2</v>
      </c>
      <c r="B262" s="313"/>
      <c r="C262" s="4" t="s">
        <v>0</v>
      </c>
      <c r="D262" s="265">
        <v>30</v>
      </c>
      <c r="E262" s="265">
        <v>30</v>
      </c>
      <c r="F262" s="265">
        <v>30</v>
      </c>
      <c r="G262" s="265">
        <v>30</v>
      </c>
      <c r="H262" s="265">
        <v>30</v>
      </c>
      <c r="I262" s="265">
        <v>30</v>
      </c>
      <c r="J262" s="265">
        <v>30</v>
      </c>
      <c r="K262" s="265">
        <v>30</v>
      </c>
      <c r="L262" s="265">
        <v>30</v>
      </c>
      <c r="M262" s="265">
        <v>30</v>
      </c>
      <c r="N262" s="265">
        <v>30</v>
      </c>
      <c r="O262" s="265">
        <v>30</v>
      </c>
      <c r="P262" s="266">
        <f>SUM(D262:O262)</f>
        <v>360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0.4</v>
      </c>
      <c r="E263" s="304">
        <f t="shared" ref="E263:P263" si="78">E261/E262</f>
        <v>0.46666666666666667</v>
      </c>
      <c r="F263" s="304">
        <f t="shared" si="78"/>
        <v>0.53333333333333333</v>
      </c>
      <c r="G263" s="304">
        <f t="shared" si="78"/>
        <v>0.46666666666666667</v>
      </c>
      <c r="H263" s="304">
        <f t="shared" si="78"/>
        <v>0.3</v>
      </c>
      <c r="I263" s="304">
        <f t="shared" si="78"/>
        <v>0.6</v>
      </c>
      <c r="J263" s="304">
        <f t="shared" si="78"/>
        <v>0.56666666666666665</v>
      </c>
      <c r="K263" s="304">
        <f t="shared" si="78"/>
        <v>0.6</v>
      </c>
      <c r="L263" s="304">
        <f t="shared" si="78"/>
        <v>0.5</v>
      </c>
      <c r="M263" s="304">
        <f t="shared" si="78"/>
        <v>0.43333333333333335</v>
      </c>
      <c r="N263" s="304">
        <f t="shared" si="78"/>
        <v>0.33333333333333331</v>
      </c>
      <c r="O263" s="304">
        <f t="shared" si="78"/>
        <v>0.56666666666666665</v>
      </c>
      <c r="P263" s="367">
        <f t="shared" si="78"/>
        <v>0.48055555555555557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R263"/>
  <sheetViews>
    <sheetView workbookViewId="0">
      <pane xSplit="2" ySplit="8" topLeftCell="K210" activePane="bottomRight" state="frozen"/>
      <selection pane="topRight" activeCell="C1" sqref="C1"/>
      <selection pane="bottomLeft" activeCell="A9" sqref="A9"/>
      <selection pane="bottomRight" activeCell="O227" sqref="O227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8" max="18" width="12.554687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1641</v>
      </c>
      <c r="E9" s="244">
        <v>1921</v>
      </c>
      <c r="F9" s="244">
        <v>1922</v>
      </c>
      <c r="G9" s="244">
        <v>2216</v>
      </c>
      <c r="H9" s="244">
        <v>1967</v>
      </c>
      <c r="I9" s="244">
        <v>2860</v>
      </c>
      <c r="J9" s="244">
        <v>2573</v>
      </c>
      <c r="K9" s="244">
        <v>2812</v>
      </c>
      <c r="L9" s="244">
        <v>2123</v>
      </c>
      <c r="M9" s="244">
        <v>2234</v>
      </c>
      <c r="N9" s="244">
        <v>2145</v>
      </c>
      <c r="O9" s="244">
        <v>2085</v>
      </c>
      <c r="P9" s="374">
        <f>SUM(D9:O9)</f>
        <v>26499</v>
      </c>
    </row>
    <row r="10" spans="1:16" x14ac:dyDescent="0.3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5">
        <v>69</v>
      </c>
      <c r="E11" s="245">
        <v>16</v>
      </c>
      <c r="F11" s="245">
        <v>33</v>
      </c>
      <c r="G11" s="245">
        <v>43</v>
      </c>
      <c r="H11" s="245">
        <v>30</v>
      </c>
      <c r="I11" s="245">
        <v>27</v>
      </c>
      <c r="J11" s="245">
        <v>52</v>
      </c>
      <c r="K11" s="245">
        <v>36</v>
      </c>
      <c r="L11" s="245">
        <v>67</v>
      </c>
      <c r="M11" s="245">
        <v>44</v>
      </c>
      <c r="N11" s="245">
        <v>83</v>
      </c>
      <c r="O11" s="245">
        <v>63</v>
      </c>
      <c r="P11" s="246">
        <f>SUM(D11:O11)</f>
        <v>563</v>
      </c>
    </row>
    <row r="12" spans="1:16" x14ac:dyDescent="0.3">
      <c r="A12" s="319" t="s">
        <v>158</v>
      </c>
      <c r="B12" s="320"/>
      <c r="C12" s="4" t="s">
        <v>154</v>
      </c>
      <c r="D12" s="245"/>
      <c r="E12" s="245"/>
      <c r="F12" s="245"/>
      <c r="G12" s="245"/>
      <c r="H12" s="245"/>
      <c r="I12" s="245"/>
      <c r="J12" s="245"/>
      <c r="K12" s="245"/>
      <c r="L12" s="245"/>
      <c r="M12" s="245"/>
      <c r="N12" s="245"/>
      <c r="O12" s="245"/>
      <c r="P12" s="246">
        <f>SUM(D12:O12)</f>
        <v>0</v>
      </c>
    </row>
    <row r="13" spans="1:16" x14ac:dyDescent="0.3">
      <c r="A13" s="319" t="s">
        <v>157</v>
      </c>
      <c r="B13" s="320"/>
      <c r="C13" s="4" t="s">
        <v>154</v>
      </c>
      <c r="D13" s="245">
        <v>32</v>
      </c>
      <c r="E13" s="245">
        <v>10</v>
      </c>
      <c r="F13" s="245">
        <v>13</v>
      </c>
      <c r="G13" s="245">
        <v>8</v>
      </c>
      <c r="H13" s="245">
        <v>6</v>
      </c>
      <c r="I13" s="245">
        <v>21</v>
      </c>
      <c r="J13" s="245">
        <v>24</v>
      </c>
      <c r="K13" s="245">
        <v>68</v>
      </c>
      <c r="L13" s="245">
        <v>5</v>
      </c>
      <c r="M13" s="245">
        <v>6</v>
      </c>
      <c r="N13" s="245">
        <v>10</v>
      </c>
      <c r="O13" s="245">
        <v>10</v>
      </c>
      <c r="P13" s="246">
        <f>SUM(D13:O13)</f>
        <v>213</v>
      </c>
    </row>
    <row r="14" spans="1:16" x14ac:dyDescent="0.3">
      <c r="A14" s="312" t="s">
        <v>156</v>
      </c>
      <c r="B14" s="313"/>
      <c r="C14" s="4" t="s">
        <v>154</v>
      </c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6">
        <f>SUM(D14:O14)</f>
        <v>0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P15" si="0">SUM(D11:D14)</f>
        <v>101</v>
      </c>
      <c r="E15" s="247">
        <f t="shared" si="0"/>
        <v>26</v>
      </c>
      <c r="F15" s="247">
        <f t="shared" si="0"/>
        <v>46</v>
      </c>
      <c r="G15" s="247">
        <f t="shared" si="0"/>
        <v>51</v>
      </c>
      <c r="H15" s="247">
        <f t="shared" si="0"/>
        <v>36</v>
      </c>
      <c r="I15" s="247">
        <f t="shared" si="0"/>
        <v>48</v>
      </c>
      <c r="J15" s="247">
        <f t="shared" si="0"/>
        <v>76</v>
      </c>
      <c r="K15" s="247">
        <f t="shared" si="0"/>
        <v>104</v>
      </c>
      <c r="L15" s="247">
        <f t="shared" si="0"/>
        <v>72</v>
      </c>
      <c r="M15" s="247">
        <f t="shared" si="0"/>
        <v>50</v>
      </c>
      <c r="N15" s="247">
        <f t="shared" si="0"/>
        <v>93</v>
      </c>
      <c r="O15" s="247">
        <f t="shared" si="0"/>
        <v>73</v>
      </c>
      <c r="P15" s="246">
        <f t="shared" si="0"/>
        <v>776</v>
      </c>
    </row>
    <row r="16" spans="1:16" x14ac:dyDescent="0.3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5">
        <v>1274.8</v>
      </c>
      <c r="E17" s="245">
        <v>1352.9</v>
      </c>
      <c r="F17" s="245">
        <v>1498</v>
      </c>
      <c r="G17" s="245">
        <v>1615.1</v>
      </c>
      <c r="H17" s="245">
        <v>1637.4</v>
      </c>
      <c r="I17" s="245">
        <v>1860.5</v>
      </c>
      <c r="J17" s="245">
        <v>1705</v>
      </c>
      <c r="K17" s="245">
        <v>1592.2</v>
      </c>
      <c r="L17" s="245">
        <v>1510.2</v>
      </c>
      <c r="M17" s="245">
        <v>1659.3</v>
      </c>
      <c r="N17" s="245">
        <v>1365.6</v>
      </c>
      <c r="O17" s="245">
        <v>1242</v>
      </c>
      <c r="P17" s="246">
        <f>SUM(D17:O17)</f>
        <v>18313</v>
      </c>
    </row>
    <row r="18" spans="1:16" x14ac:dyDescent="0.3">
      <c r="A18" s="319" t="s">
        <v>183</v>
      </c>
      <c r="B18" s="320"/>
      <c r="C18" s="4" t="s">
        <v>154</v>
      </c>
      <c r="D18" s="245"/>
      <c r="E18" s="245"/>
      <c r="F18" s="245"/>
      <c r="G18" s="245"/>
      <c r="H18" s="245"/>
      <c r="I18" s="245"/>
      <c r="J18" s="245"/>
      <c r="K18" s="245"/>
      <c r="L18" s="245"/>
      <c r="M18" s="245"/>
      <c r="N18" s="245"/>
      <c r="O18" s="245"/>
      <c r="P18" s="246">
        <f>SUM(D18:O18)</f>
        <v>0</v>
      </c>
    </row>
    <row r="19" spans="1:16" x14ac:dyDescent="0.3">
      <c r="A19" s="319" t="s">
        <v>184</v>
      </c>
      <c r="B19" s="320"/>
      <c r="C19" s="4" t="s">
        <v>154</v>
      </c>
      <c r="D19" s="245">
        <v>2</v>
      </c>
      <c r="E19" s="245">
        <v>13</v>
      </c>
      <c r="F19" s="245">
        <v>2.2999999999999998</v>
      </c>
      <c r="G19" s="245">
        <v>338.8</v>
      </c>
      <c r="H19" s="245">
        <v>3.3</v>
      </c>
      <c r="I19" s="245">
        <v>14.2</v>
      </c>
      <c r="J19" s="245">
        <v>403</v>
      </c>
      <c r="K19" s="245">
        <v>335.5</v>
      </c>
      <c r="L19" s="245">
        <v>13.1</v>
      </c>
      <c r="M19" s="245">
        <v>12.2</v>
      </c>
      <c r="N19" s="245">
        <v>85</v>
      </c>
      <c r="O19" s="245">
        <v>131</v>
      </c>
      <c r="P19" s="246">
        <f>SUM(D19:O19)</f>
        <v>1353.3999999999999</v>
      </c>
    </row>
    <row r="20" spans="1:16" x14ac:dyDescent="0.3">
      <c r="A20" s="312" t="s">
        <v>185</v>
      </c>
      <c r="B20" s="313"/>
      <c r="C20" s="4" t="s">
        <v>154</v>
      </c>
      <c r="D20" s="245">
        <v>16.899999999999999</v>
      </c>
      <c r="E20" s="245"/>
      <c r="F20" s="245">
        <v>4.2</v>
      </c>
      <c r="G20" s="245">
        <v>4.0999999999999996</v>
      </c>
      <c r="H20" s="245"/>
      <c r="I20" s="245">
        <v>32.5</v>
      </c>
      <c r="J20" s="245">
        <v>35</v>
      </c>
      <c r="K20" s="245">
        <v>29</v>
      </c>
      <c r="L20" s="245">
        <v>28</v>
      </c>
      <c r="M20" s="245">
        <v>64</v>
      </c>
      <c r="N20" s="245">
        <v>35</v>
      </c>
      <c r="O20" s="245">
        <v>35</v>
      </c>
      <c r="P20" s="246">
        <f>SUM(D20:O20)</f>
        <v>283.7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1293.7</v>
      </c>
      <c r="E21" s="247">
        <f t="shared" ref="E21:P21" si="1">SUM(E17:E20)</f>
        <v>1365.9</v>
      </c>
      <c r="F21" s="247">
        <f t="shared" si="1"/>
        <v>1504.5</v>
      </c>
      <c r="G21" s="247">
        <f t="shared" si="1"/>
        <v>1957.9999999999998</v>
      </c>
      <c r="H21" s="247">
        <f t="shared" si="1"/>
        <v>1640.7</v>
      </c>
      <c r="I21" s="247">
        <f t="shared" si="1"/>
        <v>1907.2</v>
      </c>
      <c r="J21" s="247">
        <f t="shared" si="1"/>
        <v>2143</v>
      </c>
      <c r="K21" s="247">
        <f t="shared" si="1"/>
        <v>1956.7</v>
      </c>
      <c r="L21" s="247">
        <f t="shared" si="1"/>
        <v>1551.3</v>
      </c>
      <c r="M21" s="247">
        <f t="shared" si="1"/>
        <v>1735.5</v>
      </c>
      <c r="N21" s="247">
        <f t="shared" si="1"/>
        <v>1485.6</v>
      </c>
      <c r="O21" s="247">
        <f t="shared" si="1"/>
        <v>1408</v>
      </c>
      <c r="P21" s="246">
        <f t="shared" si="1"/>
        <v>19950.100000000002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1394.7</v>
      </c>
      <c r="E22" s="247">
        <f t="shared" ref="E22:P22" si="2">E21+E15</f>
        <v>1391.9</v>
      </c>
      <c r="F22" s="247">
        <f t="shared" si="2"/>
        <v>1550.5</v>
      </c>
      <c r="G22" s="247">
        <f t="shared" si="2"/>
        <v>2008.9999999999998</v>
      </c>
      <c r="H22" s="247">
        <f t="shared" si="2"/>
        <v>1676.7</v>
      </c>
      <c r="I22" s="247">
        <f t="shared" si="2"/>
        <v>1955.2</v>
      </c>
      <c r="J22" s="247">
        <f t="shared" si="2"/>
        <v>2219</v>
      </c>
      <c r="K22" s="247">
        <f t="shared" si="2"/>
        <v>2060.6999999999998</v>
      </c>
      <c r="L22" s="247">
        <f t="shared" si="2"/>
        <v>1623.3</v>
      </c>
      <c r="M22" s="247">
        <f t="shared" si="2"/>
        <v>1785.5</v>
      </c>
      <c r="N22" s="247">
        <f t="shared" si="2"/>
        <v>1578.6</v>
      </c>
      <c r="O22" s="247">
        <f t="shared" si="2"/>
        <v>1481</v>
      </c>
      <c r="P22" s="246">
        <f t="shared" si="2"/>
        <v>20726.100000000002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246.29999999999995</v>
      </c>
      <c r="E24" s="250">
        <f t="shared" ref="E24:P24" si="3">E9-E22</f>
        <v>529.09999999999991</v>
      </c>
      <c r="F24" s="250">
        <f t="shared" si="3"/>
        <v>371.5</v>
      </c>
      <c r="G24" s="250">
        <f t="shared" si="3"/>
        <v>207.00000000000023</v>
      </c>
      <c r="H24" s="250">
        <f t="shared" si="3"/>
        <v>290.29999999999995</v>
      </c>
      <c r="I24" s="250">
        <f t="shared" si="3"/>
        <v>904.8</v>
      </c>
      <c r="J24" s="250">
        <f t="shared" si="3"/>
        <v>354</v>
      </c>
      <c r="K24" s="250">
        <f t="shared" si="3"/>
        <v>751.30000000000018</v>
      </c>
      <c r="L24" s="250">
        <f t="shared" si="3"/>
        <v>499.70000000000005</v>
      </c>
      <c r="M24" s="250">
        <f t="shared" si="3"/>
        <v>448.5</v>
      </c>
      <c r="N24" s="250">
        <f t="shared" si="3"/>
        <v>566.40000000000009</v>
      </c>
      <c r="O24" s="250">
        <f t="shared" si="3"/>
        <v>604</v>
      </c>
      <c r="P24" s="385">
        <f t="shared" si="3"/>
        <v>5772.8999999999978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4">D24/D9</f>
        <v>0.15009140767824494</v>
      </c>
      <c r="E25" s="253">
        <f t="shared" si="4"/>
        <v>0.27542946382092653</v>
      </c>
      <c r="F25" s="253">
        <f t="shared" si="4"/>
        <v>0.19328824141519252</v>
      </c>
      <c r="G25" s="253">
        <f t="shared" si="4"/>
        <v>9.3411552346570503E-2</v>
      </c>
      <c r="H25" s="253">
        <f t="shared" si="4"/>
        <v>0.14758515505846465</v>
      </c>
      <c r="I25" s="253">
        <f t="shared" si="4"/>
        <v>0.31636363636363635</v>
      </c>
      <c r="J25" s="253">
        <f t="shared" si="4"/>
        <v>0.13758258841818888</v>
      </c>
      <c r="K25" s="253">
        <f t="shared" si="4"/>
        <v>0.26717638691322909</v>
      </c>
      <c r="L25" s="253">
        <f t="shared" si="4"/>
        <v>0.23537447008949602</v>
      </c>
      <c r="M25" s="253">
        <f t="shared" si="4"/>
        <v>0.20076096687555953</v>
      </c>
      <c r="N25" s="253">
        <f t="shared" si="4"/>
        <v>0.26405594405594413</v>
      </c>
      <c r="O25" s="253">
        <f t="shared" si="4"/>
        <v>0.2896882494004796</v>
      </c>
      <c r="P25" s="386">
        <f t="shared" si="4"/>
        <v>0.21785350390580768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x14ac:dyDescent="0.3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33">
        <f>176264.5/50</f>
        <v>3525.29</v>
      </c>
      <c r="C29" s="4" t="s">
        <v>142</v>
      </c>
      <c r="D29" s="259">
        <v>9</v>
      </c>
      <c r="E29" s="259">
        <v>11</v>
      </c>
      <c r="F29" s="259">
        <v>7</v>
      </c>
      <c r="G29" s="259">
        <v>8</v>
      </c>
      <c r="H29" s="259">
        <v>7</v>
      </c>
      <c r="I29" s="259">
        <v>7</v>
      </c>
      <c r="J29" s="259">
        <v>8</v>
      </c>
      <c r="K29" s="259">
        <v>7</v>
      </c>
      <c r="L29" s="259">
        <v>8</v>
      </c>
      <c r="M29" s="259">
        <v>10</v>
      </c>
      <c r="N29" s="259">
        <v>9</v>
      </c>
      <c r="O29" s="259">
        <v>10</v>
      </c>
      <c r="P29" s="260">
        <f>SUM(D29:O29)</f>
        <v>101</v>
      </c>
    </row>
    <row r="30" spans="1:16" x14ac:dyDescent="0.3">
      <c r="A30" s="177"/>
      <c r="B30" s="433"/>
      <c r="C30" s="37" t="s">
        <v>141</v>
      </c>
      <c r="D30" s="261">
        <f t="shared" ref="D30:P30" si="5">D29/(D9/1000)</f>
        <v>5.4844606946983543</v>
      </c>
      <c r="E30" s="261">
        <f t="shared" si="5"/>
        <v>5.7261842790213429</v>
      </c>
      <c r="F30" s="261">
        <f t="shared" si="5"/>
        <v>3.6420395421436007</v>
      </c>
      <c r="G30" s="261">
        <f t="shared" si="5"/>
        <v>3.6101083032490973</v>
      </c>
      <c r="H30" s="261">
        <f t="shared" si="5"/>
        <v>3.5587188612099641</v>
      </c>
      <c r="I30" s="261">
        <f t="shared" si="5"/>
        <v>2.4475524475524475</v>
      </c>
      <c r="J30" s="261">
        <f t="shared" si="5"/>
        <v>3.1092110376991839</v>
      </c>
      <c r="K30" s="261">
        <f t="shared" si="5"/>
        <v>2.489331436699858</v>
      </c>
      <c r="L30" s="261">
        <f t="shared" si="5"/>
        <v>3.7682524729156848</v>
      </c>
      <c r="M30" s="261">
        <f t="shared" si="5"/>
        <v>4.476275738585497</v>
      </c>
      <c r="N30" s="261">
        <f t="shared" si="5"/>
        <v>4.1958041958041958</v>
      </c>
      <c r="O30" s="261">
        <f t="shared" si="5"/>
        <v>4.7961630695443649</v>
      </c>
      <c r="P30" s="266">
        <f t="shared" si="5"/>
        <v>3.8114645835691916</v>
      </c>
    </row>
    <row r="31" spans="1:16" x14ac:dyDescent="0.3">
      <c r="A31" s="176" t="s">
        <v>147</v>
      </c>
      <c r="B31" s="433">
        <f>53000.511/50</f>
        <v>1060.0102199999999</v>
      </c>
      <c r="C31" s="4" t="s">
        <v>142</v>
      </c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60">
        <f>SUM(D31:O31)</f>
        <v>0</v>
      </c>
    </row>
    <row r="32" spans="1:16" x14ac:dyDescent="0.3">
      <c r="A32" s="177"/>
      <c r="B32" s="433"/>
      <c r="C32" s="37" t="s">
        <v>141</v>
      </c>
      <c r="D32" s="261">
        <f t="shared" ref="D32:P32" si="6">D31/(D9/1000)</f>
        <v>0</v>
      </c>
      <c r="E32" s="261">
        <f t="shared" si="6"/>
        <v>0</v>
      </c>
      <c r="F32" s="261">
        <f t="shared" si="6"/>
        <v>0</v>
      </c>
      <c r="G32" s="261">
        <f t="shared" si="6"/>
        <v>0</v>
      </c>
      <c r="H32" s="261">
        <f t="shared" si="6"/>
        <v>0</v>
      </c>
      <c r="I32" s="261">
        <f t="shared" si="6"/>
        <v>0</v>
      </c>
      <c r="J32" s="261">
        <f t="shared" si="6"/>
        <v>0</v>
      </c>
      <c r="K32" s="261">
        <f t="shared" si="6"/>
        <v>0</v>
      </c>
      <c r="L32" s="261">
        <f t="shared" si="6"/>
        <v>0</v>
      </c>
      <c r="M32" s="261">
        <f t="shared" si="6"/>
        <v>0</v>
      </c>
      <c r="N32" s="261">
        <f t="shared" si="6"/>
        <v>0</v>
      </c>
      <c r="O32" s="261">
        <f t="shared" si="6"/>
        <v>0</v>
      </c>
      <c r="P32" s="266">
        <f t="shared" si="6"/>
        <v>0</v>
      </c>
    </row>
    <row r="33" spans="1:16" x14ac:dyDescent="0.3">
      <c r="A33" s="176" t="s">
        <v>146</v>
      </c>
      <c r="B33" s="43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33"/>
      <c r="C34" s="37" t="s">
        <v>141</v>
      </c>
      <c r="D34" s="261">
        <f t="shared" ref="D34:P34" si="7">D33/(D9/1000)</f>
        <v>0</v>
      </c>
      <c r="E34" s="261">
        <f t="shared" si="7"/>
        <v>0</v>
      </c>
      <c r="F34" s="261">
        <f t="shared" si="7"/>
        <v>0</v>
      </c>
      <c r="G34" s="261">
        <f t="shared" si="7"/>
        <v>0</v>
      </c>
      <c r="H34" s="261">
        <f t="shared" si="7"/>
        <v>0</v>
      </c>
      <c r="I34" s="261">
        <f t="shared" si="7"/>
        <v>0</v>
      </c>
      <c r="J34" s="261">
        <f t="shared" si="7"/>
        <v>0</v>
      </c>
      <c r="K34" s="261">
        <f t="shared" si="7"/>
        <v>0</v>
      </c>
      <c r="L34" s="261">
        <f t="shared" si="7"/>
        <v>0</v>
      </c>
      <c r="M34" s="261">
        <f t="shared" si="7"/>
        <v>0</v>
      </c>
      <c r="N34" s="261">
        <f t="shared" si="7"/>
        <v>0</v>
      </c>
      <c r="O34" s="261">
        <f t="shared" si="7"/>
        <v>0</v>
      </c>
      <c r="P34" s="266">
        <f t="shared" si="7"/>
        <v>0</v>
      </c>
    </row>
    <row r="35" spans="1:16" x14ac:dyDescent="0.3">
      <c r="A35" s="176" t="s">
        <v>145</v>
      </c>
      <c r="B35" s="433">
        <f>745345.16/200</f>
        <v>3726.7258000000002</v>
      </c>
      <c r="C35" s="4" t="s">
        <v>128</v>
      </c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6"/>
    </row>
    <row r="36" spans="1:16" x14ac:dyDescent="0.3">
      <c r="A36" s="177"/>
      <c r="B36" s="433"/>
      <c r="C36" s="4" t="s">
        <v>144</v>
      </c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6"/>
    </row>
    <row r="37" spans="1:16" x14ac:dyDescent="0.3">
      <c r="A37" s="176" t="s">
        <v>188</v>
      </c>
      <c r="B37" s="43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33"/>
      <c r="C38" s="4" t="s">
        <v>144</v>
      </c>
      <c r="D38" s="261">
        <f t="shared" ref="D38:P38" si="8">D37/(D9/1000)</f>
        <v>0</v>
      </c>
      <c r="E38" s="261">
        <f t="shared" si="8"/>
        <v>0</v>
      </c>
      <c r="F38" s="261">
        <f t="shared" si="8"/>
        <v>0</v>
      </c>
      <c r="G38" s="261">
        <f t="shared" si="8"/>
        <v>0</v>
      </c>
      <c r="H38" s="261">
        <f t="shared" si="8"/>
        <v>0</v>
      </c>
      <c r="I38" s="261">
        <f t="shared" si="8"/>
        <v>0</v>
      </c>
      <c r="J38" s="261">
        <f t="shared" si="8"/>
        <v>0</v>
      </c>
      <c r="K38" s="261">
        <f t="shared" si="8"/>
        <v>0</v>
      </c>
      <c r="L38" s="261">
        <f t="shared" si="8"/>
        <v>0</v>
      </c>
      <c r="M38" s="261">
        <f t="shared" si="8"/>
        <v>0</v>
      </c>
      <c r="N38" s="261">
        <f t="shared" si="8"/>
        <v>0</v>
      </c>
      <c r="O38" s="261">
        <f t="shared" si="8"/>
        <v>0</v>
      </c>
      <c r="P38" s="266">
        <f t="shared" si="8"/>
        <v>0</v>
      </c>
    </row>
    <row r="39" spans="1:16" x14ac:dyDescent="0.3">
      <c r="A39" s="176" t="s">
        <v>143</v>
      </c>
      <c r="B39" s="43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33"/>
      <c r="C40" s="37" t="s">
        <v>141</v>
      </c>
      <c r="D40" s="261">
        <f t="shared" ref="D40:P40" si="9">D39/(D9/1000)</f>
        <v>0</v>
      </c>
      <c r="E40" s="261">
        <f t="shared" si="9"/>
        <v>0</v>
      </c>
      <c r="F40" s="261">
        <f t="shared" si="9"/>
        <v>0</v>
      </c>
      <c r="G40" s="261">
        <f t="shared" si="9"/>
        <v>0</v>
      </c>
      <c r="H40" s="261">
        <f t="shared" si="9"/>
        <v>0</v>
      </c>
      <c r="I40" s="261">
        <f t="shared" si="9"/>
        <v>0</v>
      </c>
      <c r="J40" s="261">
        <f t="shared" si="9"/>
        <v>0</v>
      </c>
      <c r="K40" s="261">
        <f t="shared" si="9"/>
        <v>0</v>
      </c>
      <c r="L40" s="261">
        <f t="shared" si="9"/>
        <v>0</v>
      </c>
      <c r="M40" s="261">
        <f t="shared" si="9"/>
        <v>0</v>
      </c>
      <c r="N40" s="261">
        <f t="shared" si="9"/>
        <v>0</v>
      </c>
      <c r="O40" s="261">
        <f t="shared" si="9"/>
        <v>0</v>
      </c>
      <c r="P40" s="266">
        <f t="shared" si="9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31727.61</v>
      </c>
      <c r="E41" s="263">
        <f t="shared" ref="E41:O41" si="10">(E29*$B29)+(E31*$B31)+(E33*$B33)+(E35*$B35)+(E37*$B37)+(E39*$B39)</f>
        <v>38778.19</v>
      </c>
      <c r="F41" s="263">
        <f t="shared" si="10"/>
        <v>24677.03</v>
      </c>
      <c r="G41" s="263">
        <f t="shared" si="10"/>
        <v>28202.32</v>
      </c>
      <c r="H41" s="263">
        <f t="shared" si="10"/>
        <v>24677.03</v>
      </c>
      <c r="I41" s="263">
        <f t="shared" si="10"/>
        <v>24677.03</v>
      </c>
      <c r="J41" s="263">
        <f t="shared" si="10"/>
        <v>28202.32</v>
      </c>
      <c r="K41" s="263">
        <f t="shared" si="10"/>
        <v>24677.03</v>
      </c>
      <c r="L41" s="263">
        <f t="shared" si="10"/>
        <v>28202.32</v>
      </c>
      <c r="M41" s="263">
        <f t="shared" si="10"/>
        <v>35252.9</v>
      </c>
      <c r="N41" s="263">
        <f t="shared" si="10"/>
        <v>31727.61</v>
      </c>
      <c r="O41" s="263">
        <f t="shared" si="10"/>
        <v>35252.9</v>
      </c>
      <c r="P41" s="34">
        <f>SUM(D41:O41)</f>
        <v>356054.29000000004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11">D41/D9</f>
        <v>19.334314442413163</v>
      </c>
      <c r="E42" s="261">
        <f t="shared" si="11"/>
        <v>20.186460176991151</v>
      </c>
      <c r="F42" s="261">
        <f t="shared" si="11"/>
        <v>12.839245577523412</v>
      </c>
      <c r="G42" s="261">
        <f t="shared" si="11"/>
        <v>12.726678700361012</v>
      </c>
      <c r="H42" s="261">
        <f t="shared" si="11"/>
        <v>12.545516014234876</v>
      </c>
      <c r="I42" s="261">
        <f t="shared" si="11"/>
        <v>8.6283321678321681</v>
      </c>
      <c r="J42" s="261">
        <f t="shared" si="11"/>
        <v>10.960870579090555</v>
      </c>
      <c r="K42" s="261">
        <f t="shared" si="11"/>
        <v>8.7756152204836404</v>
      </c>
      <c r="L42" s="261">
        <f t="shared" si="11"/>
        <v>13.284182760244937</v>
      </c>
      <c r="M42" s="261">
        <f t="shared" si="11"/>
        <v>15.780170098478067</v>
      </c>
      <c r="N42" s="261">
        <f t="shared" si="11"/>
        <v>14.791426573426573</v>
      </c>
      <c r="O42" s="261">
        <f t="shared" si="11"/>
        <v>16.907865707434052</v>
      </c>
      <c r="P42" s="99">
        <f t="shared" si="11"/>
        <v>13.436517981810637</v>
      </c>
    </row>
    <row r="43" spans="1:16" x14ac:dyDescent="0.3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59">
        <v>760</v>
      </c>
      <c r="E44" s="259">
        <v>2306.8050699999999</v>
      </c>
      <c r="F44" s="259">
        <v>4000</v>
      </c>
      <c r="G44" s="259">
        <v>2400</v>
      </c>
      <c r="H44" s="259">
        <v>5200</v>
      </c>
      <c r="I44" s="259">
        <v>5100</v>
      </c>
      <c r="J44" s="259">
        <v>5300</v>
      </c>
      <c r="K44" s="259">
        <v>5000</v>
      </c>
      <c r="L44" s="259">
        <v>5100</v>
      </c>
      <c r="M44" s="259">
        <v>5200</v>
      </c>
      <c r="N44" s="259">
        <v>860</v>
      </c>
      <c r="O44" s="259">
        <v>4900</v>
      </c>
      <c r="P44" s="34">
        <f>SUM(D44:O44)</f>
        <v>46126.805070000002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12">D44/D9</f>
        <v>0.46313223644119439</v>
      </c>
      <c r="E45" s="261">
        <f t="shared" si="12"/>
        <v>1.2008355387818843</v>
      </c>
      <c r="F45" s="261">
        <f t="shared" si="12"/>
        <v>2.0811654526534857</v>
      </c>
      <c r="G45" s="261">
        <f t="shared" si="12"/>
        <v>1.0830324909747293</v>
      </c>
      <c r="H45" s="261">
        <f t="shared" si="12"/>
        <v>2.6436197254702591</v>
      </c>
      <c r="I45" s="261">
        <f t="shared" si="12"/>
        <v>1.7832167832167831</v>
      </c>
      <c r="J45" s="261">
        <f t="shared" si="12"/>
        <v>2.0598523124757091</v>
      </c>
      <c r="K45" s="261">
        <f t="shared" si="12"/>
        <v>1.7780938833570412</v>
      </c>
      <c r="L45" s="261">
        <f t="shared" si="12"/>
        <v>2.4022609514837496</v>
      </c>
      <c r="M45" s="261">
        <f t="shared" si="12"/>
        <v>2.3276633840644583</v>
      </c>
      <c r="N45" s="261">
        <f t="shared" si="12"/>
        <v>0.40093240093240096</v>
      </c>
      <c r="O45" s="261">
        <f t="shared" si="12"/>
        <v>2.3501199040767387</v>
      </c>
      <c r="P45" s="266">
        <f t="shared" si="12"/>
        <v>1.7406998403713347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146393.9</v>
      </c>
      <c r="E46" s="264">
        <f t="shared" ref="E46:O46" si="13">1.165*(16600+(E44*143.5))</f>
        <v>404984.90458992496</v>
      </c>
      <c r="F46" s="264">
        <f t="shared" si="13"/>
        <v>688049</v>
      </c>
      <c r="G46" s="264">
        <f t="shared" si="13"/>
        <v>420565</v>
      </c>
      <c r="H46" s="264">
        <f t="shared" si="13"/>
        <v>888662</v>
      </c>
      <c r="I46" s="264">
        <f t="shared" si="13"/>
        <v>871944.25</v>
      </c>
      <c r="J46" s="264">
        <f t="shared" si="13"/>
        <v>905379.75</v>
      </c>
      <c r="K46" s="264">
        <f t="shared" si="13"/>
        <v>855226.5</v>
      </c>
      <c r="L46" s="264">
        <f t="shared" si="13"/>
        <v>871944.25</v>
      </c>
      <c r="M46" s="264">
        <f t="shared" si="13"/>
        <v>888662</v>
      </c>
      <c r="N46" s="264">
        <f t="shared" si="13"/>
        <v>163111.65</v>
      </c>
      <c r="O46" s="264">
        <f t="shared" si="13"/>
        <v>838508.75</v>
      </c>
      <c r="P46" s="34">
        <f>SUM(D46:O46)</f>
        <v>7943431.9545899257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14">D46/D9</f>
        <v>89.210176721511274</v>
      </c>
      <c r="E47" s="261">
        <f t="shared" si="14"/>
        <v>210.81983580943518</v>
      </c>
      <c r="F47" s="261">
        <f t="shared" si="14"/>
        <v>357.98595213319459</v>
      </c>
      <c r="G47" s="261">
        <f t="shared" si="14"/>
        <v>189.78564981949458</v>
      </c>
      <c r="H47" s="261">
        <f t="shared" si="14"/>
        <v>451.78546009150989</v>
      </c>
      <c r="I47" s="261">
        <f t="shared" si="14"/>
        <v>304.87561188811191</v>
      </c>
      <c r="J47" s="261">
        <f t="shared" si="14"/>
        <v>351.87708900116593</v>
      </c>
      <c r="K47" s="261">
        <f t="shared" si="14"/>
        <v>304.1346017069701</v>
      </c>
      <c r="L47" s="261">
        <f t="shared" si="14"/>
        <v>410.71325953838908</v>
      </c>
      <c r="M47" s="261">
        <f t="shared" si="14"/>
        <v>397.78961504028649</v>
      </c>
      <c r="N47" s="261">
        <f t="shared" si="14"/>
        <v>76.042727272727276</v>
      </c>
      <c r="O47" s="261">
        <f t="shared" si="14"/>
        <v>402.1624700239808</v>
      </c>
      <c r="P47" s="266">
        <f t="shared" si="14"/>
        <v>299.7634610585277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34">
        <f>SUM(D49:O49)</f>
        <v>0</v>
      </c>
    </row>
    <row r="50" spans="1:16" x14ac:dyDescent="0.3">
      <c r="A50" s="312" t="s">
        <v>189</v>
      </c>
      <c r="B50" s="313"/>
      <c r="C50" s="4" t="s">
        <v>128</v>
      </c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34">
        <f>SUM(D50:O50)</f>
        <v>0</v>
      </c>
    </row>
    <row r="51" spans="1:16" x14ac:dyDescent="0.3">
      <c r="A51" s="312" t="s">
        <v>127</v>
      </c>
      <c r="B51" s="313"/>
      <c r="C51" s="4" t="s">
        <v>31</v>
      </c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6">
        <f>SUM(D51:O51)</f>
        <v>0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x14ac:dyDescent="0.3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x14ac:dyDescent="0.3">
      <c r="A54" s="312" t="s">
        <v>124</v>
      </c>
      <c r="B54" s="313"/>
      <c r="C54" s="4" t="s">
        <v>18</v>
      </c>
      <c r="D54" s="262">
        <v>718108.71</v>
      </c>
      <c r="E54" s="262">
        <v>718108.71</v>
      </c>
      <c r="F54" s="262">
        <v>712768.63</v>
      </c>
      <c r="G54" s="262">
        <v>712768.63</v>
      </c>
      <c r="H54" s="262">
        <v>712768.63</v>
      </c>
      <c r="I54" s="262">
        <v>712768.63</v>
      </c>
      <c r="J54" s="262"/>
      <c r="K54" s="262">
        <v>712768.63</v>
      </c>
      <c r="L54" s="262">
        <v>712768.63</v>
      </c>
      <c r="M54" s="262"/>
      <c r="N54" s="262">
        <v>712768.63</v>
      </c>
      <c r="O54" s="262">
        <v>712768.63</v>
      </c>
      <c r="P54" s="34">
        <f>SUM(D54:O54)</f>
        <v>7138366.459999999</v>
      </c>
    </row>
    <row r="55" spans="1:16" x14ac:dyDescent="0.3">
      <c r="A55" s="267" t="s">
        <v>123</v>
      </c>
      <c r="B55" s="249"/>
      <c r="C55" s="4" t="s">
        <v>18</v>
      </c>
      <c r="D55" s="262">
        <v>720000.32</v>
      </c>
      <c r="E55" s="262">
        <v>720000.32</v>
      </c>
      <c r="F55" s="262">
        <v>1008001.28</v>
      </c>
      <c r="G55" s="262">
        <v>1008001.28</v>
      </c>
      <c r="H55" s="262">
        <v>1008001.28</v>
      </c>
      <c r="I55" s="262">
        <v>1008001.28</v>
      </c>
      <c r="J55" s="262">
        <v>1008001.28</v>
      </c>
      <c r="K55" s="262">
        <v>1008001.28</v>
      </c>
      <c r="L55" s="262">
        <v>1008001.28</v>
      </c>
      <c r="M55" s="262">
        <v>1008001.28</v>
      </c>
      <c r="N55" s="262"/>
      <c r="O55" s="262"/>
      <c r="P55" s="34">
        <f>SUM(D55:O55)</f>
        <v>9504010.8800000008</v>
      </c>
    </row>
    <row r="56" spans="1:16" x14ac:dyDescent="0.3">
      <c r="A56" s="312" t="s">
        <v>122</v>
      </c>
      <c r="B56" s="313"/>
      <c r="C56" s="4" t="s">
        <v>18</v>
      </c>
      <c r="D56" s="262">
        <v>596480</v>
      </c>
      <c r="E56" s="262">
        <v>293286.24</v>
      </c>
      <c r="F56" s="262"/>
      <c r="G56" s="262"/>
      <c r="H56" s="262"/>
      <c r="I56" s="262">
        <v>97762.08</v>
      </c>
      <c r="J56" s="262">
        <v>98000</v>
      </c>
      <c r="K56" s="262"/>
      <c r="L56" s="262"/>
      <c r="M56" s="262">
        <v>466000</v>
      </c>
      <c r="N56" s="262">
        <v>79000</v>
      </c>
      <c r="O56" s="262"/>
      <c r="P56" s="34">
        <f>SUM(D56:O56)</f>
        <v>1630528.3199999998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>D41+D46+D51+D52+D54+D55+D56</f>
        <v>2212710.54</v>
      </c>
      <c r="E58" s="262">
        <f t="shared" ref="E58:O58" si="15">E41+E46+E51+E52+E54+E55+E56</f>
        <v>2175158.3645899249</v>
      </c>
      <c r="F58" s="262">
        <f t="shared" si="15"/>
        <v>2433495.9400000004</v>
      </c>
      <c r="G58" s="262">
        <f t="shared" si="15"/>
        <v>2169537.23</v>
      </c>
      <c r="H58" s="262">
        <f t="shared" si="15"/>
        <v>2634108.9400000004</v>
      </c>
      <c r="I58" s="262">
        <f t="shared" si="15"/>
        <v>2715153.2700000005</v>
      </c>
      <c r="J58" s="262">
        <f t="shared" si="15"/>
        <v>2039583.35</v>
      </c>
      <c r="K58" s="262">
        <f t="shared" si="15"/>
        <v>2600673.4400000004</v>
      </c>
      <c r="L58" s="262">
        <f t="shared" si="15"/>
        <v>2620916.48</v>
      </c>
      <c r="M58" s="262">
        <f t="shared" si="15"/>
        <v>2397916.1800000002</v>
      </c>
      <c r="N58" s="262">
        <f t="shared" si="15"/>
        <v>986607.89</v>
      </c>
      <c r="O58" s="262">
        <f t="shared" si="15"/>
        <v>1586530.28</v>
      </c>
      <c r="P58" s="34">
        <f>SUM(D58:O58)</f>
        <v>26572391.904589925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16">D58/D9</f>
        <v>1348.3915539305301</v>
      </c>
      <c r="E59" s="261">
        <f t="shared" si="16"/>
        <v>1132.3052392451457</v>
      </c>
      <c r="F59" s="261">
        <f t="shared" si="16"/>
        <v>1266.1269198751304</v>
      </c>
      <c r="G59" s="261">
        <f t="shared" si="16"/>
        <v>979.0330460288809</v>
      </c>
      <c r="H59" s="261">
        <f t="shared" si="16"/>
        <v>1339.1504524656839</v>
      </c>
      <c r="I59" s="261">
        <f t="shared" si="16"/>
        <v>949.35429020979041</v>
      </c>
      <c r="J59" s="261">
        <f t="shared" si="16"/>
        <v>792.68688301593477</v>
      </c>
      <c r="K59" s="261">
        <f t="shared" si="16"/>
        <v>924.84830725462314</v>
      </c>
      <c r="L59" s="261">
        <f t="shared" si="16"/>
        <v>1234.5343758831841</v>
      </c>
      <c r="M59" s="261">
        <f t="shared" si="16"/>
        <v>1073.3734019695614</v>
      </c>
      <c r="N59" s="261">
        <f t="shared" si="16"/>
        <v>459.95705827505827</v>
      </c>
      <c r="O59" s="261">
        <f t="shared" si="16"/>
        <v>760.92579376498804</v>
      </c>
      <c r="P59" s="266">
        <f t="shared" si="16"/>
        <v>1002.7696103471801</v>
      </c>
    </row>
    <row r="60" spans="1:16" x14ac:dyDescent="0.3">
      <c r="A60" s="312" t="s">
        <v>118</v>
      </c>
      <c r="B60" s="313"/>
      <c r="C60" s="4" t="s">
        <v>117</v>
      </c>
      <c r="D60" s="261">
        <f>D58/D22</f>
        <v>1586.5136158313614</v>
      </c>
      <c r="E60" s="261">
        <f t="shared" ref="E60:O60" si="17">E58/E22</f>
        <v>1562.7260324663587</v>
      </c>
      <c r="F60" s="261">
        <f t="shared" si="17"/>
        <v>1569.4910931957436</v>
      </c>
      <c r="G60" s="261">
        <f t="shared" si="17"/>
        <v>1079.909024390244</v>
      </c>
      <c r="H60" s="261">
        <f t="shared" si="17"/>
        <v>1571.0078964632912</v>
      </c>
      <c r="I60" s="261">
        <f t="shared" si="17"/>
        <v>1388.6831372749593</v>
      </c>
      <c r="J60" s="261">
        <f t="shared" si="17"/>
        <v>919.14526813880127</v>
      </c>
      <c r="K60" s="261">
        <f t="shared" si="17"/>
        <v>1262.0339884505267</v>
      </c>
      <c r="L60" s="261">
        <f t="shared" si="17"/>
        <v>1614.5607589478225</v>
      </c>
      <c r="M60" s="261">
        <f t="shared" si="17"/>
        <v>1342.994220106413</v>
      </c>
      <c r="N60" s="261">
        <f t="shared" si="17"/>
        <v>624.98916128214876</v>
      </c>
      <c r="O60" s="261">
        <f t="shared" si="17"/>
        <v>1071.2560972316003</v>
      </c>
      <c r="P60" s="387">
        <f>P58/P22</f>
        <v>1282.0739022097705</v>
      </c>
    </row>
    <row r="61" spans="1:16" x14ac:dyDescent="0.3">
      <c r="A61" s="312" t="s">
        <v>116</v>
      </c>
      <c r="B61" s="313"/>
      <c r="C61" s="4" t="s">
        <v>3</v>
      </c>
      <c r="D61" s="265">
        <v>3</v>
      </c>
      <c r="E61" s="265">
        <v>3</v>
      </c>
      <c r="F61" s="265">
        <v>3</v>
      </c>
      <c r="G61" s="265">
        <v>3</v>
      </c>
      <c r="H61" s="265"/>
      <c r="I61" s="265">
        <v>3</v>
      </c>
      <c r="J61" s="265">
        <v>3</v>
      </c>
      <c r="K61" s="265">
        <v>3</v>
      </c>
      <c r="L61" s="265">
        <v>3</v>
      </c>
      <c r="M61" s="265">
        <v>3</v>
      </c>
      <c r="N61" s="265">
        <v>3</v>
      </c>
      <c r="O61" s="265">
        <v>3</v>
      </c>
      <c r="P61" s="34">
        <f>O61</f>
        <v>3</v>
      </c>
    </row>
    <row r="62" spans="1:16" ht="15.6" customHeight="1" x14ac:dyDescent="0.3">
      <c r="A62" s="312" t="s">
        <v>115</v>
      </c>
      <c r="B62" s="313"/>
      <c r="C62" s="4" t="s">
        <v>114</v>
      </c>
      <c r="D62" s="261">
        <f t="shared" ref="D62:P62" si="18">(D61*1000*31)/D9</f>
        <v>56.672760511882998</v>
      </c>
      <c r="E62" s="261">
        <f t="shared" si="18"/>
        <v>48.412285268089533</v>
      </c>
      <c r="F62" s="261">
        <f t="shared" si="18"/>
        <v>48.387096774193552</v>
      </c>
      <c r="G62" s="261">
        <f t="shared" si="18"/>
        <v>41.967509025270758</v>
      </c>
      <c r="H62" s="261">
        <f t="shared" si="18"/>
        <v>0</v>
      </c>
      <c r="I62" s="261">
        <f t="shared" si="18"/>
        <v>32.51748251748252</v>
      </c>
      <c r="J62" s="261">
        <f t="shared" si="18"/>
        <v>36.144578313253014</v>
      </c>
      <c r="K62" s="261">
        <f t="shared" si="18"/>
        <v>33.07254623044097</v>
      </c>
      <c r="L62" s="261">
        <f t="shared" si="18"/>
        <v>43.80593499764484</v>
      </c>
      <c r="M62" s="261">
        <f t="shared" si="18"/>
        <v>41.629364368845124</v>
      </c>
      <c r="N62" s="261">
        <f t="shared" si="18"/>
        <v>43.356643356643353</v>
      </c>
      <c r="O62" s="261">
        <f t="shared" si="18"/>
        <v>44.60431654676259</v>
      </c>
      <c r="P62" s="266">
        <f t="shared" si="18"/>
        <v>3.5095663987320278</v>
      </c>
    </row>
    <row r="63" spans="1:16" x14ac:dyDescent="0.3">
      <c r="A63" s="346" t="s">
        <v>113</v>
      </c>
      <c r="B63" s="347"/>
      <c r="C63" s="33" t="s">
        <v>3</v>
      </c>
      <c r="D63" s="265">
        <v>8</v>
      </c>
      <c r="E63" s="265">
        <v>8</v>
      </c>
      <c r="F63" s="265">
        <v>8</v>
      </c>
      <c r="G63" s="265">
        <v>8</v>
      </c>
      <c r="H63" s="265">
        <v>8</v>
      </c>
      <c r="I63" s="265">
        <v>8</v>
      </c>
      <c r="J63" s="265">
        <v>8</v>
      </c>
      <c r="K63" s="265">
        <v>8</v>
      </c>
      <c r="L63" s="265">
        <v>8</v>
      </c>
      <c r="M63" s="265">
        <v>8</v>
      </c>
      <c r="N63" s="265">
        <v>8</v>
      </c>
      <c r="O63" s="265">
        <v>8</v>
      </c>
      <c r="P63" s="34">
        <f>SUM(D63:O63)</f>
        <v>96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x14ac:dyDescent="0.3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x14ac:dyDescent="0.3">
      <c r="A66" s="176" t="s">
        <v>111</v>
      </c>
      <c r="B66" s="4" t="s">
        <v>85</v>
      </c>
      <c r="C66" s="4" t="s">
        <v>3</v>
      </c>
      <c r="D66" s="268">
        <v>2</v>
      </c>
      <c r="E66" s="268">
        <v>2</v>
      </c>
      <c r="F66" s="268">
        <v>5</v>
      </c>
      <c r="G66" s="268">
        <v>6</v>
      </c>
      <c r="H66" s="268">
        <v>6</v>
      </c>
      <c r="I66" s="268">
        <v>6</v>
      </c>
      <c r="J66" s="268">
        <v>4</v>
      </c>
      <c r="K66" s="268">
        <v>4</v>
      </c>
      <c r="L66" s="268">
        <v>4</v>
      </c>
      <c r="M66" s="268">
        <v>5</v>
      </c>
      <c r="N66" s="268">
        <v>5</v>
      </c>
      <c r="O66" s="268">
        <v>4</v>
      </c>
      <c r="P66" s="31">
        <f>D66</f>
        <v>2</v>
      </c>
    </row>
    <row r="67" spans="1:16" x14ac:dyDescent="0.3">
      <c r="A67" s="307"/>
      <c r="B67" s="4" t="s">
        <v>106</v>
      </c>
      <c r="C67" s="4" t="s">
        <v>3</v>
      </c>
      <c r="D67" s="269">
        <v>2</v>
      </c>
      <c r="E67" s="269">
        <v>3</v>
      </c>
      <c r="F67" s="269">
        <v>5</v>
      </c>
      <c r="G67" s="269">
        <v>3</v>
      </c>
      <c r="H67" s="269">
        <v>7</v>
      </c>
      <c r="I67" s="269">
        <v>6</v>
      </c>
      <c r="J67" s="269">
        <v>4</v>
      </c>
      <c r="K67" s="269">
        <v>4</v>
      </c>
      <c r="L67" s="269">
        <v>3</v>
      </c>
      <c r="M67" s="269">
        <v>3</v>
      </c>
      <c r="N67" s="269">
        <v>7</v>
      </c>
      <c r="O67" s="269">
        <v>4</v>
      </c>
      <c r="P67" s="31">
        <f>SUM(D67:O67)</f>
        <v>51</v>
      </c>
    </row>
    <row r="68" spans="1:16" x14ac:dyDescent="0.3">
      <c r="A68" s="307"/>
      <c r="B68" s="4" t="s">
        <v>105</v>
      </c>
      <c r="C68" s="4" t="s">
        <v>3</v>
      </c>
      <c r="D68" s="269"/>
      <c r="E68" s="269"/>
      <c r="F68" s="269"/>
      <c r="G68" s="269"/>
      <c r="H68" s="269">
        <v>7</v>
      </c>
      <c r="I68" s="269"/>
      <c r="J68" s="269"/>
      <c r="K68" s="269"/>
      <c r="L68" s="269"/>
      <c r="M68" s="269">
        <v>3</v>
      </c>
      <c r="N68" s="269">
        <v>8</v>
      </c>
      <c r="O68" s="269">
        <v>4</v>
      </c>
      <c r="P68" s="31">
        <f t="shared" ref="P68:P69" si="19">SUM(D68:O68)</f>
        <v>22</v>
      </c>
    </row>
    <row r="69" spans="1:16" x14ac:dyDescent="0.3">
      <c r="A69" s="307"/>
      <c r="B69" s="4" t="s">
        <v>104</v>
      </c>
      <c r="C69" s="4" t="s">
        <v>3</v>
      </c>
      <c r="D69" s="265">
        <v>2</v>
      </c>
      <c r="E69" s="262"/>
      <c r="F69" s="262">
        <v>4</v>
      </c>
      <c r="G69" s="262">
        <v>3</v>
      </c>
      <c r="H69" s="262"/>
      <c r="I69" s="262">
        <v>8</v>
      </c>
      <c r="J69" s="262">
        <v>4</v>
      </c>
      <c r="K69" s="262">
        <v>4</v>
      </c>
      <c r="L69" s="262">
        <v>2</v>
      </c>
      <c r="M69" s="262"/>
      <c r="N69" s="262"/>
      <c r="O69" s="262"/>
      <c r="P69" s="31">
        <f t="shared" si="19"/>
        <v>27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2</v>
      </c>
      <c r="E70" s="269">
        <f t="shared" ref="E70:P70" si="20">E68+E69</f>
        <v>0</v>
      </c>
      <c r="F70" s="269">
        <f t="shared" si="20"/>
        <v>4</v>
      </c>
      <c r="G70" s="269">
        <f t="shared" si="20"/>
        <v>3</v>
      </c>
      <c r="H70" s="269">
        <v>7</v>
      </c>
      <c r="I70" s="269">
        <f t="shared" si="20"/>
        <v>8</v>
      </c>
      <c r="J70" s="269">
        <f t="shared" si="20"/>
        <v>4</v>
      </c>
      <c r="K70" s="269">
        <f t="shared" si="20"/>
        <v>4</v>
      </c>
      <c r="L70" s="269">
        <f t="shared" si="20"/>
        <v>2</v>
      </c>
      <c r="M70" s="269">
        <f t="shared" si="20"/>
        <v>3</v>
      </c>
      <c r="N70" s="269">
        <f t="shared" si="20"/>
        <v>8</v>
      </c>
      <c r="O70" s="269">
        <f t="shared" si="20"/>
        <v>4</v>
      </c>
      <c r="P70" s="270">
        <f t="shared" si="20"/>
        <v>49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2</v>
      </c>
      <c r="E71" s="271">
        <f t="shared" ref="E71:O71" si="21">E66+E67-E70</f>
        <v>5</v>
      </c>
      <c r="F71" s="271">
        <f t="shared" si="21"/>
        <v>6</v>
      </c>
      <c r="G71" s="271">
        <f t="shared" si="21"/>
        <v>6</v>
      </c>
      <c r="H71" s="271">
        <f t="shared" si="21"/>
        <v>6</v>
      </c>
      <c r="I71" s="271">
        <f t="shared" si="21"/>
        <v>4</v>
      </c>
      <c r="J71" s="271">
        <f t="shared" si="21"/>
        <v>4</v>
      </c>
      <c r="K71" s="271">
        <f t="shared" si="21"/>
        <v>4</v>
      </c>
      <c r="L71" s="271">
        <f t="shared" si="21"/>
        <v>5</v>
      </c>
      <c r="M71" s="271">
        <f t="shared" si="21"/>
        <v>5</v>
      </c>
      <c r="N71" s="271">
        <f t="shared" si="21"/>
        <v>4</v>
      </c>
      <c r="O71" s="271">
        <f t="shared" si="21"/>
        <v>4</v>
      </c>
      <c r="P71" s="272">
        <f>P66+P67-P70</f>
        <v>4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/>
      <c r="F72" s="268"/>
      <c r="G72" s="268"/>
      <c r="H72" s="268"/>
      <c r="I72" s="268"/>
      <c r="J72" s="268"/>
      <c r="K72" s="268"/>
      <c r="L72" s="268"/>
      <c r="M72" s="268"/>
      <c r="N72" s="268"/>
      <c r="O72" s="268"/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/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0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22">SUM(D74:O74)</f>
        <v>0</v>
      </c>
    </row>
    <row r="75" spans="1:16" x14ac:dyDescent="0.3">
      <c r="A75" s="307"/>
      <c r="B75" s="4" t="s">
        <v>104</v>
      </c>
      <c r="C75" s="4" t="s">
        <v>3</v>
      </c>
      <c r="D75" s="269"/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22"/>
        <v>0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0</v>
      </c>
      <c r="E76" s="269">
        <f t="shared" ref="E76:P76" si="23">E74+E75</f>
        <v>0</v>
      </c>
      <c r="F76" s="269">
        <f t="shared" si="23"/>
        <v>0</v>
      </c>
      <c r="G76" s="269">
        <f t="shared" si="23"/>
        <v>0</v>
      </c>
      <c r="H76" s="269">
        <f t="shared" si="23"/>
        <v>0</v>
      </c>
      <c r="I76" s="269">
        <f t="shared" si="23"/>
        <v>0</v>
      </c>
      <c r="J76" s="269">
        <f t="shared" si="23"/>
        <v>0</v>
      </c>
      <c r="K76" s="269">
        <f t="shared" si="23"/>
        <v>0</v>
      </c>
      <c r="L76" s="269">
        <f t="shared" si="23"/>
        <v>0</v>
      </c>
      <c r="M76" s="269">
        <f t="shared" si="23"/>
        <v>0</v>
      </c>
      <c r="N76" s="269">
        <f t="shared" si="23"/>
        <v>0</v>
      </c>
      <c r="O76" s="269">
        <f t="shared" si="23"/>
        <v>0</v>
      </c>
      <c r="P76" s="270">
        <f t="shared" si="23"/>
        <v>0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24">E72+E73-E76</f>
        <v>0</v>
      </c>
      <c r="F77" s="271">
        <f t="shared" si="24"/>
        <v>0</v>
      </c>
      <c r="G77" s="271">
        <f t="shared" si="24"/>
        <v>0</v>
      </c>
      <c r="H77" s="271">
        <f t="shared" si="24"/>
        <v>0</v>
      </c>
      <c r="I77" s="271">
        <f t="shared" si="24"/>
        <v>0</v>
      </c>
      <c r="J77" s="271">
        <f t="shared" si="24"/>
        <v>0</v>
      </c>
      <c r="K77" s="271">
        <f t="shared" si="24"/>
        <v>0</v>
      </c>
      <c r="L77" s="271">
        <f t="shared" si="24"/>
        <v>0</v>
      </c>
      <c r="M77" s="271">
        <f t="shared" si="24"/>
        <v>0</v>
      </c>
      <c r="N77" s="271">
        <f t="shared" si="24"/>
        <v>0</v>
      </c>
      <c r="O77" s="271">
        <f t="shared" si="24"/>
        <v>0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/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0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/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0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25">E80+E81</f>
        <v>0</v>
      </c>
      <c r="F82" s="269">
        <f t="shared" si="25"/>
        <v>0</v>
      </c>
      <c r="G82" s="269">
        <f t="shared" si="25"/>
        <v>0</v>
      </c>
      <c r="H82" s="269">
        <f t="shared" si="25"/>
        <v>0</v>
      </c>
      <c r="I82" s="269">
        <f t="shared" si="25"/>
        <v>0</v>
      </c>
      <c r="J82" s="269">
        <f t="shared" si="25"/>
        <v>0</v>
      </c>
      <c r="K82" s="269">
        <f t="shared" si="25"/>
        <v>0</v>
      </c>
      <c r="L82" s="269">
        <f t="shared" si="25"/>
        <v>0</v>
      </c>
      <c r="M82" s="269">
        <f t="shared" si="25"/>
        <v>0</v>
      </c>
      <c r="N82" s="269">
        <f t="shared" si="25"/>
        <v>0</v>
      </c>
      <c r="O82" s="269">
        <f t="shared" si="25"/>
        <v>0</v>
      </c>
      <c r="P82" s="270">
        <f t="shared" ref="P82" si="26">P81+P80</f>
        <v>0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P83" si="27">E78+E79-E82</f>
        <v>0</v>
      </c>
      <c r="F83" s="271">
        <f t="shared" si="27"/>
        <v>0</v>
      </c>
      <c r="G83" s="271">
        <f t="shared" si="27"/>
        <v>0</v>
      </c>
      <c r="H83" s="271">
        <f t="shared" si="27"/>
        <v>0</v>
      </c>
      <c r="I83" s="271">
        <f t="shared" si="27"/>
        <v>0</v>
      </c>
      <c r="J83" s="271">
        <f t="shared" si="27"/>
        <v>0</v>
      </c>
      <c r="K83" s="271">
        <f t="shared" si="27"/>
        <v>0</v>
      </c>
      <c r="L83" s="271">
        <f t="shared" si="27"/>
        <v>0</v>
      </c>
      <c r="M83" s="271">
        <f t="shared" si="27"/>
        <v>0</v>
      </c>
      <c r="N83" s="271">
        <f t="shared" si="27"/>
        <v>0</v>
      </c>
      <c r="O83" s="271">
        <f t="shared" si="27"/>
        <v>0</v>
      </c>
      <c r="P83" s="272">
        <f t="shared" si="27"/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28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28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29">E86+E87</f>
        <v>0</v>
      </c>
      <c r="F88" s="269">
        <f t="shared" si="29"/>
        <v>0</v>
      </c>
      <c r="G88" s="269">
        <f t="shared" si="29"/>
        <v>0</v>
      </c>
      <c r="H88" s="269">
        <f t="shared" si="29"/>
        <v>0</v>
      </c>
      <c r="I88" s="269">
        <f t="shared" si="29"/>
        <v>0</v>
      </c>
      <c r="J88" s="269">
        <f t="shared" si="29"/>
        <v>0</v>
      </c>
      <c r="K88" s="269">
        <f t="shared" si="29"/>
        <v>0</v>
      </c>
      <c r="L88" s="269">
        <f t="shared" si="29"/>
        <v>0</v>
      </c>
      <c r="M88" s="269">
        <f t="shared" si="29"/>
        <v>0</v>
      </c>
      <c r="N88" s="269">
        <f t="shared" si="29"/>
        <v>0</v>
      </c>
      <c r="O88" s="269">
        <f t="shared" si="29"/>
        <v>0</v>
      </c>
      <c r="P88" s="31">
        <f t="shared" si="28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30">E84+E85-E88</f>
        <v>0</v>
      </c>
      <c r="F89" s="417">
        <f t="shared" si="30"/>
        <v>0</v>
      </c>
      <c r="G89" s="417">
        <f t="shared" si="30"/>
        <v>0</v>
      </c>
      <c r="H89" s="417">
        <f t="shared" si="30"/>
        <v>0</v>
      </c>
      <c r="I89" s="417">
        <f t="shared" si="30"/>
        <v>0</v>
      </c>
      <c r="J89" s="417">
        <f t="shared" si="30"/>
        <v>0</v>
      </c>
      <c r="K89" s="417">
        <f t="shared" si="30"/>
        <v>0</v>
      </c>
      <c r="L89" s="417">
        <f t="shared" si="30"/>
        <v>0</v>
      </c>
      <c r="M89" s="417">
        <f t="shared" si="30"/>
        <v>0</v>
      </c>
      <c r="N89" s="417">
        <f t="shared" si="30"/>
        <v>0</v>
      </c>
      <c r="O89" s="417">
        <f t="shared" si="30"/>
        <v>0</v>
      </c>
      <c r="P89" s="272">
        <f t="shared" ref="P89" si="31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:O93" si="32">D66+D72+D78+D84</f>
        <v>2</v>
      </c>
      <c r="E90" s="119">
        <f t="shared" si="32"/>
        <v>2</v>
      </c>
      <c r="F90" s="119">
        <f t="shared" si="32"/>
        <v>5</v>
      </c>
      <c r="G90" s="119">
        <f t="shared" si="32"/>
        <v>6</v>
      </c>
      <c r="H90" s="119">
        <f t="shared" si="32"/>
        <v>6</v>
      </c>
      <c r="I90" s="119">
        <f t="shared" si="32"/>
        <v>6</v>
      </c>
      <c r="J90" s="119">
        <f t="shared" si="32"/>
        <v>4</v>
      </c>
      <c r="K90" s="119">
        <f t="shared" si="32"/>
        <v>4</v>
      </c>
      <c r="L90" s="119">
        <f t="shared" si="32"/>
        <v>4</v>
      </c>
      <c r="M90" s="119">
        <f t="shared" si="32"/>
        <v>5</v>
      </c>
      <c r="N90" s="119">
        <f t="shared" si="32"/>
        <v>5</v>
      </c>
      <c r="O90" s="119">
        <f t="shared" si="32"/>
        <v>4</v>
      </c>
      <c r="P90" s="31">
        <f>D90</f>
        <v>2</v>
      </c>
    </row>
    <row r="91" spans="1:16" x14ac:dyDescent="0.3">
      <c r="A91" s="353"/>
      <c r="B91" s="4" t="s">
        <v>106</v>
      </c>
      <c r="C91" s="4" t="s">
        <v>3</v>
      </c>
      <c r="D91" s="119">
        <f t="shared" si="32"/>
        <v>2</v>
      </c>
      <c r="E91" s="119">
        <f t="shared" si="32"/>
        <v>3</v>
      </c>
      <c r="F91" s="119">
        <f t="shared" si="32"/>
        <v>5</v>
      </c>
      <c r="G91" s="119">
        <f t="shared" si="32"/>
        <v>3</v>
      </c>
      <c r="H91" s="119">
        <f t="shared" si="32"/>
        <v>7</v>
      </c>
      <c r="I91" s="119">
        <f t="shared" si="32"/>
        <v>6</v>
      </c>
      <c r="J91" s="119">
        <f t="shared" si="32"/>
        <v>4</v>
      </c>
      <c r="K91" s="119">
        <f t="shared" si="32"/>
        <v>4</v>
      </c>
      <c r="L91" s="119">
        <f t="shared" si="32"/>
        <v>3</v>
      </c>
      <c r="M91" s="119">
        <f t="shared" si="32"/>
        <v>3</v>
      </c>
      <c r="N91" s="119">
        <f t="shared" si="32"/>
        <v>7</v>
      </c>
      <c r="O91" s="119">
        <f t="shared" si="32"/>
        <v>4</v>
      </c>
      <c r="P91" s="31">
        <f>SUM(D91:O91)</f>
        <v>51</v>
      </c>
    </row>
    <row r="92" spans="1:16" x14ac:dyDescent="0.3">
      <c r="A92" s="353"/>
      <c r="B92" s="4" t="s">
        <v>105</v>
      </c>
      <c r="C92" s="4" t="s">
        <v>3</v>
      </c>
      <c r="D92" s="119">
        <f t="shared" si="32"/>
        <v>0</v>
      </c>
      <c r="E92" s="119">
        <f t="shared" si="32"/>
        <v>0</v>
      </c>
      <c r="F92" s="119">
        <f t="shared" si="32"/>
        <v>0</v>
      </c>
      <c r="G92" s="119">
        <f t="shared" si="32"/>
        <v>0</v>
      </c>
      <c r="H92" s="119">
        <f t="shared" si="32"/>
        <v>7</v>
      </c>
      <c r="I92" s="119">
        <f t="shared" si="32"/>
        <v>0</v>
      </c>
      <c r="J92" s="119">
        <f t="shared" si="32"/>
        <v>0</v>
      </c>
      <c r="K92" s="119">
        <f t="shared" si="32"/>
        <v>0</v>
      </c>
      <c r="L92" s="119">
        <f t="shared" si="32"/>
        <v>0</v>
      </c>
      <c r="M92" s="119">
        <f t="shared" si="32"/>
        <v>3</v>
      </c>
      <c r="N92" s="119">
        <f t="shared" si="32"/>
        <v>8</v>
      </c>
      <c r="O92" s="119">
        <f t="shared" si="32"/>
        <v>4</v>
      </c>
      <c r="P92" s="31">
        <f>SUM(D92:O92)</f>
        <v>22</v>
      </c>
    </row>
    <row r="93" spans="1:16" x14ac:dyDescent="0.3">
      <c r="A93" s="353"/>
      <c r="B93" s="4" t="s">
        <v>104</v>
      </c>
      <c r="C93" s="4"/>
      <c r="D93" s="119">
        <f t="shared" si="32"/>
        <v>2</v>
      </c>
      <c r="E93" s="119">
        <f t="shared" si="32"/>
        <v>0</v>
      </c>
      <c r="F93" s="119">
        <f t="shared" si="32"/>
        <v>4</v>
      </c>
      <c r="G93" s="119">
        <f t="shared" si="32"/>
        <v>3</v>
      </c>
      <c r="H93" s="119">
        <f t="shared" si="32"/>
        <v>0</v>
      </c>
      <c r="I93" s="119">
        <f t="shared" si="32"/>
        <v>8</v>
      </c>
      <c r="J93" s="119">
        <f t="shared" si="32"/>
        <v>4</v>
      </c>
      <c r="K93" s="119">
        <f t="shared" si="32"/>
        <v>4</v>
      </c>
      <c r="L93" s="119">
        <f t="shared" si="32"/>
        <v>2</v>
      </c>
      <c r="M93" s="119">
        <f t="shared" si="32"/>
        <v>0</v>
      </c>
      <c r="N93" s="119">
        <f t="shared" si="32"/>
        <v>0</v>
      </c>
      <c r="O93" s="119">
        <f t="shared" si="32"/>
        <v>0</v>
      </c>
      <c r="P93" s="31">
        <f>SUM(D93:O93)</f>
        <v>27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2</v>
      </c>
      <c r="E94" s="120">
        <f t="shared" ref="E94:P94" si="33">E93+E92</f>
        <v>0</v>
      </c>
      <c r="F94" s="120">
        <f t="shared" si="33"/>
        <v>4</v>
      </c>
      <c r="G94" s="120">
        <f t="shared" si="33"/>
        <v>3</v>
      </c>
      <c r="H94" s="120">
        <f t="shared" si="33"/>
        <v>7</v>
      </c>
      <c r="I94" s="120">
        <f t="shared" si="33"/>
        <v>8</v>
      </c>
      <c r="J94" s="120">
        <f t="shared" si="33"/>
        <v>4</v>
      </c>
      <c r="K94" s="120">
        <f t="shared" si="33"/>
        <v>4</v>
      </c>
      <c r="L94" s="120">
        <f t="shared" si="33"/>
        <v>2</v>
      </c>
      <c r="M94" s="120">
        <f t="shared" si="33"/>
        <v>3</v>
      </c>
      <c r="N94" s="120">
        <f t="shared" si="33"/>
        <v>8</v>
      </c>
      <c r="O94" s="120">
        <f t="shared" si="33"/>
        <v>4</v>
      </c>
      <c r="P94" s="127">
        <f t="shared" si="33"/>
        <v>49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2</v>
      </c>
      <c r="E95" s="121">
        <f t="shared" ref="E95:P95" si="34">E90+E91-E94</f>
        <v>5</v>
      </c>
      <c r="F95" s="121">
        <f t="shared" si="34"/>
        <v>6</v>
      </c>
      <c r="G95" s="121">
        <f t="shared" si="34"/>
        <v>6</v>
      </c>
      <c r="H95" s="121">
        <f t="shared" si="34"/>
        <v>6</v>
      </c>
      <c r="I95" s="121">
        <f t="shared" si="34"/>
        <v>4</v>
      </c>
      <c r="J95" s="121">
        <f t="shared" si="34"/>
        <v>4</v>
      </c>
      <c r="K95" s="121">
        <f t="shared" si="34"/>
        <v>4</v>
      </c>
      <c r="L95" s="121">
        <f t="shared" si="34"/>
        <v>5</v>
      </c>
      <c r="M95" s="121">
        <f t="shared" si="34"/>
        <v>5</v>
      </c>
      <c r="N95" s="121">
        <f t="shared" si="34"/>
        <v>4</v>
      </c>
      <c r="O95" s="121">
        <f t="shared" si="34"/>
        <v>4</v>
      </c>
      <c r="P95" s="128">
        <f t="shared" si="34"/>
        <v>4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77">
        <v>12</v>
      </c>
      <c r="E98" s="277"/>
      <c r="F98" s="277">
        <v>8</v>
      </c>
      <c r="G98" s="277">
        <v>3</v>
      </c>
      <c r="H98" s="277">
        <v>6</v>
      </c>
      <c r="I98" s="277">
        <v>6</v>
      </c>
      <c r="J98" s="277">
        <v>7</v>
      </c>
      <c r="K98" s="277">
        <v>4</v>
      </c>
      <c r="L98" s="277">
        <v>2</v>
      </c>
      <c r="M98" s="277"/>
      <c r="N98" s="277">
        <v>8</v>
      </c>
      <c r="O98" s="277"/>
      <c r="P98" s="146">
        <f>SUM(D98:O98)</f>
        <v>56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5"/>
      <c r="E101" s="265"/>
      <c r="F101" s="265">
        <v>223</v>
      </c>
      <c r="G101" s="265">
        <v>223</v>
      </c>
      <c r="H101" s="265">
        <v>223</v>
      </c>
      <c r="I101" s="265">
        <v>213</v>
      </c>
      <c r="J101" s="265">
        <v>213</v>
      </c>
      <c r="K101" s="265">
        <v>211</v>
      </c>
      <c r="L101" s="265">
        <v>211</v>
      </c>
      <c r="M101" s="265">
        <v>211</v>
      </c>
      <c r="N101" s="265">
        <v>211</v>
      </c>
      <c r="O101" s="265">
        <v>214</v>
      </c>
      <c r="P101" s="278">
        <f t="shared" ref="P101:P116" si="35">O101</f>
        <v>214</v>
      </c>
    </row>
    <row r="102" spans="1:16" x14ac:dyDescent="0.3">
      <c r="A102" s="312" t="s">
        <v>101</v>
      </c>
      <c r="B102" s="313"/>
      <c r="C102" s="4" t="s">
        <v>3</v>
      </c>
      <c r="D102" s="265"/>
      <c r="E102" s="265"/>
      <c r="F102" s="265"/>
      <c r="G102" s="265"/>
      <c r="H102" s="265"/>
      <c r="I102" s="265">
        <v>5</v>
      </c>
      <c r="J102" s="265">
        <v>5</v>
      </c>
      <c r="K102" s="265">
        <v>5</v>
      </c>
      <c r="L102" s="265">
        <v>5</v>
      </c>
      <c r="M102" s="265">
        <v>5</v>
      </c>
      <c r="N102" s="265">
        <v>5</v>
      </c>
      <c r="O102" s="265">
        <v>5</v>
      </c>
      <c r="P102" s="278">
        <f t="shared" si="35"/>
        <v>5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5"/>
      <c r="E103" s="265"/>
      <c r="F103" s="265"/>
      <c r="G103" s="265"/>
      <c r="H103" s="265"/>
      <c r="I103" s="265">
        <v>3</v>
      </c>
      <c r="J103" s="265">
        <v>3</v>
      </c>
      <c r="K103" s="265">
        <v>3</v>
      </c>
      <c r="L103" s="265">
        <v>3</v>
      </c>
      <c r="M103" s="265">
        <v>3</v>
      </c>
      <c r="N103" s="265">
        <v>3</v>
      </c>
      <c r="O103" s="265">
        <v>3</v>
      </c>
      <c r="P103" s="278">
        <f t="shared" si="35"/>
        <v>3</v>
      </c>
    </row>
    <row r="104" spans="1:16" x14ac:dyDescent="0.3">
      <c r="A104" s="319" t="s">
        <v>99</v>
      </c>
      <c r="B104" s="320"/>
      <c r="C104" s="4" t="s">
        <v>3</v>
      </c>
      <c r="D104" s="265"/>
      <c r="E104" s="265"/>
      <c r="F104" s="265"/>
      <c r="G104" s="265"/>
      <c r="H104" s="265"/>
      <c r="I104" s="265"/>
      <c r="J104" s="265">
        <v>0</v>
      </c>
      <c r="K104" s="265"/>
      <c r="L104" s="265">
        <v>0</v>
      </c>
      <c r="M104" s="265"/>
      <c r="N104" s="265"/>
      <c r="O104" s="265"/>
      <c r="P104" s="278">
        <f t="shared" si="35"/>
        <v>0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0</v>
      </c>
      <c r="E105" s="279">
        <f t="shared" ref="E105:O105" si="36">SUM(E101:E104)</f>
        <v>0</v>
      </c>
      <c r="F105" s="279">
        <f t="shared" si="36"/>
        <v>223</v>
      </c>
      <c r="G105" s="279">
        <f t="shared" si="36"/>
        <v>223</v>
      </c>
      <c r="H105" s="279">
        <f t="shared" si="36"/>
        <v>223</v>
      </c>
      <c r="I105" s="279">
        <f t="shared" si="36"/>
        <v>221</v>
      </c>
      <c r="J105" s="279">
        <f t="shared" si="36"/>
        <v>221</v>
      </c>
      <c r="K105" s="279">
        <f t="shared" si="36"/>
        <v>219</v>
      </c>
      <c r="L105" s="279">
        <f t="shared" si="36"/>
        <v>219</v>
      </c>
      <c r="M105" s="279">
        <f t="shared" si="36"/>
        <v>219</v>
      </c>
      <c r="N105" s="279">
        <f t="shared" si="36"/>
        <v>219</v>
      </c>
      <c r="O105" s="279">
        <f t="shared" si="36"/>
        <v>222</v>
      </c>
      <c r="P105" s="278">
        <f t="shared" si="35"/>
        <v>222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265">
        <v>12</v>
      </c>
      <c r="E107" s="265">
        <v>2</v>
      </c>
      <c r="F107" s="265">
        <v>33</v>
      </c>
      <c r="G107" s="265">
        <v>43</v>
      </c>
      <c r="H107" s="265">
        <v>10</v>
      </c>
      <c r="I107" s="265">
        <v>6</v>
      </c>
      <c r="J107" s="265">
        <v>4</v>
      </c>
      <c r="K107" s="265">
        <v>4</v>
      </c>
      <c r="L107" s="265">
        <v>5</v>
      </c>
      <c r="M107" s="265">
        <v>9</v>
      </c>
      <c r="N107" s="265">
        <v>17</v>
      </c>
      <c r="O107" s="265">
        <v>17</v>
      </c>
      <c r="P107" s="278">
        <f t="shared" si="35"/>
        <v>17</v>
      </c>
    </row>
    <row r="108" spans="1:16" x14ac:dyDescent="0.3">
      <c r="A108" s="312" t="s">
        <v>196</v>
      </c>
      <c r="B108" s="313"/>
      <c r="C108" s="4" t="s">
        <v>3</v>
      </c>
      <c r="D108" s="265">
        <v>1</v>
      </c>
      <c r="E108" s="265">
        <v>1</v>
      </c>
      <c r="F108" s="265">
        <v>13</v>
      </c>
      <c r="G108" s="265">
        <v>8</v>
      </c>
      <c r="H108" s="265"/>
      <c r="I108" s="265">
        <v>1</v>
      </c>
      <c r="J108" s="265"/>
      <c r="K108" s="265">
        <v>1</v>
      </c>
      <c r="L108" s="265">
        <v>1</v>
      </c>
      <c r="M108" s="265"/>
      <c r="N108" s="265"/>
      <c r="O108" s="265">
        <v>1</v>
      </c>
      <c r="P108" s="278">
        <f t="shared" si="35"/>
        <v>1</v>
      </c>
    </row>
    <row r="109" spans="1:16" x14ac:dyDescent="0.3">
      <c r="A109" s="312" t="s">
        <v>197</v>
      </c>
      <c r="B109" s="313"/>
      <c r="C109" s="4" t="s">
        <v>3</v>
      </c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78">
        <f t="shared" si="35"/>
        <v>0</v>
      </c>
    </row>
    <row r="110" spans="1:16" x14ac:dyDescent="0.3">
      <c r="A110" s="312" t="s">
        <v>198</v>
      </c>
      <c r="B110" s="313"/>
      <c r="C110" s="4" t="s">
        <v>3</v>
      </c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78">
        <f t="shared" si="35"/>
        <v>0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13</v>
      </c>
      <c r="E111" s="279">
        <f t="shared" ref="E111:O111" si="37">SUM(E107:E110)</f>
        <v>3</v>
      </c>
      <c r="F111" s="279">
        <f t="shared" si="37"/>
        <v>46</v>
      </c>
      <c r="G111" s="279">
        <f t="shared" si="37"/>
        <v>51</v>
      </c>
      <c r="H111" s="279">
        <f t="shared" si="37"/>
        <v>10</v>
      </c>
      <c r="I111" s="279">
        <f t="shared" si="37"/>
        <v>7</v>
      </c>
      <c r="J111" s="279">
        <f t="shared" si="37"/>
        <v>4</v>
      </c>
      <c r="K111" s="279">
        <f t="shared" si="37"/>
        <v>5</v>
      </c>
      <c r="L111" s="279">
        <f t="shared" si="37"/>
        <v>6</v>
      </c>
      <c r="M111" s="279">
        <f t="shared" si="37"/>
        <v>9</v>
      </c>
      <c r="N111" s="279">
        <f t="shared" si="37"/>
        <v>17</v>
      </c>
      <c r="O111" s="279">
        <f t="shared" si="37"/>
        <v>18</v>
      </c>
      <c r="P111" s="278">
        <f t="shared" si="35"/>
        <v>18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280">
        <v>376</v>
      </c>
      <c r="E113" s="280">
        <v>376</v>
      </c>
      <c r="F113" s="280">
        <v>376</v>
      </c>
      <c r="G113" s="280">
        <v>376</v>
      </c>
      <c r="H113" s="280">
        <v>320</v>
      </c>
      <c r="I113" s="280">
        <v>334</v>
      </c>
      <c r="J113" s="280">
        <v>341</v>
      </c>
      <c r="K113" s="280">
        <v>345</v>
      </c>
      <c r="L113" s="280">
        <v>347</v>
      </c>
      <c r="M113" s="280">
        <v>347</v>
      </c>
      <c r="N113" s="280">
        <v>347</v>
      </c>
      <c r="O113" s="280">
        <v>347</v>
      </c>
      <c r="P113" s="278">
        <f t="shared" si="35"/>
        <v>347</v>
      </c>
    </row>
    <row r="114" spans="1:16" x14ac:dyDescent="0.3">
      <c r="A114" s="312" t="s">
        <v>200</v>
      </c>
      <c r="B114" s="313"/>
      <c r="C114" s="4" t="s">
        <v>3</v>
      </c>
      <c r="D114" s="280">
        <v>3</v>
      </c>
      <c r="E114" s="280">
        <v>3</v>
      </c>
      <c r="F114" s="280">
        <v>2.2999999999999998</v>
      </c>
      <c r="G114" s="280">
        <v>2</v>
      </c>
      <c r="H114" s="280">
        <v>14</v>
      </c>
      <c r="I114" s="280">
        <v>14</v>
      </c>
      <c r="J114" s="280">
        <v>14</v>
      </c>
      <c r="K114" s="280">
        <v>14</v>
      </c>
      <c r="L114" s="280">
        <v>14</v>
      </c>
      <c r="M114" s="280">
        <v>14</v>
      </c>
      <c r="N114" s="280">
        <v>14</v>
      </c>
      <c r="O114" s="280">
        <v>14</v>
      </c>
      <c r="P114" s="278">
        <f t="shared" si="35"/>
        <v>14</v>
      </c>
    </row>
    <row r="115" spans="1:16" x14ac:dyDescent="0.3">
      <c r="A115" s="312" t="s">
        <v>201</v>
      </c>
      <c r="B115" s="313"/>
      <c r="C115" s="4" t="s">
        <v>3</v>
      </c>
      <c r="D115" s="280">
        <v>6</v>
      </c>
      <c r="E115" s="280">
        <v>6</v>
      </c>
      <c r="F115" s="280">
        <v>4.2</v>
      </c>
      <c r="G115" s="280">
        <v>4.0999999999999996</v>
      </c>
      <c r="H115" s="280">
        <v>27</v>
      </c>
      <c r="I115" s="280">
        <v>27</v>
      </c>
      <c r="J115" s="280">
        <v>27</v>
      </c>
      <c r="K115" s="280">
        <v>27</v>
      </c>
      <c r="L115" s="280">
        <v>27</v>
      </c>
      <c r="M115" s="280">
        <v>27</v>
      </c>
      <c r="N115" s="280">
        <v>27</v>
      </c>
      <c r="O115" s="280">
        <v>27</v>
      </c>
      <c r="P115" s="278">
        <f t="shared" si="35"/>
        <v>27</v>
      </c>
    </row>
    <row r="116" spans="1:16" x14ac:dyDescent="0.3">
      <c r="A116" s="312" t="s">
        <v>202</v>
      </c>
      <c r="B116" s="313"/>
      <c r="C116" s="4" t="s">
        <v>3</v>
      </c>
      <c r="D116" s="280"/>
      <c r="E116" s="280"/>
      <c r="F116" s="280"/>
      <c r="G116" s="280"/>
      <c r="H116" s="280"/>
      <c r="I116" s="280"/>
      <c r="J116" s="280"/>
      <c r="K116" s="280"/>
      <c r="L116" s="280"/>
      <c r="M116" s="280"/>
      <c r="N116" s="280"/>
      <c r="O116" s="280"/>
      <c r="P116" s="278">
        <f t="shared" si="35"/>
        <v>0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385</v>
      </c>
      <c r="E117" s="279">
        <f t="shared" ref="E117:P117" si="38">SUM(E113:E116)</f>
        <v>385</v>
      </c>
      <c r="F117" s="279">
        <f t="shared" si="38"/>
        <v>382.5</v>
      </c>
      <c r="G117" s="279">
        <f t="shared" si="38"/>
        <v>382.1</v>
      </c>
      <c r="H117" s="279">
        <f t="shared" si="38"/>
        <v>361</v>
      </c>
      <c r="I117" s="279">
        <f t="shared" si="38"/>
        <v>375</v>
      </c>
      <c r="J117" s="279">
        <f t="shared" si="38"/>
        <v>382</v>
      </c>
      <c r="K117" s="279">
        <f t="shared" si="38"/>
        <v>386</v>
      </c>
      <c r="L117" s="279">
        <f t="shared" si="38"/>
        <v>388</v>
      </c>
      <c r="M117" s="279">
        <f t="shared" si="38"/>
        <v>388</v>
      </c>
      <c r="N117" s="279">
        <f t="shared" si="38"/>
        <v>388</v>
      </c>
      <c r="O117" s="279">
        <f t="shared" si="38"/>
        <v>388</v>
      </c>
      <c r="P117" s="246">
        <f t="shared" si="38"/>
        <v>388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:P118" si="39">D111+D117</f>
        <v>398</v>
      </c>
      <c r="E118" s="279">
        <f t="shared" si="39"/>
        <v>388</v>
      </c>
      <c r="F118" s="279">
        <f t="shared" si="39"/>
        <v>428.5</v>
      </c>
      <c r="G118" s="279">
        <f t="shared" si="39"/>
        <v>433.1</v>
      </c>
      <c r="H118" s="279">
        <f t="shared" si="39"/>
        <v>371</v>
      </c>
      <c r="I118" s="279">
        <f t="shared" si="39"/>
        <v>382</v>
      </c>
      <c r="J118" s="279">
        <f t="shared" si="39"/>
        <v>386</v>
      </c>
      <c r="K118" s="279">
        <f t="shared" si="39"/>
        <v>391</v>
      </c>
      <c r="L118" s="279">
        <f t="shared" si="39"/>
        <v>394</v>
      </c>
      <c r="M118" s="279">
        <f t="shared" si="39"/>
        <v>397</v>
      </c>
      <c r="N118" s="279">
        <f t="shared" si="39"/>
        <v>405</v>
      </c>
      <c r="O118" s="279">
        <f t="shared" si="39"/>
        <v>406</v>
      </c>
      <c r="P118" s="279">
        <f t="shared" si="39"/>
        <v>406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:P119" si="40">D105+D118</f>
        <v>398</v>
      </c>
      <c r="E119" s="279">
        <f t="shared" si="40"/>
        <v>388</v>
      </c>
      <c r="F119" s="279">
        <f t="shared" si="40"/>
        <v>651.5</v>
      </c>
      <c r="G119" s="279">
        <f t="shared" si="40"/>
        <v>656.1</v>
      </c>
      <c r="H119" s="279">
        <f t="shared" si="40"/>
        <v>594</v>
      </c>
      <c r="I119" s="279">
        <f t="shared" si="40"/>
        <v>603</v>
      </c>
      <c r="J119" s="279">
        <f t="shared" si="40"/>
        <v>607</v>
      </c>
      <c r="K119" s="279">
        <f t="shared" si="40"/>
        <v>610</v>
      </c>
      <c r="L119" s="279">
        <f t="shared" si="40"/>
        <v>613</v>
      </c>
      <c r="M119" s="279">
        <f t="shared" si="40"/>
        <v>616</v>
      </c>
      <c r="N119" s="279">
        <f t="shared" si="40"/>
        <v>624</v>
      </c>
      <c r="O119" s="279">
        <f t="shared" si="40"/>
        <v>628</v>
      </c>
      <c r="P119" s="279">
        <f t="shared" si="40"/>
        <v>628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83">
        <v>1420</v>
      </c>
      <c r="E121" s="283">
        <v>1425</v>
      </c>
      <c r="F121" s="283">
        <v>1428</v>
      </c>
      <c r="G121" s="283">
        <v>1453</v>
      </c>
      <c r="H121" s="283">
        <v>1453</v>
      </c>
      <c r="I121" s="283">
        <v>1463</v>
      </c>
      <c r="J121" s="283">
        <v>1470</v>
      </c>
      <c r="K121" s="283">
        <v>1485.0232000000001</v>
      </c>
      <c r="L121" s="283">
        <v>1499.85</v>
      </c>
      <c r="M121" s="283">
        <v>1507</v>
      </c>
      <c r="N121" s="283">
        <v>1522.07</v>
      </c>
      <c r="O121" s="283">
        <v>1537</v>
      </c>
      <c r="P121" s="27">
        <f>O121</f>
        <v>1537</v>
      </c>
    </row>
    <row r="122" spans="1:16" x14ac:dyDescent="0.3">
      <c r="A122" s="312" t="s">
        <v>94</v>
      </c>
      <c r="B122" s="313"/>
      <c r="C122" s="4" t="s">
        <v>3</v>
      </c>
      <c r="D122" s="283">
        <v>1065</v>
      </c>
      <c r="E122" s="283">
        <v>1065</v>
      </c>
      <c r="F122" s="283">
        <v>999.6</v>
      </c>
      <c r="G122" s="283">
        <v>1241</v>
      </c>
      <c r="H122" s="283">
        <v>1253</v>
      </c>
      <c r="I122" s="283">
        <v>1270</v>
      </c>
      <c r="J122" s="283">
        <v>1276</v>
      </c>
      <c r="K122" s="283">
        <v>1289.1134999999999</v>
      </c>
      <c r="L122" s="283">
        <v>1301.8900000000001</v>
      </c>
      <c r="M122" s="283">
        <v>1308</v>
      </c>
      <c r="N122" s="283">
        <v>1321</v>
      </c>
      <c r="O122" s="283">
        <v>1334</v>
      </c>
      <c r="P122" s="27">
        <f>O122</f>
        <v>1334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41">D122/D121</f>
        <v>0.75</v>
      </c>
      <c r="E123" s="284">
        <f t="shared" si="41"/>
        <v>0.74736842105263157</v>
      </c>
      <c r="F123" s="284">
        <f t="shared" si="41"/>
        <v>0.70000000000000007</v>
      </c>
      <c r="G123" s="284">
        <f t="shared" si="41"/>
        <v>0.85409497591190642</v>
      </c>
      <c r="H123" s="284">
        <f t="shared" si="41"/>
        <v>0.86235375086028909</v>
      </c>
      <c r="I123" s="284">
        <f t="shared" si="41"/>
        <v>0.86807928913192067</v>
      </c>
      <c r="J123" s="284">
        <f t="shared" si="41"/>
        <v>0.86802721088435375</v>
      </c>
      <c r="K123" s="284">
        <f t="shared" si="41"/>
        <v>0.86807633712389132</v>
      </c>
      <c r="L123" s="284">
        <f t="shared" si="41"/>
        <v>0.86801346801346813</v>
      </c>
      <c r="M123" s="284">
        <f t="shared" si="41"/>
        <v>0.86794956867949569</v>
      </c>
      <c r="N123" s="284">
        <f t="shared" si="41"/>
        <v>0.86789700867897013</v>
      </c>
      <c r="O123" s="284">
        <f t="shared" si="41"/>
        <v>0.86792452830188682</v>
      </c>
      <c r="P123" s="388">
        <f t="shared" si="41"/>
        <v>0.86792452830188682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0</v>
      </c>
    </row>
    <row r="127" spans="1:16" x14ac:dyDescent="0.3">
      <c r="A127" s="307"/>
      <c r="B127" s="285" t="s">
        <v>88</v>
      </c>
      <c r="C127" s="4" t="s">
        <v>3</v>
      </c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0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:O129" si="42">D125+D126-D127-D128</f>
        <v>0</v>
      </c>
      <c r="E129" s="268">
        <f t="shared" si="42"/>
        <v>0</v>
      </c>
      <c r="F129" s="268">
        <f t="shared" si="42"/>
        <v>0</v>
      </c>
      <c r="G129" s="268">
        <f t="shared" si="42"/>
        <v>0</v>
      </c>
      <c r="H129" s="268">
        <f t="shared" si="42"/>
        <v>0</v>
      </c>
      <c r="I129" s="268">
        <f t="shared" si="42"/>
        <v>0</v>
      </c>
      <c r="J129" s="268">
        <f t="shared" si="42"/>
        <v>0</v>
      </c>
      <c r="K129" s="268">
        <f t="shared" si="42"/>
        <v>0</v>
      </c>
      <c r="L129" s="268">
        <f t="shared" si="42"/>
        <v>0</v>
      </c>
      <c r="M129" s="268">
        <f t="shared" si="42"/>
        <v>0</v>
      </c>
      <c r="N129" s="268">
        <f t="shared" si="42"/>
        <v>0</v>
      </c>
      <c r="O129" s="268">
        <f t="shared" si="42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9"/>
      <c r="I131" s="269"/>
      <c r="J131" s="269"/>
      <c r="K131" s="269"/>
      <c r="L131" s="269"/>
      <c r="M131" s="269"/>
      <c r="N131" s="269"/>
      <c r="O131" s="269"/>
      <c r="P131" s="31">
        <f>SUM(D131:O131)</f>
        <v>0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9"/>
      <c r="I133" s="269"/>
      <c r="J133" s="269"/>
      <c r="K133" s="269"/>
      <c r="L133" s="269"/>
      <c r="M133" s="269"/>
      <c r="N133" s="269"/>
      <c r="O133" s="269"/>
      <c r="P133" s="31">
        <f>SUM(D133:O133)</f>
        <v>0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:O134" si="43">D130+D131-D132-D133</f>
        <v>0</v>
      </c>
      <c r="E134" s="268">
        <f t="shared" si="43"/>
        <v>0</v>
      </c>
      <c r="F134" s="268">
        <f t="shared" si="43"/>
        <v>0</v>
      </c>
      <c r="G134" s="268">
        <f t="shared" si="43"/>
        <v>0</v>
      </c>
      <c r="H134" s="268">
        <f t="shared" si="43"/>
        <v>0</v>
      </c>
      <c r="I134" s="268">
        <f t="shared" si="43"/>
        <v>0</v>
      </c>
      <c r="J134" s="268">
        <f t="shared" si="43"/>
        <v>0</v>
      </c>
      <c r="K134" s="268">
        <f t="shared" si="43"/>
        <v>0</v>
      </c>
      <c r="L134" s="268">
        <f t="shared" si="43"/>
        <v>0</v>
      </c>
      <c r="M134" s="268">
        <f t="shared" si="43"/>
        <v>0</v>
      </c>
      <c r="N134" s="268">
        <f t="shared" si="43"/>
        <v>0</v>
      </c>
      <c r="O134" s="268">
        <f t="shared" si="43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:O139" si="44">D135+D136-D137-D138</f>
        <v>0</v>
      </c>
      <c r="E139" s="268">
        <f t="shared" si="44"/>
        <v>0</v>
      </c>
      <c r="F139" s="268">
        <f t="shared" si="44"/>
        <v>0</v>
      </c>
      <c r="G139" s="268">
        <f t="shared" si="44"/>
        <v>0</v>
      </c>
      <c r="H139" s="268">
        <f t="shared" si="44"/>
        <v>0</v>
      </c>
      <c r="I139" s="268">
        <f t="shared" si="44"/>
        <v>0</v>
      </c>
      <c r="J139" s="268">
        <f t="shared" si="44"/>
        <v>0</v>
      </c>
      <c r="K139" s="268">
        <f t="shared" si="44"/>
        <v>0</v>
      </c>
      <c r="L139" s="268">
        <f t="shared" si="44"/>
        <v>0</v>
      </c>
      <c r="M139" s="268">
        <f t="shared" si="44"/>
        <v>0</v>
      </c>
      <c r="N139" s="268">
        <f t="shared" si="44"/>
        <v>0</v>
      </c>
      <c r="O139" s="268">
        <f t="shared" si="44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31">
        <f>D140</f>
        <v>0</v>
      </c>
    </row>
    <row r="141" spans="1:16" x14ac:dyDescent="0.3">
      <c r="A141" s="307"/>
      <c r="B141" s="4" t="s">
        <v>84</v>
      </c>
      <c r="C141" s="4" t="s">
        <v>3</v>
      </c>
      <c r="D141" s="269"/>
      <c r="E141" s="269"/>
      <c r="F141" s="269"/>
      <c r="G141" s="269"/>
      <c r="H141" s="269"/>
      <c r="I141" s="269"/>
      <c r="J141" s="269"/>
      <c r="K141" s="269"/>
      <c r="L141" s="269"/>
      <c r="M141" s="269"/>
      <c r="N141" s="269"/>
      <c r="O141" s="269"/>
      <c r="P141" s="31">
        <f>SUM(D141:O141)</f>
        <v>0</v>
      </c>
    </row>
    <row r="142" spans="1:16" x14ac:dyDescent="0.3">
      <c r="A142" s="307"/>
      <c r="B142" s="4" t="s">
        <v>83</v>
      </c>
      <c r="C142" s="4" t="s">
        <v>3</v>
      </c>
      <c r="D142" s="269"/>
      <c r="E142" s="269"/>
      <c r="F142" s="269"/>
      <c r="G142" s="269"/>
      <c r="H142" s="269"/>
      <c r="I142" s="269"/>
      <c r="J142" s="269"/>
      <c r="K142" s="269"/>
      <c r="L142" s="269"/>
      <c r="M142" s="269"/>
      <c r="N142" s="269"/>
      <c r="O142" s="269"/>
      <c r="P142" s="31">
        <f>SUM(D142:O142)</f>
        <v>0</v>
      </c>
    </row>
    <row r="143" spans="1:16" x14ac:dyDescent="0.3">
      <c r="A143" s="307"/>
      <c r="B143" s="4" t="s">
        <v>82</v>
      </c>
      <c r="C143" s="4" t="s">
        <v>3</v>
      </c>
      <c r="D143" s="269"/>
      <c r="E143" s="269"/>
      <c r="F143" s="269"/>
      <c r="G143" s="269"/>
      <c r="H143" s="269"/>
      <c r="I143" s="269"/>
      <c r="J143" s="269"/>
      <c r="K143" s="269"/>
      <c r="L143" s="269"/>
      <c r="M143" s="269"/>
      <c r="N143" s="269"/>
      <c r="O143" s="269"/>
      <c r="P143" s="31">
        <f>SUM(D143:O143)</f>
        <v>0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:O144" si="45">D140+D141-D142-D143</f>
        <v>0</v>
      </c>
      <c r="E144" s="268">
        <f t="shared" si="45"/>
        <v>0</v>
      </c>
      <c r="F144" s="268">
        <f t="shared" si="45"/>
        <v>0</v>
      </c>
      <c r="G144" s="268">
        <f t="shared" si="45"/>
        <v>0</v>
      </c>
      <c r="H144" s="268">
        <f t="shared" si="45"/>
        <v>0</v>
      </c>
      <c r="I144" s="268">
        <f t="shared" si="45"/>
        <v>0</v>
      </c>
      <c r="J144" s="268">
        <f t="shared" si="45"/>
        <v>0</v>
      </c>
      <c r="K144" s="268">
        <f t="shared" si="45"/>
        <v>0</v>
      </c>
      <c r="L144" s="268">
        <f t="shared" si="45"/>
        <v>0</v>
      </c>
      <c r="M144" s="268">
        <f t="shared" si="45"/>
        <v>0</v>
      </c>
      <c r="N144" s="268">
        <f t="shared" si="45"/>
        <v>0</v>
      </c>
      <c r="O144" s="268">
        <f t="shared" si="45"/>
        <v>0</v>
      </c>
      <c r="P144" s="31">
        <f>P140+P141-P142-P143</f>
        <v>0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:P149" si="46">D125+D130+D135+D140</f>
        <v>0</v>
      </c>
      <c r="E145" s="271">
        <f t="shared" si="46"/>
        <v>0</v>
      </c>
      <c r="F145" s="271">
        <f t="shared" si="46"/>
        <v>0</v>
      </c>
      <c r="G145" s="271">
        <f t="shared" si="46"/>
        <v>0</v>
      </c>
      <c r="H145" s="271">
        <f t="shared" si="46"/>
        <v>0</v>
      </c>
      <c r="I145" s="271">
        <f t="shared" si="46"/>
        <v>0</v>
      </c>
      <c r="J145" s="271">
        <f t="shared" si="46"/>
        <v>0</v>
      </c>
      <c r="K145" s="271">
        <f t="shared" si="46"/>
        <v>0</v>
      </c>
      <c r="L145" s="271">
        <f t="shared" si="46"/>
        <v>0</v>
      </c>
      <c r="M145" s="271">
        <f t="shared" si="46"/>
        <v>0</v>
      </c>
      <c r="N145" s="271">
        <f t="shared" si="46"/>
        <v>0</v>
      </c>
      <c r="O145" s="271">
        <f t="shared" si="46"/>
        <v>0</v>
      </c>
      <c r="P145" s="286">
        <f t="shared" si="46"/>
        <v>0</v>
      </c>
    </row>
    <row r="146" spans="1:16" x14ac:dyDescent="0.3">
      <c r="A146" s="307"/>
      <c r="B146" s="4" t="s">
        <v>84</v>
      </c>
      <c r="C146" s="4" t="s">
        <v>3</v>
      </c>
      <c r="D146" s="271">
        <f t="shared" si="46"/>
        <v>0</v>
      </c>
      <c r="E146" s="271">
        <f t="shared" si="46"/>
        <v>0</v>
      </c>
      <c r="F146" s="271">
        <f t="shared" si="46"/>
        <v>0</v>
      </c>
      <c r="G146" s="271">
        <f t="shared" si="46"/>
        <v>0</v>
      </c>
      <c r="H146" s="271">
        <f t="shared" si="46"/>
        <v>0</v>
      </c>
      <c r="I146" s="271">
        <f t="shared" si="46"/>
        <v>0</v>
      </c>
      <c r="J146" s="271">
        <f t="shared" si="46"/>
        <v>0</v>
      </c>
      <c r="K146" s="271">
        <f t="shared" si="46"/>
        <v>0</v>
      </c>
      <c r="L146" s="271">
        <f t="shared" si="46"/>
        <v>0</v>
      </c>
      <c r="M146" s="271">
        <f t="shared" si="46"/>
        <v>0</v>
      </c>
      <c r="N146" s="271">
        <f t="shared" si="46"/>
        <v>0</v>
      </c>
      <c r="O146" s="271">
        <f t="shared" si="46"/>
        <v>0</v>
      </c>
      <c r="P146" s="286">
        <f t="shared" si="46"/>
        <v>0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46"/>
        <v>0</v>
      </c>
      <c r="E147" s="271">
        <f t="shared" si="46"/>
        <v>0</v>
      </c>
      <c r="F147" s="271">
        <f t="shared" si="46"/>
        <v>0</v>
      </c>
      <c r="G147" s="271">
        <f t="shared" si="46"/>
        <v>0</v>
      </c>
      <c r="H147" s="271">
        <f t="shared" si="46"/>
        <v>0</v>
      </c>
      <c r="I147" s="271">
        <f t="shared" si="46"/>
        <v>0</v>
      </c>
      <c r="J147" s="271">
        <f t="shared" si="46"/>
        <v>0</v>
      </c>
      <c r="K147" s="271">
        <f t="shared" si="46"/>
        <v>0</v>
      </c>
      <c r="L147" s="271">
        <f t="shared" si="46"/>
        <v>0</v>
      </c>
      <c r="M147" s="271">
        <f t="shared" si="46"/>
        <v>0</v>
      </c>
      <c r="N147" s="271">
        <f t="shared" si="46"/>
        <v>0</v>
      </c>
      <c r="O147" s="271">
        <f t="shared" si="46"/>
        <v>0</v>
      </c>
      <c r="P147" s="286">
        <f t="shared" si="46"/>
        <v>0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46"/>
        <v>0</v>
      </c>
      <c r="E148" s="271">
        <f t="shared" si="46"/>
        <v>0</v>
      </c>
      <c r="F148" s="271">
        <f t="shared" si="46"/>
        <v>0</v>
      </c>
      <c r="G148" s="271">
        <f t="shared" si="46"/>
        <v>0</v>
      </c>
      <c r="H148" s="271">
        <f t="shared" si="46"/>
        <v>0</v>
      </c>
      <c r="I148" s="271">
        <f t="shared" si="46"/>
        <v>0</v>
      </c>
      <c r="J148" s="271">
        <f t="shared" si="46"/>
        <v>0</v>
      </c>
      <c r="K148" s="271">
        <f t="shared" si="46"/>
        <v>0</v>
      </c>
      <c r="L148" s="271">
        <f t="shared" si="46"/>
        <v>0</v>
      </c>
      <c r="M148" s="271">
        <f t="shared" si="46"/>
        <v>0</v>
      </c>
      <c r="N148" s="271">
        <f t="shared" si="46"/>
        <v>0</v>
      </c>
      <c r="O148" s="271">
        <f t="shared" si="46"/>
        <v>0</v>
      </c>
      <c r="P148" s="286">
        <f t="shared" si="46"/>
        <v>0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:O149" si="47">D145+D146-D147-D148</f>
        <v>0</v>
      </c>
      <c r="E149" s="268">
        <f t="shared" si="47"/>
        <v>0</v>
      </c>
      <c r="F149" s="268">
        <f t="shared" si="47"/>
        <v>0</v>
      </c>
      <c r="G149" s="268">
        <f t="shared" si="47"/>
        <v>0</v>
      </c>
      <c r="H149" s="268">
        <f t="shared" si="47"/>
        <v>0</v>
      </c>
      <c r="I149" s="268">
        <f t="shared" si="47"/>
        <v>0</v>
      </c>
      <c r="J149" s="268">
        <f t="shared" si="47"/>
        <v>0</v>
      </c>
      <c r="K149" s="268">
        <f t="shared" si="47"/>
        <v>0</v>
      </c>
      <c r="L149" s="268">
        <f t="shared" si="47"/>
        <v>0</v>
      </c>
      <c r="M149" s="268">
        <f t="shared" si="47"/>
        <v>0</v>
      </c>
      <c r="N149" s="268">
        <f t="shared" si="47"/>
        <v>0</v>
      </c>
      <c r="O149" s="268">
        <f t="shared" si="47"/>
        <v>0</v>
      </c>
      <c r="P149" s="286">
        <f t="shared" si="46"/>
        <v>0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5">
        <v>13</v>
      </c>
      <c r="E153" s="265">
        <v>15</v>
      </c>
      <c r="F153" s="265">
        <v>16</v>
      </c>
      <c r="G153" s="265">
        <v>12</v>
      </c>
      <c r="H153" s="265">
        <v>19</v>
      </c>
      <c r="I153" s="265">
        <v>14</v>
      </c>
      <c r="J153" s="265">
        <v>16</v>
      </c>
      <c r="K153" s="265">
        <v>28</v>
      </c>
      <c r="L153" s="265">
        <v>16</v>
      </c>
      <c r="M153" s="265">
        <v>15</v>
      </c>
      <c r="N153" s="265">
        <v>11</v>
      </c>
      <c r="O153" s="265">
        <v>13</v>
      </c>
      <c r="P153" s="31">
        <f t="shared" ref="P153:P165" si="48">SUM(D153:O153)</f>
        <v>188</v>
      </c>
    </row>
    <row r="154" spans="1:16" x14ac:dyDescent="0.3">
      <c r="A154" s="336"/>
      <c r="B154" s="18" t="s">
        <v>72</v>
      </c>
      <c r="C154" s="4" t="s">
        <v>57</v>
      </c>
      <c r="D154" s="265">
        <v>8</v>
      </c>
      <c r="E154" s="265">
        <v>8</v>
      </c>
      <c r="F154" s="265">
        <v>11</v>
      </c>
      <c r="G154" s="265">
        <v>10</v>
      </c>
      <c r="H154" s="265">
        <v>12</v>
      </c>
      <c r="I154" s="265">
        <v>7</v>
      </c>
      <c r="J154" s="265">
        <v>11</v>
      </c>
      <c r="K154" s="265">
        <v>11</v>
      </c>
      <c r="L154" s="265">
        <v>12</v>
      </c>
      <c r="M154" s="265">
        <v>9</v>
      </c>
      <c r="N154" s="265">
        <v>7</v>
      </c>
      <c r="O154" s="265">
        <v>8</v>
      </c>
      <c r="P154" s="31">
        <f t="shared" si="48"/>
        <v>114</v>
      </c>
    </row>
    <row r="155" spans="1:16" x14ac:dyDescent="0.3">
      <c r="A155" s="336"/>
      <c r="B155" s="18" t="s">
        <v>53</v>
      </c>
      <c r="C155" s="4" t="s">
        <v>57</v>
      </c>
      <c r="D155" s="265">
        <v>9</v>
      </c>
      <c r="E155" s="265">
        <v>13</v>
      </c>
      <c r="F155" s="265">
        <v>6</v>
      </c>
      <c r="G155" s="265">
        <v>7</v>
      </c>
      <c r="H155" s="265">
        <v>7</v>
      </c>
      <c r="I155" s="265">
        <v>8</v>
      </c>
      <c r="J155" s="265">
        <v>7</v>
      </c>
      <c r="K155" s="265">
        <v>4</v>
      </c>
      <c r="L155" s="265">
        <v>7</v>
      </c>
      <c r="M155" s="265">
        <v>6</v>
      </c>
      <c r="N155" s="265">
        <v>7</v>
      </c>
      <c r="O155" s="265">
        <v>8</v>
      </c>
      <c r="P155" s="31">
        <f t="shared" si="48"/>
        <v>89</v>
      </c>
    </row>
    <row r="156" spans="1:16" x14ac:dyDescent="0.3">
      <c r="A156" s="336"/>
      <c r="B156" s="18" t="s">
        <v>71</v>
      </c>
      <c r="C156" s="4" t="s">
        <v>57</v>
      </c>
      <c r="D156" s="265">
        <v>3</v>
      </c>
      <c r="E156" s="265">
        <v>6</v>
      </c>
      <c r="F156" s="265">
        <v>4</v>
      </c>
      <c r="G156" s="265">
        <v>4</v>
      </c>
      <c r="H156" s="265">
        <v>5</v>
      </c>
      <c r="I156" s="265">
        <v>3</v>
      </c>
      <c r="J156" s="265">
        <v>2</v>
      </c>
      <c r="K156" s="265">
        <v>7</v>
      </c>
      <c r="L156" s="265">
        <v>5</v>
      </c>
      <c r="M156" s="265">
        <v>3</v>
      </c>
      <c r="N156" s="265">
        <v>3</v>
      </c>
      <c r="O156" s="265">
        <v>3</v>
      </c>
      <c r="P156" s="31">
        <f t="shared" si="48"/>
        <v>48</v>
      </c>
    </row>
    <row r="157" spans="1:16" x14ac:dyDescent="0.3">
      <c r="A157" s="336"/>
      <c r="B157" s="18" t="s">
        <v>52</v>
      </c>
      <c r="C157" s="4" t="s">
        <v>57</v>
      </c>
      <c r="D157" s="265">
        <v>2</v>
      </c>
      <c r="E157" s="265">
        <v>3</v>
      </c>
      <c r="F157" s="265">
        <v>3</v>
      </c>
      <c r="G157" s="265">
        <v>5</v>
      </c>
      <c r="H157" s="265">
        <v>1</v>
      </c>
      <c r="I157" s="265">
        <v>5</v>
      </c>
      <c r="J157" s="265">
        <v>2</v>
      </c>
      <c r="K157" s="265">
        <v>3</v>
      </c>
      <c r="L157" s="265">
        <v>4</v>
      </c>
      <c r="M157" s="265">
        <v>5</v>
      </c>
      <c r="N157" s="265">
        <v>2</v>
      </c>
      <c r="O157" s="265">
        <v>2</v>
      </c>
      <c r="P157" s="31">
        <f t="shared" si="48"/>
        <v>37</v>
      </c>
    </row>
    <row r="158" spans="1:16" x14ac:dyDescent="0.3">
      <c r="A158" s="336"/>
      <c r="B158" s="18" t="s">
        <v>51</v>
      </c>
      <c r="C158" s="4" t="s">
        <v>57</v>
      </c>
      <c r="D158" s="265">
        <v>4</v>
      </c>
      <c r="E158" s="265">
        <v>3</v>
      </c>
      <c r="F158" s="265">
        <v>2</v>
      </c>
      <c r="G158" s="265">
        <v>3</v>
      </c>
      <c r="H158" s="265">
        <v>2</v>
      </c>
      <c r="I158" s="265">
        <v>2</v>
      </c>
      <c r="J158" s="265">
        <v>3</v>
      </c>
      <c r="K158" s="265">
        <v>2</v>
      </c>
      <c r="L158" s="265">
        <v>3</v>
      </c>
      <c r="M158" s="265">
        <v>3</v>
      </c>
      <c r="N158" s="265">
        <v>2</v>
      </c>
      <c r="O158" s="265">
        <v>4</v>
      </c>
      <c r="P158" s="31">
        <f t="shared" si="48"/>
        <v>33</v>
      </c>
    </row>
    <row r="159" spans="1:16" x14ac:dyDescent="0.3">
      <c r="A159" s="336"/>
      <c r="B159" s="18" t="s">
        <v>62</v>
      </c>
      <c r="C159" s="4" t="s">
        <v>57</v>
      </c>
      <c r="D159" s="265">
        <v>0</v>
      </c>
      <c r="E159" s="265"/>
      <c r="F159" s="265"/>
      <c r="G159" s="265">
        <v>0</v>
      </c>
      <c r="H159" s="265">
        <v>0</v>
      </c>
      <c r="I159" s="265"/>
      <c r="J159" s="265">
        <v>1</v>
      </c>
      <c r="K159" s="265">
        <v>0</v>
      </c>
      <c r="L159" s="265"/>
      <c r="M159" s="265">
        <v>0</v>
      </c>
      <c r="N159" s="265"/>
      <c r="O159" s="265">
        <v>0</v>
      </c>
      <c r="P159" s="31">
        <f t="shared" si="48"/>
        <v>1</v>
      </c>
    </row>
    <row r="160" spans="1:16" x14ac:dyDescent="0.3">
      <c r="A160" s="336"/>
      <c r="B160" s="18" t="s">
        <v>50</v>
      </c>
      <c r="C160" s="4" t="s">
        <v>57</v>
      </c>
      <c r="D160" s="265">
        <v>2</v>
      </c>
      <c r="E160" s="265">
        <v>2</v>
      </c>
      <c r="F160" s="265">
        <v>1</v>
      </c>
      <c r="G160" s="265">
        <v>2</v>
      </c>
      <c r="H160" s="265">
        <v>1</v>
      </c>
      <c r="I160" s="265"/>
      <c r="J160" s="265">
        <v>1</v>
      </c>
      <c r="K160" s="265">
        <v>1</v>
      </c>
      <c r="L160" s="265"/>
      <c r="M160" s="265">
        <v>0</v>
      </c>
      <c r="N160" s="265">
        <v>1</v>
      </c>
      <c r="O160" s="265">
        <v>2</v>
      </c>
      <c r="P160" s="31">
        <f t="shared" si="48"/>
        <v>13</v>
      </c>
    </row>
    <row r="161" spans="1:16" x14ac:dyDescent="0.3">
      <c r="A161" s="336"/>
      <c r="B161" s="18" t="s">
        <v>49</v>
      </c>
      <c r="C161" s="4" t="s">
        <v>57</v>
      </c>
      <c r="D161" s="265">
        <v>1</v>
      </c>
      <c r="E161" s="265"/>
      <c r="F161" s="265"/>
      <c r="G161" s="265">
        <v>1</v>
      </c>
      <c r="H161" s="265">
        <v>0</v>
      </c>
      <c r="I161" s="265"/>
      <c r="J161" s="265">
        <v>3</v>
      </c>
      <c r="K161" s="265">
        <v>1</v>
      </c>
      <c r="L161" s="265"/>
      <c r="M161" s="265">
        <v>2</v>
      </c>
      <c r="N161" s="265">
        <v>1</v>
      </c>
      <c r="O161" s="265"/>
      <c r="P161" s="31">
        <f t="shared" si="48"/>
        <v>9</v>
      </c>
    </row>
    <row r="162" spans="1:16" x14ac:dyDescent="0.3">
      <c r="A162" s="336"/>
      <c r="B162" s="18" t="s">
        <v>77</v>
      </c>
      <c r="C162" s="4" t="s">
        <v>57</v>
      </c>
      <c r="D162" s="265"/>
      <c r="E162" s="265"/>
      <c r="F162" s="265"/>
      <c r="G162" s="265"/>
      <c r="H162" s="265">
        <v>0</v>
      </c>
      <c r="I162" s="265"/>
      <c r="J162" s="265"/>
      <c r="K162" s="265"/>
      <c r="L162" s="265"/>
      <c r="M162" s="265"/>
      <c r="N162" s="265"/>
      <c r="O162" s="265"/>
      <c r="P162" s="31">
        <f t="shared" si="48"/>
        <v>0</v>
      </c>
    </row>
    <row r="163" spans="1:16" x14ac:dyDescent="0.3">
      <c r="A163" s="336"/>
      <c r="B163" s="18" t="s">
        <v>69</v>
      </c>
      <c r="C163" s="4" t="s">
        <v>57</v>
      </c>
      <c r="D163" s="265"/>
      <c r="E163" s="265"/>
      <c r="F163" s="265"/>
      <c r="G163" s="265"/>
      <c r="H163" s="265">
        <v>0</v>
      </c>
      <c r="I163" s="265"/>
      <c r="J163" s="265"/>
      <c r="K163" s="265"/>
      <c r="L163" s="265"/>
      <c r="M163" s="265"/>
      <c r="N163" s="265"/>
      <c r="O163" s="265"/>
      <c r="P163" s="31">
        <f t="shared" si="48"/>
        <v>0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>
        <v>0</v>
      </c>
      <c r="I164" s="265"/>
      <c r="J164" s="265"/>
      <c r="K164" s="265"/>
      <c r="L164" s="265"/>
      <c r="M164" s="265"/>
      <c r="N164" s="265"/>
      <c r="O164" s="265"/>
      <c r="P164" s="31">
        <f t="shared" si="48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/>
      <c r="F165" s="265"/>
      <c r="G165" s="265"/>
      <c r="H165" s="265">
        <v>0</v>
      </c>
      <c r="I165" s="265"/>
      <c r="J165" s="265"/>
      <c r="K165" s="265"/>
      <c r="L165" s="265"/>
      <c r="M165" s="265"/>
      <c r="N165" s="265"/>
      <c r="O165" s="265"/>
      <c r="P165" s="31">
        <f t="shared" si="48"/>
        <v>0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5">
        <v>3</v>
      </c>
      <c r="E167" s="265">
        <v>1</v>
      </c>
      <c r="F167" s="265">
        <v>3</v>
      </c>
      <c r="G167" s="265">
        <v>2</v>
      </c>
      <c r="H167" s="265">
        <v>3</v>
      </c>
      <c r="I167" s="265">
        <v>2</v>
      </c>
      <c r="J167" s="265">
        <v>3</v>
      </c>
      <c r="K167" s="265">
        <v>1</v>
      </c>
      <c r="L167" s="265"/>
      <c r="M167" s="265">
        <v>1</v>
      </c>
      <c r="N167" s="265">
        <v>3</v>
      </c>
      <c r="O167" s="265"/>
      <c r="P167" s="31">
        <f t="shared" ref="P167:P175" si="49">SUM(D167:O167)</f>
        <v>22</v>
      </c>
    </row>
    <row r="168" spans="1:16" x14ac:dyDescent="0.3">
      <c r="A168" s="336"/>
      <c r="B168" s="18" t="s">
        <v>73</v>
      </c>
      <c r="C168" s="4" t="s">
        <v>57</v>
      </c>
      <c r="D168" s="265">
        <v>1</v>
      </c>
      <c r="E168" s="265"/>
      <c r="F168" s="265">
        <v>2</v>
      </c>
      <c r="G168" s="265">
        <v>1</v>
      </c>
      <c r="H168" s="265">
        <v>2</v>
      </c>
      <c r="I168" s="265">
        <v>1</v>
      </c>
      <c r="J168" s="265">
        <v>1</v>
      </c>
      <c r="K168" s="265">
        <v>2</v>
      </c>
      <c r="L168" s="265"/>
      <c r="M168" s="265">
        <v>2</v>
      </c>
      <c r="N168" s="265">
        <v>1</v>
      </c>
      <c r="O168" s="265"/>
      <c r="P168" s="31">
        <f t="shared" si="49"/>
        <v>13</v>
      </c>
    </row>
    <row r="169" spans="1:16" x14ac:dyDescent="0.3">
      <c r="A169" s="336"/>
      <c r="B169" s="18" t="s">
        <v>72</v>
      </c>
      <c r="C169" s="4" t="s">
        <v>57</v>
      </c>
      <c r="D169" s="265"/>
      <c r="E169" s="265"/>
      <c r="F169" s="265"/>
      <c r="G169" s="265">
        <v>0</v>
      </c>
      <c r="H169" s="265">
        <v>0</v>
      </c>
      <c r="I169" s="265"/>
      <c r="J169" s="265">
        <v>1</v>
      </c>
      <c r="K169" s="265">
        <v>0</v>
      </c>
      <c r="L169" s="265"/>
      <c r="M169" s="265">
        <v>0</v>
      </c>
      <c r="N169" s="265"/>
      <c r="O169" s="265"/>
      <c r="P169" s="31">
        <f t="shared" si="49"/>
        <v>1</v>
      </c>
    </row>
    <row r="170" spans="1:16" x14ac:dyDescent="0.3">
      <c r="A170" s="336"/>
      <c r="B170" s="18" t="s">
        <v>71</v>
      </c>
      <c r="C170" s="4" t="s">
        <v>57</v>
      </c>
      <c r="D170" s="265"/>
      <c r="E170" s="265"/>
      <c r="F170" s="265"/>
      <c r="G170" s="265">
        <v>0</v>
      </c>
      <c r="H170" s="265">
        <v>0</v>
      </c>
      <c r="I170" s="265"/>
      <c r="J170" s="265"/>
      <c r="K170" s="265">
        <v>0</v>
      </c>
      <c r="L170" s="265"/>
      <c r="M170" s="265">
        <v>0</v>
      </c>
      <c r="N170" s="265"/>
      <c r="O170" s="265"/>
      <c r="P170" s="31">
        <f t="shared" si="49"/>
        <v>0</v>
      </c>
    </row>
    <row r="171" spans="1:16" x14ac:dyDescent="0.3">
      <c r="A171" s="336"/>
      <c r="B171" s="18" t="s">
        <v>52</v>
      </c>
      <c r="C171" s="4" t="s">
        <v>57</v>
      </c>
      <c r="D171" s="265">
        <v>2</v>
      </c>
      <c r="E171" s="265">
        <v>3</v>
      </c>
      <c r="F171" s="265">
        <v>2</v>
      </c>
      <c r="G171" s="265">
        <v>2</v>
      </c>
      <c r="H171" s="265">
        <v>3</v>
      </c>
      <c r="I171" s="265">
        <v>3</v>
      </c>
      <c r="J171" s="265">
        <v>2</v>
      </c>
      <c r="K171" s="265">
        <v>1</v>
      </c>
      <c r="L171" s="265"/>
      <c r="M171" s="265">
        <v>2</v>
      </c>
      <c r="N171" s="265"/>
      <c r="O171" s="265"/>
      <c r="P171" s="31">
        <f t="shared" si="49"/>
        <v>20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49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49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49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49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50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50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50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50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50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50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x14ac:dyDescent="0.3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91">
        <f>SUM(D153:D192)</f>
        <v>48</v>
      </c>
      <c r="E193" s="291">
        <f t="shared" ref="E193:P193" si="51">SUM(E153:E192)</f>
        <v>54</v>
      </c>
      <c r="F193" s="291">
        <f t="shared" si="51"/>
        <v>50</v>
      </c>
      <c r="G193" s="291">
        <f t="shared" si="51"/>
        <v>49</v>
      </c>
      <c r="H193" s="291">
        <f t="shared" si="51"/>
        <v>55</v>
      </c>
      <c r="I193" s="291">
        <f t="shared" si="51"/>
        <v>45</v>
      </c>
      <c r="J193" s="291">
        <f t="shared" si="51"/>
        <v>53</v>
      </c>
      <c r="K193" s="291">
        <f t="shared" si="51"/>
        <v>61</v>
      </c>
      <c r="L193" s="291">
        <f t="shared" si="51"/>
        <v>47</v>
      </c>
      <c r="M193" s="291">
        <f t="shared" si="51"/>
        <v>48</v>
      </c>
      <c r="N193" s="291">
        <f t="shared" si="51"/>
        <v>38</v>
      </c>
      <c r="O193" s="291">
        <f t="shared" si="51"/>
        <v>40</v>
      </c>
      <c r="P193" s="266">
        <f t="shared" si="51"/>
        <v>588</v>
      </c>
    </row>
    <row r="194" spans="1:16" x14ac:dyDescent="0.3">
      <c r="A194" s="316" t="s">
        <v>58</v>
      </c>
      <c r="B194" s="338"/>
      <c r="C194" s="4" t="s">
        <v>57</v>
      </c>
      <c r="D194" s="265">
        <v>1</v>
      </c>
      <c r="E194" s="265">
        <v>1</v>
      </c>
      <c r="F194" s="265">
        <v>1</v>
      </c>
      <c r="G194" s="265">
        <v>1</v>
      </c>
      <c r="H194" s="265">
        <v>1</v>
      </c>
      <c r="I194" s="265">
        <v>1</v>
      </c>
      <c r="J194" s="265">
        <v>1</v>
      </c>
      <c r="K194" s="265">
        <v>1</v>
      </c>
      <c r="L194" s="265">
        <v>1</v>
      </c>
      <c r="M194" s="265">
        <v>1</v>
      </c>
      <c r="N194" s="265">
        <v>1</v>
      </c>
      <c r="O194" s="265">
        <v>1</v>
      </c>
      <c r="P194" s="34">
        <f>SUM(D194:O194)</f>
        <v>12</v>
      </c>
    </row>
    <row r="195" spans="1:16" x14ac:dyDescent="0.3">
      <c r="A195" s="318"/>
      <c r="B195" s="339"/>
      <c r="C195" s="14" t="s">
        <v>55</v>
      </c>
      <c r="D195" s="265"/>
      <c r="E195" s="265"/>
      <c r="F195" s="265"/>
      <c r="G195" s="265"/>
      <c r="H195" s="265"/>
      <c r="I195" s="265"/>
      <c r="J195" s="265"/>
      <c r="K195" s="265"/>
      <c r="L195" s="265"/>
      <c r="M195" s="265"/>
      <c r="N195" s="265"/>
      <c r="O195" s="265"/>
      <c r="P195" s="34">
        <f>SUM(D195:O195)</f>
        <v>0</v>
      </c>
    </row>
    <row r="196" spans="1:16" x14ac:dyDescent="0.3">
      <c r="A196" s="292" t="s">
        <v>204</v>
      </c>
      <c r="B196" s="293"/>
      <c r="C196" s="14" t="s">
        <v>55</v>
      </c>
      <c r="D196" s="265"/>
      <c r="E196" s="265"/>
      <c r="F196" s="265"/>
      <c r="G196" s="265">
        <v>648</v>
      </c>
      <c r="H196" s="265"/>
      <c r="I196" s="265"/>
      <c r="J196" s="265"/>
      <c r="K196" s="265"/>
      <c r="L196" s="265"/>
      <c r="M196" s="265"/>
      <c r="N196" s="265"/>
      <c r="O196" s="265"/>
      <c r="P196" s="34">
        <f>SUM(D196:O196)/12</f>
        <v>54</v>
      </c>
    </row>
    <row r="197" spans="1:16" x14ac:dyDescent="0.3">
      <c r="A197" s="312" t="s">
        <v>56</v>
      </c>
      <c r="B197" s="313"/>
      <c r="C197" s="14" t="s">
        <v>55</v>
      </c>
      <c r="D197" s="265">
        <v>39</v>
      </c>
      <c r="E197" s="265">
        <v>50</v>
      </c>
      <c r="F197" s="265">
        <v>36</v>
      </c>
      <c r="G197" s="265">
        <v>72</v>
      </c>
      <c r="H197" s="265">
        <v>48</v>
      </c>
      <c r="I197" s="265">
        <v>72</v>
      </c>
      <c r="J197" s="265">
        <v>132</v>
      </c>
      <c r="K197" s="265">
        <v>48</v>
      </c>
      <c r="L197" s="265">
        <v>24</v>
      </c>
      <c r="M197" s="265">
        <v>96</v>
      </c>
      <c r="N197" s="265">
        <v>102</v>
      </c>
      <c r="O197" s="265">
        <v>124</v>
      </c>
      <c r="P197" s="34">
        <f>SUM(D197:O197)</f>
        <v>843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34">
        <f t="shared" ref="P199:P204" si="52">SUM(D199:O199)</f>
        <v>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34">
        <f t="shared" si="52"/>
        <v>0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34">
        <f t="shared" si="52"/>
        <v>0</v>
      </c>
    </row>
    <row r="202" spans="1:16" x14ac:dyDescent="0.3">
      <c r="A202" s="317"/>
      <c r="B202" s="249" t="s">
        <v>50</v>
      </c>
      <c r="C202" s="4" t="s">
        <v>47</v>
      </c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34">
        <f t="shared" si="52"/>
        <v>0</v>
      </c>
    </row>
    <row r="203" spans="1:16" x14ac:dyDescent="0.3">
      <c r="A203" s="318"/>
      <c r="B203" s="249" t="s">
        <v>49</v>
      </c>
      <c r="C203" s="4" t="s">
        <v>47</v>
      </c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34">
        <f t="shared" si="52"/>
        <v>0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:O204" si="53">SUM(D199:D203)</f>
        <v>0</v>
      </c>
      <c r="E204" s="261">
        <f t="shared" si="53"/>
        <v>0</v>
      </c>
      <c r="F204" s="261">
        <f t="shared" si="53"/>
        <v>0</v>
      </c>
      <c r="G204" s="261">
        <f t="shared" si="53"/>
        <v>0</v>
      </c>
      <c r="H204" s="261">
        <f t="shared" si="53"/>
        <v>0</v>
      </c>
      <c r="I204" s="261">
        <f t="shared" si="53"/>
        <v>0</v>
      </c>
      <c r="J204" s="261">
        <f t="shared" si="53"/>
        <v>0</v>
      </c>
      <c r="K204" s="261">
        <f t="shared" si="53"/>
        <v>0</v>
      </c>
      <c r="L204" s="261">
        <f t="shared" si="53"/>
        <v>0</v>
      </c>
      <c r="M204" s="261">
        <f t="shared" si="53"/>
        <v>0</v>
      </c>
      <c r="N204" s="261">
        <f t="shared" si="53"/>
        <v>0</v>
      </c>
      <c r="O204" s="261">
        <f t="shared" si="53"/>
        <v>0</v>
      </c>
      <c r="P204" s="99">
        <f t="shared" si="52"/>
        <v>0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2">
        <v>49800</v>
      </c>
      <c r="E206" s="262">
        <v>124800</v>
      </c>
      <c r="F206" s="262">
        <v>178250</v>
      </c>
      <c r="G206" s="262">
        <v>80300</v>
      </c>
      <c r="H206" s="262">
        <v>77208.02</v>
      </c>
      <c r="I206" s="262">
        <v>29800</v>
      </c>
      <c r="J206" s="262">
        <v>99867.22</v>
      </c>
      <c r="K206" s="262"/>
      <c r="L206" s="262">
        <v>56000</v>
      </c>
      <c r="M206" s="262"/>
      <c r="N206" s="262"/>
      <c r="O206" s="262"/>
      <c r="P206" s="34">
        <f>SUM(D206:O206)</f>
        <v>696025.24</v>
      </c>
    </row>
    <row r="207" spans="1:16" x14ac:dyDescent="0.3">
      <c r="A207" s="312" t="s">
        <v>42</v>
      </c>
      <c r="B207" s="313"/>
      <c r="C207" s="4" t="s">
        <v>31</v>
      </c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34">
        <f>SUM(D207:O207)</f>
        <v>0</v>
      </c>
    </row>
    <row r="208" spans="1:16" x14ac:dyDescent="0.3">
      <c r="A208" s="319" t="s">
        <v>41</v>
      </c>
      <c r="B208" s="320"/>
      <c r="C208" s="4" t="s">
        <v>31</v>
      </c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34">
        <f>SUM(D208:O208)</f>
        <v>0</v>
      </c>
    </row>
    <row r="209" spans="1:16" x14ac:dyDescent="0.3">
      <c r="A209" s="312" t="s">
        <v>40</v>
      </c>
      <c r="B209" s="313"/>
      <c r="C209" s="4" t="s">
        <v>31</v>
      </c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34">
        <f>SUM(D209:O209)</f>
        <v>0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:O210" si="54">SUM(D206:D209)</f>
        <v>49800</v>
      </c>
      <c r="E210" s="291">
        <f t="shared" si="54"/>
        <v>124800</v>
      </c>
      <c r="F210" s="291">
        <f t="shared" si="54"/>
        <v>178250</v>
      </c>
      <c r="G210" s="291">
        <f t="shared" si="54"/>
        <v>80300</v>
      </c>
      <c r="H210" s="291">
        <f t="shared" si="54"/>
        <v>77208.02</v>
      </c>
      <c r="I210" s="291">
        <f t="shared" si="54"/>
        <v>29800</v>
      </c>
      <c r="J210" s="291">
        <f t="shared" si="54"/>
        <v>99867.22</v>
      </c>
      <c r="K210" s="291">
        <f t="shared" si="54"/>
        <v>0</v>
      </c>
      <c r="L210" s="291">
        <f t="shared" si="54"/>
        <v>56000</v>
      </c>
      <c r="M210" s="291">
        <f t="shared" si="54"/>
        <v>0</v>
      </c>
      <c r="N210" s="291">
        <f t="shared" si="54"/>
        <v>0</v>
      </c>
      <c r="O210" s="291">
        <f t="shared" si="54"/>
        <v>0</v>
      </c>
      <c r="P210" s="34">
        <f>SUM(D210:O210)</f>
        <v>696025.24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2">
        <v>2505983.04</v>
      </c>
      <c r="E212" s="262">
        <v>2316627.04</v>
      </c>
      <c r="F212" s="262">
        <v>2315477.12</v>
      </c>
      <c r="G212" s="262">
        <v>2394150</v>
      </c>
      <c r="H212" s="262">
        <v>2275291.56</v>
      </c>
      <c r="I212" s="262">
        <v>2460893.7599999998</v>
      </c>
      <c r="J212" s="262">
        <v>2225112.4</v>
      </c>
      <c r="K212" s="262">
        <v>2207515.35</v>
      </c>
      <c r="L212" s="262">
        <v>2196867.64</v>
      </c>
      <c r="M212" s="262">
        <v>2237101</v>
      </c>
      <c r="N212" s="262">
        <v>1825909</v>
      </c>
      <c r="O212" s="262">
        <v>1615206</v>
      </c>
      <c r="P212" s="34">
        <f>SUM(D212:O212)</f>
        <v>26576133.91</v>
      </c>
    </row>
    <row r="213" spans="1:16" x14ac:dyDescent="0.3">
      <c r="A213" s="312" t="s">
        <v>42</v>
      </c>
      <c r="B213" s="313"/>
      <c r="C213" s="4" t="s">
        <v>31</v>
      </c>
      <c r="D213" s="262"/>
      <c r="E213" s="262"/>
      <c r="F213" s="262"/>
      <c r="G213" s="262"/>
      <c r="H213" s="262"/>
      <c r="I213" s="262"/>
      <c r="J213" s="262"/>
      <c r="K213" s="262"/>
      <c r="L213" s="262"/>
      <c r="M213" s="262"/>
      <c r="N213" s="262"/>
      <c r="O213" s="262"/>
      <c r="P213" s="34">
        <f>SUM(D213:O213)</f>
        <v>0</v>
      </c>
    </row>
    <row r="214" spans="1:16" x14ac:dyDescent="0.3">
      <c r="A214" s="319" t="s">
        <v>41</v>
      </c>
      <c r="B214" s="320"/>
      <c r="C214" s="4" t="s">
        <v>31</v>
      </c>
      <c r="D214" s="262">
        <v>80000</v>
      </c>
      <c r="E214" s="262">
        <v>15000</v>
      </c>
      <c r="F214" s="262">
        <v>20000</v>
      </c>
      <c r="G214" s="262">
        <v>19500</v>
      </c>
      <c r="H214" s="262">
        <v>2000</v>
      </c>
      <c r="I214" s="262">
        <v>154000</v>
      </c>
      <c r="J214" s="262">
        <v>165000</v>
      </c>
      <c r="K214" s="262">
        <v>145000</v>
      </c>
      <c r="L214" s="262">
        <v>143000</v>
      </c>
      <c r="M214" s="262">
        <v>304000</v>
      </c>
      <c r="N214" s="262">
        <v>173000</v>
      </c>
      <c r="O214" s="262">
        <v>168200</v>
      </c>
      <c r="P214" s="34">
        <f>SUM(D214:O214)</f>
        <v>1388700</v>
      </c>
    </row>
    <row r="215" spans="1:16" x14ac:dyDescent="0.3">
      <c r="A215" s="312" t="s">
        <v>40</v>
      </c>
      <c r="B215" s="313"/>
      <c r="C215" s="4" t="s">
        <v>31</v>
      </c>
      <c r="D215" s="262">
        <v>8000</v>
      </c>
      <c r="E215" s="262">
        <v>40000</v>
      </c>
      <c r="F215" s="262">
        <v>6800</v>
      </c>
      <c r="G215" s="262">
        <v>1030000</v>
      </c>
      <c r="H215" s="262">
        <v>10000</v>
      </c>
      <c r="I215" s="262">
        <v>48000</v>
      </c>
      <c r="J215" s="262">
        <v>1231200</v>
      </c>
      <c r="K215" s="262">
        <v>1020000</v>
      </c>
      <c r="L215" s="262">
        <v>42500</v>
      </c>
      <c r="M215" s="262">
        <v>42200</v>
      </c>
      <c r="N215" s="262">
        <v>412000</v>
      </c>
      <c r="O215" s="262">
        <v>398500</v>
      </c>
      <c r="P215" s="34">
        <f>SUM(D215:O215)</f>
        <v>4289200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:O216" si="55">SUM(D212:D215)</f>
        <v>2593983.04</v>
      </c>
      <c r="E216" s="291">
        <f t="shared" si="55"/>
        <v>2371627.04</v>
      </c>
      <c r="F216" s="291">
        <f t="shared" si="55"/>
        <v>2342277.1200000001</v>
      </c>
      <c r="G216" s="291">
        <f t="shared" si="55"/>
        <v>3443650</v>
      </c>
      <c r="H216" s="291">
        <f t="shared" si="55"/>
        <v>2287291.56</v>
      </c>
      <c r="I216" s="291">
        <f t="shared" si="55"/>
        <v>2662893.7599999998</v>
      </c>
      <c r="J216" s="291">
        <f t="shared" si="55"/>
        <v>3621312.4</v>
      </c>
      <c r="K216" s="291">
        <f t="shared" si="55"/>
        <v>3372515.35</v>
      </c>
      <c r="L216" s="291">
        <f t="shared" si="55"/>
        <v>2382367.64</v>
      </c>
      <c r="M216" s="291">
        <f t="shared" si="55"/>
        <v>2583301</v>
      </c>
      <c r="N216" s="291">
        <f t="shared" si="55"/>
        <v>2410909</v>
      </c>
      <c r="O216" s="291">
        <f t="shared" si="55"/>
        <v>2181906</v>
      </c>
      <c r="P216" s="34">
        <f>SUM(D216:O216)</f>
        <v>32254033.91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2643783.04</v>
      </c>
      <c r="E217" s="291">
        <f t="shared" ref="E217:P217" si="56">E210+E216</f>
        <v>2496427.04</v>
      </c>
      <c r="F217" s="291">
        <f t="shared" si="56"/>
        <v>2520527.12</v>
      </c>
      <c r="G217" s="291">
        <f t="shared" si="56"/>
        <v>3523950</v>
      </c>
      <c r="H217" s="291">
        <f t="shared" si="56"/>
        <v>2364499.58</v>
      </c>
      <c r="I217" s="291">
        <f t="shared" si="56"/>
        <v>2692693.76</v>
      </c>
      <c r="J217" s="291">
        <f t="shared" si="56"/>
        <v>3721179.62</v>
      </c>
      <c r="K217" s="291">
        <f t="shared" si="56"/>
        <v>3372515.35</v>
      </c>
      <c r="L217" s="291">
        <f t="shared" si="56"/>
        <v>2438367.64</v>
      </c>
      <c r="M217" s="291">
        <f t="shared" si="56"/>
        <v>2583301</v>
      </c>
      <c r="N217" s="291">
        <f t="shared" si="56"/>
        <v>2410909</v>
      </c>
      <c r="O217" s="291">
        <f t="shared" si="56"/>
        <v>2181906</v>
      </c>
      <c r="P217" s="266">
        <f t="shared" si="56"/>
        <v>32950059.149999999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2">
        <v>66118.59</v>
      </c>
      <c r="E219" s="262">
        <v>13718.12</v>
      </c>
      <c r="F219" s="262">
        <v>31400.7</v>
      </c>
      <c r="G219" s="262">
        <v>42183.11</v>
      </c>
      <c r="H219" s="262">
        <v>39595.68</v>
      </c>
      <c r="I219" s="262">
        <v>28838.560000000001</v>
      </c>
      <c r="J219" s="262">
        <v>46485.77</v>
      </c>
      <c r="K219" s="262">
        <v>32415.19</v>
      </c>
      <c r="L219" s="262">
        <v>59531.74</v>
      </c>
      <c r="M219" s="262">
        <v>40153.949999999997</v>
      </c>
      <c r="N219" s="262">
        <v>78565.399999999994</v>
      </c>
      <c r="O219" s="262">
        <v>97855.46</v>
      </c>
      <c r="P219" s="34">
        <f>SUM(D219:O219)</f>
        <v>576862.2699999999</v>
      </c>
    </row>
    <row r="220" spans="1:16" x14ac:dyDescent="0.3">
      <c r="A220" s="312" t="s">
        <v>34</v>
      </c>
      <c r="B220" s="313"/>
      <c r="C220" s="4" t="s">
        <v>31</v>
      </c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34">
        <f>SUM(D220:O220)</f>
        <v>0</v>
      </c>
    </row>
    <row r="221" spans="1:16" x14ac:dyDescent="0.3">
      <c r="A221" s="312" t="s">
        <v>33</v>
      </c>
      <c r="B221" s="313"/>
      <c r="C221" s="4" t="s">
        <v>31</v>
      </c>
      <c r="D221" s="262">
        <v>98236.19</v>
      </c>
      <c r="E221" s="262">
        <v>24383.95</v>
      </c>
      <c r="F221" s="262">
        <v>33408.699999999997</v>
      </c>
      <c r="G221" s="262">
        <v>19059.63</v>
      </c>
      <c r="H221" s="262">
        <v>13735.31</v>
      </c>
      <c r="I221" s="262">
        <v>60182.02</v>
      </c>
      <c r="J221" s="262">
        <v>70560.429999999993</v>
      </c>
      <c r="K221" s="262">
        <v>222777.11</v>
      </c>
      <c r="L221" s="262">
        <v>11073.15</v>
      </c>
      <c r="M221" s="262">
        <v>13735.31</v>
      </c>
      <c r="N221" s="262">
        <v>24383.95</v>
      </c>
      <c r="O221" s="262">
        <v>24383.95</v>
      </c>
      <c r="P221" s="34">
        <f>SUM(D221:O221)</f>
        <v>615919.69999999995</v>
      </c>
    </row>
    <row r="222" spans="1:16" x14ac:dyDescent="0.3">
      <c r="A222" s="312" t="s">
        <v>32</v>
      </c>
      <c r="B222" s="313"/>
      <c r="C222" s="4" t="s">
        <v>31</v>
      </c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/>
      <c r="P222" s="34">
        <f>SUM(D222:O222)</f>
        <v>0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:O223" si="57">SUM(D219:D222)</f>
        <v>164354.78</v>
      </c>
      <c r="E223" s="296">
        <f t="shared" si="57"/>
        <v>38102.07</v>
      </c>
      <c r="F223" s="296">
        <f t="shared" si="57"/>
        <v>64809.399999999994</v>
      </c>
      <c r="G223" s="296">
        <f t="shared" si="57"/>
        <v>61242.740000000005</v>
      </c>
      <c r="H223" s="296">
        <f t="shared" si="57"/>
        <v>53330.99</v>
      </c>
      <c r="I223" s="296">
        <f t="shared" si="57"/>
        <v>89020.58</v>
      </c>
      <c r="J223" s="296">
        <f t="shared" si="57"/>
        <v>117046.19999999998</v>
      </c>
      <c r="K223" s="296">
        <f t="shared" si="57"/>
        <v>255192.3</v>
      </c>
      <c r="L223" s="296">
        <f t="shared" si="57"/>
        <v>70604.89</v>
      </c>
      <c r="M223" s="296">
        <f t="shared" si="57"/>
        <v>53889.259999999995</v>
      </c>
      <c r="N223" s="296">
        <f t="shared" si="57"/>
        <v>102949.34999999999</v>
      </c>
      <c r="O223" s="296">
        <f t="shared" si="57"/>
        <v>122239.41</v>
      </c>
      <c r="P223" s="34">
        <f>SUM(D223:O223)</f>
        <v>1192781.97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8" x14ac:dyDescent="0.3">
      <c r="A225" s="312" t="s">
        <v>35</v>
      </c>
      <c r="B225" s="313"/>
      <c r="C225" s="4" t="s">
        <v>31</v>
      </c>
      <c r="D225" s="262">
        <v>1597739.0399999993</v>
      </c>
      <c r="E225" s="262">
        <v>1711548.3299999994</v>
      </c>
      <c r="F225" s="262">
        <v>1882430.4199999992</v>
      </c>
      <c r="G225" s="262">
        <v>2031701.56</v>
      </c>
      <c r="H225" s="262">
        <v>2060561.2099999995</v>
      </c>
      <c r="I225" s="262">
        <v>2320471.5500000012</v>
      </c>
      <c r="J225" s="262">
        <v>2125328.1399999997</v>
      </c>
      <c r="K225" s="262">
        <v>2001713.6399999992</v>
      </c>
      <c r="L225" s="262">
        <v>1901276.49</v>
      </c>
      <c r="M225" s="262">
        <v>2071227.7000000002</v>
      </c>
      <c r="N225" s="262">
        <v>1704088.1900000002</v>
      </c>
      <c r="O225" s="262">
        <v>1548148.02</v>
      </c>
      <c r="P225" s="34">
        <f t="shared" ref="P225:P230" si="58">SUM(D225:O225)</f>
        <v>22956234.289999995</v>
      </c>
    </row>
    <row r="226" spans="1:18" x14ac:dyDescent="0.3">
      <c r="A226" s="312" t="s">
        <v>34</v>
      </c>
      <c r="B226" s="313"/>
      <c r="C226" s="4" t="s">
        <v>31</v>
      </c>
      <c r="D226" s="262"/>
      <c r="E226" s="262"/>
      <c r="F226" s="262"/>
      <c r="G226" s="262"/>
      <c r="H226" s="262"/>
      <c r="I226" s="262"/>
      <c r="J226" s="262"/>
      <c r="K226" s="262"/>
      <c r="L226" s="262"/>
      <c r="M226" s="262"/>
      <c r="N226" s="262"/>
      <c r="O226" s="262"/>
      <c r="P226" s="34">
        <f t="shared" si="58"/>
        <v>0</v>
      </c>
    </row>
    <row r="227" spans="1:18" x14ac:dyDescent="0.3">
      <c r="A227" s="312" t="s">
        <v>33</v>
      </c>
      <c r="B227" s="313"/>
      <c r="C227" s="4" t="s">
        <v>31</v>
      </c>
      <c r="D227" s="262">
        <v>6200</v>
      </c>
      <c r="E227" s="262">
        <v>39774.410000000003</v>
      </c>
      <c r="F227" s="262">
        <v>6800</v>
      </c>
      <c r="G227" s="262">
        <v>1030000</v>
      </c>
      <c r="H227" s="262">
        <v>10000</v>
      </c>
      <c r="I227" s="262">
        <v>43200</v>
      </c>
      <c r="J227" s="262">
        <v>1224200</v>
      </c>
      <c r="K227" s="262">
        <v>1020000</v>
      </c>
      <c r="L227" s="262">
        <v>39500</v>
      </c>
      <c r="M227" s="262">
        <v>37400</v>
      </c>
      <c r="N227" s="262">
        <v>258925.65</v>
      </c>
      <c r="O227" s="262">
        <v>398500</v>
      </c>
      <c r="P227" s="34">
        <f t="shared" si="58"/>
        <v>4114500.06</v>
      </c>
    </row>
    <row r="228" spans="1:18" x14ac:dyDescent="0.3">
      <c r="A228" s="312" t="s">
        <v>32</v>
      </c>
      <c r="B228" s="313"/>
      <c r="C228" s="4" t="s">
        <v>31</v>
      </c>
      <c r="D228" s="262">
        <v>80000</v>
      </c>
      <c r="E228" s="262">
        <v>15000</v>
      </c>
      <c r="F228" s="262">
        <v>20000</v>
      </c>
      <c r="G228" s="262">
        <v>19500</v>
      </c>
      <c r="H228" s="262">
        <v>2000</v>
      </c>
      <c r="I228" s="262">
        <v>154000</v>
      </c>
      <c r="J228" s="262">
        <v>165000</v>
      </c>
      <c r="K228" s="262">
        <v>136000</v>
      </c>
      <c r="L228" s="262">
        <v>133303.54</v>
      </c>
      <c r="M228" s="262">
        <v>304000</v>
      </c>
      <c r="N228" s="262">
        <v>164000</v>
      </c>
      <c r="O228" s="262">
        <v>168200</v>
      </c>
      <c r="P228" s="34">
        <f t="shared" si="58"/>
        <v>1361003.54</v>
      </c>
    </row>
    <row r="229" spans="1:18" x14ac:dyDescent="0.3">
      <c r="A229" s="314" t="s">
        <v>214</v>
      </c>
      <c r="B229" s="315"/>
      <c r="C229" s="4" t="s">
        <v>31</v>
      </c>
      <c r="D229" s="296">
        <f t="shared" ref="D229:O229" si="59">SUM(D225:D228)</f>
        <v>1683939.0399999993</v>
      </c>
      <c r="E229" s="296">
        <f t="shared" si="59"/>
        <v>1766322.7399999993</v>
      </c>
      <c r="F229" s="296">
        <f t="shared" si="59"/>
        <v>1909230.4199999992</v>
      </c>
      <c r="G229" s="296">
        <f t="shared" si="59"/>
        <v>3081201.56</v>
      </c>
      <c r="H229" s="296">
        <f t="shared" si="59"/>
        <v>2072561.2099999995</v>
      </c>
      <c r="I229" s="296">
        <f t="shared" si="59"/>
        <v>2517671.5500000012</v>
      </c>
      <c r="J229" s="296">
        <f t="shared" si="59"/>
        <v>3514528.1399999997</v>
      </c>
      <c r="K229" s="296">
        <f t="shared" si="59"/>
        <v>3157713.6399999992</v>
      </c>
      <c r="L229" s="296">
        <f t="shared" si="59"/>
        <v>2074080.03</v>
      </c>
      <c r="M229" s="296">
        <f t="shared" si="59"/>
        <v>2412627.7000000002</v>
      </c>
      <c r="N229" s="296">
        <f t="shared" si="59"/>
        <v>2127013.84</v>
      </c>
      <c r="O229" s="296">
        <f t="shared" si="59"/>
        <v>2114848.02</v>
      </c>
      <c r="P229" s="34">
        <f t="shared" si="58"/>
        <v>28431737.889999997</v>
      </c>
      <c r="R229" s="419"/>
    </row>
    <row r="230" spans="1:18" x14ac:dyDescent="0.3">
      <c r="A230" s="294" t="s">
        <v>215</v>
      </c>
      <c r="B230" s="297"/>
      <c r="C230" s="4" t="s">
        <v>31</v>
      </c>
      <c r="D230" s="296">
        <f>D223+D229</f>
        <v>1848293.8199999994</v>
      </c>
      <c r="E230" s="296">
        <f t="shared" ref="E230:O230" si="60">E223+E229</f>
        <v>1804424.8099999994</v>
      </c>
      <c r="F230" s="296">
        <f t="shared" si="60"/>
        <v>1974039.8199999991</v>
      </c>
      <c r="G230" s="296">
        <f t="shared" si="60"/>
        <v>3142444.3000000003</v>
      </c>
      <c r="H230" s="296">
        <f t="shared" si="60"/>
        <v>2125892.1999999997</v>
      </c>
      <c r="I230" s="296">
        <f t="shared" si="60"/>
        <v>2606692.1300000013</v>
      </c>
      <c r="J230" s="296">
        <f t="shared" si="60"/>
        <v>3631574.34</v>
      </c>
      <c r="K230" s="296">
        <f t="shared" si="60"/>
        <v>3412905.939999999</v>
      </c>
      <c r="L230" s="296">
        <f t="shared" si="60"/>
        <v>2144684.92</v>
      </c>
      <c r="M230" s="296">
        <f t="shared" si="60"/>
        <v>2466516.96</v>
      </c>
      <c r="N230" s="296">
        <f t="shared" si="60"/>
        <v>2229963.19</v>
      </c>
      <c r="O230" s="296">
        <f t="shared" si="60"/>
        <v>2237087.4300000002</v>
      </c>
      <c r="P230" s="34">
        <f t="shared" si="58"/>
        <v>29624519.859999996</v>
      </c>
    </row>
    <row r="231" spans="1:18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  <c r="R231" s="432"/>
    </row>
    <row r="232" spans="1:18" x14ac:dyDescent="0.3">
      <c r="A232" s="312" t="s">
        <v>29</v>
      </c>
      <c r="B232" s="313"/>
      <c r="C232" s="4" t="s">
        <v>18</v>
      </c>
      <c r="D232" s="262">
        <v>6661.1799999999994</v>
      </c>
      <c r="E232" s="262">
        <v>1089.8599999999999</v>
      </c>
      <c r="F232" s="262">
        <v>1859.65</v>
      </c>
      <c r="G232" s="262">
        <v>2404.58</v>
      </c>
      <c r="H232" s="262">
        <v>5674.16</v>
      </c>
      <c r="I232" s="262">
        <v>3494.44</v>
      </c>
      <c r="J232" s="262">
        <v>1859.65</v>
      </c>
      <c r="K232" s="262">
        <v>2404.58</v>
      </c>
      <c r="L232" s="262">
        <v>3010.52</v>
      </c>
      <c r="M232" s="262">
        <v>3010.52</v>
      </c>
      <c r="N232" s="262">
        <v>3555.45</v>
      </c>
      <c r="O232" s="262">
        <v>7747.33</v>
      </c>
      <c r="P232" s="34">
        <f>SUM(D232:O232)</f>
        <v>42771.92</v>
      </c>
    </row>
    <row r="233" spans="1:18" x14ac:dyDescent="0.3">
      <c r="A233" s="312" t="s">
        <v>28</v>
      </c>
      <c r="B233" s="313"/>
      <c r="C233" s="4" t="s">
        <v>18</v>
      </c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34">
        <f>SUM(D233:O233)</f>
        <v>0</v>
      </c>
    </row>
    <row r="234" spans="1:18" x14ac:dyDescent="0.3">
      <c r="A234" s="312" t="s">
        <v>27</v>
      </c>
      <c r="B234" s="313"/>
      <c r="C234" s="4" t="s">
        <v>18</v>
      </c>
      <c r="D234" s="262">
        <v>3393.64</v>
      </c>
      <c r="E234" s="262">
        <v>3393.64</v>
      </c>
      <c r="F234" s="262">
        <v>3393.64</v>
      </c>
      <c r="G234" s="262">
        <v>3393.64</v>
      </c>
      <c r="H234" s="262">
        <v>3393.64</v>
      </c>
      <c r="I234" s="262">
        <v>3393.64</v>
      </c>
      <c r="J234" s="262">
        <v>3393.64</v>
      </c>
      <c r="K234" s="262">
        <v>3393.64</v>
      </c>
      <c r="L234" s="262">
        <v>3393.64</v>
      </c>
      <c r="M234" s="262">
        <v>3393.64</v>
      </c>
      <c r="N234" s="262">
        <v>3393.64</v>
      </c>
      <c r="O234" s="262">
        <v>3393.64</v>
      </c>
      <c r="P234" s="34">
        <f>SUM(D234:O234)</f>
        <v>40723.68</v>
      </c>
    </row>
    <row r="235" spans="1:18" x14ac:dyDescent="0.3">
      <c r="A235" s="312" t="s">
        <v>26</v>
      </c>
      <c r="B235" s="313"/>
      <c r="C235" s="4" t="s">
        <v>18</v>
      </c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34">
        <f>SUM(D235:O235)</f>
        <v>0</v>
      </c>
    </row>
    <row r="236" spans="1:18" x14ac:dyDescent="0.3">
      <c r="A236" s="314" t="s">
        <v>25</v>
      </c>
      <c r="B236" s="315"/>
      <c r="C236" s="4" t="s">
        <v>18</v>
      </c>
      <c r="D236" s="296">
        <f t="shared" ref="D236:P236" si="61">SUM(D232:D235)</f>
        <v>10054.82</v>
      </c>
      <c r="E236" s="296">
        <f t="shared" si="61"/>
        <v>4483.5</v>
      </c>
      <c r="F236" s="296">
        <f t="shared" si="61"/>
        <v>5253.29</v>
      </c>
      <c r="G236" s="296">
        <f t="shared" si="61"/>
        <v>5798.2199999999993</v>
      </c>
      <c r="H236" s="296">
        <f t="shared" si="61"/>
        <v>9067.7999999999993</v>
      </c>
      <c r="I236" s="296">
        <f t="shared" si="61"/>
        <v>6888.08</v>
      </c>
      <c r="J236" s="296">
        <f t="shared" si="61"/>
        <v>5253.29</v>
      </c>
      <c r="K236" s="296">
        <f t="shared" si="61"/>
        <v>5798.2199999999993</v>
      </c>
      <c r="L236" s="296">
        <f t="shared" si="61"/>
        <v>6404.16</v>
      </c>
      <c r="M236" s="296">
        <f t="shared" si="61"/>
        <v>6404.16</v>
      </c>
      <c r="N236" s="296">
        <f t="shared" si="61"/>
        <v>6949.09</v>
      </c>
      <c r="O236" s="296">
        <f t="shared" si="61"/>
        <v>11140.97</v>
      </c>
      <c r="P236" s="266">
        <f t="shared" si="61"/>
        <v>83495.600000000006</v>
      </c>
    </row>
    <row r="237" spans="1:18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8" x14ac:dyDescent="0.3">
      <c r="A238" s="312" t="s">
        <v>23</v>
      </c>
      <c r="B238" s="313"/>
      <c r="C238" s="4" t="s">
        <v>18</v>
      </c>
      <c r="D238" s="261">
        <v>10716</v>
      </c>
      <c r="E238" s="261">
        <v>1786</v>
      </c>
      <c r="F238" s="261">
        <v>2679</v>
      </c>
      <c r="G238" s="261">
        <v>3572</v>
      </c>
      <c r="H238" s="261">
        <v>8930</v>
      </c>
      <c r="I238" s="261">
        <v>5358</v>
      </c>
      <c r="J238" s="261">
        <v>2679</v>
      </c>
      <c r="K238" s="261">
        <v>3572</v>
      </c>
      <c r="L238" s="261">
        <v>4465</v>
      </c>
      <c r="M238" s="261">
        <v>4465</v>
      </c>
      <c r="N238" s="261">
        <v>5358</v>
      </c>
      <c r="O238" s="261">
        <v>15181</v>
      </c>
      <c r="P238" s="34">
        <f>SUM(D238:O238)</f>
        <v>68761</v>
      </c>
    </row>
    <row r="239" spans="1:18" x14ac:dyDescent="0.3">
      <c r="A239" s="312" t="s">
        <v>22</v>
      </c>
      <c r="B239" s="313"/>
      <c r="C239" s="4" t="s">
        <v>18</v>
      </c>
      <c r="D239" s="261"/>
      <c r="E239" s="261"/>
      <c r="F239" s="261"/>
      <c r="G239" s="261"/>
      <c r="H239" s="261"/>
      <c r="I239" s="261"/>
      <c r="J239" s="261"/>
      <c r="K239" s="261"/>
      <c r="L239" s="261"/>
      <c r="M239" s="261"/>
      <c r="N239" s="261"/>
      <c r="O239" s="261"/>
      <c r="P239" s="34">
        <f>SUM(D239:O239)</f>
        <v>0</v>
      </c>
    </row>
    <row r="240" spans="1:18" x14ac:dyDescent="0.3">
      <c r="A240" s="312" t="s">
        <v>21</v>
      </c>
      <c r="B240" s="313"/>
      <c r="C240" s="4" t="s">
        <v>18</v>
      </c>
      <c r="D240" s="261">
        <v>893</v>
      </c>
      <c r="E240" s="261">
        <v>893</v>
      </c>
      <c r="F240" s="261">
        <v>893</v>
      </c>
      <c r="G240" s="261">
        <v>893</v>
      </c>
      <c r="H240" s="261">
        <v>893</v>
      </c>
      <c r="I240" s="261">
        <v>893</v>
      </c>
      <c r="J240" s="261">
        <v>893</v>
      </c>
      <c r="K240" s="261">
        <v>893</v>
      </c>
      <c r="L240" s="261">
        <v>893</v>
      </c>
      <c r="M240" s="261">
        <v>893</v>
      </c>
      <c r="N240" s="261">
        <v>893</v>
      </c>
      <c r="O240" s="261">
        <v>893</v>
      </c>
      <c r="P240" s="34">
        <f>SUM(D240:O240)</f>
        <v>10716</v>
      </c>
    </row>
    <row r="241" spans="1:16" x14ac:dyDescent="0.3">
      <c r="A241" s="312" t="s">
        <v>20</v>
      </c>
      <c r="B241" s="313"/>
      <c r="C241" s="4" t="s">
        <v>18</v>
      </c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34">
        <f>SUM(D241:O241)</f>
        <v>0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62">SUM(D238:D241)</f>
        <v>11609</v>
      </c>
      <c r="E242" s="296">
        <f t="shared" si="62"/>
        <v>2679</v>
      </c>
      <c r="F242" s="296">
        <f t="shared" si="62"/>
        <v>3572</v>
      </c>
      <c r="G242" s="296">
        <f t="shared" si="62"/>
        <v>4465</v>
      </c>
      <c r="H242" s="296">
        <f t="shared" si="62"/>
        <v>9823</v>
      </c>
      <c r="I242" s="296">
        <f t="shared" si="62"/>
        <v>6251</v>
      </c>
      <c r="J242" s="296">
        <f t="shared" si="62"/>
        <v>3572</v>
      </c>
      <c r="K242" s="296">
        <f t="shared" si="62"/>
        <v>4465</v>
      </c>
      <c r="L242" s="296">
        <f t="shared" si="62"/>
        <v>5358</v>
      </c>
      <c r="M242" s="296">
        <v>5358</v>
      </c>
      <c r="N242" s="296">
        <f t="shared" si="62"/>
        <v>6251</v>
      </c>
      <c r="O242" s="296">
        <f t="shared" si="62"/>
        <v>16074</v>
      </c>
      <c r="P242" s="266">
        <f t="shared" si="62"/>
        <v>79477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1869957.6399999994</v>
      </c>
      <c r="E243" s="291">
        <f t="shared" ref="E243:O243" si="63">E230+E236+E242</f>
        <v>1811587.3099999994</v>
      </c>
      <c r="F243" s="291">
        <f t="shared" si="63"/>
        <v>1982865.1099999992</v>
      </c>
      <c r="G243" s="291">
        <f t="shared" si="63"/>
        <v>3152707.5200000005</v>
      </c>
      <c r="H243" s="291">
        <f t="shared" si="63"/>
        <v>2144782.9999999995</v>
      </c>
      <c r="I243" s="291">
        <f t="shared" si="63"/>
        <v>2619831.2100000014</v>
      </c>
      <c r="J243" s="291">
        <f t="shared" si="63"/>
        <v>3640399.63</v>
      </c>
      <c r="K243" s="291">
        <f t="shared" si="63"/>
        <v>3423169.1599999992</v>
      </c>
      <c r="L243" s="291">
        <f t="shared" si="63"/>
        <v>2156447.08</v>
      </c>
      <c r="M243" s="291">
        <f t="shared" si="63"/>
        <v>2478279.12</v>
      </c>
      <c r="N243" s="291">
        <f t="shared" si="63"/>
        <v>2243163.2799999998</v>
      </c>
      <c r="O243" s="291">
        <f t="shared" si="63"/>
        <v>2264302.4000000004</v>
      </c>
      <c r="P243" s="266">
        <f t="shared" ref="P243" si="64">P216+P223+P236+P242</f>
        <v>33609788.480000004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98">
        <v>18501501.109999996</v>
      </c>
      <c r="E245" s="298">
        <v>18386757.5</v>
      </c>
      <c r="F245" s="298">
        <v>17886441.829999998</v>
      </c>
      <c r="G245" s="298">
        <v>17863876.920000002</v>
      </c>
      <c r="H245" s="298">
        <v>17833007.34</v>
      </c>
      <c r="I245" s="298">
        <v>17831880.620000001</v>
      </c>
      <c r="J245" s="298">
        <v>17772066.030000001</v>
      </c>
      <c r="K245" s="298">
        <v>12913992.060000001</v>
      </c>
      <c r="L245" s="298">
        <v>12915822.630000001</v>
      </c>
      <c r="M245" s="298">
        <v>11589497.289999999</v>
      </c>
      <c r="N245" s="298">
        <v>11668679.15</v>
      </c>
      <c r="O245" s="298">
        <v>11621972.09</v>
      </c>
      <c r="P245" s="299">
        <f>O245</f>
        <v>11621972.09</v>
      </c>
    </row>
    <row r="246" spans="1:16" x14ac:dyDescent="0.3">
      <c r="A246" s="329" t="s">
        <v>208</v>
      </c>
      <c r="B246" s="330"/>
      <c r="C246" s="4" t="s">
        <v>18</v>
      </c>
      <c r="D246" s="298">
        <v>1096482.98</v>
      </c>
      <c r="E246" s="298">
        <v>1131691.1599999999</v>
      </c>
      <c r="F246" s="298">
        <v>244132.86</v>
      </c>
      <c r="G246" s="298">
        <v>273137.02</v>
      </c>
      <c r="H246" s="298">
        <v>295937.15999999997</v>
      </c>
      <c r="I246" s="298">
        <v>366063.71</v>
      </c>
      <c r="J246" s="298">
        <v>451882.05</v>
      </c>
      <c r="K246" s="298">
        <v>643457</v>
      </c>
      <c r="L246" s="298">
        <v>667994.29</v>
      </c>
      <c r="M246" s="298">
        <v>185952.69</v>
      </c>
      <c r="N246" s="298">
        <v>222920.27</v>
      </c>
      <c r="O246" s="298">
        <v>313246.89</v>
      </c>
      <c r="P246" s="299">
        <f>O246</f>
        <v>313246.89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19597984.089999996</v>
      </c>
      <c r="E247" s="300">
        <f t="shared" ref="E247:P247" si="65">E245+E246</f>
        <v>19518448.66</v>
      </c>
      <c r="F247" s="300">
        <f t="shared" si="65"/>
        <v>18130574.689999998</v>
      </c>
      <c r="G247" s="300">
        <f t="shared" si="65"/>
        <v>18137013.940000001</v>
      </c>
      <c r="H247" s="300">
        <f t="shared" si="65"/>
        <v>18128944.5</v>
      </c>
      <c r="I247" s="300">
        <f t="shared" si="65"/>
        <v>18197944.330000002</v>
      </c>
      <c r="J247" s="300">
        <f t="shared" si="65"/>
        <v>18223948.080000002</v>
      </c>
      <c r="K247" s="300">
        <f t="shared" si="65"/>
        <v>13557449.060000001</v>
      </c>
      <c r="L247" s="300">
        <f t="shared" si="65"/>
        <v>13583816.920000002</v>
      </c>
      <c r="M247" s="300">
        <f t="shared" si="65"/>
        <v>11775449.979999999</v>
      </c>
      <c r="N247" s="300">
        <f t="shared" si="65"/>
        <v>11891599.42</v>
      </c>
      <c r="O247" s="300">
        <f t="shared" si="65"/>
        <v>11935218.98</v>
      </c>
      <c r="P247" s="299">
        <f t="shared" si="65"/>
        <v>11935218.98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1.1832944729165098</v>
      </c>
      <c r="E249" s="301">
        <f t="shared" ref="E249:O249" si="66">E58/E243</f>
        <v>1.2006919857425618</v>
      </c>
      <c r="F249" s="301">
        <f t="shared" si="66"/>
        <v>1.2272624737443696</v>
      </c>
      <c r="G249" s="301">
        <f t="shared" si="66"/>
        <v>0.68815049167643683</v>
      </c>
      <c r="H249" s="301">
        <f t="shared" si="66"/>
        <v>1.2281470619638448</v>
      </c>
      <c r="I249" s="301">
        <f t="shared" si="66"/>
        <v>1.0363848096916133</v>
      </c>
      <c r="J249" s="301">
        <f t="shared" si="66"/>
        <v>0.56026358567671874</v>
      </c>
      <c r="K249" s="301">
        <f t="shared" si="66"/>
        <v>0.75972682576983752</v>
      </c>
      <c r="L249" s="301">
        <f t="shared" si="66"/>
        <v>1.2153864123574969</v>
      </c>
      <c r="M249" s="301">
        <f t="shared" si="66"/>
        <v>0.96757308757053972</v>
      </c>
      <c r="N249" s="301">
        <f t="shared" si="66"/>
        <v>0.43982883403833184</v>
      </c>
      <c r="O249" s="301">
        <f t="shared" si="66"/>
        <v>0.70067067013663886</v>
      </c>
      <c r="P249" s="389">
        <f t="shared" ref="P249" si="67">P58/P243%</f>
        <v>79.061467228221957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2.6679730248362057E-3</v>
      </c>
      <c r="E250" s="284">
        <f t="shared" ref="E250:O250" si="68">E210/(E223+E245)</f>
        <v>6.7734573241037734E-3</v>
      </c>
      <c r="F250" s="284">
        <f t="shared" si="68"/>
        <v>9.9296699553794859E-3</v>
      </c>
      <c r="G250" s="284">
        <f t="shared" si="68"/>
        <v>4.4797469430114811E-3</v>
      </c>
      <c r="H250" s="284">
        <f t="shared" si="68"/>
        <v>4.3165917235559754E-3</v>
      </c>
      <c r="I250" s="284">
        <f t="shared" si="68"/>
        <v>1.6628628029041307E-3</v>
      </c>
      <c r="J250" s="284">
        <f t="shared" si="68"/>
        <v>5.5825699294637385E-3</v>
      </c>
      <c r="K250" s="284">
        <f t="shared" si="68"/>
        <v>0</v>
      </c>
      <c r="L250" s="284">
        <f t="shared" si="68"/>
        <v>4.3121943978631618E-3</v>
      </c>
      <c r="M250" s="284">
        <f t="shared" si="68"/>
        <v>0</v>
      </c>
      <c r="N250" s="284">
        <f t="shared" si="68"/>
        <v>0</v>
      </c>
      <c r="O250" s="284">
        <f t="shared" si="68"/>
        <v>0</v>
      </c>
      <c r="P250" s="388">
        <f t="shared" ref="P250" si="69">P210/(P223+P245)%</f>
        <v>5.4314365827165938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0.30300305229942204</v>
      </c>
      <c r="E251" s="302">
        <f t="shared" ref="E251:O251" si="70">E210/E223</f>
        <v>3.27541259569362</v>
      </c>
      <c r="F251" s="302">
        <f t="shared" si="70"/>
        <v>2.7503726311306695</v>
      </c>
      <c r="G251" s="302">
        <f t="shared" si="70"/>
        <v>1.3111758226362831</v>
      </c>
      <c r="H251" s="302">
        <f t="shared" si="70"/>
        <v>1.4477139839331692</v>
      </c>
      <c r="I251" s="302">
        <f t="shared" si="70"/>
        <v>0.33475405350088711</v>
      </c>
      <c r="J251" s="302">
        <f t="shared" si="70"/>
        <v>0.85322906681293387</v>
      </c>
      <c r="K251" s="302">
        <f t="shared" si="70"/>
        <v>0</v>
      </c>
      <c r="L251" s="302">
        <f t="shared" si="70"/>
        <v>0.79314619709767975</v>
      </c>
      <c r="M251" s="302">
        <f t="shared" si="70"/>
        <v>0</v>
      </c>
      <c r="N251" s="302">
        <f t="shared" si="70"/>
        <v>0</v>
      </c>
      <c r="O251" s="302">
        <f t="shared" si="70"/>
        <v>0</v>
      </c>
      <c r="P251" s="390">
        <f t="shared" ref="P251" si="71">P210/P223%</f>
        <v>58.35309868072536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5">
        <v>2</v>
      </c>
      <c r="E253" s="265">
        <v>3</v>
      </c>
      <c r="F253" s="265">
        <v>5</v>
      </c>
      <c r="G253" s="265">
        <v>3</v>
      </c>
      <c r="H253" s="265">
        <v>7</v>
      </c>
      <c r="I253" s="265">
        <v>5</v>
      </c>
      <c r="J253" s="265">
        <v>4</v>
      </c>
      <c r="K253" s="265">
        <v>4</v>
      </c>
      <c r="L253" s="265">
        <v>4</v>
      </c>
      <c r="M253" s="265">
        <v>4</v>
      </c>
      <c r="N253" s="265">
        <v>4</v>
      </c>
      <c r="O253" s="265">
        <v>4</v>
      </c>
      <c r="P253" s="391">
        <f>SUM(D253:O253)</f>
        <v>49</v>
      </c>
    </row>
    <row r="254" spans="1:16" x14ac:dyDescent="0.3">
      <c r="A254" s="312" t="s">
        <v>12</v>
      </c>
      <c r="B254" s="313"/>
      <c r="C254" s="4" t="s">
        <v>3</v>
      </c>
      <c r="D254" s="265">
        <v>1</v>
      </c>
      <c r="E254" s="265">
        <v>1</v>
      </c>
      <c r="F254" s="265">
        <v>1</v>
      </c>
      <c r="G254" s="265">
        <v>1</v>
      </c>
      <c r="H254" s="265">
        <v>1</v>
      </c>
      <c r="I254" s="265">
        <v>1</v>
      </c>
      <c r="J254" s="265">
        <v>1</v>
      </c>
      <c r="K254" s="265">
        <v>1</v>
      </c>
      <c r="L254" s="265">
        <v>1</v>
      </c>
      <c r="M254" s="265">
        <v>1</v>
      </c>
      <c r="N254" s="265">
        <v>1</v>
      </c>
      <c r="O254" s="265">
        <v>1</v>
      </c>
      <c r="P254" s="391">
        <f>SUM(D254:O254)</f>
        <v>12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:O255" si="72">D95</f>
        <v>2</v>
      </c>
      <c r="E255" s="265">
        <f t="shared" si="72"/>
        <v>5</v>
      </c>
      <c r="F255" s="265">
        <f t="shared" si="72"/>
        <v>6</v>
      </c>
      <c r="G255" s="265">
        <f t="shared" si="72"/>
        <v>6</v>
      </c>
      <c r="H255" s="265">
        <f t="shared" si="72"/>
        <v>6</v>
      </c>
      <c r="I255" s="265">
        <f t="shared" si="72"/>
        <v>4</v>
      </c>
      <c r="J255" s="265">
        <f t="shared" si="72"/>
        <v>4</v>
      </c>
      <c r="K255" s="265">
        <f t="shared" si="72"/>
        <v>4</v>
      </c>
      <c r="L255" s="265">
        <f t="shared" si="72"/>
        <v>5</v>
      </c>
      <c r="M255" s="265">
        <f t="shared" si="72"/>
        <v>5</v>
      </c>
      <c r="N255" s="265">
        <f t="shared" si="72"/>
        <v>4</v>
      </c>
      <c r="O255" s="265">
        <f t="shared" si="72"/>
        <v>4</v>
      </c>
      <c r="P255" s="391">
        <f>SUM(D255:O255)</f>
        <v>55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:O256" si="73">D91</f>
        <v>2</v>
      </c>
      <c r="E256" s="265">
        <f t="shared" si="73"/>
        <v>3</v>
      </c>
      <c r="F256" s="265">
        <f t="shared" si="73"/>
        <v>5</v>
      </c>
      <c r="G256" s="265">
        <f t="shared" si="73"/>
        <v>3</v>
      </c>
      <c r="H256" s="265">
        <f t="shared" si="73"/>
        <v>7</v>
      </c>
      <c r="I256" s="265">
        <f t="shared" si="73"/>
        <v>6</v>
      </c>
      <c r="J256" s="265">
        <f t="shared" si="73"/>
        <v>4</v>
      </c>
      <c r="K256" s="265">
        <f t="shared" si="73"/>
        <v>4</v>
      </c>
      <c r="L256" s="265">
        <f t="shared" si="73"/>
        <v>3</v>
      </c>
      <c r="M256" s="265">
        <f t="shared" si="73"/>
        <v>3</v>
      </c>
      <c r="N256" s="265">
        <f t="shared" si="73"/>
        <v>7</v>
      </c>
      <c r="O256" s="265">
        <f t="shared" si="73"/>
        <v>4</v>
      </c>
      <c r="P256" s="391">
        <f>SUM(D256:O256)</f>
        <v>51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15</v>
      </c>
      <c r="E257" s="265">
        <v>15</v>
      </c>
      <c r="F257" s="265">
        <v>15</v>
      </c>
      <c r="G257" s="265">
        <v>15</v>
      </c>
      <c r="H257" s="265">
        <v>15</v>
      </c>
      <c r="I257" s="265">
        <v>15</v>
      </c>
      <c r="J257" s="265">
        <v>15</v>
      </c>
      <c r="K257" s="265">
        <v>4</v>
      </c>
      <c r="L257" s="265">
        <v>1</v>
      </c>
      <c r="M257" s="265">
        <v>1</v>
      </c>
      <c r="N257" s="265">
        <v>1</v>
      </c>
      <c r="O257" s="265">
        <v>1</v>
      </c>
      <c r="P257" s="391">
        <f>SUM(D257:O257)</f>
        <v>113</v>
      </c>
    </row>
    <row r="258" spans="1:16" x14ac:dyDescent="0.3">
      <c r="A258" s="314" t="s">
        <v>8</v>
      </c>
      <c r="B258" s="315"/>
      <c r="C258" s="4" t="s">
        <v>3</v>
      </c>
      <c r="D258" s="261">
        <f t="shared" ref="D258:P258" si="74">D257/D256</f>
        <v>7.5</v>
      </c>
      <c r="E258" s="261">
        <f t="shared" si="74"/>
        <v>5</v>
      </c>
      <c r="F258" s="261">
        <f t="shared" si="74"/>
        <v>3</v>
      </c>
      <c r="G258" s="261">
        <f t="shared" si="74"/>
        <v>5</v>
      </c>
      <c r="H258" s="261">
        <f t="shared" si="74"/>
        <v>2.1428571428571428</v>
      </c>
      <c r="I258" s="261">
        <f t="shared" si="74"/>
        <v>2.5</v>
      </c>
      <c r="J258" s="261">
        <f t="shared" si="74"/>
        <v>3.75</v>
      </c>
      <c r="K258" s="261">
        <f t="shared" si="74"/>
        <v>1</v>
      </c>
      <c r="L258" s="261">
        <f t="shared" si="74"/>
        <v>0.33333333333333331</v>
      </c>
      <c r="M258" s="261">
        <f t="shared" si="74"/>
        <v>0.33333333333333331</v>
      </c>
      <c r="N258" s="261">
        <f t="shared" si="74"/>
        <v>0.14285714285714285</v>
      </c>
      <c r="O258" s="261">
        <f t="shared" si="74"/>
        <v>0.25</v>
      </c>
      <c r="P258" s="391">
        <f t="shared" si="74"/>
        <v>2.215686274509804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75">D92/D255*100</f>
        <v>0</v>
      </c>
      <c r="E259" s="303">
        <f t="shared" si="75"/>
        <v>0</v>
      </c>
      <c r="F259" s="303">
        <f t="shared" si="75"/>
        <v>0</v>
      </c>
      <c r="G259" s="303">
        <f t="shared" si="75"/>
        <v>0</v>
      </c>
      <c r="H259" s="303">
        <f t="shared" si="75"/>
        <v>116.66666666666667</v>
      </c>
      <c r="I259" s="303">
        <f t="shared" si="75"/>
        <v>0</v>
      </c>
      <c r="J259" s="303">
        <f t="shared" si="75"/>
        <v>0</v>
      </c>
      <c r="K259" s="303">
        <f t="shared" si="75"/>
        <v>0</v>
      </c>
      <c r="L259" s="303">
        <f t="shared" si="75"/>
        <v>0</v>
      </c>
      <c r="M259" s="303">
        <f t="shared" si="75"/>
        <v>60</v>
      </c>
      <c r="N259" s="303">
        <f t="shared" si="75"/>
        <v>200</v>
      </c>
      <c r="O259" s="303">
        <f t="shared" si="75"/>
        <v>100</v>
      </c>
      <c r="P259" s="392">
        <f t="shared" si="75"/>
        <v>40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5">
        <v>23</v>
      </c>
      <c r="E261" s="265">
        <v>16</v>
      </c>
      <c r="F261" s="265">
        <v>9</v>
      </c>
      <c r="G261" s="265">
        <v>18</v>
      </c>
      <c r="H261" s="265">
        <v>24</v>
      </c>
      <c r="I261" s="265">
        <v>26</v>
      </c>
      <c r="J261" s="265">
        <v>12</v>
      </c>
      <c r="K261" s="265">
        <v>20</v>
      </c>
      <c r="L261" s="265">
        <v>24</v>
      </c>
      <c r="M261" s="265">
        <v>8</v>
      </c>
      <c r="N261" s="265">
        <v>12</v>
      </c>
      <c r="O261" s="265">
        <v>20</v>
      </c>
      <c r="P261" s="266">
        <f>SUM(D261:O261)</f>
        <v>212</v>
      </c>
    </row>
    <row r="262" spans="1:16" ht="15.75" customHeight="1" x14ac:dyDescent="0.3">
      <c r="A262" s="312" t="s">
        <v>2</v>
      </c>
      <c r="B262" s="313"/>
      <c r="C262" s="4" t="s">
        <v>0</v>
      </c>
      <c r="D262" s="265">
        <v>2</v>
      </c>
      <c r="E262" s="265">
        <v>4</v>
      </c>
      <c r="F262" s="265">
        <v>2</v>
      </c>
      <c r="G262" s="265">
        <v>6</v>
      </c>
      <c r="H262" s="265">
        <v>4</v>
      </c>
      <c r="I262" s="265">
        <v>30</v>
      </c>
      <c r="J262" s="265">
        <v>3</v>
      </c>
      <c r="K262" s="265">
        <v>5</v>
      </c>
      <c r="L262" s="265">
        <v>6</v>
      </c>
      <c r="M262" s="265">
        <v>2</v>
      </c>
      <c r="N262" s="265">
        <v>3</v>
      </c>
      <c r="O262" s="265">
        <v>5</v>
      </c>
      <c r="P262" s="266">
        <f>SUM(D262:O262)</f>
        <v>72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11.5</v>
      </c>
      <c r="E263" s="304">
        <f t="shared" ref="E263:P263" si="76">E261/E262</f>
        <v>4</v>
      </c>
      <c r="F263" s="304">
        <f t="shared" si="76"/>
        <v>4.5</v>
      </c>
      <c r="G263" s="304">
        <f t="shared" si="76"/>
        <v>3</v>
      </c>
      <c r="H263" s="304">
        <f t="shared" si="76"/>
        <v>6</v>
      </c>
      <c r="I263" s="304">
        <f t="shared" si="76"/>
        <v>0.8666666666666667</v>
      </c>
      <c r="J263" s="304">
        <f t="shared" si="76"/>
        <v>4</v>
      </c>
      <c r="K263" s="304">
        <f t="shared" si="76"/>
        <v>4</v>
      </c>
      <c r="L263" s="304">
        <f t="shared" si="76"/>
        <v>4</v>
      </c>
      <c r="M263" s="304">
        <f t="shared" si="76"/>
        <v>4</v>
      </c>
      <c r="N263" s="304">
        <f t="shared" si="76"/>
        <v>4</v>
      </c>
      <c r="O263" s="304">
        <f t="shared" si="76"/>
        <v>4</v>
      </c>
      <c r="P263" s="367">
        <f t="shared" si="76"/>
        <v>2.9444444444444446</v>
      </c>
    </row>
  </sheetData>
  <mergeCells count="6">
    <mergeCell ref="B35:B36"/>
    <mergeCell ref="B37:B38"/>
    <mergeCell ref="B39:B40"/>
    <mergeCell ref="B29:B30"/>
    <mergeCell ref="B31:B32"/>
    <mergeCell ref="B33:B3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263"/>
  <sheetViews>
    <sheetView tabSelected="1" workbookViewId="0">
      <pane xSplit="2" ySplit="8" topLeftCell="K9" activePane="bottomRight" state="frozen"/>
      <selection pane="topRight" activeCell="C1" sqref="C1"/>
      <selection pane="bottomLeft" activeCell="A9" sqref="A9"/>
      <selection pane="bottomRight" activeCell="O226" sqref="O226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9" width="19.88671875" bestFit="1" customWidth="1"/>
    <col min="10" max="10" width="19.109375" customWidth="1"/>
    <col min="11" max="11" width="23.109375" customWidth="1"/>
    <col min="12" max="12" width="22.6640625" customWidth="1"/>
    <col min="13" max="13" width="20.109375" bestFit="1" customWidth="1"/>
    <col min="14" max="15" width="19.109375" customWidth="1"/>
    <col min="16" max="16" width="21.109375" style="372" bestFit="1" customWidth="1"/>
    <col min="18" max="18" width="12.554687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308" t="s">
        <v>176</v>
      </c>
      <c r="B7" s="309"/>
      <c r="C7" s="55" t="s">
        <v>175</v>
      </c>
      <c r="D7" s="243" t="s">
        <v>165</v>
      </c>
      <c r="E7" s="243" t="s">
        <v>164</v>
      </c>
      <c r="F7" s="243" t="s">
        <v>163</v>
      </c>
      <c r="G7" s="243" t="s">
        <v>174</v>
      </c>
      <c r="H7" s="243" t="s">
        <v>173</v>
      </c>
      <c r="I7" s="243" t="s">
        <v>172</v>
      </c>
      <c r="J7" s="243" t="s">
        <v>171</v>
      </c>
      <c r="K7" s="243" t="s">
        <v>170</v>
      </c>
      <c r="L7" s="243" t="s">
        <v>169</v>
      </c>
      <c r="M7" s="243" t="s">
        <v>168</v>
      </c>
      <c r="N7" s="243" t="s">
        <v>167</v>
      </c>
      <c r="O7" s="243" t="s">
        <v>166</v>
      </c>
      <c r="P7" s="53" t="s">
        <v>162</v>
      </c>
    </row>
    <row r="8" spans="1:16" ht="16.2" thickBot="1" x14ac:dyDescent="0.35">
      <c r="A8" s="363" t="s">
        <v>161</v>
      </c>
      <c r="B8" s="364"/>
      <c r="C8" s="364"/>
      <c r="D8" s="364"/>
      <c r="E8" s="364"/>
      <c r="F8" s="364"/>
      <c r="G8" s="364"/>
      <c r="H8" s="364"/>
      <c r="I8" s="364"/>
      <c r="J8" s="364"/>
      <c r="K8" s="364"/>
      <c r="L8" s="364"/>
      <c r="M8" s="364"/>
      <c r="N8" s="364"/>
      <c r="O8" s="364"/>
      <c r="P8" s="373"/>
    </row>
    <row r="9" spans="1:16" x14ac:dyDescent="0.3">
      <c r="A9" s="365" t="s">
        <v>178</v>
      </c>
      <c r="B9" s="366"/>
      <c r="C9" s="52" t="s">
        <v>154</v>
      </c>
      <c r="D9" s="244">
        <v>3511</v>
      </c>
      <c r="E9" s="244">
        <v>3880</v>
      </c>
      <c r="F9" s="244">
        <v>4209</v>
      </c>
      <c r="G9" s="244">
        <v>3827</v>
      </c>
      <c r="H9" s="244">
        <v>3820</v>
      </c>
      <c r="I9" s="244">
        <v>3400</v>
      </c>
      <c r="J9" s="244">
        <v>2850</v>
      </c>
      <c r="K9" s="244">
        <v>2810</v>
      </c>
      <c r="L9" s="244">
        <v>2580</v>
      </c>
      <c r="M9" s="244">
        <v>3204</v>
      </c>
      <c r="N9" s="244">
        <v>3033</v>
      </c>
      <c r="O9" s="244">
        <v>2612</v>
      </c>
      <c r="P9" s="374">
        <f>SUM(D9:O9)</f>
        <v>39736</v>
      </c>
    </row>
    <row r="10" spans="1:16" x14ac:dyDescent="0.3">
      <c r="A10" s="310" t="s">
        <v>179</v>
      </c>
      <c r="B10" s="311"/>
      <c r="C10" s="311"/>
      <c r="D10" s="311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75"/>
    </row>
    <row r="11" spans="1:16" x14ac:dyDescent="0.3">
      <c r="A11" s="319" t="s">
        <v>159</v>
      </c>
      <c r="B11" s="320"/>
      <c r="C11" s="4" t="s">
        <v>154</v>
      </c>
      <c r="D11" s="245">
        <v>10</v>
      </c>
      <c r="E11" s="245">
        <v>7</v>
      </c>
      <c r="F11" s="245">
        <v>10</v>
      </c>
      <c r="G11" s="245">
        <v>15</v>
      </c>
      <c r="H11" s="245">
        <v>17</v>
      </c>
      <c r="I11" s="245">
        <v>13</v>
      </c>
      <c r="J11" s="245">
        <v>4</v>
      </c>
      <c r="K11" s="245">
        <v>6</v>
      </c>
      <c r="L11" s="245">
        <v>4</v>
      </c>
      <c r="M11" s="245">
        <v>5</v>
      </c>
      <c r="N11" s="245">
        <v>6</v>
      </c>
      <c r="O11" s="245">
        <v>4</v>
      </c>
      <c r="P11" s="246">
        <f>SUM(D11:O11)</f>
        <v>101</v>
      </c>
    </row>
    <row r="12" spans="1:16" x14ac:dyDescent="0.3">
      <c r="A12" s="319" t="s">
        <v>158</v>
      </c>
      <c r="B12" s="320"/>
      <c r="C12" s="4" t="s">
        <v>154</v>
      </c>
      <c r="D12" s="245"/>
      <c r="E12" s="245"/>
      <c r="F12" s="245"/>
      <c r="G12" s="245"/>
      <c r="H12" s="245"/>
      <c r="I12" s="245"/>
      <c r="J12" s="245"/>
      <c r="K12" s="245"/>
      <c r="L12" s="245">
        <v>3</v>
      </c>
      <c r="M12" s="245"/>
      <c r="N12" s="245"/>
      <c r="O12" s="245"/>
      <c r="P12" s="246">
        <f>SUM(D12:O12)</f>
        <v>3</v>
      </c>
    </row>
    <row r="13" spans="1:16" x14ac:dyDescent="0.3">
      <c r="A13" s="319" t="s">
        <v>157</v>
      </c>
      <c r="B13" s="320"/>
      <c r="C13" s="4" t="s">
        <v>154</v>
      </c>
      <c r="D13" s="245">
        <v>3</v>
      </c>
      <c r="E13" s="245">
        <v>6</v>
      </c>
      <c r="F13" s="245">
        <v>8</v>
      </c>
      <c r="G13" s="245">
        <v>3</v>
      </c>
      <c r="H13" s="245">
        <v>3</v>
      </c>
      <c r="I13" s="245">
        <v>2</v>
      </c>
      <c r="J13" s="245">
        <v>1</v>
      </c>
      <c r="K13" s="245">
        <v>2</v>
      </c>
      <c r="L13" s="245"/>
      <c r="M13" s="245">
        <v>1</v>
      </c>
      <c r="N13" s="245">
        <v>4</v>
      </c>
      <c r="O13" s="245">
        <v>1</v>
      </c>
      <c r="P13" s="246">
        <f>SUM(D13:O13)</f>
        <v>34</v>
      </c>
    </row>
    <row r="14" spans="1:16" x14ac:dyDescent="0.3">
      <c r="A14" s="312" t="s">
        <v>156</v>
      </c>
      <c r="B14" s="313"/>
      <c r="C14" s="4" t="s">
        <v>154</v>
      </c>
      <c r="D14" s="245"/>
      <c r="E14" s="245"/>
      <c r="F14" s="245"/>
      <c r="G14" s="245"/>
      <c r="H14" s="245"/>
      <c r="I14" s="245"/>
      <c r="J14" s="245"/>
      <c r="K14" s="245"/>
      <c r="L14" s="245"/>
      <c r="M14" s="245"/>
      <c r="N14" s="245"/>
      <c r="O14" s="245"/>
      <c r="P14" s="246">
        <f>SUM(D14:O14)</f>
        <v>0</v>
      </c>
    </row>
    <row r="15" spans="1:16" s="57" customFormat="1" x14ac:dyDescent="0.3">
      <c r="A15" s="325" t="s">
        <v>160</v>
      </c>
      <c r="B15" s="326"/>
      <c r="C15" s="56" t="s">
        <v>154</v>
      </c>
      <c r="D15" s="247">
        <f t="shared" ref="D15:P15" si="0">SUM(D11:D14)</f>
        <v>13</v>
      </c>
      <c r="E15" s="247">
        <f t="shared" si="0"/>
        <v>13</v>
      </c>
      <c r="F15" s="247">
        <f t="shared" si="0"/>
        <v>18</v>
      </c>
      <c r="G15" s="247">
        <f t="shared" si="0"/>
        <v>18</v>
      </c>
      <c r="H15" s="247">
        <f t="shared" si="0"/>
        <v>20</v>
      </c>
      <c r="I15" s="247">
        <f t="shared" si="0"/>
        <v>15</v>
      </c>
      <c r="J15" s="247">
        <f t="shared" si="0"/>
        <v>5</v>
      </c>
      <c r="K15" s="247">
        <f t="shared" si="0"/>
        <v>8</v>
      </c>
      <c r="L15" s="247">
        <f t="shared" si="0"/>
        <v>7</v>
      </c>
      <c r="M15" s="247">
        <f t="shared" si="0"/>
        <v>6</v>
      </c>
      <c r="N15" s="247">
        <f t="shared" si="0"/>
        <v>10</v>
      </c>
      <c r="O15" s="247">
        <f t="shared" si="0"/>
        <v>5</v>
      </c>
      <c r="P15" s="246">
        <f t="shared" si="0"/>
        <v>138</v>
      </c>
    </row>
    <row r="16" spans="1:16" x14ac:dyDescent="0.3">
      <c r="A16" s="310" t="s">
        <v>180</v>
      </c>
      <c r="B16" s="311"/>
      <c r="C16" s="311"/>
      <c r="D16" s="311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75"/>
    </row>
    <row r="17" spans="1:16" x14ac:dyDescent="0.3">
      <c r="A17" s="319" t="s">
        <v>182</v>
      </c>
      <c r="B17" s="320"/>
      <c r="C17" s="4" t="s">
        <v>154</v>
      </c>
      <c r="D17" s="245">
        <v>3010.1999999999971</v>
      </c>
      <c r="E17" s="245">
        <v>3323.6</v>
      </c>
      <c r="F17" s="245">
        <v>3568.5</v>
      </c>
      <c r="G17" s="245">
        <v>3235.4</v>
      </c>
      <c r="H17" s="245">
        <v>3300.9</v>
      </c>
      <c r="I17" s="245">
        <v>3078.2</v>
      </c>
      <c r="J17" s="245">
        <v>2527.3000000000002</v>
      </c>
      <c r="K17" s="245">
        <v>2304.5</v>
      </c>
      <c r="L17" s="245">
        <v>2320.5</v>
      </c>
      <c r="M17" s="245">
        <v>2770.9</v>
      </c>
      <c r="N17" s="245">
        <v>2517.3000000000002</v>
      </c>
      <c r="O17" s="245">
        <v>2214.5</v>
      </c>
      <c r="P17" s="246">
        <f>SUM(D17:O17)</f>
        <v>34171.800000000003</v>
      </c>
    </row>
    <row r="18" spans="1:16" x14ac:dyDescent="0.3">
      <c r="A18" s="319" t="s">
        <v>183</v>
      </c>
      <c r="B18" s="320"/>
      <c r="C18" s="4" t="s">
        <v>154</v>
      </c>
      <c r="D18" s="245">
        <v>143.5</v>
      </c>
      <c r="E18" s="245">
        <v>163.30000000000001</v>
      </c>
      <c r="F18" s="245">
        <v>200</v>
      </c>
      <c r="G18" s="245">
        <v>80.5</v>
      </c>
      <c r="H18" s="245">
        <v>92.7</v>
      </c>
      <c r="I18" s="245">
        <v>54.1</v>
      </c>
      <c r="J18" s="245">
        <v>40</v>
      </c>
      <c r="K18" s="245">
        <v>53.2</v>
      </c>
      <c r="L18" s="245">
        <v>9.5</v>
      </c>
      <c r="M18" s="245">
        <v>87.1</v>
      </c>
      <c r="N18" s="245">
        <v>131.80000000000001</v>
      </c>
      <c r="O18" s="245">
        <v>9.4</v>
      </c>
      <c r="P18" s="246">
        <f>SUM(D18:O18)</f>
        <v>1065.1000000000001</v>
      </c>
    </row>
    <row r="19" spans="1:16" x14ac:dyDescent="0.3">
      <c r="A19" s="319" t="s">
        <v>184</v>
      </c>
      <c r="B19" s="320"/>
      <c r="C19" s="4" t="s">
        <v>154</v>
      </c>
      <c r="D19" s="245">
        <v>57.79999999999999</v>
      </c>
      <c r="E19" s="245">
        <v>45</v>
      </c>
      <c r="F19" s="245">
        <v>38.6</v>
      </c>
      <c r="G19" s="245">
        <v>44.2</v>
      </c>
      <c r="H19" s="245">
        <v>35.6</v>
      </c>
      <c r="I19" s="245">
        <v>86.4</v>
      </c>
      <c r="J19" s="245">
        <v>73.8</v>
      </c>
      <c r="K19" s="245">
        <v>23.1</v>
      </c>
      <c r="L19" s="245"/>
      <c r="M19" s="245">
        <v>61.5</v>
      </c>
      <c r="N19" s="245">
        <v>57.7</v>
      </c>
      <c r="O19" s="245">
        <v>67.900000000000006</v>
      </c>
      <c r="P19" s="246">
        <f>SUM(D19:O19)</f>
        <v>591.6</v>
      </c>
    </row>
    <row r="20" spans="1:16" x14ac:dyDescent="0.3">
      <c r="A20" s="312" t="s">
        <v>185</v>
      </c>
      <c r="B20" s="313"/>
      <c r="C20" s="4" t="s">
        <v>154</v>
      </c>
      <c r="D20" s="245">
        <v>48.199999999999996</v>
      </c>
      <c r="E20" s="245">
        <v>68.7</v>
      </c>
      <c r="F20" s="245">
        <v>40.6</v>
      </c>
      <c r="G20" s="245">
        <v>50.4</v>
      </c>
      <c r="H20" s="245">
        <v>32.5</v>
      </c>
      <c r="I20" s="245">
        <v>61.2</v>
      </c>
      <c r="J20" s="245">
        <v>42.7</v>
      </c>
      <c r="K20" s="245">
        <v>15</v>
      </c>
      <c r="L20" s="245"/>
      <c r="M20" s="245">
        <v>24.5</v>
      </c>
      <c r="N20" s="245">
        <v>39.4</v>
      </c>
      <c r="O20" s="245">
        <v>56.2</v>
      </c>
      <c r="P20" s="246">
        <f>SUM(D20:O20)</f>
        <v>479.4</v>
      </c>
    </row>
    <row r="21" spans="1:16" s="57" customFormat="1" x14ac:dyDescent="0.3">
      <c r="A21" s="325" t="s">
        <v>186</v>
      </c>
      <c r="B21" s="326"/>
      <c r="C21" s="56" t="s">
        <v>154</v>
      </c>
      <c r="D21" s="247">
        <f>SUM(D17:D20)</f>
        <v>3259.6999999999971</v>
      </c>
      <c r="E21" s="247">
        <f t="shared" ref="E21:P21" si="1">SUM(E17:E20)</f>
        <v>3600.6</v>
      </c>
      <c r="F21" s="247">
        <f t="shared" si="1"/>
        <v>3847.7</v>
      </c>
      <c r="G21" s="247">
        <f t="shared" si="1"/>
        <v>3410.5</v>
      </c>
      <c r="H21" s="247">
        <f t="shared" si="1"/>
        <v>3461.7</v>
      </c>
      <c r="I21" s="247">
        <f t="shared" si="1"/>
        <v>3279.8999999999996</v>
      </c>
      <c r="J21" s="247">
        <f t="shared" si="1"/>
        <v>2683.8</v>
      </c>
      <c r="K21" s="247">
        <f t="shared" si="1"/>
        <v>2395.7999999999997</v>
      </c>
      <c r="L21" s="247">
        <f t="shared" si="1"/>
        <v>2330</v>
      </c>
      <c r="M21" s="247">
        <f t="shared" si="1"/>
        <v>2944</v>
      </c>
      <c r="N21" s="247">
        <f t="shared" si="1"/>
        <v>2746.2000000000003</v>
      </c>
      <c r="O21" s="247">
        <f t="shared" si="1"/>
        <v>2348</v>
      </c>
      <c r="P21" s="246">
        <f t="shared" si="1"/>
        <v>36307.9</v>
      </c>
    </row>
    <row r="22" spans="1:16" x14ac:dyDescent="0.3">
      <c r="A22" s="248" t="s">
        <v>187</v>
      </c>
      <c r="B22" s="249"/>
      <c r="C22" s="4" t="s">
        <v>154</v>
      </c>
      <c r="D22" s="247">
        <f>D21+D15</f>
        <v>3272.6999999999971</v>
      </c>
      <c r="E22" s="247">
        <f t="shared" ref="E22:P22" si="2">E21+E15</f>
        <v>3613.6</v>
      </c>
      <c r="F22" s="247">
        <f t="shared" si="2"/>
        <v>3865.7</v>
      </c>
      <c r="G22" s="247">
        <f t="shared" si="2"/>
        <v>3428.5</v>
      </c>
      <c r="H22" s="247">
        <f t="shared" si="2"/>
        <v>3481.7</v>
      </c>
      <c r="I22" s="247">
        <f t="shared" si="2"/>
        <v>3294.8999999999996</v>
      </c>
      <c r="J22" s="247">
        <f t="shared" si="2"/>
        <v>2688.8</v>
      </c>
      <c r="K22" s="247">
        <f t="shared" si="2"/>
        <v>2403.7999999999997</v>
      </c>
      <c r="L22" s="247">
        <f t="shared" si="2"/>
        <v>2337</v>
      </c>
      <c r="M22" s="247">
        <f t="shared" si="2"/>
        <v>2950</v>
      </c>
      <c r="N22" s="247">
        <f t="shared" si="2"/>
        <v>2756.2000000000003</v>
      </c>
      <c r="O22" s="247">
        <f t="shared" si="2"/>
        <v>2353</v>
      </c>
      <c r="P22" s="246">
        <f t="shared" si="2"/>
        <v>36445.9</v>
      </c>
    </row>
    <row r="23" spans="1:16" x14ac:dyDescent="0.3">
      <c r="A23" s="359"/>
      <c r="B23" s="360"/>
      <c r="C23" s="360"/>
      <c r="D23" s="360"/>
      <c r="E23" s="360"/>
      <c r="F23" s="360"/>
      <c r="G23" s="360"/>
      <c r="H23" s="360"/>
      <c r="I23" s="360"/>
      <c r="J23" s="360"/>
      <c r="K23" s="360"/>
      <c r="L23" s="360"/>
      <c r="M23" s="360"/>
      <c r="N23" s="360"/>
      <c r="O23" s="360"/>
      <c r="P23" s="376"/>
    </row>
    <row r="24" spans="1:16" x14ac:dyDescent="0.3">
      <c r="A24" s="176" t="s">
        <v>181</v>
      </c>
      <c r="B24" s="4" t="s">
        <v>155</v>
      </c>
      <c r="C24" s="4" t="s">
        <v>154</v>
      </c>
      <c r="D24" s="250">
        <f>D9-D22</f>
        <v>238.30000000000291</v>
      </c>
      <c r="E24" s="250">
        <f t="shared" ref="E24:P24" si="3">E9-E22</f>
        <v>266.40000000000009</v>
      </c>
      <c r="F24" s="250">
        <f t="shared" si="3"/>
        <v>343.30000000000018</v>
      </c>
      <c r="G24" s="250">
        <f t="shared" si="3"/>
        <v>398.5</v>
      </c>
      <c r="H24" s="250">
        <f t="shared" si="3"/>
        <v>338.30000000000018</v>
      </c>
      <c r="I24" s="250">
        <f t="shared" si="3"/>
        <v>105.10000000000036</v>
      </c>
      <c r="J24" s="250">
        <f t="shared" si="3"/>
        <v>161.19999999999982</v>
      </c>
      <c r="K24" s="250">
        <f t="shared" si="3"/>
        <v>406.20000000000027</v>
      </c>
      <c r="L24" s="250">
        <f t="shared" si="3"/>
        <v>243</v>
      </c>
      <c r="M24" s="250">
        <f t="shared" si="3"/>
        <v>254</v>
      </c>
      <c r="N24" s="250">
        <f t="shared" si="3"/>
        <v>276.79999999999973</v>
      </c>
      <c r="O24" s="250">
        <f t="shared" si="3"/>
        <v>259</v>
      </c>
      <c r="P24" s="385">
        <f t="shared" si="3"/>
        <v>3290.0999999999985</v>
      </c>
    </row>
    <row r="25" spans="1:16" ht="16.2" thickBot="1" x14ac:dyDescent="0.35">
      <c r="A25" s="307"/>
      <c r="B25" s="251" t="s">
        <v>153</v>
      </c>
      <c r="C25" s="252" t="s">
        <v>6</v>
      </c>
      <c r="D25" s="253">
        <f t="shared" ref="D25:P25" si="4">D24/D9</f>
        <v>6.7872401025349735E-2</v>
      </c>
      <c r="E25" s="253">
        <f t="shared" si="4"/>
        <v>6.8659793814433018E-2</v>
      </c>
      <c r="F25" s="253">
        <f t="shared" si="4"/>
        <v>8.1563316702304628E-2</v>
      </c>
      <c r="G25" s="253">
        <f t="shared" si="4"/>
        <v>0.10412856022994513</v>
      </c>
      <c r="H25" s="253">
        <f t="shared" si="4"/>
        <v>8.8560209424083811E-2</v>
      </c>
      <c r="I25" s="253">
        <f t="shared" si="4"/>
        <v>3.0911764705882461E-2</v>
      </c>
      <c r="J25" s="253">
        <f t="shared" si="4"/>
        <v>5.6561403508771868E-2</v>
      </c>
      <c r="K25" s="253">
        <f t="shared" si="4"/>
        <v>0.14455516014234884</v>
      </c>
      <c r="L25" s="253">
        <f t="shared" si="4"/>
        <v>9.4186046511627902E-2</v>
      </c>
      <c r="M25" s="253">
        <f t="shared" si="4"/>
        <v>7.9275905118601747E-2</v>
      </c>
      <c r="N25" s="253">
        <f t="shared" si="4"/>
        <v>9.1262776129244882E-2</v>
      </c>
      <c r="O25" s="253">
        <f t="shared" si="4"/>
        <v>9.9157733537519138E-2</v>
      </c>
      <c r="P25" s="386">
        <f t="shared" si="4"/>
        <v>8.2798973223273564E-2</v>
      </c>
    </row>
    <row r="26" spans="1:16" x14ac:dyDescent="0.3">
      <c r="A26" s="361" t="s">
        <v>152</v>
      </c>
      <c r="B26" s="362"/>
      <c r="C26" s="362"/>
      <c r="D26" s="362"/>
      <c r="E26" s="362"/>
      <c r="F26" s="362"/>
      <c r="G26" s="362"/>
      <c r="H26" s="362"/>
      <c r="I26" s="362"/>
      <c r="J26" s="362"/>
      <c r="K26" s="362"/>
      <c r="L26" s="362"/>
      <c r="M26" s="362"/>
      <c r="N26" s="362"/>
      <c r="O26" s="362"/>
      <c r="P26" s="377"/>
    </row>
    <row r="27" spans="1:16" x14ac:dyDescent="0.3">
      <c r="A27" s="305" t="s">
        <v>151</v>
      </c>
      <c r="B27" s="306"/>
      <c r="C27" s="306"/>
      <c r="D27" s="306"/>
      <c r="E27" s="306"/>
      <c r="F27" s="306"/>
      <c r="G27" s="306"/>
      <c r="H27" s="306"/>
      <c r="I27" s="306"/>
      <c r="J27" s="306"/>
      <c r="K27" s="306"/>
      <c r="L27" s="306"/>
      <c r="M27" s="306"/>
      <c r="N27" s="306"/>
      <c r="O27" s="306"/>
      <c r="P27" s="378"/>
    </row>
    <row r="28" spans="1:16" x14ac:dyDescent="0.3">
      <c r="A28" s="254" t="s">
        <v>150</v>
      </c>
      <c r="B28" s="255" t="s">
        <v>149</v>
      </c>
      <c r="C28" s="256"/>
      <c r="D28" s="257"/>
      <c r="E28" s="257"/>
      <c r="F28" s="257"/>
      <c r="G28" s="257"/>
      <c r="H28" s="257"/>
      <c r="I28" s="257"/>
      <c r="J28" s="257"/>
      <c r="K28" s="257"/>
      <c r="L28" s="257"/>
      <c r="M28" s="257"/>
      <c r="N28" s="257"/>
      <c r="O28" s="257"/>
      <c r="P28" s="258"/>
    </row>
    <row r="29" spans="1:16" x14ac:dyDescent="0.3">
      <c r="A29" s="176" t="s">
        <v>148</v>
      </c>
      <c r="B29" s="433">
        <f>176264.5/50</f>
        <v>3525.29</v>
      </c>
      <c r="C29" s="4" t="s">
        <v>142</v>
      </c>
      <c r="D29" s="259">
        <v>14</v>
      </c>
      <c r="E29" s="259">
        <v>9</v>
      </c>
      <c r="F29" s="259">
        <v>9</v>
      </c>
      <c r="G29" s="259">
        <v>9</v>
      </c>
      <c r="H29" s="259">
        <v>9</v>
      </c>
      <c r="I29" s="259">
        <v>9</v>
      </c>
      <c r="J29" s="259">
        <v>6</v>
      </c>
      <c r="K29" s="259">
        <v>6</v>
      </c>
      <c r="L29" s="259">
        <v>6</v>
      </c>
      <c r="M29" s="259">
        <v>8</v>
      </c>
      <c r="N29" s="259">
        <v>8</v>
      </c>
      <c r="O29" s="259">
        <v>8</v>
      </c>
      <c r="P29" s="260">
        <f>SUM(D29:O29)</f>
        <v>101</v>
      </c>
    </row>
    <row r="30" spans="1:16" x14ac:dyDescent="0.3">
      <c r="A30" s="177"/>
      <c r="B30" s="433"/>
      <c r="C30" s="37" t="s">
        <v>141</v>
      </c>
      <c r="D30" s="261">
        <f t="shared" ref="D30:P30" si="5">D29/(D9/1000)</f>
        <v>3.9874679578467673</v>
      </c>
      <c r="E30" s="261">
        <f t="shared" si="5"/>
        <v>2.3195876288659796</v>
      </c>
      <c r="F30" s="261">
        <f t="shared" si="5"/>
        <v>2.1382751247327159</v>
      </c>
      <c r="G30" s="261">
        <f t="shared" si="5"/>
        <v>2.3517115233864647</v>
      </c>
      <c r="H30" s="261">
        <f t="shared" si="5"/>
        <v>2.3560209424083771</v>
      </c>
      <c r="I30" s="261">
        <f t="shared" si="5"/>
        <v>2.6470588235294117</v>
      </c>
      <c r="J30" s="261">
        <f t="shared" si="5"/>
        <v>2.1052631578947367</v>
      </c>
      <c r="K30" s="261">
        <f t="shared" si="5"/>
        <v>2.1352313167259784</v>
      </c>
      <c r="L30" s="261">
        <f t="shared" si="5"/>
        <v>2.3255813953488373</v>
      </c>
      <c r="M30" s="261">
        <f t="shared" si="5"/>
        <v>2.4968789013732833</v>
      </c>
      <c r="N30" s="261">
        <f t="shared" si="5"/>
        <v>2.637652489284537</v>
      </c>
      <c r="O30" s="261">
        <f t="shared" si="5"/>
        <v>3.0627871362940273</v>
      </c>
      <c r="P30" s="266">
        <f t="shared" si="5"/>
        <v>2.5417757197503525</v>
      </c>
    </row>
    <row r="31" spans="1:16" x14ac:dyDescent="0.3">
      <c r="A31" s="176" t="s">
        <v>147</v>
      </c>
      <c r="B31" s="433">
        <f>53000.511/50</f>
        <v>1060.0102199999999</v>
      </c>
      <c r="C31" s="4" t="s">
        <v>142</v>
      </c>
      <c r="D31" s="259"/>
      <c r="E31" s="259"/>
      <c r="F31" s="259"/>
      <c r="G31" s="259"/>
      <c r="H31" s="259"/>
      <c r="I31" s="259"/>
      <c r="J31" s="259"/>
      <c r="K31" s="259"/>
      <c r="L31" s="259"/>
      <c r="M31" s="259"/>
      <c r="N31" s="259"/>
      <c r="O31" s="259"/>
      <c r="P31" s="260">
        <f>SUM(D31:O31)</f>
        <v>0</v>
      </c>
    </row>
    <row r="32" spans="1:16" x14ac:dyDescent="0.3">
      <c r="A32" s="177"/>
      <c r="B32" s="433"/>
      <c r="C32" s="37" t="s">
        <v>141</v>
      </c>
      <c r="D32" s="261">
        <f t="shared" ref="D32:P32" si="6">D31/(D9/1000)</f>
        <v>0</v>
      </c>
      <c r="E32" s="261">
        <f t="shared" si="6"/>
        <v>0</v>
      </c>
      <c r="F32" s="261">
        <f t="shared" si="6"/>
        <v>0</v>
      </c>
      <c r="G32" s="261">
        <f t="shared" si="6"/>
        <v>0</v>
      </c>
      <c r="H32" s="261">
        <f t="shared" si="6"/>
        <v>0</v>
      </c>
      <c r="I32" s="261">
        <f t="shared" si="6"/>
        <v>0</v>
      </c>
      <c r="J32" s="261">
        <f t="shared" si="6"/>
        <v>0</v>
      </c>
      <c r="K32" s="261">
        <f t="shared" si="6"/>
        <v>0</v>
      </c>
      <c r="L32" s="261">
        <f t="shared" si="6"/>
        <v>0</v>
      </c>
      <c r="M32" s="261">
        <f t="shared" si="6"/>
        <v>0</v>
      </c>
      <c r="N32" s="261">
        <f t="shared" si="6"/>
        <v>0</v>
      </c>
      <c r="O32" s="261">
        <f t="shared" si="6"/>
        <v>0</v>
      </c>
      <c r="P32" s="266">
        <f t="shared" si="6"/>
        <v>0</v>
      </c>
    </row>
    <row r="33" spans="1:16" x14ac:dyDescent="0.3">
      <c r="A33" s="176" t="s">
        <v>146</v>
      </c>
      <c r="B33" s="433">
        <f>61414.43/50</f>
        <v>1228.2886000000001</v>
      </c>
      <c r="C33" s="4" t="s">
        <v>142</v>
      </c>
      <c r="D33" s="259"/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>
        <f>SUM(D33:O33)</f>
        <v>0</v>
      </c>
    </row>
    <row r="34" spans="1:16" x14ac:dyDescent="0.3">
      <c r="A34" s="177"/>
      <c r="B34" s="433"/>
      <c r="C34" s="37" t="s">
        <v>141</v>
      </c>
      <c r="D34" s="261">
        <f t="shared" ref="D34:P34" si="7">D33/(D9/1000)</f>
        <v>0</v>
      </c>
      <c r="E34" s="261">
        <f t="shared" si="7"/>
        <v>0</v>
      </c>
      <c r="F34" s="261">
        <f t="shared" si="7"/>
        <v>0</v>
      </c>
      <c r="G34" s="261">
        <f t="shared" si="7"/>
        <v>0</v>
      </c>
      <c r="H34" s="261">
        <f t="shared" si="7"/>
        <v>0</v>
      </c>
      <c r="I34" s="261">
        <f t="shared" si="7"/>
        <v>0</v>
      </c>
      <c r="J34" s="261">
        <f t="shared" si="7"/>
        <v>0</v>
      </c>
      <c r="K34" s="261">
        <f t="shared" si="7"/>
        <v>0</v>
      </c>
      <c r="L34" s="261">
        <f t="shared" si="7"/>
        <v>0</v>
      </c>
      <c r="M34" s="261">
        <f t="shared" si="7"/>
        <v>0</v>
      </c>
      <c r="N34" s="261">
        <f t="shared" si="7"/>
        <v>0</v>
      </c>
      <c r="O34" s="261">
        <f t="shared" si="7"/>
        <v>0</v>
      </c>
      <c r="P34" s="266">
        <f t="shared" si="7"/>
        <v>0</v>
      </c>
    </row>
    <row r="35" spans="1:16" x14ac:dyDescent="0.3">
      <c r="A35" s="176" t="s">
        <v>145</v>
      </c>
      <c r="B35" s="433">
        <f>745345.16/200</f>
        <v>3726.7258000000002</v>
      </c>
      <c r="C35" s="4" t="s">
        <v>128</v>
      </c>
      <c r="D35" s="262"/>
      <c r="E35" s="262"/>
      <c r="F35" s="262"/>
      <c r="G35" s="262"/>
      <c r="H35" s="262"/>
      <c r="I35" s="262"/>
      <c r="J35" s="262"/>
      <c r="K35" s="262"/>
      <c r="L35" s="262"/>
      <c r="M35" s="262"/>
      <c r="N35" s="262"/>
      <c r="O35" s="262"/>
      <c r="P35" s="266"/>
    </row>
    <row r="36" spans="1:16" x14ac:dyDescent="0.3">
      <c r="A36" s="177"/>
      <c r="B36" s="433"/>
      <c r="C36" s="4" t="s">
        <v>144</v>
      </c>
      <c r="D36" s="262"/>
      <c r="E36" s="262"/>
      <c r="F36" s="262"/>
      <c r="G36" s="262"/>
      <c r="H36" s="262"/>
      <c r="I36" s="262"/>
      <c r="J36" s="262"/>
      <c r="K36" s="262"/>
      <c r="L36" s="262"/>
      <c r="M36" s="262"/>
      <c r="N36" s="262"/>
      <c r="O36" s="262"/>
      <c r="P36" s="266"/>
    </row>
    <row r="37" spans="1:16" x14ac:dyDescent="0.3">
      <c r="A37" s="176" t="s">
        <v>188</v>
      </c>
      <c r="B37" s="433">
        <f>790318.72/200</f>
        <v>3951.5935999999997</v>
      </c>
      <c r="C37" s="4" t="s">
        <v>128</v>
      </c>
      <c r="D37" s="259">
        <v>0</v>
      </c>
      <c r="E37" s="259">
        <v>0</v>
      </c>
      <c r="F37" s="259">
        <v>0</v>
      </c>
      <c r="G37" s="259">
        <v>0</v>
      </c>
      <c r="H37" s="259">
        <v>0</v>
      </c>
      <c r="I37" s="259">
        <v>0</v>
      </c>
      <c r="J37" s="259">
        <v>0</v>
      </c>
      <c r="K37" s="259">
        <v>0</v>
      </c>
      <c r="L37" s="259">
        <v>0</v>
      </c>
      <c r="M37" s="259">
        <v>0</v>
      </c>
      <c r="N37" s="259">
        <v>0</v>
      </c>
      <c r="O37" s="259">
        <v>0</v>
      </c>
      <c r="P37" s="260">
        <f>SUM(D37:O37)</f>
        <v>0</v>
      </c>
    </row>
    <row r="38" spans="1:16" x14ac:dyDescent="0.3">
      <c r="A38" s="177"/>
      <c r="B38" s="433"/>
      <c r="C38" s="4" t="s">
        <v>144</v>
      </c>
      <c r="D38" s="261">
        <f t="shared" ref="D38:P38" si="8">D37/(D9/1000)</f>
        <v>0</v>
      </c>
      <c r="E38" s="261">
        <f t="shared" si="8"/>
        <v>0</v>
      </c>
      <c r="F38" s="261">
        <f t="shared" si="8"/>
        <v>0</v>
      </c>
      <c r="G38" s="261">
        <f t="shared" si="8"/>
        <v>0</v>
      </c>
      <c r="H38" s="261">
        <f t="shared" si="8"/>
        <v>0</v>
      </c>
      <c r="I38" s="261">
        <f t="shared" si="8"/>
        <v>0</v>
      </c>
      <c r="J38" s="261">
        <f t="shared" si="8"/>
        <v>0</v>
      </c>
      <c r="K38" s="261">
        <f t="shared" si="8"/>
        <v>0</v>
      </c>
      <c r="L38" s="261">
        <f t="shared" si="8"/>
        <v>0</v>
      </c>
      <c r="M38" s="261">
        <f t="shared" si="8"/>
        <v>0</v>
      </c>
      <c r="N38" s="261">
        <f t="shared" si="8"/>
        <v>0</v>
      </c>
      <c r="O38" s="261">
        <f t="shared" si="8"/>
        <v>0</v>
      </c>
      <c r="P38" s="266">
        <f t="shared" si="8"/>
        <v>0</v>
      </c>
    </row>
    <row r="39" spans="1:16" x14ac:dyDescent="0.3">
      <c r="A39" s="176" t="s">
        <v>143</v>
      </c>
      <c r="B39" s="433">
        <v>1950</v>
      </c>
      <c r="C39" s="4" t="s">
        <v>142</v>
      </c>
      <c r="D39" s="259">
        <v>0</v>
      </c>
      <c r="E39" s="259">
        <v>0</v>
      </c>
      <c r="F39" s="259">
        <v>0</v>
      </c>
      <c r="G39" s="259">
        <v>0</v>
      </c>
      <c r="H39" s="259">
        <v>0</v>
      </c>
      <c r="I39" s="259">
        <v>0</v>
      </c>
      <c r="J39" s="259">
        <v>0</v>
      </c>
      <c r="K39" s="259">
        <v>0</v>
      </c>
      <c r="L39" s="259">
        <v>0</v>
      </c>
      <c r="M39" s="259">
        <v>0</v>
      </c>
      <c r="N39" s="259">
        <v>0</v>
      </c>
      <c r="O39" s="259">
        <v>0</v>
      </c>
      <c r="P39" s="260">
        <f>SUM(D39:O39)</f>
        <v>0</v>
      </c>
    </row>
    <row r="40" spans="1:16" x14ac:dyDescent="0.3">
      <c r="A40" s="177"/>
      <c r="B40" s="433"/>
      <c r="C40" s="37" t="s">
        <v>141</v>
      </c>
      <c r="D40" s="261">
        <f t="shared" ref="D40:P40" si="9">D39/(D9/1000)</f>
        <v>0</v>
      </c>
      <c r="E40" s="261">
        <f t="shared" si="9"/>
        <v>0</v>
      </c>
      <c r="F40" s="261">
        <f t="shared" si="9"/>
        <v>0</v>
      </c>
      <c r="G40" s="261">
        <f t="shared" si="9"/>
        <v>0</v>
      </c>
      <c r="H40" s="261">
        <f t="shared" si="9"/>
        <v>0</v>
      </c>
      <c r="I40" s="261">
        <f t="shared" si="9"/>
        <v>0</v>
      </c>
      <c r="J40" s="261">
        <f t="shared" si="9"/>
        <v>0</v>
      </c>
      <c r="K40" s="261">
        <f t="shared" si="9"/>
        <v>0</v>
      </c>
      <c r="L40" s="261">
        <f t="shared" si="9"/>
        <v>0</v>
      </c>
      <c r="M40" s="261">
        <f t="shared" si="9"/>
        <v>0</v>
      </c>
      <c r="N40" s="261">
        <f t="shared" si="9"/>
        <v>0</v>
      </c>
      <c r="O40" s="261">
        <f t="shared" si="9"/>
        <v>0</v>
      </c>
      <c r="P40" s="266">
        <f t="shared" si="9"/>
        <v>0</v>
      </c>
    </row>
    <row r="41" spans="1:16" x14ac:dyDescent="0.3">
      <c r="A41" s="312" t="s">
        <v>140</v>
      </c>
      <c r="B41" s="313"/>
      <c r="C41" s="4" t="s">
        <v>31</v>
      </c>
      <c r="D41" s="263">
        <f>(D29*$B29)+(D31*$B31)+(D33*$B33)+(D35*$B35)+(D37*$B37)+(D39*$B39)</f>
        <v>49354.06</v>
      </c>
      <c r="E41" s="263">
        <f t="shared" ref="E41:O41" si="10">(E29*$B29)+(E31*$B31)+(E33*$B33)+(E35*$B35)+(E37*$B37)+(E39*$B39)</f>
        <v>31727.61</v>
      </c>
      <c r="F41" s="263">
        <f t="shared" si="10"/>
        <v>31727.61</v>
      </c>
      <c r="G41" s="263">
        <f t="shared" si="10"/>
        <v>31727.61</v>
      </c>
      <c r="H41" s="263">
        <f t="shared" si="10"/>
        <v>31727.61</v>
      </c>
      <c r="I41" s="263">
        <f t="shared" si="10"/>
        <v>31727.61</v>
      </c>
      <c r="J41" s="263">
        <f t="shared" si="10"/>
        <v>21151.739999999998</v>
      </c>
      <c r="K41" s="263">
        <f t="shared" si="10"/>
        <v>21151.739999999998</v>
      </c>
      <c r="L41" s="263">
        <f t="shared" si="10"/>
        <v>21151.739999999998</v>
      </c>
      <c r="M41" s="263">
        <f t="shared" si="10"/>
        <v>28202.32</v>
      </c>
      <c r="N41" s="263">
        <f t="shared" si="10"/>
        <v>28202.32</v>
      </c>
      <c r="O41" s="263">
        <f t="shared" si="10"/>
        <v>28202.32</v>
      </c>
      <c r="P41" s="34">
        <f>SUM(D41:O41)</f>
        <v>356054.29</v>
      </c>
    </row>
    <row r="42" spans="1:16" x14ac:dyDescent="0.3">
      <c r="A42" s="357" t="s">
        <v>139</v>
      </c>
      <c r="B42" s="358"/>
      <c r="C42" s="37" t="s">
        <v>117</v>
      </c>
      <c r="D42" s="261">
        <f t="shared" ref="D42:P42" si="11">D41/D9</f>
        <v>14.056980917117629</v>
      </c>
      <c r="E42" s="261">
        <f t="shared" si="11"/>
        <v>8.1772190721649487</v>
      </c>
      <c r="F42" s="261">
        <f t="shared" si="11"/>
        <v>7.5380399144689951</v>
      </c>
      <c r="G42" s="261">
        <f t="shared" si="11"/>
        <v>8.2904651162790692</v>
      </c>
      <c r="H42" s="261">
        <f t="shared" si="11"/>
        <v>8.3056570680628266</v>
      </c>
      <c r="I42" s="261">
        <f t="shared" si="11"/>
        <v>9.3316499999999998</v>
      </c>
      <c r="J42" s="261">
        <f t="shared" si="11"/>
        <v>7.4216631578947361</v>
      </c>
      <c r="K42" s="261">
        <f t="shared" si="11"/>
        <v>7.5273096085409241</v>
      </c>
      <c r="L42" s="261">
        <f t="shared" si="11"/>
        <v>8.1983488372093021</v>
      </c>
      <c r="M42" s="261">
        <f t="shared" si="11"/>
        <v>8.8022222222222215</v>
      </c>
      <c r="N42" s="261">
        <f t="shared" si="11"/>
        <v>9.2984899439498854</v>
      </c>
      <c r="O42" s="261">
        <f t="shared" si="11"/>
        <v>10.797212863705973</v>
      </c>
      <c r="P42" s="99">
        <f t="shared" si="11"/>
        <v>8.9604965270787194</v>
      </c>
    </row>
    <row r="43" spans="1:16" x14ac:dyDescent="0.3">
      <c r="A43" s="350" t="s">
        <v>138</v>
      </c>
      <c r="B43" s="351"/>
      <c r="C43" s="351"/>
      <c r="D43" s="351"/>
      <c r="E43" s="351"/>
      <c r="F43" s="351"/>
      <c r="G43" s="351"/>
      <c r="H43" s="351"/>
      <c r="I43" s="351"/>
      <c r="J43" s="351"/>
      <c r="K43" s="351"/>
      <c r="L43" s="351"/>
      <c r="M43" s="351"/>
      <c r="N43" s="351"/>
      <c r="O43" s="351"/>
      <c r="P43" s="379"/>
    </row>
    <row r="44" spans="1:16" x14ac:dyDescent="0.3">
      <c r="A44" s="312" t="s">
        <v>137</v>
      </c>
      <c r="B44" s="313"/>
      <c r="C44" s="4" t="s">
        <v>136</v>
      </c>
      <c r="D44" s="259">
        <v>4910</v>
      </c>
      <c r="E44" s="259">
        <v>4431</v>
      </c>
      <c r="F44" s="259">
        <v>4511</v>
      </c>
      <c r="G44" s="259">
        <v>4400</v>
      </c>
      <c r="H44" s="259">
        <v>3912</v>
      </c>
      <c r="I44" s="259">
        <v>3634</v>
      </c>
      <c r="J44" s="259">
        <v>2627</v>
      </c>
      <c r="K44" s="259">
        <v>2726</v>
      </c>
      <c r="L44" s="259">
        <v>3720</v>
      </c>
      <c r="M44" s="259">
        <v>4301</v>
      </c>
      <c r="N44" s="259">
        <v>2884</v>
      </c>
      <c r="O44" s="259">
        <v>3390</v>
      </c>
      <c r="P44" s="34">
        <f>SUM(D44:O44)</f>
        <v>45446</v>
      </c>
    </row>
    <row r="45" spans="1:16" x14ac:dyDescent="0.3">
      <c r="A45" s="357" t="s">
        <v>135</v>
      </c>
      <c r="B45" s="358"/>
      <c r="C45" s="37" t="s">
        <v>134</v>
      </c>
      <c r="D45" s="261">
        <f t="shared" ref="D45:P45" si="12">D44/D9</f>
        <v>1.3984619766448305</v>
      </c>
      <c r="E45" s="261">
        <f t="shared" si="12"/>
        <v>1.1420103092783505</v>
      </c>
      <c r="F45" s="261">
        <f t="shared" si="12"/>
        <v>1.0717510097410312</v>
      </c>
      <c r="G45" s="261">
        <f t="shared" si="12"/>
        <v>1.149725633655605</v>
      </c>
      <c r="H45" s="261">
        <f t="shared" si="12"/>
        <v>1.0240837696335079</v>
      </c>
      <c r="I45" s="261">
        <f t="shared" si="12"/>
        <v>1.0688235294117647</v>
      </c>
      <c r="J45" s="261">
        <f t="shared" si="12"/>
        <v>0.92175438596491233</v>
      </c>
      <c r="K45" s="261">
        <f t="shared" si="12"/>
        <v>0.97010676156583631</v>
      </c>
      <c r="L45" s="261">
        <f t="shared" si="12"/>
        <v>1.441860465116279</v>
      </c>
      <c r="M45" s="261">
        <f t="shared" si="12"/>
        <v>1.3423845193508115</v>
      </c>
      <c r="N45" s="261">
        <f t="shared" si="12"/>
        <v>0.95087372238707546</v>
      </c>
      <c r="O45" s="261">
        <f t="shared" si="12"/>
        <v>1.2978560490045943</v>
      </c>
      <c r="P45" s="266">
        <f t="shared" si="12"/>
        <v>1.1436984095027178</v>
      </c>
    </row>
    <row r="46" spans="1:16" x14ac:dyDescent="0.3">
      <c r="A46" s="312" t="s">
        <v>133</v>
      </c>
      <c r="B46" s="313"/>
      <c r="C46" s="4" t="s">
        <v>31</v>
      </c>
      <c r="D46" s="264">
        <f>1.165*(16600+(D44*143.5))</f>
        <v>840180.52500000002</v>
      </c>
      <c r="E46" s="264">
        <f t="shared" ref="E46:O46" si="13">1.165*(16600+(E44*143.5))</f>
        <v>760102.50250000006</v>
      </c>
      <c r="F46" s="264">
        <f t="shared" si="13"/>
        <v>773476.70250000001</v>
      </c>
      <c r="G46" s="264">
        <f t="shared" si="13"/>
        <v>754920</v>
      </c>
      <c r="H46" s="264">
        <f t="shared" si="13"/>
        <v>673337.38</v>
      </c>
      <c r="I46" s="264">
        <f t="shared" si="13"/>
        <v>626862.03500000003</v>
      </c>
      <c r="J46" s="264">
        <f t="shared" si="13"/>
        <v>458514.29250000004</v>
      </c>
      <c r="K46" s="264">
        <f t="shared" si="13"/>
        <v>475064.86499999999</v>
      </c>
      <c r="L46" s="264">
        <f t="shared" si="13"/>
        <v>641239.30000000005</v>
      </c>
      <c r="M46" s="264">
        <f t="shared" si="13"/>
        <v>738369.42749999999</v>
      </c>
      <c r="N46" s="264">
        <f t="shared" si="13"/>
        <v>501478.91000000003</v>
      </c>
      <c r="O46" s="264">
        <f t="shared" si="13"/>
        <v>586070.72499999998</v>
      </c>
      <c r="P46" s="34">
        <f>SUM(D46:O46)</f>
        <v>7829616.665</v>
      </c>
    </row>
    <row r="47" spans="1:16" x14ac:dyDescent="0.3">
      <c r="A47" s="312" t="s">
        <v>132</v>
      </c>
      <c r="B47" s="313"/>
      <c r="C47" s="4" t="s">
        <v>117</v>
      </c>
      <c r="D47" s="261">
        <f t="shared" ref="D47:P47" si="14">D46/D9</f>
        <v>239.29949444602678</v>
      </c>
      <c r="E47" s="261">
        <f t="shared" si="14"/>
        <v>195.90270682989691</v>
      </c>
      <c r="F47" s="261">
        <f t="shared" si="14"/>
        <v>183.76733250178191</v>
      </c>
      <c r="G47" s="261">
        <f t="shared" si="14"/>
        <v>197.26156258165665</v>
      </c>
      <c r="H47" s="261">
        <f t="shared" si="14"/>
        <v>176.26632984293195</v>
      </c>
      <c r="I47" s="261">
        <f t="shared" si="14"/>
        <v>184.3711867647059</v>
      </c>
      <c r="J47" s="261">
        <f t="shared" si="14"/>
        <v>160.88220789473687</v>
      </c>
      <c r="K47" s="261">
        <f t="shared" si="14"/>
        <v>169.06222953736653</v>
      </c>
      <c r="L47" s="261">
        <f t="shared" si="14"/>
        <v>248.54236434108529</v>
      </c>
      <c r="M47" s="261">
        <f t="shared" si="14"/>
        <v>230.45238061797752</v>
      </c>
      <c r="N47" s="261">
        <f t="shared" si="14"/>
        <v>165.34088691064954</v>
      </c>
      <c r="O47" s="261">
        <f t="shared" si="14"/>
        <v>224.37623468606432</v>
      </c>
      <c r="P47" s="266">
        <f t="shared" si="14"/>
        <v>197.04088647573988</v>
      </c>
    </row>
    <row r="48" spans="1:16" x14ac:dyDescent="0.3">
      <c r="A48" s="350" t="s">
        <v>131</v>
      </c>
      <c r="B48" s="351"/>
      <c r="C48" s="351"/>
      <c r="D48" s="351"/>
      <c r="E48" s="351"/>
      <c r="F48" s="351"/>
      <c r="G48" s="351"/>
      <c r="H48" s="351"/>
      <c r="I48" s="351"/>
      <c r="J48" s="351"/>
      <c r="K48" s="351"/>
      <c r="L48" s="351"/>
      <c r="M48" s="351"/>
      <c r="N48" s="351"/>
      <c r="O48" s="351"/>
      <c r="P48" s="379"/>
    </row>
    <row r="49" spans="1:16" x14ac:dyDescent="0.3">
      <c r="A49" s="312" t="s">
        <v>130</v>
      </c>
      <c r="B49" s="313"/>
      <c r="C49" s="4" t="s">
        <v>129</v>
      </c>
      <c r="D49" s="265"/>
      <c r="E49" s="265"/>
      <c r="F49" s="265"/>
      <c r="G49" s="265"/>
      <c r="H49" s="265"/>
      <c r="I49" s="265"/>
      <c r="J49" s="265"/>
      <c r="K49" s="265"/>
      <c r="L49" s="265"/>
      <c r="M49" s="265"/>
      <c r="N49" s="265"/>
      <c r="O49" s="265"/>
      <c r="P49" s="34">
        <f>SUM(D49:O49)</f>
        <v>0</v>
      </c>
    </row>
    <row r="50" spans="1:16" x14ac:dyDescent="0.3">
      <c r="A50" s="312" t="s">
        <v>189</v>
      </c>
      <c r="B50" s="313"/>
      <c r="C50" s="4" t="s">
        <v>128</v>
      </c>
      <c r="D50" s="265"/>
      <c r="E50" s="265"/>
      <c r="F50" s="265"/>
      <c r="G50" s="265"/>
      <c r="H50" s="265"/>
      <c r="I50" s="265"/>
      <c r="J50" s="265"/>
      <c r="K50" s="265"/>
      <c r="L50" s="265"/>
      <c r="M50" s="265"/>
      <c r="N50" s="265"/>
      <c r="O50" s="265"/>
      <c r="P50" s="34">
        <f>SUM(D50:O50)</f>
        <v>0</v>
      </c>
    </row>
    <row r="51" spans="1:16" x14ac:dyDescent="0.3">
      <c r="A51" s="312" t="s">
        <v>127</v>
      </c>
      <c r="B51" s="313"/>
      <c r="C51" s="4" t="s">
        <v>31</v>
      </c>
      <c r="D51" s="262"/>
      <c r="E51" s="262"/>
      <c r="F51" s="262"/>
      <c r="G51" s="262"/>
      <c r="H51" s="262"/>
      <c r="I51" s="262"/>
      <c r="J51" s="262"/>
      <c r="K51" s="262"/>
      <c r="L51" s="262"/>
      <c r="M51" s="262"/>
      <c r="N51" s="262"/>
      <c r="O51" s="262"/>
      <c r="P51" s="266">
        <f>SUM(D51:O51)</f>
        <v>0</v>
      </c>
    </row>
    <row r="52" spans="1:16" x14ac:dyDescent="0.3">
      <c r="A52" s="312" t="s">
        <v>126</v>
      </c>
      <c r="B52" s="313"/>
      <c r="C52" s="4" t="s">
        <v>31</v>
      </c>
      <c r="D52" s="262"/>
      <c r="E52" s="262"/>
      <c r="F52" s="262"/>
      <c r="G52" s="262"/>
      <c r="H52" s="262"/>
      <c r="I52" s="262"/>
      <c r="J52" s="262"/>
      <c r="K52" s="262"/>
      <c r="L52" s="262"/>
      <c r="M52" s="262"/>
      <c r="N52" s="262"/>
      <c r="O52" s="262"/>
      <c r="P52" s="266">
        <f>SUM(D52:O52)</f>
        <v>0</v>
      </c>
    </row>
    <row r="53" spans="1:16" x14ac:dyDescent="0.3">
      <c r="A53" s="350" t="s">
        <v>125</v>
      </c>
      <c r="B53" s="351"/>
      <c r="C53" s="351"/>
      <c r="D53" s="351"/>
      <c r="E53" s="351"/>
      <c r="F53" s="351"/>
      <c r="G53" s="351"/>
      <c r="H53" s="351"/>
      <c r="I53" s="351"/>
      <c r="J53" s="351"/>
      <c r="K53" s="351"/>
      <c r="L53" s="351"/>
      <c r="M53" s="351"/>
      <c r="N53" s="351"/>
      <c r="O53" s="351"/>
      <c r="P53" s="379"/>
    </row>
    <row r="54" spans="1:16" x14ac:dyDescent="0.3">
      <c r="A54" s="312" t="s">
        <v>124</v>
      </c>
      <c r="B54" s="313"/>
      <c r="C54" s="4" t="s">
        <v>18</v>
      </c>
      <c r="D54" s="262">
        <v>2606300.2000000002</v>
      </c>
      <c r="E54" s="262">
        <v>2766432.42</v>
      </c>
      <c r="F54" s="262">
        <v>24996337.219999999</v>
      </c>
      <c r="G54" s="262">
        <v>2496337.2200000002</v>
      </c>
      <c r="H54" s="262">
        <v>2552411.7200000002</v>
      </c>
      <c r="I54" s="262">
        <v>2702468.52</v>
      </c>
      <c r="J54" s="262"/>
      <c r="K54" s="262">
        <v>2536578.92</v>
      </c>
      <c r="L54" s="262">
        <v>2888042.22</v>
      </c>
      <c r="M54" s="262"/>
      <c r="N54" s="262">
        <v>2570883.3199999998</v>
      </c>
      <c r="O54" s="262">
        <v>2512829.7200000002</v>
      </c>
      <c r="P54" s="34">
        <f>SUM(D54:O54)</f>
        <v>48628621.480000004</v>
      </c>
    </row>
    <row r="55" spans="1:16" x14ac:dyDescent="0.3">
      <c r="A55" s="267" t="s">
        <v>123</v>
      </c>
      <c r="B55" s="249"/>
      <c r="C55" s="4" t="s">
        <v>18</v>
      </c>
      <c r="D55" s="262">
        <v>432692.5</v>
      </c>
      <c r="E55" s="262">
        <v>429230.96</v>
      </c>
      <c r="F55" s="262">
        <v>615462.31999999995</v>
      </c>
      <c r="G55" s="262">
        <v>630000.80000000005</v>
      </c>
      <c r="H55" s="262">
        <v>625154.64</v>
      </c>
      <c r="I55" s="262">
        <v>615462.31999999995</v>
      </c>
      <c r="J55" s="262">
        <v>625154.64</v>
      </c>
      <c r="K55" s="262">
        <v>625154.64</v>
      </c>
      <c r="L55" s="262">
        <v>504000.64</v>
      </c>
      <c r="M55" s="262">
        <v>494308.32</v>
      </c>
      <c r="N55" s="262"/>
      <c r="O55" s="262"/>
      <c r="P55" s="34">
        <f>SUM(D55:O55)</f>
        <v>5596621.7800000003</v>
      </c>
    </row>
    <row r="56" spans="1:16" x14ac:dyDescent="0.3">
      <c r="A56" s="312" t="s">
        <v>122</v>
      </c>
      <c r="B56" s="313"/>
      <c r="C56" s="4" t="s">
        <v>18</v>
      </c>
      <c r="D56" s="262">
        <v>25000</v>
      </c>
      <c r="E56" s="262"/>
      <c r="F56" s="262"/>
      <c r="G56" s="262"/>
      <c r="H56" s="262"/>
      <c r="I56" s="262"/>
      <c r="J56" s="262">
        <v>110000</v>
      </c>
      <c r="K56" s="262"/>
      <c r="L56" s="262"/>
      <c r="M56" s="262"/>
      <c r="N56" s="262"/>
      <c r="O56" s="262"/>
      <c r="P56" s="34">
        <f>SUM(D56:O56)</f>
        <v>135000</v>
      </c>
    </row>
    <row r="57" spans="1:16" x14ac:dyDescent="0.3">
      <c r="A57" s="350" t="s">
        <v>121</v>
      </c>
      <c r="B57" s="351"/>
      <c r="C57" s="351"/>
      <c r="D57" s="351"/>
      <c r="E57" s="351"/>
      <c r="F57" s="351"/>
      <c r="G57" s="351"/>
      <c r="H57" s="351"/>
      <c r="I57" s="351"/>
      <c r="J57" s="351"/>
      <c r="K57" s="351"/>
      <c r="L57" s="351"/>
      <c r="M57" s="351"/>
      <c r="N57" s="351"/>
      <c r="O57" s="351"/>
      <c r="P57" s="379"/>
    </row>
    <row r="58" spans="1:16" x14ac:dyDescent="0.3">
      <c r="A58" s="312" t="s">
        <v>120</v>
      </c>
      <c r="B58" s="313"/>
      <c r="C58" s="4" t="s">
        <v>18</v>
      </c>
      <c r="D58" s="262">
        <f>D41+D46+D51+D52+D54+D55+D56</f>
        <v>3953527.2850000001</v>
      </c>
      <c r="E58" s="262">
        <f t="shared" ref="E58:O58" si="15">E41+E46+E51+E52+E54+E55+E56</f>
        <v>3987493.4924999997</v>
      </c>
      <c r="F58" s="262">
        <f t="shared" si="15"/>
        <v>26417003.852499999</v>
      </c>
      <c r="G58" s="262">
        <f t="shared" si="15"/>
        <v>3912985.63</v>
      </c>
      <c r="H58" s="262">
        <f t="shared" si="15"/>
        <v>3882631.35</v>
      </c>
      <c r="I58" s="262">
        <f t="shared" si="15"/>
        <v>3976520.4849999999</v>
      </c>
      <c r="J58" s="262">
        <f t="shared" si="15"/>
        <v>1214820.6725000001</v>
      </c>
      <c r="K58" s="262">
        <f t="shared" si="15"/>
        <v>3657950.165</v>
      </c>
      <c r="L58" s="262">
        <f t="shared" si="15"/>
        <v>4054433.9000000004</v>
      </c>
      <c r="M58" s="262">
        <f t="shared" si="15"/>
        <v>1260880.0674999999</v>
      </c>
      <c r="N58" s="262">
        <f t="shared" si="15"/>
        <v>3100564.55</v>
      </c>
      <c r="O58" s="262">
        <f t="shared" si="15"/>
        <v>3127102.7650000001</v>
      </c>
      <c r="P58" s="34">
        <f>SUM(D58:O58)</f>
        <v>62545914.214999996</v>
      </c>
    </row>
    <row r="59" spans="1:16" x14ac:dyDescent="0.3">
      <c r="A59" s="312" t="s">
        <v>119</v>
      </c>
      <c r="B59" s="313"/>
      <c r="C59" s="4" t="s">
        <v>117</v>
      </c>
      <c r="D59" s="261">
        <f t="shared" ref="D59:P59" si="16">D58/D9</f>
        <v>1126.0402406721732</v>
      </c>
      <c r="E59" s="261">
        <f t="shared" si="16"/>
        <v>1027.7045083762887</v>
      </c>
      <c r="F59" s="261">
        <f t="shared" si="16"/>
        <v>6276.3135786410076</v>
      </c>
      <c r="G59" s="261">
        <f t="shared" si="16"/>
        <v>1022.4681552129605</v>
      </c>
      <c r="H59" s="261">
        <f t="shared" si="16"/>
        <v>1016.3956413612566</v>
      </c>
      <c r="I59" s="261">
        <f t="shared" si="16"/>
        <v>1169.5648485294116</v>
      </c>
      <c r="J59" s="261">
        <f t="shared" si="16"/>
        <v>426.25286754385968</v>
      </c>
      <c r="K59" s="261">
        <f t="shared" si="16"/>
        <v>1301.7616245551601</v>
      </c>
      <c r="L59" s="261">
        <f t="shared" si="16"/>
        <v>1571.4860077519381</v>
      </c>
      <c r="M59" s="261">
        <f t="shared" si="16"/>
        <v>393.53310471285891</v>
      </c>
      <c r="N59" s="261">
        <f t="shared" si="16"/>
        <v>1022.2764754368611</v>
      </c>
      <c r="O59" s="261">
        <f t="shared" si="16"/>
        <v>1197.2062653139358</v>
      </c>
      <c r="P59" s="266">
        <f t="shared" si="16"/>
        <v>1574.0364962502515</v>
      </c>
    </row>
    <row r="60" spans="1:16" x14ac:dyDescent="0.3">
      <c r="A60" s="312" t="s">
        <v>118</v>
      </c>
      <c r="B60" s="313"/>
      <c r="C60" s="4" t="s">
        <v>117</v>
      </c>
      <c r="D60" s="261">
        <f>D58/D22</f>
        <v>1208.0322929079975</v>
      </c>
      <c r="E60" s="261">
        <f t="shared" ref="E60:O60" si="17">E58/E22</f>
        <v>1103.4684227640025</v>
      </c>
      <c r="F60" s="261">
        <f t="shared" si="17"/>
        <v>6833.6921780013972</v>
      </c>
      <c r="G60" s="261">
        <f t="shared" si="17"/>
        <v>1141.3112527344319</v>
      </c>
      <c r="H60" s="261">
        <f t="shared" si="17"/>
        <v>1115.1539047017263</v>
      </c>
      <c r="I60" s="261">
        <f t="shared" si="17"/>
        <v>1206.8713724240495</v>
      </c>
      <c r="J60" s="261">
        <f t="shared" si="17"/>
        <v>451.80774788009523</v>
      </c>
      <c r="K60" s="261">
        <f t="shared" si="17"/>
        <v>1521.7364859805309</v>
      </c>
      <c r="L60" s="261">
        <f t="shared" si="17"/>
        <v>1734.8882755669663</v>
      </c>
      <c r="M60" s="261">
        <f t="shared" si="17"/>
        <v>427.41697203389828</v>
      </c>
      <c r="N60" s="261">
        <f t="shared" si="17"/>
        <v>1124.9417857920323</v>
      </c>
      <c r="O60" s="261">
        <f t="shared" si="17"/>
        <v>1328.9854504887378</v>
      </c>
      <c r="P60" s="387">
        <f>P58/P22</f>
        <v>1716.1303250845772</v>
      </c>
    </row>
    <row r="61" spans="1:16" x14ac:dyDescent="0.3">
      <c r="A61" s="312" t="s">
        <v>116</v>
      </c>
      <c r="B61" s="313"/>
      <c r="C61" s="4" t="s">
        <v>3</v>
      </c>
      <c r="D61" s="265">
        <v>6</v>
      </c>
      <c r="E61" s="265">
        <v>6</v>
      </c>
      <c r="F61" s="265">
        <v>6</v>
      </c>
      <c r="G61" s="265">
        <v>6</v>
      </c>
      <c r="H61" s="265">
        <v>6</v>
      </c>
      <c r="I61" s="265">
        <v>6</v>
      </c>
      <c r="J61" s="265">
        <v>6</v>
      </c>
      <c r="K61" s="265">
        <v>6</v>
      </c>
      <c r="L61" s="265">
        <v>6</v>
      </c>
      <c r="M61" s="265">
        <v>6</v>
      </c>
      <c r="N61" s="265">
        <v>5</v>
      </c>
      <c r="O61" s="265">
        <v>5</v>
      </c>
      <c r="P61" s="34">
        <f>O61</f>
        <v>5</v>
      </c>
    </row>
    <row r="62" spans="1:16" ht="15.6" customHeight="1" x14ac:dyDescent="0.3">
      <c r="A62" s="312" t="s">
        <v>115</v>
      </c>
      <c r="B62" s="313"/>
      <c r="C62" s="4" t="s">
        <v>114</v>
      </c>
      <c r="D62" s="261">
        <f t="shared" ref="D62:P62" si="18">(D61*1000*31)/D9</f>
        <v>52.976360011392764</v>
      </c>
      <c r="E62" s="261">
        <f t="shared" si="18"/>
        <v>47.938144329896907</v>
      </c>
      <c r="F62" s="261">
        <f t="shared" si="18"/>
        <v>44.191019244476124</v>
      </c>
      <c r="G62" s="261">
        <f t="shared" si="18"/>
        <v>48.602038149986932</v>
      </c>
      <c r="H62" s="261">
        <f t="shared" si="18"/>
        <v>48.691099476439788</v>
      </c>
      <c r="I62" s="261">
        <f t="shared" si="18"/>
        <v>54.705882352941174</v>
      </c>
      <c r="J62" s="261">
        <f t="shared" si="18"/>
        <v>65.263157894736835</v>
      </c>
      <c r="K62" s="261">
        <f t="shared" si="18"/>
        <v>66.192170818505332</v>
      </c>
      <c r="L62" s="261">
        <f t="shared" si="18"/>
        <v>72.093023255813947</v>
      </c>
      <c r="M62" s="261">
        <f t="shared" si="18"/>
        <v>58.052434456928836</v>
      </c>
      <c r="N62" s="261">
        <f t="shared" si="18"/>
        <v>51.104516979887897</v>
      </c>
      <c r="O62" s="261">
        <f t="shared" si="18"/>
        <v>59.341500765696786</v>
      </c>
      <c r="P62" s="266">
        <f t="shared" si="18"/>
        <v>3.9007449164485606</v>
      </c>
    </row>
    <row r="63" spans="1:16" x14ac:dyDescent="0.3">
      <c r="A63" s="346" t="s">
        <v>113</v>
      </c>
      <c r="B63" s="347"/>
      <c r="C63" s="33" t="s">
        <v>3</v>
      </c>
      <c r="D63" s="265">
        <v>5</v>
      </c>
      <c r="E63" s="265">
        <v>5</v>
      </c>
      <c r="F63" s="265">
        <v>5</v>
      </c>
      <c r="G63" s="265">
        <v>5</v>
      </c>
      <c r="H63" s="265">
        <v>5</v>
      </c>
      <c r="I63" s="265">
        <v>5</v>
      </c>
      <c r="J63" s="265">
        <v>5</v>
      </c>
      <c r="K63" s="265">
        <v>5</v>
      </c>
      <c r="L63" s="265">
        <v>5</v>
      </c>
      <c r="M63" s="265">
        <v>4</v>
      </c>
      <c r="N63" s="265">
        <v>5</v>
      </c>
      <c r="O63" s="265">
        <v>5</v>
      </c>
      <c r="P63" s="34">
        <f>SUM(D63:O63)</f>
        <v>59</v>
      </c>
    </row>
    <row r="64" spans="1:16" x14ac:dyDescent="0.3">
      <c r="A64" s="348"/>
      <c r="B64" s="349"/>
      <c r="C64" s="349"/>
      <c r="D64" s="349"/>
      <c r="E64" s="349"/>
      <c r="F64" s="349"/>
      <c r="G64" s="349"/>
      <c r="H64" s="349"/>
      <c r="I64" s="349"/>
      <c r="J64" s="349"/>
      <c r="K64" s="349"/>
      <c r="L64" s="349"/>
      <c r="M64" s="349"/>
      <c r="N64" s="349"/>
      <c r="O64" s="349"/>
      <c r="P64" s="380"/>
    </row>
    <row r="65" spans="1:16" ht="14.4" customHeight="1" x14ac:dyDescent="0.3">
      <c r="A65" s="350" t="s">
        <v>112</v>
      </c>
      <c r="B65" s="351"/>
      <c r="C65" s="351"/>
      <c r="D65" s="351"/>
      <c r="E65" s="351"/>
      <c r="F65" s="351"/>
      <c r="G65" s="351"/>
      <c r="H65" s="351"/>
      <c r="I65" s="351"/>
      <c r="J65" s="351"/>
      <c r="K65" s="351"/>
      <c r="L65" s="351"/>
      <c r="M65" s="351"/>
      <c r="N65" s="351"/>
      <c r="O65" s="351"/>
      <c r="P65" s="379"/>
    </row>
    <row r="66" spans="1:16" x14ac:dyDescent="0.3">
      <c r="A66" s="176" t="s">
        <v>111</v>
      </c>
      <c r="B66" s="4" t="s">
        <v>85</v>
      </c>
      <c r="C66" s="4" t="s">
        <v>3</v>
      </c>
      <c r="D66" s="268">
        <v>23</v>
      </c>
      <c r="E66" s="268">
        <v>21</v>
      </c>
      <c r="F66" s="268">
        <v>20</v>
      </c>
      <c r="G66" s="268">
        <v>45</v>
      </c>
      <c r="H66" s="268">
        <v>42</v>
      </c>
      <c r="I66" s="268">
        <v>30</v>
      </c>
      <c r="J66" s="268">
        <v>27</v>
      </c>
      <c r="K66" s="268">
        <v>21</v>
      </c>
      <c r="L66" s="268">
        <v>17</v>
      </c>
      <c r="M66" s="268">
        <v>15</v>
      </c>
      <c r="N66" s="268">
        <v>13</v>
      </c>
      <c r="O66" s="268">
        <v>15</v>
      </c>
      <c r="P66" s="31">
        <f>D66</f>
        <v>23</v>
      </c>
    </row>
    <row r="67" spans="1:16" x14ac:dyDescent="0.3">
      <c r="A67" s="307"/>
      <c r="B67" s="4" t="s">
        <v>106</v>
      </c>
      <c r="C67" s="4" t="s">
        <v>3</v>
      </c>
      <c r="D67" s="269">
        <v>8</v>
      </c>
      <c r="E67" s="269">
        <v>11</v>
      </c>
      <c r="F67" s="269">
        <v>45</v>
      </c>
      <c r="G67" s="269">
        <v>22</v>
      </c>
      <c r="H67" s="269">
        <v>18</v>
      </c>
      <c r="I67" s="269">
        <v>11</v>
      </c>
      <c r="J67" s="269">
        <v>10</v>
      </c>
      <c r="K67" s="269">
        <v>2</v>
      </c>
      <c r="L67" s="269">
        <v>1</v>
      </c>
      <c r="M67" s="269"/>
      <c r="N67" s="269">
        <v>2</v>
      </c>
      <c r="O67" s="269">
        <v>3</v>
      </c>
      <c r="P67" s="31">
        <f>SUM(D67:O67)</f>
        <v>133</v>
      </c>
    </row>
    <row r="68" spans="1:16" x14ac:dyDescent="0.3">
      <c r="A68" s="307"/>
      <c r="B68" s="4" t="s">
        <v>105</v>
      </c>
      <c r="C68" s="4" t="s">
        <v>3</v>
      </c>
      <c r="D68" s="269"/>
      <c r="E68" s="269"/>
      <c r="F68" s="269"/>
      <c r="G68" s="269"/>
      <c r="H68" s="269"/>
      <c r="I68" s="269"/>
      <c r="J68" s="269"/>
      <c r="K68" s="269"/>
      <c r="L68" s="269"/>
      <c r="M68" s="269"/>
      <c r="N68" s="269"/>
      <c r="O68" s="269"/>
      <c r="P68" s="31">
        <f t="shared" ref="P68:P69" si="19">SUM(D68:O68)</f>
        <v>0</v>
      </c>
    </row>
    <row r="69" spans="1:16" x14ac:dyDescent="0.3">
      <c r="A69" s="307"/>
      <c r="B69" s="4" t="s">
        <v>104</v>
      </c>
      <c r="C69" s="4" t="s">
        <v>3</v>
      </c>
      <c r="D69" s="265">
        <v>10</v>
      </c>
      <c r="E69" s="262">
        <v>12</v>
      </c>
      <c r="F69" s="262">
        <v>20</v>
      </c>
      <c r="G69" s="262">
        <v>25</v>
      </c>
      <c r="H69" s="262">
        <v>30</v>
      </c>
      <c r="I69" s="262">
        <v>14</v>
      </c>
      <c r="J69" s="262">
        <v>16</v>
      </c>
      <c r="K69" s="262">
        <v>6</v>
      </c>
      <c r="L69" s="262">
        <v>3</v>
      </c>
      <c r="M69" s="262">
        <v>2</v>
      </c>
      <c r="N69" s="262"/>
      <c r="O69" s="262">
        <v>3</v>
      </c>
      <c r="P69" s="31">
        <f t="shared" si="19"/>
        <v>141</v>
      </c>
    </row>
    <row r="70" spans="1:16" x14ac:dyDescent="0.3">
      <c r="A70" s="307"/>
      <c r="B70" s="4" t="s">
        <v>190</v>
      </c>
      <c r="C70" s="4" t="s">
        <v>3</v>
      </c>
      <c r="D70" s="269">
        <f>D68+D69</f>
        <v>10</v>
      </c>
      <c r="E70" s="269">
        <f t="shared" ref="E70:P70" si="20">E68+E69</f>
        <v>12</v>
      </c>
      <c r="F70" s="269">
        <f t="shared" si="20"/>
        <v>20</v>
      </c>
      <c r="G70" s="269">
        <f t="shared" si="20"/>
        <v>25</v>
      </c>
      <c r="H70" s="269">
        <v>30</v>
      </c>
      <c r="I70" s="269">
        <f t="shared" si="20"/>
        <v>14</v>
      </c>
      <c r="J70" s="269">
        <f t="shared" si="20"/>
        <v>16</v>
      </c>
      <c r="K70" s="269">
        <f t="shared" si="20"/>
        <v>6</v>
      </c>
      <c r="L70" s="269">
        <f t="shared" si="20"/>
        <v>3</v>
      </c>
      <c r="M70" s="269">
        <f t="shared" si="20"/>
        <v>2</v>
      </c>
      <c r="N70" s="269">
        <f t="shared" si="20"/>
        <v>0</v>
      </c>
      <c r="O70" s="269">
        <f t="shared" si="20"/>
        <v>3</v>
      </c>
      <c r="P70" s="270">
        <f t="shared" si="20"/>
        <v>141</v>
      </c>
    </row>
    <row r="71" spans="1:16" x14ac:dyDescent="0.3">
      <c r="A71" s="177"/>
      <c r="B71" s="4" t="s">
        <v>81</v>
      </c>
      <c r="C71" s="4" t="s">
        <v>3</v>
      </c>
      <c r="D71" s="271">
        <f>D66+D67-D70</f>
        <v>21</v>
      </c>
      <c r="E71" s="271">
        <f t="shared" ref="E71:O71" si="21">E66+E67-E70</f>
        <v>20</v>
      </c>
      <c r="F71" s="271">
        <f t="shared" si="21"/>
        <v>45</v>
      </c>
      <c r="G71" s="271">
        <f t="shared" si="21"/>
        <v>42</v>
      </c>
      <c r="H71" s="271">
        <f t="shared" si="21"/>
        <v>30</v>
      </c>
      <c r="I71" s="271">
        <f t="shared" si="21"/>
        <v>27</v>
      </c>
      <c r="J71" s="271">
        <f t="shared" si="21"/>
        <v>21</v>
      </c>
      <c r="K71" s="271">
        <f t="shared" si="21"/>
        <v>17</v>
      </c>
      <c r="L71" s="271">
        <f t="shared" si="21"/>
        <v>15</v>
      </c>
      <c r="M71" s="271">
        <f t="shared" si="21"/>
        <v>13</v>
      </c>
      <c r="N71" s="271">
        <f t="shared" si="21"/>
        <v>15</v>
      </c>
      <c r="O71" s="271">
        <f t="shared" si="21"/>
        <v>15</v>
      </c>
      <c r="P71" s="272">
        <f>P66+P67-P70</f>
        <v>15</v>
      </c>
    </row>
    <row r="72" spans="1:16" x14ac:dyDescent="0.3">
      <c r="A72" s="176" t="s">
        <v>110</v>
      </c>
      <c r="B72" s="4" t="s">
        <v>85</v>
      </c>
      <c r="C72" s="4" t="s">
        <v>3</v>
      </c>
      <c r="D72" s="268"/>
      <c r="E72" s="268"/>
      <c r="F72" s="268"/>
      <c r="G72" s="268">
        <v>3</v>
      </c>
      <c r="H72" s="268">
        <v>3</v>
      </c>
      <c r="I72" s="268">
        <v>3</v>
      </c>
      <c r="J72" s="268">
        <v>3</v>
      </c>
      <c r="K72" s="268">
        <v>3</v>
      </c>
      <c r="L72" s="268">
        <v>3</v>
      </c>
      <c r="M72" s="268">
        <v>3</v>
      </c>
      <c r="N72" s="268">
        <v>3</v>
      </c>
      <c r="O72" s="268">
        <v>3</v>
      </c>
      <c r="P72" s="31">
        <f>D72</f>
        <v>0</v>
      </c>
    </row>
    <row r="73" spans="1:16" x14ac:dyDescent="0.3">
      <c r="A73" s="307"/>
      <c r="B73" s="4" t="s">
        <v>106</v>
      </c>
      <c r="C73" s="4" t="s">
        <v>3</v>
      </c>
      <c r="D73" s="269">
        <v>1</v>
      </c>
      <c r="E73" s="269"/>
      <c r="F73" s="269"/>
      <c r="G73" s="269"/>
      <c r="H73" s="269"/>
      <c r="I73" s="269"/>
      <c r="J73" s="269"/>
      <c r="K73" s="269"/>
      <c r="L73" s="269"/>
      <c r="M73" s="269"/>
      <c r="N73" s="269"/>
      <c r="O73" s="269"/>
      <c r="P73" s="31">
        <f>SUM(D73:O73)</f>
        <v>1</v>
      </c>
    </row>
    <row r="74" spans="1:16" x14ac:dyDescent="0.3">
      <c r="A74" s="307"/>
      <c r="B74" s="4" t="s">
        <v>105</v>
      </c>
      <c r="C74" s="4" t="s">
        <v>3</v>
      </c>
      <c r="D74" s="269"/>
      <c r="E74" s="269"/>
      <c r="F74" s="269"/>
      <c r="G74" s="269"/>
      <c r="H74" s="269"/>
      <c r="I74" s="269"/>
      <c r="J74" s="269"/>
      <c r="K74" s="269"/>
      <c r="L74" s="269"/>
      <c r="M74" s="269"/>
      <c r="N74" s="269"/>
      <c r="O74" s="269"/>
      <c r="P74" s="31">
        <f t="shared" ref="P74:P75" si="22">SUM(D74:O74)</f>
        <v>0</v>
      </c>
    </row>
    <row r="75" spans="1:16" x14ac:dyDescent="0.3">
      <c r="A75" s="307"/>
      <c r="B75" s="4" t="s">
        <v>104</v>
      </c>
      <c r="C75" s="4" t="s">
        <v>3</v>
      </c>
      <c r="D75" s="269">
        <v>1</v>
      </c>
      <c r="E75" s="269"/>
      <c r="F75" s="269"/>
      <c r="G75" s="269"/>
      <c r="H75" s="269"/>
      <c r="I75" s="269"/>
      <c r="J75" s="269"/>
      <c r="K75" s="269"/>
      <c r="L75" s="269"/>
      <c r="M75" s="269"/>
      <c r="N75" s="269"/>
      <c r="O75" s="269"/>
      <c r="P75" s="31">
        <f t="shared" si="22"/>
        <v>1</v>
      </c>
    </row>
    <row r="76" spans="1:16" x14ac:dyDescent="0.3">
      <c r="A76" s="307"/>
      <c r="B76" s="4" t="s">
        <v>190</v>
      </c>
      <c r="C76" s="4" t="s">
        <v>3</v>
      </c>
      <c r="D76" s="269">
        <f>D74+D75</f>
        <v>1</v>
      </c>
      <c r="E76" s="269">
        <f t="shared" ref="E76:P76" si="23">E74+E75</f>
        <v>0</v>
      </c>
      <c r="F76" s="269">
        <f t="shared" si="23"/>
        <v>0</v>
      </c>
      <c r="G76" s="269">
        <f t="shared" si="23"/>
        <v>0</v>
      </c>
      <c r="H76" s="269">
        <f t="shared" si="23"/>
        <v>0</v>
      </c>
      <c r="I76" s="269">
        <f t="shared" si="23"/>
        <v>0</v>
      </c>
      <c r="J76" s="269">
        <f t="shared" si="23"/>
        <v>0</v>
      </c>
      <c r="K76" s="269">
        <f t="shared" si="23"/>
        <v>0</v>
      </c>
      <c r="L76" s="269">
        <f t="shared" si="23"/>
        <v>0</v>
      </c>
      <c r="M76" s="269">
        <f t="shared" si="23"/>
        <v>0</v>
      </c>
      <c r="N76" s="269">
        <f t="shared" si="23"/>
        <v>0</v>
      </c>
      <c r="O76" s="269">
        <f t="shared" si="23"/>
        <v>0</v>
      </c>
      <c r="P76" s="270">
        <f t="shared" si="23"/>
        <v>1</v>
      </c>
    </row>
    <row r="77" spans="1:16" x14ac:dyDescent="0.3">
      <c r="A77" s="177"/>
      <c r="B77" s="4" t="s">
        <v>81</v>
      </c>
      <c r="C77" s="4" t="s">
        <v>3</v>
      </c>
      <c r="D77" s="271">
        <f>D72+D73-D76</f>
        <v>0</v>
      </c>
      <c r="E77" s="271">
        <f t="shared" ref="E77:O77" si="24">E72+E73-E76</f>
        <v>0</v>
      </c>
      <c r="F77" s="271">
        <f t="shared" si="24"/>
        <v>0</v>
      </c>
      <c r="G77" s="271">
        <f t="shared" si="24"/>
        <v>3</v>
      </c>
      <c r="H77" s="271">
        <f t="shared" si="24"/>
        <v>3</v>
      </c>
      <c r="I77" s="271">
        <f t="shared" si="24"/>
        <v>3</v>
      </c>
      <c r="J77" s="271">
        <f t="shared" si="24"/>
        <v>3</v>
      </c>
      <c r="K77" s="271">
        <f t="shared" si="24"/>
        <v>3</v>
      </c>
      <c r="L77" s="271">
        <f t="shared" si="24"/>
        <v>3</v>
      </c>
      <c r="M77" s="271">
        <f t="shared" si="24"/>
        <v>3</v>
      </c>
      <c r="N77" s="271">
        <f t="shared" si="24"/>
        <v>3</v>
      </c>
      <c r="O77" s="271">
        <v>3</v>
      </c>
      <c r="P77" s="272">
        <f>P72+P73-P76</f>
        <v>0</v>
      </c>
    </row>
    <row r="78" spans="1:16" ht="15.6" customHeight="1" x14ac:dyDescent="0.3">
      <c r="A78" s="176" t="s">
        <v>109</v>
      </c>
      <c r="B78" s="4" t="s">
        <v>85</v>
      </c>
      <c r="C78" s="4" t="s">
        <v>3</v>
      </c>
      <c r="D78" s="268"/>
      <c r="E78" s="268"/>
      <c r="F78" s="268"/>
      <c r="G78" s="268"/>
      <c r="H78" s="268"/>
      <c r="I78" s="268"/>
      <c r="J78" s="268"/>
      <c r="K78" s="268"/>
      <c r="L78" s="268"/>
      <c r="M78" s="268"/>
      <c r="N78" s="268"/>
      <c r="O78" s="268"/>
      <c r="P78" s="31">
        <f>D78</f>
        <v>0</v>
      </c>
    </row>
    <row r="79" spans="1:16" x14ac:dyDescent="0.3">
      <c r="A79" s="307"/>
      <c r="B79" s="4" t="s">
        <v>106</v>
      </c>
      <c r="C79" s="4" t="s">
        <v>3</v>
      </c>
      <c r="D79" s="269"/>
      <c r="E79" s="269"/>
      <c r="F79" s="269"/>
      <c r="G79" s="269">
        <v>1</v>
      </c>
      <c r="H79" s="269"/>
      <c r="I79" s="269"/>
      <c r="J79" s="269"/>
      <c r="K79" s="269"/>
      <c r="L79" s="269"/>
      <c r="M79" s="269"/>
      <c r="N79" s="269"/>
      <c r="O79" s="269"/>
      <c r="P79" s="31">
        <f>SUM(D79:O79)</f>
        <v>1</v>
      </c>
    </row>
    <row r="80" spans="1:16" x14ac:dyDescent="0.3">
      <c r="A80" s="307"/>
      <c r="B80" s="4" t="s">
        <v>105</v>
      </c>
      <c r="C80" s="4" t="s">
        <v>3</v>
      </c>
      <c r="D80" s="269"/>
      <c r="E80" s="269"/>
      <c r="F80" s="269"/>
      <c r="G80" s="269"/>
      <c r="H80" s="269"/>
      <c r="I80" s="269"/>
      <c r="J80" s="269"/>
      <c r="K80" s="269"/>
      <c r="L80" s="269"/>
      <c r="M80" s="269"/>
      <c r="N80" s="269"/>
      <c r="O80" s="269"/>
      <c r="P80" s="31">
        <f>SUM(D80:O80)</f>
        <v>0</v>
      </c>
    </row>
    <row r="81" spans="1:16" x14ac:dyDescent="0.3">
      <c r="A81" s="307"/>
      <c r="B81" s="4" t="s">
        <v>104</v>
      </c>
      <c r="C81" s="4" t="s">
        <v>3</v>
      </c>
      <c r="D81" s="269"/>
      <c r="E81" s="269"/>
      <c r="F81" s="269"/>
      <c r="G81" s="269">
        <v>1</v>
      </c>
      <c r="H81" s="269"/>
      <c r="I81" s="269"/>
      <c r="J81" s="269"/>
      <c r="K81" s="269"/>
      <c r="L81" s="269"/>
      <c r="M81" s="269"/>
      <c r="N81" s="269"/>
      <c r="O81" s="269"/>
      <c r="P81" s="31">
        <f>SUM(D81:O81)</f>
        <v>1</v>
      </c>
    </row>
    <row r="82" spans="1:16" x14ac:dyDescent="0.3">
      <c r="A82" s="307"/>
      <c r="B82" s="4" t="s">
        <v>190</v>
      </c>
      <c r="C82" s="4" t="s">
        <v>3</v>
      </c>
      <c r="D82" s="269">
        <f>D80+D81</f>
        <v>0</v>
      </c>
      <c r="E82" s="269">
        <f t="shared" ref="E82:O82" si="25">E80+E81</f>
        <v>0</v>
      </c>
      <c r="F82" s="269">
        <f t="shared" si="25"/>
        <v>0</v>
      </c>
      <c r="G82" s="269">
        <f t="shared" si="25"/>
        <v>1</v>
      </c>
      <c r="H82" s="269">
        <f t="shared" si="25"/>
        <v>0</v>
      </c>
      <c r="I82" s="269">
        <f t="shared" si="25"/>
        <v>0</v>
      </c>
      <c r="J82" s="269">
        <f t="shared" si="25"/>
        <v>0</v>
      </c>
      <c r="K82" s="269">
        <f t="shared" si="25"/>
        <v>0</v>
      </c>
      <c r="L82" s="269">
        <f t="shared" si="25"/>
        <v>0</v>
      </c>
      <c r="M82" s="269">
        <f t="shared" si="25"/>
        <v>0</v>
      </c>
      <c r="N82" s="269">
        <f t="shared" si="25"/>
        <v>0</v>
      </c>
      <c r="O82" s="269">
        <f t="shared" si="25"/>
        <v>0</v>
      </c>
      <c r="P82" s="270">
        <f t="shared" ref="P82" si="26">P81+P80</f>
        <v>1</v>
      </c>
    </row>
    <row r="83" spans="1:16" x14ac:dyDescent="0.3">
      <c r="A83" s="177"/>
      <c r="B83" s="4" t="s">
        <v>81</v>
      </c>
      <c r="C83" s="4" t="s">
        <v>3</v>
      </c>
      <c r="D83" s="271">
        <f>D78+D79-D82</f>
        <v>0</v>
      </c>
      <c r="E83" s="271">
        <f t="shared" ref="E83:P83" si="27">E78+E79-E82</f>
        <v>0</v>
      </c>
      <c r="F83" s="271">
        <f t="shared" si="27"/>
        <v>0</v>
      </c>
      <c r="G83" s="271">
        <f t="shared" si="27"/>
        <v>0</v>
      </c>
      <c r="H83" s="271">
        <f t="shared" si="27"/>
        <v>0</v>
      </c>
      <c r="I83" s="271">
        <f t="shared" si="27"/>
        <v>0</v>
      </c>
      <c r="J83" s="271">
        <f t="shared" si="27"/>
        <v>0</v>
      </c>
      <c r="K83" s="271">
        <f t="shared" si="27"/>
        <v>0</v>
      </c>
      <c r="L83" s="271">
        <f t="shared" si="27"/>
        <v>0</v>
      </c>
      <c r="M83" s="271">
        <f t="shared" si="27"/>
        <v>0</v>
      </c>
      <c r="N83" s="271">
        <f t="shared" si="27"/>
        <v>0</v>
      </c>
      <c r="O83" s="271">
        <f t="shared" si="27"/>
        <v>0</v>
      </c>
      <c r="P83" s="272">
        <f t="shared" si="27"/>
        <v>0</v>
      </c>
    </row>
    <row r="84" spans="1:16" x14ac:dyDescent="0.3">
      <c r="A84" s="352" t="s">
        <v>108</v>
      </c>
      <c r="B84" s="4" t="s">
        <v>85</v>
      </c>
      <c r="C84" s="4" t="s">
        <v>3</v>
      </c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31">
        <f>D84</f>
        <v>0</v>
      </c>
    </row>
    <row r="85" spans="1:16" x14ac:dyDescent="0.3">
      <c r="A85" s="353"/>
      <c r="B85" s="4" t="s">
        <v>106</v>
      </c>
      <c r="C85" s="4" t="s">
        <v>3</v>
      </c>
      <c r="D85" s="269"/>
      <c r="E85" s="269"/>
      <c r="F85" s="269"/>
      <c r="G85" s="269"/>
      <c r="H85" s="269"/>
      <c r="I85" s="269"/>
      <c r="J85" s="269"/>
      <c r="K85" s="269"/>
      <c r="L85" s="269"/>
      <c r="M85" s="269"/>
      <c r="N85" s="269"/>
      <c r="O85" s="269"/>
      <c r="P85" s="31">
        <f>SUM(D85:O85)</f>
        <v>0</v>
      </c>
    </row>
    <row r="86" spans="1:16" x14ac:dyDescent="0.3">
      <c r="A86" s="353"/>
      <c r="B86" s="4" t="s">
        <v>105</v>
      </c>
      <c r="C86" s="4" t="s">
        <v>3</v>
      </c>
      <c r="D86" s="269"/>
      <c r="E86" s="269"/>
      <c r="F86" s="269"/>
      <c r="G86" s="269"/>
      <c r="H86" s="269"/>
      <c r="I86" s="269"/>
      <c r="J86" s="269"/>
      <c r="K86" s="269"/>
      <c r="L86" s="269"/>
      <c r="M86" s="269"/>
      <c r="N86" s="269"/>
      <c r="O86" s="269"/>
      <c r="P86" s="31">
        <f t="shared" ref="P86:P88" si="28">SUM(D86:O86)</f>
        <v>0</v>
      </c>
    </row>
    <row r="87" spans="1:16" x14ac:dyDescent="0.3">
      <c r="A87" s="353"/>
      <c r="B87" s="4" t="s">
        <v>104</v>
      </c>
      <c r="C87" s="4" t="s">
        <v>3</v>
      </c>
      <c r="D87" s="269"/>
      <c r="E87" s="269"/>
      <c r="F87" s="269"/>
      <c r="G87" s="269"/>
      <c r="H87" s="269"/>
      <c r="I87" s="269"/>
      <c r="J87" s="269"/>
      <c r="K87" s="269"/>
      <c r="L87" s="269"/>
      <c r="M87" s="269"/>
      <c r="N87" s="269"/>
      <c r="O87" s="269"/>
      <c r="P87" s="31">
        <f t="shared" si="28"/>
        <v>0</v>
      </c>
    </row>
    <row r="88" spans="1:16" x14ac:dyDescent="0.3">
      <c r="A88" s="353"/>
      <c r="B88" s="4" t="s">
        <v>190</v>
      </c>
      <c r="C88" s="4" t="s">
        <v>3</v>
      </c>
      <c r="D88" s="269">
        <f>D86+D87</f>
        <v>0</v>
      </c>
      <c r="E88" s="269">
        <f t="shared" ref="E88:O88" si="29">E86+E87</f>
        <v>0</v>
      </c>
      <c r="F88" s="269">
        <f t="shared" si="29"/>
        <v>0</v>
      </c>
      <c r="G88" s="269">
        <f t="shared" si="29"/>
        <v>0</v>
      </c>
      <c r="H88" s="269">
        <f t="shared" si="29"/>
        <v>0</v>
      </c>
      <c r="I88" s="269">
        <f t="shared" si="29"/>
        <v>0</v>
      </c>
      <c r="J88" s="269">
        <f t="shared" si="29"/>
        <v>0</v>
      </c>
      <c r="K88" s="269">
        <f t="shared" si="29"/>
        <v>0</v>
      </c>
      <c r="L88" s="269">
        <f t="shared" si="29"/>
        <v>0</v>
      </c>
      <c r="M88" s="269">
        <f t="shared" si="29"/>
        <v>0</v>
      </c>
      <c r="N88" s="269">
        <f t="shared" si="29"/>
        <v>0</v>
      </c>
      <c r="O88" s="269">
        <f t="shared" si="29"/>
        <v>0</v>
      </c>
      <c r="P88" s="31">
        <f t="shared" si="28"/>
        <v>0</v>
      </c>
    </row>
    <row r="89" spans="1:16" x14ac:dyDescent="0.3">
      <c r="A89" s="354"/>
      <c r="B89" s="273" t="s">
        <v>81</v>
      </c>
      <c r="C89" s="4" t="s">
        <v>3</v>
      </c>
      <c r="D89" s="417">
        <f>D84+D85-D88</f>
        <v>0</v>
      </c>
      <c r="E89" s="417">
        <f t="shared" ref="E89:O89" si="30">E84+E85-E88</f>
        <v>0</v>
      </c>
      <c r="F89" s="417">
        <f t="shared" si="30"/>
        <v>0</v>
      </c>
      <c r="G89" s="417">
        <f t="shared" si="30"/>
        <v>0</v>
      </c>
      <c r="H89" s="417">
        <f t="shared" si="30"/>
        <v>0</v>
      </c>
      <c r="I89" s="417">
        <f t="shared" si="30"/>
        <v>0</v>
      </c>
      <c r="J89" s="417">
        <f t="shared" si="30"/>
        <v>0</v>
      </c>
      <c r="K89" s="417">
        <f t="shared" si="30"/>
        <v>0</v>
      </c>
      <c r="L89" s="417">
        <f t="shared" si="30"/>
        <v>0</v>
      </c>
      <c r="M89" s="417">
        <f t="shared" si="30"/>
        <v>0</v>
      </c>
      <c r="N89" s="417">
        <f t="shared" si="30"/>
        <v>0</v>
      </c>
      <c r="O89" s="417">
        <f t="shared" si="30"/>
        <v>0</v>
      </c>
      <c r="P89" s="272">
        <f t="shared" ref="P89" si="31">P84+P85-P86-P87</f>
        <v>0</v>
      </c>
    </row>
    <row r="90" spans="1:16" x14ac:dyDescent="0.3">
      <c r="A90" s="352" t="s">
        <v>107</v>
      </c>
      <c r="B90" s="4" t="s">
        <v>85</v>
      </c>
      <c r="C90" s="4" t="s">
        <v>3</v>
      </c>
      <c r="D90" s="119">
        <f t="shared" ref="D90:O93" si="32">D66+D72+D78+D84</f>
        <v>23</v>
      </c>
      <c r="E90" s="119">
        <f t="shared" si="32"/>
        <v>21</v>
      </c>
      <c r="F90" s="119">
        <f t="shared" si="32"/>
        <v>20</v>
      </c>
      <c r="G90" s="119">
        <f t="shared" si="32"/>
        <v>48</v>
      </c>
      <c r="H90" s="119">
        <f t="shared" si="32"/>
        <v>45</v>
      </c>
      <c r="I90" s="119">
        <f t="shared" si="32"/>
        <v>33</v>
      </c>
      <c r="J90" s="119">
        <f t="shared" si="32"/>
        <v>30</v>
      </c>
      <c r="K90" s="119">
        <f t="shared" si="32"/>
        <v>24</v>
      </c>
      <c r="L90" s="119">
        <f t="shared" si="32"/>
        <v>20</v>
      </c>
      <c r="M90" s="119">
        <f t="shared" si="32"/>
        <v>18</v>
      </c>
      <c r="N90" s="119">
        <f t="shared" si="32"/>
        <v>16</v>
      </c>
      <c r="O90" s="119">
        <f t="shared" si="32"/>
        <v>18</v>
      </c>
      <c r="P90" s="31">
        <f>D90</f>
        <v>23</v>
      </c>
    </row>
    <row r="91" spans="1:16" x14ac:dyDescent="0.3">
      <c r="A91" s="353"/>
      <c r="B91" s="4" t="s">
        <v>106</v>
      </c>
      <c r="C91" s="4" t="s">
        <v>3</v>
      </c>
      <c r="D91" s="119">
        <f t="shared" si="32"/>
        <v>9</v>
      </c>
      <c r="E91" s="119">
        <f t="shared" si="32"/>
        <v>11</v>
      </c>
      <c r="F91" s="119">
        <f t="shared" si="32"/>
        <v>45</v>
      </c>
      <c r="G91" s="119">
        <f t="shared" si="32"/>
        <v>23</v>
      </c>
      <c r="H91" s="119">
        <f t="shared" si="32"/>
        <v>18</v>
      </c>
      <c r="I91" s="119">
        <f t="shared" si="32"/>
        <v>11</v>
      </c>
      <c r="J91" s="119">
        <f t="shared" si="32"/>
        <v>10</v>
      </c>
      <c r="K91" s="119">
        <f t="shared" si="32"/>
        <v>2</v>
      </c>
      <c r="L91" s="119">
        <f t="shared" si="32"/>
        <v>1</v>
      </c>
      <c r="M91" s="119">
        <f t="shared" si="32"/>
        <v>0</v>
      </c>
      <c r="N91" s="119">
        <f t="shared" si="32"/>
        <v>2</v>
      </c>
      <c r="O91" s="119">
        <f t="shared" si="32"/>
        <v>3</v>
      </c>
      <c r="P91" s="31">
        <f>SUM(D91:O91)</f>
        <v>135</v>
      </c>
    </row>
    <row r="92" spans="1:16" x14ac:dyDescent="0.3">
      <c r="A92" s="353"/>
      <c r="B92" s="4" t="s">
        <v>105</v>
      </c>
      <c r="C92" s="4" t="s">
        <v>3</v>
      </c>
      <c r="D92" s="119">
        <f t="shared" si="32"/>
        <v>0</v>
      </c>
      <c r="E92" s="119">
        <f t="shared" si="32"/>
        <v>0</v>
      </c>
      <c r="F92" s="119">
        <f t="shared" si="32"/>
        <v>0</v>
      </c>
      <c r="G92" s="119">
        <f t="shared" si="32"/>
        <v>0</v>
      </c>
      <c r="H92" s="119">
        <f t="shared" si="32"/>
        <v>0</v>
      </c>
      <c r="I92" s="119">
        <f t="shared" si="32"/>
        <v>0</v>
      </c>
      <c r="J92" s="119">
        <f t="shared" si="32"/>
        <v>0</v>
      </c>
      <c r="K92" s="119">
        <f t="shared" si="32"/>
        <v>0</v>
      </c>
      <c r="L92" s="119">
        <f t="shared" si="32"/>
        <v>0</v>
      </c>
      <c r="M92" s="119">
        <f t="shared" si="32"/>
        <v>0</v>
      </c>
      <c r="N92" s="119">
        <f t="shared" si="32"/>
        <v>0</v>
      </c>
      <c r="O92" s="119">
        <f t="shared" si="32"/>
        <v>0</v>
      </c>
      <c r="P92" s="31">
        <f>SUM(D92:O92)</f>
        <v>0</v>
      </c>
    </row>
    <row r="93" spans="1:16" x14ac:dyDescent="0.3">
      <c r="A93" s="353"/>
      <c r="B93" s="4" t="s">
        <v>104</v>
      </c>
      <c r="C93" s="4"/>
      <c r="D93" s="119">
        <f t="shared" si="32"/>
        <v>11</v>
      </c>
      <c r="E93" s="119">
        <f t="shared" si="32"/>
        <v>12</v>
      </c>
      <c r="F93" s="119">
        <f t="shared" si="32"/>
        <v>20</v>
      </c>
      <c r="G93" s="119">
        <f t="shared" si="32"/>
        <v>26</v>
      </c>
      <c r="H93" s="119">
        <f t="shared" si="32"/>
        <v>30</v>
      </c>
      <c r="I93" s="119">
        <f t="shared" si="32"/>
        <v>14</v>
      </c>
      <c r="J93" s="119">
        <f t="shared" si="32"/>
        <v>16</v>
      </c>
      <c r="K93" s="119">
        <f t="shared" si="32"/>
        <v>6</v>
      </c>
      <c r="L93" s="119">
        <f t="shared" si="32"/>
        <v>3</v>
      </c>
      <c r="M93" s="119">
        <f t="shared" si="32"/>
        <v>2</v>
      </c>
      <c r="N93" s="119">
        <f t="shared" si="32"/>
        <v>0</v>
      </c>
      <c r="O93" s="119">
        <f t="shared" si="32"/>
        <v>3</v>
      </c>
      <c r="P93" s="31">
        <f>SUM(D93:O93)</f>
        <v>143</v>
      </c>
    </row>
    <row r="94" spans="1:16" x14ac:dyDescent="0.3">
      <c r="A94" s="353"/>
      <c r="B94" s="4" t="s">
        <v>190</v>
      </c>
      <c r="C94" s="4" t="s">
        <v>3</v>
      </c>
      <c r="D94" s="120">
        <f>D93+D92</f>
        <v>11</v>
      </c>
      <c r="E94" s="120">
        <f t="shared" ref="E94:P94" si="33">E93+E92</f>
        <v>12</v>
      </c>
      <c r="F94" s="120">
        <f t="shared" si="33"/>
        <v>20</v>
      </c>
      <c r="G94" s="120">
        <f t="shared" si="33"/>
        <v>26</v>
      </c>
      <c r="H94" s="120">
        <f t="shared" si="33"/>
        <v>30</v>
      </c>
      <c r="I94" s="120">
        <f t="shared" si="33"/>
        <v>14</v>
      </c>
      <c r="J94" s="120">
        <f t="shared" si="33"/>
        <v>16</v>
      </c>
      <c r="K94" s="120">
        <f t="shared" si="33"/>
        <v>6</v>
      </c>
      <c r="L94" s="120">
        <f t="shared" si="33"/>
        <v>3</v>
      </c>
      <c r="M94" s="120">
        <f t="shared" si="33"/>
        <v>2</v>
      </c>
      <c r="N94" s="120">
        <f t="shared" si="33"/>
        <v>0</v>
      </c>
      <c r="O94" s="120">
        <f t="shared" si="33"/>
        <v>3</v>
      </c>
      <c r="P94" s="127">
        <f t="shared" si="33"/>
        <v>143</v>
      </c>
    </row>
    <row r="95" spans="1:16" ht="16.2" thickBot="1" x14ac:dyDescent="0.35">
      <c r="A95" s="354"/>
      <c r="B95" s="4" t="s">
        <v>81</v>
      </c>
      <c r="C95" s="4" t="s">
        <v>3</v>
      </c>
      <c r="D95" s="121">
        <f>D90+D91-D94</f>
        <v>21</v>
      </c>
      <c r="E95" s="121">
        <f t="shared" ref="E95:P95" si="34">E90+E91-E94</f>
        <v>20</v>
      </c>
      <c r="F95" s="121">
        <f t="shared" si="34"/>
        <v>45</v>
      </c>
      <c r="G95" s="121">
        <f t="shared" si="34"/>
        <v>45</v>
      </c>
      <c r="H95" s="121">
        <f t="shared" si="34"/>
        <v>33</v>
      </c>
      <c r="I95" s="121">
        <f t="shared" si="34"/>
        <v>30</v>
      </c>
      <c r="J95" s="121">
        <f t="shared" si="34"/>
        <v>24</v>
      </c>
      <c r="K95" s="121">
        <f t="shared" si="34"/>
        <v>20</v>
      </c>
      <c r="L95" s="121">
        <f t="shared" si="34"/>
        <v>18</v>
      </c>
      <c r="M95" s="121">
        <f t="shared" si="34"/>
        <v>16</v>
      </c>
      <c r="N95" s="121">
        <f t="shared" si="34"/>
        <v>18</v>
      </c>
      <c r="O95" s="121">
        <f t="shared" si="34"/>
        <v>18</v>
      </c>
      <c r="P95" s="128">
        <f t="shared" si="34"/>
        <v>15</v>
      </c>
    </row>
    <row r="96" spans="1:16" ht="16.2" thickBot="1" x14ac:dyDescent="0.35">
      <c r="A96" s="274"/>
      <c r="B96" s="26"/>
      <c r="C96" s="26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127"/>
    </row>
    <row r="97" spans="1:16" ht="15.75" customHeight="1" thickBot="1" x14ac:dyDescent="0.35">
      <c r="A97" s="323" t="s">
        <v>191</v>
      </c>
      <c r="B97" s="324"/>
      <c r="C97" s="324"/>
      <c r="D97" s="324"/>
      <c r="E97" s="324"/>
      <c r="F97" s="324"/>
      <c r="G97" s="324"/>
      <c r="H97" s="324"/>
      <c r="I97" s="324"/>
      <c r="J97" s="324"/>
      <c r="K97" s="324"/>
      <c r="L97" s="324"/>
      <c r="M97" s="324"/>
      <c r="N97" s="324"/>
      <c r="O97" s="324"/>
      <c r="P97" s="381"/>
    </row>
    <row r="98" spans="1:16" x14ac:dyDescent="0.3">
      <c r="A98" s="275" t="s">
        <v>192</v>
      </c>
      <c r="B98" s="276"/>
      <c r="C98" s="4" t="s">
        <v>3</v>
      </c>
      <c r="D98" s="277">
        <v>11</v>
      </c>
      <c r="E98" s="277">
        <v>12</v>
      </c>
      <c r="F98" s="277"/>
      <c r="G98" s="277">
        <v>28</v>
      </c>
      <c r="H98" s="277">
        <v>30</v>
      </c>
      <c r="I98" s="277">
        <v>14</v>
      </c>
      <c r="J98" s="277">
        <v>16</v>
      </c>
      <c r="K98" s="277">
        <v>6</v>
      </c>
      <c r="L98" s="277">
        <v>3</v>
      </c>
      <c r="M98" s="277">
        <v>2</v>
      </c>
      <c r="N98" s="277"/>
      <c r="O98" s="277"/>
      <c r="P98" s="146">
        <f>SUM(D98:O98)</f>
        <v>122</v>
      </c>
    </row>
    <row r="99" spans="1:16" x14ac:dyDescent="0.3">
      <c r="A99" s="275"/>
      <c r="B99" s="4"/>
      <c r="C99" s="4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127"/>
    </row>
    <row r="100" spans="1:16" x14ac:dyDescent="0.3">
      <c r="A100" s="344" t="s">
        <v>103</v>
      </c>
      <c r="B100" s="345"/>
      <c r="C100" s="345"/>
      <c r="D100" s="345"/>
      <c r="E100" s="345"/>
      <c r="F100" s="345"/>
      <c r="G100" s="345"/>
      <c r="H100" s="345"/>
      <c r="I100" s="345"/>
      <c r="J100" s="345"/>
      <c r="K100" s="345"/>
      <c r="L100" s="345"/>
      <c r="M100" s="345"/>
      <c r="N100" s="345"/>
      <c r="O100" s="345"/>
      <c r="P100" s="382"/>
    </row>
    <row r="101" spans="1:16" x14ac:dyDescent="0.3">
      <c r="A101" s="312" t="s">
        <v>102</v>
      </c>
      <c r="B101" s="313"/>
      <c r="C101" s="4" t="s">
        <v>3</v>
      </c>
      <c r="D101" s="265">
        <v>2</v>
      </c>
      <c r="E101" s="265">
        <v>1</v>
      </c>
      <c r="F101" s="265">
        <v>1</v>
      </c>
      <c r="G101" s="265">
        <v>1</v>
      </c>
      <c r="H101" s="265"/>
      <c r="I101" s="265"/>
      <c r="J101" s="265"/>
      <c r="K101" s="265"/>
      <c r="L101" s="265"/>
      <c r="M101" s="265"/>
      <c r="N101" s="265"/>
      <c r="O101" s="265"/>
      <c r="P101" s="278">
        <f t="shared" ref="P101:P116" si="35">O101</f>
        <v>0</v>
      </c>
    </row>
    <row r="102" spans="1:16" x14ac:dyDescent="0.3">
      <c r="A102" s="312" t="s">
        <v>101</v>
      </c>
      <c r="B102" s="313"/>
      <c r="C102" s="4" t="s">
        <v>3</v>
      </c>
      <c r="D102" s="265">
        <v>1</v>
      </c>
      <c r="E102" s="265">
        <v>1</v>
      </c>
      <c r="F102" s="265">
        <v>1</v>
      </c>
      <c r="G102" s="265">
        <v>1</v>
      </c>
      <c r="H102" s="265"/>
      <c r="I102" s="265"/>
      <c r="J102" s="265"/>
      <c r="K102" s="265"/>
      <c r="L102" s="265"/>
      <c r="M102" s="265"/>
      <c r="N102" s="265"/>
      <c r="O102" s="265"/>
      <c r="P102" s="278">
        <f t="shared" si="35"/>
        <v>0</v>
      </c>
    </row>
    <row r="103" spans="1:16" ht="15.6" customHeight="1" x14ac:dyDescent="0.3">
      <c r="A103" s="319" t="s">
        <v>100</v>
      </c>
      <c r="B103" s="320"/>
      <c r="C103" s="4" t="s">
        <v>3</v>
      </c>
      <c r="D103" s="265">
        <v>2</v>
      </c>
      <c r="E103" s="265">
        <v>2</v>
      </c>
      <c r="F103" s="265">
        <v>2</v>
      </c>
      <c r="G103" s="265">
        <v>2</v>
      </c>
      <c r="H103" s="265">
        <v>2</v>
      </c>
      <c r="I103" s="265">
        <v>2</v>
      </c>
      <c r="J103" s="265">
        <v>2</v>
      </c>
      <c r="K103" s="265">
        <v>2</v>
      </c>
      <c r="L103" s="265">
        <v>3</v>
      </c>
      <c r="M103" s="265">
        <v>3</v>
      </c>
      <c r="N103" s="265">
        <v>3</v>
      </c>
      <c r="O103" s="265">
        <v>3</v>
      </c>
      <c r="P103" s="278">
        <f t="shared" si="35"/>
        <v>3</v>
      </c>
    </row>
    <row r="104" spans="1:16" x14ac:dyDescent="0.3">
      <c r="A104" s="319" t="s">
        <v>99</v>
      </c>
      <c r="B104" s="320"/>
      <c r="C104" s="4" t="s">
        <v>3</v>
      </c>
      <c r="D104" s="265"/>
      <c r="E104" s="265"/>
      <c r="F104" s="265"/>
      <c r="G104" s="265"/>
      <c r="H104" s="265"/>
      <c r="I104" s="265"/>
      <c r="J104" s="265"/>
      <c r="K104" s="265"/>
      <c r="L104" s="265"/>
      <c r="M104" s="265"/>
      <c r="N104" s="265"/>
      <c r="O104" s="265"/>
      <c r="P104" s="278">
        <f t="shared" si="35"/>
        <v>0</v>
      </c>
    </row>
    <row r="105" spans="1:16" x14ac:dyDescent="0.3">
      <c r="A105" s="355" t="s">
        <v>98</v>
      </c>
      <c r="B105" s="356"/>
      <c r="C105" s="4" t="s">
        <v>3</v>
      </c>
      <c r="D105" s="279">
        <f>SUM(D101:D104)</f>
        <v>5</v>
      </c>
      <c r="E105" s="279">
        <f t="shared" ref="E105:O105" si="36">SUM(E101:E104)</f>
        <v>4</v>
      </c>
      <c r="F105" s="279">
        <f t="shared" si="36"/>
        <v>4</v>
      </c>
      <c r="G105" s="279">
        <f t="shared" si="36"/>
        <v>4</v>
      </c>
      <c r="H105" s="279">
        <f t="shared" si="36"/>
        <v>2</v>
      </c>
      <c r="I105" s="279">
        <f t="shared" si="36"/>
        <v>2</v>
      </c>
      <c r="J105" s="279">
        <f t="shared" si="36"/>
        <v>2</v>
      </c>
      <c r="K105" s="279">
        <f t="shared" si="36"/>
        <v>2</v>
      </c>
      <c r="L105" s="279">
        <f t="shared" si="36"/>
        <v>3</v>
      </c>
      <c r="M105" s="279">
        <f t="shared" si="36"/>
        <v>3</v>
      </c>
      <c r="N105" s="279">
        <f t="shared" si="36"/>
        <v>3</v>
      </c>
      <c r="O105" s="279">
        <f t="shared" si="36"/>
        <v>3</v>
      </c>
      <c r="P105" s="278">
        <f t="shared" si="35"/>
        <v>3</v>
      </c>
    </row>
    <row r="106" spans="1:16" ht="15.6" customHeight="1" x14ac:dyDescent="0.3">
      <c r="A106" s="342" t="s">
        <v>212</v>
      </c>
      <c r="B106" s="343"/>
      <c r="C106" s="343"/>
      <c r="D106" s="343"/>
      <c r="E106" s="343"/>
      <c r="F106" s="343"/>
      <c r="G106" s="343"/>
      <c r="H106" s="343"/>
      <c r="I106" s="343"/>
      <c r="J106" s="343"/>
      <c r="K106" s="343"/>
      <c r="L106" s="343"/>
      <c r="M106" s="343"/>
      <c r="N106" s="343"/>
      <c r="O106" s="343"/>
      <c r="P106" s="383"/>
    </row>
    <row r="107" spans="1:16" x14ac:dyDescent="0.3">
      <c r="A107" s="312" t="s">
        <v>195</v>
      </c>
      <c r="B107" s="313"/>
      <c r="C107" s="4" t="s">
        <v>3</v>
      </c>
      <c r="D107" s="265">
        <v>2</v>
      </c>
      <c r="E107" s="265">
        <v>2</v>
      </c>
      <c r="F107" s="265">
        <v>1</v>
      </c>
      <c r="G107" s="265">
        <v>1</v>
      </c>
      <c r="H107" s="265">
        <v>1</v>
      </c>
      <c r="I107" s="265">
        <v>1</v>
      </c>
      <c r="J107" s="265">
        <v>1</v>
      </c>
      <c r="K107" s="265">
        <v>1</v>
      </c>
      <c r="L107" s="265">
        <v>1</v>
      </c>
      <c r="M107" s="265">
        <v>1</v>
      </c>
      <c r="N107" s="265">
        <v>1</v>
      </c>
      <c r="O107" s="265">
        <v>1</v>
      </c>
      <c r="P107" s="278">
        <f t="shared" si="35"/>
        <v>1</v>
      </c>
    </row>
    <row r="108" spans="1:16" x14ac:dyDescent="0.3">
      <c r="A108" s="312" t="s">
        <v>196</v>
      </c>
      <c r="B108" s="313"/>
      <c r="C108" s="4" t="s">
        <v>3</v>
      </c>
      <c r="D108" s="265">
        <v>1</v>
      </c>
      <c r="E108" s="265">
        <v>1</v>
      </c>
      <c r="F108" s="265">
        <v>2</v>
      </c>
      <c r="G108" s="265">
        <v>2</v>
      </c>
      <c r="H108" s="265">
        <v>2</v>
      </c>
      <c r="I108" s="265">
        <v>2</v>
      </c>
      <c r="J108" s="265">
        <v>2</v>
      </c>
      <c r="K108" s="265">
        <v>2</v>
      </c>
      <c r="L108" s="265">
        <v>2</v>
      </c>
      <c r="M108" s="265">
        <v>2</v>
      </c>
      <c r="N108" s="265">
        <v>2</v>
      </c>
      <c r="O108" s="265">
        <v>2</v>
      </c>
      <c r="P108" s="278">
        <f t="shared" si="35"/>
        <v>2</v>
      </c>
    </row>
    <row r="109" spans="1:16" x14ac:dyDescent="0.3">
      <c r="A109" s="312" t="s">
        <v>197</v>
      </c>
      <c r="B109" s="313"/>
      <c r="C109" s="4" t="s">
        <v>3</v>
      </c>
      <c r="D109" s="265"/>
      <c r="E109" s="265"/>
      <c r="F109" s="265"/>
      <c r="G109" s="265"/>
      <c r="H109" s="265"/>
      <c r="I109" s="265"/>
      <c r="J109" s="265"/>
      <c r="K109" s="265"/>
      <c r="L109" s="265"/>
      <c r="M109" s="265"/>
      <c r="N109" s="265"/>
      <c r="O109" s="265"/>
      <c r="P109" s="278">
        <f t="shared" si="35"/>
        <v>0</v>
      </c>
    </row>
    <row r="110" spans="1:16" x14ac:dyDescent="0.3">
      <c r="A110" s="312" t="s">
        <v>198</v>
      </c>
      <c r="B110" s="313"/>
      <c r="C110" s="4" t="s">
        <v>3</v>
      </c>
      <c r="D110" s="265"/>
      <c r="E110" s="265"/>
      <c r="F110" s="265"/>
      <c r="G110" s="265"/>
      <c r="H110" s="265"/>
      <c r="I110" s="265"/>
      <c r="J110" s="265"/>
      <c r="K110" s="265"/>
      <c r="L110" s="265"/>
      <c r="M110" s="265"/>
      <c r="N110" s="265"/>
      <c r="O110" s="265"/>
      <c r="P110" s="278">
        <f t="shared" si="35"/>
        <v>0</v>
      </c>
    </row>
    <row r="111" spans="1:16" x14ac:dyDescent="0.3">
      <c r="A111" s="325" t="s">
        <v>97</v>
      </c>
      <c r="B111" s="326"/>
      <c r="C111" s="4" t="s">
        <v>3</v>
      </c>
      <c r="D111" s="279">
        <f>SUM(D107:D110)</f>
        <v>3</v>
      </c>
      <c r="E111" s="279">
        <f t="shared" ref="E111:O111" si="37">SUM(E107:E110)</f>
        <v>3</v>
      </c>
      <c r="F111" s="279">
        <f t="shared" si="37"/>
        <v>3</v>
      </c>
      <c r="G111" s="279">
        <f t="shared" si="37"/>
        <v>3</v>
      </c>
      <c r="H111" s="279">
        <f t="shared" si="37"/>
        <v>3</v>
      </c>
      <c r="I111" s="279">
        <f t="shared" si="37"/>
        <v>3</v>
      </c>
      <c r="J111" s="279">
        <f t="shared" si="37"/>
        <v>3</v>
      </c>
      <c r="K111" s="279">
        <f t="shared" si="37"/>
        <v>3</v>
      </c>
      <c r="L111" s="279">
        <f t="shared" si="37"/>
        <v>3</v>
      </c>
      <c r="M111" s="279">
        <f t="shared" si="37"/>
        <v>3</v>
      </c>
      <c r="N111" s="279">
        <f t="shared" si="37"/>
        <v>3</v>
      </c>
      <c r="O111" s="279">
        <f t="shared" si="37"/>
        <v>3</v>
      </c>
      <c r="P111" s="278">
        <f t="shared" si="35"/>
        <v>3</v>
      </c>
    </row>
    <row r="112" spans="1:16" ht="15.6" customHeight="1" x14ac:dyDescent="0.3">
      <c r="A112" s="344" t="s">
        <v>218</v>
      </c>
      <c r="B112" s="345"/>
      <c r="C112" s="345"/>
      <c r="D112" s="345"/>
      <c r="E112" s="345"/>
      <c r="F112" s="345"/>
      <c r="G112" s="345"/>
      <c r="H112" s="345"/>
      <c r="I112" s="345"/>
      <c r="J112" s="345"/>
      <c r="K112" s="345"/>
      <c r="L112" s="345"/>
      <c r="M112" s="345"/>
      <c r="N112" s="345"/>
      <c r="O112" s="345"/>
      <c r="P112" s="382"/>
    </row>
    <row r="113" spans="1:16" x14ac:dyDescent="0.3">
      <c r="A113" s="312" t="s">
        <v>199</v>
      </c>
      <c r="B113" s="313"/>
      <c r="C113" s="4" t="s">
        <v>3</v>
      </c>
      <c r="D113" s="280">
        <v>534</v>
      </c>
      <c r="E113" s="280">
        <v>547</v>
      </c>
      <c r="F113" s="280">
        <v>567</v>
      </c>
      <c r="G113" s="280">
        <v>592</v>
      </c>
      <c r="H113" s="280">
        <v>623</v>
      </c>
      <c r="I113" s="280">
        <v>637</v>
      </c>
      <c r="J113" s="280">
        <v>653</v>
      </c>
      <c r="K113" s="280">
        <v>659</v>
      </c>
      <c r="L113" s="280">
        <v>662</v>
      </c>
      <c r="M113" s="280">
        <v>664</v>
      </c>
      <c r="N113" s="280">
        <v>664</v>
      </c>
      <c r="O113" s="280">
        <v>667</v>
      </c>
      <c r="P113" s="278">
        <f t="shared" si="35"/>
        <v>667</v>
      </c>
    </row>
    <row r="114" spans="1:16" x14ac:dyDescent="0.3">
      <c r="A114" s="312" t="s">
        <v>200</v>
      </c>
      <c r="B114" s="313"/>
      <c r="C114" s="4" t="s">
        <v>3</v>
      </c>
      <c r="D114" s="280">
        <v>20</v>
      </c>
      <c r="E114" s="280">
        <v>20</v>
      </c>
      <c r="F114" s="280">
        <v>20</v>
      </c>
      <c r="G114" s="280">
        <v>20</v>
      </c>
      <c r="H114" s="280">
        <v>21</v>
      </c>
      <c r="I114" s="280">
        <v>21</v>
      </c>
      <c r="J114" s="280">
        <v>21</v>
      </c>
      <c r="K114" s="280">
        <v>21</v>
      </c>
      <c r="L114" s="280">
        <v>21</v>
      </c>
      <c r="M114" s="280">
        <v>21</v>
      </c>
      <c r="N114" s="280">
        <v>21</v>
      </c>
      <c r="O114" s="280">
        <v>21</v>
      </c>
      <c r="P114" s="278">
        <f t="shared" si="35"/>
        <v>21</v>
      </c>
    </row>
    <row r="115" spans="1:16" x14ac:dyDescent="0.3">
      <c r="A115" s="312" t="s">
        <v>201</v>
      </c>
      <c r="B115" s="313"/>
      <c r="C115" s="4" t="s">
        <v>3</v>
      </c>
      <c r="D115" s="280">
        <v>16</v>
      </c>
      <c r="E115" s="280">
        <v>15</v>
      </c>
      <c r="F115" s="280">
        <v>15</v>
      </c>
      <c r="G115" s="280">
        <v>16</v>
      </c>
      <c r="H115" s="280">
        <v>17</v>
      </c>
      <c r="I115" s="280">
        <v>17</v>
      </c>
      <c r="J115" s="280">
        <v>17</v>
      </c>
      <c r="K115" s="280">
        <v>17</v>
      </c>
      <c r="L115" s="280">
        <v>17</v>
      </c>
      <c r="M115" s="280">
        <v>17</v>
      </c>
      <c r="N115" s="280">
        <v>17</v>
      </c>
      <c r="O115" s="280">
        <v>17</v>
      </c>
      <c r="P115" s="278">
        <f t="shared" si="35"/>
        <v>17</v>
      </c>
    </row>
    <row r="116" spans="1:16" x14ac:dyDescent="0.3">
      <c r="A116" s="312" t="s">
        <v>202</v>
      </c>
      <c r="B116" s="313"/>
      <c r="C116" s="4" t="s">
        <v>3</v>
      </c>
      <c r="D116" s="280">
        <v>3</v>
      </c>
      <c r="E116" s="280">
        <v>3</v>
      </c>
      <c r="F116" s="280">
        <v>3</v>
      </c>
      <c r="G116" s="280">
        <v>3</v>
      </c>
      <c r="H116" s="280">
        <v>3</v>
      </c>
      <c r="I116" s="280">
        <v>3</v>
      </c>
      <c r="J116" s="280">
        <v>3</v>
      </c>
      <c r="K116" s="280">
        <v>3</v>
      </c>
      <c r="L116" s="280">
        <v>3</v>
      </c>
      <c r="M116" s="280">
        <v>3</v>
      </c>
      <c r="N116" s="280">
        <v>3</v>
      </c>
      <c r="O116" s="280">
        <v>3</v>
      </c>
      <c r="P116" s="278">
        <f t="shared" si="35"/>
        <v>3</v>
      </c>
    </row>
    <row r="117" spans="1:16" x14ac:dyDescent="0.3">
      <c r="A117" s="325" t="s">
        <v>96</v>
      </c>
      <c r="B117" s="326"/>
      <c r="C117" s="4" t="s">
        <v>3</v>
      </c>
      <c r="D117" s="279">
        <f>SUM(D113:D116)</f>
        <v>573</v>
      </c>
      <c r="E117" s="279">
        <f t="shared" ref="E117:P117" si="38">SUM(E113:E116)</f>
        <v>585</v>
      </c>
      <c r="F117" s="279">
        <f t="shared" si="38"/>
        <v>605</v>
      </c>
      <c r="G117" s="279">
        <f t="shared" si="38"/>
        <v>631</v>
      </c>
      <c r="H117" s="279">
        <f t="shared" si="38"/>
        <v>664</v>
      </c>
      <c r="I117" s="279">
        <f t="shared" si="38"/>
        <v>678</v>
      </c>
      <c r="J117" s="279">
        <f t="shared" si="38"/>
        <v>694</v>
      </c>
      <c r="K117" s="279">
        <f t="shared" si="38"/>
        <v>700</v>
      </c>
      <c r="L117" s="279">
        <f t="shared" si="38"/>
        <v>703</v>
      </c>
      <c r="M117" s="279">
        <f t="shared" si="38"/>
        <v>705</v>
      </c>
      <c r="N117" s="279">
        <f t="shared" si="38"/>
        <v>705</v>
      </c>
      <c r="O117" s="279">
        <f t="shared" si="38"/>
        <v>708</v>
      </c>
      <c r="P117" s="246">
        <f t="shared" si="38"/>
        <v>708</v>
      </c>
    </row>
    <row r="118" spans="1:16" x14ac:dyDescent="0.3">
      <c r="A118" s="281" t="s">
        <v>193</v>
      </c>
      <c r="B118" s="282"/>
      <c r="C118" s="4" t="s">
        <v>3</v>
      </c>
      <c r="D118" s="279">
        <f t="shared" ref="D118:P118" si="39">D111+D117</f>
        <v>576</v>
      </c>
      <c r="E118" s="279">
        <f t="shared" si="39"/>
        <v>588</v>
      </c>
      <c r="F118" s="279">
        <f t="shared" si="39"/>
        <v>608</v>
      </c>
      <c r="G118" s="279">
        <f t="shared" si="39"/>
        <v>634</v>
      </c>
      <c r="H118" s="279">
        <f t="shared" si="39"/>
        <v>667</v>
      </c>
      <c r="I118" s="279">
        <f t="shared" si="39"/>
        <v>681</v>
      </c>
      <c r="J118" s="279">
        <f t="shared" si="39"/>
        <v>697</v>
      </c>
      <c r="K118" s="279">
        <f t="shared" si="39"/>
        <v>703</v>
      </c>
      <c r="L118" s="279">
        <f t="shared" si="39"/>
        <v>706</v>
      </c>
      <c r="M118" s="279">
        <f t="shared" si="39"/>
        <v>708</v>
      </c>
      <c r="N118" s="279">
        <f t="shared" si="39"/>
        <v>708</v>
      </c>
      <c r="O118" s="279">
        <f t="shared" si="39"/>
        <v>711</v>
      </c>
      <c r="P118" s="279">
        <f t="shared" si="39"/>
        <v>711</v>
      </c>
    </row>
    <row r="119" spans="1:16" x14ac:dyDescent="0.3">
      <c r="A119" s="325" t="s">
        <v>194</v>
      </c>
      <c r="B119" s="326"/>
      <c r="C119" s="4" t="s">
        <v>3</v>
      </c>
      <c r="D119" s="279">
        <f t="shared" ref="D119:P119" si="40">D105+D118</f>
        <v>581</v>
      </c>
      <c r="E119" s="279">
        <f t="shared" si="40"/>
        <v>592</v>
      </c>
      <c r="F119" s="279">
        <f t="shared" si="40"/>
        <v>612</v>
      </c>
      <c r="G119" s="279">
        <f t="shared" si="40"/>
        <v>638</v>
      </c>
      <c r="H119" s="279">
        <f t="shared" si="40"/>
        <v>669</v>
      </c>
      <c r="I119" s="279">
        <f t="shared" si="40"/>
        <v>683</v>
      </c>
      <c r="J119" s="279">
        <f t="shared" si="40"/>
        <v>699</v>
      </c>
      <c r="K119" s="279">
        <f t="shared" si="40"/>
        <v>705</v>
      </c>
      <c r="L119" s="279">
        <f t="shared" si="40"/>
        <v>709</v>
      </c>
      <c r="M119" s="279">
        <f t="shared" si="40"/>
        <v>711</v>
      </c>
      <c r="N119" s="279">
        <f t="shared" si="40"/>
        <v>711</v>
      </c>
      <c r="O119" s="279">
        <f t="shared" si="40"/>
        <v>714</v>
      </c>
      <c r="P119" s="279">
        <f t="shared" si="40"/>
        <v>714</v>
      </c>
    </row>
    <row r="120" spans="1:16" x14ac:dyDescent="0.3">
      <c r="A120" s="310" t="s">
        <v>203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75"/>
    </row>
    <row r="121" spans="1:16" x14ac:dyDescent="0.3">
      <c r="A121" s="312" t="s">
        <v>95</v>
      </c>
      <c r="B121" s="313"/>
      <c r="C121" s="4" t="s">
        <v>3</v>
      </c>
      <c r="D121" s="283">
        <v>4200</v>
      </c>
      <c r="E121" s="283">
        <v>4200</v>
      </c>
      <c r="F121" s="283">
        <v>4200</v>
      </c>
      <c r="G121" s="283">
        <v>4220</v>
      </c>
      <c r="H121" s="283">
        <v>4220</v>
      </c>
      <c r="I121" s="283">
        <v>4220</v>
      </c>
      <c r="J121" s="283">
        <v>4241.1000000000004</v>
      </c>
      <c r="K121" s="283">
        <v>4283.5110000000004</v>
      </c>
      <c r="L121" s="283">
        <v>4326.84</v>
      </c>
      <c r="M121" s="283">
        <v>4348</v>
      </c>
      <c r="N121" s="283">
        <v>4261</v>
      </c>
      <c r="O121" s="283">
        <v>4303</v>
      </c>
      <c r="P121" s="27">
        <f>O121</f>
        <v>4303</v>
      </c>
    </row>
    <row r="122" spans="1:16" x14ac:dyDescent="0.3">
      <c r="A122" s="312" t="s">
        <v>94</v>
      </c>
      <c r="B122" s="313"/>
      <c r="C122" s="4" t="s">
        <v>3</v>
      </c>
      <c r="D122" s="283">
        <v>2940</v>
      </c>
      <c r="E122" s="283">
        <v>2940</v>
      </c>
      <c r="F122" s="283">
        <v>2940</v>
      </c>
      <c r="G122" s="283">
        <v>2940</v>
      </c>
      <c r="H122" s="283">
        <v>2955</v>
      </c>
      <c r="I122" s="283">
        <v>2807.25</v>
      </c>
      <c r="J122" s="283">
        <v>2821.04</v>
      </c>
      <c r="K122" s="283">
        <v>2849.2503999999999</v>
      </c>
      <c r="L122" s="283">
        <v>2877.49</v>
      </c>
      <c r="M122" s="283">
        <v>2891</v>
      </c>
      <c r="N122" s="283">
        <v>2833</v>
      </c>
      <c r="O122" s="283">
        <v>2861</v>
      </c>
      <c r="P122" s="27">
        <f>O122</f>
        <v>2861</v>
      </c>
    </row>
    <row r="123" spans="1:16" x14ac:dyDescent="0.3">
      <c r="A123" s="340" t="s">
        <v>93</v>
      </c>
      <c r="B123" s="341"/>
      <c r="C123" s="26" t="s">
        <v>6</v>
      </c>
      <c r="D123" s="284">
        <f t="shared" ref="D123:P123" si="41">D122/D121</f>
        <v>0.7</v>
      </c>
      <c r="E123" s="284">
        <f t="shared" si="41"/>
        <v>0.7</v>
      </c>
      <c r="F123" s="284">
        <f t="shared" si="41"/>
        <v>0.7</v>
      </c>
      <c r="G123" s="284">
        <f t="shared" si="41"/>
        <v>0.69668246445497628</v>
      </c>
      <c r="H123" s="284">
        <f t="shared" si="41"/>
        <v>0.70023696682464454</v>
      </c>
      <c r="I123" s="284">
        <f t="shared" si="41"/>
        <v>0.66522511848341237</v>
      </c>
      <c r="J123" s="284">
        <f t="shared" si="41"/>
        <v>0.66516705571667722</v>
      </c>
      <c r="K123" s="284">
        <f t="shared" si="41"/>
        <v>0.66516705571667722</v>
      </c>
      <c r="L123" s="284">
        <f t="shared" si="41"/>
        <v>0.66503267973856206</v>
      </c>
      <c r="M123" s="284">
        <f t="shared" si="41"/>
        <v>0.6649034038638455</v>
      </c>
      <c r="N123" s="284">
        <f t="shared" si="41"/>
        <v>0.66486740201830552</v>
      </c>
      <c r="O123" s="284">
        <f t="shared" si="41"/>
        <v>0.66488496397861951</v>
      </c>
      <c r="P123" s="388">
        <f t="shared" si="41"/>
        <v>0.66488496397861951</v>
      </c>
    </row>
    <row r="124" spans="1:16" x14ac:dyDescent="0.3">
      <c r="A124" s="333" t="s">
        <v>92</v>
      </c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84"/>
    </row>
    <row r="125" spans="1:16" x14ac:dyDescent="0.3">
      <c r="A125" s="176" t="s">
        <v>91</v>
      </c>
      <c r="B125" s="4" t="s">
        <v>85</v>
      </c>
      <c r="C125" s="4" t="s">
        <v>3</v>
      </c>
      <c r="D125" s="268"/>
      <c r="E125" s="268"/>
      <c r="F125" s="268"/>
      <c r="G125" s="268"/>
      <c r="H125" s="268"/>
      <c r="I125" s="268"/>
      <c r="J125" s="268"/>
      <c r="K125" s="268"/>
      <c r="L125" s="268"/>
      <c r="M125" s="268"/>
      <c r="N125" s="268"/>
      <c r="O125" s="268"/>
      <c r="P125" s="31">
        <f>D125</f>
        <v>0</v>
      </c>
    </row>
    <row r="126" spans="1:16" x14ac:dyDescent="0.3">
      <c r="A126" s="307"/>
      <c r="B126" s="4" t="s">
        <v>84</v>
      </c>
      <c r="C126" s="4" t="s">
        <v>3</v>
      </c>
      <c r="D126" s="269"/>
      <c r="E126" s="269"/>
      <c r="F126" s="269"/>
      <c r="G126" s="269"/>
      <c r="H126" s="269"/>
      <c r="I126" s="269"/>
      <c r="J126" s="269"/>
      <c r="K126" s="269"/>
      <c r="L126" s="269"/>
      <c r="M126" s="269"/>
      <c r="N126" s="269"/>
      <c r="O126" s="269"/>
      <c r="P126" s="31">
        <f>SUM(D126:O126)</f>
        <v>0</v>
      </c>
    </row>
    <row r="127" spans="1:16" x14ac:dyDescent="0.3">
      <c r="A127" s="307"/>
      <c r="B127" s="285" t="s">
        <v>88</v>
      </c>
      <c r="C127" s="4" t="s">
        <v>3</v>
      </c>
      <c r="D127" s="269"/>
      <c r="E127" s="269"/>
      <c r="F127" s="269"/>
      <c r="G127" s="269"/>
      <c r="H127" s="269"/>
      <c r="I127" s="269"/>
      <c r="J127" s="269"/>
      <c r="K127" s="269"/>
      <c r="L127" s="269"/>
      <c r="M127" s="269"/>
      <c r="N127" s="269"/>
      <c r="O127" s="269"/>
      <c r="P127" s="31">
        <f>SUM(D127:O127)</f>
        <v>0</v>
      </c>
    </row>
    <row r="128" spans="1:16" x14ac:dyDescent="0.3">
      <c r="A128" s="307"/>
      <c r="B128" s="4" t="s">
        <v>82</v>
      </c>
      <c r="C128" s="4" t="s">
        <v>3</v>
      </c>
      <c r="D128" s="269"/>
      <c r="E128" s="269"/>
      <c r="F128" s="269"/>
      <c r="G128" s="269"/>
      <c r="H128" s="269"/>
      <c r="I128" s="269"/>
      <c r="J128" s="269"/>
      <c r="K128" s="269"/>
      <c r="L128" s="269"/>
      <c r="M128" s="269"/>
      <c r="N128" s="269"/>
      <c r="O128" s="269"/>
      <c r="P128" s="31">
        <f>SUM(D128:O128)</f>
        <v>0</v>
      </c>
    </row>
    <row r="129" spans="1:16" x14ac:dyDescent="0.3">
      <c r="A129" s="177"/>
      <c r="B129" s="4" t="s">
        <v>81</v>
      </c>
      <c r="C129" s="4" t="s">
        <v>3</v>
      </c>
      <c r="D129" s="268">
        <f t="shared" ref="D129:O129" si="42">D125+D126-D127-D128</f>
        <v>0</v>
      </c>
      <c r="E129" s="268">
        <f t="shared" si="42"/>
        <v>0</v>
      </c>
      <c r="F129" s="268">
        <f t="shared" si="42"/>
        <v>0</v>
      </c>
      <c r="G129" s="268">
        <f t="shared" si="42"/>
        <v>0</v>
      </c>
      <c r="H129" s="268">
        <f t="shared" si="42"/>
        <v>0</v>
      </c>
      <c r="I129" s="268">
        <f t="shared" si="42"/>
        <v>0</v>
      </c>
      <c r="J129" s="268">
        <f t="shared" si="42"/>
        <v>0</v>
      </c>
      <c r="K129" s="268">
        <f t="shared" si="42"/>
        <v>0</v>
      </c>
      <c r="L129" s="268">
        <f t="shared" si="42"/>
        <v>0</v>
      </c>
      <c r="M129" s="268">
        <f t="shared" si="42"/>
        <v>0</v>
      </c>
      <c r="N129" s="268">
        <f t="shared" si="42"/>
        <v>0</v>
      </c>
      <c r="O129" s="268">
        <f t="shared" si="42"/>
        <v>0</v>
      </c>
      <c r="P129" s="31">
        <f>P125+P126-P127-P128</f>
        <v>0</v>
      </c>
    </row>
    <row r="130" spans="1:16" x14ac:dyDescent="0.3">
      <c r="A130" s="176" t="s">
        <v>90</v>
      </c>
      <c r="B130" s="23" t="s">
        <v>85</v>
      </c>
      <c r="C130" s="23" t="s">
        <v>3</v>
      </c>
      <c r="D130" s="268"/>
      <c r="E130" s="268"/>
      <c r="F130" s="268"/>
      <c r="G130" s="268"/>
      <c r="H130" s="268"/>
      <c r="I130" s="268"/>
      <c r="J130" s="268"/>
      <c r="K130" s="268"/>
      <c r="L130" s="268"/>
      <c r="M130" s="268"/>
      <c r="N130" s="268"/>
      <c r="O130" s="268"/>
      <c r="P130" s="31">
        <f>D130</f>
        <v>0</v>
      </c>
    </row>
    <row r="131" spans="1:16" x14ac:dyDescent="0.3">
      <c r="A131" s="307"/>
      <c r="B131" s="4" t="s">
        <v>84</v>
      </c>
      <c r="C131" s="4" t="s">
        <v>3</v>
      </c>
      <c r="D131" s="269"/>
      <c r="E131" s="269"/>
      <c r="F131" s="269"/>
      <c r="G131" s="269"/>
      <c r="H131" s="269">
        <v>1</v>
      </c>
      <c r="I131" s="269"/>
      <c r="J131" s="269"/>
      <c r="K131" s="269"/>
      <c r="L131" s="269"/>
      <c r="M131" s="269"/>
      <c r="N131" s="269"/>
      <c r="O131" s="269"/>
      <c r="P131" s="31">
        <f>SUM(D131:O131)</f>
        <v>1</v>
      </c>
    </row>
    <row r="132" spans="1:16" x14ac:dyDescent="0.3">
      <c r="A132" s="307"/>
      <c r="B132" s="285" t="s">
        <v>88</v>
      </c>
      <c r="C132" s="4" t="s">
        <v>3</v>
      </c>
      <c r="D132" s="269"/>
      <c r="E132" s="269"/>
      <c r="F132" s="269"/>
      <c r="G132" s="269"/>
      <c r="H132" s="269"/>
      <c r="I132" s="269"/>
      <c r="J132" s="269"/>
      <c r="K132" s="269"/>
      <c r="L132" s="269"/>
      <c r="M132" s="269"/>
      <c r="N132" s="269"/>
      <c r="O132" s="269"/>
      <c r="P132" s="31">
        <f>SUM(D132:O132)</f>
        <v>0</v>
      </c>
    </row>
    <row r="133" spans="1:16" x14ac:dyDescent="0.3">
      <c r="A133" s="307"/>
      <c r="B133" s="4" t="s">
        <v>82</v>
      </c>
      <c r="C133" s="4" t="s">
        <v>3</v>
      </c>
      <c r="D133" s="269"/>
      <c r="E133" s="269"/>
      <c r="F133" s="269"/>
      <c r="G133" s="269"/>
      <c r="H133" s="269">
        <v>1</v>
      </c>
      <c r="I133" s="269"/>
      <c r="J133" s="269"/>
      <c r="K133" s="269"/>
      <c r="L133" s="269"/>
      <c r="M133" s="269"/>
      <c r="N133" s="269"/>
      <c r="O133" s="269"/>
      <c r="P133" s="31">
        <f>SUM(D133:O133)</f>
        <v>1</v>
      </c>
    </row>
    <row r="134" spans="1:16" x14ac:dyDescent="0.3">
      <c r="A134" s="177"/>
      <c r="B134" s="4" t="s">
        <v>81</v>
      </c>
      <c r="C134" s="4" t="s">
        <v>3</v>
      </c>
      <c r="D134" s="268">
        <f t="shared" ref="D134:O134" si="43">D130+D131-D132-D133</f>
        <v>0</v>
      </c>
      <c r="E134" s="268">
        <f t="shared" si="43"/>
        <v>0</v>
      </c>
      <c r="F134" s="268">
        <f t="shared" si="43"/>
        <v>0</v>
      </c>
      <c r="G134" s="268">
        <f t="shared" si="43"/>
        <v>0</v>
      </c>
      <c r="H134" s="268">
        <f t="shared" si="43"/>
        <v>0</v>
      </c>
      <c r="I134" s="268">
        <f t="shared" si="43"/>
        <v>0</v>
      </c>
      <c r="J134" s="268">
        <f t="shared" si="43"/>
        <v>0</v>
      </c>
      <c r="K134" s="268">
        <f t="shared" si="43"/>
        <v>0</v>
      </c>
      <c r="L134" s="268">
        <f t="shared" si="43"/>
        <v>0</v>
      </c>
      <c r="M134" s="268">
        <f t="shared" si="43"/>
        <v>0</v>
      </c>
      <c r="N134" s="268">
        <f t="shared" si="43"/>
        <v>0</v>
      </c>
      <c r="O134" s="268">
        <f t="shared" si="43"/>
        <v>0</v>
      </c>
      <c r="P134" s="31">
        <f>P130+P131-P132-P133</f>
        <v>0</v>
      </c>
    </row>
    <row r="135" spans="1:16" x14ac:dyDescent="0.3">
      <c r="A135" s="176" t="s">
        <v>89</v>
      </c>
      <c r="B135" s="4" t="s">
        <v>85</v>
      </c>
      <c r="C135" s="4" t="s">
        <v>3</v>
      </c>
      <c r="D135" s="268"/>
      <c r="E135" s="268"/>
      <c r="F135" s="268"/>
      <c r="G135" s="268"/>
      <c r="H135" s="268"/>
      <c r="I135" s="268"/>
      <c r="J135" s="268"/>
      <c r="K135" s="268"/>
      <c r="L135" s="268"/>
      <c r="M135" s="268"/>
      <c r="N135" s="268"/>
      <c r="O135" s="268"/>
      <c r="P135" s="31">
        <f>D135</f>
        <v>0</v>
      </c>
    </row>
    <row r="136" spans="1:16" x14ac:dyDescent="0.3">
      <c r="A136" s="307"/>
      <c r="B136" s="4" t="s">
        <v>84</v>
      </c>
      <c r="C136" s="4" t="s">
        <v>3</v>
      </c>
      <c r="D136" s="269"/>
      <c r="E136" s="269"/>
      <c r="F136" s="269"/>
      <c r="G136" s="269"/>
      <c r="H136" s="269"/>
      <c r="I136" s="269"/>
      <c r="J136" s="269"/>
      <c r="K136" s="269"/>
      <c r="L136" s="269"/>
      <c r="M136" s="269"/>
      <c r="N136" s="269"/>
      <c r="O136" s="269"/>
      <c r="P136" s="31">
        <f>SUM(D136:O136)</f>
        <v>0</v>
      </c>
    </row>
    <row r="137" spans="1:16" x14ac:dyDescent="0.3">
      <c r="A137" s="307"/>
      <c r="B137" s="285" t="s">
        <v>88</v>
      </c>
      <c r="C137" s="4" t="s">
        <v>3</v>
      </c>
      <c r="D137" s="269"/>
      <c r="E137" s="269"/>
      <c r="F137" s="269"/>
      <c r="G137" s="269"/>
      <c r="H137" s="269"/>
      <c r="I137" s="269"/>
      <c r="J137" s="269"/>
      <c r="K137" s="269"/>
      <c r="L137" s="269"/>
      <c r="M137" s="269"/>
      <c r="N137" s="269"/>
      <c r="O137" s="269"/>
      <c r="P137" s="31">
        <f>SUM(D137:O137)</f>
        <v>0</v>
      </c>
    </row>
    <row r="138" spans="1:16" x14ac:dyDescent="0.3">
      <c r="A138" s="307"/>
      <c r="B138" s="4" t="s">
        <v>82</v>
      </c>
      <c r="C138" s="4" t="s">
        <v>3</v>
      </c>
      <c r="D138" s="269"/>
      <c r="E138" s="269"/>
      <c r="F138" s="269"/>
      <c r="G138" s="269"/>
      <c r="H138" s="269"/>
      <c r="I138" s="269"/>
      <c r="J138" s="269"/>
      <c r="K138" s="269"/>
      <c r="L138" s="269"/>
      <c r="M138" s="269"/>
      <c r="N138" s="269"/>
      <c r="O138" s="269"/>
      <c r="P138" s="31">
        <f>SUM(D138:O138)</f>
        <v>0</v>
      </c>
    </row>
    <row r="139" spans="1:16" x14ac:dyDescent="0.3">
      <c r="A139" s="177"/>
      <c r="B139" s="4" t="s">
        <v>81</v>
      </c>
      <c r="C139" s="4" t="s">
        <v>3</v>
      </c>
      <c r="D139" s="268">
        <f t="shared" ref="D139:O139" si="44">D135+D136-D137-D138</f>
        <v>0</v>
      </c>
      <c r="E139" s="268">
        <f t="shared" si="44"/>
        <v>0</v>
      </c>
      <c r="F139" s="268">
        <f t="shared" si="44"/>
        <v>0</v>
      </c>
      <c r="G139" s="268">
        <f t="shared" si="44"/>
        <v>0</v>
      </c>
      <c r="H139" s="268">
        <f t="shared" si="44"/>
        <v>0</v>
      </c>
      <c r="I139" s="268">
        <f t="shared" si="44"/>
        <v>0</v>
      </c>
      <c r="J139" s="268">
        <f t="shared" si="44"/>
        <v>0</v>
      </c>
      <c r="K139" s="268">
        <f t="shared" si="44"/>
        <v>0</v>
      </c>
      <c r="L139" s="268">
        <f t="shared" si="44"/>
        <v>0</v>
      </c>
      <c r="M139" s="268">
        <f t="shared" si="44"/>
        <v>0</v>
      </c>
      <c r="N139" s="268">
        <f t="shared" si="44"/>
        <v>0</v>
      </c>
      <c r="O139" s="268">
        <f t="shared" si="44"/>
        <v>0</v>
      </c>
      <c r="P139" s="31">
        <f>P135+P136-P137-P138</f>
        <v>0</v>
      </c>
    </row>
    <row r="140" spans="1:16" x14ac:dyDescent="0.3">
      <c r="A140" s="176" t="s">
        <v>87</v>
      </c>
      <c r="B140" s="4" t="s">
        <v>85</v>
      </c>
      <c r="C140" s="4" t="s">
        <v>3</v>
      </c>
      <c r="D140" s="268"/>
      <c r="E140" s="268"/>
      <c r="F140" s="268"/>
      <c r="G140" s="268"/>
      <c r="H140" s="268"/>
      <c r="I140" s="268"/>
      <c r="J140" s="268"/>
      <c r="K140" s="268"/>
      <c r="L140" s="268"/>
      <c r="M140" s="268"/>
      <c r="N140" s="268"/>
      <c r="O140" s="268"/>
      <c r="P140" s="31">
        <f>D140</f>
        <v>0</v>
      </c>
    </row>
    <row r="141" spans="1:16" x14ac:dyDescent="0.3">
      <c r="A141" s="307"/>
      <c r="B141" s="4" t="s">
        <v>84</v>
      </c>
      <c r="C141" s="4" t="s">
        <v>3</v>
      </c>
      <c r="D141" s="269">
        <v>8</v>
      </c>
      <c r="E141" s="269">
        <v>4</v>
      </c>
      <c r="F141" s="269">
        <v>6</v>
      </c>
      <c r="G141" s="269">
        <v>4</v>
      </c>
      <c r="H141" s="269">
        <v>4</v>
      </c>
      <c r="I141" s="269">
        <v>1</v>
      </c>
      <c r="J141" s="269">
        <v>4</v>
      </c>
      <c r="K141" s="269">
        <v>2</v>
      </c>
      <c r="L141" s="269">
        <v>3</v>
      </c>
      <c r="M141" s="269"/>
      <c r="N141" s="269"/>
      <c r="O141" s="269"/>
      <c r="P141" s="31">
        <f>SUM(D141:O141)</f>
        <v>36</v>
      </c>
    </row>
    <row r="142" spans="1:16" x14ac:dyDescent="0.3">
      <c r="A142" s="307"/>
      <c r="B142" s="4" t="s">
        <v>83</v>
      </c>
      <c r="C142" s="4" t="s">
        <v>3</v>
      </c>
      <c r="D142" s="269">
        <v>8</v>
      </c>
      <c r="E142" s="269">
        <v>2</v>
      </c>
      <c r="F142" s="269">
        <v>5</v>
      </c>
      <c r="G142" s="269">
        <v>1</v>
      </c>
      <c r="H142" s="269">
        <v>2</v>
      </c>
      <c r="I142" s="269"/>
      <c r="J142" s="269">
        <v>3</v>
      </c>
      <c r="K142" s="269"/>
      <c r="L142" s="269">
        <v>2</v>
      </c>
      <c r="M142" s="269"/>
      <c r="N142" s="269"/>
      <c r="O142" s="269"/>
      <c r="P142" s="31">
        <f>SUM(D142:O142)</f>
        <v>23</v>
      </c>
    </row>
    <row r="143" spans="1:16" x14ac:dyDescent="0.3">
      <c r="A143" s="307"/>
      <c r="B143" s="4" t="s">
        <v>82</v>
      </c>
      <c r="C143" s="4" t="s">
        <v>3</v>
      </c>
      <c r="D143" s="269"/>
      <c r="E143" s="269">
        <v>2</v>
      </c>
      <c r="F143" s="269">
        <v>1</v>
      </c>
      <c r="G143" s="269">
        <v>3</v>
      </c>
      <c r="H143" s="269">
        <v>2</v>
      </c>
      <c r="I143" s="269">
        <v>1</v>
      </c>
      <c r="J143" s="269">
        <v>1</v>
      </c>
      <c r="K143" s="269">
        <v>2</v>
      </c>
      <c r="L143" s="269">
        <v>1</v>
      </c>
      <c r="M143" s="269"/>
      <c r="N143" s="269"/>
      <c r="O143" s="269"/>
      <c r="P143" s="31">
        <f>SUM(D143:O143)</f>
        <v>13</v>
      </c>
    </row>
    <row r="144" spans="1:16" x14ac:dyDescent="0.3">
      <c r="A144" s="177"/>
      <c r="B144" s="4" t="s">
        <v>81</v>
      </c>
      <c r="C144" s="4" t="s">
        <v>3</v>
      </c>
      <c r="D144" s="268">
        <f t="shared" ref="D144:O144" si="45">D140+D141-D142-D143</f>
        <v>0</v>
      </c>
      <c r="E144" s="268">
        <f t="shared" si="45"/>
        <v>0</v>
      </c>
      <c r="F144" s="268">
        <f t="shared" si="45"/>
        <v>0</v>
      </c>
      <c r="G144" s="268">
        <f t="shared" si="45"/>
        <v>0</v>
      </c>
      <c r="H144" s="268">
        <f t="shared" si="45"/>
        <v>0</v>
      </c>
      <c r="I144" s="268">
        <f t="shared" si="45"/>
        <v>0</v>
      </c>
      <c r="J144" s="268">
        <f t="shared" si="45"/>
        <v>0</v>
      </c>
      <c r="K144" s="268">
        <f t="shared" si="45"/>
        <v>0</v>
      </c>
      <c r="L144" s="268">
        <f t="shared" si="45"/>
        <v>0</v>
      </c>
      <c r="M144" s="268">
        <f t="shared" si="45"/>
        <v>0</v>
      </c>
      <c r="N144" s="268">
        <f t="shared" si="45"/>
        <v>0</v>
      </c>
      <c r="O144" s="268">
        <f t="shared" si="45"/>
        <v>0</v>
      </c>
      <c r="P144" s="31">
        <f>P140+P141-P142-P143</f>
        <v>0</v>
      </c>
    </row>
    <row r="145" spans="1:16" x14ac:dyDescent="0.3">
      <c r="A145" s="176" t="s">
        <v>86</v>
      </c>
      <c r="B145" s="4" t="s">
        <v>85</v>
      </c>
      <c r="C145" s="4" t="s">
        <v>3</v>
      </c>
      <c r="D145" s="271">
        <f t="shared" ref="D145:P149" si="46">D125+D130+D135+D140</f>
        <v>0</v>
      </c>
      <c r="E145" s="271">
        <f t="shared" si="46"/>
        <v>0</v>
      </c>
      <c r="F145" s="271">
        <f t="shared" si="46"/>
        <v>0</v>
      </c>
      <c r="G145" s="271">
        <f t="shared" si="46"/>
        <v>0</v>
      </c>
      <c r="H145" s="271">
        <f t="shared" si="46"/>
        <v>0</v>
      </c>
      <c r="I145" s="271">
        <f t="shared" si="46"/>
        <v>0</v>
      </c>
      <c r="J145" s="271">
        <f t="shared" si="46"/>
        <v>0</v>
      </c>
      <c r="K145" s="271">
        <f t="shared" si="46"/>
        <v>0</v>
      </c>
      <c r="L145" s="271">
        <f t="shared" si="46"/>
        <v>0</v>
      </c>
      <c r="M145" s="271">
        <f t="shared" si="46"/>
        <v>0</v>
      </c>
      <c r="N145" s="271">
        <f t="shared" si="46"/>
        <v>0</v>
      </c>
      <c r="O145" s="271">
        <f t="shared" si="46"/>
        <v>0</v>
      </c>
      <c r="P145" s="286">
        <f t="shared" si="46"/>
        <v>0</v>
      </c>
    </row>
    <row r="146" spans="1:16" x14ac:dyDescent="0.3">
      <c r="A146" s="307"/>
      <c r="B146" s="4" t="s">
        <v>84</v>
      </c>
      <c r="C146" s="4" t="s">
        <v>3</v>
      </c>
      <c r="D146" s="271">
        <f t="shared" si="46"/>
        <v>8</v>
      </c>
      <c r="E146" s="271">
        <f t="shared" si="46"/>
        <v>4</v>
      </c>
      <c r="F146" s="271">
        <f t="shared" si="46"/>
        <v>6</v>
      </c>
      <c r="G146" s="271">
        <f t="shared" si="46"/>
        <v>4</v>
      </c>
      <c r="H146" s="271">
        <f t="shared" si="46"/>
        <v>5</v>
      </c>
      <c r="I146" s="271">
        <f t="shared" si="46"/>
        <v>1</v>
      </c>
      <c r="J146" s="271">
        <f t="shared" si="46"/>
        <v>4</v>
      </c>
      <c r="K146" s="271">
        <f t="shared" si="46"/>
        <v>2</v>
      </c>
      <c r="L146" s="271">
        <f t="shared" si="46"/>
        <v>3</v>
      </c>
      <c r="M146" s="271">
        <f t="shared" si="46"/>
        <v>0</v>
      </c>
      <c r="N146" s="271">
        <f t="shared" si="46"/>
        <v>0</v>
      </c>
      <c r="O146" s="271">
        <f t="shared" si="46"/>
        <v>0</v>
      </c>
      <c r="P146" s="286">
        <f t="shared" si="46"/>
        <v>37</v>
      </c>
    </row>
    <row r="147" spans="1:16" x14ac:dyDescent="0.3">
      <c r="A147" s="307"/>
      <c r="B147" s="4" t="s">
        <v>83</v>
      </c>
      <c r="C147" s="4" t="s">
        <v>3</v>
      </c>
      <c r="D147" s="271">
        <f t="shared" si="46"/>
        <v>8</v>
      </c>
      <c r="E147" s="271">
        <f t="shared" si="46"/>
        <v>2</v>
      </c>
      <c r="F147" s="271">
        <f t="shared" si="46"/>
        <v>5</v>
      </c>
      <c r="G147" s="271">
        <f t="shared" si="46"/>
        <v>1</v>
      </c>
      <c r="H147" s="271">
        <f t="shared" si="46"/>
        <v>2</v>
      </c>
      <c r="I147" s="271">
        <f t="shared" si="46"/>
        <v>0</v>
      </c>
      <c r="J147" s="271">
        <f t="shared" si="46"/>
        <v>3</v>
      </c>
      <c r="K147" s="271">
        <f t="shared" si="46"/>
        <v>0</v>
      </c>
      <c r="L147" s="271">
        <f t="shared" si="46"/>
        <v>2</v>
      </c>
      <c r="M147" s="271">
        <f t="shared" si="46"/>
        <v>0</v>
      </c>
      <c r="N147" s="271">
        <f t="shared" si="46"/>
        <v>0</v>
      </c>
      <c r="O147" s="271">
        <f t="shared" si="46"/>
        <v>0</v>
      </c>
      <c r="P147" s="286">
        <f t="shared" si="46"/>
        <v>23</v>
      </c>
    </row>
    <row r="148" spans="1:16" x14ac:dyDescent="0.3">
      <c r="A148" s="307"/>
      <c r="B148" s="4" t="s">
        <v>82</v>
      </c>
      <c r="C148" s="4" t="s">
        <v>3</v>
      </c>
      <c r="D148" s="271">
        <f t="shared" si="46"/>
        <v>0</v>
      </c>
      <c r="E148" s="271">
        <f t="shared" si="46"/>
        <v>2</v>
      </c>
      <c r="F148" s="271">
        <f t="shared" si="46"/>
        <v>1</v>
      </c>
      <c r="G148" s="271">
        <f t="shared" si="46"/>
        <v>3</v>
      </c>
      <c r="H148" s="271">
        <f t="shared" si="46"/>
        <v>3</v>
      </c>
      <c r="I148" s="271">
        <f t="shared" si="46"/>
        <v>1</v>
      </c>
      <c r="J148" s="271">
        <f t="shared" si="46"/>
        <v>1</v>
      </c>
      <c r="K148" s="271">
        <f t="shared" si="46"/>
        <v>2</v>
      </c>
      <c r="L148" s="271">
        <f t="shared" si="46"/>
        <v>1</v>
      </c>
      <c r="M148" s="271">
        <f t="shared" si="46"/>
        <v>0</v>
      </c>
      <c r="N148" s="271">
        <f t="shared" si="46"/>
        <v>0</v>
      </c>
      <c r="O148" s="271">
        <f t="shared" si="46"/>
        <v>0</v>
      </c>
      <c r="P148" s="286">
        <f t="shared" si="46"/>
        <v>14</v>
      </c>
    </row>
    <row r="149" spans="1:16" x14ac:dyDescent="0.3">
      <c r="A149" s="177"/>
      <c r="B149" s="4" t="s">
        <v>81</v>
      </c>
      <c r="C149" s="4" t="s">
        <v>3</v>
      </c>
      <c r="D149" s="268">
        <f t="shared" ref="D149:O149" si="47">D145+D146-D147-D148</f>
        <v>0</v>
      </c>
      <c r="E149" s="268">
        <f t="shared" si="47"/>
        <v>0</v>
      </c>
      <c r="F149" s="268">
        <f t="shared" si="47"/>
        <v>0</v>
      </c>
      <c r="G149" s="268">
        <f t="shared" si="47"/>
        <v>0</v>
      </c>
      <c r="H149" s="268">
        <f t="shared" si="47"/>
        <v>0</v>
      </c>
      <c r="I149" s="268">
        <f t="shared" si="47"/>
        <v>0</v>
      </c>
      <c r="J149" s="268">
        <f t="shared" si="47"/>
        <v>0</v>
      </c>
      <c r="K149" s="268">
        <f t="shared" si="47"/>
        <v>0</v>
      </c>
      <c r="L149" s="268">
        <f t="shared" si="47"/>
        <v>0</v>
      </c>
      <c r="M149" s="268">
        <f t="shared" si="47"/>
        <v>0</v>
      </c>
      <c r="N149" s="268">
        <f t="shared" si="47"/>
        <v>0</v>
      </c>
      <c r="O149" s="268">
        <f t="shared" si="47"/>
        <v>0</v>
      </c>
      <c r="P149" s="286">
        <f t="shared" si="46"/>
        <v>0</v>
      </c>
    </row>
    <row r="150" spans="1:16" x14ac:dyDescent="0.3">
      <c r="A150" s="310" t="s">
        <v>80</v>
      </c>
      <c r="B150" s="311"/>
      <c r="C150" s="311"/>
      <c r="D150" s="311"/>
      <c r="E150" s="311"/>
      <c r="F150" s="311"/>
      <c r="G150" s="311"/>
      <c r="H150" s="311"/>
      <c r="I150" s="311"/>
      <c r="J150" s="311"/>
      <c r="K150" s="311"/>
      <c r="L150" s="311"/>
      <c r="M150" s="311"/>
      <c r="N150" s="311"/>
      <c r="O150" s="311"/>
      <c r="P150" s="375"/>
    </row>
    <row r="151" spans="1:16" x14ac:dyDescent="0.3">
      <c r="A151" s="312" t="s">
        <v>79</v>
      </c>
      <c r="B151" s="313"/>
      <c r="C151" s="4"/>
      <c r="D151" s="261"/>
      <c r="E151" s="261"/>
      <c r="F151" s="261"/>
      <c r="G151" s="261"/>
      <c r="H151" s="261"/>
      <c r="I151" s="261"/>
      <c r="J151" s="261"/>
      <c r="K151" s="261"/>
      <c r="L151" s="261"/>
      <c r="M151" s="261"/>
      <c r="N151" s="261"/>
      <c r="O151" s="261"/>
      <c r="P151" s="34"/>
    </row>
    <row r="152" spans="1:16" x14ac:dyDescent="0.3">
      <c r="A152" s="335" t="s">
        <v>78</v>
      </c>
      <c r="B152" s="287" t="s">
        <v>63</v>
      </c>
      <c r="C152" s="4"/>
      <c r="D152" s="261"/>
      <c r="E152" s="261"/>
      <c r="F152" s="261"/>
      <c r="G152" s="261"/>
      <c r="H152" s="261"/>
      <c r="I152" s="261"/>
      <c r="J152" s="261"/>
      <c r="K152" s="261"/>
      <c r="L152" s="261"/>
      <c r="M152" s="261"/>
      <c r="N152" s="261"/>
      <c r="O152" s="261"/>
      <c r="P152" s="34"/>
    </row>
    <row r="153" spans="1:16" x14ac:dyDescent="0.3">
      <c r="A153" s="336"/>
      <c r="B153" s="18" t="s">
        <v>73</v>
      </c>
      <c r="C153" s="4" t="s">
        <v>57</v>
      </c>
      <c r="D153" s="265">
        <v>105</v>
      </c>
      <c r="E153" s="265">
        <v>113</v>
      </c>
      <c r="F153" s="265">
        <v>77</v>
      </c>
      <c r="G153" s="265">
        <v>58</v>
      </c>
      <c r="H153" s="265">
        <v>35</v>
      </c>
      <c r="I153" s="265">
        <v>36</v>
      </c>
      <c r="J153" s="265">
        <v>18</v>
      </c>
      <c r="K153" s="265">
        <v>23</v>
      </c>
      <c r="L153" s="265">
        <v>56</v>
      </c>
      <c r="M153" s="265">
        <v>63</v>
      </c>
      <c r="N153" s="265">
        <v>51</v>
      </c>
      <c r="O153" s="265">
        <v>55</v>
      </c>
      <c r="P153" s="31">
        <f t="shared" ref="P153:P165" si="48">SUM(D153:O153)</f>
        <v>690</v>
      </c>
    </row>
    <row r="154" spans="1:16" x14ac:dyDescent="0.3">
      <c r="A154" s="336"/>
      <c r="B154" s="18" t="s">
        <v>72</v>
      </c>
      <c r="C154" s="4" t="s">
        <v>57</v>
      </c>
      <c r="D154" s="265">
        <v>13</v>
      </c>
      <c r="E154" s="265">
        <v>10</v>
      </c>
      <c r="F154" s="265">
        <v>15</v>
      </c>
      <c r="G154" s="265">
        <v>5</v>
      </c>
      <c r="H154" s="265">
        <v>4</v>
      </c>
      <c r="I154" s="265">
        <v>5</v>
      </c>
      <c r="J154" s="265">
        <v>6</v>
      </c>
      <c r="K154" s="265">
        <v>3</v>
      </c>
      <c r="L154" s="265">
        <v>6</v>
      </c>
      <c r="M154" s="265">
        <v>6</v>
      </c>
      <c r="N154" s="265">
        <v>6</v>
      </c>
      <c r="O154" s="265">
        <v>11</v>
      </c>
      <c r="P154" s="31">
        <f t="shared" si="48"/>
        <v>90</v>
      </c>
    </row>
    <row r="155" spans="1:16" x14ac:dyDescent="0.3">
      <c r="A155" s="336"/>
      <c r="B155" s="18" t="s">
        <v>53</v>
      </c>
      <c r="C155" s="4" t="s">
        <v>57</v>
      </c>
      <c r="D155" s="265">
        <v>15</v>
      </c>
      <c r="E155" s="265">
        <v>6</v>
      </c>
      <c r="F155" s="265">
        <v>9</v>
      </c>
      <c r="G155" s="265">
        <v>3</v>
      </c>
      <c r="H155" s="265">
        <v>6</v>
      </c>
      <c r="I155" s="265">
        <v>7</v>
      </c>
      <c r="J155" s="265">
        <v>4</v>
      </c>
      <c r="K155" s="265">
        <v>1</v>
      </c>
      <c r="L155" s="265">
        <v>5</v>
      </c>
      <c r="M155" s="265">
        <v>4</v>
      </c>
      <c r="N155" s="265">
        <v>3</v>
      </c>
      <c r="O155" s="265">
        <v>3</v>
      </c>
      <c r="P155" s="31">
        <f t="shared" si="48"/>
        <v>66</v>
      </c>
    </row>
    <row r="156" spans="1:16" x14ac:dyDescent="0.3">
      <c r="A156" s="336"/>
      <c r="B156" s="18" t="s">
        <v>71</v>
      </c>
      <c r="C156" s="4" t="s">
        <v>57</v>
      </c>
      <c r="D156" s="265"/>
      <c r="E156" s="265">
        <v>1</v>
      </c>
      <c r="F156" s="265"/>
      <c r="G156" s="265"/>
      <c r="H156" s="265"/>
      <c r="I156" s="265"/>
      <c r="J156" s="265"/>
      <c r="K156" s="265">
        <v>0</v>
      </c>
      <c r="L156" s="265"/>
      <c r="M156" s="265">
        <v>2</v>
      </c>
      <c r="N156" s="265">
        <v>2</v>
      </c>
      <c r="O156" s="265">
        <v>2</v>
      </c>
      <c r="P156" s="31">
        <f t="shared" si="48"/>
        <v>7</v>
      </c>
    </row>
    <row r="157" spans="1:16" x14ac:dyDescent="0.3">
      <c r="A157" s="336"/>
      <c r="B157" s="18" t="s">
        <v>52</v>
      </c>
      <c r="C157" s="4" t="s">
        <v>57</v>
      </c>
      <c r="D157" s="265">
        <v>3</v>
      </c>
      <c r="E157" s="265">
        <v>2</v>
      </c>
      <c r="F157" s="265">
        <v>3</v>
      </c>
      <c r="G157" s="265"/>
      <c r="H157" s="265"/>
      <c r="I157" s="265"/>
      <c r="J157" s="265">
        <v>2</v>
      </c>
      <c r="K157" s="265">
        <v>3</v>
      </c>
      <c r="L157" s="265"/>
      <c r="M157" s="265">
        <v>4</v>
      </c>
      <c r="N157" s="265">
        <v>1</v>
      </c>
      <c r="O157" s="265">
        <v>2</v>
      </c>
      <c r="P157" s="31">
        <f t="shared" si="48"/>
        <v>20</v>
      </c>
    </row>
    <row r="158" spans="1:16" x14ac:dyDescent="0.3">
      <c r="A158" s="336"/>
      <c r="B158" s="18" t="s">
        <v>51</v>
      </c>
      <c r="C158" s="4" t="s">
        <v>57</v>
      </c>
      <c r="D158" s="265">
        <v>3</v>
      </c>
      <c r="E158" s="265">
        <v>1</v>
      </c>
      <c r="F158" s="265"/>
      <c r="G158" s="265"/>
      <c r="H158" s="265"/>
      <c r="I158" s="265">
        <v>1</v>
      </c>
      <c r="J158" s="265"/>
      <c r="K158" s="265"/>
      <c r="L158" s="265"/>
      <c r="M158" s="265"/>
      <c r="N158" s="265">
        <v>0</v>
      </c>
      <c r="O158" s="265"/>
      <c r="P158" s="31">
        <f t="shared" si="48"/>
        <v>5</v>
      </c>
    </row>
    <row r="159" spans="1:16" x14ac:dyDescent="0.3">
      <c r="A159" s="336"/>
      <c r="B159" s="18" t="s">
        <v>62</v>
      </c>
      <c r="C159" s="4" t="s">
        <v>57</v>
      </c>
      <c r="D159" s="265"/>
      <c r="E159" s="265">
        <v>0</v>
      </c>
      <c r="F159" s="265"/>
      <c r="G159" s="265"/>
      <c r="H159" s="265"/>
      <c r="I159" s="265">
        <v>1</v>
      </c>
      <c r="J159" s="265"/>
      <c r="K159" s="265"/>
      <c r="L159" s="265"/>
      <c r="M159" s="265"/>
      <c r="N159" s="265">
        <v>0</v>
      </c>
      <c r="O159" s="265"/>
      <c r="P159" s="31">
        <f t="shared" si="48"/>
        <v>1</v>
      </c>
    </row>
    <row r="160" spans="1:16" x14ac:dyDescent="0.3">
      <c r="A160" s="336"/>
      <c r="B160" s="18" t="s">
        <v>50</v>
      </c>
      <c r="C160" s="4" t="s">
        <v>57</v>
      </c>
      <c r="D160" s="265"/>
      <c r="E160" s="265">
        <v>0</v>
      </c>
      <c r="F160" s="265">
        <v>1</v>
      </c>
      <c r="G160" s="265">
        <v>1</v>
      </c>
      <c r="H160" s="265"/>
      <c r="I160" s="265"/>
      <c r="J160" s="265"/>
      <c r="K160" s="265"/>
      <c r="L160" s="265"/>
      <c r="M160" s="265"/>
      <c r="N160" s="265">
        <v>1</v>
      </c>
      <c r="O160" s="265">
        <v>1</v>
      </c>
      <c r="P160" s="31">
        <f t="shared" si="48"/>
        <v>4</v>
      </c>
    </row>
    <row r="161" spans="1:16" x14ac:dyDescent="0.3">
      <c r="A161" s="336"/>
      <c r="B161" s="18" t="s">
        <v>49</v>
      </c>
      <c r="C161" s="4" t="s">
        <v>57</v>
      </c>
      <c r="D161" s="265"/>
      <c r="E161" s="265">
        <v>0</v>
      </c>
      <c r="F161" s="265"/>
      <c r="G161" s="265"/>
      <c r="H161" s="265"/>
      <c r="I161" s="265"/>
      <c r="J161" s="265"/>
      <c r="K161" s="265"/>
      <c r="L161" s="265"/>
      <c r="M161" s="265"/>
      <c r="N161" s="265"/>
      <c r="O161" s="265"/>
      <c r="P161" s="31">
        <f t="shared" si="48"/>
        <v>0</v>
      </c>
    </row>
    <row r="162" spans="1:16" x14ac:dyDescent="0.3">
      <c r="A162" s="336"/>
      <c r="B162" s="18" t="s">
        <v>77</v>
      </c>
      <c r="C162" s="4" t="s">
        <v>57</v>
      </c>
      <c r="D162" s="265"/>
      <c r="E162" s="265">
        <v>1</v>
      </c>
      <c r="F162" s="265"/>
      <c r="G162" s="265"/>
      <c r="H162" s="265"/>
      <c r="I162" s="265">
        <v>1</v>
      </c>
      <c r="J162" s="265"/>
      <c r="K162" s="265"/>
      <c r="L162" s="265"/>
      <c r="M162" s="265"/>
      <c r="N162" s="265"/>
      <c r="O162" s="265"/>
      <c r="P162" s="31">
        <f t="shared" si="48"/>
        <v>2</v>
      </c>
    </row>
    <row r="163" spans="1:16" x14ac:dyDescent="0.3">
      <c r="A163" s="336"/>
      <c r="B163" s="18" t="s">
        <v>69</v>
      </c>
      <c r="C163" s="4" t="s">
        <v>57</v>
      </c>
      <c r="D163" s="265"/>
      <c r="E163" s="265"/>
      <c r="F163" s="265"/>
      <c r="G163" s="265"/>
      <c r="H163" s="265"/>
      <c r="I163" s="265"/>
      <c r="J163" s="265"/>
      <c r="K163" s="265"/>
      <c r="L163" s="265"/>
      <c r="M163" s="265"/>
      <c r="N163" s="265"/>
      <c r="O163" s="265"/>
      <c r="P163" s="31">
        <f t="shared" si="48"/>
        <v>0</v>
      </c>
    </row>
    <row r="164" spans="1:16" x14ac:dyDescent="0.3">
      <c r="A164" s="336"/>
      <c r="B164" s="18" t="s">
        <v>68</v>
      </c>
      <c r="C164" s="4" t="s">
        <v>57</v>
      </c>
      <c r="D164" s="265"/>
      <c r="E164" s="265"/>
      <c r="F164" s="265"/>
      <c r="G164" s="265"/>
      <c r="H164" s="265"/>
      <c r="I164" s="265"/>
      <c r="J164" s="265"/>
      <c r="K164" s="265"/>
      <c r="L164" s="265"/>
      <c r="M164" s="265"/>
      <c r="N164" s="265"/>
      <c r="O164" s="265"/>
      <c r="P164" s="31">
        <f t="shared" si="48"/>
        <v>0</v>
      </c>
    </row>
    <row r="165" spans="1:16" x14ac:dyDescent="0.3">
      <c r="A165" s="337"/>
      <c r="B165" s="18" t="s">
        <v>76</v>
      </c>
      <c r="C165" s="4" t="s">
        <v>57</v>
      </c>
      <c r="D165" s="265"/>
      <c r="E165" s="265"/>
      <c r="F165" s="265"/>
      <c r="G165" s="265"/>
      <c r="H165" s="265"/>
      <c r="I165" s="265"/>
      <c r="J165" s="265"/>
      <c r="K165" s="265"/>
      <c r="L165" s="265"/>
      <c r="M165" s="265"/>
      <c r="N165" s="265"/>
      <c r="O165" s="265"/>
      <c r="P165" s="31">
        <f t="shared" si="48"/>
        <v>0</v>
      </c>
    </row>
    <row r="166" spans="1:16" x14ac:dyDescent="0.3">
      <c r="A166" s="335" t="s">
        <v>75</v>
      </c>
      <c r="B166" s="288" t="s">
        <v>63</v>
      </c>
      <c r="C166" s="4"/>
      <c r="D166" s="265"/>
      <c r="E166" s="265"/>
      <c r="F166" s="265"/>
      <c r="G166" s="265"/>
      <c r="H166" s="265"/>
      <c r="I166" s="265"/>
      <c r="J166" s="265"/>
      <c r="K166" s="265"/>
      <c r="L166" s="265"/>
      <c r="M166" s="265"/>
      <c r="N166" s="265"/>
      <c r="O166" s="265"/>
      <c r="P166" s="31"/>
    </row>
    <row r="167" spans="1:16" x14ac:dyDescent="0.3">
      <c r="A167" s="336"/>
      <c r="B167" s="18" t="s">
        <v>74</v>
      </c>
      <c r="C167" s="4" t="s">
        <v>57</v>
      </c>
      <c r="D167" s="265">
        <v>3</v>
      </c>
      <c r="E167" s="265">
        <v>1</v>
      </c>
      <c r="F167" s="265"/>
      <c r="G167" s="265"/>
      <c r="H167" s="265"/>
      <c r="I167" s="265"/>
      <c r="J167" s="265"/>
      <c r="K167" s="265"/>
      <c r="L167" s="265"/>
      <c r="M167" s="265"/>
      <c r="N167" s="265"/>
      <c r="O167" s="265"/>
      <c r="P167" s="31">
        <f t="shared" ref="P167:P175" si="49">SUM(D167:O167)</f>
        <v>4</v>
      </c>
    </row>
    <row r="168" spans="1:16" x14ac:dyDescent="0.3">
      <c r="A168" s="336"/>
      <c r="B168" s="18" t="s">
        <v>73</v>
      </c>
      <c r="C168" s="4" t="s">
        <v>57</v>
      </c>
      <c r="D168" s="265"/>
      <c r="E168" s="265"/>
      <c r="F168" s="265"/>
      <c r="G168" s="265"/>
      <c r="H168" s="265"/>
      <c r="I168" s="265"/>
      <c r="J168" s="265"/>
      <c r="K168" s="265"/>
      <c r="L168" s="265"/>
      <c r="M168" s="265"/>
      <c r="N168" s="265"/>
      <c r="O168" s="265"/>
      <c r="P168" s="31">
        <f t="shared" si="49"/>
        <v>0</v>
      </c>
    </row>
    <row r="169" spans="1:16" x14ac:dyDescent="0.3">
      <c r="A169" s="336"/>
      <c r="B169" s="18" t="s">
        <v>72</v>
      </c>
      <c r="C169" s="4" t="s">
        <v>57</v>
      </c>
      <c r="D169" s="265"/>
      <c r="E169" s="265"/>
      <c r="F169" s="265"/>
      <c r="G169" s="265"/>
      <c r="H169" s="265"/>
      <c r="I169" s="265"/>
      <c r="J169" s="265"/>
      <c r="K169" s="265"/>
      <c r="L169" s="265"/>
      <c r="M169" s="265"/>
      <c r="N169" s="265"/>
      <c r="O169" s="265"/>
      <c r="P169" s="31">
        <f t="shared" si="49"/>
        <v>0</v>
      </c>
    </row>
    <row r="170" spans="1:16" x14ac:dyDescent="0.3">
      <c r="A170" s="336"/>
      <c r="B170" s="18" t="s">
        <v>71</v>
      </c>
      <c r="C170" s="4" t="s">
        <v>57</v>
      </c>
      <c r="D170" s="265"/>
      <c r="E170" s="265"/>
      <c r="F170" s="265"/>
      <c r="G170" s="265"/>
      <c r="H170" s="265"/>
      <c r="I170" s="265"/>
      <c r="J170" s="265"/>
      <c r="K170" s="265"/>
      <c r="L170" s="265"/>
      <c r="M170" s="265"/>
      <c r="N170" s="265"/>
      <c r="O170" s="265"/>
      <c r="P170" s="31">
        <f t="shared" si="49"/>
        <v>0</v>
      </c>
    </row>
    <row r="171" spans="1:16" x14ac:dyDescent="0.3">
      <c r="A171" s="336"/>
      <c r="B171" s="18" t="s">
        <v>52</v>
      </c>
      <c r="C171" s="4" t="s">
        <v>57</v>
      </c>
      <c r="D171" s="265"/>
      <c r="E171" s="265"/>
      <c r="F171" s="265"/>
      <c r="G171" s="265"/>
      <c r="H171" s="265"/>
      <c r="I171" s="265"/>
      <c r="J171" s="265"/>
      <c r="K171" s="265"/>
      <c r="L171" s="265"/>
      <c r="M171" s="265"/>
      <c r="N171" s="265"/>
      <c r="O171" s="265"/>
      <c r="P171" s="31">
        <f t="shared" si="49"/>
        <v>0</v>
      </c>
    </row>
    <row r="172" spans="1:16" x14ac:dyDescent="0.3">
      <c r="A172" s="336"/>
      <c r="B172" s="18" t="s">
        <v>62</v>
      </c>
      <c r="C172" s="4" t="s">
        <v>57</v>
      </c>
      <c r="D172" s="265"/>
      <c r="E172" s="265"/>
      <c r="F172" s="265"/>
      <c r="G172" s="265"/>
      <c r="H172" s="265"/>
      <c r="I172" s="265"/>
      <c r="J172" s="265"/>
      <c r="K172" s="265"/>
      <c r="L172" s="265"/>
      <c r="M172" s="265"/>
      <c r="N172" s="265"/>
      <c r="O172" s="265"/>
      <c r="P172" s="31">
        <f t="shared" si="49"/>
        <v>0</v>
      </c>
    </row>
    <row r="173" spans="1:16" x14ac:dyDescent="0.3">
      <c r="A173" s="336"/>
      <c r="B173" s="18" t="s">
        <v>61</v>
      </c>
      <c r="C173" s="4" t="s">
        <v>57</v>
      </c>
      <c r="D173" s="265"/>
      <c r="E173" s="265"/>
      <c r="F173" s="265"/>
      <c r="G173" s="265"/>
      <c r="H173" s="265"/>
      <c r="I173" s="265"/>
      <c r="J173" s="265"/>
      <c r="K173" s="265"/>
      <c r="L173" s="265"/>
      <c r="M173" s="265"/>
      <c r="N173" s="265"/>
      <c r="O173" s="265"/>
      <c r="P173" s="31">
        <f t="shared" si="49"/>
        <v>0</v>
      </c>
    </row>
    <row r="174" spans="1:16" x14ac:dyDescent="0.3">
      <c r="A174" s="336"/>
      <c r="B174" s="18" t="s">
        <v>60</v>
      </c>
      <c r="C174" s="4" t="s">
        <v>57</v>
      </c>
      <c r="D174" s="265"/>
      <c r="E174" s="265"/>
      <c r="F174" s="265"/>
      <c r="G174" s="265"/>
      <c r="H174" s="265"/>
      <c r="I174" s="265"/>
      <c r="J174" s="265"/>
      <c r="K174" s="265"/>
      <c r="L174" s="265"/>
      <c r="M174" s="265"/>
      <c r="N174" s="265"/>
      <c r="O174" s="265"/>
      <c r="P174" s="31">
        <f t="shared" si="49"/>
        <v>0</v>
      </c>
    </row>
    <row r="175" spans="1:16" x14ac:dyDescent="0.3">
      <c r="A175" s="337"/>
      <c r="B175" s="18" t="s">
        <v>69</v>
      </c>
      <c r="C175" s="4" t="s">
        <v>57</v>
      </c>
      <c r="D175" s="265"/>
      <c r="E175" s="265"/>
      <c r="F175" s="265"/>
      <c r="G175" s="265"/>
      <c r="H175" s="265"/>
      <c r="I175" s="265"/>
      <c r="J175" s="265"/>
      <c r="K175" s="265"/>
      <c r="L175" s="265"/>
      <c r="M175" s="265"/>
      <c r="N175" s="265"/>
      <c r="O175" s="265"/>
      <c r="P175" s="31">
        <f t="shared" si="49"/>
        <v>0</v>
      </c>
    </row>
    <row r="176" spans="1:16" x14ac:dyDescent="0.3">
      <c r="A176" s="335" t="s">
        <v>70</v>
      </c>
      <c r="B176" s="288" t="s">
        <v>63</v>
      </c>
      <c r="C176" s="4"/>
      <c r="D176" s="265"/>
      <c r="E176" s="265"/>
      <c r="F176" s="265"/>
      <c r="G176" s="265"/>
      <c r="H176" s="265"/>
      <c r="I176" s="265"/>
      <c r="J176" s="265"/>
      <c r="K176" s="265"/>
      <c r="L176" s="265"/>
      <c r="M176" s="265"/>
      <c r="N176" s="265"/>
      <c r="O176" s="265"/>
      <c r="P176" s="31"/>
    </row>
    <row r="177" spans="1:16" x14ac:dyDescent="0.3">
      <c r="A177" s="336"/>
      <c r="B177" s="18" t="s">
        <v>60</v>
      </c>
      <c r="C177" s="4" t="s">
        <v>57</v>
      </c>
      <c r="D177" s="265"/>
      <c r="E177" s="265"/>
      <c r="F177" s="265"/>
      <c r="G177" s="265"/>
      <c r="H177" s="265"/>
      <c r="I177" s="265"/>
      <c r="J177" s="265"/>
      <c r="K177" s="265"/>
      <c r="L177" s="265"/>
      <c r="M177" s="265"/>
      <c r="N177" s="265"/>
      <c r="O177" s="265"/>
      <c r="P177" s="31">
        <f t="shared" ref="P177:P182" si="50">SUM(D177:O177)</f>
        <v>0</v>
      </c>
    </row>
    <row r="178" spans="1:16" x14ac:dyDescent="0.3">
      <c r="A178" s="336"/>
      <c r="B178" s="18" t="s">
        <v>69</v>
      </c>
      <c r="C178" s="4" t="s">
        <v>57</v>
      </c>
      <c r="D178" s="265"/>
      <c r="E178" s="265"/>
      <c r="F178" s="265"/>
      <c r="G178" s="265"/>
      <c r="H178" s="265"/>
      <c r="I178" s="265"/>
      <c r="J178" s="265"/>
      <c r="K178" s="265"/>
      <c r="L178" s="265"/>
      <c r="M178" s="265"/>
      <c r="N178" s="265"/>
      <c r="O178" s="265"/>
      <c r="P178" s="31">
        <f t="shared" si="50"/>
        <v>0</v>
      </c>
    </row>
    <row r="179" spans="1:16" x14ac:dyDescent="0.3">
      <c r="A179" s="336"/>
      <c r="B179" s="18" t="s">
        <v>68</v>
      </c>
      <c r="C179" s="4" t="s">
        <v>57</v>
      </c>
      <c r="D179" s="265"/>
      <c r="E179" s="265"/>
      <c r="F179" s="265"/>
      <c r="G179" s="265"/>
      <c r="H179" s="265"/>
      <c r="I179" s="265"/>
      <c r="J179" s="265"/>
      <c r="K179" s="265"/>
      <c r="L179" s="265"/>
      <c r="M179" s="265"/>
      <c r="N179" s="265"/>
      <c r="O179" s="265"/>
      <c r="P179" s="31">
        <f t="shared" si="50"/>
        <v>0</v>
      </c>
    </row>
    <row r="180" spans="1:16" x14ac:dyDescent="0.3">
      <c r="A180" s="336"/>
      <c r="B180" s="18" t="s">
        <v>67</v>
      </c>
      <c r="C180" s="4" t="s">
        <v>57</v>
      </c>
      <c r="D180" s="265"/>
      <c r="E180" s="265"/>
      <c r="F180" s="265"/>
      <c r="G180" s="265"/>
      <c r="H180" s="265"/>
      <c r="I180" s="265"/>
      <c r="J180" s="265"/>
      <c r="K180" s="265"/>
      <c r="L180" s="265"/>
      <c r="M180" s="265"/>
      <c r="N180" s="265"/>
      <c r="O180" s="265"/>
      <c r="P180" s="31">
        <f t="shared" si="50"/>
        <v>0</v>
      </c>
    </row>
    <row r="181" spans="1:16" x14ac:dyDescent="0.3">
      <c r="A181" s="336"/>
      <c r="B181" s="18" t="s">
        <v>66</v>
      </c>
      <c r="C181" s="4" t="s">
        <v>57</v>
      </c>
      <c r="D181" s="265"/>
      <c r="E181" s="265"/>
      <c r="F181" s="265"/>
      <c r="G181" s="265"/>
      <c r="H181" s="265"/>
      <c r="I181" s="265"/>
      <c r="J181" s="265"/>
      <c r="K181" s="265"/>
      <c r="L181" s="265"/>
      <c r="M181" s="265"/>
      <c r="N181" s="265"/>
      <c r="O181" s="265"/>
      <c r="P181" s="31">
        <f t="shared" si="50"/>
        <v>0</v>
      </c>
    </row>
    <row r="182" spans="1:16" x14ac:dyDescent="0.3">
      <c r="A182" s="337"/>
      <c r="B182" s="18" t="s">
        <v>65</v>
      </c>
      <c r="C182" s="4" t="s">
        <v>57</v>
      </c>
      <c r="D182" s="265"/>
      <c r="E182" s="265"/>
      <c r="F182" s="265"/>
      <c r="G182" s="265"/>
      <c r="H182" s="265"/>
      <c r="I182" s="265"/>
      <c r="J182" s="265"/>
      <c r="K182" s="265"/>
      <c r="L182" s="265"/>
      <c r="M182" s="265"/>
      <c r="N182" s="265"/>
      <c r="O182" s="265"/>
      <c r="P182" s="31">
        <f t="shared" si="50"/>
        <v>0</v>
      </c>
    </row>
    <row r="183" spans="1:16" x14ac:dyDescent="0.3">
      <c r="A183" s="335" t="s">
        <v>211</v>
      </c>
      <c r="B183" s="288" t="s">
        <v>63</v>
      </c>
      <c r="C183" s="4"/>
      <c r="D183" s="265"/>
      <c r="E183" s="265"/>
      <c r="F183" s="265"/>
      <c r="G183" s="265"/>
      <c r="H183" s="265"/>
      <c r="I183" s="265"/>
      <c r="J183" s="265"/>
      <c r="K183" s="265"/>
      <c r="L183" s="265"/>
      <c r="M183" s="265"/>
      <c r="N183" s="265"/>
      <c r="O183" s="265"/>
      <c r="P183" s="31"/>
    </row>
    <row r="184" spans="1:16" x14ac:dyDescent="0.3">
      <c r="A184" s="336"/>
      <c r="B184" s="18" t="s">
        <v>73</v>
      </c>
      <c r="C184" s="4"/>
      <c r="D184" s="265"/>
      <c r="E184" s="265"/>
      <c r="F184" s="265"/>
      <c r="G184" s="265"/>
      <c r="H184" s="265"/>
      <c r="I184" s="265"/>
      <c r="J184" s="265"/>
      <c r="K184" s="265"/>
      <c r="L184" s="265"/>
      <c r="M184" s="265"/>
      <c r="N184" s="265"/>
      <c r="O184" s="265"/>
      <c r="P184" s="31">
        <f>SUM(D184:O184)</f>
        <v>0</v>
      </c>
    </row>
    <row r="185" spans="1:16" x14ac:dyDescent="0.3">
      <c r="A185" s="336"/>
      <c r="B185" s="18" t="s">
        <v>72</v>
      </c>
      <c r="C185" s="4"/>
      <c r="D185" s="265"/>
      <c r="E185" s="265"/>
      <c r="F185" s="265"/>
      <c r="G185" s="265"/>
      <c r="H185" s="265"/>
      <c r="I185" s="265"/>
      <c r="J185" s="265"/>
      <c r="K185" s="265"/>
      <c r="L185" s="265"/>
      <c r="M185" s="265"/>
      <c r="N185" s="265"/>
      <c r="O185" s="265"/>
      <c r="P185" s="31">
        <f>SUM(D185:O185)</f>
        <v>0</v>
      </c>
    </row>
    <row r="186" spans="1:16" x14ac:dyDescent="0.3">
      <c r="A186" s="336"/>
      <c r="B186" s="18" t="s">
        <v>53</v>
      </c>
      <c r="C186" s="4"/>
      <c r="D186" s="265"/>
      <c r="E186" s="265"/>
      <c r="F186" s="265"/>
      <c r="G186" s="265"/>
      <c r="H186" s="265"/>
      <c r="I186" s="265"/>
      <c r="J186" s="265"/>
      <c r="K186" s="265"/>
      <c r="L186" s="265"/>
      <c r="M186" s="265"/>
      <c r="N186" s="265"/>
      <c r="O186" s="265"/>
      <c r="P186" s="31">
        <f>SUM(D186:O186)</f>
        <v>0</v>
      </c>
    </row>
    <row r="187" spans="1:16" x14ac:dyDescent="0.3">
      <c r="A187" s="337"/>
      <c r="B187" s="18" t="s">
        <v>52</v>
      </c>
      <c r="C187" s="4"/>
      <c r="D187" s="265"/>
      <c r="E187" s="265"/>
      <c r="F187" s="265"/>
      <c r="G187" s="265"/>
      <c r="H187" s="265"/>
      <c r="I187" s="265"/>
      <c r="J187" s="265"/>
      <c r="K187" s="265"/>
      <c r="L187" s="265"/>
      <c r="M187" s="265"/>
      <c r="N187" s="265"/>
      <c r="O187" s="265"/>
      <c r="P187" s="31">
        <f>SUM(D187:O187)</f>
        <v>0</v>
      </c>
    </row>
    <row r="188" spans="1:16" x14ac:dyDescent="0.3">
      <c r="A188" s="335" t="s">
        <v>64</v>
      </c>
      <c r="B188" s="288" t="s">
        <v>63</v>
      </c>
      <c r="C188" s="4"/>
      <c r="D188" s="265"/>
      <c r="E188" s="265"/>
      <c r="F188" s="265"/>
      <c r="G188" s="265"/>
      <c r="H188" s="265"/>
      <c r="I188" s="265"/>
      <c r="J188" s="265"/>
      <c r="K188" s="265"/>
      <c r="L188" s="265"/>
      <c r="M188" s="265"/>
      <c r="N188" s="265"/>
      <c r="O188" s="265"/>
      <c r="P188" s="31"/>
    </row>
    <row r="189" spans="1:16" x14ac:dyDescent="0.3">
      <c r="A189" s="336"/>
      <c r="B189" s="18" t="s">
        <v>52</v>
      </c>
      <c r="C189" s="4" t="s">
        <v>57</v>
      </c>
      <c r="D189" s="265"/>
      <c r="E189" s="265"/>
      <c r="F189" s="265"/>
      <c r="G189" s="265"/>
      <c r="H189" s="265"/>
      <c r="I189" s="265"/>
      <c r="J189" s="265"/>
      <c r="K189" s="265"/>
      <c r="L189" s="265"/>
      <c r="M189" s="265"/>
      <c r="N189" s="265"/>
      <c r="O189" s="265"/>
      <c r="P189" s="31">
        <f>SUM(D189:O189)</f>
        <v>0</v>
      </c>
    </row>
    <row r="190" spans="1:16" x14ac:dyDescent="0.3">
      <c r="A190" s="336"/>
      <c r="B190" s="18" t="s">
        <v>62</v>
      </c>
      <c r="C190" s="4" t="s">
        <v>57</v>
      </c>
      <c r="D190" s="265"/>
      <c r="E190" s="265"/>
      <c r="F190" s="265"/>
      <c r="G190" s="265"/>
      <c r="H190" s="265"/>
      <c r="I190" s="265"/>
      <c r="J190" s="265"/>
      <c r="K190" s="265"/>
      <c r="L190" s="265"/>
      <c r="M190" s="265"/>
      <c r="N190" s="265"/>
      <c r="O190" s="265"/>
      <c r="P190" s="31">
        <f>SUM(D190:O190)</f>
        <v>0</v>
      </c>
    </row>
    <row r="191" spans="1:16" x14ac:dyDescent="0.3">
      <c r="A191" s="336"/>
      <c r="B191" s="18" t="s">
        <v>61</v>
      </c>
      <c r="C191" s="4" t="s">
        <v>57</v>
      </c>
      <c r="D191" s="265"/>
      <c r="E191" s="265"/>
      <c r="F191" s="265"/>
      <c r="G191" s="265"/>
      <c r="H191" s="265"/>
      <c r="I191" s="265"/>
      <c r="J191" s="265"/>
      <c r="K191" s="265"/>
      <c r="L191" s="265"/>
      <c r="M191" s="265"/>
      <c r="N191" s="265"/>
      <c r="O191" s="265"/>
      <c r="P191" s="31">
        <f>SUM(D191:O191)</f>
        <v>0</v>
      </c>
    </row>
    <row r="192" spans="1:16" x14ac:dyDescent="0.3">
      <c r="A192" s="337"/>
      <c r="B192" s="18" t="s">
        <v>60</v>
      </c>
      <c r="C192" s="4" t="s">
        <v>57</v>
      </c>
      <c r="D192" s="265"/>
      <c r="E192" s="265"/>
      <c r="F192" s="265"/>
      <c r="G192" s="265"/>
      <c r="H192" s="265"/>
      <c r="I192" s="265"/>
      <c r="J192" s="265"/>
      <c r="K192" s="265"/>
      <c r="L192" s="265"/>
      <c r="M192" s="265"/>
      <c r="N192" s="265"/>
      <c r="O192" s="265"/>
      <c r="P192" s="31">
        <f>SUM(D192:O192)</f>
        <v>0</v>
      </c>
    </row>
    <row r="193" spans="1:16" x14ac:dyDescent="0.3">
      <c r="A193" s="289" t="s">
        <v>59</v>
      </c>
      <c r="B193" s="290"/>
      <c r="C193" s="4"/>
      <c r="D193" s="291">
        <f>SUM(D153:D192)</f>
        <v>142</v>
      </c>
      <c r="E193" s="291">
        <f t="shared" ref="E193:P193" si="51">SUM(E153:E192)</f>
        <v>135</v>
      </c>
      <c r="F193" s="291">
        <f t="shared" si="51"/>
        <v>105</v>
      </c>
      <c r="G193" s="291">
        <f t="shared" si="51"/>
        <v>67</v>
      </c>
      <c r="H193" s="291">
        <f t="shared" si="51"/>
        <v>45</v>
      </c>
      <c r="I193" s="291">
        <f t="shared" si="51"/>
        <v>51</v>
      </c>
      <c r="J193" s="291">
        <f t="shared" si="51"/>
        <v>30</v>
      </c>
      <c r="K193" s="291">
        <f t="shared" si="51"/>
        <v>30</v>
      </c>
      <c r="L193" s="291">
        <f t="shared" si="51"/>
        <v>67</v>
      </c>
      <c r="M193" s="291">
        <f t="shared" si="51"/>
        <v>79</v>
      </c>
      <c r="N193" s="291">
        <f t="shared" si="51"/>
        <v>64</v>
      </c>
      <c r="O193" s="291">
        <f t="shared" si="51"/>
        <v>74</v>
      </c>
      <c r="P193" s="266">
        <f t="shared" si="51"/>
        <v>889</v>
      </c>
    </row>
    <row r="194" spans="1:16" x14ac:dyDescent="0.3">
      <c r="A194" s="316" t="s">
        <v>58</v>
      </c>
      <c r="B194" s="338"/>
      <c r="C194" s="4" t="s">
        <v>57</v>
      </c>
      <c r="D194" s="265">
        <v>1</v>
      </c>
      <c r="E194" s="265"/>
      <c r="F194" s="265"/>
      <c r="G194" s="265"/>
      <c r="H194" s="265"/>
      <c r="I194" s="265"/>
      <c r="J194" s="265">
        <v>1</v>
      </c>
      <c r="K194" s="265"/>
      <c r="L194" s="265">
        <v>1</v>
      </c>
      <c r="M194" s="265">
        <v>1</v>
      </c>
      <c r="N194" s="265">
        <v>1</v>
      </c>
      <c r="O194" s="265"/>
      <c r="P194" s="34">
        <f>SUM(D194:O194)</f>
        <v>5</v>
      </c>
    </row>
    <row r="195" spans="1:16" x14ac:dyDescent="0.3">
      <c r="A195" s="318"/>
      <c r="B195" s="339"/>
      <c r="C195" s="14" t="s">
        <v>55</v>
      </c>
      <c r="D195" s="265">
        <v>168</v>
      </c>
      <c r="E195" s="265"/>
      <c r="F195" s="265"/>
      <c r="G195" s="265"/>
      <c r="H195" s="265"/>
      <c r="I195" s="265"/>
      <c r="J195" s="265">
        <v>264</v>
      </c>
      <c r="K195" s="265"/>
      <c r="L195" s="265">
        <v>312</v>
      </c>
      <c r="M195" s="265">
        <v>720</v>
      </c>
      <c r="N195" s="265">
        <v>600</v>
      </c>
      <c r="O195" s="265"/>
      <c r="P195" s="34">
        <f>SUM(D195:O195)</f>
        <v>2064</v>
      </c>
    </row>
    <row r="196" spans="1:16" x14ac:dyDescent="0.3">
      <c r="A196" s="292" t="s">
        <v>204</v>
      </c>
      <c r="B196" s="293"/>
      <c r="C196" s="14" t="s">
        <v>55</v>
      </c>
      <c r="D196" s="265">
        <v>720</v>
      </c>
      <c r="E196" s="265">
        <v>464</v>
      </c>
      <c r="F196" s="265">
        <v>720</v>
      </c>
      <c r="G196" s="265">
        <v>720</v>
      </c>
      <c r="H196" s="265">
        <v>288</v>
      </c>
      <c r="I196" s="265">
        <v>720</v>
      </c>
      <c r="J196" s="265">
        <v>720</v>
      </c>
      <c r="K196" s="265">
        <v>720</v>
      </c>
      <c r="L196" s="265">
        <v>720</v>
      </c>
      <c r="M196" s="265">
        <v>720</v>
      </c>
      <c r="N196" s="265">
        <v>720</v>
      </c>
      <c r="O196" s="265">
        <v>720</v>
      </c>
      <c r="P196" s="34">
        <f>SUM(D196:O196)/12</f>
        <v>662.66666666666663</v>
      </c>
    </row>
    <row r="197" spans="1:16" x14ac:dyDescent="0.3">
      <c r="A197" s="312" t="s">
        <v>56</v>
      </c>
      <c r="B197" s="313"/>
      <c r="C197" s="14" t="s">
        <v>55</v>
      </c>
      <c r="D197" s="265">
        <v>98</v>
      </c>
      <c r="E197" s="265">
        <v>121</v>
      </c>
      <c r="F197" s="265">
        <v>148</v>
      </c>
      <c r="G197" s="265">
        <v>158</v>
      </c>
      <c r="H197" s="265">
        <v>149</v>
      </c>
      <c r="I197" s="265">
        <v>170</v>
      </c>
      <c r="J197" s="265">
        <v>192</v>
      </c>
      <c r="K197" s="265">
        <v>151</v>
      </c>
      <c r="L197" s="265">
        <v>179</v>
      </c>
      <c r="M197" s="265">
        <v>96</v>
      </c>
      <c r="N197" s="265">
        <v>56</v>
      </c>
      <c r="O197" s="265">
        <v>119</v>
      </c>
      <c r="P197" s="34">
        <f>SUM(D197:O197)</f>
        <v>1637</v>
      </c>
    </row>
    <row r="198" spans="1:16" x14ac:dyDescent="0.3">
      <c r="A198" s="310" t="s">
        <v>205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75"/>
    </row>
    <row r="199" spans="1:16" x14ac:dyDescent="0.3">
      <c r="A199" s="316" t="s">
        <v>54</v>
      </c>
      <c r="B199" s="249" t="s">
        <v>53</v>
      </c>
      <c r="C199" s="4" t="s">
        <v>47</v>
      </c>
      <c r="D199" s="265"/>
      <c r="E199" s="265"/>
      <c r="F199" s="265"/>
      <c r="G199" s="265"/>
      <c r="H199" s="265"/>
      <c r="I199" s="265"/>
      <c r="J199" s="265"/>
      <c r="K199" s="265"/>
      <c r="L199" s="265"/>
      <c r="M199" s="265"/>
      <c r="N199" s="265"/>
      <c r="O199" s="265"/>
      <c r="P199" s="34">
        <f t="shared" ref="P199:P204" si="52">SUM(D199:O199)</f>
        <v>0</v>
      </c>
    </row>
    <row r="200" spans="1:16" x14ac:dyDescent="0.3">
      <c r="A200" s="317"/>
      <c r="B200" s="249" t="s">
        <v>52</v>
      </c>
      <c r="C200" s="4" t="s">
        <v>47</v>
      </c>
      <c r="D200" s="265"/>
      <c r="E200" s="265"/>
      <c r="F200" s="265"/>
      <c r="G200" s="265"/>
      <c r="H200" s="265"/>
      <c r="I200" s="265"/>
      <c r="J200" s="265"/>
      <c r="K200" s="265"/>
      <c r="L200" s="265"/>
      <c r="M200" s="265"/>
      <c r="N200" s="265"/>
      <c r="O200" s="265"/>
      <c r="P200" s="34">
        <f t="shared" si="52"/>
        <v>0</v>
      </c>
    </row>
    <row r="201" spans="1:16" x14ac:dyDescent="0.3">
      <c r="A201" s="317"/>
      <c r="B201" s="249" t="s">
        <v>51</v>
      </c>
      <c r="C201" s="4" t="s">
        <v>47</v>
      </c>
      <c r="D201" s="265"/>
      <c r="E201" s="265"/>
      <c r="F201" s="265"/>
      <c r="G201" s="265"/>
      <c r="H201" s="265"/>
      <c r="I201" s="265"/>
      <c r="J201" s="265"/>
      <c r="K201" s="265"/>
      <c r="L201" s="265"/>
      <c r="M201" s="265"/>
      <c r="N201" s="265"/>
      <c r="O201" s="265"/>
      <c r="P201" s="34">
        <f t="shared" si="52"/>
        <v>0</v>
      </c>
    </row>
    <row r="202" spans="1:16" x14ac:dyDescent="0.3">
      <c r="A202" s="317"/>
      <c r="B202" s="249" t="s">
        <v>50</v>
      </c>
      <c r="C202" s="4" t="s">
        <v>47</v>
      </c>
      <c r="D202" s="265"/>
      <c r="E202" s="265"/>
      <c r="F202" s="265"/>
      <c r="G202" s="265"/>
      <c r="H202" s="265"/>
      <c r="I202" s="265"/>
      <c r="J202" s="265"/>
      <c r="K202" s="265"/>
      <c r="L202" s="265"/>
      <c r="M202" s="265"/>
      <c r="N202" s="265"/>
      <c r="O202" s="265"/>
      <c r="P202" s="34">
        <f t="shared" si="52"/>
        <v>0</v>
      </c>
    </row>
    <row r="203" spans="1:16" x14ac:dyDescent="0.3">
      <c r="A203" s="318"/>
      <c r="B203" s="249" t="s">
        <v>49</v>
      </c>
      <c r="C203" s="4" t="s">
        <v>47</v>
      </c>
      <c r="D203" s="265"/>
      <c r="E203" s="265"/>
      <c r="F203" s="265"/>
      <c r="G203" s="265"/>
      <c r="H203" s="265"/>
      <c r="I203" s="265"/>
      <c r="J203" s="265"/>
      <c r="K203" s="265"/>
      <c r="L203" s="265"/>
      <c r="M203" s="265"/>
      <c r="N203" s="265"/>
      <c r="O203" s="265"/>
      <c r="P203" s="34">
        <f t="shared" si="52"/>
        <v>0</v>
      </c>
    </row>
    <row r="204" spans="1:16" x14ac:dyDescent="0.3">
      <c r="A204" s="275" t="s">
        <v>48</v>
      </c>
      <c r="B204" s="249"/>
      <c r="C204" s="4" t="s">
        <v>47</v>
      </c>
      <c r="D204" s="261">
        <f t="shared" ref="D204:O204" si="53">SUM(D199:D203)</f>
        <v>0</v>
      </c>
      <c r="E204" s="261">
        <f t="shared" si="53"/>
        <v>0</v>
      </c>
      <c r="F204" s="261">
        <f t="shared" si="53"/>
        <v>0</v>
      </c>
      <c r="G204" s="261">
        <f t="shared" si="53"/>
        <v>0</v>
      </c>
      <c r="H204" s="261">
        <f t="shared" si="53"/>
        <v>0</v>
      </c>
      <c r="I204" s="261">
        <f t="shared" si="53"/>
        <v>0</v>
      </c>
      <c r="J204" s="261">
        <f t="shared" si="53"/>
        <v>0</v>
      </c>
      <c r="K204" s="261">
        <f t="shared" si="53"/>
        <v>0</v>
      </c>
      <c r="L204" s="261">
        <f t="shared" si="53"/>
        <v>0</v>
      </c>
      <c r="M204" s="261">
        <f t="shared" si="53"/>
        <v>0</v>
      </c>
      <c r="N204" s="261">
        <f t="shared" si="53"/>
        <v>0</v>
      </c>
      <c r="O204" s="261">
        <f t="shared" si="53"/>
        <v>0</v>
      </c>
      <c r="P204" s="99">
        <f t="shared" si="52"/>
        <v>0</v>
      </c>
    </row>
    <row r="205" spans="1:16" x14ac:dyDescent="0.3">
      <c r="A205" s="310" t="s">
        <v>46</v>
      </c>
      <c r="B205" s="311"/>
      <c r="C205" s="311"/>
      <c r="D205" s="311"/>
      <c r="E205" s="311"/>
      <c r="F205" s="311"/>
      <c r="G205" s="311"/>
      <c r="H205" s="311"/>
      <c r="I205" s="311"/>
      <c r="J205" s="311"/>
      <c r="K205" s="311"/>
      <c r="L205" s="311"/>
      <c r="M205" s="311"/>
      <c r="N205" s="311"/>
      <c r="O205" s="311"/>
      <c r="P205" s="375"/>
    </row>
    <row r="206" spans="1:16" x14ac:dyDescent="0.3">
      <c r="A206" s="312" t="s">
        <v>43</v>
      </c>
      <c r="B206" s="313"/>
      <c r="C206" s="4" t="s">
        <v>31</v>
      </c>
      <c r="D206" s="262"/>
      <c r="E206" s="262"/>
      <c r="F206" s="262"/>
      <c r="G206" s="262"/>
      <c r="H206" s="262"/>
      <c r="I206" s="262"/>
      <c r="J206" s="262">
        <v>3000</v>
      </c>
      <c r="K206" s="262">
        <v>3000</v>
      </c>
      <c r="L206" s="262"/>
      <c r="M206" s="262"/>
      <c r="N206" s="262"/>
      <c r="O206" s="262"/>
      <c r="P206" s="34">
        <f>SUM(D206:O206)</f>
        <v>6000</v>
      </c>
    </row>
    <row r="207" spans="1:16" x14ac:dyDescent="0.3">
      <c r="A207" s="312" t="s">
        <v>42</v>
      </c>
      <c r="B207" s="313"/>
      <c r="C207" s="4" t="s">
        <v>31</v>
      </c>
      <c r="D207" s="262"/>
      <c r="E207" s="262"/>
      <c r="F207" s="262"/>
      <c r="G207" s="262"/>
      <c r="H207" s="262"/>
      <c r="I207" s="262"/>
      <c r="J207" s="262"/>
      <c r="K207" s="262"/>
      <c r="L207" s="262"/>
      <c r="M207" s="262"/>
      <c r="N207" s="262"/>
      <c r="O207" s="262"/>
      <c r="P207" s="34">
        <f>SUM(D207:O207)</f>
        <v>0</v>
      </c>
    </row>
    <row r="208" spans="1:16" x14ac:dyDescent="0.3">
      <c r="A208" s="319" t="s">
        <v>41</v>
      </c>
      <c r="B208" s="320"/>
      <c r="C208" s="4" t="s">
        <v>31</v>
      </c>
      <c r="D208" s="262"/>
      <c r="E208" s="262"/>
      <c r="F208" s="262"/>
      <c r="G208" s="262"/>
      <c r="H208" s="262"/>
      <c r="I208" s="262"/>
      <c r="J208" s="262"/>
      <c r="K208" s="262"/>
      <c r="L208" s="262"/>
      <c r="M208" s="262"/>
      <c r="N208" s="262"/>
      <c r="O208" s="262"/>
      <c r="P208" s="34">
        <f>SUM(D208:O208)</f>
        <v>0</v>
      </c>
    </row>
    <row r="209" spans="1:16" x14ac:dyDescent="0.3">
      <c r="A209" s="312" t="s">
        <v>40</v>
      </c>
      <c r="B209" s="313"/>
      <c r="C209" s="4" t="s">
        <v>31</v>
      </c>
      <c r="D209" s="262"/>
      <c r="E209" s="262"/>
      <c r="F209" s="262"/>
      <c r="G209" s="262"/>
      <c r="H209" s="262"/>
      <c r="I209" s="262"/>
      <c r="J209" s="262"/>
      <c r="K209" s="262"/>
      <c r="L209" s="262"/>
      <c r="M209" s="262"/>
      <c r="N209" s="262"/>
      <c r="O209" s="262"/>
      <c r="P209" s="34">
        <f>SUM(D209:O209)</f>
        <v>0</v>
      </c>
    </row>
    <row r="210" spans="1:16" x14ac:dyDescent="0.3">
      <c r="A210" s="314" t="s">
        <v>45</v>
      </c>
      <c r="B210" s="315"/>
      <c r="C210" s="4" t="s">
        <v>31</v>
      </c>
      <c r="D210" s="291">
        <f t="shared" ref="D210:O210" si="54">SUM(D206:D209)</f>
        <v>0</v>
      </c>
      <c r="E210" s="291">
        <f t="shared" si="54"/>
        <v>0</v>
      </c>
      <c r="F210" s="291">
        <f t="shared" si="54"/>
        <v>0</v>
      </c>
      <c r="G210" s="291">
        <f t="shared" si="54"/>
        <v>0</v>
      </c>
      <c r="H210" s="291">
        <f t="shared" si="54"/>
        <v>0</v>
      </c>
      <c r="I210" s="291">
        <f t="shared" si="54"/>
        <v>0</v>
      </c>
      <c r="J210" s="291">
        <f t="shared" si="54"/>
        <v>3000</v>
      </c>
      <c r="K210" s="291">
        <f t="shared" si="54"/>
        <v>3000</v>
      </c>
      <c r="L210" s="291">
        <f t="shared" si="54"/>
        <v>0</v>
      </c>
      <c r="M210" s="291">
        <f t="shared" si="54"/>
        <v>0</v>
      </c>
      <c r="N210" s="291">
        <f t="shared" si="54"/>
        <v>0</v>
      </c>
      <c r="O210" s="291">
        <f t="shared" si="54"/>
        <v>0</v>
      </c>
      <c r="P210" s="34">
        <f>SUM(D210:O210)</f>
        <v>6000</v>
      </c>
    </row>
    <row r="211" spans="1:16" x14ac:dyDescent="0.3">
      <c r="A211" s="310" t="s">
        <v>44</v>
      </c>
      <c r="B211" s="311"/>
      <c r="C211" s="311"/>
      <c r="D211" s="311"/>
      <c r="E211" s="311"/>
      <c r="F211" s="311"/>
      <c r="G211" s="311"/>
      <c r="H211" s="311"/>
      <c r="I211" s="311"/>
      <c r="J211" s="311"/>
      <c r="K211" s="311"/>
      <c r="L211" s="311"/>
      <c r="M211" s="311"/>
      <c r="N211" s="311"/>
      <c r="O211" s="311"/>
      <c r="P211" s="375"/>
    </row>
    <row r="212" spans="1:16" x14ac:dyDescent="0.3">
      <c r="A212" s="312" t="s">
        <v>43</v>
      </c>
      <c r="B212" s="313"/>
      <c r="C212" s="4" t="s">
        <v>31</v>
      </c>
      <c r="D212" s="262">
        <v>4030427.910000002</v>
      </c>
      <c r="E212" s="262">
        <v>4359874.28</v>
      </c>
      <c r="F212" s="262">
        <v>4669512.16</v>
      </c>
      <c r="G212" s="262">
        <v>4182405.16</v>
      </c>
      <c r="H212" s="262">
        <v>4225893.76</v>
      </c>
      <c r="I212" s="262">
        <v>3912616.88</v>
      </c>
      <c r="J212" s="262">
        <v>3166862.16</v>
      </c>
      <c r="K212" s="262">
        <v>2918232.85</v>
      </c>
      <c r="L212" s="262">
        <v>3146565.9</v>
      </c>
      <c r="M212" s="262">
        <v>3495380</v>
      </c>
      <c r="N212" s="262">
        <v>3159978.8</v>
      </c>
      <c r="O212" s="262">
        <v>2785030</v>
      </c>
      <c r="P212" s="34">
        <f>SUM(D212:O212)</f>
        <v>44052779.859999999</v>
      </c>
    </row>
    <row r="213" spans="1:16" x14ac:dyDescent="0.3">
      <c r="A213" s="312" t="s">
        <v>42</v>
      </c>
      <c r="B213" s="313"/>
      <c r="C213" s="4" t="s">
        <v>31</v>
      </c>
      <c r="D213" s="262">
        <v>30500</v>
      </c>
      <c r="E213" s="262">
        <v>34700</v>
      </c>
      <c r="F213" s="262">
        <v>42500</v>
      </c>
      <c r="G213" s="262">
        <v>17100</v>
      </c>
      <c r="H213" s="262">
        <v>19700</v>
      </c>
      <c r="I213" s="262">
        <v>11500</v>
      </c>
      <c r="J213" s="262">
        <v>8500</v>
      </c>
      <c r="K213" s="262">
        <v>11300</v>
      </c>
      <c r="L213" s="262">
        <v>2000</v>
      </c>
      <c r="M213" s="262">
        <v>18500</v>
      </c>
      <c r="N213" s="262">
        <v>28000</v>
      </c>
      <c r="O213" s="262">
        <v>2000</v>
      </c>
      <c r="P213" s="34">
        <f>SUM(D213:O213)</f>
        <v>226300</v>
      </c>
    </row>
    <row r="214" spans="1:16" x14ac:dyDescent="0.3">
      <c r="A214" s="319" t="s">
        <v>41</v>
      </c>
      <c r="B214" s="320"/>
      <c r="C214" s="4" t="s">
        <v>31</v>
      </c>
      <c r="D214" s="262">
        <v>247664.04</v>
      </c>
      <c r="E214" s="262">
        <v>366177</v>
      </c>
      <c r="F214" s="262">
        <v>191200</v>
      </c>
      <c r="G214" s="262">
        <v>237024.64000000001</v>
      </c>
      <c r="H214" s="262">
        <v>155318.43</v>
      </c>
      <c r="I214" s="262">
        <v>292200</v>
      </c>
      <c r="J214" s="262">
        <v>201800</v>
      </c>
      <c r="K214" s="262">
        <v>72000</v>
      </c>
      <c r="L214" s="262">
        <v>97400</v>
      </c>
      <c r="M214" s="262">
        <v>116700</v>
      </c>
      <c r="N214" s="262">
        <v>186600</v>
      </c>
      <c r="O214" s="262">
        <v>265500</v>
      </c>
      <c r="P214" s="34">
        <f>SUM(D214:O214)</f>
        <v>2429584.1100000003</v>
      </c>
    </row>
    <row r="215" spans="1:16" x14ac:dyDescent="0.3">
      <c r="A215" s="312" t="s">
        <v>40</v>
      </c>
      <c r="B215" s="313"/>
      <c r="C215" s="4" t="s">
        <v>31</v>
      </c>
      <c r="D215" s="262">
        <v>176153.94</v>
      </c>
      <c r="E215" s="262">
        <v>137300</v>
      </c>
      <c r="F215" s="262">
        <v>118415</v>
      </c>
      <c r="G215" s="262">
        <v>133400</v>
      </c>
      <c r="H215" s="262">
        <v>115900</v>
      </c>
      <c r="I215" s="262">
        <v>263439.40000000002</v>
      </c>
      <c r="J215" s="262">
        <v>224200</v>
      </c>
      <c r="K215" s="262">
        <v>70200</v>
      </c>
      <c r="L215" s="262">
        <v>25500</v>
      </c>
      <c r="M215" s="262">
        <v>186400</v>
      </c>
      <c r="N215" s="262">
        <v>176100</v>
      </c>
      <c r="O215" s="262">
        <v>206600</v>
      </c>
      <c r="P215" s="34">
        <f>SUM(D215:O215)</f>
        <v>1833608.3399999999</v>
      </c>
    </row>
    <row r="216" spans="1:16" x14ac:dyDescent="0.3">
      <c r="A216" s="314" t="s">
        <v>39</v>
      </c>
      <c r="B216" s="315"/>
      <c r="C216" s="4" t="s">
        <v>31</v>
      </c>
      <c r="D216" s="291">
        <f t="shared" ref="D216:O216" si="55">SUM(D212:D215)</f>
        <v>4484745.8900000025</v>
      </c>
      <c r="E216" s="291">
        <f t="shared" si="55"/>
        <v>4898051.28</v>
      </c>
      <c r="F216" s="291">
        <f t="shared" si="55"/>
        <v>5021627.16</v>
      </c>
      <c r="G216" s="291">
        <f t="shared" si="55"/>
        <v>4569929.8</v>
      </c>
      <c r="H216" s="291">
        <f t="shared" si="55"/>
        <v>4516812.1899999995</v>
      </c>
      <c r="I216" s="291">
        <f t="shared" si="55"/>
        <v>4479756.28</v>
      </c>
      <c r="J216" s="291">
        <f t="shared" si="55"/>
        <v>3601362.16</v>
      </c>
      <c r="K216" s="291">
        <f t="shared" si="55"/>
        <v>3071732.85</v>
      </c>
      <c r="L216" s="291">
        <f t="shared" si="55"/>
        <v>3271465.9</v>
      </c>
      <c r="M216" s="291">
        <f t="shared" si="55"/>
        <v>3816980</v>
      </c>
      <c r="N216" s="291">
        <f t="shared" si="55"/>
        <v>3550678.8</v>
      </c>
      <c r="O216" s="291">
        <f t="shared" si="55"/>
        <v>3259130</v>
      </c>
      <c r="P216" s="34">
        <f>SUM(D216:O216)</f>
        <v>48542272.309999995</v>
      </c>
    </row>
    <row r="217" spans="1:16" x14ac:dyDescent="0.3">
      <c r="A217" s="294" t="s">
        <v>38</v>
      </c>
      <c r="B217" s="295"/>
      <c r="C217" s="4" t="s">
        <v>31</v>
      </c>
      <c r="D217" s="291">
        <f>D210+D216</f>
        <v>4484745.8900000025</v>
      </c>
      <c r="E217" s="291">
        <f t="shared" ref="E217:P217" si="56">E210+E216</f>
        <v>4898051.28</v>
      </c>
      <c r="F217" s="291">
        <f t="shared" si="56"/>
        <v>5021627.16</v>
      </c>
      <c r="G217" s="291">
        <f t="shared" si="56"/>
        <v>4569929.8</v>
      </c>
      <c r="H217" s="291">
        <f t="shared" si="56"/>
        <v>4516812.1899999995</v>
      </c>
      <c r="I217" s="291">
        <f t="shared" si="56"/>
        <v>4479756.28</v>
      </c>
      <c r="J217" s="291">
        <f t="shared" si="56"/>
        <v>3604362.16</v>
      </c>
      <c r="K217" s="291">
        <f t="shared" si="56"/>
        <v>3074732.85</v>
      </c>
      <c r="L217" s="291">
        <f t="shared" si="56"/>
        <v>3271465.9</v>
      </c>
      <c r="M217" s="291">
        <f t="shared" si="56"/>
        <v>3816980</v>
      </c>
      <c r="N217" s="291">
        <f t="shared" si="56"/>
        <v>3550678.8</v>
      </c>
      <c r="O217" s="291">
        <f t="shared" si="56"/>
        <v>3259130</v>
      </c>
      <c r="P217" s="266">
        <f t="shared" si="56"/>
        <v>48548272.309999995</v>
      </c>
    </row>
    <row r="218" spans="1:16" x14ac:dyDescent="0.3">
      <c r="A218" s="310" t="s">
        <v>37</v>
      </c>
      <c r="B218" s="311"/>
      <c r="C218" s="311"/>
      <c r="D218" s="311"/>
      <c r="E218" s="311"/>
      <c r="F218" s="311"/>
      <c r="G218" s="311"/>
      <c r="H218" s="311"/>
      <c r="I218" s="311"/>
      <c r="J218" s="311"/>
      <c r="K218" s="311"/>
      <c r="L218" s="311"/>
      <c r="M218" s="311"/>
      <c r="N218" s="311"/>
      <c r="O218" s="311"/>
      <c r="P218" s="375"/>
    </row>
    <row r="219" spans="1:16" x14ac:dyDescent="0.3">
      <c r="A219" s="312" t="s">
        <v>35</v>
      </c>
      <c r="B219" s="313"/>
      <c r="C219" s="4" t="s">
        <v>31</v>
      </c>
      <c r="D219" s="262">
        <v>9319.6200000000008</v>
      </c>
      <c r="E219" s="262">
        <v>6680.52</v>
      </c>
      <c r="F219" s="262">
        <v>11079.02</v>
      </c>
      <c r="G219" s="262">
        <v>12873.6</v>
      </c>
      <c r="H219" s="262">
        <v>15618.24</v>
      </c>
      <c r="I219" s="262">
        <v>13788.48</v>
      </c>
      <c r="J219" s="262">
        <v>6680.52</v>
      </c>
      <c r="K219" s="262">
        <v>8439.92</v>
      </c>
      <c r="L219" s="262">
        <v>6680.52</v>
      </c>
      <c r="M219" s="262">
        <v>7560.22</v>
      </c>
      <c r="N219" s="262">
        <v>7560.22</v>
      </c>
      <c r="O219" s="262">
        <v>2759255.87</v>
      </c>
      <c r="P219" s="34">
        <f>SUM(D219:O219)</f>
        <v>2865536.75</v>
      </c>
    </row>
    <row r="220" spans="1:16" x14ac:dyDescent="0.3">
      <c r="A220" s="312" t="s">
        <v>34</v>
      </c>
      <c r="B220" s="313"/>
      <c r="C220" s="4" t="s">
        <v>31</v>
      </c>
      <c r="D220" s="262"/>
      <c r="E220" s="262"/>
      <c r="F220" s="262"/>
      <c r="G220" s="262"/>
      <c r="H220" s="262"/>
      <c r="I220" s="262"/>
      <c r="J220" s="262"/>
      <c r="K220" s="262"/>
      <c r="L220" s="262"/>
      <c r="M220" s="262"/>
      <c r="N220" s="262"/>
      <c r="O220" s="262"/>
      <c r="P220" s="34">
        <f>SUM(D220:O220)</f>
        <v>0</v>
      </c>
    </row>
    <row r="221" spans="1:16" x14ac:dyDescent="0.3">
      <c r="A221" s="312" t="s">
        <v>33</v>
      </c>
      <c r="B221" s="313"/>
      <c r="C221" s="4" t="s">
        <v>31</v>
      </c>
      <c r="D221" s="262">
        <v>8410.99</v>
      </c>
      <c r="E221" s="262">
        <v>13735.31</v>
      </c>
      <c r="F221" s="262">
        <v>19059.63</v>
      </c>
      <c r="G221" s="262">
        <v>8410.99</v>
      </c>
      <c r="H221" s="262">
        <v>8410.99</v>
      </c>
      <c r="I221" s="262">
        <v>8410.99</v>
      </c>
      <c r="J221" s="262">
        <v>8410.99</v>
      </c>
      <c r="K221" s="262">
        <v>8410.99</v>
      </c>
      <c r="L221" s="262">
        <v>8410.99</v>
      </c>
      <c r="M221" s="262">
        <v>8410.99</v>
      </c>
      <c r="N221" s="262">
        <v>8410.99</v>
      </c>
      <c r="O221" s="262">
        <v>206600</v>
      </c>
      <c r="P221" s="34">
        <f>SUM(D221:O221)</f>
        <v>315093.85000000003</v>
      </c>
    </row>
    <row r="222" spans="1:16" x14ac:dyDescent="0.3">
      <c r="A222" s="312" t="s">
        <v>32</v>
      </c>
      <c r="B222" s="313"/>
      <c r="C222" s="4" t="s">
        <v>31</v>
      </c>
      <c r="D222" s="262"/>
      <c r="E222" s="262"/>
      <c r="F222" s="262"/>
      <c r="G222" s="262"/>
      <c r="H222" s="262"/>
      <c r="I222" s="262"/>
      <c r="J222" s="262"/>
      <c r="K222" s="262"/>
      <c r="L222" s="262"/>
      <c r="M222" s="262"/>
      <c r="N222" s="262"/>
      <c r="O222" s="262">
        <v>265500</v>
      </c>
      <c r="P222" s="34">
        <f>SUM(D222:O222)</f>
        <v>265500</v>
      </c>
    </row>
    <row r="223" spans="1:16" x14ac:dyDescent="0.3">
      <c r="A223" s="314" t="s">
        <v>36</v>
      </c>
      <c r="B223" s="315"/>
      <c r="C223" s="4" t="s">
        <v>31</v>
      </c>
      <c r="D223" s="296">
        <f t="shared" ref="D223:O223" si="57">SUM(D219:D222)</f>
        <v>17730.61</v>
      </c>
      <c r="E223" s="296">
        <f t="shared" si="57"/>
        <v>20415.830000000002</v>
      </c>
      <c r="F223" s="296">
        <f t="shared" si="57"/>
        <v>30138.65</v>
      </c>
      <c r="G223" s="296">
        <f t="shared" si="57"/>
        <v>21284.59</v>
      </c>
      <c r="H223" s="296">
        <f t="shared" si="57"/>
        <v>24029.23</v>
      </c>
      <c r="I223" s="296">
        <f t="shared" si="57"/>
        <v>22199.47</v>
      </c>
      <c r="J223" s="296">
        <f t="shared" si="57"/>
        <v>15091.51</v>
      </c>
      <c r="K223" s="296">
        <f t="shared" si="57"/>
        <v>16850.91</v>
      </c>
      <c r="L223" s="296">
        <f t="shared" si="57"/>
        <v>15091.51</v>
      </c>
      <c r="M223" s="296">
        <f t="shared" si="57"/>
        <v>15971.21</v>
      </c>
      <c r="N223" s="296">
        <f t="shared" si="57"/>
        <v>15971.21</v>
      </c>
      <c r="O223" s="296">
        <f t="shared" si="57"/>
        <v>3231355.87</v>
      </c>
      <c r="P223" s="34">
        <f>SUM(D223:O223)</f>
        <v>3446130.6</v>
      </c>
    </row>
    <row r="224" spans="1:16" x14ac:dyDescent="0.3">
      <c r="A224" s="310" t="s">
        <v>213</v>
      </c>
      <c r="B224" s="311"/>
      <c r="C224" s="311"/>
      <c r="D224" s="311"/>
      <c r="E224" s="311"/>
      <c r="F224" s="311"/>
      <c r="G224" s="311"/>
      <c r="H224" s="311"/>
      <c r="I224" s="311"/>
      <c r="J224" s="311"/>
      <c r="K224" s="311"/>
      <c r="L224" s="311"/>
      <c r="M224" s="311"/>
      <c r="N224" s="311"/>
      <c r="O224" s="311"/>
      <c r="P224" s="375"/>
    </row>
    <row r="225" spans="1:19" x14ac:dyDescent="0.3">
      <c r="A225" s="312" t="s">
        <v>35</v>
      </c>
      <c r="B225" s="313"/>
      <c r="C225" s="4" t="s">
        <v>31</v>
      </c>
      <c r="D225" s="262">
        <v>3750514.6</v>
      </c>
      <c r="E225" s="262">
        <v>4190697.22</v>
      </c>
      <c r="F225" s="262">
        <v>4521318.3699999945</v>
      </c>
      <c r="G225" s="262">
        <v>4083798.8700000024</v>
      </c>
      <c r="H225" s="262">
        <v>4141173.760000004</v>
      </c>
      <c r="I225" s="262">
        <v>3832541.7600000021</v>
      </c>
      <c r="J225" s="262">
        <v>3147072.5700000017</v>
      </c>
      <c r="K225" s="262">
        <v>2884808.0700000003</v>
      </c>
      <c r="L225" s="262">
        <v>2905065.9000000004</v>
      </c>
      <c r="M225" s="262">
        <v>3452567.41</v>
      </c>
      <c r="N225" s="262">
        <v>3135558.8000000017</v>
      </c>
      <c r="O225" s="262">
        <v>2759255.87</v>
      </c>
      <c r="P225" s="34">
        <f t="shared" ref="P225:P230" si="58">SUM(D225:O225)</f>
        <v>42804373.200000003</v>
      </c>
    </row>
    <row r="226" spans="1:19" x14ac:dyDescent="0.3">
      <c r="A226" s="312" t="s">
        <v>34</v>
      </c>
      <c r="B226" s="313"/>
      <c r="C226" s="4" t="s">
        <v>31</v>
      </c>
      <c r="D226" s="262">
        <v>30500</v>
      </c>
      <c r="E226" s="262">
        <v>34700</v>
      </c>
      <c r="F226" s="262">
        <v>42500</v>
      </c>
      <c r="G226" s="262">
        <v>17100</v>
      </c>
      <c r="H226" s="262">
        <v>19700</v>
      </c>
      <c r="I226" s="262">
        <v>11500</v>
      </c>
      <c r="J226" s="262">
        <v>8500</v>
      </c>
      <c r="K226" s="262">
        <v>11300</v>
      </c>
      <c r="L226" s="262">
        <v>2000</v>
      </c>
      <c r="M226" s="262">
        <v>18500</v>
      </c>
      <c r="N226" s="262">
        <v>28000</v>
      </c>
      <c r="O226" s="262">
        <v>2000</v>
      </c>
      <c r="P226" s="34">
        <f t="shared" si="58"/>
        <v>226300</v>
      </c>
    </row>
    <row r="227" spans="1:19" x14ac:dyDescent="0.3">
      <c r="A227" s="312" t="s">
        <v>33</v>
      </c>
      <c r="B227" s="313"/>
      <c r="C227" s="4" t="s">
        <v>31</v>
      </c>
      <c r="D227" s="262">
        <v>175553.94</v>
      </c>
      <c r="E227" s="262">
        <v>136700</v>
      </c>
      <c r="F227" s="262">
        <v>117215</v>
      </c>
      <c r="G227" s="262">
        <v>133400</v>
      </c>
      <c r="H227" s="262">
        <v>108100</v>
      </c>
      <c r="I227" s="262">
        <v>262839.40000000002</v>
      </c>
      <c r="J227" s="262">
        <v>224200</v>
      </c>
      <c r="K227" s="262">
        <v>70200</v>
      </c>
      <c r="L227" s="262">
        <v>25500</v>
      </c>
      <c r="M227" s="262">
        <v>186366.07999999999</v>
      </c>
      <c r="N227" s="262">
        <v>175500</v>
      </c>
      <c r="O227" s="262">
        <v>206600</v>
      </c>
      <c r="P227" s="34">
        <f t="shared" si="58"/>
        <v>1822174.42</v>
      </c>
    </row>
    <row r="228" spans="1:19" x14ac:dyDescent="0.3">
      <c r="A228" s="312" t="s">
        <v>32</v>
      </c>
      <c r="B228" s="313"/>
      <c r="C228" s="4" t="s">
        <v>31</v>
      </c>
      <c r="D228" s="262">
        <v>228482.38</v>
      </c>
      <c r="E228" s="262">
        <v>326378.45999999996</v>
      </c>
      <c r="F228" s="262">
        <v>191200</v>
      </c>
      <c r="G228" s="262">
        <v>237024.64000000001</v>
      </c>
      <c r="H228" s="262">
        <v>155318.43</v>
      </c>
      <c r="I228" s="262">
        <v>292200</v>
      </c>
      <c r="J228" s="262">
        <v>201800</v>
      </c>
      <c r="K228" s="262">
        <v>72000</v>
      </c>
      <c r="L228" s="262">
        <v>97400</v>
      </c>
      <c r="M228" s="262">
        <v>116700</v>
      </c>
      <c r="N228" s="262">
        <v>186600</v>
      </c>
      <c r="O228" s="262">
        <v>265500</v>
      </c>
      <c r="P228" s="34">
        <f t="shared" si="58"/>
        <v>2370603.91</v>
      </c>
    </row>
    <row r="229" spans="1:19" x14ac:dyDescent="0.3">
      <c r="A229" s="314" t="s">
        <v>214</v>
      </c>
      <c r="B229" s="315"/>
      <c r="C229" s="4" t="s">
        <v>31</v>
      </c>
      <c r="D229" s="296">
        <f t="shared" ref="D229:O229" si="59">SUM(D225:D228)</f>
        <v>4185050.92</v>
      </c>
      <c r="E229" s="296">
        <f t="shared" si="59"/>
        <v>4688475.6800000006</v>
      </c>
      <c r="F229" s="296">
        <f t="shared" si="59"/>
        <v>4872233.3699999945</v>
      </c>
      <c r="G229" s="296">
        <f t="shared" si="59"/>
        <v>4471323.5100000026</v>
      </c>
      <c r="H229" s="296">
        <f t="shared" si="59"/>
        <v>4424292.1900000032</v>
      </c>
      <c r="I229" s="296">
        <f t="shared" si="59"/>
        <v>4399081.160000002</v>
      </c>
      <c r="J229" s="296">
        <f t="shared" si="59"/>
        <v>3581572.5700000017</v>
      </c>
      <c r="K229" s="296">
        <f t="shared" si="59"/>
        <v>3038308.0700000003</v>
      </c>
      <c r="L229" s="296">
        <f t="shared" si="59"/>
        <v>3029965.9000000004</v>
      </c>
      <c r="M229" s="296">
        <f t="shared" si="59"/>
        <v>3774133.49</v>
      </c>
      <c r="N229" s="296">
        <f t="shared" si="59"/>
        <v>3525658.8000000017</v>
      </c>
      <c r="O229" s="296">
        <f t="shared" si="59"/>
        <v>3233355.87</v>
      </c>
      <c r="P229" s="34">
        <f t="shared" si="58"/>
        <v>47223451.530000009</v>
      </c>
      <c r="S229" s="432"/>
    </row>
    <row r="230" spans="1:19" x14ac:dyDescent="0.3">
      <c r="A230" s="294" t="s">
        <v>215</v>
      </c>
      <c r="B230" s="297"/>
      <c r="C230" s="4" t="s">
        <v>31</v>
      </c>
      <c r="D230" s="296">
        <f>D223+D229</f>
        <v>4202781.53</v>
      </c>
      <c r="E230" s="296">
        <f t="shared" ref="E230:O230" si="60">E223+E229</f>
        <v>4708891.5100000007</v>
      </c>
      <c r="F230" s="296">
        <f t="shared" si="60"/>
        <v>4902372.0199999949</v>
      </c>
      <c r="G230" s="296">
        <f t="shared" si="60"/>
        <v>4492608.1000000024</v>
      </c>
      <c r="H230" s="296">
        <f t="shared" si="60"/>
        <v>4448321.4200000037</v>
      </c>
      <c r="I230" s="296">
        <f t="shared" si="60"/>
        <v>4421280.6300000018</v>
      </c>
      <c r="J230" s="296">
        <f t="shared" si="60"/>
        <v>3596664.0800000015</v>
      </c>
      <c r="K230" s="296">
        <f t="shared" si="60"/>
        <v>3055158.9800000004</v>
      </c>
      <c r="L230" s="296">
        <f t="shared" si="60"/>
        <v>3045057.41</v>
      </c>
      <c r="M230" s="296">
        <f t="shared" si="60"/>
        <v>3790104.7</v>
      </c>
      <c r="N230" s="296">
        <f t="shared" si="60"/>
        <v>3541630.0100000016</v>
      </c>
      <c r="O230" s="296">
        <f t="shared" si="60"/>
        <v>6464711.7400000002</v>
      </c>
      <c r="P230" s="34">
        <f t="shared" si="58"/>
        <v>50669582.130000018</v>
      </c>
      <c r="R230" s="419"/>
    </row>
    <row r="231" spans="1:19" x14ac:dyDescent="0.3">
      <c r="A231" s="310" t="s">
        <v>30</v>
      </c>
      <c r="B231" s="311"/>
      <c r="C231" s="311"/>
      <c r="D231" s="311"/>
      <c r="E231" s="311"/>
      <c r="F231" s="311"/>
      <c r="G231" s="311"/>
      <c r="H231" s="311"/>
      <c r="I231" s="311"/>
      <c r="J231" s="311"/>
      <c r="K231" s="311"/>
      <c r="L231" s="311"/>
      <c r="M231" s="311"/>
      <c r="N231" s="311"/>
      <c r="O231" s="311"/>
      <c r="P231" s="375"/>
    </row>
    <row r="232" spans="1:19" x14ac:dyDescent="0.3">
      <c r="A232" s="312" t="s">
        <v>29</v>
      </c>
      <c r="B232" s="313"/>
      <c r="C232" s="4" t="s">
        <v>18</v>
      </c>
      <c r="D232" s="262">
        <v>1089.8599999999999</v>
      </c>
      <c r="E232" s="262">
        <v>1089.8599999999999</v>
      </c>
      <c r="F232" s="262">
        <v>1089.8599999999999</v>
      </c>
      <c r="G232" s="262">
        <v>1089.8599999999999</v>
      </c>
      <c r="H232" s="262">
        <v>1089.8599999999999</v>
      </c>
      <c r="I232" s="262">
        <v>1089.8599999999999</v>
      </c>
      <c r="J232" s="262">
        <v>1089.8599999999999</v>
      </c>
      <c r="K232" s="262">
        <v>1089.8599999999999</v>
      </c>
      <c r="L232" s="262">
        <v>1089.8599999999999</v>
      </c>
      <c r="M232" s="262">
        <v>1089.8599999999999</v>
      </c>
      <c r="N232" s="262">
        <v>1089.8599999999999</v>
      </c>
      <c r="O232" s="262">
        <v>1089.8599999999999</v>
      </c>
      <c r="P232" s="34">
        <f>SUM(D232:O232)</f>
        <v>13078.320000000002</v>
      </c>
    </row>
    <row r="233" spans="1:19" x14ac:dyDescent="0.3">
      <c r="A233" s="312" t="s">
        <v>28</v>
      </c>
      <c r="B233" s="313"/>
      <c r="C233" s="4" t="s">
        <v>18</v>
      </c>
      <c r="D233" s="262"/>
      <c r="E233" s="262"/>
      <c r="F233" s="262"/>
      <c r="G233" s="262"/>
      <c r="H233" s="262"/>
      <c r="I233" s="262"/>
      <c r="J233" s="262"/>
      <c r="K233" s="262"/>
      <c r="L233" s="262"/>
      <c r="M233" s="262"/>
      <c r="N233" s="262"/>
      <c r="O233" s="262"/>
      <c r="P233" s="34">
        <f>SUM(D233:O233)</f>
        <v>0</v>
      </c>
    </row>
    <row r="234" spans="1:19" x14ac:dyDescent="0.3">
      <c r="A234" s="312" t="s">
        <v>27</v>
      </c>
      <c r="B234" s="313"/>
      <c r="C234" s="4" t="s">
        <v>18</v>
      </c>
      <c r="D234" s="262">
        <v>3393.64</v>
      </c>
      <c r="E234" s="262">
        <v>3393.64</v>
      </c>
      <c r="F234" s="262">
        <v>3393.64</v>
      </c>
      <c r="G234" s="262">
        <v>3393.64</v>
      </c>
      <c r="H234" s="262">
        <v>3393.64</v>
      </c>
      <c r="I234" s="262">
        <v>3393.64</v>
      </c>
      <c r="J234" s="262">
        <v>3393.64</v>
      </c>
      <c r="K234" s="262">
        <v>3393.64</v>
      </c>
      <c r="L234" s="262">
        <v>3393.64</v>
      </c>
      <c r="M234" s="262">
        <v>3393.64</v>
      </c>
      <c r="N234" s="262">
        <v>3393.64</v>
      </c>
      <c r="O234" s="262">
        <v>3393.64</v>
      </c>
      <c r="P234" s="34">
        <f>SUM(D234:O234)</f>
        <v>40723.68</v>
      </c>
    </row>
    <row r="235" spans="1:19" x14ac:dyDescent="0.3">
      <c r="A235" s="312" t="s">
        <v>26</v>
      </c>
      <c r="B235" s="313"/>
      <c r="C235" s="4" t="s">
        <v>18</v>
      </c>
      <c r="D235" s="262"/>
      <c r="E235" s="262"/>
      <c r="F235" s="262"/>
      <c r="G235" s="262"/>
      <c r="H235" s="262"/>
      <c r="I235" s="262"/>
      <c r="J235" s="262"/>
      <c r="K235" s="262"/>
      <c r="L235" s="262"/>
      <c r="M235" s="262"/>
      <c r="N235" s="262"/>
      <c r="O235" s="262"/>
      <c r="P235" s="34">
        <f>SUM(D235:O235)</f>
        <v>0</v>
      </c>
    </row>
    <row r="236" spans="1:19" x14ac:dyDescent="0.3">
      <c r="A236" s="314" t="s">
        <v>25</v>
      </c>
      <c r="B236" s="315"/>
      <c r="C236" s="4" t="s">
        <v>18</v>
      </c>
      <c r="D236" s="296">
        <f t="shared" ref="D236:P236" si="61">SUM(D232:D235)</f>
        <v>4483.5</v>
      </c>
      <c r="E236" s="296">
        <f t="shared" si="61"/>
        <v>4483.5</v>
      </c>
      <c r="F236" s="296">
        <f t="shared" si="61"/>
        <v>4483.5</v>
      </c>
      <c r="G236" s="296">
        <f t="shared" si="61"/>
        <v>4483.5</v>
      </c>
      <c r="H236" s="296">
        <f t="shared" si="61"/>
        <v>4483.5</v>
      </c>
      <c r="I236" s="296">
        <f t="shared" si="61"/>
        <v>4483.5</v>
      </c>
      <c r="J236" s="296">
        <f t="shared" si="61"/>
        <v>4483.5</v>
      </c>
      <c r="K236" s="296">
        <f t="shared" si="61"/>
        <v>4483.5</v>
      </c>
      <c r="L236" s="296">
        <f t="shared" si="61"/>
        <v>4483.5</v>
      </c>
      <c r="M236" s="296">
        <f t="shared" si="61"/>
        <v>4483.5</v>
      </c>
      <c r="N236" s="296">
        <f t="shared" si="61"/>
        <v>4483.5</v>
      </c>
      <c r="O236" s="296">
        <f t="shared" si="61"/>
        <v>4483.5</v>
      </c>
      <c r="P236" s="266">
        <f t="shared" si="61"/>
        <v>53802</v>
      </c>
    </row>
    <row r="237" spans="1:19" x14ac:dyDescent="0.3">
      <c r="A237" s="310" t="s">
        <v>24</v>
      </c>
      <c r="B237" s="311"/>
      <c r="C237" s="311"/>
      <c r="D237" s="311"/>
      <c r="E237" s="311"/>
      <c r="F237" s="311"/>
      <c r="G237" s="311"/>
      <c r="H237" s="311"/>
      <c r="I237" s="311"/>
      <c r="J237" s="311"/>
      <c r="K237" s="311"/>
      <c r="L237" s="311"/>
      <c r="M237" s="311"/>
      <c r="N237" s="311"/>
      <c r="O237" s="311"/>
      <c r="P237" s="375"/>
    </row>
    <row r="238" spans="1:19" x14ac:dyDescent="0.3">
      <c r="A238" s="312" t="s">
        <v>23</v>
      </c>
      <c r="B238" s="313"/>
      <c r="C238" s="4" t="s">
        <v>18</v>
      </c>
      <c r="D238" s="261">
        <v>1786</v>
      </c>
      <c r="E238" s="261">
        <v>1786</v>
      </c>
      <c r="F238" s="261">
        <v>1786</v>
      </c>
      <c r="G238" s="261">
        <v>1786</v>
      </c>
      <c r="H238" s="261">
        <v>1786</v>
      </c>
      <c r="I238" s="261">
        <v>1786</v>
      </c>
      <c r="J238" s="261">
        <v>1786</v>
      </c>
      <c r="K238" s="261">
        <v>1786</v>
      </c>
      <c r="L238" s="261">
        <v>1786</v>
      </c>
      <c r="M238" s="261">
        <v>1786</v>
      </c>
      <c r="N238" s="261">
        <v>1786</v>
      </c>
      <c r="O238" s="261">
        <v>1786</v>
      </c>
      <c r="P238" s="34">
        <f>SUM(D238:O238)</f>
        <v>21432</v>
      </c>
    </row>
    <row r="239" spans="1:19" x14ac:dyDescent="0.3">
      <c r="A239" s="312" t="s">
        <v>22</v>
      </c>
      <c r="B239" s="313"/>
      <c r="C239" s="4" t="s">
        <v>18</v>
      </c>
      <c r="D239" s="261"/>
      <c r="E239" s="261"/>
      <c r="F239" s="261"/>
      <c r="G239" s="261"/>
      <c r="H239" s="261"/>
      <c r="I239" s="261"/>
      <c r="J239" s="261"/>
      <c r="K239" s="261"/>
      <c r="L239" s="261"/>
      <c r="M239" s="261"/>
      <c r="N239" s="261"/>
      <c r="O239" s="261"/>
      <c r="P239" s="34">
        <f>SUM(D239:O239)</f>
        <v>0</v>
      </c>
    </row>
    <row r="240" spans="1:19" x14ac:dyDescent="0.3">
      <c r="A240" s="312" t="s">
        <v>21</v>
      </c>
      <c r="B240" s="313"/>
      <c r="C240" s="4" t="s">
        <v>18</v>
      </c>
      <c r="D240" s="261">
        <v>893</v>
      </c>
      <c r="E240" s="261">
        <v>893</v>
      </c>
      <c r="F240" s="261">
        <v>893</v>
      </c>
      <c r="G240" s="261">
        <v>893</v>
      </c>
      <c r="H240" s="261">
        <v>893</v>
      </c>
      <c r="I240" s="261">
        <v>893</v>
      </c>
      <c r="J240" s="261">
        <v>893</v>
      </c>
      <c r="K240" s="261">
        <v>893</v>
      </c>
      <c r="L240" s="261">
        <v>893</v>
      </c>
      <c r="M240" s="261">
        <v>893</v>
      </c>
      <c r="N240" s="261">
        <v>893</v>
      </c>
      <c r="O240" s="261">
        <v>893</v>
      </c>
      <c r="P240" s="34">
        <f>SUM(D240:O240)</f>
        <v>10716</v>
      </c>
    </row>
    <row r="241" spans="1:16" x14ac:dyDescent="0.3">
      <c r="A241" s="312" t="s">
        <v>20</v>
      </c>
      <c r="B241" s="313"/>
      <c r="C241" s="4" t="s">
        <v>18</v>
      </c>
      <c r="D241" s="262"/>
      <c r="E241" s="262"/>
      <c r="F241" s="262"/>
      <c r="G241" s="262"/>
      <c r="H241" s="262"/>
      <c r="I241" s="262"/>
      <c r="J241" s="262"/>
      <c r="K241" s="262"/>
      <c r="L241" s="262"/>
      <c r="M241" s="262"/>
      <c r="N241" s="262"/>
      <c r="O241" s="262"/>
      <c r="P241" s="34">
        <f>SUM(D241:O241)</f>
        <v>0</v>
      </c>
    </row>
    <row r="242" spans="1:16" x14ac:dyDescent="0.3">
      <c r="A242" s="314" t="s">
        <v>19</v>
      </c>
      <c r="B242" s="315"/>
      <c r="C242" s="4" t="s">
        <v>18</v>
      </c>
      <c r="D242" s="296">
        <f t="shared" ref="D242:P242" si="62">SUM(D238:D241)</f>
        <v>2679</v>
      </c>
      <c r="E242" s="296">
        <f t="shared" si="62"/>
        <v>2679</v>
      </c>
      <c r="F242" s="296">
        <f t="shared" si="62"/>
        <v>2679</v>
      </c>
      <c r="G242" s="296">
        <f t="shared" si="62"/>
        <v>2679</v>
      </c>
      <c r="H242" s="296">
        <f t="shared" si="62"/>
        <v>2679</v>
      </c>
      <c r="I242" s="296">
        <f t="shared" si="62"/>
        <v>2679</v>
      </c>
      <c r="J242" s="296">
        <f t="shared" si="62"/>
        <v>2679</v>
      </c>
      <c r="K242" s="296">
        <f t="shared" si="62"/>
        <v>2679</v>
      </c>
      <c r="L242" s="296">
        <f t="shared" si="62"/>
        <v>2679</v>
      </c>
      <c r="M242" s="296">
        <f t="shared" si="62"/>
        <v>2679</v>
      </c>
      <c r="N242" s="296">
        <f t="shared" si="62"/>
        <v>2679</v>
      </c>
      <c r="O242" s="296">
        <f t="shared" si="62"/>
        <v>2679</v>
      </c>
      <c r="P242" s="266">
        <f t="shared" si="62"/>
        <v>32148</v>
      </c>
    </row>
    <row r="243" spans="1:16" x14ac:dyDescent="0.3">
      <c r="A243" s="314" t="s">
        <v>216</v>
      </c>
      <c r="B243" s="315"/>
      <c r="C243" s="4" t="s">
        <v>18</v>
      </c>
      <c r="D243" s="291">
        <f>D230+D236+D242</f>
        <v>4209944.03</v>
      </c>
      <c r="E243" s="291">
        <f t="shared" ref="E243:O243" si="63">E230+E236+E242</f>
        <v>4716054.0100000007</v>
      </c>
      <c r="F243" s="291">
        <f t="shared" si="63"/>
        <v>4909534.5199999949</v>
      </c>
      <c r="G243" s="291">
        <f t="shared" si="63"/>
        <v>4499770.6000000024</v>
      </c>
      <c r="H243" s="291">
        <f t="shared" si="63"/>
        <v>4455483.9200000037</v>
      </c>
      <c r="I243" s="291">
        <f t="shared" si="63"/>
        <v>4428443.1300000018</v>
      </c>
      <c r="J243" s="291">
        <f t="shared" si="63"/>
        <v>3603826.5800000015</v>
      </c>
      <c r="K243" s="291">
        <f t="shared" si="63"/>
        <v>3062321.4800000004</v>
      </c>
      <c r="L243" s="291">
        <f t="shared" si="63"/>
        <v>3052219.91</v>
      </c>
      <c r="M243" s="291">
        <f t="shared" si="63"/>
        <v>3797267.2</v>
      </c>
      <c r="N243" s="291">
        <f t="shared" si="63"/>
        <v>3548792.5100000016</v>
      </c>
      <c r="O243" s="291">
        <f t="shared" si="63"/>
        <v>6471874.2400000002</v>
      </c>
      <c r="P243" s="266">
        <f t="shared" ref="P243" si="64">P216+P223+P236+P242</f>
        <v>52074352.909999996</v>
      </c>
    </row>
    <row r="244" spans="1:16" x14ac:dyDescent="0.3">
      <c r="A244" s="310" t="s">
        <v>206</v>
      </c>
      <c r="B244" s="311"/>
      <c r="C244" s="311"/>
      <c r="D244" s="311"/>
      <c r="E244" s="311"/>
      <c r="F244" s="311"/>
      <c r="G244" s="311"/>
      <c r="H244" s="311"/>
      <c r="I244" s="311"/>
      <c r="J244" s="311"/>
      <c r="K244" s="311"/>
      <c r="L244" s="311"/>
      <c r="M244" s="311"/>
      <c r="N244" s="311"/>
      <c r="O244" s="311"/>
      <c r="P244" s="375"/>
    </row>
    <row r="245" spans="1:16" x14ac:dyDescent="0.3">
      <c r="A245" s="329" t="s">
        <v>207</v>
      </c>
      <c r="B245" s="330"/>
      <c r="C245" s="4" t="s">
        <v>18</v>
      </c>
      <c r="D245" s="298"/>
      <c r="E245" s="298"/>
      <c r="F245" s="298">
        <v>593245.55000000005</v>
      </c>
      <c r="G245" s="298">
        <v>621692.64</v>
      </c>
      <c r="H245" s="298">
        <v>408488.65</v>
      </c>
      <c r="I245" s="298">
        <v>408488.65</v>
      </c>
      <c r="J245" s="298">
        <v>405448.65</v>
      </c>
      <c r="K245" s="298">
        <v>448876.44</v>
      </c>
      <c r="L245" s="298">
        <v>444876.44</v>
      </c>
      <c r="M245" s="298">
        <v>444876.44</v>
      </c>
      <c r="N245" s="298">
        <v>444876.44</v>
      </c>
      <c r="O245" s="298">
        <v>670270.15</v>
      </c>
      <c r="P245" s="299">
        <f>O245</f>
        <v>670270.15</v>
      </c>
    </row>
    <row r="246" spans="1:16" x14ac:dyDescent="0.3">
      <c r="A246" s="329" t="s">
        <v>208</v>
      </c>
      <c r="B246" s="330"/>
      <c r="C246" s="4" t="s">
        <v>18</v>
      </c>
      <c r="D246" s="298"/>
      <c r="E246" s="298"/>
      <c r="F246" s="298"/>
      <c r="G246" s="298"/>
      <c r="H246" s="298">
        <v>244395.72</v>
      </c>
      <c r="I246" s="298">
        <v>244395.72</v>
      </c>
      <c r="J246" s="298">
        <v>296011.7</v>
      </c>
      <c r="K246" s="298">
        <v>320025.11</v>
      </c>
      <c r="L246" s="298">
        <v>342279.12</v>
      </c>
      <c r="M246" s="298">
        <v>232433.45</v>
      </c>
      <c r="N246" s="298">
        <v>255567.16</v>
      </c>
      <c r="O246" s="298">
        <v>17475.82</v>
      </c>
      <c r="P246" s="299">
        <f>O246</f>
        <v>17475.82</v>
      </c>
    </row>
    <row r="247" spans="1:16" x14ac:dyDescent="0.3">
      <c r="A247" s="327" t="s">
        <v>209</v>
      </c>
      <c r="B247" s="328"/>
      <c r="C247" s="4" t="s">
        <v>18</v>
      </c>
      <c r="D247" s="300">
        <f>D245+D246</f>
        <v>0</v>
      </c>
      <c r="E247" s="300">
        <f t="shared" ref="E247:P247" si="65">E245+E246</f>
        <v>0</v>
      </c>
      <c r="F247" s="300">
        <f t="shared" si="65"/>
        <v>593245.55000000005</v>
      </c>
      <c r="G247" s="300">
        <f t="shared" si="65"/>
        <v>621692.64</v>
      </c>
      <c r="H247" s="300">
        <f t="shared" si="65"/>
        <v>652884.37</v>
      </c>
      <c r="I247" s="300">
        <f t="shared" si="65"/>
        <v>652884.37</v>
      </c>
      <c r="J247" s="300">
        <f t="shared" si="65"/>
        <v>701460.35000000009</v>
      </c>
      <c r="K247" s="300">
        <f t="shared" si="65"/>
        <v>768901.55</v>
      </c>
      <c r="L247" s="300">
        <f t="shared" si="65"/>
        <v>787155.56</v>
      </c>
      <c r="M247" s="300">
        <f t="shared" si="65"/>
        <v>677309.89</v>
      </c>
      <c r="N247" s="300">
        <f t="shared" si="65"/>
        <v>700443.6</v>
      </c>
      <c r="O247" s="300">
        <f t="shared" si="65"/>
        <v>687745.97</v>
      </c>
      <c r="P247" s="299">
        <f t="shared" si="65"/>
        <v>687745.97</v>
      </c>
    </row>
    <row r="248" spans="1:16" x14ac:dyDescent="0.3">
      <c r="A248" s="310" t="s">
        <v>17</v>
      </c>
      <c r="B248" s="311"/>
      <c r="C248" s="311"/>
      <c r="D248" s="311"/>
      <c r="E248" s="311"/>
      <c r="F248" s="311"/>
      <c r="G248" s="311"/>
      <c r="H248" s="311"/>
      <c r="I248" s="311"/>
      <c r="J248" s="311"/>
      <c r="K248" s="311"/>
      <c r="L248" s="311"/>
      <c r="M248" s="311"/>
      <c r="N248" s="311"/>
      <c r="O248" s="311"/>
      <c r="P248" s="375"/>
    </row>
    <row r="249" spans="1:16" x14ac:dyDescent="0.3">
      <c r="A249" s="312" t="s">
        <v>16</v>
      </c>
      <c r="B249" s="313"/>
      <c r="C249" s="4" t="s">
        <v>6</v>
      </c>
      <c r="D249" s="301">
        <f>D58/D243</f>
        <v>0.93909260000304562</v>
      </c>
      <c r="E249" s="301">
        <f t="shared" ref="E249:O249" si="66">E58/E243</f>
        <v>0.84551480624370523</v>
      </c>
      <c r="F249" s="301">
        <f t="shared" si="66"/>
        <v>5.3807552925608162</v>
      </c>
      <c r="G249" s="301">
        <f t="shared" si="66"/>
        <v>0.86959669232915959</v>
      </c>
      <c r="H249" s="301">
        <f t="shared" si="66"/>
        <v>0.87142753059245626</v>
      </c>
      <c r="I249" s="301">
        <f t="shared" si="66"/>
        <v>0.89794999467453884</v>
      </c>
      <c r="J249" s="301">
        <f t="shared" si="66"/>
        <v>0.33709187873851565</v>
      </c>
      <c r="K249" s="301">
        <f t="shared" si="66"/>
        <v>1.1945023371615444</v>
      </c>
      <c r="L249" s="301">
        <f t="shared" si="66"/>
        <v>1.3283557605782081</v>
      </c>
      <c r="M249" s="301">
        <f t="shared" si="66"/>
        <v>0.33204933998323843</v>
      </c>
      <c r="N249" s="301">
        <f t="shared" si="66"/>
        <v>0.87369564190158822</v>
      </c>
      <c r="O249" s="301">
        <f t="shared" si="66"/>
        <v>0.48318348735404354</v>
      </c>
      <c r="P249" s="389">
        <f t="shared" ref="P249" si="67">P58/P243%</f>
        <v>120.10886495910565</v>
      </c>
    </row>
    <row r="250" spans="1:16" x14ac:dyDescent="0.3">
      <c r="A250" s="312" t="s">
        <v>210</v>
      </c>
      <c r="B250" s="313"/>
      <c r="C250" s="4" t="s">
        <v>6</v>
      </c>
      <c r="D250" s="284">
        <f>D210/(D223+D245)</f>
        <v>0</v>
      </c>
      <c r="E250" s="284">
        <f t="shared" ref="E250:O250" si="68">E210/(E223+E245)</f>
        <v>0</v>
      </c>
      <c r="F250" s="284">
        <f t="shared" si="68"/>
        <v>0</v>
      </c>
      <c r="G250" s="284">
        <f t="shared" si="68"/>
        <v>0</v>
      </c>
      <c r="H250" s="284">
        <f t="shared" si="68"/>
        <v>0</v>
      </c>
      <c r="I250" s="284">
        <f t="shared" si="68"/>
        <v>0</v>
      </c>
      <c r="J250" s="284">
        <f t="shared" si="68"/>
        <v>7.1336825477024595E-3</v>
      </c>
      <c r="K250" s="284">
        <f t="shared" si="68"/>
        <v>6.4415370924640787E-3</v>
      </c>
      <c r="L250" s="284">
        <f t="shared" si="68"/>
        <v>0</v>
      </c>
      <c r="M250" s="284">
        <f t="shared" si="68"/>
        <v>0</v>
      </c>
      <c r="N250" s="284">
        <f t="shared" si="68"/>
        <v>0</v>
      </c>
      <c r="O250" s="284">
        <f t="shared" si="68"/>
        <v>0</v>
      </c>
      <c r="P250" s="388">
        <f t="shared" ref="P250" si="69">P210/(P223+P245)%</f>
        <v>0.1457584031389558</v>
      </c>
    </row>
    <row r="251" spans="1:16" ht="16.2" thickBot="1" x14ac:dyDescent="0.35">
      <c r="A251" s="331" t="s">
        <v>15</v>
      </c>
      <c r="B251" s="332"/>
      <c r="C251" s="4" t="s">
        <v>6</v>
      </c>
      <c r="D251" s="302">
        <f>D210/D223</f>
        <v>0</v>
      </c>
      <c r="E251" s="302">
        <f t="shared" ref="E251:O251" si="70">E210/E223</f>
        <v>0</v>
      </c>
      <c r="F251" s="302">
        <f t="shared" si="70"/>
        <v>0</v>
      </c>
      <c r="G251" s="302">
        <f t="shared" si="70"/>
        <v>0</v>
      </c>
      <c r="H251" s="302">
        <f t="shared" si="70"/>
        <v>0</v>
      </c>
      <c r="I251" s="302">
        <f t="shared" si="70"/>
        <v>0</v>
      </c>
      <c r="J251" s="302">
        <f t="shared" si="70"/>
        <v>0.19878726515769463</v>
      </c>
      <c r="K251" s="302">
        <f t="shared" si="70"/>
        <v>0.17803192824601163</v>
      </c>
      <c r="L251" s="302">
        <f t="shared" si="70"/>
        <v>0</v>
      </c>
      <c r="M251" s="302">
        <f t="shared" si="70"/>
        <v>0</v>
      </c>
      <c r="N251" s="302">
        <f t="shared" si="70"/>
        <v>0</v>
      </c>
      <c r="O251" s="302">
        <f t="shared" si="70"/>
        <v>0</v>
      </c>
      <c r="P251" s="390">
        <f t="shared" ref="P251" si="71">P210/P223%</f>
        <v>0.17410831731101542</v>
      </c>
    </row>
    <row r="252" spans="1:16" x14ac:dyDescent="0.3">
      <c r="A252" s="333" t="s">
        <v>14</v>
      </c>
      <c r="B252" s="334"/>
      <c r="C252" s="334"/>
      <c r="D252" s="334"/>
      <c r="E252" s="334"/>
      <c r="F252" s="334"/>
      <c r="G252" s="334"/>
      <c r="H252" s="334"/>
      <c r="I252" s="334"/>
      <c r="J252" s="334"/>
      <c r="K252" s="334"/>
      <c r="L252" s="334"/>
      <c r="M252" s="334"/>
      <c r="N252" s="334"/>
      <c r="O252" s="334"/>
      <c r="P252" s="384"/>
    </row>
    <row r="253" spans="1:16" ht="15" customHeight="1" x14ac:dyDescent="0.3">
      <c r="A253" s="312" t="s">
        <v>13</v>
      </c>
      <c r="B253" s="313"/>
      <c r="C253" s="4" t="s">
        <v>3</v>
      </c>
      <c r="D253" s="265">
        <v>8</v>
      </c>
      <c r="E253" s="265">
        <v>19</v>
      </c>
      <c r="F253" s="265">
        <v>61</v>
      </c>
      <c r="G253" s="265">
        <v>30</v>
      </c>
      <c r="H253" s="265">
        <v>28</v>
      </c>
      <c r="I253" s="265">
        <v>20</v>
      </c>
      <c r="J253" s="265">
        <v>18</v>
      </c>
      <c r="K253" s="265">
        <v>6</v>
      </c>
      <c r="L253" s="265">
        <v>3</v>
      </c>
      <c r="M253" s="265">
        <v>11</v>
      </c>
      <c r="N253" s="265">
        <v>2</v>
      </c>
      <c r="O253" s="265">
        <v>10</v>
      </c>
      <c r="P253" s="391">
        <f>SUM(D253:O253)</f>
        <v>216</v>
      </c>
    </row>
    <row r="254" spans="1:16" x14ac:dyDescent="0.3">
      <c r="A254" s="312" t="s">
        <v>12</v>
      </c>
      <c r="B254" s="313"/>
      <c r="C254" s="4" t="s">
        <v>3</v>
      </c>
      <c r="D254" s="265">
        <v>2</v>
      </c>
      <c r="E254" s="265">
        <v>3</v>
      </c>
      <c r="F254" s="265">
        <v>3</v>
      </c>
      <c r="G254" s="265">
        <v>3</v>
      </c>
      <c r="H254" s="265">
        <v>1</v>
      </c>
      <c r="I254" s="265">
        <v>1</v>
      </c>
      <c r="J254" s="265">
        <v>1</v>
      </c>
      <c r="K254" s="265">
        <v>1</v>
      </c>
      <c r="L254" s="265">
        <v>1</v>
      </c>
      <c r="M254" s="265">
        <v>1</v>
      </c>
      <c r="N254" s="265">
        <v>1</v>
      </c>
      <c r="O254" s="265">
        <v>1</v>
      </c>
      <c r="P254" s="391">
        <f>SUM(D254:O254)</f>
        <v>19</v>
      </c>
    </row>
    <row r="255" spans="1:16" ht="15.75" customHeight="1" x14ac:dyDescent="0.3">
      <c r="A255" s="312" t="s">
        <v>11</v>
      </c>
      <c r="B255" s="313"/>
      <c r="C255" s="4" t="s">
        <v>3</v>
      </c>
      <c r="D255" s="265">
        <f t="shared" ref="D255:O255" si="72">D95</f>
        <v>21</v>
      </c>
      <c r="E255" s="265">
        <f t="shared" si="72"/>
        <v>20</v>
      </c>
      <c r="F255" s="265">
        <f t="shared" si="72"/>
        <v>45</v>
      </c>
      <c r="G255" s="265">
        <f t="shared" si="72"/>
        <v>45</v>
      </c>
      <c r="H255" s="265">
        <f t="shared" si="72"/>
        <v>33</v>
      </c>
      <c r="I255" s="265">
        <f t="shared" si="72"/>
        <v>30</v>
      </c>
      <c r="J255" s="265">
        <f t="shared" si="72"/>
        <v>24</v>
      </c>
      <c r="K255" s="265">
        <f t="shared" si="72"/>
        <v>20</v>
      </c>
      <c r="L255" s="265">
        <f t="shared" si="72"/>
        <v>18</v>
      </c>
      <c r="M255" s="265">
        <f t="shared" si="72"/>
        <v>16</v>
      </c>
      <c r="N255" s="265">
        <f t="shared" si="72"/>
        <v>18</v>
      </c>
      <c r="O255" s="265">
        <f t="shared" si="72"/>
        <v>18</v>
      </c>
      <c r="P255" s="391">
        <f>SUM(D255:O255)</f>
        <v>308</v>
      </c>
    </row>
    <row r="256" spans="1:16" x14ac:dyDescent="0.3">
      <c r="A256" s="312" t="s">
        <v>10</v>
      </c>
      <c r="B256" s="313"/>
      <c r="C256" s="4" t="s">
        <v>3</v>
      </c>
      <c r="D256" s="265">
        <f t="shared" ref="D256:O256" si="73">D91</f>
        <v>9</v>
      </c>
      <c r="E256" s="265">
        <f t="shared" si="73"/>
        <v>11</v>
      </c>
      <c r="F256" s="265">
        <f t="shared" si="73"/>
        <v>45</v>
      </c>
      <c r="G256" s="265">
        <f t="shared" si="73"/>
        <v>23</v>
      </c>
      <c r="H256" s="265">
        <f t="shared" si="73"/>
        <v>18</v>
      </c>
      <c r="I256" s="265">
        <f t="shared" si="73"/>
        <v>11</v>
      </c>
      <c r="J256" s="265">
        <f t="shared" si="73"/>
        <v>10</v>
      </c>
      <c r="K256" s="265">
        <f t="shared" si="73"/>
        <v>2</v>
      </c>
      <c r="L256" s="265">
        <f t="shared" si="73"/>
        <v>1</v>
      </c>
      <c r="M256" s="265">
        <f t="shared" si="73"/>
        <v>0</v>
      </c>
      <c r="N256" s="265">
        <f t="shared" si="73"/>
        <v>2</v>
      </c>
      <c r="O256" s="265">
        <f t="shared" si="73"/>
        <v>3</v>
      </c>
      <c r="P256" s="391">
        <f>SUM(D256:O256)</f>
        <v>135</v>
      </c>
    </row>
    <row r="257" spans="1:16" ht="15.6" customHeight="1" x14ac:dyDescent="0.3">
      <c r="A257" s="312" t="s">
        <v>9</v>
      </c>
      <c r="B257" s="313"/>
      <c r="C257" s="4" t="s">
        <v>3</v>
      </c>
      <c r="D257" s="265">
        <v>30</v>
      </c>
      <c r="E257" s="265">
        <v>30</v>
      </c>
      <c r="F257" s="265"/>
      <c r="G257" s="265">
        <v>30</v>
      </c>
      <c r="H257" s="265">
        <v>14</v>
      </c>
      <c r="I257" s="265">
        <v>14</v>
      </c>
      <c r="J257" s="265">
        <v>14</v>
      </c>
      <c r="K257" s="265">
        <v>14</v>
      </c>
      <c r="L257" s="265">
        <v>14</v>
      </c>
      <c r="M257" s="265">
        <v>14</v>
      </c>
      <c r="N257" s="265">
        <v>14</v>
      </c>
      <c r="O257" s="265">
        <v>14</v>
      </c>
      <c r="P257" s="391">
        <f>SUM(D257:O257)</f>
        <v>202</v>
      </c>
    </row>
    <row r="258" spans="1:16" x14ac:dyDescent="0.3">
      <c r="A258" s="314" t="s">
        <v>8</v>
      </c>
      <c r="B258" s="315"/>
      <c r="C258" s="4" t="s">
        <v>3</v>
      </c>
      <c r="D258" s="261">
        <f t="shared" ref="D258:P258" si="74">D257/D256</f>
        <v>3.3333333333333335</v>
      </c>
      <c r="E258" s="261">
        <f t="shared" si="74"/>
        <v>2.7272727272727271</v>
      </c>
      <c r="F258" s="261">
        <f t="shared" si="74"/>
        <v>0</v>
      </c>
      <c r="G258" s="261">
        <f t="shared" si="74"/>
        <v>1.3043478260869565</v>
      </c>
      <c r="H258" s="261">
        <f t="shared" si="74"/>
        <v>0.77777777777777779</v>
      </c>
      <c r="I258" s="261">
        <f t="shared" si="74"/>
        <v>1.2727272727272727</v>
      </c>
      <c r="J258" s="261">
        <f t="shared" si="74"/>
        <v>1.4</v>
      </c>
      <c r="K258" s="261">
        <f t="shared" si="74"/>
        <v>7</v>
      </c>
      <c r="L258" s="261">
        <f t="shared" si="74"/>
        <v>14</v>
      </c>
      <c r="M258" s="261" t="e">
        <f t="shared" si="74"/>
        <v>#DIV/0!</v>
      </c>
      <c r="N258" s="261">
        <f t="shared" si="74"/>
        <v>7</v>
      </c>
      <c r="O258" s="261">
        <f t="shared" si="74"/>
        <v>4.666666666666667</v>
      </c>
      <c r="P258" s="391">
        <f t="shared" si="74"/>
        <v>1.4962962962962962</v>
      </c>
    </row>
    <row r="259" spans="1:16" x14ac:dyDescent="0.3">
      <c r="A259" s="314" t="s">
        <v>7</v>
      </c>
      <c r="B259" s="315"/>
      <c r="C259" s="4" t="s">
        <v>6</v>
      </c>
      <c r="D259" s="303">
        <f t="shared" ref="D259:P259" si="75">D92/D255*100</f>
        <v>0</v>
      </c>
      <c r="E259" s="303">
        <f t="shared" si="75"/>
        <v>0</v>
      </c>
      <c r="F259" s="303">
        <f t="shared" si="75"/>
        <v>0</v>
      </c>
      <c r="G259" s="303">
        <f t="shared" si="75"/>
        <v>0</v>
      </c>
      <c r="H259" s="303">
        <f t="shared" si="75"/>
        <v>0</v>
      </c>
      <c r="I259" s="303">
        <f t="shared" si="75"/>
        <v>0</v>
      </c>
      <c r="J259" s="303">
        <f t="shared" si="75"/>
        <v>0</v>
      </c>
      <c r="K259" s="303">
        <f t="shared" si="75"/>
        <v>0</v>
      </c>
      <c r="L259" s="303">
        <f t="shared" si="75"/>
        <v>0</v>
      </c>
      <c r="M259" s="303">
        <f t="shared" si="75"/>
        <v>0</v>
      </c>
      <c r="N259" s="303">
        <f t="shared" si="75"/>
        <v>0</v>
      </c>
      <c r="O259" s="303">
        <f t="shared" si="75"/>
        <v>0</v>
      </c>
      <c r="P259" s="392">
        <f t="shared" si="75"/>
        <v>0</v>
      </c>
    </row>
    <row r="260" spans="1:16" x14ac:dyDescent="0.3">
      <c r="A260" s="310" t="s">
        <v>5</v>
      </c>
      <c r="B260" s="311"/>
      <c r="C260" s="311"/>
      <c r="D260" s="311"/>
      <c r="E260" s="311"/>
      <c r="F260" s="311"/>
      <c r="G260" s="311"/>
      <c r="H260" s="311"/>
      <c r="I260" s="311"/>
      <c r="J260" s="311"/>
      <c r="K260" s="311"/>
      <c r="L260" s="311"/>
      <c r="M260" s="311"/>
      <c r="N260" s="311"/>
      <c r="O260" s="311"/>
      <c r="P260" s="375"/>
    </row>
    <row r="261" spans="1:16" ht="15" customHeight="1" x14ac:dyDescent="0.3">
      <c r="A261" s="312" t="s">
        <v>4</v>
      </c>
      <c r="B261" s="313"/>
      <c r="C261" s="4" t="s">
        <v>3</v>
      </c>
      <c r="D261" s="265">
        <v>8</v>
      </c>
      <c r="E261" s="265">
        <v>12</v>
      </c>
      <c r="F261" s="265">
        <v>28</v>
      </c>
      <c r="G261" s="265">
        <v>22</v>
      </c>
      <c r="H261" s="265">
        <v>10</v>
      </c>
      <c r="I261" s="265">
        <v>28</v>
      </c>
      <c r="J261" s="265">
        <v>60</v>
      </c>
      <c r="K261" s="265">
        <v>60</v>
      </c>
      <c r="L261" s="265">
        <v>28</v>
      </c>
      <c r="M261" s="265">
        <v>30</v>
      </c>
      <c r="N261" s="265">
        <v>19</v>
      </c>
      <c r="O261" s="265">
        <v>23</v>
      </c>
      <c r="P261" s="266">
        <f>SUM(D261:O261)</f>
        <v>328</v>
      </c>
    </row>
    <row r="262" spans="1:16" ht="15.75" customHeight="1" x14ac:dyDescent="0.3">
      <c r="A262" s="312" t="s">
        <v>2</v>
      </c>
      <c r="B262" s="313"/>
      <c r="C262" s="4" t="s">
        <v>0</v>
      </c>
      <c r="D262" s="265">
        <v>2</v>
      </c>
      <c r="E262" s="265">
        <v>2</v>
      </c>
      <c r="F262" s="265">
        <v>5</v>
      </c>
      <c r="G262" s="265">
        <v>5</v>
      </c>
      <c r="H262" s="265">
        <v>2</v>
      </c>
      <c r="I262" s="265">
        <v>2</v>
      </c>
      <c r="J262" s="265">
        <v>6</v>
      </c>
      <c r="K262" s="265">
        <v>6</v>
      </c>
      <c r="L262" s="265">
        <v>4</v>
      </c>
      <c r="M262" s="265">
        <v>3</v>
      </c>
      <c r="N262" s="265">
        <v>3</v>
      </c>
      <c r="O262" s="265">
        <v>3</v>
      </c>
      <c r="P262" s="266">
        <f>SUM(D262:O262)</f>
        <v>43</v>
      </c>
    </row>
    <row r="263" spans="1:16" ht="16.2" thickBot="1" x14ac:dyDescent="0.35">
      <c r="A263" s="321" t="s">
        <v>1</v>
      </c>
      <c r="B263" s="322"/>
      <c r="C263" s="104" t="s">
        <v>0</v>
      </c>
      <c r="D263" s="304">
        <f>D261/D262</f>
        <v>4</v>
      </c>
      <c r="E263" s="304">
        <f t="shared" ref="E263:P263" si="76">E261/E262</f>
        <v>6</v>
      </c>
      <c r="F263" s="304">
        <f t="shared" si="76"/>
        <v>5.6</v>
      </c>
      <c r="G263" s="304">
        <f t="shared" si="76"/>
        <v>4.4000000000000004</v>
      </c>
      <c r="H263" s="304">
        <f t="shared" si="76"/>
        <v>5</v>
      </c>
      <c r="I263" s="304">
        <f t="shared" si="76"/>
        <v>14</v>
      </c>
      <c r="J263" s="304">
        <f t="shared" si="76"/>
        <v>10</v>
      </c>
      <c r="K263" s="304">
        <f t="shared" si="76"/>
        <v>10</v>
      </c>
      <c r="L263" s="304">
        <f t="shared" si="76"/>
        <v>7</v>
      </c>
      <c r="M263" s="304">
        <f t="shared" si="76"/>
        <v>10</v>
      </c>
      <c r="N263" s="304">
        <f t="shared" si="76"/>
        <v>6.333333333333333</v>
      </c>
      <c r="O263" s="304">
        <f t="shared" si="76"/>
        <v>7.666666666666667</v>
      </c>
      <c r="P263" s="367">
        <f t="shared" si="76"/>
        <v>7.6279069767441863</v>
      </c>
    </row>
  </sheetData>
  <mergeCells count="6">
    <mergeCell ref="B35:B36"/>
    <mergeCell ref="B37:B38"/>
    <mergeCell ref="B39:B40"/>
    <mergeCell ref="B29:B30"/>
    <mergeCell ref="B31:B32"/>
    <mergeCell ref="B33:B3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1"/>
  <dimension ref="A1:R263"/>
  <sheetViews>
    <sheetView workbookViewId="0">
      <pane xSplit="1" ySplit="7" topLeftCell="K8" activePane="bottomRight" state="frozen"/>
      <selection pane="topRight" activeCell="B1" sqref="B1"/>
      <selection pane="bottomLeft" activeCell="A8" sqref="A8"/>
      <selection pane="bottomRight" activeCell="R7" sqref="R7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10" width="20.109375" bestFit="1" customWidth="1"/>
    <col min="11" max="11" width="23.109375" customWidth="1"/>
    <col min="12" max="12" width="22.6640625" customWidth="1"/>
    <col min="13" max="15" width="20.109375" bestFit="1" customWidth="1"/>
    <col min="16" max="16" width="21.44140625" style="115" bestFit="1" customWidth="1"/>
    <col min="18" max="18" width="14.6640625" bestFit="1" customWidth="1"/>
  </cols>
  <sheetData>
    <row r="1" spans="1:16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9"/>
    </row>
    <row r="2" spans="1:16" ht="18" thickBot="1" x14ac:dyDescent="0.35">
      <c r="A2" s="8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1"/>
    </row>
    <row r="3" spans="1:16" ht="18" thickBot="1" x14ac:dyDescent="0.35">
      <c r="A3" s="77" t="s">
        <v>224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9"/>
    </row>
    <row r="4" spans="1:16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3"/>
    </row>
    <row r="5" spans="1:16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239"/>
    </row>
    <row r="6" spans="1:16" ht="15" customHeight="1" thickBot="1" x14ac:dyDescent="0.35">
      <c r="A6" s="85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7"/>
    </row>
    <row r="7" spans="1:16" ht="16.2" thickBot="1" x14ac:dyDescent="0.35">
      <c r="A7" s="170" t="s">
        <v>176</v>
      </c>
      <c r="B7" s="171"/>
      <c r="C7" s="55" t="s">
        <v>175</v>
      </c>
      <c r="D7" s="54" t="s">
        <v>165</v>
      </c>
      <c r="E7" s="54" t="s">
        <v>164</v>
      </c>
      <c r="F7" s="54" t="s">
        <v>163</v>
      </c>
      <c r="G7" s="54" t="s">
        <v>174</v>
      </c>
      <c r="H7" s="54" t="s">
        <v>173</v>
      </c>
      <c r="I7" s="54" t="s">
        <v>172</v>
      </c>
      <c r="J7" s="54" t="s">
        <v>171</v>
      </c>
      <c r="K7" s="54" t="s">
        <v>170</v>
      </c>
      <c r="L7" s="54" t="s">
        <v>169</v>
      </c>
      <c r="M7" s="54" t="s">
        <v>168</v>
      </c>
      <c r="N7" s="54" t="s">
        <v>167</v>
      </c>
      <c r="O7" s="54" t="s">
        <v>166</v>
      </c>
      <c r="P7" s="53" t="s">
        <v>162</v>
      </c>
    </row>
    <row r="8" spans="1:16" ht="15" thickBot="1" x14ac:dyDescent="0.35">
      <c r="A8" s="221" t="s">
        <v>161</v>
      </c>
      <c r="B8" s="222"/>
      <c r="C8" s="222"/>
      <c r="D8" s="222"/>
      <c r="E8" s="222"/>
      <c r="F8" s="222"/>
      <c r="G8" s="222"/>
      <c r="H8" s="222"/>
      <c r="I8" s="222"/>
      <c r="J8" s="222"/>
      <c r="K8" s="222"/>
      <c r="L8" s="222"/>
      <c r="M8" s="222"/>
      <c r="N8" s="222"/>
      <c r="O8" s="222"/>
      <c r="P8" s="223"/>
    </row>
    <row r="9" spans="1:16" x14ac:dyDescent="0.3">
      <c r="A9" s="174" t="s">
        <v>178</v>
      </c>
      <c r="B9" s="175"/>
      <c r="C9" s="52" t="s">
        <v>154</v>
      </c>
      <c r="D9" s="30">
        <f>Balaka!D9+Liwonde!D9+Machinga!D9+Ntaja!D9</f>
        <v>122803</v>
      </c>
      <c r="E9" s="30">
        <f>Balaka!E9+Liwonde!E9+Machinga!E9+Ntaja!E9</f>
        <v>108108</v>
      </c>
      <c r="F9" s="30">
        <f>Balaka!F9+Liwonde!F9+Machinga!F9+Ntaja!F9</f>
        <v>106049</v>
      </c>
      <c r="G9" s="30">
        <f>Balaka!G9+Liwonde!G9+Machinga!G9+Ntaja!G9</f>
        <v>143272</v>
      </c>
      <c r="H9" s="30">
        <f>Balaka!H9+Liwonde!H9+Machinga!H9+Ntaja!H9</f>
        <v>122187</v>
      </c>
      <c r="I9" s="30">
        <f>Balaka!I9+Liwonde!I9+Machinga!I9+Ntaja!I9</f>
        <v>151473</v>
      </c>
      <c r="J9" s="30">
        <f>Balaka!J9+Liwonde!J9+Machinga!J9+Ntaja!J9</f>
        <v>121600</v>
      </c>
      <c r="K9" s="30">
        <f>Balaka!K9+Liwonde!K9+Machinga!K9+Ntaja!K9</f>
        <v>123597</v>
      </c>
      <c r="L9" s="30">
        <f>Balaka!L9+Liwonde!L9+Machinga!L9+Ntaja!L9</f>
        <v>115333</v>
      </c>
      <c r="M9" s="30">
        <f>Balaka!M9+Liwonde!M9+Machinga!M9+Ntaja!M9</f>
        <v>118882</v>
      </c>
      <c r="N9" s="30">
        <f>Balaka!N9+Liwonde!N9+Machinga!N9+Ntaja!N9</f>
        <v>111230</v>
      </c>
      <c r="O9" s="30">
        <f>Balaka!O9+Liwonde!O9+Machinga!O9+Ntaja!O9</f>
        <v>115388</v>
      </c>
      <c r="P9" s="135">
        <f>SUM(D9:O9)</f>
        <v>1459922</v>
      </c>
    </row>
    <row r="10" spans="1:16" ht="14.4" x14ac:dyDescent="0.3">
      <c r="A10" s="201" t="s">
        <v>179</v>
      </c>
      <c r="B10" s="202"/>
      <c r="C10" s="202"/>
      <c r="D10" s="202"/>
      <c r="E10" s="202"/>
      <c r="F10" s="202"/>
      <c r="G10" s="202"/>
      <c r="H10" s="202"/>
      <c r="I10" s="202"/>
      <c r="J10" s="202"/>
      <c r="K10" s="202"/>
      <c r="L10" s="202"/>
      <c r="M10" s="202"/>
      <c r="N10" s="202"/>
      <c r="O10" s="202"/>
      <c r="P10" s="203"/>
    </row>
    <row r="11" spans="1:16" x14ac:dyDescent="0.3">
      <c r="A11" s="172" t="s">
        <v>159</v>
      </c>
      <c r="B11" s="173"/>
      <c r="C11" s="4" t="s">
        <v>154</v>
      </c>
      <c r="D11" s="22">
        <f>Balaka!D11+Liwonde!D11+Machinga!D11+Ntaja!D11</f>
        <v>55244</v>
      </c>
      <c r="E11" s="22">
        <f>Balaka!E11+Liwonde!E11+Machinga!E11+Ntaja!E11</f>
        <v>40745</v>
      </c>
      <c r="F11" s="22">
        <f>Balaka!F11+Liwonde!F11+Machinga!F11+Ntaja!F11</f>
        <v>36905</v>
      </c>
      <c r="G11" s="22">
        <f>Balaka!G11+Liwonde!G11+Machinga!G11+Ntaja!G11</f>
        <v>54095</v>
      </c>
      <c r="H11" s="22">
        <f>Balaka!H11+Liwonde!H11+Machinga!H11+Ntaja!H11</f>
        <v>43860</v>
      </c>
      <c r="I11" s="22">
        <f>Balaka!I11+Liwonde!I11+Machinga!I11+Ntaja!I11</f>
        <v>56457</v>
      </c>
      <c r="J11" s="22">
        <f>Balaka!J11+Liwonde!J11+Machinga!J11+Ntaja!J11</f>
        <v>41134</v>
      </c>
      <c r="K11" s="22">
        <f>Balaka!K11+Liwonde!K11+Machinga!K11+Ntaja!K11</f>
        <v>42568</v>
      </c>
      <c r="L11" s="22">
        <f>Balaka!L11+Liwonde!L11+Machinga!L11+Ntaja!L11</f>
        <v>39576</v>
      </c>
      <c r="M11" s="22">
        <f>Balaka!M11+Liwonde!M11+Machinga!M11+Ntaja!M11</f>
        <v>40257</v>
      </c>
      <c r="N11" s="22">
        <f>Balaka!N11+Liwonde!N11+Machinga!N11+Ntaja!N11</f>
        <v>42295</v>
      </c>
      <c r="O11" s="22">
        <f>Balaka!O11+Liwonde!O11+Machinga!O11+Ntaja!O11</f>
        <v>41523</v>
      </c>
      <c r="P11" s="50">
        <f>SUM(D11:O11)</f>
        <v>534659</v>
      </c>
    </row>
    <row r="12" spans="1:16" x14ac:dyDescent="0.3">
      <c r="A12" s="172" t="s">
        <v>158</v>
      </c>
      <c r="B12" s="173"/>
      <c r="C12" s="4" t="s">
        <v>154</v>
      </c>
      <c r="D12" s="22">
        <f>Balaka!D12+Liwonde!D12+Machinga!D12+Ntaja!D12</f>
        <v>1928</v>
      </c>
      <c r="E12" s="22">
        <f>Balaka!E12+Liwonde!E12+Machinga!E12+Ntaja!E12</f>
        <v>1190</v>
      </c>
      <c r="F12" s="22">
        <f>Balaka!F12+Liwonde!F12+Machinga!F12+Ntaja!F12</f>
        <v>1056</v>
      </c>
      <c r="G12" s="22">
        <f>Balaka!G12+Liwonde!G12+Machinga!G12+Ntaja!G12</f>
        <v>1678</v>
      </c>
      <c r="H12" s="22">
        <f>Balaka!H12+Liwonde!H12+Machinga!H12+Ntaja!H12</f>
        <v>1312</v>
      </c>
      <c r="I12" s="22">
        <f>Balaka!I12+Liwonde!I12+Machinga!I12+Ntaja!I12</f>
        <v>1966</v>
      </c>
      <c r="J12" s="22">
        <f>Balaka!J12+Liwonde!J12+Machinga!J12+Ntaja!J12</f>
        <v>1415</v>
      </c>
      <c r="K12" s="22">
        <f>Balaka!K12+Liwonde!K12+Machinga!K12+Ntaja!K12</f>
        <v>1480</v>
      </c>
      <c r="L12" s="22">
        <f>Balaka!L12+Liwonde!L12+Machinga!L12+Ntaja!L12</f>
        <v>1001</v>
      </c>
      <c r="M12" s="22">
        <f>Balaka!M12+Liwonde!M12+Machinga!M12+Ntaja!M12</f>
        <v>1147</v>
      </c>
      <c r="N12" s="22">
        <f>Balaka!N12+Liwonde!N12+Machinga!N12+Ntaja!N12</f>
        <v>838</v>
      </c>
      <c r="O12" s="22">
        <f>Balaka!O12+Liwonde!O12+Machinga!O12+Ntaja!O12</f>
        <v>902</v>
      </c>
      <c r="P12" s="50">
        <f>SUM(D12:O12)</f>
        <v>15913</v>
      </c>
    </row>
    <row r="13" spans="1:16" x14ac:dyDescent="0.3">
      <c r="A13" s="172" t="s">
        <v>157</v>
      </c>
      <c r="B13" s="173"/>
      <c r="C13" s="4" t="s">
        <v>154</v>
      </c>
      <c r="D13" s="22">
        <f>Balaka!D13+Liwonde!D13+Machinga!D13+Ntaja!D13</f>
        <v>1061</v>
      </c>
      <c r="E13" s="22">
        <f>Balaka!E13+Liwonde!E13+Machinga!E13+Ntaja!E13</f>
        <v>713</v>
      </c>
      <c r="F13" s="22">
        <f>Balaka!F13+Liwonde!F13+Machinga!F13+Ntaja!F13</f>
        <v>599</v>
      </c>
      <c r="G13" s="22">
        <f>Balaka!G13+Liwonde!G13+Machinga!G13+Ntaja!G13</f>
        <v>763</v>
      </c>
      <c r="H13" s="22">
        <f>Balaka!H13+Liwonde!H13+Machinga!H13+Ntaja!H13</f>
        <v>478</v>
      </c>
      <c r="I13" s="22">
        <f>Balaka!I13+Liwonde!I13+Machinga!I13+Ntaja!I13</f>
        <v>612</v>
      </c>
      <c r="J13" s="22">
        <f>Balaka!J13+Liwonde!J13+Machinga!J13+Ntaja!J13</f>
        <v>409</v>
      </c>
      <c r="K13" s="22">
        <f>Balaka!K13+Liwonde!K13+Machinga!K13+Ntaja!K13</f>
        <v>672</v>
      </c>
      <c r="L13" s="22">
        <f>Balaka!L13+Liwonde!L13+Machinga!L13+Ntaja!L13</f>
        <v>398</v>
      </c>
      <c r="M13" s="22">
        <f>Balaka!M13+Liwonde!M13+Machinga!M13+Ntaja!M13</f>
        <v>389</v>
      </c>
      <c r="N13" s="22">
        <f>Balaka!N13+Liwonde!N13+Machinga!N13+Ntaja!N13</f>
        <v>464</v>
      </c>
      <c r="O13" s="22">
        <f>Balaka!O13+Liwonde!O13+Machinga!O13+Ntaja!O13</f>
        <v>336</v>
      </c>
      <c r="P13" s="50">
        <f>SUM(D13:O13)</f>
        <v>6894</v>
      </c>
    </row>
    <row r="14" spans="1:16" x14ac:dyDescent="0.3">
      <c r="A14" s="166" t="s">
        <v>156</v>
      </c>
      <c r="B14" s="167"/>
      <c r="C14" s="4" t="s">
        <v>154</v>
      </c>
      <c r="D14" s="22">
        <f>Balaka!D14+Liwonde!D14+Machinga!D14+Ntaja!D14</f>
        <v>364</v>
      </c>
      <c r="E14" s="22">
        <f>Balaka!E14+Liwonde!E14+Machinga!E14+Ntaja!E14</f>
        <v>294</v>
      </c>
      <c r="F14" s="22">
        <f>Balaka!F14+Liwonde!F14+Machinga!F14+Ntaja!F14</f>
        <v>191</v>
      </c>
      <c r="G14" s="22">
        <f>Balaka!G14+Liwonde!G14+Machinga!G14+Ntaja!G14</f>
        <v>395</v>
      </c>
      <c r="H14" s="22">
        <f>Balaka!H14+Liwonde!H14+Machinga!H14+Ntaja!H14</f>
        <v>130</v>
      </c>
      <c r="I14" s="22">
        <f>Balaka!I14+Liwonde!I14+Machinga!I14+Ntaja!I14</f>
        <v>161</v>
      </c>
      <c r="J14" s="22">
        <f>Balaka!J14+Liwonde!J14+Machinga!J14+Ntaja!J14</f>
        <v>15</v>
      </c>
      <c r="K14" s="22">
        <f>Balaka!K14+Liwonde!K14+Machinga!K14+Ntaja!K14</f>
        <v>100</v>
      </c>
      <c r="L14" s="22">
        <f>Balaka!L14+Liwonde!L14+Machinga!L14+Ntaja!L14</f>
        <v>155</v>
      </c>
      <c r="M14" s="22">
        <f>Balaka!M14+Liwonde!M14+Machinga!M14+Ntaja!M14</f>
        <v>174</v>
      </c>
      <c r="N14" s="22">
        <f>Balaka!N14+Liwonde!N14+Machinga!N14+Ntaja!N14</f>
        <v>44</v>
      </c>
      <c r="O14" s="22">
        <f>Balaka!O14+Liwonde!O14+Machinga!O14+Ntaja!O14</f>
        <v>38</v>
      </c>
      <c r="P14" s="50">
        <f>SUM(D14:O14)</f>
        <v>2061</v>
      </c>
    </row>
    <row r="15" spans="1:16" s="57" customFormat="1" x14ac:dyDescent="0.3">
      <c r="A15" s="168" t="s">
        <v>160</v>
      </c>
      <c r="B15" s="169"/>
      <c r="C15" s="56" t="s">
        <v>154</v>
      </c>
      <c r="D15" s="30">
        <f t="shared" ref="D15:P15" si="0">SUM(D11:D14)</f>
        <v>58597</v>
      </c>
      <c r="E15" s="30">
        <f t="shared" si="0"/>
        <v>42942</v>
      </c>
      <c r="F15" s="30">
        <f t="shared" si="0"/>
        <v>38751</v>
      </c>
      <c r="G15" s="30">
        <f t="shared" si="0"/>
        <v>56931</v>
      </c>
      <c r="H15" s="30">
        <f t="shared" si="0"/>
        <v>45780</v>
      </c>
      <c r="I15" s="30">
        <f t="shared" si="0"/>
        <v>59196</v>
      </c>
      <c r="J15" s="30">
        <f t="shared" si="0"/>
        <v>42973</v>
      </c>
      <c r="K15" s="30">
        <f t="shared" si="0"/>
        <v>44820</v>
      </c>
      <c r="L15" s="30">
        <f t="shared" si="0"/>
        <v>41130</v>
      </c>
      <c r="M15" s="30">
        <f t="shared" si="0"/>
        <v>41967</v>
      </c>
      <c r="N15" s="30">
        <f t="shared" si="0"/>
        <v>43641</v>
      </c>
      <c r="O15" s="30">
        <f t="shared" si="0"/>
        <v>42799</v>
      </c>
      <c r="P15" s="50">
        <f t="shared" si="0"/>
        <v>559527</v>
      </c>
    </row>
    <row r="16" spans="1:16" ht="14.4" x14ac:dyDescent="0.3">
      <c r="A16" s="201" t="s">
        <v>180</v>
      </c>
      <c r="B16" s="202"/>
      <c r="C16" s="202"/>
      <c r="D16" s="202"/>
      <c r="E16" s="202"/>
      <c r="F16" s="202"/>
      <c r="G16" s="202"/>
      <c r="H16" s="202"/>
      <c r="I16" s="202"/>
      <c r="J16" s="202"/>
      <c r="K16" s="202"/>
      <c r="L16" s="202"/>
      <c r="M16" s="202"/>
      <c r="N16" s="202"/>
      <c r="O16" s="202"/>
      <c r="P16" s="203"/>
    </row>
    <row r="17" spans="1:16" x14ac:dyDescent="0.3">
      <c r="A17" s="172" t="s">
        <v>182</v>
      </c>
      <c r="B17" s="173"/>
      <c r="C17" s="4" t="s">
        <v>154</v>
      </c>
      <c r="D17" s="22">
        <f>Balaka!D17+Liwonde!D17+Machinga!D17+Ntaja!D17</f>
        <v>24919.199999999997</v>
      </c>
      <c r="E17" s="22">
        <f>Balaka!E17+Liwonde!E17+Machinga!E17+Ntaja!E17</f>
        <v>26210.9</v>
      </c>
      <c r="F17" s="22">
        <f>Balaka!F17+Liwonde!F17+Machinga!F17+Ntaja!F17</f>
        <v>28966.6</v>
      </c>
      <c r="G17" s="22">
        <f>Balaka!G17+Liwonde!G17+Machinga!G17+Ntaja!G17</f>
        <v>34602.200000000099</v>
      </c>
      <c r="H17" s="22">
        <f>Balaka!H17+Liwonde!H17+Machinga!H17+Ntaja!H17</f>
        <v>33727.9</v>
      </c>
      <c r="I17" s="22">
        <f>Balaka!I17+Liwonde!I17+Machinga!I17+Ntaja!I17</f>
        <v>41014.399999999994</v>
      </c>
      <c r="J17" s="22">
        <f>Balaka!J17+Liwonde!J17+Machinga!J17+Ntaja!J17</f>
        <v>36886.200000000004</v>
      </c>
      <c r="K17" s="22">
        <f>Balaka!K17+Liwonde!K17+Machinga!K17+Ntaja!K17</f>
        <v>37789.399999999994</v>
      </c>
      <c r="L17" s="22">
        <f>Balaka!L17+Liwonde!L17+Machinga!L17+Ntaja!L17</f>
        <v>34773.199999999997</v>
      </c>
      <c r="M17" s="22">
        <f>Balaka!M17+Liwonde!M17+Machinga!M17+Ntaja!M17</f>
        <v>36082.9</v>
      </c>
      <c r="N17" s="22">
        <f>Balaka!N17+Liwonde!N17+Machinga!N17+Ntaja!N17</f>
        <v>30175.899999999998</v>
      </c>
      <c r="O17" s="22">
        <f>Balaka!O17+Liwonde!O17+Machinga!O17+Ntaja!O17</f>
        <v>33082.9</v>
      </c>
      <c r="P17" s="50">
        <f>SUM(D17:O17)</f>
        <v>398231.70000000019</v>
      </c>
    </row>
    <row r="18" spans="1:16" x14ac:dyDescent="0.3">
      <c r="A18" s="172" t="s">
        <v>183</v>
      </c>
      <c r="B18" s="173"/>
      <c r="C18" s="4" t="s">
        <v>154</v>
      </c>
      <c r="D18" s="22">
        <f>Balaka!D18+Liwonde!D18+Machinga!D18+Ntaja!D18</f>
        <v>186.9</v>
      </c>
      <c r="E18" s="22">
        <f>Balaka!E18+Liwonde!E18+Machinga!E18+Ntaja!E18</f>
        <v>281.5</v>
      </c>
      <c r="F18" s="22">
        <f>Balaka!F18+Liwonde!F18+Machinga!F18+Ntaja!F18</f>
        <v>325.7</v>
      </c>
      <c r="G18" s="22">
        <f>Balaka!G18+Liwonde!G18+Machinga!G18+Ntaja!G18</f>
        <v>348.2</v>
      </c>
      <c r="H18" s="22">
        <f>Balaka!H18+Liwonde!H18+Machinga!H18+Ntaja!H18</f>
        <v>449.2</v>
      </c>
      <c r="I18" s="22">
        <f>Balaka!I18+Liwonde!I18+Machinga!I18+Ntaja!I18</f>
        <v>500.6</v>
      </c>
      <c r="J18" s="22">
        <f>Balaka!J18+Liwonde!J18+Machinga!J18+Ntaja!J18</f>
        <v>426.9</v>
      </c>
      <c r="K18" s="22">
        <f>Balaka!K18+Liwonde!K18+Machinga!K18+Ntaja!K18</f>
        <v>179.2</v>
      </c>
      <c r="L18" s="22">
        <f>Balaka!L18+Liwonde!L18+Machinga!L18+Ntaja!L18</f>
        <v>132.80000000000001</v>
      </c>
      <c r="M18" s="22">
        <f>Balaka!M18+Liwonde!M18+Machinga!M18+Ntaja!M18</f>
        <v>378.6</v>
      </c>
      <c r="N18" s="22">
        <f>Balaka!N18+Liwonde!N18+Machinga!N18+Ntaja!N18</f>
        <v>269.20000000000005</v>
      </c>
      <c r="O18" s="22">
        <f>Balaka!O18+Liwonde!O18+Machinga!O18+Ntaja!O18</f>
        <v>240.5</v>
      </c>
      <c r="P18" s="50">
        <f>SUM(D18:O18)</f>
        <v>3719.3</v>
      </c>
    </row>
    <row r="19" spans="1:16" x14ac:dyDescent="0.3">
      <c r="A19" s="172" t="s">
        <v>184</v>
      </c>
      <c r="B19" s="173"/>
      <c r="C19" s="4" t="s">
        <v>154</v>
      </c>
      <c r="D19" s="22">
        <f>Balaka!D19+Liwonde!D19+Machinga!D19+Ntaja!D19</f>
        <v>2649.4999999999995</v>
      </c>
      <c r="E19" s="22">
        <f>Balaka!E19+Liwonde!E19+Machinga!E19+Ntaja!E19</f>
        <v>5706.3</v>
      </c>
      <c r="F19" s="22">
        <f>Balaka!F19+Liwonde!F19+Machinga!F19+Ntaja!F19</f>
        <v>4066.1</v>
      </c>
      <c r="G19" s="22">
        <f>Balaka!G19+Liwonde!G19+Machinga!G19+Ntaja!G19</f>
        <v>3201.2</v>
      </c>
      <c r="H19" s="22">
        <f>Balaka!H19+Liwonde!H19+Machinga!H19+Ntaja!H19</f>
        <v>4098.2</v>
      </c>
      <c r="I19" s="22">
        <f>Balaka!I19+Liwonde!I19+Machinga!I19+Ntaja!I19</f>
        <v>2405.4</v>
      </c>
      <c r="J19" s="22">
        <f>Balaka!J19+Liwonde!J19+Machinga!J19+Ntaja!J19</f>
        <v>4365.9000000000005</v>
      </c>
      <c r="K19" s="22">
        <f>Balaka!K19+Liwonde!K19+Machinga!K19+Ntaja!K19</f>
        <v>3069.9</v>
      </c>
      <c r="L19" s="22">
        <f>Balaka!L19+Liwonde!L19+Machinga!L19+Ntaja!L19</f>
        <v>2927.4</v>
      </c>
      <c r="M19" s="22">
        <f>Balaka!M19+Liwonde!M19+Machinga!M19+Ntaja!M19</f>
        <v>1747.5000000000002</v>
      </c>
      <c r="N19" s="22">
        <f>Balaka!N19+Liwonde!N19+Machinga!N19+Ntaja!N19</f>
        <v>1349.8</v>
      </c>
      <c r="O19" s="22">
        <f>Balaka!O19+Liwonde!O19+Machinga!O19+Ntaja!O19</f>
        <v>2193.9</v>
      </c>
      <c r="P19" s="50">
        <f>SUM(D19:O19)</f>
        <v>37781.100000000013</v>
      </c>
    </row>
    <row r="20" spans="1:16" x14ac:dyDescent="0.3">
      <c r="A20" s="166" t="s">
        <v>185</v>
      </c>
      <c r="B20" s="167"/>
      <c r="C20" s="4" t="s">
        <v>154</v>
      </c>
      <c r="D20" s="22">
        <f>Balaka!D20+Liwonde!D20+Machinga!D20+Ntaja!D20</f>
        <v>2305.599999999999</v>
      </c>
      <c r="E20" s="22">
        <f>Balaka!E20+Liwonde!E20+Machinga!E20+Ntaja!E20</f>
        <v>2421.6999999999998</v>
      </c>
      <c r="F20" s="22">
        <f>Balaka!F20+Liwonde!F20+Machinga!F20+Ntaja!F20</f>
        <v>2335.6999999999998</v>
      </c>
      <c r="G20" s="22">
        <f>Balaka!G20+Liwonde!G20+Machinga!G20+Ntaja!G20</f>
        <v>5861.8</v>
      </c>
      <c r="H20" s="22">
        <f>Balaka!H20+Liwonde!H20+Machinga!H20+Ntaja!H20</f>
        <v>2574.6999999999998</v>
      </c>
      <c r="I20" s="22">
        <f>Balaka!I20+Liwonde!I20+Machinga!I20+Ntaja!I20</f>
        <v>2869.5</v>
      </c>
      <c r="J20" s="22">
        <f>Balaka!J20+Liwonde!J20+Machinga!J20+Ntaja!J20</f>
        <v>2286.9999999999995</v>
      </c>
      <c r="K20" s="22">
        <f>Balaka!K20+Liwonde!K20+Machinga!K20+Ntaja!K20</f>
        <v>533.79999999999995</v>
      </c>
      <c r="L20" s="22">
        <f>Balaka!L20+Liwonde!L20+Machinga!L20+Ntaja!L20</f>
        <v>2245.3000000000002</v>
      </c>
      <c r="M20" s="22">
        <f>Balaka!M20+Liwonde!M20+Machinga!M20+Ntaja!M20</f>
        <v>3322.6</v>
      </c>
      <c r="N20" s="22">
        <f>Balaka!N20+Liwonde!N20+Machinga!N20+Ntaja!N20</f>
        <v>2792</v>
      </c>
      <c r="O20" s="22">
        <f>Balaka!O20+Liwonde!O20+Machinga!O20+Ntaja!O20</f>
        <v>2314.2999999999997</v>
      </c>
      <c r="P20" s="50">
        <f>SUM(D20:O20)</f>
        <v>31863.999999999996</v>
      </c>
    </row>
    <row r="21" spans="1:16" s="57" customFormat="1" x14ac:dyDescent="0.3">
      <c r="A21" s="168" t="s">
        <v>186</v>
      </c>
      <c r="B21" s="169"/>
      <c r="C21" s="56" t="s">
        <v>154</v>
      </c>
      <c r="D21" s="30">
        <f>SUM(D17:D20)</f>
        <v>30061.199999999997</v>
      </c>
      <c r="E21" s="30">
        <f t="shared" ref="E21:P21" si="1">SUM(E17:E20)</f>
        <v>34620.400000000001</v>
      </c>
      <c r="F21" s="30">
        <f t="shared" si="1"/>
        <v>35694.1</v>
      </c>
      <c r="G21" s="30">
        <f t="shared" si="1"/>
        <v>44013.400000000096</v>
      </c>
      <c r="H21" s="30">
        <f t="shared" si="1"/>
        <v>40849.999999999993</v>
      </c>
      <c r="I21" s="30">
        <f t="shared" si="1"/>
        <v>46789.899999999994</v>
      </c>
      <c r="J21" s="30">
        <f t="shared" si="1"/>
        <v>43966.000000000007</v>
      </c>
      <c r="K21" s="30">
        <f t="shared" si="1"/>
        <v>41572.299999999996</v>
      </c>
      <c r="L21" s="30">
        <f t="shared" si="1"/>
        <v>40078.700000000004</v>
      </c>
      <c r="M21" s="30">
        <f t="shared" si="1"/>
        <v>41531.599999999999</v>
      </c>
      <c r="N21" s="30">
        <f t="shared" si="1"/>
        <v>34586.899999999994</v>
      </c>
      <c r="O21" s="30">
        <f t="shared" si="1"/>
        <v>37831.600000000006</v>
      </c>
      <c r="P21" s="50">
        <f t="shared" si="1"/>
        <v>471596.10000000021</v>
      </c>
    </row>
    <row r="22" spans="1:16" x14ac:dyDescent="0.3">
      <c r="A22" s="64" t="s">
        <v>187</v>
      </c>
      <c r="B22" s="68"/>
      <c r="C22" s="4" t="s">
        <v>154</v>
      </c>
      <c r="D22" s="30">
        <f>D21+D15</f>
        <v>88658.2</v>
      </c>
      <c r="E22" s="30">
        <f t="shared" ref="E22:P22" si="2">E21+E15</f>
        <v>77562.399999999994</v>
      </c>
      <c r="F22" s="30">
        <f t="shared" si="2"/>
        <v>74445.100000000006</v>
      </c>
      <c r="G22" s="30">
        <f t="shared" si="2"/>
        <v>100944.4000000001</v>
      </c>
      <c r="H22" s="30">
        <f t="shared" si="2"/>
        <v>86630</v>
      </c>
      <c r="I22" s="30">
        <f t="shared" si="2"/>
        <v>105985.9</v>
      </c>
      <c r="J22" s="30">
        <f t="shared" si="2"/>
        <v>86939</v>
      </c>
      <c r="K22" s="30">
        <f t="shared" si="2"/>
        <v>86392.299999999988</v>
      </c>
      <c r="L22" s="30">
        <f t="shared" si="2"/>
        <v>81208.700000000012</v>
      </c>
      <c r="M22" s="30">
        <f t="shared" si="2"/>
        <v>83498.600000000006</v>
      </c>
      <c r="N22" s="30">
        <f t="shared" si="2"/>
        <v>78227.899999999994</v>
      </c>
      <c r="O22" s="30">
        <f t="shared" si="2"/>
        <v>80630.600000000006</v>
      </c>
      <c r="P22" s="50">
        <f t="shared" si="2"/>
        <v>1031123.1000000002</v>
      </c>
    </row>
    <row r="23" spans="1:16" ht="14.4" x14ac:dyDescent="0.3">
      <c r="A23" s="240"/>
      <c r="B23" s="241"/>
      <c r="C23" s="241"/>
      <c r="D23" s="241"/>
      <c r="E23" s="241"/>
      <c r="F23" s="241"/>
      <c r="G23" s="241"/>
      <c r="H23" s="241"/>
      <c r="I23" s="241"/>
      <c r="J23" s="241"/>
      <c r="K23" s="241"/>
      <c r="L23" s="241"/>
      <c r="M23" s="241"/>
      <c r="N23" s="241"/>
      <c r="O23" s="241"/>
      <c r="P23" s="242"/>
    </row>
    <row r="24" spans="1:16" x14ac:dyDescent="0.3">
      <c r="A24" s="163" t="s">
        <v>181</v>
      </c>
      <c r="B24" s="21" t="s">
        <v>155</v>
      </c>
      <c r="C24" s="4" t="s">
        <v>154</v>
      </c>
      <c r="D24" s="49">
        <f>Balaka!D24+Liwonde!D24+Machinga!D24+Ntaja!D24</f>
        <v>34144.80000000001</v>
      </c>
      <c r="E24" s="49">
        <f>Balaka!E24+Liwonde!E24+Machinga!E24+Ntaja!E24</f>
        <v>30545.599999999991</v>
      </c>
      <c r="F24" s="49">
        <f>Balaka!F24+Liwonde!F24+Machinga!F24+Ntaja!F24</f>
        <v>31603.9</v>
      </c>
      <c r="G24" s="49">
        <f>Balaka!G24+Liwonde!G24+Machinga!G24+Ntaja!G24</f>
        <v>42327.599999999897</v>
      </c>
      <c r="H24" s="49">
        <f>Balaka!H24+Liwonde!H24+Machinga!H24+Ntaja!H24</f>
        <v>35557</v>
      </c>
      <c r="I24" s="49">
        <f>Balaka!I24+Liwonde!I24+Machinga!I24+Ntaja!I24</f>
        <v>45487.1</v>
      </c>
      <c r="J24" s="49">
        <f>Balaka!J24+Liwonde!J24+Machinga!J24+Ntaja!J24</f>
        <v>34661</v>
      </c>
      <c r="K24" s="49">
        <f>Balaka!K24+Liwonde!K24+Machinga!K24+Ntaja!K24</f>
        <v>37204.700000000004</v>
      </c>
      <c r="L24" s="49">
        <f>Balaka!L24+Liwonde!L24+Machinga!L24+Ntaja!L24</f>
        <v>34124.299999999988</v>
      </c>
      <c r="M24" s="49">
        <f>Balaka!M24+Liwonde!M24+Machinga!M24+Ntaja!M24</f>
        <v>35383.400000000009</v>
      </c>
      <c r="N24" s="49">
        <f>Balaka!N24+Liwonde!N24+Machinga!N24+Ntaja!N24</f>
        <v>33002.100000000006</v>
      </c>
      <c r="O24" s="49">
        <f>Balaka!O24+Liwonde!O24+Machinga!O24+Ntaja!O24</f>
        <v>34757.4</v>
      </c>
      <c r="P24" s="88">
        <f t="shared" ref="P24" si="3">P9-P22</f>
        <v>428798.89999999979</v>
      </c>
    </row>
    <row r="25" spans="1:16" x14ac:dyDescent="0.3">
      <c r="A25" s="165"/>
      <c r="B25" s="48" t="s">
        <v>153</v>
      </c>
      <c r="C25" s="47" t="s">
        <v>6</v>
      </c>
      <c r="D25" s="46">
        <f t="shared" ref="D25:P25" si="4">D24/D9</f>
        <v>0.27804532462561998</v>
      </c>
      <c r="E25" s="46">
        <f t="shared" si="4"/>
        <v>0.28254708254708244</v>
      </c>
      <c r="F25" s="46">
        <f t="shared" si="4"/>
        <v>0.298012239625079</v>
      </c>
      <c r="G25" s="46">
        <f t="shared" si="4"/>
        <v>0.29543525601652726</v>
      </c>
      <c r="H25" s="46">
        <f t="shared" si="4"/>
        <v>0.29100477137502351</v>
      </c>
      <c r="I25" s="46">
        <f t="shared" si="4"/>
        <v>0.30029840301571897</v>
      </c>
      <c r="J25" s="46">
        <f t="shared" si="4"/>
        <v>0.28504111842105262</v>
      </c>
      <c r="K25" s="46">
        <f t="shared" si="4"/>
        <v>0.30101620589496514</v>
      </c>
      <c r="L25" s="46">
        <f t="shared" si="4"/>
        <v>0.29587628865979371</v>
      </c>
      <c r="M25" s="46">
        <f t="shared" si="4"/>
        <v>0.29763462929627704</v>
      </c>
      <c r="N25" s="46">
        <f t="shared" si="4"/>
        <v>0.29670142947046663</v>
      </c>
      <c r="O25" s="46">
        <f t="shared" si="4"/>
        <v>0.30122196415571811</v>
      </c>
      <c r="P25" s="136">
        <f t="shared" si="4"/>
        <v>0.29371356825912603</v>
      </c>
    </row>
    <row r="26" spans="1:16" ht="14.4" x14ac:dyDescent="0.3">
      <c r="A26" s="201" t="s">
        <v>152</v>
      </c>
      <c r="B26" s="202"/>
      <c r="C26" s="202"/>
      <c r="D26" s="202"/>
      <c r="E26" s="202"/>
      <c r="F26" s="202"/>
      <c r="G26" s="202"/>
      <c r="H26" s="202"/>
      <c r="I26" s="202"/>
      <c r="J26" s="202"/>
      <c r="K26" s="202"/>
      <c r="L26" s="202"/>
      <c r="M26" s="202"/>
      <c r="N26" s="202"/>
      <c r="O26" s="202"/>
      <c r="P26" s="203"/>
    </row>
    <row r="27" spans="1:16" ht="14.4" x14ac:dyDescent="0.3">
      <c r="A27" s="161" t="s">
        <v>151</v>
      </c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238"/>
    </row>
    <row r="28" spans="1:16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2"/>
      <c r="I28" s="42"/>
      <c r="J28" s="43"/>
      <c r="K28" s="43"/>
      <c r="L28" s="43"/>
      <c r="M28" s="43"/>
      <c r="N28" s="43"/>
      <c r="O28" s="42"/>
      <c r="P28" s="41"/>
    </row>
    <row r="29" spans="1:16" x14ac:dyDescent="0.3">
      <c r="A29" s="176" t="s">
        <v>148</v>
      </c>
      <c r="B29" s="433">
        <f>176264.5/50</f>
        <v>3525.29</v>
      </c>
      <c r="C29" s="4" t="s">
        <v>142</v>
      </c>
      <c r="D29" s="30">
        <f>Balaka!D29+Liwonde!D29+Machinga!D29+Ntaja!D29</f>
        <v>385</v>
      </c>
      <c r="E29" s="30">
        <f>Balaka!E29+Liwonde!E29+Machinga!E29+Ntaja!E29</f>
        <v>454</v>
      </c>
      <c r="F29" s="30">
        <f>Balaka!F29+Liwonde!F29+Machinga!F29+Ntaja!F29</f>
        <v>420</v>
      </c>
      <c r="G29" s="30">
        <f>Balaka!G29+Liwonde!G29+Machinga!G29+Ntaja!G29</f>
        <v>586</v>
      </c>
      <c r="H29" s="30">
        <f>Balaka!H29+Liwonde!H29+Machinga!H29+Ntaja!H29</f>
        <v>492</v>
      </c>
      <c r="I29" s="30">
        <f>Balaka!I29+Liwonde!I29+Machinga!I29+Ntaja!I29</f>
        <v>494</v>
      </c>
      <c r="J29" s="30">
        <f>Balaka!J29+Liwonde!J29+Machinga!J29+Ntaja!J29</f>
        <v>434</v>
      </c>
      <c r="K29" s="30">
        <f>Balaka!K29+Liwonde!K29+Machinga!K29+Ntaja!K29</f>
        <v>469</v>
      </c>
      <c r="L29" s="30">
        <f>Balaka!L29+Liwonde!L29+Machinga!L29+Ntaja!L29</f>
        <v>494</v>
      </c>
      <c r="M29" s="30">
        <f>Balaka!M29+Liwonde!M29+Machinga!M29+Ntaja!M29</f>
        <v>444</v>
      </c>
      <c r="N29" s="30">
        <f>Balaka!N29+Liwonde!N29+Machinga!N29+Ntaja!N29</f>
        <v>437</v>
      </c>
      <c r="O29" s="30">
        <f>Balaka!O29+Liwonde!O29+Machinga!O29+Ntaja!O29</f>
        <v>436</v>
      </c>
      <c r="P29" s="40">
        <f>SUM(D29:O29)</f>
        <v>5545</v>
      </c>
    </row>
    <row r="30" spans="1:16" x14ac:dyDescent="0.3">
      <c r="A30" s="177"/>
      <c r="B30" s="433"/>
      <c r="C30" s="37" t="s">
        <v>141</v>
      </c>
      <c r="D30" s="13">
        <f t="shared" ref="D30:P30" si="5">D29/(D9/1000)</f>
        <v>3.1351025626409781</v>
      </c>
      <c r="E30" s="13">
        <f t="shared" si="5"/>
        <v>4.1995041995041991</v>
      </c>
      <c r="F30" s="13">
        <f t="shared" si="5"/>
        <v>3.9604333845675108</v>
      </c>
      <c r="G30" s="13">
        <f t="shared" si="5"/>
        <v>4.0901222848846954</v>
      </c>
      <c r="H30" s="13">
        <f t="shared" si="5"/>
        <v>4.0266149426698421</v>
      </c>
      <c r="I30" s="13">
        <f t="shared" si="5"/>
        <v>3.2613072956896607</v>
      </c>
      <c r="J30" s="13">
        <f t="shared" si="5"/>
        <v>3.5690789473684212</v>
      </c>
      <c r="K30" s="13">
        <f t="shared" si="5"/>
        <v>3.7945904835877897</v>
      </c>
      <c r="L30" s="13">
        <f t="shared" si="5"/>
        <v>4.2832493735531028</v>
      </c>
      <c r="M30" s="13">
        <f t="shared" si="5"/>
        <v>3.7347958479837149</v>
      </c>
      <c r="N30" s="13">
        <f t="shared" si="5"/>
        <v>3.9287961880787554</v>
      </c>
      <c r="O30" s="13">
        <f t="shared" si="5"/>
        <v>3.7785558290290151</v>
      </c>
      <c r="P30" s="91">
        <f t="shared" si="5"/>
        <v>3.7981481202420402</v>
      </c>
    </row>
    <row r="31" spans="1:16" x14ac:dyDescent="0.3">
      <c r="A31" s="163" t="s">
        <v>147</v>
      </c>
      <c r="B31" s="433">
        <f>53000.511/50</f>
        <v>1060.0102199999999</v>
      </c>
      <c r="C31" s="4" t="s">
        <v>142</v>
      </c>
      <c r="D31" s="30">
        <f>Balaka!D31+Liwonde!D31+Machinga!D31+Ntaja!D31</f>
        <v>658</v>
      </c>
      <c r="E31" s="30">
        <f>Balaka!E31+Liwonde!E31+Machinga!E31+Ntaja!E31</f>
        <v>225</v>
      </c>
      <c r="F31" s="30">
        <f>Balaka!F31+Liwonde!F31+Machinga!F31+Ntaja!F31</f>
        <v>0</v>
      </c>
      <c r="G31" s="30">
        <f>Balaka!G31+Liwonde!G31+Machinga!G31+Ntaja!G31</f>
        <v>0</v>
      </c>
      <c r="H31" s="30">
        <f>Balaka!H31+Liwonde!H31+Machinga!H31+Ntaja!H31</f>
        <v>0</v>
      </c>
      <c r="I31" s="30">
        <f>Balaka!I31+Liwonde!I31+Machinga!I31+Ntaja!I31</f>
        <v>0</v>
      </c>
      <c r="J31" s="30">
        <f>Balaka!J31+Liwonde!J31+Machinga!J31+Ntaja!J31</f>
        <v>0</v>
      </c>
      <c r="K31" s="30">
        <f>Balaka!K31+Liwonde!K31+Machinga!K31+Ntaja!K31</f>
        <v>90</v>
      </c>
      <c r="L31" s="30">
        <f>Balaka!L31+Liwonde!L31+Machinga!L31+Ntaja!L31</f>
        <v>0</v>
      </c>
      <c r="M31" s="30">
        <f>Balaka!M31+Liwonde!M31+Machinga!M31+Ntaja!M31</f>
        <v>0</v>
      </c>
      <c r="N31" s="30">
        <f>Balaka!N31+Liwonde!N31+Machinga!N31+Ntaja!N31</f>
        <v>25</v>
      </c>
      <c r="O31" s="30">
        <f>Balaka!O31+Liwonde!O31+Machinga!O31+Ntaja!O31</f>
        <v>985</v>
      </c>
      <c r="P31" s="40">
        <f>SUM(D31:O31)</f>
        <v>1983</v>
      </c>
    </row>
    <row r="32" spans="1:16" x14ac:dyDescent="0.3">
      <c r="A32" s="165"/>
      <c r="B32" s="433"/>
      <c r="C32" s="37" t="s">
        <v>141</v>
      </c>
      <c r="D32" s="13">
        <f t="shared" ref="D32:P32" si="6">D31/(D9/1000)</f>
        <v>5.358175288877308</v>
      </c>
      <c r="E32" s="13">
        <f t="shared" si="6"/>
        <v>2.0812520812520812</v>
      </c>
      <c r="F32" s="13">
        <f t="shared" si="6"/>
        <v>0</v>
      </c>
      <c r="G32" s="13">
        <f t="shared" si="6"/>
        <v>0</v>
      </c>
      <c r="H32" s="13">
        <f t="shared" si="6"/>
        <v>0</v>
      </c>
      <c r="I32" s="13">
        <f t="shared" si="6"/>
        <v>0</v>
      </c>
      <c r="J32" s="13">
        <f t="shared" si="6"/>
        <v>0</v>
      </c>
      <c r="K32" s="13">
        <f t="shared" si="6"/>
        <v>0.72817301390810463</v>
      </c>
      <c r="L32" s="13">
        <f t="shared" si="6"/>
        <v>0</v>
      </c>
      <c r="M32" s="13">
        <f t="shared" si="6"/>
        <v>0</v>
      </c>
      <c r="N32" s="13">
        <f t="shared" si="6"/>
        <v>0.22475950732715994</v>
      </c>
      <c r="O32" s="13">
        <f t="shared" si="6"/>
        <v>8.5364162651228899</v>
      </c>
      <c r="P32" s="91">
        <f t="shared" si="6"/>
        <v>1.3582917443534654</v>
      </c>
    </row>
    <row r="33" spans="1:16" x14ac:dyDescent="0.3">
      <c r="A33" s="163" t="s">
        <v>146</v>
      </c>
      <c r="B33" s="433">
        <f>61414.43/50</f>
        <v>1228.2886000000001</v>
      </c>
      <c r="C33" s="4" t="s">
        <v>142</v>
      </c>
      <c r="D33" s="30">
        <f>Balaka!D33+Liwonde!D33+Machinga!D33+Ntaja!D33</f>
        <v>0</v>
      </c>
      <c r="E33" s="30">
        <f>Balaka!E33+Liwonde!E33+Machinga!E33+Ntaja!E33</f>
        <v>0</v>
      </c>
      <c r="F33" s="30">
        <f>Balaka!F33+Liwonde!F33+Machinga!F33+Ntaja!F33</f>
        <v>0</v>
      </c>
      <c r="G33" s="30">
        <f>Balaka!G33+Liwonde!G33+Machinga!G33+Ntaja!G33</f>
        <v>0</v>
      </c>
      <c r="H33" s="30">
        <f>Balaka!H33+Liwonde!H33+Machinga!H33+Ntaja!H33</f>
        <v>0</v>
      </c>
      <c r="I33" s="30">
        <f>Balaka!I33+Liwonde!I33+Machinga!I33+Ntaja!I33</f>
        <v>0</v>
      </c>
      <c r="J33" s="30">
        <f>Balaka!J33+Liwonde!J33+Machinga!J33+Ntaja!J33</f>
        <v>0</v>
      </c>
      <c r="K33" s="30">
        <f>Balaka!K33+Liwonde!K33+Machinga!K33+Ntaja!K33</f>
        <v>0</v>
      </c>
      <c r="L33" s="30">
        <f>Balaka!L33+Liwonde!L33+Machinga!L33+Ntaja!L33</f>
        <v>0</v>
      </c>
      <c r="M33" s="30">
        <f>Balaka!M33+Liwonde!M33+Machinga!M33+Ntaja!M33</f>
        <v>0</v>
      </c>
      <c r="N33" s="30">
        <f>Balaka!N33+Liwonde!N33+Machinga!N33+Ntaja!N33</f>
        <v>0</v>
      </c>
      <c r="O33" s="30">
        <f>Balaka!O33+Liwonde!O33+Machinga!O33+Ntaja!O33</f>
        <v>0</v>
      </c>
      <c r="P33" s="40">
        <f>SUM(D33:O33)</f>
        <v>0</v>
      </c>
    </row>
    <row r="34" spans="1:16" x14ac:dyDescent="0.3">
      <c r="A34" s="165"/>
      <c r="B34" s="433"/>
      <c r="C34" s="37" t="s">
        <v>141</v>
      </c>
      <c r="D34" s="13">
        <f t="shared" ref="D34:P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13">
        <f t="shared" si="7"/>
        <v>0</v>
      </c>
      <c r="I34" s="13">
        <f t="shared" si="7"/>
        <v>0</v>
      </c>
      <c r="J34" s="13">
        <f t="shared" si="7"/>
        <v>0</v>
      </c>
      <c r="K34" s="13">
        <f t="shared" si="7"/>
        <v>0</v>
      </c>
      <c r="L34" s="13">
        <f t="shared" si="7"/>
        <v>0</v>
      </c>
      <c r="M34" s="13">
        <f t="shared" si="7"/>
        <v>0</v>
      </c>
      <c r="N34" s="13">
        <f t="shared" si="7"/>
        <v>0</v>
      </c>
      <c r="O34" s="13">
        <f t="shared" si="7"/>
        <v>0</v>
      </c>
      <c r="P34" s="91">
        <f t="shared" si="7"/>
        <v>0</v>
      </c>
    </row>
    <row r="35" spans="1:16" x14ac:dyDescent="0.3">
      <c r="A35" s="163" t="s">
        <v>145</v>
      </c>
      <c r="B35" s="433">
        <f>745345.16/200</f>
        <v>3726.7258000000002</v>
      </c>
      <c r="C35" s="4" t="s">
        <v>128</v>
      </c>
      <c r="D35" s="30">
        <f>Balaka!D35+Liwonde!D35+Machinga!D35+Ntaja!D35</f>
        <v>0</v>
      </c>
      <c r="E35" s="30">
        <f>Balaka!E35+Liwonde!E35+Machinga!E35+Ntaja!E35</f>
        <v>336</v>
      </c>
      <c r="F35" s="30">
        <f>Balaka!F35+Liwonde!F35+Machinga!F35+Ntaja!F35</f>
        <v>432</v>
      </c>
      <c r="G35" s="30">
        <f>Balaka!G35+Liwonde!G35+Machinga!G35+Ntaja!G35</f>
        <v>480</v>
      </c>
      <c r="H35" s="30">
        <f>Balaka!H35+Liwonde!H35+Machinga!H35+Ntaja!H35</f>
        <v>228</v>
      </c>
      <c r="I35" s="30">
        <f>Balaka!I35+Liwonde!I35+Machinga!I35+Ntaja!I35</f>
        <v>435</v>
      </c>
      <c r="J35" s="30">
        <f>Balaka!J35+Liwonde!J35+Machinga!J35+Ntaja!J35</f>
        <v>0</v>
      </c>
      <c r="K35" s="30">
        <f>Balaka!K35+Liwonde!K35+Machinga!K35+Ntaja!K35</f>
        <v>368</v>
      </c>
      <c r="L35" s="30">
        <f>Balaka!L35+Liwonde!L35+Machinga!L35+Ntaja!L35</f>
        <v>522</v>
      </c>
      <c r="M35" s="30">
        <f>Balaka!M35+Liwonde!M35+Machinga!M35+Ntaja!M35</f>
        <v>709</v>
      </c>
      <c r="N35" s="30">
        <f>Balaka!N35+Liwonde!N35+Machinga!N35+Ntaja!N35</f>
        <v>471</v>
      </c>
      <c r="O35" s="30">
        <f>Balaka!O35+Liwonde!O35+Machinga!O35+Ntaja!O35</f>
        <v>0</v>
      </c>
      <c r="P35" s="91"/>
    </row>
    <row r="36" spans="1:16" x14ac:dyDescent="0.3">
      <c r="A36" s="165"/>
      <c r="B36" s="433"/>
      <c r="C36" s="4" t="s">
        <v>144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91"/>
    </row>
    <row r="37" spans="1:16" x14ac:dyDescent="0.3">
      <c r="A37" s="163" t="s">
        <v>188</v>
      </c>
      <c r="B37" s="433">
        <f>790318.72/200</f>
        <v>3951.5935999999997</v>
      </c>
      <c r="C37" s="4" t="s">
        <v>128</v>
      </c>
      <c r="D37" s="30">
        <f>Balaka!D37+Liwonde!D37+Machinga!D37+Ntaja!D37</f>
        <v>0</v>
      </c>
      <c r="E37" s="30">
        <f>Balaka!E37+Liwonde!E37+Machinga!E37+Ntaja!E37</f>
        <v>0</v>
      </c>
      <c r="F37" s="30">
        <f>Balaka!F37+Liwonde!F37+Machinga!F37+Ntaja!F37</f>
        <v>0</v>
      </c>
      <c r="G37" s="30">
        <f>Balaka!G37+Liwonde!G37+Machinga!G37+Ntaja!G37</f>
        <v>0</v>
      </c>
      <c r="H37" s="30">
        <f>Balaka!H37+Liwonde!H37+Machinga!H37+Ntaja!H37</f>
        <v>0</v>
      </c>
      <c r="I37" s="30">
        <f>Balaka!I37+Liwonde!I37+Machinga!I37+Ntaja!I37</f>
        <v>0</v>
      </c>
      <c r="J37" s="30">
        <f>Balaka!J37+Liwonde!J37+Machinga!J37+Ntaja!J37</f>
        <v>0</v>
      </c>
      <c r="K37" s="30">
        <f>Balaka!K37+Liwonde!K37+Machinga!K37+Ntaja!K37</f>
        <v>0</v>
      </c>
      <c r="L37" s="30">
        <f>Balaka!L37+Liwonde!L37+Machinga!L37+Ntaja!L37</f>
        <v>0</v>
      </c>
      <c r="M37" s="30">
        <f>Balaka!M37+Liwonde!M37+Machinga!M37+Ntaja!M37</f>
        <v>0</v>
      </c>
      <c r="N37" s="30">
        <f>Balaka!N37+Liwonde!N37+Machinga!N37+Ntaja!N37</f>
        <v>0</v>
      </c>
      <c r="O37" s="30">
        <f>Balaka!O37+Liwonde!O37+Machinga!O37+Ntaja!O37</f>
        <v>0</v>
      </c>
      <c r="P37" s="40">
        <f>SUM(D37:O37)</f>
        <v>0</v>
      </c>
    </row>
    <row r="38" spans="1:16" x14ac:dyDescent="0.3">
      <c r="A38" s="165"/>
      <c r="B38" s="433"/>
      <c r="C38" s="4" t="s">
        <v>144</v>
      </c>
      <c r="D38" s="13">
        <f t="shared" ref="D38:P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13">
        <f t="shared" si="8"/>
        <v>0</v>
      </c>
      <c r="I38" s="13">
        <f t="shared" si="8"/>
        <v>0</v>
      </c>
      <c r="J38" s="13">
        <f t="shared" si="8"/>
        <v>0</v>
      </c>
      <c r="K38" s="13">
        <f t="shared" si="8"/>
        <v>0</v>
      </c>
      <c r="L38" s="13">
        <f t="shared" si="8"/>
        <v>0</v>
      </c>
      <c r="M38" s="13">
        <f t="shared" si="8"/>
        <v>0</v>
      </c>
      <c r="N38" s="13">
        <f t="shared" si="8"/>
        <v>0</v>
      </c>
      <c r="O38" s="13">
        <f t="shared" si="8"/>
        <v>0</v>
      </c>
      <c r="P38" s="91">
        <f t="shared" si="8"/>
        <v>0</v>
      </c>
    </row>
    <row r="39" spans="1:16" x14ac:dyDescent="0.3">
      <c r="A39" s="163" t="s">
        <v>143</v>
      </c>
      <c r="B39" s="433">
        <v>1950</v>
      </c>
      <c r="C39" s="4" t="s">
        <v>142</v>
      </c>
      <c r="D39" s="30">
        <f>Balaka!D39+Liwonde!D39+Machinga!D39+Ntaja!D39</f>
        <v>0</v>
      </c>
      <c r="E39" s="30">
        <f>Balaka!E39+Liwonde!E39+Machinga!E39+Ntaja!E39</f>
        <v>0</v>
      </c>
      <c r="F39" s="30">
        <f>Balaka!F39+Liwonde!F39+Machinga!F39+Ntaja!F39</f>
        <v>0</v>
      </c>
      <c r="G39" s="30">
        <f>Balaka!G39+Liwonde!G39+Machinga!G39+Ntaja!G39</f>
        <v>0</v>
      </c>
      <c r="H39" s="30">
        <f>Balaka!H39+Liwonde!H39+Machinga!H39+Ntaja!H39</f>
        <v>0</v>
      </c>
      <c r="I39" s="30">
        <f>Balaka!I39+Liwonde!I39+Machinga!I39+Ntaja!I39</f>
        <v>0</v>
      </c>
      <c r="J39" s="30">
        <f>Balaka!J39+Liwonde!J39+Machinga!J39+Ntaja!J39</f>
        <v>0</v>
      </c>
      <c r="K39" s="30">
        <f>Balaka!K39+Liwonde!K39+Machinga!K39+Ntaja!K39</f>
        <v>0</v>
      </c>
      <c r="L39" s="30">
        <f>Balaka!L39+Liwonde!L39+Machinga!L39+Ntaja!L39</f>
        <v>0</v>
      </c>
      <c r="M39" s="30">
        <f>Balaka!M39+Liwonde!M39+Machinga!M39+Ntaja!M39</f>
        <v>0</v>
      </c>
      <c r="N39" s="30">
        <f>Balaka!N39+Liwonde!N39+Machinga!N39+Ntaja!N39</f>
        <v>0</v>
      </c>
      <c r="O39" s="30">
        <f>Balaka!O39+Liwonde!O39+Machinga!O39+Ntaja!O39</f>
        <v>0</v>
      </c>
      <c r="P39" s="40">
        <f>SUM(D39:O39)</f>
        <v>0</v>
      </c>
    </row>
    <row r="40" spans="1:16" x14ac:dyDescent="0.3">
      <c r="A40" s="165"/>
      <c r="B40" s="433"/>
      <c r="C40" s="37" t="s">
        <v>141</v>
      </c>
      <c r="D40" s="13">
        <f t="shared" ref="D40:P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13">
        <f t="shared" si="9"/>
        <v>0</v>
      </c>
      <c r="I40" s="13">
        <f t="shared" si="9"/>
        <v>0</v>
      </c>
      <c r="J40" s="13">
        <f t="shared" si="9"/>
        <v>0</v>
      </c>
      <c r="K40" s="13">
        <f t="shared" si="9"/>
        <v>0</v>
      </c>
      <c r="L40" s="13">
        <f t="shared" si="9"/>
        <v>0</v>
      </c>
      <c r="M40" s="13">
        <f t="shared" si="9"/>
        <v>0</v>
      </c>
      <c r="N40" s="13">
        <f t="shared" si="9"/>
        <v>0</v>
      </c>
      <c r="O40" s="13">
        <f t="shared" si="9"/>
        <v>0</v>
      </c>
      <c r="P40" s="91">
        <f t="shared" si="9"/>
        <v>0</v>
      </c>
    </row>
    <row r="41" spans="1:16" x14ac:dyDescent="0.3">
      <c r="A41" s="166" t="s">
        <v>140</v>
      </c>
      <c r="B41" s="167"/>
      <c r="C41" s="4" t="s">
        <v>31</v>
      </c>
      <c r="D41" s="36">
        <f>(D29*$B29)+(D31*$B31)+(D33*$B33)+(D35*$B35)+(D37*$B37)+(D39*$B39)</f>
        <v>2054723.3747599998</v>
      </c>
      <c r="E41" s="36">
        <f t="shared" ref="E41:O41" si="10">(E29*$B29)+(E31*$B31)+(E33*$B33)+(E35*$B35)+(E37*$B37)+(E39*$B39)</f>
        <v>3091163.8283000002</v>
      </c>
      <c r="F41" s="36">
        <f t="shared" si="10"/>
        <v>3090567.3456000001</v>
      </c>
      <c r="G41" s="36">
        <f t="shared" si="10"/>
        <v>3854648.324</v>
      </c>
      <c r="H41" s="36">
        <f t="shared" si="10"/>
        <v>2584136.1623999998</v>
      </c>
      <c r="I41" s="36">
        <f t="shared" si="10"/>
        <v>3362618.983</v>
      </c>
      <c r="J41" s="36">
        <f t="shared" si="10"/>
        <v>1529975.8599999999</v>
      </c>
      <c r="K41" s="36">
        <f t="shared" si="10"/>
        <v>3120197.0241999999</v>
      </c>
      <c r="L41" s="36">
        <f t="shared" si="10"/>
        <v>3686844.1276000002</v>
      </c>
      <c r="M41" s="36">
        <f t="shared" si="10"/>
        <v>4207477.3522000005</v>
      </c>
      <c r="N41" s="36">
        <f t="shared" si="10"/>
        <v>3322339.8372999998</v>
      </c>
      <c r="O41" s="36">
        <f t="shared" si="10"/>
        <v>2581136.5066999998</v>
      </c>
      <c r="P41" s="34">
        <f>SUM(D41:O41)</f>
        <v>36485828.726060003</v>
      </c>
    </row>
    <row r="42" spans="1:16" x14ac:dyDescent="0.3">
      <c r="A42" s="181" t="s">
        <v>139</v>
      </c>
      <c r="B42" s="182"/>
      <c r="C42" s="37" t="s">
        <v>117</v>
      </c>
      <c r="D42" s="13">
        <f t="shared" ref="D42:P42" si="11">D41/D9</f>
        <v>16.73186627981401</v>
      </c>
      <c r="E42" s="13">
        <f t="shared" si="11"/>
        <v>28.593294005069005</v>
      </c>
      <c r="F42" s="13">
        <f t="shared" si="11"/>
        <v>29.142824030401041</v>
      </c>
      <c r="G42" s="13">
        <f t="shared" si="11"/>
        <v>26.904407867552628</v>
      </c>
      <c r="H42" s="13">
        <f t="shared" si="11"/>
        <v>21.149027002872643</v>
      </c>
      <c r="I42" s="13">
        <f t="shared" si="11"/>
        <v>22.199461177899693</v>
      </c>
      <c r="J42" s="13">
        <f t="shared" si="11"/>
        <v>12.582038322368421</v>
      </c>
      <c r="K42" s="13">
        <f t="shared" si="11"/>
        <v>25.244925234431257</v>
      </c>
      <c r="L42" s="13">
        <f t="shared" si="11"/>
        <v>31.966948987713838</v>
      </c>
      <c r="M42" s="13">
        <f t="shared" si="11"/>
        <v>35.39204717450918</v>
      </c>
      <c r="N42" s="13">
        <f t="shared" si="11"/>
        <v>29.869098600197788</v>
      </c>
      <c r="O42" s="13">
        <f t="shared" si="11"/>
        <v>22.369193561722188</v>
      </c>
      <c r="P42" s="39">
        <f t="shared" si="11"/>
        <v>24.991628817197086</v>
      </c>
    </row>
    <row r="43" spans="1:16" ht="14.4" x14ac:dyDescent="0.3">
      <c r="A43" s="178" t="s">
        <v>138</v>
      </c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80"/>
    </row>
    <row r="44" spans="1:16" x14ac:dyDescent="0.3">
      <c r="A44" s="166" t="s">
        <v>137</v>
      </c>
      <c r="B44" s="167"/>
      <c r="C44" s="4" t="s">
        <v>136</v>
      </c>
      <c r="D44" s="30">
        <f>Balaka!D44+Liwonde!D44+Machinga!D44+Ntaja!D44</f>
        <v>91326.5</v>
      </c>
      <c r="E44" s="30">
        <f>Balaka!E44+Liwonde!E44+Machinga!E44+Ntaja!E44</f>
        <v>94612.005070000014</v>
      </c>
      <c r="F44" s="30">
        <f>Balaka!F44+Liwonde!F44+Machinga!F44+Ntaja!F44</f>
        <v>103245.6</v>
      </c>
      <c r="G44" s="30">
        <f>Balaka!G44+Liwonde!G44+Machinga!G44+Ntaja!G44</f>
        <v>85056</v>
      </c>
      <c r="H44" s="30">
        <f>Balaka!H44+Liwonde!H44+Machinga!H44+Ntaja!H44</f>
        <v>122542</v>
      </c>
      <c r="I44" s="30">
        <f>Balaka!I44+Liwonde!I44+Machinga!I44+Ntaja!I44</f>
        <v>86368.7</v>
      </c>
      <c r="J44" s="30">
        <f>Balaka!J44+Liwonde!J44+Machinga!J44+Ntaja!J44</f>
        <v>76872</v>
      </c>
      <c r="K44" s="30">
        <f>Balaka!K44+Liwonde!K44+Machinga!K44+Ntaja!K44</f>
        <v>102673</v>
      </c>
      <c r="L44" s="30">
        <f>Balaka!L44+Liwonde!L44+Machinga!L44+Ntaja!L44</f>
        <v>79147</v>
      </c>
      <c r="M44" s="30">
        <f>Balaka!M44+Liwonde!M44+Machinga!M44+Ntaja!M44</f>
        <v>98122</v>
      </c>
      <c r="N44" s="30">
        <f>Balaka!N44+Liwonde!N44+Machinga!N44+Ntaja!N44</f>
        <v>80692.762711864401</v>
      </c>
      <c r="O44" s="30">
        <f>Balaka!O44+Liwonde!O44+Machinga!O44+Ntaja!O44</f>
        <v>91250</v>
      </c>
      <c r="P44" s="34">
        <f>SUM(D44:O44)</f>
        <v>1111907.5677818644</v>
      </c>
    </row>
    <row r="45" spans="1:16" x14ac:dyDescent="0.3">
      <c r="A45" s="181" t="s">
        <v>135</v>
      </c>
      <c r="B45" s="182"/>
      <c r="C45" s="37" t="s">
        <v>134</v>
      </c>
      <c r="D45" s="13">
        <f t="shared" ref="D45:P45" si="12">D44/D9</f>
        <v>0.74368297191436694</v>
      </c>
      <c r="E45" s="13">
        <f t="shared" si="12"/>
        <v>0.87516192205942223</v>
      </c>
      <c r="F45" s="13">
        <f t="shared" si="12"/>
        <v>0.9735650501183416</v>
      </c>
      <c r="G45" s="13">
        <f t="shared" si="12"/>
        <v>0.59366798816237643</v>
      </c>
      <c r="H45" s="13">
        <f t="shared" si="12"/>
        <v>1.0029053827330239</v>
      </c>
      <c r="I45" s="13">
        <f t="shared" si="12"/>
        <v>0.57019204742759433</v>
      </c>
      <c r="J45" s="13">
        <f t="shared" si="12"/>
        <v>0.63217105263157891</v>
      </c>
      <c r="K45" s="13">
        <f t="shared" si="12"/>
        <v>0.83070786507763128</v>
      </c>
      <c r="L45" s="13">
        <f t="shared" si="12"/>
        <v>0.68624764811458994</v>
      </c>
      <c r="M45" s="13">
        <f t="shared" si="12"/>
        <v>0.82537305899968039</v>
      </c>
      <c r="N45" s="13">
        <f t="shared" si="12"/>
        <v>0.72545862367944258</v>
      </c>
      <c r="O45" s="13">
        <f t="shared" si="12"/>
        <v>0.79081013623600371</v>
      </c>
      <c r="P45" s="91">
        <f t="shared" si="12"/>
        <v>0.7616212152305839</v>
      </c>
    </row>
    <row r="46" spans="1:16" x14ac:dyDescent="0.3">
      <c r="A46" s="166" t="s">
        <v>133</v>
      </c>
      <c r="B46" s="167"/>
      <c r="C46" s="4" t="s">
        <v>31</v>
      </c>
      <c r="D46" s="30">
        <f>Balaka!D46+Liwonde!D46+Machinga!D46+Ntaja!D46</f>
        <v>15345091.953749999</v>
      </c>
      <c r="E46" s="30">
        <f>Balaka!E46+Liwonde!E46+Machinga!E46+Ntaja!E46</f>
        <v>15894354.477589926</v>
      </c>
      <c r="F46" s="30">
        <f>Balaka!F46+Liwonde!F46+Machinga!F46+Ntaja!F46</f>
        <v>17337697.294</v>
      </c>
      <c r="G46" s="30">
        <f>Balaka!G46+Liwonde!G46+Machinga!G46+Ntaja!G46</f>
        <v>14296805.439999999</v>
      </c>
      <c r="H46" s="30">
        <f>Balaka!H46+Liwonde!H46+Machinga!H46+Ntaja!H46</f>
        <v>20563621.204999998</v>
      </c>
      <c r="I46" s="30">
        <f>Balaka!I46+Liwonde!I46+Machinga!I46+Ntaja!I46</f>
        <v>14516259.344250001</v>
      </c>
      <c r="J46" s="30">
        <f>Balaka!J46+Liwonde!J46+Machinga!J46+Ntaja!J46</f>
        <v>12928624.780000001</v>
      </c>
      <c r="K46" s="30">
        <f>Balaka!K46+Liwonde!K46+Machinga!K46+Ntaja!K46</f>
        <v>17241971.4575</v>
      </c>
      <c r="L46" s="30">
        <f>Balaka!L46+Liwonde!L46+Machinga!L46+Ntaja!L46</f>
        <v>13308953.592500001</v>
      </c>
      <c r="M46" s="30">
        <f>Balaka!M46+Liwonde!M46+Machinga!M46+Ntaja!M46</f>
        <v>16481146.655000001</v>
      </c>
      <c r="N46" s="30">
        <f>Balaka!N46+Liwonde!N46+Machinga!N46+Ntaja!N46</f>
        <v>13567370.338262713</v>
      </c>
      <c r="O46" s="30">
        <f>Balaka!O46+Liwonde!O46+Machinga!O46+Ntaja!O46</f>
        <v>15332302.875</v>
      </c>
      <c r="P46" s="34">
        <f>SUM(D46:O46)</f>
        <v>186814199.41285264</v>
      </c>
    </row>
    <row r="47" spans="1:16" x14ac:dyDescent="0.3">
      <c r="A47" s="166" t="s">
        <v>132</v>
      </c>
      <c r="B47" s="167"/>
      <c r="C47" s="4" t="s">
        <v>117</v>
      </c>
      <c r="D47" s="13">
        <f t="shared" ref="D47:P47" si="13">D46/D9</f>
        <v>124.95697950172226</v>
      </c>
      <c r="E47" s="13">
        <f t="shared" si="13"/>
        <v>147.02292594063275</v>
      </c>
      <c r="F47" s="13">
        <f t="shared" si="13"/>
        <v>163.48760755877001</v>
      </c>
      <c r="G47" s="13">
        <f t="shared" si="13"/>
        <v>99.787854151543911</v>
      </c>
      <c r="H47" s="13">
        <f t="shared" si="13"/>
        <v>168.29630979564109</v>
      </c>
      <c r="I47" s="13">
        <f t="shared" si="13"/>
        <v>95.833972683250494</v>
      </c>
      <c r="J47" s="13">
        <f t="shared" si="13"/>
        <v>106.32092746710528</v>
      </c>
      <c r="K47" s="13">
        <f t="shared" si="13"/>
        <v>139.501536910281</v>
      </c>
      <c r="L47" s="13">
        <f t="shared" si="13"/>
        <v>115.39588489417601</v>
      </c>
      <c r="M47" s="13">
        <f t="shared" si="13"/>
        <v>138.63450021870426</v>
      </c>
      <c r="N47" s="13">
        <f t="shared" si="13"/>
        <v>121.97581891812202</v>
      </c>
      <c r="O47" s="13">
        <f t="shared" si="13"/>
        <v>132.87606055222381</v>
      </c>
      <c r="P47" s="91">
        <f t="shared" si="13"/>
        <v>127.96176741829539</v>
      </c>
    </row>
    <row r="48" spans="1:16" ht="14.4" x14ac:dyDescent="0.3">
      <c r="A48" s="178" t="s">
        <v>131</v>
      </c>
      <c r="B48" s="179"/>
      <c r="C48" s="179"/>
      <c r="D48" s="179"/>
      <c r="E48" s="179"/>
      <c r="F48" s="179"/>
      <c r="G48" s="179"/>
      <c r="H48" s="179"/>
      <c r="I48" s="179"/>
      <c r="J48" s="179"/>
      <c r="K48" s="179"/>
      <c r="L48" s="179"/>
      <c r="M48" s="179"/>
      <c r="N48" s="179"/>
      <c r="O48" s="179"/>
      <c r="P48" s="180"/>
    </row>
    <row r="49" spans="1:16" x14ac:dyDescent="0.3">
      <c r="A49" s="166" t="s">
        <v>130</v>
      </c>
      <c r="B49" s="167"/>
      <c r="C49" s="4" t="s">
        <v>129</v>
      </c>
      <c r="D49" s="30">
        <f>Balaka!D49+Liwonde!D49+Machinga!D49+Ntaja!D49</f>
        <v>5904</v>
      </c>
      <c r="E49" s="30">
        <f>Balaka!E49+Liwonde!E49+Machinga!E49+Ntaja!E49</f>
        <v>6974</v>
      </c>
      <c r="F49" s="30">
        <f>Balaka!F49+Liwonde!F49+Machinga!F49+Ntaja!F49</f>
        <v>9799</v>
      </c>
      <c r="G49" s="30">
        <f>Balaka!G49+Liwonde!G49+Machinga!G49+Ntaja!G49</f>
        <v>8024</v>
      </c>
      <c r="H49" s="30">
        <f>Balaka!H49+Liwonde!H49+Machinga!H49+Ntaja!H49</f>
        <v>7751.5151515151501</v>
      </c>
      <c r="I49" s="30">
        <f>Balaka!I49+Liwonde!I49+Machinga!I49+Ntaja!I49</f>
        <v>7036</v>
      </c>
      <c r="J49" s="30">
        <f>Balaka!J49+Liwonde!J49+Machinga!J49+Ntaja!J49</f>
        <v>6582.6657447829803</v>
      </c>
      <c r="K49" s="30">
        <f>Balaka!K49+Liwonde!K49+Machinga!K49+Ntaja!K49</f>
        <v>7823</v>
      </c>
      <c r="L49" s="30">
        <f>Balaka!L49+Liwonde!L49+Machinga!L49+Ntaja!L49</f>
        <v>8004</v>
      </c>
      <c r="M49" s="30">
        <f>Balaka!M49+Liwonde!M49+Machinga!M49+Ntaja!M49</f>
        <v>9521</v>
      </c>
      <c r="N49" s="30">
        <f>Balaka!N49+Liwonde!N49+Machinga!N49+Ntaja!N49</f>
        <v>7858</v>
      </c>
      <c r="O49" s="30">
        <f>Balaka!O49+Liwonde!O49+Machinga!O49+Ntaja!O49</f>
        <v>8571</v>
      </c>
      <c r="P49" s="34">
        <f>SUM(D49:O49)</f>
        <v>93848.18089629813</v>
      </c>
    </row>
    <row r="50" spans="1:16" x14ac:dyDescent="0.3">
      <c r="A50" s="166" t="s">
        <v>189</v>
      </c>
      <c r="B50" s="167"/>
      <c r="C50" s="4" t="s">
        <v>128</v>
      </c>
      <c r="D50" s="30">
        <f>Balaka!D50+Liwonde!D50+Machinga!D50+Ntaja!D50</f>
        <v>420</v>
      </c>
      <c r="E50" s="30">
        <f>Balaka!E50+Liwonde!E50+Machinga!E50+Ntaja!E50</f>
        <v>602</v>
      </c>
      <c r="F50" s="30">
        <f>Balaka!F50+Liwonde!F50+Machinga!F50+Ntaja!F50</f>
        <v>576</v>
      </c>
      <c r="G50" s="30">
        <f>Balaka!G50+Liwonde!G50+Machinga!G50+Ntaja!G50</f>
        <v>711</v>
      </c>
      <c r="H50" s="30">
        <f>Balaka!H50+Liwonde!H50+Machinga!H50+Ntaja!H50</f>
        <v>793</v>
      </c>
      <c r="I50" s="30">
        <f>Balaka!I50+Liwonde!I50+Machinga!I50+Ntaja!I50</f>
        <v>595.00857142857103</v>
      </c>
      <c r="J50" s="30">
        <f>Balaka!J50+Liwonde!J50+Machinga!J50+Ntaja!J50</f>
        <v>537</v>
      </c>
      <c r="K50" s="30">
        <f>Balaka!K50+Liwonde!K50+Machinga!K50+Ntaja!K50</f>
        <v>562</v>
      </c>
      <c r="L50" s="30">
        <f>Balaka!L50+Liwonde!L50+Machinga!L50+Ntaja!L50</f>
        <v>566</v>
      </c>
      <c r="M50" s="30">
        <f>Balaka!M50+Liwonde!M50+Machinga!M50+Ntaja!M50</f>
        <v>235</v>
      </c>
      <c r="N50" s="30">
        <f>Balaka!N50+Liwonde!N50+Machinga!N50+Ntaja!N50</f>
        <v>322</v>
      </c>
      <c r="O50" s="30">
        <f>Balaka!O50+Liwonde!O50+Machinga!O50+Ntaja!O50</f>
        <v>440</v>
      </c>
      <c r="P50" s="34">
        <f>SUM(D50:O50)</f>
        <v>6359.0085714285706</v>
      </c>
    </row>
    <row r="51" spans="1:16" x14ac:dyDescent="0.3">
      <c r="A51" s="166" t="s">
        <v>127</v>
      </c>
      <c r="B51" s="167"/>
      <c r="C51" s="4" t="s">
        <v>31</v>
      </c>
      <c r="D51" s="30">
        <f>Balaka!D51+Liwonde!D51+Machinga!D51+Ntaja!D51</f>
        <v>768600</v>
      </c>
      <c r="E51" s="30">
        <f>Balaka!E51+Liwonde!E51+Machinga!E51+Ntaja!E51</f>
        <v>1645868</v>
      </c>
      <c r="F51" s="30">
        <f>Balaka!F51+Liwonde!F51+Machinga!F51+Ntaja!F51</f>
        <v>1573656</v>
      </c>
      <c r="G51" s="30">
        <f>Balaka!G51+Liwonde!G51+Machinga!G51+Ntaja!G51</f>
        <v>1943082</v>
      </c>
      <c r="H51" s="30">
        <f>Balaka!H51+Liwonde!H51+Machinga!H51+Ntaja!H51</f>
        <v>2167210</v>
      </c>
      <c r="I51" s="30">
        <f>Balaka!I51+Liwonde!I51+Machinga!I51+Ntaja!I51</f>
        <v>1914010</v>
      </c>
      <c r="J51" s="30">
        <f>Balaka!J51+Liwonde!J51+Machinga!J51+Ntaja!J51</f>
        <v>1467018</v>
      </c>
      <c r="K51" s="30">
        <f>Balaka!K51+Liwonde!K51+Machinga!K51+Ntaja!K51</f>
        <v>1967000</v>
      </c>
      <c r="L51" s="30">
        <f>Balaka!L51+Liwonde!L51+Machinga!L51+Ntaja!L51</f>
        <v>1981000</v>
      </c>
      <c r="M51" s="30">
        <f>Balaka!M51+Liwonde!M51+Machinga!M51+Ntaja!M51</f>
        <v>995000</v>
      </c>
      <c r="N51" s="30">
        <f>Balaka!N51+Liwonde!N51+Machinga!N51+Ntaja!N51</f>
        <v>1295000</v>
      </c>
      <c r="O51" s="30">
        <f>Balaka!O51+Liwonde!O51+Machinga!O51+Ntaja!O51</f>
        <v>1840000</v>
      </c>
      <c r="P51" s="35">
        <f>SUM(D51:O51)</f>
        <v>19557444</v>
      </c>
    </row>
    <row r="52" spans="1:16" x14ac:dyDescent="0.3">
      <c r="A52" s="166" t="s">
        <v>126</v>
      </c>
      <c r="B52" s="167"/>
      <c r="C52" s="4" t="s">
        <v>31</v>
      </c>
      <c r="D52" s="30">
        <f>Balaka!D52+Liwonde!D52+Machinga!D52+Ntaja!D52</f>
        <v>0</v>
      </c>
      <c r="E52" s="30">
        <f>Balaka!E52+Liwonde!E52+Machinga!E52+Ntaja!E52</f>
        <v>0</v>
      </c>
      <c r="F52" s="30">
        <f>Balaka!F52+Liwonde!F52+Machinga!F52+Ntaja!F52</f>
        <v>0</v>
      </c>
      <c r="G52" s="30">
        <f>Balaka!G52+Liwonde!G52+Machinga!G52+Ntaja!G52</f>
        <v>0</v>
      </c>
      <c r="H52" s="30">
        <f>Balaka!H52+Liwonde!H52+Machinga!H52+Ntaja!H52</f>
        <v>0</v>
      </c>
      <c r="I52" s="30">
        <f>Balaka!I52+Liwonde!I52+Machinga!I52+Ntaja!I52</f>
        <v>0</v>
      </c>
      <c r="J52" s="30">
        <f>Balaka!J52+Liwonde!J52+Machinga!J52+Ntaja!J52</f>
        <v>0</v>
      </c>
      <c r="K52" s="30">
        <f>Balaka!K52+Liwonde!K52+Machinga!K52+Ntaja!K52</f>
        <v>0</v>
      </c>
      <c r="L52" s="30">
        <f>Balaka!L52+Liwonde!L52+Machinga!L52+Ntaja!L52</f>
        <v>0</v>
      </c>
      <c r="M52" s="30">
        <f>Balaka!M52+Liwonde!M52+Machinga!M52+Ntaja!M52</f>
        <v>0</v>
      </c>
      <c r="N52" s="30">
        <f>Balaka!N52+Liwonde!N52+Machinga!N52+Ntaja!N52</f>
        <v>0</v>
      </c>
      <c r="O52" s="30">
        <f>Balaka!O52+Liwonde!O52+Machinga!O52+Ntaja!O52</f>
        <v>0</v>
      </c>
      <c r="P52" s="35">
        <f>SUM(D52:O52)</f>
        <v>0</v>
      </c>
    </row>
    <row r="53" spans="1:16" ht="14.4" x14ac:dyDescent="0.3">
      <c r="A53" s="178" t="s">
        <v>125</v>
      </c>
      <c r="B53" s="179"/>
      <c r="C53" s="179"/>
      <c r="D53" s="179"/>
      <c r="E53" s="179"/>
      <c r="F53" s="179"/>
      <c r="G53" s="179"/>
      <c r="H53" s="179"/>
      <c r="I53" s="179"/>
      <c r="J53" s="179"/>
      <c r="K53" s="179"/>
      <c r="L53" s="179"/>
      <c r="M53" s="179"/>
      <c r="N53" s="179"/>
      <c r="O53" s="179"/>
      <c r="P53" s="180"/>
    </row>
    <row r="54" spans="1:16" x14ac:dyDescent="0.3">
      <c r="A54" s="166" t="s">
        <v>124</v>
      </c>
      <c r="B54" s="167"/>
      <c r="C54" s="4" t="s">
        <v>18</v>
      </c>
      <c r="D54" s="30">
        <f>Balaka!D54+Liwonde!D54+Machinga!D54+Ntaja!D54</f>
        <v>36109592.870000005</v>
      </c>
      <c r="E54" s="30">
        <f>Balaka!E54+Liwonde!E54+Machinga!E54+Ntaja!E54</f>
        <v>37373742.060000002</v>
      </c>
      <c r="F54" s="30">
        <f>Balaka!F54+Liwonde!F54+Machinga!F54+Ntaja!F54</f>
        <v>60430134.369999997</v>
      </c>
      <c r="G54" s="30">
        <f>Balaka!G54+Liwonde!G54+Machinga!G54+Ntaja!G54</f>
        <v>37930134.369999997</v>
      </c>
      <c r="H54" s="30">
        <f>Balaka!H54+Liwonde!H54+Machinga!H54+Ntaja!H54</f>
        <v>37591224.410000004</v>
      </c>
      <c r="I54" s="30">
        <f>Balaka!I54+Liwonde!I54+Machinga!I54+Ntaja!I54</f>
        <v>36234635.210000001</v>
      </c>
      <c r="J54" s="30">
        <f>Balaka!J54+Liwonde!J54+Machinga!J54+Ntaja!J54</f>
        <v>0</v>
      </c>
      <c r="K54" s="30">
        <f>Balaka!K54+Liwonde!K54+Machinga!K54+Ntaja!K54</f>
        <v>36662679.690000005</v>
      </c>
      <c r="L54" s="30">
        <f>Balaka!L54+Liwonde!L54+Machinga!L54+Ntaja!L54</f>
        <v>38098565.509999998</v>
      </c>
      <c r="M54" s="30">
        <f>Balaka!M54+Liwonde!M54+Machinga!M54+Ntaja!M54</f>
        <v>17248877.329999998</v>
      </c>
      <c r="N54" s="30">
        <f>Balaka!N54+Liwonde!N54+Machinga!N54+Ntaja!N54</f>
        <v>40819754.93</v>
      </c>
      <c r="O54" s="30">
        <f>Balaka!O54+Liwonde!O54+Machinga!O54+Ntaja!O54</f>
        <v>38516238.630000003</v>
      </c>
      <c r="P54" s="34">
        <f>SUM(D54:O54)</f>
        <v>417015579.38</v>
      </c>
    </row>
    <row r="55" spans="1:16" x14ac:dyDescent="0.3">
      <c r="A55" s="67" t="s">
        <v>123</v>
      </c>
      <c r="B55" s="68"/>
      <c r="C55" s="4" t="s">
        <v>18</v>
      </c>
      <c r="D55" s="30">
        <f>Balaka!D55+Liwonde!D55+Machinga!D55+Ntaja!D55</f>
        <v>9455075.459999999</v>
      </c>
      <c r="E55" s="30">
        <f>Balaka!E55+Liwonde!E55+Machinga!E55+Ntaja!E55</f>
        <v>9140783.1600000001</v>
      </c>
      <c r="F55" s="30">
        <f>Balaka!F55+Liwonde!F55+Machinga!F55+Ntaja!F55</f>
        <v>11444590.24</v>
      </c>
      <c r="G55" s="30">
        <f>Balaka!G55+Liwonde!G55+Machinga!G55+Ntaja!G55</f>
        <v>14312858.720000001</v>
      </c>
      <c r="H55" s="30">
        <f>Balaka!H55+Liwonde!H55+Machinga!H55+Ntaja!H55</f>
        <v>14359400.720000001</v>
      </c>
      <c r="I55" s="30">
        <f>Balaka!I55+Liwonde!I55+Machinga!I55+Ntaja!I55</f>
        <v>17574061.199999999</v>
      </c>
      <c r="J55" s="30">
        <f>Balaka!J55+Liwonde!J55+Machinga!J55+Ntaja!J55</f>
        <v>16772163.280000001</v>
      </c>
      <c r="K55" s="30">
        <f>Balaka!K55+Liwonde!K55+Machinga!K55+Ntaja!K55</f>
        <v>16772163.280000001</v>
      </c>
      <c r="L55" s="30">
        <f>Balaka!L55+Liwonde!L55+Machinga!L55+Ntaja!L55</f>
        <v>17573287.84</v>
      </c>
      <c r="M55" s="30">
        <f>Balaka!M55+Liwonde!M55+Machinga!M55+Ntaja!M55</f>
        <v>15714560</v>
      </c>
      <c r="N55" s="30">
        <f>Balaka!N55+Liwonde!N55+Machinga!N55+Ntaja!N55</f>
        <v>0</v>
      </c>
      <c r="O55" s="30">
        <f>Balaka!O55+Liwonde!O55+Machinga!O55+Ntaja!O55</f>
        <v>13903191.52</v>
      </c>
      <c r="P55" s="34">
        <f>SUM(D55:O55)</f>
        <v>157022135.42000002</v>
      </c>
    </row>
    <row r="56" spans="1:16" x14ac:dyDescent="0.3">
      <c r="A56" s="166" t="s">
        <v>122</v>
      </c>
      <c r="B56" s="167"/>
      <c r="C56" s="4" t="s">
        <v>18</v>
      </c>
      <c r="D56" s="30">
        <f>Balaka!D56+Liwonde!D56+Machinga!D56+Ntaja!D56</f>
        <v>13031347.32</v>
      </c>
      <c r="E56" s="30">
        <f>Balaka!E56+Liwonde!E56+Machinga!E56+Ntaja!E56</f>
        <v>5879858.7200000007</v>
      </c>
      <c r="F56" s="30">
        <f>Balaka!F56+Liwonde!F56+Machinga!F56+Ntaja!F56</f>
        <v>30164381.640000001</v>
      </c>
      <c r="G56" s="30">
        <f>Balaka!G56+Liwonde!G56+Machinga!G56+Ntaja!G56</f>
        <v>5411000</v>
      </c>
      <c r="H56" s="30">
        <f>Balaka!H56+Liwonde!H56+Machinga!H56+Ntaja!H56</f>
        <v>10624160</v>
      </c>
      <c r="I56" s="30">
        <f>Balaka!I56+Liwonde!I56+Machinga!I56+Ntaja!I56</f>
        <v>18710826.239999995</v>
      </c>
      <c r="J56" s="30">
        <f>Balaka!J56+Liwonde!J56+Machinga!J56+Ntaja!J56</f>
        <v>5504533.6900000004</v>
      </c>
      <c r="K56" s="30">
        <f>Balaka!K56+Liwonde!K56+Machinga!K56+Ntaja!K56</f>
        <v>12179386.68</v>
      </c>
      <c r="L56" s="30">
        <f>Balaka!L56+Liwonde!L56+Machinga!L56+Ntaja!L56</f>
        <v>5004000</v>
      </c>
      <c r="M56" s="30">
        <f>Balaka!M56+Liwonde!M56+Machinga!M56+Ntaja!M56</f>
        <v>9803768.4199999999</v>
      </c>
      <c r="N56" s="30">
        <f>Balaka!N56+Liwonde!N56+Machinga!N56+Ntaja!N56</f>
        <v>10781000</v>
      </c>
      <c r="O56" s="30">
        <f>Balaka!O56+Liwonde!O56+Machinga!O56+Ntaja!O56</f>
        <v>1929400</v>
      </c>
      <c r="P56" s="34">
        <f>SUM(D56:O56)</f>
        <v>129023662.70999999</v>
      </c>
    </row>
    <row r="57" spans="1:16" ht="14.4" x14ac:dyDescent="0.3">
      <c r="A57" s="178" t="s">
        <v>121</v>
      </c>
      <c r="B57" s="179"/>
      <c r="C57" s="179"/>
      <c r="D57" s="179"/>
      <c r="E57" s="179"/>
      <c r="F57" s="179"/>
      <c r="G57" s="179"/>
      <c r="H57" s="179"/>
      <c r="I57" s="179"/>
      <c r="J57" s="179"/>
      <c r="K57" s="179"/>
      <c r="L57" s="179"/>
      <c r="M57" s="179"/>
      <c r="N57" s="179"/>
      <c r="O57" s="179"/>
      <c r="P57" s="180"/>
    </row>
    <row r="58" spans="1:16" x14ac:dyDescent="0.3">
      <c r="A58" s="166" t="s">
        <v>120</v>
      </c>
      <c r="B58" s="167"/>
      <c r="C58" s="4" t="s">
        <v>18</v>
      </c>
      <c r="D58" s="11">
        <f>D41+D46+D51+D52+D54+D55+D56</f>
        <v>76764430.978510007</v>
      </c>
      <c r="E58" s="11">
        <f t="shared" ref="E58:O58" si="14">E41+E46+E51+E52+E54+E55+E56</f>
        <v>73025770.245889932</v>
      </c>
      <c r="F58" s="11">
        <f t="shared" si="14"/>
        <v>124041026.88959999</v>
      </c>
      <c r="G58" s="11">
        <f t="shared" si="14"/>
        <v>77748528.854000002</v>
      </c>
      <c r="H58" s="11">
        <f t="shared" si="14"/>
        <v>87889752.497400001</v>
      </c>
      <c r="I58" s="11">
        <f t="shared" si="14"/>
        <v>92312410.977249995</v>
      </c>
      <c r="J58" s="11">
        <f t="shared" si="14"/>
        <v>38202315.609999999</v>
      </c>
      <c r="K58" s="11">
        <f t="shared" si="14"/>
        <v>87943398.131700009</v>
      </c>
      <c r="L58" s="11">
        <f t="shared" si="14"/>
        <v>79652651.070099995</v>
      </c>
      <c r="M58" s="11">
        <f t="shared" si="14"/>
        <v>64450829.757200003</v>
      </c>
      <c r="N58" s="11">
        <f t="shared" si="14"/>
        <v>69785465.105562717</v>
      </c>
      <c r="O58" s="11">
        <f t="shared" si="14"/>
        <v>74102269.5317</v>
      </c>
      <c r="P58" s="58">
        <f>SUM(D58:O58)</f>
        <v>945918849.64891255</v>
      </c>
    </row>
    <row r="59" spans="1:16" x14ac:dyDescent="0.3">
      <c r="A59" s="166" t="s">
        <v>119</v>
      </c>
      <c r="B59" s="167"/>
      <c r="C59" s="4" t="s">
        <v>117</v>
      </c>
      <c r="D59" s="13">
        <f t="shared" ref="D59:P59" si="15">D58/D9</f>
        <v>625.10224488416418</v>
      </c>
      <c r="E59" s="13">
        <f t="shared" si="15"/>
        <v>675.48905026353214</v>
      </c>
      <c r="F59" s="13">
        <f t="shared" si="15"/>
        <v>1169.6576760704957</v>
      </c>
      <c r="G59" s="13">
        <f t="shared" si="15"/>
        <v>542.66380628454965</v>
      </c>
      <c r="H59" s="13">
        <f t="shared" si="15"/>
        <v>719.30526567801815</v>
      </c>
      <c r="I59" s="13">
        <f t="shared" si="15"/>
        <v>609.43145628098739</v>
      </c>
      <c r="J59" s="13">
        <f t="shared" si="15"/>
        <v>314.16377968749998</v>
      </c>
      <c r="K59" s="13">
        <f t="shared" si="15"/>
        <v>711.53343634311523</v>
      </c>
      <c r="L59" s="13">
        <f t="shared" si="15"/>
        <v>690.6319186191289</v>
      </c>
      <c r="M59" s="13">
        <f t="shared" si="15"/>
        <v>542.14119679345913</v>
      </c>
      <c r="N59" s="13">
        <f t="shared" si="15"/>
        <v>627.39787022891949</v>
      </c>
      <c r="O59" s="13">
        <f t="shared" si="15"/>
        <v>642.20083138367943</v>
      </c>
      <c r="P59" s="91">
        <f t="shared" si="15"/>
        <v>647.92423817773317</v>
      </c>
    </row>
    <row r="60" spans="1:16" x14ac:dyDescent="0.3">
      <c r="A60" s="166" t="s">
        <v>118</v>
      </c>
      <c r="B60" s="167"/>
      <c r="C60" s="4" t="s">
        <v>117</v>
      </c>
      <c r="D60" s="13">
        <f>D58/D22</f>
        <v>865.84693777349423</v>
      </c>
      <c r="E60" s="13">
        <f t="shared" ref="E60:O60" si="16">E58/E22</f>
        <v>941.50993581799867</v>
      </c>
      <c r="F60" s="13">
        <f t="shared" si="16"/>
        <v>1666.2080766846977</v>
      </c>
      <c r="G60" s="13">
        <f t="shared" si="16"/>
        <v>770.21141196539804</v>
      </c>
      <c r="H60" s="13">
        <f t="shared" si="16"/>
        <v>1014.5417580214706</v>
      </c>
      <c r="I60" s="13">
        <f t="shared" si="16"/>
        <v>870.98765946460799</v>
      </c>
      <c r="J60" s="13">
        <f t="shared" si="16"/>
        <v>439.4151716720919</v>
      </c>
      <c r="K60" s="13">
        <f t="shared" si="16"/>
        <v>1017.9541247507015</v>
      </c>
      <c r="L60" s="13">
        <f t="shared" si="16"/>
        <v>980.83888881486814</v>
      </c>
      <c r="M60" s="13">
        <f t="shared" si="16"/>
        <v>771.87916632374674</v>
      </c>
      <c r="N60" s="13">
        <f t="shared" si="16"/>
        <v>892.07897828732109</v>
      </c>
      <c r="O60" s="13">
        <f t="shared" si="16"/>
        <v>919.03408298710406</v>
      </c>
      <c r="P60" s="92">
        <f>P58/P22</f>
        <v>917.36752832800698</v>
      </c>
    </row>
    <row r="61" spans="1:16" x14ac:dyDescent="0.3">
      <c r="A61" s="166" t="s">
        <v>116</v>
      </c>
      <c r="B61" s="167"/>
      <c r="C61" s="4" t="s">
        <v>3</v>
      </c>
      <c r="D61" s="30">
        <f>Balaka!D61+Liwonde!D61+Machinga!D61+Ntaja!D61</f>
        <v>47</v>
      </c>
      <c r="E61" s="30">
        <f>Balaka!E61+Liwonde!E61+Machinga!E61+Ntaja!E61</f>
        <v>47</v>
      </c>
      <c r="F61" s="30">
        <f>Balaka!F61+Liwonde!F61+Machinga!F61+Ntaja!F61</f>
        <v>47</v>
      </c>
      <c r="G61" s="30">
        <f>Balaka!G61+Liwonde!G61+Machinga!G61+Ntaja!G61</f>
        <v>49</v>
      </c>
      <c r="H61" s="30">
        <f>Balaka!H61+Liwonde!H61+Machinga!H61+Ntaja!H61</f>
        <v>45</v>
      </c>
      <c r="I61" s="30">
        <f>Balaka!I61+Liwonde!I61+Machinga!I61+Ntaja!I61</f>
        <v>48</v>
      </c>
      <c r="J61" s="30">
        <f>Balaka!J61+Liwonde!J61+Machinga!J61+Ntaja!J61</f>
        <v>48</v>
      </c>
      <c r="K61" s="30">
        <f>Balaka!K61+Liwonde!K61+Machinga!K61+Ntaja!K61</f>
        <v>48</v>
      </c>
      <c r="L61" s="30">
        <f>Balaka!L61+Liwonde!L61+Machinga!L61+Ntaja!L61</f>
        <v>43</v>
      </c>
      <c r="M61" s="30">
        <f>Balaka!M61+Liwonde!M61+Machinga!M61+Ntaja!M61</f>
        <v>49</v>
      </c>
      <c r="N61" s="30">
        <f>Balaka!N61+Liwonde!N61+Machinga!N61+Ntaja!N61</f>
        <v>48</v>
      </c>
      <c r="O61" s="30">
        <f>Balaka!O61+Liwonde!O61+Machinga!O61+Ntaja!O61</f>
        <v>48</v>
      </c>
      <c r="P61" s="34">
        <f>O61</f>
        <v>48</v>
      </c>
    </row>
    <row r="62" spans="1:16" ht="15.6" customHeight="1" x14ac:dyDescent="0.3">
      <c r="A62" s="166" t="s">
        <v>115</v>
      </c>
      <c r="B62" s="167"/>
      <c r="C62" s="4" t="s">
        <v>114</v>
      </c>
      <c r="D62" s="13">
        <f t="shared" ref="D62:P62" si="17">(D61*1000*31)/D9</f>
        <v>11.864530996799752</v>
      </c>
      <c r="E62" s="13">
        <f t="shared" si="17"/>
        <v>13.477263477263477</v>
      </c>
      <c r="F62" s="13">
        <f t="shared" si="17"/>
        <v>13.738932003130628</v>
      </c>
      <c r="G62" s="13">
        <f t="shared" si="17"/>
        <v>10.602211178736948</v>
      </c>
      <c r="H62" s="13">
        <f t="shared" si="17"/>
        <v>11.416926514277296</v>
      </c>
      <c r="I62" s="13">
        <f t="shared" si="17"/>
        <v>9.8235329068546875</v>
      </c>
      <c r="J62" s="13">
        <f t="shared" si="17"/>
        <v>12.236842105263158</v>
      </c>
      <c r="K62" s="13">
        <f t="shared" si="17"/>
        <v>12.039127163280662</v>
      </c>
      <c r="L62" s="13">
        <f t="shared" si="17"/>
        <v>11.557836872360904</v>
      </c>
      <c r="M62" s="13">
        <f t="shared" si="17"/>
        <v>12.777375885331674</v>
      </c>
      <c r="N62" s="13">
        <f t="shared" si="17"/>
        <v>13.37768587611256</v>
      </c>
      <c r="O62" s="13">
        <f t="shared" si="17"/>
        <v>12.895621728429299</v>
      </c>
      <c r="P62" s="91">
        <f t="shared" si="17"/>
        <v>1.0192325343408757</v>
      </c>
    </row>
    <row r="63" spans="1:16" x14ac:dyDescent="0.3">
      <c r="A63" s="183" t="s">
        <v>113</v>
      </c>
      <c r="B63" s="184"/>
      <c r="C63" s="33" t="s">
        <v>3</v>
      </c>
      <c r="D63" s="30">
        <f>Balaka!D63+Liwonde!D63+Machinga!D63+Ntaja!D63</f>
        <v>59</v>
      </c>
      <c r="E63" s="30">
        <f>Balaka!E63+Liwonde!E63+Machinga!E63+Ntaja!E63</f>
        <v>79</v>
      </c>
      <c r="F63" s="30">
        <f>Balaka!F63+Liwonde!F63+Machinga!F63+Ntaja!F63</f>
        <v>79</v>
      </c>
      <c r="G63" s="30">
        <f>Balaka!G63+Liwonde!G63+Machinga!G63+Ntaja!G63</f>
        <v>78</v>
      </c>
      <c r="H63" s="30">
        <f>Balaka!H63+Liwonde!H63+Machinga!H63+Ntaja!H63</f>
        <v>86</v>
      </c>
      <c r="I63" s="30">
        <f>Balaka!I63+Liwonde!I63+Machinga!I63+Ntaja!I63</f>
        <v>105</v>
      </c>
      <c r="J63" s="30">
        <f>Balaka!J63+Liwonde!J63+Machinga!J63+Ntaja!J63</f>
        <v>110</v>
      </c>
      <c r="K63" s="30">
        <f>Balaka!K63+Liwonde!K63+Machinga!K63+Ntaja!K63</f>
        <v>117</v>
      </c>
      <c r="L63" s="30">
        <f>Balaka!L63+Liwonde!L63+Machinga!L63+Ntaja!L63</f>
        <v>120</v>
      </c>
      <c r="M63" s="30">
        <f>Balaka!M63+Liwonde!M63+Machinga!M63+Ntaja!M63</f>
        <v>122</v>
      </c>
      <c r="N63" s="30">
        <f>Balaka!N63+Liwonde!N63+Machinga!N63+Ntaja!N63</f>
        <v>113</v>
      </c>
      <c r="O63" s="30">
        <f>Balaka!O63+Liwonde!O63+Machinga!O63+Ntaja!O63</f>
        <v>113</v>
      </c>
      <c r="P63" s="34">
        <f>SUM(D63:O63)</f>
        <v>1181</v>
      </c>
    </row>
    <row r="64" spans="1:16" ht="14.4" x14ac:dyDescent="0.3">
      <c r="A64" s="185"/>
      <c r="B64" s="186"/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7"/>
    </row>
    <row r="65" spans="1:16" ht="14.4" customHeight="1" x14ac:dyDescent="0.3">
      <c r="A65" s="178" t="s">
        <v>112</v>
      </c>
      <c r="B65" s="179"/>
      <c r="C65" s="179"/>
      <c r="D65" s="179"/>
      <c r="E65" s="179"/>
      <c r="F65" s="179"/>
      <c r="G65" s="179"/>
      <c r="H65" s="179"/>
      <c r="I65" s="179"/>
      <c r="J65" s="179"/>
      <c r="K65" s="179"/>
      <c r="L65" s="179"/>
      <c r="M65" s="179"/>
      <c r="N65" s="179"/>
      <c r="O65" s="179"/>
      <c r="P65" s="180"/>
    </row>
    <row r="66" spans="1:16" x14ac:dyDescent="0.3">
      <c r="A66" s="163" t="s">
        <v>111</v>
      </c>
      <c r="B66" s="21" t="s">
        <v>85</v>
      </c>
      <c r="C66" s="4" t="s">
        <v>3</v>
      </c>
      <c r="D66" s="22">
        <f>Balaka!D66+Liwonde!D66+Machinga!D66+Ntaja!D66</f>
        <v>1110</v>
      </c>
      <c r="E66" s="22">
        <f>Balaka!E66+Liwonde!E66+Machinga!E66+Ntaja!E66</f>
        <v>1100</v>
      </c>
      <c r="F66" s="22">
        <f>Balaka!F66+Liwonde!F66+Machinga!F66+Ntaja!F66</f>
        <v>1110</v>
      </c>
      <c r="G66" s="22">
        <f>Balaka!G66+Liwonde!G66+Machinga!G66+Ntaja!G66</f>
        <v>1172</v>
      </c>
      <c r="H66" s="22">
        <f>Balaka!H66+Liwonde!H66+Machinga!H66+Ntaja!H66</f>
        <v>1210</v>
      </c>
      <c r="I66" s="22">
        <f>Balaka!I66+Liwonde!I66+Machinga!I66+Ntaja!I66</f>
        <v>1261</v>
      </c>
      <c r="J66" s="22">
        <f>Balaka!J66+Liwonde!J66+Machinga!J66+Ntaja!J66</f>
        <v>1287</v>
      </c>
      <c r="K66" s="22">
        <f>Balaka!K66+Liwonde!K66+Machinga!K66+Ntaja!K66</f>
        <v>1284</v>
      </c>
      <c r="L66" s="22">
        <f>Balaka!L66+Liwonde!L66+Machinga!L66+Ntaja!L66</f>
        <v>1266</v>
      </c>
      <c r="M66" s="22">
        <f>Balaka!M66+Liwonde!M66+Machinga!M66+Ntaja!M66</f>
        <v>1237</v>
      </c>
      <c r="N66" s="22">
        <f>Balaka!N66+Liwonde!N66+Machinga!N66+Ntaja!N66</f>
        <v>1244</v>
      </c>
      <c r="O66" s="22">
        <f>Balaka!O66+Liwonde!O66+Machinga!O66+Ntaja!O66</f>
        <v>1264</v>
      </c>
      <c r="P66" s="31">
        <f>D66</f>
        <v>1110</v>
      </c>
    </row>
    <row r="67" spans="1:16" x14ac:dyDescent="0.3">
      <c r="A67" s="164"/>
      <c r="B67" s="21" t="s">
        <v>106</v>
      </c>
      <c r="C67" s="4" t="s">
        <v>3</v>
      </c>
      <c r="D67" s="22">
        <f>Balaka!D67+Liwonde!D67+Machinga!D67+Ntaja!D67</f>
        <v>86</v>
      </c>
      <c r="E67" s="22">
        <f>Balaka!E67+Liwonde!E67+Machinga!E67+Ntaja!E67</f>
        <v>74</v>
      </c>
      <c r="F67" s="22">
        <f>Balaka!F67+Liwonde!F67+Machinga!F67+Ntaja!F67</f>
        <v>141</v>
      </c>
      <c r="G67" s="22">
        <f>Balaka!G67+Liwonde!G67+Machinga!G67+Ntaja!G67</f>
        <v>136</v>
      </c>
      <c r="H67" s="22">
        <f>Balaka!H67+Liwonde!H67+Machinga!H67+Ntaja!H67</f>
        <v>164</v>
      </c>
      <c r="I67" s="22">
        <f>Balaka!I67+Liwonde!I67+Machinga!I67+Ntaja!I67</f>
        <v>122</v>
      </c>
      <c r="J67" s="22">
        <f>Balaka!J67+Liwonde!J67+Machinga!J67+Ntaja!J67</f>
        <v>124</v>
      </c>
      <c r="K67" s="22">
        <f>Balaka!K67+Liwonde!K67+Machinga!K67+Ntaja!K67</f>
        <v>77</v>
      </c>
      <c r="L67" s="22">
        <f>Balaka!L67+Liwonde!L67+Machinga!L67+Ntaja!L67</f>
        <v>46</v>
      </c>
      <c r="M67" s="22">
        <f>Balaka!M67+Liwonde!M67+Machinga!M67+Ntaja!M67</f>
        <v>63</v>
      </c>
      <c r="N67" s="22">
        <f>Balaka!N67+Liwonde!N67+Machinga!N67+Ntaja!N67</f>
        <v>86</v>
      </c>
      <c r="O67" s="22">
        <f>Balaka!O67+Liwonde!O67+Machinga!O67+Ntaja!O67</f>
        <v>88</v>
      </c>
      <c r="P67" s="31">
        <f>SUM(D67:O67)</f>
        <v>1207</v>
      </c>
    </row>
    <row r="68" spans="1:16" ht="27" x14ac:dyDescent="0.3">
      <c r="A68" s="164"/>
      <c r="B68" s="21" t="s">
        <v>105</v>
      </c>
      <c r="C68" s="4" t="s">
        <v>3</v>
      </c>
      <c r="D68" s="22">
        <f>Balaka!D68+Liwonde!D68+Machinga!D68+Ntaja!D68</f>
        <v>48</v>
      </c>
      <c r="E68" s="22">
        <f>Balaka!E68+Liwonde!E68+Machinga!E68+Ntaja!E68</f>
        <v>32</v>
      </c>
      <c r="F68" s="22">
        <f>Balaka!F68+Liwonde!F68+Machinga!F68+Ntaja!F68</f>
        <v>33</v>
      </c>
      <c r="G68" s="22">
        <f>Balaka!G68+Liwonde!G68+Machinga!G68+Ntaja!G68</f>
        <v>61</v>
      </c>
      <c r="H68" s="22">
        <f>Balaka!H68+Liwonde!H68+Machinga!H68+Ntaja!H68</f>
        <v>61</v>
      </c>
      <c r="I68" s="22">
        <f>Balaka!I68+Liwonde!I68+Machinga!I68+Ntaja!I68</f>
        <v>42</v>
      </c>
      <c r="J68" s="22">
        <f>Balaka!J68+Liwonde!J68+Machinga!J68+Ntaja!J68</f>
        <v>70</v>
      </c>
      <c r="K68" s="22">
        <f>Balaka!K68+Liwonde!K68+Machinga!K68+Ntaja!K68</f>
        <v>49</v>
      </c>
      <c r="L68" s="22">
        <f>Balaka!L68+Liwonde!L68+Machinga!L68+Ntaja!L68</f>
        <v>63</v>
      </c>
      <c r="M68" s="22">
        <f>Balaka!M68+Liwonde!M68+Machinga!M68+Ntaja!M68</f>
        <v>54</v>
      </c>
      <c r="N68" s="22">
        <f>Balaka!N68+Liwonde!N68+Machinga!N68+Ntaja!N68</f>
        <v>66</v>
      </c>
      <c r="O68" s="22">
        <f>Balaka!O68+Liwonde!O68+Machinga!O68+Ntaja!O68</f>
        <v>52</v>
      </c>
      <c r="P68" s="31">
        <f t="shared" ref="P68:P69" si="18">SUM(D68:O68)</f>
        <v>631</v>
      </c>
    </row>
    <row r="69" spans="1:16" ht="27" x14ac:dyDescent="0.3">
      <c r="A69" s="164"/>
      <c r="B69" s="21" t="s">
        <v>104</v>
      </c>
      <c r="C69" s="4" t="s">
        <v>3</v>
      </c>
      <c r="D69" s="22">
        <f>Balaka!D69+Liwonde!D69+Machinga!D69+Ntaja!D69</f>
        <v>48</v>
      </c>
      <c r="E69" s="22">
        <f>Balaka!E69+Liwonde!E69+Machinga!E69+Ntaja!E69</f>
        <v>32</v>
      </c>
      <c r="F69" s="22">
        <f>Balaka!F69+Liwonde!F69+Machinga!F69+Ntaja!F69</f>
        <v>46</v>
      </c>
      <c r="G69" s="22">
        <f>Balaka!G69+Liwonde!G69+Machinga!G69+Ntaja!G69</f>
        <v>37</v>
      </c>
      <c r="H69" s="22">
        <f>Balaka!H69+Liwonde!H69+Machinga!H69+Ntaja!H69</f>
        <v>52</v>
      </c>
      <c r="I69" s="22">
        <f>Balaka!I69+Liwonde!I69+Machinga!I69+Ntaja!I69</f>
        <v>54</v>
      </c>
      <c r="J69" s="22">
        <f>Balaka!J69+Liwonde!J69+Machinga!J69+Ntaja!J69</f>
        <v>57</v>
      </c>
      <c r="K69" s="22">
        <f>Balaka!K69+Liwonde!K69+Machinga!K69+Ntaja!K69</f>
        <v>46</v>
      </c>
      <c r="L69" s="22">
        <f>Balaka!L69+Liwonde!L69+Machinga!L69+Ntaja!L69</f>
        <v>12</v>
      </c>
      <c r="M69" s="22">
        <f>Balaka!M69+Liwonde!M69+Machinga!M69+Ntaja!M69</f>
        <v>2</v>
      </c>
      <c r="N69" s="22">
        <f>Balaka!N69+Liwonde!N69+Machinga!N69+Ntaja!N69</f>
        <v>0</v>
      </c>
      <c r="O69" s="22">
        <f>Balaka!O69+Liwonde!O69+Machinga!O69+Ntaja!O69</f>
        <v>5</v>
      </c>
      <c r="P69" s="31">
        <f t="shared" si="18"/>
        <v>391</v>
      </c>
    </row>
    <row r="70" spans="1:16" x14ac:dyDescent="0.3">
      <c r="A70" s="164"/>
      <c r="B70" s="21" t="s">
        <v>190</v>
      </c>
      <c r="C70" s="4" t="s">
        <v>3</v>
      </c>
      <c r="D70" s="3">
        <f>D68+D69</f>
        <v>96</v>
      </c>
      <c r="E70" s="3">
        <f t="shared" ref="E70:P70" si="19">E68+E69</f>
        <v>64</v>
      </c>
      <c r="F70" s="3">
        <f t="shared" ref="F70:G70" si="20">F68+F69</f>
        <v>79</v>
      </c>
      <c r="G70" s="3">
        <f t="shared" si="20"/>
        <v>98</v>
      </c>
      <c r="H70" s="3">
        <f t="shared" ref="H70:O70" si="21">H68+H69</f>
        <v>113</v>
      </c>
      <c r="I70" s="3">
        <f t="shared" si="21"/>
        <v>96</v>
      </c>
      <c r="J70" s="3">
        <f t="shared" si="21"/>
        <v>127</v>
      </c>
      <c r="K70" s="3">
        <f t="shared" si="21"/>
        <v>95</v>
      </c>
      <c r="L70" s="3">
        <f t="shared" si="21"/>
        <v>75</v>
      </c>
      <c r="M70" s="3">
        <f t="shared" si="21"/>
        <v>56</v>
      </c>
      <c r="N70" s="3">
        <f t="shared" si="21"/>
        <v>66</v>
      </c>
      <c r="O70" s="3">
        <f t="shared" si="21"/>
        <v>57</v>
      </c>
      <c r="P70" s="93">
        <f t="shared" si="19"/>
        <v>1022</v>
      </c>
    </row>
    <row r="71" spans="1:16" x14ac:dyDescent="0.3">
      <c r="A71" s="165"/>
      <c r="B71" s="21" t="s">
        <v>81</v>
      </c>
      <c r="C71" s="4" t="s">
        <v>3</v>
      </c>
      <c r="D71" s="22">
        <f>D66+D67-D70</f>
        <v>1100</v>
      </c>
      <c r="E71" s="22">
        <f t="shared" ref="E71" si="22">E66+E67-E70</f>
        <v>1110</v>
      </c>
      <c r="F71" s="22">
        <f t="shared" ref="F71:G71" si="23">F66+F67-F70</f>
        <v>1172</v>
      </c>
      <c r="G71" s="22">
        <f t="shared" si="23"/>
        <v>1210</v>
      </c>
      <c r="H71" s="22">
        <f t="shared" ref="H71:O71" si="24">H66+H67-H70</f>
        <v>1261</v>
      </c>
      <c r="I71" s="22">
        <f t="shared" si="24"/>
        <v>1287</v>
      </c>
      <c r="J71" s="22">
        <f t="shared" si="24"/>
        <v>1284</v>
      </c>
      <c r="K71" s="22">
        <f t="shared" si="24"/>
        <v>1266</v>
      </c>
      <c r="L71" s="22">
        <f t="shared" si="24"/>
        <v>1237</v>
      </c>
      <c r="M71" s="22">
        <f t="shared" si="24"/>
        <v>1244</v>
      </c>
      <c r="N71" s="22">
        <f t="shared" si="24"/>
        <v>1264</v>
      </c>
      <c r="O71" s="22">
        <f t="shared" si="24"/>
        <v>1295</v>
      </c>
      <c r="P71" s="94">
        <f>P66+P67-P70</f>
        <v>1295</v>
      </c>
    </row>
    <row r="72" spans="1:16" x14ac:dyDescent="0.3">
      <c r="A72" s="163" t="s">
        <v>110</v>
      </c>
      <c r="B72" s="21" t="s">
        <v>85</v>
      </c>
      <c r="C72" s="4" t="s">
        <v>3</v>
      </c>
      <c r="D72" s="22">
        <f>Balaka!D72+Liwonde!D72+Machinga!D72+Ntaja!D72</f>
        <v>0</v>
      </c>
      <c r="E72" s="22">
        <f>Balaka!E72+Liwonde!E72+Machinga!E72+Ntaja!E72</f>
        <v>0</v>
      </c>
      <c r="F72" s="22">
        <f>Balaka!F72+Liwonde!F72+Machinga!F72+Ntaja!F72</f>
        <v>0</v>
      </c>
      <c r="G72" s="22">
        <f>Balaka!G72+Liwonde!G72+Machinga!G72+Ntaja!G72</f>
        <v>3</v>
      </c>
      <c r="H72" s="22">
        <f>Balaka!H72+Liwonde!H72+Machinga!H72+Ntaja!H72</f>
        <v>3</v>
      </c>
      <c r="I72" s="22">
        <f>Balaka!I72+Liwonde!I72+Machinga!I72+Ntaja!I72</f>
        <v>3</v>
      </c>
      <c r="J72" s="22">
        <f>Balaka!J72+Liwonde!J72+Machinga!J72+Ntaja!J72</f>
        <v>3</v>
      </c>
      <c r="K72" s="22">
        <f>Balaka!K72+Liwonde!K72+Machinga!K72+Ntaja!K72</f>
        <v>3</v>
      </c>
      <c r="L72" s="22">
        <f>Balaka!L72+Liwonde!L72+Machinga!L72+Ntaja!L72</f>
        <v>3</v>
      </c>
      <c r="M72" s="22">
        <f>Balaka!M72+Liwonde!M72+Machinga!M72+Ntaja!M72</f>
        <v>3</v>
      </c>
      <c r="N72" s="22">
        <f>Balaka!N72+Liwonde!N72+Machinga!N72+Ntaja!N72</f>
        <v>3</v>
      </c>
      <c r="O72" s="22">
        <f>Balaka!O72+Liwonde!O72+Machinga!O72+Ntaja!O72</f>
        <v>3</v>
      </c>
      <c r="P72" s="31">
        <f>D72</f>
        <v>0</v>
      </c>
    </row>
    <row r="73" spans="1:16" x14ac:dyDescent="0.3">
      <c r="A73" s="164"/>
      <c r="B73" s="21" t="s">
        <v>106</v>
      </c>
      <c r="C73" s="4" t="s">
        <v>3</v>
      </c>
      <c r="D73" s="22">
        <f>Balaka!D73+Liwonde!D73+Machinga!D73+Ntaja!D73</f>
        <v>1</v>
      </c>
      <c r="E73" s="22">
        <f>Balaka!E73+Liwonde!E73+Machinga!E73+Ntaja!E73</f>
        <v>0</v>
      </c>
      <c r="F73" s="22">
        <f>Balaka!F73+Liwonde!F73+Machinga!F73+Ntaja!F73</f>
        <v>0</v>
      </c>
      <c r="G73" s="22">
        <f>Balaka!G73+Liwonde!G73+Machinga!G73+Ntaja!G73</f>
        <v>0</v>
      </c>
      <c r="H73" s="22">
        <f>Balaka!H73+Liwonde!H73+Machinga!H73+Ntaja!H73</f>
        <v>0</v>
      </c>
      <c r="I73" s="22">
        <f>Balaka!I73+Liwonde!I73+Machinga!I73+Ntaja!I73</f>
        <v>0</v>
      </c>
      <c r="J73" s="22">
        <f>Balaka!J73+Liwonde!J73+Machinga!J73+Ntaja!J73</f>
        <v>0</v>
      </c>
      <c r="K73" s="22">
        <f>Balaka!K73+Liwonde!K73+Machinga!K73+Ntaja!K73</f>
        <v>0</v>
      </c>
      <c r="L73" s="22">
        <f>Balaka!L73+Liwonde!L73+Machinga!L73+Ntaja!L73</f>
        <v>0</v>
      </c>
      <c r="M73" s="22">
        <f>Balaka!M73+Liwonde!M73+Machinga!M73+Ntaja!M73</f>
        <v>0</v>
      </c>
      <c r="N73" s="22">
        <f>Balaka!N73+Liwonde!N73+Machinga!N73+Ntaja!N73</f>
        <v>0</v>
      </c>
      <c r="O73" s="22">
        <f>Balaka!O73+Liwonde!O73+Machinga!O73+Ntaja!O73</f>
        <v>0</v>
      </c>
      <c r="P73" s="31">
        <f>SUM(D73:O73)</f>
        <v>1</v>
      </c>
    </row>
    <row r="74" spans="1:16" ht="27" x14ac:dyDescent="0.3">
      <c r="A74" s="164"/>
      <c r="B74" s="21" t="s">
        <v>105</v>
      </c>
      <c r="C74" s="4" t="s">
        <v>3</v>
      </c>
      <c r="D74" s="22">
        <f>Balaka!D74+Liwonde!D74+Machinga!D74+Ntaja!D74</f>
        <v>0</v>
      </c>
      <c r="E74" s="22">
        <f>Balaka!E74+Liwonde!E74+Machinga!E74+Ntaja!E74</f>
        <v>0</v>
      </c>
      <c r="F74" s="22">
        <f>Balaka!F74+Liwonde!F74+Machinga!F74+Ntaja!F74</f>
        <v>0</v>
      </c>
      <c r="G74" s="22">
        <f>Balaka!G74+Liwonde!G74+Machinga!G74+Ntaja!G74</f>
        <v>0</v>
      </c>
      <c r="H74" s="22">
        <f>Balaka!H74+Liwonde!H74+Machinga!H74+Ntaja!H74</f>
        <v>0</v>
      </c>
      <c r="I74" s="22">
        <f>Balaka!I74+Liwonde!I74+Machinga!I74+Ntaja!I74</f>
        <v>0</v>
      </c>
      <c r="J74" s="22">
        <f>Balaka!J74+Liwonde!J74+Machinga!J74+Ntaja!J74</f>
        <v>0</v>
      </c>
      <c r="K74" s="22">
        <f>Balaka!K74+Liwonde!K74+Machinga!K74+Ntaja!K74</f>
        <v>0</v>
      </c>
      <c r="L74" s="22">
        <f>Balaka!L74+Liwonde!L74+Machinga!L74+Ntaja!L74</f>
        <v>0</v>
      </c>
      <c r="M74" s="22">
        <f>Balaka!M74+Liwonde!M74+Machinga!M74+Ntaja!M74</f>
        <v>0</v>
      </c>
      <c r="N74" s="22">
        <f>Balaka!N74+Liwonde!N74+Machinga!N74+Ntaja!N74</f>
        <v>0</v>
      </c>
      <c r="O74" s="22">
        <f>Balaka!O74+Liwonde!O74+Machinga!O74+Ntaja!O74</f>
        <v>0</v>
      </c>
      <c r="P74" s="31">
        <f>SUM(D74:O74)</f>
        <v>0</v>
      </c>
    </row>
    <row r="75" spans="1:16" ht="27" x14ac:dyDescent="0.3">
      <c r="A75" s="164"/>
      <c r="B75" s="21" t="s">
        <v>104</v>
      </c>
      <c r="C75" s="4" t="s">
        <v>3</v>
      </c>
      <c r="D75" s="22">
        <f>Balaka!D75+Liwonde!D75+Machinga!D75+Ntaja!D75</f>
        <v>1</v>
      </c>
      <c r="E75" s="22">
        <f>Balaka!E75+Liwonde!E75+Machinga!E75+Ntaja!E75</f>
        <v>0</v>
      </c>
      <c r="F75" s="22">
        <f>Balaka!F75+Liwonde!F75+Machinga!F75+Ntaja!F75</f>
        <v>0</v>
      </c>
      <c r="G75" s="22">
        <f>Balaka!G75+Liwonde!G75+Machinga!G75+Ntaja!G75</f>
        <v>0</v>
      </c>
      <c r="H75" s="22">
        <f>Balaka!H75+Liwonde!H75+Machinga!H75+Ntaja!H75</f>
        <v>0</v>
      </c>
      <c r="I75" s="22">
        <f>Balaka!I75+Liwonde!I75+Machinga!I75+Ntaja!I75</f>
        <v>0</v>
      </c>
      <c r="J75" s="22">
        <f>Balaka!J75+Liwonde!J75+Machinga!J75+Ntaja!J75</f>
        <v>0</v>
      </c>
      <c r="K75" s="22">
        <f>Balaka!K75+Liwonde!K75+Machinga!K75+Ntaja!K75</f>
        <v>0</v>
      </c>
      <c r="L75" s="22">
        <f>Balaka!L75+Liwonde!L75+Machinga!L75+Ntaja!L75</f>
        <v>0</v>
      </c>
      <c r="M75" s="22">
        <f>Balaka!M75+Liwonde!M75+Machinga!M75+Ntaja!M75</f>
        <v>0</v>
      </c>
      <c r="N75" s="22">
        <f>Balaka!N75+Liwonde!N75+Machinga!N75+Ntaja!N75</f>
        <v>0</v>
      </c>
      <c r="O75" s="22">
        <f>Balaka!O75+Liwonde!O75+Machinga!O75+Ntaja!O75</f>
        <v>0</v>
      </c>
      <c r="P75" s="31"/>
    </row>
    <row r="76" spans="1:16" x14ac:dyDescent="0.3">
      <c r="A76" s="164"/>
      <c r="B76" s="21" t="s">
        <v>190</v>
      </c>
      <c r="C76" s="4" t="s">
        <v>3</v>
      </c>
      <c r="D76" s="3">
        <f>D74+D75</f>
        <v>1</v>
      </c>
      <c r="E76" s="3">
        <f t="shared" ref="E76:H76" si="25">E74+E75</f>
        <v>0</v>
      </c>
      <c r="F76" s="3">
        <f t="shared" si="25"/>
        <v>0</v>
      </c>
      <c r="G76" s="3">
        <f t="shared" si="25"/>
        <v>0</v>
      </c>
      <c r="H76" s="3">
        <f t="shared" si="25"/>
        <v>0</v>
      </c>
      <c r="I76" s="3">
        <f t="shared" ref="I76:O76" si="26">I74+I75</f>
        <v>0</v>
      </c>
      <c r="J76" s="3">
        <f t="shared" si="26"/>
        <v>0</v>
      </c>
      <c r="K76" s="3">
        <f t="shared" si="26"/>
        <v>0</v>
      </c>
      <c r="L76" s="3">
        <f t="shared" si="26"/>
        <v>0</v>
      </c>
      <c r="M76" s="3">
        <f t="shared" si="26"/>
        <v>0</v>
      </c>
      <c r="N76" s="3">
        <f t="shared" si="26"/>
        <v>0</v>
      </c>
      <c r="O76" s="3">
        <f t="shared" si="26"/>
        <v>0</v>
      </c>
      <c r="P76" s="93">
        <f t="shared" ref="P76" si="27">P74+P75</f>
        <v>0</v>
      </c>
    </row>
    <row r="77" spans="1:16" x14ac:dyDescent="0.3">
      <c r="A77" s="165"/>
      <c r="B77" s="21" t="s">
        <v>81</v>
      </c>
      <c r="C77" s="4" t="s">
        <v>3</v>
      </c>
      <c r="D77" s="22">
        <f>D72+D73-D76</f>
        <v>0</v>
      </c>
      <c r="E77" s="22">
        <f t="shared" ref="E77:H77" si="28">E72+E73-E76</f>
        <v>0</v>
      </c>
      <c r="F77" s="22">
        <f t="shared" si="28"/>
        <v>0</v>
      </c>
      <c r="G77" s="22">
        <f t="shared" si="28"/>
        <v>3</v>
      </c>
      <c r="H77" s="22">
        <f t="shared" si="28"/>
        <v>3</v>
      </c>
      <c r="I77" s="22">
        <f t="shared" ref="I77:O77" si="29">I72+I73-I76</f>
        <v>3</v>
      </c>
      <c r="J77" s="22">
        <f t="shared" si="29"/>
        <v>3</v>
      </c>
      <c r="K77" s="22">
        <f t="shared" si="29"/>
        <v>3</v>
      </c>
      <c r="L77" s="22">
        <f t="shared" si="29"/>
        <v>3</v>
      </c>
      <c r="M77" s="22">
        <f t="shared" si="29"/>
        <v>3</v>
      </c>
      <c r="N77" s="22">
        <f t="shared" si="29"/>
        <v>3</v>
      </c>
      <c r="O77" s="22">
        <f t="shared" si="29"/>
        <v>3</v>
      </c>
      <c r="P77" s="94">
        <f t="shared" ref="P77" si="30">P73+P74-P76</f>
        <v>1</v>
      </c>
    </row>
    <row r="78" spans="1:16" ht="15.6" customHeight="1" x14ac:dyDescent="0.3">
      <c r="A78" s="163" t="s">
        <v>109</v>
      </c>
      <c r="B78" s="21" t="s">
        <v>85</v>
      </c>
      <c r="C78" s="4" t="s">
        <v>3</v>
      </c>
      <c r="D78" s="22">
        <f>Balaka!D78+Liwonde!D78+Machinga!D78+Ntaja!D78</f>
        <v>0</v>
      </c>
      <c r="E78" s="22">
        <f>Balaka!E78+Liwonde!E78+Machinga!E78+Ntaja!E78</f>
        <v>0</v>
      </c>
      <c r="F78" s="22">
        <f>Balaka!F78+Liwonde!F78+Machinga!F78+Ntaja!F78</f>
        <v>0</v>
      </c>
      <c r="G78" s="22">
        <f>Balaka!G78+Liwonde!G78+Machinga!G78+Ntaja!G78</f>
        <v>0</v>
      </c>
      <c r="H78" s="22">
        <f>Balaka!H78+Liwonde!H78+Machinga!H78+Ntaja!H78</f>
        <v>0</v>
      </c>
      <c r="I78" s="22">
        <f>Balaka!I78+Liwonde!I78+Machinga!I78+Ntaja!I78</f>
        <v>0</v>
      </c>
      <c r="J78" s="22">
        <f>Balaka!J78+Liwonde!J78+Machinga!J78+Ntaja!J78</f>
        <v>0</v>
      </c>
      <c r="K78" s="22">
        <f>Balaka!K78+Liwonde!K78+Machinga!K78+Ntaja!K78</f>
        <v>0</v>
      </c>
      <c r="L78" s="22">
        <f>Balaka!L78+Liwonde!L78+Machinga!L78+Ntaja!L78</f>
        <v>0</v>
      </c>
      <c r="M78" s="22">
        <f>Balaka!M78+Liwonde!M78+Machinga!M78+Ntaja!M78</f>
        <v>0</v>
      </c>
      <c r="N78" s="22">
        <f>Balaka!N78+Liwonde!N78+Machinga!N78+Ntaja!N78</f>
        <v>0</v>
      </c>
      <c r="O78" s="22">
        <f>Balaka!O78+Liwonde!O78+Machinga!O78+Ntaja!O78</f>
        <v>0</v>
      </c>
      <c r="P78" s="31">
        <f>D78</f>
        <v>0</v>
      </c>
    </row>
    <row r="79" spans="1:16" x14ac:dyDescent="0.3">
      <c r="A79" s="164"/>
      <c r="B79" s="21" t="s">
        <v>106</v>
      </c>
      <c r="C79" s="4" t="s">
        <v>3</v>
      </c>
      <c r="D79" s="22">
        <f>Balaka!D79+Liwonde!D79+Machinga!D79+Ntaja!D79</f>
        <v>0</v>
      </c>
      <c r="E79" s="22">
        <f>Balaka!E79+Liwonde!E79+Machinga!E79+Ntaja!E79</f>
        <v>0</v>
      </c>
      <c r="F79" s="22">
        <f>Balaka!F79+Liwonde!F79+Machinga!F79+Ntaja!F79</f>
        <v>0</v>
      </c>
      <c r="G79" s="22">
        <f>Balaka!G79+Liwonde!G79+Machinga!G79+Ntaja!G79</f>
        <v>1</v>
      </c>
      <c r="H79" s="22">
        <f>Balaka!H79+Liwonde!H79+Machinga!H79+Ntaja!H79</f>
        <v>0</v>
      </c>
      <c r="I79" s="22">
        <f>Balaka!I79+Liwonde!I79+Machinga!I79+Ntaja!I79</f>
        <v>0</v>
      </c>
      <c r="J79" s="22">
        <f>Balaka!J79+Liwonde!J79+Machinga!J79+Ntaja!J79</f>
        <v>0</v>
      </c>
      <c r="K79" s="22">
        <f>Balaka!K79+Liwonde!K79+Machinga!K79+Ntaja!K79</f>
        <v>0</v>
      </c>
      <c r="L79" s="22">
        <f>Balaka!L79+Liwonde!L79+Machinga!L79+Ntaja!L79</f>
        <v>0</v>
      </c>
      <c r="M79" s="22">
        <f>Balaka!M79+Liwonde!M79+Machinga!M79+Ntaja!M79</f>
        <v>0</v>
      </c>
      <c r="N79" s="22">
        <f>Balaka!N79+Liwonde!N79+Machinga!N79+Ntaja!N79</f>
        <v>0</v>
      </c>
      <c r="O79" s="22">
        <f>Balaka!O79+Liwonde!O79+Machinga!O79+Ntaja!O79</f>
        <v>0</v>
      </c>
      <c r="P79" s="31">
        <f>SUM(D79:O79)</f>
        <v>1</v>
      </c>
    </row>
    <row r="80" spans="1:16" ht="27" x14ac:dyDescent="0.3">
      <c r="A80" s="164"/>
      <c r="B80" s="21" t="s">
        <v>105</v>
      </c>
      <c r="C80" s="4" t="s">
        <v>3</v>
      </c>
      <c r="D80" s="22">
        <f>Balaka!D80+Liwonde!D80+Machinga!D80+Ntaja!D80</f>
        <v>0</v>
      </c>
      <c r="E80" s="22">
        <f>Balaka!E80+Liwonde!E80+Machinga!E80+Ntaja!E80</f>
        <v>0</v>
      </c>
      <c r="F80" s="22">
        <f>Balaka!F80+Liwonde!F80+Machinga!F80+Ntaja!F80</f>
        <v>0</v>
      </c>
      <c r="G80" s="22">
        <f>Balaka!G80+Liwonde!G80+Machinga!G80+Ntaja!G80</f>
        <v>0</v>
      </c>
      <c r="H80" s="22">
        <f>Balaka!H80+Liwonde!H80+Machinga!H80+Ntaja!H80</f>
        <v>0</v>
      </c>
      <c r="I80" s="22">
        <f>Balaka!I80+Liwonde!I80+Machinga!I80+Ntaja!I80</f>
        <v>0</v>
      </c>
      <c r="J80" s="22">
        <f>Balaka!J80+Liwonde!J80+Machinga!J80+Ntaja!J80</f>
        <v>0</v>
      </c>
      <c r="K80" s="22">
        <f>Balaka!K80+Liwonde!K80+Machinga!K80+Ntaja!K80</f>
        <v>0</v>
      </c>
      <c r="L80" s="22">
        <f>Balaka!L80+Liwonde!L80+Machinga!L80+Ntaja!L80</f>
        <v>0</v>
      </c>
      <c r="M80" s="22">
        <f>Balaka!M80+Liwonde!M80+Machinga!M80+Ntaja!M80</f>
        <v>0</v>
      </c>
      <c r="N80" s="22">
        <f>Balaka!N80+Liwonde!N80+Machinga!N80+Ntaja!N80</f>
        <v>0</v>
      </c>
      <c r="O80" s="22">
        <f>Balaka!O80+Liwonde!O80+Machinga!O80+Ntaja!O80</f>
        <v>0</v>
      </c>
      <c r="P80" s="31"/>
    </row>
    <row r="81" spans="1:16" ht="27" x14ac:dyDescent="0.3">
      <c r="A81" s="164"/>
      <c r="B81" s="21" t="s">
        <v>104</v>
      </c>
      <c r="C81" s="4" t="s">
        <v>3</v>
      </c>
      <c r="D81" s="22">
        <f>Balaka!D81+Liwonde!D81+Machinga!D81+Ntaja!D81</f>
        <v>0</v>
      </c>
      <c r="E81" s="22">
        <f>Balaka!E81+Liwonde!E81+Machinga!E81+Ntaja!E81</f>
        <v>0</v>
      </c>
      <c r="F81" s="22">
        <f>Balaka!F81+Liwonde!F81+Machinga!F81+Ntaja!F81</f>
        <v>0</v>
      </c>
      <c r="G81" s="22">
        <f>Balaka!G81+Liwonde!G81+Machinga!G81+Ntaja!G81</f>
        <v>1</v>
      </c>
      <c r="H81" s="22">
        <f>Balaka!H81+Liwonde!H81+Machinga!H81+Ntaja!H81</f>
        <v>0</v>
      </c>
      <c r="I81" s="22">
        <f>Balaka!I81+Liwonde!I81+Machinga!I81+Ntaja!I81</f>
        <v>0</v>
      </c>
      <c r="J81" s="22">
        <f>Balaka!J81+Liwonde!J81+Machinga!J81+Ntaja!J81</f>
        <v>0</v>
      </c>
      <c r="K81" s="22">
        <f>Balaka!K81+Liwonde!K81+Machinga!K81+Ntaja!K81</f>
        <v>0</v>
      </c>
      <c r="L81" s="22">
        <f>Balaka!L81+Liwonde!L81+Machinga!L81+Ntaja!L81</f>
        <v>0</v>
      </c>
      <c r="M81" s="22">
        <f>Balaka!M81+Liwonde!M81+Machinga!M81+Ntaja!M81</f>
        <v>0</v>
      </c>
      <c r="N81" s="22">
        <f>Balaka!N81+Liwonde!N81+Machinga!N81+Ntaja!N81</f>
        <v>0</v>
      </c>
      <c r="O81" s="22">
        <f>Balaka!O81+Liwonde!O81+Machinga!O81+Ntaja!O81</f>
        <v>0</v>
      </c>
      <c r="P81" s="31">
        <f>SUM(D81:O81)</f>
        <v>1</v>
      </c>
    </row>
    <row r="82" spans="1:16" x14ac:dyDescent="0.3">
      <c r="A82" s="164"/>
      <c r="B82" s="21" t="s">
        <v>190</v>
      </c>
      <c r="C82" s="4" t="s">
        <v>3</v>
      </c>
      <c r="D82" s="3">
        <f>D81+D80</f>
        <v>0</v>
      </c>
      <c r="E82" s="3">
        <f t="shared" ref="E82:P82" si="31">E81+E80</f>
        <v>0</v>
      </c>
      <c r="F82" s="3">
        <f t="shared" ref="F82:G82" si="32">F81+F80</f>
        <v>0</v>
      </c>
      <c r="G82" s="3">
        <f t="shared" si="32"/>
        <v>1</v>
      </c>
      <c r="H82" s="3">
        <f t="shared" ref="H82:O82" si="33">H81+H80</f>
        <v>0</v>
      </c>
      <c r="I82" s="3">
        <f t="shared" si="33"/>
        <v>0</v>
      </c>
      <c r="J82" s="3">
        <f t="shared" si="33"/>
        <v>0</v>
      </c>
      <c r="K82" s="3">
        <f t="shared" si="33"/>
        <v>0</v>
      </c>
      <c r="L82" s="3">
        <f t="shared" si="33"/>
        <v>0</v>
      </c>
      <c r="M82" s="3">
        <f t="shared" si="33"/>
        <v>0</v>
      </c>
      <c r="N82" s="3">
        <f t="shared" si="33"/>
        <v>0</v>
      </c>
      <c r="O82" s="3">
        <f t="shared" si="33"/>
        <v>0</v>
      </c>
      <c r="P82" s="93">
        <f t="shared" si="31"/>
        <v>1</v>
      </c>
    </row>
    <row r="83" spans="1:16" x14ac:dyDescent="0.3">
      <c r="A83" s="165"/>
      <c r="B83" s="21" t="s">
        <v>81</v>
      </c>
      <c r="C83" s="4" t="s">
        <v>3</v>
      </c>
      <c r="D83" s="22">
        <f>D78+D79-D82</f>
        <v>0</v>
      </c>
      <c r="E83" s="22">
        <f t="shared" ref="E83:P83" si="34">E78+E79-E82</f>
        <v>0</v>
      </c>
      <c r="F83" s="22">
        <f t="shared" ref="F83:G83" si="35">F78+F79-F82</f>
        <v>0</v>
      </c>
      <c r="G83" s="22">
        <f t="shared" si="35"/>
        <v>0</v>
      </c>
      <c r="H83" s="22">
        <f t="shared" ref="H83:O83" si="36">H78+H79-H82</f>
        <v>0</v>
      </c>
      <c r="I83" s="22">
        <f t="shared" si="36"/>
        <v>0</v>
      </c>
      <c r="J83" s="22">
        <f t="shared" si="36"/>
        <v>0</v>
      </c>
      <c r="K83" s="22">
        <f t="shared" si="36"/>
        <v>0</v>
      </c>
      <c r="L83" s="22">
        <f t="shared" si="36"/>
        <v>0</v>
      </c>
      <c r="M83" s="22">
        <f t="shared" si="36"/>
        <v>0</v>
      </c>
      <c r="N83" s="22">
        <f t="shared" si="36"/>
        <v>0</v>
      </c>
      <c r="O83" s="22">
        <f t="shared" si="36"/>
        <v>0</v>
      </c>
      <c r="P83" s="94">
        <f t="shared" si="34"/>
        <v>0</v>
      </c>
    </row>
    <row r="84" spans="1:16" x14ac:dyDescent="0.3">
      <c r="A84" s="190" t="s">
        <v>108</v>
      </c>
      <c r="B84" s="21" t="s">
        <v>85</v>
      </c>
      <c r="C84" s="4" t="s">
        <v>3</v>
      </c>
      <c r="D84" s="22">
        <f>Balaka!D84+Liwonde!D84+Machinga!D84+Ntaja!D84</f>
        <v>0</v>
      </c>
      <c r="E84" s="22">
        <f>Balaka!E84+Liwonde!E84+Machinga!E84+Ntaja!E84</f>
        <v>0</v>
      </c>
      <c r="F84" s="22">
        <f>Balaka!F84+Liwonde!F84+Machinga!F84+Ntaja!F84</f>
        <v>0</v>
      </c>
      <c r="G84" s="22">
        <f>Balaka!G84+Liwonde!G84+Machinga!G84+Ntaja!G84</f>
        <v>0</v>
      </c>
      <c r="H84" s="22">
        <f>Balaka!H84+Liwonde!H84+Machinga!H84+Ntaja!H84</f>
        <v>0</v>
      </c>
      <c r="I84" s="22">
        <f>Balaka!I84+Liwonde!I84+Machinga!I84+Ntaja!I84</f>
        <v>0</v>
      </c>
      <c r="J84" s="22">
        <f>Balaka!J84+Liwonde!J84+Machinga!J84+Ntaja!J84</f>
        <v>0</v>
      </c>
      <c r="K84" s="22">
        <f>Balaka!K84+Liwonde!K84+Machinga!K84+Ntaja!K84</f>
        <v>0</v>
      </c>
      <c r="L84" s="22">
        <f>Balaka!L84+Liwonde!L84+Machinga!L84+Ntaja!L84</f>
        <v>0</v>
      </c>
      <c r="M84" s="22">
        <f>Balaka!M84+Liwonde!M84+Machinga!M84+Ntaja!M84</f>
        <v>0</v>
      </c>
      <c r="N84" s="22">
        <f>Balaka!N84+Liwonde!N84+Machinga!N84+Ntaja!N84</f>
        <v>0</v>
      </c>
      <c r="O84" s="22">
        <f>Balaka!O84+Liwonde!O84+Machinga!O84+Ntaja!O84</f>
        <v>0</v>
      </c>
      <c r="P84" s="31">
        <f>D84</f>
        <v>0</v>
      </c>
    </row>
    <row r="85" spans="1:16" x14ac:dyDescent="0.3">
      <c r="A85" s="191"/>
      <c r="B85" s="21" t="s">
        <v>106</v>
      </c>
      <c r="C85" s="4" t="s">
        <v>3</v>
      </c>
      <c r="D85" s="22">
        <f>Balaka!D85+Liwonde!D85+Machinga!D85+Ntaja!D85</f>
        <v>0</v>
      </c>
      <c r="E85" s="22">
        <f>Balaka!E85+Liwonde!E85+Machinga!E85+Ntaja!E85</f>
        <v>0</v>
      </c>
      <c r="F85" s="22">
        <f>Balaka!F85+Liwonde!F85+Machinga!F85+Ntaja!F85</f>
        <v>0</v>
      </c>
      <c r="G85" s="22">
        <f>Balaka!G85+Liwonde!G85+Machinga!G85+Ntaja!G85</f>
        <v>0</v>
      </c>
      <c r="H85" s="22">
        <f>Balaka!H85+Liwonde!H85+Machinga!H85+Ntaja!H85</f>
        <v>0</v>
      </c>
      <c r="I85" s="22">
        <f>Balaka!I85+Liwonde!I85+Machinga!I85+Ntaja!I85</f>
        <v>0</v>
      </c>
      <c r="J85" s="22">
        <f>Balaka!J85+Liwonde!J85+Machinga!J85+Ntaja!J85</f>
        <v>0</v>
      </c>
      <c r="K85" s="22">
        <f>Balaka!K85+Liwonde!K85+Machinga!K85+Ntaja!K85</f>
        <v>0</v>
      </c>
      <c r="L85" s="22">
        <f>Balaka!L85+Liwonde!L85+Machinga!L85+Ntaja!L85</f>
        <v>0</v>
      </c>
      <c r="M85" s="22">
        <f>Balaka!M85+Liwonde!M85+Machinga!M85+Ntaja!M85</f>
        <v>0</v>
      </c>
      <c r="N85" s="22">
        <f>Balaka!N85+Liwonde!N85+Machinga!N85+Ntaja!N85</f>
        <v>0</v>
      </c>
      <c r="O85" s="22">
        <f>Balaka!O85+Liwonde!O85+Machinga!O85+Ntaja!O85</f>
        <v>0</v>
      </c>
      <c r="P85" s="31">
        <f>SUM(D85:O85)</f>
        <v>0</v>
      </c>
    </row>
    <row r="86" spans="1:16" ht="27" x14ac:dyDescent="0.3">
      <c r="A86" s="191"/>
      <c r="B86" s="21" t="s">
        <v>105</v>
      </c>
      <c r="C86" s="4" t="s">
        <v>3</v>
      </c>
      <c r="D86" s="22">
        <f>Balaka!D86+Liwonde!D86+Machinga!D86+Ntaja!D86</f>
        <v>0</v>
      </c>
      <c r="E86" s="22">
        <f>Balaka!E86+Liwonde!E86+Machinga!E86+Ntaja!E86</f>
        <v>0</v>
      </c>
      <c r="F86" s="22">
        <f>Balaka!F86+Liwonde!F86+Machinga!F86+Ntaja!F86</f>
        <v>0</v>
      </c>
      <c r="G86" s="22">
        <f>Balaka!G86+Liwonde!G86+Machinga!G86+Ntaja!G86</f>
        <v>0</v>
      </c>
      <c r="H86" s="22">
        <f>Balaka!H86+Liwonde!H86+Machinga!H86+Ntaja!H86</f>
        <v>0</v>
      </c>
      <c r="I86" s="22">
        <f>Balaka!I86+Liwonde!I86+Machinga!I86+Ntaja!I86</f>
        <v>0</v>
      </c>
      <c r="J86" s="22">
        <f>Balaka!J86+Liwonde!J86+Machinga!J86+Ntaja!J86</f>
        <v>0</v>
      </c>
      <c r="K86" s="22">
        <f>Balaka!K86+Liwonde!K86+Machinga!K86+Ntaja!K86</f>
        <v>0</v>
      </c>
      <c r="L86" s="22">
        <f>Balaka!L86+Liwonde!L86+Machinga!L86+Ntaja!L86</f>
        <v>0</v>
      </c>
      <c r="M86" s="22">
        <f>Balaka!M86+Liwonde!M86+Machinga!M86+Ntaja!M86</f>
        <v>0</v>
      </c>
      <c r="N86" s="22">
        <f>Balaka!N86+Liwonde!N86+Machinga!N86+Ntaja!N86</f>
        <v>0</v>
      </c>
      <c r="O86" s="22">
        <f>Balaka!O86+Liwonde!O86+Machinga!O86+Ntaja!O86</f>
        <v>0</v>
      </c>
      <c r="P86" s="31"/>
    </row>
    <row r="87" spans="1:16" ht="27" x14ac:dyDescent="0.3">
      <c r="A87" s="191"/>
      <c r="B87" s="21" t="s">
        <v>104</v>
      </c>
      <c r="C87" s="4" t="s">
        <v>3</v>
      </c>
      <c r="D87" s="22">
        <f>Balaka!D87+Liwonde!D87+Machinga!D87+Ntaja!D87</f>
        <v>0</v>
      </c>
      <c r="E87" s="22">
        <f>Balaka!E87+Liwonde!E87+Machinga!E87+Ntaja!E87</f>
        <v>0</v>
      </c>
      <c r="F87" s="22">
        <f>Balaka!F87+Liwonde!F87+Machinga!F87+Ntaja!F87</f>
        <v>0</v>
      </c>
      <c r="G87" s="22">
        <f>Balaka!G87+Liwonde!G87+Machinga!G87+Ntaja!G87</f>
        <v>0</v>
      </c>
      <c r="H87" s="22">
        <f>Balaka!H87+Liwonde!H87+Machinga!H87+Ntaja!H87</f>
        <v>0</v>
      </c>
      <c r="I87" s="22">
        <f>Balaka!I87+Liwonde!I87+Machinga!I87+Ntaja!I87</f>
        <v>0</v>
      </c>
      <c r="J87" s="22">
        <f>Balaka!J87+Liwonde!J87+Machinga!J87+Ntaja!J87</f>
        <v>0</v>
      </c>
      <c r="K87" s="22">
        <f>Balaka!K87+Liwonde!K87+Machinga!K87+Ntaja!K87</f>
        <v>0</v>
      </c>
      <c r="L87" s="22">
        <f>Balaka!L87+Liwonde!L87+Machinga!L87+Ntaja!L87</f>
        <v>0</v>
      </c>
      <c r="M87" s="22">
        <f>Balaka!M87+Liwonde!M87+Machinga!M87+Ntaja!M87</f>
        <v>0</v>
      </c>
      <c r="N87" s="22">
        <f>Balaka!N87+Liwonde!N87+Machinga!N87+Ntaja!N87</f>
        <v>0</v>
      </c>
      <c r="O87" s="22">
        <f>Balaka!O87+Liwonde!O87+Machinga!O87+Ntaja!O87</f>
        <v>0</v>
      </c>
      <c r="P87" s="31">
        <f>SUM(D87:O87)</f>
        <v>0</v>
      </c>
    </row>
    <row r="88" spans="1:16" x14ac:dyDescent="0.3">
      <c r="A88" s="191"/>
      <c r="B88" s="21" t="s">
        <v>190</v>
      </c>
      <c r="C88" s="4" t="s">
        <v>3</v>
      </c>
      <c r="D88" s="3">
        <f>D87+D86</f>
        <v>0</v>
      </c>
      <c r="E88" s="3">
        <f>E87+E86</f>
        <v>0</v>
      </c>
      <c r="F88" s="3">
        <f>F87+F86</f>
        <v>0</v>
      </c>
      <c r="G88" s="3">
        <f>G87+G86</f>
        <v>0</v>
      </c>
      <c r="H88" s="3">
        <f>H87+H86</f>
        <v>0</v>
      </c>
      <c r="I88" s="3">
        <f t="shared" ref="I88:O88" si="37">I87+I86</f>
        <v>0</v>
      </c>
      <c r="J88" s="3">
        <f t="shared" si="37"/>
        <v>0</v>
      </c>
      <c r="K88" s="3">
        <f t="shared" si="37"/>
        <v>0</v>
      </c>
      <c r="L88" s="3">
        <f t="shared" si="37"/>
        <v>0</v>
      </c>
      <c r="M88" s="3">
        <f t="shared" si="37"/>
        <v>0</v>
      </c>
      <c r="N88" s="3">
        <f t="shared" si="37"/>
        <v>0</v>
      </c>
      <c r="O88" s="3">
        <f t="shared" si="37"/>
        <v>0</v>
      </c>
      <c r="P88" s="31"/>
    </row>
    <row r="89" spans="1:16" x14ac:dyDescent="0.3">
      <c r="A89" s="192"/>
      <c r="B89" s="32" t="s">
        <v>81</v>
      </c>
      <c r="C89" s="4" t="s">
        <v>3</v>
      </c>
      <c r="D89" s="22">
        <f>D84+D85-D88</f>
        <v>0</v>
      </c>
      <c r="E89" s="22">
        <f>E84+E85-E88</f>
        <v>0</v>
      </c>
      <c r="F89" s="22">
        <f>F84+F85-F88</f>
        <v>0</v>
      </c>
      <c r="G89" s="22">
        <f>G84+G85-G88</f>
        <v>0</v>
      </c>
      <c r="H89" s="22">
        <f>H84+H85-H88</f>
        <v>0</v>
      </c>
      <c r="I89" s="22">
        <f t="shared" ref="I89:O89" si="38">I84+I85-I88</f>
        <v>0</v>
      </c>
      <c r="J89" s="22">
        <f t="shared" si="38"/>
        <v>0</v>
      </c>
      <c r="K89" s="22">
        <f t="shared" si="38"/>
        <v>0</v>
      </c>
      <c r="L89" s="22">
        <f t="shared" si="38"/>
        <v>0</v>
      </c>
      <c r="M89" s="22">
        <f t="shared" si="38"/>
        <v>0</v>
      </c>
      <c r="N89" s="22">
        <f t="shared" si="38"/>
        <v>0</v>
      </c>
      <c r="O89" s="22">
        <f t="shared" si="38"/>
        <v>0</v>
      </c>
      <c r="P89" s="94">
        <f t="shared" ref="P89" si="39">P84+P85-P86-P87</f>
        <v>0</v>
      </c>
    </row>
    <row r="90" spans="1:16" x14ac:dyDescent="0.3">
      <c r="A90" s="190" t="s">
        <v>107</v>
      </c>
      <c r="B90" s="21" t="s">
        <v>85</v>
      </c>
      <c r="C90" s="4" t="s">
        <v>3</v>
      </c>
      <c r="D90" s="119">
        <f>D66+D72+D78+D84</f>
        <v>1110</v>
      </c>
      <c r="E90" s="119">
        <f>E66+E72+E78+E84</f>
        <v>1100</v>
      </c>
      <c r="F90" s="119">
        <f>F66+F72+F78+F84</f>
        <v>1110</v>
      </c>
      <c r="G90" s="119">
        <f>G66+G72+G78+G84</f>
        <v>1175</v>
      </c>
      <c r="H90" s="119">
        <f>H66+H72+H78+H84</f>
        <v>1213</v>
      </c>
      <c r="I90" s="119">
        <f t="shared" ref="I90:O90" si="40">I66+I72+I78+I84</f>
        <v>1264</v>
      </c>
      <c r="J90" s="119">
        <f t="shared" si="40"/>
        <v>1290</v>
      </c>
      <c r="K90" s="119">
        <f t="shared" si="40"/>
        <v>1287</v>
      </c>
      <c r="L90" s="119">
        <f t="shared" si="40"/>
        <v>1269</v>
      </c>
      <c r="M90" s="119">
        <f t="shared" si="40"/>
        <v>1240</v>
      </c>
      <c r="N90" s="119">
        <f t="shared" si="40"/>
        <v>1247</v>
      </c>
      <c r="O90" s="119">
        <f t="shared" si="40"/>
        <v>1267</v>
      </c>
      <c r="P90" s="31">
        <f>D90</f>
        <v>1110</v>
      </c>
    </row>
    <row r="91" spans="1:16" x14ac:dyDescent="0.3">
      <c r="A91" s="191"/>
      <c r="B91" s="21" t="s">
        <v>106</v>
      </c>
      <c r="C91" s="4" t="s">
        <v>3</v>
      </c>
      <c r="D91" s="119">
        <f t="shared" ref="D91:E93" si="41">D67+D73+D79+D85</f>
        <v>87</v>
      </c>
      <c r="E91" s="119">
        <f t="shared" si="41"/>
        <v>74</v>
      </c>
      <c r="F91" s="119">
        <f t="shared" ref="F91:G91" si="42">F67+F73+F79+F85</f>
        <v>141</v>
      </c>
      <c r="G91" s="119">
        <f t="shared" si="42"/>
        <v>137</v>
      </c>
      <c r="H91" s="119">
        <f t="shared" ref="H91:O91" si="43">H67+H73+H79+H85</f>
        <v>164</v>
      </c>
      <c r="I91" s="119">
        <f t="shared" si="43"/>
        <v>122</v>
      </c>
      <c r="J91" s="119">
        <f t="shared" si="43"/>
        <v>124</v>
      </c>
      <c r="K91" s="119">
        <f t="shared" si="43"/>
        <v>77</v>
      </c>
      <c r="L91" s="119">
        <f t="shared" si="43"/>
        <v>46</v>
      </c>
      <c r="M91" s="119">
        <f t="shared" si="43"/>
        <v>63</v>
      </c>
      <c r="N91" s="119">
        <f t="shared" si="43"/>
        <v>86</v>
      </c>
      <c r="O91" s="119">
        <f t="shared" si="43"/>
        <v>88</v>
      </c>
      <c r="P91" s="31">
        <f>SUM(D91:O91)</f>
        <v>1209</v>
      </c>
    </row>
    <row r="92" spans="1:16" ht="27" x14ac:dyDescent="0.3">
      <c r="A92" s="191"/>
      <c r="B92" s="21" t="s">
        <v>105</v>
      </c>
      <c r="C92" s="4" t="s">
        <v>3</v>
      </c>
      <c r="D92" s="119">
        <f t="shared" si="41"/>
        <v>48</v>
      </c>
      <c r="E92" s="119">
        <f t="shared" si="41"/>
        <v>32</v>
      </c>
      <c r="F92" s="119">
        <f t="shared" ref="F92:G92" si="44">F68+F74+F80+F86</f>
        <v>33</v>
      </c>
      <c r="G92" s="119">
        <f t="shared" si="44"/>
        <v>61</v>
      </c>
      <c r="H92" s="119">
        <f t="shared" ref="H92:O92" si="45">H68+H74+H80+H86</f>
        <v>61</v>
      </c>
      <c r="I92" s="119">
        <f t="shared" si="45"/>
        <v>42</v>
      </c>
      <c r="J92" s="119">
        <f t="shared" si="45"/>
        <v>70</v>
      </c>
      <c r="K92" s="119">
        <f t="shared" si="45"/>
        <v>49</v>
      </c>
      <c r="L92" s="119">
        <f t="shared" si="45"/>
        <v>63</v>
      </c>
      <c r="M92" s="119">
        <f t="shared" si="45"/>
        <v>54</v>
      </c>
      <c r="N92" s="119">
        <f t="shared" si="45"/>
        <v>66</v>
      </c>
      <c r="O92" s="119">
        <f t="shared" si="45"/>
        <v>52</v>
      </c>
      <c r="P92" s="31">
        <f>SUM(D92:O92)</f>
        <v>631</v>
      </c>
    </row>
    <row r="93" spans="1:16" ht="27" x14ac:dyDescent="0.3">
      <c r="A93" s="191"/>
      <c r="B93" s="21" t="s">
        <v>104</v>
      </c>
      <c r="C93" s="4"/>
      <c r="D93" s="119">
        <f t="shared" si="41"/>
        <v>49</v>
      </c>
      <c r="E93" s="119">
        <f t="shared" si="41"/>
        <v>32</v>
      </c>
      <c r="F93" s="119">
        <f t="shared" ref="F93:G93" si="46">F69+F75+F81+F87</f>
        <v>46</v>
      </c>
      <c r="G93" s="119">
        <f t="shared" si="46"/>
        <v>38</v>
      </c>
      <c r="H93" s="119">
        <f t="shared" ref="H93:O93" si="47">H69+H75+H81+H87</f>
        <v>52</v>
      </c>
      <c r="I93" s="119">
        <f t="shared" si="47"/>
        <v>54</v>
      </c>
      <c r="J93" s="119">
        <f t="shared" si="47"/>
        <v>57</v>
      </c>
      <c r="K93" s="119">
        <f t="shared" si="47"/>
        <v>46</v>
      </c>
      <c r="L93" s="119">
        <f t="shared" si="47"/>
        <v>12</v>
      </c>
      <c r="M93" s="119">
        <f t="shared" si="47"/>
        <v>2</v>
      </c>
      <c r="N93" s="119">
        <f t="shared" si="47"/>
        <v>0</v>
      </c>
      <c r="O93" s="119">
        <f t="shared" si="47"/>
        <v>5</v>
      </c>
      <c r="P93" s="31">
        <f>SUM(D93:O93)</f>
        <v>393</v>
      </c>
    </row>
    <row r="94" spans="1:16" x14ac:dyDescent="0.3">
      <c r="A94" s="191"/>
      <c r="B94" s="21" t="s">
        <v>190</v>
      </c>
      <c r="C94" s="4" t="s">
        <v>3</v>
      </c>
      <c r="D94" s="120">
        <f>D93+D92</f>
        <v>97</v>
      </c>
      <c r="E94" s="120">
        <f t="shared" ref="E94:P94" si="48">E93+E92</f>
        <v>64</v>
      </c>
      <c r="F94" s="120">
        <f t="shared" si="48"/>
        <v>79</v>
      </c>
      <c r="G94" s="120">
        <f t="shared" ref="G94:H94" si="49">G93+G92</f>
        <v>99</v>
      </c>
      <c r="H94" s="120">
        <f t="shared" si="49"/>
        <v>113</v>
      </c>
      <c r="I94" s="120">
        <f t="shared" ref="I94:O94" si="50">I93+I92</f>
        <v>96</v>
      </c>
      <c r="J94" s="120">
        <f t="shared" si="50"/>
        <v>127</v>
      </c>
      <c r="K94" s="120">
        <f t="shared" si="50"/>
        <v>95</v>
      </c>
      <c r="L94" s="120">
        <f t="shared" si="50"/>
        <v>75</v>
      </c>
      <c r="M94" s="120">
        <f t="shared" si="50"/>
        <v>56</v>
      </c>
      <c r="N94" s="120">
        <f t="shared" si="50"/>
        <v>66</v>
      </c>
      <c r="O94" s="120">
        <f t="shared" si="50"/>
        <v>57</v>
      </c>
      <c r="P94" s="127">
        <f t="shared" si="48"/>
        <v>1024</v>
      </c>
    </row>
    <row r="95" spans="1:16" ht="16.2" thickBot="1" x14ac:dyDescent="0.35">
      <c r="A95" s="192"/>
      <c r="B95" s="21" t="s">
        <v>81</v>
      </c>
      <c r="C95" s="4" t="s">
        <v>3</v>
      </c>
      <c r="D95" s="121">
        <f>D90+D91-D94</f>
        <v>1100</v>
      </c>
      <c r="E95" s="121">
        <f t="shared" ref="E95:H95" si="51">E90+E91-E94</f>
        <v>1110</v>
      </c>
      <c r="F95" s="121">
        <f t="shared" si="51"/>
        <v>1172</v>
      </c>
      <c r="G95" s="121">
        <f t="shared" si="51"/>
        <v>1213</v>
      </c>
      <c r="H95" s="121">
        <f t="shared" si="51"/>
        <v>1264</v>
      </c>
      <c r="I95" s="121">
        <f t="shared" ref="I95:O95" si="52">I90+I91-I94</f>
        <v>1290</v>
      </c>
      <c r="J95" s="121">
        <f t="shared" si="52"/>
        <v>1287</v>
      </c>
      <c r="K95" s="121">
        <f t="shared" si="52"/>
        <v>1269</v>
      </c>
      <c r="L95" s="121">
        <f t="shared" si="52"/>
        <v>1240</v>
      </c>
      <c r="M95" s="121">
        <f t="shared" si="52"/>
        <v>1247</v>
      </c>
      <c r="N95" s="121">
        <f t="shared" si="52"/>
        <v>1267</v>
      </c>
      <c r="O95" s="121">
        <f t="shared" si="52"/>
        <v>1298</v>
      </c>
      <c r="P95" s="128">
        <f t="shared" ref="P95" si="53">P90+P91-P94</f>
        <v>1295</v>
      </c>
    </row>
    <row r="96" spans="1:16" ht="16.2" thickBot="1" x14ac:dyDescent="0.35">
      <c r="A96" s="76"/>
      <c r="B96" s="61"/>
      <c r="C96" s="26"/>
      <c r="D96" s="59"/>
      <c r="E96" s="59"/>
      <c r="F96" s="59"/>
      <c r="G96" s="59"/>
      <c r="H96" s="59"/>
      <c r="I96" s="59"/>
      <c r="J96" s="60"/>
      <c r="K96" s="60"/>
      <c r="L96" s="60"/>
      <c r="M96" s="60"/>
      <c r="N96" s="60"/>
      <c r="O96" s="60"/>
      <c r="P96" s="95"/>
    </row>
    <row r="97" spans="1:16" ht="15.75" customHeight="1" thickBot="1" x14ac:dyDescent="0.35">
      <c r="A97" s="193" t="s">
        <v>191</v>
      </c>
      <c r="B97" s="194"/>
      <c r="C97" s="194"/>
      <c r="D97" s="194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5"/>
    </row>
    <row r="98" spans="1:16" x14ac:dyDescent="0.3">
      <c r="A98" s="72" t="s">
        <v>192</v>
      </c>
      <c r="B98" s="62"/>
      <c r="C98" s="4" t="s">
        <v>3</v>
      </c>
      <c r="D98" s="22">
        <f>Balaka!D98+Liwonde!D98+Machinga!D98+Ntaja!D98</f>
        <v>120</v>
      </c>
      <c r="E98" s="22">
        <f>Balaka!E98+Liwonde!E98+Machinga!E98+Ntaja!E98</f>
        <v>104</v>
      </c>
      <c r="F98" s="22">
        <f>Balaka!F98+Liwonde!F98+Machinga!F98+Ntaja!F98</f>
        <v>136</v>
      </c>
      <c r="G98" s="22">
        <f>Balaka!G98+Liwonde!G98+Machinga!G98+Ntaja!G98</f>
        <v>206</v>
      </c>
      <c r="H98" s="22">
        <f>Balaka!H98+Liwonde!H98+Machinga!H98+Ntaja!H98</f>
        <v>141</v>
      </c>
      <c r="I98" s="22">
        <f>Balaka!I98+Liwonde!I98+Machinga!I98+Ntaja!I98</f>
        <v>97</v>
      </c>
      <c r="J98" s="22">
        <f>Balaka!J98+Liwonde!J98+Machinga!J98+Ntaja!J98</f>
        <v>103</v>
      </c>
      <c r="K98" s="22">
        <f>Balaka!K98+Liwonde!K98+Machinga!K98+Ntaja!K98</f>
        <v>88</v>
      </c>
      <c r="L98" s="22">
        <f>Balaka!L98+Liwonde!L98+Machinga!L98+Ntaja!L98</f>
        <v>27</v>
      </c>
      <c r="M98" s="22">
        <f>Balaka!M98+Liwonde!M98+Machinga!M98+Ntaja!M98</f>
        <v>46</v>
      </c>
      <c r="N98" s="22">
        <f>Balaka!N98+Liwonde!N98+Machinga!N98+Ntaja!N98</f>
        <v>41</v>
      </c>
      <c r="O98" s="22">
        <f>Balaka!O98+Liwonde!O98+Machinga!O98+Ntaja!O98</f>
        <v>17</v>
      </c>
      <c r="P98" s="96">
        <f>SUM(D98:O98)</f>
        <v>1126</v>
      </c>
    </row>
    <row r="99" spans="1:16" x14ac:dyDescent="0.3">
      <c r="A99" s="72"/>
      <c r="B99" s="21"/>
      <c r="C99" s="4"/>
      <c r="D99" s="59"/>
      <c r="E99" s="59"/>
      <c r="F99" s="59"/>
      <c r="G99" s="59"/>
      <c r="H99" s="59"/>
      <c r="I99" s="59"/>
      <c r="J99" s="60"/>
      <c r="K99" s="60"/>
      <c r="L99" s="60"/>
      <c r="M99" s="60"/>
      <c r="N99" s="60"/>
      <c r="O99" s="60"/>
      <c r="P99" s="95"/>
    </row>
    <row r="100" spans="1:16" ht="14.4" x14ac:dyDescent="0.3">
      <c r="A100" s="198" t="s">
        <v>103</v>
      </c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200"/>
    </row>
    <row r="101" spans="1:16" x14ac:dyDescent="0.3">
      <c r="A101" s="166" t="s">
        <v>102</v>
      </c>
      <c r="B101" s="167"/>
      <c r="C101" s="4" t="s">
        <v>3</v>
      </c>
      <c r="D101" s="22">
        <f>Balaka!D101+Liwonde!D101+Machinga!D101+Ntaja!D101</f>
        <v>4025</v>
      </c>
      <c r="E101" s="22">
        <f>Balaka!E101+Liwonde!E101+Machinga!E101+Ntaja!E101</f>
        <v>4106</v>
      </c>
      <c r="F101" s="22">
        <f>Balaka!F101+Liwonde!F101+Machinga!F101+Ntaja!F101</f>
        <v>4482</v>
      </c>
      <c r="G101" s="22">
        <f>Balaka!G101+Liwonde!G101+Machinga!G101+Ntaja!G101</f>
        <v>4555</v>
      </c>
      <c r="H101" s="22">
        <f>Balaka!H101+Liwonde!H101+Machinga!H101+Ntaja!H101</f>
        <v>4439</v>
      </c>
      <c r="I101" s="22">
        <f>Balaka!I101+Liwonde!I101+Machinga!I101+Ntaja!I101</f>
        <v>4383</v>
      </c>
      <c r="J101" s="22">
        <f>Balaka!J101+Liwonde!J101+Machinga!J101+Ntaja!J101</f>
        <v>4434</v>
      </c>
      <c r="K101" s="22">
        <f>Balaka!K101+Liwonde!K101+Machinga!K101+Ntaja!K101</f>
        <v>4606</v>
      </c>
      <c r="L101" s="22">
        <f>Balaka!L101+Liwonde!L101+Machinga!L101+Ntaja!L101</f>
        <v>4592</v>
      </c>
      <c r="M101" s="22">
        <f>Balaka!M101+Liwonde!M101+Machinga!M101+Ntaja!M101</f>
        <v>4640</v>
      </c>
      <c r="N101" s="22">
        <f>Balaka!N101+Liwonde!N101+Machinga!N101+Ntaja!N101</f>
        <v>4597</v>
      </c>
      <c r="O101" s="22">
        <f>Balaka!O101+Liwonde!O101+Machinga!O101+Ntaja!O101</f>
        <v>4442</v>
      </c>
      <c r="P101" s="28">
        <f t="shared" ref="P101:P111" si="54">O101</f>
        <v>4442</v>
      </c>
    </row>
    <row r="102" spans="1:16" x14ac:dyDescent="0.3">
      <c r="A102" s="166" t="s">
        <v>101</v>
      </c>
      <c r="B102" s="167"/>
      <c r="C102" s="4" t="s">
        <v>3</v>
      </c>
      <c r="D102" s="22">
        <f>Balaka!D102+Liwonde!D102+Machinga!D102+Ntaja!D102</f>
        <v>83</v>
      </c>
      <c r="E102" s="22">
        <f>Balaka!E102+Liwonde!E102+Machinga!E102+Ntaja!E102</f>
        <v>83</v>
      </c>
      <c r="F102" s="22">
        <f>Balaka!F102+Liwonde!F102+Machinga!F102+Ntaja!F102</f>
        <v>85</v>
      </c>
      <c r="G102" s="22">
        <f>Balaka!G102+Liwonde!G102+Machinga!G102+Ntaja!G102</f>
        <v>85</v>
      </c>
      <c r="H102" s="22">
        <f>Balaka!H102+Liwonde!H102+Machinga!H102+Ntaja!H102</f>
        <v>83</v>
      </c>
      <c r="I102" s="22">
        <f>Balaka!I102+Liwonde!I102+Machinga!I102+Ntaja!I102</f>
        <v>88</v>
      </c>
      <c r="J102" s="22">
        <f>Balaka!J102+Liwonde!J102+Machinga!J102+Ntaja!J102</f>
        <v>88</v>
      </c>
      <c r="K102" s="22">
        <f>Balaka!K102+Liwonde!K102+Machinga!K102+Ntaja!K102</f>
        <v>88</v>
      </c>
      <c r="L102" s="22">
        <f>Balaka!L102+Liwonde!L102+Machinga!L102+Ntaja!L102</f>
        <v>87</v>
      </c>
      <c r="M102" s="22">
        <f>Balaka!M102+Liwonde!M102+Machinga!M102+Ntaja!M102</f>
        <v>89</v>
      </c>
      <c r="N102" s="22">
        <f>Balaka!N102+Liwonde!N102+Machinga!N102+Ntaja!N102</f>
        <v>89</v>
      </c>
      <c r="O102" s="22">
        <f>Balaka!O102+Liwonde!O102+Machinga!O102+Ntaja!O102</f>
        <v>100</v>
      </c>
      <c r="P102" s="28">
        <f t="shared" si="54"/>
        <v>100</v>
      </c>
    </row>
    <row r="103" spans="1:16" ht="15.6" customHeight="1" x14ac:dyDescent="0.3">
      <c r="A103" s="172" t="s">
        <v>100</v>
      </c>
      <c r="B103" s="173"/>
      <c r="C103" s="4" t="s">
        <v>3</v>
      </c>
      <c r="D103" s="22">
        <f>Balaka!D103+Liwonde!D103+Machinga!D103+Ntaja!D103</f>
        <v>117</v>
      </c>
      <c r="E103" s="22">
        <f>Balaka!E103+Liwonde!E103+Machinga!E103+Ntaja!E103</f>
        <v>121</v>
      </c>
      <c r="F103" s="22">
        <f>Balaka!F103+Liwonde!F103+Machinga!F103+Ntaja!F103</f>
        <v>121</v>
      </c>
      <c r="G103" s="22">
        <f>Balaka!G103+Liwonde!G103+Machinga!G103+Ntaja!G103</f>
        <v>121</v>
      </c>
      <c r="H103" s="22">
        <f>Balaka!H103+Liwonde!H103+Machinga!H103+Ntaja!H103</f>
        <v>120</v>
      </c>
      <c r="I103" s="22">
        <f>Balaka!I103+Liwonde!I103+Machinga!I103+Ntaja!I103</f>
        <v>123</v>
      </c>
      <c r="J103" s="22">
        <f>Balaka!J103+Liwonde!J103+Machinga!J103+Ntaja!J103</f>
        <v>122</v>
      </c>
      <c r="K103" s="22">
        <f>Balaka!K103+Liwonde!K103+Machinga!K103+Ntaja!K103</f>
        <v>122</v>
      </c>
      <c r="L103" s="22">
        <f>Balaka!L103+Liwonde!L103+Machinga!L103+Ntaja!L103</f>
        <v>122</v>
      </c>
      <c r="M103" s="22">
        <f>Balaka!M103+Liwonde!M103+Machinga!M103+Ntaja!M103</f>
        <v>121</v>
      </c>
      <c r="N103" s="22">
        <f>Balaka!N103+Liwonde!N103+Machinga!N103+Ntaja!N103</f>
        <v>121</v>
      </c>
      <c r="O103" s="22">
        <f>Balaka!O103+Liwonde!O103+Machinga!O103+Ntaja!O103</f>
        <v>120</v>
      </c>
      <c r="P103" s="28">
        <f t="shared" si="54"/>
        <v>120</v>
      </c>
    </row>
    <row r="104" spans="1:16" x14ac:dyDescent="0.3">
      <c r="A104" s="172" t="s">
        <v>99</v>
      </c>
      <c r="B104" s="173"/>
      <c r="C104" s="4" t="s">
        <v>3</v>
      </c>
      <c r="D104" s="22">
        <f>Balaka!D104+Liwonde!D104+Machinga!D104+Ntaja!D104</f>
        <v>35</v>
      </c>
      <c r="E104" s="22">
        <f>Balaka!E104+Liwonde!E104+Machinga!E104+Ntaja!E104</f>
        <v>35</v>
      </c>
      <c r="F104" s="22">
        <f>Balaka!F104+Liwonde!F104+Machinga!F104+Ntaja!F104</f>
        <v>35</v>
      </c>
      <c r="G104" s="22">
        <f>Balaka!G104+Liwonde!G104+Machinga!G104+Ntaja!G104</f>
        <v>34</v>
      </c>
      <c r="H104" s="22">
        <f>Balaka!H104+Liwonde!H104+Machinga!H104+Ntaja!H104</f>
        <v>33</v>
      </c>
      <c r="I104" s="22">
        <f>Balaka!I104+Liwonde!I104+Machinga!I104+Ntaja!I104</f>
        <v>33</v>
      </c>
      <c r="J104" s="22">
        <f>Balaka!J104+Liwonde!J104+Machinga!J104+Ntaja!J104</f>
        <v>33</v>
      </c>
      <c r="K104" s="22">
        <f>Balaka!K104+Liwonde!K104+Machinga!K104+Ntaja!K104</f>
        <v>33</v>
      </c>
      <c r="L104" s="22">
        <f>Balaka!L104+Liwonde!L104+Machinga!L104+Ntaja!L104</f>
        <v>33</v>
      </c>
      <c r="M104" s="22">
        <f>Balaka!M104+Liwonde!M104+Machinga!M104+Ntaja!M104</f>
        <v>33</v>
      </c>
      <c r="N104" s="22">
        <f>Balaka!N104+Liwonde!N104+Machinga!N104+Ntaja!N104</f>
        <v>33</v>
      </c>
      <c r="O104" s="22">
        <f>Balaka!O104+Liwonde!O104+Machinga!O104+Ntaja!O104</f>
        <v>34</v>
      </c>
      <c r="P104" s="28">
        <f t="shared" si="54"/>
        <v>34</v>
      </c>
    </row>
    <row r="105" spans="1:16" x14ac:dyDescent="0.3">
      <c r="A105" s="188" t="s">
        <v>98</v>
      </c>
      <c r="B105" s="189"/>
      <c r="C105" s="4" t="s">
        <v>3</v>
      </c>
      <c r="D105" s="29">
        <f>SUM(D101:D104)</f>
        <v>4260</v>
      </c>
      <c r="E105" s="29">
        <f t="shared" ref="E105:O105" si="55">SUM(E101:E104)</f>
        <v>4345</v>
      </c>
      <c r="F105" s="29">
        <f t="shared" si="55"/>
        <v>4723</v>
      </c>
      <c r="G105" s="29">
        <f t="shared" ref="G105" si="56">SUM(G101:G104)</f>
        <v>4795</v>
      </c>
      <c r="H105" s="29">
        <f t="shared" si="55"/>
        <v>4675</v>
      </c>
      <c r="I105" s="29">
        <f t="shared" si="55"/>
        <v>4627</v>
      </c>
      <c r="J105" s="29">
        <f t="shared" si="55"/>
        <v>4677</v>
      </c>
      <c r="K105" s="29">
        <f t="shared" si="55"/>
        <v>4849</v>
      </c>
      <c r="L105" s="29">
        <f t="shared" si="55"/>
        <v>4834</v>
      </c>
      <c r="M105" s="29">
        <f t="shared" si="55"/>
        <v>4883</v>
      </c>
      <c r="N105" s="29">
        <f t="shared" si="55"/>
        <v>4840</v>
      </c>
      <c r="O105" s="29">
        <f t="shared" si="55"/>
        <v>4696</v>
      </c>
      <c r="P105" s="28">
        <f t="shared" si="54"/>
        <v>4696</v>
      </c>
    </row>
    <row r="106" spans="1:16" ht="15.6" customHeight="1" x14ac:dyDescent="0.3">
      <c r="A106" s="216" t="s">
        <v>212</v>
      </c>
      <c r="B106" s="217"/>
      <c r="C106" s="217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8"/>
    </row>
    <row r="107" spans="1:16" x14ac:dyDescent="0.3">
      <c r="A107" s="166" t="s">
        <v>195</v>
      </c>
      <c r="B107" s="167"/>
      <c r="C107" s="4" t="s">
        <v>3</v>
      </c>
      <c r="D107" s="22">
        <f>Balaka!D107+Liwonde!D107+Machinga!D107+Ntaja!D107</f>
        <v>6270</v>
      </c>
      <c r="E107" s="22">
        <f>Balaka!E107+Liwonde!E107+Machinga!E107+Ntaja!E107</f>
        <v>6206</v>
      </c>
      <c r="F107" s="22">
        <f>Balaka!F107+Liwonde!F107+Machinga!F107+Ntaja!F107</f>
        <v>5692</v>
      </c>
      <c r="G107" s="22">
        <f>Balaka!G107+Liwonde!G107+Machinga!G107+Ntaja!G107</f>
        <v>5874</v>
      </c>
      <c r="H107" s="22">
        <f>Balaka!H107+Liwonde!H107+Machinga!H107+Ntaja!H107</f>
        <v>5618</v>
      </c>
      <c r="I107" s="22">
        <f>Balaka!I107+Liwonde!I107+Machinga!I107+Ntaja!I107</f>
        <v>5584</v>
      </c>
      <c r="J107" s="22">
        <f>Balaka!J107+Liwonde!J107+Machinga!J107+Ntaja!J107</f>
        <v>5538</v>
      </c>
      <c r="K107" s="22">
        <f>Balaka!K107+Liwonde!K107+Machinga!K107+Ntaja!K107</f>
        <v>5511</v>
      </c>
      <c r="L107" s="22">
        <f>Balaka!L107+Liwonde!L107+Machinga!L107+Ntaja!L107</f>
        <v>5557</v>
      </c>
      <c r="M107" s="22">
        <f>Balaka!M107+Liwonde!M107+Machinga!M107+Ntaja!M107</f>
        <v>5536</v>
      </c>
      <c r="N107" s="22">
        <f>Balaka!N107+Liwonde!N107+Machinga!N107+Ntaja!N107</f>
        <v>5616</v>
      </c>
      <c r="O107" s="22">
        <f>Balaka!O107+Liwonde!O107+Machinga!O107+Ntaja!O107</f>
        <v>5861</v>
      </c>
      <c r="P107" s="28">
        <f t="shared" si="54"/>
        <v>5861</v>
      </c>
    </row>
    <row r="108" spans="1:16" x14ac:dyDescent="0.3">
      <c r="A108" s="166" t="s">
        <v>196</v>
      </c>
      <c r="B108" s="167"/>
      <c r="C108" s="4" t="s">
        <v>3</v>
      </c>
      <c r="D108" s="22">
        <f>Balaka!D108+Liwonde!D108+Machinga!D108+Ntaja!D108</f>
        <v>28</v>
      </c>
      <c r="E108" s="22">
        <f>Balaka!E108+Liwonde!E108+Machinga!E108+Ntaja!E108</f>
        <v>27</v>
      </c>
      <c r="F108" s="22">
        <f>Balaka!F108+Liwonde!F108+Machinga!F108+Ntaja!F108</f>
        <v>34</v>
      </c>
      <c r="G108" s="22">
        <f>Balaka!G108+Liwonde!G108+Machinga!G108+Ntaja!G108</f>
        <v>28</v>
      </c>
      <c r="H108" s="22">
        <f>Balaka!H108+Liwonde!H108+Machinga!H108+Ntaja!H108</f>
        <v>19</v>
      </c>
      <c r="I108" s="22">
        <f>Balaka!I108+Liwonde!I108+Machinga!I108+Ntaja!I108</f>
        <v>19</v>
      </c>
      <c r="J108" s="22">
        <f>Balaka!J108+Liwonde!J108+Machinga!J108+Ntaja!J108</f>
        <v>18</v>
      </c>
      <c r="K108" s="22">
        <f>Balaka!K108+Liwonde!K108+Machinga!K108+Ntaja!K108</f>
        <v>20</v>
      </c>
      <c r="L108" s="22">
        <f>Balaka!L108+Liwonde!L108+Machinga!L108+Ntaja!L108</f>
        <v>20</v>
      </c>
      <c r="M108" s="22">
        <f>Balaka!M108+Liwonde!M108+Machinga!M108+Ntaja!M108</f>
        <v>17</v>
      </c>
      <c r="N108" s="22">
        <f>Balaka!N108+Liwonde!N108+Machinga!N108+Ntaja!N108</f>
        <v>17</v>
      </c>
      <c r="O108" s="22">
        <f>Balaka!O108+Liwonde!O108+Machinga!O108+Ntaja!O108</f>
        <v>18</v>
      </c>
      <c r="P108" s="28">
        <f t="shared" si="54"/>
        <v>18</v>
      </c>
    </row>
    <row r="109" spans="1:16" x14ac:dyDescent="0.3">
      <c r="A109" s="166" t="s">
        <v>197</v>
      </c>
      <c r="B109" s="167"/>
      <c r="C109" s="4" t="s">
        <v>3</v>
      </c>
      <c r="D109" s="22">
        <f>Balaka!D109+Liwonde!D109+Machinga!D109+Ntaja!D109</f>
        <v>10</v>
      </c>
      <c r="E109" s="22">
        <f>Balaka!E109+Liwonde!E109+Machinga!E109+Ntaja!E109</f>
        <v>8</v>
      </c>
      <c r="F109" s="22">
        <f>Balaka!F109+Liwonde!F109+Machinga!F109+Ntaja!F109</f>
        <v>7</v>
      </c>
      <c r="G109" s="22">
        <f>Balaka!G109+Liwonde!G109+Machinga!G109+Ntaja!G109</f>
        <v>8</v>
      </c>
      <c r="H109" s="22">
        <f>Balaka!H109+Liwonde!H109+Machinga!H109+Ntaja!H109</f>
        <v>7</v>
      </c>
      <c r="I109" s="22">
        <f>Balaka!I109+Liwonde!I109+Machinga!I109+Ntaja!I109</f>
        <v>5</v>
      </c>
      <c r="J109" s="22">
        <f>Balaka!J109+Liwonde!J109+Machinga!J109+Ntaja!J109</f>
        <v>6</v>
      </c>
      <c r="K109" s="22">
        <f>Balaka!K109+Liwonde!K109+Machinga!K109+Ntaja!K109</f>
        <v>7</v>
      </c>
      <c r="L109" s="22">
        <f>Balaka!L109+Liwonde!L109+Machinga!L109+Ntaja!L109</f>
        <v>6</v>
      </c>
      <c r="M109" s="22">
        <f>Balaka!M109+Liwonde!M109+Machinga!M109+Ntaja!M109</f>
        <v>8</v>
      </c>
      <c r="N109" s="22">
        <f>Balaka!N109+Liwonde!N109+Machinga!N109+Ntaja!N109</f>
        <v>8</v>
      </c>
      <c r="O109" s="22">
        <f>Balaka!O109+Liwonde!O109+Machinga!O109+Ntaja!O109</f>
        <v>10</v>
      </c>
      <c r="P109" s="28">
        <f t="shared" si="54"/>
        <v>10</v>
      </c>
    </row>
    <row r="110" spans="1:16" x14ac:dyDescent="0.3">
      <c r="A110" s="166" t="s">
        <v>198</v>
      </c>
      <c r="B110" s="167"/>
      <c r="C110" s="4" t="s">
        <v>3</v>
      </c>
      <c r="D110" s="22">
        <f>Balaka!D110+Liwonde!D110+Machinga!D110+Ntaja!D110</f>
        <v>24</v>
      </c>
      <c r="E110" s="22">
        <f>Balaka!E110+Liwonde!E110+Machinga!E110+Ntaja!E110</f>
        <v>23</v>
      </c>
      <c r="F110" s="22">
        <f>Balaka!F110+Liwonde!F110+Machinga!F110+Ntaja!F110</f>
        <v>18</v>
      </c>
      <c r="G110" s="22">
        <f>Balaka!G110+Liwonde!G110+Machinga!G110+Ntaja!G110</f>
        <v>18</v>
      </c>
      <c r="H110" s="22">
        <f>Balaka!H110+Liwonde!H110+Machinga!H110+Ntaja!H110</f>
        <v>20</v>
      </c>
      <c r="I110" s="22">
        <f>Balaka!I110+Liwonde!I110+Machinga!I110+Ntaja!I110</f>
        <v>21</v>
      </c>
      <c r="J110" s="22">
        <f>Balaka!J110+Liwonde!J110+Machinga!J110+Ntaja!J110</f>
        <v>21</v>
      </c>
      <c r="K110" s="22">
        <f>Balaka!K110+Liwonde!K110+Machinga!K110+Ntaja!K110</f>
        <v>22</v>
      </c>
      <c r="L110" s="22">
        <f>Balaka!L110+Liwonde!L110+Machinga!L110+Ntaja!L110</f>
        <v>22</v>
      </c>
      <c r="M110" s="22">
        <f>Balaka!M110+Liwonde!M110+Machinga!M110+Ntaja!M110</f>
        <v>21</v>
      </c>
      <c r="N110" s="22">
        <f>Balaka!N110+Liwonde!N110+Machinga!N110+Ntaja!N110</f>
        <v>21</v>
      </c>
      <c r="O110" s="22">
        <f>Balaka!O110+Liwonde!O110+Machinga!O110+Ntaja!O110</f>
        <v>21</v>
      </c>
      <c r="P110" s="28">
        <f t="shared" si="54"/>
        <v>21</v>
      </c>
    </row>
    <row r="111" spans="1:16" x14ac:dyDescent="0.3">
      <c r="A111" s="168" t="s">
        <v>97</v>
      </c>
      <c r="B111" s="169"/>
      <c r="C111" s="4" t="s">
        <v>3</v>
      </c>
      <c r="D111" s="29">
        <f>SUM(D107:D110)</f>
        <v>6332</v>
      </c>
      <c r="E111" s="29">
        <f t="shared" ref="E111:O111" si="57">SUM(E107:E110)</f>
        <v>6264</v>
      </c>
      <c r="F111" s="29">
        <f t="shared" si="57"/>
        <v>5751</v>
      </c>
      <c r="G111" s="29">
        <f t="shared" ref="G111" si="58">SUM(G107:G110)</f>
        <v>5928</v>
      </c>
      <c r="H111" s="29">
        <f t="shared" si="57"/>
        <v>5664</v>
      </c>
      <c r="I111" s="29">
        <f t="shared" si="57"/>
        <v>5629</v>
      </c>
      <c r="J111" s="29">
        <f t="shared" si="57"/>
        <v>5583</v>
      </c>
      <c r="K111" s="29">
        <f t="shared" si="57"/>
        <v>5560</v>
      </c>
      <c r="L111" s="29">
        <f t="shared" si="57"/>
        <v>5605</v>
      </c>
      <c r="M111" s="29">
        <f t="shared" si="57"/>
        <v>5582</v>
      </c>
      <c r="N111" s="29">
        <f t="shared" si="57"/>
        <v>5662</v>
      </c>
      <c r="O111" s="29">
        <f t="shared" si="57"/>
        <v>5910</v>
      </c>
      <c r="P111" s="28">
        <f t="shared" si="54"/>
        <v>5910</v>
      </c>
    </row>
    <row r="112" spans="1:16" ht="15.6" customHeight="1" x14ac:dyDescent="0.3">
      <c r="A112" s="198" t="s">
        <v>212</v>
      </c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200"/>
    </row>
    <row r="113" spans="1:16" x14ac:dyDescent="0.3">
      <c r="A113" s="166" t="s">
        <v>199</v>
      </c>
      <c r="B113" s="167"/>
      <c r="C113" s="4" t="s">
        <v>3</v>
      </c>
      <c r="D113" s="22">
        <f>Balaka!D113+Liwonde!D113+Machinga!D113+Ntaja!D113</f>
        <v>3581</v>
      </c>
      <c r="E113" s="22">
        <f>Balaka!E113+Liwonde!E113+Machinga!E113+Ntaja!E113</f>
        <v>3625</v>
      </c>
      <c r="F113" s="22">
        <f>Balaka!F113+Liwonde!F113+Machinga!F113+Ntaja!F113</f>
        <v>4052</v>
      </c>
      <c r="G113" s="22">
        <f>Balaka!G113+Liwonde!G113+Machinga!G113+Ntaja!G113</f>
        <v>4200</v>
      </c>
      <c r="H113" s="22">
        <f>Balaka!H113+Liwonde!H113+Machinga!H113+Ntaja!H113</f>
        <v>4589</v>
      </c>
      <c r="I113" s="22">
        <f>Balaka!I113+Liwonde!I113+Machinga!I113+Ntaja!I113</f>
        <v>4896</v>
      </c>
      <c r="J113" s="22">
        <f>Balaka!J113+Liwonde!J113+Machinga!J113+Ntaja!J113</f>
        <v>4980</v>
      </c>
      <c r="K113" s="22">
        <f>Balaka!K113+Liwonde!K113+Machinga!K113+Ntaja!K113</f>
        <v>4897</v>
      </c>
      <c r="L113" s="22">
        <f>Balaka!L113+Liwonde!L113+Machinga!L113+Ntaja!L113</f>
        <v>4951</v>
      </c>
      <c r="M113" s="22">
        <f>Balaka!M113+Liwonde!M113+Machinga!M113+Ntaja!M113</f>
        <v>4980</v>
      </c>
      <c r="N113" s="22">
        <f>Balaka!N113+Liwonde!N113+Machinga!N113+Ntaja!N113</f>
        <v>5009</v>
      </c>
      <c r="O113" s="22">
        <f>Balaka!O113+Liwonde!O113+Machinga!O113+Ntaja!O113</f>
        <v>5040</v>
      </c>
      <c r="P113" s="28">
        <f>O113</f>
        <v>5040</v>
      </c>
    </row>
    <row r="114" spans="1:16" x14ac:dyDescent="0.3">
      <c r="A114" s="166" t="s">
        <v>200</v>
      </c>
      <c r="B114" s="167"/>
      <c r="C114" s="4" t="s">
        <v>3</v>
      </c>
      <c r="D114" s="22">
        <f>Balaka!D114+Liwonde!D114+Machinga!D114+Ntaja!D114</f>
        <v>202</v>
      </c>
      <c r="E114" s="22">
        <f>Balaka!E114+Liwonde!E114+Machinga!E114+Ntaja!E114</f>
        <v>201</v>
      </c>
      <c r="F114" s="22">
        <f>Balaka!F114+Liwonde!F114+Machinga!F114+Ntaja!F114</f>
        <v>141.30000000000001</v>
      </c>
      <c r="G114" s="22">
        <f>Balaka!G114+Liwonde!G114+Machinga!G114+Ntaja!G114</f>
        <v>134</v>
      </c>
      <c r="H114" s="22">
        <f>Balaka!H114+Liwonde!H114+Machinga!H114+Ntaja!H114</f>
        <v>156</v>
      </c>
      <c r="I114" s="22">
        <f>Balaka!I114+Liwonde!I114+Machinga!I114+Ntaja!I114</f>
        <v>156</v>
      </c>
      <c r="J114" s="22">
        <f>Balaka!J114+Liwonde!J114+Machinga!J114+Ntaja!J114</f>
        <v>157</v>
      </c>
      <c r="K114" s="22">
        <f>Balaka!K114+Liwonde!K114+Machinga!K114+Ntaja!K114</f>
        <v>157</v>
      </c>
      <c r="L114" s="22">
        <f>Balaka!L114+Liwonde!L114+Machinga!L114+Ntaja!L114</f>
        <v>158</v>
      </c>
      <c r="M114" s="22">
        <f>Balaka!M114+Liwonde!M114+Machinga!M114+Ntaja!M114</f>
        <v>158</v>
      </c>
      <c r="N114" s="22">
        <f>Balaka!N114+Liwonde!N114+Machinga!N114+Ntaja!N114</f>
        <v>158</v>
      </c>
      <c r="O114" s="22">
        <f>Balaka!O114+Liwonde!O114+Machinga!O114+Ntaja!O114</f>
        <v>147</v>
      </c>
      <c r="P114" s="28">
        <f>O114</f>
        <v>147</v>
      </c>
    </row>
    <row r="115" spans="1:16" x14ac:dyDescent="0.3">
      <c r="A115" s="166" t="s">
        <v>201</v>
      </c>
      <c r="B115" s="167"/>
      <c r="C115" s="4" t="s">
        <v>3</v>
      </c>
      <c r="D115" s="22">
        <f>Balaka!D115+Liwonde!D115+Machinga!D115+Ntaja!D115</f>
        <v>278</v>
      </c>
      <c r="E115" s="22">
        <f>Balaka!E115+Liwonde!E115+Machinga!E115+Ntaja!E115</f>
        <v>277</v>
      </c>
      <c r="F115" s="22">
        <f>Balaka!F115+Liwonde!F115+Machinga!F115+Ntaja!F115</f>
        <v>198.2</v>
      </c>
      <c r="G115" s="22">
        <f>Balaka!G115+Liwonde!G115+Machinga!G115+Ntaja!G115</f>
        <v>213.1</v>
      </c>
      <c r="H115" s="22">
        <f>Balaka!H115+Liwonde!H115+Machinga!H115+Ntaja!H115</f>
        <v>229</v>
      </c>
      <c r="I115" s="22">
        <f>Balaka!I115+Liwonde!I115+Machinga!I115+Ntaja!I115</f>
        <v>230</v>
      </c>
      <c r="J115" s="22">
        <f>Balaka!J115+Liwonde!J115+Machinga!J115+Ntaja!J115</f>
        <v>231</v>
      </c>
      <c r="K115" s="22">
        <f>Balaka!K115+Liwonde!K115+Machinga!K115+Ntaja!K115</f>
        <v>231</v>
      </c>
      <c r="L115" s="22">
        <f>Balaka!L115+Liwonde!L115+Machinga!L115+Ntaja!L115</f>
        <v>231</v>
      </c>
      <c r="M115" s="22">
        <f>Balaka!M115+Liwonde!M115+Machinga!M115+Ntaja!M115</f>
        <v>232</v>
      </c>
      <c r="N115" s="22">
        <f>Balaka!N115+Liwonde!N115+Machinga!N115+Ntaja!N115</f>
        <v>232</v>
      </c>
      <c r="O115" s="22">
        <f>Balaka!O115+Liwonde!O115+Machinga!O115+Ntaja!O115</f>
        <v>233</v>
      </c>
      <c r="P115" s="28">
        <f t="shared" ref="P115:P116" si="59">O115</f>
        <v>233</v>
      </c>
    </row>
    <row r="116" spans="1:16" x14ac:dyDescent="0.3">
      <c r="A116" s="166" t="s">
        <v>202</v>
      </c>
      <c r="B116" s="167"/>
      <c r="C116" s="4" t="s">
        <v>3</v>
      </c>
      <c r="D116" s="22">
        <f>Balaka!D116+Liwonde!D116+Machinga!D116+Ntaja!D116</f>
        <v>6</v>
      </c>
      <c r="E116" s="22">
        <f>Balaka!E116+Liwonde!E116+Machinga!E116+Ntaja!E116</f>
        <v>6</v>
      </c>
      <c r="F116" s="22">
        <f>Balaka!F116+Liwonde!F116+Machinga!F116+Ntaja!F116</f>
        <v>6</v>
      </c>
      <c r="G116" s="22">
        <f>Balaka!G116+Liwonde!G116+Machinga!G116+Ntaja!G116</f>
        <v>7</v>
      </c>
      <c r="H116" s="22">
        <f>Balaka!H116+Liwonde!H116+Machinga!H116+Ntaja!H116</f>
        <v>9</v>
      </c>
      <c r="I116" s="22">
        <f>Balaka!I116+Liwonde!I116+Machinga!I116+Ntaja!I116</f>
        <v>9</v>
      </c>
      <c r="J116" s="22">
        <f>Balaka!J116+Liwonde!J116+Machinga!J116+Ntaja!J116</f>
        <v>9</v>
      </c>
      <c r="K116" s="22">
        <f>Balaka!K116+Liwonde!K116+Machinga!K116+Ntaja!K116</f>
        <v>9</v>
      </c>
      <c r="L116" s="22">
        <f>Balaka!L116+Liwonde!L116+Machinga!L116+Ntaja!L116</f>
        <v>9</v>
      </c>
      <c r="M116" s="22">
        <f>Balaka!M116+Liwonde!M116+Machinga!M116+Ntaja!M116</f>
        <v>9</v>
      </c>
      <c r="N116" s="22">
        <f>Balaka!N116+Liwonde!N116+Machinga!N116+Ntaja!N116</f>
        <v>9</v>
      </c>
      <c r="O116" s="22">
        <f>Balaka!O116+Liwonde!O116+Machinga!O116+Ntaja!O116</f>
        <v>9</v>
      </c>
      <c r="P116" s="28">
        <f t="shared" si="59"/>
        <v>9</v>
      </c>
    </row>
    <row r="117" spans="1:16" x14ac:dyDescent="0.3">
      <c r="A117" s="168" t="s">
        <v>96</v>
      </c>
      <c r="B117" s="169"/>
      <c r="C117" s="4" t="s">
        <v>3</v>
      </c>
      <c r="D117" s="29">
        <f>SUM(D113:D116)</f>
        <v>4067</v>
      </c>
      <c r="E117" s="29">
        <f>SUM(E113:E116)</f>
        <v>4109</v>
      </c>
      <c r="F117" s="29">
        <f>SUM(F113:F116)</f>
        <v>4397.5</v>
      </c>
      <c r="G117" s="29">
        <f>SUM(G113:G116)</f>
        <v>4554.1000000000004</v>
      </c>
      <c r="H117" s="29">
        <f>SUM(H113:H116)</f>
        <v>4983</v>
      </c>
      <c r="I117" s="29">
        <f t="shared" ref="I117:O117" si="60">SUM(I113:I116)</f>
        <v>5291</v>
      </c>
      <c r="J117" s="29">
        <f t="shared" si="60"/>
        <v>5377</v>
      </c>
      <c r="K117" s="29">
        <f t="shared" si="60"/>
        <v>5294</v>
      </c>
      <c r="L117" s="29">
        <f t="shared" si="60"/>
        <v>5349</v>
      </c>
      <c r="M117" s="29">
        <f t="shared" si="60"/>
        <v>5379</v>
      </c>
      <c r="N117" s="29">
        <f t="shared" si="60"/>
        <v>5408</v>
      </c>
      <c r="O117" s="29">
        <f t="shared" si="60"/>
        <v>5429</v>
      </c>
      <c r="P117" s="50">
        <f t="shared" ref="P117" si="61">SUM(P113:P116)</f>
        <v>5429</v>
      </c>
    </row>
    <row r="118" spans="1:16" x14ac:dyDescent="0.3">
      <c r="A118" s="69" t="s">
        <v>193</v>
      </c>
      <c r="B118" s="70"/>
      <c r="C118" s="4" t="s">
        <v>3</v>
      </c>
      <c r="D118" s="29">
        <f>D111+D117</f>
        <v>10399</v>
      </c>
      <c r="E118" s="29">
        <f>E111+E117</f>
        <v>10373</v>
      </c>
      <c r="F118" s="29">
        <f>F111+F117</f>
        <v>10148.5</v>
      </c>
      <c r="G118" s="29">
        <f>G111+G117</f>
        <v>10482.1</v>
      </c>
      <c r="H118" s="29">
        <f>H111+H117</f>
        <v>10647</v>
      </c>
      <c r="I118" s="29">
        <f t="shared" ref="I118:P118" si="62">I111+I117</f>
        <v>10920</v>
      </c>
      <c r="J118" s="29">
        <f t="shared" si="62"/>
        <v>10960</v>
      </c>
      <c r="K118" s="29">
        <f t="shared" si="62"/>
        <v>10854</v>
      </c>
      <c r="L118" s="29">
        <f t="shared" si="62"/>
        <v>10954</v>
      </c>
      <c r="M118" s="29">
        <f t="shared" si="62"/>
        <v>10961</v>
      </c>
      <c r="N118" s="29">
        <f t="shared" si="62"/>
        <v>11070</v>
      </c>
      <c r="O118" s="29">
        <f t="shared" si="62"/>
        <v>11339</v>
      </c>
      <c r="P118" s="50">
        <f t="shared" si="62"/>
        <v>11339</v>
      </c>
    </row>
    <row r="119" spans="1:16" x14ac:dyDescent="0.3">
      <c r="A119" s="168" t="s">
        <v>194</v>
      </c>
      <c r="B119" s="169"/>
      <c r="C119" s="4" t="s">
        <v>3</v>
      </c>
      <c r="D119" s="29">
        <f>D118+D105</f>
        <v>14659</v>
      </c>
      <c r="E119" s="29">
        <f>E118+E105</f>
        <v>14718</v>
      </c>
      <c r="F119" s="29">
        <f>F118+F105</f>
        <v>14871.5</v>
      </c>
      <c r="G119" s="29">
        <f>G118+G105</f>
        <v>15277.1</v>
      </c>
      <c r="H119" s="29">
        <f>H118+H105</f>
        <v>15322</v>
      </c>
      <c r="I119" s="29">
        <f t="shared" ref="I119:P119" si="63">I118+I105</f>
        <v>15547</v>
      </c>
      <c r="J119" s="29">
        <f t="shared" si="63"/>
        <v>15637</v>
      </c>
      <c r="K119" s="29">
        <f t="shared" si="63"/>
        <v>15703</v>
      </c>
      <c r="L119" s="29">
        <f t="shared" si="63"/>
        <v>15788</v>
      </c>
      <c r="M119" s="29">
        <f t="shared" si="63"/>
        <v>15844</v>
      </c>
      <c r="N119" s="29">
        <f t="shared" si="63"/>
        <v>15910</v>
      </c>
      <c r="O119" s="29">
        <f t="shared" si="63"/>
        <v>16035</v>
      </c>
      <c r="P119" s="50">
        <f t="shared" si="63"/>
        <v>16035</v>
      </c>
    </row>
    <row r="120" spans="1:16" ht="14.4" x14ac:dyDescent="0.3">
      <c r="A120" s="201" t="s">
        <v>203</v>
      </c>
      <c r="B120" s="202"/>
      <c r="C120" s="202"/>
      <c r="D120" s="202"/>
      <c r="E120" s="202"/>
      <c r="F120" s="202"/>
      <c r="G120" s="202"/>
      <c r="H120" s="202"/>
      <c r="I120" s="202"/>
      <c r="J120" s="202"/>
      <c r="K120" s="202"/>
      <c r="L120" s="202"/>
      <c r="M120" s="202"/>
      <c r="N120" s="202"/>
      <c r="O120" s="202"/>
      <c r="P120" s="203"/>
    </row>
    <row r="121" spans="1:16" x14ac:dyDescent="0.3">
      <c r="A121" s="166" t="s">
        <v>95</v>
      </c>
      <c r="B121" s="167"/>
      <c r="C121" s="4" t="s">
        <v>3</v>
      </c>
      <c r="D121" s="22">
        <f>Balaka!D121+Liwonde!D121+Machinga!D121+Ntaja!D121</f>
        <v>80562</v>
      </c>
      <c r="E121" s="22">
        <f>Balaka!E121+Liwonde!E121+Machinga!E121+Ntaja!E121</f>
        <v>80734</v>
      </c>
      <c r="F121" s="22">
        <f>Balaka!F121+Liwonde!F121+Machinga!F121+Ntaja!F121</f>
        <v>80899</v>
      </c>
      <c r="G121" s="22">
        <f>Balaka!G121+Liwonde!G121+Machinga!G121+Ntaja!G121</f>
        <v>81356.03</v>
      </c>
      <c r="H121" s="22">
        <f>Balaka!H121+Liwonde!H121+Machinga!H121+Ntaja!H121</f>
        <v>81696.709999999992</v>
      </c>
      <c r="I121" s="22">
        <f>Balaka!I121+Liwonde!I121+Machinga!I121+Ntaja!I121</f>
        <v>82051.03</v>
      </c>
      <c r="J121" s="22">
        <f>Balaka!J121+Liwonde!J121+Machinga!J121+Ntaja!J121</f>
        <v>82634.210000000006</v>
      </c>
      <c r="K121" s="22">
        <f>Balaka!K121+Liwonde!K121+Machinga!K121+Ntaja!K121</f>
        <v>83460.875299999985</v>
      </c>
      <c r="L121" s="22">
        <f>Balaka!L121+Liwonde!L121+Machinga!L121+Ntaja!L121</f>
        <v>94743.44</v>
      </c>
      <c r="M121" s="22">
        <f>Balaka!M121+Liwonde!M121+Machinga!M121+Ntaja!M121</f>
        <v>95216</v>
      </c>
      <c r="N121" s="22">
        <f>Balaka!N121+Liwonde!N121+Machinga!N121+Ntaja!N121</f>
        <v>96036.84</v>
      </c>
      <c r="O121" s="22">
        <f>Balaka!O121+Liwonde!O121+Machinga!O121+Ntaja!O121</f>
        <v>96996</v>
      </c>
      <c r="P121" s="27">
        <f>O121</f>
        <v>96996</v>
      </c>
    </row>
    <row r="122" spans="1:16" x14ac:dyDescent="0.3">
      <c r="A122" s="166" t="s">
        <v>94</v>
      </c>
      <c r="B122" s="167"/>
      <c r="C122" s="4" t="s">
        <v>3</v>
      </c>
      <c r="D122" s="22">
        <f>Balaka!D122+Liwonde!D122+Machinga!D122+Ntaja!D122</f>
        <v>69401.399999999994</v>
      </c>
      <c r="E122" s="22">
        <f>Balaka!E122+Liwonde!E122+Machinga!E122+Ntaja!E122</f>
        <v>68723</v>
      </c>
      <c r="F122" s="22">
        <f>Balaka!F122+Liwonde!F122+Machinga!F122+Ntaja!F122</f>
        <v>69553.150000000009</v>
      </c>
      <c r="G122" s="22">
        <f>Balaka!G122+Liwonde!G122+Machinga!G122+Ntaja!G122</f>
        <v>70145.23000000001</v>
      </c>
      <c r="H122" s="22">
        <f>Balaka!H122+Liwonde!H122+Machinga!H122+Ntaja!H122</f>
        <v>71137.78</v>
      </c>
      <c r="I122" s="22">
        <f>Balaka!I122+Liwonde!I122+Machinga!I122+Ntaja!I122</f>
        <v>72033.790000000008</v>
      </c>
      <c r="J122" s="22">
        <f>Balaka!J122+Liwonde!J122+Machinga!J122+Ntaja!J122</f>
        <v>73363.789999999994</v>
      </c>
      <c r="K122" s="22">
        <f>Balaka!K122+Liwonde!K122+Machinga!K122+Ntaja!K122</f>
        <v>75125.00089000001</v>
      </c>
      <c r="L122" s="22">
        <f>Balaka!L122+Liwonde!L122+Machinga!L122+Ntaja!L122</f>
        <v>80593.760000000009</v>
      </c>
      <c r="M122" s="22">
        <f>Balaka!M122+Liwonde!M122+Machinga!M122+Ntaja!M122</f>
        <v>80994</v>
      </c>
      <c r="N122" s="22">
        <f>Balaka!N122+Liwonde!N122+Machinga!N122+Ntaja!N122</f>
        <v>81716.88</v>
      </c>
      <c r="O122" s="22">
        <f>Balaka!O122+Liwonde!O122+Machinga!O122+Ntaja!O122</f>
        <v>82532</v>
      </c>
      <c r="P122" s="27">
        <f>O122</f>
        <v>82532</v>
      </c>
    </row>
    <row r="123" spans="1:16" x14ac:dyDescent="0.3">
      <c r="A123" s="204" t="s">
        <v>93</v>
      </c>
      <c r="B123" s="205"/>
      <c r="C123" s="26" t="s">
        <v>6</v>
      </c>
      <c r="D123" s="25">
        <f t="shared" ref="D123:P123" si="64">D122/D121</f>
        <v>0.86146570343338047</v>
      </c>
      <c r="E123" s="25">
        <f t="shared" si="64"/>
        <v>0.85122748779944013</v>
      </c>
      <c r="F123" s="25">
        <f t="shared" si="64"/>
        <v>0.85975290176640018</v>
      </c>
      <c r="G123" s="25">
        <f t="shared" si="64"/>
        <v>0.86220074897951648</v>
      </c>
      <c r="H123" s="25">
        <f t="shared" si="64"/>
        <v>0.8707545261002555</v>
      </c>
      <c r="I123" s="25">
        <f t="shared" si="64"/>
        <v>0.87791451246864305</v>
      </c>
      <c r="J123" s="25">
        <f t="shared" si="64"/>
        <v>0.88781377591677813</v>
      </c>
      <c r="K123" s="25">
        <f t="shared" si="64"/>
        <v>0.90012237015204211</v>
      </c>
      <c r="L123" s="25">
        <f t="shared" si="64"/>
        <v>0.85065266787864158</v>
      </c>
      <c r="M123" s="25">
        <f t="shared" si="64"/>
        <v>0.85063434716854314</v>
      </c>
      <c r="N123" s="25">
        <f t="shared" si="64"/>
        <v>0.85089097059003616</v>
      </c>
      <c r="O123" s="25">
        <f t="shared" si="64"/>
        <v>0.85088044867829604</v>
      </c>
      <c r="P123" s="97">
        <f t="shared" si="64"/>
        <v>0.85088044867829604</v>
      </c>
    </row>
    <row r="124" spans="1:16" ht="14.4" x14ac:dyDescent="0.3">
      <c r="A124" s="227" t="s">
        <v>92</v>
      </c>
      <c r="B124" s="228"/>
      <c r="C124" s="228"/>
      <c r="D124" s="228"/>
      <c r="E124" s="228"/>
      <c r="F124" s="228"/>
      <c r="G124" s="228"/>
      <c r="H124" s="228"/>
      <c r="I124" s="228"/>
      <c r="J124" s="228"/>
      <c r="K124" s="228"/>
      <c r="L124" s="228"/>
      <c r="M124" s="228"/>
      <c r="N124" s="228"/>
      <c r="O124" s="228"/>
      <c r="P124" s="229"/>
    </row>
    <row r="125" spans="1:16" x14ac:dyDescent="0.3">
      <c r="A125" s="163" t="s">
        <v>91</v>
      </c>
      <c r="B125" s="21" t="s">
        <v>85</v>
      </c>
      <c r="C125" s="4" t="s">
        <v>3</v>
      </c>
      <c r="D125" s="125">
        <f>Balaka!D125+Liwonde!D125+Machinga!D125+Ntaja!D125</f>
        <v>0</v>
      </c>
      <c r="E125" s="125">
        <f>Balaka!E125+Liwonde!E125+Machinga!E125+Ntaja!E125</f>
        <v>0</v>
      </c>
      <c r="F125" s="125">
        <f>Balaka!F125+Liwonde!F125+Machinga!F125+Ntaja!F125</f>
        <v>0</v>
      </c>
      <c r="G125" s="125">
        <f>Balaka!G125+Liwonde!G125+Machinga!G125+Ntaja!G125</f>
        <v>0</v>
      </c>
      <c r="H125" s="125">
        <f>Balaka!H125+Liwonde!H125+Machinga!H125+Ntaja!H125</f>
        <v>0</v>
      </c>
      <c r="I125" s="125">
        <f>Balaka!I125+Liwonde!I125+Machinga!I125+Ntaja!I125</f>
        <v>0</v>
      </c>
      <c r="J125" s="125">
        <f>Balaka!J125+Liwonde!J125+Machinga!J125+Ntaja!J125</f>
        <v>0</v>
      </c>
      <c r="K125" s="125">
        <f>Balaka!K125+Liwonde!K125+Machinga!K125+Ntaja!K125</f>
        <v>0</v>
      </c>
      <c r="L125" s="125">
        <f>Balaka!L125+Liwonde!L125+Machinga!L125+Ntaja!L125</f>
        <v>0</v>
      </c>
      <c r="M125" s="125">
        <f>Balaka!M125+Liwonde!M125+Machinga!M125+Ntaja!M125</f>
        <v>0</v>
      </c>
      <c r="N125" s="125">
        <f>Balaka!N125+Liwonde!N125+Machinga!N125+Ntaja!N125</f>
        <v>0</v>
      </c>
      <c r="O125" s="125">
        <f>Balaka!O125+Liwonde!O125+Machinga!O125+Ntaja!O125</f>
        <v>0</v>
      </c>
      <c r="P125" s="31">
        <f>D125</f>
        <v>0</v>
      </c>
    </row>
    <row r="126" spans="1:16" x14ac:dyDescent="0.3">
      <c r="A126" s="164"/>
      <c r="B126" s="21" t="s">
        <v>84</v>
      </c>
      <c r="C126" s="4" t="s">
        <v>3</v>
      </c>
      <c r="D126" s="125">
        <f>Balaka!D126+Liwonde!D126+Machinga!D126+Ntaja!D126</f>
        <v>0</v>
      </c>
      <c r="E126" s="125">
        <f>Balaka!E126+Liwonde!E126+Machinga!E126+Ntaja!E126</f>
        <v>0</v>
      </c>
      <c r="F126" s="125">
        <f>Balaka!F126+Liwonde!F126+Machinga!F126+Ntaja!F126</f>
        <v>0</v>
      </c>
      <c r="G126" s="125">
        <f>Balaka!G126+Liwonde!G126+Machinga!G126+Ntaja!G126</f>
        <v>0</v>
      </c>
      <c r="H126" s="125">
        <f>Balaka!H126+Liwonde!H126+Machinga!H126+Ntaja!H126</f>
        <v>0</v>
      </c>
      <c r="I126" s="125">
        <f>Balaka!I126+Liwonde!I126+Machinga!I126+Ntaja!I126</f>
        <v>0</v>
      </c>
      <c r="J126" s="125">
        <f>Balaka!J126+Liwonde!J126+Machinga!J126+Ntaja!J126</f>
        <v>0</v>
      </c>
      <c r="K126" s="125">
        <f>Balaka!K126+Liwonde!K126+Machinga!K126+Ntaja!K126</f>
        <v>0</v>
      </c>
      <c r="L126" s="125">
        <f>Balaka!L126+Liwonde!L126+Machinga!L126+Ntaja!L126</f>
        <v>0</v>
      </c>
      <c r="M126" s="125">
        <f>Balaka!M126+Liwonde!M126+Machinga!M126+Ntaja!M126</f>
        <v>0</v>
      </c>
      <c r="N126" s="125">
        <f>Balaka!N126+Liwonde!N126+Machinga!N126+Ntaja!N126</f>
        <v>0</v>
      </c>
      <c r="O126" s="125">
        <f>Balaka!O126+Liwonde!O126+Machinga!O126+Ntaja!O126</f>
        <v>0</v>
      </c>
      <c r="P126" s="31">
        <f>SUM(D126:O126)</f>
        <v>0</v>
      </c>
    </row>
    <row r="127" spans="1:16" x14ac:dyDescent="0.3">
      <c r="A127" s="164"/>
      <c r="B127" s="71" t="s">
        <v>88</v>
      </c>
      <c r="C127" s="4" t="s">
        <v>3</v>
      </c>
      <c r="D127" s="125">
        <f>Balaka!D127+Liwonde!D127+Machinga!D127+Ntaja!D127</f>
        <v>0</v>
      </c>
      <c r="E127" s="125">
        <f>Balaka!E127+Liwonde!E127+Machinga!E127+Ntaja!E127</f>
        <v>0</v>
      </c>
      <c r="F127" s="125">
        <f>Balaka!F127+Liwonde!F127+Machinga!F127+Ntaja!F127</f>
        <v>0</v>
      </c>
      <c r="G127" s="125">
        <f>Balaka!G127+Liwonde!G127+Machinga!G127+Ntaja!G127</f>
        <v>0</v>
      </c>
      <c r="H127" s="125">
        <f>Balaka!H127+Liwonde!H127+Machinga!H127+Ntaja!H127</f>
        <v>0</v>
      </c>
      <c r="I127" s="125">
        <f>Balaka!I127+Liwonde!I127+Machinga!I127+Ntaja!I127</f>
        <v>0</v>
      </c>
      <c r="J127" s="125">
        <f>Balaka!J127+Liwonde!J127+Machinga!J127+Ntaja!J127</f>
        <v>0</v>
      </c>
      <c r="K127" s="125">
        <f>Balaka!K127+Liwonde!K127+Machinga!K127+Ntaja!K127</f>
        <v>0</v>
      </c>
      <c r="L127" s="125">
        <f>Balaka!L127+Liwonde!L127+Machinga!L127+Ntaja!L127</f>
        <v>0</v>
      </c>
      <c r="M127" s="125">
        <f>Balaka!M127+Liwonde!M127+Machinga!M127+Ntaja!M127</f>
        <v>0</v>
      </c>
      <c r="N127" s="125">
        <f>Balaka!N127+Liwonde!N127+Machinga!N127+Ntaja!N127</f>
        <v>0</v>
      </c>
      <c r="O127" s="125">
        <f>Balaka!O127+Liwonde!O127+Machinga!O127+Ntaja!O127</f>
        <v>0</v>
      </c>
      <c r="P127" s="31">
        <f>SUM(D127:O127)</f>
        <v>0</v>
      </c>
    </row>
    <row r="128" spans="1:16" x14ac:dyDescent="0.3">
      <c r="A128" s="164"/>
      <c r="B128" s="21" t="s">
        <v>82</v>
      </c>
      <c r="C128" s="4" t="s">
        <v>3</v>
      </c>
      <c r="D128" s="125">
        <f>Balaka!D128+Liwonde!D128+Machinga!D128+Ntaja!D128</f>
        <v>0</v>
      </c>
      <c r="E128" s="125">
        <f>Balaka!E128+Liwonde!E128+Machinga!E128+Ntaja!E128</f>
        <v>0</v>
      </c>
      <c r="F128" s="125">
        <f>Balaka!F128+Liwonde!F128+Machinga!F128+Ntaja!F128</f>
        <v>0</v>
      </c>
      <c r="G128" s="125">
        <f>Balaka!G128+Liwonde!G128+Machinga!G128+Ntaja!G128</f>
        <v>0</v>
      </c>
      <c r="H128" s="125">
        <f>Balaka!H128+Liwonde!H128+Machinga!H128+Ntaja!H128</f>
        <v>0</v>
      </c>
      <c r="I128" s="125">
        <f>Balaka!I128+Liwonde!I128+Machinga!I128+Ntaja!I128</f>
        <v>0</v>
      </c>
      <c r="J128" s="125">
        <f>Balaka!J128+Liwonde!J128+Machinga!J128+Ntaja!J128</f>
        <v>0</v>
      </c>
      <c r="K128" s="125">
        <f>Balaka!K128+Liwonde!K128+Machinga!K128+Ntaja!K128</f>
        <v>0</v>
      </c>
      <c r="L128" s="125">
        <f>Balaka!L128+Liwonde!L128+Machinga!L128+Ntaja!L128</f>
        <v>0</v>
      </c>
      <c r="M128" s="125">
        <f>Balaka!M128+Liwonde!M128+Machinga!M128+Ntaja!M128</f>
        <v>0</v>
      </c>
      <c r="N128" s="125">
        <f>Balaka!N128+Liwonde!N128+Machinga!N128+Ntaja!N128</f>
        <v>0</v>
      </c>
      <c r="O128" s="125">
        <f>Balaka!O128+Liwonde!O128+Machinga!O128+Ntaja!O128</f>
        <v>0</v>
      </c>
      <c r="P128" s="31">
        <f>SUM(D128:O128)</f>
        <v>0</v>
      </c>
    </row>
    <row r="129" spans="1:16" x14ac:dyDescent="0.3">
      <c r="A129" s="165"/>
      <c r="B129" s="21" t="s">
        <v>81</v>
      </c>
      <c r="C129" s="4" t="s">
        <v>3</v>
      </c>
      <c r="D129" s="123">
        <f>D125+D126-D127-D128</f>
        <v>0</v>
      </c>
      <c r="E129" s="123">
        <f>E125+E126-E127-E128</f>
        <v>0</v>
      </c>
      <c r="F129" s="123">
        <f>F125+F126-F127-F128</f>
        <v>0</v>
      </c>
      <c r="G129" s="123">
        <f>G125+G126-G127-G128</f>
        <v>0</v>
      </c>
      <c r="H129" s="123">
        <f>H125+H126-H127-H128</f>
        <v>0</v>
      </c>
      <c r="I129" s="123">
        <f t="shared" ref="I129:O129" si="65">I125+I126-I127-I128</f>
        <v>0</v>
      </c>
      <c r="J129" s="123">
        <f t="shared" si="65"/>
        <v>0</v>
      </c>
      <c r="K129" s="123">
        <f t="shared" si="65"/>
        <v>0</v>
      </c>
      <c r="L129" s="123">
        <f t="shared" si="65"/>
        <v>0</v>
      </c>
      <c r="M129" s="123">
        <f t="shared" si="65"/>
        <v>0</v>
      </c>
      <c r="N129" s="123">
        <f t="shared" si="65"/>
        <v>0</v>
      </c>
      <c r="O129" s="123">
        <f t="shared" si="65"/>
        <v>0</v>
      </c>
      <c r="P129" s="31">
        <f>P125+P126-P127-P128</f>
        <v>0</v>
      </c>
    </row>
    <row r="130" spans="1:16" ht="26.4" x14ac:dyDescent="0.3">
      <c r="A130" s="163" t="s">
        <v>90</v>
      </c>
      <c r="B130" s="24" t="s">
        <v>85</v>
      </c>
      <c r="C130" s="23" t="s">
        <v>3</v>
      </c>
      <c r="D130" s="125">
        <f>Balaka!D130+Liwonde!D130+Machinga!D130+Ntaja!D130</f>
        <v>0</v>
      </c>
      <c r="E130" s="125">
        <f>Balaka!E130+Liwonde!E130+Machinga!E130+Ntaja!E130</f>
        <v>0</v>
      </c>
      <c r="F130" s="125">
        <f>Balaka!F130+Liwonde!F130+Machinga!F130+Ntaja!F130</f>
        <v>0</v>
      </c>
      <c r="G130" s="125">
        <f>Balaka!G130+Liwonde!G130+Machinga!G130+Ntaja!G130</f>
        <v>0</v>
      </c>
      <c r="H130" s="125">
        <f>Balaka!H130+Liwonde!H130+Machinga!H130+Ntaja!H130</f>
        <v>0</v>
      </c>
      <c r="I130" s="125">
        <f>Balaka!I130+Liwonde!I130+Machinga!I130+Ntaja!I130</f>
        <v>0</v>
      </c>
      <c r="J130" s="125">
        <f>Balaka!J130+Liwonde!J130+Machinga!J130+Ntaja!J130</f>
        <v>0</v>
      </c>
      <c r="K130" s="125">
        <f>Balaka!K130+Liwonde!K130+Machinga!K130+Ntaja!K130</f>
        <v>0</v>
      </c>
      <c r="L130" s="125">
        <f>Balaka!L130+Liwonde!L130+Machinga!L130+Ntaja!L130</f>
        <v>0</v>
      </c>
      <c r="M130" s="125">
        <f>Balaka!M130+Liwonde!M130+Machinga!M130+Ntaja!M130</f>
        <v>0</v>
      </c>
      <c r="N130" s="125">
        <f>Balaka!N130+Liwonde!N130+Machinga!N130+Ntaja!N130</f>
        <v>0</v>
      </c>
      <c r="O130" s="125">
        <f>Balaka!O130+Liwonde!O130+Machinga!O130+Ntaja!O130</f>
        <v>0</v>
      </c>
      <c r="P130" s="31">
        <f>D130</f>
        <v>0</v>
      </c>
    </row>
    <row r="131" spans="1:16" x14ac:dyDescent="0.3">
      <c r="A131" s="164"/>
      <c r="B131" s="21" t="s">
        <v>84</v>
      </c>
      <c r="C131" s="4" t="s">
        <v>3</v>
      </c>
      <c r="D131" s="125">
        <f>Balaka!D131+Liwonde!D131+Machinga!D131+Ntaja!D131</f>
        <v>0</v>
      </c>
      <c r="E131" s="125">
        <f>Balaka!E131+Liwonde!E131+Machinga!E131+Ntaja!E131</f>
        <v>0</v>
      </c>
      <c r="F131" s="125">
        <f>Balaka!F131+Liwonde!F131+Machinga!F131+Ntaja!F131</f>
        <v>0</v>
      </c>
      <c r="G131" s="125">
        <f>Balaka!G131+Liwonde!G131+Machinga!G131+Ntaja!G131</f>
        <v>0</v>
      </c>
      <c r="H131" s="125">
        <f>Balaka!H131+Liwonde!H131+Machinga!H131+Ntaja!H131</f>
        <v>1</v>
      </c>
      <c r="I131" s="125">
        <f>Balaka!I131+Liwonde!I131+Machinga!I131+Ntaja!I131</f>
        <v>0</v>
      </c>
      <c r="J131" s="125">
        <f>Balaka!J131+Liwonde!J131+Machinga!J131+Ntaja!J131</f>
        <v>0</v>
      </c>
      <c r="K131" s="125">
        <f>Balaka!K131+Liwonde!K131+Machinga!K131+Ntaja!K131</f>
        <v>0</v>
      </c>
      <c r="L131" s="125">
        <f>Balaka!L131+Liwonde!L131+Machinga!L131+Ntaja!L131</f>
        <v>0</v>
      </c>
      <c r="M131" s="125">
        <f>Balaka!M131+Liwonde!M131+Machinga!M131+Ntaja!M131</f>
        <v>0</v>
      </c>
      <c r="N131" s="125">
        <f>Balaka!N131+Liwonde!N131+Machinga!N131+Ntaja!N131</f>
        <v>0</v>
      </c>
      <c r="O131" s="125">
        <f>Balaka!O131+Liwonde!O131+Machinga!O131+Ntaja!O131</f>
        <v>0</v>
      </c>
      <c r="P131" s="31">
        <f>SUM(D131:O131)</f>
        <v>1</v>
      </c>
    </row>
    <row r="132" spans="1:16" x14ac:dyDescent="0.3">
      <c r="A132" s="164"/>
      <c r="B132" s="71" t="s">
        <v>88</v>
      </c>
      <c r="C132" s="4" t="s">
        <v>3</v>
      </c>
      <c r="D132" s="125">
        <f>Balaka!D132+Liwonde!D132+Machinga!D132+Ntaja!D132</f>
        <v>0</v>
      </c>
      <c r="E132" s="125">
        <f>Balaka!E132+Liwonde!E132+Machinga!E132+Ntaja!E132</f>
        <v>0</v>
      </c>
      <c r="F132" s="125">
        <f>Balaka!F132+Liwonde!F132+Machinga!F132+Ntaja!F132</f>
        <v>0</v>
      </c>
      <c r="G132" s="125">
        <f>Balaka!G132+Liwonde!G132+Machinga!G132+Ntaja!G132</f>
        <v>0</v>
      </c>
      <c r="H132" s="125">
        <f>Balaka!H132+Liwonde!H132+Machinga!H132+Ntaja!H132</f>
        <v>0</v>
      </c>
      <c r="I132" s="125">
        <f>Balaka!I132+Liwonde!I132+Machinga!I132+Ntaja!I132</f>
        <v>0</v>
      </c>
      <c r="J132" s="125">
        <f>Balaka!J132+Liwonde!J132+Machinga!J132+Ntaja!J132</f>
        <v>0</v>
      </c>
      <c r="K132" s="125">
        <f>Balaka!K132+Liwonde!K132+Machinga!K132+Ntaja!K132</f>
        <v>0</v>
      </c>
      <c r="L132" s="125">
        <f>Balaka!L132+Liwonde!L132+Machinga!L132+Ntaja!L132</f>
        <v>0</v>
      </c>
      <c r="M132" s="125">
        <f>Balaka!M132+Liwonde!M132+Machinga!M132+Ntaja!M132</f>
        <v>0</v>
      </c>
      <c r="N132" s="125">
        <f>Balaka!N132+Liwonde!N132+Machinga!N132+Ntaja!N132</f>
        <v>0</v>
      </c>
      <c r="O132" s="125">
        <f>Balaka!O132+Liwonde!O132+Machinga!O132+Ntaja!O132</f>
        <v>0</v>
      </c>
      <c r="P132" s="31">
        <f>SUM(D132:O132)</f>
        <v>0</v>
      </c>
    </row>
    <row r="133" spans="1:16" x14ac:dyDescent="0.3">
      <c r="A133" s="164"/>
      <c r="B133" s="21" t="s">
        <v>82</v>
      </c>
      <c r="C133" s="4" t="s">
        <v>3</v>
      </c>
      <c r="D133" s="125">
        <f>Balaka!D133+Liwonde!D133+Machinga!D133+Ntaja!D133</f>
        <v>0</v>
      </c>
      <c r="E133" s="125">
        <f>Balaka!E133+Liwonde!E133+Machinga!E133+Ntaja!E133</f>
        <v>0</v>
      </c>
      <c r="F133" s="125">
        <f>Balaka!F133+Liwonde!F133+Machinga!F133+Ntaja!F133</f>
        <v>0</v>
      </c>
      <c r="G133" s="125">
        <f>Balaka!G133+Liwonde!G133+Machinga!G133+Ntaja!G133</f>
        <v>0</v>
      </c>
      <c r="H133" s="125">
        <f>Balaka!H133+Liwonde!H133+Machinga!H133+Ntaja!H133</f>
        <v>1</v>
      </c>
      <c r="I133" s="125">
        <f>Balaka!I133+Liwonde!I133+Machinga!I133+Ntaja!I133</f>
        <v>0</v>
      </c>
      <c r="J133" s="125">
        <f>Balaka!J133+Liwonde!J133+Machinga!J133+Ntaja!J133</f>
        <v>0</v>
      </c>
      <c r="K133" s="125">
        <f>Balaka!K133+Liwonde!K133+Machinga!K133+Ntaja!K133</f>
        <v>0</v>
      </c>
      <c r="L133" s="125">
        <f>Balaka!L133+Liwonde!L133+Machinga!L133+Ntaja!L133</f>
        <v>0</v>
      </c>
      <c r="M133" s="125">
        <f>Balaka!M133+Liwonde!M133+Machinga!M133+Ntaja!M133</f>
        <v>0</v>
      </c>
      <c r="N133" s="125">
        <f>Balaka!N133+Liwonde!N133+Machinga!N133+Ntaja!N133</f>
        <v>0</v>
      </c>
      <c r="O133" s="125">
        <f>Balaka!O133+Liwonde!O133+Machinga!O133+Ntaja!O133</f>
        <v>0</v>
      </c>
      <c r="P133" s="31">
        <f>SUM(D133:O133)</f>
        <v>1</v>
      </c>
    </row>
    <row r="134" spans="1:16" x14ac:dyDescent="0.3">
      <c r="A134" s="165"/>
      <c r="B134" s="21" t="s">
        <v>81</v>
      </c>
      <c r="C134" s="4" t="s">
        <v>3</v>
      </c>
      <c r="D134" s="123">
        <f>D130+D131-D132-D133</f>
        <v>0</v>
      </c>
      <c r="E134" s="123">
        <f>E130+E131-E132-E133</f>
        <v>0</v>
      </c>
      <c r="F134" s="123">
        <f>F130+F131-F132-F133</f>
        <v>0</v>
      </c>
      <c r="G134" s="123">
        <f>G130+G131-G132-G133</f>
        <v>0</v>
      </c>
      <c r="H134" s="123">
        <f>H130+H131-H132-H133</f>
        <v>0</v>
      </c>
      <c r="I134" s="123">
        <f t="shared" ref="I134:O134" si="66">I130+I131-I132-I133</f>
        <v>0</v>
      </c>
      <c r="J134" s="123">
        <f t="shared" si="66"/>
        <v>0</v>
      </c>
      <c r="K134" s="123">
        <f t="shared" si="66"/>
        <v>0</v>
      </c>
      <c r="L134" s="123">
        <f t="shared" si="66"/>
        <v>0</v>
      </c>
      <c r="M134" s="123">
        <f t="shared" si="66"/>
        <v>0</v>
      </c>
      <c r="N134" s="123">
        <f t="shared" si="66"/>
        <v>0</v>
      </c>
      <c r="O134" s="123">
        <f t="shared" si="66"/>
        <v>0</v>
      </c>
      <c r="P134" s="31">
        <f>P130+P131-P132-P133</f>
        <v>0</v>
      </c>
    </row>
    <row r="135" spans="1:16" x14ac:dyDescent="0.3">
      <c r="A135" s="163" t="s">
        <v>89</v>
      </c>
      <c r="B135" s="21" t="s">
        <v>85</v>
      </c>
      <c r="C135" s="4" t="s">
        <v>3</v>
      </c>
      <c r="D135" s="125">
        <f>Balaka!D135+Liwonde!D135+Machinga!D135+Ntaja!D135</f>
        <v>0</v>
      </c>
      <c r="E135" s="125">
        <f>Balaka!E135+Liwonde!E135+Machinga!E135+Ntaja!E135</f>
        <v>0</v>
      </c>
      <c r="F135" s="125">
        <f>Balaka!F135+Liwonde!F135+Machinga!F135+Ntaja!F135</f>
        <v>0</v>
      </c>
      <c r="G135" s="125">
        <f>Balaka!G135+Liwonde!G135+Machinga!G135+Ntaja!G135</f>
        <v>0</v>
      </c>
      <c r="H135" s="125">
        <f>Balaka!H135+Liwonde!H135+Machinga!H135+Ntaja!H135</f>
        <v>0</v>
      </c>
      <c r="I135" s="125">
        <f>Balaka!I135+Liwonde!I135+Machinga!I135+Ntaja!I135</f>
        <v>0</v>
      </c>
      <c r="J135" s="125">
        <f>Balaka!J135+Liwonde!J135+Machinga!J135+Ntaja!J135</f>
        <v>0</v>
      </c>
      <c r="K135" s="125">
        <f>Balaka!K135+Liwonde!K135+Machinga!K135+Ntaja!K135</f>
        <v>0</v>
      </c>
      <c r="L135" s="125">
        <f>Balaka!L135+Liwonde!L135+Machinga!L135+Ntaja!L135</f>
        <v>0</v>
      </c>
      <c r="M135" s="125">
        <f>Balaka!M135+Liwonde!M135+Machinga!M135+Ntaja!M135</f>
        <v>0</v>
      </c>
      <c r="N135" s="125">
        <f>Balaka!N135+Liwonde!N135+Machinga!N135+Ntaja!N135</f>
        <v>0</v>
      </c>
      <c r="O135" s="125">
        <f>Balaka!O135+Liwonde!O135+Machinga!O135+Ntaja!O135</f>
        <v>0</v>
      </c>
      <c r="P135" s="31">
        <f>D135</f>
        <v>0</v>
      </c>
    </row>
    <row r="136" spans="1:16" x14ac:dyDescent="0.3">
      <c r="A136" s="164"/>
      <c r="B136" s="21" t="s">
        <v>84</v>
      </c>
      <c r="C136" s="4" t="s">
        <v>3</v>
      </c>
      <c r="D136" s="125">
        <f>Balaka!D136+Liwonde!D136+Machinga!D136+Ntaja!D136</f>
        <v>0</v>
      </c>
      <c r="E136" s="125">
        <f>Balaka!E136+Liwonde!E136+Machinga!E136+Ntaja!E136</f>
        <v>0</v>
      </c>
      <c r="F136" s="125">
        <f>Balaka!F136+Liwonde!F136+Machinga!F136+Ntaja!F136</f>
        <v>0</v>
      </c>
      <c r="G136" s="125">
        <f>Balaka!G136+Liwonde!G136+Machinga!G136+Ntaja!G136</f>
        <v>0</v>
      </c>
      <c r="H136" s="125">
        <f>Balaka!H136+Liwonde!H136+Machinga!H136+Ntaja!H136</f>
        <v>0</v>
      </c>
      <c r="I136" s="125">
        <f>Balaka!I136+Liwonde!I136+Machinga!I136+Ntaja!I136</f>
        <v>0</v>
      </c>
      <c r="J136" s="125">
        <f>Balaka!J136+Liwonde!J136+Machinga!J136+Ntaja!J136</f>
        <v>0</v>
      </c>
      <c r="K136" s="125">
        <f>Balaka!K136+Liwonde!K136+Machinga!K136+Ntaja!K136</f>
        <v>0</v>
      </c>
      <c r="L136" s="125">
        <f>Balaka!L136+Liwonde!L136+Machinga!L136+Ntaja!L136</f>
        <v>0</v>
      </c>
      <c r="M136" s="125">
        <f>Balaka!M136+Liwonde!M136+Machinga!M136+Ntaja!M136</f>
        <v>0</v>
      </c>
      <c r="N136" s="125">
        <f>Balaka!N136+Liwonde!N136+Machinga!N136+Ntaja!N136</f>
        <v>0</v>
      </c>
      <c r="O136" s="125">
        <f>Balaka!O136+Liwonde!O136+Machinga!O136+Ntaja!O136</f>
        <v>0</v>
      </c>
      <c r="P136" s="31">
        <f>SUM(D136:O136)</f>
        <v>0</v>
      </c>
    </row>
    <row r="137" spans="1:16" x14ac:dyDescent="0.3">
      <c r="A137" s="164"/>
      <c r="B137" s="71" t="s">
        <v>88</v>
      </c>
      <c r="C137" s="4" t="s">
        <v>3</v>
      </c>
      <c r="D137" s="125">
        <f>Balaka!D137+Liwonde!D137+Machinga!D137+Ntaja!D137</f>
        <v>0</v>
      </c>
      <c r="E137" s="125">
        <f>Balaka!E137+Liwonde!E137+Machinga!E137+Ntaja!E137</f>
        <v>0</v>
      </c>
      <c r="F137" s="125">
        <f>Balaka!F137+Liwonde!F137+Machinga!F137+Ntaja!F137</f>
        <v>0</v>
      </c>
      <c r="G137" s="125">
        <f>Balaka!G137+Liwonde!G137+Machinga!G137+Ntaja!G137</f>
        <v>0</v>
      </c>
      <c r="H137" s="125">
        <f>Balaka!H137+Liwonde!H137+Machinga!H137+Ntaja!H137</f>
        <v>0</v>
      </c>
      <c r="I137" s="125">
        <f>Balaka!I137+Liwonde!I137+Machinga!I137+Ntaja!I137</f>
        <v>0</v>
      </c>
      <c r="J137" s="125">
        <f>Balaka!J137+Liwonde!J137+Machinga!J137+Ntaja!J137</f>
        <v>0</v>
      </c>
      <c r="K137" s="125">
        <f>Balaka!K137+Liwonde!K137+Machinga!K137+Ntaja!K137</f>
        <v>0</v>
      </c>
      <c r="L137" s="125">
        <f>Balaka!L137+Liwonde!L137+Machinga!L137+Ntaja!L137</f>
        <v>0</v>
      </c>
      <c r="M137" s="125">
        <f>Balaka!M137+Liwonde!M137+Machinga!M137+Ntaja!M137</f>
        <v>0</v>
      </c>
      <c r="N137" s="125">
        <f>Balaka!N137+Liwonde!N137+Machinga!N137+Ntaja!N137</f>
        <v>0</v>
      </c>
      <c r="O137" s="125">
        <f>Balaka!O137+Liwonde!O137+Machinga!O137+Ntaja!O137</f>
        <v>0</v>
      </c>
      <c r="P137" s="31">
        <f>SUM(D137:O137)</f>
        <v>0</v>
      </c>
    </row>
    <row r="138" spans="1:16" x14ac:dyDescent="0.3">
      <c r="A138" s="164"/>
      <c r="B138" s="21" t="s">
        <v>82</v>
      </c>
      <c r="C138" s="4" t="s">
        <v>3</v>
      </c>
      <c r="D138" s="125">
        <f>Balaka!D138+Liwonde!D138+Machinga!D138+Ntaja!D138</f>
        <v>0</v>
      </c>
      <c r="E138" s="125">
        <f>Balaka!E138+Liwonde!E138+Machinga!E138+Ntaja!E138</f>
        <v>0</v>
      </c>
      <c r="F138" s="125">
        <f>Balaka!F138+Liwonde!F138+Machinga!F138+Ntaja!F138</f>
        <v>0</v>
      </c>
      <c r="G138" s="125">
        <f>Balaka!G138+Liwonde!G138+Machinga!G138+Ntaja!G138</f>
        <v>0</v>
      </c>
      <c r="H138" s="125">
        <f>Balaka!H138+Liwonde!H138+Machinga!H138+Ntaja!H138</f>
        <v>0</v>
      </c>
      <c r="I138" s="125">
        <f>Balaka!I138+Liwonde!I138+Machinga!I138+Ntaja!I138</f>
        <v>0</v>
      </c>
      <c r="J138" s="125">
        <f>Balaka!J138+Liwonde!J138+Machinga!J138+Ntaja!J138</f>
        <v>0</v>
      </c>
      <c r="K138" s="125">
        <f>Balaka!K138+Liwonde!K138+Machinga!K138+Ntaja!K138</f>
        <v>0</v>
      </c>
      <c r="L138" s="125">
        <f>Balaka!L138+Liwonde!L138+Machinga!L138+Ntaja!L138</f>
        <v>0</v>
      </c>
      <c r="M138" s="125">
        <f>Balaka!M138+Liwonde!M138+Machinga!M138+Ntaja!M138</f>
        <v>0</v>
      </c>
      <c r="N138" s="125">
        <f>Balaka!N138+Liwonde!N138+Machinga!N138+Ntaja!N138</f>
        <v>0</v>
      </c>
      <c r="O138" s="125">
        <f>Balaka!O138+Liwonde!O138+Machinga!O138+Ntaja!O138</f>
        <v>0</v>
      </c>
      <c r="P138" s="31">
        <f>SUM(D138:O138)</f>
        <v>0</v>
      </c>
    </row>
    <row r="139" spans="1:16" x14ac:dyDescent="0.3">
      <c r="A139" s="165"/>
      <c r="B139" s="21" t="s">
        <v>81</v>
      </c>
      <c r="C139" s="4" t="s">
        <v>3</v>
      </c>
      <c r="D139" s="123">
        <f>D135+D136-D137-D138</f>
        <v>0</v>
      </c>
      <c r="E139" s="123">
        <f>E135+E136-E137-E138</f>
        <v>0</v>
      </c>
      <c r="F139" s="123">
        <f>F135+F136-F137-F138</f>
        <v>0</v>
      </c>
      <c r="G139" s="123">
        <f>G135+G136-G137-G138</f>
        <v>0</v>
      </c>
      <c r="H139" s="123">
        <f>H135+H136-H137-H138</f>
        <v>0</v>
      </c>
      <c r="I139" s="123">
        <f t="shared" ref="I139:O139" si="67">I135+I136-I137-I138</f>
        <v>0</v>
      </c>
      <c r="J139" s="123">
        <f t="shared" si="67"/>
        <v>0</v>
      </c>
      <c r="K139" s="123">
        <f t="shared" si="67"/>
        <v>0</v>
      </c>
      <c r="L139" s="123">
        <f t="shared" si="67"/>
        <v>0</v>
      </c>
      <c r="M139" s="123">
        <f t="shared" si="67"/>
        <v>0</v>
      </c>
      <c r="N139" s="123">
        <f t="shared" si="67"/>
        <v>0</v>
      </c>
      <c r="O139" s="123">
        <f t="shared" si="67"/>
        <v>0</v>
      </c>
      <c r="P139" s="31">
        <f>P135+P136-P137-P138</f>
        <v>0</v>
      </c>
    </row>
    <row r="140" spans="1:16" x14ac:dyDescent="0.3">
      <c r="A140" s="163" t="s">
        <v>87</v>
      </c>
      <c r="B140" s="21" t="s">
        <v>85</v>
      </c>
      <c r="C140" s="4" t="s">
        <v>3</v>
      </c>
      <c r="D140" s="125">
        <f>Balaka!D140+Liwonde!D140+Machinga!D140+Ntaja!D140</f>
        <v>669</v>
      </c>
      <c r="E140" s="125">
        <f>Balaka!E140+Liwonde!E140+Machinga!E140+Ntaja!E140</f>
        <v>584</v>
      </c>
      <c r="F140" s="125">
        <f>Balaka!F140+Liwonde!F140+Machinga!F140+Ntaja!F140</f>
        <v>616</v>
      </c>
      <c r="G140" s="125">
        <f>Balaka!G140+Liwonde!G140+Machinga!G140+Ntaja!G140</f>
        <v>546</v>
      </c>
      <c r="H140" s="125">
        <f>Balaka!H140+Liwonde!H140+Machinga!H140+Ntaja!H140</f>
        <v>514</v>
      </c>
      <c r="I140" s="125">
        <f>Balaka!I140+Liwonde!I140+Machinga!I140+Ntaja!I140</f>
        <v>420</v>
      </c>
      <c r="J140" s="125">
        <f>Balaka!J140+Liwonde!J140+Machinga!J140+Ntaja!J140</f>
        <v>420</v>
      </c>
      <c r="K140" s="125">
        <f>Balaka!K140+Liwonde!K140+Machinga!K140+Ntaja!K140</f>
        <v>510</v>
      </c>
      <c r="L140" s="125">
        <f>Balaka!L140+Liwonde!L140+Machinga!L140+Ntaja!L140</f>
        <v>531</v>
      </c>
      <c r="M140" s="125">
        <f>Balaka!M140+Liwonde!M140+Machinga!M140+Ntaja!M140</f>
        <v>536</v>
      </c>
      <c r="N140" s="125">
        <f>Balaka!N140+Liwonde!N140+Machinga!N140+Ntaja!N140</f>
        <v>553</v>
      </c>
      <c r="O140" s="125">
        <f>Balaka!O140+Liwonde!O140+Machinga!O140+Ntaja!O140</f>
        <v>613</v>
      </c>
      <c r="P140" s="31">
        <f>D140</f>
        <v>669</v>
      </c>
    </row>
    <row r="141" spans="1:16" x14ac:dyDescent="0.3">
      <c r="A141" s="164"/>
      <c r="B141" s="21" t="s">
        <v>84</v>
      </c>
      <c r="C141" s="4" t="s">
        <v>3</v>
      </c>
      <c r="D141" s="125">
        <f>Balaka!D141+Liwonde!D141+Machinga!D141+Ntaja!D141</f>
        <v>8</v>
      </c>
      <c r="E141" s="125">
        <f>Balaka!E141+Liwonde!E141+Machinga!E141+Ntaja!E141</f>
        <v>40</v>
      </c>
      <c r="F141" s="125">
        <f>Balaka!F141+Liwonde!F141+Machinga!F141+Ntaja!F141</f>
        <v>9</v>
      </c>
      <c r="G141" s="125">
        <f>Balaka!G141+Liwonde!G141+Machinga!G141+Ntaja!G141</f>
        <v>4</v>
      </c>
      <c r="H141" s="125">
        <f>Balaka!H141+Liwonde!H141+Machinga!H141+Ntaja!H141</f>
        <v>4</v>
      </c>
      <c r="I141" s="125">
        <f>Balaka!I141+Liwonde!I141+Machinga!I141+Ntaja!I141</f>
        <v>13</v>
      </c>
      <c r="J141" s="125">
        <f>Balaka!J141+Liwonde!J141+Machinga!J141+Ntaja!J141</f>
        <v>94</v>
      </c>
      <c r="K141" s="125">
        <f>Balaka!K141+Liwonde!K141+Machinga!K141+Ntaja!K141</f>
        <v>24</v>
      </c>
      <c r="L141" s="125">
        <f>Balaka!L141+Liwonde!L141+Machinga!L141+Ntaja!L141</f>
        <v>23</v>
      </c>
      <c r="M141" s="125">
        <f>Balaka!M141+Liwonde!M141+Machinga!M141+Ntaja!M141</f>
        <v>25</v>
      </c>
      <c r="N141" s="125">
        <f>Balaka!N141+Liwonde!N141+Machinga!N141+Ntaja!N141</f>
        <v>60</v>
      </c>
      <c r="O141" s="125">
        <f>Balaka!O141+Liwonde!O141+Machinga!O141+Ntaja!O141</f>
        <v>36</v>
      </c>
      <c r="P141" s="31">
        <f>SUM(D141:O141)</f>
        <v>340</v>
      </c>
    </row>
    <row r="142" spans="1:16" x14ac:dyDescent="0.3">
      <c r="A142" s="164"/>
      <c r="B142" s="21" t="s">
        <v>83</v>
      </c>
      <c r="C142" s="4" t="s">
        <v>3</v>
      </c>
      <c r="D142" s="125">
        <f>Balaka!D142+Liwonde!D142+Machinga!D142+Ntaja!D142</f>
        <v>54</v>
      </c>
      <c r="E142" s="125">
        <f>Balaka!E142+Liwonde!E142+Machinga!E142+Ntaja!E142</f>
        <v>2</v>
      </c>
      <c r="F142" s="125">
        <f>Balaka!F142+Liwonde!F142+Machinga!F142+Ntaja!F142</f>
        <v>5</v>
      </c>
      <c r="G142" s="125">
        <f>Balaka!G142+Liwonde!G142+Machinga!G142+Ntaja!G142</f>
        <v>1</v>
      </c>
      <c r="H142" s="125">
        <f>Balaka!H142+Liwonde!H142+Machinga!H142+Ntaja!H142</f>
        <v>2</v>
      </c>
      <c r="I142" s="125">
        <f>Balaka!I142+Liwonde!I142+Machinga!I142+Ntaja!I142</f>
        <v>0</v>
      </c>
      <c r="J142" s="125">
        <f>Balaka!J142+Liwonde!J142+Machinga!J142+Ntaja!J142</f>
        <v>3</v>
      </c>
      <c r="K142" s="125">
        <f>Balaka!K142+Liwonde!K142+Machinga!K142+Ntaja!K142</f>
        <v>0</v>
      </c>
      <c r="L142" s="125">
        <f>Balaka!L142+Liwonde!L142+Machinga!L142+Ntaja!L142</f>
        <v>11</v>
      </c>
      <c r="M142" s="125">
        <f>Balaka!M142+Liwonde!M142+Machinga!M142+Ntaja!M142</f>
        <v>5</v>
      </c>
      <c r="N142" s="125">
        <f>Balaka!N142+Liwonde!N142+Machinga!N142+Ntaja!N142</f>
        <v>0</v>
      </c>
      <c r="O142" s="125">
        <f>Balaka!O142+Liwonde!O142+Machinga!O142+Ntaja!O142</f>
        <v>0</v>
      </c>
      <c r="P142" s="31">
        <f>SUM(D142:O142)</f>
        <v>83</v>
      </c>
    </row>
    <row r="143" spans="1:16" x14ac:dyDescent="0.3">
      <c r="A143" s="164"/>
      <c r="B143" s="21" t="s">
        <v>82</v>
      </c>
      <c r="C143" s="4" t="s">
        <v>3</v>
      </c>
      <c r="D143" s="125">
        <f>Balaka!D143+Liwonde!D143+Machinga!D143+Ntaja!D143</f>
        <v>39</v>
      </c>
      <c r="E143" s="125">
        <f>Balaka!E143+Liwonde!E143+Machinga!E143+Ntaja!E143</f>
        <v>6</v>
      </c>
      <c r="F143" s="125">
        <f>Balaka!F143+Liwonde!F143+Machinga!F143+Ntaja!F143</f>
        <v>74</v>
      </c>
      <c r="G143" s="125">
        <f>Balaka!G143+Liwonde!G143+Machinga!G143+Ntaja!G143</f>
        <v>35</v>
      </c>
      <c r="H143" s="125">
        <f>Balaka!H143+Liwonde!H143+Machinga!H143+Ntaja!H143</f>
        <v>69</v>
      </c>
      <c r="I143" s="125">
        <f>Balaka!I143+Liwonde!I143+Machinga!I143+Ntaja!I143</f>
        <v>13</v>
      </c>
      <c r="J143" s="125">
        <f>Balaka!J143+Liwonde!J143+Machinga!J143+Ntaja!J143</f>
        <v>1</v>
      </c>
      <c r="K143" s="125">
        <f>Balaka!K143+Liwonde!K143+Machinga!K143+Ntaja!K143</f>
        <v>3</v>
      </c>
      <c r="L143" s="125">
        <f>Balaka!L143+Liwonde!L143+Machinga!L143+Ntaja!L143</f>
        <v>7</v>
      </c>
      <c r="M143" s="125">
        <f>Balaka!M143+Liwonde!M143+Machinga!M143+Ntaja!M143</f>
        <v>3</v>
      </c>
      <c r="N143" s="125">
        <f>Balaka!N143+Liwonde!N143+Machinga!N143+Ntaja!N143</f>
        <v>0</v>
      </c>
      <c r="O143" s="125">
        <f>Balaka!O143+Liwonde!O143+Machinga!O143+Ntaja!O143</f>
        <v>0</v>
      </c>
      <c r="P143" s="31">
        <f>SUM(D143:O143)</f>
        <v>250</v>
      </c>
    </row>
    <row r="144" spans="1:16" x14ac:dyDescent="0.3">
      <c r="A144" s="165"/>
      <c r="B144" s="21" t="s">
        <v>81</v>
      </c>
      <c r="C144" s="4" t="s">
        <v>3</v>
      </c>
      <c r="D144" s="123">
        <f>D140+D141-D142-D143</f>
        <v>584</v>
      </c>
      <c r="E144" s="124">
        <f t="shared" ref="E144:O144" si="68">E140+E141-E142-E143</f>
        <v>616</v>
      </c>
      <c r="F144" s="124">
        <f t="shared" si="68"/>
        <v>546</v>
      </c>
      <c r="G144" s="124">
        <f t="shared" si="68"/>
        <v>514</v>
      </c>
      <c r="H144" s="124">
        <f t="shared" si="68"/>
        <v>447</v>
      </c>
      <c r="I144" s="124">
        <f t="shared" si="68"/>
        <v>420</v>
      </c>
      <c r="J144" s="124">
        <f t="shared" si="68"/>
        <v>510</v>
      </c>
      <c r="K144" s="124">
        <f t="shared" si="68"/>
        <v>531</v>
      </c>
      <c r="L144" s="124">
        <f t="shared" si="68"/>
        <v>536</v>
      </c>
      <c r="M144" s="124">
        <f t="shared" si="68"/>
        <v>553</v>
      </c>
      <c r="N144" s="124">
        <f t="shared" si="68"/>
        <v>613</v>
      </c>
      <c r="O144" s="124">
        <f t="shared" si="68"/>
        <v>649</v>
      </c>
      <c r="P144" s="31">
        <f>P140+P141-P142-P143</f>
        <v>676</v>
      </c>
    </row>
    <row r="145" spans="1:16" x14ac:dyDescent="0.3">
      <c r="A145" s="163" t="s">
        <v>86</v>
      </c>
      <c r="B145" s="21" t="s">
        <v>85</v>
      </c>
      <c r="C145" s="4" t="s">
        <v>3</v>
      </c>
      <c r="D145" s="124">
        <f>D125+D130+D135+D140</f>
        <v>669</v>
      </c>
      <c r="E145" s="124">
        <f t="shared" ref="E145:O145" si="69">E125+E130+E135+E140</f>
        <v>584</v>
      </c>
      <c r="F145" s="124">
        <f t="shared" si="69"/>
        <v>616</v>
      </c>
      <c r="G145" s="124">
        <f t="shared" si="69"/>
        <v>546</v>
      </c>
      <c r="H145" s="124">
        <f t="shared" si="69"/>
        <v>514</v>
      </c>
      <c r="I145" s="124">
        <f t="shared" si="69"/>
        <v>420</v>
      </c>
      <c r="J145" s="124">
        <f t="shared" si="69"/>
        <v>420</v>
      </c>
      <c r="K145" s="124">
        <f t="shared" si="69"/>
        <v>510</v>
      </c>
      <c r="L145" s="124">
        <f t="shared" si="69"/>
        <v>531</v>
      </c>
      <c r="M145" s="124">
        <f t="shared" si="69"/>
        <v>536</v>
      </c>
      <c r="N145" s="124">
        <f t="shared" si="69"/>
        <v>553</v>
      </c>
      <c r="O145" s="124">
        <f t="shared" si="69"/>
        <v>613</v>
      </c>
      <c r="P145" s="98">
        <f t="shared" ref="P145:P149" si="70">P125+P130+P135+P140</f>
        <v>669</v>
      </c>
    </row>
    <row r="146" spans="1:16" x14ac:dyDescent="0.3">
      <c r="A146" s="164"/>
      <c r="B146" s="21" t="s">
        <v>84</v>
      </c>
      <c r="C146" s="4" t="s">
        <v>3</v>
      </c>
      <c r="D146" s="124">
        <f t="shared" ref="D146:O148" si="71">D126+D131+D136+D141</f>
        <v>8</v>
      </c>
      <c r="E146" s="124">
        <f t="shared" si="71"/>
        <v>40</v>
      </c>
      <c r="F146" s="124">
        <f t="shared" si="71"/>
        <v>9</v>
      </c>
      <c r="G146" s="124">
        <f t="shared" si="71"/>
        <v>4</v>
      </c>
      <c r="H146" s="124">
        <f t="shared" si="71"/>
        <v>5</v>
      </c>
      <c r="I146" s="124">
        <f t="shared" si="71"/>
        <v>13</v>
      </c>
      <c r="J146" s="124">
        <f t="shared" si="71"/>
        <v>94</v>
      </c>
      <c r="K146" s="124">
        <f t="shared" si="71"/>
        <v>24</v>
      </c>
      <c r="L146" s="124">
        <f t="shared" si="71"/>
        <v>23</v>
      </c>
      <c r="M146" s="124">
        <f t="shared" si="71"/>
        <v>25</v>
      </c>
      <c r="N146" s="124">
        <f t="shared" si="71"/>
        <v>60</v>
      </c>
      <c r="O146" s="124">
        <f t="shared" si="71"/>
        <v>36</v>
      </c>
      <c r="P146" s="98">
        <f t="shared" si="70"/>
        <v>341</v>
      </c>
    </row>
    <row r="147" spans="1:16" x14ac:dyDescent="0.3">
      <c r="A147" s="164"/>
      <c r="B147" s="21" t="s">
        <v>83</v>
      </c>
      <c r="C147" s="4" t="s">
        <v>3</v>
      </c>
      <c r="D147" s="124">
        <f t="shared" si="71"/>
        <v>54</v>
      </c>
      <c r="E147" s="124">
        <f t="shared" si="71"/>
        <v>2</v>
      </c>
      <c r="F147" s="124">
        <f t="shared" si="71"/>
        <v>5</v>
      </c>
      <c r="G147" s="124">
        <f t="shared" si="71"/>
        <v>1</v>
      </c>
      <c r="H147" s="124">
        <f t="shared" si="71"/>
        <v>2</v>
      </c>
      <c r="I147" s="124">
        <f t="shared" si="71"/>
        <v>0</v>
      </c>
      <c r="J147" s="124">
        <f t="shared" si="71"/>
        <v>3</v>
      </c>
      <c r="K147" s="124">
        <f t="shared" si="71"/>
        <v>0</v>
      </c>
      <c r="L147" s="124">
        <f t="shared" si="71"/>
        <v>11</v>
      </c>
      <c r="M147" s="124">
        <f t="shared" si="71"/>
        <v>5</v>
      </c>
      <c r="N147" s="124">
        <f t="shared" si="71"/>
        <v>0</v>
      </c>
      <c r="O147" s="124">
        <f t="shared" si="71"/>
        <v>0</v>
      </c>
      <c r="P147" s="98">
        <f t="shared" si="70"/>
        <v>83</v>
      </c>
    </row>
    <row r="148" spans="1:16" x14ac:dyDescent="0.3">
      <c r="A148" s="164"/>
      <c r="B148" s="21" t="s">
        <v>82</v>
      </c>
      <c r="C148" s="4" t="s">
        <v>3</v>
      </c>
      <c r="D148" s="124">
        <f t="shared" si="71"/>
        <v>39</v>
      </c>
      <c r="E148" s="124">
        <f t="shared" si="71"/>
        <v>6</v>
      </c>
      <c r="F148" s="124">
        <f t="shared" si="71"/>
        <v>74</v>
      </c>
      <c r="G148" s="124">
        <f t="shared" si="71"/>
        <v>35</v>
      </c>
      <c r="H148" s="124">
        <f t="shared" si="71"/>
        <v>70</v>
      </c>
      <c r="I148" s="124">
        <f t="shared" si="71"/>
        <v>13</v>
      </c>
      <c r="J148" s="124">
        <f t="shared" si="71"/>
        <v>1</v>
      </c>
      <c r="K148" s="124">
        <f t="shared" si="71"/>
        <v>3</v>
      </c>
      <c r="L148" s="124">
        <f t="shared" si="71"/>
        <v>7</v>
      </c>
      <c r="M148" s="124">
        <f t="shared" si="71"/>
        <v>3</v>
      </c>
      <c r="N148" s="124">
        <f t="shared" si="71"/>
        <v>0</v>
      </c>
      <c r="O148" s="124">
        <f t="shared" si="71"/>
        <v>0</v>
      </c>
      <c r="P148" s="98">
        <f t="shared" si="70"/>
        <v>251</v>
      </c>
    </row>
    <row r="149" spans="1:16" x14ac:dyDescent="0.3">
      <c r="A149" s="165"/>
      <c r="B149" s="21" t="s">
        <v>81</v>
      </c>
      <c r="C149" s="4" t="s">
        <v>3</v>
      </c>
      <c r="D149" s="123">
        <f>D145+D146-D147-D148</f>
        <v>584</v>
      </c>
      <c r="E149" s="123">
        <f t="shared" ref="E149:O149" si="72">E145+E146-E147-E148</f>
        <v>616</v>
      </c>
      <c r="F149" s="123">
        <f t="shared" si="72"/>
        <v>546</v>
      </c>
      <c r="G149" s="123">
        <f t="shared" si="72"/>
        <v>514</v>
      </c>
      <c r="H149" s="123">
        <f t="shared" si="72"/>
        <v>447</v>
      </c>
      <c r="I149" s="123">
        <f t="shared" si="72"/>
        <v>420</v>
      </c>
      <c r="J149" s="123">
        <f t="shared" si="72"/>
        <v>510</v>
      </c>
      <c r="K149" s="123">
        <f t="shared" si="72"/>
        <v>531</v>
      </c>
      <c r="L149" s="123">
        <f t="shared" si="72"/>
        <v>536</v>
      </c>
      <c r="M149" s="123">
        <f t="shared" si="72"/>
        <v>553</v>
      </c>
      <c r="N149" s="123">
        <f t="shared" si="72"/>
        <v>613</v>
      </c>
      <c r="O149" s="123">
        <f t="shared" si="72"/>
        <v>649</v>
      </c>
      <c r="P149" s="98">
        <f t="shared" si="70"/>
        <v>676</v>
      </c>
    </row>
    <row r="150" spans="1:16" ht="14.4" x14ac:dyDescent="0.3">
      <c r="A150" s="201" t="s">
        <v>80</v>
      </c>
      <c r="B150" s="202"/>
      <c r="C150" s="202"/>
      <c r="D150" s="202"/>
      <c r="E150" s="202"/>
      <c r="F150" s="202"/>
      <c r="G150" s="202"/>
      <c r="H150" s="202"/>
      <c r="I150" s="202"/>
      <c r="J150" s="202"/>
      <c r="K150" s="202"/>
      <c r="L150" s="202"/>
      <c r="M150" s="202"/>
      <c r="N150" s="202"/>
      <c r="O150" s="202"/>
      <c r="P150" s="203"/>
    </row>
    <row r="151" spans="1:16" x14ac:dyDescent="0.3">
      <c r="A151" s="166" t="s">
        <v>79</v>
      </c>
      <c r="B151" s="167"/>
      <c r="C151" s="4"/>
      <c r="D151" s="13"/>
      <c r="E151" s="13"/>
      <c r="F151" s="13"/>
      <c r="G151" s="13"/>
      <c r="H151" s="13"/>
      <c r="I151" s="13"/>
      <c r="J151" s="20"/>
      <c r="K151" s="20"/>
      <c r="L151" s="20"/>
      <c r="M151" s="20"/>
      <c r="N151" s="20"/>
      <c r="O151" s="20"/>
      <c r="P151" s="34"/>
    </row>
    <row r="152" spans="1:16" x14ac:dyDescent="0.3">
      <c r="A152" s="211" t="s">
        <v>78</v>
      </c>
      <c r="B152" s="80" t="s">
        <v>63</v>
      </c>
      <c r="C152" s="4"/>
      <c r="D152" s="13"/>
      <c r="E152" s="13"/>
      <c r="F152" s="13"/>
      <c r="G152" s="13"/>
      <c r="H152" s="13"/>
      <c r="I152" s="13"/>
      <c r="J152" s="20"/>
      <c r="K152" s="20"/>
      <c r="L152" s="20"/>
      <c r="M152" s="20"/>
      <c r="N152" s="20"/>
      <c r="O152" s="20"/>
      <c r="P152" s="34"/>
    </row>
    <row r="153" spans="1:16" x14ac:dyDescent="0.3">
      <c r="A153" s="212"/>
      <c r="B153" s="17" t="s">
        <v>73</v>
      </c>
      <c r="C153" s="4" t="s">
        <v>57</v>
      </c>
      <c r="D153" s="125">
        <f>Balaka!D153+Liwonde!D153+Machinga!D153+Ntaja!D153</f>
        <v>303</v>
      </c>
      <c r="E153" s="125">
        <f>Balaka!E153+Liwonde!E153+Machinga!E153+Ntaja!E153</f>
        <v>330</v>
      </c>
      <c r="F153" s="125">
        <f>Balaka!F153+Liwonde!F153+Machinga!F153+Ntaja!F153</f>
        <v>254</v>
      </c>
      <c r="G153" s="125">
        <f>Balaka!G153+Liwonde!G153+Machinga!G153+Ntaja!G153</f>
        <v>258</v>
      </c>
      <c r="H153" s="125">
        <f>Balaka!H153+Liwonde!H153+Machinga!H153+Ntaja!H153</f>
        <v>266</v>
      </c>
      <c r="I153" s="125">
        <f>Balaka!I153+Liwonde!I153+Machinga!I153+Ntaja!I153</f>
        <v>243</v>
      </c>
      <c r="J153" s="125">
        <f>Balaka!J153+Liwonde!J153+Machinga!J153+Ntaja!J153</f>
        <v>177</v>
      </c>
      <c r="K153" s="125">
        <f>Balaka!K153+Liwonde!K153+Machinga!K153+Ntaja!K153</f>
        <v>245</v>
      </c>
      <c r="L153" s="125">
        <f>Balaka!L153+Liwonde!L153+Machinga!L153+Ntaja!L153</f>
        <v>214</v>
      </c>
      <c r="M153" s="125">
        <f>Balaka!M153+Liwonde!M153+Machinga!M153+Ntaja!M153</f>
        <v>263</v>
      </c>
      <c r="N153" s="125">
        <f>Balaka!N153+Liwonde!N153+Machinga!N153+Ntaja!N153</f>
        <v>211</v>
      </c>
      <c r="O153" s="125">
        <f>Balaka!O153+Liwonde!O153+Machinga!O153+Ntaja!O153</f>
        <v>169</v>
      </c>
      <c r="P153" s="31">
        <f t="shared" ref="P153:P165" si="73">SUM(D153:O153)</f>
        <v>2933</v>
      </c>
    </row>
    <row r="154" spans="1:16" x14ac:dyDescent="0.3">
      <c r="A154" s="212"/>
      <c r="B154" s="17" t="s">
        <v>72</v>
      </c>
      <c r="C154" s="4" t="s">
        <v>57</v>
      </c>
      <c r="D154" s="125">
        <f>Balaka!D154+Liwonde!D154+Machinga!D154+Ntaja!D154</f>
        <v>101</v>
      </c>
      <c r="E154" s="125">
        <f>Balaka!E154+Liwonde!E154+Machinga!E154+Ntaja!E154</f>
        <v>164</v>
      </c>
      <c r="F154" s="125">
        <f>Balaka!F154+Liwonde!F154+Machinga!F154+Ntaja!F154</f>
        <v>152</v>
      </c>
      <c r="G154" s="125">
        <f>Balaka!G154+Liwonde!G154+Machinga!G154+Ntaja!G154</f>
        <v>129</v>
      </c>
      <c r="H154" s="125">
        <f>Balaka!H154+Liwonde!H154+Machinga!H154+Ntaja!H154</f>
        <v>105</v>
      </c>
      <c r="I154" s="125">
        <f>Balaka!I154+Liwonde!I154+Machinga!I154+Ntaja!I154</f>
        <v>110</v>
      </c>
      <c r="J154" s="125">
        <f>Balaka!J154+Liwonde!J154+Machinga!J154+Ntaja!J154</f>
        <v>79</v>
      </c>
      <c r="K154" s="125">
        <f>Balaka!K154+Liwonde!K154+Machinga!K154+Ntaja!K154</f>
        <v>99</v>
      </c>
      <c r="L154" s="125">
        <f>Balaka!L154+Liwonde!L154+Machinga!L154+Ntaja!L154</f>
        <v>76</v>
      </c>
      <c r="M154" s="125">
        <f>Balaka!M154+Liwonde!M154+Machinga!M154+Ntaja!M154</f>
        <v>114</v>
      </c>
      <c r="N154" s="125">
        <f>Balaka!N154+Liwonde!N154+Machinga!N154+Ntaja!N154</f>
        <v>92</v>
      </c>
      <c r="O154" s="125">
        <f>Balaka!O154+Liwonde!O154+Machinga!O154+Ntaja!O154</f>
        <v>62</v>
      </c>
      <c r="P154" s="31">
        <f t="shared" si="73"/>
        <v>1283</v>
      </c>
    </row>
    <row r="155" spans="1:16" x14ac:dyDescent="0.3">
      <c r="A155" s="212"/>
      <c r="B155" s="17" t="s">
        <v>53</v>
      </c>
      <c r="C155" s="4" t="s">
        <v>57</v>
      </c>
      <c r="D155" s="125">
        <f>Balaka!D155+Liwonde!D155+Machinga!D155+Ntaja!D155</f>
        <v>62</v>
      </c>
      <c r="E155" s="125">
        <f>Balaka!E155+Liwonde!E155+Machinga!E155+Ntaja!E155</f>
        <v>42</v>
      </c>
      <c r="F155" s="125">
        <f>Balaka!F155+Liwonde!F155+Machinga!F155+Ntaja!F155</f>
        <v>55</v>
      </c>
      <c r="G155" s="125">
        <f>Balaka!G155+Liwonde!G155+Machinga!G155+Ntaja!G155</f>
        <v>36</v>
      </c>
      <c r="H155" s="125">
        <f>Balaka!H155+Liwonde!H155+Machinga!H155+Ntaja!H155</f>
        <v>39</v>
      </c>
      <c r="I155" s="125">
        <f>Balaka!I155+Liwonde!I155+Machinga!I155+Ntaja!I155</f>
        <v>42</v>
      </c>
      <c r="J155" s="125">
        <f>Balaka!J155+Liwonde!J155+Machinga!J155+Ntaja!J155</f>
        <v>36</v>
      </c>
      <c r="K155" s="125">
        <f>Balaka!K155+Liwonde!K155+Machinga!K155+Ntaja!K155</f>
        <v>29</v>
      </c>
      <c r="L155" s="125">
        <f>Balaka!L155+Liwonde!L155+Machinga!L155+Ntaja!L155</f>
        <v>22</v>
      </c>
      <c r="M155" s="125">
        <f>Balaka!M155+Liwonde!M155+Machinga!M155+Ntaja!M155</f>
        <v>49</v>
      </c>
      <c r="N155" s="125">
        <f>Balaka!N155+Liwonde!N155+Machinga!N155+Ntaja!N155</f>
        <v>44</v>
      </c>
      <c r="O155" s="125">
        <f>Balaka!O155+Liwonde!O155+Machinga!O155+Ntaja!O155</f>
        <v>31</v>
      </c>
      <c r="P155" s="31">
        <f t="shared" si="73"/>
        <v>487</v>
      </c>
    </row>
    <row r="156" spans="1:16" x14ac:dyDescent="0.3">
      <c r="A156" s="212"/>
      <c r="B156" s="17" t="s">
        <v>71</v>
      </c>
      <c r="C156" s="4" t="s">
        <v>57</v>
      </c>
      <c r="D156" s="125">
        <f>Balaka!D156+Liwonde!D156+Machinga!D156+Ntaja!D156</f>
        <v>7</v>
      </c>
      <c r="E156" s="125">
        <f>Balaka!E156+Liwonde!E156+Machinga!E156+Ntaja!E156</f>
        <v>13</v>
      </c>
      <c r="F156" s="125">
        <f>Balaka!F156+Liwonde!F156+Machinga!F156+Ntaja!F156</f>
        <v>7</v>
      </c>
      <c r="G156" s="125">
        <f>Balaka!G156+Liwonde!G156+Machinga!G156+Ntaja!G156</f>
        <v>5</v>
      </c>
      <c r="H156" s="125">
        <f>Balaka!H156+Liwonde!H156+Machinga!H156+Ntaja!H156</f>
        <v>12</v>
      </c>
      <c r="I156" s="125">
        <f>Balaka!I156+Liwonde!I156+Machinga!I156+Ntaja!I156</f>
        <v>11</v>
      </c>
      <c r="J156" s="125">
        <f>Balaka!J156+Liwonde!J156+Machinga!J156+Ntaja!J156</f>
        <v>3</v>
      </c>
      <c r="K156" s="125">
        <f>Balaka!K156+Liwonde!K156+Machinga!K156+Ntaja!K156</f>
        <v>9</v>
      </c>
      <c r="L156" s="125">
        <f>Balaka!L156+Liwonde!L156+Machinga!L156+Ntaja!L156</f>
        <v>5</v>
      </c>
      <c r="M156" s="125">
        <f>Balaka!M156+Liwonde!M156+Machinga!M156+Ntaja!M156</f>
        <v>20</v>
      </c>
      <c r="N156" s="125">
        <f>Balaka!N156+Liwonde!N156+Machinga!N156+Ntaja!N156</f>
        <v>9</v>
      </c>
      <c r="O156" s="125">
        <f>Balaka!O156+Liwonde!O156+Machinga!O156+Ntaja!O156</f>
        <v>10</v>
      </c>
      <c r="P156" s="31">
        <f t="shared" si="73"/>
        <v>111</v>
      </c>
    </row>
    <row r="157" spans="1:16" x14ac:dyDescent="0.3">
      <c r="A157" s="212"/>
      <c r="B157" s="17" t="s">
        <v>52</v>
      </c>
      <c r="C157" s="4" t="s">
        <v>57</v>
      </c>
      <c r="D157" s="125">
        <f>Balaka!D157+Liwonde!D157+Machinga!D157+Ntaja!D157</f>
        <v>9</v>
      </c>
      <c r="E157" s="125">
        <f>Balaka!E157+Liwonde!E157+Machinga!E157+Ntaja!E157</f>
        <v>14</v>
      </c>
      <c r="F157" s="125">
        <f>Balaka!F157+Liwonde!F157+Machinga!F157+Ntaja!F157</f>
        <v>11</v>
      </c>
      <c r="G157" s="125">
        <f>Balaka!G157+Liwonde!G157+Machinga!G157+Ntaja!G157</f>
        <v>9</v>
      </c>
      <c r="H157" s="125">
        <f>Balaka!H157+Liwonde!H157+Machinga!H157+Ntaja!H157</f>
        <v>6</v>
      </c>
      <c r="I157" s="125">
        <f>Balaka!I157+Liwonde!I157+Machinga!I157+Ntaja!I157</f>
        <v>15</v>
      </c>
      <c r="J157" s="125">
        <f>Balaka!J157+Liwonde!J157+Machinga!J157+Ntaja!J157</f>
        <v>13</v>
      </c>
      <c r="K157" s="125">
        <f>Balaka!K157+Liwonde!K157+Machinga!K157+Ntaja!K157</f>
        <v>14</v>
      </c>
      <c r="L157" s="125">
        <f>Balaka!L157+Liwonde!L157+Machinga!L157+Ntaja!L157</f>
        <v>10</v>
      </c>
      <c r="M157" s="125">
        <f>Balaka!M157+Liwonde!M157+Machinga!M157+Ntaja!M157</f>
        <v>28</v>
      </c>
      <c r="N157" s="125">
        <f>Balaka!N157+Liwonde!N157+Machinga!N157+Ntaja!N157</f>
        <v>13</v>
      </c>
      <c r="O157" s="125">
        <f>Balaka!O157+Liwonde!O157+Machinga!O157+Ntaja!O157</f>
        <v>9</v>
      </c>
      <c r="P157" s="31">
        <f t="shared" si="73"/>
        <v>151</v>
      </c>
    </row>
    <row r="158" spans="1:16" x14ac:dyDescent="0.3">
      <c r="A158" s="212"/>
      <c r="B158" s="17" t="s">
        <v>51</v>
      </c>
      <c r="C158" s="4" t="s">
        <v>57</v>
      </c>
      <c r="D158" s="125">
        <f>Balaka!D158+Liwonde!D158+Machinga!D158+Ntaja!D158</f>
        <v>22</v>
      </c>
      <c r="E158" s="125">
        <f>Balaka!E158+Liwonde!E158+Machinga!E158+Ntaja!E158</f>
        <v>14</v>
      </c>
      <c r="F158" s="125">
        <f>Balaka!F158+Liwonde!F158+Machinga!F158+Ntaja!F158</f>
        <v>15</v>
      </c>
      <c r="G158" s="125">
        <f>Balaka!G158+Liwonde!G158+Machinga!G158+Ntaja!G158</f>
        <v>8</v>
      </c>
      <c r="H158" s="125">
        <f>Balaka!H158+Liwonde!H158+Machinga!H158+Ntaja!H158</f>
        <v>17</v>
      </c>
      <c r="I158" s="125">
        <f>Balaka!I158+Liwonde!I158+Machinga!I158+Ntaja!I158</f>
        <v>23</v>
      </c>
      <c r="J158" s="125">
        <f>Balaka!J158+Liwonde!J158+Machinga!J158+Ntaja!J158</f>
        <v>13</v>
      </c>
      <c r="K158" s="125">
        <f>Balaka!K158+Liwonde!K158+Machinga!K158+Ntaja!K158</f>
        <v>10</v>
      </c>
      <c r="L158" s="125">
        <f>Balaka!L158+Liwonde!L158+Machinga!L158+Ntaja!L158</f>
        <v>11</v>
      </c>
      <c r="M158" s="125">
        <f>Balaka!M158+Liwonde!M158+Machinga!M158+Ntaja!M158</f>
        <v>9</v>
      </c>
      <c r="N158" s="125">
        <f>Balaka!N158+Liwonde!N158+Machinga!N158+Ntaja!N158</f>
        <v>9</v>
      </c>
      <c r="O158" s="125">
        <f>Balaka!O158+Liwonde!O158+Machinga!O158+Ntaja!O158</f>
        <v>14</v>
      </c>
      <c r="P158" s="31">
        <f t="shared" si="73"/>
        <v>165</v>
      </c>
    </row>
    <row r="159" spans="1:16" x14ac:dyDescent="0.3">
      <c r="A159" s="212"/>
      <c r="B159" s="17" t="s">
        <v>62</v>
      </c>
      <c r="C159" s="4" t="s">
        <v>57</v>
      </c>
      <c r="D159" s="125">
        <f>Balaka!D159+Liwonde!D159+Machinga!D159+Ntaja!D159</f>
        <v>0</v>
      </c>
      <c r="E159" s="125">
        <f>Balaka!E159+Liwonde!E159+Machinga!E159+Ntaja!E159</f>
        <v>0</v>
      </c>
      <c r="F159" s="125">
        <f>Balaka!F159+Liwonde!F159+Machinga!F159+Ntaja!F159</f>
        <v>4</v>
      </c>
      <c r="G159" s="125">
        <f>Balaka!G159+Liwonde!G159+Machinga!G159+Ntaja!G159</f>
        <v>0</v>
      </c>
      <c r="H159" s="125">
        <f>Balaka!H159+Liwonde!H159+Machinga!H159+Ntaja!H159</f>
        <v>0</v>
      </c>
      <c r="I159" s="125">
        <f>Balaka!I159+Liwonde!I159+Machinga!I159+Ntaja!I159</f>
        <v>2</v>
      </c>
      <c r="J159" s="125">
        <f>Balaka!J159+Liwonde!J159+Machinga!J159+Ntaja!J159</f>
        <v>2</v>
      </c>
      <c r="K159" s="125">
        <f>Balaka!K159+Liwonde!K159+Machinga!K159+Ntaja!K159</f>
        <v>1</v>
      </c>
      <c r="L159" s="125">
        <f>Balaka!L159+Liwonde!L159+Machinga!L159+Ntaja!L159</f>
        <v>0</v>
      </c>
      <c r="M159" s="125">
        <f>Balaka!M159+Liwonde!M159+Machinga!M159+Ntaja!M159</f>
        <v>0</v>
      </c>
      <c r="N159" s="125">
        <f>Balaka!N159+Liwonde!N159+Machinga!N159+Ntaja!N159</f>
        <v>0</v>
      </c>
      <c r="O159" s="125">
        <f>Balaka!O159+Liwonde!O159+Machinga!O159+Ntaja!O159</f>
        <v>0</v>
      </c>
      <c r="P159" s="31">
        <f t="shared" si="73"/>
        <v>9</v>
      </c>
    </row>
    <row r="160" spans="1:16" x14ac:dyDescent="0.3">
      <c r="A160" s="212"/>
      <c r="B160" s="17" t="s">
        <v>50</v>
      </c>
      <c r="C160" s="4" t="s">
        <v>57</v>
      </c>
      <c r="D160" s="125">
        <f>Balaka!D160+Liwonde!D160+Machinga!D160+Ntaja!D160</f>
        <v>7</v>
      </c>
      <c r="E160" s="125">
        <f>Balaka!E160+Liwonde!E160+Machinga!E160+Ntaja!E160</f>
        <v>14</v>
      </c>
      <c r="F160" s="125">
        <f>Balaka!F160+Liwonde!F160+Machinga!F160+Ntaja!F160</f>
        <v>8</v>
      </c>
      <c r="G160" s="125">
        <f>Balaka!G160+Liwonde!G160+Machinga!G160+Ntaja!G160</f>
        <v>5</v>
      </c>
      <c r="H160" s="125">
        <f>Balaka!H160+Liwonde!H160+Machinga!H160+Ntaja!H160</f>
        <v>3</v>
      </c>
      <c r="I160" s="125">
        <f>Balaka!I160+Liwonde!I160+Machinga!I160+Ntaja!I160</f>
        <v>6</v>
      </c>
      <c r="J160" s="125">
        <f>Balaka!J160+Liwonde!J160+Machinga!J160+Ntaja!J160</f>
        <v>2</v>
      </c>
      <c r="K160" s="125">
        <f>Balaka!K160+Liwonde!K160+Machinga!K160+Ntaja!K160</f>
        <v>3</v>
      </c>
      <c r="L160" s="125">
        <f>Balaka!L160+Liwonde!L160+Machinga!L160+Ntaja!L160</f>
        <v>0</v>
      </c>
      <c r="M160" s="125">
        <f>Balaka!M160+Liwonde!M160+Machinga!M160+Ntaja!M160</f>
        <v>1</v>
      </c>
      <c r="N160" s="125">
        <f>Balaka!N160+Liwonde!N160+Machinga!N160+Ntaja!N160</f>
        <v>4</v>
      </c>
      <c r="O160" s="125">
        <f>Balaka!O160+Liwonde!O160+Machinga!O160+Ntaja!O160</f>
        <v>4</v>
      </c>
      <c r="P160" s="31">
        <f t="shared" si="73"/>
        <v>57</v>
      </c>
    </row>
    <row r="161" spans="1:16" x14ac:dyDescent="0.3">
      <c r="A161" s="212"/>
      <c r="B161" s="17" t="s">
        <v>49</v>
      </c>
      <c r="C161" s="4" t="s">
        <v>57</v>
      </c>
      <c r="D161" s="125">
        <f>Balaka!D161+Liwonde!D161+Machinga!D161+Ntaja!D161</f>
        <v>22</v>
      </c>
      <c r="E161" s="125">
        <f>Balaka!E161+Liwonde!E161+Machinga!E161+Ntaja!E161</f>
        <v>9</v>
      </c>
      <c r="F161" s="125">
        <f>Balaka!F161+Liwonde!F161+Machinga!F161+Ntaja!F161</f>
        <v>11</v>
      </c>
      <c r="G161" s="125">
        <f>Balaka!G161+Liwonde!G161+Machinga!G161+Ntaja!G161</f>
        <v>9</v>
      </c>
      <c r="H161" s="125">
        <f>Balaka!H161+Liwonde!H161+Machinga!H161+Ntaja!H161</f>
        <v>2</v>
      </c>
      <c r="I161" s="125">
        <f>Balaka!I161+Liwonde!I161+Machinga!I161+Ntaja!I161</f>
        <v>2</v>
      </c>
      <c r="J161" s="125">
        <f>Balaka!J161+Liwonde!J161+Machinga!J161+Ntaja!J161</f>
        <v>8</v>
      </c>
      <c r="K161" s="125">
        <f>Balaka!K161+Liwonde!K161+Machinga!K161+Ntaja!K161</f>
        <v>6</v>
      </c>
      <c r="L161" s="125">
        <f>Balaka!L161+Liwonde!L161+Machinga!L161+Ntaja!L161</f>
        <v>8</v>
      </c>
      <c r="M161" s="125">
        <f>Balaka!M161+Liwonde!M161+Machinga!M161+Ntaja!M161</f>
        <v>7</v>
      </c>
      <c r="N161" s="125">
        <f>Balaka!N161+Liwonde!N161+Machinga!N161+Ntaja!N161</f>
        <v>6</v>
      </c>
      <c r="O161" s="125">
        <f>Balaka!O161+Liwonde!O161+Machinga!O161+Ntaja!O161</f>
        <v>5</v>
      </c>
      <c r="P161" s="31">
        <f t="shared" si="73"/>
        <v>95</v>
      </c>
    </row>
    <row r="162" spans="1:16" x14ac:dyDescent="0.3">
      <c r="A162" s="212"/>
      <c r="B162" s="17" t="s">
        <v>77</v>
      </c>
      <c r="C162" s="4" t="s">
        <v>57</v>
      </c>
      <c r="D162" s="125">
        <f>Balaka!D162+Liwonde!D162+Machinga!D162+Ntaja!D162</f>
        <v>9</v>
      </c>
      <c r="E162" s="125">
        <f>Balaka!E162+Liwonde!E162+Machinga!E162+Ntaja!E162</f>
        <v>14</v>
      </c>
      <c r="F162" s="125">
        <f>Balaka!F162+Liwonde!F162+Machinga!F162+Ntaja!F162</f>
        <v>2</v>
      </c>
      <c r="G162" s="125">
        <f>Balaka!G162+Liwonde!G162+Machinga!G162+Ntaja!G162</f>
        <v>3</v>
      </c>
      <c r="H162" s="125">
        <f>Balaka!H162+Liwonde!H162+Machinga!H162+Ntaja!H162</f>
        <v>1</v>
      </c>
      <c r="I162" s="125">
        <f>Balaka!I162+Liwonde!I162+Machinga!I162+Ntaja!I162</f>
        <v>4</v>
      </c>
      <c r="J162" s="125">
        <f>Balaka!J162+Liwonde!J162+Machinga!J162+Ntaja!J162</f>
        <v>2</v>
      </c>
      <c r="K162" s="125">
        <f>Balaka!K162+Liwonde!K162+Machinga!K162+Ntaja!K162</f>
        <v>5</v>
      </c>
      <c r="L162" s="125">
        <f>Balaka!L162+Liwonde!L162+Machinga!L162+Ntaja!L162</f>
        <v>8</v>
      </c>
      <c r="M162" s="125">
        <f>Balaka!M162+Liwonde!M162+Machinga!M162+Ntaja!M162</f>
        <v>2</v>
      </c>
      <c r="N162" s="125">
        <f>Balaka!N162+Liwonde!N162+Machinga!N162+Ntaja!N162</f>
        <v>0</v>
      </c>
      <c r="O162" s="125">
        <f>Balaka!O162+Liwonde!O162+Machinga!O162+Ntaja!O162</f>
        <v>1</v>
      </c>
      <c r="P162" s="31">
        <f t="shared" si="73"/>
        <v>51</v>
      </c>
    </row>
    <row r="163" spans="1:16" x14ac:dyDescent="0.3">
      <c r="A163" s="212"/>
      <c r="B163" s="17" t="s">
        <v>69</v>
      </c>
      <c r="C163" s="4" t="s">
        <v>57</v>
      </c>
      <c r="D163" s="125">
        <f>Balaka!D163+Liwonde!D163+Machinga!D163+Ntaja!D163</f>
        <v>0</v>
      </c>
      <c r="E163" s="125">
        <f>Balaka!E163+Liwonde!E163+Machinga!E163+Ntaja!E163</f>
        <v>0</v>
      </c>
      <c r="F163" s="125">
        <f>Balaka!F163+Liwonde!F163+Machinga!F163+Ntaja!F163</f>
        <v>0</v>
      </c>
      <c r="G163" s="125">
        <f>Balaka!G163+Liwonde!G163+Machinga!G163+Ntaja!G163</f>
        <v>0</v>
      </c>
      <c r="H163" s="125">
        <f>Balaka!H163+Liwonde!H163+Machinga!H163+Ntaja!H163</f>
        <v>1</v>
      </c>
      <c r="I163" s="125">
        <f>Balaka!I163+Liwonde!I163+Machinga!I163+Ntaja!I163</f>
        <v>4</v>
      </c>
      <c r="J163" s="125">
        <f>Balaka!J163+Liwonde!J163+Machinga!J163+Ntaja!J163</f>
        <v>1</v>
      </c>
      <c r="K163" s="125">
        <f>Balaka!K163+Liwonde!K163+Machinga!K163+Ntaja!K163</f>
        <v>0</v>
      </c>
      <c r="L163" s="125">
        <f>Balaka!L163+Liwonde!L163+Machinga!L163+Ntaja!L163</f>
        <v>0</v>
      </c>
      <c r="M163" s="125">
        <f>Balaka!M163+Liwonde!M163+Machinga!M163+Ntaja!M163</f>
        <v>0</v>
      </c>
      <c r="N163" s="125">
        <f>Balaka!N163+Liwonde!N163+Machinga!N163+Ntaja!N163</f>
        <v>2</v>
      </c>
      <c r="O163" s="125">
        <f>Balaka!O163+Liwonde!O163+Machinga!O163+Ntaja!O163</f>
        <v>0</v>
      </c>
      <c r="P163" s="31">
        <f t="shared" si="73"/>
        <v>8</v>
      </c>
    </row>
    <row r="164" spans="1:16" x14ac:dyDescent="0.3">
      <c r="A164" s="212"/>
      <c r="B164" s="17" t="s">
        <v>68</v>
      </c>
      <c r="C164" s="4" t="s">
        <v>57</v>
      </c>
      <c r="D164" s="125">
        <f>Balaka!D164+Liwonde!D164+Machinga!D164+Ntaja!D164</f>
        <v>0</v>
      </c>
      <c r="E164" s="125">
        <f>Balaka!E164+Liwonde!E164+Machinga!E164+Ntaja!E164</f>
        <v>0</v>
      </c>
      <c r="F164" s="125">
        <f>Balaka!F164+Liwonde!F164+Machinga!F164+Ntaja!F164</f>
        <v>0</v>
      </c>
      <c r="G164" s="125">
        <f>Balaka!G164+Liwonde!G164+Machinga!G164+Ntaja!G164</f>
        <v>0</v>
      </c>
      <c r="H164" s="125">
        <f>Balaka!H164+Liwonde!H164+Machinga!H164+Ntaja!H164</f>
        <v>0</v>
      </c>
      <c r="I164" s="125">
        <f>Balaka!I164+Liwonde!I164+Machinga!I164+Ntaja!I164</f>
        <v>0</v>
      </c>
      <c r="J164" s="125">
        <f>Balaka!J164+Liwonde!J164+Machinga!J164+Ntaja!J164</f>
        <v>0</v>
      </c>
      <c r="K164" s="125">
        <f>Balaka!K164+Liwonde!K164+Machinga!K164+Ntaja!K164</f>
        <v>0</v>
      </c>
      <c r="L164" s="125">
        <f>Balaka!L164+Liwonde!L164+Machinga!L164+Ntaja!L164</f>
        <v>0</v>
      </c>
      <c r="M164" s="125">
        <f>Balaka!M164+Liwonde!M164+Machinga!M164+Ntaja!M164</f>
        <v>0</v>
      </c>
      <c r="N164" s="125">
        <f>Balaka!N164+Liwonde!N164+Machinga!N164+Ntaja!N164</f>
        <v>0</v>
      </c>
      <c r="O164" s="125">
        <f>Balaka!O164+Liwonde!O164+Machinga!O164+Ntaja!O164</f>
        <v>0</v>
      </c>
      <c r="P164" s="31">
        <f t="shared" si="73"/>
        <v>0</v>
      </c>
    </row>
    <row r="165" spans="1:16" x14ac:dyDescent="0.3">
      <c r="A165" s="213"/>
      <c r="B165" s="17" t="s">
        <v>76</v>
      </c>
      <c r="C165" s="4" t="s">
        <v>57</v>
      </c>
      <c r="D165" s="125">
        <f>Balaka!D165+Liwonde!D165+Machinga!D165+Ntaja!D165</f>
        <v>0</v>
      </c>
      <c r="E165" s="125">
        <f>Balaka!E165+Liwonde!E165+Machinga!E165+Ntaja!E165</f>
        <v>1</v>
      </c>
      <c r="F165" s="125">
        <f>Balaka!F165+Liwonde!F165+Machinga!F165+Ntaja!F165</f>
        <v>0</v>
      </c>
      <c r="G165" s="125">
        <f>Balaka!G165+Liwonde!G165+Machinga!G165+Ntaja!G165</f>
        <v>0</v>
      </c>
      <c r="H165" s="125">
        <f>Balaka!H165+Liwonde!H165+Machinga!H165+Ntaja!H165</f>
        <v>0</v>
      </c>
      <c r="I165" s="125">
        <f>Balaka!I165+Liwonde!I165+Machinga!I165+Ntaja!I165</f>
        <v>0</v>
      </c>
      <c r="J165" s="125">
        <f>Balaka!J165+Liwonde!J165+Machinga!J165+Ntaja!J165</f>
        <v>0</v>
      </c>
      <c r="K165" s="125">
        <f>Balaka!K165+Liwonde!K165+Machinga!K165+Ntaja!K165</f>
        <v>0</v>
      </c>
      <c r="L165" s="125">
        <f>Balaka!L165+Liwonde!L165+Machinga!L165+Ntaja!L165</f>
        <v>0</v>
      </c>
      <c r="M165" s="125">
        <f>Balaka!M165+Liwonde!M165+Machinga!M165+Ntaja!M165</f>
        <v>0</v>
      </c>
      <c r="N165" s="125">
        <f>Balaka!N165+Liwonde!N165+Machinga!N165+Ntaja!N165</f>
        <v>0</v>
      </c>
      <c r="O165" s="125">
        <f>Balaka!O165+Liwonde!O165+Machinga!O165+Ntaja!O165</f>
        <v>0</v>
      </c>
      <c r="P165" s="31">
        <f t="shared" si="73"/>
        <v>1</v>
      </c>
    </row>
    <row r="166" spans="1:16" x14ac:dyDescent="0.3">
      <c r="A166" s="211" t="s">
        <v>75</v>
      </c>
      <c r="B166" s="19" t="s">
        <v>63</v>
      </c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1"/>
    </row>
    <row r="167" spans="1:16" x14ac:dyDescent="0.3">
      <c r="A167" s="212"/>
      <c r="B167" s="17" t="s">
        <v>74</v>
      </c>
      <c r="C167" s="4" t="s">
        <v>57</v>
      </c>
      <c r="D167" s="125">
        <f>Balaka!D167+Liwonde!D167+Machinga!D167+Ntaja!D167</f>
        <v>6</v>
      </c>
      <c r="E167" s="125">
        <f>Balaka!E167+Liwonde!E167+Machinga!E167+Ntaja!E167</f>
        <v>2</v>
      </c>
      <c r="F167" s="125">
        <f>Balaka!F167+Liwonde!F167+Machinga!F167+Ntaja!F167</f>
        <v>3</v>
      </c>
      <c r="G167" s="125">
        <f>Balaka!G167+Liwonde!G167+Machinga!G167+Ntaja!G167</f>
        <v>2</v>
      </c>
      <c r="H167" s="125">
        <f>Balaka!H167+Liwonde!H167+Machinga!H167+Ntaja!H167</f>
        <v>3</v>
      </c>
      <c r="I167" s="125">
        <f>Balaka!I167+Liwonde!I167+Machinga!I167+Ntaja!I167</f>
        <v>7</v>
      </c>
      <c r="J167" s="125">
        <f>Balaka!J167+Liwonde!J167+Machinga!J167+Ntaja!J167</f>
        <v>3</v>
      </c>
      <c r="K167" s="125">
        <f>Balaka!K167+Liwonde!K167+Machinga!K167+Ntaja!K167</f>
        <v>1</v>
      </c>
      <c r="L167" s="125">
        <f>Balaka!L167+Liwonde!L167+Machinga!L167+Ntaja!L167</f>
        <v>0</v>
      </c>
      <c r="M167" s="125">
        <f>Balaka!M167+Liwonde!M167+Machinga!M167+Ntaja!M167</f>
        <v>1</v>
      </c>
      <c r="N167" s="125">
        <f>Balaka!N167+Liwonde!N167+Machinga!N167+Ntaja!N167</f>
        <v>3</v>
      </c>
      <c r="O167" s="125">
        <f>Balaka!O167+Liwonde!O167+Machinga!O167+Ntaja!O167</f>
        <v>0</v>
      </c>
      <c r="P167" s="31">
        <f t="shared" ref="P167:P175" si="74">SUM(D167:O167)</f>
        <v>31</v>
      </c>
    </row>
    <row r="168" spans="1:16" x14ac:dyDescent="0.3">
      <c r="A168" s="212"/>
      <c r="B168" s="17" t="s">
        <v>73</v>
      </c>
      <c r="C168" s="4" t="s">
        <v>57</v>
      </c>
      <c r="D168" s="125">
        <f>Balaka!D168+Liwonde!D168+Machinga!D168+Ntaja!D168</f>
        <v>1</v>
      </c>
      <c r="E168" s="125">
        <f>Balaka!E168+Liwonde!E168+Machinga!E168+Ntaja!E168</f>
        <v>0</v>
      </c>
      <c r="F168" s="125">
        <f>Balaka!F168+Liwonde!F168+Machinga!F168+Ntaja!F168</f>
        <v>2</v>
      </c>
      <c r="G168" s="125">
        <f>Balaka!G168+Liwonde!G168+Machinga!G168+Ntaja!G168</f>
        <v>1</v>
      </c>
      <c r="H168" s="125">
        <f>Balaka!H168+Liwonde!H168+Machinga!H168+Ntaja!H168</f>
        <v>2</v>
      </c>
      <c r="I168" s="125">
        <f>Balaka!I168+Liwonde!I168+Machinga!I168+Ntaja!I168</f>
        <v>1</v>
      </c>
      <c r="J168" s="125">
        <f>Balaka!J168+Liwonde!J168+Machinga!J168+Ntaja!J168</f>
        <v>1</v>
      </c>
      <c r="K168" s="125">
        <f>Balaka!K168+Liwonde!K168+Machinga!K168+Ntaja!K168</f>
        <v>2</v>
      </c>
      <c r="L168" s="125">
        <f>Balaka!L168+Liwonde!L168+Machinga!L168+Ntaja!L168</f>
        <v>0</v>
      </c>
      <c r="M168" s="125">
        <f>Balaka!M168+Liwonde!M168+Machinga!M168+Ntaja!M168</f>
        <v>2</v>
      </c>
      <c r="N168" s="125">
        <f>Balaka!N168+Liwonde!N168+Machinga!N168+Ntaja!N168</f>
        <v>1</v>
      </c>
      <c r="O168" s="125">
        <f>Balaka!O168+Liwonde!O168+Machinga!O168+Ntaja!O168</f>
        <v>0</v>
      </c>
      <c r="P168" s="31">
        <f t="shared" si="74"/>
        <v>13</v>
      </c>
    </row>
    <row r="169" spans="1:16" x14ac:dyDescent="0.3">
      <c r="A169" s="212"/>
      <c r="B169" s="17" t="s">
        <v>72</v>
      </c>
      <c r="C169" s="4" t="s">
        <v>57</v>
      </c>
      <c r="D169" s="125">
        <f>Balaka!D169+Liwonde!D169+Machinga!D169+Ntaja!D169</f>
        <v>0</v>
      </c>
      <c r="E169" s="125">
        <f>Balaka!E169+Liwonde!E169+Machinga!E169+Ntaja!E169</f>
        <v>0</v>
      </c>
      <c r="F169" s="125">
        <f>Balaka!F169+Liwonde!F169+Machinga!F169+Ntaja!F169</f>
        <v>0</v>
      </c>
      <c r="G169" s="125">
        <f>Balaka!G169+Liwonde!G169+Machinga!G169+Ntaja!G169</f>
        <v>0</v>
      </c>
      <c r="H169" s="125">
        <f>Balaka!H169+Liwonde!H169+Machinga!H169+Ntaja!H169</f>
        <v>0</v>
      </c>
      <c r="I169" s="125">
        <f>Balaka!I169+Liwonde!I169+Machinga!I169+Ntaja!I169</f>
        <v>0</v>
      </c>
      <c r="J169" s="125">
        <f>Balaka!J169+Liwonde!J169+Machinga!J169+Ntaja!J169</f>
        <v>1</v>
      </c>
      <c r="K169" s="125">
        <f>Balaka!K169+Liwonde!K169+Machinga!K169+Ntaja!K169</f>
        <v>0</v>
      </c>
      <c r="L169" s="125">
        <f>Balaka!L169+Liwonde!L169+Machinga!L169+Ntaja!L169</f>
        <v>0</v>
      </c>
      <c r="M169" s="125">
        <f>Balaka!M169+Liwonde!M169+Machinga!M169+Ntaja!M169</f>
        <v>0</v>
      </c>
      <c r="N169" s="125">
        <f>Balaka!N169+Liwonde!N169+Machinga!N169+Ntaja!N169</f>
        <v>0</v>
      </c>
      <c r="O169" s="125">
        <f>Balaka!O169+Liwonde!O169+Machinga!O169+Ntaja!O169</f>
        <v>0</v>
      </c>
      <c r="P169" s="31">
        <f t="shared" si="74"/>
        <v>1</v>
      </c>
    </row>
    <row r="170" spans="1:16" x14ac:dyDescent="0.3">
      <c r="A170" s="212"/>
      <c r="B170" s="17" t="s">
        <v>71</v>
      </c>
      <c r="C170" s="4" t="s">
        <v>57</v>
      </c>
      <c r="D170" s="125">
        <f>Balaka!D170+Liwonde!D170+Machinga!D170+Ntaja!D170</f>
        <v>0</v>
      </c>
      <c r="E170" s="125">
        <f>Balaka!E170+Liwonde!E170+Machinga!E170+Ntaja!E170</f>
        <v>0</v>
      </c>
      <c r="F170" s="125">
        <f>Balaka!F170+Liwonde!F170+Machinga!F170+Ntaja!F170</f>
        <v>0</v>
      </c>
      <c r="G170" s="125">
        <f>Balaka!G170+Liwonde!G170+Machinga!G170+Ntaja!G170</f>
        <v>0</v>
      </c>
      <c r="H170" s="125">
        <f>Balaka!H170+Liwonde!H170+Machinga!H170+Ntaja!H170</f>
        <v>0</v>
      </c>
      <c r="I170" s="125">
        <f>Balaka!I170+Liwonde!I170+Machinga!I170+Ntaja!I170</f>
        <v>0</v>
      </c>
      <c r="J170" s="125">
        <f>Balaka!J170+Liwonde!J170+Machinga!J170+Ntaja!J170</f>
        <v>0</v>
      </c>
      <c r="K170" s="125">
        <f>Balaka!K170+Liwonde!K170+Machinga!K170+Ntaja!K170</f>
        <v>0</v>
      </c>
      <c r="L170" s="125">
        <f>Balaka!L170+Liwonde!L170+Machinga!L170+Ntaja!L170</f>
        <v>0</v>
      </c>
      <c r="M170" s="125">
        <f>Balaka!M170+Liwonde!M170+Machinga!M170+Ntaja!M170</f>
        <v>0</v>
      </c>
      <c r="N170" s="125">
        <f>Balaka!N170+Liwonde!N170+Machinga!N170+Ntaja!N170</f>
        <v>0</v>
      </c>
      <c r="O170" s="125">
        <f>Balaka!O170+Liwonde!O170+Machinga!O170+Ntaja!O170</f>
        <v>0</v>
      </c>
      <c r="P170" s="31">
        <f t="shared" si="74"/>
        <v>0</v>
      </c>
    </row>
    <row r="171" spans="1:16" x14ac:dyDescent="0.3">
      <c r="A171" s="212"/>
      <c r="B171" s="17" t="s">
        <v>52</v>
      </c>
      <c r="C171" s="4" t="s">
        <v>57</v>
      </c>
      <c r="D171" s="125">
        <f>Balaka!D171+Liwonde!D171+Machinga!D171+Ntaja!D171</f>
        <v>2</v>
      </c>
      <c r="E171" s="125">
        <f>Balaka!E171+Liwonde!E171+Machinga!E171+Ntaja!E171</f>
        <v>3</v>
      </c>
      <c r="F171" s="125">
        <f>Balaka!F171+Liwonde!F171+Machinga!F171+Ntaja!F171</f>
        <v>2</v>
      </c>
      <c r="G171" s="125">
        <f>Balaka!G171+Liwonde!G171+Machinga!G171+Ntaja!G171</f>
        <v>2</v>
      </c>
      <c r="H171" s="125">
        <f>Balaka!H171+Liwonde!H171+Machinga!H171+Ntaja!H171</f>
        <v>3</v>
      </c>
      <c r="I171" s="125">
        <f>Balaka!I171+Liwonde!I171+Machinga!I171+Ntaja!I171</f>
        <v>3</v>
      </c>
      <c r="J171" s="125">
        <f>Balaka!J171+Liwonde!J171+Machinga!J171+Ntaja!J171</f>
        <v>2</v>
      </c>
      <c r="K171" s="125">
        <f>Balaka!K171+Liwonde!K171+Machinga!K171+Ntaja!K171</f>
        <v>1</v>
      </c>
      <c r="L171" s="125">
        <f>Balaka!L171+Liwonde!L171+Machinga!L171+Ntaja!L171</f>
        <v>0</v>
      </c>
      <c r="M171" s="125">
        <f>Balaka!M171+Liwonde!M171+Machinga!M171+Ntaja!M171</f>
        <v>2</v>
      </c>
      <c r="N171" s="125">
        <f>Balaka!N171+Liwonde!N171+Machinga!N171+Ntaja!N171</f>
        <v>0</v>
      </c>
      <c r="O171" s="125">
        <f>Balaka!O171+Liwonde!O171+Machinga!O171+Ntaja!O171</f>
        <v>0</v>
      </c>
      <c r="P171" s="31">
        <f t="shared" si="74"/>
        <v>20</v>
      </c>
    </row>
    <row r="172" spans="1:16" x14ac:dyDescent="0.3">
      <c r="A172" s="212"/>
      <c r="B172" s="17" t="s">
        <v>62</v>
      </c>
      <c r="C172" s="4" t="s">
        <v>57</v>
      </c>
      <c r="D172" s="125">
        <f>Balaka!D172+Liwonde!D172+Machinga!D172+Ntaja!D172</f>
        <v>0</v>
      </c>
      <c r="E172" s="125">
        <f>Balaka!E172+Liwonde!E172+Machinga!E172+Ntaja!E172</f>
        <v>0</v>
      </c>
      <c r="F172" s="125">
        <f>Balaka!F172+Liwonde!F172+Machinga!F172+Ntaja!F172</f>
        <v>0</v>
      </c>
      <c r="G172" s="125">
        <f>Balaka!G172+Liwonde!G172+Machinga!G172+Ntaja!G172</f>
        <v>0</v>
      </c>
      <c r="H172" s="125">
        <f>Balaka!H172+Liwonde!H172+Machinga!H172+Ntaja!H172</f>
        <v>0</v>
      </c>
      <c r="I172" s="125">
        <f>Balaka!I172+Liwonde!I172+Machinga!I172+Ntaja!I172</f>
        <v>0</v>
      </c>
      <c r="J172" s="125">
        <f>Balaka!J172+Liwonde!J172+Machinga!J172+Ntaja!J172</f>
        <v>0</v>
      </c>
      <c r="K172" s="125">
        <f>Balaka!K172+Liwonde!K172+Machinga!K172+Ntaja!K172</f>
        <v>0</v>
      </c>
      <c r="L172" s="125">
        <f>Balaka!L172+Liwonde!L172+Machinga!L172+Ntaja!L172</f>
        <v>0</v>
      </c>
      <c r="M172" s="125">
        <f>Balaka!M172+Liwonde!M172+Machinga!M172+Ntaja!M172</f>
        <v>0</v>
      </c>
      <c r="N172" s="125">
        <f>Balaka!N172+Liwonde!N172+Machinga!N172+Ntaja!N172</f>
        <v>0</v>
      </c>
      <c r="O172" s="125">
        <f>Balaka!O172+Liwonde!O172+Machinga!O172+Ntaja!O172</f>
        <v>0</v>
      </c>
      <c r="P172" s="31">
        <f t="shared" si="74"/>
        <v>0</v>
      </c>
    </row>
    <row r="173" spans="1:16" x14ac:dyDescent="0.3">
      <c r="A173" s="212"/>
      <c r="B173" s="17" t="s">
        <v>61</v>
      </c>
      <c r="C173" s="4" t="s">
        <v>57</v>
      </c>
      <c r="D173" s="125">
        <f>Balaka!D173+Liwonde!D173+Machinga!D173+Ntaja!D173</f>
        <v>0</v>
      </c>
      <c r="E173" s="125">
        <f>Balaka!E173+Liwonde!E173+Machinga!E173+Ntaja!E173</f>
        <v>0</v>
      </c>
      <c r="F173" s="125">
        <f>Balaka!F173+Liwonde!F173+Machinga!F173+Ntaja!F173</f>
        <v>0</v>
      </c>
      <c r="G173" s="125">
        <f>Balaka!G173+Liwonde!G173+Machinga!G173+Ntaja!G173</f>
        <v>0</v>
      </c>
      <c r="H173" s="125">
        <f>Balaka!H173+Liwonde!H173+Machinga!H173+Ntaja!H173</f>
        <v>0</v>
      </c>
      <c r="I173" s="125">
        <f>Balaka!I173+Liwonde!I173+Machinga!I173+Ntaja!I173</f>
        <v>0</v>
      </c>
      <c r="J173" s="125">
        <f>Balaka!J173+Liwonde!J173+Machinga!J173+Ntaja!J173</f>
        <v>0</v>
      </c>
      <c r="K173" s="125">
        <f>Balaka!K173+Liwonde!K173+Machinga!K173+Ntaja!K173</f>
        <v>0</v>
      </c>
      <c r="L173" s="125">
        <f>Balaka!L173+Liwonde!L173+Machinga!L173+Ntaja!L173</f>
        <v>0</v>
      </c>
      <c r="M173" s="125">
        <f>Balaka!M173+Liwonde!M173+Machinga!M173+Ntaja!M173</f>
        <v>0</v>
      </c>
      <c r="N173" s="125">
        <f>Balaka!N173+Liwonde!N173+Machinga!N173+Ntaja!N173</f>
        <v>0</v>
      </c>
      <c r="O173" s="125">
        <f>Balaka!O173+Liwonde!O173+Machinga!O173+Ntaja!O173</f>
        <v>0</v>
      </c>
      <c r="P173" s="31">
        <f t="shared" si="74"/>
        <v>0</v>
      </c>
    </row>
    <row r="174" spans="1:16" x14ac:dyDescent="0.3">
      <c r="A174" s="212"/>
      <c r="B174" s="17" t="s">
        <v>60</v>
      </c>
      <c r="C174" s="4" t="s">
        <v>57</v>
      </c>
      <c r="D174" s="125">
        <f>Balaka!D174+Liwonde!D174+Machinga!D174+Ntaja!D174</f>
        <v>0</v>
      </c>
      <c r="E174" s="125">
        <f>Balaka!E174+Liwonde!E174+Machinga!E174+Ntaja!E174</f>
        <v>0</v>
      </c>
      <c r="F174" s="125">
        <f>Balaka!F174+Liwonde!F174+Machinga!F174+Ntaja!F174</f>
        <v>0</v>
      </c>
      <c r="G174" s="125">
        <f>Balaka!G174+Liwonde!G174+Machinga!G174+Ntaja!G174</f>
        <v>0</v>
      </c>
      <c r="H174" s="125">
        <f>Balaka!H174+Liwonde!H174+Machinga!H174+Ntaja!H174</f>
        <v>0</v>
      </c>
      <c r="I174" s="125">
        <f>Balaka!I174+Liwonde!I174+Machinga!I174+Ntaja!I174</f>
        <v>0</v>
      </c>
      <c r="J174" s="125">
        <f>Balaka!J174+Liwonde!J174+Machinga!J174+Ntaja!J174</f>
        <v>0</v>
      </c>
      <c r="K174" s="125">
        <f>Balaka!K174+Liwonde!K174+Machinga!K174+Ntaja!K174</f>
        <v>0</v>
      </c>
      <c r="L174" s="125">
        <f>Balaka!L174+Liwonde!L174+Machinga!L174+Ntaja!L174</f>
        <v>0</v>
      </c>
      <c r="M174" s="125">
        <f>Balaka!M174+Liwonde!M174+Machinga!M174+Ntaja!M174</f>
        <v>0</v>
      </c>
      <c r="N174" s="125">
        <f>Balaka!N174+Liwonde!N174+Machinga!N174+Ntaja!N174</f>
        <v>0</v>
      </c>
      <c r="O174" s="125">
        <f>Balaka!O174+Liwonde!O174+Machinga!O174+Ntaja!O174</f>
        <v>0</v>
      </c>
      <c r="P174" s="31">
        <f t="shared" si="74"/>
        <v>0</v>
      </c>
    </row>
    <row r="175" spans="1:16" x14ac:dyDescent="0.3">
      <c r="A175" s="213"/>
      <c r="B175" s="17" t="s">
        <v>69</v>
      </c>
      <c r="C175" s="4" t="s">
        <v>57</v>
      </c>
      <c r="D175" s="125">
        <f>Balaka!D175+Liwonde!D175+Machinga!D175+Ntaja!D175</f>
        <v>0</v>
      </c>
      <c r="E175" s="125">
        <f>Balaka!E175+Liwonde!E175+Machinga!E175+Ntaja!E175</f>
        <v>0</v>
      </c>
      <c r="F175" s="125">
        <f>Balaka!F175+Liwonde!F175+Machinga!F175+Ntaja!F175</f>
        <v>0</v>
      </c>
      <c r="G175" s="125">
        <f>Balaka!G175+Liwonde!G175+Machinga!G175+Ntaja!G175</f>
        <v>0</v>
      </c>
      <c r="H175" s="125">
        <f>Balaka!H175+Liwonde!H175+Machinga!H175+Ntaja!H175</f>
        <v>0</v>
      </c>
      <c r="I175" s="125">
        <f>Balaka!I175+Liwonde!I175+Machinga!I175+Ntaja!I175</f>
        <v>0</v>
      </c>
      <c r="J175" s="125">
        <f>Balaka!J175+Liwonde!J175+Machinga!J175+Ntaja!J175</f>
        <v>0</v>
      </c>
      <c r="K175" s="125">
        <f>Balaka!K175+Liwonde!K175+Machinga!K175+Ntaja!K175</f>
        <v>0</v>
      </c>
      <c r="L175" s="125">
        <f>Balaka!L175+Liwonde!L175+Machinga!L175+Ntaja!L175</f>
        <v>0</v>
      </c>
      <c r="M175" s="125">
        <f>Balaka!M175+Liwonde!M175+Machinga!M175+Ntaja!M175</f>
        <v>0</v>
      </c>
      <c r="N175" s="125">
        <f>Balaka!N175+Liwonde!N175+Machinga!N175+Ntaja!N175</f>
        <v>0</v>
      </c>
      <c r="O175" s="125">
        <f>Balaka!O175+Liwonde!O175+Machinga!O175+Ntaja!O175</f>
        <v>0</v>
      </c>
      <c r="P175" s="31">
        <f t="shared" si="74"/>
        <v>0</v>
      </c>
    </row>
    <row r="176" spans="1:16" x14ac:dyDescent="0.3">
      <c r="A176" s="211" t="s">
        <v>70</v>
      </c>
      <c r="B176" s="19" t="s">
        <v>63</v>
      </c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1"/>
    </row>
    <row r="177" spans="1:16" x14ac:dyDescent="0.3">
      <c r="A177" s="212"/>
      <c r="B177" s="17" t="s">
        <v>60</v>
      </c>
      <c r="C177" s="4" t="s">
        <v>57</v>
      </c>
      <c r="D177" s="125">
        <f>Balaka!D177+Liwonde!D177+Machinga!D177+Ntaja!D177</f>
        <v>0</v>
      </c>
      <c r="E177" s="125">
        <f>Balaka!E177+Liwonde!E177+Machinga!E177+Ntaja!E177</f>
        <v>0</v>
      </c>
      <c r="F177" s="125">
        <f>Balaka!F177+Liwonde!F177+Machinga!F177+Ntaja!F177</f>
        <v>0</v>
      </c>
      <c r="G177" s="125">
        <f>Balaka!G177+Liwonde!G177+Machinga!G177+Ntaja!G177</f>
        <v>0</v>
      </c>
      <c r="H177" s="125">
        <f>Balaka!H177+Liwonde!H177+Machinga!H177+Ntaja!H177</f>
        <v>0</v>
      </c>
      <c r="I177" s="125">
        <f>Balaka!I177+Liwonde!I177+Machinga!I177+Ntaja!I177</f>
        <v>0</v>
      </c>
      <c r="J177" s="125">
        <f>Balaka!J177+Liwonde!J177+Machinga!J177+Ntaja!J177</f>
        <v>0</v>
      </c>
      <c r="K177" s="125">
        <f>Balaka!K177+Liwonde!K177+Machinga!K177+Ntaja!K177</f>
        <v>0</v>
      </c>
      <c r="L177" s="125">
        <f>Balaka!L177+Liwonde!L177+Machinga!L177+Ntaja!L177</f>
        <v>0</v>
      </c>
      <c r="M177" s="125">
        <f>Balaka!M177+Liwonde!M177+Machinga!M177+Ntaja!M177</f>
        <v>0</v>
      </c>
      <c r="N177" s="125">
        <f>Balaka!N177+Liwonde!N177+Machinga!N177+Ntaja!N177</f>
        <v>0</v>
      </c>
      <c r="O177" s="125">
        <f>Balaka!O177+Liwonde!O177+Machinga!O177+Ntaja!O177</f>
        <v>0</v>
      </c>
      <c r="P177" s="31">
        <f t="shared" ref="P177:P182" si="75">SUM(D177:O177)</f>
        <v>0</v>
      </c>
    </row>
    <row r="178" spans="1:16" x14ac:dyDescent="0.3">
      <c r="A178" s="212"/>
      <c r="B178" s="17" t="s">
        <v>69</v>
      </c>
      <c r="C178" s="4" t="s">
        <v>57</v>
      </c>
      <c r="D178" s="125">
        <f>Balaka!D178+Liwonde!D178+Machinga!D178+Ntaja!D178</f>
        <v>0</v>
      </c>
      <c r="E178" s="125">
        <f>Balaka!E178+Liwonde!E178+Machinga!E178+Ntaja!E178</f>
        <v>0</v>
      </c>
      <c r="F178" s="125">
        <f>Balaka!F178+Liwonde!F178+Machinga!F178+Ntaja!F178</f>
        <v>0</v>
      </c>
      <c r="G178" s="125">
        <f>Balaka!G178+Liwonde!G178+Machinga!G178+Ntaja!G178</f>
        <v>0</v>
      </c>
      <c r="H178" s="125">
        <f>Balaka!H178+Liwonde!H178+Machinga!H178+Ntaja!H178</f>
        <v>0</v>
      </c>
      <c r="I178" s="125">
        <f>Balaka!I178+Liwonde!I178+Machinga!I178+Ntaja!I178</f>
        <v>0</v>
      </c>
      <c r="J178" s="125">
        <f>Balaka!J178+Liwonde!J178+Machinga!J178+Ntaja!J178</f>
        <v>0</v>
      </c>
      <c r="K178" s="125">
        <f>Balaka!K178+Liwonde!K178+Machinga!K178+Ntaja!K178</f>
        <v>0</v>
      </c>
      <c r="L178" s="125">
        <f>Balaka!L178+Liwonde!L178+Machinga!L178+Ntaja!L178</f>
        <v>0</v>
      </c>
      <c r="M178" s="125">
        <f>Balaka!M178+Liwonde!M178+Machinga!M178+Ntaja!M178</f>
        <v>0</v>
      </c>
      <c r="N178" s="125">
        <f>Balaka!N178+Liwonde!N178+Machinga!N178+Ntaja!N178</f>
        <v>0</v>
      </c>
      <c r="O178" s="125">
        <f>Balaka!O178+Liwonde!O178+Machinga!O178+Ntaja!O178</f>
        <v>0</v>
      </c>
      <c r="P178" s="31">
        <f t="shared" si="75"/>
        <v>0</v>
      </c>
    </row>
    <row r="179" spans="1:16" x14ac:dyDescent="0.3">
      <c r="A179" s="212"/>
      <c r="B179" s="17" t="s">
        <v>68</v>
      </c>
      <c r="C179" s="4" t="s">
        <v>57</v>
      </c>
      <c r="D179" s="125">
        <f>Balaka!D179+Liwonde!D179+Machinga!D179+Ntaja!D179</f>
        <v>0</v>
      </c>
      <c r="E179" s="125">
        <f>Balaka!E179+Liwonde!E179+Machinga!E179+Ntaja!E179</f>
        <v>0</v>
      </c>
      <c r="F179" s="125">
        <f>Balaka!F179+Liwonde!F179+Machinga!F179+Ntaja!F179</f>
        <v>0</v>
      </c>
      <c r="G179" s="125">
        <f>Balaka!G179+Liwonde!G179+Machinga!G179+Ntaja!G179</f>
        <v>0</v>
      </c>
      <c r="H179" s="125">
        <f>Balaka!H179+Liwonde!H179+Machinga!H179+Ntaja!H179</f>
        <v>0</v>
      </c>
      <c r="I179" s="125">
        <f>Balaka!I179+Liwonde!I179+Machinga!I179+Ntaja!I179</f>
        <v>0</v>
      </c>
      <c r="J179" s="125">
        <f>Balaka!J179+Liwonde!J179+Machinga!J179+Ntaja!J179</f>
        <v>0</v>
      </c>
      <c r="K179" s="125">
        <f>Balaka!K179+Liwonde!K179+Machinga!K179+Ntaja!K179</f>
        <v>0</v>
      </c>
      <c r="L179" s="125">
        <f>Balaka!L179+Liwonde!L179+Machinga!L179+Ntaja!L179</f>
        <v>0</v>
      </c>
      <c r="M179" s="125">
        <f>Balaka!M179+Liwonde!M179+Machinga!M179+Ntaja!M179</f>
        <v>0</v>
      </c>
      <c r="N179" s="125">
        <f>Balaka!N179+Liwonde!N179+Machinga!N179+Ntaja!N179</f>
        <v>0</v>
      </c>
      <c r="O179" s="125">
        <f>Balaka!O179+Liwonde!O179+Machinga!O179+Ntaja!O179</f>
        <v>0</v>
      </c>
      <c r="P179" s="31">
        <f t="shared" si="75"/>
        <v>0</v>
      </c>
    </row>
    <row r="180" spans="1:16" x14ac:dyDescent="0.3">
      <c r="A180" s="212"/>
      <c r="B180" s="17" t="s">
        <v>67</v>
      </c>
      <c r="C180" s="4" t="s">
        <v>57</v>
      </c>
      <c r="D180" s="125">
        <f>Balaka!D180+Liwonde!D180+Machinga!D180+Ntaja!D180</f>
        <v>0</v>
      </c>
      <c r="E180" s="125">
        <f>Balaka!E180+Liwonde!E180+Machinga!E180+Ntaja!E180</f>
        <v>0</v>
      </c>
      <c r="F180" s="125">
        <f>Balaka!F180+Liwonde!F180+Machinga!F180+Ntaja!F180</f>
        <v>0</v>
      </c>
      <c r="G180" s="125">
        <f>Balaka!G180+Liwonde!G180+Machinga!G180+Ntaja!G180</f>
        <v>0</v>
      </c>
      <c r="H180" s="125">
        <f>Balaka!H180+Liwonde!H180+Machinga!H180+Ntaja!H180</f>
        <v>0</v>
      </c>
      <c r="I180" s="125">
        <f>Balaka!I180+Liwonde!I180+Machinga!I180+Ntaja!I180</f>
        <v>0</v>
      </c>
      <c r="J180" s="125">
        <f>Balaka!J180+Liwonde!J180+Machinga!J180+Ntaja!J180</f>
        <v>0</v>
      </c>
      <c r="K180" s="125">
        <f>Balaka!K180+Liwonde!K180+Machinga!K180+Ntaja!K180</f>
        <v>0</v>
      </c>
      <c r="L180" s="125">
        <f>Balaka!L180+Liwonde!L180+Machinga!L180+Ntaja!L180</f>
        <v>0</v>
      </c>
      <c r="M180" s="125">
        <f>Balaka!M180+Liwonde!M180+Machinga!M180+Ntaja!M180</f>
        <v>0</v>
      </c>
      <c r="N180" s="125">
        <f>Balaka!N180+Liwonde!N180+Machinga!N180+Ntaja!N180</f>
        <v>0</v>
      </c>
      <c r="O180" s="125">
        <f>Balaka!O180+Liwonde!O180+Machinga!O180+Ntaja!O180</f>
        <v>0</v>
      </c>
      <c r="P180" s="31">
        <f t="shared" si="75"/>
        <v>0</v>
      </c>
    </row>
    <row r="181" spans="1:16" x14ac:dyDescent="0.3">
      <c r="A181" s="212"/>
      <c r="B181" s="17" t="s">
        <v>66</v>
      </c>
      <c r="C181" s="4" t="s">
        <v>57</v>
      </c>
      <c r="D181" s="125">
        <f>Balaka!D181+Liwonde!D181+Machinga!D181+Ntaja!D181</f>
        <v>0</v>
      </c>
      <c r="E181" s="125">
        <f>Balaka!E181+Liwonde!E181+Machinga!E181+Ntaja!E181</f>
        <v>0</v>
      </c>
      <c r="F181" s="125">
        <f>Balaka!F181+Liwonde!F181+Machinga!F181+Ntaja!F181</f>
        <v>0</v>
      </c>
      <c r="G181" s="125">
        <f>Balaka!G181+Liwonde!G181+Machinga!G181+Ntaja!G181</f>
        <v>0</v>
      </c>
      <c r="H181" s="125">
        <f>Balaka!H181+Liwonde!H181+Machinga!H181+Ntaja!H181</f>
        <v>0</v>
      </c>
      <c r="I181" s="125">
        <f>Balaka!I181+Liwonde!I181+Machinga!I181+Ntaja!I181</f>
        <v>0</v>
      </c>
      <c r="J181" s="125">
        <f>Balaka!J181+Liwonde!J181+Machinga!J181+Ntaja!J181</f>
        <v>0</v>
      </c>
      <c r="K181" s="125">
        <f>Balaka!K181+Liwonde!K181+Machinga!K181+Ntaja!K181</f>
        <v>0</v>
      </c>
      <c r="L181" s="125">
        <f>Balaka!L181+Liwonde!L181+Machinga!L181+Ntaja!L181</f>
        <v>0</v>
      </c>
      <c r="M181" s="125">
        <f>Balaka!M181+Liwonde!M181+Machinga!M181+Ntaja!M181</f>
        <v>0</v>
      </c>
      <c r="N181" s="125">
        <f>Balaka!N181+Liwonde!N181+Machinga!N181+Ntaja!N181</f>
        <v>0</v>
      </c>
      <c r="O181" s="125">
        <f>Balaka!O181+Liwonde!O181+Machinga!O181+Ntaja!O181</f>
        <v>0</v>
      </c>
      <c r="P181" s="31">
        <f t="shared" si="75"/>
        <v>0</v>
      </c>
    </row>
    <row r="182" spans="1:16" x14ac:dyDescent="0.3">
      <c r="A182" s="213"/>
      <c r="B182" s="17" t="s">
        <v>65</v>
      </c>
      <c r="C182" s="4" t="s">
        <v>57</v>
      </c>
      <c r="D182" s="125">
        <f>Balaka!D182+Liwonde!D182+Machinga!D182+Ntaja!D182</f>
        <v>0</v>
      </c>
      <c r="E182" s="125">
        <f>Balaka!E182+Liwonde!E182+Machinga!E182+Ntaja!E182</f>
        <v>0</v>
      </c>
      <c r="F182" s="125">
        <f>Balaka!F182+Liwonde!F182+Machinga!F182+Ntaja!F182</f>
        <v>0</v>
      </c>
      <c r="G182" s="125">
        <f>Balaka!G182+Liwonde!G182+Machinga!G182+Ntaja!G182</f>
        <v>0</v>
      </c>
      <c r="H182" s="125">
        <f>Balaka!H182+Liwonde!H182+Machinga!H182+Ntaja!H182</f>
        <v>0</v>
      </c>
      <c r="I182" s="125">
        <f>Balaka!I182+Liwonde!I182+Machinga!I182+Ntaja!I182</f>
        <v>0</v>
      </c>
      <c r="J182" s="125">
        <f>Balaka!J182+Liwonde!J182+Machinga!J182+Ntaja!J182</f>
        <v>0</v>
      </c>
      <c r="K182" s="125">
        <f>Balaka!K182+Liwonde!K182+Machinga!K182+Ntaja!K182</f>
        <v>0</v>
      </c>
      <c r="L182" s="125">
        <f>Balaka!L182+Liwonde!L182+Machinga!L182+Ntaja!L182</f>
        <v>0</v>
      </c>
      <c r="M182" s="125">
        <f>Balaka!M182+Liwonde!M182+Machinga!M182+Ntaja!M182</f>
        <v>0</v>
      </c>
      <c r="N182" s="125">
        <f>Balaka!N182+Liwonde!N182+Machinga!N182+Ntaja!N182</f>
        <v>0</v>
      </c>
      <c r="O182" s="125">
        <f>Balaka!O182+Liwonde!O182+Machinga!O182+Ntaja!O182</f>
        <v>0</v>
      </c>
      <c r="P182" s="31">
        <f t="shared" si="75"/>
        <v>0</v>
      </c>
    </row>
    <row r="183" spans="1:16" x14ac:dyDescent="0.3">
      <c r="A183" s="211" t="s">
        <v>211</v>
      </c>
      <c r="B183" s="19" t="s">
        <v>63</v>
      </c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1"/>
    </row>
    <row r="184" spans="1:16" x14ac:dyDescent="0.3">
      <c r="A184" s="212"/>
      <c r="B184" s="17" t="s">
        <v>73</v>
      </c>
      <c r="C184" s="4" t="s">
        <v>57</v>
      </c>
      <c r="D184" s="125">
        <f>Balaka!D184+Liwonde!D184+Machinga!D184+Ntaja!D184</f>
        <v>0</v>
      </c>
      <c r="E184" s="125">
        <f>Balaka!E184+Liwonde!E184+Machinga!E184+Ntaja!E184</f>
        <v>0</v>
      </c>
      <c r="F184" s="125">
        <f>Balaka!F184+Liwonde!F184+Machinga!F184+Ntaja!F184</f>
        <v>0</v>
      </c>
      <c r="G184" s="125">
        <f>Balaka!G184+Liwonde!G184+Machinga!G184+Ntaja!G184</f>
        <v>0</v>
      </c>
      <c r="H184" s="125">
        <f>Balaka!H184+Liwonde!H184+Machinga!H184+Ntaja!H184</f>
        <v>0</v>
      </c>
      <c r="I184" s="125">
        <f>Balaka!I184+Liwonde!I184+Machinga!I184+Ntaja!I184</f>
        <v>0</v>
      </c>
      <c r="J184" s="125">
        <f>Balaka!J184+Liwonde!J184+Machinga!J184+Ntaja!J184</f>
        <v>0</v>
      </c>
      <c r="K184" s="125">
        <f>Balaka!K184+Liwonde!K184+Machinga!K184+Ntaja!K184</f>
        <v>0</v>
      </c>
      <c r="L184" s="125">
        <f>Balaka!L184+Liwonde!L184+Machinga!L184+Ntaja!L184</f>
        <v>0</v>
      </c>
      <c r="M184" s="125">
        <f>Balaka!M184+Liwonde!M184+Machinga!M184+Ntaja!M184</f>
        <v>0</v>
      </c>
      <c r="N184" s="125">
        <f>Balaka!N184+Liwonde!N184+Machinga!N184+Ntaja!N184</f>
        <v>0</v>
      </c>
      <c r="O184" s="125">
        <f>Balaka!O184+Liwonde!O184+Machinga!O184+Ntaja!O184</f>
        <v>0</v>
      </c>
      <c r="P184" s="31">
        <f>SUM(D184:O184)</f>
        <v>0</v>
      </c>
    </row>
    <row r="185" spans="1:16" x14ac:dyDescent="0.3">
      <c r="A185" s="212"/>
      <c r="B185" s="17" t="s">
        <v>72</v>
      </c>
      <c r="C185" s="4" t="s">
        <v>57</v>
      </c>
      <c r="D185" s="125">
        <f>Balaka!D185+Liwonde!D185+Machinga!D185+Ntaja!D185</f>
        <v>0</v>
      </c>
      <c r="E185" s="125">
        <f>Balaka!E185+Liwonde!E185+Machinga!E185+Ntaja!E185</f>
        <v>0</v>
      </c>
      <c r="F185" s="125">
        <f>Balaka!F185+Liwonde!F185+Machinga!F185+Ntaja!F185</f>
        <v>0</v>
      </c>
      <c r="G185" s="125">
        <f>Balaka!G185+Liwonde!G185+Machinga!G185+Ntaja!G185</f>
        <v>0</v>
      </c>
      <c r="H185" s="125">
        <f>Balaka!H185+Liwonde!H185+Machinga!H185+Ntaja!H185</f>
        <v>0</v>
      </c>
      <c r="I185" s="125">
        <f>Balaka!I185+Liwonde!I185+Machinga!I185+Ntaja!I185</f>
        <v>0</v>
      </c>
      <c r="J185" s="125">
        <f>Balaka!J185+Liwonde!J185+Machinga!J185+Ntaja!J185</f>
        <v>0</v>
      </c>
      <c r="K185" s="125">
        <f>Balaka!K185+Liwonde!K185+Machinga!K185+Ntaja!K185</f>
        <v>0</v>
      </c>
      <c r="L185" s="125">
        <f>Balaka!L185+Liwonde!L185+Machinga!L185+Ntaja!L185</f>
        <v>0</v>
      </c>
      <c r="M185" s="125">
        <f>Balaka!M185+Liwonde!M185+Machinga!M185+Ntaja!M185</f>
        <v>0</v>
      </c>
      <c r="N185" s="125">
        <f>Balaka!N185+Liwonde!N185+Machinga!N185+Ntaja!N185</f>
        <v>0</v>
      </c>
      <c r="O185" s="125">
        <f>Balaka!O185+Liwonde!O185+Machinga!O185+Ntaja!O185</f>
        <v>0</v>
      </c>
      <c r="P185" s="31">
        <f>SUM(D185:O185)</f>
        <v>0</v>
      </c>
    </row>
    <row r="186" spans="1:16" x14ac:dyDescent="0.3">
      <c r="A186" s="212"/>
      <c r="B186" s="17" t="s">
        <v>53</v>
      </c>
      <c r="C186" s="4" t="s">
        <v>57</v>
      </c>
      <c r="D186" s="125">
        <f>Balaka!D186+Liwonde!D186+Machinga!D186+Ntaja!D186</f>
        <v>0</v>
      </c>
      <c r="E186" s="125">
        <f>Balaka!E186+Liwonde!E186+Machinga!E186+Ntaja!E186</f>
        <v>0</v>
      </c>
      <c r="F186" s="125">
        <f>Balaka!F186+Liwonde!F186+Machinga!F186+Ntaja!F186</f>
        <v>0</v>
      </c>
      <c r="G186" s="125">
        <f>Balaka!G186+Liwonde!G186+Machinga!G186+Ntaja!G186</f>
        <v>0</v>
      </c>
      <c r="H186" s="125">
        <f>Balaka!H186+Liwonde!H186+Machinga!H186+Ntaja!H186</f>
        <v>0</v>
      </c>
      <c r="I186" s="125">
        <f>Balaka!I186+Liwonde!I186+Machinga!I186+Ntaja!I186</f>
        <v>0</v>
      </c>
      <c r="J186" s="125">
        <f>Balaka!J186+Liwonde!J186+Machinga!J186+Ntaja!J186</f>
        <v>0</v>
      </c>
      <c r="K186" s="125">
        <f>Balaka!K186+Liwonde!K186+Machinga!K186+Ntaja!K186</f>
        <v>0</v>
      </c>
      <c r="L186" s="125">
        <f>Balaka!L186+Liwonde!L186+Machinga!L186+Ntaja!L186</f>
        <v>0</v>
      </c>
      <c r="M186" s="125">
        <f>Balaka!M186+Liwonde!M186+Machinga!M186+Ntaja!M186</f>
        <v>0</v>
      </c>
      <c r="N186" s="125">
        <f>Balaka!N186+Liwonde!N186+Machinga!N186+Ntaja!N186</f>
        <v>0</v>
      </c>
      <c r="O186" s="125">
        <f>Balaka!O186+Liwonde!O186+Machinga!O186+Ntaja!O186</f>
        <v>0</v>
      </c>
      <c r="P186" s="31">
        <f>SUM(D186:O186)</f>
        <v>0</v>
      </c>
    </row>
    <row r="187" spans="1:16" x14ac:dyDescent="0.3">
      <c r="A187" s="213"/>
      <c r="B187" s="17" t="s">
        <v>52</v>
      </c>
      <c r="C187" s="4" t="s">
        <v>57</v>
      </c>
      <c r="D187" s="125">
        <f>Balaka!D187+Liwonde!D187+Machinga!D187+Ntaja!D187</f>
        <v>0</v>
      </c>
      <c r="E187" s="125">
        <f>Balaka!E187+Liwonde!E187+Machinga!E187+Ntaja!E187</f>
        <v>0</v>
      </c>
      <c r="F187" s="125">
        <f>Balaka!F187+Liwonde!F187+Machinga!F187+Ntaja!F187</f>
        <v>0</v>
      </c>
      <c r="G187" s="125">
        <f>Balaka!G187+Liwonde!G187+Machinga!G187+Ntaja!G187</f>
        <v>0</v>
      </c>
      <c r="H187" s="125">
        <f>Balaka!H187+Liwonde!H187+Machinga!H187+Ntaja!H187</f>
        <v>0</v>
      </c>
      <c r="I187" s="125">
        <f>Balaka!I187+Liwonde!I187+Machinga!I187+Ntaja!I187</f>
        <v>0</v>
      </c>
      <c r="J187" s="125">
        <f>Balaka!J187+Liwonde!J187+Machinga!J187+Ntaja!J187</f>
        <v>0</v>
      </c>
      <c r="K187" s="125">
        <f>Balaka!K187+Liwonde!K187+Machinga!K187+Ntaja!K187</f>
        <v>0</v>
      </c>
      <c r="L187" s="125">
        <f>Balaka!L187+Liwonde!L187+Machinga!L187+Ntaja!L187</f>
        <v>0</v>
      </c>
      <c r="M187" s="125">
        <f>Balaka!M187+Liwonde!M187+Machinga!M187+Ntaja!M187</f>
        <v>0</v>
      </c>
      <c r="N187" s="125">
        <f>Balaka!N187+Liwonde!N187+Machinga!N187+Ntaja!N187</f>
        <v>0</v>
      </c>
      <c r="O187" s="125">
        <f>Balaka!O187+Liwonde!O187+Machinga!O187+Ntaja!O187</f>
        <v>0</v>
      </c>
      <c r="P187" s="31">
        <f>SUM(D187:O187)</f>
        <v>0</v>
      </c>
    </row>
    <row r="188" spans="1:16" x14ac:dyDescent="0.3">
      <c r="A188" s="211" t="s">
        <v>64</v>
      </c>
      <c r="B188" s="19" t="s">
        <v>63</v>
      </c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1"/>
    </row>
    <row r="189" spans="1:16" x14ac:dyDescent="0.3">
      <c r="A189" s="212"/>
      <c r="B189" s="18" t="s">
        <v>52</v>
      </c>
      <c r="C189" s="4" t="s">
        <v>57</v>
      </c>
      <c r="D189" s="125">
        <f>Balaka!D189+Liwonde!D189+Machinga!D189+Ntaja!D189</f>
        <v>0</v>
      </c>
      <c r="E189" s="125">
        <f>Balaka!E189+Liwonde!E189+Machinga!E189+Ntaja!E189</f>
        <v>0</v>
      </c>
      <c r="F189" s="125">
        <f>Balaka!F189+Liwonde!F189+Machinga!F189+Ntaja!F189</f>
        <v>0</v>
      </c>
      <c r="G189" s="125">
        <f>Balaka!G189+Liwonde!G189+Machinga!G189+Ntaja!G189</f>
        <v>0</v>
      </c>
      <c r="H189" s="125">
        <f>Balaka!H189+Liwonde!H189+Machinga!H189+Ntaja!H189</f>
        <v>0</v>
      </c>
      <c r="I189" s="125">
        <f>Balaka!I189+Liwonde!I189+Machinga!I189+Ntaja!I189</f>
        <v>0</v>
      </c>
      <c r="J189" s="125">
        <f>Balaka!J189+Liwonde!J189+Machinga!J189+Ntaja!J189</f>
        <v>0</v>
      </c>
      <c r="K189" s="125">
        <f>Balaka!K189+Liwonde!K189+Machinga!K189+Ntaja!K189</f>
        <v>0</v>
      </c>
      <c r="L189" s="125">
        <f>Balaka!L189+Liwonde!L189+Machinga!L189+Ntaja!L189</f>
        <v>0</v>
      </c>
      <c r="M189" s="125">
        <f>Balaka!M189+Liwonde!M189+Machinga!M189+Ntaja!M189</f>
        <v>0</v>
      </c>
      <c r="N189" s="125">
        <f>Balaka!N189+Liwonde!N189+Machinga!N189+Ntaja!N189</f>
        <v>0</v>
      </c>
      <c r="O189" s="125">
        <f>Balaka!O189+Liwonde!O189+Machinga!O189+Ntaja!O189</f>
        <v>0</v>
      </c>
      <c r="P189" s="31">
        <f>SUM(D189:O189)</f>
        <v>0</v>
      </c>
    </row>
    <row r="190" spans="1:16" x14ac:dyDescent="0.3">
      <c r="A190" s="212"/>
      <c r="B190" s="17" t="s">
        <v>62</v>
      </c>
      <c r="C190" s="4" t="s">
        <v>57</v>
      </c>
      <c r="D190" s="125">
        <f>Balaka!D190+Liwonde!D190+Machinga!D190+Ntaja!D190</f>
        <v>0</v>
      </c>
      <c r="E190" s="125">
        <f>Balaka!E190+Liwonde!E190+Machinga!E190+Ntaja!E190</f>
        <v>0</v>
      </c>
      <c r="F190" s="125">
        <f>Balaka!F190+Liwonde!F190+Machinga!F190+Ntaja!F190</f>
        <v>0</v>
      </c>
      <c r="G190" s="125">
        <f>Balaka!G190+Liwonde!G190+Machinga!G190+Ntaja!G190</f>
        <v>0</v>
      </c>
      <c r="H190" s="125">
        <f>Balaka!H190+Liwonde!H190+Machinga!H190+Ntaja!H190</f>
        <v>0</v>
      </c>
      <c r="I190" s="125">
        <f>Balaka!I190+Liwonde!I190+Machinga!I190+Ntaja!I190</f>
        <v>0</v>
      </c>
      <c r="J190" s="125">
        <f>Balaka!J190+Liwonde!J190+Machinga!J190+Ntaja!J190</f>
        <v>0</v>
      </c>
      <c r="K190" s="125">
        <f>Balaka!K190+Liwonde!K190+Machinga!K190+Ntaja!K190</f>
        <v>0</v>
      </c>
      <c r="L190" s="125">
        <f>Balaka!L190+Liwonde!L190+Machinga!L190+Ntaja!L190</f>
        <v>0</v>
      </c>
      <c r="M190" s="125">
        <f>Balaka!M190+Liwonde!M190+Machinga!M190+Ntaja!M190</f>
        <v>0</v>
      </c>
      <c r="N190" s="125">
        <f>Balaka!N190+Liwonde!N190+Machinga!N190+Ntaja!N190</f>
        <v>0</v>
      </c>
      <c r="O190" s="125">
        <f>Balaka!O190+Liwonde!O190+Machinga!O190+Ntaja!O190</f>
        <v>0</v>
      </c>
      <c r="P190" s="31">
        <f>SUM(D190:O190)</f>
        <v>0</v>
      </c>
    </row>
    <row r="191" spans="1:16" x14ac:dyDescent="0.3">
      <c r="A191" s="212"/>
      <c r="B191" s="17" t="s">
        <v>61</v>
      </c>
      <c r="C191" s="4" t="s">
        <v>57</v>
      </c>
      <c r="D191" s="125">
        <f>Balaka!D191+Liwonde!D191+Machinga!D191+Ntaja!D191</f>
        <v>0</v>
      </c>
      <c r="E191" s="125">
        <f>Balaka!E191+Liwonde!E191+Machinga!E191+Ntaja!E191</f>
        <v>0</v>
      </c>
      <c r="F191" s="125">
        <f>Balaka!F191+Liwonde!F191+Machinga!F191+Ntaja!F191</f>
        <v>0</v>
      </c>
      <c r="G191" s="125">
        <f>Balaka!G191+Liwonde!G191+Machinga!G191+Ntaja!G191</f>
        <v>0</v>
      </c>
      <c r="H191" s="125">
        <f>Balaka!H191+Liwonde!H191+Machinga!H191+Ntaja!H191</f>
        <v>0</v>
      </c>
      <c r="I191" s="125">
        <f>Balaka!I191+Liwonde!I191+Machinga!I191+Ntaja!I191</f>
        <v>0</v>
      </c>
      <c r="J191" s="125">
        <f>Balaka!J191+Liwonde!J191+Machinga!J191+Ntaja!J191</f>
        <v>0</v>
      </c>
      <c r="K191" s="125">
        <f>Balaka!K191+Liwonde!K191+Machinga!K191+Ntaja!K191</f>
        <v>0</v>
      </c>
      <c r="L191" s="125">
        <f>Balaka!L191+Liwonde!L191+Machinga!L191+Ntaja!L191</f>
        <v>0</v>
      </c>
      <c r="M191" s="125">
        <f>Balaka!M191+Liwonde!M191+Machinga!M191+Ntaja!M191</f>
        <v>0</v>
      </c>
      <c r="N191" s="125">
        <f>Balaka!N191+Liwonde!N191+Machinga!N191+Ntaja!N191</f>
        <v>0</v>
      </c>
      <c r="O191" s="125">
        <f>Balaka!O191+Liwonde!O191+Machinga!O191+Ntaja!O191</f>
        <v>0</v>
      </c>
      <c r="P191" s="31">
        <f>SUM(D191:O191)</f>
        <v>0</v>
      </c>
    </row>
    <row r="192" spans="1:16" x14ac:dyDescent="0.3">
      <c r="A192" s="213"/>
      <c r="B192" s="17" t="s">
        <v>60</v>
      </c>
      <c r="C192" s="4" t="s">
        <v>57</v>
      </c>
      <c r="D192" s="125">
        <f>Balaka!D192+Liwonde!D192+Machinga!D192+Ntaja!D192</f>
        <v>0</v>
      </c>
      <c r="E192" s="125">
        <f>Balaka!E192+Liwonde!E192+Machinga!E192+Ntaja!E192</f>
        <v>0</v>
      </c>
      <c r="F192" s="125">
        <f>Balaka!F192+Liwonde!F192+Machinga!F192+Ntaja!F192</f>
        <v>0</v>
      </c>
      <c r="G192" s="125">
        <f>Balaka!G192+Liwonde!G192+Machinga!G192+Ntaja!G192</f>
        <v>0</v>
      </c>
      <c r="H192" s="125">
        <f>Balaka!H192+Liwonde!H192+Machinga!H192+Ntaja!H192</f>
        <v>0</v>
      </c>
      <c r="I192" s="125">
        <f>Balaka!I192+Liwonde!I192+Machinga!I192+Ntaja!I192</f>
        <v>0</v>
      </c>
      <c r="J192" s="125">
        <f>Balaka!J192+Liwonde!J192+Machinga!J192+Ntaja!J192</f>
        <v>0</v>
      </c>
      <c r="K192" s="125">
        <f>Balaka!K192+Liwonde!K192+Machinga!K192+Ntaja!K192</f>
        <v>0</v>
      </c>
      <c r="L192" s="125">
        <f>Balaka!L192+Liwonde!L192+Machinga!L192+Ntaja!L192</f>
        <v>0</v>
      </c>
      <c r="M192" s="125">
        <f>Balaka!M192+Liwonde!M192+Machinga!M192+Ntaja!M192</f>
        <v>0</v>
      </c>
      <c r="N192" s="125">
        <f>Balaka!N192+Liwonde!N192+Machinga!N192+Ntaja!N192</f>
        <v>0</v>
      </c>
      <c r="O192" s="125">
        <f>Balaka!O192+Liwonde!O192+Machinga!O192+Ntaja!O192</f>
        <v>0</v>
      </c>
      <c r="P192" s="31">
        <f>SUM(D192:O192)</f>
        <v>0</v>
      </c>
    </row>
    <row r="193" spans="1:16" x14ac:dyDescent="0.3">
      <c r="A193" s="73" t="s">
        <v>59</v>
      </c>
      <c r="B193" s="15"/>
      <c r="C193" s="4"/>
      <c r="D193" s="9">
        <f>SUM(D153:D192)</f>
        <v>551</v>
      </c>
      <c r="E193" s="9">
        <f t="shared" ref="E193:P193" si="76">SUM(E153:E192)</f>
        <v>620</v>
      </c>
      <c r="F193" s="9">
        <f t="shared" si="76"/>
        <v>526</v>
      </c>
      <c r="G193" s="9">
        <f t="shared" ref="G193:H193" si="77">SUM(G153:G192)</f>
        <v>467</v>
      </c>
      <c r="H193" s="9">
        <f t="shared" si="77"/>
        <v>460</v>
      </c>
      <c r="I193" s="9">
        <f t="shared" ref="I193:O193" si="78">SUM(I153:I192)</f>
        <v>473</v>
      </c>
      <c r="J193" s="9">
        <f t="shared" si="78"/>
        <v>343</v>
      </c>
      <c r="K193" s="9">
        <f t="shared" si="78"/>
        <v>425</v>
      </c>
      <c r="L193" s="9">
        <f t="shared" si="78"/>
        <v>354</v>
      </c>
      <c r="M193" s="9">
        <f t="shared" si="78"/>
        <v>498</v>
      </c>
      <c r="N193" s="9">
        <f t="shared" si="78"/>
        <v>394</v>
      </c>
      <c r="O193" s="9">
        <f t="shared" si="78"/>
        <v>305</v>
      </c>
      <c r="P193" s="35">
        <f t="shared" si="76"/>
        <v>5416</v>
      </c>
    </row>
    <row r="194" spans="1:16" x14ac:dyDescent="0.3">
      <c r="A194" s="206" t="s">
        <v>58</v>
      </c>
      <c r="B194" s="207"/>
      <c r="C194" s="4" t="s">
        <v>57</v>
      </c>
      <c r="D194" s="117">
        <f>Balaka!D194+Liwonde!D194+Machinga!D194+Ntaja!D194</f>
        <v>3</v>
      </c>
      <c r="E194" s="117">
        <f>Balaka!E194+Liwonde!E194+Machinga!E194+Ntaja!E194</f>
        <v>1</v>
      </c>
      <c r="F194" s="117">
        <f>Balaka!F194+Liwonde!F194+Machinga!F194+Ntaja!F194</f>
        <v>1</v>
      </c>
      <c r="G194" s="117">
        <f>Balaka!G194+Liwonde!G194+Machinga!G194+Ntaja!G194</f>
        <v>2</v>
      </c>
      <c r="H194" s="117">
        <f>Balaka!H194+Liwonde!H194+Machinga!H194+Ntaja!H194</f>
        <v>2</v>
      </c>
      <c r="I194" s="117">
        <f>Balaka!I194+Liwonde!I194+Machinga!I194+Ntaja!I194</f>
        <v>2</v>
      </c>
      <c r="J194" s="117">
        <f>Balaka!J194+Liwonde!J194+Machinga!J194+Ntaja!J194</f>
        <v>2</v>
      </c>
      <c r="K194" s="117">
        <f>Balaka!K194+Liwonde!K194+Machinga!K194+Ntaja!K194</f>
        <v>1</v>
      </c>
      <c r="L194" s="117">
        <f>Balaka!L194+Liwonde!L194+Machinga!L194+Ntaja!L194</f>
        <v>2</v>
      </c>
      <c r="M194" s="117">
        <f>Balaka!M194+Liwonde!M194+Machinga!M194+Ntaja!M194</f>
        <v>2</v>
      </c>
      <c r="N194" s="117">
        <f>Balaka!N194+Liwonde!N194+Machinga!N194+Ntaja!N194</f>
        <v>2</v>
      </c>
      <c r="O194" s="117">
        <f>Balaka!O194+Liwonde!O194+Machinga!O194+Ntaja!O194</f>
        <v>1</v>
      </c>
      <c r="P194" s="34">
        <f>SUM(D194:O194)</f>
        <v>21</v>
      </c>
    </row>
    <row r="195" spans="1:16" x14ac:dyDescent="0.3">
      <c r="A195" s="208"/>
      <c r="B195" s="209"/>
      <c r="C195" s="14" t="s">
        <v>55</v>
      </c>
      <c r="D195" s="117">
        <f>Balaka!D195+Liwonde!D195+Machinga!D195+Ntaja!D195</f>
        <v>224</v>
      </c>
      <c r="E195" s="117">
        <f>Balaka!E195+Liwonde!E195+Machinga!E195+Ntaja!E195</f>
        <v>0</v>
      </c>
      <c r="F195" s="117">
        <f>Balaka!F195+Liwonde!F195+Machinga!F195+Ntaja!F195</f>
        <v>0</v>
      </c>
      <c r="G195" s="117">
        <f>Balaka!G195+Liwonde!G195+Machinga!G195+Ntaja!G195</f>
        <v>120</v>
      </c>
      <c r="H195" s="117">
        <f>Balaka!H195+Liwonde!H195+Machinga!H195+Ntaja!H195</f>
        <v>6</v>
      </c>
      <c r="I195" s="117">
        <f>Balaka!I195+Liwonde!I195+Machinga!I195+Ntaja!I195</f>
        <v>80</v>
      </c>
      <c r="J195" s="117">
        <f>Balaka!J195+Liwonde!J195+Machinga!J195+Ntaja!J195</f>
        <v>264</v>
      </c>
      <c r="K195" s="117">
        <f>Balaka!K195+Liwonde!K195+Machinga!K195+Ntaja!K195</f>
        <v>50</v>
      </c>
      <c r="L195" s="117">
        <f>Balaka!L195+Liwonde!L195+Machinga!L195+Ntaja!L195</f>
        <v>332</v>
      </c>
      <c r="M195" s="117">
        <f>Balaka!M195+Liwonde!M195+Machinga!M195+Ntaja!M195</f>
        <v>767</v>
      </c>
      <c r="N195" s="117">
        <f>Balaka!N195+Liwonde!N195+Machinga!N195+Ntaja!N195</f>
        <v>622</v>
      </c>
      <c r="O195" s="117">
        <f>Balaka!O195+Liwonde!O195+Machinga!O195+Ntaja!O195</f>
        <v>0</v>
      </c>
      <c r="P195" s="34">
        <f>SUM(D195:O195)</f>
        <v>2465</v>
      </c>
    </row>
    <row r="196" spans="1:16" x14ac:dyDescent="0.3">
      <c r="A196" s="74" t="s">
        <v>204</v>
      </c>
      <c r="B196" s="75"/>
      <c r="C196" s="14" t="s">
        <v>55</v>
      </c>
      <c r="D196" s="117">
        <f>Balaka!D196+Liwonde!D196+Machinga!D196+Ntaja!D196</f>
        <v>1512</v>
      </c>
      <c r="E196" s="117">
        <f>Balaka!E196+Liwonde!E196+Machinga!E196+Ntaja!E196</f>
        <v>1704</v>
      </c>
      <c r="F196" s="117">
        <f>Balaka!F196+Liwonde!F196+Machinga!F196+Ntaja!F196</f>
        <v>1868</v>
      </c>
      <c r="G196" s="117">
        <f>Balaka!G196+Liwonde!G196+Machinga!G196+Ntaja!G196</f>
        <v>2428</v>
      </c>
      <c r="H196" s="117">
        <f>Balaka!H196+Liwonde!H196+Machinga!H196+Ntaja!H196</f>
        <v>1462</v>
      </c>
      <c r="I196" s="117">
        <f>Balaka!I196+Liwonde!I196+Machinga!I196+Ntaja!I196</f>
        <v>1860</v>
      </c>
      <c r="J196" s="117">
        <f>Balaka!J196+Liwonde!J196+Machinga!J196+Ntaja!J196</f>
        <v>1687</v>
      </c>
      <c r="K196" s="117">
        <f>Balaka!K196+Liwonde!K196+Machinga!K196+Ntaja!K196</f>
        <v>1984</v>
      </c>
      <c r="L196" s="117">
        <f>Balaka!L196+Liwonde!L196+Machinga!L196+Ntaja!L196</f>
        <v>2044</v>
      </c>
      <c r="M196" s="117">
        <f>Balaka!M196+Liwonde!M196+Machinga!M196+Ntaja!M196</f>
        <v>1932</v>
      </c>
      <c r="N196" s="117">
        <f>Balaka!N196+Liwonde!N196+Machinga!N196+Ntaja!N196</f>
        <v>1868</v>
      </c>
      <c r="O196" s="117">
        <f>Balaka!O196+Liwonde!O196+Machinga!O196+Ntaja!O196</f>
        <v>1944</v>
      </c>
      <c r="P196" s="34"/>
    </row>
    <row r="197" spans="1:16" x14ac:dyDescent="0.3">
      <c r="A197" s="166" t="s">
        <v>56</v>
      </c>
      <c r="B197" s="167"/>
      <c r="C197" s="14" t="s">
        <v>55</v>
      </c>
      <c r="D197" s="117">
        <f>Balaka!D197+Liwonde!D197+Machinga!D197+Ntaja!D197</f>
        <v>640.99999999999989</v>
      </c>
      <c r="E197" s="117">
        <f>Balaka!E197+Liwonde!E197+Machinga!E197+Ntaja!E197</f>
        <v>178</v>
      </c>
      <c r="F197" s="117">
        <f>Balaka!F197+Liwonde!F197+Machinga!F197+Ntaja!F197</f>
        <v>241</v>
      </c>
      <c r="G197" s="117">
        <f>Balaka!G197+Liwonde!G197+Machinga!G197+Ntaja!G197</f>
        <v>307</v>
      </c>
      <c r="H197" s="117">
        <f>Balaka!H197+Liwonde!H197+Machinga!H197+Ntaja!H197</f>
        <v>274</v>
      </c>
      <c r="I197" s="117">
        <f>Balaka!I197+Liwonde!I197+Machinga!I197+Ntaja!I197</f>
        <v>265</v>
      </c>
      <c r="J197" s="117">
        <f>Balaka!J197+Liwonde!J197+Machinga!J197+Ntaja!J197</f>
        <v>408</v>
      </c>
      <c r="K197" s="117">
        <f>Balaka!K197+Liwonde!K197+Machinga!K197+Ntaja!K197</f>
        <v>353</v>
      </c>
      <c r="L197" s="117">
        <f>Balaka!L197+Liwonde!L197+Machinga!L197+Ntaja!L197</f>
        <v>323</v>
      </c>
      <c r="M197" s="117">
        <f>Balaka!M197+Liwonde!M197+Machinga!M197+Ntaja!M197</f>
        <v>246</v>
      </c>
      <c r="N197" s="117">
        <f>Balaka!N197+Liwonde!N197+Machinga!N197+Ntaja!N197</f>
        <v>260</v>
      </c>
      <c r="O197" s="117">
        <f>Balaka!O197+Liwonde!O197+Machinga!O197+Ntaja!O197</f>
        <v>307</v>
      </c>
      <c r="P197" s="34">
        <f>SUM(D197:O197)</f>
        <v>3803</v>
      </c>
    </row>
    <row r="198" spans="1:16" ht="14.4" x14ac:dyDescent="0.3">
      <c r="A198" s="201" t="s">
        <v>205</v>
      </c>
      <c r="B198" s="202"/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02"/>
      <c r="P198" s="203"/>
    </row>
    <row r="199" spans="1:16" x14ac:dyDescent="0.3">
      <c r="A199" s="206" t="s">
        <v>54</v>
      </c>
      <c r="B199" s="68" t="s">
        <v>53</v>
      </c>
      <c r="C199" s="4" t="s">
        <v>47</v>
      </c>
      <c r="D199" s="117">
        <f>Balaka!D199+Liwonde!D199+Machinga!D199+Ntaja!D199</f>
        <v>0</v>
      </c>
      <c r="E199" s="117">
        <f>Balaka!E199+Liwonde!E199+Machinga!E199+Ntaja!E199</f>
        <v>0</v>
      </c>
      <c r="F199" s="117">
        <f>Balaka!F199+Liwonde!F199+Machinga!F199+Ntaja!F199</f>
        <v>0</v>
      </c>
      <c r="G199" s="117">
        <f>Balaka!G199+Liwonde!G199+Machinga!G199+Ntaja!G199</f>
        <v>0</v>
      </c>
      <c r="H199" s="117">
        <f>Balaka!H199+Liwonde!H199+Machinga!H199+Ntaja!H199</f>
        <v>0</v>
      </c>
      <c r="I199" s="117">
        <f>Balaka!I199+Liwonde!I199+Machinga!I199+Ntaja!I199</f>
        <v>0</v>
      </c>
      <c r="J199" s="117">
        <f>Balaka!J199+Liwonde!J199+Machinga!J199+Ntaja!J199</f>
        <v>0</v>
      </c>
      <c r="K199" s="117">
        <f>Balaka!K199+Liwonde!K199+Machinga!K199+Ntaja!K199</f>
        <v>0</v>
      </c>
      <c r="L199" s="117">
        <f>Balaka!L199+Liwonde!L199+Machinga!L199+Ntaja!L199</f>
        <v>0</v>
      </c>
      <c r="M199" s="117">
        <f>Balaka!M199+Liwonde!M199+Machinga!M199+Ntaja!M199</f>
        <v>0</v>
      </c>
      <c r="N199" s="117">
        <f>Balaka!N199+Liwonde!N199+Machinga!N199+Ntaja!N199</f>
        <v>0</v>
      </c>
      <c r="O199" s="117">
        <f>Balaka!O199+Liwonde!O199+Machinga!O199+Ntaja!O199</f>
        <v>420</v>
      </c>
      <c r="P199" s="34">
        <f t="shared" ref="P199:P204" si="79">SUM(D199:O199)</f>
        <v>420</v>
      </c>
    </row>
    <row r="200" spans="1:16" x14ac:dyDescent="0.3">
      <c r="A200" s="210"/>
      <c r="B200" s="68" t="s">
        <v>52</v>
      </c>
      <c r="C200" s="4" t="s">
        <v>47</v>
      </c>
      <c r="D200" s="117">
        <f>Balaka!D200+Liwonde!D200+Machinga!D200+Ntaja!D200</f>
        <v>0</v>
      </c>
      <c r="E200" s="117">
        <f>Balaka!E200+Liwonde!E200+Machinga!E200+Ntaja!E200</f>
        <v>0</v>
      </c>
      <c r="F200" s="117">
        <f>Balaka!F200+Liwonde!F200+Machinga!F200+Ntaja!F200</f>
        <v>0</v>
      </c>
      <c r="G200" s="117">
        <f>Balaka!G200+Liwonde!G200+Machinga!G200+Ntaja!G200</f>
        <v>0</v>
      </c>
      <c r="H200" s="117">
        <f>Balaka!H200+Liwonde!H200+Machinga!H200+Ntaja!H200</f>
        <v>0</v>
      </c>
      <c r="I200" s="117">
        <f>Balaka!I200+Liwonde!I200+Machinga!I200+Ntaja!I200</f>
        <v>0</v>
      </c>
      <c r="J200" s="117">
        <f>Balaka!J200+Liwonde!J200+Machinga!J200+Ntaja!J200</f>
        <v>0</v>
      </c>
      <c r="K200" s="117">
        <f>Balaka!K200+Liwonde!K200+Machinga!K200+Ntaja!K200</f>
        <v>0</v>
      </c>
      <c r="L200" s="117">
        <f>Balaka!L200+Liwonde!L200+Machinga!L200+Ntaja!L200</f>
        <v>0</v>
      </c>
      <c r="M200" s="117">
        <f>Balaka!M200+Liwonde!M200+Machinga!M200+Ntaja!M200</f>
        <v>372</v>
      </c>
      <c r="N200" s="117">
        <f>Balaka!N200+Liwonde!N200+Machinga!N200+Ntaja!N200</f>
        <v>356</v>
      </c>
      <c r="O200" s="117">
        <f>Balaka!O200+Liwonde!O200+Machinga!O200+Ntaja!O200</f>
        <v>0</v>
      </c>
      <c r="P200" s="34">
        <f t="shared" si="79"/>
        <v>728</v>
      </c>
    </row>
    <row r="201" spans="1:16" x14ac:dyDescent="0.3">
      <c r="A201" s="210"/>
      <c r="B201" s="68" t="s">
        <v>51</v>
      </c>
      <c r="C201" s="4" t="s">
        <v>47</v>
      </c>
      <c r="D201" s="117">
        <f>Balaka!D201+Liwonde!D201+Machinga!D201+Ntaja!D201</f>
        <v>0</v>
      </c>
      <c r="E201" s="117">
        <f>Balaka!E201+Liwonde!E201+Machinga!E201+Ntaja!E201</f>
        <v>0</v>
      </c>
      <c r="F201" s="117">
        <f>Balaka!F201+Liwonde!F201+Machinga!F201+Ntaja!F201</f>
        <v>0</v>
      </c>
      <c r="G201" s="117">
        <f>Balaka!G201+Liwonde!G201+Machinga!G201+Ntaja!G201</f>
        <v>0</v>
      </c>
      <c r="H201" s="117">
        <f>Balaka!H201+Liwonde!H201+Machinga!H201+Ntaja!H201</f>
        <v>0</v>
      </c>
      <c r="I201" s="117">
        <f>Balaka!I201+Liwonde!I201+Machinga!I201+Ntaja!I201</f>
        <v>0</v>
      </c>
      <c r="J201" s="117">
        <f>Balaka!J201+Liwonde!J201+Machinga!J201+Ntaja!J201</f>
        <v>0</v>
      </c>
      <c r="K201" s="117">
        <f>Balaka!K201+Liwonde!K201+Machinga!K201+Ntaja!K201</f>
        <v>0</v>
      </c>
      <c r="L201" s="117">
        <f>Balaka!L201+Liwonde!L200+Machinga!L201+Ntaja!L201</f>
        <v>18</v>
      </c>
      <c r="M201" s="117">
        <f>Balaka!M201+Liwonde!M201+Machinga!M201+Ntaja!M201</f>
        <v>0</v>
      </c>
      <c r="N201" s="117">
        <f>Balaka!N201+Liwonde!N201+Machinga!N201+Ntaja!N201</f>
        <v>0</v>
      </c>
      <c r="O201" s="117">
        <f>Balaka!O201+Liwonde!O201+Machinga!O201+Ntaja!O201</f>
        <v>122</v>
      </c>
      <c r="P201" s="34">
        <f t="shared" si="79"/>
        <v>140</v>
      </c>
    </row>
    <row r="202" spans="1:16" x14ac:dyDescent="0.3">
      <c r="A202" s="210"/>
      <c r="B202" s="68" t="s">
        <v>50</v>
      </c>
      <c r="C202" s="4" t="s">
        <v>47</v>
      </c>
      <c r="D202" s="117">
        <f>Balaka!D202+Liwonde!D202+Machinga!D202+Ntaja!D202</f>
        <v>0</v>
      </c>
      <c r="E202" s="117">
        <f>Balaka!E202+Liwonde!E202+Machinga!E202+Ntaja!E202</f>
        <v>500</v>
      </c>
      <c r="F202" s="117">
        <f>Balaka!F202+Liwonde!F202+Machinga!F202+Ntaja!F202</f>
        <v>0</v>
      </c>
      <c r="G202" s="117">
        <f>Balaka!G202+Liwonde!G202+Machinga!G202+Ntaja!G202</f>
        <v>0</v>
      </c>
      <c r="H202" s="117">
        <f>Balaka!H202+Liwonde!H202+Machinga!H202+Ntaja!H202</f>
        <v>0</v>
      </c>
      <c r="I202" s="117">
        <f>Balaka!I202+Liwonde!I202+Machinga!I202+Ntaja!I202</f>
        <v>0</v>
      </c>
      <c r="J202" s="117">
        <f>Balaka!J202+Liwonde!J202+Machinga!J202+Ntaja!J202</f>
        <v>0</v>
      </c>
      <c r="K202" s="117">
        <f>Balaka!K202+Liwonde!K202+Machinga!K202+Ntaja!K202</f>
        <v>0</v>
      </c>
      <c r="L202" s="117">
        <f>Balaka!L202+Liwonde!L202+Machinga!L202+Ntaja!L202</f>
        <v>0</v>
      </c>
      <c r="M202" s="117">
        <f>Balaka!M202+Liwonde!M202+Machinga!M202+Ntaja!M202</f>
        <v>66</v>
      </c>
      <c r="N202" s="117">
        <f>Balaka!N202+Liwonde!N202+Machinga!N202+Ntaja!N202</f>
        <v>384</v>
      </c>
      <c r="O202" s="117">
        <f>Balaka!O202+Liwonde!O202+Machinga!O202+Ntaja!O202</f>
        <v>0</v>
      </c>
      <c r="P202" s="34">
        <f t="shared" si="79"/>
        <v>950</v>
      </c>
    </row>
    <row r="203" spans="1:16" x14ac:dyDescent="0.3">
      <c r="A203" s="208"/>
      <c r="B203" s="68" t="s">
        <v>49</v>
      </c>
      <c r="C203" s="4" t="s">
        <v>47</v>
      </c>
      <c r="D203" s="117">
        <f>Balaka!D203+Liwonde!D203+Machinga!D203+Ntaja!D203</f>
        <v>0</v>
      </c>
      <c r="E203" s="117">
        <f>Balaka!E203+Liwonde!E203+Machinga!E203+Ntaja!E203</f>
        <v>0</v>
      </c>
      <c r="F203" s="117">
        <f>Balaka!F203+Liwonde!F203+Machinga!F203+Ntaja!F203</f>
        <v>0</v>
      </c>
      <c r="G203" s="117">
        <f>Balaka!G203+Liwonde!G203+Machinga!G203+Ntaja!G203</f>
        <v>0</v>
      </c>
      <c r="H203" s="117">
        <f>Balaka!H203+Liwonde!H203+Machinga!H203+Ntaja!H203</f>
        <v>0</v>
      </c>
      <c r="I203" s="117">
        <f>Balaka!I203+Liwonde!I203+Machinga!I203+Ntaja!I203</f>
        <v>0</v>
      </c>
      <c r="J203" s="117">
        <f>Balaka!J203+Liwonde!J203+Machinga!J203+Ntaja!J203</f>
        <v>1158</v>
      </c>
      <c r="K203" s="117">
        <f>Balaka!K203+Liwonde!K203+Machinga!K203+Ntaja!K203</f>
        <v>792</v>
      </c>
      <c r="L203" s="117">
        <f>Balaka!L203+Liwonde!L203+Machinga!L203+Ntaja!L203</f>
        <v>360</v>
      </c>
      <c r="M203" s="117">
        <f>Balaka!M203+Liwonde!M203+Machinga!M203+Ntaja!M203</f>
        <v>30</v>
      </c>
      <c r="N203" s="117">
        <f>Balaka!N203+Liwonde!N203+Machinga!N203+Ntaja!N203</f>
        <v>310</v>
      </c>
      <c r="O203" s="117">
        <f>Balaka!O203+Liwonde!O203+Machinga!O203+Ntaja!O203</f>
        <v>150</v>
      </c>
      <c r="P203" s="34">
        <f t="shared" si="79"/>
        <v>2800</v>
      </c>
    </row>
    <row r="204" spans="1:16" x14ac:dyDescent="0.3">
      <c r="A204" s="72" t="s">
        <v>48</v>
      </c>
      <c r="B204" s="68"/>
      <c r="C204" s="4" t="s">
        <v>47</v>
      </c>
      <c r="D204" s="13">
        <f t="shared" ref="D204:H204" si="80">SUM(D199:D203)</f>
        <v>0</v>
      </c>
      <c r="E204" s="13">
        <f>SUM(E199:E203)</f>
        <v>500</v>
      </c>
      <c r="F204" s="13">
        <f>SUM(F199:F203)</f>
        <v>0</v>
      </c>
      <c r="G204" s="9">
        <f t="shared" si="80"/>
        <v>0</v>
      </c>
      <c r="H204" s="9">
        <f t="shared" si="80"/>
        <v>0</v>
      </c>
      <c r="I204" s="9">
        <f t="shared" ref="I204:O204" si="81">SUM(I199:I203)</f>
        <v>0</v>
      </c>
      <c r="J204" s="9">
        <f t="shared" si="81"/>
        <v>1158</v>
      </c>
      <c r="K204" s="9">
        <f t="shared" si="81"/>
        <v>792</v>
      </c>
      <c r="L204" s="9">
        <f t="shared" si="81"/>
        <v>378</v>
      </c>
      <c r="M204" s="9">
        <f t="shared" si="81"/>
        <v>468</v>
      </c>
      <c r="N204" s="9">
        <f t="shared" si="81"/>
        <v>1050</v>
      </c>
      <c r="O204" s="9">
        <f t="shared" si="81"/>
        <v>692</v>
      </c>
      <c r="P204" s="99">
        <f t="shared" si="79"/>
        <v>5038</v>
      </c>
    </row>
    <row r="205" spans="1:16" ht="14.4" x14ac:dyDescent="0.3">
      <c r="A205" s="201" t="s">
        <v>46</v>
      </c>
      <c r="B205" s="202"/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02"/>
      <c r="P205" s="203"/>
    </row>
    <row r="206" spans="1:16" x14ac:dyDescent="0.3">
      <c r="A206" s="166" t="s">
        <v>43</v>
      </c>
      <c r="B206" s="167"/>
      <c r="C206" s="4" t="s">
        <v>31</v>
      </c>
      <c r="D206" s="13">
        <f>Balaka!D206+Liwonde!D206+Machinga!D206+Ntaja!D206</f>
        <v>40023069.659999996</v>
      </c>
      <c r="E206" s="13">
        <f>Balaka!E206+Liwonde!E206+Machinga!E206+Ntaja!E206</f>
        <v>73477177.879999995</v>
      </c>
      <c r="F206" s="13">
        <f>Balaka!F206+Liwonde!F206+Machinga!F206+Ntaja!F206</f>
        <v>112158062.4799999</v>
      </c>
      <c r="G206" s="13">
        <f>Balaka!G206+Liwonde!G206+Machinga!G206+Ntaja!G206</f>
        <v>45092405.149999999</v>
      </c>
      <c r="H206" s="13">
        <f>Balaka!H206+Liwonde!H206+Machinga!H206+Ntaja!H206</f>
        <v>55804287.960000001</v>
      </c>
      <c r="I206" s="13">
        <f>Balaka!I206+Liwonde!I206+Machinga!I206+Ntaja!I206</f>
        <v>44926669.170000002</v>
      </c>
      <c r="J206" s="13">
        <f>Balaka!J206+Liwonde!J206+Machinga!J206+Ntaja!J206</f>
        <v>43013783.149999999</v>
      </c>
      <c r="K206" s="13">
        <f>Balaka!K206+Liwonde!K206+Machinga!K206+Ntaja!K206</f>
        <v>41589419.079999998</v>
      </c>
      <c r="L206" s="13">
        <f>Balaka!L206+Liwonde!L206+Machinga!L206+Ntaja!L206</f>
        <v>57545882.109999999</v>
      </c>
      <c r="M206" s="13">
        <f>Balaka!M206+Liwonde!M206+Machinga!M206+Ntaja!M206</f>
        <v>50502053.129999995</v>
      </c>
      <c r="N206" s="13">
        <f>Balaka!N206+Liwonde!N206+Machinga!N206+Ntaja!N206</f>
        <v>39184670.439999998</v>
      </c>
      <c r="O206" s="13">
        <f>Balaka!O206+Liwonde!O206+Machinga!O206+Ntaja!O206</f>
        <v>55334946.510000005</v>
      </c>
      <c r="P206" s="35">
        <f>SUM(D206:O206)</f>
        <v>658652426.71999979</v>
      </c>
    </row>
    <row r="207" spans="1:16" x14ac:dyDescent="0.3">
      <c r="A207" s="166" t="s">
        <v>42</v>
      </c>
      <c r="B207" s="167"/>
      <c r="C207" s="4" t="s">
        <v>31</v>
      </c>
      <c r="D207" s="13">
        <f>Balaka!D207+Liwonde!D207+Machinga!D207+Ntaja!D207</f>
        <v>210800</v>
      </c>
      <c r="E207" s="13">
        <f>Balaka!E207+Liwonde!E207+Machinga!E207+Ntaja!E207</f>
        <v>232400</v>
      </c>
      <c r="F207" s="13">
        <f>Balaka!F207+Liwonde!F207+Machinga!F207+Ntaja!F207</f>
        <v>652400</v>
      </c>
      <c r="G207" s="13">
        <f>Balaka!G207+Liwonde!G207+Machinga!G207+Ntaja!G207</f>
        <v>324600</v>
      </c>
      <c r="H207" s="13">
        <f>Balaka!H207+Liwonde!H207+Machinga!H207+Ntaja!H207</f>
        <v>421667.22</v>
      </c>
      <c r="I207" s="13">
        <f>Balaka!I207+Liwonde!I207+Machinga!I207+Ntaja!I207</f>
        <v>317567.21999999997</v>
      </c>
      <c r="J207" s="13">
        <f>Balaka!J207+Liwonde!J207+Machinga!J207+Ntaja!J207</f>
        <v>318800</v>
      </c>
      <c r="K207" s="13">
        <f>Balaka!K207+Liwonde!K207+Machinga!K207+Ntaja!K207</f>
        <v>123000</v>
      </c>
      <c r="L207" s="13">
        <f>Balaka!L207+Liwonde!L207+Machinga!L207+Ntaja!L207</f>
        <v>272950</v>
      </c>
      <c r="M207" s="13">
        <f>Balaka!M207+Liwonde!M207+Machinga!M207+Ntaja!M207</f>
        <v>345800</v>
      </c>
      <c r="N207" s="13">
        <f>Balaka!N207+Liwonde!N207+Machinga!N207+Ntaja!N207</f>
        <v>183178</v>
      </c>
      <c r="O207" s="13">
        <f>Balaka!O207+Liwonde!O207+Machinga!O207+Ntaja!O207</f>
        <v>158221</v>
      </c>
      <c r="P207" s="35">
        <f>SUM(D207:O207)</f>
        <v>3561383.44</v>
      </c>
    </row>
    <row r="208" spans="1:16" x14ac:dyDescent="0.3">
      <c r="A208" s="172" t="s">
        <v>41</v>
      </c>
      <c r="B208" s="173"/>
      <c r="C208" s="4" t="s">
        <v>31</v>
      </c>
      <c r="D208" s="13">
        <f>Balaka!D208+Liwonde!D208+Machinga!D208+Ntaja!D208</f>
        <v>4770131.3100000005</v>
      </c>
      <c r="E208" s="13">
        <f>Balaka!E208+Liwonde!E208+Machinga!E208+Ntaja!E208</f>
        <v>2247970</v>
      </c>
      <c r="F208" s="13">
        <f>Balaka!F208+Liwonde!F208+Machinga!F208+Ntaja!F208</f>
        <v>1914070</v>
      </c>
      <c r="G208" s="13">
        <f>Balaka!G208+Liwonde!G208+Machinga!G208+Ntaja!G208</f>
        <v>1597440</v>
      </c>
      <c r="H208" s="13">
        <f>Balaka!H208+Liwonde!H208+Machinga!H208+Ntaja!H208</f>
        <v>1417574.44</v>
      </c>
      <c r="I208" s="13">
        <f>Balaka!I208+Liwonde!I208+Machinga!I208+Ntaja!I208</f>
        <v>1011607.22</v>
      </c>
      <c r="J208" s="13">
        <f>Balaka!J208+Liwonde!J208+Machinga!J208+Ntaja!J208</f>
        <v>1212340</v>
      </c>
      <c r="K208" s="13">
        <f>Balaka!K208+Liwonde!K208+Machinga!K208+Ntaja!K208</f>
        <v>371940</v>
      </c>
      <c r="L208" s="13">
        <f>Balaka!L208+Liwonde!L208+Machinga!L208+Ntaja!L208</f>
        <v>508190</v>
      </c>
      <c r="M208" s="13">
        <f>Balaka!M208+Liwonde!M208+Machinga!M208+Ntaja!M208</f>
        <v>1304880</v>
      </c>
      <c r="N208" s="13">
        <f>Balaka!N208+Liwonde!N208+Machinga!N208+Ntaja!N208</f>
        <v>1039240</v>
      </c>
      <c r="O208" s="13">
        <f>Balaka!O208+Liwonde!O208+Machinga!O208+Ntaja!O208</f>
        <v>462940</v>
      </c>
      <c r="P208" s="35">
        <f>SUM(D208:O208)</f>
        <v>17858322.969999999</v>
      </c>
    </row>
    <row r="209" spans="1:16" x14ac:dyDescent="0.3">
      <c r="A209" s="166" t="s">
        <v>40</v>
      </c>
      <c r="B209" s="167"/>
      <c r="C209" s="4" t="s">
        <v>31</v>
      </c>
      <c r="D209" s="13">
        <f>Balaka!D209+Liwonde!D209+Machinga!D209+Ntaja!D209</f>
        <v>5167655.8099999996</v>
      </c>
      <c r="E209" s="13">
        <f>Balaka!E209+Liwonde!E209+Machinga!E209+Ntaja!E209</f>
        <v>147667.22</v>
      </c>
      <c r="F209" s="13">
        <f>Balaka!F209+Liwonde!F209+Machinga!F209+Ntaja!F209</f>
        <v>597201.65999999992</v>
      </c>
      <c r="G209" s="13">
        <f>Balaka!G209+Liwonde!G209+Machinga!G209+Ntaja!G209</f>
        <v>206700</v>
      </c>
      <c r="H209" s="13">
        <f>Balaka!H209+Liwonde!H209+Machinga!H209+Ntaja!H209</f>
        <v>337867.22</v>
      </c>
      <c r="I209" s="13">
        <f>Balaka!I209+Liwonde!I209+Machinga!I209+Ntaja!I209</f>
        <v>7738857.5599999996</v>
      </c>
      <c r="J209" s="13">
        <f>Balaka!J209+Liwonde!J209+Machinga!J209+Ntaja!J209</f>
        <v>30500</v>
      </c>
      <c r="K209" s="13">
        <f>Balaka!K209+Liwonde!K209+Machinga!K209+Ntaja!K209</f>
        <v>2353043.9500000002</v>
      </c>
      <c r="L209" s="13">
        <f>Balaka!L209+Liwonde!L209+Machinga!L209+Ntaja!L209</f>
        <v>80400</v>
      </c>
      <c r="M209" s="13">
        <f>Balaka!M209+Liwonde!M209+Machinga!M209+Ntaja!M209</f>
        <v>3172033.48</v>
      </c>
      <c r="N209" s="13">
        <f>Balaka!N209+Liwonde!N209+Machinga!N209+Ntaja!N209</f>
        <v>487867.22</v>
      </c>
      <c r="O209" s="13">
        <f>Balaka!O209+Liwonde!O209+Machinga!O209+Ntaja!O209</f>
        <v>502467.22</v>
      </c>
      <c r="P209" s="35">
        <f>SUM(D209:O209)</f>
        <v>20822261.339999996</v>
      </c>
    </row>
    <row r="210" spans="1:16" x14ac:dyDescent="0.3">
      <c r="A210" s="214" t="s">
        <v>45</v>
      </c>
      <c r="B210" s="215"/>
      <c r="C210" s="4" t="s">
        <v>31</v>
      </c>
      <c r="D210" s="9">
        <f t="shared" ref="D210:O210" si="82">SUM(D206:D209)</f>
        <v>50171656.780000001</v>
      </c>
      <c r="E210" s="9">
        <f t="shared" si="82"/>
        <v>76105215.099999994</v>
      </c>
      <c r="F210" s="9">
        <f t="shared" si="82"/>
        <v>115321734.1399999</v>
      </c>
      <c r="G210" s="9">
        <f t="shared" si="82"/>
        <v>47221145.149999999</v>
      </c>
      <c r="H210" s="9">
        <f t="shared" si="82"/>
        <v>57981396.839999996</v>
      </c>
      <c r="I210" s="9">
        <f t="shared" si="82"/>
        <v>53994701.170000002</v>
      </c>
      <c r="J210" s="9">
        <f t="shared" si="82"/>
        <v>44575423.149999999</v>
      </c>
      <c r="K210" s="9">
        <f t="shared" si="82"/>
        <v>44437403.030000001</v>
      </c>
      <c r="L210" s="9">
        <f t="shared" si="82"/>
        <v>58407422.109999999</v>
      </c>
      <c r="M210" s="9">
        <f t="shared" si="82"/>
        <v>55324766.609999992</v>
      </c>
      <c r="N210" s="9">
        <f t="shared" si="82"/>
        <v>40894955.659999996</v>
      </c>
      <c r="O210" s="9">
        <f t="shared" si="82"/>
        <v>56458574.730000004</v>
      </c>
      <c r="P210" s="35">
        <f>SUM(D210:O210)</f>
        <v>700894394.46999991</v>
      </c>
    </row>
    <row r="211" spans="1:16" ht="14.4" x14ac:dyDescent="0.3">
      <c r="A211" s="201" t="s">
        <v>44</v>
      </c>
      <c r="B211" s="202"/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02"/>
      <c r="P211" s="203"/>
    </row>
    <row r="212" spans="1:16" x14ac:dyDescent="0.3">
      <c r="A212" s="166" t="s">
        <v>43</v>
      </c>
      <c r="B212" s="167"/>
      <c r="C212" s="4" t="s">
        <v>31</v>
      </c>
      <c r="D212" s="13">
        <f>Balaka!D212+Liwonde!D212+Machinga!D212+Ntaja!D212</f>
        <v>32767013.229999997</v>
      </c>
      <c r="E212" s="13">
        <f>Balaka!E212+Liwonde!E212+Machinga!E212+Ntaja!E212</f>
        <v>34061591.5</v>
      </c>
      <c r="F212" s="13">
        <f>Balaka!F212+Liwonde!F212+Machinga!F212+Ntaja!F212</f>
        <v>37435234.820000008</v>
      </c>
      <c r="G212" s="13">
        <f>Balaka!G212+Liwonde!G212+Machinga!G212+Ntaja!G212</f>
        <v>44437420.030000091</v>
      </c>
      <c r="H212" s="13">
        <f>Balaka!H212+Liwonde!H212+Machinga!H212+Ntaja!H212</f>
        <v>44523979.520000003</v>
      </c>
      <c r="I212" s="13">
        <f>Balaka!I212+Liwonde!I212+Machinga!I212+Ntaja!I212</f>
        <v>57519419.949999899</v>
      </c>
      <c r="J212" s="13">
        <f>Balaka!J212+Liwonde!J212+Machinga!J212+Ntaja!J212</f>
        <v>51101246.489999995</v>
      </c>
      <c r="K212" s="13">
        <f>Balaka!K212+Liwonde!K212+Machinga!K212+Ntaja!K212</f>
        <v>54252392.660000004</v>
      </c>
      <c r="L212" s="13">
        <f>Balaka!L212+Liwonde!L212+Machinga!L212+Ntaja!L212</f>
        <v>49766823.020000018</v>
      </c>
      <c r="M212" s="13">
        <f>Balaka!M212+Liwonde!M212+Machinga!M212+Ntaja!M212</f>
        <v>48983605.230000004</v>
      </c>
      <c r="N212" s="13">
        <f>Balaka!N212+Liwonde!N212+Machinga!N212+Ntaja!N212</f>
        <v>41187251.839999996</v>
      </c>
      <c r="O212" s="13">
        <f>Balaka!O212+Liwonde!O212+Machinga!O212+Ntaja!O212</f>
        <v>45600805.43</v>
      </c>
      <c r="P212" s="35">
        <f>SUM(D212:O212)</f>
        <v>541636783.72000003</v>
      </c>
    </row>
    <row r="213" spans="1:16" x14ac:dyDescent="0.3">
      <c r="A213" s="166" t="s">
        <v>42</v>
      </c>
      <c r="B213" s="167"/>
      <c r="C213" s="4" t="s">
        <v>31</v>
      </c>
      <c r="D213" s="13">
        <f>Balaka!D213+Liwonde!D213+Machinga!D213+Ntaja!D213</f>
        <v>39824.639999999999</v>
      </c>
      <c r="E213" s="13">
        <f>Balaka!E213+Liwonde!E213+Machinga!E213+Ntaja!E213</f>
        <v>59800</v>
      </c>
      <c r="F213" s="13">
        <f>Balaka!F213+Liwonde!F213+Machinga!F213+Ntaja!F213</f>
        <v>69345.88</v>
      </c>
      <c r="G213" s="13">
        <f>Balaka!G213+Liwonde!G213+Machinga!G213+Ntaja!G213</f>
        <v>74000</v>
      </c>
      <c r="H213" s="13">
        <f>Balaka!H213+Liwonde!H213+Machinga!H213+Ntaja!H213</f>
        <v>104200</v>
      </c>
      <c r="I213" s="13">
        <f>Balaka!I213+Liwonde!I213+Machinga!I213+Ntaja!I213</f>
        <v>168024.64</v>
      </c>
      <c r="J213" s="13">
        <f>Balaka!J213+Liwonde!J213+Machinga!J213+Ntaja!J213</f>
        <v>112000</v>
      </c>
      <c r="K213" s="13">
        <f>Balaka!K213+Liwonde!K213+Machinga!K213+Ntaja!K213</f>
        <v>51900</v>
      </c>
      <c r="L213" s="13">
        <f>Balaka!L213+Liwonde!L213+Machinga!L213+Ntaja!L213</f>
        <v>57400</v>
      </c>
      <c r="M213" s="13">
        <f>Balaka!M213+Liwonde!M213+Machinga!M213+Ntaja!M213</f>
        <v>105800</v>
      </c>
      <c r="N213" s="13">
        <f>Balaka!N213+Liwonde!N213+Machinga!N213+Ntaja!N213</f>
        <v>74760</v>
      </c>
      <c r="O213" s="13">
        <f>Balaka!O213+Liwonde!O213+Machinga!O213+Ntaja!O213</f>
        <v>73580</v>
      </c>
      <c r="P213" s="35">
        <f>SUM(D213:O213)</f>
        <v>990635.16</v>
      </c>
    </row>
    <row r="214" spans="1:16" x14ac:dyDescent="0.3">
      <c r="A214" s="172" t="s">
        <v>41</v>
      </c>
      <c r="B214" s="173"/>
      <c r="C214" s="4" t="s">
        <v>31</v>
      </c>
      <c r="D214" s="13">
        <f>Balaka!D214+Liwonde!D214+Machinga!D214+Ntaja!D214</f>
        <v>11278304.939999999</v>
      </c>
      <c r="E214" s="13">
        <f>Balaka!E214+Liwonde!E214+Machinga!E214+Ntaja!E214</f>
        <v>11684076.75</v>
      </c>
      <c r="F214" s="13">
        <f>Balaka!F214+Liwonde!F214+Machinga!F214+Ntaja!F214</f>
        <v>11306024.109999999</v>
      </c>
      <c r="G214" s="13">
        <f>Balaka!G214+Liwonde!G214+Machinga!G214+Ntaja!G214</f>
        <v>27902843.18</v>
      </c>
      <c r="H214" s="13">
        <f>Balaka!H214+Liwonde!H214+Machinga!H214+Ntaja!H214</f>
        <v>12538714.609999999</v>
      </c>
      <c r="I214" s="13">
        <f>Balaka!I214+Liwonde!I214+Machinga!I214+Ntaja!I214</f>
        <v>13997131.210000001</v>
      </c>
      <c r="J214" s="13">
        <f>Balaka!J214+Liwonde!J214+Machinga!J214+Ntaja!J214</f>
        <v>10721334.949999999</v>
      </c>
      <c r="K214" s="13">
        <f>Balaka!K214+Liwonde!K214+Machinga!K214+Ntaja!K214</f>
        <v>12301736.380000001</v>
      </c>
      <c r="L214" s="13">
        <f>Balaka!L214+Liwonde!L214+Machinga!L214+Ntaja!L214</f>
        <v>11605578.09</v>
      </c>
      <c r="M214" s="13">
        <f>Balaka!M214+Liwonde!M214+Machinga!M214+Ntaja!M214</f>
        <v>15861837.26</v>
      </c>
      <c r="N214" s="13">
        <f>Balaka!N214+Liwonde!N214+Machinga!N214+Ntaja!N214</f>
        <v>13532725.879999999</v>
      </c>
      <c r="O214" s="13">
        <f>Balaka!O214+Liwonde!O214+Machinga!O214+Ntaja!O214</f>
        <v>11943329.93</v>
      </c>
      <c r="P214" s="35">
        <f>SUM(D214:O214)</f>
        <v>164673637.29000002</v>
      </c>
    </row>
    <row r="215" spans="1:16" x14ac:dyDescent="0.3">
      <c r="A215" s="166" t="s">
        <v>40</v>
      </c>
      <c r="B215" s="167"/>
      <c r="C215" s="4" t="s">
        <v>31</v>
      </c>
      <c r="D215" s="13">
        <f>Balaka!D215+Liwonde!D215+Machinga!D215+Ntaja!D215</f>
        <v>8277432.9899999993</v>
      </c>
      <c r="E215" s="13">
        <f>Balaka!E215+Liwonde!E215+Machinga!E215+Ntaja!E215</f>
        <v>17701179.379999999</v>
      </c>
      <c r="F215" s="13">
        <f>Balaka!F215+Liwonde!F215+Machinga!F215+Ntaja!F215</f>
        <v>12976342.940000001</v>
      </c>
      <c r="G215" s="13">
        <f>Balaka!G215+Liwonde!G215+Machinga!G215+Ntaja!G215</f>
        <v>9960012.1799999997</v>
      </c>
      <c r="H215" s="13">
        <f>Balaka!H215+Liwonde!H215+Machinga!H215+Ntaja!H215</f>
        <v>12664394.09</v>
      </c>
      <c r="I215" s="13">
        <f>Balaka!I215+Liwonde!I215+Machinga!I215+Ntaja!I215</f>
        <v>7790002.4100000001</v>
      </c>
      <c r="J215" s="13">
        <f>Balaka!J215+Liwonde!J215+Machinga!J215+Ntaja!J215</f>
        <v>13816203.15</v>
      </c>
      <c r="K215" s="13">
        <f>Balaka!K215+Liwonde!K215+Machinga!K215+Ntaja!K215</f>
        <v>9881226.1499999911</v>
      </c>
      <c r="L215" s="13">
        <f>Balaka!L215+Liwonde!L215+Machinga!L215+Ntaja!L215</f>
        <v>9236963.7899999991</v>
      </c>
      <c r="M215" s="13">
        <f>Balaka!M215+Liwonde!M215+Machinga!M215+Ntaja!M215</f>
        <v>5736200.0300000003</v>
      </c>
      <c r="N215" s="13">
        <f>Balaka!N215+Liwonde!N215+Machinga!N215+Ntaja!N215</f>
        <v>4352208.5999999996</v>
      </c>
      <c r="O215" s="13">
        <f>Balaka!O215+Liwonde!O215+Machinga!O215+Ntaja!O215</f>
        <v>6758354.0499999998</v>
      </c>
      <c r="P215" s="35">
        <f>SUM(D215:O215)</f>
        <v>119150519.75999998</v>
      </c>
    </row>
    <row r="216" spans="1:16" x14ac:dyDescent="0.3">
      <c r="A216" s="214" t="s">
        <v>39</v>
      </c>
      <c r="B216" s="215"/>
      <c r="C216" s="4" t="s">
        <v>31</v>
      </c>
      <c r="D216" s="9">
        <f t="shared" ref="D216:H216" si="83">SUM(D212:D215)</f>
        <v>52362575.799999997</v>
      </c>
      <c r="E216" s="9">
        <f t="shared" si="83"/>
        <v>63506647.629999995</v>
      </c>
      <c r="F216" s="9">
        <f t="shared" si="83"/>
        <v>61786947.750000015</v>
      </c>
      <c r="G216" s="9">
        <f t="shared" ref="G216" si="84">SUM(G212:G215)</f>
        <v>82374275.390000105</v>
      </c>
      <c r="H216" s="9">
        <f t="shared" si="83"/>
        <v>69831288.219999999</v>
      </c>
      <c r="I216" s="9">
        <f t="shared" ref="I216:O216" si="85">SUM(I212:I215)</f>
        <v>79474578.209999889</v>
      </c>
      <c r="J216" s="9">
        <f t="shared" si="85"/>
        <v>75750784.590000004</v>
      </c>
      <c r="K216" s="9">
        <f t="shared" si="85"/>
        <v>76487255.189999998</v>
      </c>
      <c r="L216" s="9">
        <f t="shared" si="85"/>
        <v>70666764.900000006</v>
      </c>
      <c r="M216" s="9">
        <f t="shared" si="85"/>
        <v>70687442.519999996</v>
      </c>
      <c r="N216" s="9">
        <f t="shared" si="85"/>
        <v>59146946.32</v>
      </c>
      <c r="O216" s="9">
        <f t="shared" si="85"/>
        <v>64376069.409999996</v>
      </c>
      <c r="P216" s="35">
        <f>SUM(D216:O216)</f>
        <v>826451575.92999995</v>
      </c>
    </row>
    <row r="217" spans="1:16" x14ac:dyDescent="0.3">
      <c r="A217" s="65" t="s">
        <v>38</v>
      </c>
      <c r="B217" s="66"/>
      <c r="C217" s="4" t="s">
        <v>31</v>
      </c>
      <c r="D217" s="9">
        <f>D210+D216</f>
        <v>102534232.58</v>
      </c>
      <c r="E217" s="9">
        <f t="shared" ref="E217:P217" si="86">E210+E216</f>
        <v>139611862.72999999</v>
      </c>
      <c r="F217" s="9">
        <f t="shared" si="86"/>
        <v>177108681.88999993</v>
      </c>
      <c r="G217" s="9">
        <f t="shared" si="86"/>
        <v>129595420.54000011</v>
      </c>
      <c r="H217" s="9">
        <f t="shared" si="86"/>
        <v>127812685.06</v>
      </c>
      <c r="I217" s="9">
        <f t="shared" ref="I217:O217" si="87">I210+I216</f>
        <v>133469279.37999989</v>
      </c>
      <c r="J217" s="9">
        <f t="shared" si="87"/>
        <v>120326207.74000001</v>
      </c>
      <c r="K217" s="9">
        <f t="shared" si="87"/>
        <v>120924658.22</v>
      </c>
      <c r="L217" s="9">
        <f t="shared" si="87"/>
        <v>129074187.01000001</v>
      </c>
      <c r="M217" s="9">
        <f t="shared" si="87"/>
        <v>126012209.13</v>
      </c>
      <c r="N217" s="9">
        <f t="shared" si="87"/>
        <v>100041901.97999999</v>
      </c>
      <c r="O217" s="9">
        <f t="shared" si="87"/>
        <v>120834644.14</v>
      </c>
      <c r="P217" s="35">
        <f t="shared" si="86"/>
        <v>1527345970.3999999</v>
      </c>
    </row>
    <row r="218" spans="1:16" ht="14.4" x14ac:dyDescent="0.3">
      <c r="A218" s="201" t="s">
        <v>37</v>
      </c>
      <c r="B218" s="202"/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02"/>
      <c r="P218" s="203"/>
    </row>
    <row r="219" spans="1:16" x14ac:dyDescent="0.3">
      <c r="A219" s="166" t="s">
        <v>35</v>
      </c>
      <c r="B219" s="167"/>
      <c r="C219" s="4" t="s">
        <v>31</v>
      </c>
      <c r="D219" s="13">
        <f>Balaka!D219+Liwonde!D219+Machinga!D219+Ntaja!D219</f>
        <v>52109258.220000006</v>
      </c>
      <c r="E219" s="13">
        <f>Balaka!E219+Liwonde!E219+Machinga!E219+Ntaja!E219</f>
        <v>40114460.610000297</v>
      </c>
      <c r="F219" s="13">
        <f>Balaka!F219+Liwonde!F219+Machinga!F219+Ntaja!F219</f>
        <v>35520738.030000009</v>
      </c>
      <c r="G219" s="13">
        <f>Balaka!G219+Liwonde!G219+Machinga!G219+Ntaja!G219</f>
        <v>50349836.649999999</v>
      </c>
      <c r="H219" s="13">
        <f>Balaka!H219+Liwonde!H219+Machinga!H219+Ntaja!H219</f>
        <v>41269065.420000002</v>
      </c>
      <c r="I219" s="13">
        <f>Balaka!I219+Liwonde!I219+Machinga!I219+Ntaja!I219</f>
        <v>52607732.339999996</v>
      </c>
      <c r="J219" s="13">
        <f>Balaka!J219+Liwonde!J219+Machinga!J219+Ntaja!J219</f>
        <v>39871610.660000004</v>
      </c>
      <c r="K219" s="13">
        <f>Balaka!K219+Liwonde!K219+Machinga!K219+Ntaja!K219</f>
        <v>40469493.710000001</v>
      </c>
      <c r="L219" s="13">
        <f>Balaka!L219+Liwonde!L219+Machinga!L219+Ntaja!L219</f>
        <v>38439810.13000001</v>
      </c>
      <c r="M219" s="13">
        <f>Balaka!M219+Liwonde!M219+Machinga!M219+Ntaja!M219</f>
        <v>38528313.579999998</v>
      </c>
      <c r="N219" s="13">
        <f>Balaka!N219+Liwonde!N219+Machinga!N219+Ntaja!N219</f>
        <v>41349551.579999998</v>
      </c>
      <c r="O219" s="13">
        <f>Balaka!O219+Liwonde!O219+Machinga!O219+Ntaja!O219</f>
        <v>43006364.799999997</v>
      </c>
      <c r="P219" s="35">
        <f>SUM(D219:O219)</f>
        <v>513636235.73000026</v>
      </c>
    </row>
    <row r="220" spans="1:16" x14ac:dyDescent="0.3">
      <c r="A220" s="166" t="s">
        <v>34</v>
      </c>
      <c r="B220" s="167"/>
      <c r="C220" s="4" t="s">
        <v>31</v>
      </c>
      <c r="D220" s="13">
        <f>Balaka!D220+Liwonde!D220+Machinga!D220+Ntaja!D220</f>
        <v>368787.83999999997</v>
      </c>
      <c r="E220" s="13">
        <f>Balaka!E220+Liwonde!E220+Machinga!E220+Ntaja!E220</f>
        <v>227623.2</v>
      </c>
      <c r="F220" s="13">
        <f>Balaka!F220+Liwonde!F220+Machinga!F220+Ntaja!F220</f>
        <v>201991.67999999999</v>
      </c>
      <c r="G220" s="13">
        <f>Balaka!G220+Liwonde!G220+Machinga!G220+Ntaja!G220</f>
        <v>320967.83999999997</v>
      </c>
      <c r="H220" s="13">
        <f>Balaka!H220+Liwonde!H220+Machinga!H220+Ntaja!H220</f>
        <v>250959.35999999999</v>
      </c>
      <c r="I220" s="13">
        <f>Balaka!I220+Liwonde!I220+Machinga!I220+Ntaja!I220</f>
        <v>376056.48</v>
      </c>
      <c r="J220" s="13">
        <f>Balaka!J220+Liwonde!J220+Machinga!J220+Ntaja!J220</f>
        <v>270661.19999999995</v>
      </c>
      <c r="K220" s="13">
        <f>Balaka!K220+Liwonde!K220+Machinga!K220+Ntaja!K220</f>
        <v>283094.40000000002</v>
      </c>
      <c r="L220" s="13">
        <f>Balaka!L220+Liwonde!L220+Machinga!L220+Ntaja!L220</f>
        <v>190897.44</v>
      </c>
      <c r="M220" s="13">
        <f>Balaka!M220+Liwonde!M220+Machinga!M220+Ntaja!M220</f>
        <v>219398.15999999997</v>
      </c>
      <c r="N220" s="13">
        <f>Balaka!N220+Liwonde!N220+Machinga!N220+Ntaja!N220</f>
        <v>160292.64000000001</v>
      </c>
      <c r="O220" s="13">
        <f>Balaka!O220+Liwonde!O220+Machinga!O220+Ntaja!O220</f>
        <v>172534.56</v>
      </c>
      <c r="P220" s="35">
        <f>SUM(D220:O220)</f>
        <v>3043264.8000000003</v>
      </c>
    </row>
    <row r="221" spans="1:16" x14ac:dyDescent="0.3">
      <c r="A221" s="166" t="s">
        <v>33</v>
      </c>
      <c r="B221" s="167"/>
      <c r="C221" s="4" t="s">
        <v>31</v>
      </c>
      <c r="D221" s="13">
        <f>Balaka!D221+Liwonde!D221+Machinga!D221+Ntaja!D221</f>
        <v>3565193.4600000004</v>
      </c>
      <c r="E221" s="13">
        <f>Balaka!E221+Liwonde!E221+Machinga!E221+Ntaja!E221</f>
        <v>2383241.8000000003</v>
      </c>
      <c r="F221" s="13">
        <f>Balaka!F221+Liwonde!F221+Machinga!F221+Ntaja!F221</f>
        <v>1982753.0699999998</v>
      </c>
      <c r="G221" s="13">
        <f>Balaka!G221+Liwonde!G221+Machinga!G221+Ntaja!G221</f>
        <v>2544989.5300000003</v>
      </c>
      <c r="H221" s="13">
        <f>Balaka!H221+Liwonde!H221+Machinga!H221+Ntaja!H221</f>
        <v>1540432.1700000002</v>
      </c>
      <c r="I221" s="13">
        <f>Balaka!I221+Liwonde!I221+Machinga!I221+Ntaja!I221</f>
        <v>2027763.66</v>
      </c>
      <c r="J221" s="13">
        <f>Balaka!J221+Liwonde!J221+Machinga!J221+Ntaja!J221</f>
        <v>1334756.96</v>
      </c>
      <c r="K221" s="13">
        <f>Balaka!K221+Liwonde!K221+Machinga!K221+Ntaja!K221</f>
        <v>2238853.8600000003</v>
      </c>
      <c r="L221" s="13">
        <f>Balaka!L221+Liwonde!L221+Machinga!L221+Ntaja!L221</f>
        <v>1277255.5999999999</v>
      </c>
      <c r="M221" s="13">
        <f>Balaka!M221+Liwonde!M221+Machinga!M221+Ntaja!M221</f>
        <v>1259381.97</v>
      </c>
      <c r="N221" s="13">
        <f>Balaka!N221+Liwonde!N221+Machinga!N221+Ntaja!N221</f>
        <v>1484276.79</v>
      </c>
      <c r="O221" s="13">
        <f>Balaka!O221+Liwonde!O221+Machinga!O221+Ntaja!O221</f>
        <v>1265194.32</v>
      </c>
      <c r="P221" s="35">
        <f>SUM(D221:O221)</f>
        <v>22904093.189999998</v>
      </c>
    </row>
    <row r="222" spans="1:16" x14ac:dyDescent="0.3">
      <c r="A222" s="166" t="s">
        <v>32</v>
      </c>
      <c r="B222" s="167"/>
      <c r="C222" s="4" t="s">
        <v>31</v>
      </c>
      <c r="D222" s="13">
        <f>Balaka!D222+Liwonde!D222+Machinga!D222+Ntaja!D222</f>
        <v>1686922.06</v>
      </c>
      <c r="E222" s="13">
        <f>Balaka!E222+Liwonde!E222+Machinga!E222+Ntaja!E222</f>
        <v>1281980.6000000001</v>
      </c>
      <c r="F222" s="13">
        <f>Balaka!F222+Liwonde!F222+Machinga!F222+Ntaja!F222</f>
        <v>833249.03</v>
      </c>
      <c r="G222" s="13">
        <f>Balaka!G222+Liwonde!G222+Machinga!G222+Ntaja!G222</f>
        <v>1840797.22</v>
      </c>
      <c r="H222" s="13">
        <f>Balaka!H222+Liwonde!H222+Machinga!H222+Ntaja!H222</f>
        <v>549659.79</v>
      </c>
      <c r="I222" s="13">
        <f>Balaka!I222+Liwonde!I222+Machinga!I222+Ntaja!I222</f>
        <v>718066.13</v>
      </c>
      <c r="J222" s="13">
        <f>Balaka!J222+Liwonde!J222+Machinga!J222+Ntaja!J222</f>
        <v>57237.22</v>
      </c>
      <c r="K222" s="13">
        <f>Balaka!K222+Liwonde!K222+Machinga!K222+Ntaja!K222</f>
        <v>420021.67</v>
      </c>
      <c r="L222" s="13">
        <f>Balaka!L222+Liwonde!L222+Machinga!L222+Ntaja!L222</f>
        <v>679883.96</v>
      </c>
      <c r="M222" s="13">
        <f>Balaka!M222+Liwonde!M222+Machinga!M222+Ntaja!M222</f>
        <v>750884.28</v>
      </c>
      <c r="N222" s="13">
        <f>Balaka!N222+Liwonde!N222+Machinga!N222+Ntaja!N222</f>
        <v>131073.35999999999</v>
      </c>
      <c r="O222" s="13">
        <f>Balaka!O222+Liwonde!O222+Machinga!O222+Ntaja!O222</f>
        <v>420877.6</v>
      </c>
      <c r="P222" s="35">
        <f>SUM(D222:O222)</f>
        <v>9370652.9199999981</v>
      </c>
    </row>
    <row r="223" spans="1:16" x14ac:dyDescent="0.3">
      <c r="A223" s="214" t="s">
        <v>36</v>
      </c>
      <c r="B223" s="215"/>
      <c r="C223" s="4" t="s">
        <v>31</v>
      </c>
      <c r="D223" s="10">
        <f t="shared" ref="D223:O223" si="88">SUM(D219:D222)</f>
        <v>57730161.580000013</v>
      </c>
      <c r="E223" s="9">
        <f t="shared" si="88"/>
        <v>44007306.210000299</v>
      </c>
      <c r="F223" s="9">
        <f t="shared" si="88"/>
        <v>38538731.81000001</v>
      </c>
      <c r="G223" s="9">
        <f t="shared" si="88"/>
        <v>55056591.240000002</v>
      </c>
      <c r="H223" s="9">
        <f t="shared" si="88"/>
        <v>43610116.740000002</v>
      </c>
      <c r="I223" s="9">
        <f t="shared" si="88"/>
        <v>55729618.609999992</v>
      </c>
      <c r="J223" s="12">
        <f t="shared" si="88"/>
        <v>41534266.040000007</v>
      </c>
      <c r="K223" s="12">
        <f t="shared" si="88"/>
        <v>43411463.640000001</v>
      </c>
      <c r="L223" s="12">
        <f t="shared" si="88"/>
        <v>40587847.13000001</v>
      </c>
      <c r="M223" s="12">
        <f t="shared" si="88"/>
        <v>40757977.989999995</v>
      </c>
      <c r="N223" s="12">
        <f t="shared" si="88"/>
        <v>43125194.369999997</v>
      </c>
      <c r="O223" s="12">
        <f t="shared" si="88"/>
        <v>44864971.280000001</v>
      </c>
      <c r="P223" s="35">
        <f>SUM(D223:O223)</f>
        <v>548954246.64000034</v>
      </c>
    </row>
    <row r="224" spans="1:16" ht="14.4" x14ac:dyDescent="0.3">
      <c r="A224" s="201" t="s">
        <v>213</v>
      </c>
      <c r="B224" s="202"/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02"/>
      <c r="P224" s="203"/>
    </row>
    <row r="225" spans="1:16" x14ac:dyDescent="0.3">
      <c r="A225" s="166" t="s">
        <v>35</v>
      </c>
      <c r="B225" s="167"/>
      <c r="C225" s="4" t="s">
        <v>31</v>
      </c>
      <c r="D225" s="13">
        <f>Balaka!D225+Liwonde!D225+Machinga!D225+Ntaja!D225</f>
        <v>31141791.659999996</v>
      </c>
      <c r="E225" s="13">
        <f>Balaka!E225+Liwonde!E225+Machinga!E225+Ntaja!E225</f>
        <v>32824375.400000013</v>
      </c>
      <c r="F225" s="13">
        <f>Balaka!F225+Liwonde!F225+Machinga!F225+Ntaja!F225</f>
        <v>36337524.499999978</v>
      </c>
      <c r="G225" s="13">
        <f>Balaka!G225+Liwonde!G225+Machinga!G225+Ntaja!G225</f>
        <v>43385973.030000113</v>
      </c>
      <c r="H225" s="13">
        <f>Balaka!H225+Liwonde!H225+Machinga!H225+Ntaja!H225</f>
        <v>42289647.290000059</v>
      </c>
      <c r="I225" s="13">
        <f>Balaka!I225+Liwonde!I225+Machinga!I225+Ntaja!I225</f>
        <v>51176995.149999939</v>
      </c>
      <c r="J225" s="13">
        <f>Balaka!J225+Liwonde!J225+Machinga!J225+Ntaja!J225</f>
        <v>46100365.089999974</v>
      </c>
      <c r="K225" s="13">
        <f>Balaka!K225+Liwonde!K225+Machinga!K225+Ntaja!K225</f>
        <v>47354617.700000048</v>
      </c>
      <c r="L225" s="13">
        <f>Balaka!L225+Liwonde!L225+Machinga!L225+Ntaja!L225</f>
        <v>43537004.439999998</v>
      </c>
      <c r="M225" s="13">
        <f>Balaka!M225+Liwonde!M225+Machinga!M225+Ntaja!M225</f>
        <v>45015723.780000001</v>
      </c>
      <c r="N225" s="13">
        <f>Balaka!N225+Liwonde!N225+Machinga!N225+Ntaja!N225</f>
        <v>37651831.400000021</v>
      </c>
      <c r="O225" s="13">
        <f>Balaka!O225+Liwonde!O225+Machinga!O225+Ntaja!O225</f>
        <v>41279691.990000039</v>
      </c>
      <c r="P225" s="35">
        <f t="shared" ref="P225:P230" si="89">SUM(D225:O225)</f>
        <v>498095541.43000019</v>
      </c>
    </row>
    <row r="226" spans="1:16" x14ac:dyDescent="0.3">
      <c r="A226" s="166" t="s">
        <v>34</v>
      </c>
      <c r="B226" s="167"/>
      <c r="C226" s="4" t="s">
        <v>31</v>
      </c>
      <c r="D226" s="13">
        <f>Balaka!D226+Liwonde!D226+Machinga!D226+Ntaja!D226</f>
        <v>39824.639999999999</v>
      </c>
      <c r="E226" s="13">
        <f>Balaka!E226+Liwonde!E226+Machinga!E226+Ntaja!E226</f>
        <v>59800</v>
      </c>
      <c r="F226" s="13">
        <f>Balaka!F226+Liwonde!F226+Machinga!F226+Ntaja!F226</f>
        <v>69345.88</v>
      </c>
      <c r="G226" s="13">
        <f>Balaka!G226+Liwonde!G226+Machinga!G226+Ntaja!G226</f>
        <v>74000</v>
      </c>
      <c r="H226" s="13">
        <f>Balaka!H226+Liwonde!H226+Machinga!H226+Ntaja!H226</f>
        <v>96040</v>
      </c>
      <c r="I226" s="13">
        <f>Balaka!I226+Liwonde!I226+Machinga!I226+Ntaja!I226</f>
        <v>107288.87</v>
      </c>
      <c r="J226" s="13">
        <f>Balaka!J226+Liwonde!J226+Machinga!J226+Ntaja!J226</f>
        <v>90760</v>
      </c>
      <c r="K226" s="13">
        <f>Balaka!K226+Liwonde!K226+Machinga!K226+Ntaja!K226</f>
        <v>50880</v>
      </c>
      <c r="L226" s="13">
        <f>Balaka!L226+Liwonde!L226+Machinga!L226+Ntaja!L226</f>
        <v>43300</v>
      </c>
      <c r="M226" s="13">
        <f>Balaka!M226+Liwonde!M226+Machinga!M226+Ntaja!M226</f>
        <v>80420</v>
      </c>
      <c r="N226" s="13">
        <f>Balaka!N226+Liwonde!N226+Machinga!N226+Ntaja!N226</f>
        <v>57180</v>
      </c>
      <c r="O226" s="13">
        <f>Balaka!O226+Liwonde!O226+Machinga!O226+Ntaja!O226</f>
        <v>51086</v>
      </c>
      <c r="P226" s="35">
        <f t="shared" si="89"/>
        <v>819925.39</v>
      </c>
    </row>
    <row r="227" spans="1:16" x14ac:dyDescent="0.3">
      <c r="A227" s="166" t="s">
        <v>33</v>
      </c>
      <c r="B227" s="167"/>
      <c r="C227" s="4" t="s">
        <v>31</v>
      </c>
      <c r="D227" s="13">
        <f>Balaka!D227+Liwonde!D227+Machinga!D227+Ntaja!D227</f>
        <v>8049432.9899999993</v>
      </c>
      <c r="E227" s="13">
        <f>Balaka!E227+Liwonde!E227+Machinga!E227+Ntaja!E227</f>
        <v>17265235.590000004</v>
      </c>
      <c r="F227" s="13">
        <f>Balaka!F227+Liwonde!F227+Machinga!F227+Ntaja!F227</f>
        <v>12639113.870000001</v>
      </c>
      <c r="G227" s="13">
        <f>Balaka!G227+Liwonde!G227+Machinga!G227+Ntaja!G227</f>
        <v>9673385.0100000016</v>
      </c>
      <c r="H227" s="13">
        <f>Balaka!H227+Liwonde!H227+Machinga!H227+Ntaja!H227</f>
        <v>12341958.91</v>
      </c>
      <c r="I227" s="13">
        <f>Balaka!I227+Liwonde!I227+Machinga!I227+Ntaja!I227</f>
        <v>7289726.7300000004</v>
      </c>
      <c r="J227" s="13">
        <f>Balaka!J227+Liwonde!J227+Machinga!J227+Ntaja!J227</f>
        <v>13250958.370000001</v>
      </c>
      <c r="K227" s="13">
        <f>Balaka!K227+Liwonde!K227+Machinga!K227+Ntaja!K227</f>
        <v>9262946.1300000008</v>
      </c>
      <c r="L227" s="13">
        <f>Balaka!L227+Liwonde!L227+Machinga!L227+Ntaja!L227</f>
        <v>8815367.879999999</v>
      </c>
      <c r="M227" s="13">
        <f>Balaka!M227+Liwonde!M227+Machinga!M227+Ntaja!M227</f>
        <v>5309651.9000000004</v>
      </c>
      <c r="N227" s="13">
        <f>Balaka!N227+Liwonde!N227+Machinga!N227+Ntaja!N227</f>
        <v>4102894.25</v>
      </c>
      <c r="O227" s="13">
        <f>Balaka!O227+Liwonde!O227+Machinga!O227+Ntaja!O227</f>
        <v>6670442.9400000004</v>
      </c>
      <c r="P227" s="35">
        <f t="shared" si="89"/>
        <v>114671114.57000001</v>
      </c>
    </row>
    <row r="228" spans="1:16" x14ac:dyDescent="0.3">
      <c r="A228" s="166" t="s">
        <v>32</v>
      </c>
      <c r="B228" s="167"/>
      <c r="C228" s="4" t="s">
        <v>31</v>
      </c>
      <c r="D228" s="13">
        <f>Balaka!D228+Liwonde!D228+Machinga!D228+Ntaja!D228</f>
        <v>10890555.580000002</v>
      </c>
      <c r="E228" s="13">
        <f>Balaka!E228+Liwonde!E228+Machinga!E228+Ntaja!E228</f>
        <v>11425469</v>
      </c>
      <c r="F228" s="13">
        <f>Balaka!F228+Liwonde!F228+Machinga!F228+Ntaja!F228</f>
        <v>10940312.560000001</v>
      </c>
      <c r="G228" s="13">
        <f>Balaka!G228+Liwonde!G228+Machinga!G228+Ntaja!G228</f>
        <v>27545833.379999999</v>
      </c>
      <c r="H228" s="13">
        <f>Balaka!H228+Liwonde!H228+Machinga!H228+Ntaja!H228</f>
        <v>11972697.26</v>
      </c>
      <c r="I228" s="13">
        <f>Balaka!I228+Liwonde!I228+Machinga!I228+Ntaja!I228</f>
        <v>13575220.48</v>
      </c>
      <c r="J228" s="13">
        <f>Balaka!J228+Liwonde!J228+Machinga!J228+Ntaja!J228</f>
        <v>10290864.720000001</v>
      </c>
      <c r="K228" s="13">
        <f>Balaka!K228+Liwonde!K228+Machinga!K228+Ntaja!K228</f>
        <v>11706199.029999997</v>
      </c>
      <c r="L228" s="13">
        <f>Balaka!L228+Liwonde!L228+Machinga!L228+Ntaja!L228</f>
        <v>10519789.26</v>
      </c>
      <c r="M228" s="13">
        <f>Balaka!M228+Liwonde!M228+Machinga!M228+Ntaja!M228</f>
        <v>15714357.26</v>
      </c>
      <c r="N228" s="13">
        <f>Balaka!N228+Liwonde!N228+Machinga!N228+Ntaja!N228</f>
        <v>13190758.380000001</v>
      </c>
      <c r="O228" s="13">
        <f>Balaka!O228+Liwonde!O228+Machinga!O228+Ntaja!O228</f>
        <v>10943806.050000001</v>
      </c>
      <c r="P228" s="35">
        <f t="shared" si="89"/>
        <v>158715862.96000001</v>
      </c>
    </row>
    <row r="229" spans="1:16" x14ac:dyDescent="0.3">
      <c r="A229" s="214" t="s">
        <v>214</v>
      </c>
      <c r="B229" s="215"/>
      <c r="C229" s="4" t="s">
        <v>31</v>
      </c>
      <c r="D229" s="10">
        <f t="shared" ref="D229:G229" si="90">SUM(D225:D228)</f>
        <v>50121604.870000005</v>
      </c>
      <c r="E229" s="9">
        <f t="shared" si="90"/>
        <v>61574879.990000017</v>
      </c>
      <c r="F229" s="9">
        <f t="shared" si="90"/>
        <v>59986296.809999987</v>
      </c>
      <c r="G229" s="9">
        <f t="shared" si="90"/>
        <v>80679191.420000106</v>
      </c>
      <c r="H229" s="9">
        <f>SUM(H225:H228)</f>
        <v>66700343.46000006</v>
      </c>
      <c r="I229" s="9">
        <f t="shared" ref="I229:O229" si="91">SUM(I225:I228)</f>
        <v>72149231.229999945</v>
      </c>
      <c r="J229" s="9">
        <f t="shared" si="91"/>
        <v>69732948.179999977</v>
      </c>
      <c r="K229" s="9">
        <f t="shared" si="91"/>
        <v>68374642.860000044</v>
      </c>
      <c r="L229" s="9">
        <f t="shared" si="91"/>
        <v>62915461.579999991</v>
      </c>
      <c r="M229" s="9">
        <f t="shared" si="91"/>
        <v>66120152.939999998</v>
      </c>
      <c r="N229" s="9">
        <f t="shared" si="91"/>
        <v>55002664.030000024</v>
      </c>
      <c r="O229" s="9">
        <f t="shared" si="91"/>
        <v>58945026.980000034</v>
      </c>
      <c r="P229" s="35">
        <f t="shared" si="89"/>
        <v>772302444.35000014</v>
      </c>
    </row>
    <row r="230" spans="1:16" x14ac:dyDescent="0.3">
      <c r="A230" s="65" t="s">
        <v>215</v>
      </c>
      <c r="B230" s="108"/>
      <c r="C230" s="4" t="s">
        <v>31</v>
      </c>
      <c r="D230" s="10">
        <f>D223+D229</f>
        <v>107851766.45000002</v>
      </c>
      <c r="E230" s="10">
        <f t="shared" ref="E230:O230" si="92">E223+E229</f>
        <v>105582186.20000032</v>
      </c>
      <c r="F230" s="10">
        <f t="shared" si="92"/>
        <v>98525028.620000005</v>
      </c>
      <c r="G230" s="10">
        <f t="shared" si="92"/>
        <v>135735782.66000012</v>
      </c>
      <c r="H230" s="10">
        <f t="shared" si="92"/>
        <v>110310460.20000006</v>
      </c>
      <c r="I230" s="10">
        <f t="shared" si="92"/>
        <v>127878849.83999994</v>
      </c>
      <c r="J230" s="10">
        <f t="shared" si="92"/>
        <v>111267214.21999998</v>
      </c>
      <c r="K230" s="10">
        <f t="shared" si="92"/>
        <v>111786106.50000004</v>
      </c>
      <c r="L230" s="10">
        <f t="shared" si="92"/>
        <v>103503308.71000001</v>
      </c>
      <c r="M230" s="10">
        <f t="shared" si="92"/>
        <v>106878130.92999999</v>
      </c>
      <c r="N230" s="10">
        <f t="shared" si="92"/>
        <v>98127858.400000021</v>
      </c>
      <c r="O230" s="10">
        <f t="shared" si="92"/>
        <v>103809998.26000004</v>
      </c>
      <c r="P230" s="35">
        <f t="shared" si="89"/>
        <v>1321256690.9900005</v>
      </c>
    </row>
    <row r="231" spans="1:16" ht="14.4" x14ac:dyDescent="0.3">
      <c r="A231" s="201" t="s">
        <v>30</v>
      </c>
      <c r="B231" s="202"/>
      <c r="C231" s="202"/>
      <c r="D231" s="202"/>
      <c r="E231" s="202"/>
      <c r="F231" s="202"/>
      <c r="G231" s="202"/>
      <c r="H231" s="202"/>
      <c r="I231" s="202"/>
      <c r="J231" s="202"/>
      <c r="K231" s="202"/>
      <c r="L231" s="202"/>
      <c r="M231" s="202"/>
      <c r="N231" s="202"/>
      <c r="O231" s="202"/>
      <c r="P231" s="203"/>
    </row>
    <row r="232" spans="1:16" x14ac:dyDescent="0.3">
      <c r="A232" s="166" t="s">
        <v>29</v>
      </c>
      <c r="B232" s="167"/>
      <c r="C232" s="4" t="s">
        <v>18</v>
      </c>
      <c r="D232" s="13">
        <f>Balaka!D232+Liwonde!D232+Machinga!D232+Ntaja!D232</f>
        <v>3351362.59</v>
      </c>
      <c r="E232" s="13">
        <f>Balaka!E232+Liwonde!E232+Machinga!E232+Ntaja!E232</f>
        <v>3319558.3899999796</v>
      </c>
      <c r="F232" s="13">
        <f>Balaka!F232+Liwonde!F232+Machinga!F232+Ntaja!F232</f>
        <v>3024553.71</v>
      </c>
      <c r="G232" s="13">
        <f>Balaka!G232+Liwonde!G232+Machinga!G232+Ntaja!G232</f>
        <v>3120805.0399999996</v>
      </c>
      <c r="H232" s="13">
        <f>Balaka!H232+Liwonde!H232+Machinga!H232+Ntaja!H232</f>
        <v>3014995.3800000004</v>
      </c>
      <c r="I232" s="13">
        <f>Balaka!I232+Liwonde!I232+Machinga!I232+Ntaja!I232</f>
        <v>2999790.2699999996</v>
      </c>
      <c r="J232" s="13">
        <f>Balaka!J232+Liwonde!J232+Machinga!J232+Ntaja!J232</f>
        <v>2967985.3199999994</v>
      </c>
      <c r="K232" s="13">
        <f>Balaka!K232+Liwonde!K232+Machinga!K232+Ntaja!K232</f>
        <v>2953492.9099999997</v>
      </c>
      <c r="L232" s="13">
        <f>Balaka!L232+Liwonde!L232+Machinga!L232+Ntaja!L232</f>
        <v>2979234.2699999996</v>
      </c>
      <c r="M232" s="13">
        <f>Balaka!M232+Liwonde!M232+Machinga!M232+Ntaja!M232</f>
        <v>2967130.9699999997</v>
      </c>
      <c r="N232" s="13">
        <f>Balaka!N232+Liwonde!N232+Machinga!N232+Ntaja!N232</f>
        <v>3002018.0100000002</v>
      </c>
      <c r="O232" s="13">
        <f>Balaka!O232+Liwonde!O232+Machinga!O232+Ntaja!O232</f>
        <v>2989480.46</v>
      </c>
      <c r="P232" s="35">
        <f>SUM(D232:O232)</f>
        <v>36690407.319999978</v>
      </c>
    </row>
    <row r="233" spans="1:16" x14ac:dyDescent="0.3">
      <c r="A233" s="166" t="s">
        <v>28</v>
      </c>
      <c r="B233" s="167"/>
      <c r="C233" s="4" t="s">
        <v>18</v>
      </c>
      <c r="D233" s="13">
        <f>Balaka!D233+Liwonde!D233+Machinga!D233+Ntaja!D233</f>
        <v>4590.7199999999993</v>
      </c>
      <c r="E233" s="13">
        <f>Balaka!E233+Liwonde!E233+Machinga!E233+Ntaja!E233</f>
        <v>4399.4400000000005</v>
      </c>
      <c r="F233" s="13">
        <f>Balaka!F233+Liwonde!F233+Machinga!F233+Ntaja!F233</f>
        <v>3443.04</v>
      </c>
      <c r="G233" s="13">
        <f>Balaka!G233+Liwonde!G233+Machinga!G233+Ntaja!G233</f>
        <v>3443.04</v>
      </c>
      <c r="H233" s="13">
        <f>Balaka!H233+Liwonde!H233+Machinga!H233+Ntaja!H233</f>
        <v>3825.6</v>
      </c>
      <c r="I233" s="13">
        <f>Balaka!I233+Liwonde!I233+Machinga!I233+Ntaja!I233</f>
        <v>4016.88</v>
      </c>
      <c r="J233" s="13">
        <f>Balaka!J233+Liwonde!J233+Machinga!J233+Ntaja!J233</f>
        <v>4016.88</v>
      </c>
      <c r="K233" s="13">
        <f>Balaka!K233+Liwonde!K233+Machinga!L233+Ntaja!K233</f>
        <v>4208.16</v>
      </c>
      <c r="L233" s="13">
        <f>Balaka!L233+Liwonde!L233+Machinga!L233+Ntaja!L233</f>
        <v>4208.16</v>
      </c>
      <c r="M233" s="13">
        <f>Balaka!M233+Liwonde!M233+Machinga!M233+Ntaja!M233</f>
        <v>4016.88</v>
      </c>
      <c r="N233" s="13">
        <f>Balaka!N233+Liwonde!N233+Machinga!N233+Ntaja!N233</f>
        <v>4016.88</v>
      </c>
      <c r="O233" s="13">
        <f>Balaka!O233+Liwonde!O233+Machinga!O233+Ntaja!O233</f>
        <v>4016.88</v>
      </c>
      <c r="P233" s="35">
        <f>SUM(D233:O233)</f>
        <v>48202.55999999999</v>
      </c>
    </row>
    <row r="234" spans="1:16" x14ac:dyDescent="0.3">
      <c r="A234" s="166" t="s">
        <v>27</v>
      </c>
      <c r="B234" s="167"/>
      <c r="C234" s="4" t="s">
        <v>18</v>
      </c>
      <c r="D234" s="13">
        <f>Balaka!D234+Liwonde!D234+Machinga!D234+Ntaja!D234</f>
        <v>95021.92</v>
      </c>
      <c r="E234" s="13">
        <f>Balaka!E234+Liwonde!E234+Machinga!E234+Ntaja!E234</f>
        <v>91628.28</v>
      </c>
      <c r="F234" s="13">
        <f>Balaka!F234+Liwonde!F234+Machinga!F234+Ntaja!F234</f>
        <v>71266.44</v>
      </c>
      <c r="G234" s="13">
        <f>Balaka!G234+Liwonde!G234+Machinga!G234+Ntaja!G234</f>
        <v>67872.800000000003</v>
      </c>
      <c r="H234" s="13">
        <f>Balaka!H234+Liwonde!H234+Machinga!H234+Ntaja!H234</f>
        <v>64479.159999999996</v>
      </c>
      <c r="I234" s="13">
        <f>Balaka!I234+Liwonde!I234+Machinga!I234+Ntaja!I234</f>
        <v>61085.52</v>
      </c>
      <c r="J234" s="13">
        <f>Balaka!J234+Liwonde!J234+Machinga!J234+Ntaja!J234</f>
        <v>61085.52</v>
      </c>
      <c r="K234" s="13">
        <f>Balaka!K234+Liwonde!K234+Machinga!K234+Ntaja!K234</f>
        <v>64479.159999999996</v>
      </c>
      <c r="L234" s="13">
        <f>Balaka!L234+Liwonde!L234+Machinga!L234+Ntaja!L234</f>
        <v>64479.159999999996</v>
      </c>
      <c r="M234" s="13">
        <f>Balaka!M234+Liwonde!M234+Machinga!M234+Ntaja!M234</f>
        <v>57691.88</v>
      </c>
      <c r="N234" s="13">
        <f>Balaka!N234+Liwonde!N234+Machinga!N234+Ntaja!N234</f>
        <v>57691.88</v>
      </c>
      <c r="O234" s="13">
        <f>Balaka!O234+Liwonde!O234+Machinga!O234+Ntaja!O234</f>
        <v>57691.88</v>
      </c>
      <c r="P234" s="35">
        <f>SUM(D234:O234)</f>
        <v>814473.60000000009</v>
      </c>
    </row>
    <row r="235" spans="1:16" x14ac:dyDescent="0.3">
      <c r="A235" s="166" t="s">
        <v>26</v>
      </c>
      <c r="B235" s="167"/>
      <c r="C235" s="4" t="s">
        <v>18</v>
      </c>
      <c r="D235" s="13">
        <f>Balaka!D235+Liwonde!D235+Machinga!D235+Ntaja!D235</f>
        <v>46373.399999999994</v>
      </c>
      <c r="E235" s="13">
        <f>Balaka!E235+Liwonde!E235+Machinga!E235+Ntaja!E235</f>
        <v>37098.720000000001</v>
      </c>
      <c r="F235" s="13">
        <f>Balaka!F235+Liwonde!F235+Machinga!F235+Ntaja!F235</f>
        <v>32461.38</v>
      </c>
      <c r="G235" s="13">
        <f>Balaka!G235+Liwonde!G235+Machinga!G235+Ntaja!G235</f>
        <v>37098.720000000001</v>
      </c>
      <c r="H235" s="13">
        <f>Balaka!H235+Liwonde!H235+Machinga!H235+Ntaja!H235</f>
        <v>32461.38</v>
      </c>
      <c r="I235" s="13">
        <f>Balaka!I235+Liwonde!I235+Machinga!I235+Ntaja!I235</f>
        <v>23186.7</v>
      </c>
      <c r="J235" s="13">
        <f>Balaka!J235+Liwonde!J235+Machinga!J235+Ntaja!J235</f>
        <v>27824.04</v>
      </c>
      <c r="K235" s="13">
        <f>Balaka!K235+Liwonde!K235+Machinga!K235+Ntaja!K235</f>
        <v>32461.38</v>
      </c>
      <c r="L235" s="13">
        <f>Balaka!L235+Liwonde!L235+Machinga!L235+Ntaja!L235</f>
        <v>27824.04</v>
      </c>
      <c r="M235" s="13">
        <f>Balaka!M235+Liwonde!M235+Machinga!M235+Ntaja!M235</f>
        <v>37098.720000000001</v>
      </c>
      <c r="N235" s="13">
        <f>Balaka!N235+Liwonde!N235+Machinga!N235+Ntaja!N235</f>
        <v>37098.720000000001</v>
      </c>
      <c r="O235" s="13">
        <f>Balaka!O235+Liwonde!O235+Machinga!O235+Ntaja!O235</f>
        <v>46373.4</v>
      </c>
      <c r="P235" s="35">
        <f>SUM(D235:O235)</f>
        <v>417360.6</v>
      </c>
    </row>
    <row r="236" spans="1:16" x14ac:dyDescent="0.3">
      <c r="A236" s="214" t="s">
        <v>25</v>
      </c>
      <c r="B236" s="215"/>
      <c r="C236" s="4" t="s">
        <v>18</v>
      </c>
      <c r="D236" s="10">
        <f t="shared" ref="D236:E236" si="93">SUM(D232:D235)</f>
        <v>3497348.63</v>
      </c>
      <c r="E236" s="10">
        <f t="shared" si="93"/>
        <v>3452684.8299999796</v>
      </c>
      <c r="F236" s="10">
        <f t="shared" ref="F236:H236" si="94">SUM(F232:F235)</f>
        <v>3131724.57</v>
      </c>
      <c r="G236" s="10">
        <f t="shared" si="94"/>
        <v>3229219.5999999996</v>
      </c>
      <c r="H236" s="10">
        <f t="shared" si="94"/>
        <v>3115761.5200000005</v>
      </c>
      <c r="I236" s="10">
        <f t="shared" ref="I236:O236" si="95">SUM(I232:I235)</f>
        <v>3088079.3699999996</v>
      </c>
      <c r="J236" s="10">
        <f t="shared" si="95"/>
        <v>3060911.7599999993</v>
      </c>
      <c r="K236" s="10">
        <f t="shared" si="95"/>
        <v>3054641.61</v>
      </c>
      <c r="L236" s="10">
        <f t="shared" si="95"/>
        <v>3075745.63</v>
      </c>
      <c r="M236" s="10">
        <f t="shared" si="95"/>
        <v>3065938.4499999997</v>
      </c>
      <c r="N236" s="10">
        <f t="shared" si="95"/>
        <v>3100825.49</v>
      </c>
      <c r="O236" s="10">
        <f t="shared" si="95"/>
        <v>3097562.6199999996</v>
      </c>
      <c r="P236" s="35">
        <f t="shared" ref="P236" si="96">SUM(P232:P235)</f>
        <v>37970444.079999983</v>
      </c>
    </row>
    <row r="237" spans="1:16" ht="14.4" x14ac:dyDescent="0.3">
      <c r="A237" s="201" t="s">
        <v>24</v>
      </c>
      <c r="B237" s="202"/>
      <c r="C237" s="202"/>
      <c r="D237" s="202"/>
      <c r="E237" s="202"/>
      <c r="F237" s="202"/>
      <c r="G237" s="202"/>
      <c r="H237" s="202"/>
      <c r="I237" s="202"/>
      <c r="J237" s="202"/>
      <c r="K237" s="202"/>
      <c r="L237" s="202"/>
      <c r="M237" s="202"/>
      <c r="N237" s="202"/>
      <c r="O237" s="202"/>
      <c r="P237" s="203"/>
    </row>
    <row r="238" spans="1:16" x14ac:dyDescent="0.3">
      <c r="A238" s="166" t="s">
        <v>23</v>
      </c>
      <c r="B238" s="167"/>
      <c r="C238" s="4" t="s">
        <v>18</v>
      </c>
      <c r="D238" s="13">
        <f>Balaka!D238+Liwonde!D238+Machinga!D238+Ntaja!D238</f>
        <v>5599110</v>
      </c>
      <c r="E238" s="13">
        <f>Balaka!E238+Liwonde!E238+Machinga!E238+Ntaja!E238</f>
        <v>5541958</v>
      </c>
      <c r="F238" s="13">
        <f>Balaka!F238+Liwonde!F238+Machinga!F238+Ntaja!F238</f>
        <v>5057059</v>
      </c>
      <c r="G238" s="13">
        <f>Balaka!G238+Liwonde!G238+Machinga!G238+Ntaja!G238</f>
        <v>5211548</v>
      </c>
      <c r="H238" s="13">
        <f>Balaka!H238+Liwonde!H238+Machinga!H238+Ntaja!H238</f>
        <v>5013302</v>
      </c>
      <c r="I238" s="13">
        <f>Balaka!I238+Liwonde!I238+Machinga!I238+Ntaja!I238</f>
        <v>4987405</v>
      </c>
      <c r="J238" s="13">
        <f>Balaka!J238+Liwonde!J238+Machinga!J238+Ntaja!J238</f>
        <v>4945434</v>
      </c>
      <c r="K238" s="13">
        <f>Balaka!K238+Liwonde!K238+Machinga!K238+Ntaja!K238</f>
        <v>4922216</v>
      </c>
      <c r="L238" s="13">
        <f>Balaka!L238+Liwonde!L238+Machinga!L238+Ntaja!L238</f>
        <v>4963294</v>
      </c>
      <c r="M238" s="13">
        <f>Balaka!M238+Liwonde!M238+Machinga!M238+Ntaja!M238</f>
        <v>4940969</v>
      </c>
      <c r="N238" s="13">
        <f>Balaka!N238+Liwonde!N238+Machinga!N238+Ntaja!N238</f>
        <v>5006158</v>
      </c>
      <c r="O238" s="13">
        <f>Balaka!O238+Liwonde!O238+Machinga!O238+Ntaja!O238</f>
        <v>4986512</v>
      </c>
      <c r="P238" s="35">
        <f>SUM(D238:O238)</f>
        <v>61174965</v>
      </c>
    </row>
    <row r="239" spans="1:16" x14ac:dyDescent="0.3">
      <c r="A239" s="166" t="s">
        <v>22</v>
      </c>
      <c r="B239" s="167"/>
      <c r="C239" s="4" t="s">
        <v>18</v>
      </c>
      <c r="D239" s="13">
        <f>Balaka!D239+Liwonde!D239+Machinga!D239+Ntaja!D239</f>
        <v>21432</v>
      </c>
      <c r="E239" s="13">
        <f>Balaka!E239+Liwonde!E239+Machinga!E239+Ntaja!E239</f>
        <v>20539</v>
      </c>
      <c r="F239" s="13">
        <f>Balaka!F239+Liwonde!F239+Machinga!F239+Ntaja!F239</f>
        <v>16074</v>
      </c>
      <c r="G239" s="13">
        <f>Balaka!G239+Liwonde!G239+Machinga!G239+Ntaja!G239</f>
        <v>16074</v>
      </c>
      <c r="H239" s="13">
        <f>Balaka!H239+Liwonde!H239+Machinga!H239+Ntaja!H239</f>
        <v>17860</v>
      </c>
      <c r="I239" s="13">
        <f>Balaka!I239+Liwonde!I239+Machinga!I239+Ntaja!I239</f>
        <v>18753</v>
      </c>
      <c r="J239" s="13">
        <f>Balaka!J239+Liwonde!J239+Machinga!J239+Ntaja!J239</f>
        <v>18753</v>
      </c>
      <c r="K239" s="13">
        <f>Balaka!K239+Liwonde!K239+Machinga!K239+Ntaja!K239</f>
        <v>19646</v>
      </c>
      <c r="L239" s="13">
        <f>Balaka!L239+Liwonde!L239+Machinga!L239+Ntaja!L239</f>
        <v>19646</v>
      </c>
      <c r="M239" s="13">
        <f>Balaka!M239+Liwonde!M239+Machinga!M239+Ntaja!M239</f>
        <v>18753</v>
      </c>
      <c r="N239" s="13">
        <f>Balaka!N239+Liwonde!N239+Machinga!N239+Ntaja!N239</f>
        <v>18753</v>
      </c>
      <c r="O239" s="13">
        <f>Balaka!O239+Liwonde!O239+Machinga!O239+Ntaja!O239</f>
        <v>18753</v>
      </c>
      <c r="P239" s="35">
        <f>SUM(D239:O239)</f>
        <v>225036</v>
      </c>
    </row>
    <row r="240" spans="1:16" x14ac:dyDescent="0.3">
      <c r="A240" s="166" t="s">
        <v>21</v>
      </c>
      <c r="B240" s="167"/>
      <c r="C240" s="4" t="s">
        <v>18</v>
      </c>
      <c r="D240" s="13">
        <f>Balaka!D240+Liwonde!D240+Machinga!D240+Ntaja!D240</f>
        <v>25004</v>
      </c>
      <c r="E240" s="13">
        <f>Balaka!E240+Liwonde!E240+Machinga!E240+Ntaja!E240</f>
        <v>24111</v>
      </c>
      <c r="F240" s="13">
        <f>Balaka!F240+Liwonde!F240+Machinga!F240+Ntaja!F240</f>
        <v>18753</v>
      </c>
      <c r="G240" s="13">
        <f>Balaka!G240+Liwonde!G240+Machinga!G240+Ntaja!G240</f>
        <v>17860</v>
      </c>
      <c r="H240" s="13">
        <f>Balaka!H240+Liwonde!H240+Machinga!H240+Ntaja!H240</f>
        <v>16967</v>
      </c>
      <c r="I240" s="13">
        <f>Balaka!I240+Liwonde!I240+Machinga!I240+Ntaja!I240</f>
        <v>16074</v>
      </c>
      <c r="J240" s="13">
        <f>Balaka!J240+Liwonde!J240+Machinga!J240+Ntaja!J240</f>
        <v>16074</v>
      </c>
      <c r="K240" s="13">
        <f>Balaka!K240+Liwonde!K240+Machinga!K240+Ntaja!K240</f>
        <v>16967</v>
      </c>
      <c r="L240" s="13">
        <f>Balaka!L240+Liwonde!L240+Machinga!L240+Ntaja!L240</f>
        <v>16967</v>
      </c>
      <c r="M240" s="13">
        <f>Balaka!M240+Liwonde!M240+Machinga!M240+Ntaja!M240</f>
        <v>15181</v>
      </c>
      <c r="N240" s="13">
        <f>Balaka!N240+Liwonde!N240+Machinga!N240+Ntaja!N240</f>
        <v>15181</v>
      </c>
      <c r="O240" s="13">
        <f>Balaka!O240+Liwonde!O240+Machinga!O240+Ntaja!O240</f>
        <v>15181</v>
      </c>
      <c r="P240" s="35">
        <f>SUM(D240:O240)</f>
        <v>214320</v>
      </c>
    </row>
    <row r="241" spans="1:18" x14ac:dyDescent="0.3">
      <c r="A241" s="166" t="s">
        <v>20</v>
      </c>
      <c r="B241" s="167"/>
      <c r="C241" s="4" t="s">
        <v>18</v>
      </c>
      <c r="D241" s="13">
        <f>Balaka!D241+Liwonde!D241+Machinga!D241+Ntaja!D241</f>
        <v>8930</v>
      </c>
      <c r="E241" s="13">
        <f>Balaka!E241+Liwonde!E241+Machinga!E241+Ntaja!E241</f>
        <v>7144</v>
      </c>
      <c r="F241" s="13">
        <f>Balaka!F241+Liwonde!F241+Machinga!F241+Ntaja!F241</f>
        <v>6251</v>
      </c>
      <c r="G241" s="13">
        <f>Balaka!G241+Liwonde!G241+Machinga!G241+Ntaja!G241</f>
        <v>7144</v>
      </c>
      <c r="H241" s="13">
        <f>Balaka!H241+Liwonde!H241+Machinga!H241+Ntaja!H241</f>
        <v>6251</v>
      </c>
      <c r="I241" s="13">
        <f>Balaka!I241+Liwonde!I241+Machinga!I241+Ntaja!I241</f>
        <v>4465</v>
      </c>
      <c r="J241" s="13">
        <f>Balaka!J241+Liwonde!J241+Machinga!J241+Ntaja!J241</f>
        <v>5358</v>
      </c>
      <c r="K241" s="13">
        <f>Balaka!K241+Liwonde!K241+Machinga!K241+Ntaja!K241</f>
        <v>6251</v>
      </c>
      <c r="L241" s="13">
        <f>Balaka!L241+Liwonde!L241+Machinga!L241+Ntaja!L241</f>
        <v>5358</v>
      </c>
      <c r="M241" s="13">
        <f>Balaka!M241+Liwonde!M241+Machinga!M241+Ntaja!M241</f>
        <v>7144</v>
      </c>
      <c r="N241" s="13">
        <f>Balaka!N241+Liwonde!N241+Machinga!N241+Ntaja!N241</f>
        <v>7144</v>
      </c>
      <c r="O241" s="13">
        <f>Balaka!O241+Liwonde!O241+Machinga!O241+Ntaja!O241</f>
        <v>8930</v>
      </c>
      <c r="P241" s="35">
        <f>SUM(D241:O241)</f>
        <v>80370</v>
      </c>
    </row>
    <row r="242" spans="1:18" x14ac:dyDescent="0.3">
      <c r="A242" s="214" t="s">
        <v>19</v>
      </c>
      <c r="B242" s="215"/>
      <c r="C242" s="4" t="s">
        <v>18</v>
      </c>
      <c r="D242" s="10">
        <f t="shared" ref="D242:P242" si="97">SUM(D238:D241)</f>
        <v>5654476</v>
      </c>
      <c r="E242" s="10">
        <f t="shared" si="97"/>
        <v>5593752</v>
      </c>
      <c r="F242" s="10">
        <f t="shared" si="97"/>
        <v>5098137</v>
      </c>
      <c r="G242" s="10">
        <f t="shared" ref="G242:H242" si="98">SUM(G238:G241)</f>
        <v>5252626</v>
      </c>
      <c r="H242" s="10">
        <f t="shared" si="98"/>
        <v>5054380</v>
      </c>
      <c r="I242" s="10">
        <f t="shared" si="97"/>
        <v>5026697</v>
      </c>
      <c r="J242" s="10">
        <f t="shared" si="97"/>
        <v>4985619</v>
      </c>
      <c r="K242" s="10">
        <f t="shared" si="97"/>
        <v>4965080</v>
      </c>
      <c r="L242" s="10">
        <f t="shared" si="97"/>
        <v>5005265</v>
      </c>
      <c r="M242" s="10">
        <f t="shared" si="97"/>
        <v>4982047</v>
      </c>
      <c r="N242" s="10">
        <f t="shared" si="97"/>
        <v>5047236</v>
      </c>
      <c r="O242" s="10">
        <f t="shared" si="97"/>
        <v>5029376</v>
      </c>
      <c r="P242" s="35">
        <f t="shared" si="97"/>
        <v>61694691</v>
      </c>
    </row>
    <row r="243" spans="1:18" x14ac:dyDescent="0.3">
      <c r="A243" s="214" t="s">
        <v>216</v>
      </c>
      <c r="B243" s="215"/>
      <c r="C243" s="4" t="s">
        <v>18</v>
      </c>
      <c r="D243" s="9">
        <f>D230+D236+D242</f>
        <v>117003591.08000001</v>
      </c>
      <c r="E243" s="9">
        <f t="shared" ref="E243:O243" si="99">E230+E236+E242</f>
        <v>114628623.0300003</v>
      </c>
      <c r="F243" s="9">
        <f t="shared" si="99"/>
        <v>106754890.19</v>
      </c>
      <c r="G243" s="9">
        <f t="shared" si="99"/>
        <v>144217628.26000011</v>
      </c>
      <c r="H243" s="9">
        <f t="shared" si="99"/>
        <v>118480601.72000006</v>
      </c>
      <c r="I243" s="9">
        <f t="shared" si="99"/>
        <v>135993626.20999995</v>
      </c>
      <c r="J243" s="9">
        <f t="shared" si="99"/>
        <v>119313744.97999999</v>
      </c>
      <c r="K243" s="9">
        <f t="shared" si="99"/>
        <v>119805828.11000004</v>
      </c>
      <c r="L243" s="9">
        <f t="shared" si="99"/>
        <v>111584319.34</v>
      </c>
      <c r="M243" s="9">
        <f t="shared" si="99"/>
        <v>114926116.38</v>
      </c>
      <c r="N243" s="9">
        <f t="shared" si="99"/>
        <v>106275919.89000002</v>
      </c>
      <c r="O243" s="9">
        <f t="shared" si="99"/>
        <v>111936936.88000004</v>
      </c>
      <c r="P243" s="35">
        <f t="shared" ref="P243" si="100">P216+P223+P236+P242</f>
        <v>1475070957.6500001</v>
      </c>
    </row>
    <row r="244" spans="1:18" ht="14.4" x14ac:dyDescent="0.3">
      <c r="A244" s="201" t="s">
        <v>206</v>
      </c>
      <c r="B244" s="202"/>
      <c r="C244" s="202"/>
      <c r="D244" s="202"/>
      <c r="E244" s="202"/>
      <c r="F244" s="202"/>
      <c r="G244" s="202"/>
      <c r="H244" s="202"/>
      <c r="I244" s="202"/>
      <c r="J244" s="202"/>
      <c r="K244" s="202"/>
      <c r="L244" s="202"/>
      <c r="M244" s="202"/>
      <c r="N244" s="202"/>
      <c r="O244" s="202"/>
      <c r="P244" s="203"/>
    </row>
    <row r="245" spans="1:18" x14ac:dyDescent="0.3">
      <c r="A245" s="234" t="s">
        <v>207</v>
      </c>
      <c r="B245" s="235"/>
      <c r="C245" s="4" t="s">
        <v>18</v>
      </c>
      <c r="D245" s="13">
        <f>Balaka!D245+Liwonde!D245+Machinga!D245+Ntaja!D245</f>
        <v>560967577.17000103</v>
      </c>
      <c r="E245" s="13">
        <f>Balaka!E245+Liwonde!E245+Machinga!E245+Ntaja!E245</f>
        <v>535397899.64999598</v>
      </c>
      <c r="F245" s="13">
        <f>Balaka!F245+Liwonde!F245+Machinga!F245+Ntaja!F245</f>
        <v>471004504.16999996</v>
      </c>
      <c r="G245" s="13">
        <f>Balaka!G245+Liwonde!G245+Machinga!G245+Ntaja!G245</f>
        <v>487496091.78999704</v>
      </c>
      <c r="H245" s="13">
        <f>Balaka!H245+Liwonde!H245+Machinga!H245+Ntaja!H245</f>
        <v>474988113.75999993</v>
      </c>
      <c r="I245" s="13">
        <f>Balaka!I245+Liwonde!I245+Machinga!I245+Ntaja!I245</f>
        <v>489710799.64999998</v>
      </c>
      <c r="J245" s="13">
        <f>Balaka!J245+Liwonde!J245+Machinga!J245+Ntaja!J245</f>
        <v>453337318.83999991</v>
      </c>
      <c r="K245" s="13">
        <f>Balaka!K245+Liwonde!K245+Machinga!K245+Ntaja!K245</f>
        <v>341503093.89999998</v>
      </c>
      <c r="L245" s="13">
        <f>Balaka!L245+Liwonde!L245+Machinga!L245+Ntaja!L245</f>
        <v>333970129.06</v>
      </c>
      <c r="M245" s="13">
        <f>Balaka!M245+Liwonde!M245+Machinga!M245+Ntaja!M245</f>
        <v>244566464.05999899</v>
      </c>
      <c r="N245" s="13">
        <f>Balaka!N245+Liwonde!N245+Machinga!N245+Ntaja!N245</f>
        <v>254712878.69</v>
      </c>
      <c r="O245" s="13">
        <f>Balaka!O245+Liwonde!O245+Machinga!O245+Ntaja!O245</f>
        <v>242037866.66000003</v>
      </c>
      <c r="P245" s="35">
        <f>O245</f>
        <v>242037866.66000003</v>
      </c>
    </row>
    <row r="246" spans="1:18" x14ac:dyDescent="0.3">
      <c r="A246" s="234" t="s">
        <v>208</v>
      </c>
      <c r="B246" s="235"/>
      <c r="C246" s="4" t="s">
        <v>18</v>
      </c>
      <c r="D246" s="13">
        <f>Balaka!D246+Liwonde!D246+Machinga!D246+Ntaja!D246</f>
        <v>14158233.320000002</v>
      </c>
      <c r="E246" s="13">
        <f>Balaka!E246+Liwonde!E246+Machinga!E246+Ntaja!E246</f>
        <v>16585487.440000001</v>
      </c>
      <c r="F246" s="13">
        <f>Balaka!F246+Liwonde!F246+Machinga!F246+Ntaja!F246</f>
        <v>10292346.789999999</v>
      </c>
      <c r="G246" s="13">
        <f>Balaka!G246+Liwonde!G246+Machinga!G246+Ntaja!G246</f>
        <v>11111315.23</v>
      </c>
      <c r="H246" s="13">
        <f>Balaka!H246+Liwonde!H246+Machinga!H246+Ntaja!H246</f>
        <v>15006113.49</v>
      </c>
      <c r="I246" s="13">
        <f>Balaka!I246+Liwonde!I246+Machinga!I246+Ntaja!I246</f>
        <v>9828616.4900000021</v>
      </c>
      <c r="J246" s="13">
        <f>Balaka!J246+Liwonde!J246+Machinga!J246+Ntaja!J246</f>
        <v>11374021.84</v>
      </c>
      <c r="K246" s="13">
        <f>Balaka!K246+Liwonde!K246+Machinga!K246+Ntaja!K246</f>
        <v>10695575.91</v>
      </c>
      <c r="L246" s="13">
        <f>Balaka!L246+Liwonde!L246+Machinga!L246+Ntaja!L246</f>
        <v>12195224.249999998</v>
      </c>
      <c r="M246" s="13">
        <f>Balaka!M246+Liwonde!M246+Machinga!M246+Ntaja!M246</f>
        <v>4696253.4100000011</v>
      </c>
      <c r="N246" s="13">
        <f>Balaka!N246+Liwonde!N246+Machinga!N246+Ntaja!N246</f>
        <v>6580362.3499999996</v>
      </c>
      <c r="O246" s="13">
        <f>Balaka!O246+Liwonde!O246+Machinga!O246+Ntaja!O246</f>
        <v>4668851.1800000006</v>
      </c>
      <c r="P246" s="35">
        <f>O246</f>
        <v>4668851.1800000006</v>
      </c>
      <c r="R246" s="419"/>
    </row>
    <row r="247" spans="1:18" x14ac:dyDescent="0.3">
      <c r="A247" s="236" t="s">
        <v>209</v>
      </c>
      <c r="B247" s="237"/>
      <c r="C247" s="4" t="s">
        <v>18</v>
      </c>
      <c r="D247" s="126">
        <f>D245+D246</f>
        <v>575125810.49000108</v>
      </c>
      <c r="E247" s="126">
        <f>E245+E246</f>
        <v>551983387.08999598</v>
      </c>
      <c r="F247" s="126">
        <f t="shared" ref="F247:P247" si="101">F245+F246</f>
        <v>481296850.95999998</v>
      </c>
      <c r="G247" s="126">
        <f t="shared" si="101"/>
        <v>498607407.01999706</v>
      </c>
      <c r="H247" s="126">
        <f t="shared" si="101"/>
        <v>489994227.24999994</v>
      </c>
      <c r="I247" s="126">
        <f t="shared" ref="I247:O247" si="102">I245+I246</f>
        <v>499539416.13999999</v>
      </c>
      <c r="J247" s="126">
        <f t="shared" si="102"/>
        <v>464711340.67999989</v>
      </c>
      <c r="K247" s="126">
        <f t="shared" si="102"/>
        <v>352198669.81</v>
      </c>
      <c r="L247" s="126">
        <f t="shared" si="102"/>
        <v>346165353.31</v>
      </c>
      <c r="M247" s="126">
        <f t="shared" si="102"/>
        <v>249262717.46999899</v>
      </c>
      <c r="N247" s="126">
        <f t="shared" si="102"/>
        <v>261293241.03999999</v>
      </c>
      <c r="O247" s="126">
        <f t="shared" si="102"/>
        <v>246706717.84000003</v>
      </c>
      <c r="P247" s="141">
        <f t="shared" si="101"/>
        <v>246706717.84000003</v>
      </c>
    </row>
    <row r="248" spans="1:18" ht="14.4" x14ac:dyDescent="0.3">
      <c r="A248" s="201" t="s">
        <v>17</v>
      </c>
      <c r="B248" s="202"/>
      <c r="C248" s="202"/>
      <c r="D248" s="202"/>
      <c r="E248" s="202"/>
      <c r="F248" s="202"/>
      <c r="G248" s="202"/>
      <c r="H248" s="202"/>
      <c r="I248" s="202"/>
      <c r="J248" s="202"/>
      <c r="K248" s="202"/>
      <c r="L248" s="202"/>
      <c r="M248" s="202"/>
      <c r="N248" s="202"/>
      <c r="O248" s="202"/>
      <c r="P248" s="203"/>
    </row>
    <row r="249" spans="1:18" x14ac:dyDescent="0.3">
      <c r="A249" s="166" t="s">
        <v>16</v>
      </c>
      <c r="B249" s="167"/>
      <c r="C249" s="4" t="s">
        <v>6</v>
      </c>
      <c r="D249" s="7">
        <f>D58/D243</f>
        <v>0.65608611043419263</v>
      </c>
      <c r="E249" s="7">
        <f t="shared" ref="E249:O249" si="103">E58/E243</f>
        <v>0.63706400997923374</v>
      </c>
      <c r="F249" s="7">
        <f t="shared" si="103"/>
        <v>1.1619236052684285</v>
      </c>
      <c r="G249" s="7">
        <f t="shared" si="103"/>
        <v>0.53910558502482442</v>
      </c>
      <c r="H249" s="7">
        <f t="shared" si="103"/>
        <v>0.74180710784290194</v>
      </c>
      <c r="I249" s="7">
        <f t="shared" si="103"/>
        <v>0.67879954046303703</v>
      </c>
      <c r="J249" s="7">
        <f t="shared" si="103"/>
        <v>0.32018369397761909</v>
      </c>
      <c r="K249" s="7">
        <f t="shared" si="103"/>
        <v>0.73404941578430172</v>
      </c>
      <c r="L249" s="7">
        <f t="shared" si="103"/>
        <v>0.71383373166794628</v>
      </c>
      <c r="M249" s="7">
        <f t="shared" si="103"/>
        <v>0.56080229444189289</v>
      </c>
      <c r="N249" s="7">
        <f t="shared" si="103"/>
        <v>0.65664418786300383</v>
      </c>
      <c r="O249" s="7">
        <f t="shared" si="103"/>
        <v>0.66200015470442963</v>
      </c>
      <c r="P249" s="100">
        <f>P58/P243</f>
        <v>0.64127006551325305</v>
      </c>
    </row>
    <row r="250" spans="1:18" x14ac:dyDescent="0.3">
      <c r="A250" s="166" t="s">
        <v>210</v>
      </c>
      <c r="B250" s="167"/>
      <c r="C250" s="4" t="s">
        <v>6</v>
      </c>
      <c r="D250" s="25">
        <f>D210/(D223+D245)</f>
        <v>8.1092355180358927E-2</v>
      </c>
      <c r="E250" s="25">
        <f t="shared" ref="E250:O250" si="104">E210/(E223+E245)</f>
        <v>0.13135058907011193</v>
      </c>
      <c r="F250" s="25">
        <f t="shared" si="104"/>
        <v>0.22632374643969638</v>
      </c>
      <c r="G250" s="25">
        <f t="shared" si="104"/>
        <v>8.703513341097828E-2</v>
      </c>
      <c r="H250" s="25">
        <f t="shared" si="104"/>
        <v>0.11180407766547519</v>
      </c>
      <c r="I250" s="25">
        <f t="shared" si="104"/>
        <v>9.8992849378943273E-2</v>
      </c>
      <c r="J250" s="25">
        <f t="shared" si="104"/>
        <v>9.0074727488766548E-2</v>
      </c>
      <c r="K250" s="25">
        <f t="shared" si="104"/>
        <v>0.11544744712696949</v>
      </c>
      <c r="L250" s="25">
        <f t="shared" si="104"/>
        <v>0.15593693319287902</v>
      </c>
      <c r="M250" s="25">
        <f t="shared" si="104"/>
        <v>0.19390125224639929</v>
      </c>
      <c r="N250" s="25">
        <f t="shared" si="104"/>
        <v>0.13730600403045731</v>
      </c>
      <c r="O250" s="25">
        <f t="shared" si="104"/>
        <v>0.19678639338453383</v>
      </c>
      <c r="P250" s="97">
        <f>P210/(P223+P245)</f>
        <v>0.88609530067990827</v>
      </c>
    </row>
    <row r="251" spans="1:18" ht="16.2" thickBot="1" x14ac:dyDescent="0.35">
      <c r="A251" s="225" t="s">
        <v>15</v>
      </c>
      <c r="B251" s="226"/>
      <c r="C251" s="4" t="s">
        <v>6</v>
      </c>
      <c r="D251" s="6">
        <f>D210/D223</f>
        <v>0.86907182323531595</v>
      </c>
      <c r="E251" s="6">
        <f t="shared" ref="E251:O251" si="105">E210/E223</f>
        <v>1.7293768161320837</v>
      </c>
      <c r="F251" s="6">
        <f t="shared" si="105"/>
        <v>2.9923593414684255</v>
      </c>
      <c r="G251" s="6">
        <f t="shared" si="105"/>
        <v>0.85768377748189839</v>
      </c>
      <c r="H251" s="6">
        <f t="shared" si="105"/>
        <v>1.3295400511234676</v>
      </c>
      <c r="I251" s="6">
        <f t="shared" si="105"/>
        <v>0.96886902363102334</v>
      </c>
      <c r="J251" s="6">
        <f t="shared" si="105"/>
        <v>1.0732204370018523</v>
      </c>
      <c r="K251" s="6">
        <f t="shared" si="105"/>
        <v>1.0236329140732929</v>
      </c>
      <c r="L251" s="6">
        <f t="shared" si="105"/>
        <v>1.4390372054700302</v>
      </c>
      <c r="M251" s="6">
        <f t="shared" si="105"/>
        <v>1.357397234562862</v>
      </c>
      <c r="N251" s="6">
        <f t="shared" si="105"/>
        <v>0.94828455285638169</v>
      </c>
      <c r="O251" s="6">
        <f t="shared" si="105"/>
        <v>1.2584110302365941</v>
      </c>
      <c r="P251" s="101">
        <f>P210/P223</f>
        <v>1.2767810774030512</v>
      </c>
    </row>
    <row r="252" spans="1:18" ht="14.4" x14ac:dyDescent="0.3">
      <c r="A252" s="227" t="s">
        <v>14</v>
      </c>
      <c r="B252" s="228"/>
      <c r="C252" s="228"/>
      <c r="D252" s="228"/>
      <c r="E252" s="228"/>
      <c r="F252" s="228"/>
      <c r="G252" s="228"/>
      <c r="H252" s="228"/>
      <c r="I252" s="228"/>
      <c r="J252" s="228"/>
      <c r="K252" s="228"/>
      <c r="L252" s="228"/>
      <c r="M252" s="228"/>
      <c r="N252" s="228"/>
      <c r="O252" s="228"/>
      <c r="P252" s="229"/>
    </row>
    <row r="253" spans="1:18" ht="15" customHeight="1" x14ac:dyDescent="0.3">
      <c r="A253" s="166" t="s">
        <v>13</v>
      </c>
      <c r="B253" s="167"/>
      <c r="C253" s="4" t="s">
        <v>3</v>
      </c>
      <c r="D253" s="22">
        <f>Balaka!D253+Liwonde!D253+Machinga!D253+Ntaja!D253</f>
        <v>86</v>
      </c>
      <c r="E253" s="22">
        <f>Balaka!E253+Liwonde!E253+Machinga!E253+Ntaja!E253</f>
        <v>82</v>
      </c>
      <c r="F253" s="22">
        <f>Balaka!F253+Liwonde!F253+Machinga!F253+Ntaja!F253</f>
        <v>157</v>
      </c>
      <c r="G253" s="22">
        <f>Balaka!G253+Liwonde!G253+Machinga!G253+Ntaja!G253</f>
        <v>144</v>
      </c>
      <c r="H253" s="22">
        <f>Balaka!H253+Liwonde!H253+Machinga!H253+Ntaja!H253</f>
        <v>174</v>
      </c>
      <c r="I253" s="22">
        <f>Balaka!I253+Liwonde!I253+Machinga!I253+Ntaja!I253</f>
        <v>130</v>
      </c>
      <c r="J253" s="22">
        <f>Balaka!J253+Liwonde!J253+Machinga!J253+Ntaja!J253</f>
        <v>132</v>
      </c>
      <c r="K253" s="22">
        <f>Balaka!K253+Liwonde!K253+Machinga!K253+Ntaja!K253</f>
        <v>81</v>
      </c>
      <c r="L253" s="22">
        <f>Balaka!L253+Liwonde!L253+Machinga!L253+Ntaja!L253</f>
        <v>49</v>
      </c>
      <c r="M253" s="22">
        <f>Balaka!M253+Liwonde!M253+Machinga!M253+Ntaja!M253</f>
        <v>70</v>
      </c>
      <c r="N253" s="22">
        <f>Balaka!N253+Liwonde!N253+Machinga!N253+Ntaja!N253</f>
        <v>81</v>
      </c>
      <c r="O253" s="22">
        <f>Balaka!O253+Liwonde!O253+Machinga!O253+Ntaja!O253</f>
        <v>95</v>
      </c>
      <c r="P253" s="102">
        <f>SUM(D253:O253)</f>
        <v>1281</v>
      </c>
    </row>
    <row r="254" spans="1:18" ht="27" x14ac:dyDescent="0.3">
      <c r="A254" s="166" t="s">
        <v>12</v>
      </c>
      <c r="B254" s="167"/>
      <c r="C254" s="4" t="s">
        <v>3</v>
      </c>
      <c r="D254" s="22">
        <f>Balaka!D254+Liwonde!D254+Machinga!D254+Ntaja!D254</f>
        <v>24</v>
      </c>
      <c r="E254" s="22">
        <f>Balaka!E254+Liwonde!E254+Machinga!E254+Ntaja!E254</f>
        <v>6</v>
      </c>
      <c r="F254" s="22">
        <f>Balaka!F254+Liwonde!F254+Machinga!F254+Ntaja!F254</f>
        <v>6</v>
      </c>
      <c r="G254" s="22">
        <f>Balaka!G254+Liwonde!G254+Machinga!G254+Ntaja!G254</f>
        <v>6</v>
      </c>
      <c r="H254" s="22">
        <f>Balaka!H254+Liwonde!H254+Machinga!H254+Ntaja!H254</f>
        <v>4</v>
      </c>
      <c r="I254" s="22">
        <f>Balaka!I254+Liwonde!I254+Machinga!I254+Ntaja!I254</f>
        <v>4</v>
      </c>
      <c r="J254" s="22">
        <f>Balaka!J254+Liwonde!J254+Machinga!J254+Ntaja!J254</f>
        <v>4</v>
      </c>
      <c r="K254" s="22">
        <f>Balaka!K254+Liwonde!K254+Machinga!K254+Ntaja!K254</f>
        <v>4</v>
      </c>
      <c r="L254" s="22">
        <f>Balaka!L254+Liwonde!L254+Machinga!L254+Ntaja!L254</f>
        <v>4</v>
      </c>
      <c r="M254" s="22">
        <f>Balaka!M254+Liwonde!M254+Machinga!M254+Ntaja!M254</f>
        <v>4</v>
      </c>
      <c r="N254" s="22">
        <f>Balaka!N254+Liwonde!N254+Machinga!N254+Ntaja!N254</f>
        <v>4</v>
      </c>
      <c r="O254" s="22">
        <f>Balaka!O254+Liwonde!O254+Machinga!O254+Ntaja!O254</f>
        <v>4</v>
      </c>
      <c r="P254" s="102">
        <f>SUM(D254:O254)</f>
        <v>74</v>
      </c>
    </row>
    <row r="255" spans="1:18" ht="15.75" customHeight="1" x14ac:dyDescent="0.3">
      <c r="A255" s="166" t="s">
        <v>11</v>
      </c>
      <c r="B255" s="167"/>
      <c r="C255" s="4" t="s">
        <v>3</v>
      </c>
      <c r="D255" s="3">
        <f>D95</f>
        <v>1100</v>
      </c>
      <c r="E255" s="3">
        <f>E95</f>
        <v>1110</v>
      </c>
      <c r="F255" s="3">
        <f>F95</f>
        <v>1172</v>
      </c>
      <c r="G255" s="3">
        <f>G95</f>
        <v>1213</v>
      </c>
      <c r="H255" s="3">
        <f>H95</f>
        <v>1264</v>
      </c>
      <c r="I255" s="3">
        <f t="shared" ref="I255:O255" si="106">I95</f>
        <v>1290</v>
      </c>
      <c r="J255" s="3">
        <f t="shared" si="106"/>
        <v>1287</v>
      </c>
      <c r="K255" s="3">
        <f t="shared" si="106"/>
        <v>1269</v>
      </c>
      <c r="L255" s="3">
        <f t="shared" si="106"/>
        <v>1240</v>
      </c>
      <c r="M255" s="3">
        <f t="shared" si="106"/>
        <v>1247</v>
      </c>
      <c r="N255" s="3">
        <f t="shared" si="106"/>
        <v>1267</v>
      </c>
      <c r="O255" s="3">
        <f t="shared" si="106"/>
        <v>1298</v>
      </c>
      <c r="P255" s="102">
        <f>SUM(D255:O255)</f>
        <v>14757</v>
      </c>
    </row>
    <row r="256" spans="1:18" x14ac:dyDescent="0.3">
      <c r="A256" s="166" t="s">
        <v>10</v>
      </c>
      <c r="B256" s="167"/>
      <c r="C256" s="4" t="s">
        <v>3</v>
      </c>
      <c r="D256" s="3">
        <f>D91</f>
        <v>87</v>
      </c>
      <c r="E256" s="3">
        <f>E91</f>
        <v>74</v>
      </c>
      <c r="F256" s="3">
        <f>F91</f>
        <v>141</v>
      </c>
      <c r="G256" s="3">
        <f>G91</f>
        <v>137</v>
      </c>
      <c r="H256" s="3">
        <f>H91</f>
        <v>164</v>
      </c>
      <c r="I256" s="3">
        <f t="shared" ref="I256:O256" si="107">I91</f>
        <v>122</v>
      </c>
      <c r="J256" s="3">
        <f t="shared" si="107"/>
        <v>124</v>
      </c>
      <c r="K256" s="3">
        <f t="shared" si="107"/>
        <v>77</v>
      </c>
      <c r="L256" s="3">
        <f t="shared" si="107"/>
        <v>46</v>
      </c>
      <c r="M256" s="3">
        <f t="shared" si="107"/>
        <v>63</v>
      </c>
      <c r="N256" s="3">
        <f t="shared" si="107"/>
        <v>86</v>
      </c>
      <c r="O256" s="3">
        <f t="shared" si="107"/>
        <v>88</v>
      </c>
      <c r="P256" s="102">
        <f>SUM(D256:O256)</f>
        <v>1209</v>
      </c>
    </row>
    <row r="257" spans="1:16" ht="15.6" customHeight="1" x14ac:dyDescent="0.3">
      <c r="A257" s="166" t="s">
        <v>9</v>
      </c>
      <c r="B257" s="167"/>
      <c r="C257" s="4" t="s">
        <v>3</v>
      </c>
      <c r="D257" s="22">
        <f>Balaka!D257+Liwonde!D257+Machinga!D257+Ntaja!D257</f>
        <v>85</v>
      </c>
      <c r="E257" s="22">
        <f>Balaka!E257+Liwonde!E257+Machinga!E257+Ntaja!E257</f>
        <v>85</v>
      </c>
      <c r="F257" s="22">
        <f>Balaka!F257+Liwonde!F257+Machinga!F257+Ntaja!F257</f>
        <v>55</v>
      </c>
      <c r="G257" s="22">
        <f>Balaka!G257+Liwonde!G257+Machinga!G257+Ntaja!G257</f>
        <v>85</v>
      </c>
      <c r="H257" s="22">
        <f>Balaka!H257+Liwonde!H257+Machinga!H257+Ntaja!H257</f>
        <v>69</v>
      </c>
      <c r="I257" s="22">
        <f>Balaka!I257+Liwonde!I257+Machinga!I257+Ntaja!I257</f>
        <v>69</v>
      </c>
      <c r="J257" s="22">
        <f>Balaka!J257+Liwonde!J257+Machinga!J257+Ntaja!J257</f>
        <v>69</v>
      </c>
      <c r="K257" s="22">
        <f>Balaka!K257+Liwonde!K257+Machinga!K257+Ntaja!K257</f>
        <v>94</v>
      </c>
      <c r="L257" s="22">
        <f>Balaka!L257+Liwonde!L257+Machinga!L257+Ntaja!L257</f>
        <v>65</v>
      </c>
      <c r="M257" s="22">
        <f>Balaka!M257+Liwonde!M257+Machinga!M257+Ntaja!M257</f>
        <v>65</v>
      </c>
      <c r="N257" s="22">
        <f>Balaka!N257+Liwonde!N257+Machinga!N257+Ntaja!N257</f>
        <v>65</v>
      </c>
      <c r="O257" s="22">
        <f>Balaka!O257+Liwonde!O257+Machinga!O257+Ntaja!O257</f>
        <v>65</v>
      </c>
      <c r="P257" s="102">
        <f>SUM(D257:O257)</f>
        <v>871</v>
      </c>
    </row>
    <row r="258" spans="1:16" x14ac:dyDescent="0.3">
      <c r="A258" s="214" t="s">
        <v>8</v>
      </c>
      <c r="B258" s="215"/>
      <c r="C258" s="4" t="s">
        <v>3</v>
      </c>
      <c r="D258" s="1">
        <f t="shared" ref="D258:P258" si="108">D257/D256</f>
        <v>0.97701149425287359</v>
      </c>
      <c r="E258" s="1">
        <f t="shared" si="108"/>
        <v>1.1486486486486487</v>
      </c>
      <c r="F258" s="1">
        <f t="shared" si="108"/>
        <v>0.39007092198581561</v>
      </c>
      <c r="G258" s="1">
        <f t="shared" si="108"/>
        <v>0.62043795620437958</v>
      </c>
      <c r="H258" s="1">
        <f t="shared" si="108"/>
        <v>0.42073170731707316</v>
      </c>
      <c r="I258" s="2">
        <f t="shared" si="108"/>
        <v>0.56557377049180324</v>
      </c>
      <c r="J258" s="2">
        <f t="shared" si="108"/>
        <v>0.55645161290322576</v>
      </c>
      <c r="K258" s="2">
        <f t="shared" si="108"/>
        <v>1.2207792207792207</v>
      </c>
      <c r="L258" s="2">
        <f t="shared" si="108"/>
        <v>1.4130434782608696</v>
      </c>
      <c r="M258" s="2">
        <f t="shared" si="108"/>
        <v>1.0317460317460319</v>
      </c>
      <c r="N258" s="2">
        <f t="shared" si="108"/>
        <v>0.7558139534883721</v>
      </c>
      <c r="O258" s="2">
        <f t="shared" si="108"/>
        <v>0.73863636363636365</v>
      </c>
      <c r="P258" s="102">
        <f t="shared" si="108"/>
        <v>0.72043010752688175</v>
      </c>
    </row>
    <row r="259" spans="1:16" x14ac:dyDescent="0.3">
      <c r="A259" s="214" t="s">
        <v>7</v>
      </c>
      <c r="B259" s="215"/>
      <c r="C259" s="4" t="s">
        <v>6</v>
      </c>
      <c r="D259" s="1">
        <f t="shared" ref="D259:P259" si="109">D92/D255*100</f>
        <v>4.3636363636363642</v>
      </c>
      <c r="E259" s="1">
        <f t="shared" si="109"/>
        <v>2.8828828828828827</v>
      </c>
      <c r="F259" s="1">
        <f t="shared" si="109"/>
        <v>2.8156996587030716</v>
      </c>
      <c r="G259" s="1">
        <f t="shared" si="109"/>
        <v>5.0288540807914259</v>
      </c>
      <c r="H259" s="139">
        <f t="shared" si="109"/>
        <v>4.825949367088608</v>
      </c>
      <c r="I259" s="139">
        <f t="shared" si="109"/>
        <v>3.2558139534883721</v>
      </c>
      <c r="J259" s="139">
        <f t="shared" si="109"/>
        <v>5.439005439005439</v>
      </c>
      <c r="K259" s="139">
        <f t="shared" si="109"/>
        <v>3.8613081166272654</v>
      </c>
      <c r="L259" s="139">
        <f t="shared" si="109"/>
        <v>5.0806451612903221</v>
      </c>
      <c r="M259" s="5">
        <f t="shared" si="109"/>
        <v>4.3303929430633517</v>
      </c>
      <c r="N259" s="5">
        <f t="shared" si="109"/>
        <v>5.2091554853985791</v>
      </c>
      <c r="O259" s="5">
        <f t="shared" si="109"/>
        <v>4.0061633281972266</v>
      </c>
      <c r="P259" s="103">
        <f t="shared" si="109"/>
        <v>4.2759368435318832</v>
      </c>
    </row>
    <row r="260" spans="1:16" ht="14.4" x14ac:dyDescent="0.3">
      <c r="A260" s="201" t="s">
        <v>5</v>
      </c>
      <c r="B260" s="202"/>
      <c r="C260" s="202"/>
      <c r="D260" s="202"/>
      <c r="E260" s="202"/>
      <c r="F260" s="202"/>
      <c r="G260" s="202"/>
      <c r="H260" s="202"/>
      <c r="I260" s="202"/>
      <c r="J260" s="202"/>
      <c r="K260" s="202"/>
      <c r="L260" s="202"/>
      <c r="M260" s="202"/>
      <c r="N260" s="202"/>
      <c r="O260" s="202"/>
      <c r="P260" s="203"/>
    </row>
    <row r="261" spans="1:16" ht="15" customHeight="1" x14ac:dyDescent="0.3">
      <c r="A261" s="166" t="s">
        <v>4</v>
      </c>
      <c r="B261" s="167"/>
      <c r="C261" s="4" t="s">
        <v>3</v>
      </c>
      <c r="D261" s="22">
        <f>Balaka!D261+Liwonde!D261+Machinga!D261+Ntaja!D261</f>
        <v>55</v>
      </c>
      <c r="E261" s="22">
        <f>Balaka!E261+Liwonde!E261+Machinga!E261+Ntaja!E261</f>
        <v>57</v>
      </c>
      <c r="F261" s="22">
        <f>Balaka!F261+Liwonde!F261+Machinga!F261+Ntaja!F261</f>
        <v>65</v>
      </c>
      <c r="G261" s="22">
        <f>Balaka!G261+Liwonde!G261+Machinga!G261+Ntaja!G261</f>
        <v>68</v>
      </c>
      <c r="H261" s="22">
        <f>Balaka!H261+Liwonde!H261+Machinga!H261+Ntaja!H261</f>
        <v>58</v>
      </c>
      <c r="I261" s="22">
        <f>Balaka!I261+Liwonde!I261+Machinga!I261+Ntaja!I261</f>
        <v>112</v>
      </c>
      <c r="J261" s="22">
        <f>Balaka!J261+Liwonde!J261+Machinga!J261+Ntaja!J261</f>
        <v>102</v>
      </c>
      <c r="K261" s="22">
        <f>Balaka!K261+Liwonde!K261+Machinga!K261+Ntaja!K261</f>
        <v>138</v>
      </c>
      <c r="L261" s="22">
        <f>Balaka!L261+Liwonde!L261+Machinga!L261+Ntaja!L261</f>
        <v>112</v>
      </c>
      <c r="M261" s="22">
        <f>Balaka!M261+Liwonde!M261+Machinga!M261+Ntaja!M261</f>
        <v>71</v>
      </c>
      <c r="N261" s="22">
        <f>Balaka!N261+Liwonde!N261+Machinga!N261+Ntaja!N261</f>
        <v>57</v>
      </c>
      <c r="O261" s="22">
        <f>Balaka!O261+Liwonde!O261+Machinga!O261+Ntaja!O261</f>
        <v>80</v>
      </c>
      <c r="P261" s="35">
        <f>SUM(D261:O261)</f>
        <v>975</v>
      </c>
    </row>
    <row r="262" spans="1:16" ht="15.75" customHeight="1" x14ac:dyDescent="0.3">
      <c r="A262" s="166" t="s">
        <v>2</v>
      </c>
      <c r="B262" s="167"/>
      <c r="C262" s="4" t="s">
        <v>0</v>
      </c>
      <c r="D262" s="22">
        <f>Balaka!D262+Liwonde!D262+Machinga!D262+Ntaja!D262</f>
        <v>64</v>
      </c>
      <c r="E262" s="22">
        <f>Balaka!E262+Liwonde!E262+Machinga!E262+Ntaja!E262</f>
        <v>66</v>
      </c>
      <c r="F262" s="22">
        <f>Balaka!F262+Liwonde!F262+Machinga!F262+Ntaja!F262</f>
        <v>67</v>
      </c>
      <c r="G262" s="22">
        <f>Balaka!G262+Liwonde!G262+Machinga!G262+Ntaja!G262</f>
        <v>71</v>
      </c>
      <c r="H262" s="22">
        <f>Balaka!H262+Liwonde!H262+Machinga!H262+Ntaja!H262</f>
        <v>66</v>
      </c>
      <c r="I262" s="22">
        <f>Balaka!I262+Liwonde!I262+Machinga!I262+Ntaja!I262</f>
        <v>92</v>
      </c>
      <c r="J262" s="22">
        <f>Balaka!J262+Liwonde!J262+Machinga!J262+Ntaja!J262</f>
        <v>69</v>
      </c>
      <c r="K262" s="22">
        <f>Balaka!K262+Liwonde!K262+Machinga!K262+Ntaja!K262</f>
        <v>48</v>
      </c>
      <c r="L262" s="22">
        <f>Balaka!L262+Liwonde!L262+Machinga!L262+Ntaja!L262</f>
        <v>47</v>
      </c>
      <c r="M262" s="22">
        <f>Balaka!M262+Liwonde!M262+Machinga!M262+Ntaja!M262</f>
        <v>50</v>
      </c>
      <c r="N262" s="22">
        <f>Balaka!N262+Liwonde!N262+Machinga!N262+Ntaja!N262</f>
        <v>51</v>
      </c>
      <c r="O262" s="22">
        <f>Balaka!O262+Liwonde!O262+Machinga!O262+Ntaja!O262</f>
        <v>53</v>
      </c>
      <c r="P262" s="35">
        <f>SUM(D262:O262)</f>
        <v>744</v>
      </c>
    </row>
    <row r="263" spans="1:16" ht="16.2" thickBot="1" x14ac:dyDescent="0.35">
      <c r="A263" s="219" t="s">
        <v>1</v>
      </c>
      <c r="B263" s="220"/>
      <c r="C263" s="104" t="s">
        <v>0</v>
      </c>
      <c r="D263" s="105">
        <f>D261/D262</f>
        <v>0.859375</v>
      </c>
      <c r="E263" s="105">
        <f>E261/E262</f>
        <v>0.86363636363636365</v>
      </c>
      <c r="F263" s="105">
        <f>F261/F262</f>
        <v>0.97014925373134331</v>
      </c>
      <c r="G263" s="105">
        <f>G261/G262</f>
        <v>0.95774647887323938</v>
      </c>
      <c r="H263" s="105">
        <f>H261/H262</f>
        <v>0.87878787878787878</v>
      </c>
      <c r="I263" s="105">
        <f t="shared" ref="I263:P263" si="110">I261/I262</f>
        <v>1.2173913043478262</v>
      </c>
      <c r="J263" s="105">
        <f t="shared" si="110"/>
        <v>1.4782608695652173</v>
      </c>
      <c r="K263" s="105">
        <f t="shared" si="110"/>
        <v>2.875</v>
      </c>
      <c r="L263" s="105">
        <f t="shared" si="110"/>
        <v>2.3829787234042552</v>
      </c>
      <c r="M263" s="105">
        <f t="shared" si="110"/>
        <v>1.42</v>
      </c>
      <c r="N263" s="105">
        <f t="shared" si="110"/>
        <v>1.1176470588235294</v>
      </c>
      <c r="O263" s="105">
        <f t="shared" si="110"/>
        <v>1.5094339622641511</v>
      </c>
      <c r="P263" s="159">
        <f t="shared" si="110"/>
        <v>1.310483870967742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/>
  <dimension ref="A1:H263"/>
  <sheetViews>
    <sheetView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L15" sqref="L15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7" width="19.109375" customWidth="1"/>
    <col min="8" max="8" width="24.5546875" style="372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170" t="s">
        <v>176</v>
      </c>
      <c r="B7" s="171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6.2" thickBot="1" x14ac:dyDescent="0.35">
      <c r="A8" s="221" t="s">
        <v>161</v>
      </c>
      <c r="B8" s="222"/>
      <c r="C8" s="222"/>
      <c r="D8" s="222"/>
      <c r="E8" s="222"/>
      <c r="F8" s="222"/>
      <c r="G8" s="222"/>
      <c r="H8" s="397"/>
    </row>
    <row r="9" spans="1:8" x14ac:dyDescent="0.3">
      <c r="A9" s="174" t="s">
        <v>178</v>
      </c>
      <c r="B9" s="175"/>
      <c r="C9" s="52" t="s">
        <v>154</v>
      </c>
      <c r="D9" s="51">
        <f>Balaka!D9+Balaka!E9+Balaka!F9</f>
        <v>140064</v>
      </c>
      <c r="E9" s="51">
        <f>Liwonde!D9+Liwonde!E9+Liwonde!F9</f>
        <v>179812</v>
      </c>
      <c r="F9" s="51">
        <f>Machinga!D9+Machinga!E9+Machinga!F9</f>
        <v>5484</v>
      </c>
      <c r="G9" s="51">
        <f>Ntaja!D9+Ntaja!E9+Ntaja!F9</f>
        <v>11600</v>
      </c>
      <c r="H9" s="135">
        <f>SUM(D9:G9)</f>
        <v>336960</v>
      </c>
    </row>
    <row r="10" spans="1:8" x14ac:dyDescent="0.3">
      <c r="A10" s="201" t="s">
        <v>179</v>
      </c>
      <c r="B10" s="202"/>
      <c r="C10" s="202"/>
      <c r="D10" s="224"/>
      <c r="E10" s="224"/>
      <c r="F10" s="224"/>
      <c r="G10" s="224"/>
      <c r="H10" s="398"/>
    </row>
    <row r="11" spans="1:8" x14ac:dyDescent="0.3">
      <c r="A11" s="172" t="s">
        <v>159</v>
      </c>
      <c r="B11" s="173"/>
      <c r="C11" s="4" t="s">
        <v>154</v>
      </c>
      <c r="D11" s="22">
        <f>Balaka!D11+Balaka!E11+Balaka!F11</f>
        <v>60430</v>
      </c>
      <c r="E11" s="22">
        <f>Liwonde!D11+Liwonde!E11+Liwonde!F11</f>
        <v>72319</v>
      </c>
      <c r="F11" s="22">
        <f>Machinga!D11+Machinga!E11+Machinga!F11</f>
        <v>118</v>
      </c>
      <c r="G11" s="22">
        <f>Ntaja!D11+Ntaja!E11+Ntaja!F11</f>
        <v>27</v>
      </c>
      <c r="H11" s="50">
        <f>SUM(D11:G11)</f>
        <v>132894</v>
      </c>
    </row>
    <row r="12" spans="1:8" x14ac:dyDescent="0.3">
      <c r="A12" s="172" t="s">
        <v>158</v>
      </c>
      <c r="B12" s="173"/>
      <c r="C12" s="4" t="s">
        <v>154</v>
      </c>
      <c r="D12" s="22">
        <f>Balaka!D12+Balaka!E12+Balaka!F12</f>
        <v>2305</v>
      </c>
      <c r="E12" s="22">
        <f>Liwonde!D12+Liwonde!E12+Liwonde!F12</f>
        <v>1869</v>
      </c>
      <c r="F12" s="22">
        <f>Machinga!D12+Machinga!E12+Machinga!F12</f>
        <v>0</v>
      </c>
      <c r="G12" s="22">
        <f>Ntaja!D12+Ntaja!E12+Ntaja!F12</f>
        <v>0</v>
      </c>
      <c r="H12" s="50">
        <f>SUM(D12:G12)</f>
        <v>4174</v>
      </c>
    </row>
    <row r="13" spans="1:8" x14ac:dyDescent="0.3">
      <c r="A13" s="172" t="s">
        <v>157</v>
      </c>
      <c r="B13" s="173"/>
      <c r="C13" s="4" t="s">
        <v>154</v>
      </c>
      <c r="D13" s="22">
        <f>Balaka!D13+Balaka!E13+Balaka!F13</f>
        <v>254</v>
      </c>
      <c r="E13" s="22">
        <f>Liwonde!D13+Liwonde!E13+Liwonde!F13</f>
        <v>2047</v>
      </c>
      <c r="F13" s="22">
        <f>Machinga!D13+Machinga!E13+Machinga!F13</f>
        <v>55</v>
      </c>
      <c r="G13" s="22">
        <f>Ntaja!D13+Ntaja!E13+Ntaja!F13</f>
        <v>17</v>
      </c>
      <c r="H13" s="50">
        <f>SUM(D13:G13)</f>
        <v>2373</v>
      </c>
    </row>
    <row r="14" spans="1:8" x14ac:dyDescent="0.3">
      <c r="A14" s="166" t="s">
        <v>156</v>
      </c>
      <c r="B14" s="167"/>
      <c r="C14" s="4" t="s">
        <v>154</v>
      </c>
      <c r="D14" s="22">
        <f>Balaka!D14+Balaka!E14+Balaka!F14</f>
        <v>15</v>
      </c>
      <c r="E14" s="22">
        <f>Liwonde!D14+Liwonde!E14+Liwonde!F14</f>
        <v>834</v>
      </c>
      <c r="F14" s="22">
        <f>Machinga!D14+Machinga!E14+Machinga!F14</f>
        <v>0</v>
      </c>
      <c r="G14" s="22">
        <f>Ntaja!D14+Ntaja!E14+Ntaja!F14</f>
        <v>0</v>
      </c>
      <c r="H14" s="50">
        <f>SUM(D14:G14)</f>
        <v>849</v>
      </c>
    </row>
    <row r="15" spans="1:8" s="57" customFormat="1" x14ac:dyDescent="0.3">
      <c r="A15" s="168" t="s">
        <v>160</v>
      </c>
      <c r="B15" s="169"/>
      <c r="C15" s="56" t="s">
        <v>154</v>
      </c>
      <c r="D15" s="30">
        <f t="shared" ref="D15:H15" si="0">SUM(D11:D14)</f>
        <v>63004</v>
      </c>
      <c r="E15" s="30">
        <f t="shared" si="0"/>
        <v>77069</v>
      </c>
      <c r="F15" s="30">
        <f t="shared" si="0"/>
        <v>173</v>
      </c>
      <c r="G15" s="30">
        <f t="shared" si="0"/>
        <v>44</v>
      </c>
      <c r="H15" s="50">
        <f t="shared" si="0"/>
        <v>140290</v>
      </c>
    </row>
    <row r="16" spans="1:8" x14ac:dyDescent="0.3">
      <c r="A16" s="201" t="s">
        <v>180</v>
      </c>
      <c r="B16" s="202"/>
      <c r="C16" s="202"/>
      <c r="D16" s="202"/>
      <c r="E16" s="202"/>
      <c r="F16" s="202"/>
      <c r="G16" s="202"/>
      <c r="H16" s="398"/>
    </row>
    <row r="17" spans="1:8" x14ac:dyDescent="0.3">
      <c r="A17" s="172" t="s">
        <v>182</v>
      </c>
      <c r="B17" s="173"/>
      <c r="C17" s="4" t="s">
        <v>154</v>
      </c>
      <c r="D17" s="22">
        <f>Balaka!D17+Balaka!E17+Balaka!F17</f>
        <v>30590.599999999988</v>
      </c>
      <c r="E17" s="22">
        <f>Liwonde!D17+Liwonde!E17+Liwonde!F17</f>
        <v>35478.100000000006</v>
      </c>
      <c r="F17" s="22">
        <f>Machinga!D17+Machinga!E17+Machinga!F17</f>
        <v>4125.7</v>
      </c>
      <c r="G17" s="22">
        <f>Ntaja!D17+Ntaja!E17+Ntaja!F17</f>
        <v>9902.2999999999975</v>
      </c>
      <c r="H17" s="50">
        <f>SUM(D17:G17)</f>
        <v>80096.7</v>
      </c>
    </row>
    <row r="18" spans="1:8" x14ac:dyDescent="0.3">
      <c r="A18" s="172" t="s">
        <v>183</v>
      </c>
      <c r="B18" s="173"/>
      <c r="C18" s="4" t="s">
        <v>154</v>
      </c>
      <c r="D18" s="22">
        <f>Balaka!D18+Balaka!E18+Balaka!F18</f>
        <v>287.3</v>
      </c>
      <c r="E18" s="22">
        <f>Liwonde!D18+Liwonde!E18+Liwonde!F18</f>
        <v>0</v>
      </c>
      <c r="F18" s="22">
        <f>Machinga!D18+Machinga!E18+Machinga!F18</f>
        <v>0</v>
      </c>
      <c r="G18" s="22">
        <f>Ntaja!D18+Ntaja!E18+Ntaja!F18</f>
        <v>506.8</v>
      </c>
      <c r="H18" s="50">
        <f>SUM(D18:G18)</f>
        <v>794.1</v>
      </c>
    </row>
    <row r="19" spans="1:8" x14ac:dyDescent="0.3">
      <c r="A19" s="172" t="s">
        <v>184</v>
      </c>
      <c r="B19" s="173"/>
      <c r="C19" s="4" t="s">
        <v>154</v>
      </c>
      <c r="D19" s="22">
        <f>Balaka!D19+Balaka!E19+Balaka!F19</f>
        <v>2901.9999999999995</v>
      </c>
      <c r="E19" s="22">
        <f>Liwonde!D19+Liwonde!E19+Liwonde!F19</f>
        <v>9361.1999999999989</v>
      </c>
      <c r="F19" s="22">
        <f>Machinga!D19+Machinga!E19+Machinga!F19</f>
        <v>17.3</v>
      </c>
      <c r="G19" s="22">
        <f>Ntaja!D19+Ntaja!E19+Ntaja!F19</f>
        <v>141.39999999999998</v>
      </c>
      <c r="H19" s="50">
        <f>SUM(D19:G19)</f>
        <v>12421.899999999998</v>
      </c>
    </row>
    <row r="20" spans="1:8" x14ac:dyDescent="0.3">
      <c r="A20" s="166" t="s">
        <v>185</v>
      </c>
      <c r="B20" s="167"/>
      <c r="C20" s="4" t="s">
        <v>154</v>
      </c>
      <c r="D20" s="22">
        <f>Balaka!D20+Balaka!E20+Balaka!F20</f>
        <v>1649.5</v>
      </c>
      <c r="E20" s="22">
        <f>Liwonde!D20+Liwonde!E20+Liwonde!F20</f>
        <v>5234.8999999999996</v>
      </c>
      <c r="F20" s="22">
        <f>Machinga!D20+Machinga!E20+Machinga!F20</f>
        <v>21.099999999999998</v>
      </c>
      <c r="G20" s="22">
        <f>Ntaja!D20+Ntaja!E20+Ntaja!F20</f>
        <v>157.5</v>
      </c>
      <c r="H20" s="50">
        <f>SUM(D20:G20)</f>
        <v>7063</v>
      </c>
    </row>
    <row r="21" spans="1:8" s="57" customFormat="1" x14ac:dyDescent="0.3">
      <c r="A21" s="168" t="s">
        <v>186</v>
      </c>
      <c r="B21" s="169"/>
      <c r="C21" s="56" t="s">
        <v>154</v>
      </c>
      <c r="D21" s="30">
        <f>SUM(D17:D20)</f>
        <v>35429.399999999987</v>
      </c>
      <c r="E21" s="30">
        <f t="shared" ref="E21:H21" si="1">SUM(E17:E20)</f>
        <v>50074.200000000004</v>
      </c>
      <c r="F21" s="30">
        <f t="shared" si="1"/>
        <v>4164.1000000000004</v>
      </c>
      <c r="G21" s="30">
        <f t="shared" si="1"/>
        <v>10707.999999999996</v>
      </c>
      <c r="H21" s="50">
        <f t="shared" si="1"/>
        <v>100375.7</v>
      </c>
    </row>
    <row r="22" spans="1:8" x14ac:dyDescent="0.3">
      <c r="A22" s="64" t="s">
        <v>187</v>
      </c>
      <c r="B22" s="68"/>
      <c r="C22" s="4" t="s">
        <v>154</v>
      </c>
      <c r="D22" s="30">
        <f>D21+D15</f>
        <v>98433.4</v>
      </c>
      <c r="E22" s="30">
        <f t="shared" ref="E22:H22" si="2">E21+E15</f>
        <v>127143.20000000001</v>
      </c>
      <c r="F22" s="30">
        <f t="shared" si="2"/>
        <v>4337.1000000000004</v>
      </c>
      <c r="G22" s="30">
        <f t="shared" si="2"/>
        <v>10751.999999999996</v>
      </c>
      <c r="H22" s="50">
        <f t="shared" si="2"/>
        <v>240665.7</v>
      </c>
    </row>
    <row r="23" spans="1:8" x14ac:dyDescent="0.3">
      <c r="A23" s="201" t="s">
        <v>217</v>
      </c>
      <c r="B23" s="202"/>
      <c r="C23" s="202"/>
      <c r="D23" s="202"/>
      <c r="E23" s="202"/>
      <c r="F23" s="202"/>
      <c r="G23" s="202"/>
      <c r="H23" s="398"/>
    </row>
    <row r="24" spans="1:8" x14ac:dyDescent="0.3">
      <c r="A24" s="163" t="s">
        <v>181</v>
      </c>
      <c r="B24" s="21" t="s">
        <v>155</v>
      </c>
      <c r="C24" s="4" t="s">
        <v>154</v>
      </c>
      <c r="D24" s="49">
        <f>D9-D22</f>
        <v>41630.600000000006</v>
      </c>
      <c r="E24" s="49">
        <f t="shared" ref="E24:H24" si="3">E9-E22</f>
        <v>52668.799999999988</v>
      </c>
      <c r="F24" s="49">
        <f t="shared" si="3"/>
        <v>1146.8999999999996</v>
      </c>
      <c r="G24" s="49">
        <f t="shared" si="3"/>
        <v>848.00000000000364</v>
      </c>
      <c r="H24" s="140">
        <f t="shared" si="3"/>
        <v>96294.299999999988</v>
      </c>
    </row>
    <row r="25" spans="1:8" x14ac:dyDescent="0.3">
      <c r="A25" s="165"/>
      <c r="B25" s="48" t="s">
        <v>153</v>
      </c>
      <c r="C25" s="47" t="s">
        <v>6</v>
      </c>
      <c r="D25" s="46">
        <f t="shared" ref="D25:H25" si="4">D24/D9</f>
        <v>0.29722555403244233</v>
      </c>
      <c r="E25" s="46">
        <f t="shared" si="4"/>
        <v>0.29291037305630319</v>
      </c>
      <c r="F25" s="46">
        <f t="shared" si="4"/>
        <v>0.20913566739606121</v>
      </c>
      <c r="G25" s="46">
        <f t="shared" si="4"/>
        <v>7.3103448275862376E-2</v>
      </c>
      <c r="H25" s="136">
        <f t="shared" si="4"/>
        <v>0.28577368233618228</v>
      </c>
    </row>
    <row r="26" spans="1:8" x14ac:dyDescent="0.3">
      <c r="A26" s="201" t="s">
        <v>152</v>
      </c>
      <c r="B26" s="202"/>
      <c r="C26" s="202"/>
      <c r="D26" s="202"/>
      <c r="E26" s="202"/>
      <c r="F26" s="202"/>
      <c r="G26" s="202"/>
      <c r="H26" s="398"/>
    </row>
    <row r="27" spans="1:8" x14ac:dyDescent="0.3">
      <c r="A27" s="161" t="s">
        <v>151</v>
      </c>
      <c r="B27" s="162"/>
      <c r="C27" s="162"/>
      <c r="D27" s="162"/>
      <c r="E27" s="162"/>
      <c r="F27" s="162"/>
      <c r="G27" s="162"/>
      <c r="H27" s="399"/>
    </row>
    <row r="28" spans="1:8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x14ac:dyDescent="0.3">
      <c r="A29" s="176" t="s">
        <v>148</v>
      </c>
      <c r="B29" s="433">
        <f>176264.5/50</f>
        <v>3525.29</v>
      </c>
      <c r="C29" s="4" t="s">
        <v>142</v>
      </c>
      <c r="D29" s="22">
        <f>Balaka!D29+Balaka!E29+Balaka!F29</f>
        <v>324</v>
      </c>
      <c r="E29" s="22">
        <f>Liwonde!D29+Liwonde!E29+Liwonde!F29</f>
        <v>876</v>
      </c>
      <c r="F29" s="22">
        <f>Machinga!D29+Machinga!E29+Machinga!F29</f>
        <v>27</v>
      </c>
      <c r="G29" s="22">
        <f>Ntaja!D29+Ntaja!E29+Ntaja!F29</f>
        <v>32</v>
      </c>
      <c r="H29" s="40">
        <f>SUM(D29:G29)</f>
        <v>1259</v>
      </c>
    </row>
    <row r="30" spans="1:8" x14ac:dyDescent="0.3">
      <c r="A30" s="177"/>
      <c r="B30" s="433"/>
      <c r="C30" s="37" t="s">
        <v>141</v>
      </c>
      <c r="D30" s="13">
        <f t="shared" ref="D30:H30" si="5">D29/(D9/1000)</f>
        <v>2.313228238519534</v>
      </c>
      <c r="E30" s="13">
        <f t="shared" si="5"/>
        <v>4.8717549440526771</v>
      </c>
      <c r="F30" s="13">
        <f t="shared" si="5"/>
        <v>4.9234135667396064</v>
      </c>
      <c r="G30" s="13">
        <f t="shared" si="5"/>
        <v>2.7586206896551726</v>
      </c>
      <c r="H30" s="35">
        <f t="shared" si="5"/>
        <v>3.7363485280151951</v>
      </c>
    </row>
    <row r="31" spans="1:8" x14ac:dyDescent="0.3">
      <c r="A31" s="163" t="s">
        <v>147</v>
      </c>
      <c r="B31" s="433">
        <f>53000.511/50</f>
        <v>1060.0102199999999</v>
      </c>
      <c r="C31" s="4" t="s">
        <v>142</v>
      </c>
      <c r="D31" s="22">
        <f>Balaka!D31+Balaka!E31+Balaka!F31</f>
        <v>0</v>
      </c>
      <c r="E31" s="22">
        <f>Liwonde!D31+Liwonde!E31+Liwonde!F31</f>
        <v>883</v>
      </c>
      <c r="F31" s="22">
        <f>Machinga!D31+Machinga!E31+Machinga!F31</f>
        <v>0</v>
      </c>
      <c r="G31" s="22">
        <f>Ntaja!D31+Ntaja!E31+Ntaja!F31</f>
        <v>0</v>
      </c>
      <c r="H31" s="40">
        <f>SUM(D31:G31)</f>
        <v>883</v>
      </c>
    </row>
    <row r="32" spans="1:8" x14ac:dyDescent="0.3">
      <c r="A32" s="165"/>
      <c r="B32" s="433"/>
      <c r="C32" s="37" t="s">
        <v>141</v>
      </c>
      <c r="D32" s="13">
        <f t="shared" ref="D32:H32" si="6">D31/(D9/1000)</f>
        <v>0</v>
      </c>
      <c r="E32" s="13">
        <f t="shared" si="6"/>
        <v>4.9106844926923676</v>
      </c>
      <c r="F32" s="13">
        <f t="shared" si="6"/>
        <v>0</v>
      </c>
      <c r="G32" s="13">
        <f t="shared" si="6"/>
        <v>0</v>
      </c>
      <c r="H32" s="35">
        <f t="shared" si="6"/>
        <v>2.6204890788224122</v>
      </c>
    </row>
    <row r="33" spans="1:8" x14ac:dyDescent="0.3">
      <c r="A33" s="163" t="s">
        <v>146</v>
      </c>
      <c r="B33" s="433">
        <f>61414.43/50</f>
        <v>1228.2886000000001</v>
      </c>
      <c r="C33" s="4" t="s">
        <v>142</v>
      </c>
      <c r="D33" s="22">
        <f>Balaka!D33+Balaka!E33+Balaka!F33</f>
        <v>0</v>
      </c>
      <c r="E33" s="22">
        <f>Liwonde!D33+Liwonde!E33+Liwonde!F33</f>
        <v>0</v>
      </c>
      <c r="F33" s="22">
        <f>Machinga!D33+Machinga!E33+Machinga!F33</f>
        <v>0</v>
      </c>
      <c r="G33" s="22">
        <f>Ntaja!D33+Ntaja!E33+Ntaja!F33</f>
        <v>0</v>
      </c>
      <c r="H33" s="40">
        <f>SUM(D33:G33)</f>
        <v>0</v>
      </c>
    </row>
    <row r="34" spans="1:8" x14ac:dyDescent="0.3">
      <c r="A34" s="165"/>
      <c r="B34" s="433"/>
      <c r="C34" s="37" t="s">
        <v>141</v>
      </c>
      <c r="D34" s="13">
        <f t="shared" ref="D34:H38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35">
        <f t="shared" si="7"/>
        <v>0</v>
      </c>
    </row>
    <row r="35" spans="1:8" x14ac:dyDescent="0.3">
      <c r="A35" s="163" t="s">
        <v>145</v>
      </c>
      <c r="B35" s="433">
        <f>745345.16/200</f>
        <v>3726.7258000000002</v>
      </c>
      <c r="C35" s="4" t="s">
        <v>128</v>
      </c>
      <c r="D35" s="22">
        <f>Balaka!D35+Balaka!E35+Balaka!F35</f>
        <v>0</v>
      </c>
      <c r="E35" s="22">
        <f>Liwonde!D35+Liwonde!E35+Liwonde!F35</f>
        <v>768</v>
      </c>
      <c r="F35" s="22">
        <f>Machinga!D35+Machinga!E35+Machinga!F35</f>
        <v>0</v>
      </c>
      <c r="G35" s="22">
        <f>Ntaja!D35+Ntaja!E35+Ntaja!F35</f>
        <v>0</v>
      </c>
      <c r="H35" s="40">
        <f>SUM(D35:G35)</f>
        <v>768</v>
      </c>
    </row>
    <row r="36" spans="1:8" x14ac:dyDescent="0.3">
      <c r="A36" s="165"/>
      <c r="B36" s="433"/>
      <c r="C36" s="4" t="s">
        <v>144</v>
      </c>
      <c r="D36" s="13">
        <f t="shared" si="7"/>
        <v>0</v>
      </c>
      <c r="E36" s="13">
        <f t="shared" si="7"/>
        <v>10.619615868582253</v>
      </c>
      <c r="F36" s="13">
        <f t="shared" si="7"/>
        <v>0</v>
      </c>
      <c r="G36" s="13">
        <f t="shared" si="7"/>
        <v>0</v>
      </c>
      <c r="H36" s="35">
        <f t="shared" si="7"/>
        <v>5.779041943202853</v>
      </c>
    </row>
    <row r="37" spans="1:8" x14ac:dyDescent="0.3">
      <c r="A37" s="163" t="s">
        <v>188</v>
      </c>
      <c r="B37" s="433">
        <f>790318.72/200</f>
        <v>3951.5935999999997</v>
      </c>
      <c r="C37" s="4" t="s">
        <v>128</v>
      </c>
      <c r="D37" s="22">
        <f>Balaka!D37+Balaka!E37+Balaka!F37</f>
        <v>0</v>
      </c>
      <c r="E37" s="22">
        <f>Liwonde!D37+Liwonde!E37+Liwonde!F37</f>
        <v>0</v>
      </c>
      <c r="F37" s="22">
        <f>Machinga!D37+Machinga!E37+Machinga!F37</f>
        <v>0</v>
      </c>
      <c r="G37" s="22">
        <f>Ntaja!D37+Ntaja!E37+Ntaja!F37</f>
        <v>0</v>
      </c>
      <c r="H37" s="40">
        <f>SUM(D37:G37)</f>
        <v>0</v>
      </c>
    </row>
    <row r="38" spans="1:8" x14ac:dyDescent="0.3">
      <c r="A38" s="165"/>
      <c r="B38" s="433"/>
      <c r="C38" s="4" t="s">
        <v>144</v>
      </c>
      <c r="D38" s="13">
        <f t="shared" si="7"/>
        <v>0</v>
      </c>
      <c r="E38" s="13">
        <f t="shared" si="7"/>
        <v>0</v>
      </c>
      <c r="F38" s="13">
        <f t="shared" si="7"/>
        <v>0</v>
      </c>
      <c r="G38" s="13">
        <f t="shared" si="7"/>
        <v>0</v>
      </c>
      <c r="H38" s="35">
        <f t="shared" si="7"/>
        <v>0</v>
      </c>
    </row>
    <row r="39" spans="1:8" x14ac:dyDescent="0.3">
      <c r="A39" s="163" t="s">
        <v>143</v>
      </c>
      <c r="B39" s="433">
        <v>1950</v>
      </c>
      <c r="C39" s="4" t="s">
        <v>142</v>
      </c>
      <c r="D39" s="22">
        <f>Balaka!D39+Balaka!E39+Balaka!F39</f>
        <v>0</v>
      </c>
      <c r="E39" s="22">
        <f>Liwonde!D39+Liwonde!E39+Liwonde!F39</f>
        <v>0</v>
      </c>
      <c r="F39" s="22">
        <f>Machinga!D39+Machinga!E39+Machinga!F39</f>
        <v>0</v>
      </c>
      <c r="G39" s="22">
        <f>Ntaja!D39+Ntaja!E39+Ntaja!F39</f>
        <v>0</v>
      </c>
      <c r="H39" s="40">
        <f>SUM(D39:G39)</f>
        <v>0</v>
      </c>
    </row>
    <row r="40" spans="1:8" x14ac:dyDescent="0.3">
      <c r="A40" s="165"/>
      <c r="B40" s="433"/>
      <c r="C40" s="37" t="s">
        <v>141</v>
      </c>
      <c r="D40" s="13">
        <f t="shared" ref="D40:H40" si="8">D39/(D9/1000)</f>
        <v>0</v>
      </c>
      <c r="E40" s="13">
        <f t="shared" si="8"/>
        <v>0</v>
      </c>
      <c r="F40" s="13">
        <f t="shared" si="8"/>
        <v>0</v>
      </c>
      <c r="G40" s="13">
        <f t="shared" si="8"/>
        <v>0</v>
      </c>
      <c r="H40" s="35">
        <f t="shared" si="8"/>
        <v>0</v>
      </c>
    </row>
    <row r="41" spans="1:8" x14ac:dyDescent="0.3">
      <c r="A41" s="166" t="s">
        <v>140</v>
      </c>
      <c r="B41" s="167"/>
      <c r="C41" s="4" t="s">
        <v>31</v>
      </c>
      <c r="D41" s="36">
        <f>(D29*$B29)+(D31*$B31)+(D33*$B33)+(D35*$B35)+(D37*$B37)+(D39*$B39)</f>
        <v>1142193.96</v>
      </c>
      <c r="E41" s="36">
        <f t="shared" ref="E41:G41" si="9">(E29*$B29)+(E31*$B31)+(E33*$B33)+(E35*$B35)+(E37*$B37)+(E39*$B39)</f>
        <v>6886268.4786600005</v>
      </c>
      <c r="F41" s="36">
        <f t="shared" si="9"/>
        <v>95182.83</v>
      </c>
      <c r="G41" s="36">
        <f t="shared" si="9"/>
        <v>112809.28</v>
      </c>
      <c r="H41" s="34">
        <f>SUM(D41:G41)</f>
        <v>8236454.5486600008</v>
      </c>
    </row>
    <row r="42" spans="1:8" x14ac:dyDescent="0.3">
      <c r="A42" s="181" t="s">
        <v>139</v>
      </c>
      <c r="B42" s="182"/>
      <c r="C42" s="37" t="s">
        <v>117</v>
      </c>
      <c r="D42" s="13">
        <f t="shared" ref="D42:H42" si="10">D41/D9</f>
        <v>8.1548003769705275</v>
      </c>
      <c r="E42" s="13">
        <f t="shared" si="10"/>
        <v>38.297046240851557</v>
      </c>
      <c r="F42" s="13">
        <f t="shared" si="10"/>
        <v>17.356460612691468</v>
      </c>
      <c r="G42" s="13">
        <f t="shared" si="10"/>
        <v>9.7249379310344821</v>
      </c>
      <c r="H42" s="99">
        <f t="shared" si="10"/>
        <v>24.443419244598768</v>
      </c>
    </row>
    <row r="43" spans="1:8" x14ac:dyDescent="0.3">
      <c r="A43" s="178" t="s">
        <v>138</v>
      </c>
      <c r="B43" s="179"/>
      <c r="C43" s="179"/>
      <c r="D43" s="179"/>
      <c r="E43" s="179"/>
      <c r="F43" s="179"/>
      <c r="G43" s="179"/>
      <c r="H43" s="400"/>
    </row>
    <row r="44" spans="1:8" x14ac:dyDescent="0.3">
      <c r="A44" s="166" t="s">
        <v>137</v>
      </c>
      <c r="B44" s="167"/>
      <c r="C44" s="4" t="s">
        <v>136</v>
      </c>
      <c r="D44" s="22">
        <f>Balaka!D44+Balaka!E44+Balaka!F44</f>
        <v>84721.5</v>
      </c>
      <c r="E44" s="22">
        <f>Liwonde!D44+Liwonde!E44+Liwonde!F44</f>
        <v>183543.8</v>
      </c>
      <c r="F44" s="22">
        <f>Machinga!D44+Machinga!E44+Machinga!F44</f>
        <v>7066.8050700000003</v>
      </c>
      <c r="G44" s="22">
        <f>Ntaja!D44+Ntaja!E44+Ntaja!F44</f>
        <v>13852</v>
      </c>
      <c r="H44" s="34">
        <f>SUM(D44:G44)</f>
        <v>289184.10506999999</v>
      </c>
    </row>
    <row r="45" spans="1:8" x14ac:dyDescent="0.3">
      <c r="A45" s="181" t="s">
        <v>135</v>
      </c>
      <c r="B45" s="182"/>
      <c r="C45" s="37" t="s">
        <v>134</v>
      </c>
      <c r="D45" s="13">
        <f t="shared" ref="D45:H45" si="11">D44/D9</f>
        <v>0.60487705620287868</v>
      </c>
      <c r="E45" s="13">
        <f t="shared" si="11"/>
        <v>1.0207538985162279</v>
      </c>
      <c r="F45" s="13">
        <f t="shared" si="11"/>
        <v>1.2886223687089715</v>
      </c>
      <c r="G45" s="13">
        <f t="shared" si="11"/>
        <v>1.1941379310344828</v>
      </c>
      <c r="H45" s="35">
        <f t="shared" si="11"/>
        <v>0.85821493669871796</v>
      </c>
    </row>
    <row r="46" spans="1:8" x14ac:dyDescent="0.3">
      <c r="A46" s="166" t="s">
        <v>133</v>
      </c>
      <c r="B46" s="167"/>
      <c r="C46" s="4" t="s">
        <v>31</v>
      </c>
      <c r="D46" s="22">
        <f>Balaka!D46+Balaka!E46+Balaka!F46</f>
        <v>14221545.56625</v>
      </c>
      <c r="E46" s="22">
        <f>Liwonde!D46+Liwonde!E46+Liwonde!F46</f>
        <v>30742410.624500006</v>
      </c>
      <c r="F46" s="22">
        <f>Machinga!D46+Machinga!E46+Machinga!F46</f>
        <v>1239427.8045899249</v>
      </c>
      <c r="G46" s="22">
        <f>Ntaja!D46+Ntaja!E46+Ntaja!F46</f>
        <v>2373759.73</v>
      </c>
      <c r="H46" s="34">
        <f>SUM(D46:G46)</f>
        <v>48577143.725339927</v>
      </c>
    </row>
    <row r="47" spans="1:8" x14ac:dyDescent="0.3">
      <c r="A47" s="166" t="s">
        <v>132</v>
      </c>
      <c r="B47" s="167"/>
      <c r="C47" s="4" t="s">
        <v>117</v>
      </c>
      <c r="D47" s="13">
        <f t="shared" ref="D47:H47" si="12">D46/D9</f>
        <v>101.53605184951165</v>
      </c>
      <c r="E47" s="13">
        <f t="shared" si="12"/>
        <v>170.96973852968659</v>
      </c>
      <c r="F47" s="13">
        <f t="shared" si="12"/>
        <v>226.00798770786375</v>
      </c>
      <c r="G47" s="13">
        <f t="shared" si="12"/>
        <v>204.63445948275861</v>
      </c>
      <c r="H47" s="35">
        <f t="shared" si="12"/>
        <v>144.16293840616075</v>
      </c>
    </row>
    <row r="48" spans="1:8" x14ac:dyDescent="0.3">
      <c r="A48" s="178" t="s">
        <v>131</v>
      </c>
      <c r="B48" s="179"/>
      <c r="C48" s="179"/>
      <c r="D48" s="179"/>
      <c r="E48" s="179"/>
      <c r="F48" s="179"/>
      <c r="G48" s="179"/>
      <c r="H48" s="400"/>
    </row>
    <row r="49" spans="1:8" x14ac:dyDescent="0.3">
      <c r="A49" s="166" t="s">
        <v>130</v>
      </c>
      <c r="B49" s="167"/>
      <c r="C49" s="4" t="s">
        <v>129</v>
      </c>
      <c r="D49" s="22">
        <f>Balaka!D49+Balaka!E49+Balaka!F49</f>
        <v>15132</v>
      </c>
      <c r="E49" s="22">
        <f>Liwonde!D49+Liwonde!E49+Liwonde!F49</f>
        <v>7545</v>
      </c>
      <c r="F49" s="22">
        <f>Machinga!D49+Machinga!E49+Machinga!F49</f>
        <v>0</v>
      </c>
      <c r="G49" s="22">
        <f>Ntaja!D49+Ntaja!E49+Ntaja!F49</f>
        <v>0</v>
      </c>
      <c r="H49" s="34">
        <f>SUM(D49:G49)</f>
        <v>22677</v>
      </c>
    </row>
    <row r="50" spans="1:8" x14ac:dyDescent="0.3">
      <c r="A50" s="166" t="s">
        <v>189</v>
      </c>
      <c r="B50" s="167"/>
      <c r="C50" s="4" t="s">
        <v>128</v>
      </c>
      <c r="D50" s="22">
        <f>Balaka!D50+Balaka!E50+Balaka!F50</f>
        <v>568</v>
      </c>
      <c r="E50" s="22">
        <f>Liwonde!D50+Liwonde!E50+Liwonde!F50</f>
        <v>1030</v>
      </c>
      <c r="F50" s="22">
        <f>Machinga!D50+Machinga!E50+Machinga!F50</f>
        <v>0</v>
      </c>
      <c r="G50" s="22">
        <f>Ntaja!D50+Ntaja!E50+Ntaja!F50</f>
        <v>0</v>
      </c>
      <c r="H50" s="34">
        <f>SUM(D50:G50)</f>
        <v>1598</v>
      </c>
    </row>
    <row r="51" spans="1:8" x14ac:dyDescent="0.3">
      <c r="A51" s="166" t="s">
        <v>127</v>
      </c>
      <c r="B51" s="167"/>
      <c r="C51" s="4" t="s">
        <v>31</v>
      </c>
      <c r="D51" s="22">
        <f>Balaka!D51+Balaka!E51+Balaka!F51</f>
        <v>1551304</v>
      </c>
      <c r="E51" s="22">
        <f>Liwonde!D51+Liwonde!E51+Liwonde!F51</f>
        <v>2436820</v>
      </c>
      <c r="F51" s="22">
        <f>Machinga!D51+Machinga!E51+Machinga!F51</f>
        <v>0</v>
      </c>
      <c r="G51" s="22">
        <f>Ntaja!D51+Ntaja!E51+Ntaja!F51</f>
        <v>0</v>
      </c>
      <c r="H51" s="35">
        <f>SUM(D51:G51)</f>
        <v>3988124</v>
      </c>
    </row>
    <row r="52" spans="1:8" x14ac:dyDescent="0.3">
      <c r="A52" s="166" t="s">
        <v>126</v>
      </c>
      <c r="B52" s="167"/>
      <c r="C52" s="4" t="s">
        <v>31</v>
      </c>
      <c r="D52" s="22">
        <f>Balaka!D52+Balaka!E52+Balaka!F52</f>
        <v>0</v>
      </c>
      <c r="E52" s="22">
        <f>Liwonde!D52+Liwonde!E52+Liwonde!F52</f>
        <v>0</v>
      </c>
      <c r="F52" s="22">
        <f>Machinga!D52+Machinga!E52+Machinga!F52</f>
        <v>0</v>
      </c>
      <c r="G52" s="22">
        <f>Ntaja!D52+Ntaja!E52+Ntaja!F52</f>
        <v>0</v>
      </c>
      <c r="H52" s="35">
        <f>SUM(D52:G52)</f>
        <v>0</v>
      </c>
    </row>
    <row r="53" spans="1:8" x14ac:dyDescent="0.3">
      <c r="A53" s="178" t="s">
        <v>125</v>
      </c>
      <c r="B53" s="179"/>
      <c r="C53" s="179"/>
      <c r="D53" s="179"/>
      <c r="E53" s="179"/>
      <c r="F53" s="179"/>
      <c r="G53" s="179"/>
      <c r="H53" s="400"/>
    </row>
    <row r="54" spans="1:8" x14ac:dyDescent="0.3">
      <c r="A54" s="166" t="s">
        <v>124</v>
      </c>
      <c r="B54" s="167"/>
      <c r="C54" s="4" t="s">
        <v>18</v>
      </c>
      <c r="D54" s="22">
        <f>Balaka!D54+Balaka!E54+Balaka!F54</f>
        <v>53063630.310000002</v>
      </c>
      <c r="E54" s="22">
        <f>Liwonde!D54+Liwonde!E54+Liwonde!F54</f>
        <v>48331783.100000001</v>
      </c>
      <c r="F54" s="22">
        <f>Machinga!D54+Machinga!E54+Machinga!F54</f>
        <v>2148986.0499999998</v>
      </c>
      <c r="G54" s="22">
        <f>Ntaja!D54+Ntaja!E54+Ntaja!F54</f>
        <v>30369069.84</v>
      </c>
      <c r="H54" s="34">
        <f>SUM(D54:G54)</f>
        <v>133913469.3</v>
      </c>
    </row>
    <row r="55" spans="1:8" x14ac:dyDescent="0.3">
      <c r="A55" s="67" t="s">
        <v>123</v>
      </c>
      <c r="B55" s="68"/>
      <c r="C55" s="4" t="s">
        <v>18</v>
      </c>
      <c r="D55" s="22">
        <f>Balaka!D55+Balaka!E55+Balaka!F55</f>
        <v>12823912.379999999</v>
      </c>
      <c r="E55" s="22">
        <f>Liwonde!D55+Liwonde!E55+Liwonde!F55</f>
        <v>13291148.780000001</v>
      </c>
      <c r="F55" s="22">
        <f>Machinga!D55+Machinga!E55+Machinga!F55</f>
        <v>2448001.92</v>
      </c>
      <c r="G55" s="22">
        <f>Ntaja!D55+Ntaja!E55+Ntaja!F55</f>
        <v>1477385.7799999998</v>
      </c>
      <c r="H55" s="34">
        <f>SUM(D55:G55)</f>
        <v>30040448.859999999</v>
      </c>
    </row>
    <row r="56" spans="1:8" x14ac:dyDescent="0.3">
      <c r="A56" s="166" t="s">
        <v>122</v>
      </c>
      <c r="B56" s="167"/>
      <c r="C56" s="4" t="s">
        <v>18</v>
      </c>
      <c r="D56" s="22">
        <f>Balaka!D56+Balaka!E56+Balaka!F56</f>
        <v>21021622.09</v>
      </c>
      <c r="E56" s="22">
        <f>Liwonde!D56+Liwonde!E56+Liwonde!F56</f>
        <v>27139199.350000001</v>
      </c>
      <c r="F56" s="22">
        <f>Machinga!D56+Machinga!E56+Machinga!F56</f>
        <v>889766.24</v>
      </c>
      <c r="G56" s="22">
        <f>Ntaja!D56+Ntaja!E56+Ntaja!F56</f>
        <v>25000</v>
      </c>
      <c r="H56" s="34">
        <f>SUM(D56:G56)</f>
        <v>49075587.68</v>
      </c>
    </row>
    <row r="57" spans="1:8" x14ac:dyDescent="0.3">
      <c r="A57" s="178" t="s">
        <v>121</v>
      </c>
      <c r="B57" s="179"/>
      <c r="C57" s="179"/>
      <c r="D57" s="179"/>
      <c r="E57" s="179"/>
      <c r="F57" s="179"/>
      <c r="G57" s="179"/>
      <c r="H57" s="400"/>
    </row>
    <row r="58" spans="1:8" x14ac:dyDescent="0.3">
      <c r="A58" s="166" t="s">
        <v>120</v>
      </c>
      <c r="B58" s="167"/>
      <c r="C58" s="4" t="s">
        <v>18</v>
      </c>
      <c r="D58" s="11">
        <f>D41+D46+D51+D52+D54+D55+D56</f>
        <v>103824208.30625001</v>
      </c>
      <c r="E58" s="11">
        <f t="shared" ref="E58:G58" si="13">E41+E46+E51+E52+E54+E55+E56</f>
        <v>128827630.33316001</v>
      </c>
      <c r="F58" s="11">
        <f t="shared" si="13"/>
        <v>6821364.8445899244</v>
      </c>
      <c r="G58" s="11">
        <f t="shared" si="13"/>
        <v>34358024.630000003</v>
      </c>
      <c r="H58" s="34">
        <f>SUM(D58:G58)</f>
        <v>273831228.11399996</v>
      </c>
    </row>
    <row r="59" spans="1:8" x14ac:dyDescent="0.3">
      <c r="A59" s="166" t="s">
        <v>119</v>
      </c>
      <c r="B59" s="167"/>
      <c r="C59" s="4" t="s">
        <v>117</v>
      </c>
      <c r="D59" s="13">
        <f t="shared" ref="D59:H59" si="14">D58/D9</f>
        <v>741.26262498750577</v>
      </c>
      <c r="E59" s="13">
        <f t="shared" si="14"/>
        <v>716.45735731297145</v>
      </c>
      <c r="F59" s="13">
        <f t="shared" si="14"/>
        <v>1243.8666747975792</v>
      </c>
      <c r="G59" s="13">
        <f t="shared" si="14"/>
        <v>2961.8986750000004</v>
      </c>
      <c r="H59" s="35">
        <f t="shared" si="14"/>
        <v>812.65203025284893</v>
      </c>
    </row>
    <row r="60" spans="1:8" x14ac:dyDescent="0.3">
      <c r="A60" s="166" t="s">
        <v>118</v>
      </c>
      <c r="B60" s="167"/>
      <c r="C60" s="4" t="s">
        <v>117</v>
      </c>
      <c r="D60" s="13">
        <f>D58/D22</f>
        <v>1054.766047969998</v>
      </c>
      <c r="E60" s="13">
        <f t="shared" ref="E60:G60" si="15">E58/E22</f>
        <v>1013.2482927373229</v>
      </c>
      <c r="F60" s="13">
        <f t="shared" si="15"/>
        <v>1572.793997046396</v>
      </c>
      <c r="G60" s="13">
        <f t="shared" si="15"/>
        <v>3195.5008026413702</v>
      </c>
      <c r="H60" s="131">
        <f>H58/H22</f>
        <v>1137.8074570410322</v>
      </c>
    </row>
    <row r="61" spans="1:8" x14ac:dyDescent="0.3">
      <c r="A61" s="166" t="s">
        <v>116</v>
      </c>
      <c r="B61" s="167"/>
      <c r="C61" s="4" t="s">
        <v>3</v>
      </c>
      <c r="D61" s="22">
        <f>Balaka!F61</f>
        <v>14</v>
      </c>
      <c r="E61" s="22">
        <f>Liwonde!F61</f>
        <v>24</v>
      </c>
      <c r="F61" s="22">
        <f>Machinga!F61</f>
        <v>3</v>
      </c>
      <c r="G61" s="22">
        <f>Ntaja!F61</f>
        <v>6</v>
      </c>
      <c r="H61" s="34">
        <f>SUM(D61:G61)</f>
        <v>47</v>
      </c>
    </row>
    <row r="62" spans="1:8" ht="15.6" customHeight="1" x14ac:dyDescent="0.3">
      <c r="A62" s="166" t="s">
        <v>115</v>
      </c>
      <c r="B62" s="167"/>
      <c r="C62" s="4" t="s">
        <v>114</v>
      </c>
      <c r="D62" s="13">
        <f t="shared" ref="D62:H62" si="16">(D61*1000*31)/D9</f>
        <v>3.0985835046835732</v>
      </c>
      <c r="E62" s="13">
        <f t="shared" si="16"/>
        <v>4.1376548839899447</v>
      </c>
      <c r="F62" s="13">
        <f t="shared" si="16"/>
        <v>16.958424507658645</v>
      </c>
      <c r="G62" s="13">
        <f t="shared" si="16"/>
        <v>16.03448275862069</v>
      </c>
      <c r="H62" s="35">
        <f t="shared" si="16"/>
        <v>4.323955365622032</v>
      </c>
    </row>
    <row r="63" spans="1:8" x14ac:dyDescent="0.3">
      <c r="A63" s="183" t="s">
        <v>113</v>
      </c>
      <c r="B63" s="184"/>
      <c r="C63" s="33" t="s">
        <v>3</v>
      </c>
      <c r="D63" s="22">
        <f>Balaka!F63</f>
        <v>20</v>
      </c>
      <c r="E63" s="22">
        <f>Liwonde!F63</f>
        <v>46</v>
      </c>
      <c r="F63" s="22">
        <f>Machinga!F63</f>
        <v>8</v>
      </c>
      <c r="G63" s="22">
        <f>Ntaja!F63</f>
        <v>5</v>
      </c>
      <c r="H63" s="34">
        <f>SUM(D63:G63)</f>
        <v>79</v>
      </c>
    </row>
    <row r="64" spans="1:8" x14ac:dyDescent="0.3">
      <c r="A64" s="185"/>
      <c r="B64" s="186"/>
      <c r="C64" s="186"/>
      <c r="D64" s="186"/>
      <c r="E64" s="186"/>
      <c r="F64" s="186"/>
      <c r="G64" s="186"/>
      <c r="H64" s="401"/>
    </row>
    <row r="65" spans="1:8" ht="14.4" customHeight="1" x14ac:dyDescent="0.3">
      <c r="A65" s="178" t="s">
        <v>112</v>
      </c>
      <c r="B65" s="179"/>
      <c r="C65" s="179"/>
      <c r="D65" s="179"/>
      <c r="E65" s="179"/>
      <c r="F65" s="179"/>
      <c r="G65" s="179"/>
      <c r="H65" s="400"/>
    </row>
    <row r="66" spans="1:8" x14ac:dyDescent="0.3">
      <c r="A66" s="163" t="s">
        <v>111</v>
      </c>
      <c r="B66" s="21" t="s">
        <v>85</v>
      </c>
      <c r="C66" s="4" t="s">
        <v>3</v>
      </c>
      <c r="D66" s="22">
        <f>Balaka!D66</f>
        <v>407</v>
      </c>
      <c r="E66" s="22">
        <f>Liwonde!D66</f>
        <v>678</v>
      </c>
      <c r="F66" s="22">
        <f>Machinga!D66</f>
        <v>2</v>
      </c>
      <c r="G66" s="22">
        <f>Ntaja!D66</f>
        <v>23</v>
      </c>
      <c r="H66" s="129">
        <f>SUM(D66:G66)</f>
        <v>1110</v>
      </c>
    </row>
    <row r="67" spans="1:8" x14ac:dyDescent="0.3">
      <c r="A67" s="164"/>
      <c r="B67" s="21" t="s">
        <v>106</v>
      </c>
      <c r="C67" s="4" t="s">
        <v>3</v>
      </c>
      <c r="D67" s="22">
        <f>Balaka!D67+Balaka!E67+Balaka!F67</f>
        <v>115</v>
      </c>
      <c r="E67" s="22">
        <f>Liwonde!D67+Liwonde!E67+Liwonde!F67</f>
        <v>112</v>
      </c>
      <c r="F67" s="22">
        <f>Machinga!D67+Machinga!E67+Machinga!F67</f>
        <v>10</v>
      </c>
      <c r="G67" s="22">
        <f>Ntaja!D67+Ntaja!E67+Ntaja!F67</f>
        <v>64</v>
      </c>
      <c r="H67" s="129">
        <f>SUM(D67:G67)</f>
        <v>301</v>
      </c>
    </row>
    <row r="68" spans="1:8" ht="27" x14ac:dyDescent="0.3">
      <c r="A68" s="164"/>
      <c r="B68" s="21" t="s">
        <v>105</v>
      </c>
      <c r="C68" s="4" t="s">
        <v>3</v>
      </c>
      <c r="D68" s="22">
        <f>Balaka!D68+Balaka!E68+Balaka!F68</f>
        <v>113</v>
      </c>
      <c r="E68" s="22">
        <f>Liwonde!D68+Liwonde!E68+Liwonde!F68</f>
        <v>0</v>
      </c>
      <c r="F68" s="22">
        <f>Machinga!D68+Machinga!E68+Machinga!F68</f>
        <v>0</v>
      </c>
      <c r="G68" s="22">
        <f>Ntaja!D68+Ntaja!E68+Ntaja!F68</f>
        <v>0</v>
      </c>
      <c r="H68" s="129">
        <f>SUM(D68:G68)</f>
        <v>113</v>
      </c>
    </row>
    <row r="69" spans="1:8" ht="27" x14ac:dyDescent="0.3">
      <c r="A69" s="164"/>
      <c r="B69" s="21" t="s">
        <v>104</v>
      </c>
      <c r="C69" s="4" t="s">
        <v>3</v>
      </c>
      <c r="D69" s="22">
        <f>Balaka!D69+Balaka!E69+Balaka!F69</f>
        <v>0</v>
      </c>
      <c r="E69" s="22">
        <f>Liwonde!D69+Liwonde!E69+Liwonde!F69</f>
        <v>78</v>
      </c>
      <c r="F69" s="22">
        <f>Machinga!D69+Machinga!E69+Machinga!F69</f>
        <v>6</v>
      </c>
      <c r="G69" s="22">
        <f>Ntaja!D69+Ntaja!E69+Ntaja!F69</f>
        <v>42</v>
      </c>
      <c r="H69" s="129">
        <f>SUM(D69:G69)</f>
        <v>126</v>
      </c>
    </row>
    <row r="70" spans="1:8" x14ac:dyDescent="0.3">
      <c r="A70" s="164"/>
      <c r="B70" s="21" t="s">
        <v>190</v>
      </c>
      <c r="C70" s="4" t="s">
        <v>3</v>
      </c>
      <c r="D70" s="3">
        <f>D68+D69</f>
        <v>113</v>
      </c>
      <c r="E70" s="3">
        <f t="shared" ref="E70:H70" si="17">E68+E69</f>
        <v>78</v>
      </c>
      <c r="F70" s="3">
        <f t="shared" si="17"/>
        <v>6</v>
      </c>
      <c r="G70" s="3">
        <f t="shared" si="17"/>
        <v>42</v>
      </c>
      <c r="H70" s="130">
        <f t="shared" si="17"/>
        <v>239</v>
      </c>
    </row>
    <row r="71" spans="1:8" x14ac:dyDescent="0.3">
      <c r="A71" s="165"/>
      <c r="B71" s="21" t="s">
        <v>81</v>
      </c>
      <c r="C71" s="4" t="s">
        <v>3</v>
      </c>
      <c r="D71" s="22">
        <f>D66+D67-D70</f>
        <v>409</v>
      </c>
      <c r="E71" s="22">
        <f t="shared" ref="E71:G71" si="18">E66+E67-E70</f>
        <v>712</v>
      </c>
      <c r="F71" s="22">
        <f t="shared" si="18"/>
        <v>6</v>
      </c>
      <c r="G71" s="22">
        <f t="shared" si="18"/>
        <v>45</v>
      </c>
      <c r="H71" s="131">
        <f>H66+H67-H70</f>
        <v>1172</v>
      </c>
    </row>
    <row r="72" spans="1:8" x14ac:dyDescent="0.3">
      <c r="A72" s="163" t="s">
        <v>110</v>
      </c>
      <c r="B72" s="21" t="s">
        <v>85</v>
      </c>
      <c r="C72" s="4" t="s">
        <v>3</v>
      </c>
      <c r="D72" s="22">
        <f>Balaka!D72</f>
        <v>0</v>
      </c>
      <c r="E72" s="22">
        <f>Liwonde!D72</f>
        <v>0</v>
      </c>
      <c r="F72" s="22">
        <f>Machinga!D72</f>
        <v>0</v>
      </c>
      <c r="G72" s="22">
        <f>Ntaja!D72</f>
        <v>0</v>
      </c>
      <c r="H72" s="129">
        <f>SUM(D72:G72)</f>
        <v>0</v>
      </c>
    </row>
    <row r="73" spans="1:8" x14ac:dyDescent="0.3">
      <c r="A73" s="164"/>
      <c r="B73" s="21" t="s">
        <v>106</v>
      </c>
      <c r="C73" s="4" t="s">
        <v>3</v>
      </c>
      <c r="D73" s="22">
        <f>Balaka!D73+Balaka!E73+Balaka!F73</f>
        <v>0</v>
      </c>
      <c r="E73" s="22">
        <f>Liwonde!D73+Liwonde!E73+Liwonde!F73</f>
        <v>0</v>
      </c>
      <c r="F73" s="22">
        <f>Machinga!D73+Machinga!E73+Machinga!F73</f>
        <v>0</v>
      </c>
      <c r="G73" s="22">
        <f>Ntaja!D73+Ntaja!E73+Ntaja!F73</f>
        <v>1</v>
      </c>
      <c r="H73" s="129">
        <f>SUM(D73:G73)</f>
        <v>1</v>
      </c>
    </row>
    <row r="74" spans="1:8" ht="27" x14ac:dyDescent="0.3">
      <c r="A74" s="164"/>
      <c r="B74" s="21" t="s">
        <v>105</v>
      </c>
      <c r="C74" s="4" t="s">
        <v>3</v>
      </c>
      <c r="D74" s="22">
        <f>Balaka!D74+Balaka!E74+Balaka!F74</f>
        <v>0</v>
      </c>
      <c r="E74" s="22">
        <f>Liwonde!D74+Liwonde!E74+Liwonde!F74</f>
        <v>0</v>
      </c>
      <c r="F74" s="22">
        <f>Machinga!D74+Machinga!E74+Machinga!F74</f>
        <v>0</v>
      </c>
      <c r="G74" s="22">
        <f>Ntaja!D74+Ntaja!E74+Ntaja!F74</f>
        <v>0</v>
      </c>
      <c r="H74" s="129">
        <f>SUM(D74:G74)</f>
        <v>0</v>
      </c>
    </row>
    <row r="75" spans="1:8" ht="27" x14ac:dyDescent="0.3">
      <c r="A75" s="164"/>
      <c r="B75" s="21" t="s">
        <v>104</v>
      </c>
      <c r="C75" s="4" t="s">
        <v>3</v>
      </c>
      <c r="D75" s="22">
        <f>Balaka!D75+Balaka!E75+Balaka!F75</f>
        <v>0</v>
      </c>
      <c r="E75" s="22">
        <f>Liwonde!D75+Liwonde!E75+Liwonde!F75</f>
        <v>0</v>
      </c>
      <c r="F75" s="22">
        <f>Machinga!D75+Machinga!E75+Machinga!F75</f>
        <v>0</v>
      </c>
      <c r="G75" s="22">
        <f>Ntaja!D75+Ntaja!E75+Ntaja!F75</f>
        <v>1</v>
      </c>
      <c r="H75" s="129">
        <f>SUM(D75:G75)</f>
        <v>1</v>
      </c>
    </row>
    <row r="76" spans="1:8" x14ac:dyDescent="0.3">
      <c r="A76" s="164"/>
      <c r="B76" s="21" t="s">
        <v>190</v>
      </c>
      <c r="C76" s="4" t="s">
        <v>3</v>
      </c>
      <c r="D76" s="3">
        <f>D74+D75</f>
        <v>0</v>
      </c>
      <c r="E76" s="3">
        <f t="shared" ref="E76:H76" si="19">E74+E75</f>
        <v>0</v>
      </c>
      <c r="F76" s="3">
        <f t="shared" si="19"/>
        <v>0</v>
      </c>
      <c r="G76" s="3">
        <f t="shared" si="19"/>
        <v>1</v>
      </c>
      <c r="H76" s="130">
        <f t="shared" si="19"/>
        <v>1</v>
      </c>
    </row>
    <row r="77" spans="1:8" x14ac:dyDescent="0.3">
      <c r="A77" s="165"/>
      <c r="B77" s="21" t="s">
        <v>81</v>
      </c>
      <c r="C77" s="4" t="s">
        <v>3</v>
      </c>
      <c r="D77" s="22">
        <f>D73+D74-D76</f>
        <v>0</v>
      </c>
      <c r="E77" s="22">
        <f t="shared" ref="E77:H77" si="20">E73+E74-E76</f>
        <v>0</v>
      </c>
      <c r="F77" s="22">
        <f t="shared" si="20"/>
        <v>0</v>
      </c>
      <c r="G77" s="22">
        <f t="shared" si="20"/>
        <v>0</v>
      </c>
      <c r="H77" s="131">
        <f t="shared" si="20"/>
        <v>0</v>
      </c>
    </row>
    <row r="78" spans="1:8" ht="15.6" customHeight="1" x14ac:dyDescent="0.3">
      <c r="A78" s="163" t="s">
        <v>109</v>
      </c>
      <c r="B78" s="21" t="s">
        <v>85</v>
      </c>
      <c r="C78" s="4" t="s">
        <v>3</v>
      </c>
      <c r="D78" s="22">
        <f>Balaka!D78</f>
        <v>0</v>
      </c>
      <c r="E78" s="22">
        <f>Liwonde!D78</f>
        <v>0</v>
      </c>
      <c r="F78" s="22">
        <f>Machinga!D78</f>
        <v>0</v>
      </c>
      <c r="G78" s="22">
        <f>Ntaja!D78</f>
        <v>0</v>
      </c>
      <c r="H78" s="129">
        <f>SUM(D78:G78)</f>
        <v>0</v>
      </c>
    </row>
    <row r="79" spans="1:8" x14ac:dyDescent="0.3">
      <c r="A79" s="164"/>
      <c r="B79" s="21" t="s">
        <v>106</v>
      </c>
      <c r="C79" s="4" t="s">
        <v>3</v>
      </c>
      <c r="D79" s="22">
        <f>Balaka!D79+Balaka!E79+Balaka!F79</f>
        <v>0</v>
      </c>
      <c r="E79" s="22">
        <f>Liwonde!D79+Liwonde!E79+Liwonde!F79</f>
        <v>0</v>
      </c>
      <c r="F79" s="22">
        <f>Machinga!D79+Machinga!E79+Machinga!F79</f>
        <v>0</v>
      </c>
      <c r="G79" s="22">
        <f>Ntaja!D79+Ntaja!E79+Ntaja!F79</f>
        <v>0</v>
      </c>
      <c r="H79" s="129">
        <f>SUM(D79:G79)</f>
        <v>0</v>
      </c>
    </row>
    <row r="80" spans="1:8" ht="27" x14ac:dyDescent="0.3">
      <c r="A80" s="164"/>
      <c r="B80" s="21" t="s">
        <v>105</v>
      </c>
      <c r="C80" s="4" t="s">
        <v>3</v>
      </c>
      <c r="D80" s="22">
        <f>Balaka!D80+Balaka!E80+Balaka!F80</f>
        <v>0</v>
      </c>
      <c r="E80" s="22">
        <f>Liwonde!D80+Liwonde!E80+Liwonde!F80</f>
        <v>0</v>
      </c>
      <c r="F80" s="22">
        <f>Machinga!D80+Machinga!E80+Machinga!F80</f>
        <v>0</v>
      </c>
      <c r="G80" s="22">
        <f>Ntaja!D80+Ntaja!E80+Ntaja!F80</f>
        <v>0</v>
      </c>
      <c r="H80" s="129">
        <f>SUM(D80:G80)</f>
        <v>0</v>
      </c>
    </row>
    <row r="81" spans="1:8" ht="27" x14ac:dyDescent="0.3">
      <c r="A81" s="164"/>
      <c r="B81" s="21" t="s">
        <v>104</v>
      </c>
      <c r="C81" s="4" t="s">
        <v>3</v>
      </c>
      <c r="D81" s="22">
        <f>Balaka!D81+Balaka!E81+Balaka!F81</f>
        <v>0</v>
      </c>
      <c r="E81" s="22">
        <f>Liwonde!D81+Liwonde!E81+Liwonde!F81</f>
        <v>0</v>
      </c>
      <c r="F81" s="22">
        <f>Machinga!D81+Machinga!E81+Machinga!F81</f>
        <v>0</v>
      </c>
      <c r="G81" s="22">
        <f>Ntaja!D81+Ntaja!E81+Ntaja!F81</f>
        <v>0</v>
      </c>
      <c r="H81" s="129">
        <f>SUM(D81:G81)</f>
        <v>0</v>
      </c>
    </row>
    <row r="82" spans="1:8" x14ac:dyDescent="0.3">
      <c r="A82" s="164"/>
      <c r="B82" s="21" t="s">
        <v>190</v>
      </c>
      <c r="C82" s="4" t="s">
        <v>3</v>
      </c>
      <c r="D82" s="3">
        <f>D81+D80</f>
        <v>0</v>
      </c>
      <c r="E82" s="3">
        <f t="shared" ref="E82:H82" si="21">E81+E80</f>
        <v>0</v>
      </c>
      <c r="F82" s="3">
        <f t="shared" si="21"/>
        <v>0</v>
      </c>
      <c r="G82" s="3">
        <f t="shared" si="21"/>
        <v>0</v>
      </c>
      <c r="H82" s="130">
        <f t="shared" si="21"/>
        <v>0</v>
      </c>
    </row>
    <row r="83" spans="1:8" x14ac:dyDescent="0.3">
      <c r="A83" s="165"/>
      <c r="B83" s="21" t="s">
        <v>81</v>
      </c>
      <c r="C83" s="4" t="s">
        <v>3</v>
      </c>
      <c r="D83" s="22">
        <f>D78+D79-D82</f>
        <v>0</v>
      </c>
      <c r="E83" s="22">
        <f t="shared" ref="E83:H83" si="22">E78+E79-E82</f>
        <v>0</v>
      </c>
      <c r="F83" s="22">
        <f t="shared" si="22"/>
        <v>0</v>
      </c>
      <c r="G83" s="22">
        <f t="shared" si="22"/>
        <v>0</v>
      </c>
      <c r="H83" s="131">
        <f t="shared" si="22"/>
        <v>0</v>
      </c>
    </row>
    <row r="84" spans="1:8" x14ac:dyDescent="0.3">
      <c r="A84" s="190" t="s">
        <v>108</v>
      </c>
      <c r="B84" s="21" t="s">
        <v>85</v>
      </c>
      <c r="C84" s="4" t="s">
        <v>3</v>
      </c>
      <c r="D84" s="22">
        <f>Balaka!D84</f>
        <v>0</v>
      </c>
      <c r="E84" s="22">
        <f>Liwonde!D84</f>
        <v>0</v>
      </c>
      <c r="F84" s="22">
        <f>Machinga!D84</f>
        <v>0</v>
      </c>
      <c r="G84" s="22">
        <f>Ntaja!D84</f>
        <v>0</v>
      </c>
      <c r="H84" s="129">
        <f>SUM(D84:G84)</f>
        <v>0</v>
      </c>
    </row>
    <row r="85" spans="1:8" x14ac:dyDescent="0.3">
      <c r="A85" s="191"/>
      <c r="B85" s="21" t="s">
        <v>106</v>
      </c>
      <c r="C85" s="4" t="s">
        <v>3</v>
      </c>
      <c r="D85" s="22">
        <f>Balaka!D85+Balaka!E85+Balaka!F85</f>
        <v>0</v>
      </c>
      <c r="E85" s="22">
        <f>Liwonde!D85+Liwonde!E85+Liwonde!F85</f>
        <v>0</v>
      </c>
      <c r="F85" s="22">
        <f>Machinga!D85+Machinga!E85+Machinga!F85</f>
        <v>0</v>
      </c>
      <c r="G85" s="22">
        <f>Ntaja!D85+Ntaja!E85+Ntaja!F85</f>
        <v>0</v>
      </c>
      <c r="H85" s="129">
        <f>SUM(D85:G85)</f>
        <v>0</v>
      </c>
    </row>
    <row r="86" spans="1:8" ht="27" x14ac:dyDescent="0.3">
      <c r="A86" s="191"/>
      <c r="B86" s="21" t="s">
        <v>105</v>
      </c>
      <c r="C86" s="4" t="s">
        <v>3</v>
      </c>
      <c r="D86" s="22">
        <f>Balaka!D86+Balaka!E86+Balaka!F86</f>
        <v>0</v>
      </c>
      <c r="E86" s="22">
        <f>Liwonde!D86+Liwonde!E86+Liwonde!F86</f>
        <v>0</v>
      </c>
      <c r="F86" s="22">
        <f>Machinga!D86+Machinga!E86+Machinga!F86</f>
        <v>0</v>
      </c>
      <c r="G86" s="22">
        <f>Ntaja!D86+Ntaja!E86+Ntaja!F86</f>
        <v>0</v>
      </c>
      <c r="H86" s="129">
        <f>SUM(D86:G86)</f>
        <v>0</v>
      </c>
    </row>
    <row r="87" spans="1:8" ht="27" x14ac:dyDescent="0.3">
      <c r="A87" s="191"/>
      <c r="B87" s="21" t="s">
        <v>104</v>
      </c>
      <c r="C87" s="4" t="s">
        <v>3</v>
      </c>
      <c r="D87" s="22">
        <f>Balaka!D87+Balaka!E87+Balaka!F87</f>
        <v>0</v>
      </c>
      <c r="E87" s="22">
        <f>Liwonde!D87+Liwonde!E87+Liwonde!F87</f>
        <v>0</v>
      </c>
      <c r="F87" s="22">
        <f>Machinga!D87+Machinga!E87+Machinga!F87</f>
        <v>0</v>
      </c>
      <c r="G87" s="22">
        <f>Ntaja!D87+Ntaja!E87+Ntaja!F87</f>
        <v>0</v>
      </c>
      <c r="H87" s="129">
        <f>SUM(D87:G87)</f>
        <v>0</v>
      </c>
    </row>
    <row r="88" spans="1:8" x14ac:dyDescent="0.3">
      <c r="A88" s="191"/>
      <c r="B88" s="21" t="s">
        <v>190</v>
      </c>
      <c r="C88" s="4" t="s">
        <v>3</v>
      </c>
      <c r="D88" s="3">
        <f>D87+D86</f>
        <v>0</v>
      </c>
      <c r="E88" s="3">
        <f t="shared" ref="E88:G88" si="23">E87+E86</f>
        <v>0</v>
      </c>
      <c r="F88" s="3">
        <f t="shared" si="23"/>
        <v>0</v>
      </c>
      <c r="G88" s="3">
        <f t="shared" si="23"/>
        <v>0</v>
      </c>
      <c r="H88" s="129">
        <f>SUM(D88:G88)</f>
        <v>0</v>
      </c>
    </row>
    <row r="89" spans="1:8" x14ac:dyDescent="0.3">
      <c r="A89" s="192"/>
      <c r="B89" s="32" t="s">
        <v>81</v>
      </c>
      <c r="C89" s="4" t="s">
        <v>3</v>
      </c>
      <c r="D89" s="22">
        <f>D84+D85-D88</f>
        <v>0</v>
      </c>
      <c r="E89" s="22">
        <f t="shared" ref="E89:G89" si="24">E84+E85-E88</f>
        <v>0</v>
      </c>
      <c r="F89" s="22">
        <f t="shared" si="24"/>
        <v>0</v>
      </c>
      <c r="G89" s="22">
        <f t="shared" si="24"/>
        <v>0</v>
      </c>
      <c r="H89" s="131">
        <f t="shared" ref="H89" si="25">H84+H85-H86-H87</f>
        <v>0</v>
      </c>
    </row>
    <row r="90" spans="1:8" x14ac:dyDescent="0.3">
      <c r="A90" s="190" t="s">
        <v>107</v>
      </c>
      <c r="B90" s="21" t="s">
        <v>85</v>
      </c>
      <c r="C90" s="4" t="s">
        <v>3</v>
      </c>
      <c r="D90" s="119">
        <f>D66+D72+D78+D84</f>
        <v>407</v>
      </c>
      <c r="E90" s="119">
        <f t="shared" ref="E90:G90" si="26">E66+E72+E78+E84</f>
        <v>678</v>
      </c>
      <c r="F90" s="119">
        <f t="shared" si="26"/>
        <v>2</v>
      </c>
      <c r="G90" s="119">
        <f t="shared" si="26"/>
        <v>23</v>
      </c>
      <c r="H90" s="129">
        <f>SUM(D90:G90)</f>
        <v>1110</v>
      </c>
    </row>
    <row r="91" spans="1:8" x14ac:dyDescent="0.3">
      <c r="A91" s="191"/>
      <c r="B91" s="21" t="s">
        <v>106</v>
      </c>
      <c r="C91" s="4" t="s">
        <v>3</v>
      </c>
      <c r="D91" s="119">
        <f t="shared" ref="D91:G93" si="27">D67+D73+D79+D85</f>
        <v>115</v>
      </c>
      <c r="E91" s="119">
        <f t="shared" si="27"/>
        <v>112</v>
      </c>
      <c r="F91" s="119">
        <f t="shared" si="27"/>
        <v>10</v>
      </c>
      <c r="G91" s="119">
        <f t="shared" si="27"/>
        <v>65</v>
      </c>
      <c r="H91" s="129">
        <f>SUM(D91:G91)</f>
        <v>302</v>
      </c>
    </row>
    <row r="92" spans="1:8" ht="27" x14ac:dyDescent="0.3">
      <c r="A92" s="191"/>
      <c r="B92" s="21" t="s">
        <v>105</v>
      </c>
      <c r="C92" s="4" t="s">
        <v>3</v>
      </c>
      <c r="D92" s="119">
        <f t="shared" si="27"/>
        <v>113</v>
      </c>
      <c r="E92" s="119">
        <f t="shared" si="27"/>
        <v>0</v>
      </c>
      <c r="F92" s="119">
        <f t="shared" si="27"/>
        <v>0</v>
      </c>
      <c r="G92" s="119">
        <f t="shared" si="27"/>
        <v>0</v>
      </c>
      <c r="H92" s="129">
        <f>SUM(D92:G92)</f>
        <v>113</v>
      </c>
    </row>
    <row r="93" spans="1:8" ht="27" x14ac:dyDescent="0.3">
      <c r="A93" s="191"/>
      <c r="B93" s="21" t="s">
        <v>104</v>
      </c>
      <c r="C93" s="4"/>
      <c r="D93" s="119">
        <f t="shared" si="27"/>
        <v>0</v>
      </c>
      <c r="E93" s="119">
        <f t="shared" si="27"/>
        <v>78</v>
      </c>
      <c r="F93" s="119">
        <f t="shared" si="27"/>
        <v>6</v>
      </c>
      <c r="G93" s="119">
        <f t="shared" si="27"/>
        <v>43</v>
      </c>
      <c r="H93" s="129">
        <f>SUM(D93:G93)</f>
        <v>127</v>
      </c>
    </row>
    <row r="94" spans="1:8" x14ac:dyDescent="0.3">
      <c r="A94" s="191"/>
      <c r="B94" s="21" t="s">
        <v>190</v>
      </c>
      <c r="C94" s="4" t="s">
        <v>3</v>
      </c>
      <c r="D94" s="120">
        <f>D93+D92</f>
        <v>113</v>
      </c>
      <c r="E94" s="120">
        <f t="shared" ref="E94:G94" si="28">E93+E92</f>
        <v>78</v>
      </c>
      <c r="F94" s="120">
        <f t="shared" si="28"/>
        <v>6</v>
      </c>
      <c r="G94" s="120">
        <f t="shared" si="28"/>
        <v>43</v>
      </c>
      <c r="H94" s="132">
        <f t="shared" ref="H94" si="29">H93+H92</f>
        <v>240</v>
      </c>
    </row>
    <row r="95" spans="1:8" ht="16.2" thickBot="1" x14ac:dyDescent="0.35">
      <c r="A95" s="192"/>
      <c r="B95" s="21" t="s">
        <v>81</v>
      </c>
      <c r="C95" s="4" t="s">
        <v>3</v>
      </c>
      <c r="D95" s="121">
        <f>D90+D91-D94</f>
        <v>409</v>
      </c>
      <c r="E95" s="121">
        <f t="shared" ref="E95:G95" si="30">E90+E91-E94</f>
        <v>712</v>
      </c>
      <c r="F95" s="121">
        <f t="shared" si="30"/>
        <v>6</v>
      </c>
      <c r="G95" s="121">
        <f t="shared" si="30"/>
        <v>45</v>
      </c>
      <c r="H95" s="133">
        <f t="shared" ref="H95" si="31">H90+H91-H94</f>
        <v>1172</v>
      </c>
    </row>
    <row r="96" spans="1:8" ht="16.2" customHeight="1" thickBot="1" x14ac:dyDescent="0.35">
      <c r="A96" s="196"/>
      <c r="B96" s="197"/>
      <c r="C96" s="197"/>
      <c r="D96" s="197"/>
      <c r="E96" s="197"/>
      <c r="F96" s="197"/>
      <c r="G96" s="197"/>
      <c r="H96" s="409"/>
    </row>
    <row r="97" spans="1:8" ht="15.75" customHeight="1" thickBot="1" x14ac:dyDescent="0.35">
      <c r="A97" s="193" t="s">
        <v>191</v>
      </c>
      <c r="B97" s="194"/>
      <c r="C97" s="194"/>
      <c r="D97" s="194"/>
      <c r="E97" s="194"/>
      <c r="F97" s="194"/>
      <c r="G97" s="194"/>
      <c r="H97" s="402"/>
    </row>
    <row r="98" spans="1:8" x14ac:dyDescent="0.3">
      <c r="A98" s="72" t="s">
        <v>192</v>
      </c>
      <c r="B98" s="62"/>
      <c r="C98" s="4" t="s">
        <v>3</v>
      </c>
      <c r="D98" s="22">
        <f>Balaka!D98+Balaka!E98+Balaka!F98</f>
        <v>198</v>
      </c>
      <c r="E98" s="22">
        <f>Liwonde!D98+Liwonde!E98+Liwonde!F98</f>
        <v>119</v>
      </c>
      <c r="F98" s="22">
        <f>Machinga!D98+Machinga!E98+Machinga!F98</f>
        <v>20</v>
      </c>
      <c r="G98" s="22">
        <f>Ntaja!D98+Ntaja!E98+Ntaja!F98</f>
        <v>23</v>
      </c>
      <c r="H98" s="146">
        <f>SUM(D98:G98)</f>
        <v>360</v>
      </c>
    </row>
    <row r="99" spans="1:8" x14ac:dyDescent="0.3">
      <c r="A99" s="72"/>
      <c r="B99" s="21"/>
      <c r="C99" s="4"/>
      <c r="D99" s="59"/>
      <c r="E99" s="59"/>
      <c r="F99" s="59"/>
      <c r="G99" s="59"/>
      <c r="H99" s="127"/>
    </row>
    <row r="100" spans="1:8" x14ac:dyDescent="0.3">
      <c r="A100" s="198" t="s">
        <v>103</v>
      </c>
      <c r="B100" s="199"/>
      <c r="C100" s="199"/>
      <c r="D100" s="199"/>
      <c r="E100" s="199"/>
      <c r="F100" s="199"/>
      <c r="G100" s="199"/>
      <c r="H100" s="403"/>
    </row>
    <row r="101" spans="1:8" x14ac:dyDescent="0.3">
      <c r="A101" s="166" t="s">
        <v>102</v>
      </c>
      <c r="B101" s="167"/>
      <c r="C101" s="4" t="s">
        <v>3</v>
      </c>
      <c r="D101" s="22">
        <f>Balaka!F101</f>
        <v>2569</v>
      </c>
      <c r="E101" s="22">
        <f>Liwonde!F101</f>
        <v>1689</v>
      </c>
      <c r="F101" s="22">
        <f>Machinga!F101</f>
        <v>223</v>
      </c>
      <c r="G101" s="22">
        <f>Ntaja!F101</f>
        <v>1</v>
      </c>
      <c r="H101" s="50">
        <f>SUM(D101:G101)</f>
        <v>4482</v>
      </c>
    </row>
    <row r="102" spans="1:8" x14ac:dyDescent="0.3">
      <c r="A102" s="166" t="s">
        <v>101</v>
      </c>
      <c r="B102" s="167"/>
      <c r="C102" s="4" t="s">
        <v>3</v>
      </c>
      <c r="D102" s="22">
        <f>Balaka!F102</f>
        <v>51</v>
      </c>
      <c r="E102" s="22">
        <f>Liwonde!F102</f>
        <v>33</v>
      </c>
      <c r="F102" s="22">
        <f>Machinga!F102</f>
        <v>0</v>
      </c>
      <c r="G102" s="22">
        <f>Ntaja!F102</f>
        <v>1</v>
      </c>
      <c r="H102" s="50">
        <f>SUM(D102:G102)</f>
        <v>85</v>
      </c>
    </row>
    <row r="103" spans="1:8" ht="15.6" customHeight="1" x14ac:dyDescent="0.3">
      <c r="A103" s="172" t="s">
        <v>100</v>
      </c>
      <c r="B103" s="173"/>
      <c r="C103" s="4" t="s">
        <v>3</v>
      </c>
      <c r="D103" s="22">
        <f>Balaka!F103</f>
        <v>99</v>
      </c>
      <c r="E103" s="22">
        <f>Liwonde!F103</f>
        <v>20</v>
      </c>
      <c r="F103" s="22">
        <f>Machinga!F103</f>
        <v>0</v>
      </c>
      <c r="G103" s="22">
        <f>Ntaja!F103</f>
        <v>2</v>
      </c>
      <c r="H103" s="50">
        <f>SUM(D103:G103)</f>
        <v>121</v>
      </c>
    </row>
    <row r="104" spans="1:8" x14ac:dyDescent="0.3">
      <c r="A104" s="172" t="s">
        <v>99</v>
      </c>
      <c r="B104" s="173"/>
      <c r="C104" s="4" t="s">
        <v>3</v>
      </c>
      <c r="D104" s="22">
        <f>Balaka!F104</f>
        <v>20</v>
      </c>
      <c r="E104" s="22">
        <f>Liwonde!F104</f>
        <v>15</v>
      </c>
      <c r="F104" s="22">
        <f>Machinga!F104</f>
        <v>0</v>
      </c>
      <c r="G104" s="22">
        <f>Ntaja!F104</f>
        <v>0</v>
      </c>
      <c r="H104" s="50">
        <f>SUM(D104:G104)</f>
        <v>35</v>
      </c>
    </row>
    <row r="105" spans="1:8" x14ac:dyDescent="0.3">
      <c r="A105" s="188" t="s">
        <v>98</v>
      </c>
      <c r="B105" s="189"/>
      <c r="C105" s="4" t="s">
        <v>3</v>
      </c>
      <c r="D105" s="29">
        <f>SUM(D101:D104)</f>
        <v>2739</v>
      </c>
      <c r="E105" s="29">
        <f t="shared" ref="E105:G105" si="32">SUM(E101:E104)</f>
        <v>1757</v>
      </c>
      <c r="F105" s="29">
        <f t="shared" si="32"/>
        <v>223</v>
      </c>
      <c r="G105" s="29">
        <f t="shared" si="32"/>
        <v>4</v>
      </c>
      <c r="H105" s="50">
        <f>SUM(D105:G105)</f>
        <v>4723</v>
      </c>
    </row>
    <row r="106" spans="1:8" ht="15.6" customHeight="1" x14ac:dyDescent="0.3">
      <c r="A106" s="216" t="s">
        <v>212</v>
      </c>
      <c r="B106" s="217"/>
      <c r="C106" s="217"/>
      <c r="D106" s="217"/>
      <c r="E106" s="217"/>
      <c r="F106" s="217"/>
      <c r="G106" s="217"/>
      <c r="H106" s="404"/>
    </row>
    <row r="107" spans="1:8" x14ac:dyDescent="0.3">
      <c r="A107" s="166" t="s">
        <v>195</v>
      </c>
      <c r="B107" s="167"/>
      <c r="C107" s="4" t="s">
        <v>3</v>
      </c>
      <c r="D107" s="22">
        <f>Balaka!F107</f>
        <v>3054</v>
      </c>
      <c r="E107" s="22">
        <f>Liwonde!F107</f>
        <v>2604</v>
      </c>
      <c r="F107" s="22">
        <f>Machinga!F107</f>
        <v>33</v>
      </c>
      <c r="G107" s="22">
        <f>Ntaja!F107</f>
        <v>1</v>
      </c>
      <c r="H107" s="50">
        <f>SUM(D107:G107)</f>
        <v>5692</v>
      </c>
    </row>
    <row r="108" spans="1:8" x14ac:dyDescent="0.3">
      <c r="A108" s="166" t="s">
        <v>196</v>
      </c>
      <c r="B108" s="167"/>
      <c r="C108" s="4" t="s">
        <v>3</v>
      </c>
      <c r="D108" s="22">
        <f>Balaka!F108</f>
        <v>9</v>
      </c>
      <c r="E108" s="22">
        <f>Liwonde!F108</f>
        <v>10</v>
      </c>
      <c r="F108" s="22">
        <f>Machinga!F108</f>
        <v>13</v>
      </c>
      <c r="G108" s="22">
        <f>Ntaja!F108</f>
        <v>2</v>
      </c>
      <c r="H108" s="50">
        <f>SUM(D108:G108)</f>
        <v>34</v>
      </c>
    </row>
    <row r="109" spans="1:8" x14ac:dyDescent="0.3">
      <c r="A109" s="166" t="s">
        <v>197</v>
      </c>
      <c r="B109" s="167"/>
      <c r="C109" s="4" t="s">
        <v>3</v>
      </c>
      <c r="D109" s="22">
        <f>Balaka!F109</f>
        <v>1</v>
      </c>
      <c r="E109" s="22">
        <f>Liwonde!F109</f>
        <v>6</v>
      </c>
      <c r="F109" s="22">
        <f>Machinga!F109</f>
        <v>0</v>
      </c>
      <c r="G109" s="22">
        <f>Ntaja!F109</f>
        <v>0</v>
      </c>
      <c r="H109" s="50">
        <f>SUM(D109:G109)</f>
        <v>7</v>
      </c>
    </row>
    <row r="110" spans="1:8" x14ac:dyDescent="0.3">
      <c r="A110" s="166" t="s">
        <v>198</v>
      </c>
      <c r="B110" s="167"/>
      <c r="C110" s="4" t="s">
        <v>3</v>
      </c>
      <c r="D110" s="22">
        <f>Balaka!F110</f>
        <v>11</v>
      </c>
      <c r="E110" s="22">
        <f>Liwonde!F110</f>
        <v>7</v>
      </c>
      <c r="F110" s="22">
        <f>Machinga!F110</f>
        <v>0</v>
      </c>
      <c r="G110" s="22">
        <f>Ntaja!F110</f>
        <v>0</v>
      </c>
      <c r="H110" s="50">
        <f>SUM(D110:G110)</f>
        <v>18</v>
      </c>
    </row>
    <row r="111" spans="1:8" x14ac:dyDescent="0.3">
      <c r="A111" s="168" t="s">
        <v>97</v>
      </c>
      <c r="B111" s="169"/>
      <c r="C111" s="4" t="s">
        <v>3</v>
      </c>
      <c r="D111" s="29">
        <f>SUM(D107:D110)</f>
        <v>3075</v>
      </c>
      <c r="E111" s="29">
        <f t="shared" ref="E111:G111" si="33">SUM(E107:E110)</f>
        <v>2627</v>
      </c>
      <c r="F111" s="29">
        <f t="shared" si="33"/>
        <v>46</v>
      </c>
      <c r="G111" s="29">
        <f t="shared" si="33"/>
        <v>3</v>
      </c>
      <c r="H111" s="50">
        <f>SUM(D111:G111)</f>
        <v>5751</v>
      </c>
    </row>
    <row r="112" spans="1:8" ht="15.6" customHeight="1" x14ac:dyDescent="0.3">
      <c r="A112" s="198" t="s">
        <v>212</v>
      </c>
      <c r="B112" s="199"/>
      <c r="C112" s="199"/>
      <c r="D112" s="199"/>
      <c r="E112" s="199"/>
      <c r="F112" s="199"/>
      <c r="G112" s="199"/>
      <c r="H112" s="403"/>
    </row>
    <row r="113" spans="1:8" x14ac:dyDescent="0.3">
      <c r="A113" s="166" t="s">
        <v>199</v>
      </c>
      <c r="B113" s="167"/>
      <c r="C113" s="4" t="s">
        <v>3</v>
      </c>
      <c r="D113" s="22">
        <f>Balaka!F113</f>
        <v>1726</v>
      </c>
      <c r="E113" s="22">
        <f>Liwonde!F113</f>
        <v>1383</v>
      </c>
      <c r="F113" s="22">
        <f>Machinga!F113</f>
        <v>376</v>
      </c>
      <c r="G113" s="22">
        <f>Ntaja!F113</f>
        <v>567</v>
      </c>
      <c r="H113" s="50">
        <f t="shared" ref="H113:H119" si="34">SUM(D113:G113)</f>
        <v>4052</v>
      </c>
    </row>
    <row r="114" spans="1:8" x14ac:dyDescent="0.3">
      <c r="A114" s="166" t="s">
        <v>200</v>
      </c>
      <c r="B114" s="167"/>
      <c r="C114" s="4" t="s">
        <v>3</v>
      </c>
      <c r="D114" s="22">
        <f>Balaka!F114</f>
        <v>75</v>
      </c>
      <c r="E114" s="22">
        <f>Liwonde!F114</f>
        <v>44</v>
      </c>
      <c r="F114" s="22">
        <f>Machinga!F114</f>
        <v>2.2999999999999998</v>
      </c>
      <c r="G114" s="22">
        <f>Ntaja!F114</f>
        <v>20</v>
      </c>
      <c r="H114" s="50">
        <f t="shared" si="34"/>
        <v>141.30000000000001</v>
      </c>
    </row>
    <row r="115" spans="1:8" x14ac:dyDescent="0.3">
      <c r="A115" s="166" t="s">
        <v>201</v>
      </c>
      <c r="B115" s="167"/>
      <c r="C115" s="4" t="s">
        <v>3</v>
      </c>
      <c r="D115" s="22">
        <f>Balaka!F115</f>
        <v>71</v>
      </c>
      <c r="E115" s="22">
        <f>Liwonde!F115</f>
        <v>108</v>
      </c>
      <c r="F115" s="22">
        <f>Machinga!F115</f>
        <v>4.2</v>
      </c>
      <c r="G115" s="22">
        <f>Ntaja!F115</f>
        <v>15</v>
      </c>
      <c r="H115" s="50">
        <f t="shared" si="34"/>
        <v>198.2</v>
      </c>
    </row>
    <row r="116" spans="1:8" x14ac:dyDescent="0.3">
      <c r="A116" s="166" t="s">
        <v>202</v>
      </c>
      <c r="B116" s="167"/>
      <c r="C116" s="4" t="s">
        <v>3</v>
      </c>
      <c r="D116" s="22">
        <f>Balaka!F116</f>
        <v>3</v>
      </c>
      <c r="E116" s="22">
        <f>Liwonde!F116</f>
        <v>0</v>
      </c>
      <c r="F116" s="22">
        <f>Machinga!F116</f>
        <v>0</v>
      </c>
      <c r="G116" s="22">
        <f>Ntaja!F116</f>
        <v>3</v>
      </c>
      <c r="H116" s="50">
        <f t="shared" si="34"/>
        <v>6</v>
      </c>
    </row>
    <row r="117" spans="1:8" x14ac:dyDescent="0.3">
      <c r="A117" s="168" t="s">
        <v>96</v>
      </c>
      <c r="B117" s="169"/>
      <c r="C117" s="4" t="s">
        <v>3</v>
      </c>
      <c r="D117" s="29">
        <f>SUM(D113:D116)</f>
        <v>1875</v>
      </c>
      <c r="E117" s="29">
        <f t="shared" ref="E117:G117" si="35">SUM(E113:E116)</f>
        <v>1535</v>
      </c>
      <c r="F117" s="29">
        <f t="shared" si="35"/>
        <v>382.5</v>
      </c>
      <c r="G117" s="29">
        <f t="shared" si="35"/>
        <v>605</v>
      </c>
      <c r="H117" s="50">
        <f t="shared" si="34"/>
        <v>4397.5</v>
      </c>
    </row>
    <row r="118" spans="1:8" x14ac:dyDescent="0.3">
      <c r="A118" s="69" t="s">
        <v>193</v>
      </c>
      <c r="B118" s="70"/>
      <c r="C118" s="4" t="s">
        <v>3</v>
      </c>
      <c r="D118" s="29">
        <f>D117+D111</f>
        <v>4950</v>
      </c>
      <c r="E118" s="29">
        <f t="shared" ref="E118:G118" si="36">E117+E111</f>
        <v>4162</v>
      </c>
      <c r="F118" s="29">
        <f t="shared" si="36"/>
        <v>428.5</v>
      </c>
      <c r="G118" s="29">
        <f t="shared" si="36"/>
        <v>608</v>
      </c>
      <c r="H118" s="50">
        <f t="shared" si="34"/>
        <v>10148.5</v>
      </c>
    </row>
    <row r="119" spans="1:8" x14ac:dyDescent="0.3">
      <c r="A119" s="168" t="s">
        <v>194</v>
      </c>
      <c r="B119" s="169"/>
      <c r="C119" s="4" t="s">
        <v>3</v>
      </c>
      <c r="D119" s="29">
        <f>D118+D105</f>
        <v>7689</v>
      </c>
      <c r="E119" s="29">
        <f t="shared" ref="E119:G119" si="37">E118+E105</f>
        <v>5919</v>
      </c>
      <c r="F119" s="29">
        <f t="shared" si="37"/>
        <v>651.5</v>
      </c>
      <c r="G119" s="29">
        <f t="shared" si="37"/>
        <v>612</v>
      </c>
      <c r="H119" s="50">
        <f t="shared" si="34"/>
        <v>14871.5</v>
      </c>
    </row>
    <row r="120" spans="1:8" x14ac:dyDescent="0.3">
      <c r="A120" s="201" t="s">
        <v>203</v>
      </c>
      <c r="B120" s="202"/>
      <c r="C120" s="202"/>
      <c r="D120" s="202"/>
      <c r="E120" s="202"/>
      <c r="F120" s="202"/>
      <c r="G120" s="202"/>
      <c r="H120" s="398"/>
    </row>
    <row r="121" spans="1:8" x14ac:dyDescent="0.3">
      <c r="A121" s="166" t="s">
        <v>95</v>
      </c>
      <c r="B121" s="167"/>
      <c r="C121" s="4" t="s">
        <v>3</v>
      </c>
      <c r="D121" s="22">
        <f>Balaka!F121</f>
        <v>41203</v>
      </c>
      <c r="E121" s="22">
        <f>Liwonde!F121</f>
        <v>34068</v>
      </c>
      <c r="F121" s="22">
        <f>Machinga!F121</f>
        <v>1428</v>
      </c>
      <c r="G121" s="22">
        <f>Ntaja!F121</f>
        <v>4200</v>
      </c>
      <c r="H121" s="50">
        <f>SUM(D121:G121)</f>
        <v>80899</v>
      </c>
    </row>
    <row r="122" spans="1:8" x14ac:dyDescent="0.3">
      <c r="A122" s="166" t="s">
        <v>94</v>
      </c>
      <c r="B122" s="167"/>
      <c r="C122" s="4" t="s">
        <v>3</v>
      </c>
      <c r="D122" s="22">
        <f>Balaka!F122</f>
        <v>35022.550000000003</v>
      </c>
      <c r="E122" s="22">
        <f>Liwonde!F122</f>
        <v>30591</v>
      </c>
      <c r="F122" s="22">
        <f>Machinga!F122</f>
        <v>999.6</v>
      </c>
      <c r="G122" s="22">
        <f>Ntaja!F122</f>
        <v>2940</v>
      </c>
      <c r="H122" s="50">
        <f>SUM(D122:G122)</f>
        <v>69553.150000000009</v>
      </c>
    </row>
    <row r="123" spans="1:8" x14ac:dyDescent="0.3">
      <c r="A123" s="204" t="s">
        <v>93</v>
      </c>
      <c r="B123" s="205"/>
      <c r="C123" s="26" t="s">
        <v>6</v>
      </c>
      <c r="D123" s="25">
        <f t="shared" ref="D123:H123" si="38">D122/D121</f>
        <v>0.85000000000000009</v>
      </c>
      <c r="E123" s="25">
        <f t="shared" si="38"/>
        <v>0.89793941528707288</v>
      </c>
      <c r="F123" s="25">
        <f t="shared" si="38"/>
        <v>0.70000000000000007</v>
      </c>
      <c r="G123" s="25">
        <f t="shared" si="38"/>
        <v>0.7</v>
      </c>
      <c r="H123" s="368">
        <f t="shared" si="38"/>
        <v>0.85975290176640018</v>
      </c>
    </row>
    <row r="124" spans="1:8" x14ac:dyDescent="0.3">
      <c r="A124" s="227" t="s">
        <v>92</v>
      </c>
      <c r="B124" s="228"/>
      <c r="C124" s="228"/>
      <c r="D124" s="228"/>
      <c r="E124" s="228"/>
      <c r="F124" s="228"/>
      <c r="G124" s="228"/>
      <c r="H124" s="405"/>
    </row>
    <row r="125" spans="1:8" x14ac:dyDescent="0.3">
      <c r="A125" s="163" t="s">
        <v>91</v>
      </c>
      <c r="B125" s="21" t="s">
        <v>85</v>
      </c>
      <c r="C125" s="4" t="s">
        <v>3</v>
      </c>
      <c r="D125" s="22">
        <f>Balaka!D125</f>
        <v>0</v>
      </c>
      <c r="E125" s="22">
        <f>Liwonde!D125</f>
        <v>0</v>
      </c>
      <c r="F125" s="22">
        <f>Machinga!D125</f>
        <v>0</v>
      </c>
      <c r="G125" s="22">
        <f>Ntaja!D125</f>
        <v>0</v>
      </c>
      <c r="H125" s="28">
        <f>D125</f>
        <v>0</v>
      </c>
    </row>
    <row r="126" spans="1:8" x14ac:dyDescent="0.3">
      <c r="A126" s="164"/>
      <c r="B126" s="21" t="s">
        <v>84</v>
      </c>
      <c r="C126" s="4" t="s">
        <v>3</v>
      </c>
      <c r="D126" s="22">
        <f>Balaka!D126+Balaka!E126+Balaka!F126</f>
        <v>0</v>
      </c>
      <c r="E126" s="22">
        <f>Liwonde!D126+Liwonde!E126+Liwonde!F126</f>
        <v>0</v>
      </c>
      <c r="F126" s="22">
        <f>Machinga!D126+Machinga!E126+Machinga!F126</f>
        <v>0</v>
      </c>
      <c r="G126" s="22">
        <f>Ntaja!D126+Ntaja!E126+Ntaja!F126</f>
        <v>0</v>
      </c>
      <c r="H126" s="50">
        <f>SUM(D126:G126)</f>
        <v>0</v>
      </c>
    </row>
    <row r="127" spans="1:8" x14ac:dyDescent="0.3">
      <c r="A127" s="164"/>
      <c r="B127" s="71" t="s">
        <v>88</v>
      </c>
      <c r="C127" s="4" t="s">
        <v>3</v>
      </c>
      <c r="D127" s="22">
        <f>Balaka!D127+Balaka!E127+Balaka!F127</f>
        <v>0</v>
      </c>
      <c r="E127" s="22">
        <f>Liwonde!D127+Liwonde!E127+Liwonde!F127</f>
        <v>0</v>
      </c>
      <c r="F127" s="22">
        <f>Machinga!D127+Machinga!E127+Machinga!F127</f>
        <v>0</v>
      </c>
      <c r="G127" s="22">
        <f>Ntaja!D127+Ntaja!E127+Ntaja!F127</f>
        <v>0</v>
      </c>
      <c r="H127" s="50">
        <f>SUM(D127:G127)</f>
        <v>0</v>
      </c>
    </row>
    <row r="128" spans="1:8" x14ac:dyDescent="0.3">
      <c r="A128" s="164"/>
      <c r="B128" s="21" t="s">
        <v>82</v>
      </c>
      <c r="C128" s="4" t="s">
        <v>3</v>
      </c>
      <c r="D128" s="22">
        <f>Balaka!D128+Balaka!E128+Balaka!F128</f>
        <v>0</v>
      </c>
      <c r="E128" s="22">
        <f>Liwonde!D128+Liwonde!E128+Liwonde!F128</f>
        <v>0</v>
      </c>
      <c r="F128" s="22">
        <f>Machinga!D128+Machinga!E128+Machinga!F128</f>
        <v>0</v>
      </c>
      <c r="G128" s="22">
        <f>Ntaja!D128+Ntaja!E128+Ntaja!F128</f>
        <v>0</v>
      </c>
      <c r="H128" s="50">
        <f>SUM(D128:G128)</f>
        <v>0</v>
      </c>
    </row>
    <row r="129" spans="1:8" x14ac:dyDescent="0.3">
      <c r="A129" s="165"/>
      <c r="B129" s="21" t="s">
        <v>81</v>
      </c>
      <c r="C129" s="4" t="s">
        <v>3</v>
      </c>
      <c r="D129" s="123">
        <f t="shared" ref="D129:H129" si="39">D125+D126-D127-D128</f>
        <v>0</v>
      </c>
      <c r="E129" s="123">
        <f t="shared" si="39"/>
        <v>0</v>
      </c>
      <c r="F129" s="123">
        <f t="shared" si="39"/>
        <v>0</v>
      </c>
      <c r="G129" s="123">
        <f t="shared" si="39"/>
        <v>0</v>
      </c>
      <c r="H129" s="28">
        <f t="shared" si="39"/>
        <v>0</v>
      </c>
    </row>
    <row r="130" spans="1:8" ht="26.4" x14ac:dyDescent="0.3">
      <c r="A130" s="163" t="s">
        <v>90</v>
      </c>
      <c r="B130" s="24" t="s">
        <v>85</v>
      </c>
      <c r="C130" s="23" t="s">
        <v>3</v>
      </c>
      <c r="D130" s="22">
        <f>Balaka!D130</f>
        <v>0</v>
      </c>
      <c r="E130" s="22">
        <f>Liwonde!D130</f>
        <v>0</v>
      </c>
      <c r="F130" s="22">
        <f>Machinga!D130</f>
        <v>0</v>
      </c>
      <c r="G130" s="22">
        <f>Ntaja!D130</f>
        <v>0</v>
      </c>
      <c r="H130" s="28">
        <f>D130</f>
        <v>0</v>
      </c>
    </row>
    <row r="131" spans="1:8" x14ac:dyDescent="0.3">
      <c r="A131" s="164"/>
      <c r="B131" s="21" t="s">
        <v>84</v>
      </c>
      <c r="C131" s="4" t="s">
        <v>3</v>
      </c>
      <c r="D131" s="22">
        <f>Balaka!D131+Balaka!E131+Balaka!F131</f>
        <v>0</v>
      </c>
      <c r="E131" s="22">
        <f>Liwonde!D131+Liwonde!E131+Liwonde!F131</f>
        <v>0</v>
      </c>
      <c r="F131" s="22">
        <f>Machinga!D131+Machinga!E131+Machinga!F131</f>
        <v>0</v>
      </c>
      <c r="G131" s="22">
        <f>Ntaja!D131+Ntaja!E131+Ntaja!F131</f>
        <v>0</v>
      </c>
      <c r="H131" s="50">
        <f>SUM(D131:G131)</f>
        <v>0</v>
      </c>
    </row>
    <row r="132" spans="1:8" x14ac:dyDescent="0.3">
      <c r="A132" s="164"/>
      <c r="B132" s="71" t="s">
        <v>88</v>
      </c>
      <c r="C132" s="4" t="s">
        <v>3</v>
      </c>
      <c r="D132" s="22">
        <f>Balaka!D132+Balaka!E132+Balaka!F132</f>
        <v>0</v>
      </c>
      <c r="E132" s="22">
        <f>Liwonde!D132+Liwonde!E132+Liwonde!F132</f>
        <v>0</v>
      </c>
      <c r="F132" s="22">
        <f>Machinga!D132+Machinga!E132+Machinga!F132</f>
        <v>0</v>
      </c>
      <c r="G132" s="22">
        <f>Ntaja!D132+Ntaja!E132+Ntaja!F132</f>
        <v>0</v>
      </c>
      <c r="H132" s="50">
        <f>SUM(D132:G132)</f>
        <v>0</v>
      </c>
    </row>
    <row r="133" spans="1:8" x14ac:dyDescent="0.3">
      <c r="A133" s="164"/>
      <c r="B133" s="21" t="s">
        <v>82</v>
      </c>
      <c r="C133" s="4" t="s">
        <v>3</v>
      </c>
      <c r="D133" s="22">
        <f>Balaka!D133+Balaka!E133+Balaka!F133</f>
        <v>0</v>
      </c>
      <c r="E133" s="22">
        <f>Liwonde!D133+Liwonde!E133+Liwonde!F133</f>
        <v>0</v>
      </c>
      <c r="F133" s="22">
        <f>Machinga!D133+Machinga!E133+Machinga!F133</f>
        <v>0</v>
      </c>
      <c r="G133" s="22">
        <f>Ntaja!D133+Ntaja!E133+Ntaja!F133</f>
        <v>0</v>
      </c>
      <c r="H133" s="50">
        <f>SUM(D133:G133)</f>
        <v>0</v>
      </c>
    </row>
    <row r="134" spans="1:8" x14ac:dyDescent="0.3">
      <c r="A134" s="165"/>
      <c r="B134" s="21" t="s">
        <v>81</v>
      </c>
      <c r="C134" s="4" t="s">
        <v>3</v>
      </c>
      <c r="D134" s="123">
        <f t="shared" ref="D134:H134" si="40">D130+D131-D132-D133</f>
        <v>0</v>
      </c>
      <c r="E134" s="123">
        <f t="shared" si="40"/>
        <v>0</v>
      </c>
      <c r="F134" s="123">
        <f t="shared" si="40"/>
        <v>0</v>
      </c>
      <c r="G134" s="123">
        <f t="shared" si="40"/>
        <v>0</v>
      </c>
      <c r="H134" s="28">
        <f t="shared" si="40"/>
        <v>0</v>
      </c>
    </row>
    <row r="135" spans="1:8" x14ac:dyDescent="0.3">
      <c r="A135" s="163" t="s">
        <v>89</v>
      </c>
      <c r="B135" s="21" t="s">
        <v>85</v>
      </c>
      <c r="C135" s="4" t="s">
        <v>3</v>
      </c>
      <c r="D135" s="22">
        <f>Balaka!D135</f>
        <v>0</v>
      </c>
      <c r="E135" s="22">
        <f>Liwonde!D135</f>
        <v>0</v>
      </c>
      <c r="F135" s="22">
        <f>Machinga!D135</f>
        <v>0</v>
      </c>
      <c r="G135" s="22">
        <f>Ntaja!D135</f>
        <v>0</v>
      </c>
      <c r="H135" s="28">
        <f>D135</f>
        <v>0</v>
      </c>
    </row>
    <row r="136" spans="1:8" x14ac:dyDescent="0.3">
      <c r="A136" s="164"/>
      <c r="B136" s="21" t="s">
        <v>84</v>
      </c>
      <c r="C136" s="4" t="s">
        <v>3</v>
      </c>
      <c r="D136" s="22">
        <f>Balaka!D136+Balaka!E136+Balaka!F136</f>
        <v>0</v>
      </c>
      <c r="E136" s="22">
        <f>Liwonde!D136+Liwonde!E136+Liwonde!F136</f>
        <v>0</v>
      </c>
      <c r="F136" s="22">
        <f>Machinga!D136+Machinga!E136+Machinga!F136</f>
        <v>0</v>
      </c>
      <c r="G136" s="22">
        <f>Ntaja!D136+Ntaja!E136+Ntaja!F136</f>
        <v>0</v>
      </c>
      <c r="H136" s="50">
        <f>SUM(D136:G136)</f>
        <v>0</v>
      </c>
    </row>
    <row r="137" spans="1:8" x14ac:dyDescent="0.3">
      <c r="A137" s="164"/>
      <c r="B137" s="71" t="s">
        <v>88</v>
      </c>
      <c r="C137" s="4" t="s">
        <v>3</v>
      </c>
      <c r="D137" s="22">
        <f>Balaka!D137+Balaka!E137+Balaka!F137</f>
        <v>0</v>
      </c>
      <c r="E137" s="22">
        <f>Liwonde!D137+Liwonde!E137+Liwonde!F137</f>
        <v>0</v>
      </c>
      <c r="F137" s="22">
        <f>Machinga!D137+Machinga!E137+Machinga!F137</f>
        <v>0</v>
      </c>
      <c r="G137" s="22">
        <f>Ntaja!D137+Ntaja!E137+Ntaja!F137</f>
        <v>0</v>
      </c>
      <c r="H137" s="50">
        <f>SUM(D137:G137)</f>
        <v>0</v>
      </c>
    </row>
    <row r="138" spans="1:8" x14ac:dyDescent="0.3">
      <c r="A138" s="164"/>
      <c r="B138" s="21" t="s">
        <v>82</v>
      </c>
      <c r="C138" s="4" t="s">
        <v>3</v>
      </c>
      <c r="D138" s="22">
        <f>Balaka!D138+Balaka!E138+Balaka!F138</f>
        <v>0</v>
      </c>
      <c r="E138" s="22">
        <f>Liwonde!D138+Liwonde!E138+Liwonde!F138</f>
        <v>0</v>
      </c>
      <c r="F138" s="22">
        <f>Machinga!D138+Machinga!E138+Machinga!F138</f>
        <v>0</v>
      </c>
      <c r="G138" s="22">
        <f>Ntaja!D138+Ntaja!E138+Ntaja!F138</f>
        <v>0</v>
      </c>
      <c r="H138" s="50">
        <f>SUM(D138:G138)</f>
        <v>0</v>
      </c>
    </row>
    <row r="139" spans="1:8" x14ac:dyDescent="0.3">
      <c r="A139" s="165"/>
      <c r="B139" s="21" t="s">
        <v>81</v>
      </c>
      <c r="C139" s="4" t="s">
        <v>3</v>
      </c>
      <c r="D139" s="123">
        <f t="shared" ref="D139:H139" si="41">D135+D136-D137-D138</f>
        <v>0</v>
      </c>
      <c r="E139" s="123">
        <f t="shared" si="41"/>
        <v>0</v>
      </c>
      <c r="F139" s="123">
        <f t="shared" si="41"/>
        <v>0</v>
      </c>
      <c r="G139" s="123">
        <f t="shared" si="41"/>
        <v>0</v>
      </c>
      <c r="H139" s="28">
        <f t="shared" si="41"/>
        <v>0</v>
      </c>
    </row>
    <row r="140" spans="1:8" x14ac:dyDescent="0.3">
      <c r="A140" s="163" t="s">
        <v>87</v>
      </c>
      <c r="B140" s="21" t="s">
        <v>85</v>
      </c>
      <c r="C140" s="4" t="s">
        <v>3</v>
      </c>
      <c r="D140" s="22">
        <f>Balaka!D140</f>
        <v>376</v>
      </c>
      <c r="E140" s="22">
        <f>Liwonde!D140</f>
        <v>293</v>
      </c>
      <c r="F140" s="22">
        <f>Machinga!D140</f>
        <v>0</v>
      </c>
      <c r="G140" s="22">
        <f>Ntaja!D140</f>
        <v>0</v>
      </c>
      <c r="H140" s="28">
        <f>D140</f>
        <v>376</v>
      </c>
    </row>
    <row r="141" spans="1:8" x14ac:dyDescent="0.3">
      <c r="A141" s="164"/>
      <c r="B141" s="21" t="s">
        <v>84</v>
      </c>
      <c r="C141" s="4" t="s">
        <v>3</v>
      </c>
      <c r="D141" s="22">
        <f>Balaka!D141+Balaka!E141+Balaka!F141</f>
        <v>18</v>
      </c>
      <c r="E141" s="22">
        <f>Liwonde!D141+Liwonde!E141+Liwonde!F141</f>
        <v>21</v>
      </c>
      <c r="F141" s="22">
        <f>Machinga!D141+Machinga!E141+Machinga!F141</f>
        <v>0</v>
      </c>
      <c r="G141" s="22">
        <f>Ntaja!D141+Ntaja!E141+Ntaja!F141</f>
        <v>18</v>
      </c>
      <c r="H141" s="50">
        <f>SUM(D141:G141)</f>
        <v>57</v>
      </c>
    </row>
    <row r="142" spans="1:8" x14ac:dyDescent="0.3">
      <c r="A142" s="164"/>
      <c r="B142" s="21" t="s">
        <v>83</v>
      </c>
      <c r="C142" s="4" t="s">
        <v>3</v>
      </c>
      <c r="D142" s="22">
        <f>Balaka!D142+Balaka!E142+Balaka!F142</f>
        <v>46</v>
      </c>
      <c r="E142" s="22">
        <f>Liwonde!D142+Liwonde!E142+Liwonde!F142</f>
        <v>0</v>
      </c>
      <c r="F142" s="22">
        <f>Machinga!D142+Machinga!E142+Machinga!F142</f>
        <v>0</v>
      </c>
      <c r="G142" s="22">
        <f>Ntaja!D142+Ntaja!E142+Ntaja!F142</f>
        <v>15</v>
      </c>
      <c r="H142" s="50">
        <f>SUM(D142:G142)</f>
        <v>61</v>
      </c>
    </row>
    <row r="143" spans="1:8" x14ac:dyDescent="0.3">
      <c r="A143" s="164"/>
      <c r="B143" s="21" t="s">
        <v>82</v>
      </c>
      <c r="C143" s="4" t="s">
        <v>3</v>
      </c>
      <c r="D143" s="22">
        <f>Balaka!D143+Balaka!E143+Balaka!F143</f>
        <v>73</v>
      </c>
      <c r="E143" s="22">
        <f>Liwonde!D143+Liwonde!E143+Liwonde!F143</f>
        <v>43</v>
      </c>
      <c r="F143" s="22">
        <f>Machinga!D143+Machinga!E143+Machinga!F143</f>
        <v>0</v>
      </c>
      <c r="G143" s="22">
        <f>Ntaja!D143+Ntaja!E143+Ntaja!F143</f>
        <v>3</v>
      </c>
      <c r="H143" s="50">
        <f>SUM(D143:G143)</f>
        <v>119</v>
      </c>
    </row>
    <row r="144" spans="1:8" x14ac:dyDescent="0.3">
      <c r="A144" s="165"/>
      <c r="B144" s="21" t="s">
        <v>81</v>
      </c>
      <c r="C144" s="4" t="s">
        <v>3</v>
      </c>
      <c r="D144" s="123">
        <f t="shared" ref="D144:H144" si="42">D140+D141-D142-D143</f>
        <v>275</v>
      </c>
      <c r="E144" s="123">
        <f t="shared" si="42"/>
        <v>271</v>
      </c>
      <c r="F144" s="123">
        <f t="shared" si="42"/>
        <v>0</v>
      </c>
      <c r="G144" s="123">
        <f t="shared" si="42"/>
        <v>0</v>
      </c>
      <c r="H144" s="28">
        <f t="shared" si="42"/>
        <v>253</v>
      </c>
    </row>
    <row r="145" spans="1:8" x14ac:dyDescent="0.3">
      <c r="A145" s="163" t="s">
        <v>86</v>
      </c>
      <c r="B145" s="21" t="s">
        <v>85</v>
      </c>
      <c r="C145" s="4" t="s">
        <v>3</v>
      </c>
      <c r="D145" s="124">
        <f>D125+D130+D135+D140</f>
        <v>376</v>
      </c>
      <c r="E145" s="124">
        <f t="shared" ref="E145:G145" si="43">E125+E130+E135+E140</f>
        <v>293</v>
      </c>
      <c r="F145" s="124">
        <f t="shared" si="43"/>
        <v>0</v>
      </c>
      <c r="G145" s="124">
        <f t="shared" si="43"/>
        <v>0</v>
      </c>
      <c r="H145" s="50">
        <f t="shared" ref="H145:H149" si="44">H125+H130+H135+H140</f>
        <v>376</v>
      </c>
    </row>
    <row r="146" spans="1:8" x14ac:dyDescent="0.3">
      <c r="A146" s="164"/>
      <c r="B146" s="21" t="s">
        <v>84</v>
      </c>
      <c r="C146" s="4" t="s">
        <v>3</v>
      </c>
      <c r="D146" s="124">
        <f t="shared" ref="D146:G148" si="45">D126+D131+D136+D141</f>
        <v>18</v>
      </c>
      <c r="E146" s="124">
        <f t="shared" si="45"/>
        <v>21</v>
      </c>
      <c r="F146" s="124">
        <f t="shared" si="45"/>
        <v>0</v>
      </c>
      <c r="G146" s="124">
        <f t="shared" si="45"/>
        <v>18</v>
      </c>
      <c r="H146" s="50">
        <f t="shared" si="44"/>
        <v>57</v>
      </c>
    </row>
    <row r="147" spans="1:8" x14ac:dyDescent="0.3">
      <c r="A147" s="164"/>
      <c r="B147" s="21" t="s">
        <v>83</v>
      </c>
      <c r="C147" s="4" t="s">
        <v>3</v>
      </c>
      <c r="D147" s="124">
        <f t="shared" si="45"/>
        <v>46</v>
      </c>
      <c r="E147" s="124">
        <f t="shared" si="45"/>
        <v>0</v>
      </c>
      <c r="F147" s="124">
        <f t="shared" si="45"/>
        <v>0</v>
      </c>
      <c r="G147" s="124">
        <f t="shared" si="45"/>
        <v>15</v>
      </c>
      <c r="H147" s="50">
        <f t="shared" si="44"/>
        <v>61</v>
      </c>
    </row>
    <row r="148" spans="1:8" x14ac:dyDescent="0.3">
      <c r="A148" s="164"/>
      <c r="B148" s="21" t="s">
        <v>82</v>
      </c>
      <c r="C148" s="4" t="s">
        <v>3</v>
      </c>
      <c r="D148" s="124">
        <f t="shared" si="45"/>
        <v>73</v>
      </c>
      <c r="E148" s="124">
        <f t="shared" si="45"/>
        <v>43</v>
      </c>
      <c r="F148" s="124">
        <f t="shared" si="45"/>
        <v>0</v>
      </c>
      <c r="G148" s="124">
        <f t="shared" si="45"/>
        <v>3</v>
      </c>
      <c r="H148" s="50">
        <f t="shared" si="44"/>
        <v>119</v>
      </c>
    </row>
    <row r="149" spans="1:8" x14ac:dyDescent="0.3">
      <c r="A149" s="165"/>
      <c r="B149" s="21" t="s">
        <v>81</v>
      </c>
      <c r="C149" s="4" t="s">
        <v>3</v>
      </c>
      <c r="D149" s="123">
        <f>D145+D146-D147-D148</f>
        <v>275</v>
      </c>
      <c r="E149" s="123">
        <f t="shared" ref="E149:G149" si="46">E145+E146-E147-E148</f>
        <v>271</v>
      </c>
      <c r="F149" s="123">
        <f t="shared" si="46"/>
        <v>0</v>
      </c>
      <c r="G149" s="123">
        <f t="shared" si="46"/>
        <v>0</v>
      </c>
      <c r="H149" s="50">
        <f t="shared" si="44"/>
        <v>253</v>
      </c>
    </row>
    <row r="150" spans="1:8" x14ac:dyDescent="0.3">
      <c r="A150" s="201" t="s">
        <v>80</v>
      </c>
      <c r="B150" s="202"/>
      <c r="C150" s="202"/>
      <c r="D150" s="202"/>
      <c r="E150" s="202"/>
      <c r="F150" s="202"/>
      <c r="G150" s="202"/>
      <c r="H150" s="398"/>
    </row>
    <row r="151" spans="1:8" ht="15.6" customHeight="1" x14ac:dyDescent="0.3">
      <c r="A151" s="230" t="s">
        <v>79</v>
      </c>
      <c r="B151" s="231"/>
      <c r="C151" s="231"/>
      <c r="D151" s="231"/>
      <c r="E151" s="231"/>
      <c r="F151" s="231"/>
      <c r="G151" s="231"/>
      <c r="H151" s="410"/>
    </row>
    <row r="152" spans="1:8" x14ac:dyDescent="0.3">
      <c r="A152" s="211" t="s">
        <v>78</v>
      </c>
      <c r="B152" s="80" t="s">
        <v>63</v>
      </c>
      <c r="C152" s="4"/>
      <c r="D152" s="125"/>
      <c r="E152" s="125"/>
      <c r="F152" s="125"/>
      <c r="G152" s="125"/>
      <c r="H152" s="34"/>
    </row>
    <row r="153" spans="1:8" x14ac:dyDescent="0.3">
      <c r="A153" s="212"/>
      <c r="B153" s="17" t="s">
        <v>73</v>
      </c>
      <c r="C153" s="4" t="s">
        <v>57</v>
      </c>
      <c r="D153" s="125">
        <f>Balaka!D153+Balaka!E153+Balaka!F153</f>
        <v>291</v>
      </c>
      <c r="E153" s="125">
        <f>Liwonde!D153+Liwonde!E153+Liwonde!F153</f>
        <v>257</v>
      </c>
      <c r="F153" s="125">
        <f>Machinga!D153+Machinga!E153+Machinga!F153</f>
        <v>44</v>
      </c>
      <c r="G153" s="125">
        <f>Ntaja!D153+Ntaja!E153+Ntaja!F153</f>
        <v>295</v>
      </c>
      <c r="H153" s="31">
        <f t="shared" ref="H153:H165" si="47">SUM(D153:G153)</f>
        <v>887</v>
      </c>
    </row>
    <row r="154" spans="1:8" x14ac:dyDescent="0.3">
      <c r="A154" s="212"/>
      <c r="B154" s="17" t="s">
        <v>72</v>
      </c>
      <c r="C154" s="4" t="s">
        <v>57</v>
      </c>
      <c r="D154" s="125">
        <f>Balaka!D154+Balaka!E154+Balaka!F154</f>
        <v>228</v>
      </c>
      <c r="E154" s="125">
        <f>Liwonde!D154+Liwonde!E154+Liwonde!F154</f>
        <v>124</v>
      </c>
      <c r="F154" s="125">
        <f>Machinga!D154+Machinga!E154+Machinga!F154</f>
        <v>27</v>
      </c>
      <c r="G154" s="125">
        <f>Ntaja!D154+Ntaja!E154+Ntaja!F154</f>
        <v>38</v>
      </c>
      <c r="H154" s="31">
        <f t="shared" si="47"/>
        <v>417</v>
      </c>
    </row>
    <row r="155" spans="1:8" x14ac:dyDescent="0.3">
      <c r="A155" s="212"/>
      <c r="B155" s="17" t="s">
        <v>53</v>
      </c>
      <c r="C155" s="4" t="s">
        <v>57</v>
      </c>
      <c r="D155" s="125">
        <f>Balaka!D155+Balaka!E155+Balaka!F155</f>
        <v>53</v>
      </c>
      <c r="E155" s="125">
        <f>Liwonde!D155+Liwonde!E155+Liwonde!F155</f>
        <v>48</v>
      </c>
      <c r="F155" s="125">
        <f>Machinga!D155+Machinga!E155+Machinga!F155</f>
        <v>28</v>
      </c>
      <c r="G155" s="125">
        <f>Ntaja!D155+Ntaja!E155+Ntaja!F155</f>
        <v>30</v>
      </c>
      <c r="H155" s="31">
        <f t="shared" si="47"/>
        <v>159</v>
      </c>
    </row>
    <row r="156" spans="1:8" x14ac:dyDescent="0.3">
      <c r="A156" s="212"/>
      <c r="B156" s="17" t="s">
        <v>71</v>
      </c>
      <c r="C156" s="4" t="s">
        <v>57</v>
      </c>
      <c r="D156" s="125">
        <f>Balaka!D156+Balaka!E156+Balaka!F156</f>
        <v>1</v>
      </c>
      <c r="E156" s="125">
        <f>Liwonde!D156+Liwonde!E156+Liwonde!F156</f>
        <v>12</v>
      </c>
      <c r="F156" s="125">
        <f>Machinga!D156+Machinga!E156+Machinga!F156</f>
        <v>13</v>
      </c>
      <c r="G156" s="125">
        <f>Ntaja!D156+Ntaja!E156+Ntaja!F156</f>
        <v>1</v>
      </c>
      <c r="H156" s="31">
        <f t="shared" si="47"/>
        <v>27</v>
      </c>
    </row>
    <row r="157" spans="1:8" x14ac:dyDescent="0.3">
      <c r="A157" s="212"/>
      <c r="B157" s="17" t="s">
        <v>52</v>
      </c>
      <c r="C157" s="4" t="s">
        <v>57</v>
      </c>
      <c r="D157" s="125">
        <f>Balaka!D157+Balaka!E157+Balaka!F157</f>
        <v>11</v>
      </c>
      <c r="E157" s="125">
        <f>Liwonde!D157+Liwonde!E157+Liwonde!F157</f>
        <v>7</v>
      </c>
      <c r="F157" s="125">
        <f>Machinga!D157+Machinga!E157+Machinga!F157</f>
        <v>8</v>
      </c>
      <c r="G157" s="125">
        <f>Ntaja!D157+Ntaja!E157+Ntaja!F157</f>
        <v>8</v>
      </c>
      <c r="H157" s="31">
        <f t="shared" si="47"/>
        <v>34</v>
      </c>
    </row>
    <row r="158" spans="1:8" x14ac:dyDescent="0.3">
      <c r="A158" s="212"/>
      <c r="B158" s="17" t="s">
        <v>51</v>
      </c>
      <c r="C158" s="4" t="s">
        <v>57</v>
      </c>
      <c r="D158" s="125">
        <f>Balaka!D158+Balaka!E158+Balaka!F158</f>
        <v>22</v>
      </c>
      <c r="E158" s="125">
        <f>Liwonde!D158+Liwonde!E158+Liwonde!F158</f>
        <v>16</v>
      </c>
      <c r="F158" s="125">
        <f>Machinga!D158+Machinga!E158+Machinga!F158</f>
        <v>9</v>
      </c>
      <c r="G158" s="125">
        <f>Ntaja!D158+Ntaja!E158+Ntaja!F158</f>
        <v>4</v>
      </c>
      <c r="H158" s="31">
        <f t="shared" si="47"/>
        <v>51</v>
      </c>
    </row>
    <row r="159" spans="1:8" x14ac:dyDescent="0.3">
      <c r="A159" s="212"/>
      <c r="B159" s="17" t="s">
        <v>62</v>
      </c>
      <c r="C159" s="4" t="s">
        <v>57</v>
      </c>
      <c r="D159" s="125">
        <f>Balaka!D159+Balaka!E159+Balaka!F159</f>
        <v>2</v>
      </c>
      <c r="E159" s="125">
        <f>Liwonde!D159+Liwonde!E159+Liwonde!F159</f>
        <v>2</v>
      </c>
      <c r="F159" s="125">
        <f>Machinga!D159+Machinga!E159+Machinga!F159</f>
        <v>0</v>
      </c>
      <c r="G159" s="125">
        <f>Ntaja!D159+Ntaja!E159+Ntaja!F159</f>
        <v>0</v>
      </c>
      <c r="H159" s="31">
        <f t="shared" si="47"/>
        <v>4</v>
      </c>
    </row>
    <row r="160" spans="1:8" x14ac:dyDescent="0.3">
      <c r="A160" s="212"/>
      <c r="B160" s="17" t="s">
        <v>50</v>
      </c>
      <c r="C160" s="4" t="s">
        <v>57</v>
      </c>
      <c r="D160" s="125">
        <f>Balaka!D160+Balaka!E160+Balaka!F160</f>
        <v>1</v>
      </c>
      <c r="E160" s="125">
        <f>Liwonde!D160+Liwonde!E160+Liwonde!F160</f>
        <v>22</v>
      </c>
      <c r="F160" s="125">
        <f>Machinga!D160+Machinga!E160+Machinga!F160</f>
        <v>5</v>
      </c>
      <c r="G160" s="125">
        <f>Ntaja!D160+Ntaja!E160+Ntaja!F160</f>
        <v>1</v>
      </c>
      <c r="H160" s="31">
        <f t="shared" si="47"/>
        <v>29</v>
      </c>
    </row>
    <row r="161" spans="1:8" x14ac:dyDescent="0.3">
      <c r="A161" s="212"/>
      <c r="B161" s="17" t="s">
        <v>49</v>
      </c>
      <c r="C161" s="4" t="s">
        <v>57</v>
      </c>
      <c r="D161" s="125">
        <f>Balaka!D161+Balaka!E161+Balaka!F161</f>
        <v>5</v>
      </c>
      <c r="E161" s="125">
        <f>Liwonde!D161+Liwonde!E161+Liwonde!F161</f>
        <v>36</v>
      </c>
      <c r="F161" s="125">
        <f>Machinga!D161+Machinga!E161+Machinga!F161</f>
        <v>1</v>
      </c>
      <c r="G161" s="125">
        <f>Ntaja!D161+Ntaja!E161+Ntaja!F161</f>
        <v>0</v>
      </c>
      <c r="H161" s="31">
        <f t="shared" si="47"/>
        <v>42</v>
      </c>
    </row>
    <row r="162" spans="1:8" x14ac:dyDescent="0.3">
      <c r="A162" s="212"/>
      <c r="B162" s="17" t="s">
        <v>77</v>
      </c>
      <c r="C162" s="4" t="s">
        <v>57</v>
      </c>
      <c r="D162" s="125">
        <f>Balaka!D162+Balaka!E162+Balaka!F162</f>
        <v>0</v>
      </c>
      <c r="E162" s="125">
        <f>Liwonde!D162+Liwonde!E162+Liwonde!F162</f>
        <v>24</v>
      </c>
      <c r="F162" s="125">
        <f>Machinga!D162+Machinga!E162+Machinga!F162</f>
        <v>0</v>
      </c>
      <c r="G162" s="125">
        <f>Ntaja!D162+Ntaja!E162+Ntaja!F162</f>
        <v>1</v>
      </c>
      <c r="H162" s="31">
        <f t="shared" si="47"/>
        <v>25</v>
      </c>
    </row>
    <row r="163" spans="1:8" x14ac:dyDescent="0.3">
      <c r="A163" s="212"/>
      <c r="B163" s="17" t="s">
        <v>69</v>
      </c>
      <c r="C163" s="4" t="s">
        <v>57</v>
      </c>
      <c r="D163" s="125">
        <f>Balaka!D163+Balaka!E163+Balaka!F163</f>
        <v>0</v>
      </c>
      <c r="E163" s="125">
        <f>Liwonde!D163+Liwonde!E163+Liwonde!F163</f>
        <v>0</v>
      </c>
      <c r="F163" s="125">
        <f>Machinga!D163+Machinga!E163+Machinga!F163</f>
        <v>0</v>
      </c>
      <c r="G163" s="125">
        <f>Ntaja!D163+Ntaja!E163+Ntaja!F163</f>
        <v>0</v>
      </c>
      <c r="H163" s="31">
        <f t="shared" si="47"/>
        <v>0</v>
      </c>
    </row>
    <row r="164" spans="1:8" x14ac:dyDescent="0.3">
      <c r="A164" s="212"/>
      <c r="B164" s="17" t="s">
        <v>68</v>
      </c>
      <c r="C164" s="4" t="s">
        <v>57</v>
      </c>
      <c r="D164" s="125">
        <f>Balaka!D164+Balaka!E164+Balaka!F164</f>
        <v>0</v>
      </c>
      <c r="E164" s="125">
        <f>Liwonde!D164+Liwonde!E164+Liwonde!F164</f>
        <v>0</v>
      </c>
      <c r="F164" s="125">
        <f>Machinga!D164+Machinga!E164+Machinga!F164</f>
        <v>0</v>
      </c>
      <c r="G164" s="125">
        <f>Ntaja!D164+Ntaja!E164+Ntaja!F164</f>
        <v>0</v>
      </c>
      <c r="H164" s="31">
        <f t="shared" si="47"/>
        <v>0</v>
      </c>
    </row>
    <row r="165" spans="1:8" x14ac:dyDescent="0.3">
      <c r="A165" s="213"/>
      <c r="B165" s="17" t="s">
        <v>76</v>
      </c>
      <c r="C165" s="4" t="s">
        <v>57</v>
      </c>
      <c r="D165" s="125">
        <f>Balaka!D165+Balaka!E165+Balaka!F165</f>
        <v>0</v>
      </c>
      <c r="E165" s="125">
        <f>Liwonde!D165+Liwonde!E165+Liwonde!F165</f>
        <v>1</v>
      </c>
      <c r="F165" s="125">
        <f>Machinga!D165+Machinga!E165+Machinga!F165</f>
        <v>0</v>
      </c>
      <c r="G165" s="125">
        <f>Ntaja!D165+Ntaja!E165+Ntaja!F165</f>
        <v>0</v>
      </c>
      <c r="H165" s="31">
        <f t="shared" si="47"/>
        <v>1</v>
      </c>
    </row>
    <row r="166" spans="1:8" x14ac:dyDescent="0.3">
      <c r="A166" s="211" t="s">
        <v>75</v>
      </c>
      <c r="B166" s="19" t="s">
        <v>63</v>
      </c>
      <c r="C166" s="4"/>
      <c r="D166" s="118"/>
      <c r="E166" s="118"/>
      <c r="F166" s="118"/>
      <c r="G166" s="118"/>
      <c r="H166" s="31"/>
    </row>
    <row r="167" spans="1:8" x14ac:dyDescent="0.3">
      <c r="A167" s="212"/>
      <c r="B167" s="17" t="s">
        <v>74</v>
      </c>
      <c r="C167" s="4" t="s">
        <v>57</v>
      </c>
      <c r="D167" s="125">
        <f>Balaka!D167+Balaka!E167+Balaka!F167</f>
        <v>0</v>
      </c>
      <c r="E167" s="125">
        <f>Liwonde!D167+Liwonde!E167+Liwonde!F167</f>
        <v>0</v>
      </c>
      <c r="F167" s="125">
        <f>Machinga!D167+Machinga!E167+Machinga!F167</f>
        <v>7</v>
      </c>
      <c r="G167" s="125">
        <f>Ntaja!D167+Ntaja!E167+Ntaja!F167</f>
        <v>4</v>
      </c>
      <c r="H167" s="31">
        <f t="shared" ref="H167:H175" si="48">SUM(D167:G167)</f>
        <v>11</v>
      </c>
    </row>
    <row r="168" spans="1:8" x14ac:dyDescent="0.3">
      <c r="A168" s="212"/>
      <c r="B168" s="17" t="s">
        <v>73</v>
      </c>
      <c r="C168" s="4" t="s">
        <v>57</v>
      </c>
      <c r="D168" s="125">
        <f>Balaka!D168+Balaka!E168+Balaka!F168</f>
        <v>0</v>
      </c>
      <c r="E168" s="125">
        <f>Liwonde!D168+Liwonde!E168+Liwonde!F168</f>
        <v>0</v>
      </c>
      <c r="F168" s="125">
        <f>Machinga!D168+Machinga!E168+Machinga!F168</f>
        <v>3</v>
      </c>
      <c r="G168" s="125">
        <f>Ntaja!D168+Ntaja!E168+Ntaja!F168</f>
        <v>0</v>
      </c>
      <c r="H168" s="31">
        <f t="shared" si="48"/>
        <v>3</v>
      </c>
    </row>
    <row r="169" spans="1:8" x14ac:dyDescent="0.3">
      <c r="A169" s="212"/>
      <c r="B169" s="17" t="s">
        <v>72</v>
      </c>
      <c r="C169" s="4" t="s">
        <v>57</v>
      </c>
      <c r="D169" s="125">
        <f>Balaka!D169+Balaka!E169+Balaka!F169</f>
        <v>0</v>
      </c>
      <c r="E169" s="125">
        <f>Liwonde!D169+Liwonde!E169+Liwonde!F169</f>
        <v>0</v>
      </c>
      <c r="F169" s="125">
        <f>Machinga!D169+Machinga!E169+Machinga!F169</f>
        <v>0</v>
      </c>
      <c r="G169" s="125">
        <f>Ntaja!D169+Ntaja!E169+Ntaja!F169</f>
        <v>0</v>
      </c>
      <c r="H169" s="31">
        <f t="shared" si="48"/>
        <v>0</v>
      </c>
    </row>
    <row r="170" spans="1:8" x14ac:dyDescent="0.3">
      <c r="A170" s="212"/>
      <c r="B170" s="17" t="s">
        <v>71</v>
      </c>
      <c r="C170" s="4" t="s">
        <v>57</v>
      </c>
      <c r="D170" s="125">
        <f>Balaka!D170+Balaka!E170+Balaka!F170</f>
        <v>0</v>
      </c>
      <c r="E170" s="125">
        <f>Liwonde!D170+Liwonde!E170+Liwonde!F170</f>
        <v>0</v>
      </c>
      <c r="F170" s="125">
        <f>Machinga!D170+Machinga!E170+Machinga!F170</f>
        <v>0</v>
      </c>
      <c r="G170" s="125">
        <f>Ntaja!D170+Ntaja!E170+Ntaja!F170</f>
        <v>0</v>
      </c>
      <c r="H170" s="31">
        <f t="shared" si="48"/>
        <v>0</v>
      </c>
    </row>
    <row r="171" spans="1:8" x14ac:dyDescent="0.3">
      <c r="A171" s="212"/>
      <c r="B171" s="17" t="s">
        <v>52</v>
      </c>
      <c r="C171" s="4" t="s">
        <v>57</v>
      </c>
      <c r="D171" s="125">
        <f>Balaka!D171+Balaka!E171+Balaka!F171</f>
        <v>0</v>
      </c>
      <c r="E171" s="125">
        <f>Liwonde!D171+Liwonde!E171+Liwonde!F171</f>
        <v>0</v>
      </c>
      <c r="F171" s="125">
        <f>Machinga!D171+Machinga!E171+Machinga!F171</f>
        <v>7</v>
      </c>
      <c r="G171" s="125">
        <f>Ntaja!D171+Ntaja!E171+Ntaja!F171</f>
        <v>0</v>
      </c>
      <c r="H171" s="31">
        <f t="shared" si="48"/>
        <v>7</v>
      </c>
    </row>
    <row r="172" spans="1:8" x14ac:dyDescent="0.3">
      <c r="A172" s="212"/>
      <c r="B172" s="17" t="s">
        <v>62</v>
      </c>
      <c r="C172" s="4" t="s">
        <v>57</v>
      </c>
      <c r="D172" s="125">
        <f>Balaka!D172+Balaka!E172+Balaka!F172</f>
        <v>0</v>
      </c>
      <c r="E172" s="125">
        <f>Liwonde!D172+Liwonde!E172+Liwonde!F172</f>
        <v>0</v>
      </c>
      <c r="F172" s="125">
        <f>Machinga!D172+Machinga!E172+Machinga!F172</f>
        <v>0</v>
      </c>
      <c r="G172" s="125">
        <f>Ntaja!D172+Ntaja!E172+Ntaja!F172</f>
        <v>0</v>
      </c>
      <c r="H172" s="31">
        <f t="shared" si="48"/>
        <v>0</v>
      </c>
    </row>
    <row r="173" spans="1:8" x14ac:dyDescent="0.3">
      <c r="A173" s="212"/>
      <c r="B173" s="17" t="s">
        <v>61</v>
      </c>
      <c r="C173" s="4" t="s">
        <v>57</v>
      </c>
      <c r="D173" s="125">
        <f>Balaka!D173+Balaka!E173+Balaka!F173</f>
        <v>0</v>
      </c>
      <c r="E173" s="125">
        <f>Liwonde!D173+Liwonde!E173+Liwonde!F173</f>
        <v>0</v>
      </c>
      <c r="F173" s="125">
        <f>Machinga!D173+Machinga!E173+Machinga!F173</f>
        <v>0</v>
      </c>
      <c r="G173" s="125">
        <f>Ntaja!D173+Ntaja!E173+Ntaja!F173</f>
        <v>0</v>
      </c>
      <c r="H173" s="31">
        <f t="shared" si="48"/>
        <v>0</v>
      </c>
    </row>
    <row r="174" spans="1:8" x14ac:dyDescent="0.3">
      <c r="A174" s="212"/>
      <c r="B174" s="17" t="s">
        <v>60</v>
      </c>
      <c r="C174" s="4" t="s">
        <v>57</v>
      </c>
      <c r="D174" s="125">
        <f>Balaka!D174+Balaka!E174+Balaka!F174</f>
        <v>0</v>
      </c>
      <c r="E174" s="125">
        <f>Liwonde!D174+Liwonde!E174+Liwonde!F174</f>
        <v>0</v>
      </c>
      <c r="F174" s="125">
        <f>Machinga!D174+Machinga!E174+Machinga!F174</f>
        <v>0</v>
      </c>
      <c r="G174" s="125">
        <f>Ntaja!D174+Ntaja!E174+Ntaja!F174</f>
        <v>0</v>
      </c>
      <c r="H174" s="31">
        <f t="shared" si="48"/>
        <v>0</v>
      </c>
    </row>
    <row r="175" spans="1:8" x14ac:dyDescent="0.3">
      <c r="A175" s="213"/>
      <c r="B175" s="17" t="s">
        <v>69</v>
      </c>
      <c r="C175" s="4" t="s">
        <v>57</v>
      </c>
      <c r="D175" s="125">
        <f>Balaka!D175+Balaka!E175+Balaka!F175</f>
        <v>0</v>
      </c>
      <c r="E175" s="125">
        <f>Liwonde!D175+Liwonde!E175+Liwonde!F175</f>
        <v>0</v>
      </c>
      <c r="F175" s="125">
        <f>Machinga!D175+Machinga!E175+Machinga!F175</f>
        <v>0</v>
      </c>
      <c r="G175" s="125">
        <f>Ntaja!D175+Ntaja!E175+Ntaja!F175</f>
        <v>0</v>
      </c>
      <c r="H175" s="31">
        <f t="shared" si="48"/>
        <v>0</v>
      </c>
    </row>
    <row r="176" spans="1:8" x14ac:dyDescent="0.3">
      <c r="A176" s="211" t="s">
        <v>70</v>
      </c>
      <c r="B176" s="19" t="s">
        <v>63</v>
      </c>
      <c r="C176" s="4"/>
      <c r="D176" s="118"/>
      <c r="E176" s="118"/>
      <c r="F176" s="118"/>
      <c r="G176" s="118"/>
      <c r="H176" s="31"/>
    </row>
    <row r="177" spans="1:8" x14ac:dyDescent="0.3">
      <c r="A177" s="212"/>
      <c r="B177" s="17" t="s">
        <v>60</v>
      </c>
      <c r="C177" s="4" t="s">
        <v>57</v>
      </c>
      <c r="D177" s="125">
        <f>Balaka!D177+Balaka!E177+Balaka!F177</f>
        <v>0</v>
      </c>
      <c r="E177" s="125">
        <f>Liwonde!D177+Liwonde!E177+Liwonde!F177</f>
        <v>0</v>
      </c>
      <c r="F177" s="125">
        <f>Machinga!D177+Machinga!E177+Machinga!F177</f>
        <v>0</v>
      </c>
      <c r="G177" s="125">
        <f>Ntaja!D177+Ntaja!E177+Ntaja!F177</f>
        <v>0</v>
      </c>
      <c r="H177" s="31">
        <f t="shared" ref="H177:H182" si="49">SUM(D177:G177)</f>
        <v>0</v>
      </c>
    </row>
    <row r="178" spans="1:8" x14ac:dyDescent="0.3">
      <c r="A178" s="212"/>
      <c r="B178" s="17" t="s">
        <v>69</v>
      </c>
      <c r="C178" s="4" t="s">
        <v>57</v>
      </c>
      <c r="D178" s="125">
        <f>Balaka!D178+Balaka!E178+Balaka!F178</f>
        <v>0</v>
      </c>
      <c r="E178" s="125">
        <f>Liwonde!D178+Liwonde!E178+Liwonde!F178</f>
        <v>0</v>
      </c>
      <c r="F178" s="125">
        <f>Machinga!D178+Machinga!E178+Machinga!F178</f>
        <v>0</v>
      </c>
      <c r="G178" s="125">
        <f>Ntaja!D178+Ntaja!E178+Ntaja!F178</f>
        <v>0</v>
      </c>
      <c r="H178" s="31">
        <f t="shared" si="49"/>
        <v>0</v>
      </c>
    </row>
    <row r="179" spans="1:8" x14ac:dyDescent="0.3">
      <c r="A179" s="212"/>
      <c r="B179" s="17" t="s">
        <v>68</v>
      </c>
      <c r="C179" s="4" t="s">
        <v>57</v>
      </c>
      <c r="D179" s="125">
        <f>Balaka!D179+Balaka!E179+Balaka!F179</f>
        <v>0</v>
      </c>
      <c r="E179" s="125">
        <f>Liwonde!D179+Liwonde!E179+Liwonde!F179</f>
        <v>0</v>
      </c>
      <c r="F179" s="125">
        <f>Machinga!D179+Machinga!E179+Machinga!F179</f>
        <v>0</v>
      </c>
      <c r="G179" s="125">
        <f>Ntaja!D179+Ntaja!E179+Ntaja!F179</f>
        <v>0</v>
      </c>
      <c r="H179" s="31">
        <f t="shared" si="49"/>
        <v>0</v>
      </c>
    </row>
    <row r="180" spans="1:8" x14ac:dyDescent="0.3">
      <c r="A180" s="212"/>
      <c r="B180" s="17" t="s">
        <v>67</v>
      </c>
      <c r="C180" s="4" t="s">
        <v>57</v>
      </c>
      <c r="D180" s="125">
        <f>Balaka!D180+Balaka!E180+Balaka!F180</f>
        <v>0</v>
      </c>
      <c r="E180" s="125">
        <f>Liwonde!D180+Liwonde!E180+Liwonde!F180</f>
        <v>0</v>
      </c>
      <c r="F180" s="125">
        <f>Machinga!D180+Machinga!E180+Machinga!F180</f>
        <v>0</v>
      </c>
      <c r="G180" s="125">
        <f>Ntaja!D180+Ntaja!E180+Ntaja!F180</f>
        <v>0</v>
      </c>
      <c r="H180" s="31">
        <f t="shared" si="49"/>
        <v>0</v>
      </c>
    </row>
    <row r="181" spans="1:8" x14ac:dyDescent="0.3">
      <c r="A181" s="212"/>
      <c r="B181" s="17" t="s">
        <v>66</v>
      </c>
      <c r="C181" s="4" t="s">
        <v>57</v>
      </c>
      <c r="D181" s="125">
        <f>Balaka!D181+Balaka!E181+Balaka!F181</f>
        <v>0</v>
      </c>
      <c r="E181" s="125">
        <f>Liwonde!D181+Liwonde!E181+Liwonde!F181</f>
        <v>0</v>
      </c>
      <c r="F181" s="125">
        <f>Machinga!D181+Machinga!E181+Machinga!F181</f>
        <v>0</v>
      </c>
      <c r="G181" s="125">
        <f>Ntaja!D181+Ntaja!E181+Ntaja!F181</f>
        <v>0</v>
      </c>
      <c r="H181" s="31">
        <f t="shared" si="49"/>
        <v>0</v>
      </c>
    </row>
    <row r="182" spans="1:8" x14ac:dyDescent="0.3">
      <c r="A182" s="213"/>
      <c r="B182" s="17" t="s">
        <v>65</v>
      </c>
      <c r="C182" s="4" t="s">
        <v>57</v>
      </c>
      <c r="D182" s="125">
        <f>Balaka!D182+Balaka!E182+Balaka!F182</f>
        <v>0</v>
      </c>
      <c r="E182" s="125">
        <f>Liwonde!D182+Liwonde!E182+Liwonde!F182</f>
        <v>0</v>
      </c>
      <c r="F182" s="125">
        <f>Machinga!D182+Machinga!E182+Machinga!F182</f>
        <v>0</v>
      </c>
      <c r="G182" s="125">
        <f>Ntaja!D182+Ntaja!E182+Ntaja!F182</f>
        <v>0</v>
      </c>
      <c r="H182" s="31">
        <f t="shared" si="49"/>
        <v>0</v>
      </c>
    </row>
    <row r="183" spans="1:8" x14ac:dyDescent="0.3">
      <c r="A183" s="211" t="s">
        <v>211</v>
      </c>
      <c r="B183" s="19" t="s">
        <v>63</v>
      </c>
      <c r="C183" s="4"/>
      <c r="D183" s="118"/>
      <c r="E183" s="118"/>
      <c r="F183" s="118"/>
      <c r="G183" s="118"/>
      <c r="H183" s="31"/>
    </row>
    <row r="184" spans="1:8" x14ac:dyDescent="0.3">
      <c r="A184" s="212"/>
      <c r="B184" s="17" t="s">
        <v>73</v>
      </c>
      <c r="C184" s="4" t="s">
        <v>57</v>
      </c>
      <c r="D184" s="125">
        <f>Balaka!D184+Balaka!E184+Balaka!F184</f>
        <v>0</v>
      </c>
      <c r="E184" s="125">
        <f>Liwonde!D184+Liwonde!E184+Liwonde!F184</f>
        <v>0</v>
      </c>
      <c r="F184" s="125">
        <f>Machinga!D184+Machinga!E184+Machinga!F184</f>
        <v>0</v>
      </c>
      <c r="G184" s="125">
        <f>Ntaja!D184+Ntaja!E184+Ntaja!F184</f>
        <v>0</v>
      </c>
      <c r="H184" s="31">
        <f>SUM(D184:G184)</f>
        <v>0</v>
      </c>
    </row>
    <row r="185" spans="1:8" x14ac:dyDescent="0.3">
      <c r="A185" s="212"/>
      <c r="B185" s="17" t="s">
        <v>72</v>
      </c>
      <c r="C185" s="4" t="s">
        <v>57</v>
      </c>
      <c r="D185" s="125">
        <f>Balaka!D185+Balaka!E185+Balaka!F185</f>
        <v>0</v>
      </c>
      <c r="E185" s="125">
        <f>Liwonde!D185+Liwonde!E185+Liwonde!F185</f>
        <v>0</v>
      </c>
      <c r="F185" s="125">
        <f>Machinga!D185+Machinga!E185+Machinga!F185</f>
        <v>0</v>
      </c>
      <c r="G185" s="125">
        <f>Ntaja!D185+Ntaja!E185+Ntaja!F185</f>
        <v>0</v>
      </c>
      <c r="H185" s="31">
        <f>SUM(D185:G185)</f>
        <v>0</v>
      </c>
    </row>
    <row r="186" spans="1:8" x14ac:dyDescent="0.3">
      <c r="A186" s="212"/>
      <c r="B186" s="17" t="s">
        <v>53</v>
      </c>
      <c r="C186" s="4" t="s">
        <v>57</v>
      </c>
      <c r="D186" s="125">
        <f>Balaka!D186+Balaka!E186+Balaka!F186</f>
        <v>0</v>
      </c>
      <c r="E186" s="125">
        <f>Liwonde!D186+Liwonde!E186+Liwonde!F186</f>
        <v>0</v>
      </c>
      <c r="F186" s="125">
        <f>Machinga!D186+Machinga!E186+Machinga!F186</f>
        <v>0</v>
      </c>
      <c r="G186" s="125">
        <f>Ntaja!D186+Ntaja!E186+Ntaja!F186</f>
        <v>0</v>
      </c>
      <c r="H186" s="31">
        <f>SUM(D186:G186)</f>
        <v>0</v>
      </c>
    </row>
    <row r="187" spans="1:8" x14ac:dyDescent="0.3">
      <c r="A187" s="213"/>
      <c r="B187" s="17" t="s">
        <v>52</v>
      </c>
      <c r="C187" s="4" t="s">
        <v>57</v>
      </c>
      <c r="D187" s="125">
        <f>Balaka!D187+Balaka!E187+Balaka!F187</f>
        <v>0</v>
      </c>
      <c r="E187" s="125">
        <f>Liwonde!D187+Liwonde!E187+Liwonde!F187</f>
        <v>0</v>
      </c>
      <c r="F187" s="125">
        <f>Machinga!D187+Machinga!E187+Machinga!F187</f>
        <v>0</v>
      </c>
      <c r="G187" s="125">
        <f>Ntaja!D187+Ntaja!E187+Ntaja!F187</f>
        <v>0</v>
      </c>
      <c r="H187" s="31">
        <f>SUM(D187:G187)</f>
        <v>0</v>
      </c>
    </row>
    <row r="188" spans="1:8" x14ac:dyDescent="0.3">
      <c r="A188" s="211" t="s">
        <v>64</v>
      </c>
      <c r="B188" s="19" t="s">
        <v>63</v>
      </c>
      <c r="C188" s="4"/>
      <c r="D188" s="118"/>
      <c r="E188" s="118"/>
      <c r="F188" s="118"/>
      <c r="G188" s="118"/>
      <c r="H188" s="31"/>
    </row>
    <row r="189" spans="1:8" x14ac:dyDescent="0.3">
      <c r="A189" s="212"/>
      <c r="B189" s="18" t="s">
        <v>52</v>
      </c>
      <c r="C189" s="4" t="s">
        <v>57</v>
      </c>
      <c r="D189" s="125">
        <f>Balaka!D189+Balaka!E189+Balaka!F189</f>
        <v>0</v>
      </c>
      <c r="E189" s="125">
        <f>Liwonde!D189+Liwonde!E189+Liwonde!F189</f>
        <v>0</v>
      </c>
      <c r="F189" s="125">
        <f>Machinga!D189+Machinga!E189+Machinga!F189</f>
        <v>0</v>
      </c>
      <c r="G189" s="125">
        <f>Ntaja!D189+Ntaja!E189+Ntaja!F189</f>
        <v>0</v>
      </c>
      <c r="H189" s="31">
        <f>SUM(D189:G189)</f>
        <v>0</v>
      </c>
    </row>
    <row r="190" spans="1:8" x14ac:dyDescent="0.3">
      <c r="A190" s="212"/>
      <c r="B190" s="17" t="s">
        <v>62</v>
      </c>
      <c r="C190" s="4" t="s">
        <v>57</v>
      </c>
      <c r="D190" s="125">
        <f>Balaka!D190+Balaka!E190+Balaka!F190</f>
        <v>0</v>
      </c>
      <c r="E190" s="125">
        <f>Liwonde!D190+Liwonde!E190+Liwonde!F190</f>
        <v>0</v>
      </c>
      <c r="F190" s="125">
        <f>Machinga!D190+Machinga!E190+Machinga!F190</f>
        <v>0</v>
      </c>
      <c r="G190" s="125">
        <f>Ntaja!D190+Ntaja!E190+Ntaja!F190</f>
        <v>0</v>
      </c>
      <c r="H190" s="31">
        <f>SUM(D190:G190)</f>
        <v>0</v>
      </c>
    </row>
    <row r="191" spans="1:8" x14ac:dyDescent="0.3">
      <c r="A191" s="212"/>
      <c r="B191" s="17" t="s">
        <v>61</v>
      </c>
      <c r="C191" s="4" t="s">
        <v>57</v>
      </c>
      <c r="D191" s="125">
        <f>Balaka!D191+Balaka!E191+Balaka!F191</f>
        <v>0</v>
      </c>
      <c r="E191" s="125">
        <f>Liwonde!D191+Liwonde!E191+Liwonde!F191</f>
        <v>0</v>
      </c>
      <c r="F191" s="125">
        <f>Machinga!D191+Machinga!E191+Machinga!F191</f>
        <v>0</v>
      </c>
      <c r="G191" s="125">
        <f>Ntaja!D191+Ntaja!E191+Ntaja!F191</f>
        <v>0</v>
      </c>
      <c r="H191" s="31">
        <f>SUM(D191:G191)</f>
        <v>0</v>
      </c>
    </row>
    <row r="192" spans="1:8" x14ac:dyDescent="0.3">
      <c r="A192" s="213"/>
      <c r="B192" s="17" t="s">
        <v>60</v>
      </c>
      <c r="C192" s="4" t="s">
        <v>57</v>
      </c>
      <c r="D192" s="125">
        <f>Balaka!D192+Balaka!E192+Balaka!F192</f>
        <v>0</v>
      </c>
      <c r="E192" s="125">
        <f>Liwonde!D192+Liwonde!E192+Liwonde!F192</f>
        <v>0</v>
      </c>
      <c r="F192" s="125">
        <f>Machinga!D192+Machinga!E192+Machinga!F192</f>
        <v>0</v>
      </c>
      <c r="G192" s="125">
        <f>Ntaja!D192+Ntaja!E192+Ntaja!F192</f>
        <v>0</v>
      </c>
      <c r="H192" s="31">
        <f>SUM(D192:G192)</f>
        <v>0</v>
      </c>
    </row>
    <row r="193" spans="1:8" x14ac:dyDescent="0.3">
      <c r="A193" s="232" t="s">
        <v>59</v>
      </c>
      <c r="B193" s="233"/>
      <c r="C193" s="4"/>
      <c r="D193" s="124">
        <f>SUM(D153:D192)</f>
        <v>614</v>
      </c>
      <c r="E193" s="124">
        <f t="shared" ref="E193:G193" si="50">SUM(E153:E192)</f>
        <v>549</v>
      </c>
      <c r="F193" s="124">
        <f t="shared" si="50"/>
        <v>152</v>
      </c>
      <c r="G193" s="124">
        <f t="shared" si="50"/>
        <v>382</v>
      </c>
      <c r="H193" s="50">
        <f>SUM(H153:H192)</f>
        <v>1697</v>
      </c>
    </row>
    <row r="194" spans="1:8" x14ac:dyDescent="0.3">
      <c r="A194" s="206" t="s">
        <v>58</v>
      </c>
      <c r="B194" s="207"/>
      <c r="C194" s="4" t="s">
        <v>57</v>
      </c>
      <c r="D194" s="125">
        <f>Balaka!D194+Balaka!E194+Balaka!F194</f>
        <v>0</v>
      </c>
      <c r="E194" s="125">
        <f>Liwonde!D194+Liwonde!E194+Liwonde!F194</f>
        <v>1</v>
      </c>
      <c r="F194" s="125">
        <f>Machinga!D194+Machinga!E194+Machinga!F194</f>
        <v>3</v>
      </c>
      <c r="G194" s="125">
        <f>Ntaja!D194+Ntaja!E194+Ntaja!F194</f>
        <v>1</v>
      </c>
      <c r="H194" s="143">
        <f>SUM(D194:G194)</f>
        <v>5</v>
      </c>
    </row>
    <row r="195" spans="1:8" x14ac:dyDescent="0.3">
      <c r="A195" s="208"/>
      <c r="B195" s="209"/>
      <c r="C195" s="14" t="s">
        <v>55</v>
      </c>
      <c r="D195" s="125">
        <f>Balaka!D195+Balaka!E195+Balaka!F195</f>
        <v>0</v>
      </c>
      <c r="E195" s="125">
        <f>Liwonde!D195+Liwonde!E195+Liwonde!F195</f>
        <v>56</v>
      </c>
      <c r="F195" s="125">
        <f>Machinga!D195+Machinga!E195+Machinga!F195</f>
        <v>0</v>
      </c>
      <c r="G195" s="125">
        <f>Ntaja!D195+Ntaja!E195+Ntaja!F195</f>
        <v>168</v>
      </c>
      <c r="H195" s="143">
        <f>SUM(D195:G195)</f>
        <v>224</v>
      </c>
    </row>
    <row r="196" spans="1:8" x14ac:dyDescent="0.3">
      <c r="A196" s="74" t="s">
        <v>204</v>
      </c>
      <c r="B196" s="75"/>
      <c r="C196" s="14" t="s">
        <v>55</v>
      </c>
      <c r="D196" s="125">
        <f>Balaka!F196</f>
        <v>504</v>
      </c>
      <c r="E196" s="125">
        <f>Liwonde!F196</f>
        <v>644</v>
      </c>
      <c r="F196" s="125">
        <f>Machinga!F196</f>
        <v>0</v>
      </c>
      <c r="G196" s="125">
        <f>Ntaja!F196</f>
        <v>720</v>
      </c>
      <c r="H196" s="143">
        <f>SUM(D196:G196)/10</f>
        <v>186.8</v>
      </c>
    </row>
    <row r="197" spans="1:8" x14ac:dyDescent="0.3">
      <c r="A197" s="166" t="s">
        <v>56</v>
      </c>
      <c r="B197" s="167"/>
      <c r="C197" s="14" t="s">
        <v>55</v>
      </c>
      <c r="D197" s="144">
        <f>Balaka!D197+Balaka!E197+Balaka!F197</f>
        <v>546.99999999999989</v>
      </c>
      <c r="E197" s="144">
        <f>Liwonde!D197+Liwonde!E197+Liwonde!F197</f>
        <v>21</v>
      </c>
      <c r="F197" s="144">
        <f>Machinga!D197+Machinga!E197+Machinga!F197</f>
        <v>125</v>
      </c>
      <c r="G197" s="144">
        <f>Ntaja!D197+Ntaja!E197+Ntaja!F197</f>
        <v>367</v>
      </c>
      <c r="H197" s="143">
        <f>SUM(D197:G197)</f>
        <v>1060</v>
      </c>
    </row>
    <row r="198" spans="1:8" x14ac:dyDescent="0.3">
      <c r="A198" s="201" t="s">
        <v>205</v>
      </c>
      <c r="B198" s="202"/>
      <c r="C198" s="202"/>
      <c r="D198" s="202"/>
      <c r="E198" s="202"/>
      <c r="F198" s="202"/>
      <c r="G198" s="202"/>
      <c r="H198" s="398"/>
    </row>
    <row r="199" spans="1:8" x14ac:dyDescent="0.3">
      <c r="A199" s="206" t="s">
        <v>54</v>
      </c>
      <c r="B199" s="68" t="s">
        <v>53</v>
      </c>
      <c r="C199" s="4" t="s">
        <v>47</v>
      </c>
      <c r="D199" s="125">
        <f>Balaka!D199+Balaka!E199+Balaka!F199</f>
        <v>0</v>
      </c>
      <c r="E199" s="125">
        <f>Liwonde!D199+Liwonde!E199+Liwonde!F199</f>
        <v>0</v>
      </c>
      <c r="F199" s="125">
        <f>Machinga!D199+Machinga!E199+Machinga!F199</f>
        <v>0</v>
      </c>
      <c r="G199" s="125">
        <f>Ntaja!D199+Ntaja!E199+Ntaja!F199</f>
        <v>0</v>
      </c>
      <c r="H199" s="34">
        <f t="shared" ref="H199:H204" si="51">SUM(D199:G199)</f>
        <v>0</v>
      </c>
    </row>
    <row r="200" spans="1:8" x14ac:dyDescent="0.3">
      <c r="A200" s="210"/>
      <c r="B200" s="68" t="s">
        <v>52</v>
      </c>
      <c r="C200" s="4" t="s">
        <v>47</v>
      </c>
      <c r="D200" s="125">
        <f>Balaka!D200+Balaka!E200+Balaka!F200</f>
        <v>0</v>
      </c>
      <c r="E200" s="125">
        <f>Liwonde!D200+Liwonde!E200+Liwonde!F200</f>
        <v>0</v>
      </c>
      <c r="F200" s="125">
        <f>Machinga!D200+Machinga!E200+Machinga!F200</f>
        <v>0</v>
      </c>
      <c r="G200" s="125">
        <f>Ntaja!D200+Ntaja!E200+Ntaja!F200</f>
        <v>0</v>
      </c>
      <c r="H200" s="34">
        <f t="shared" si="51"/>
        <v>0</v>
      </c>
    </row>
    <row r="201" spans="1:8" x14ac:dyDescent="0.3">
      <c r="A201" s="210"/>
      <c r="B201" s="68" t="s">
        <v>51</v>
      </c>
      <c r="C201" s="4" t="s">
        <v>47</v>
      </c>
      <c r="D201" s="125">
        <f>Balaka!D201+Balaka!E201+Balaka!F201</f>
        <v>0</v>
      </c>
      <c r="E201" s="125">
        <f>Liwonde!D201+Liwonde!E201+Liwonde!F201</f>
        <v>0</v>
      </c>
      <c r="F201" s="125">
        <f>Machinga!D201+Machinga!E201+Machinga!F201</f>
        <v>0</v>
      </c>
      <c r="G201" s="125">
        <f>Ntaja!D201+Ntaja!E201+Ntaja!F201</f>
        <v>0</v>
      </c>
      <c r="H201" s="34">
        <f t="shared" si="51"/>
        <v>0</v>
      </c>
    </row>
    <row r="202" spans="1:8" x14ac:dyDescent="0.3">
      <c r="A202" s="210"/>
      <c r="B202" s="68" t="s">
        <v>50</v>
      </c>
      <c r="C202" s="4" t="s">
        <v>47</v>
      </c>
      <c r="D202" s="125">
        <f>Balaka!D202+Balaka!E202+Balaka!F202</f>
        <v>0</v>
      </c>
      <c r="E202" s="125">
        <f>Liwonde!D202+Liwonde!E202+Liwonde!F202</f>
        <v>500</v>
      </c>
      <c r="F202" s="125">
        <f>Machinga!D202+Machinga!E202+Machinga!F202</f>
        <v>0</v>
      </c>
      <c r="G202" s="125">
        <f>Ntaja!D202+Ntaja!E202+Ntaja!F202</f>
        <v>0</v>
      </c>
      <c r="H202" s="34">
        <f t="shared" si="51"/>
        <v>500</v>
      </c>
    </row>
    <row r="203" spans="1:8" x14ac:dyDescent="0.3">
      <c r="A203" s="208"/>
      <c r="B203" s="68" t="s">
        <v>49</v>
      </c>
      <c r="C203" s="4" t="s">
        <v>47</v>
      </c>
      <c r="D203" s="125">
        <f>Balaka!D203+Balaka!E203+Balaka!F203</f>
        <v>0</v>
      </c>
      <c r="E203" s="125">
        <f>Liwonde!D203+Liwonde!E203+Liwonde!F203</f>
        <v>0</v>
      </c>
      <c r="F203" s="125">
        <f>Machinga!D203+Machinga!E203+Machinga!F203</f>
        <v>0</v>
      </c>
      <c r="G203" s="125">
        <f>Ntaja!D203+Ntaja!E203+Ntaja!F203</f>
        <v>0</v>
      </c>
      <c r="H203" s="34">
        <f t="shared" si="51"/>
        <v>0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2">SUM(D199:D203)</f>
        <v>0</v>
      </c>
      <c r="E204" s="13">
        <f t="shared" si="52"/>
        <v>500</v>
      </c>
      <c r="F204" s="13">
        <f t="shared" si="52"/>
        <v>0</v>
      </c>
      <c r="G204" s="13">
        <f t="shared" si="52"/>
        <v>0</v>
      </c>
      <c r="H204" s="99">
        <f t="shared" si="51"/>
        <v>500</v>
      </c>
    </row>
    <row r="205" spans="1:8" x14ac:dyDescent="0.3">
      <c r="A205" s="201" t="s">
        <v>46</v>
      </c>
      <c r="B205" s="202"/>
      <c r="C205" s="202"/>
      <c r="D205" s="202"/>
      <c r="E205" s="202"/>
      <c r="F205" s="202"/>
      <c r="G205" s="202"/>
      <c r="H205" s="398"/>
    </row>
    <row r="206" spans="1:8" x14ac:dyDescent="0.3">
      <c r="A206" s="166" t="s">
        <v>43</v>
      </c>
      <c r="B206" s="167"/>
      <c r="C206" s="4" t="s">
        <v>31</v>
      </c>
      <c r="D206" s="13">
        <f>Balaka!D206+Balaka!E206+Balaka!F206</f>
        <v>111331162.88</v>
      </c>
      <c r="E206" s="13">
        <f>Liwonde!D206+Liwonde!E206+Liwonde!F206</f>
        <v>113974297.1399999</v>
      </c>
      <c r="F206" s="13">
        <f>Machinga!D206+Machinga!E206+Machinga!F206</f>
        <v>352850</v>
      </c>
      <c r="G206" s="13">
        <f>Ntaja!D206+Ntaja!E206+Ntaja!F206</f>
        <v>0</v>
      </c>
      <c r="H206" s="34">
        <f>SUM(D206:G206)</f>
        <v>225658310.01999989</v>
      </c>
    </row>
    <row r="207" spans="1:8" x14ac:dyDescent="0.3">
      <c r="A207" s="166" t="s">
        <v>42</v>
      </c>
      <c r="B207" s="167"/>
      <c r="C207" s="4" t="s">
        <v>31</v>
      </c>
      <c r="D207" s="13">
        <f>Balaka!D207+Balaka!E207+Balaka!F207</f>
        <v>669000</v>
      </c>
      <c r="E207" s="13">
        <f>Liwonde!D207+Liwonde!E207+Liwonde!F207</f>
        <v>426600</v>
      </c>
      <c r="F207" s="13">
        <f>Machinga!D207+Machinga!E207+Machinga!F207</f>
        <v>0</v>
      </c>
      <c r="G207" s="13">
        <f>Ntaja!D207+Ntaja!E207+Ntaja!F207</f>
        <v>0</v>
      </c>
      <c r="H207" s="34">
        <f>SUM(D207:G207)</f>
        <v>1095600</v>
      </c>
    </row>
    <row r="208" spans="1:8" x14ac:dyDescent="0.3">
      <c r="A208" s="172" t="s">
        <v>41</v>
      </c>
      <c r="B208" s="173"/>
      <c r="C208" s="4" t="s">
        <v>31</v>
      </c>
      <c r="D208" s="13">
        <f>Balaka!D208+Balaka!E208+Balaka!F208</f>
        <v>54600</v>
      </c>
      <c r="E208" s="13">
        <f>Liwonde!D208+Liwonde!E208+Liwonde!F208</f>
        <v>8877571.3100000005</v>
      </c>
      <c r="F208" s="13">
        <f>Machinga!D208+Machinga!E208+Machinga!F208</f>
        <v>0</v>
      </c>
      <c r="G208" s="13">
        <f>Ntaja!D208+Ntaja!E208+Ntaja!F208</f>
        <v>0</v>
      </c>
      <c r="H208" s="34">
        <f>SUM(D208:G208)</f>
        <v>8932171.3100000005</v>
      </c>
    </row>
    <row r="209" spans="1:8" x14ac:dyDescent="0.3">
      <c r="A209" s="166" t="s">
        <v>40</v>
      </c>
      <c r="B209" s="167"/>
      <c r="C209" s="4" t="s">
        <v>31</v>
      </c>
      <c r="D209" s="13">
        <f>Balaka!D209+Balaka!E209+Balaka!F209</f>
        <v>380067.22</v>
      </c>
      <c r="E209" s="13">
        <f>Liwonde!D209+Liwonde!E209+Liwonde!F209</f>
        <v>5532457.4699999997</v>
      </c>
      <c r="F209" s="13">
        <f>Machinga!D209+Machinga!E209+Machinga!F209</f>
        <v>0</v>
      </c>
      <c r="G209" s="13">
        <f>Ntaja!D209+Ntaja!E209+Ntaja!F209</f>
        <v>0</v>
      </c>
      <c r="H209" s="34">
        <f>SUM(D209:G209)</f>
        <v>5912524.6899999995</v>
      </c>
    </row>
    <row r="210" spans="1:8" x14ac:dyDescent="0.3">
      <c r="A210" s="214" t="s">
        <v>45</v>
      </c>
      <c r="B210" s="215"/>
      <c r="C210" s="4" t="s">
        <v>31</v>
      </c>
      <c r="D210" s="9">
        <f t="shared" ref="D210:G210" si="53">SUM(D206:D209)</f>
        <v>112434830.09999999</v>
      </c>
      <c r="E210" s="9">
        <f t="shared" si="53"/>
        <v>128810925.9199999</v>
      </c>
      <c r="F210" s="9">
        <f t="shared" si="53"/>
        <v>352850</v>
      </c>
      <c r="G210" s="9">
        <f t="shared" si="53"/>
        <v>0</v>
      </c>
      <c r="H210" s="34">
        <f>SUM(D210:G210)</f>
        <v>241598606.01999989</v>
      </c>
    </row>
    <row r="211" spans="1:8" x14ac:dyDescent="0.3">
      <c r="A211" s="201" t="s">
        <v>44</v>
      </c>
      <c r="B211" s="202"/>
      <c r="C211" s="202"/>
      <c r="D211" s="202"/>
      <c r="E211" s="202"/>
      <c r="F211" s="202"/>
      <c r="G211" s="202"/>
      <c r="H211" s="398"/>
    </row>
    <row r="212" spans="1:8" x14ac:dyDescent="0.3">
      <c r="A212" s="166" t="s">
        <v>43</v>
      </c>
      <c r="B212" s="167"/>
      <c r="C212" s="4" t="s">
        <v>31</v>
      </c>
      <c r="D212" s="13">
        <f>Balaka!D212+Balaka!E212+Balaka!F212</f>
        <v>39350514.960000008</v>
      </c>
      <c r="E212" s="13">
        <f>Liwonde!D212+Liwonde!E212+Liwonde!F212</f>
        <v>44715423.039999999</v>
      </c>
      <c r="F212" s="13">
        <f>Machinga!D212+Machinga!E212+Machinga!F212</f>
        <v>7138087.2000000002</v>
      </c>
      <c r="G212" s="13">
        <f>Ntaja!D212+Ntaja!E212+Ntaja!F212</f>
        <v>13059814.350000001</v>
      </c>
      <c r="H212" s="35">
        <f>SUM(D212:G212)</f>
        <v>104263839.55000001</v>
      </c>
    </row>
    <row r="213" spans="1:8" x14ac:dyDescent="0.3">
      <c r="A213" s="166" t="s">
        <v>42</v>
      </c>
      <c r="B213" s="167"/>
      <c r="C213" s="4" t="s">
        <v>31</v>
      </c>
      <c r="D213" s="13">
        <f>Balaka!D213+Balaka!E213+Balaka!F213</f>
        <v>61270.52</v>
      </c>
      <c r="E213" s="13">
        <f>Liwonde!D213+Liwonde!E213+Liwonde!F213</f>
        <v>0</v>
      </c>
      <c r="F213" s="13">
        <f>Machinga!D213+Machinga!E213+Machinga!F213</f>
        <v>0</v>
      </c>
      <c r="G213" s="13">
        <f>Ntaja!D213+Ntaja!E213+Ntaja!F213</f>
        <v>107700</v>
      </c>
      <c r="H213" s="35">
        <f>SUM(D213:G213)</f>
        <v>168970.52</v>
      </c>
    </row>
    <row r="214" spans="1:8" x14ac:dyDescent="0.3">
      <c r="A214" s="172" t="s">
        <v>41</v>
      </c>
      <c r="B214" s="173"/>
      <c r="C214" s="4" t="s">
        <v>31</v>
      </c>
      <c r="D214" s="13">
        <f>Balaka!D214+Balaka!E214+Balaka!F214</f>
        <v>7823766.0300000003</v>
      </c>
      <c r="E214" s="13">
        <f>Liwonde!D214+Liwonde!E214+Liwonde!F214</f>
        <v>25524598.73</v>
      </c>
      <c r="F214" s="13">
        <f>Machinga!D214+Machinga!E214+Machinga!F214</f>
        <v>115000</v>
      </c>
      <c r="G214" s="13">
        <f>Ntaja!D214+Ntaja!E214+Ntaja!F214</f>
        <v>805041.04</v>
      </c>
      <c r="H214" s="35">
        <f>SUM(D214:G214)</f>
        <v>34268405.800000004</v>
      </c>
    </row>
    <row r="215" spans="1:8" x14ac:dyDescent="0.3">
      <c r="A215" s="166" t="s">
        <v>40</v>
      </c>
      <c r="B215" s="167"/>
      <c r="C215" s="4" t="s">
        <v>31</v>
      </c>
      <c r="D215" s="13">
        <f>Balaka!D215+Balaka!E215+Balaka!F215</f>
        <v>9808919.1699999981</v>
      </c>
      <c r="E215" s="13">
        <f>Liwonde!D215+Liwonde!E215+Liwonde!F215</f>
        <v>28659367.200000003</v>
      </c>
      <c r="F215" s="13">
        <f>Machinga!D215+Machinga!E215+Machinga!F215</f>
        <v>54800</v>
      </c>
      <c r="G215" s="13">
        <f>Ntaja!D215+Ntaja!E215+Ntaja!F215</f>
        <v>431868.94</v>
      </c>
      <c r="H215" s="35">
        <f>SUM(D215:G215)</f>
        <v>38954955.310000002</v>
      </c>
    </row>
    <row r="216" spans="1:8" x14ac:dyDescent="0.3">
      <c r="A216" s="214" t="s">
        <v>39</v>
      </c>
      <c r="B216" s="215"/>
      <c r="C216" s="4" t="s">
        <v>31</v>
      </c>
      <c r="D216" s="9">
        <f t="shared" ref="D216:G216" si="54">SUM(D212:D215)</f>
        <v>57044470.680000007</v>
      </c>
      <c r="E216" s="9">
        <f t="shared" si="54"/>
        <v>98899388.969999999</v>
      </c>
      <c r="F216" s="9">
        <f t="shared" si="54"/>
        <v>7307887.2000000002</v>
      </c>
      <c r="G216" s="9">
        <f t="shared" si="54"/>
        <v>14404424.33</v>
      </c>
      <c r="H216" s="35">
        <f>SUM(D216:G216)</f>
        <v>177656171.18000001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169479300.78</v>
      </c>
      <c r="E217" s="9">
        <f t="shared" ref="E217:H217" si="55">E210+E216</f>
        <v>227710314.8899999</v>
      </c>
      <c r="F217" s="9">
        <f t="shared" si="55"/>
        <v>7660737.2000000002</v>
      </c>
      <c r="G217" s="9">
        <f t="shared" si="55"/>
        <v>14404424.33</v>
      </c>
      <c r="H217" s="35">
        <f t="shared" si="55"/>
        <v>419254777.19999993</v>
      </c>
    </row>
    <row r="218" spans="1:8" x14ac:dyDescent="0.3">
      <c r="A218" s="201" t="s">
        <v>37</v>
      </c>
      <c r="B218" s="202"/>
      <c r="C218" s="202"/>
      <c r="D218" s="202"/>
      <c r="E218" s="202"/>
      <c r="F218" s="202"/>
      <c r="G218" s="202"/>
      <c r="H218" s="398"/>
    </row>
    <row r="219" spans="1:8" x14ac:dyDescent="0.3">
      <c r="A219" s="166" t="s">
        <v>35</v>
      </c>
      <c r="B219" s="167"/>
      <c r="C219" s="4" t="s">
        <v>31</v>
      </c>
      <c r="D219" s="13">
        <f>Balaka!D219+Balaka!E219+Balaka!F219</f>
        <v>60185369.970000297</v>
      </c>
      <c r="E219" s="13">
        <f>Liwonde!D219+Liwonde!E219+Liwonde!F219</f>
        <v>67420770.319999993</v>
      </c>
      <c r="F219" s="13">
        <f>Machinga!D219+Machinga!E219+Machinga!F219</f>
        <v>111237.40999999999</v>
      </c>
      <c r="G219" s="13">
        <f>Ntaja!D219+Ntaja!E219+Ntaja!F219</f>
        <v>27079.160000000003</v>
      </c>
      <c r="H219" s="35">
        <f>SUM(D219:G219)</f>
        <v>127744456.86000028</v>
      </c>
    </row>
    <row r="220" spans="1:8" x14ac:dyDescent="0.3">
      <c r="A220" s="166" t="s">
        <v>34</v>
      </c>
      <c r="B220" s="167"/>
      <c r="C220" s="4" t="s">
        <v>31</v>
      </c>
      <c r="D220" s="13">
        <f>Balaka!D220+Balaka!E220+Balaka!F220</f>
        <v>440900.4</v>
      </c>
      <c r="E220" s="13">
        <f>Liwonde!D220+Liwonde!E220+Liwonde!F220</f>
        <v>357502.32</v>
      </c>
      <c r="F220" s="13">
        <f>Machinga!D220+Machinga!E220+Machinga!F220</f>
        <v>0</v>
      </c>
      <c r="G220" s="13">
        <f>Ntaja!D220+Ntaja!E220+Ntaja!F220</f>
        <v>0</v>
      </c>
      <c r="H220" s="35">
        <f>SUM(D220:G220)</f>
        <v>798402.72</v>
      </c>
    </row>
    <row r="221" spans="1:8" x14ac:dyDescent="0.3">
      <c r="A221" s="166" t="s">
        <v>33</v>
      </c>
      <c r="B221" s="167"/>
      <c r="C221" s="4" t="s">
        <v>31</v>
      </c>
      <c r="D221" s="13">
        <f>Balaka!D221+Balaka!E221+Balaka!F221</f>
        <v>808569.01</v>
      </c>
      <c r="E221" s="13">
        <f>Liwonde!D221+Liwonde!E221+Liwonde!F221</f>
        <v>6925384.5499999998</v>
      </c>
      <c r="F221" s="13">
        <f>Machinga!D221+Machinga!E221+Machinga!F221</f>
        <v>156028.84</v>
      </c>
      <c r="G221" s="13">
        <f>Ntaja!D221+Ntaja!E221+Ntaja!F221</f>
        <v>41205.93</v>
      </c>
      <c r="H221" s="35">
        <f>SUM(D221:G221)</f>
        <v>7931188.3299999991</v>
      </c>
    </row>
    <row r="222" spans="1:8" x14ac:dyDescent="0.3">
      <c r="A222" s="166" t="s">
        <v>32</v>
      </c>
      <c r="B222" s="167"/>
      <c r="C222" s="4" t="s">
        <v>31</v>
      </c>
      <c r="D222" s="13">
        <f>Balaka!D222+Balaka!E222+Balaka!F222</f>
        <v>49643.429999999993</v>
      </c>
      <c r="E222" s="13">
        <f>Liwonde!D222+Liwonde!E222+Liwonde!F222</f>
        <v>3752508.2600000002</v>
      </c>
      <c r="F222" s="13">
        <f>Machinga!D222+Machinga!E222+Machinga!F222</f>
        <v>0</v>
      </c>
      <c r="G222" s="13">
        <f>Ntaja!D222+Ntaja!E222+Ntaja!F222</f>
        <v>0</v>
      </c>
      <c r="H222" s="35">
        <f>SUM(D222:G222)</f>
        <v>3802151.6900000004</v>
      </c>
    </row>
    <row r="223" spans="1:8" x14ac:dyDescent="0.3">
      <c r="A223" s="214" t="s">
        <v>36</v>
      </c>
      <c r="B223" s="215"/>
      <c r="C223" s="4" t="s">
        <v>31</v>
      </c>
      <c r="D223" s="10">
        <f t="shared" ref="D223:G223" si="56">SUM(D219:D222)</f>
        <v>61484482.810000293</v>
      </c>
      <c r="E223" s="9">
        <f t="shared" si="56"/>
        <v>78456165.449999988</v>
      </c>
      <c r="F223" s="9">
        <f t="shared" si="56"/>
        <v>267266.25</v>
      </c>
      <c r="G223" s="9">
        <f t="shared" si="56"/>
        <v>68285.09</v>
      </c>
      <c r="H223" s="35">
        <f>SUM(D223:G223)</f>
        <v>140276199.60000029</v>
      </c>
    </row>
    <row r="224" spans="1:8" x14ac:dyDescent="0.3">
      <c r="A224" s="201" t="s">
        <v>213</v>
      </c>
      <c r="B224" s="202"/>
      <c r="C224" s="202"/>
      <c r="D224" s="202"/>
      <c r="E224" s="202"/>
      <c r="F224" s="202"/>
      <c r="G224" s="202"/>
      <c r="H224" s="398"/>
    </row>
    <row r="225" spans="1:8" x14ac:dyDescent="0.3">
      <c r="A225" s="166" t="s">
        <v>35</v>
      </c>
      <c r="B225" s="167"/>
      <c r="C225" s="4" t="s">
        <v>31</v>
      </c>
      <c r="D225" s="13">
        <f>Balaka!D225+Balaka!E225+Balaka!F225</f>
        <v>38282240.450000033</v>
      </c>
      <c r="E225" s="13">
        <f>Liwonde!D225+Liwonde!E225+Liwonde!F225</f>
        <v>44367203.129999965</v>
      </c>
      <c r="F225" s="13">
        <f>Machinga!D225+Machinga!E225+Machinga!F225</f>
        <v>5191717.7899999982</v>
      </c>
      <c r="G225" s="13">
        <f>Ntaja!D225+Ntaja!E225+Ntaja!F225</f>
        <v>12462530.189999994</v>
      </c>
      <c r="H225" s="34">
        <f t="shared" ref="H225:H230" si="57">SUM(D225:G225)</f>
        <v>100303691.55999999</v>
      </c>
    </row>
    <row r="226" spans="1:8" x14ac:dyDescent="0.3">
      <c r="A226" s="166" t="s">
        <v>34</v>
      </c>
      <c r="B226" s="167"/>
      <c r="C226" s="4" t="s">
        <v>31</v>
      </c>
      <c r="D226" s="13">
        <f>Balaka!D226+Balaka!E226+Balaka!F226</f>
        <v>61270.52</v>
      </c>
      <c r="E226" s="13">
        <f>Liwonde!D226+Liwonde!E226+Liwonde!F226</f>
        <v>0</v>
      </c>
      <c r="F226" s="13">
        <f>Machinga!D226+Machinga!E226+Machinga!F226</f>
        <v>0</v>
      </c>
      <c r="G226" s="13">
        <f>Ntaja!D226+Ntaja!E226+Ntaja!F226</f>
        <v>107700</v>
      </c>
      <c r="H226" s="34">
        <f t="shared" si="57"/>
        <v>168970.52</v>
      </c>
    </row>
    <row r="227" spans="1:8" x14ac:dyDescent="0.3">
      <c r="A227" s="166" t="s">
        <v>33</v>
      </c>
      <c r="B227" s="167"/>
      <c r="C227" s="4" t="s">
        <v>31</v>
      </c>
      <c r="D227" s="13">
        <f>Balaka!D227+Balaka!E227+Balaka!F227</f>
        <v>9202260.0700000003</v>
      </c>
      <c r="E227" s="13">
        <f>Liwonde!D227+Liwonde!E227+Liwonde!F227</f>
        <v>28269279.030000001</v>
      </c>
      <c r="F227" s="13">
        <f>Machinga!D227+Machinga!E227+Machinga!F227</f>
        <v>52774.41</v>
      </c>
      <c r="G227" s="13">
        <f>Ntaja!D227+Ntaja!E227+Ntaja!F227</f>
        <v>429468.94</v>
      </c>
      <c r="H227" s="34">
        <f t="shared" si="57"/>
        <v>37953782.449999996</v>
      </c>
    </row>
    <row r="228" spans="1:8" x14ac:dyDescent="0.3">
      <c r="A228" s="166" t="s">
        <v>32</v>
      </c>
      <c r="B228" s="167"/>
      <c r="C228" s="4" t="s">
        <v>31</v>
      </c>
      <c r="D228" s="13">
        <f>Balaka!D228+Balaka!E228+Balaka!F228</f>
        <v>7732347.6100000003</v>
      </c>
      <c r="E228" s="13">
        <f>Liwonde!D228+Liwonde!E228+Liwonde!F228</f>
        <v>24662928.690000001</v>
      </c>
      <c r="F228" s="13">
        <f>Machinga!D228+Machinga!E228+Machinga!F228</f>
        <v>115000</v>
      </c>
      <c r="G228" s="13">
        <f>Ntaja!D228+Ntaja!E228+Ntaja!F228</f>
        <v>746060.84</v>
      </c>
      <c r="H228" s="34">
        <f t="shared" si="57"/>
        <v>33256337.140000001</v>
      </c>
    </row>
    <row r="229" spans="1:8" x14ac:dyDescent="0.3">
      <c r="A229" s="214" t="s">
        <v>214</v>
      </c>
      <c r="B229" s="215"/>
      <c r="C229" s="4" t="s">
        <v>31</v>
      </c>
      <c r="D229" s="10">
        <f t="shared" ref="D229:G229" si="58">SUM(D225:D228)</f>
        <v>55278118.650000036</v>
      </c>
      <c r="E229" s="9">
        <f t="shared" si="58"/>
        <v>97299410.849999964</v>
      </c>
      <c r="F229" s="9">
        <f t="shared" si="58"/>
        <v>5359492.1999999983</v>
      </c>
      <c r="G229" s="9">
        <f t="shared" si="58"/>
        <v>13745759.969999993</v>
      </c>
      <c r="H229" s="34">
        <f t="shared" si="57"/>
        <v>171682781.66999999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116762601.46000034</v>
      </c>
      <c r="E230" s="10">
        <f t="shared" ref="E230:G230" si="59">E223+E229</f>
        <v>175755576.29999995</v>
      </c>
      <c r="F230" s="10">
        <f t="shared" si="59"/>
        <v>5626758.4499999983</v>
      </c>
      <c r="G230" s="10">
        <f t="shared" si="59"/>
        <v>13814045.059999993</v>
      </c>
      <c r="H230" s="34">
        <f t="shared" si="57"/>
        <v>311958981.27000028</v>
      </c>
    </row>
    <row r="231" spans="1:8" x14ac:dyDescent="0.3">
      <c r="A231" s="201" t="s">
        <v>30</v>
      </c>
      <c r="B231" s="202"/>
      <c r="C231" s="202"/>
      <c r="D231" s="202"/>
      <c r="E231" s="202"/>
      <c r="F231" s="202"/>
      <c r="G231" s="202"/>
      <c r="H231" s="398"/>
    </row>
    <row r="232" spans="1:8" x14ac:dyDescent="0.3">
      <c r="A232" s="166" t="s">
        <v>29</v>
      </c>
      <c r="B232" s="167"/>
      <c r="C232" s="4" t="s">
        <v>18</v>
      </c>
      <c r="D232" s="13">
        <f>Balaka!D232+Balaka!E232+Balaka!F232</f>
        <v>5207014.3999999799</v>
      </c>
      <c r="E232" s="13">
        <f>Liwonde!D232+Liwonde!E232+Liwonde!F232</f>
        <v>4475580.0200000005</v>
      </c>
      <c r="F232" s="13">
        <f>Machinga!D232+Machinga!E232+Machinga!F232</f>
        <v>9610.6899999999987</v>
      </c>
      <c r="G232" s="13">
        <f>Ntaja!D232+Ntaja!E232+Ntaja!F232</f>
        <v>3269.58</v>
      </c>
      <c r="H232" s="35">
        <f>SUM(D232:G232)</f>
        <v>9695474.689999979</v>
      </c>
    </row>
    <row r="233" spans="1:8" x14ac:dyDescent="0.3">
      <c r="A233" s="166" t="s">
        <v>28</v>
      </c>
      <c r="B233" s="167"/>
      <c r="C233" s="4" t="s">
        <v>18</v>
      </c>
      <c r="D233" s="13">
        <f>Balaka!D233+Balaka!E233+Balaka!F233</f>
        <v>6312.24</v>
      </c>
      <c r="E233" s="13">
        <f>Liwonde!D233+Liwonde!E233+Liwonde!F233</f>
        <v>6120.96</v>
      </c>
      <c r="F233" s="13">
        <f>Machinga!D233+Machinga!E233+Machinga!F233</f>
        <v>0</v>
      </c>
      <c r="G233" s="13">
        <f>Ntaja!D233+Ntaja!E233+Ntaja!F233</f>
        <v>0</v>
      </c>
      <c r="H233" s="35">
        <f>SUM(D233:G233)</f>
        <v>12433.2</v>
      </c>
    </row>
    <row r="234" spans="1:8" x14ac:dyDescent="0.3">
      <c r="A234" s="166" t="s">
        <v>27</v>
      </c>
      <c r="B234" s="167"/>
      <c r="C234" s="4" t="s">
        <v>18</v>
      </c>
      <c r="D234" s="13">
        <f>Balaka!D234+Balaka!E234+Balaka!F234</f>
        <v>115383.76</v>
      </c>
      <c r="E234" s="13">
        <f>Liwonde!D234+Liwonde!E234+Liwonde!F234</f>
        <v>122171.04000000001</v>
      </c>
      <c r="F234" s="13">
        <f>Machinga!D234+Machinga!E234+Machinga!F234</f>
        <v>10180.92</v>
      </c>
      <c r="G234" s="13">
        <f>Ntaja!D234+Ntaja!E234+Ntaja!F234</f>
        <v>10180.92</v>
      </c>
      <c r="H234" s="35">
        <f>SUM(D234:G234)</f>
        <v>257916.64</v>
      </c>
    </row>
    <row r="235" spans="1:8" x14ac:dyDescent="0.3">
      <c r="A235" s="166" t="s">
        <v>26</v>
      </c>
      <c r="B235" s="167"/>
      <c r="C235" s="4" t="s">
        <v>18</v>
      </c>
      <c r="D235" s="13">
        <f>Balaka!D235+Balaka!E235+Balaka!F235</f>
        <v>13912.02</v>
      </c>
      <c r="E235" s="13">
        <f>Liwonde!D235+Liwonde!E235+Liwonde!F235</f>
        <v>102021.48000000001</v>
      </c>
      <c r="F235" s="13">
        <f>Machinga!D235+Machinga!E235+Machinga!F235</f>
        <v>0</v>
      </c>
      <c r="G235" s="13">
        <f>Ntaja!D235+Ntaja!E235+Ntaja!F235</f>
        <v>0</v>
      </c>
      <c r="H235" s="35">
        <f>SUM(D235:G235)</f>
        <v>115933.50000000001</v>
      </c>
    </row>
    <row r="236" spans="1:8" x14ac:dyDescent="0.3">
      <c r="A236" s="214" t="s">
        <v>25</v>
      </c>
      <c r="B236" s="215"/>
      <c r="C236" s="4" t="s">
        <v>18</v>
      </c>
      <c r="D236" s="10">
        <f t="shared" ref="D236:G236" si="60">SUM(D232:D235)</f>
        <v>5342622.4199999794</v>
      </c>
      <c r="E236" s="10">
        <f t="shared" si="60"/>
        <v>4705893.5000000009</v>
      </c>
      <c r="F236" s="10">
        <f t="shared" si="60"/>
        <v>19791.61</v>
      </c>
      <c r="G236" s="10">
        <f t="shared" si="60"/>
        <v>13450.5</v>
      </c>
      <c r="H236" s="35">
        <f>SUM(H232:H235)</f>
        <v>10081758.029999979</v>
      </c>
    </row>
    <row r="237" spans="1:8" x14ac:dyDescent="0.3">
      <c r="A237" s="201" t="s">
        <v>24</v>
      </c>
      <c r="B237" s="202"/>
      <c r="C237" s="202"/>
      <c r="D237" s="202"/>
      <c r="E237" s="202"/>
      <c r="F237" s="202"/>
      <c r="G237" s="202"/>
      <c r="H237" s="398"/>
    </row>
    <row r="238" spans="1:8" x14ac:dyDescent="0.3">
      <c r="A238" s="166" t="s">
        <v>23</v>
      </c>
      <c r="B238" s="167"/>
      <c r="C238" s="4" t="s">
        <v>18</v>
      </c>
      <c r="D238" s="13">
        <f>Balaka!D238+Balaka!E238+Balaka!F238</f>
        <v>8716573</v>
      </c>
      <c r="E238" s="13">
        <f>Liwonde!D238+Liwonde!E238+Liwonde!F238</f>
        <v>7461015</v>
      </c>
      <c r="F238" s="13">
        <f>Machinga!D238+Machinga!E238+Machinga!F238</f>
        <v>15181</v>
      </c>
      <c r="G238" s="13">
        <f>Ntaja!D238+Ntaja!E238+Ntaja!F238</f>
        <v>5358</v>
      </c>
      <c r="H238" s="35">
        <f>SUM(D238:G238)</f>
        <v>16198127</v>
      </c>
    </row>
    <row r="239" spans="1:8" x14ac:dyDescent="0.3">
      <c r="A239" s="166" t="s">
        <v>22</v>
      </c>
      <c r="B239" s="167"/>
      <c r="C239" s="4" t="s">
        <v>18</v>
      </c>
      <c r="D239" s="13">
        <f>Balaka!D239+Balaka!E239+Balaka!F239</f>
        <v>29469</v>
      </c>
      <c r="E239" s="13">
        <f>Liwonde!D239+Liwonde!E239+Liwonde!F239</f>
        <v>28576</v>
      </c>
      <c r="F239" s="13">
        <f>Machinga!D239+Machinga!E239+Machinga!F239</f>
        <v>0</v>
      </c>
      <c r="G239" s="13">
        <f>Ntaja!D239+Ntaja!E239+Ntaja!F239</f>
        <v>0</v>
      </c>
      <c r="H239" s="35">
        <f>SUM(D239:G239)</f>
        <v>58045</v>
      </c>
    </row>
    <row r="240" spans="1:8" x14ac:dyDescent="0.3">
      <c r="A240" s="166" t="s">
        <v>21</v>
      </c>
      <c r="B240" s="167"/>
      <c r="C240" s="4" t="s">
        <v>18</v>
      </c>
      <c r="D240" s="13">
        <f>Balaka!D240+Balaka!E240+Balaka!F240</f>
        <v>30362</v>
      </c>
      <c r="E240" s="13">
        <f>Liwonde!D240+Liwonde!E240+Liwonde!F240</f>
        <v>32148</v>
      </c>
      <c r="F240" s="13">
        <f>Machinga!D240+Machinga!E240+Machinga!F240</f>
        <v>2679</v>
      </c>
      <c r="G240" s="13">
        <f>Ntaja!D240+Ntaja!E240+Ntaja!F240</f>
        <v>2679</v>
      </c>
      <c r="H240" s="35">
        <f>SUM(D240:G240)</f>
        <v>67868</v>
      </c>
    </row>
    <row r="241" spans="1:8" x14ac:dyDescent="0.3">
      <c r="A241" s="166" t="s">
        <v>20</v>
      </c>
      <c r="B241" s="167"/>
      <c r="C241" s="4" t="s">
        <v>18</v>
      </c>
      <c r="D241" s="13">
        <f>Balaka!D241+Balaka!E241+Balaka!F241</f>
        <v>2679</v>
      </c>
      <c r="E241" s="13">
        <f>Liwonde!D241+Liwonde!E241+Liwonde!F241</f>
        <v>19646</v>
      </c>
      <c r="F241" s="13">
        <f>Machinga!D241+Machinga!E241+Machinga!F241</f>
        <v>0</v>
      </c>
      <c r="G241" s="13">
        <f>Ntaja!D241+Ntaja!E241+Ntaja!F241</f>
        <v>0</v>
      </c>
      <c r="H241" s="35">
        <f>SUM(D241:G241)</f>
        <v>22325</v>
      </c>
    </row>
    <row r="242" spans="1:8" x14ac:dyDescent="0.3">
      <c r="A242" s="214" t="s">
        <v>19</v>
      </c>
      <c r="B242" s="215"/>
      <c r="C242" s="4" t="s">
        <v>18</v>
      </c>
      <c r="D242" s="10">
        <f t="shared" ref="D242:H242" si="61">SUM(D238:D241)</f>
        <v>8779083</v>
      </c>
      <c r="E242" s="10">
        <f t="shared" si="61"/>
        <v>7541385</v>
      </c>
      <c r="F242" s="10">
        <f t="shared" si="61"/>
        <v>17860</v>
      </c>
      <c r="G242" s="10">
        <f t="shared" si="61"/>
        <v>8037</v>
      </c>
      <c r="H242" s="35">
        <f t="shared" si="61"/>
        <v>16346365</v>
      </c>
    </row>
    <row r="243" spans="1:8" x14ac:dyDescent="0.3">
      <c r="A243" s="214" t="s">
        <v>216</v>
      </c>
      <c r="B243" s="215"/>
      <c r="C243" s="4" t="s">
        <v>18</v>
      </c>
      <c r="D243" s="9">
        <f>D230+D236+D242</f>
        <v>130884306.88000032</v>
      </c>
      <c r="E243" s="9">
        <f t="shared" ref="E243:G243" si="62">E230+E236+E242</f>
        <v>188002854.79999995</v>
      </c>
      <c r="F243" s="9">
        <f t="shared" si="62"/>
        <v>5664410.0599999987</v>
      </c>
      <c r="G243" s="9">
        <f t="shared" si="62"/>
        <v>13835532.559999993</v>
      </c>
      <c r="H243" s="35">
        <f t="shared" ref="H243" si="63">H216+H223+H236+H242</f>
        <v>344360493.8100003</v>
      </c>
    </row>
    <row r="244" spans="1:8" x14ac:dyDescent="0.3">
      <c r="A244" s="201" t="s">
        <v>206</v>
      </c>
      <c r="B244" s="202"/>
      <c r="C244" s="202"/>
      <c r="D244" s="202"/>
      <c r="E244" s="202"/>
      <c r="F244" s="202"/>
      <c r="G244" s="202"/>
      <c r="H244" s="398"/>
    </row>
    <row r="245" spans="1:8" x14ac:dyDescent="0.3">
      <c r="A245" s="234" t="s">
        <v>207</v>
      </c>
      <c r="B245" s="235"/>
      <c r="C245" s="4" t="s">
        <v>18</v>
      </c>
      <c r="D245" s="137">
        <f>Balaka!F245</f>
        <v>271226008.19</v>
      </c>
      <c r="E245" s="137">
        <f>Liwonde!F245</f>
        <v>181298808.59999999</v>
      </c>
      <c r="F245" s="137">
        <f>Machinga!F245</f>
        <v>17886441.829999998</v>
      </c>
      <c r="G245" s="137">
        <f>Ntaja!F245</f>
        <v>593245.55000000005</v>
      </c>
      <c r="H245" s="35">
        <f>SUM(D245:G245)</f>
        <v>471004504.16999996</v>
      </c>
    </row>
    <row r="246" spans="1:8" x14ac:dyDescent="0.3">
      <c r="A246" s="234" t="s">
        <v>208</v>
      </c>
      <c r="B246" s="235"/>
      <c r="C246" s="4" t="s">
        <v>18</v>
      </c>
      <c r="D246" s="137">
        <f>Balaka!F246</f>
        <v>2343196</v>
      </c>
      <c r="E246" s="137">
        <f>Liwonde!F246</f>
        <v>7705017.9299999997</v>
      </c>
      <c r="F246" s="137">
        <f>Machinga!F246</f>
        <v>244132.86</v>
      </c>
      <c r="G246" s="137">
        <f>Ntaja!F246</f>
        <v>0</v>
      </c>
      <c r="H246" s="35">
        <f>SUM(D246:G246)</f>
        <v>10292346.789999999</v>
      </c>
    </row>
    <row r="247" spans="1:8" x14ac:dyDescent="0.3">
      <c r="A247" s="236" t="s">
        <v>209</v>
      </c>
      <c r="B247" s="237"/>
      <c r="C247" s="4" t="s">
        <v>18</v>
      </c>
      <c r="D247" s="126">
        <f>D245+D246</f>
        <v>273569204.19</v>
      </c>
      <c r="E247" s="126">
        <f t="shared" ref="E247:H247" si="64">E245+E246</f>
        <v>189003826.53</v>
      </c>
      <c r="F247" s="126">
        <f t="shared" si="64"/>
        <v>18130574.689999998</v>
      </c>
      <c r="G247" s="126">
        <f t="shared" si="64"/>
        <v>593245.55000000005</v>
      </c>
      <c r="H247" s="141">
        <f t="shared" si="64"/>
        <v>481296850.95999998</v>
      </c>
    </row>
    <row r="248" spans="1:8" x14ac:dyDescent="0.3">
      <c r="A248" s="201" t="s">
        <v>17</v>
      </c>
      <c r="B248" s="202"/>
      <c r="C248" s="202"/>
      <c r="D248" s="202"/>
      <c r="E248" s="202"/>
      <c r="F248" s="202"/>
      <c r="G248" s="202"/>
      <c r="H248" s="398"/>
    </row>
    <row r="249" spans="1:8" x14ac:dyDescent="0.3">
      <c r="A249" s="166" t="s">
        <v>16</v>
      </c>
      <c r="B249" s="167"/>
      <c r="C249" s="4" t="s">
        <v>6</v>
      </c>
      <c r="D249" s="7">
        <f>D58/D243</f>
        <v>0.79325177159275451</v>
      </c>
      <c r="E249" s="7">
        <f t="shared" ref="E249:G249" si="65">E58/E243</f>
        <v>0.68524294734890401</v>
      </c>
      <c r="F249" s="7">
        <f t="shared" si="65"/>
        <v>1.2042498287261933</v>
      </c>
      <c r="G249" s="7">
        <f t="shared" si="65"/>
        <v>2.483317825389153</v>
      </c>
      <c r="H249" s="369">
        <f>H58/H243</f>
        <v>0.79518769730039185</v>
      </c>
    </row>
    <row r="250" spans="1:8" x14ac:dyDescent="0.3">
      <c r="A250" s="166" t="s">
        <v>210</v>
      </c>
      <c r="B250" s="167"/>
      <c r="C250" s="4" t="s">
        <v>6</v>
      </c>
      <c r="D250" s="25">
        <f>D210/(D223+D245)</f>
        <v>0.33793593271454697</v>
      </c>
      <c r="E250" s="25">
        <f t="shared" ref="E250:G250" si="66">E210/(E223+E245)</f>
        <v>0.49589397235259569</v>
      </c>
      <c r="F250" s="25">
        <f t="shared" si="66"/>
        <v>1.9436800374064405E-2</v>
      </c>
      <c r="G250" s="25">
        <f t="shared" si="66"/>
        <v>0</v>
      </c>
      <c r="H250" s="368">
        <f>H210/(H223+H245)</f>
        <v>0.39523349016248926</v>
      </c>
    </row>
    <row r="251" spans="1:8" ht="16.2" thickBot="1" x14ac:dyDescent="0.35">
      <c r="A251" s="225" t="s">
        <v>15</v>
      </c>
      <c r="B251" s="226"/>
      <c r="C251" s="4" t="s">
        <v>6</v>
      </c>
      <c r="D251" s="6">
        <f>D210/D223</f>
        <v>1.82867001496047</v>
      </c>
      <c r="E251" s="6">
        <f t="shared" ref="E251:G251" si="67">E210/E223</f>
        <v>1.6418203105030786</v>
      </c>
      <c r="F251" s="6">
        <f t="shared" si="67"/>
        <v>1.3202190699349432</v>
      </c>
      <c r="G251" s="6">
        <f t="shared" si="67"/>
        <v>0</v>
      </c>
      <c r="H251" s="370">
        <f>H210/H223</f>
        <v>1.7223064690155705</v>
      </c>
    </row>
    <row r="252" spans="1:8" x14ac:dyDescent="0.3">
      <c r="A252" s="227" t="s">
        <v>14</v>
      </c>
      <c r="B252" s="228"/>
      <c r="C252" s="228"/>
      <c r="D252" s="228"/>
      <c r="E252" s="228"/>
      <c r="F252" s="228"/>
      <c r="G252" s="228"/>
      <c r="H252" s="405"/>
    </row>
    <row r="253" spans="1:8" ht="15" customHeight="1" x14ac:dyDescent="0.3">
      <c r="A253" s="166" t="s">
        <v>13</v>
      </c>
      <c r="B253" s="167"/>
      <c r="C253" s="4" t="s">
        <v>3</v>
      </c>
      <c r="D253" s="125">
        <f>Balaka!D253+Balaka!E253+Balaka!F253</f>
        <v>115</v>
      </c>
      <c r="E253" s="125">
        <f>Liwonde!D253+Liwonde!E253+Liwonde!F253</f>
        <v>112</v>
      </c>
      <c r="F253" s="125">
        <f>Machinga!D253+Machinga!E253+Machinga!F253</f>
        <v>10</v>
      </c>
      <c r="G253" s="125">
        <f>Ntaja!D253+Ntaja!E253+Ntaja!F253</f>
        <v>88</v>
      </c>
      <c r="H253" s="371">
        <f>SUM(D253:G253)</f>
        <v>325</v>
      </c>
    </row>
    <row r="254" spans="1:8" ht="27" x14ac:dyDescent="0.3">
      <c r="A254" s="166" t="s">
        <v>12</v>
      </c>
      <c r="B254" s="167"/>
      <c r="C254" s="4" t="s">
        <v>3</v>
      </c>
      <c r="D254" s="125">
        <f>Balaka!D254+Balaka!E254+Balaka!F254</f>
        <v>3</v>
      </c>
      <c r="E254" s="125">
        <f>Liwonde!D254+Liwonde!E254+Liwonde!F254</f>
        <v>22</v>
      </c>
      <c r="F254" s="125">
        <f>Machinga!D254+Machinga!E254+Machinga!F254</f>
        <v>3</v>
      </c>
      <c r="G254" s="125">
        <f>Ntaja!D254+Ntaja!E254+Ntaja!F254</f>
        <v>8</v>
      </c>
      <c r="H254" s="371">
        <f>SUM(D254:G254)</f>
        <v>36</v>
      </c>
    </row>
    <row r="255" spans="1:8" ht="15.75" customHeight="1" x14ac:dyDescent="0.3">
      <c r="A255" s="166" t="s">
        <v>11</v>
      </c>
      <c r="B255" s="167"/>
      <c r="C255" s="4" t="s">
        <v>3</v>
      </c>
      <c r="D255" s="3">
        <f>D95</f>
        <v>409</v>
      </c>
      <c r="E255" s="3">
        <f t="shared" ref="E255:G255" si="68">E95</f>
        <v>712</v>
      </c>
      <c r="F255" s="3">
        <f t="shared" si="68"/>
        <v>6</v>
      </c>
      <c r="G255" s="3">
        <f t="shared" si="68"/>
        <v>45</v>
      </c>
      <c r="H255" s="371">
        <f>SUM(D255:G255)</f>
        <v>1172</v>
      </c>
    </row>
    <row r="256" spans="1:8" x14ac:dyDescent="0.3">
      <c r="A256" s="166" t="s">
        <v>10</v>
      </c>
      <c r="B256" s="167"/>
      <c r="C256" s="4" t="s">
        <v>3</v>
      </c>
      <c r="D256" s="3">
        <f>D91</f>
        <v>115</v>
      </c>
      <c r="E256" s="3">
        <f t="shared" ref="E256:G256" si="69">E91</f>
        <v>112</v>
      </c>
      <c r="F256" s="3">
        <f t="shared" si="69"/>
        <v>10</v>
      </c>
      <c r="G256" s="3">
        <f t="shared" si="69"/>
        <v>65</v>
      </c>
      <c r="H256" s="371">
        <f>SUM(D256:G256)</f>
        <v>302</v>
      </c>
    </row>
    <row r="257" spans="1:8" ht="15.6" customHeight="1" x14ac:dyDescent="0.3">
      <c r="A257" s="166" t="s">
        <v>9</v>
      </c>
      <c r="B257" s="167"/>
      <c r="C257" s="4" t="s">
        <v>3</v>
      </c>
      <c r="D257" s="125">
        <f>Balaka!D257+Balaka!E257+Balaka!F257</f>
        <v>60</v>
      </c>
      <c r="E257" s="125">
        <f>Liwonde!D257+Liwonde!E257+Liwonde!F257</f>
        <v>60</v>
      </c>
      <c r="F257" s="125">
        <f>Machinga!D257+Machinga!E257+Machinga!F257</f>
        <v>45</v>
      </c>
      <c r="G257" s="125">
        <f>Ntaja!D257+Ntaja!E257+Ntaja!F257</f>
        <v>60</v>
      </c>
      <c r="H257" s="371">
        <f>SUM(D257:G257)</f>
        <v>225</v>
      </c>
    </row>
    <row r="258" spans="1:8" x14ac:dyDescent="0.3">
      <c r="A258" s="214" t="s">
        <v>8</v>
      </c>
      <c r="B258" s="215"/>
      <c r="C258" s="4" t="s">
        <v>3</v>
      </c>
      <c r="D258" s="1">
        <f t="shared" ref="D258:H258" si="70">D257/D256</f>
        <v>0.52173913043478259</v>
      </c>
      <c r="E258" s="1">
        <f t="shared" si="70"/>
        <v>0.5357142857142857</v>
      </c>
      <c r="F258" s="1">
        <f t="shared" si="70"/>
        <v>4.5</v>
      </c>
      <c r="G258" s="2">
        <f t="shared" si="70"/>
        <v>0.92307692307692313</v>
      </c>
      <c r="H258" s="371">
        <f t="shared" si="70"/>
        <v>0.74503311258278149</v>
      </c>
    </row>
    <row r="259" spans="1:8" x14ac:dyDescent="0.3">
      <c r="A259" s="214" t="s">
        <v>7</v>
      </c>
      <c r="B259" s="215"/>
      <c r="C259" s="4" t="s">
        <v>6</v>
      </c>
      <c r="D259" s="1">
        <f t="shared" ref="D259:H259" si="71">D92/D255*100</f>
        <v>27.628361858190708</v>
      </c>
      <c r="E259" s="1">
        <f t="shared" si="71"/>
        <v>0</v>
      </c>
      <c r="F259" s="1">
        <f t="shared" si="71"/>
        <v>0</v>
      </c>
      <c r="G259" s="5">
        <f t="shared" si="71"/>
        <v>0</v>
      </c>
      <c r="H259" s="411">
        <f t="shared" si="71"/>
        <v>9.6416382252559725</v>
      </c>
    </row>
    <row r="260" spans="1:8" x14ac:dyDescent="0.3">
      <c r="A260" s="201" t="s">
        <v>5</v>
      </c>
      <c r="B260" s="202"/>
      <c r="C260" s="202"/>
      <c r="D260" s="202"/>
      <c r="E260" s="202"/>
      <c r="F260" s="202"/>
      <c r="G260" s="202"/>
      <c r="H260" s="398"/>
    </row>
    <row r="261" spans="1:8" ht="15" customHeight="1" x14ac:dyDescent="0.3">
      <c r="A261" s="166" t="s">
        <v>4</v>
      </c>
      <c r="B261" s="167"/>
      <c r="C261" s="4" t="s">
        <v>3</v>
      </c>
      <c r="D261" s="125">
        <f>Balaka!D261+Balaka!E261+Balaka!F261</f>
        <v>39</v>
      </c>
      <c r="E261" s="125">
        <f>Liwonde!D261+Liwonde!E261+Liwonde!F261</f>
        <v>42</v>
      </c>
      <c r="F261" s="125">
        <f>Machinga!D261+Machinga!E261+Machinga!F261</f>
        <v>48</v>
      </c>
      <c r="G261" s="125">
        <f>Ntaja!D261+Ntaja!E261+Ntaja!F261</f>
        <v>48</v>
      </c>
      <c r="H261" s="371">
        <f>SUM(D261:G261)</f>
        <v>177</v>
      </c>
    </row>
    <row r="262" spans="1:8" ht="15.75" customHeight="1" x14ac:dyDescent="0.3">
      <c r="A262" s="166" t="s">
        <v>2</v>
      </c>
      <c r="B262" s="167"/>
      <c r="C262" s="4" t="s">
        <v>0</v>
      </c>
      <c r="D262" s="125">
        <f>Balaka!D262+Balaka!E262+Balaka!F262</f>
        <v>90</v>
      </c>
      <c r="E262" s="125">
        <f>Liwonde!D262+Liwonde!E262+Liwonde!F262</f>
        <v>90</v>
      </c>
      <c r="F262" s="125">
        <f>Machinga!D262+Machinga!E262+Machinga!F262</f>
        <v>8</v>
      </c>
      <c r="G262" s="125">
        <f>Ntaja!D262+Ntaja!E262+Ntaja!F262</f>
        <v>9</v>
      </c>
      <c r="H262" s="371">
        <f>SUM(D262:G262)</f>
        <v>197</v>
      </c>
    </row>
    <row r="263" spans="1:8" ht="16.2" thickBot="1" x14ac:dyDescent="0.35">
      <c r="A263" s="219" t="s">
        <v>1</v>
      </c>
      <c r="B263" s="220"/>
      <c r="C263" s="104" t="s">
        <v>0</v>
      </c>
      <c r="D263" s="134">
        <f>D261/D262</f>
        <v>0.43333333333333335</v>
      </c>
      <c r="E263" s="134">
        <f t="shared" ref="E263:H263" si="72">E261/E262</f>
        <v>0.46666666666666667</v>
      </c>
      <c r="F263" s="134">
        <f t="shared" si="72"/>
        <v>6</v>
      </c>
      <c r="G263" s="134">
        <f t="shared" si="72"/>
        <v>5.333333333333333</v>
      </c>
      <c r="H263" s="142">
        <f t="shared" si="72"/>
        <v>0.89847715736040612</v>
      </c>
    </row>
  </sheetData>
  <mergeCells count="6">
    <mergeCell ref="B39:B40"/>
    <mergeCell ref="B29:B30"/>
    <mergeCell ref="B31:B32"/>
    <mergeCell ref="B33:B34"/>
    <mergeCell ref="B35:B36"/>
    <mergeCell ref="B37:B3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3"/>
  <dimension ref="A1:H263"/>
  <sheetViews>
    <sheetView workbookViewId="0">
      <selection activeCell="K13" sqref="K13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7" width="19.109375" customWidth="1"/>
    <col min="8" max="8" width="20.109375" style="372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434" t="s">
        <v>176</v>
      </c>
      <c r="B7" s="435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436" t="s">
        <v>161</v>
      </c>
      <c r="B8" s="437"/>
      <c r="C8" s="437"/>
      <c r="D8" s="437"/>
      <c r="E8" s="437"/>
      <c r="F8" s="437"/>
      <c r="G8" s="437"/>
      <c r="H8" s="438"/>
    </row>
    <row r="9" spans="1:8" x14ac:dyDescent="0.3">
      <c r="A9" s="439" t="s">
        <v>178</v>
      </c>
      <c r="B9" s="440"/>
      <c r="C9" s="52" t="s">
        <v>154</v>
      </c>
      <c r="D9" s="51">
        <f>Balaka!G9+Balaka!H9+Balaka!I9</f>
        <v>178661</v>
      </c>
      <c r="E9" s="51">
        <f>Liwonde!G9+Liwonde!H9+Liwonde!I9</f>
        <v>220181</v>
      </c>
      <c r="F9" s="51">
        <f>Machinga!G9+Machinga!H9+Machinga!I9</f>
        <v>7043</v>
      </c>
      <c r="G9" s="51">
        <f>Ntaja!G9+Ntaja!H9+Ntaja!I9</f>
        <v>11047</v>
      </c>
      <c r="H9" s="135">
        <f>SUM(D9:G9)</f>
        <v>416932</v>
      </c>
    </row>
    <row r="10" spans="1:8" ht="14.4" x14ac:dyDescent="0.3">
      <c r="A10" s="441" t="s">
        <v>179</v>
      </c>
      <c r="B10" s="442"/>
      <c r="C10" s="442"/>
      <c r="D10" s="443"/>
      <c r="E10" s="443"/>
      <c r="F10" s="443"/>
      <c r="G10" s="443"/>
      <c r="H10" s="444"/>
    </row>
    <row r="11" spans="1:8" x14ac:dyDescent="0.3">
      <c r="A11" s="445" t="s">
        <v>159</v>
      </c>
      <c r="B11" s="446"/>
      <c r="C11" s="4" t="s">
        <v>154</v>
      </c>
      <c r="D11" s="22">
        <f>Balaka!G11+Balaka!H11+Balaka!I11</f>
        <v>70248</v>
      </c>
      <c r="E11" s="22">
        <f>Liwonde!G11+Liwonde!H11+Liwonde!I11</f>
        <v>84019</v>
      </c>
      <c r="F11" s="22">
        <f>Machinga!G11+Machinga!H11+Machinga!I11</f>
        <v>100</v>
      </c>
      <c r="G11" s="22">
        <f>Ntaja!G11+Ntaja!H11+Ntaja!I11</f>
        <v>45</v>
      </c>
      <c r="H11" s="50">
        <f>SUM(D11:G11)</f>
        <v>154412</v>
      </c>
    </row>
    <row r="12" spans="1:8" x14ac:dyDescent="0.3">
      <c r="A12" s="445" t="s">
        <v>158</v>
      </c>
      <c r="B12" s="446"/>
      <c r="C12" s="4" t="s">
        <v>154</v>
      </c>
      <c r="D12" s="22">
        <f>Balaka!G12+Balaka!H12+Balaka!I12</f>
        <v>2947</v>
      </c>
      <c r="E12" s="22">
        <f>Liwonde!G12+Liwonde!H12+Liwonde!I12</f>
        <v>2009</v>
      </c>
      <c r="F12" s="22">
        <f>Machinga!G12+Machinga!H12+Machinga!I12</f>
        <v>0</v>
      </c>
      <c r="G12" s="22">
        <f>Ntaja!G12+Ntaja!H12+Ntaja!I12</f>
        <v>0</v>
      </c>
      <c r="H12" s="50">
        <f>SUM(D12:G12)</f>
        <v>4956</v>
      </c>
    </row>
    <row r="13" spans="1:8" x14ac:dyDescent="0.3">
      <c r="A13" s="445" t="s">
        <v>157</v>
      </c>
      <c r="B13" s="446"/>
      <c r="C13" s="4" t="s">
        <v>154</v>
      </c>
      <c r="D13" s="22">
        <f>Balaka!G13+Balaka!H13+Balaka!I13</f>
        <v>312</v>
      </c>
      <c r="E13" s="22">
        <f>Liwonde!G13+Liwonde!H13+Liwonde!I13</f>
        <v>1498</v>
      </c>
      <c r="F13" s="22">
        <f>Machinga!G13+Machinga!H13+Machinga!I13</f>
        <v>35</v>
      </c>
      <c r="G13" s="22">
        <f>Ntaja!G13+Ntaja!H13+Ntaja!I13</f>
        <v>8</v>
      </c>
      <c r="H13" s="50">
        <f>SUM(D13:G13)</f>
        <v>1853</v>
      </c>
    </row>
    <row r="14" spans="1:8" x14ac:dyDescent="0.3">
      <c r="A14" s="447" t="s">
        <v>156</v>
      </c>
      <c r="B14" s="448"/>
      <c r="C14" s="4" t="s">
        <v>154</v>
      </c>
      <c r="D14" s="22">
        <f>Balaka!G14+Balaka!H14+Balaka!I14</f>
        <v>73</v>
      </c>
      <c r="E14" s="22">
        <f>Liwonde!G14+Liwonde!H14+Liwonde!I14</f>
        <v>613</v>
      </c>
      <c r="F14" s="22">
        <f>Machinga!G14+Machinga!H14+Machinga!I14</f>
        <v>0</v>
      </c>
      <c r="G14" s="22">
        <f>Ntaja!G14+Ntaja!H14+Ntaja!I14</f>
        <v>0</v>
      </c>
      <c r="H14" s="50">
        <f>SUM(D14:G14)</f>
        <v>686</v>
      </c>
    </row>
    <row r="15" spans="1:8" s="57" customFormat="1" x14ac:dyDescent="0.3">
      <c r="A15" s="449" t="s">
        <v>160</v>
      </c>
      <c r="B15" s="450"/>
      <c r="C15" s="56" t="s">
        <v>154</v>
      </c>
      <c r="D15" s="30">
        <f t="shared" ref="D15:H15" si="0">SUM(D11:D14)</f>
        <v>73580</v>
      </c>
      <c r="E15" s="30">
        <f t="shared" si="0"/>
        <v>88139</v>
      </c>
      <c r="F15" s="30">
        <f t="shared" si="0"/>
        <v>135</v>
      </c>
      <c r="G15" s="30">
        <f t="shared" si="0"/>
        <v>53</v>
      </c>
      <c r="H15" s="50">
        <f t="shared" si="0"/>
        <v>161907</v>
      </c>
    </row>
    <row r="16" spans="1:8" ht="14.4" x14ac:dyDescent="0.3">
      <c r="A16" s="441" t="s">
        <v>180</v>
      </c>
      <c r="B16" s="442"/>
      <c r="C16" s="442"/>
      <c r="D16" s="442"/>
      <c r="E16" s="442"/>
      <c r="F16" s="442"/>
      <c r="G16" s="442"/>
      <c r="H16" s="444"/>
    </row>
    <row r="17" spans="1:8" x14ac:dyDescent="0.3">
      <c r="A17" s="445" t="s">
        <v>182</v>
      </c>
      <c r="B17" s="446"/>
      <c r="C17" s="4" t="s">
        <v>154</v>
      </c>
      <c r="D17" s="22">
        <f>Balaka!G17+Balaka!H17+Balaka!I17</f>
        <v>44931.1000000001</v>
      </c>
      <c r="E17" s="22">
        <f>Liwonde!G17+Liwonde!H17+Liwonde!I17</f>
        <v>49685.899999999994</v>
      </c>
      <c r="F17" s="22">
        <f>Machinga!G17+Machinga!H17+Machinga!I17</f>
        <v>5113</v>
      </c>
      <c r="G17" s="22">
        <f>Ntaja!G17+Ntaja!H17+Ntaja!I17</f>
        <v>9614.5</v>
      </c>
      <c r="H17" s="50">
        <f>SUM(D17:G17)</f>
        <v>109344.50000000009</v>
      </c>
    </row>
    <row r="18" spans="1:8" x14ac:dyDescent="0.3">
      <c r="A18" s="445" t="s">
        <v>183</v>
      </c>
      <c r="B18" s="446"/>
      <c r="C18" s="4" t="s">
        <v>154</v>
      </c>
      <c r="D18" s="22">
        <f>Balaka!G18+Balaka!H18+Balaka!I18</f>
        <v>1070.7</v>
      </c>
      <c r="E18" s="22">
        <f>Liwonde!G18+Liwonde!H18+Liwonde!I18</f>
        <v>0</v>
      </c>
      <c r="F18" s="22">
        <f>Machinga!G18+Machinga!H18+Machinga!I18</f>
        <v>0</v>
      </c>
      <c r="G18" s="22">
        <f>Ntaja!G18+Ntaja!H18+Ntaja!I18</f>
        <v>227.29999999999998</v>
      </c>
      <c r="H18" s="50">
        <f>SUM(D18:G18)</f>
        <v>1298</v>
      </c>
    </row>
    <row r="19" spans="1:8" x14ac:dyDescent="0.3">
      <c r="A19" s="445" t="s">
        <v>184</v>
      </c>
      <c r="B19" s="446"/>
      <c r="C19" s="4" t="s">
        <v>154</v>
      </c>
      <c r="D19" s="22">
        <f>Balaka!G19+Balaka!H19+Balaka!I19</f>
        <v>2989.3</v>
      </c>
      <c r="E19" s="22">
        <f>Liwonde!G19+Liwonde!H19+Liwonde!I19</f>
        <v>6193</v>
      </c>
      <c r="F19" s="22">
        <f>Machinga!G19+Machinga!H19+Machinga!I19</f>
        <v>356.3</v>
      </c>
      <c r="G19" s="22">
        <f>Ntaja!G19+Ntaja!H19+Ntaja!I19</f>
        <v>166.20000000000002</v>
      </c>
      <c r="H19" s="50">
        <f>SUM(D19:G19)</f>
        <v>9704.7999999999993</v>
      </c>
    </row>
    <row r="20" spans="1:8" x14ac:dyDescent="0.3">
      <c r="A20" s="447" t="s">
        <v>185</v>
      </c>
      <c r="B20" s="448"/>
      <c r="C20" s="4" t="s">
        <v>154</v>
      </c>
      <c r="D20" s="22">
        <f>Balaka!G20+Balaka!H20+Balaka!I20</f>
        <v>1714.6</v>
      </c>
      <c r="E20" s="22">
        <f>Liwonde!G20+Liwonde!H20+Liwonde!I20</f>
        <v>9410.7000000000007</v>
      </c>
      <c r="F20" s="22">
        <f>Machinga!G20+Machinga!H20+Machinga!I20</f>
        <v>36.6</v>
      </c>
      <c r="G20" s="22">
        <f>Ntaja!G20+Ntaja!H20+Ntaja!I20</f>
        <v>144.10000000000002</v>
      </c>
      <c r="H20" s="50">
        <f>SUM(D20:G20)</f>
        <v>11306.000000000002</v>
      </c>
    </row>
    <row r="21" spans="1:8" s="57" customFormat="1" x14ac:dyDescent="0.3">
      <c r="A21" s="449" t="s">
        <v>186</v>
      </c>
      <c r="B21" s="450"/>
      <c r="C21" s="56" t="s">
        <v>154</v>
      </c>
      <c r="D21" s="30">
        <f>SUM(D17:D20)</f>
        <v>50705.700000000099</v>
      </c>
      <c r="E21" s="30">
        <f t="shared" ref="E21:H21" si="1">SUM(E17:E20)</f>
        <v>65289.599999999991</v>
      </c>
      <c r="F21" s="30">
        <f t="shared" si="1"/>
        <v>5505.9000000000005</v>
      </c>
      <c r="G21" s="30">
        <f t="shared" si="1"/>
        <v>10152.1</v>
      </c>
      <c r="H21" s="50">
        <f t="shared" si="1"/>
        <v>131653.3000000001</v>
      </c>
    </row>
    <row r="22" spans="1:8" x14ac:dyDescent="0.3">
      <c r="A22" s="64" t="s">
        <v>187</v>
      </c>
      <c r="B22" s="68"/>
      <c r="C22" s="4" t="s">
        <v>154</v>
      </c>
      <c r="D22" s="30">
        <f>D21+D15</f>
        <v>124285.7000000001</v>
      </c>
      <c r="E22" s="30">
        <f t="shared" ref="E22:H22" si="2">E21+E15</f>
        <v>153428.59999999998</v>
      </c>
      <c r="F22" s="30">
        <f t="shared" si="2"/>
        <v>5640.9000000000005</v>
      </c>
      <c r="G22" s="30">
        <f t="shared" si="2"/>
        <v>10205.1</v>
      </c>
      <c r="H22" s="50">
        <f t="shared" si="2"/>
        <v>293560.3000000001</v>
      </c>
    </row>
    <row r="23" spans="1:8" ht="14.4" x14ac:dyDescent="0.3">
      <c r="A23" s="441" t="s">
        <v>217</v>
      </c>
      <c r="B23" s="442"/>
      <c r="C23" s="442"/>
      <c r="D23" s="442"/>
      <c r="E23" s="442"/>
      <c r="F23" s="442"/>
      <c r="G23" s="442"/>
      <c r="H23" s="444"/>
    </row>
    <row r="24" spans="1:8" x14ac:dyDescent="0.3">
      <c r="A24" s="451" t="s">
        <v>181</v>
      </c>
      <c r="B24" s="21" t="s">
        <v>155</v>
      </c>
      <c r="C24" s="4" t="s">
        <v>154</v>
      </c>
      <c r="D24" s="49">
        <f>D9-D22</f>
        <v>54375.299999999901</v>
      </c>
      <c r="E24" s="49">
        <f t="shared" ref="E24:H24" si="3">E9-E22</f>
        <v>66752.400000000023</v>
      </c>
      <c r="F24" s="49">
        <f t="shared" si="3"/>
        <v>1402.0999999999995</v>
      </c>
      <c r="G24" s="49">
        <f t="shared" si="3"/>
        <v>841.89999999999964</v>
      </c>
      <c r="H24" s="140">
        <f t="shared" si="3"/>
        <v>123371.6999999999</v>
      </c>
    </row>
    <row r="25" spans="1:8" x14ac:dyDescent="0.3">
      <c r="A25" s="452"/>
      <c r="B25" s="48" t="s">
        <v>153</v>
      </c>
      <c r="C25" s="47" t="s">
        <v>6</v>
      </c>
      <c r="D25" s="46">
        <f t="shared" ref="D25:H25" si="4">D24/D9</f>
        <v>0.30434901853230362</v>
      </c>
      <c r="E25" s="46">
        <f t="shared" si="4"/>
        <v>0.30317057330105696</v>
      </c>
      <c r="F25" s="46">
        <f t="shared" si="4"/>
        <v>0.1990770978276302</v>
      </c>
      <c r="G25" s="46">
        <f t="shared" si="4"/>
        <v>7.6210735946410757E-2</v>
      </c>
      <c r="H25" s="136">
        <f t="shared" si="4"/>
        <v>0.2959036485565989</v>
      </c>
    </row>
    <row r="26" spans="1:8" ht="14.4" x14ac:dyDescent="0.3">
      <c r="A26" s="441" t="s">
        <v>152</v>
      </c>
      <c r="B26" s="442"/>
      <c r="C26" s="442"/>
      <c r="D26" s="442"/>
      <c r="E26" s="442"/>
      <c r="F26" s="442"/>
      <c r="G26" s="442"/>
      <c r="H26" s="444"/>
    </row>
    <row r="27" spans="1:8" ht="14.4" x14ac:dyDescent="0.3">
      <c r="A27" s="455" t="s">
        <v>151</v>
      </c>
      <c r="B27" s="456"/>
      <c r="C27" s="456"/>
      <c r="D27" s="456"/>
      <c r="E27" s="456"/>
      <c r="F27" s="456"/>
      <c r="G27" s="456"/>
      <c r="H27" s="457"/>
    </row>
    <row r="28" spans="1:8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x14ac:dyDescent="0.3">
      <c r="A29" s="458" t="s">
        <v>148</v>
      </c>
      <c r="B29" s="433">
        <f>176264.5/50</f>
        <v>3525.29</v>
      </c>
      <c r="C29" s="4" t="s">
        <v>142</v>
      </c>
      <c r="D29" s="22">
        <f>Balaka!G29+Balaka!H29+Balaka!I29</f>
        <v>458</v>
      </c>
      <c r="E29" s="22">
        <f>Liwonde!G29+Liwonde!H29+Liwonde!I29</f>
        <v>1065</v>
      </c>
      <c r="F29" s="22">
        <f>Machinga!G29+Machinga!H29+Machinga!I29</f>
        <v>22</v>
      </c>
      <c r="G29" s="22">
        <f>Ntaja!G29+Ntaja!H29+Ntaja!I29</f>
        <v>27</v>
      </c>
      <c r="H29" s="40">
        <f>SUM(D29:G29)</f>
        <v>1572</v>
      </c>
    </row>
    <row r="30" spans="1:8" x14ac:dyDescent="0.3">
      <c r="A30" s="459"/>
      <c r="B30" s="433"/>
      <c r="C30" s="37" t="s">
        <v>141</v>
      </c>
      <c r="D30" s="13">
        <f t="shared" ref="D30:H30" si="5">D29/(D9/1000)</f>
        <v>2.5635141413067206</v>
      </c>
      <c r="E30" s="13">
        <f t="shared" si="5"/>
        <v>4.8369296169969251</v>
      </c>
      <c r="F30" s="13">
        <f t="shared" si="5"/>
        <v>3.1236688910975436</v>
      </c>
      <c r="G30" s="13">
        <f t="shared" si="5"/>
        <v>2.4441024712591655</v>
      </c>
      <c r="H30" s="35">
        <f t="shared" si="5"/>
        <v>3.7703990099104887</v>
      </c>
    </row>
    <row r="31" spans="1:8" x14ac:dyDescent="0.3">
      <c r="A31" s="453" t="s">
        <v>147</v>
      </c>
      <c r="B31" s="433">
        <f>53000.511/50</f>
        <v>1060.0102199999999</v>
      </c>
      <c r="C31" s="4" t="s">
        <v>142</v>
      </c>
      <c r="D31" s="22">
        <f>Balaka!G31+Balaka!H31+Balaka!I31</f>
        <v>0</v>
      </c>
      <c r="E31" s="22">
        <f>Liwonde!G31+Liwonde!H31+Liwonde!I31</f>
        <v>0</v>
      </c>
      <c r="F31" s="22">
        <f>Machinga!G31+Machinga!H31+Machinga!I31</f>
        <v>0</v>
      </c>
      <c r="G31" s="22">
        <f>Ntaja!G31+Ntaja!H31+Ntaja!I31</f>
        <v>0</v>
      </c>
      <c r="H31" s="40">
        <f>SUM(D31:G31)</f>
        <v>0</v>
      </c>
    </row>
    <row r="32" spans="1:8" x14ac:dyDescent="0.3">
      <c r="A32" s="454"/>
      <c r="B32" s="433"/>
      <c r="C32" s="37" t="s">
        <v>141</v>
      </c>
      <c r="D32" s="13">
        <f t="shared" ref="D32:H32" si="6">D31/(D9/1000)</f>
        <v>0</v>
      </c>
      <c r="E32" s="13">
        <f t="shared" si="6"/>
        <v>0</v>
      </c>
      <c r="F32" s="13">
        <f t="shared" si="6"/>
        <v>0</v>
      </c>
      <c r="G32" s="13">
        <f t="shared" si="6"/>
        <v>0</v>
      </c>
      <c r="H32" s="35">
        <f t="shared" si="6"/>
        <v>0</v>
      </c>
    </row>
    <row r="33" spans="1:8" x14ac:dyDescent="0.3">
      <c r="A33" s="453" t="s">
        <v>146</v>
      </c>
      <c r="B33" s="433">
        <f>61414.43/50</f>
        <v>1228.2886000000001</v>
      </c>
      <c r="C33" s="4" t="s">
        <v>142</v>
      </c>
      <c r="D33" s="22">
        <f>Balaka!G33+Balaka!H33+Balaka!I33</f>
        <v>0</v>
      </c>
      <c r="E33" s="22">
        <f>Liwonde!G33+Liwonde!H33+Liwonde!I33</f>
        <v>0</v>
      </c>
      <c r="F33" s="22">
        <f>Machinga!G33+Machinga!H33+Machinga!I33</f>
        <v>0</v>
      </c>
      <c r="G33" s="22">
        <f>Ntaja!G33+Ntaja!H33+Ntaja!I33</f>
        <v>0</v>
      </c>
      <c r="H33" s="40">
        <f>SUM(D33:G33)</f>
        <v>0</v>
      </c>
    </row>
    <row r="34" spans="1:8" x14ac:dyDescent="0.3">
      <c r="A34" s="454"/>
      <c r="B34" s="433"/>
      <c r="C34" s="37" t="s">
        <v>141</v>
      </c>
      <c r="D34" s="13">
        <f t="shared" ref="D34:H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35">
        <f t="shared" si="7"/>
        <v>0</v>
      </c>
    </row>
    <row r="35" spans="1:8" x14ac:dyDescent="0.3">
      <c r="A35" s="453" t="s">
        <v>145</v>
      </c>
      <c r="B35" s="433">
        <f>745345.16/200</f>
        <v>3726.7258000000002</v>
      </c>
      <c r="C35" s="4" t="s">
        <v>128</v>
      </c>
      <c r="D35" s="22">
        <f>Balaka!G35+Balaka!H35+Balaka!I35</f>
        <v>0</v>
      </c>
      <c r="E35" s="22">
        <f>Liwonde!G35+Liwonde!H35+Liwonde!I35</f>
        <v>1143</v>
      </c>
      <c r="F35" s="22">
        <f>Machinga!G35+Machinga!H35+Machinga!I35</f>
        <v>0</v>
      </c>
      <c r="G35" s="22">
        <f>Ntaja!G35+Ntaja!H35+Ntaja!I35</f>
        <v>0</v>
      </c>
      <c r="H35" s="35"/>
    </row>
    <row r="36" spans="1:8" x14ac:dyDescent="0.3">
      <c r="A36" s="454"/>
      <c r="B36" s="433"/>
      <c r="C36" s="4" t="s">
        <v>144</v>
      </c>
      <c r="D36" s="11"/>
      <c r="E36" s="11"/>
      <c r="F36" s="11"/>
      <c r="G36" s="11"/>
      <c r="H36" s="35"/>
    </row>
    <row r="37" spans="1:8" x14ac:dyDescent="0.3">
      <c r="A37" s="453" t="s">
        <v>188</v>
      </c>
      <c r="B37" s="433">
        <f>790318.72/200</f>
        <v>3951.5935999999997</v>
      </c>
      <c r="C37" s="4" t="s">
        <v>128</v>
      </c>
      <c r="D37" s="22">
        <f>Balaka!G37+Balaka!H37+Balaka!I37</f>
        <v>0</v>
      </c>
      <c r="E37" s="22">
        <f>Liwonde!G37+Liwonde!H37+Liwonde!I37</f>
        <v>0</v>
      </c>
      <c r="F37" s="22">
        <f>Machinga!G37+Machinga!H37+Machinga!I37</f>
        <v>0</v>
      </c>
      <c r="G37" s="22">
        <f>Ntaja!G37+Ntaja!H37+Ntaja!I37</f>
        <v>0</v>
      </c>
      <c r="H37" s="40">
        <f>SUM(D37:G37)</f>
        <v>0</v>
      </c>
    </row>
    <row r="38" spans="1:8" x14ac:dyDescent="0.3">
      <c r="A38" s="454"/>
      <c r="B38" s="433"/>
      <c r="C38" s="4" t="s">
        <v>144</v>
      </c>
      <c r="D38" s="13">
        <f t="shared" ref="D38:H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35">
        <f t="shared" si="8"/>
        <v>0</v>
      </c>
    </row>
    <row r="39" spans="1:8" x14ac:dyDescent="0.3">
      <c r="A39" s="453" t="s">
        <v>143</v>
      </c>
      <c r="B39" s="433">
        <v>1950</v>
      </c>
      <c r="C39" s="4" t="s">
        <v>142</v>
      </c>
      <c r="D39" s="22">
        <f>Balaka!G39+Balaka!H39+Balaka!I39</f>
        <v>0</v>
      </c>
      <c r="E39" s="22">
        <f>Liwonde!G39+Liwonde!H39+Liwonde!I39</f>
        <v>0</v>
      </c>
      <c r="F39" s="22">
        <f>Machinga!G39+Machinga!H39+Machinga!I39</f>
        <v>0</v>
      </c>
      <c r="G39" s="22">
        <f>Ntaja!G39+Ntaja!H39+Ntaja!I39</f>
        <v>0</v>
      </c>
      <c r="H39" s="40">
        <f>SUM(D39:G39)</f>
        <v>0</v>
      </c>
    </row>
    <row r="40" spans="1:8" x14ac:dyDescent="0.3">
      <c r="A40" s="454"/>
      <c r="B40" s="433"/>
      <c r="C40" s="37" t="s">
        <v>141</v>
      </c>
      <c r="D40" s="13">
        <f t="shared" ref="D40:H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35">
        <f t="shared" si="9"/>
        <v>0</v>
      </c>
    </row>
    <row r="41" spans="1:8" x14ac:dyDescent="0.3">
      <c r="A41" s="447" t="s">
        <v>140</v>
      </c>
      <c r="B41" s="448"/>
      <c r="C41" s="4" t="s">
        <v>31</v>
      </c>
      <c r="D41" s="36">
        <f>(D29*$B29)+(D31*$B31)+(D33*$B33)+(D35*$B35)+(D37*$B37)+(D39*$B39)</f>
        <v>1614582.82</v>
      </c>
      <c r="E41" s="36">
        <f t="shared" ref="E41:G41" si="10">(E29*$B29)+(E31*$B31)+(E33*$B33)+(E35*$B35)+(E37*$B37)+(E39*$B39)</f>
        <v>8014081.4394000005</v>
      </c>
      <c r="F41" s="36">
        <f t="shared" si="10"/>
        <v>77556.38</v>
      </c>
      <c r="G41" s="36">
        <f t="shared" si="10"/>
        <v>95182.83</v>
      </c>
      <c r="H41" s="34">
        <f>SUM(D41:G41)</f>
        <v>9801403.4694000017</v>
      </c>
    </row>
    <row r="42" spans="1:8" x14ac:dyDescent="0.3">
      <c r="A42" s="463" t="s">
        <v>139</v>
      </c>
      <c r="B42" s="464"/>
      <c r="C42" s="37" t="s">
        <v>117</v>
      </c>
      <c r="D42" s="13">
        <f t="shared" ref="D42:H42" si="11">D41/D9</f>
        <v>9.0371307672071701</v>
      </c>
      <c r="E42" s="13">
        <f t="shared" si="11"/>
        <v>36.397697527942924</v>
      </c>
      <c r="F42" s="13">
        <f t="shared" si="11"/>
        <v>11.01183870509726</v>
      </c>
      <c r="G42" s="13">
        <f t="shared" si="11"/>
        <v>8.6161700009052229</v>
      </c>
      <c r="H42" s="99">
        <f t="shared" si="11"/>
        <v>23.508398178599872</v>
      </c>
    </row>
    <row r="43" spans="1:8" ht="14.4" x14ac:dyDescent="0.3">
      <c r="A43" s="460" t="s">
        <v>138</v>
      </c>
      <c r="B43" s="461"/>
      <c r="C43" s="461"/>
      <c r="D43" s="461"/>
      <c r="E43" s="461"/>
      <c r="F43" s="461"/>
      <c r="G43" s="461"/>
      <c r="H43" s="462"/>
    </row>
    <row r="44" spans="1:8" x14ac:dyDescent="0.3">
      <c r="A44" s="447" t="s">
        <v>137</v>
      </c>
      <c r="B44" s="448"/>
      <c r="C44" s="4" t="s">
        <v>136</v>
      </c>
      <c r="D44" s="22">
        <f>Balaka!G44+Balaka!H44+Balaka!I44</f>
        <v>102884.7</v>
      </c>
      <c r="E44" s="22">
        <f>Liwonde!G44+Liwonde!H44+Liwonde!I44</f>
        <v>166436</v>
      </c>
      <c r="F44" s="22">
        <f>Machinga!G44+Machinga!H44+Machinga!I44</f>
        <v>12700</v>
      </c>
      <c r="G44" s="22">
        <f>Ntaja!G44+Ntaja!H44+Ntaja!I44</f>
        <v>11946</v>
      </c>
      <c r="H44" s="34">
        <f>SUM(D44:G44)</f>
        <v>293966.7</v>
      </c>
    </row>
    <row r="45" spans="1:8" x14ac:dyDescent="0.3">
      <c r="A45" s="463" t="s">
        <v>135</v>
      </c>
      <c r="B45" s="464"/>
      <c r="C45" s="37" t="s">
        <v>134</v>
      </c>
      <c r="D45" s="13">
        <f t="shared" ref="D45:H45" si="12">D44/D9</f>
        <v>0.57586546588231347</v>
      </c>
      <c r="E45" s="13">
        <f t="shared" si="12"/>
        <v>0.75590536876478898</v>
      </c>
      <c r="F45" s="13">
        <f t="shared" si="12"/>
        <v>1.8032088598608547</v>
      </c>
      <c r="G45" s="13">
        <f t="shared" si="12"/>
        <v>1.0813795600615552</v>
      </c>
      <c r="H45" s="35">
        <f t="shared" si="12"/>
        <v>0.70507109072942353</v>
      </c>
    </row>
    <row r="46" spans="1:8" x14ac:dyDescent="0.3">
      <c r="A46" s="447" t="s">
        <v>133</v>
      </c>
      <c r="B46" s="448"/>
      <c r="C46" s="4" t="s">
        <v>31</v>
      </c>
      <c r="D46" s="22">
        <f>Balaka!G46+Balaka!H46+Balaka!I46</f>
        <v>17258023.934249997</v>
      </c>
      <c r="E46" s="22">
        <f>Liwonde!G46+Liwonde!H46+Liwonde!I46</f>
        <v>27882371.390000001</v>
      </c>
      <c r="F46" s="22">
        <f>Machinga!G46+Machinga!H46+Machinga!I46</f>
        <v>2181171.25</v>
      </c>
      <c r="G46" s="22">
        <f>Ntaja!G46+Ntaja!H46+Ntaja!I46</f>
        <v>2055119.415</v>
      </c>
      <c r="H46" s="34">
        <f>SUM(D46:G46)</f>
        <v>49376685.989249997</v>
      </c>
    </row>
    <row r="47" spans="1:8" x14ac:dyDescent="0.3">
      <c r="A47" s="447" t="s">
        <v>132</v>
      </c>
      <c r="B47" s="448"/>
      <c r="C47" s="4" t="s">
        <v>117</v>
      </c>
      <c r="D47" s="13">
        <f t="shared" ref="D47:H47" si="13">D46/D9</f>
        <v>96.596481236811599</v>
      </c>
      <c r="E47" s="13">
        <f t="shared" si="13"/>
        <v>126.63386663699411</v>
      </c>
      <c r="F47" s="13">
        <f t="shared" si="13"/>
        <v>309.69348999006104</v>
      </c>
      <c r="G47" s="13">
        <f t="shared" si="13"/>
        <v>186.03416447904408</v>
      </c>
      <c r="H47" s="35">
        <f t="shared" si="13"/>
        <v>118.4286310219652</v>
      </c>
    </row>
    <row r="48" spans="1:8" ht="14.4" x14ac:dyDescent="0.3">
      <c r="A48" s="460" t="s">
        <v>131</v>
      </c>
      <c r="B48" s="461"/>
      <c r="C48" s="461"/>
      <c r="D48" s="461"/>
      <c r="E48" s="461"/>
      <c r="F48" s="461"/>
      <c r="G48" s="461"/>
      <c r="H48" s="462"/>
    </row>
    <row r="49" spans="1:8" x14ac:dyDescent="0.3">
      <c r="A49" s="447" t="s">
        <v>130</v>
      </c>
      <c r="B49" s="448"/>
      <c r="C49" s="4" t="s">
        <v>129</v>
      </c>
      <c r="D49" s="22">
        <f>Balaka!G49+Balaka!H49+Balaka!I49</f>
        <v>16701.515151515152</v>
      </c>
      <c r="E49" s="22">
        <f>Liwonde!G49+Liwonde!H49+Liwonde!I49</f>
        <v>6110</v>
      </c>
      <c r="F49" s="22">
        <f>Machinga!G49+Machinga!H49+Machinga!I49</f>
        <v>0</v>
      </c>
      <c r="G49" s="22">
        <f>Ntaja!G49+Ntaja!H49+Ntaja!I49</f>
        <v>0</v>
      </c>
      <c r="H49" s="34">
        <f>SUM(D49:G49)</f>
        <v>22811.515151515152</v>
      </c>
    </row>
    <row r="50" spans="1:8" x14ac:dyDescent="0.3">
      <c r="A50" s="447" t="s">
        <v>189</v>
      </c>
      <c r="B50" s="448"/>
      <c r="C50" s="4" t="s">
        <v>128</v>
      </c>
      <c r="D50" s="22">
        <f>Balaka!G50+Balaka!H50+Balaka!I50</f>
        <v>786.00857142857103</v>
      </c>
      <c r="E50" s="22">
        <f>Liwonde!G50+Liwonde!H50+Liwonde!I50</f>
        <v>1313</v>
      </c>
      <c r="F50" s="22">
        <f>Machinga!G50+Machinga!H50+Machinga!I50</f>
        <v>0</v>
      </c>
      <c r="G50" s="22">
        <f>Ntaja!G50+Ntaja!H50+Ntaja!I50</f>
        <v>0</v>
      </c>
      <c r="H50" s="34">
        <f>SUM(D50:G50)</f>
        <v>2099.008571428571</v>
      </c>
    </row>
    <row r="51" spans="1:8" x14ac:dyDescent="0.3">
      <c r="A51" s="447" t="s">
        <v>127</v>
      </c>
      <c r="B51" s="448"/>
      <c r="C51" s="4" t="s">
        <v>31</v>
      </c>
      <c r="D51" s="22">
        <f>Balaka!G51+Balaka!H51+Balaka!I51</f>
        <v>2434560</v>
      </c>
      <c r="E51" s="22">
        <f>Liwonde!G51+Liwonde!H51+Liwonde!I51</f>
        <v>3589742</v>
      </c>
      <c r="F51" s="22">
        <f>Machinga!G51+Machinga!H51+Machinga!I51</f>
        <v>0</v>
      </c>
      <c r="G51" s="22">
        <f>Ntaja!G51+Ntaja!H51+Ntaja!I51</f>
        <v>0</v>
      </c>
      <c r="H51" s="35">
        <f>SUM(D51:G51)</f>
        <v>6024302</v>
      </c>
    </row>
    <row r="52" spans="1:8" x14ac:dyDescent="0.3">
      <c r="A52" s="447" t="s">
        <v>126</v>
      </c>
      <c r="B52" s="448"/>
      <c r="C52" s="4" t="s">
        <v>31</v>
      </c>
      <c r="D52" s="22">
        <f>Balaka!G52+Balaka!H52+Balaka!I52</f>
        <v>0</v>
      </c>
      <c r="E52" s="22">
        <f>Liwonde!G52+Liwonde!H52+Liwonde!I52</f>
        <v>0</v>
      </c>
      <c r="F52" s="22">
        <f>Machinga!G52+Machinga!H52+Machinga!I52</f>
        <v>0</v>
      </c>
      <c r="G52" s="22">
        <f>Ntaja!G52+Ntaja!H52+Ntaja!I52</f>
        <v>0</v>
      </c>
      <c r="H52" s="35">
        <f>SUM(D52:G52)</f>
        <v>0</v>
      </c>
    </row>
    <row r="53" spans="1:8" ht="14.4" x14ac:dyDescent="0.3">
      <c r="A53" s="460" t="s">
        <v>125</v>
      </c>
      <c r="B53" s="461"/>
      <c r="C53" s="461"/>
      <c r="D53" s="461"/>
      <c r="E53" s="461"/>
      <c r="F53" s="461"/>
      <c r="G53" s="461"/>
      <c r="H53" s="462"/>
    </row>
    <row r="54" spans="1:8" x14ac:dyDescent="0.3">
      <c r="A54" s="447" t="s">
        <v>124</v>
      </c>
      <c r="B54" s="448"/>
      <c r="C54" s="4" t="s">
        <v>18</v>
      </c>
      <c r="D54" s="22">
        <f>Balaka!G54+Balaka!H54+Balaka!I54</f>
        <v>52251478.579999998</v>
      </c>
      <c r="E54" s="22">
        <f>Liwonde!G54+Liwonde!H54+Liwonde!I54</f>
        <v>49614992.060000002</v>
      </c>
      <c r="F54" s="22">
        <f>Machinga!G54+Machinga!H54+Machinga!I54</f>
        <v>2138305.89</v>
      </c>
      <c r="G54" s="22">
        <f>Ntaja!G54+Ntaja!H54+Ntaja!I54</f>
        <v>7751217.4600000009</v>
      </c>
      <c r="H54" s="34">
        <f>SUM(D54:G54)</f>
        <v>111755993.99000001</v>
      </c>
    </row>
    <row r="55" spans="1:8" x14ac:dyDescent="0.3">
      <c r="A55" s="67" t="s">
        <v>123</v>
      </c>
      <c r="B55" s="68"/>
      <c r="C55" s="4" t="s">
        <v>18</v>
      </c>
      <c r="D55" s="22">
        <f>Balaka!G55+Balaka!H55+Balaka!I55</f>
        <v>16388142.960000001</v>
      </c>
      <c r="E55" s="22">
        <f>Liwonde!G55+Liwonde!H55+Liwonde!I55</f>
        <v>24963556.079999998</v>
      </c>
      <c r="F55" s="22">
        <f>Machinga!G55+Machinga!H55+Machinga!I55</f>
        <v>3024003.84</v>
      </c>
      <c r="G55" s="22">
        <f>Ntaja!G55+Ntaja!H55+Ntaja!I55</f>
        <v>1870617.7599999998</v>
      </c>
      <c r="H55" s="34">
        <f>SUM(D55:G55)</f>
        <v>46246320.639999993</v>
      </c>
    </row>
    <row r="56" spans="1:8" x14ac:dyDescent="0.3">
      <c r="A56" s="447" t="s">
        <v>122</v>
      </c>
      <c r="B56" s="448"/>
      <c r="C56" s="4" t="s">
        <v>18</v>
      </c>
      <c r="D56" s="22">
        <f>Balaka!G56+Balaka!H56+Balaka!I56</f>
        <v>14991222.08</v>
      </c>
      <c r="E56" s="22">
        <f>Liwonde!G56+Liwonde!H56+Liwonde!I56</f>
        <v>19657002.079999998</v>
      </c>
      <c r="F56" s="22">
        <f>Machinga!G56+Machinga!H56+Machinga!I56</f>
        <v>97762.08</v>
      </c>
      <c r="G56" s="22">
        <f>Ntaja!G56+Ntaja!H56+Ntaja!I56</f>
        <v>0</v>
      </c>
      <c r="H56" s="34">
        <f>SUM(D56:G56)</f>
        <v>34745986.239999995</v>
      </c>
    </row>
    <row r="57" spans="1:8" ht="14.4" x14ac:dyDescent="0.3">
      <c r="A57" s="460" t="s">
        <v>121</v>
      </c>
      <c r="B57" s="461"/>
      <c r="C57" s="461"/>
      <c r="D57" s="461"/>
      <c r="E57" s="461"/>
      <c r="F57" s="461"/>
      <c r="G57" s="461"/>
      <c r="H57" s="462"/>
    </row>
    <row r="58" spans="1:8" x14ac:dyDescent="0.3">
      <c r="A58" s="447" t="s">
        <v>120</v>
      </c>
      <c r="B58" s="448"/>
      <c r="C58" s="4" t="s">
        <v>18</v>
      </c>
      <c r="D58" s="11">
        <f>D41+D46+D51+D52+D54+D55+D56</f>
        <v>104938010.37425001</v>
      </c>
      <c r="E58" s="11">
        <f t="shared" ref="E58:G58" si="14">E41+E46+E51+E52+E54+E55+E56</f>
        <v>133721745.0494</v>
      </c>
      <c r="F58" s="11">
        <f t="shared" si="14"/>
        <v>7518799.4399999995</v>
      </c>
      <c r="G58" s="11">
        <f t="shared" si="14"/>
        <v>11772137.465000002</v>
      </c>
      <c r="H58" s="34">
        <f>SUM(D58:G58)</f>
        <v>257950692.32865003</v>
      </c>
    </row>
    <row r="59" spans="1:8" x14ac:dyDescent="0.3">
      <c r="A59" s="447" t="s">
        <v>119</v>
      </c>
      <c r="B59" s="448"/>
      <c r="C59" s="4" t="s">
        <v>117</v>
      </c>
      <c r="D59" s="13">
        <f t="shared" ref="D59:H59" si="15">D58/D9</f>
        <v>587.35823920301584</v>
      </c>
      <c r="E59" s="13">
        <f t="shared" si="15"/>
        <v>607.32644982718762</v>
      </c>
      <c r="F59" s="13">
        <f t="shared" si="15"/>
        <v>1067.5563595058923</v>
      </c>
      <c r="G59" s="13">
        <f t="shared" si="15"/>
        <v>1065.6411211188561</v>
      </c>
      <c r="H59" s="35">
        <f t="shared" si="15"/>
        <v>618.68768127332521</v>
      </c>
    </row>
    <row r="60" spans="1:8" x14ac:dyDescent="0.3">
      <c r="A60" s="447" t="s">
        <v>118</v>
      </c>
      <c r="B60" s="448"/>
      <c r="C60" s="4" t="s">
        <v>117</v>
      </c>
      <c r="D60" s="13">
        <f>D58/D22</f>
        <v>844.32891615246103</v>
      </c>
      <c r="E60" s="13">
        <f t="shared" ref="E60:G60" si="16">E58/E22</f>
        <v>871.55683522759136</v>
      </c>
      <c r="F60" s="13">
        <f t="shared" si="16"/>
        <v>1332.9077700366961</v>
      </c>
      <c r="G60" s="13">
        <f t="shared" si="16"/>
        <v>1153.5543468461849</v>
      </c>
      <c r="H60" s="148">
        <f>H58/H22</f>
        <v>878.69746804540648</v>
      </c>
    </row>
    <row r="61" spans="1:8" x14ac:dyDescent="0.3">
      <c r="A61" s="447" t="s">
        <v>116</v>
      </c>
      <c r="B61" s="448"/>
      <c r="C61" s="4" t="s">
        <v>3</v>
      </c>
      <c r="D61" s="22">
        <f>Balaka!I61</f>
        <v>14</v>
      </c>
      <c r="E61" s="22">
        <f>Liwonde!I61</f>
        <v>25</v>
      </c>
      <c r="F61" s="22">
        <f>Machinga!I61</f>
        <v>3</v>
      </c>
      <c r="G61" s="22">
        <f>Ntaja!I61</f>
        <v>6</v>
      </c>
      <c r="H61" s="143">
        <f>SUM(D61:G61)</f>
        <v>48</v>
      </c>
    </row>
    <row r="62" spans="1:8" ht="15.6" customHeight="1" x14ac:dyDescent="0.3">
      <c r="A62" s="447" t="s">
        <v>115</v>
      </c>
      <c r="B62" s="448"/>
      <c r="C62" s="4" t="s">
        <v>114</v>
      </c>
      <c r="D62" s="13">
        <f t="shared" ref="D62:H62" si="17">(D61*1000*31)/D9</f>
        <v>2.4291815225482898</v>
      </c>
      <c r="E62" s="13">
        <f t="shared" si="17"/>
        <v>3.5198314114296876</v>
      </c>
      <c r="F62" s="13">
        <f t="shared" si="17"/>
        <v>13.204600312366889</v>
      </c>
      <c r="G62" s="13">
        <f t="shared" si="17"/>
        <v>16.837150357563139</v>
      </c>
      <c r="H62" s="35">
        <f t="shared" si="17"/>
        <v>3.5689273070908447</v>
      </c>
    </row>
    <row r="63" spans="1:8" x14ac:dyDescent="0.3">
      <c r="A63" s="465" t="s">
        <v>113</v>
      </c>
      <c r="B63" s="466"/>
      <c r="C63" s="33" t="s">
        <v>3</v>
      </c>
      <c r="D63" s="22">
        <f>Balaka!G63+Balaka!H63+Balaka!I63</f>
        <v>79</v>
      </c>
      <c r="E63" s="22">
        <f>Liwonde!G63+Liwonde!H63+Liwonde!I63</f>
        <v>151</v>
      </c>
      <c r="F63" s="22">
        <f>Machinga!G63+Machinga!H63+Machinga!I63</f>
        <v>24</v>
      </c>
      <c r="G63" s="22">
        <f>Ntaja!G63+Ntaja!H63+Ntaja!I63</f>
        <v>15</v>
      </c>
      <c r="H63" s="143">
        <f>SUM(D63:G63)</f>
        <v>269</v>
      </c>
    </row>
    <row r="64" spans="1:8" ht="14.4" x14ac:dyDescent="0.3">
      <c r="A64" s="467"/>
      <c r="B64" s="468"/>
      <c r="C64" s="468"/>
      <c r="D64" s="468"/>
      <c r="E64" s="468"/>
      <c r="F64" s="468"/>
      <c r="G64" s="468"/>
      <c r="H64" s="469"/>
    </row>
    <row r="65" spans="1:8" ht="14.4" customHeight="1" x14ac:dyDescent="0.3">
      <c r="A65" s="460" t="s">
        <v>112</v>
      </c>
      <c r="B65" s="461"/>
      <c r="C65" s="461"/>
      <c r="D65" s="461"/>
      <c r="E65" s="461"/>
      <c r="F65" s="461"/>
      <c r="G65" s="461"/>
      <c r="H65" s="462"/>
    </row>
    <row r="66" spans="1:8" x14ac:dyDescent="0.3">
      <c r="A66" s="476" t="s">
        <v>111</v>
      </c>
      <c r="B66" s="21" t="s">
        <v>85</v>
      </c>
      <c r="C66" s="4" t="s">
        <v>3</v>
      </c>
      <c r="D66" s="22">
        <f>Balaka!G66</f>
        <v>409</v>
      </c>
      <c r="E66" s="22">
        <f>Liwonde!G66</f>
        <v>712</v>
      </c>
      <c r="F66" s="22">
        <f>Machinga!G66</f>
        <v>6</v>
      </c>
      <c r="G66" s="22">
        <f>Ntaja!G66</f>
        <v>45</v>
      </c>
      <c r="H66" s="31">
        <f>SUM(D66:G66)</f>
        <v>1172</v>
      </c>
    </row>
    <row r="67" spans="1:8" x14ac:dyDescent="0.3">
      <c r="A67" s="477"/>
      <c r="B67" s="21" t="s">
        <v>106</v>
      </c>
      <c r="C67" s="4" t="s">
        <v>3</v>
      </c>
      <c r="D67" s="22">
        <f>Balaka!G67+Balaka!H67+Balaka!I67</f>
        <v>170</v>
      </c>
      <c r="E67" s="22">
        <f>Liwonde!G67+Liwonde!H67+Liwonde!I67</f>
        <v>185</v>
      </c>
      <c r="F67" s="22">
        <f>Machinga!G67+Machinga!H67+Machinga!I67</f>
        <v>16</v>
      </c>
      <c r="G67" s="22">
        <f>Ntaja!G67+Ntaja!H67+Ntaja!I67</f>
        <v>51</v>
      </c>
      <c r="H67" s="31">
        <f>SUM(D67:G67)</f>
        <v>422</v>
      </c>
    </row>
    <row r="68" spans="1:8" ht="27" x14ac:dyDescent="0.3">
      <c r="A68" s="477"/>
      <c r="B68" s="21" t="s">
        <v>105</v>
      </c>
      <c r="C68" s="4" t="s">
        <v>3</v>
      </c>
      <c r="D68" s="22">
        <f>Balaka!G68+Balaka!H68+Balaka!I68</f>
        <v>157</v>
      </c>
      <c r="E68" s="22">
        <f>Liwonde!G68+Liwonde!H68+Liwonde!I68</f>
        <v>0</v>
      </c>
      <c r="F68" s="22">
        <f>Machinga!G68+Machinga!H68+Machinga!I68</f>
        <v>7</v>
      </c>
      <c r="G68" s="22">
        <f>Ntaja!G68+Ntaja!H68+Ntaja!I68</f>
        <v>0</v>
      </c>
      <c r="H68" s="31">
        <f>SUM(D68:G68)</f>
        <v>164</v>
      </c>
    </row>
    <row r="69" spans="1:8" ht="27" x14ac:dyDescent="0.3">
      <c r="A69" s="477"/>
      <c r="B69" s="21" t="s">
        <v>104</v>
      </c>
      <c r="C69" s="4" t="s">
        <v>3</v>
      </c>
      <c r="D69" s="22">
        <f>Balaka!G69+Balaka!H69+Balaka!I69</f>
        <v>0</v>
      </c>
      <c r="E69" s="22">
        <f>Liwonde!G69+Liwonde!H69+Liwonde!I69</f>
        <v>63</v>
      </c>
      <c r="F69" s="22">
        <f>Machinga!G69+Machinga!H69+Machinga!I69</f>
        <v>11</v>
      </c>
      <c r="G69" s="22">
        <f>Ntaja!G69+Ntaja!H69+Ntaja!I69</f>
        <v>69</v>
      </c>
      <c r="H69" s="31">
        <f>SUM(D69:G69)</f>
        <v>143</v>
      </c>
    </row>
    <row r="70" spans="1:8" x14ac:dyDescent="0.3">
      <c r="A70" s="477"/>
      <c r="B70" s="21" t="s">
        <v>190</v>
      </c>
      <c r="C70" s="4" t="s">
        <v>3</v>
      </c>
      <c r="D70" s="3">
        <f>D68+D69</f>
        <v>157</v>
      </c>
      <c r="E70" s="3">
        <f t="shared" ref="E70:H70" si="18">E68+E69</f>
        <v>63</v>
      </c>
      <c r="F70" s="3">
        <f t="shared" si="18"/>
        <v>18</v>
      </c>
      <c r="G70" s="3">
        <f t="shared" si="18"/>
        <v>69</v>
      </c>
      <c r="H70" s="145">
        <f t="shared" si="18"/>
        <v>307</v>
      </c>
    </row>
    <row r="71" spans="1:8" x14ac:dyDescent="0.3">
      <c r="A71" s="478"/>
      <c r="B71" s="21" t="s">
        <v>81</v>
      </c>
      <c r="C71" s="4" t="s">
        <v>3</v>
      </c>
      <c r="D71" s="22">
        <f>D66+D67-D70</f>
        <v>422</v>
      </c>
      <c r="E71" s="22">
        <f t="shared" ref="E71:G71" si="19">E66+E67-E70</f>
        <v>834</v>
      </c>
      <c r="F71" s="22">
        <f t="shared" si="19"/>
        <v>4</v>
      </c>
      <c r="G71" s="22">
        <f t="shared" si="19"/>
        <v>27</v>
      </c>
      <c r="H71" s="50">
        <f>H66+H67-H70</f>
        <v>1287</v>
      </c>
    </row>
    <row r="72" spans="1:8" x14ac:dyDescent="0.3">
      <c r="A72" s="476" t="s">
        <v>110</v>
      </c>
      <c r="B72" s="21" t="s">
        <v>85</v>
      </c>
      <c r="C72" s="4" t="s">
        <v>3</v>
      </c>
      <c r="D72" s="22">
        <f>Balaka!G72</f>
        <v>0</v>
      </c>
      <c r="E72" s="22">
        <f>Liwonde!G72</f>
        <v>0</v>
      </c>
      <c r="F72" s="22">
        <f>Machinga!G72</f>
        <v>0</v>
      </c>
      <c r="G72" s="22">
        <f>Ntaja!G72</f>
        <v>3</v>
      </c>
      <c r="H72" s="31">
        <f>SUM(D72:G72)</f>
        <v>3</v>
      </c>
    </row>
    <row r="73" spans="1:8" x14ac:dyDescent="0.3">
      <c r="A73" s="477"/>
      <c r="B73" s="21" t="s">
        <v>106</v>
      </c>
      <c r="C73" s="4" t="s">
        <v>3</v>
      </c>
      <c r="D73" s="22">
        <f>Balaka!G73+Balaka!H73+Balaka!I73</f>
        <v>0</v>
      </c>
      <c r="E73" s="22">
        <f>Liwonde!G73+Liwonde!H73+Liwonde!I73</f>
        <v>0</v>
      </c>
      <c r="F73" s="22">
        <f>Machinga!G73+Machinga!H73+Machinga!I73</f>
        <v>0</v>
      </c>
      <c r="G73" s="22">
        <f>Ntaja!G73+Ntaja!H73+Ntaja!I73</f>
        <v>0</v>
      </c>
      <c r="H73" s="31">
        <f>SUM(D73:G73)</f>
        <v>0</v>
      </c>
    </row>
    <row r="74" spans="1:8" ht="27" x14ac:dyDescent="0.3">
      <c r="A74" s="477"/>
      <c r="B74" s="21" t="s">
        <v>105</v>
      </c>
      <c r="C74" s="4" t="s">
        <v>3</v>
      </c>
      <c r="D74" s="22">
        <f>Balaka!G74+Balaka!H74+Balaka!I74</f>
        <v>0</v>
      </c>
      <c r="E74" s="22">
        <f>Liwonde!G74+Liwonde!H74+Liwonde!I74</f>
        <v>0</v>
      </c>
      <c r="F74" s="22">
        <f>Machinga!G74+Machinga!H74+Machinga!I74</f>
        <v>0</v>
      </c>
      <c r="G74" s="22">
        <f>Ntaja!G74+Ntaja!H74+Ntaja!I74</f>
        <v>0</v>
      </c>
      <c r="H74" s="31">
        <f>SUM(D74:G74)</f>
        <v>0</v>
      </c>
    </row>
    <row r="75" spans="1:8" ht="27" x14ac:dyDescent="0.3">
      <c r="A75" s="477"/>
      <c r="B75" s="21" t="s">
        <v>104</v>
      </c>
      <c r="C75" s="4" t="s">
        <v>3</v>
      </c>
      <c r="D75" s="22">
        <f>Balaka!G75+Balaka!H75+Balaka!I75</f>
        <v>0</v>
      </c>
      <c r="E75" s="22">
        <f>Liwonde!G75+Liwonde!H75+Liwonde!I75</f>
        <v>0</v>
      </c>
      <c r="F75" s="22">
        <f>Machinga!G75+Machinga!H75+Machinga!I75</f>
        <v>0</v>
      </c>
      <c r="G75" s="22">
        <f>Ntaja!G75+Ntaja!H75+Ntaja!I75</f>
        <v>0</v>
      </c>
      <c r="H75" s="31">
        <f>SUM(D75:G75)</f>
        <v>0</v>
      </c>
    </row>
    <row r="76" spans="1:8" x14ac:dyDescent="0.3">
      <c r="A76" s="477"/>
      <c r="B76" s="21" t="s">
        <v>190</v>
      </c>
      <c r="C76" s="4" t="s">
        <v>3</v>
      </c>
      <c r="D76" s="3">
        <f>D74+D75</f>
        <v>0</v>
      </c>
      <c r="E76" s="3">
        <f t="shared" ref="E76:H76" si="20">E74+E75</f>
        <v>0</v>
      </c>
      <c r="F76" s="3">
        <f t="shared" si="20"/>
        <v>0</v>
      </c>
      <c r="G76" s="3">
        <f t="shared" si="20"/>
        <v>0</v>
      </c>
      <c r="H76" s="145">
        <f t="shared" si="20"/>
        <v>0</v>
      </c>
    </row>
    <row r="77" spans="1:8" x14ac:dyDescent="0.3">
      <c r="A77" s="478"/>
      <c r="B77" s="21" t="s">
        <v>81</v>
      </c>
      <c r="C77" s="4" t="s">
        <v>3</v>
      </c>
      <c r="D77" s="22">
        <f>D73+D74-D76</f>
        <v>0</v>
      </c>
      <c r="E77" s="22">
        <f t="shared" ref="E77:H77" si="21">E73+E74-E76</f>
        <v>0</v>
      </c>
      <c r="F77" s="22">
        <f t="shared" si="21"/>
        <v>0</v>
      </c>
      <c r="G77" s="22">
        <f t="shared" si="21"/>
        <v>0</v>
      </c>
      <c r="H77" s="50">
        <f t="shared" si="21"/>
        <v>0</v>
      </c>
    </row>
    <row r="78" spans="1:8" ht="15.6" customHeight="1" x14ac:dyDescent="0.3">
      <c r="A78" s="476" t="s">
        <v>109</v>
      </c>
      <c r="B78" s="21" t="s">
        <v>85</v>
      </c>
      <c r="C78" s="4" t="s">
        <v>3</v>
      </c>
      <c r="D78" s="22">
        <f>Balaka!G78</f>
        <v>0</v>
      </c>
      <c r="E78" s="22">
        <f>Liwonde!G78</f>
        <v>0</v>
      </c>
      <c r="F78" s="22">
        <f>Machinga!G78</f>
        <v>0</v>
      </c>
      <c r="G78" s="22">
        <f>Ntaja!G78</f>
        <v>0</v>
      </c>
      <c r="H78" s="31">
        <f>SUM(D78:G78)</f>
        <v>0</v>
      </c>
    </row>
    <row r="79" spans="1:8" x14ac:dyDescent="0.3">
      <c r="A79" s="477"/>
      <c r="B79" s="21" t="s">
        <v>106</v>
      </c>
      <c r="C79" s="4" t="s">
        <v>3</v>
      </c>
      <c r="D79" s="22">
        <f>Balaka!G79+Balaka!H79+Balaka!I79</f>
        <v>0</v>
      </c>
      <c r="E79" s="22">
        <f>Liwonde!G79+Liwonde!H79+Liwonde!I79</f>
        <v>0</v>
      </c>
      <c r="F79" s="22">
        <f>Machinga!G79+Machinga!H79+Machinga!I79</f>
        <v>0</v>
      </c>
      <c r="G79" s="22">
        <f>Ntaja!G79+Ntaja!H79+Ntaja!I79</f>
        <v>1</v>
      </c>
      <c r="H79" s="31">
        <f>SUM(D79:G79)</f>
        <v>1</v>
      </c>
    </row>
    <row r="80" spans="1:8" ht="27" x14ac:dyDescent="0.3">
      <c r="A80" s="477"/>
      <c r="B80" s="21" t="s">
        <v>105</v>
      </c>
      <c r="C80" s="4" t="s">
        <v>3</v>
      </c>
      <c r="D80" s="22">
        <f>Balaka!G80+Balaka!H80+Balaka!I80</f>
        <v>0</v>
      </c>
      <c r="E80" s="22">
        <f>Liwonde!G80+Liwonde!H80+Liwonde!I80</f>
        <v>0</v>
      </c>
      <c r="F80" s="22">
        <f>Machinga!G80+Machinga!H80+Machinga!I80</f>
        <v>0</v>
      </c>
      <c r="G80" s="22">
        <f>Ntaja!G80+Ntaja!H80+Ntaja!I80</f>
        <v>0</v>
      </c>
      <c r="H80" s="31">
        <f>SUM(D80:G80)</f>
        <v>0</v>
      </c>
    </row>
    <row r="81" spans="1:8" ht="27" x14ac:dyDescent="0.3">
      <c r="A81" s="477"/>
      <c r="B81" s="21" t="s">
        <v>104</v>
      </c>
      <c r="C81" s="4" t="s">
        <v>3</v>
      </c>
      <c r="D81" s="22">
        <f>Balaka!G81+Balaka!H81+Balaka!I81</f>
        <v>0</v>
      </c>
      <c r="E81" s="22">
        <f>Liwonde!G81+Liwonde!H81+Liwonde!I81</f>
        <v>0</v>
      </c>
      <c r="F81" s="22">
        <f>Machinga!G81+Machinga!H81+Machinga!I81</f>
        <v>0</v>
      </c>
      <c r="G81" s="22">
        <f>Ntaja!G81+Ntaja!H81+Ntaja!I81</f>
        <v>1</v>
      </c>
      <c r="H81" s="31">
        <f>SUM(D81:G81)</f>
        <v>1</v>
      </c>
    </row>
    <row r="82" spans="1:8" x14ac:dyDescent="0.3">
      <c r="A82" s="477"/>
      <c r="B82" s="21" t="s">
        <v>190</v>
      </c>
      <c r="C82" s="4" t="s">
        <v>3</v>
      </c>
      <c r="D82" s="3">
        <f>D81+D80</f>
        <v>0</v>
      </c>
      <c r="E82" s="3">
        <f t="shared" ref="E82:H82" si="22">E81+E80</f>
        <v>0</v>
      </c>
      <c r="F82" s="3">
        <f t="shared" si="22"/>
        <v>0</v>
      </c>
      <c r="G82" s="3">
        <f t="shared" si="22"/>
        <v>1</v>
      </c>
      <c r="H82" s="145">
        <f t="shared" si="22"/>
        <v>1</v>
      </c>
    </row>
    <row r="83" spans="1:8" x14ac:dyDescent="0.3">
      <c r="A83" s="478"/>
      <c r="B83" s="21" t="s">
        <v>81</v>
      </c>
      <c r="C83" s="4" t="s">
        <v>3</v>
      </c>
      <c r="D83" s="22">
        <f>D78+D79-D82</f>
        <v>0</v>
      </c>
      <c r="E83" s="22">
        <f t="shared" ref="E83:H83" si="23">E78+E79-E82</f>
        <v>0</v>
      </c>
      <c r="F83" s="22">
        <f t="shared" si="23"/>
        <v>0</v>
      </c>
      <c r="G83" s="22">
        <f t="shared" si="23"/>
        <v>0</v>
      </c>
      <c r="H83" s="50">
        <f t="shared" si="23"/>
        <v>0</v>
      </c>
    </row>
    <row r="84" spans="1:8" x14ac:dyDescent="0.3">
      <c r="A84" s="479" t="s">
        <v>108</v>
      </c>
      <c r="B84" s="21" t="s">
        <v>85</v>
      </c>
      <c r="C84" s="4" t="s">
        <v>3</v>
      </c>
      <c r="D84" s="22">
        <f>Balaka!G84</f>
        <v>0</v>
      </c>
      <c r="E84" s="22">
        <f>Liwonde!G84</f>
        <v>0</v>
      </c>
      <c r="F84" s="22">
        <f>Machinga!G84</f>
        <v>0</v>
      </c>
      <c r="G84" s="22">
        <f>Ntaja!G84</f>
        <v>0</v>
      </c>
      <c r="H84" s="31">
        <f>SUM(D84:G84)</f>
        <v>0</v>
      </c>
    </row>
    <row r="85" spans="1:8" x14ac:dyDescent="0.3">
      <c r="A85" s="480"/>
      <c r="B85" s="21" t="s">
        <v>106</v>
      </c>
      <c r="C85" s="4" t="s">
        <v>3</v>
      </c>
      <c r="D85" s="22">
        <f>Balaka!G85+Balaka!H85+Balaka!I85</f>
        <v>0</v>
      </c>
      <c r="E85" s="22">
        <f>Liwonde!G85+Liwonde!H85+Liwonde!I85</f>
        <v>0</v>
      </c>
      <c r="F85" s="22">
        <f>Machinga!G85+Machinga!H85+Machinga!I85</f>
        <v>0</v>
      </c>
      <c r="G85" s="22">
        <f>Ntaja!G85+Ntaja!H85+Ntaja!I85</f>
        <v>0</v>
      </c>
      <c r="H85" s="31">
        <f>SUM(D85:G85)</f>
        <v>0</v>
      </c>
    </row>
    <row r="86" spans="1:8" ht="27" x14ac:dyDescent="0.3">
      <c r="A86" s="480"/>
      <c r="B86" s="21" t="s">
        <v>105</v>
      </c>
      <c r="C86" s="4" t="s">
        <v>3</v>
      </c>
      <c r="D86" s="22">
        <f>Balaka!G86+Balaka!H86+Balaka!I86</f>
        <v>0</v>
      </c>
      <c r="E86" s="22">
        <f>Liwonde!G86+Liwonde!H86+Liwonde!I86</f>
        <v>0</v>
      </c>
      <c r="F86" s="22">
        <f>Machinga!G86+Machinga!H86+Machinga!I86</f>
        <v>0</v>
      </c>
      <c r="G86" s="22">
        <f>Ntaja!G86+Ntaja!H86+Ntaja!I86</f>
        <v>0</v>
      </c>
      <c r="H86" s="31">
        <f>SUM(D86:G86)</f>
        <v>0</v>
      </c>
    </row>
    <row r="87" spans="1:8" ht="27" x14ac:dyDescent="0.3">
      <c r="A87" s="480"/>
      <c r="B87" s="21" t="s">
        <v>104</v>
      </c>
      <c r="C87" s="4" t="s">
        <v>3</v>
      </c>
      <c r="D87" s="22">
        <f>Balaka!G87+Balaka!H87+Balaka!I87</f>
        <v>0</v>
      </c>
      <c r="E87" s="22">
        <f>Liwonde!G87+Liwonde!H87+Liwonde!I87</f>
        <v>0</v>
      </c>
      <c r="F87" s="22">
        <f>Machinga!G87+Machinga!H87+Machinga!I87</f>
        <v>0</v>
      </c>
      <c r="G87" s="22">
        <f>Ntaja!G87+Ntaja!H87+Ntaja!I87</f>
        <v>0</v>
      </c>
      <c r="H87" s="31">
        <f>SUM(D87:G87)</f>
        <v>0</v>
      </c>
    </row>
    <row r="88" spans="1:8" x14ac:dyDescent="0.3">
      <c r="A88" s="480"/>
      <c r="B88" s="21" t="s">
        <v>190</v>
      </c>
      <c r="C88" s="4" t="s">
        <v>3</v>
      </c>
      <c r="D88" s="3">
        <f>D87+D86</f>
        <v>0</v>
      </c>
      <c r="E88" s="3">
        <f t="shared" ref="E88:G88" si="24">E87+E86</f>
        <v>0</v>
      </c>
      <c r="F88" s="3">
        <f t="shared" si="24"/>
        <v>0</v>
      </c>
      <c r="G88" s="3">
        <f t="shared" si="24"/>
        <v>0</v>
      </c>
      <c r="H88" s="31"/>
    </row>
    <row r="89" spans="1:8" x14ac:dyDescent="0.3">
      <c r="A89" s="481"/>
      <c r="B89" s="32" t="s">
        <v>81</v>
      </c>
      <c r="C89" s="4" t="s">
        <v>3</v>
      </c>
      <c r="D89" s="22">
        <f>D84+D85-D88</f>
        <v>0</v>
      </c>
      <c r="E89" s="22">
        <f t="shared" ref="E89:G89" si="25">E84+E85-E88</f>
        <v>0</v>
      </c>
      <c r="F89" s="22">
        <f t="shared" si="25"/>
        <v>0</v>
      </c>
      <c r="G89" s="22">
        <f t="shared" si="25"/>
        <v>0</v>
      </c>
      <c r="H89" s="50">
        <f t="shared" ref="H89" si="26">H84+H85-H86-H87</f>
        <v>0</v>
      </c>
    </row>
    <row r="90" spans="1:8" x14ac:dyDescent="0.3">
      <c r="A90" s="479" t="s">
        <v>107</v>
      </c>
      <c r="B90" s="21" t="s">
        <v>85</v>
      </c>
      <c r="C90" s="4" t="s">
        <v>3</v>
      </c>
      <c r="D90" s="119">
        <f>D66+D72+D78+D84</f>
        <v>409</v>
      </c>
      <c r="E90" s="119">
        <f t="shared" ref="E90:G90" si="27">E66+E72+E78+E84</f>
        <v>712</v>
      </c>
      <c r="F90" s="119">
        <f t="shared" si="27"/>
        <v>6</v>
      </c>
      <c r="G90" s="119">
        <f t="shared" si="27"/>
        <v>48</v>
      </c>
      <c r="H90" s="31">
        <f>SUM(D90:G90)</f>
        <v>1175</v>
      </c>
    </row>
    <row r="91" spans="1:8" x14ac:dyDescent="0.3">
      <c r="A91" s="480"/>
      <c r="B91" s="21" t="s">
        <v>106</v>
      </c>
      <c r="C91" s="4" t="s">
        <v>3</v>
      </c>
      <c r="D91" s="119">
        <f t="shared" ref="D91:G93" si="28">D67+D73+D79+D85</f>
        <v>170</v>
      </c>
      <c r="E91" s="119">
        <f t="shared" si="28"/>
        <v>185</v>
      </c>
      <c r="F91" s="119">
        <f t="shared" si="28"/>
        <v>16</v>
      </c>
      <c r="G91" s="119">
        <f t="shared" si="28"/>
        <v>52</v>
      </c>
      <c r="H91" s="31">
        <f>SUM(D91:G91)</f>
        <v>423</v>
      </c>
    </row>
    <row r="92" spans="1:8" ht="27" x14ac:dyDescent="0.3">
      <c r="A92" s="480"/>
      <c r="B92" s="21" t="s">
        <v>105</v>
      </c>
      <c r="C92" s="4" t="s">
        <v>3</v>
      </c>
      <c r="D92" s="119">
        <f t="shared" si="28"/>
        <v>157</v>
      </c>
      <c r="E92" s="119">
        <f t="shared" si="28"/>
        <v>0</v>
      </c>
      <c r="F92" s="119">
        <f t="shared" si="28"/>
        <v>7</v>
      </c>
      <c r="G92" s="119">
        <f t="shared" si="28"/>
        <v>0</v>
      </c>
      <c r="H92" s="31">
        <f>SUM(D92:G92)</f>
        <v>164</v>
      </c>
    </row>
    <row r="93" spans="1:8" ht="27" x14ac:dyDescent="0.3">
      <c r="A93" s="480"/>
      <c r="B93" s="21" t="s">
        <v>104</v>
      </c>
      <c r="C93" s="4"/>
      <c r="D93" s="119">
        <f t="shared" si="28"/>
        <v>0</v>
      </c>
      <c r="E93" s="119">
        <f t="shared" si="28"/>
        <v>63</v>
      </c>
      <c r="F93" s="119">
        <f t="shared" si="28"/>
        <v>11</v>
      </c>
      <c r="G93" s="119">
        <f t="shared" si="28"/>
        <v>70</v>
      </c>
      <c r="H93" s="31">
        <f>SUM(D93:G93)</f>
        <v>144</v>
      </c>
    </row>
    <row r="94" spans="1:8" x14ac:dyDescent="0.3">
      <c r="A94" s="480"/>
      <c r="B94" s="21" t="s">
        <v>190</v>
      </c>
      <c r="C94" s="4" t="s">
        <v>3</v>
      </c>
      <c r="D94" s="120">
        <f>D93+D92</f>
        <v>157</v>
      </c>
      <c r="E94" s="120">
        <f t="shared" ref="E94:G94" si="29">E93+E92</f>
        <v>63</v>
      </c>
      <c r="F94" s="120">
        <f t="shared" si="29"/>
        <v>18</v>
      </c>
      <c r="G94" s="120">
        <f t="shared" si="29"/>
        <v>70</v>
      </c>
      <c r="H94" s="127">
        <f t="shared" ref="H94" si="30">H93+H92</f>
        <v>308</v>
      </c>
    </row>
    <row r="95" spans="1:8" ht="16.2" thickBot="1" x14ac:dyDescent="0.35">
      <c r="A95" s="481"/>
      <c r="B95" s="21" t="s">
        <v>81</v>
      </c>
      <c r="C95" s="4" t="s">
        <v>3</v>
      </c>
      <c r="D95" s="121">
        <f>D90+D91-D94</f>
        <v>422</v>
      </c>
      <c r="E95" s="121">
        <f t="shared" ref="E95:G95" si="31">E90+E91-E94</f>
        <v>834</v>
      </c>
      <c r="F95" s="121">
        <f t="shared" si="31"/>
        <v>4</v>
      </c>
      <c r="G95" s="121">
        <f t="shared" si="31"/>
        <v>30</v>
      </c>
      <c r="H95" s="128">
        <f t="shared" ref="H95" si="32">H90+H91-H94</f>
        <v>1290</v>
      </c>
    </row>
    <row r="96" spans="1:8" ht="16.2" customHeight="1" thickBot="1" x14ac:dyDescent="0.35">
      <c r="A96" s="482"/>
      <c r="B96" s="483"/>
      <c r="C96" s="483"/>
      <c r="D96" s="483"/>
      <c r="E96" s="483"/>
      <c r="F96" s="483"/>
      <c r="G96" s="483"/>
      <c r="H96" s="484"/>
    </row>
    <row r="97" spans="1:8" ht="15.75" customHeight="1" thickBot="1" x14ac:dyDescent="0.35">
      <c r="A97" s="470" t="s">
        <v>191</v>
      </c>
      <c r="B97" s="471"/>
      <c r="C97" s="471"/>
      <c r="D97" s="471"/>
      <c r="E97" s="471"/>
      <c r="F97" s="471"/>
      <c r="G97" s="471"/>
      <c r="H97" s="472"/>
    </row>
    <row r="98" spans="1:8" x14ac:dyDescent="0.3">
      <c r="A98" s="72" t="s">
        <v>192</v>
      </c>
      <c r="B98" s="62"/>
      <c r="C98" s="4" t="s">
        <v>3</v>
      </c>
      <c r="D98" s="22">
        <f>Balaka!G98+Balaka!H98+Balaka!I98</f>
        <v>228</v>
      </c>
      <c r="E98" s="22">
        <f>Liwonde!G98+Liwonde!H98+Liwonde!I98</f>
        <v>129</v>
      </c>
      <c r="F98" s="22">
        <f>Machinga!G98+Machinga!H98+Machinga!I98</f>
        <v>15</v>
      </c>
      <c r="G98" s="22">
        <f>Ntaja!G98+Ntaja!H98+Ntaja!I98</f>
        <v>72</v>
      </c>
      <c r="H98" s="146">
        <f>SUM(D98:G98)</f>
        <v>444</v>
      </c>
    </row>
    <row r="99" spans="1:8" x14ac:dyDescent="0.3">
      <c r="A99" s="72"/>
      <c r="B99" s="21"/>
      <c r="C99" s="4"/>
      <c r="D99" s="59"/>
      <c r="E99" s="59"/>
      <c r="F99" s="59"/>
      <c r="G99" s="59"/>
      <c r="H99" s="127"/>
    </row>
    <row r="100" spans="1:8" ht="14.4" x14ac:dyDescent="0.3">
      <c r="A100" s="473" t="s">
        <v>103</v>
      </c>
      <c r="B100" s="474"/>
      <c r="C100" s="474"/>
      <c r="D100" s="474"/>
      <c r="E100" s="474"/>
      <c r="F100" s="474"/>
      <c r="G100" s="474"/>
      <c r="H100" s="475"/>
    </row>
    <row r="101" spans="1:8" x14ac:dyDescent="0.3">
      <c r="A101" s="447" t="s">
        <v>102</v>
      </c>
      <c r="B101" s="448"/>
      <c r="C101" s="4" t="s">
        <v>3</v>
      </c>
      <c r="D101" s="22">
        <f>Balaka!I101</f>
        <v>2508</v>
      </c>
      <c r="E101" s="22">
        <f>Liwonde!I101</f>
        <v>1662</v>
      </c>
      <c r="F101" s="22">
        <f>Machinga!I101</f>
        <v>213</v>
      </c>
      <c r="G101" s="22">
        <f>Ntaja!I101</f>
        <v>0</v>
      </c>
      <c r="H101" s="31">
        <f>SUM(D101:G101)</f>
        <v>4383</v>
      </c>
    </row>
    <row r="102" spans="1:8" x14ac:dyDescent="0.3">
      <c r="A102" s="447" t="s">
        <v>101</v>
      </c>
      <c r="B102" s="448"/>
      <c r="C102" s="4" t="s">
        <v>3</v>
      </c>
      <c r="D102" s="22">
        <f>Balaka!I102</f>
        <v>50</v>
      </c>
      <c r="E102" s="22">
        <f>Liwonde!I102</f>
        <v>33</v>
      </c>
      <c r="F102" s="22">
        <f>Machinga!I102</f>
        <v>5</v>
      </c>
      <c r="G102" s="22">
        <f>Ntaja!I102</f>
        <v>0</v>
      </c>
      <c r="H102" s="31">
        <f>SUM(D102:G102)</f>
        <v>88</v>
      </c>
    </row>
    <row r="103" spans="1:8" ht="15.6" customHeight="1" x14ac:dyDescent="0.3">
      <c r="A103" s="445" t="s">
        <v>100</v>
      </c>
      <c r="B103" s="446"/>
      <c r="C103" s="4" t="s">
        <v>3</v>
      </c>
      <c r="D103" s="22">
        <f>Balaka!I103</f>
        <v>98</v>
      </c>
      <c r="E103" s="22">
        <f>Liwonde!I103</f>
        <v>20</v>
      </c>
      <c r="F103" s="22">
        <f>Machinga!I103</f>
        <v>3</v>
      </c>
      <c r="G103" s="22">
        <f>Ntaja!I103</f>
        <v>2</v>
      </c>
      <c r="H103" s="31">
        <f>SUM(D103:G103)</f>
        <v>123</v>
      </c>
    </row>
    <row r="104" spans="1:8" x14ac:dyDescent="0.3">
      <c r="A104" s="445" t="s">
        <v>99</v>
      </c>
      <c r="B104" s="446"/>
      <c r="C104" s="4" t="s">
        <v>3</v>
      </c>
      <c r="D104" s="22">
        <f>Balaka!I104</f>
        <v>18</v>
      </c>
      <c r="E104" s="22">
        <f>Liwonde!I104</f>
        <v>15</v>
      </c>
      <c r="F104" s="22">
        <f>Machinga!I104</f>
        <v>0</v>
      </c>
      <c r="G104" s="22">
        <f>Ntaja!I104</f>
        <v>0</v>
      </c>
      <c r="H104" s="31">
        <f>SUM(D104:G104)</f>
        <v>33</v>
      </c>
    </row>
    <row r="105" spans="1:8" x14ac:dyDescent="0.3">
      <c r="A105" s="485" t="s">
        <v>98</v>
      </c>
      <c r="B105" s="486"/>
      <c r="C105" s="4" t="s">
        <v>3</v>
      </c>
      <c r="D105" s="29">
        <f>SUM(D101:D104)</f>
        <v>2674</v>
      </c>
      <c r="E105" s="29">
        <f t="shared" ref="E105:G105" si="33">SUM(E101:E104)</f>
        <v>1730</v>
      </c>
      <c r="F105" s="29">
        <f t="shared" si="33"/>
        <v>221</v>
      </c>
      <c r="G105" s="29">
        <f t="shared" si="33"/>
        <v>2</v>
      </c>
      <c r="H105" s="31">
        <f>SUM(D105:G105)</f>
        <v>4627</v>
      </c>
    </row>
    <row r="106" spans="1:8" ht="15.6" customHeight="1" x14ac:dyDescent="0.3">
      <c r="A106" s="487" t="s">
        <v>212</v>
      </c>
      <c r="B106" s="488"/>
      <c r="C106" s="488"/>
      <c r="D106" s="488"/>
      <c r="E106" s="488"/>
      <c r="F106" s="488"/>
      <c r="G106" s="488"/>
      <c r="H106" s="489"/>
    </row>
    <row r="107" spans="1:8" x14ac:dyDescent="0.3">
      <c r="A107" s="447" t="s">
        <v>195</v>
      </c>
      <c r="B107" s="448"/>
      <c r="C107" s="4" t="s">
        <v>3</v>
      </c>
      <c r="D107" s="22">
        <f>Balaka!I107</f>
        <v>2946</v>
      </c>
      <c r="E107" s="22">
        <f>Liwonde!I107</f>
        <v>2631</v>
      </c>
      <c r="F107" s="22">
        <f>Machinga!I107</f>
        <v>6</v>
      </c>
      <c r="G107" s="22">
        <f>Ntaja!I107</f>
        <v>1</v>
      </c>
      <c r="H107" s="31">
        <f>SUM(D107:G107)</f>
        <v>5584</v>
      </c>
    </row>
    <row r="108" spans="1:8" x14ac:dyDescent="0.3">
      <c r="A108" s="447" t="s">
        <v>196</v>
      </c>
      <c r="B108" s="448"/>
      <c r="C108" s="4" t="s">
        <v>3</v>
      </c>
      <c r="D108" s="22">
        <f>Balaka!I108</f>
        <v>9</v>
      </c>
      <c r="E108" s="22">
        <f>Liwonde!I108</f>
        <v>7</v>
      </c>
      <c r="F108" s="22">
        <f>Machinga!I108</f>
        <v>1</v>
      </c>
      <c r="G108" s="22">
        <f>Ntaja!I108</f>
        <v>2</v>
      </c>
      <c r="H108" s="31">
        <f>SUM(D108:G108)</f>
        <v>19</v>
      </c>
    </row>
    <row r="109" spans="1:8" x14ac:dyDescent="0.3">
      <c r="A109" s="447" t="s">
        <v>197</v>
      </c>
      <c r="B109" s="448"/>
      <c r="C109" s="4" t="s">
        <v>3</v>
      </c>
      <c r="D109" s="22">
        <f>Balaka!I109</f>
        <v>1</v>
      </c>
      <c r="E109" s="22">
        <f>Liwonde!I109</f>
        <v>4</v>
      </c>
      <c r="F109" s="22">
        <f>Machinga!I109</f>
        <v>0</v>
      </c>
      <c r="G109" s="22">
        <f>Ntaja!I109</f>
        <v>0</v>
      </c>
      <c r="H109" s="31">
        <f>SUM(D109:G109)</f>
        <v>5</v>
      </c>
    </row>
    <row r="110" spans="1:8" x14ac:dyDescent="0.3">
      <c r="A110" s="447" t="s">
        <v>198</v>
      </c>
      <c r="B110" s="448"/>
      <c r="C110" s="4" t="s">
        <v>3</v>
      </c>
      <c r="D110" s="22">
        <f>Balaka!I110</f>
        <v>11</v>
      </c>
      <c r="E110" s="22">
        <f>Liwonde!I110</f>
        <v>10</v>
      </c>
      <c r="F110" s="22">
        <f>Machinga!I110</f>
        <v>0</v>
      </c>
      <c r="G110" s="22">
        <f>Ntaja!I110</f>
        <v>0</v>
      </c>
      <c r="H110" s="31">
        <f>SUM(D110:G110)</f>
        <v>21</v>
      </c>
    </row>
    <row r="111" spans="1:8" x14ac:dyDescent="0.3">
      <c r="A111" s="449" t="s">
        <v>97</v>
      </c>
      <c r="B111" s="450"/>
      <c r="C111" s="4" t="s">
        <v>3</v>
      </c>
      <c r="D111" s="29">
        <f>SUM(D107:D110)</f>
        <v>2967</v>
      </c>
      <c r="E111" s="29">
        <f t="shared" ref="E111:G111" si="34">SUM(E107:E110)</f>
        <v>2652</v>
      </c>
      <c r="F111" s="29">
        <f t="shared" si="34"/>
        <v>7</v>
      </c>
      <c r="G111" s="29">
        <f t="shared" si="34"/>
        <v>3</v>
      </c>
      <c r="H111" s="31">
        <f>SUM(D111:G111)</f>
        <v>5629</v>
      </c>
    </row>
    <row r="112" spans="1:8" ht="15.6" customHeight="1" x14ac:dyDescent="0.3">
      <c r="A112" s="473" t="s">
        <v>212</v>
      </c>
      <c r="B112" s="474"/>
      <c r="C112" s="474"/>
      <c r="D112" s="474"/>
      <c r="E112" s="474"/>
      <c r="F112" s="474"/>
      <c r="G112" s="474"/>
      <c r="H112" s="475"/>
    </row>
    <row r="113" spans="1:8" x14ac:dyDescent="0.3">
      <c r="A113" s="447" t="s">
        <v>199</v>
      </c>
      <c r="B113" s="448"/>
      <c r="C113" s="4" t="s">
        <v>3</v>
      </c>
      <c r="D113" s="22">
        <f>Balaka!I113</f>
        <v>2382</v>
      </c>
      <c r="E113" s="22">
        <f>Liwonde!I113</f>
        <v>1543</v>
      </c>
      <c r="F113" s="22">
        <f>Machinga!I113</f>
        <v>334</v>
      </c>
      <c r="G113" s="22">
        <f>Ntaja!I113</f>
        <v>637</v>
      </c>
      <c r="H113" s="31">
        <f t="shared" ref="H113:H119" si="35">SUM(D113:G113)</f>
        <v>4896</v>
      </c>
    </row>
    <row r="114" spans="1:8" x14ac:dyDescent="0.3">
      <c r="A114" s="447" t="s">
        <v>200</v>
      </c>
      <c r="B114" s="448"/>
      <c r="C114" s="4" t="s">
        <v>3</v>
      </c>
      <c r="D114" s="22">
        <f>Balaka!I114</f>
        <v>76</v>
      </c>
      <c r="E114" s="22">
        <f>Liwonde!I114</f>
        <v>45</v>
      </c>
      <c r="F114" s="22">
        <f>Machinga!I114</f>
        <v>14</v>
      </c>
      <c r="G114" s="22">
        <f>Ntaja!I114</f>
        <v>21</v>
      </c>
      <c r="H114" s="31">
        <f t="shared" si="35"/>
        <v>156</v>
      </c>
    </row>
    <row r="115" spans="1:8" x14ac:dyDescent="0.3">
      <c r="A115" s="447" t="s">
        <v>201</v>
      </c>
      <c r="B115" s="448"/>
      <c r="C115" s="4" t="s">
        <v>3</v>
      </c>
      <c r="D115" s="22">
        <f>Balaka!I115</f>
        <v>72</v>
      </c>
      <c r="E115" s="22">
        <f>Liwonde!I115</f>
        <v>114</v>
      </c>
      <c r="F115" s="22">
        <f>Machinga!I115</f>
        <v>27</v>
      </c>
      <c r="G115" s="22">
        <f>Ntaja!I115</f>
        <v>17</v>
      </c>
      <c r="H115" s="31">
        <f t="shared" si="35"/>
        <v>230</v>
      </c>
    </row>
    <row r="116" spans="1:8" x14ac:dyDescent="0.3">
      <c r="A116" s="447" t="s">
        <v>202</v>
      </c>
      <c r="B116" s="448"/>
      <c r="C116" s="4" t="s">
        <v>3</v>
      </c>
      <c r="D116" s="22">
        <f>Balaka!I116</f>
        <v>5</v>
      </c>
      <c r="E116" s="22">
        <f>Liwonde!I116</f>
        <v>1</v>
      </c>
      <c r="F116" s="22">
        <f>Machinga!I116</f>
        <v>0</v>
      </c>
      <c r="G116" s="22">
        <f>Ntaja!I116</f>
        <v>3</v>
      </c>
      <c r="H116" s="31">
        <f t="shared" si="35"/>
        <v>9</v>
      </c>
    </row>
    <row r="117" spans="1:8" x14ac:dyDescent="0.3">
      <c r="A117" s="449" t="s">
        <v>96</v>
      </c>
      <c r="B117" s="450"/>
      <c r="C117" s="4" t="s">
        <v>3</v>
      </c>
      <c r="D117" s="29">
        <f>SUM(D113:D116)</f>
        <v>2535</v>
      </c>
      <c r="E117" s="29">
        <f t="shared" ref="E117:G117" si="36">SUM(E113:E116)</f>
        <v>1703</v>
      </c>
      <c r="F117" s="29">
        <f t="shared" si="36"/>
        <v>375</v>
      </c>
      <c r="G117" s="29">
        <f t="shared" si="36"/>
        <v>678</v>
      </c>
      <c r="H117" s="31">
        <f t="shared" si="35"/>
        <v>5291</v>
      </c>
    </row>
    <row r="118" spans="1:8" x14ac:dyDescent="0.3">
      <c r="A118" s="69" t="s">
        <v>193</v>
      </c>
      <c r="B118" s="70"/>
      <c r="C118" s="4" t="s">
        <v>3</v>
      </c>
      <c r="D118" s="29">
        <f>D117+D111</f>
        <v>5502</v>
      </c>
      <c r="E118" s="29">
        <f t="shared" ref="E118:G118" si="37">E117+E111</f>
        <v>4355</v>
      </c>
      <c r="F118" s="29">
        <f t="shared" si="37"/>
        <v>382</v>
      </c>
      <c r="G118" s="29">
        <f t="shared" si="37"/>
        <v>681</v>
      </c>
      <c r="H118" s="31">
        <f t="shared" si="35"/>
        <v>10920</v>
      </c>
    </row>
    <row r="119" spans="1:8" x14ac:dyDescent="0.3">
      <c r="A119" s="449" t="s">
        <v>194</v>
      </c>
      <c r="B119" s="450"/>
      <c r="C119" s="4" t="s">
        <v>3</v>
      </c>
      <c r="D119" s="29">
        <f>D118+D105</f>
        <v>8176</v>
      </c>
      <c r="E119" s="29">
        <f t="shared" ref="E119:G119" si="38">E118+E105</f>
        <v>6085</v>
      </c>
      <c r="F119" s="29">
        <f t="shared" si="38"/>
        <v>603</v>
      </c>
      <c r="G119" s="29">
        <f t="shared" si="38"/>
        <v>683</v>
      </c>
      <c r="H119" s="31">
        <f t="shared" si="35"/>
        <v>15547</v>
      </c>
    </row>
    <row r="120" spans="1:8" ht="14.4" x14ac:dyDescent="0.3">
      <c r="A120" s="441" t="s">
        <v>203</v>
      </c>
      <c r="B120" s="442"/>
      <c r="C120" s="442"/>
      <c r="D120" s="442"/>
      <c r="E120" s="442"/>
      <c r="F120" s="442"/>
      <c r="G120" s="442"/>
      <c r="H120" s="444"/>
    </row>
    <row r="121" spans="1:8" x14ac:dyDescent="0.3">
      <c r="A121" s="447" t="s">
        <v>95</v>
      </c>
      <c r="B121" s="448"/>
      <c r="C121" s="4" t="s">
        <v>3</v>
      </c>
      <c r="D121" s="22">
        <f>Balaka!I121</f>
        <v>41615.03</v>
      </c>
      <c r="E121" s="22">
        <f>Liwonde!I121</f>
        <v>34753</v>
      </c>
      <c r="F121" s="22">
        <f>Machinga!I121</f>
        <v>1463</v>
      </c>
      <c r="G121" s="22">
        <f>Ntaja!I121</f>
        <v>4220</v>
      </c>
      <c r="H121" s="31">
        <f>SUM(D121:G121)</f>
        <v>82051.03</v>
      </c>
    </row>
    <row r="122" spans="1:8" x14ac:dyDescent="0.3">
      <c r="A122" s="447" t="s">
        <v>94</v>
      </c>
      <c r="B122" s="448"/>
      <c r="C122" s="4" t="s">
        <v>3</v>
      </c>
      <c r="D122" s="22">
        <f>Balaka!I122</f>
        <v>36441.54</v>
      </c>
      <c r="E122" s="22">
        <f>Liwonde!I122</f>
        <v>31515</v>
      </c>
      <c r="F122" s="22">
        <f>Machinga!I122</f>
        <v>1270</v>
      </c>
      <c r="G122" s="22">
        <f>Ntaja!I122</f>
        <v>2807.25</v>
      </c>
      <c r="H122" s="31">
        <f>SUM(D122:G122)</f>
        <v>72033.790000000008</v>
      </c>
    </row>
    <row r="123" spans="1:8" x14ac:dyDescent="0.3">
      <c r="A123" s="494" t="s">
        <v>93</v>
      </c>
      <c r="B123" s="495"/>
      <c r="C123" s="26" t="s">
        <v>6</v>
      </c>
      <c r="D123" s="25">
        <f t="shared" ref="D123:H123" si="39">D122/D121</f>
        <v>0.87568217540633764</v>
      </c>
      <c r="E123" s="25">
        <f t="shared" si="39"/>
        <v>0.90682818749460481</v>
      </c>
      <c r="F123" s="25">
        <f t="shared" si="39"/>
        <v>0.86807928913192067</v>
      </c>
      <c r="G123" s="25">
        <f t="shared" si="39"/>
        <v>0.66522511848341237</v>
      </c>
      <c r="H123" s="368">
        <f t="shared" si="39"/>
        <v>0.87791451246864305</v>
      </c>
    </row>
    <row r="124" spans="1:8" ht="14.4" x14ac:dyDescent="0.3">
      <c r="A124" s="490" t="s">
        <v>92</v>
      </c>
      <c r="B124" s="491"/>
      <c r="C124" s="491"/>
      <c r="D124" s="491"/>
      <c r="E124" s="491"/>
      <c r="F124" s="491"/>
      <c r="G124" s="491"/>
      <c r="H124" s="492"/>
    </row>
    <row r="125" spans="1:8" x14ac:dyDescent="0.3">
      <c r="A125" s="453" t="s">
        <v>91</v>
      </c>
      <c r="B125" s="21" t="s">
        <v>85</v>
      </c>
      <c r="C125" s="4" t="s">
        <v>3</v>
      </c>
      <c r="D125" s="22">
        <f>Balaka!G125</f>
        <v>0</v>
      </c>
      <c r="E125" s="22">
        <f>Liwonde!G125</f>
        <v>0</v>
      </c>
      <c r="F125" s="22">
        <f>Machinga!G125</f>
        <v>0</v>
      </c>
      <c r="G125" s="22">
        <f>Ntaja!G125</f>
        <v>0</v>
      </c>
      <c r="H125" s="31">
        <f>SUM(D125:G125)</f>
        <v>0</v>
      </c>
    </row>
    <row r="126" spans="1:8" x14ac:dyDescent="0.3">
      <c r="A126" s="493"/>
      <c r="B126" s="21" t="s">
        <v>84</v>
      </c>
      <c r="C126" s="4" t="s">
        <v>3</v>
      </c>
      <c r="D126" s="22">
        <f>Balaka!G126+Balaka!H126+Balaka!I126</f>
        <v>0</v>
      </c>
      <c r="E126" s="22">
        <f>Liwonde!G126+Liwonde!H126+Liwonde!I126</f>
        <v>0</v>
      </c>
      <c r="F126" s="22">
        <f>Machinga!G126+Machinga!H126+Machinga!I126</f>
        <v>0</v>
      </c>
      <c r="G126" s="22">
        <f>Ntaja!G126+Ntaja!H126+Ntaja!I126</f>
        <v>0</v>
      </c>
      <c r="H126" s="31">
        <f>SUM(D126:G126)</f>
        <v>0</v>
      </c>
    </row>
    <row r="127" spans="1:8" x14ac:dyDescent="0.3">
      <c r="A127" s="493"/>
      <c r="B127" s="71" t="s">
        <v>88</v>
      </c>
      <c r="C127" s="4" t="s">
        <v>3</v>
      </c>
      <c r="D127" s="22">
        <f>Balaka!G127+Balaka!H127+Balaka!I127</f>
        <v>0</v>
      </c>
      <c r="E127" s="22">
        <f>Liwonde!G127+Liwonde!H127+Liwonde!I127</f>
        <v>0</v>
      </c>
      <c r="F127" s="22">
        <f>Machinga!G127+Machinga!H127+Machinga!I127</f>
        <v>0</v>
      </c>
      <c r="G127" s="22">
        <f>Ntaja!G127+Ntaja!H127+Ntaja!I127</f>
        <v>0</v>
      </c>
      <c r="H127" s="31">
        <f>SUM(D127:G127)</f>
        <v>0</v>
      </c>
    </row>
    <row r="128" spans="1:8" x14ac:dyDescent="0.3">
      <c r="A128" s="493"/>
      <c r="B128" s="21" t="s">
        <v>82</v>
      </c>
      <c r="C128" s="4" t="s">
        <v>3</v>
      </c>
      <c r="D128" s="22">
        <f>Balaka!G128+Balaka!H128+Balaka!I128</f>
        <v>0</v>
      </c>
      <c r="E128" s="22">
        <f>Liwonde!G128+Liwonde!H128+Liwonde!I128</f>
        <v>0</v>
      </c>
      <c r="F128" s="22">
        <f>Machinga!G128+Machinga!H128+Machinga!I128</f>
        <v>0</v>
      </c>
      <c r="G128" s="22">
        <f>Ntaja!G128+Ntaja!H128+Ntaja!I128</f>
        <v>0</v>
      </c>
      <c r="H128" s="31">
        <f>SUM(D128:G128)</f>
        <v>0</v>
      </c>
    </row>
    <row r="129" spans="1:8" x14ac:dyDescent="0.3">
      <c r="A129" s="454"/>
      <c r="B129" s="21" t="s">
        <v>81</v>
      </c>
      <c r="C129" s="4" t="s">
        <v>3</v>
      </c>
      <c r="D129" s="123">
        <f t="shared" ref="D129:H129" si="40">D125+D126-D127-D128</f>
        <v>0</v>
      </c>
      <c r="E129" s="123">
        <f t="shared" si="40"/>
        <v>0</v>
      </c>
      <c r="F129" s="123">
        <f t="shared" si="40"/>
        <v>0</v>
      </c>
      <c r="G129" s="123">
        <f t="shared" si="40"/>
        <v>0</v>
      </c>
      <c r="H129" s="28">
        <f t="shared" si="40"/>
        <v>0</v>
      </c>
    </row>
    <row r="130" spans="1:8" x14ac:dyDescent="0.3">
      <c r="A130" s="453" t="s">
        <v>90</v>
      </c>
      <c r="B130" s="24" t="s">
        <v>85</v>
      </c>
      <c r="C130" s="23" t="s">
        <v>3</v>
      </c>
      <c r="D130" s="22">
        <f>Balaka!G130</f>
        <v>0</v>
      </c>
      <c r="E130" s="22">
        <f>Liwonde!G130</f>
        <v>0</v>
      </c>
      <c r="F130" s="22">
        <f>Machinga!G130</f>
        <v>0</v>
      </c>
      <c r="G130" s="22">
        <f>Ntaja!G130</f>
        <v>0</v>
      </c>
      <c r="H130" s="31">
        <f>SUM(D130:G130)</f>
        <v>0</v>
      </c>
    </row>
    <row r="131" spans="1:8" x14ac:dyDescent="0.3">
      <c r="A131" s="493"/>
      <c r="B131" s="21" t="s">
        <v>84</v>
      </c>
      <c r="C131" s="4" t="s">
        <v>3</v>
      </c>
      <c r="D131" s="22">
        <f>Balaka!G131+Balaka!H131+Balaka!I131</f>
        <v>0</v>
      </c>
      <c r="E131" s="22">
        <f>Liwonde!G131+Liwonde!H131+Liwonde!I131</f>
        <v>0</v>
      </c>
      <c r="F131" s="22">
        <f>Machinga!G131+Machinga!H131+Machinga!I131</f>
        <v>0</v>
      </c>
      <c r="G131" s="22">
        <f>Ntaja!G131+Ntaja!H131+Ntaja!I131</f>
        <v>1</v>
      </c>
      <c r="H131" s="31">
        <f>SUM(D131:G131)</f>
        <v>1</v>
      </c>
    </row>
    <row r="132" spans="1:8" x14ac:dyDescent="0.3">
      <c r="A132" s="493"/>
      <c r="B132" s="71" t="s">
        <v>88</v>
      </c>
      <c r="C132" s="4" t="s">
        <v>3</v>
      </c>
      <c r="D132" s="22">
        <f>Balaka!G132+Balaka!H132+Balaka!I132</f>
        <v>0</v>
      </c>
      <c r="E132" s="22">
        <f>Liwonde!G132+Liwonde!H132+Liwonde!I132</f>
        <v>0</v>
      </c>
      <c r="F132" s="22">
        <f>Machinga!G132+Machinga!H132+Machinga!I132</f>
        <v>0</v>
      </c>
      <c r="G132" s="22">
        <f>Ntaja!G132+Ntaja!H132+Ntaja!I132</f>
        <v>0</v>
      </c>
      <c r="H132" s="31">
        <f>SUM(D132:G132)</f>
        <v>0</v>
      </c>
    </row>
    <row r="133" spans="1:8" x14ac:dyDescent="0.3">
      <c r="A133" s="493"/>
      <c r="B133" s="21" t="s">
        <v>82</v>
      </c>
      <c r="C133" s="4" t="s">
        <v>3</v>
      </c>
      <c r="D133" s="22">
        <f>Balaka!G133+Balaka!H133+Balaka!I133</f>
        <v>0</v>
      </c>
      <c r="E133" s="22">
        <f>Liwonde!G133+Liwonde!H133+Liwonde!I133</f>
        <v>0</v>
      </c>
      <c r="F133" s="22">
        <f>Machinga!G133+Machinga!H133+Machinga!I133</f>
        <v>0</v>
      </c>
      <c r="G133" s="22">
        <f>Ntaja!G133+Ntaja!H133+Ntaja!I133</f>
        <v>1</v>
      </c>
      <c r="H133" s="31">
        <f>SUM(D133:G133)</f>
        <v>1</v>
      </c>
    </row>
    <row r="134" spans="1:8" x14ac:dyDescent="0.3">
      <c r="A134" s="454"/>
      <c r="B134" s="21" t="s">
        <v>81</v>
      </c>
      <c r="C134" s="4" t="s">
        <v>3</v>
      </c>
      <c r="D134" s="123">
        <f t="shared" ref="D134:H134" si="41">D130+D131-D132-D133</f>
        <v>0</v>
      </c>
      <c r="E134" s="123">
        <f t="shared" si="41"/>
        <v>0</v>
      </c>
      <c r="F134" s="123">
        <f t="shared" si="41"/>
        <v>0</v>
      </c>
      <c r="G134" s="123">
        <f t="shared" si="41"/>
        <v>0</v>
      </c>
      <c r="H134" s="28">
        <f t="shared" si="41"/>
        <v>0</v>
      </c>
    </row>
    <row r="135" spans="1:8" x14ac:dyDescent="0.3">
      <c r="A135" s="453" t="s">
        <v>89</v>
      </c>
      <c r="B135" s="21" t="s">
        <v>85</v>
      </c>
      <c r="C135" s="4" t="s">
        <v>3</v>
      </c>
      <c r="D135" s="22">
        <f>Balaka!G135</f>
        <v>0</v>
      </c>
      <c r="E135" s="22">
        <f>Liwonde!G135</f>
        <v>0</v>
      </c>
      <c r="F135" s="22">
        <f>Machinga!G135</f>
        <v>0</v>
      </c>
      <c r="G135" s="22">
        <f>Ntaja!G135</f>
        <v>0</v>
      </c>
      <c r="H135" s="31">
        <f>SUM(D135:G135)</f>
        <v>0</v>
      </c>
    </row>
    <row r="136" spans="1:8" x14ac:dyDescent="0.3">
      <c r="A136" s="493"/>
      <c r="B136" s="21" t="s">
        <v>84</v>
      </c>
      <c r="C136" s="4" t="s">
        <v>3</v>
      </c>
      <c r="D136" s="22">
        <f>Balaka!G136+Balaka!H136+Balaka!I136</f>
        <v>0</v>
      </c>
      <c r="E136" s="22">
        <f>Liwonde!G136+Liwonde!H136+Liwonde!I136</f>
        <v>0</v>
      </c>
      <c r="F136" s="22">
        <f>Machinga!G136+Machinga!H136+Machinga!I136</f>
        <v>0</v>
      </c>
      <c r="G136" s="22">
        <f>Ntaja!G136+Ntaja!H136+Ntaja!I136</f>
        <v>0</v>
      </c>
      <c r="H136" s="31">
        <f>SUM(D136:G136)</f>
        <v>0</v>
      </c>
    </row>
    <row r="137" spans="1:8" x14ac:dyDescent="0.3">
      <c r="A137" s="493"/>
      <c r="B137" s="71" t="s">
        <v>88</v>
      </c>
      <c r="C137" s="4" t="s">
        <v>3</v>
      </c>
      <c r="D137" s="22">
        <f>Balaka!G137+Balaka!H137+Balaka!I137</f>
        <v>0</v>
      </c>
      <c r="E137" s="22">
        <f>Liwonde!G137+Liwonde!H137+Liwonde!I137</f>
        <v>0</v>
      </c>
      <c r="F137" s="22">
        <f>Machinga!G137+Machinga!H137+Machinga!I137</f>
        <v>0</v>
      </c>
      <c r="G137" s="22">
        <f>Ntaja!G137+Ntaja!H137+Ntaja!I137</f>
        <v>0</v>
      </c>
      <c r="H137" s="31">
        <f>SUM(D137:G137)</f>
        <v>0</v>
      </c>
    </row>
    <row r="138" spans="1:8" x14ac:dyDescent="0.3">
      <c r="A138" s="493"/>
      <c r="B138" s="21" t="s">
        <v>82</v>
      </c>
      <c r="C138" s="4" t="s">
        <v>3</v>
      </c>
      <c r="D138" s="22">
        <f>Balaka!G138+Balaka!H138+Balaka!I138</f>
        <v>0</v>
      </c>
      <c r="E138" s="22">
        <f>Liwonde!G138+Liwonde!H138+Liwonde!I138</f>
        <v>0</v>
      </c>
      <c r="F138" s="22">
        <f>Machinga!G138+Machinga!H138+Machinga!I138</f>
        <v>0</v>
      </c>
      <c r="G138" s="22">
        <f>Ntaja!G138+Ntaja!H138+Ntaja!I138</f>
        <v>0</v>
      </c>
      <c r="H138" s="31">
        <f>SUM(D138:G138)</f>
        <v>0</v>
      </c>
    </row>
    <row r="139" spans="1:8" x14ac:dyDescent="0.3">
      <c r="A139" s="454"/>
      <c r="B139" s="21" t="s">
        <v>81</v>
      </c>
      <c r="C139" s="4" t="s">
        <v>3</v>
      </c>
      <c r="D139" s="123">
        <f t="shared" ref="D139:H139" si="42">D135+D136-D137-D138</f>
        <v>0</v>
      </c>
      <c r="E139" s="123">
        <f t="shared" si="42"/>
        <v>0</v>
      </c>
      <c r="F139" s="123">
        <f t="shared" si="42"/>
        <v>0</v>
      </c>
      <c r="G139" s="123">
        <f t="shared" si="42"/>
        <v>0</v>
      </c>
      <c r="H139" s="28">
        <f t="shared" si="42"/>
        <v>0</v>
      </c>
    </row>
    <row r="140" spans="1:8" x14ac:dyDescent="0.3">
      <c r="A140" s="453" t="s">
        <v>87</v>
      </c>
      <c r="B140" s="21" t="s">
        <v>85</v>
      </c>
      <c r="C140" s="4" t="s">
        <v>3</v>
      </c>
      <c r="D140" s="22">
        <f>Balaka!G140</f>
        <v>275</v>
      </c>
      <c r="E140" s="22">
        <f>Liwonde!G140</f>
        <v>271</v>
      </c>
      <c r="F140" s="22">
        <f>Machinga!G140</f>
        <v>0</v>
      </c>
      <c r="G140" s="22">
        <f>Ntaja!G140</f>
        <v>0</v>
      </c>
      <c r="H140" s="31">
        <f>SUM(D140:G140)</f>
        <v>546</v>
      </c>
    </row>
    <row r="141" spans="1:8" x14ac:dyDescent="0.3">
      <c r="A141" s="493"/>
      <c r="B141" s="21" t="s">
        <v>84</v>
      </c>
      <c r="C141" s="4" t="s">
        <v>3</v>
      </c>
      <c r="D141" s="22">
        <f>Balaka!G141+Balaka!H141+Balaka!I141</f>
        <v>12</v>
      </c>
      <c r="E141" s="22">
        <f>Liwonde!G141+Liwonde!H141+Liwonde!I141</f>
        <v>0</v>
      </c>
      <c r="F141" s="22">
        <f>Machinga!G141+Machinga!H141+Machinga!I141</f>
        <v>0</v>
      </c>
      <c r="G141" s="22">
        <f>Ntaja!G141+Ntaja!H141+Ntaja!I141</f>
        <v>9</v>
      </c>
      <c r="H141" s="31">
        <f>SUM(D141:G141)</f>
        <v>21</v>
      </c>
    </row>
    <row r="142" spans="1:8" x14ac:dyDescent="0.3">
      <c r="A142" s="493"/>
      <c r="B142" s="21" t="s">
        <v>83</v>
      </c>
      <c r="C142" s="4" t="s">
        <v>3</v>
      </c>
      <c r="D142" s="22">
        <f>Balaka!G142+Balaka!H142+Balaka!I142</f>
        <v>0</v>
      </c>
      <c r="E142" s="22">
        <f>Liwonde!G142+Liwonde!H142+Liwonde!I142</f>
        <v>0</v>
      </c>
      <c r="F142" s="22">
        <f>Machinga!G142+Machinga!H142+Machinga!I142</f>
        <v>0</v>
      </c>
      <c r="G142" s="22">
        <f>Ntaja!G142+Ntaja!H142+Ntaja!I142</f>
        <v>3</v>
      </c>
      <c r="H142" s="31">
        <f>SUM(D142:G142)</f>
        <v>3</v>
      </c>
    </row>
    <row r="143" spans="1:8" x14ac:dyDescent="0.3">
      <c r="A143" s="493"/>
      <c r="B143" s="21" t="s">
        <v>82</v>
      </c>
      <c r="C143" s="4" t="s">
        <v>3</v>
      </c>
      <c r="D143" s="22">
        <f>Balaka!G143+Balaka!H143+Balaka!I143</f>
        <v>99</v>
      </c>
      <c r="E143" s="22">
        <f>Liwonde!G143+Liwonde!H143+Liwonde!I143</f>
        <v>12</v>
      </c>
      <c r="F143" s="22">
        <f>Machinga!G143+Machinga!H143+Machinga!I143</f>
        <v>0</v>
      </c>
      <c r="G143" s="22">
        <f>Ntaja!G143+Ntaja!H143+Ntaja!I143</f>
        <v>6</v>
      </c>
      <c r="H143" s="31">
        <f>SUM(D143:G143)</f>
        <v>117</v>
      </c>
    </row>
    <row r="144" spans="1:8" x14ac:dyDescent="0.3">
      <c r="A144" s="454"/>
      <c r="B144" s="21" t="s">
        <v>81</v>
      </c>
      <c r="C144" s="4" t="s">
        <v>3</v>
      </c>
      <c r="D144" s="123">
        <f t="shared" ref="D144:H144" si="43">D140+D141-D142-D143</f>
        <v>188</v>
      </c>
      <c r="E144" s="123">
        <f t="shared" si="43"/>
        <v>259</v>
      </c>
      <c r="F144" s="123">
        <f t="shared" si="43"/>
        <v>0</v>
      </c>
      <c r="G144" s="123">
        <f t="shared" si="43"/>
        <v>0</v>
      </c>
      <c r="H144" s="28">
        <f t="shared" si="43"/>
        <v>447</v>
      </c>
    </row>
    <row r="145" spans="1:8" x14ac:dyDescent="0.3">
      <c r="A145" s="453" t="s">
        <v>86</v>
      </c>
      <c r="B145" s="21" t="s">
        <v>85</v>
      </c>
      <c r="C145" s="4" t="s">
        <v>3</v>
      </c>
      <c r="D145" s="124">
        <f>D125+D130+D135+D140</f>
        <v>275</v>
      </c>
      <c r="E145" s="124">
        <f t="shared" ref="E145:H149" si="44">E125+E130+E135+E140</f>
        <v>271</v>
      </c>
      <c r="F145" s="124">
        <f t="shared" si="44"/>
        <v>0</v>
      </c>
      <c r="G145" s="124">
        <f t="shared" si="44"/>
        <v>0</v>
      </c>
      <c r="H145" s="50">
        <f t="shared" si="44"/>
        <v>546</v>
      </c>
    </row>
    <row r="146" spans="1:8" x14ac:dyDescent="0.3">
      <c r="A146" s="493"/>
      <c r="B146" s="21" t="s">
        <v>84</v>
      </c>
      <c r="C146" s="4" t="s">
        <v>3</v>
      </c>
      <c r="D146" s="124">
        <f t="shared" ref="D146:G148" si="45">D126+D131+D136+D141</f>
        <v>12</v>
      </c>
      <c r="E146" s="124">
        <f t="shared" si="45"/>
        <v>0</v>
      </c>
      <c r="F146" s="124">
        <f t="shared" si="45"/>
        <v>0</v>
      </c>
      <c r="G146" s="124">
        <f t="shared" si="45"/>
        <v>10</v>
      </c>
      <c r="H146" s="50">
        <f t="shared" si="44"/>
        <v>22</v>
      </c>
    </row>
    <row r="147" spans="1:8" x14ac:dyDescent="0.3">
      <c r="A147" s="493"/>
      <c r="B147" s="21" t="s">
        <v>83</v>
      </c>
      <c r="C147" s="4" t="s">
        <v>3</v>
      </c>
      <c r="D147" s="124">
        <f t="shared" si="45"/>
        <v>0</v>
      </c>
      <c r="E147" s="124">
        <f t="shared" si="45"/>
        <v>0</v>
      </c>
      <c r="F147" s="124">
        <f t="shared" si="45"/>
        <v>0</v>
      </c>
      <c r="G147" s="124">
        <f t="shared" si="45"/>
        <v>3</v>
      </c>
      <c r="H147" s="50">
        <f t="shared" si="44"/>
        <v>3</v>
      </c>
    </row>
    <row r="148" spans="1:8" x14ac:dyDescent="0.3">
      <c r="A148" s="493"/>
      <c r="B148" s="21" t="s">
        <v>82</v>
      </c>
      <c r="C148" s="4" t="s">
        <v>3</v>
      </c>
      <c r="D148" s="124">
        <f t="shared" si="45"/>
        <v>99</v>
      </c>
      <c r="E148" s="124">
        <f t="shared" si="45"/>
        <v>12</v>
      </c>
      <c r="F148" s="124">
        <f t="shared" si="45"/>
        <v>0</v>
      </c>
      <c r="G148" s="124">
        <f t="shared" si="45"/>
        <v>7</v>
      </c>
      <c r="H148" s="50">
        <f t="shared" si="44"/>
        <v>118</v>
      </c>
    </row>
    <row r="149" spans="1:8" x14ac:dyDescent="0.3">
      <c r="A149" s="454"/>
      <c r="B149" s="21" t="s">
        <v>81</v>
      </c>
      <c r="C149" s="4" t="s">
        <v>3</v>
      </c>
      <c r="D149" s="123">
        <f>D145+D146-D147-D148</f>
        <v>188</v>
      </c>
      <c r="E149" s="123">
        <f t="shared" ref="E149:G149" si="46">E145+E146-E147-E148</f>
        <v>259</v>
      </c>
      <c r="F149" s="123">
        <f t="shared" si="46"/>
        <v>0</v>
      </c>
      <c r="G149" s="123">
        <f t="shared" si="46"/>
        <v>0</v>
      </c>
      <c r="H149" s="50">
        <f t="shared" si="44"/>
        <v>447</v>
      </c>
    </row>
    <row r="150" spans="1:8" ht="14.4" x14ac:dyDescent="0.3">
      <c r="A150" s="441" t="s">
        <v>80</v>
      </c>
      <c r="B150" s="442"/>
      <c r="C150" s="442"/>
      <c r="D150" s="442"/>
      <c r="E150" s="442"/>
      <c r="F150" s="442"/>
      <c r="G150" s="442"/>
      <c r="H150" s="444"/>
    </row>
    <row r="151" spans="1:8" ht="15.6" customHeight="1" x14ac:dyDescent="0.3">
      <c r="A151" s="506" t="s">
        <v>79</v>
      </c>
      <c r="B151" s="507"/>
      <c r="C151" s="507"/>
      <c r="D151" s="507"/>
      <c r="E151" s="507"/>
      <c r="F151" s="507"/>
      <c r="G151" s="507"/>
      <c r="H151" s="508"/>
    </row>
    <row r="152" spans="1:8" x14ac:dyDescent="0.3">
      <c r="A152" s="496" t="s">
        <v>78</v>
      </c>
      <c r="B152" s="80" t="s">
        <v>63</v>
      </c>
      <c r="C152" s="4"/>
      <c r="D152" s="13"/>
      <c r="E152" s="13"/>
      <c r="F152" s="13"/>
      <c r="G152" s="13"/>
      <c r="H152" s="34"/>
    </row>
    <row r="153" spans="1:8" x14ac:dyDescent="0.3">
      <c r="A153" s="497"/>
      <c r="B153" s="17" t="s">
        <v>73</v>
      </c>
      <c r="C153" s="4" t="s">
        <v>57</v>
      </c>
      <c r="D153" s="22">
        <f>Balaka!G153+Balaka!H153+Balaka!I153</f>
        <v>362</v>
      </c>
      <c r="E153" s="22">
        <f>Liwonde!G153+Liwonde!H153+Liwonde!I153</f>
        <v>231</v>
      </c>
      <c r="F153" s="22">
        <f>Machinga!G153+Machinga!H153+Machinga!I153</f>
        <v>45</v>
      </c>
      <c r="G153" s="22">
        <f>Ntaja!G153+Ntaja!H153+Ntaja!I153</f>
        <v>129</v>
      </c>
      <c r="H153" s="31">
        <f t="shared" ref="H153:H165" si="47">SUM(D153:G153)</f>
        <v>767</v>
      </c>
    </row>
    <row r="154" spans="1:8" x14ac:dyDescent="0.3">
      <c r="A154" s="497"/>
      <c r="B154" s="17" t="s">
        <v>72</v>
      </c>
      <c r="C154" s="4" t="s">
        <v>57</v>
      </c>
      <c r="D154" s="22">
        <f>Balaka!G154+Balaka!H154+Balaka!I154</f>
        <v>207</v>
      </c>
      <c r="E154" s="22">
        <f>Liwonde!G154+Liwonde!H154+Liwonde!I154</f>
        <v>94</v>
      </c>
      <c r="F154" s="22">
        <f>Machinga!G154+Machinga!H154+Machinga!I154</f>
        <v>29</v>
      </c>
      <c r="G154" s="22">
        <f>Ntaja!G154+Ntaja!H154+Ntaja!I154</f>
        <v>14</v>
      </c>
      <c r="H154" s="31">
        <f t="shared" si="47"/>
        <v>344</v>
      </c>
    </row>
    <row r="155" spans="1:8" x14ac:dyDescent="0.3">
      <c r="A155" s="497"/>
      <c r="B155" s="17" t="s">
        <v>53</v>
      </c>
      <c r="C155" s="4" t="s">
        <v>57</v>
      </c>
      <c r="D155" s="22">
        <f>Balaka!G155+Balaka!H155+Balaka!I155</f>
        <v>31</v>
      </c>
      <c r="E155" s="22">
        <f>Liwonde!G155+Liwonde!H155+Liwonde!I155</f>
        <v>48</v>
      </c>
      <c r="F155" s="22">
        <f>Machinga!G155+Machinga!H155+Machinga!I155</f>
        <v>22</v>
      </c>
      <c r="G155" s="22">
        <f>Ntaja!G155+Ntaja!H155+Ntaja!I155</f>
        <v>16</v>
      </c>
      <c r="H155" s="31">
        <f t="shared" si="47"/>
        <v>117</v>
      </c>
    </row>
    <row r="156" spans="1:8" x14ac:dyDescent="0.3">
      <c r="A156" s="497"/>
      <c r="B156" s="17" t="s">
        <v>71</v>
      </c>
      <c r="C156" s="4" t="s">
        <v>57</v>
      </c>
      <c r="D156" s="22">
        <f>Balaka!G156+Balaka!H156+Balaka!I156</f>
        <v>2</v>
      </c>
      <c r="E156" s="22">
        <f>Liwonde!G156+Liwonde!H156+Liwonde!I156</f>
        <v>14</v>
      </c>
      <c r="F156" s="22">
        <f>Machinga!G156+Machinga!H156+Machinga!I156</f>
        <v>12</v>
      </c>
      <c r="G156" s="22">
        <f>Ntaja!G156+Ntaja!H156+Ntaja!I156</f>
        <v>0</v>
      </c>
      <c r="H156" s="31">
        <f t="shared" si="47"/>
        <v>28</v>
      </c>
    </row>
    <row r="157" spans="1:8" x14ac:dyDescent="0.3">
      <c r="A157" s="497"/>
      <c r="B157" s="17" t="s">
        <v>52</v>
      </c>
      <c r="C157" s="4" t="s">
        <v>57</v>
      </c>
      <c r="D157" s="22">
        <f>Balaka!G157+Balaka!H157+Balaka!I157</f>
        <v>6</v>
      </c>
      <c r="E157" s="22">
        <f>Liwonde!G157+Liwonde!H157+Liwonde!I157</f>
        <v>13</v>
      </c>
      <c r="F157" s="22">
        <f>Machinga!G157+Machinga!H157+Machinga!I157</f>
        <v>11</v>
      </c>
      <c r="G157" s="22">
        <f>Ntaja!G157+Ntaja!H157+Ntaja!I157</f>
        <v>0</v>
      </c>
      <c r="H157" s="31">
        <f t="shared" si="47"/>
        <v>30</v>
      </c>
    </row>
    <row r="158" spans="1:8" x14ac:dyDescent="0.3">
      <c r="A158" s="497"/>
      <c r="B158" s="17" t="s">
        <v>51</v>
      </c>
      <c r="C158" s="4" t="s">
        <v>57</v>
      </c>
      <c r="D158" s="22">
        <f>Balaka!G158+Balaka!H158+Balaka!I158</f>
        <v>22</v>
      </c>
      <c r="E158" s="22">
        <f>Liwonde!G158+Liwonde!H158+Liwonde!I158</f>
        <v>18</v>
      </c>
      <c r="F158" s="22">
        <f>Machinga!G158+Machinga!H158+Machinga!I158</f>
        <v>7</v>
      </c>
      <c r="G158" s="22">
        <f>Ntaja!G158+Ntaja!H158+Ntaja!I158</f>
        <v>1</v>
      </c>
      <c r="H158" s="31">
        <f t="shared" si="47"/>
        <v>48</v>
      </c>
    </row>
    <row r="159" spans="1:8" x14ac:dyDescent="0.3">
      <c r="A159" s="497"/>
      <c r="B159" s="17" t="s">
        <v>62</v>
      </c>
      <c r="C159" s="4" t="s">
        <v>57</v>
      </c>
      <c r="D159" s="22">
        <f>Balaka!G159+Balaka!H159+Balaka!I159</f>
        <v>1</v>
      </c>
      <c r="E159" s="22">
        <f>Liwonde!G159+Liwonde!H159+Liwonde!I159</f>
        <v>0</v>
      </c>
      <c r="F159" s="22">
        <f>Machinga!G159+Machinga!H159+Machinga!I159</f>
        <v>0</v>
      </c>
      <c r="G159" s="22">
        <f>Ntaja!G159+Ntaja!H159+Ntaja!I159</f>
        <v>1</v>
      </c>
      <c r="H159" s="31">
        <f t="shared" si="47"/>
        <v>2</v>
      </c>
    </row>
    <row r="160" spans="1:8" x14ac:dyDescent="0.3">
      <c r="A160" s="497"/>
      <c r="B160" s="17" t="s">
        <v>50</v>
      </c>
      <c r="C160" s="4" t="s">
        <v>57</v>
      </c>
      <c r="D160" s="22">
        <f>Balaka!G160+Balaka!H160+Balaka!I160</f>
        <v>0</v>
      </c>
      <c r="E160" s="22">
        <f>Liwonde!G160+Liwonde!H160+Liwonde!I160</f>
        <v>10</v>
      </c>
      <c r="F160" s="22">
        <f>Machinga!G160+Machinga!H160+Machinga!I160</f>
        <v>3</v>
      </c>
      <c r="G160" s="22">
        <f>Ntaja!G160+Ntaja!H160+Ntaja!I160</f>
        <v>1</v>
      </c>
      <c r="H160" s="31">
        <f t="shared" si="47"/>
        <v>14</v>
      </c>
    </row>
    <row r="161" spans="1:8" x14ac:dyDescent="0.3">
      <c r="A161" s="497"/>
      <c r="B161" s="17" t="s">
        <v>49</v>
      </c>
      <c r="C161" s="4" t="s">
        <v>57</v>
      </c>
      <c r="D161" s="22">
        <f>Balaka!G161+Balaka!H161+Balaka!I161</f>
        <v>3</v>
      </c>
      <c r="E161" s="22">
        <f>Liwonde!G161+Liwonde!H161+Liwonde!I161</f>
        <v>9</v>
      </c>
      <c r="F161" s="22">
        <f>Machinga!G161+Machinga!H161+Machinga!I161</f>
        <v>1</v>
      </c>
      <c r="G161" s="22">
        <f>Ntaja!G161+Ntaja!H161+Ntaja!I161</f>
        <v>0</v>
      </c>
      <c r="H161" s="31">
        <f t="shared" si="47"/>
        <v>13</v>
      </c>
    </row>
    <row r="162" spans="1:8" x14ac:dyDescent="0.3">
      <c r="A162" s="497"/>
      <c r="B162" s="17" t="s">
        <v>77</v>
      </c>
      <c r="C162" s="4" t="s">
        <v>57</v>
      </c>
      <c r="D162" s="22">
        <f>Balaka!G162+Balaka!H162+Balaka!I162</f>
        <v>3</v>
      </c>
      <c r="E162" s="22">
        <f>Liwonde!G162+Liwonde!H162+Liwonde!I162</f>
        <v>4</v>
      </c>
      <c r="F162" s="22">
        <f>Machinga!G162+Machinga!H162+Machinga!I162</f>
        <v>0</v>
      </c>
      <c r="G162" s="22">
        <f>Ntaja!G162+Ntaja!H162+Ntaja!I162</f>
        <v>1</v>
      </c>
      <c r="H162" s="31">
        <f t="shared" si="47"/>
        <v>8</v>
      </c>
    </row>
    <row r="163" spans="1:8" x14ac:dyDescent="0.3">
      <c r="A163" s="497"/>
      <c r="B163" s="17" t="s">
        <v>69</v>
      </c>
      <c r="C163" s="4" t="s">
        <v>57</v>
      </c>
      <c r="D163" s="22">
        <f>Balaka!G163+Balaka!H163+Balaka!I163</f>
        <v>4</v>
      </c>
      <c r="E163" s="22">
        <f>Liwonde!G163+Liwonde!H163+Liwonde!I163</f>
        <v>1</v>
      </c>
      <c r="F163" s="22">
        <f>Machinga!G163+Machinga!H163+Machinga!I163</f>
        <v>0</v>
      </c>
      <c r="G163" s="22">
        <f>Ntaja!G163+Ntaja!H163+Ntaja!I163</f>
        <v>0</v>
      </c>
      <c r="H163" s="31">
        <f t="shared" si="47"/>
        <v>5</v>
      </c>
    </row>
    <row r="164" spans="1:8" x14ac:dyDescent="0.3">
      <c r="A164" s="497"/>
      <c r="B164" s="17" t="s">
        <v>68</v>
      </c>
      <c r="C164" s="4" t="s">
        <v>57</v>
      </c>
      <c r="D164" s="22">
        <f>Balaka!G164+Balaka!H164+Balaka!I164</f>
        <v>0</v>
      </c>
      <c r="E164" s="22">
        <f>Liwonde!G164+Liwonde!H164+Liwonde!I164</f>
        <v>0</v>
      </c>
      <c r="F164" s="22">
        <f>Machinga!G164+Machinga!H164+Machinga!I164</f>
        <v>0</v>
      </c>
      <c r="G164" s="22">
        <f>Ntaja!G164+Ntaja!H164+Ntaja!I164</f>
        <v>0</v>
      </c>
      <c r="H164" s="31">
        <f t="shared" si="47"/>
        <v>0</v>
      </c>
    </row>
    <row r="165" spans="1:8" x14ac:dyDescent="0.3">
      <c r="A165" s="498"/>
      <c r="B165" s="17" t="s">
        <v>76</v>
      </c>
      <c r="C165" s="4" t="s">
        <v>57</v>
      </c>
      <c r="D165" s="22">
        <f>Balaka!G165+Balaka!H165+Balaka!I165</f>
        <v>0</v>
      </c>
      <c r="E165" s="22">
        <f>Liwonde!G165+Liwonde!H165+Liwonde!I165</f>
        <v>0</v>
      </c>
      <c r="F165" s="22">
        <f>Machinga!G165+Machinga!H165+Machinga!I165</f>
        <v>0</v>
      </c>
      <c r="G165" s="22">
        <f>Ntaja!G165+Ntaja!H165+Ntaja!I165</f>
        <v>0</v>
      </c>
      <c r="H165" s="31">
        <f t="shared" si="47"/>
        <v>0</v>
      </c>
    </row>
    <row r="166" spans="1:8" x14ac:dyDescent="0.3">
      <c r="A166" s="496" t="s">
        <v>75</v>
      </c>
      <c r="B166" s="19" t="s">
        <v>63</v>
      </c>
      <c r="C166" s="4"/>
      <c r="D166" s="3"/>
      <c r="E166" s="3"/>
      <c r="F166" s="3"/>
      <c r="G166" s="3"/>
      <c r="H166" s="31"/>
    </row>
    <row r="167" spans="1:8" x14ac:dyDescent="0.3">
      <c r="A167" s="497"/>
      <c r="B167" s="17" t="s">
        <v>74</v>
      </c>
      <c r="C167" s="4" t="s">
        <v>57</v>
      </c>
      <c r="D167" s="22">
        <f>Balaka!G167+Balaka!H167+Balaka!I167</f>
        <v>0</v>
      </c>
      <c r="E167" s="22">
        <f>Liwonde!G167+Liwonde!H167+Liwonde!I167</f>
        <v>5</v>
      </c>
      <c r="F167" s="22">
        <f>Machinga!G167+Machinga!H167+Machinga!I167</f>
        <v>7</v>
      </c>
      <c r="G167" s="22">
        <f>Ntaja!G167+Ntaja!H167+Ntaja!I167</f>
        <v>0</v>
      </c>
      <c r="H167" s="31">
        <f t="shared" ref="H167:H175" si="48">SUM(D167:G167)</f>
        <v>12</v>
      </c>
    </row>
    <row r="168" spans="1:8" x14ac:dyDescent="0.3">
      <c r="A168" s="497"/>
      <c r="B168" s="17" t="s">
        <v>73</v>
      </c>
      <c r="C168" s="4" t="s">
        <v>57</v>
      </c>
      <c r="D168" s="22">
        <f>Balaka!G168+Balaka!H168+Balaka!I168</f>
        <v>0</v>
      </c>
      <c r="E168" s="22">
        <f>Liwonde!G168+Liwonde!H168+Liwonde!I168</f>
        <v>0</v>
      </c>
      <c r="F168" s="22">
        <f>Machinga!G168+Machinga!H168+Machinga!I168</f>
        <v>4</v>
      </c>
      <c r="G168" s="22">
        <f>Ntaja!G168+Ntaja!H168+Ntaja!I168</f>
        <v>0</v>
      </c>
      <c r="H168" s="31">
        <f t="shared" si="48"/>
        <v>4</v>
      </c>
    </row>
    <row r="169" spans="1:8" x14ac:dyDescent="0.3">
      <c r="A169" s="497"/>
      <c r="B169" s="17" t="s">
        <v>72</v>
      </c>
      <c r="C169" s="4" t="s">
        <v>57</v>
      </c>
      <c r="D169" s="22">
        <f>Balaka!G169+Balaka!H169+Balaka!I169</f>
        <v>0</v>
      </c>
      <c r="E169" s="22">
        <f>Liwonde!G169+Liwonde!H169+Liwonde!I169</f>
        <v>0</v>
      </c>
      <c r="F169" s="22">
        <f>Machinga!G169+Machinga!H169+Machinga!I169</f>
        <v>0</v>
      </c>
      <c r="G169" s="22">
        <f>Ntaja!G169+Ntaja!H169+Ntaja!I169</f>
        <v>0</v>
      </c>
      <c r="H169" s="31">
        <f t="shared" si="48"/>
        <v>0</v>
      </c>
    </row>
    <row r="170" spans="1:8" x14ac:dyDescent="0.3">
      <c r="A170" s="497"/>
      <c r="B170" s="17" t="s">
        <v>71</v>
      </c>
      <c r="C170" s="4" t="s">
        <v>57</v>
      </c>
      <c r="D170" s="22">
        <f>Balaka!G170+Balaka!H170+Balaka!I170</f>
        <v>0</v>
      </c>
      <c r="E170" s="22">
        <f>Liwonde!G170+Liwonde!H170+Liwonde!I170</f>
        <v>0</v>
      </c>
      <c r="F170" s="22">
        <f>Machinga!G170+Machinga!H170+Machinga!I170</f>
        <v>0</v>
      </c>
      <c r="G170" s="22">
        <f>Ntaja!G170+Ntaja!H170+Ntaja!I170</f>
        <v>0</v>
      </c>
      <c r="H170" s="31">
        <f t="shared" si="48"/>
        <v>0</v>
      </c>
    </row>
    <row r="171" spans="1:8" x14ac:dyDescent="0.3">
      <c r="A171" s="497"/>
      <c r="B171" s="17" t="s">
        <v>52</v>
      </c>
      <c r="C171" s="4" t="s">
        <v>57</v>
      </c>
      <c r="D171" s="22">
        <f>Balaka!G171+Balaka!H171+Balaka!I171</f>
        <v>0</v>
      </c>
      <c r="E171" s="22">
        <f>Liwonde!G171+Liwonde!H171+Liwonde!I171</f>
        <v>0</v>
      </c>
      <c r="F171" s="22">
        <f>Machinga!G171+Machinga!H171+Machinga!I171</f>
        <v>8</v>
      </c>
      <c r="G171" s="22">
        <f>Ntaja!G171+Ntaja!H171+Ntaja!I171</f>
        <v>0</v>
      </c>
      <c r="H171" s="31">
        <f t="shared" si="48"/>
        <v>8</v>
      </c>
    </row>
    <row r="172" spans="1:8" x14ac:dyDescent="0.3">
      <c r="A172" s="497"/>
      <c r="B172" s="17" t="s">
        <v>62</v>
      </c>
      <c r="C172" s="4" t="s">
        <v>57</v>
      </c>
      <c r="D172" s="22">
        <f>Balaka!G172+Balaka!H172+Balaka!I172</f>
        <v>0</v>
      </c>
      <c r="E172" s="22">
        <f>Liwonde!G172+Liwonde!H172+Liwonde!I172</f>
        <v>0</v>
      </c>
      <c r="F172" s="22">
        <f>Machinga!G172+Machinga!H172+Machinga!I172</f>
        <v>0</v>
      </c>
      <c r="G172" s="22">
        <f>Ntaja!G172+Ntaja!H172+Ntaja!I172</f>
        <v>0</v>
      </c>
      <c r="H172" s="31">
        <f t="shared" si="48"/>
        <v>0</v>
      </c>
    </row>
    <row r="173" spans="1:8" x14ac:dyDescent="0.3">
      <c r="A173" s="497"/>
      <c r="B173" s="17" t="s">
        <v>61</v>
      </c>
      <c r="C173" s="4" t="s">
        <v>57</v>
      </c>
      <c r="D173" s="22">
        <f>Balaka!G173+Balaka!H173+Balaka!I173</f>
        <v>0</v>
      </c>
      <c r="E173" s="22">
        <f>Liwonde!G173+Liwonde!H173+Liwonde!I173</f>
        <v>0</v>
      </c>
      <c r="F173" s="22">
        <f>Machinga!G173+Machinga!H173+Machinga!I173</f>
        <v>0</v>
      </c>
      <c r="G173" s="22">
        <f>Ntaja!G173+Ntaja!H173+Ntaja!I173</f>
        <v>0</v>
      </c>
      <c r="H173" s="31">
        <f t="shared" si="48"/>
        <v>0</v>
      </c>
    </row>
    <row r="174" spans="1:8" x14ac:dyDescent="0.3">
      <c r="A174" s="497"/>
      <c r="B174" s="17" t="s">
        <v>60</v>
      </c>
      <c r="C174" s="4" t="s">
        <v>57</v>
      </c>
      <c r="D174" s="22">
        <f>Balaka!G174+Balaka!H174+Balaka!I174</f>
        <v>0</v>
      </c>
      <c r="E174" s="22">
        <f>Liwonde!G174+Liwonde!H174+Liwonde!I174</f>
        <v>0</v>
      </c>
      <c r="F174" s="22">
        <f>Machinga!G174+Machinga!H174+Machinga!I174</f>
        <v>0</v>
      </c>
      <c r="G174" s="22">
        <f>Ntaja!G174+Ntaja!H174+Ntaja!I174</f>
        <v>0</v>
      </c>
      <c r="H174" s="31">
        <f t="shared" si="48"/>
        <v>0</v>
      </c>
    </row>
    <row r="175" spans="1:8" x14ac:dyDescent="0.3">
      <c r="A175" s="498"/>
      <c r="B175" s="17" t="s">
        <v>69</v>
      </c>
      <c r="C175" s="4" t="s">
        <v>57</v>
      </c>
      <c r="D175" s="22">
        <f>Balaka!G175+Balaka!H175+Balaka!I175</f>
        <v>0</v>
      </c>
      <c r="E175" s="22">
        <f>Liwonde!G175+Liwonde!H175+Liwonde!I175</f>
        <v>0</v>
      </c>
      <c r="F175" s="22">
        <f>Machinga!G175+Machinga!H175+Machinga!I175</f>
        <v>0</v>
      </c>
      <c r="G175" s="22">
        <f>Ntaja!G175+Ntaja!H175+Ntaja!I175</f>
        <v>0</v>
      </c>
      <c r="H175" s="31">
        <f t="shared" si="48"/>
        <v>0</v>
      </c>
    </row>
    <row r="176" spans="1:8" x14ac:dyDescent="0.3">
      <c r="A176" s="496" t="s">
        <v>70</v>
      </c>
      <c r="B176" s="19" t="s">
        <v>63</v>
      </c>
      <c r="C176" s="4"/>
      <c r="D176" s="3"/>
      <c r="E176" s="3"/>
      <c r="F176" s="3"/>
      <c r="G176" s="3"/>
      <c r="H176" s="31"/>
    </row>
    <row r="177" spans="1:8" x14ac:dyDescent="0.3">
      <c r="A177" s="497"/>
      <c r="B177" s="17" t="s">
        <v>60</v>
      </c>
      <c r="C177" s="4" t="s">
        <v>57</v>
      </c>
      <c r="D177" s="22">
        <f>Balaka!G177+Balaka!H177+Balaka!I177</f>
        <v>0</v>
      </c>
      <c r="E177" s="22">
        <f>Liwonde!G177+Liwonde!H177+Liwonde!I177</f>
        <v>0</v>
      </c>
      <c r="F177" s="22">
        <f>Machinga!G177+Machinga!H177+Machinga!I177</f>
        <v>0</v>
      </c>
      <c r="G177" s="22">
        <f>Ntaja!G177+Ntaja!H177+Ntaja!I177</f>
        <v>0</v>
      </c>
      <c r="H177" s="31">
        <f t="shared" ref="H177:H182" si="49">SUM(D177:G177)</f>
        <v>0</v>
      </c>
    </row>
    <row r="178" spans="1:8" x14ac:dyDescent="0.3">
      <c r="A178" s="497"/>
      <c r="B178" s="17" t="s">
        <v>69</v>
      </c>
      <c r="C178" s="4" t="s">
        <v>57</v>
      </c>
      <c r="D178" s="22">
        <f>Balaka!G178+Balaka!H178+Balaka!I178</f>
        <v>0</v>
      </c>
      <c r="E178" s="22">
        <f>Liwonde!G178+Liwonde!H178+Liwonde!I178</f>
        <v>0</v>
      </c>
      <c r="F178" s="22">
        <f>Machinga!G178+Machinga!H178+Machinga!I178</f>
        <v>0</v>
      </c>
      <c r="G178" s="22">
        <f>Ntaja!G178+Ntaja!H178+Ntaja!I178</f>
        <v>0</v>
      </c>
      <c r="H178" s="31">
        <f t="shared" si="49"/>
        <v>0</v>
      </c>
    </row>
    <row r="179" spans="1:8" x14ac:dyDescent="0.3">
      <c r="A179" s="497"/>
      <c r="B179" s="17" t="s">
        <v>68</v>
      </c>
      <c r="C179" s="4" t="s">
        <v>57</v>
      </c>
      <c r="D179" s="22">
        <f>Balaka!G179+Balaka!H179+Balaka!I179</f>
        <v>0</v>
      </c>
      <c r="E179" s="22">
        <f>Liwonde!G179+Liwonde!H179+Liwonde!I179</f>
        <v>0</v>
      </c>
      <c r="F179" s="22">
        <f>Machinga!G179+Machinga!H179+Machinga!I179</f>
        <v>0</v>
      </c>
      <c r="G179" s="22">
        <f>Ntaja!G179+Ntaja!H179+Ntaja!I179</f>
        <v>0</v>
      </c>
      <c r="H179" s="31">
        <f t="shared" si="49"/>
        <v>0</v>
      </c>
    </row>
    <row r="180" spans="1:8" x14ac:dyDescent="0.3">
      <c r="A180" s="497"/>
      <c r="B180" s="17" t="s">
        <v>67</v>
      </c>
      <c r="C180" s="4" t="s">
        <v>57</v>
      </c>
      <c r="D180" s="22">
        <f>Balaka!G180+Balaka!H180+Balaka!I180</f>
        <v>0</v>
      </c>
      <c r="E180" s="22">
        <f>Liwonde!G180+Liwonde!H180+Liwonde!I180</f>
        <v>0</v>
      </c>
      <c r="F180" s="22">
        <f>Machinga!G180+Machinga!H180+Machinga!I180</f>
        <v>0</v>
      </c>
      <c r="G180" s="22">
        <f>Ntaja!G180+Ntaja!H180+Ntaja!I180</f>
        <v>0</v>
      </c>
      <c r="H180" s="31">
        <f t="shared" si="49"/>
        <v>0</v>
      </c>
    </row>
    <row r="181" spans="1:8" x14ac:dyDescent="0.3">
      <c r="A181" s="497"/>
      <c r="B181" s="17" t="s">
        <v>66</v>
      </c>
      <c r="C181" s="4" t="s">
        <v>57</v>
      </c>
      <c r="D181" s="22">
        <f>Balaka!G181+Balaka!H181+Balaka!I181</f>
        <v>0</v>
      </c>
      <c r="E181" s="22">
        <f>Liwonde!G181+Liwonde!H181+Liwonde!I181</f>
        <v>0</v>
      </c>
      <c r="F181" s="22">
        <f>Machinga!G181+Machinga!H181+Machinga!I181</f>
        <v>0</v>
      </c>
      <c r="G181" s="22">
        <f>Ntaja!G181+Ntaja!H181+Ntaja!I181</f>
        <v>0</v>
      </c>
      <c r="H181" s="31">
        <f t="shared" si="49"/>
        <v>0</v>
      </c>
    </row>
    <row r="182" spans="1:8" x14ac:dyDescent="0.3">
      <c r="A182" s="498"/>
      <c r="B182" s="17" t="s">
        <v>65</v>
      </c>
      <c r="C182" s="4" t="s">
        <v>57</v>
      </c>
      <c r="D182" s="22">
        <f>Balaka!G182+Balaka!H182+Balaka!I182</f>
        <v>0</v>
      </c>
      <c r="E182" s="22">
        <f>Liwonde!G182+Liwonde!H182+Liwonde!I182</f>
        <v>0</v>
      </c>
      <c r="F182" s="22">
        <f>Machinga!G182+Machinga!H182+Machinga!I182</f>
        <v>0</v>
      </c>
      <c r="G182" s="22">
        <f>Ntaja!G182+Ntaja!H182+Ntaja!I182</f>
        <v>0</v>
      </c>
      <c r="H182" s="31">
        <f t="shared" si="49"/>
        <v>0</v>
      </c>
    </row>
    <row r="183" spans="1:8" x14ac:dyDescent="0.3">
      <c r="A183" s="496" t="s">
        <v>211</v>
      </c>
      <c r="B183" s="19" t="s">
        <v>63</v>
      </c>
      <c r="C183" s="4"/>
      <c r="D183" s="3"/>
      <c r="E183" s="3"/>
      <c r="F183" s="3"/>
      <c r="G183" s="3"/>
      <c r="H183" s="31"/>
    </row>
    <row r="184" spans="1:8" x14ac:dyDescent="0.3">
      <c r="A184" s="497"/>
      <c r="B184" s="17" t="s">
        <v>73</v>
      </c>
      <c r="C184" s="4"/>
      <c r="D184" s="22">
        <f>Balaka!G184+Balaka!H184+Balaka!I184</f>
        <v>0</v>
      </c>
      <c r="E184" s="22">
        <f>Liwonde!G184+Liwonde!H184+Liwonde!I184</f>
        <v>0</v>
      </c>
      <c r="F184" s="22">
        <f>Machinga!G184+Machinga!H184+Machinga!I184</f>
        <v>0</v>
      </c>
      <c r="G184" s="22">
        <f>Ntaja!G184+Ntaja!H184+Ntaja!I184</f>
        <v>0</v>
      </c>
      <c r="H184" s="31">
        <f>SUM(D184:G184)</f>
        <v>0</v>
      </c>
    </row>
    <row r="185" spans="1:8" x14ac:dyDescent="0.3">
      <c r="A185" s="497"/>
      <c r="B185" s="17" t="s">
        <v>72</v>
      </c>
      <c r="C185" s="4"/>
      <c r="D185" s="22">
        <f>Balaka!G185+Balaka!H185+Balaka!I185</f>
        <v>0</v>
      </c>
      <c r="E185" s="22">
        <f>Liwonde!G185+Liwonde!H185+Liwonde!I185</f>
        <v>0</v>
      </c>
      <c r="F185" s="22">
        <f>Machinga!G185+Machinga!H185+Machinga!I185</f>
        <v>0</v>
      </c>
      <c r="G185" s="22">
        <f>Ntaja!G185+Ntaja!H185+Ntaja!I185</f>
        <v>0</v>
      </c>
      <c r="H185" s="31">
        <f>SUM(D185:G185)</f>
        <v>0</v>
      </c>
    </row>
    <row r="186" spans="1:8" x14ac:dyDescent="0.3">
      <c r="A186" s="497"/>
      <c r="B186" s="17" t="s">
        <v>53</v>
      </c>
      <c r="C186" s="4"/>
      <c r="D186" s="22">
        <f>Balaka!G186+Balaka!H186+Balaka!I186</f>
        <v>0</v>
      </c>
      <c r="E186" s="22">
        <f>Liwonde!G186+Liwonde!H186+Liwonde!I186</f>
        <v>0</v>
      </c>
      <c r="F186" s="22">
        <f>Machinga!G186+Machinga!H186+Machinga!I186</f>
        <v>0</v>
      </c>
      <c r="G186" s="22">
        <f>Ntaja!G186+Ntaja!H186+Ntaja!I186</f>
        <v>0</v>
      </c>
      <c r="H186" s="31">
        <f>SUM(D186:G186)</f>
        <v>0</v>
      </c>
    </row>
    <row r="187" spans="1:8" x14ac:dyDescent="0.3">
      <c r="A187" s="498"/>
      <c r="B187" s="17" t="s">
        <v>52</v>
      </c>
      <c r="C187" s="4"/>
      <c r="D187" s="22">
        <f>Balaka!G187+Balaka!H187+Balaka!I187</f>
        <v>0</v>
      </c>
      <c r="E187" s="22">
        <f>Liwonde!G187+Liwonde!H187+Liwonde!I187</f>
        <v>0</v>
      </c>
      <c r="F187" s="22">
        <f>Machinga!G187+Machinga!H187+Machinga!I187</f>
        <v>0</v>
      </c>
      <c r="G187" s="22">
        <f>Ntaja!G187+Ntaja!H187+Ntaja!I187</f>
        <v>0</v>
      </c>
      <c r="H187" s="31">
        <f>SUM(D187:G187)</f>
        <v>0</v>
      </c>
    </row>
    <row r="188" spans="1:8" x14ac:dyDescent="0.3">
      <c r="A188" s="496" t="s">
        <v>64</v>
      </c>
      <c r="B188" s="19" t="s">
        <v>63</v>
      </c>
      <c r="C188" s="4"/>
      <c r="D188" s="3"/>
      <c r="E188" s="3"/>
      <c r="F188" s="3"/>
      <c r="G188" s="3"/>
      <c r="H188" s="31"/>
    </row>
    <row r="189" spans="1:8" x14ac:dyDescent="0.3">
      <c r="A189" s="497"/>
      <c r="B189" s="18" t="s">
        <v>52</v>
      </c>
      <c r="C189" s="4" t="s">
        <v>57</v>
      </c>
      <c r="D189" s="22">
        <f>Balaka!G189+Balaka!H189+Balaka!I189</f>
        <v>0</v>
      </c>
      <c r="E189" s="22">
        <f>Liwonde!G189+Liwonde!H189+Liwonde!I189</f>
        <v>0</v>
      </c>
      <c r="F189" s="22">
        <f>Machinga!G189+Machinga!H189+Machinga!I189</f>
        <v>0</v>
      </c>
      <c r="G189" s="22">
        <f>Ntaja!G189+Ntaja!H189+Ntaja!I189</f>
        <v>0</v>
      </c>
      <c r="H189" s="31">
        <f>SUM(D189:G189)</f>
        <v>0</v>
      </c>
    </row>
    <row r="190" spans="1:8" x14ac:dyDescent="0.3">
      <c r="A190" s="497"/>
      <c r="B190" s="17" t="s">
        <v>62</v>
      </c>
      <c r="C190" s="4" t="s">
        <v>57</v>
      </c>
      <c r="D190" s="22">
        <f>Balaka!G190+Balaka!H190+Balaka!I190</f>
        <v>0</v>
      </c>
      <c r="E190" s="22">
        <f>Liwonde!G190+Liwonde!H190+Liwonde!I190</f>
        <v>0</v>
      </c>
      <c r="F190" s="22">
        <f>Machinga!G190+Machinga!H190+Machinga!I190</f>
        <v>0</v>
      </c>
      <c r="G190" s="22">
        <f>Ntaja!G190+Ntaja!H190+Ntaja!I190</f>
        <v>0</v>
      </c>
      <c r="H190" s="31">
        <f>SUM(D190:G190)</f>
        <v>0</v>
      </c>
    </row>
    <row r="191" spans="1:8" x14ac:dyDescent="0.3">
      <c r="A191" s="497"/>
      <c r="B191" s="17" t="s">
        <v>61</v>
      </c>
      <c r="C191" s="4" t="s">
        <v>57</v>
      </c>
      <c r="D191" s="22">
        <f>Balaka!G191+Balaka!H191+Balaka!I191</f>
        <v>0</v>
      </c>
      <c r="E191" s="22">
        <f>Liwonde!G191+Liwonde!H191+Liwonde!I191</f>
        <v>0</v>
      </c>
      <c r="F191" s="22">
        <f>Machinga!G191+Machinga!H191+Machinga!I191</f>
        <v>0</v>
      </c>
      <c r="G191" s="22">
        <f>Ntaja!G191+Ntaja!H191+Ntaja!I191</f>
        <v>0</v>
      </c>
      <c r="H191" s="31">
        <f>SUM(D191:G191)</f>
        <v>0</v>
      </c>
    </row>
    <row r="192" spans="1:8" x14ac:dyDescent="0.3">
      <c r="A192" s="498"/>
      <c r="B192" s="17" t="s">
        <v>60</v>
      </c>
      <c r="C192" s="4" t="s">
        <v>57</v>
      </c>
      <c r="D192" s="22">
        <f>Balaka!G192+Balaka!H192+Balaka!I192</f>
        <v>0</v>
      </c>
      <c r="E192" s="22">
        <f>Liwonde!G192+Liwonde!H192+Liwonde!I192</f>
        <v>0</v>
      </c>
      <c r="F192" s="22">
        <f>Machinga!G192+Machinga!H192+Machinga!I192</f>
        <v>0</v>
      </c>
      <c r="G192" s="22">
        <f>Ntaja!G192+Ntaja!H192+Ntaja!I192</f>
        <v>0</v>
      </c>
      <c r="H192" s="31">
        <f>SUM(D192:G192)</f>
        <v>0</v>
      </c>
    </row>
    <row r="193" spans="1:8" x14ac:dyDescent="0.3">
      <c r="A193" s="499" t="s">
        <v>59</v>
      </c>
      <c r="B193" s="500"/>
      <c r="C193" s="4"/>
      <c r="D193" s="9">
        <f>SUM(D153:D192)</f>
        <v>641</v>
      </c>
      <c r="E193" s="9">
        <f t="shared" ref="E193:H193" si="50">SUM(E153:E192)</f>
        <v>447</v>
      </c>
      <c r="F193" s="9">
        <f t="shared" si="50"/>
        <v>149</v>
      </c>
      <c r="G193" s="9">
        <f t="shared" si="50"/>
        <v>163</v>
      </c>
      <c r="H193" s="35">
        <f t="shared" si="50"/>
        <v>1400</v>
      </c>
    </row>
    <row r="194" spans="1:8" x14ac:dyDescent="0.3">
      <c r="A194" s="501" t="s">
        <v>58</v>
      </c>
      <c r="B194" s="502"/>
      <c r="C194" s="4" t="s">
        <v>57</v>
      </c>
      <c r="D194" s="22">
        <f>Balaka!G194+Balaka!H194+Balaka!I194</f>
        <v>0</v>
      </c>
      <c r="E194" s="22">
        <f>Liwonde!G194+Liwonde!H194+Liwonde!I194</f>
        <v>3</v>
      </c>
      <c r="F194" s="22">
        <f>Machinga!G194+Machinga!H194+Machinga!I194</f>
        <v>3</v>
      </c>
      <c r="G194" s="22">
        <f>Ntaja!G194+Ntaja!H194+Ntaja!I194</f>
        <v>0</v>
      </c>
      <c r="H194" s="34">
        <f>SUM(D194:G194)</f>
        <v>6</v>
      </c>
    </row>
    <row r="195" spans="1:8" x14ac:dyDescent="0.3">
      <c r="A195" s="503"/>
      <c r="B195" s="504"/>
      <c r="C195" s="14" t="s">
        <v>55</v>
      </c>
      <c r="D195" s="22">
        <f>Balaka!G195+Balaka!H195+Balaka!I195</f>
        <v>0</v>
      </c>
      <c r="E195" s="22">
        <f>Liwonde!G195+Liwonde!H195+Liwonde!I195</f>
        <v>206</v>
      </c>
      <c r="F195" s="22">
        <f>Machinga!G195+Machinga!H195+Machinga!I195</f>
        <v>0</v>
      </c>
      <c r="G195" s="22">
        <f>Ntaja!G195+Ntaja!H195+Ntaja!I195</f>
        <v>0</v>
      </c>
      <c r="H195" s="34">
        <f>SUM(D195:G195)</f>
        <v>206</v>
      </c>
    </row>
    <row r="196" spans="1:8" x14ac:dyDescent="0.3">
      <c r="A196" s="74" t="s">
        <v>204</v>
      </c>
      <c r="B196" s="75"/>
      <c r="C196" s="14" t="s">
        <v>55</v>
      </c>
      <c r="D196" s="22">
        <f>Balaka!G196+Balaka!H196+Balaka!I196</f>
        <v>1544</v>
      </c>
      <c r="E196" s="22">
        <f>Liwonde!G196+Liwonde!H196+Liwonde!I196</f>
        <v>1830</v>
      </c>
      <c r="F196" s="22">
        <f>Machinga!G196+Machinga!H196+Machinga!I196</f>
        <v>648</v>
      </c>
      <c r="G196" s="22">
        <f>Ntaja!G196+Ntaja!H196+Ntaja!I196</f>
        <v>1728</v>
      </c>
      <c r="H196" s="34">
        <f>SUM(D196:G196)</f>
        <v>5750</v>
      </c>
    </row>
    <row r="197" spans="1:8" x14ac:dyDescent="0.3">
      <c r="A197" s="447" t="s">
        <v>56</v>
      </c>
      <c r="B197" s="448"/>
      <c r="C197" s="14" t="s">
        <v>55</v>
      </c>
      <c r="D197" s="22">
        <f>Balaka!G197+Balaka!H197+Balaka!I197</f>
        <v>11</v>
      </c>
      <c r="E197" s="22">
        <f>Liwonde!G197+Liwonde!H197+Liwonde!I197</f>
        <v>166</v>
      </c>
      <c r="F197" s="22">
        <f>Machinga!G197+Machinga!H197+Machinga!I197</f>
        <v>192</v>
      </c>
      <c r="G197" s="22">
        <f>Ntaja!G197+Ntaja!H197+Ntaja!I197</f>
        <v>477</v>
      </c>
      <c r="H197" s="34">
        <f>SUM(D197:G197)</f>
        <v>846</v>
      </c>
    </row>
    <row r="198" spans="1:8" ht="14.4" x14ac:dyDescent="0.3">
      <c r="A198" s="441" t="s">
        <v>205</v>
      </c>
      <c r="B198" s="442"/>
      <c r="C198" s="442"/>
      <c r="D198" s="442"/>
      <c r="E198" s="442"/>
      <c r="F198" s="442"/>
      <c r="G198" s="442"/>
      <c r="H198" s="444"/>
    </row>
    <row r="199" spans="1:8" x14ac:dyDescent="0.3">
      <c r="A199" s="501" t="s">
        <v>54</v>
      </c>
      <c r="B199" s="68" t="s">
        <v>53</v>
      </c>
      <c r="C199" s="4" t="s">
        <v>47</v>
      </c>
      <c r="D199" s="22">
        <f>Balaka!G199+Balaka!H199+Balaka!I199</f>
        <v>0</v>
      </c>
      <c r="E199" s="22">
        <f>Liwonde!G199+Liwonde!H199+Liwonde!I199</f>
        <v>0</v>
      </c>
      <c r="F199" s="22">
        <f>Machinga!G199+Machinga!H199+Machinga!I199</f>
        <v>0</v>
      </c>
      <c r="G199" s="22">
        <f>Ntaja!G199+Ntaja!H199+Ntaja!I199</f>
        <v>0</v>
      </c>
      <c r="H199" s="34">
        <f t="shared" ref="H199:H204" si="51">SUM(D199:G199)</f>
        <v>0</v>
      </c>
    </row>
    <row r="200" spans="1:8" x14ac:dyDescent="0.3">
      <c r="A200" s="505"/>
      <c r="B200" s="68" t="s">
        <v>52</v>
      </c>
      <c r="C200" s="4" t="s">
        <v>47</v>
      </c>
      <c r="D200" s="22">
        <f>Balaka!G200+Balaka!H200+Balaka!I200</f>
        <v>0</v>
      </c>
      <c r="E200" s="22">
        <f>Liwonde!G200+Liwonde!H200+Liwonde!I200</f>
        <v>0</v>
      </c>
      <c r="F200" s="22">
        <f>Machinga!G200+Machinga!H200+Machinga!I200</f>
        <v>0</v>
      </c>
      <c r="G200" s="22">
        <f>Ntaja!G200+Ntaja!H200+Ntaja!I200</f>
        <v>0</v>
      </c>
      <c r="H200" s="34">
        <f t="shared" si="51"/>
        <v>0</v>
      </c>
    </row>
    <row r="201" spans="1:8" x14ac:dyDescent="0.3">
      <c r="A201" s="505"/>
      <c r="B201" s="68" t="s">
        <v>51</v>
      </c>
      <c r="C201" s="4" t="s">
        <v>47</v>
      </c>
      <c r="D201" s="22">
        <f>Balaka!G201+Balaka!H201+Balaka!I201</f>
        <v>0</v>
      </c>
      <c r="E201" s="22">
        <f>Liwonde!G201+Liwonde!H201+Liwonde!I201</f>
        <v>0</v>
      </c>
      <c r="F201" s="22">
        <f>Machinga!G201+Machinga!H201+Machinga!I201</f>
        <v>0</v>
      </c>
      <c r="G201" s="22">
        <f>Ntaja!G201+Ntaja!H201+Ntaja!I201</f>
        <v>0</v>
      </c>
      <c r="H201" s="34">
        <f t="shared" si="51"/>
        <v>0</v>
      </c>
    </row>
    <row r="202" spans="1:8" x14ac:dyDescent="0.3">
      <c r="A202" s="505"/>
      <c r="B202" s="68" t="s">
        <v>50</v>
      </c>
      <c r="C202" s="4" t="s">
        <v>47</v>
      </c>
      <c r="D202" s="22">
        <f>Balaka!G202+Balaka!H202+Balaka!I202</f>
        <v>0</v>
      </c>
      <c r="E202" s="22">
        <f>Liwonde!G202+Liwonde!H202+Liwonde!I202</f>
        <v>0</v>
      </c>
      <c r="F202" s="22">
        <f>Machinga!G202+Machinga!H202+Machinga!I202</f>
        <v>0</v>
      </c>
      <c r="G202" s="22">
        <f>Ntaja!G202+Ntaja!H202+Ntaja!I202</f>
        <v>0</v>
      </c>
      <c r="H202" s="34">
        <f t="shared" si="51"/>
        <v>0</v>
      </c>
    </row>
    <row r="203" spans="1:8" x14ac:dyDescent="0.3">
      <c r="A203" s="503"/>
      <c r="B203" s="68" t="s">
        <v>49</v>
      </c>
      <c r="C203" s="4" t="s">
        <v>47</v>
      </c>
      <c r="D203" s="22">
        <f>Balaka!G203+Balaka!H203+Balaka!I203</f>
        <v>0</v>
      </c>
      <c r="E203" s="22">
        <f>Liwonde!G203+Liwonde!H203+Liwonde!I203</f>
        <v>0</v>
      </c>
      <c r="F203" s="22">
        <f>Machinga!G203+Machinga!H203+Machinga!I203</f>
        <v>0</v>
      </c>
      <c r="G203" s="22">
        <f>Ntaja!G203+Ntaja!H203+Ntaja!I203</f>
        <v>0</v>
      </c>
      <c r="H203" s="34">
        <f t="shared" si="51"/>
        <v>0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2">SUM(D199:D203)</f>
        <v>0</v>
      </c>
      <c r="E204" s="13">
        <f t="shared" si="52"/>
        <v>0</v>
      </c>
      <c r="F204" s="13">
        <f t="shared" si="52"/>
        <v>0</v>
      </c>
      <c r="G204" s="13">
        <f t="shared" si="52"/>
        <v>0</v>
      </c>
      <c r="H204" s="99">
        <f t="shared" si="51"/>
        <v>0</v>
      </c>
    </row>
    <row r="205" spans="1:8" ht="14.4" x14ac:dyDescent="0.3">
      <c r="A205" s="441" t="s">
        <v>46</v>
      </c>
      <c r="B205" s="442"/>
      <c r="C205" s="442"/>
      <c r="D205" s="442"/>
      <c r="E205" s="442"/>
      <c r="F205" s="442"/>
      <c r="G205" s="442"/>
      <c r="H205" s="444"/>
    </row>
    <row r="206" spans="1:8" x14ac:dyDescent="0.3">
      <c r="A206" s="447" t="s">
        <v>43</v>
      </c>
      <c r="B206" s="448"/>
      <c r="C206" s="4" t="s">
        <v>31</v>
      </c>
      <c r="D206" s="22">
        <f>Balaka!G206+Balaka!H206+Balaka!I206</f>
        <v>72548931.229999989</v>
      </c>
      <c r="E206" s="22">
        <f>Liwonde!G206+Liwonde!H206+Liwonde!I206</f>
        <v>73087123.030000001</v>
      </c>
      <c r="F206" s="22">
        <f>Machinga!G206+Machinga!H206+Machinga!I206</f>
        <v>187308.02000000002</v>
      </c>
      <c r="G206" s="22">
        <f>Ntaja!G206+Ntaja!H206+Ntaja!I206</f>
        <v>0</v>
      </c>
      <c r="H206" s="34">
        <f>SUM(D206:G206)</f>
        <v>145823362.28</v>
      </c>
    </row>
    <row r="207" spans="1:8" x14ac:dyDescent="0.3">
      <c r="A207" s="447" t="s">
        <v>42</v>
      </c>
      <c r="B207" s="448"/>
      <c r="C207" s="4" t="s">
        <v>31</v>
      </c>
      <c r="D207" s="22">
        <f>Balaka!G207+Balaka!H207+Balaka!I207</f>
        <v>650067.22</v>
      </c>
      <c r="E207" s="22">
        <f>Liwonde!G207+Liwonde!H207+Liwonde!I207</f>
        <v>413767.22</v>
      </c>
      <c r="F207" s="22">
        <f>Machinga!G207+Machinga!H207+Machinga!I207</f>
        <v>0</v>
      </c>
      <c r="G207" s="22">
        <f>Ntaja!G207+Ntaja!H207+Ntaja!I207</f>
        <v>0</v>
      </c>
      <c r="H207" s="34">
        <f>SUM(D207:G207)</f>
        <v>1063834.44</v>
      </c>
    </row>
    <row r="208" spans="1:8" x14ac:dyDescent="0.3">
      <c r="A208" s="445" t="s">
        <v>41</v>
      </c>
      <c r="B208" s="446"/>
      <c r="C208" s="4" t="s">
        <v>31</v>
      </c>
      <c r="D208" s="22">
        <f>Balaka!G208+Balaka!H208+Balaka!I208</f>
        <v>411134.43999999994</v>
      </c>
      <c r="E208" s="22">
        <f>Liwonde!G208+Liwonde!H208+Liwonde!I208</f>
        <v>3615487.2199999997</v>
      </c>
      <c r="F208" s="22">
        <f>Machinga!G208+Machinga!H208+Machinga!I208</f>
        <v>0</v>
      </c>
      <c r="G208" s="22">
        <f>Ntaja!G208+Ntaja!H208+Ntaja!I208</f>
        <v>0</v>
      </c>
      <c r="H208" s="34">
        <f>SUM(D208:G208)</f>
        <v>4026621.6599999997</v>
      </c>
    </row>
    <row r="209" spans="1:8" x14ac:dyDescent="0.3">
      <c r="A209" s="447" t="s">
        <v>40</v>
      </c>
      <c r="B209" s="448"/>
      <c r="C209" s="4" t="s">
        <v>31</v>
      </c>
      <c r="D209" s="22">
        <f>Balaka!G209+Balaka!H209+Balaka!I209</f>
        <v>261067.22</v>
      </c>
      <c r="E209" s="22">
        <f>Liwonde!G209+Liwonde!H209+Liwonde!I209</f>
        <v>8022357.5599999996</v>
      </c>
      <c r="F209" s="22">
        <f>Machinga!G209+Machinga!H209+Machinga!I209</f>
        <v>0</v>
      </c>
      <c r="G209" s="22">
        <f>Ntaja!G209+Ntaja!H209+Ntaja!I209</f>
        <v>0</v>
      </c>
      <c r="H209" s="34">
        <f>SUM(D209:G209)</f>
        <v>8283424.7799999993</v>
      </c>
    </row>
    <row r="210" spans="1:8" x14ac:dyDescent="0.3">
      <c r="A210" s="509" t="s">
        <v>45</v>
      </c>
      <c r="B210" s="510"/>
      <c r="C210" s="4" t="s">
        <v>31</v>
      </c>
      <c r="D210" s="9">
        <f t="shared" ref="D210:G210" si="53">SUM(D206:D209)</f>
        <v>73871200.109999985</v>
      </c>
      <c r="E210" s="9">
        <f t="shared" si="53"/>
        <v>85138735.030000001</v>
      </c>
      <c r="F210" s="9">
        <f t="shared" si="53"/>
        <v>187308.02000000002</v>
      </c>
      <c r="G210" s="9">
        <f t="shared" si="53"/>
        <v>0</v>
      </c>
      <c r="H210" s="34">
        <f>SUM(D210:G210)</f>
        <v>159197243.16</v>
      </c>
    </row>
    <row r="211" spans="1:8" ht="14.4" x14ac:dyDescent="0.3">
      <c r="A211" s="441" t="s">
        <v>44</v>
      </c>
      <c r="B211" s="442"/>
      <c r="C211" s="442"/>
      <c r="D211" s="442"/>
      <c r="E211" s="442"/>
      <c r="F211" s="442"/>
      <c r="G211" s="442"/>
      <c r="H211" s="444"/>
    </row>
    <row r="212" spans="1:8" x14ac:dyDescent="0.3">
      <c r="A212" s="447" t="s">
        <v>43</v>
      </c>
      <c r="B212" s="448"/>
      <c r="C212" s="4" t="s">
        <v>31</v>
      </c>
      <c r="D212" s="22">
        <f>Balaka!G212+Balaka!H212+Balaka!I212</f>
        <v>63193981.680000097</v>
      </c>
      <c r="E212" s="22">
        <f>Liwonde!G212+Liwonde!H212+Liwonde!I212</f>
        <v>63835586.699999899</v>
      </c>
      <c r="F212" s="22">
        <f>Machinga!G212+Machinga!H212+Machinga!I212</f>
        <v>7130335.3200000003</v>
      </c>
      <c r="G212" s="22">
        <f>Ntaja!G212+Ntaja!H212+Ntaja!I212</f>
        <v>12320915.800000001</v>
      </c>
      <c r="H212" s="34">
        <f>SUM(D212:G212)</f>
        <v>146480819.5</v>
      </c>
    </row>
    <row r="213" spans="1:8" x14ac:dyDescent="0.3">
      <c r="A213" s="447" t="s">
        <v>42</v>
      </c>
      <c r="B213" s="448"/>
      <c r="C213" s="4" t="s">
        <v>31</v>
      </c>
      <c r="D213" s="22">
        <f>Balaka!G213+Balaka!H213+Balaka!I213</f>
        <v>294424.64</v>
      </c>
      <c r="E213" s="22">
        <f>Liwonde!G213+Liwonde!H213+Liwonde!I213</f>
        <v>3500</v>
      </c>
      <c r="F213" s="22">
        <f>Machinga!G213+Machinga!H213+Machinga!I213</f>
        <v>0</v>
      </c>
      <c r="G213" s="22">
        <f>Ntaja!G213+Ntaja!H213+Ntaja!I213</f>
        <v>48300</v>
      </c>
      <c r="H213" s="34">
        <f>SUM(D213:G213)</f>
        <v>346224.64000000001</v>
      </c>
    </row>
    <row r="214" spans="1:8" x14ac:dyDescent="0.3">
      <c r="A214" s="445" t="s">
        <v>41</v>
      </c>
      <c r="B214" s="446"/>
      <c r="C214" s="4" t="s">
        <v>31</v>
      </c>
      <c r="D214" s="22">
        <f>Balaka!G214+Balaka!H214+Balaka!I214</f>
        <v>8258422.8100000005</v>
      </c>
      <c r="E214" s="22">
        <f>Liwonde!G214+Liwonde!H214+Liwonde!I214</f>
        <v>45320223.119999997</v>
      </c>
      <c r="F214" s="22">
        <f>Machinga!G214+Machinga!H214+Machinga!I214</f>
        <v>175500</v>
      </c>
      <c r="G214" s="22">
        <f>Ntaja!G214+Ntaja!H214+Ntaja!I214</f>
        <v>684543.07000000007</v>
      </c>
      <c r="H214" s="34">
        <f>SUM(D214:G214)</f>
        <v>54438689</v>
      </c>
    </row>
    <row r="215" spans="1:8" x14ac:dyDescent="0.3">
      <c r="A215" s="447" t="s">
        <v>40</v>
      </c>
      <c r="B215" s="448"/>
      <c r="C215" s="4" t="s">
        <v>31</v>
      </c>
      <c r="D215" s="22">
        <f>Balaka!G215+Balaka!H215+Balaka!I215</f>
        <v>10113185.629999999</v>
      </c>
      <c r="E215" s="22">
        <f>Liwonde!G215+Liwonde!H215+Liwonde!I215</f>
        <v>18700483.649999999</v>
      </c>
      <c r="F215" s="22">
        <f>Machinga!G215+Machinga!H215+Machinga!I215</f>
        <v>1088000</v>
      </c>
      <c r="G215" s="22">
        <f>Ntaja!G215+Ntaja!H215+Ntaja!I215</f>
        <v>512739.4</v>
      </c>
      <c r="H215" s="34">
        <f>SUM(D215:G215)</f>
        <v>30414408.679999996</v>
      </c>
    </row>
    <row r="216" spans="1:8" x14ac:dyDescent="0.3">
      <c r="A216" s="509" t="s">
        <v>39</v>
      </c>
      <c r="B216" s="510"/>
      <c r="C216" s="4" t="s">
        <v>31</v>
      </c>
      <c r="D216" s="9">
        <f t="shared" ref="D216:G216" si="54">SUM(D212:D215)</f>
        <v>81860014.760000095</v>
      </c>
      <c r="E216" s="9">
        <f t="shared" si="54"/>
        <v>127859793.46999991</v>
      </c>
      <c r="F216" s="9">
        <f t="shared" si="54"/>
        <v>8393835.3200000003</v>
      </c>
      <c r="G216" s="9">
        <f t="shared" si="54"/>
        <v>13566498.270000001</v>
      </c>
      <c r="H216" s="34">
        <f>SUM(D216:G216)</f>
        <v>231680141.82000002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155731214.87000006</v>
      </c>
      <c r="E217" s="9">
        <f t="shared" ref="E217:H217" si="55">E210+E216</f>
        <v>212998528.49999991</v>
      </c>
      <c r="F217" s="9">
        <f t="shared" si="55"/>
        <v>8581143.3399999999</v>
      </c>
      <c r="G217" s="9">
        <f t="shared" si="55"/>
        <v>13566498.270000001</v>
      </c>
      <c r="H217" s="35">
        <f t="shared" si="55"/>
        <v>390877384.98000002</v>
      </c>
    </row>
    <row r="218" spans="1:8" ht="14.4" x14ac:dyDescent="0.3">
      <c r="A218" s="441" t="s">
        <v>37</v>
      </c>
      <c r="B218" s="442"/>
      <c r="C218" s="442"/>
      <c r="D218" s="442"/>
      <c r="E218" s="442"/>
      <c r="F218" s="442"/>
      <c r="G218" s="442"/>
      <c r="H218" s="444"/>
    </row>
    <row r="219" spans="1:8" x14ac:dyDescent="0.3">
      <c r="A219" s="447" t="s">
        <v>35</v>
      </c>
      <c r="B219" s="448"/>
      <c r="C219" s="4" t="s">
        <v>31</v>
      </c>
      <c r="D219" s="22">
        <f>Balaka!G219+Balaka!H219+Balaka!I219</f>
        <v>66956794.620000005</v>
      </c>
      <c r="E219" s="22">
        <f>Liwonde!G219+Liwonde!H219+Liwonde!I219</f>
        <v>77116942.11999999</v>
      </c>
      <c r="F219" s="22">
        <f>Machinga!G219+Machinga!H219+Machinga!I219</f>
        <v>110617.35</v>
      </c>
      <c r="G219" s="22">
        <f>Ntaja!G219+Ntaja!H219+Ntaja!I219</f>
        <v>42280.32</v>
      </c>
      <c r="H219" s="34">
        <f>SUM(D219:G219)</f>
        <v>144226634.41</v>
      </c>
    </row>
    <row r="220" spans="1:8" x14ac:dyDescent="0.3">
      <c r="A220" s="447" t="s">
        <v>34</v>
      </c>
      <c r="B220" s="448"/>
      <c r="C220" s="4" t="s">
        <v>31</v>
      </c>
      <c r="D220" s="22">
        <f>Balaka!G220+Balaka!H220+Balaka!I220</f>
        <v>563702.16</v>
      </c>
      <c r="E220" s="22">
        <f>Liwonde!G220+Liwonde!H220+Liwonde!I220</f>
        <v>384281.52</v>
      </c>
      <c r="F220" s="22">
        <f>Machinga!G220+Machinga!H220+Machinga!I220</f>
        <v>0</v>
      </c>
      <c r="G220" s="22">
        <f>Ntaja!G220+Ntaja!H220+Ntaja!I220</f>
        <v>0</v>
      </c>
      <c r="H220" s="34">
        <f>SUM(D220:G220)</f>
        <v>947983.68</v>
      </c>
    </row>
    <row r="221" spans="1:8" x14ac:dyDescent="0.3">
      <c r="A221" s="447" t="s">
        <v>33</v>
      </c>
      <c r="B221" s="448"/>
      <c r="C221" s="4" t="s">
        <v>31</v>
      </c>
      <c r="D221" s="22">
        <f>Balaka!G221+Balaka!H221+Balaka!I221</f>
        <v>961789.8</v>
      </c>
      <c r="E221" s="22">
        <f>Liwonde!G221+Liwonde!H221+Liwonde!I221</f>
        <v>5033185.63</v>
      </c>
      <c r="F221" s="22">
        <f>Machinga!G221+Machinga!H221+Machinga!I221</f>
        <v>92976.959999999992</v>
      </c>
      <c r="G221" s="22">
        <f>Ntaja!G221+Ntaja!H221+Ntaja!I221</f>
        <v>25232.97</v>
      </c>
      <c r="H221" s="34">
        <f>SUM(D221:G221)</f>
        <v>6113185.3599999994</v>
      </c>
    </row>
    <row r="222" spans="1:8" x14ac:dyDescent="0.3">
      <c r="A222" s="447" t="s">
        <v>32</v>
      </c>
      <c r="B222" s="448"/>
      <c r="C222" s="4" t="s">
        <v>31</v>
      </c>
      <c r="D222" s="22">
        <f>Balaka!G222+Balaka!H222+Balaka!I222</f>
        <v>299667.82</v>
      </c>
      <c r="E222" s="22">
        <f>Liwonde!G222+Liwonde!H222+Liwonde!I222</f>
        <v>2808855.32</v>
      </c>
      <c r="F222" s="22">
        <f>Machinga!G222+Machinga!H222+Machinga!I222</f>
        <v>0</v>
      </c>
      <c r="G222" s="22">
        <f>Ntaja!G222+Ntaja!H222+Ntaja!I222</f>
        <v>0</v>
      </c>
      <c r="H222" s="34">
        <f>SUM(D222:G222)</f>
        <v>3108523.1399999997</v>
      </c>
    </row>
    <row r="223" spans="1:8" x14ac:dyDescent="0.3">
      <c r="A223" s="509" t="s">
        <v>36</v>
      </c>
      <c r="B223" s="510"/>
      <c r="C223" s="4" t="s">
        <v>31</v>
      </c>
      <c r="D223" s="10">
        <f t="shared" ref="D223:G223" si="56">SUM(D219:D222)</f>
        <v>68781954.399999991</v>
      </c>
      <c r="E223" s="9">
        <f t="shared" si="56"/>
        <v>85343264.589999974</v>
      </c>
      <c r="F223" s="9">
        <f t="shared" si="56"/>
        <v>203594.31</v>
      </c>
      <c r="G223" s="9">
        <f t="shared" si="56"/>
        <v>67513.290000000008</v>
      </c>
      <c r="H223" s="34">
        <f>SUM(D223:G223)</f>
        <v>154396326.58999994</v>
      </c>
    </row>
    <row r="224" spans="1:8" ht="14.4" x14ac:dyDescent="0.3">
      <c r="A224" s="441" t="s">
        <v>213</v>
      </c>
      <c r="B224" s="442"/>
      <c r="C224" s="442"/>
      <c r="D224" s="442"/>
      <c r="E224" s="442"/>
      <c r="F224" s="442"/>
      <c r="G224" s="442"/>
      <c r="H224" s="444"/>
    </row>
    <row r="225" spans="1:8" x14ac:dyDescent="0.3">
      <c r="A225" s="447" t="s">
        <v>35</v>
      </c>
      <c r="B225" s="448"/>
      <c r="C225" s="4" t="s">
        <v>31</v>
      </c>
      <c r="D225" s="22">
        <f>Balaka!G225+Balaka!H225+Balaka!I225</f>
        <v>56215609.140000127</v>
      </c>
      <c r="E225" s="22">
        <f>Liwonde!G225+Liwonde!H225+Liwonde!I225</f>
        <v>62166757.61999996</v>
      </c>
      <c r="F225" s="22">
        <f>Machinga!G225+Machinga!H225+Machinga!I225</f>
        <v>6412734.3200000003</v>
      </c>
      <c r="G225" s="22">
        <f>Ntaja!G225+Ntaja!H225+Ntaja!I225</f>
        <v>12057514.390000008</v>
      </c>
      <c r="H225" s="34">
        <f t="shared" ref="H225:H230" si="57">SUM(D225:G225)</f>
        <v>136852615.47000009</v>
      </c>
    </row>
    <row r="226" spans="1:8" x14ac:dyDescent="0.3">
      <c r="A226" s="447" t="s">
        <v>34</v>
      </c>
      <c r="B226" s="448"/>
      <c r="C226" s="4" t="s">
        <v>31</v>
      </c>
      <c r="D226" s="22">
        <f>Balaka!G226+Balaka!H226+Balaka!I226</f>
        <v>227628.87</v>
      </c>
      <c r="E226" s="22">
        <f>Liwonde!G226+Liwonde!H226+Liwonde!I226</f>
        <v>1400</v>
      </c>
      <c r="F226" s="22">
        <f>Machinga!G226+Machinga!H226+Machinga!I226</f>
        <v>0</v>
      </c>
      <c r="G226" s="22">
        <f>Ntaja!G226+Ntaja!H226+Ntaja!I226</f>
        <v>48300</v>
      </c>
      <c r="H226" s="34">
        <f t="shared" si="57"/>
        <v>277328.87</v>
      </c>
    </row>
    <row r="227" spans="1:8" x14ac:dyDescent="0.3">
      <c r="A227" s="447" t="s">
        <v>33</v>
      </c>
      <c r="B227" s="448"/>
      <c r="C227" s="4" t="s">
        <v>31</v>
      </c>
      <c r="D227" s="22">
        <f>Balaka!G227+Balaka!H227+Balaka!I227</f>
        <v>9030247.5999999996</v>
      </c>
      <c r="E227" s="22">
        <f>Liwonde!G227+Liwonde!H227+Liwonde!I227</f>
        <v>18687283.649999999</v>
      </c>
      <c r="F227" s="22">
        <f>Machinga!G227+Machinga!H227+Machinga!I227</f>
        <v>1083200</v>
      </c>
      <c r="G227" s="22">
        <f>Ntaja!G227+Ntaja!H227+Ntaja!I227</f>
        <v>504339.4</v>
      </c>
      <c r="H227" s="34">
        <f t="shared" si="57"/>
        <v>29305070.649999999</v>
      </c>
    </row>
    <row r="228" spans="1:8" x14ac:dyDescent="0.3">
      <c r="A228" s="447" t="s">
        <v>32</v>
      </c>
      <c r="B228" s="448"/>
      <c r="C228" s="4" t="s">
        <v>31</v>
      </c>
      <c r="D228" s="22">
        <f>Balaka!G228+Balaka!H228+Balaka!I228</f>
        <v>7949362.8100000005</v>
      </c>
      <c r="E228" s="22">
        <f>Liwonde!G228+Liwonde!H228+Liwonde!I228</f>
        <v>44284345.240000002</v>
      </c>
      <c r="F228" s="22">
        <f>Machinga!G228+Machinga!H228+Machinga!I228</f>
        <v>175500</v>
      </c>
      <c r="G228" s="22">
        <f>Ntaja!G228+Ntaja!H228+Ntaja!I228</f>
        <v>684543.07000000007</v>
      </c>
      <c r="H228" s="34">
        <f t="shared" si="57"/>
        <v>53093751.120000005</v>
      </c>
    </row>
    <row r="229" spans="1:8" x14ac:dyDescent="0.3">
      <c r="A229" s="509" t="s">
        <v>214</v>
      </c>
      <c r="B229" s="510"/>
      <c r="C229" s="4" t="s">
        <v>31</v>
      </c>
      <c r="D229" s="10">
        <f t="shared" ref="D229:G229" si="58">SUM(D225:D228)</f>
        <v>73422848.420000121</v>
      </c>
      <c r="E229" s="9">
        <f t="shared" si="58"/>
        <v>125139786.50999996</v>
      </c>
      <c r="F229" s="9">
        <f t="shared" si="58"/>
        <v>7671434.3200000003</v>
      </c>
      <c r="G229" s="9">
        <f t="shared" si="58"/>
        <v>13294696.860000009</v>
      </c>
      <c r="H229" s="34">
        <f t="shared" si="57"/>
        <v>219528766.11000007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142204802.82000011</v>
      </c>
      <c r="E230" s="10">
        <f t="shared" ref="E230:G230" si="59">E223+E229</f>
        <v>210483051.09999993</v>
      </c>
      <c r="F230" s="10">
        <f t="shared" si="59"/>
        <v>7875028.6299999999</v>
      </c>
      <c r="G230" s="10">
        <f t="shared" si="59"/>
        <v>13362210.150000008</v>
      </c>
      <c r="H230" s="34">
        <f t="shared" si="57"/>
        <v>373925092.70000011</v>
      </c>
    </row>
    <row r="231" spans="1:8" ht="14.4" x14ac:dyDescent="0.3">
      <c r="A231" s="441" t="s">
        <v>30</v>
      </c>
      <c r="B231" s="442"/>
      <c r="C231" s="442"/>
      <c r="D231" s="442"/>
      <c r="E231" s="442"/>
      <c r="F231" s="442"/>
      <c r="G231" s="442"/>
      <c r="H231" s="444"/>
    </row>
    <row r="232" spans="1:8" x14ac:dyDescent="0.3">
      <c r="A232" s="447" t="s">
        <v>29</v>
      </c>
      <c r="B232" s="448"/>
      <c r="C232" s="4" t="s">
        <v>18</v>
      </c>
      <c r="D232" s="22">
        <f>Balaka!G232+Balaka!H232+Balaka!I232</f>
        <v>4854952.0200000005</v>
      </c>
      <c r="E232" s="22">
        <f>Liwonde!G232+Liwonde!H232+Liwonde!I232</f>
        <v>4265795.91</v>
      </c>
      <c r="F232" s="22">
        <f>Machinga!G232+Machinga!H232+Machinga!I232</f>
        <v>11573.18</v>
      </c>
      <c r="G232" s="22">
        <f>Ntaja!G232+Ntaja!H232+Ntaja!I232</f>
        <v>3269.58</v>
      </c>
      <c r="H232" s="34">
        <f>SUM(D232:G232)</f>
        <v>9135590.6899999995</v>
      </c>
    </row>
    <row r="233" spans="1:8" x14ac:dyDescent="0.3">
      <c r="A233" s="447" t="s">
        <v>28</v>
      </c>
      <c r="B233" s="448"/>
      <c r="C233" s="4" t="s">
        <v>18</v>
      </c>
      <c r="D233" s="22">
        <f>Balaka!G233+Balaka!H233+Balaka!I233</f>
        <v>6312.24</v>
      </c>
      <c r="E233" s="22">
        <f>Liwonde!G233+Liwonde!H233+Liwonde!I233</f>
        <v>4973.28</v>
      </c>
      <c r="F233" s="22">
        <f>Machinga!G233+Machinga!H233+Machinga!I233</f>
        <v>0</v>
      </c>
      <c r="G233" s="22">
        <f>Ntaja!G233+Ntaja!H233+Ntaja!I233</f>
        <v>0</v>
      </c>
      <c r="H233" s="34">
        <f>SUM(D233:G233)</f>
        <v>11285.52</v>
      </c>
    </row>
    <row r="234" spans="1:8" x14ac:dyDescent="0.3">
      <c r="A234" s="447" t="s">
        <v>27</v>
      </c>
      <c r="B234" s="448"/>
      <c r="C234" s="4" t="s">
        <v>18</v>
      </c>
      <c r="D234" s="22">
        <f>Balaka!G234+Balaka!H234+Balaka!I234</f>
        <v>91628.28</v>
      </c>
      <c r="E234" s="22">
        <f>Liwonde!G234+Liwonde!H234+Liwonde!I234</f>
        <v>81447.360000000001</v>
      </c>
      <c r="F234" s="22">
        <f>Machinga!G234+Machinga!H234+Machinga!I234</f>
        <v>10180.92</v>
      </c>
      <c r="G234" s="22">
        <f>Ntaja!G234+Ntaja!H234+Ntaja!I234</f>
        <v>10180.92</v>
      </c>
      <c r="H234" s="34">
        <f>SUM(D234:G234)</f>
        <v>193437.48000000004</v>
      </c>
    </row>
    <row r="235" spans="1:8" x14ac:dyDescent="0.3">
      <c r="A235" s="447" t="s">
        <v>26</v>
      </c>
      <c r="B235" s="448"/>
      <c r="C235" s="4" t="s">
        <v>18</v>
      </c>
      <c r="D235" s="22">
        <f>Balaka!G235+Balaka!H235+Balaka!I235</f>
        <v>18549.36</v>
      </c>
      <c r="E235" s="22">
        <f>Liwonde!G235+Liwonde!H235+Liwonde!I235</f>
        <v>74197.440000000002</v>
      </c>
      <c r="F235" s="22">
        <f>Machinga!G235+Machinga!H235+Machinga!I235</f>
        <v>0</v>
      </c>
      <c r="G235" s="22">
        <f>Ntaja!G235+Ntaja!H235+Ntaja!I235</f>
        <v>0</v>
      </c>
      <c r="H235" s="34">
        <f>SUM(D235:G235)</f>
        <v>92746.8</v>
      </c>
    </row>
    <row r="236" spans="1:8" x14ac:dyDescent="0.3">
      <c r="A236" s="509" t="s">
        <v>25</v>
      </c>
      <c r="B236" s="510"/>
      <c r="C236" s="4" t="s">
        <v>18</v>
      </c>
      <c r="D236" s="10">
        <f t="shared" ref="D236:G236" si="60">SUM(D232:D235)</f>
        <v>4971441.9000000013</v>
      </c>
      <c r="E236" s="10">
        <f t="shared" si="60"/>
        <v>4426413.9900000012</v>
      </c>
      <c r="F236" s="10">
        <f t="shared" si="60"/>
        <v>21754.1</v>
      </c>
      <c r="G236" s="10">
        <f t="shared" si="60"/>
        <v>13450.5</v>
      </c>
      <c r="H236" s="35">
        <f t="shared" ref="H236" si="61">SUM(H232:H235)</f>
        <v>9433060.4900000002</v>
      </c>
    </row>
    <row r="237" spans="1:8" ht="14.4" x14ac:dyDescent="0.3">
      <c r="A237" s="441" t="s">
        <v>24</v>
      </c>
      <c r="B237" s="442"/>
      <c r="C237" s="442"/>
      <c r="D237" s="442"/>
      <c r="E237" s="442"/>
      <c r="F237" s="442"/>
      <c r="G237" s="442"/>
      <c r="H237" s="444"/>
    </row>
    <row r="238" spans="1:8" x14ac:dyDescent="0.3">
      <c r="A238" s="447" t="s">
        <v>23</v>
      </c>
      <c r="B238" s="448"/>
      <c r="C238" s="4" t="s">
        <v>18</v>
      </c>
      <c r="D238" s="22">
        <f>Balaka!G238+Balaka!H238+Balaka!I238</f>
        <v>8086115</v>
      </c>
      <c r="E238" s="22">
        <f>Liwonde!G238+Liwonde!H238+Liwonde!I238</f>
        <v>7102922</v>
      </c>
      <c r="F238" s="22">
        <f>Machinga!G238+Machinga!H238+Machinga!I238</f>
        <v>17860</v>
      </c>
      <c r="G238" s="22">
        <f>Ntaja!G238+Ntaja!H238+Ntaja!I238</f>
        <v>5358</v>
      </c>
      <c r="H238" s="34">
        <f>SUM(D238:G238)</f>
        <v>15212255</v>
      </c>
    </row>
    <row r="239" spans="1:8" x14ac:dyDescent="0.3">
      <c r="A239" s="447" t="s">
        <v>22</v>
      </c>
      <c r="B239" s="448"/>
      <c r="C239" s="4" t="s">
        <v>18</v>
      </c>
      <c r="D239" s="22">
        <f>Balaka!G239+Balaka!H239+Balaka!I239</f>
        <v>29469</v>
      </c>
      <c r="E239" s="22">
        <f>Liwonde!G239+Liwonde!H239+Liwonde!I239</f>
        <v>23218</v>
      </c>
      <c r="F239" s="22">
        <f>Machinga!G239+Machinga!H239+Machinga!I239</f>
        <v>0</v>
      </c>
      <c r="G239" s="22">
        <f>Ntaja!G239+Ntaja!H239+Ntaja!I239</f>
        <v>0</v>
      </c>
      <c r="H239" s="34">
        <f>SUM(D239:G239)</f>
        <v>52687</v>
      </c>
    </row>
    <row r="240" spans="1:8" x14ac:dyDescent="0.3">
      <c r="A240" s="447" t="s">
        <v>21</v>
      </c>
      <c r="B240" s="448"/>
      <c r="C240" s="4" t="s">
        <v>18</v>
      </c>
      <c r="D240" s="22">
        <f>Balaka!G240+Balaka!H240+Balaka!I240</f>
        <v>24111</v>
      </c>
      <c r="E240" s="22">
        <f>Liwonde!G240+Liwonde!H240+Liwonde!I240</f>
        <v>21432</v>
      </c>
      <c r="F240" s="22">
        <f>Machinga!G240+Machinga!H240+Machinga!I240</f>
        <v>2679</v>
      </c>
      <c r="G240" s="22">
        <f>Ntaja!G240+Ntaja!H240+Ntaja!I240</f>
        <v>2679</v>
      </c>
      <c r="H240" s="34">
        <f>SUM(D240:G240)</f>
        <v>50901</v>
      </c>
    </row>
    <row r="241" spans="1:8" x14ac:dyDescent="0.3">
      <c r="A241" s="447" t="s">
        <v>20</v>
      </c>
      <c r="B241" s="448"/>
      <c r="C241" s="4" t="s">
        <v>18</v>
      </c>
      <c r="D241" s="22">
        <f>Balaka!G241+Balaka!H241+Balaka!I241</f>
        <v>3572</v>
      </c>
      <c r="E241" s="22">
        <f>Liwonde!G241+Liwonde!H241+Liwonde!I241</f>
        <v>14288</v>
      </c>
      <c r="F241" s="22">
        <f>Machinga!G241+Machinga!H241+Machinga!I241</f>
        <v>0</v>
      </c>
      <c r="G241" s="22">
        <f>Ntaja!G241+Ntaja!H241+Ntaja!I241</f>
        <v>0</v>
      </c>
      <c r="H241" s="34">
        <f>SUM(D241:G241)</f>
        <v>17860</v>
      </c>
    </row>
    <row r="242" spans="1:8" x14ac:dyDescent="0.3">
      <c r="A242" s="509" t="s">
        <v>19</v>
      </c>
      <c r="B242" s="510"/>
      <c r="C242" s="4" t="s">
        <v>18</v>
      </c>
      <c r="D242" s="10">
        <f t="shared" ref="D242:H242" si="62">SUM(D238:D241)</f>
        <v>8143267</v>
      </c>
      <c r="E242" s="10">
        <f t="shared" si="62"/>
        <v>7161860</v>
      </c>
      <c r="F242" s="10">
        <f t="shared" si="62"/>
        <v>20539</v>
      </c>
      <c r="G242" s="10">
        <f t="shared" si="62"/>
        <v>8037</v>
      </c>
      <c r="H242" s="35">
        <f t="shared" si="62"/>
        <v>15333703</v>
      </c>
    </row>
    <row r="243" spans="1:8" x14ac:dyDescent="0.3">
      <c r="A243" s="509" t="s">
        <v>216</v>
      </c>
      <c r="B243" s="510"/>
      <c r="C243" s="4" t="s">
        <v>18</v>
      </c>
      <c r="D243" s="9">
        <f>D230+D236+D242</f>
        <v>155319511.72000012</v>
      </c>
      <c r="E243" s="9">
        <f t="shared" ref="E243:G243" si="63">E230+E236+E242</f>
        <v>222071325.08999994</v>
      </c>
      <c r="F243" s="9">
        <f t="shared" si="63"/>
        <v>7917321.7299999995</v>
      </c>
      <c r="G243" s="9">
        <f t="shared" si="63"/>
        <v>13383697.650000008</v>
      </c>
      <c r="H243" s="35">
        <f t="shared" ref="H243" si="64">H216+H223+H236+H242</f>
        <v>410843231.89999998</v>
      </c>
    </row>
    <row r="244" spans="1:8" ht="14.4" x14ac:dyDescent="0.3">
      <c r="A244" s="441" t="s">
        <v>206</v>
      </c>
      <c r="B244" s="442"/>
      <c r="C244" s="442"/>
      <c r="D244" s="442"/>
      <c r="E244" s="442"/>
      <c r="F244" s="442"/>
      <c r="G244" s="442"/>
      <c r="H244" s="444"/>
    </row>
    <row r="245" spans="1:8" x14ac:dyDescent="0.3">
      <c r="A245" s="513" t="s">
        <v>207</v>
      </c>
      <c r="B245" s="514"/>
      <c r="C245" s="4" t="s">
        <v>18</v>
      </c>
      <c r="D245" s="13">
        <f>Balaka!G245+Balaka!H245+Balaka!I245</f>
        <v>823869429.05999899</v>
      </c>
      <c r="E245" s="13">
        <f>Liwonde!G245+Liwonde!H245+Liwonde!I245</f>
        <v>573358141.31999803</v>
      </c>
      <c r="F245" s="13">
        <f>Machinga!G245+Machinga!H245+Machinga!I245</f>
        <v>53528764.88000001</v>
      </c>
      <c r="G245" s="13">
        <f>Ntaja!G245+Ntaja!H245+Ntaja!I245</f>
        <v>1438669.94</v>
      </c>
      <c r="H245" s="35">
        <f t="shared" ref="H245" si="65">SUM(H241:H244)</f>
        <v>426194794.89999998</v>
      </c>
    </row>
    <row r="246" spans="1:8" x14ac:dyDescent="0.3">
      <c r="A246" s="513" t="s">
        <v>208</v>
      </c>
      <c r="B246" s="514"/>
      <c r="C246" s="4" t="s">
        <v>18</v>
      </c>
      <c r="D246" s="13">
        <f>Balaka!G246+Balaka!H246+Balaka!I246</f>
        <v>8987994.8100000005</v>
      </c>
      <c r="E246" s="13">
        <f>Liwonde!G246+Liwonde!H246+Liwonde!I246</f>
        <v>25534121.07</v>
      </c>
      <c r="F246" s="13">
        <f>Machinga!G246+Machinga!H246+Machinga!I246</f>
        <v>935137.8899999999</v>
      </c>
      <c r="G246" s="13">
        <f>Ntaja!G246+Ntaja!H246+Ntaja!I246</f>
        <v>488791.44</v>
      </c>
      <c r="H246" s="35">
        <f t="shared" ref="H246" si="66">SUM(H242:H245)</f>
        <v>852371729.79999995</v>
      </c>
    </row>
    <row r="247" spans="1:8" x14ac:dyDescent="0.3">
      <c r="A247" s="515" t="s">
        <v>209</v>
      </c>
      <c r="B247" s="516"/>
      <c r="C247" s="4" t="s">
        <v>18</v>
      </c>
      <c r="D247" s="126">
        <f>D245+D246</f>
        <v>832857423.86999893</v>
      </c>
      <c r="E247" s="126">
        <f t="shared" ref="E247:G247" si="67">E245+E246</f>
        <v>598892262.38999808</v>
      </c>
      <c r="F247" s="126">
        <f t="shared" si="67"/>
        <v>54463902.770000011</v>
      </c>
      <c r="G247" s="126">
        <f t="shared" si="67"/>
        <v>1927461.38</v>
      </c>
      <c r="H247" s="35">
        <f t="shared" ref="H247" si="68">SUM(H243:H246)</f>
        <v>1689409756.5999999</v>
      </c>
    </row>
    <row r="248" spans="1:8" ht="14.4" x14ac:dyDescent="0.3">
      <c r="A248" s="441" t="s">
        <v>17</v>
      </c>
      <c r="B248" s="442"/>
      <c r="C248" s="442"/>
      <c r="D248" s="442"/>
      <c r="E248" s="442"/>
      <c r="F248" s="442"/>
      <c r="G248" s="442"/>
      <c r="H248" s="444"/>
    </row>
    <row r="249" spans="1:8" x14ac:dyDescent="0.3">
      <c r="A249" s="447" t="s">
        <v>16</v>
      </c>
      <c r="B249" s="448"/>
      <c r="C249" s="4" t="s">
        <v>6</v>
      </c>
      <c r="D249" s="7">
        <f>D58/D243</f>
        <v>0.67562670788860968</v>
      </c>
      <c r="E249" s="7">
        <f t="shared" ref="E249:H249" si="69">E58/E243</f>
        <v>0.60215673948541504</v>
      </c>
      <c r="F249" s="7">
        <f t="shared" si="69"/>
        <v>0.94966450731818375</v>
      </c>
      <c r="G249" s="7">
        <f t="shared" si="69"/>
        <v>0.87958782190510665</v>
      </c>
      <c r="H249" s="412">
        <f t="shared" si="69"/>
        <v>0.62785674023573967</v>
      </c>
    </row>
    <row r="250" spans="1:8" x14ac:dyDescent="0.3">
      <c r="A250" s="447" t="s">
        <v>210</v>
      </c>
      <c r="B250" s="448"/>
      <c r="C250" s="4" t="s">
        <v>6</v>
      </c>
      <c r="D250" s="25">
        <f>D210/(D223+D245)</f>
        <v>8.2754815013749719E-2</v>
      </c>
      <c r="E250" s="25">
        <f t="shared" ref="E250:G250" si="70">E210/(E223+E245)</f>
        <v>0.12925239610257183</v>
      </c>
      <c r="F250" s="25">
        <f t="shared" si="70"/>
        <v>3.485944462957052E-3</v>
      </c>
      <c r="G250" s="25">
        <f t="shared" si="70"/>
        <v>0</v>
      </c>
      <c r="H250" s="413">
        <f>H210/(H223+H245)</f>
        <v>0.27419854914667691</v>
      </c>
    </row>
    <row r="251" spans="1:8" ht="16.2" thickBot="1" x14ac:dyDescent="0.35">
      <c r="A251" s="511" t="s">
        <v>15</v>
      </c>
      <c r="B251" s="512"/>
      <c r="C251" s="4" t="s">
        <v>6</v>
      </c>
      <c r="D251" s="6">
        <f>D210/D223</f>
        <v>1.0739910017735697</v>
      </c>
      <c r="E251" s="6">
        <f t="shared" ref="E251:H251" si="71">E210/E223</f>
        <v>0.99760344813404367</v>
      </c>
      <c r="F251" s="6">
        <f t="shared" si="71"/>
        <v>0.92000616323707685</v>
      </c>
      <c r="G251" s="6">
        <f t="shared" si="71"/>
        <v>0</v>
      </c>
      <c r="H251" s="414">
        <f t="shared" si="71"/>
        <v>1.0310947590271944</v>
      </c>
    </row>
    <row r="252" spans="1:8" ht="14.4" x14ac:dyDescent="0.3">
      <c r="A252" s="490" t="s">
        <v>14</v>
      </c>
      <c r="B252" s="491"/>
      <c r="C252" s="491"/>
      <c r="D252" s="491"/>
      <c r="E252" s="491"/>
      <c r="F252" s="491"/>
      <c r="G252" s="491"/>
      <c r="H252" s="492"/>
    </row>
    <row r="253" spans="1:8" ht="15" customHeight="1" x14ac:dyDescent="0.3">
      <c r="A253" s="447" t="s">
        <v>13</v>
      </c>
      <c r="B253" s="448"/>
      <c r="C253" s="4" t="s">
        <v>3</v>
      </c>
      <c r="D253" s="22">
        <f>Balaka!G253+Balaka!H253+Balaka!I253</f>
        <v>170</v>
      </c>
      <c r="E253" s="22">
        <f>Liwonde!G253+Liwonde!H253+Liwonde!I253</f>
        <v>185</v>
      </c>
      <c r="F253" s="22">
        <f>Machinga!G253+Machinga!H253+Machinga!I253</f>
        <v>15</v>
      </c>
      <c r="G253" s="22">
        <f>Ntaja!G253+Ntaja!H253+Ntaja!I253</f>
        <v>78</v>
      </c>
      <c r="H253" s="415">
        <f>SUM(D253:G253)</f>
        <v>448</v>
      </c>
    </row>
    <row r="254" spans="1:8" x14ac:dyDescent="0.3">
      <c r="A254" s="447" t="s">
        <v>12</v>
      </c>
      <c r="B254" s="448"/>
      <c r="C254" s="4" t="s">
        <v>3</v>
      </c>
      <c r="D254" s="22">
        <f>Balaka!G254+Balaka!H254+Balaka!I254</f>
        <v>3</v>
      </c>
      <c r="E254" s="22">
        <f>Liwonde!G254+Liwonde!H254+Liwonde!I254</f>
        <v>3</v>
      </c>
      <c r="F254" s="22">
        <f>Machinga!G254+Machinga!H254+Machinga!I254</f>
        <v>3</v>
      </c>
      <c r="G254" s="22">
        <f>Ntaja!G254+Ntaja!H254+Ntaja!I254</f>
        <v>5</v>
      </c>
      <c r="H254" s="415">
        <f>SUM(D254:G254)</f>
        <v>14</v>
      </c>
    </row>
    <row r="255" spans="1:8" ht="15.75" customHeight="1" x14ac:dyDescent="0.3">
      <c r="A255" s="447" t="s">
        <v>11</v>
      </c>
      <c r="B255" s="448"/>
      <c r="C255" s="4" t="s">
        <v>3</v>
      </c>
      <c r="D255" s="22">
        <f>Balaka!G255+Balaka!H255+Balaka!I255</f>
        <v>1245</v>
      </c>
      <c r="E255" s="22">
        <f>Liwonde!G255+Liwonde!H255+Liwonde!I255</f>
        <v>2398</v>
      </c>
      <c r="F255" s="22">
        <f>Machinga!G255+Machinga!H255+Machinga!I255</f>
        <v>16</v>
      </c>
      <c r="G255" s="22">
        <f>Ntaja!G255+Ntaja!H255+Ntaja!I255</f>
        <v>108</v>
      </c>
      <c r="H255" s="415">
        <f>SUM(D255:G255)</f>
        <v>3767</v>
      </c>
    </row>
    <row r="256" spans="1:8" x14ac:dyDescent="0.3">
      <c r="A256" s="447" t="s">
        <v>10</v>
      </c>
      <c r="B256" s="448"/>
      <c r="C256" s="4" t="s">
        <v>3</v>
      </c>
      <c r="D256" s="22">
        <f>Balaka!G256+Balaka!H256+Balaka!I256</f>
        <v>170</v>
      </c>
      <c r="E256" s="22">
        <f>Liwonde!G256+Liwonde!H256+Liwonde!I256</f>
        <v>185</v>
      </c>
      <c r="F256" s="22">
        <f>Machinga!G256+Machinga!H256+Machinga!I256</f>
        <v>16</v>
      </c>
      <c r="G256" s="22">
        <f>Ntaja!G256+Ntaja!H256+Ntaja!I256</f>
        <v>52</v>
      </c>
      <c r="H256" s="415">
        <f>SUM(D256:G256)</f>
        <v>423</v>
      </c>
    </row>
    <row r="257" spans="1:8" ht="15.6" customHeight="1" x14ac:dyDescent="0.3">
      <c r="A257" s="447" t="s">
        <v>9</v>
      </c>
      <c r="B257" s="448"/>
      <c r="C257" s="4" t="s">
        <v>3</v>
      </c>
      <c r="D257" s="22">
        <f>Balaka!G257+Balaka!H257+Balaka!I257</f>
        <v>60</v>
      </c>
      <c r="E257" s="22">
        <f>Liwonde!G257+Liwonde!H257+Liwonde!I257</f>
        <v>60</v>
      </c>
      <c r="F257" s="22">
        <f>Machinga!G257+Machinga!H257+Machinga!I257</f>
        <v>45</v>
      </c>
      <c r="G257" s="22">
        <f>Ntaja!G257+Ntaja!H257+Ntaja!I257</f>
        <v>58</v>
      </c>
      <c r="H257" s="415">
        <f>SUM(D257:G257)</f>
        <v>223</v>
      </c>
    </row>
    <row r="258" spans="1:8" x14ac:dyDescent="0.3">
      <c r="A258" s="509" t="s">
        <v>8</v>
      </c>
      <c r="B258" s="510"/>
      <c r="C258" s="4" t="s">
        <v>3</v>
      </c>
      <c r="D258" s="1">
        <f t="shared" ref="D258:H258" si="72">D257/D256</f>
        <v>0.35294117647058826</v>
      </c>
      <c r="E258" s="1">
        <f t="shared" si="72"/>
        <v>0.32432432432432434</v>
      </c>
      <c r="F258" s="1">
        <f t="shared" si="72"/>
        <v>2.8125</v>
      </c>
      <c r="G258" s="2">
        <f t="shared" si="72"/>
        <v>1.1153846153846154</v>
      </c>
      <c r="H258" s="415">
        <f t="shared" si="72"/>
        <v>0.5271867612293144</v>
      </c>
    </row>
    <row r="259" spans="1:8" x14ac:dyDescent="0.3">
      <c r="A259" s="509" t="s">
        <v>7</v>
      </c>
      <c r="B259" s="510"/>
      <c r="C259" s="4" t="s">
        <v>6</v>
      </c>
      <c r="D259" s="1">
        <f t="shared" ref="D259:H259" si="73">D92/D255*100</f>
        <v>12.610441767068274</v>
      </c>
      <c r="E259" s="1">
        <f t="shared" si="73"/>
        <v>0</v>
      </c>
      <c r="F259" s="1">
        <f t="shared" si="73"/>
        <v>43.75</v>
      </c>
      <c r="G259" s="5">
        <f t="shared" si="73"/>
        <v>0</v>
      </c>
      <c r="H259" s="98">
        <f t="shared" si="73"/>
        <v>4.3535970268117872</v>
      </c>
    </row>
    <row r="260" spans="1:8" ht="14.4" x14ac:dyDescent="0.3">
      <c r="A260" s="441" t="s">
        <v>5</v>
      </c>
      <c r="B260" s="442"/>
      <c r="C260" s="442"/>
      <c r="D260" s="442"/>
      <c r="E260" s="442"/>
      <c r="F260" s="442"/>
      <c r="G260" s="442"/>
      <c r="H260" s="444"/>
    </row>
    <row r="261" spans="1:8" ht="15" customHeight="1" x14ac:dyDescent="0.3">
      <c r="A261" s="447" t="s">
        <v>4</v>
      </c>
      <c r="B261" s="448"/>
      <c r="C261" s="4" t="s">
        <v>3</v>
      </c>
      <c r="D261" s="22">
        <f>Balaka!G261+Balaka!H261+Balaka!I261</f>
        <v>69</v>
      </c>
      <c r="E261" s="22">
        <f>Liwonde!G261+Liwonde!H261+Liwonde!I261</f>
        <v>41</v>
      </c>
      <c r="F261" s="22">
        <f>Machinga!G261+Machinga!H261+Machinga!I261</f>
        <v>68</v>
      </c>
      <c r="G261" s="22">
        <f>Ntaja!G261+Ntaja!H261+Ntaja!I261</f>
        <v>60</v>
      </c>
      <c r="H261" s="371">
        <f>SUM(D261:G261)</f>
        <v>238</v>
      </c>
    </row>
    <row r="262" spans="1:8" ht="15.75" customHeight="1" x14ac:dyDescent="0.3">
      <c r="A262" s="447" t="s">
        <v>2</v>
      </c>
      <c r="B262" s="448"/>
      <c r="C262" s="4" t="s">
        <v>0</v>
      </c>
      <c r="D262" s="22">
        <f>Balaka!G262+Balaka!H262+Balaka!I262</f>
        <v>90</v>
      </c>
      <c r="E262" s="22">
        <f>Liwonde!G262+Liwonde!H262+Liwonde!I262</f>
        <v>90</v>
      </c>
      <c r="F262" s="22">
        <f>Machinga!G262+Machinga!H262+Machinga!I262</f>
        <v>40</v>
      </c>
      <c r="G262" s="22">
        <f>Ntaja!G262+Ntaja!H262+Ntaja!I262</f>
        <v>9</v>
      </c>
      <c r="H262" s="371">
        <f>SUM(D262:G262)</f>
        <v>229</v>
      </c>
    </row>
    <row r="263" spans="1:8" ht="16.2" thickBot="1" x14ac:dyDescent="0.35">
      <c r="A263" s="517" t="s">
        <v>1</v>
      </c>
      <c r="B263" s="518"/>
      <c r="C263" s="104" t="s">
        <v>0</v>
      </c>
      <c r="D263" s="134">
        <f>D261/D262</f>
        <v>0.76666666666666672</v>
      </c>
      <c r="E263" s="134">
        <f t="shared" ref="E263:H263" si="74">E261/E262</f>
        <v>0.45555555555555555</v>
      </c>
      <c r="F263" s="134">
        <f t="shared" si="74"/>
        <v>1.7</v>
      </c>
      <c r="G263" s="134">
        <f t="shared" si="74"/>
        <v>6.666666666666667</v>
      </c>
      <c r="H263" s="142">
        <f t="shared" si="74"/>
        <v>1.0393013100436681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4"/>
  <dimension ref="A1:K263"/>
  <sheetViews>
    <sheetView workbookViewId="0">
      <pane ySplit="5" topLeftCell="A6" activePane="bottomLeft" state="frozen"/>
      <selection pane="bottomLeft" activeCell="G245" sqref="G245"/>
    </sheetView>
  </sheetViews>
  <sheetFormatPr defaultRowHeight="15.6" x14ac:dyDescent="0.3"/>
  <cols>
    <col min="1" max="1" width="39" customWidth="1"/>
    <col min="2" max="2" width="16.88671875" customWidth="1"/>
    <col min="3" max="3" width="12.5546875" customWidth="1"/>
    <col min="4" max="4" width="20.109375" bestFit="1" customWidth="1"/>
    <col min="5" max="7" width="19.109375" customWidth="1"/>
    <col min="8" max="8" width="24.5546875" style="372" bestFit="1" customWidth="1"/>
    <col min="11" max="11" width="11.109375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158"/>
      <c r="E5" s="84"/>
      <c r="F5" s="84"/>
      <c r="G5" s="158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434" t="s">
        <v>176</v>
      </c>
      <c r="B7" s="435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436" t="s">
        <v>161</v>
      </c>
      <c r="B8" s="437"/>
      <c r="C8" s="437"/>
      <c r="D8" s="437"/>
      <c r="E8" s="437"/>
      <c r="F8" s="437"/>
      <c r="G8" s="437"/>
      <c r="H8" s="438"/>
    </row>
    <row r="9" spans="1:8" x14ac:dyDescent="0.3">
      <c r="A9" s="439" t="s">
        <v>178</v>
      </c>
      <c r="B9" s="440"/>
      <c r="C9" s="52" t="s">
        <v>154</v>
      </c>
      <c r="D9" s="51">
        <f>Balaka!D9+Balaka!E9+Balaka!F9+Balaka!G9+Balaka!H9+Balaka!I9</f>
        <v>318725</v>
      </c>
      <c r="E9" s="51">
        <f>Liwonde!D9+Liwonde!E9+Liwonde!F9+Liwonde!G9+Liwonde!H9+Liwonde!I9</f>
        <v>399993</v>
      </c>
      <c r="F9" s="51">
        <f>Machinga!D9+Machinga!E9+Machinga!F9+Machinga!G9+Machinga!H9+Machinga!I9</f>
        <v>12527</v>
      </c>
      <c r="G9" s="51">
        <f>Ntaja!D9+Ntaja!E9+Ntaja!F9+Ntaja!G9+Ntaja!H9+Ntaja!I9</f>
        <v>22647</v>
      </c>
      <c r="H9" s="135">
        <f>SUM(D9:G9)</f>
        <v>753892</v>
      </c>
    </row>
    <row r="10" spans="1:8" ht="14.4" x14ac:dyDescent="0.3">
      <c r="A10" s="441" t="s">
        <v>179</v>
      </c>
      <c r="B10" s="442"/>
      <c r="C10" s="442"/>
      <c r="D10" s="443"/>
      <c r="E10" s="443"/>
      <c r="F10" s="443"/>
      <c r="G10" s="443"/>
      <c r="H10" s="519"/>
    </row>
    <row r="11" spans="1:8" x14ac:dyDescent="0.3">
      <c r="A11" s="445" t="s">
        <v>159</v>
      </c>
      <c r="B11" s="446"/>
      <c r="C11" s="4" t="s">
        <v>154</v>
      </c>
      <c r="D11" s="22">
        <f>Balaka!D11+Balaka!E11+Balaka!F11+Balaka!G11+Balaka!H11+Balaka!I11</f>
        <v>130678</v>
      </c>
      <c r="E11" s="22">
        <f>Liwonde!D11+Liwonde!E11+Liwonde!F11+Liwonde!G11+Liwonde!H11+Liwonde!I11</f>
        <v>156338</v>
      </c>
      <c r="F11" s="22">
        <f>Machinga!D11+Machinga!E11+Machinga!F11+Machinga!G11+Machinga!H11+Machinga!I11</f>
        <v>218</v>
      </c>
      <c r="G11" s="22">
        <f>Ntaja!D11+Ntaja!E11+Ntaja!F11+Ntaja!G11+Ntaja!H11+Ntaja!I11</f>
        <v>72</v>
      </c>
      <c r="H11" s="50">
        <f>SUM(D11:G11)</f>
        <v>287306</v>
      </c>
    </row>
    <row r="12" spans="1:8" x14ac:dyDescent="0.3">
      <c r="A12" s="445" t="s">
        <v>158</v>
      </c>
      <c r="B12" s="446"/>
      <c r="C12" s="4" t="s">
        <v>154</v>
      </c>
      <c r="D12" s="22">
        <f>Balaka!D12+Balaka!E12+Balaka!F12+Balaka!G12+Balaka!H12+Balaka!I12</f>
        <v>5252</v>
      </c>
      <c r="E12" s="22">
        <f>Liwonde!D12+Liwonde!E12+Liwonde!F12+Liwonde!G12+Liwonde!H12+Liwonde!I12</f>
        <v>3878</v>
      </c>
      <c r="F12" s="22">
        <f>Machinga!D12+Machinga!E12+Machinga!F12+Machinga!G12+Machinga!H12+Machinga!I12</f>
        <v>0</v>
      </c>
      <c r="G12" s="22">
        <f>Ntaja!D12+Ntaja!E12+Ntaja!F12+Ntaja!G12+Ntaja!H12+Ntaja!I12</f>
        <v>0</v>
      </c>
      <c r="H12" s="50">
        <f>SUM(D12:G12)</f>
        <v>9130</v>
      </c>
    </row>
    <row r="13" spans="1:8" x14ac:dyDescent="0.3">
      <c r="A13" s="445" t="s">
        <v>157</v>
      </c>
      <c r="B13" s="446"/>
      <c r="C13" s="4" t="s">
        <v>154</v>
      </c>
      <c r="D13" s="22">
        <f>Balaka!D13+Balaka!E13+Balaka!F13+Balaka!G13+Balaka!H13+Balaka!I13</f>
        <v>566</v>
      </c>
      <c r="E13" s="22">
        <f>Liwonde!D13+Liwonde!E13+Liwonde!F13+Liwonde!G13+Liwonde!H13+Liwonde!I13</f>
        <v>3545</v>
      </c>
      <c r="F13" s="22">
        <f>Machinga!D13+Machinga!E13+Machinga!F13+Machinga!G13+Machinga!H13+Machinga!I13</f>
        <v>90</v>
      </c>
      <c r="G13" s="22">
        <f>Ntaja!D13+Ntaja!E13+Ntaja!F13+Ntaja!G13+Ntaja!H13+Ntaja!I13</f>
        <v>25</v>
      </c>
      <c r="H13" s="50">
        <f>SUM(D13:G13)</f>
        <v>4226</v>
      </c>
    </row>
    <row r="14" spans="1:8" x14ac:dyDescent="0.3">
      <c r="A14" s="447" t="s">
        <v>156</v>
      </c>
      <c r="B14" s="448"/>
      <c r="C14" s="4" t="s">
        <v>154</v>
      </c>
      <c r="D14" s="22">
        <f>Balaka!D14+Balaka!E14+Balaka!F14+Balaka!G14+Balaka!H14+Balaka!I14</f>
        <v>88</v>
      </c>
      <c r="E14" s="22">
        <f>Liwonde!D14+Liwonde!E14+Liwonde!F14+Liwonde!G14+Liwonde!H14+Liwonde!I14</f>
        <v>1447</v>
      </c>
      <c r="F14" s="22">
        <f>Machinga!D14+Machinga!E14+Machinga!F14+Machinga!G14+Machinga!H14+Machinga!I14</f>
        <v>0</v>
      </c>
      <c r="G14" s="22">
        <f>Ntaja!D14+Ntaja!E14+Ntaja!F14+Ntaja!G14+Ntaja!H14+Ntaja!I14</f>
        <v>0</v>
      </c>
      <c r="H14" s="50">
        <f>SUM(D14:G14)</f>
        <v>1535</v>
      </c>
    </row>
    <row r="15" spans="1:8" s="57" customFormat="1" x14ac:dyDescent="0.3">
      <c r="A15" s="449" t="s">
        <v>160</v>
      </c>
      <c r="B15" s="450"/>
      <c r="C15" s="56" t="s">
        <v>154</v>
      </c>
      <c r="D15" s="30">
        <f t="shared" ref="D15:H15" si="0">SUM(D11:D14)</f>
        <v>136584</v>
      </c>
      <c r="E15" s="30">
        <f t="shared" si="0"/>
        <v>165208</v>
      </c>
      <c r="F15" s="30">
        <f t="shared" si="0"/>
        <v>308</v>
      </c>
      <c r="G15" s="30">
        <f t="shared" si="0"/>
        <v>97</v>
      </c>
      <c r="H15" s="50">
        <f t="shared" si="0"/>
        <v>302197</v>
      </c>
    </row>
    <row r="16" spans="1:8" ht="14.4" x14ac:dyDescent="0.3">
      <c r="A16" s="441" t="s">
        <v>180</v>
      </c>
      <c r="B16" s="442"/>
      <c r="C16" s="442"/>
      <c r="D16" s="442"/>
      <c r="E16" s="442"/>
      <c r="F16" s="442"/>
      <c r="G16" s="442"/>
      <c r="H16" s="444"/>
    </row>
    <row r="17" spans="1:11" x14ac:dyDescent="0.3">
      <c r="A17" s="445" t="s">
        <v>182</v>
      </c>
      <c r="B17" s="446"/>
      <c r="C17" s="4" t="s">
        <v>154</v>
      </c>
      <c r="D17" s="22">
        <f>Balaka!D17+Balaka!E17+Balaka!F17+Balaka!G17+Balaka!H17+Balaka!I17</f>
        <v>75521.700000000099</v>
      </c>
      <c r="E17" s="22">
        <f>Liwonde!D17+Liwonde!E17+Liwonde!F17+Liwonde!G17+Liwonde!H17+Liwonde!I17</f>
        <v>85164</v>
      </c>
      <c r="F17" s="22">
        <f>Machinga!D17+Machinga!E17+Machinga!F17+Machinga!G17+Machinga!H17+Machinga!I17</f>
        <v>9238.6999999999989</v>
      </c>
      <c r="G17" s="22">
        <f>Ntaja!D17+Ntaja!E17+Ntaja!F17+Ntaja!G17+Ntaja!H17+Ntaja!I17</f>
        <v>19516.8</v>
      </c>
      <c r="H17" s="50">
        <f>SUM(D17:G17)</f>
        <v>189441.2000000001</v>
      </c>
    </row>
    <row r="18" spans="1:11" x14ac:dyDescent="0.3">
      <c r="A18" s="445" t="s">
        <v>183</v>
      </c>
      <c r="B18" s="446"/>
      <c r="C18" s="4" t="s">
        <v>154</v>
      </c>
      <c r="D18" s="22">
        <f>Balaka!D18+Balaka!E18+Balaka!F18+Balaka!G18+Balaka!H18+Balaka!I18</f>
        <v>1358</v>
      </c>
      <c r="E18" s="22">
        <f>Liwonde!D18+Liwonde!E18+Liwonde!F18+Liwonde!G18+Liwonde!H18+Liwonde!I18</f>
        <v>0</v>
      </c>
      <c r="F18" s="22">
        <f>Machinga!D18+Machinga!E18+Machinga!F18+Machinga!G18+Machinga!H18+Machinga!I18</f>
        <v>0</v>
      </c>
      <c r="G18" s="22">
        <f>Ntaja!D18+Ntaja!E18+Ntaja!F18+Ntaja!G18+Ntaja!H18+Ntaja!I18</f>
        <v>734.1</v>
      </c>
      <c r="H18" s="50">
        <f>SUM(D18:G18)</f>
        <v>2092.1</v>
      </c>
    </row>
    <row r="19" spans="1:11" x14ac:dyDescent="0.3">
      <c r="A19" s="445" t="s">
        <v>184</v>
      </c>
      <c r="B19" s="446"/>
      <c r="C19" s="4" t="s">
        <v>154</v>
      </c>
      <c r="D19" s="22">
        <f>Balaka!D19+Balaka!E19+Balaka!F19+Balaka!G19+Balaka!H19+Balaka!I19</f>
        <v>5891.2999999999993</v>
      </c>
      <c r="E19" s="22">
        <f>Liwonde!D19+Liwonde!E19+Liwonde!F19+Liwonde!G19+Liwonde!H19+Liwonde!I19</f>
        <v>15554.199999999999</v>
      </c>
      <c r="F19" s="22">
        <f>Machinga!D19+Machinga!E19+Machinga!F19+Machinga!G19+Machinga!H19+Machinga!I19</f>
        <v>373.6</v>
      </c>
      <c r="G19" s="22">
        <f>Ntaja!D19+Ntaja!E19+Ntaja!F19+Ntaja!G19+Ntaja!H19+Ntaja!I19</f>
        <v>307.59999999999997</v>
      </c>
      <c r="H19" s="50">
        <f>SUM(D19:G19)</f>
        <v>22126.699999999997</v>
      </c>
    </row>
    <row r="20" spans="1:11" x14ac:dyDescent="0.3">
      <c r="A20" s="447" t="s">
        <v>185</v>
      </c>
      <c r="B20" s="448"/>
      <c r="C20" s="4" t="s">
        <v>154</v>
      </c>
      <c r="D20" s="22">
        <f>Balaka!D20+Balaka!E20+Balaka!F20+Balaka!G20+Balaka!H20+Balaka!I20</f>
        <v>3364.1</v>
      </c>
      <c r="E20" s="22">
        <f>Liwonde!D20+Liwonde!E20+Liwonde!F20+Liwonde!G20+Liwonde!H20+Liwonde!I20</f>
        <v>14645.599999999999</v>
      </c>
      <c r="F20" s="22">
        <f>Machinga!D20+Machinga!E20+Machinga!F20+Machinga!G20+Machinga!H20+Machinga!I20</f>
        <v>57.699999999999996</v>
      </c>
      <c r="G20" s="22">
        <f>Ntaja!D20+Ntaja!E20+Ntaja!F20+Ntaja!G20+Ntaja!H20+Ntaja!I20</f>
        <v>301.60000000000002</v>
      </c>
      <c r="H20" s="50">
        <f>SUM(D20:G20)</f>
        <v>18368.999999999996</v>
      </c>
    </row>
    <row r="21" spans="1:11" s="57" customFormat="1" x14ac:dyDescent="0.3">
      <c r="A21" s="449" t="s">
        <v>186</v>
      </c>
      <c r="B21" s="450"/>
      <c r="C21" s="56" t="s">
        <v>154</v>
      </c>
      <c r="D21" s="30">
        <f>SUM(D17:D20)</f>
        <v>86135.100000000108</v>
      </c>
      <c r="E21" s="30">
        <f t="shared" ref="E21:H21" si="1">SUM(E17:E20)</f>
        <v>115363.79999999999</v>
      </c>
      <c r="F21" s="30">
        <f t="shared" si="1"/>
        <v>9670</v>
      </c>
      <c r="G21" s="30">
        <f t="shared" si="1"/>
        <v>20860.099999999995</v>
      </c>
      <c r="H21" s="50">
        <f t="shared" si="1"/>
        <v>232029.00000000012</v>
      </c>
    </row>
    <row r="22" spans="1:11" x14ac:dyDescent="0.3">
      <c r="A22" s="64" t="s">
        <v>187</v>
      </c>
      <c r="B22" s="68"/>
      <c r="C22" s="4" t="s">
        <v>154</v>
      </c>
      <c r="D22" s="30">
        <f>D21+D15</f>
        <v>222719.10000000009</v>
      </c>
      <c r="E22" s="30">
        <f t="shared" ref="E22:H22" si="2">E21+E15</f>
        <v>280571.8</v>
      </c>
      <c r="F22" s="30">
        <f t="shared" si="2"/>
        <v>9978</v>
      </c>
      <c r="G22" s="30">
        <f t="shared" si="2"/>
        <v>20957.099999999995</v>
      </c>
      <c r="H22" s="50">
        <f t="shared" si="2"/>
        <v>534226.00000000012</v>
      </c>
      <c r="K22" s="147"/>
    </row>
    <row r="23" spans="1:11" ht="14.4" x14ac:dyDescent="0.3">
      <c r="A23" s="441" t="s">
        <v>217</v>
      </c>
      <c r="B23" s="442"/>
      <c r="C23" s="442"/>
      <c r="D23" s="442"/>
      <c r="E23" s="442"/>
      <c r="F23" s="442"/>
      <c r="G23" s="442"/>
      <c r="H23" s="444"/>
    </row>
    <row r="24" spans="1:11" x14ac:dyDescent="0.3">
      <c r="A24" s="451" t="s">
        <v>181</v>
      </c>
      <c r="B24" s="21" t="s">
        <v>155</v>
      </c>
      <c r="C24" s="4" t="s">
        <v>154</v>
      </c>
      <c r="D24" s="116">
        <f>D9-D22</f>
        <v>96005.899999999907</v>
      </c>
      <c r="E24" s="116">
        <f t="shared" ref="E24:G24" si="3">E9-E22</f>
        <v>119421.20000000001</v>
      </c>
      <c r="F24" s="116">
        <f t="shared" si="3"/>
        <v>2549</v>
      </c>
      <c r="G24" s="116">
        <f t="shared" si="3"/>
        <v>1689.9000000000051</v>
      </c>
      <c r="H24" s="50">
        <f>SUM(D24:G24)</f>
        <v>219665.99999999991</v>
      </c>
    </row>
    <row r="25" spans="1:11" x14ac:dyDescent="0.3">
      <c r="A25" s="452"/>
      <c r="B25" s="48" t="s">
        <v>153</v>
      </c>
      <c r="C25" s="47" t="s">
        <v>6</v>
      </c>
      <c r="D25" s="46">
        <f t="shared" ref="D25:H25" si="4">D24/D9</f>
        <v>0.30121860538081391</v>
      </c>
      <c r="E25" s="46">
        <f t="shared" si="4"/>
        <v>0.29855822476893351</v>
      </c>
      <c r="F25" s="46">
        <f t="shared" si="4"/>
        <v>0.20348048215853756</v>
      </c>
      <c r="G25" s="46">
        <f t="shared" si="4"/>
        <v>7.4619154854947897E-2</v>
      </c>
      <c r="H25" s="136">
        <f t="shared" si="4"/>
        <v>0.29137595305428354</v>
      </c>
    </row>
    <row r="26" spans="1:11" ht="14.4" x14ac:dyDescent="0.3">
      <c r="A26" s="441" t="s">
        <v>152</v>
      </c>
      <c r="B26" s="442"/>
      <c r="C26" s="442"/>
      <c r="D26" s="442"/>
      <c r="E26" s="442"/>
      <c r="F26" s="442"/>
      <c r="G26" s="442"/>
      <c r="H26" s="444"/>
    </row>
    <row r="27" spans="1:11" ht="14.4" x14ac:dyDescent="0.3">
      <c r="A27" s="455" t="s">
        <v>151</v>
      </c>
      <c r="B27" s="456"/>
      <c r="C27" s="456"/>
      <c r="D27" s="456"/>
      <c r="E27" s="456"/>
      <c r="F27" s="456"/>
      <c r="G27" s="456"/>
      <c r="H27" s="457"/>
    </row>
    <row r="28" spans="1:11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11" x14ac:dyDescent="0.3">
      <c r="A29" s="458" t="s">
        <v>148</v>
      </c>
      <c r="B29" s="433">
        <f>176264.5/50</f>
        <v>3525.29</v>
      </c>
      <c r="C29" s="4" t="s">
        <v>142</v>
      </c>
      <c r="D29" s="22">
        <f>Balaka!D29+Balaka!E29+Balaka!F29+Balaka!G29+Balaka!H29+Balaka!I29</f>
        <v>782</v>
      </c>
      <c r="E29" s="22">
        <f>Liwonde!D29+Liwonde!E29+Liwonde!F29+Liwonde!G29+Liwonde!H29+Liwonde!I29</f>
        <v>1941</v>
      </c>
      <c r="F29" s="22">
        <f>Machinga!D29+Machinga!E29+Machinga!F29+Machinga!G29+Machinga!H29+Machinga!I29</f>
        <v>49</v>
      </c>
      <c r="G29" s="22">
        <f>Ntaja!D29+Ntaja!E29+Ntaja!F29+Ntaja!G29+Ntaja!H29+Ntaja!I29</f>
        <v>59</v>
      </c>
      <c r="H29" s="40">
        <f>SUM(D29:G29)</f>
        <v>2831</v>
      </c>
    </row>
    <row r="30" spans="1:11" x14ac:dyDescent="0.3">
      <c r="A30" s="459"/>
      <c r="B30" s="433"/>
      <c r="C30" s="37" t="s">
        <v>141</v>
      </c>
      <c r="D30" s="13">
        <f t="shared" ref="D30:H30" si="5">D29/(D9/1000)</f>
        <v>2.453525766726802</v>
      </c>
      <c r="E30" s="13">
        <f t="shared" si="5"/>
        <v>4.8525849202361044</v>
      </c>
      <c r="F30" s="13">
        <f t="shared" si="5"/>
        <v>3.9115510497325778</v>
      </c>
      <c r="G30" s="13">
        <f t="shared" si="5"/>
        <v>2.6052015719521351</v>
      </c>
      <c r="H30" s="35">
        <f t="shared" si="5"/>
        <v>3.7551797870251971</v>
      </c>
    </row>
    <row r="31" spans="1:11" x14ac:dyDescent="0.3">
      <c r="A31" s="453" t="s">
        <v>147</v>
      </c>
      <c r="B31" s="433">
        <f>53000.511/50</f>
        <v>1060.0102199999999</v>
      </c>
      <c r="C31" s="4" t="s">
        <v>142</v>
      </c>
      <c r="D31" s="22">
        <f>Balaka!D31+Balaka!E31+Balaka!F31+Balaka!G31+Balaka!H31+Balaka!I31</f>
        <v>0</v>
      </c>
      <c r="E31" s="22">
        <f>Liwonde!D31+Liwonde!E31+Liwonde!F31+Liwonde!G31+Liwonde!H31+Liwonde!I31</f>
        <v>883</v>
      </c>
      <c r="F31" s="22">
        <f>Machinga!D31+Machinga!E31+Machinga!F31+Machinga!G31+Machinga!H31+Machinga!I31</f>
        <v>0</v>
      </c>
      <c r="G31" s="22">
        <f>Ntaja!D31+Ntaja!E31+Ntaja!F31+Ntaja!G31+Ntaja!H31+Ntaja!I31</f>
        <v>0</v>
      </c>
      <c r="H31" s="40">
        <f>SUM(D31:G31)</f>
        <v>883</v>
      </c>
    </row>
    <row r="32" spans="1:11" x14ac:dyDescent="0.3">
      <c r="A32" s="454"/>
      <c r="B32" s="433"/>
      <c r="C32" s="37" t="s">
        <v>141</v>
      </c>
      <c r="D32" s="13">
        <f t="shared" ref="D32:G32" si="6">D31/(D9/1000)</f>
        <v>0</v>
      </c>
      <c r="E32" s="13">
        <f t="shared" si="6"/>
        <v>2.2075386319260586</v>
      </c>
      <c r="F32" s="13">
        <f t="shared" si="6"/>
        <v>0</v>
      </c>
      <c r="G32" s="13">
        <f t="shared" si="6"/>
        <v>0</v>
      </c>
      <c r="H32" s="35">
        <f>H31/(H9/1000)</f>
        <v>1.17125529916752</v>
      </c>
    </row>
    <row r="33" spans="1:8" x14ac:dyDescent="0.3">
      <c r="A33" s="453" t="s">
        <v>146</v>
      </c>
      <c r="B33" s="433">
        <f>61414.43/50</f>
        <v>1228.2886000000001</v>
      </c>
      <c r="C33" s="4" t="s">
        <v>142</v>
      </c>
      <c r="D33" s="22">
        <f>Balaka!D33+Balaka!E33+Balaka!F33+Balaka!G33+Balaka!H33+Balaka!I33</f>
        <v>0</v>
      </c>
      <c r="E33" s="22">
        <f>Liwonde!D33+Liwonde!E33+Liwonde!F33+Liwonde!G33+Liwonde!H33+Liwonde!I33</f>
        <v>0</v>
      </c>
      <c r="F33" s="22">
        <f>Machinga!D33+Machinga!E33+Machinga!F33+Machinga!G33+Machinga!H33+Machinga!I33</f>
        <v>0</v>
      </c>
      <c r="G33" s="22">
        <f>Ntaja!D33+Ntaja!E33+Ntaja!F33+Ntaja!G33+Ntaja!H33+Ntaja!I33</f>
        <v>0</v>
      </c>
      <c r="H33" s="40">
        <f>SUM(D33:G33)</f>
        <v>0</v>
      </c>
    </row>
    <row r="34" spans="1:8" x14ac:dyDescent="0.3">
      <c r="A34" s="454"/>
      <c r="B34" s="433"/>
      <c r="C34" s="37" t="s">
        <v>141</v>
      </c>
      <c r="D34" s="13">
        <f t="shared" ref="D34:H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35">
        <f t="shared" si="7"/>
        <v>0</v>
      </c>
    </row>
    <row r="35" spans="1:8" x14ac:dyDescent="0.3">
      <c r="A35" s="453" t="s">
        <v>145</v>
      </c>
      <c r="B35" s="433">
        <f>745345.16/200</f>
        <v>3726.7258000000002</v>
      </c>
      <c r="C35" s="4" t="s">
        <v>128</v>
      </c>
      <c r="D35" s="22">
        <f>Balaka!D35+Balaka!E35+Balaka!F35+Balaka!G35+Balaka!H35+Balaka!I35</f>
        <v>0</v>
      </c>
      <c r="E35" s="22">
        <f>Liwonde!D35+Liwonde!E35+Liwonde!F35+Liwonde!G35+Liwonde!H35+Liwonde!I35</f>
        <v>1911</v>
      </c>
      <c r="F35" s="22">
        <f>Machinga!D35+Machinga!E35+Machinga!F35+Machinga!G35+Machinga!H35+Machinga!I35</f>
        <v>0</v>
      </c>
      <c r="G35" s="22">
        <f>Ntaja!D35+Ntaja!E35+Ntaja!F35+Ntaja!G35+Ntaja!H35+Ntaja!I35</f>
        <v>0</v>
      </c>
      <c r="H35" s="40">
        <f>SUM(D35:G35)</f>
        <v>1911</v>
      </c>
    </row>
    <row r="36" spans="1:8" x14ac:dyDescent="0.3">
      <c r="A36" s="454"/>
      <c r="B36" s="433"/>
      <c r="C36" s="4" t="s">
        <v>144</v>
      </c>
      <c r="D36" s="11"/>
      <c r="E36" s="11"/>
      <c r="F36" s="11"/>
      <c r="G36" s="11"/>
      <c r="H36" s="40">
        <f>SUM(D36:G36)</f>
        <v>0</v>
      </c>
    </row>
    <row r="37" spans="1:8" x14ac:dyDescent="0.3">
      <c r="A37" s="453" t="s">
        <v>188</v>
      </c>
      <c r="B37" s="433">
        <f>790318.72/200</f>
        <v>3951.5935999999997</v>
      </c>
      <c r="C37" s="4" t="s">
        <v>128</v>
      </c>
      <c r="D37" s="22">
        <f>Balaka!D37+Balaka!E37+Balaka!F37+Balaka!G37+Balaka!H37+Balaka!I37</f>
        <v>0</v>
      </c>
      <c r="E37" s="22">
        <f>Liwonde!D37+Liwonde!E37+Liwonde!F37+Liwonde!G37+Liwonde!H37+Liwonde!I37</f>
        <v>0</v>
      </c>
      <c r="F37" s="22">
        <f>Machinga!D37+Machinga!E37+Machinga!F37+Machinga!G37+Machinga!H37+Machinga!I37</f>
        <v>0</v>
      </c>
      <c r="G37" s="22">
        <f>Ntaja!D37+Ntaja!E37+Ntaja!F37+Ntaja!G37+Ntaja!H37+Ntaja!I37</f>
        <v>0</v>
      </c>
      <c r="H37" s="40">
        <f>SUM(D37:G37)</f>
        <v>0</v>
      </c>
    </row>
    <row r="38" spans="1:8" x14ac:dyDescent="0.3">
      <c r="A38" s="454"/>
      <c r="B38" s="433"/>
      <c r="C38" s="4" t="s">
        <v>144</v>
      </c>
      <c r="D38" s="13">
        <f t="shared" ref="D38:H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35">
        <f t="shared" si="8"/>
        <v>0</v>
      </c>
    </row>
    <row r="39" spans="1:8" x14ac:dyDescent="0.3">
      <c r="A39" s="453" t="s">
        <v>143</v>
      </c>
      <c r="B39" s="433">
        <v>1950</v>
      </c>
      <c r="C39" s="4" t="s">
        <v>142</v>
      </c>
      <c r="D39" s="22">
        <f>Balaka!D39+Balaka!E39+Balaka!F39+Balaka!G39+Balaka!H39+Balaka!I39</f>
        <v>0</v>
      </c>
      <c r="E39" s="22">
        <f>Liwonde!D39+Liwonde!E39+Liwonde!F39+Liwonde!G39+Liwonde!H39+Liwonde!I39</f>
        <v>0</v>
      </c>
      <c r="F39" s="22">
        <f>Machinga!D39+Machinga!E39+Machinga!F39+Machinga!G39+Machinga!H39+Machinga!I39</f>
        <v>0</v>
      </c>
      <c r="G39" s="22">
        <f>Ntaja!D39+Ntaja!E39+Ntaja!F39+Ntaja!G39+Ntaja!H39+Ntaja!I39</f>
        <v>0</v>
      </c>
      <c r="H39" s="40">
        <f>SUM(D39:G39)</f>
        <v>0</v>
      </c>
    </row>
    <row r="40" spans="1:8" x14ac:dyDescent="0.3">
      <c r="A40" s="454"/>
      <c r="B40" s="433"/>
      <c r="C40" s="37" t="s">
        <v>141</v>
      </c>
      <c r="D40" s="13">
        <f t="shared" ref="D40:H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35">
        <f t="shared" si="9"/>
        <v>0</v>
      </c>
    </row>
    <row r="41" spans="1:8" x14ac:dyDescent="0.3">
      <c r="A41" s="447" t="s">
        <v>140</v>
      </c>
      <c r="B41" s="448"/>
      <c r="C41" s="4" t="s">
        <v>31</v>
      </c>
      <c r="D41" s="36">
        <f>(D29*$B29)+(D31*$B31)+(D33*$B33)+(D35*$B35)+(D37*$B37)+(D39*$B39)</f>
        <v>2756776.78</v>
      </c>
      <c r="E41" s="36">
        <f t="shared" ref="E41:G41" si="10">(E29*$B29)+(E31*$B31)+(E33*$B33)+(E35*$B35)+(E37*$B37)+(E39*$B39)</f>
        <v>14900349.918060001</v>
      </c>
      <c r="F41" s="36">
        <f t="shared" si="10"/>
        <v>172739.21</v>
      </c>
      <c r="G41" s="36">
        <f t="shared" si="10"/>
        <v>207992.11</v>
      </c>
      <c r="H41" s="34">
        <f>SUM(D41:G41)</f>
        <v>18037858.018060002</v>
      </c>
    </row>
    <row r="42" spans="1:8" x14ac:dyDescent="0.3">
      <c r="A42" s="463" t="s">
        <v>139</v>
      </c>
      <c r="B42" s="464"/>
      <c r="C42" s="37" t="s">
        <v>117</v>
      </c>
      <c r="D42" s="13">
        <f t="shared" ref="D42:H42" si="11">D41/D9</f>
        <v>8.6493898501843276</v>
      </c>
      <c r="E42" s="13">
        <f t="shared" si="11"/>
        <v>37.251526696867195</v>
      </c>
      <c r="F42" s="13">
        <f t="shared" si="11"/>
        <v>13.789351800111758</v>
      </c>
      <c r="G42" s="13">
        <f t="shared" si="11"/>
        <v>9.184091049587142</v>
      </c>
      <c r="H42" s="99">
        <f t="shared" si="11"/>
        <v>23.926315729653588</v>
      </c>
    </row>
    <row r="43" spans="1:8" ht="14.4" x14ac:dyDescent="0.3">
      <c r="A43" s="460" t="s">
        <v>138</v>
      </c>
      <c r="B43" s="461"/>
      <c r="C43" s="461"/>
      <c r="D43" s="461"/>
      <c r="E43" s="461"/>
      <c r="F43" s="461"/>
      <c r="G43" s="461"/>
      <c r="H43" s="462"/>
    </row>
    <row r="44" spans="1:8" x14ac:dyDescent="0.3">
      <c r="A44" s="447" t="s">
        <v>137</v>
      </c>
      <c r="B44" s="448"/>
      <c r="C44" s="4" t="s">
        <v>136</v>
      </c>
      <c r="D44" s="22">
        <f>Balaka!D44+Balaka!E44+Balaka!F44+Balaka!G44+Balaka!H44+Balaka!I44</f>
        <v>187606.2</v>
      </c>
      <c r="E44" s="22">
        <f>Liwonde!D44+Liwonde!E44+Liwonde!F44+Liwonde!G44+Liwonde!H44+Liwonde!I44</f>
        <v>349979.8</v>
      </c>
      <c r="F44" s="22">
        <f>Machinga!D44+Machinga!E44+Machinga!F44+Machinga!G44+Machinga!H44+Machinga!I44</f>
        <v>19766.805070000002</v>
      </c>
      <c r="G44" s="22">
        <f>Ntaja!D44+Ntaja!E44+Ntaja!F44+Ntaja!G44+Ntaja!H44+Ntaja!I44</f>
        <v>25798</v>
      </c>
      <c r="H44" s="34">
        <f>SUM(D44:G44)</f>
        <v>583150.80507</v>
      </c>
    </row>
    <row r="45" spans="1:8" x14ac:dyDescent="0.3">
      <c r="A45" s="463" t="s">
        <v>135</v>
      </c>
      <c r="B45" s="464"/>
      <c r="C45" s="37" t="s">
        <v>134</v>
      </c>
      <c r="D45" s="13">
        <f t="shared" ref="D45:H45" si="12">D44/D9</f>
        <v>0.5886146364420739</v>
      </c>
      <c r="E45" s="13">
        <f t="shared" si="12"/>
        <v>0.87496481188420794</v>
      </c>
      <c r="F45" s="13">
        <f t="shared" si="12"/>
        <v>1.5779360637024029</v>
      </c>
      <c r="G45" s="13">
        <f t="shared" si="12"/>
        <v>1.1391354263257827</v>
      </c>
      <c r="H45" s="35">
        <f t="shared" si="12"/>
        <v>0.77352035181431822</v>
      </c>
    </row>
    <row r="46" spans="1:8" x14ac:dyDescent="0.3">
      <c r="A46" s="447" t="s">
        <v>133</v>
      </c>
      <c r="B46" s="448"/>
      <c r="C46" s="4" t="s">
        <v>31</v>
      </c>
      <c r="D46" s="22">
        <f>Balaka!D46+Balaka!E46+Balaka!F46+Balaka!G46+Balaka!H46+Balaka!I46</f>
        <v>31479569.500500001</v>
      </c>
      <c r="E46" s="22">
        <f>Liwonde!D46+Liwonde!E46+Liwonde!F46+Liwonde!G46+Liwonde!H46+Liwonde!I46</f>
        <v>58624782.014500007</v>
      </c>
      <c r="F46" s="22">
        <f>Machinga!D46+Machinga!E46+Machinga!F46+Machinga!G46+Machinga!H46+Machinga!I46</f>
        <v>3420599.0545899249</v>
      </c>
      <c r="G46" s="22">
        <f>Ntaja!D46+Ntaja!E46+Ntaja!F46+Ntaja!G46+Ntaja!H46+Ntaja!I46</f>
        <v>4428879.1449999996</v>
      </c>
      <c r="H46" s="34">
        <f>SUM(D46:G46)</f>
        <v>97953829.714589939</v>
      </c>
    </row>
    <row r="47" spans="1:8" x14ac:dyDescent="0.3">
      <c r="A47" s="447" t="s">
        <v>132</v>
      </c>
      <c r="B47" s="448"/>
      <c r="C47" s="4" t="s">
        <v>117</v>
      </c>
      <c r="D47" s="13">
        <f t="shared" ref="D47:H47" si="13">D46/D9</f>
        <v>98.767180172562561</v>
      </c>
      <c r="E47" s="13">
        <f t="shared" si="13"/>
        <v>146.56451991534854</v>
      </c>
      <c r="F47" s="13">
        <f t="shared" si="13"/>
        <v>273.05811883052007</v>
      </c>
      <c r="G47" s="13">
        <f t="shared" si="13"/>
        <v>195.56140526339027</v>
      </c>
      <c r="H47" s="35">
        <f t="shared" si="13"/>
        <v>129.93085178591886</v>
      </c>
    </row>
    <row r="48" spans="1:8" ht="14.4" x14ac:dyDescent="0.3">
      <c r="A48" s="460" t="s">
        <v>131</v>
      </c>
      <c r="B48" s="461"/>
      <c r="C48" s="461"/>
      <c r="D48" s="461"/>
      <c r="E48" s="461"/>
      <c r="F48" s="461"/>
      <c r="G48" s="461"/>
      <c r="H48" s="462"/>
    </row>
    <row r="49" spans="1:8" x14ac:dyDescent="0.3">
      <c r="A49" s="447" t="s">
        <v>130</v>
      </c>
      <c r="B49" s="448"/>
      <c r="C49" s="4" t="s">
        <v>129</v>
      </c>
      <c r="D49" s="22">
        <f>Balaka!D49+Balaka!E49+Balaka!F49+Balaka!G49+Balaka!H49+Balaka!I49</f>
        <v>31833.515151515152</v>
      </c>
      <c r="E49" s="22">
        <f>Liwonde!D49+Liwonde!E49+Liwonde!F49+Liwonde!G49+Liwonde!H49+Liwonde!I49</f>
        <v>13655</v>
      </c>
      <c r="F49" s="22">
        <f>Machinga!D49+Machinga!E49+Machinga!F49+Machinga!G49+Machinga!H49+Machinga!I49</f>
        <v>0</v>
      </c>
      <c r="G49" s="22">
        <f>Ntaja!D49+Ntaja!E49+Ntaja!F49+Ntaja!G49+Ntaja!H49+Ntaja!I49</f>
        <v>0</v>
      </c>
      <c r="H49" s="34">
        <f>SUM(D49:G49)</f>
        <v>45488.515151515152</v>
      </c>
    </row>
    <row r="50" spans="1:8" x14ac:dyDescent="0.3">
      <c r="A50" s="447" t="s">
        <v>189</v>
      </c>
      <c r="B50" s="448"/>
      <c r="C50" s="4" t="s">
        <v>128</v>
      </c>
      <c r="D50" s="22">
        <f>Balaka!D50+Balaka!E50+Balaka!F50+Balaka!G50+Balaka!H50+Balaka!I50</f>
        <v>1354.008571428571</v>
      </c>
      <c r="E50" s="22">
        <f>Liwonde!D50+Liwonde!E50+Liwonde!F50+Liwonde!G50+Liwonde!H50+Liwonde!I50</f>
        <v>2343</v>
      </c>
      <c r="F50" s="22">
        <f>Machinga!D50+Machinga!E50+Machinga!F50+Machinga!G50+Machinga!H50+Machinga!I50</f>
        <v>0</v>
      </c>
      <c r="G50" s="22">
        <f>Ntaja!D50+Ntaja!E50+Ntaja!F50+Ntaja!G50+Ntaja!H50+Ntaja!I50</f>
        <v>0</v>
      </c>
      <c r="H50" s="34">
        <f>SUM(D50:G50)</f>
        <v>3697.008571428571</v>
      </c>
    </row>
    <row r="51" spans="1:8" x14ac:dyDescent="0.3">
      <c r="A51" s="447" t="s">
        <v>127</v>
      </c>
      <c r="B51" s="448"/>
      <c r="C51" s="4" t="s">
        <v>31</v>
      </c>
      <c r="D51" s="22">
        <f>Balaka!D51+Balaka!E51+Balaka!F51+Balaka!G51+Balaka!H51+Balaka!I51</f>
        <v>3985864</v>
      </c>
      <c r="E51" s="22">
        <f>Liwonde!D51+Liwonde!E51+Liwonde!F51+Liwonde!G51+Liwonde!H51+Liwonde!I51</f>
        <v>6026562</v>
      </c>
      <c r="F51" s="22">
        <f>Machinga!D51+Machinga!E51+Machinga!F51+Machinga!G51+Machinga!H51+Machinga!I51</f>
        <v>0</v>
      </c>
      <c r="G51" s="22">
        <f>Ntaja!D51+Ntaja!E51+Ntaja!F51+Ntaja!G51+Ntaja!H51+Ntaja!I51</f>
        <v>0</v>
      </c>
      <c r="H51" s="35">
        <f>SUM(D51:G51)</f>
        <v>10012426</v>
      </c>
    </row>
    <row r="52" spans="1:8" x14ac:dyDescent="0.3">
      <c r="A52" s="447" t="s">
        <v>126</v>
      </c>
      <c r="B52" s="448"/>
      <c r="C52" s="4" t="s">
        <v>31</v>
      </c>
      <c r="D52" s="11">
        <f>Balaka!D52+Balaka!E52+Balaka!F52+Balaka!G52+Balaka!H52+Balaka!I52</f>
        <v>0</v>
      </c>
      <c r="E52" s="11">
        <f>Balaka!E52+Balaka!F52+Balaka!G52+Balaka!H52+Balaka!I52+Balaka!J52</f>
        <v>0</v>
      </c>
      <c r="F52" s="11">
        <f>Balaka!F52+Balaka!G52+Balaka!H52+Balaka!I52+Balaka!J52+Balaka!K52</f>
        <v>0</v>
      </c>
      <c r="G52" s="11">
        <f>Balaka!G52+Balaka!H52+Balaka!I52+Balaka!J52+Balaka!K52+Balaka!L52</f>
        <v>0</v>
      </c>
      <c r="H52" s="35">
        <f>SUM(D52:G52)</f>
        <v>0</v>
      </c>
    </row>
    <row r="53" spans="1:8" ht="14.4" x14ac:dyDescent="0.3">
      <c r="A53" s="460" t="s">
        <v>125</v>
      </c>
      <c r="B53" s="461"/>
      <c r="C53" s="461"/>
      <c r="D53" s="461"/>
      <c r="E53" s="461"/>
      <c r="F53" s="461"/>
      <c r="G53" s="461"/>
      <c r="H53" s="462"/>
    </row>
    <row r="54" spans="1:8" x14ac:dyDescent="0.3">
      <c r="A54" s="447" t="s">
        <v>124</v>
      </c>
      <c r="B54" s="448"/>
      <c r="C54" s="4" t="s">
        <v>18</v>
      </c>
      <c r="D54" s="22">
        <f>Balaka!D54+Balaka!E54+Balaka!F54+Balaka!G54+Balaka!H54+Balaka!I54</f>
        <v>105315108.89</v>
      </c>
      <c r="E54" s="22">
        <f>Liwonde!D54+Liwonde!E54+Liwonde!F54+Liwonde!G54+Liwonde!H54+Liwonde!I54</f>
        <v>97946775.159999996</v>
      </c>
      <c r="F54" s="22">
        <f>Machinga!D54+Machinga!E54+Machinga!F54+Machinga!G54+Machinga!H54+Machinga!I54</f>
        <v>4287291.9399999995</v>
      </c>
      <c r="G54" s="22">
        <f>Ntaja!D54+Ntaja!E54+Ntaja!F54+Ntaja!G54+Ntaja!H54+Ntaja!I54</f>
        <v>38120287.300000004</v>
      </c>
      <c r="H54" s="34">
        <f>SUM(D54:G54)</f>
        <v>245669463.29000002</v>
      </c>
    </row>
    <row r="55" spans="1:8" x14ac:dyDescent="0.3">
      <c r="A55" s="67" t="s">
        <v>123</v>
      </c>
      <c r="B55" s="68"/>
      <c r="C55" s="4" t="s">
        <v>18</v>
      </c>
      <c r="D55" s="22">
        <f>Balaka!D55+Balaka!E55+Balaka!F55+Balaka!G55+Balaka!H55+Balaka!I55</f>
        <v>29212055.34</v>
      </c>
      <c r="E55" s="22">
        <f>Liwonde!D55+Liwonde!E55+Liwonde!F55+Liwonde!G55+Liwonde!H55+Liwonde!I55</f>
        <v>38254704.859999999</v>
      </c>
      <c r="F55" s="22">
        <f>Machinga!D55+Machinga!E55+Machinga!F55+Machinga!G55+Machinga!H55+Machinga!I55</f>
        <v>5472005.7600000007</v>
      </c>
      <c r="G55" s="22">
        <f>Ntaja!D55+Ntaja!E55+Ntaja!F55+Ntaja!G55+Ntaja!H55+Ntaja!I55</f>
        <v>3348003.54</v>
      </c>
      <c r="H55" s="34">
        <f>SUM(D55:G55)</f>
        <v>76286769.500000015</v>
      </c>
    </row>
    <row r="56" spans="1:8" x14ac:dyDescent="0.3">
      <c r="A56" s="447" t="s">
        <v>122</v>
      </c>
      <c r="B56" s="448"/>
      <c r="C56" s="4" t="s">
        <v>18</v>
      </c>
      <c r="D56" s="22">
        <f>Balaka!D56+Balaka!E56+Balaka!F56+Balaka!G56+Balaka!H56+Balaka!I56</f>
        <v>36012844.170000002</v>
      </c>
      <c r="E56" s="22">
        <f>Liwonde!D56+Liwonde!E56+Liwonde!F56+Liwonde!G56+Liwonde!H56+Liwonde!I56</f>
        <v>46796201.43</v>
      </c>
      <c r="F56" s="22">
        <f>Machinga!D56+Machinga!E56+Machinga!F56+Machinga!G56+Machinga!H56+Machinga!I56</f>
        <v>987528.32</v>
      </c>
      <c r="G56" s="22">
        <f>Ntaja!D56+Ntaja!E56+Ntaja!F56+Ntaja!G56+Ntaja!H56+Ntaja!I56</f>
        <v>25000</v>
      </c>
      <c r="H56" s="34">
        <f>SUM(D56:G56)</f>
        <v>83821573.919999987</v>
      </c>
    </row>
    <row r="57" spans="1:8" ht="14.4" x14ac:dyDescent="0.3">
      <c r="A57" s="460" t="s">
        <v>121</v>
      </c>
      <c r="B57" s="461"/>
      <c r="C57" s="461"/>
      <c r="D57" s="461"/>
      <c r="E57" s="461"/>
      <c r="F57" s="461"/>
      <c r="G57" s="461"/>
      <c r="H57" s="462"/>
    </row>
    <row r="58" spans="1:8" x14ac:dyDescent="0.3">
      <c r="A58" s="447" t="s">
        <v>120</v>
      </c>
      <c r="B58" s="448"/>
      <c r="C58" s="4" t="s">
        <v>18</v>
      </c>
      <c r="D58" s="11">
        <f>D41+D46+D51+D52+D54+D55+D56</f>
        <v>208762218.68050003</v>
      </c>
      <c r="E58" s="11">
        <f t="shared" ref="E58:G58" si="14">E41+E46+E51+E52+E54+E55+E56</f>
        <v>262549375.38256001</v>
      </c>
      <c r="F58" s="11">
        <f t="shared" si="14"/>
        <v>14340164.284589924</v>
      </c>
      <c r="G58" s="11">
        <f t="shared" si="14"/>
        <v>46130162.095000006</v>
      </c>
      <c r="H58" s="34">
        <f>SUM(D58:G58)</f>
        <v>531781920.44265002</v>
      </c>
    </row>
    <row r="59" spans="1:8" x14ac:dyDescent="0.3">
      <c r="A59" s="447" t="s">
        <v>119</v>
      </c>
      <c r="B59" s="448"/>
      <c r="C59" s="4" t="s">
        <v>117</v>
      </c>
      <c r="D59" s="13">
        <f t="shared" ref="D59:H59" si="15">D58/D9</f>
        <v>654.99166579496443</v>
      </c>
      <c r="E59" s="13">
        <f t="shared" si="15"/>
        <v>656.38492519259091</v>
      </c>
      <c r="F59" s="13">
        <f t="shared" si="15"/>
        <v>1144.7405032801089</v>
      </c>
      <c r="G59" s="13">
        <f t="shared" si="15"/>
        <v>2036.9215390559459</v>
      </c>
      <c r="H59" s="35">
        <f t="shared" si="15"/>
        <v>705.38209775757002</v>
      </c>
    </row>
    <row r="60" spans="1:8" x14ac:dyDescent="0.3">
      <c r="A60" s="447" t="s">
        <v>118</v>
      </c>
      <c r="B60" s="448"/>
      <c r="C60" s="4" t="s">
        <v>117</v>
      </c>
      <c r="D60" s="13">
        <f>D58/D22</f>
        <v>937.33415176560948</v>
      </c>
      <c r="E60" s="13">
        <f t="shared" ref="E60:G60" si="16">E58/E22</f>
        <v>935.76537407736635</v>
      </c>
      <c r="F60" s="13">
        <f t="shared" si="16"/>
        <v>1437.1782205441896</v>
      </c>
      <c r="G60" s="13">
        <f t="shared" si="16"/>
        <v>2201.1710635059248</v>
      </c>
      <c r="H60" s="148">
        <f>H58/H22</f>
        <v>995.4250082224562</v>
      </c>
    </row>
    <row r="61" spans="1:8" x14ac:dyDescent="0.3">
      <c r="A61" s="447" t="s">
        <v>116</v>
      </c>
      <c r="B61" s="448"/>
      <c r="C61" s="4" t="s">
        <v>3</v>
      </c>
      <c r="D61" s="22">
        <f>Balaka!I61</f>
        <v>14</v>
      </c>
      <c r="E61" s="22">
        <f>Liwonde!I61</f>
        <v>25</v>
      </c>
      <c r="F61" s="22">
        <f>Machinga!I61</f>
        <v>3</v>
      </c>
      <c r="G61" s="22">
        <f>Ntaja!I61</f>
        <v>6</v>
      </c>
      <c r="H61" s="34">
        <f>SUM(D61:G61)</f>
        <v>48</v>
      </c>
    </row>
    <row r="62" spans="1:8" ht="15.6" customHeight="1" x14ac:dyDescent="0.3">
      <c r="A62" s="447" t="s">
        <v>115</v>
      </c>
      <c r="B62" s="448"/>
      <c r="C62" s="4" t="s">
        <v>114</v>
      </c>
      <c r="D62" s="13">
        <f t="shared" ref="D62:H62" si="17">(D61*1000*31)/D9</f>
        <v>1.3616754255235706</v>
      </c>
      <c r="E62" s="13">
        <f t="shared" si="17"/>
        <v>1.9375339068433697</v>
      </c>
      <c r="F62" s="13">
        <f t="shared" si="17"/>
        <v>7.423964237247545</v>
      </c>
      <c r="G62" s="13">
        <f t="shared" si="17"/>
        <v>8.2130083454762222</v>
      </c>
      <c r="H62" s="35">
        <f t="shared" si="17"/>
        <v>1.9737575143389239</v>
      </c>
    </row>
    <row r="63" spans="1:8" x14ac:dyDescent="0.3">
      <c r="A63" s="465" t="s">
        <v>113</v>
      </c>
      <c r="B63" s="466"/>
      <c r="C63" s="33" t="s">
        <v>3</v>
      </c>
      <c r="D63" s="22">
        <f>Balaka!I63</f>
        <v>39</v>
      </c>
      <c r="E63" s="22">
        <f>Liwonde!I63</f>
        <v>53</v>
      </c>
      <c r="F63" s="22">
        <f>Machinga!I63</f>
        <v>8</v>
      </c>
      <c r="G63" s="22">
        <f>Ntaja!I63</f>
        <v>5</v>
      </c>
      <c r="H63" s="34">
        <f>SUM(D63:G63)</f>
        <v>105</v>
      </c>
    </row>
    <row r="64" spans="1:8" ht="14.4" x14ac:dyDescent="0.3">
      <c r="A64" s="467"/>
      <c r="B64" s="468"/>
      <c r="C64" s="468"/>
      <c r="D64" s="468"/>
      <c r="E64" s="468"/>
      <c r="F64" s="468"/>
      <c r="G64" s="468"/>
      <c r="H64" s="469"/>
    </row>
    <row r="65" spans="1:8" ht="14.4" customHeight="1" x14ac:dyDescent="0.3">
      <c r="A65" s="460" t="s">
        <v>112</v>
      </c>
      <c r="B65" s="461"/>
      <c r="C65" s="461"/>
      <c r="D65" s="461"/>
      <c r="E65" s="461"/>
      <c r="F65" s="461"/>
      <c r="G65" s="461"/>
      <c r="H65" s="462"/>
    </row>
    <row r="66" spans="1:8" x14ac:dyDescent="0.3">
      <c r="A66" s="476" t="s">
        <v>111</v>
      </c>
      <c r="B66" s="21" t="s">
        <v>85</v>
      </c>
      <c r="C66" s="4" t="s">
        <v>3</v>
      </c>
      <c r="D66" s="22">
        <f>Balaka!D66</f>
        <v>407</v>
      </c>
      <c r="E66" s="22">
        <f>Liwonde!D66</f>
        <v>678</v>
      </c>
      <c r="F66" s="22">
        <f>Machinga!D66</f>
        <v>2</v>
      </c>
      <c r="G66" s="22">
        <f>Ntaja!D66</f>
        <v>23</v>
      </c>
      <c r="H66" s="149">
        <f>SUM(D66:G66)</f>
        <v>1110</v>
      </c>
    </row>
    <row r="67" spans="1:8" x14ac:dyDescent="0.3">
      <c r="A67" s="477"/>
      <c r="B67" s="21" t="s">
        <v>106</v>
      </c>
      <c r="C67" s="4" t="s">
        <v>3</v>
      </c>
      <c r="D67" s="22">
        <f>Balaka!D67+Balaka!E67+Balaka!F67+Balaka!G67+Balaka!H67+Balaka!I67</f>
        <v>285</v>
      </c>
      <c r="E67" s="22">
        <f>Liwonde!D67+Liwonde!E67+Liwonde!F67+Liwonde!G67+Liwonde!H67+Liwonde!I67</f>
        <v>297</v>
      </c>
      <c r="F67" s="22">
        <f>Machinga!D67+Machinga!E67+Machinga!F67+Machinga!G67+Machinga!H67+Machinga!I67</f>
        <v>26</v>
      </c>
      <c r="G67" s="22">
        <f>Ntaja!D67+Ntaja!E67+Ntaja!F67+Ntaja!G67+Ntaja!H67+Ntaja!I67</f>
        <v>115</v>
      </c>
      <c r="H67" s="149">
        <f>SUM(D67:G67)</f>
        <v>723</v>
      </c>
    </row>
    <row r="68" spans="1:8" ht="27" x14ac:dyDescent="0.3">
      <c r="A68" s="477"/>
      <c r="B68" s="21" t="s">
        <v>105</v>
      </c>
      <c r="C68" s="4" t="s">
        <v>3</v>
      </c>
      <c r="D68" s="22">
        <f>Balaka!D68+Balaka!E68+Balaka!F68+Balaka!G68+Balaka!H68+Balaka!I68</f>
        <v>270</v>
      </c>
      <c r="E68" s="22">
        <f>Liwonde!D68+Liwonde!E68+Liwonde!F68+Liwonde!G68+Liwonde!H68+Liwonde!I68</f>
        <v>0</v>
      </c>
      <c r="F68" s="22">
        <f>Machinga!D68+Machinga!E68+Machinga!F68+Machinga!G68+Machinga!H68+Machinga!I68</f>
        <v>7</v>
      </c>
      <c r="G68" s="22">
        <f>Ntaja!D68+Ntaja!E68+Ntaja!F68+Ntaja!G68+Ntaja!H68+Ntaja!I68</f>
        <v>0</v>
      </c>
      <c r="H68" s="149">
        <f>SUM(D68:G68)</f>
        <v>277</v>
      </c>
    </row>
    <row r="69" spans="1:8" ht="27" x14ac:dyDescent="0.3">
      <c r="A69" s="477"/>
      <c r="B69" s="21" t="s">
        <v>104</v>
      </c>
      <c r="C69" s="4" t="s">
        <v>3</v>
      </c>
      <c r="D69" s="22">
        <f>Balaka!D69+Balaka!E69+Balaka!F69+Balaka!G69+Balaka!H69+Balaka!I69</f>
        <v>0</v>
      </c>
      <c r="E69" s="22">
        <f>Liwonde!D69+Liwonde!E69+Liwonde!F69+Liwonde!G69+Liwonde!H69+Liwonde!I69</f>
        <v>141</v>
      </c>
      <c r="F69" s="22">
        <f>Machinga!D69+Machinga!E69+Machinga!F69+Machinga!G69+Machinga!H69+Machinga!I69</f>
        <v>17</v>
      </c>
      <c r="G69" s="22">
        <f>Ntaja!D69+Ntaja!E69+Ntaja!F69+Ntaja!G69+Ntaja!H69+Ntaja!I69</f>
        <v>111</v>
      </c>
      <c r="H69" s="149">
        <f>SUM(D69:G69)</f>
        <v>269</v>
      </c>
    </row>
    <row r="70" spans="1:8" x14ac:dyDescent="0.3">
      <c r="A70" s="477"/>
      <c r="B70" s="21" t="s">
        <v>190</v>
      </c>
      <c r="C70" s="4" t="s">
        <v>3</v>
      </c>
      <c r="D70" s="3">
        <f>D68+D69</f>
        <v>270</v>
      </c>
      <c r="E70" s="3">
        <f t="shared" ref="E70:H70" si="18">E68+E69</f>
        <v>141</v>
      </c>
      <c r="F70" s="3">
        <f t="shared" si="18"/>
        <v>24</v>
      </c>
      <c r="G70" s="3">
        <f t="shared" si="18"/>
        <v>111</v>
      </c>
      <c r="H70" s="393">
        <f t="shared" si="18"/>
        <v>546</v>
      </c>
    </row>
    <row r="71" spans="1:8" x14ac:dyDescent="0.3">
      <c r="A71" s="478"/>
      <c r="B71" s="21" t="s">
        <v>81</v>
      </c>
      <c r="C71" s="4" t="s">
        <v>3</v>
      </c>
      <c r="D71" s="22">
        <f>D66+D67-D70</f>
        <v>422</v>
      </c>
      <c r="E71" s="22">
        <f t="shared" ref="E71:G71" si="19">E66+E67-E70</f>
        <v>834</v>
      </c>
      <c r="F71" s="22">
        <f t="shared" si="19"/>
        <v>4</v>
      </c>
      <c r="G71" s="22">
        <f t="shared" si="19"/>
        <v>27</v>
      </c>
      <c r="H71" s="138">
        <f>H66+H67-H70</f>
        <v>1287</v>
      </c>
    </row>
    <row r="72" spans="1:8" x14ac:dyDescent="0.3">
      <c r="A72" s="476" t="s">
        <v>110</v>
      </c>
      <c r="B72" s="21" t="s">
        <v>85</v>
      </c>
      <c r="C72" s="4" t="s">
        <v>3</v>
      </c>
      <c r="D72" s="22">
        <f>Balaka!D72</f>
        <v>0</v>
      </c>
      <c r="E72" s="22">
        <f>Liwonde!D72</f>
        <v>0</v>
      </c>
      <c r="F72" s="22">
        <f>Machinga!D72</f>
        <v>0</v>
      </c>
      <c r="G72" s="22">
        <f>Ntaja!D72</f>
        <v>0</v>
      </c>
      <c r="H72" s="149">
        <f>SUM(D72:G72)</f>
        <v>0</v>
      </c>
    </row>
    <row r="73" spans="1:8" x14ac:dyDescent="0.3">
      <c r="A73" s="477"/>
      <c r="B73" s="21" t="s">
        <v>106</v>
      </c>
      <c r="C73" s="4" t="s">
        <v>3</v>
      </c>
      <c r="D73" s="22">
        <f>Balaka!D73+Balaka!E73+Balaka!F73+Balaka!G73+Balaka!H73+Balaka!I73</f>
        <v>0</v>
      </c>
      <c r="E73" s="22">
        <f>Liwonde!D73+Liwonde!E73+Liwonde!F73+Liwonde!G73+Liwonde!H73+Liwonde!I73</f>
        <v>0</v>
      </c>
      <c r="F73" s="22">
        <f>Machinga!D73+Machinga!E73+Machinga!F73+Machinga!G73+Machinga!H73+Machinga!I73</f>
        <v>0</v>
      </c>
      <c r="G73" s="22">
        <f>Ntaja!D73+Ntaja!E73+Ntaja!F73+Ntaja!G73+Ntaja!H73+Ntaja!I73</f>
        <v>1</v>
      </c>
      <c r="H73" s="149">
        <f>SUM(D73:G73)</f>
        <v>1</v>
      </c>
    </row>
    <row r="74" spans="1:8" ht="27" x14ac:dyDescent="0.3">
      <c r="A74" s="477"/>
      <c r="B74" s="21" t="s">
        <v>105</v>
      </c>
      <c r="C74" s="4" t="s">
        <v>3</v>
      </c>
      <c r="D74" s="22">
        <f>Balaka!D74+Balaka!E74+Balaka!F74+Balaka!G74+Balaka!H74+Balaka!I74</f>
        <v>0</v>
      </c>
      <c r="E74" s="22">
        <f>Liwonde!D74+Liwonde!E74+Liwonde!F74+Liwonde!G74+Liwonde!H74+Liwonde!I74</f>
        <v>0</v>
      </c>
      <c r="F74" s="22">
        <f>Machinga!D74+Machinga!E74+Machinga!F74+Machinga!G74+Machinga!H74+Machinga!I74</f>
        <v>0</v>
      </c>
      <c r="G74" s="22">
        <f>Ntaja!D74+Ntaja!E74+Ntaja!F74+Ntaja!G74+Ntaja!H74+Ntaja!I74</f>
        <v>0</v>
      </c>
      <c r="H74" s="149">
        <f>SUM(D74:G74)</f>
        <v>0</v>
      </c>
    </row>
    <row r="75" spans="1:8" ht="27" x14ac:dyDescent="0.3">
      <c r="A75" s="477"/>
      <c r="B75" s="21" t="s">
        <v>104</v>
      </c>
      <c r="C75" s="4" t="s">
        <v>3</v>
      </c>
      <c r="D75" s="22">
        <f>Balaka!D75+Balaka!E75+Balaka!F75+Balaka!G75+Balaka!H75+Balaka!I75</f>
        <v>0</v>
      </c>
      <c r="E75" s="22">
        <f>Liwonde!D75+Liwonde!E75+Liwonde!F75+Liwonde!G75+Liwonde!H75+Liwonde!I75</f>
        <v>0</v>
      </c>
      <c r="F75" s="22">
        <f>Machinga!D75+Machinga!E75+Machinga!F75+Machinga!G75+Machinga!H75+Machinga!I75</f>
        <v>0</v>
      </c>
      <c r="G75" s="22">
        <f>Ntaja!D75+Ntaja!E75+Ntaja!F75+Ntaja!G75+Ntaja!H75+Ntaja!I75</f>
        <v>1</v>
      </c>
      <c r="H75" s="138"/>
    </row>
    <row r="76" spans="1:8" x14ac:dyDescent="0.3">
      <c r="A76" s="477"/>
      <c r="B76" s="21" t="s">
        <v>190</v>
      </c>
      <c r="C76" s="4" t="s">
        <v>3</v>
      </c>
      <c r="D76" s="3">
        <f>D74+D75</f>
        <v>0</v>
      </c>
      <c r="E76" s="3">
        <f t="shared" ref="E76:H76" si="20">E74+E75</f>
        <v>0</v>
      </c>
      <c r="F76" s="3">
        <f t="shared" si="20"/>
        <v>0</v>
      </c>
      <c r="G76" s="3">
        <f t="shared" si="20"/>
        <v>1</v>
      </c>
      <c r="H76" s="393">
        <f t="shared" si="20"/>
        <v>0</v>
      </c>
    </row>
    <row r="77" spans="1:8" x14ac:dyDescent="0.3">
      <c r="A77" s="478"/>
      <c r="B77" s="21" t="s">
        <v>81</v>
      </c>
      <c r="C77" s="4" t="s">
        <v>3</v>
      </c>
      <c r="D77" s="22">
        <f>D73+D74-D76</f>
        <v>0</v>
      </c>
      <c r="E77" s="22">
        <f t="shared" ref="E77:H77" si="21">E73+E74-E76</f>
        <v>0</v>
      </c>
      <c r="F77" s="22">
        <f t="shared" si="21"/>
        <v>0</v>
      </c>
      <c r="G77" s="22">
        <f t="shared" si="21"/>
        <v>0</v>
      </c>
      <c r="H77" s="138">
        <f t="shared" si="21"/>
        <v>1</v>
      </c>
    </row>
    <row r="78" spans="1:8" ht="15.6" customHeight="1" x14ac:dyDescent="0.3">
      <c r="A78" s="476" t="s">
        <v>109</v>
      </c>
      <c r="B78" s="21" t="s">
        <v>85</v>
      </c>
      <c r="C78" s="4" t="s">
        <v>3</v>
      </c>
      <c r="D78" s="22">
        <f>Balaka!D78</f>
        <v>0</v>
      </c>
      <c r="E78" s="22">
        <f>Liwonde!D78</f>
        <v>0</v>
      </c>
      <c r="F78" s="22">
        <f>Machinga!D78</f>
        <v>0</v>
      </c>
      <c r="G78" s="22">
        <f>Ntaja!D78</f>
        <v>0</v>
      </c>
      <c r="H78" s="149">
        <f>SUM(D78:G78)</f>
        <v>0</v>
      </c>
    </row>
    <row r="79" spans="1:8" x14ac:dyDescent="0.3">
      <c r="A79" s="477"/>
      <c r="B79" s="21" t="s">
        <v>106</v>
      </c>
      <c r="C79" s="4" t="s">
        <v>3</v>
      </c>
      <c r="D79" s="22">
        <f>Balaka!D79+Balaka!E79+Balaka!F79+Balaka!G79+Balaka!H79+Balaka!I79</f>
        <v>0</v>
      </c>
      <c r="E79" s="22">
        <f>Liwonde!D79+Liwonde!E79+Liwonde!F79+Liwonde!G79+Liwonde!H79+Liwonde!I79</f>
        <v>0</v>
      </c>
      <c r="F79" s="22">
        <f>Machinga!D79+Machinga!E79+Machinga!F79+Machinga!G79+Machinga!H79+Machinga!I79</f>
        <v>0</v>
      </c>
      <c r="G79" s="22">
        <f>Ntaja!D79+Ntaja!E79+Ntaja!F79+Ntaja!G79+Ntaja!H79+Ntaja!I79</f>
        <v>1</v>
      </c>
      <c r="H79" s="149">
        <f>SUM(D79:G79)</f>
        <v>1</v>
      </c>
    </row>
    <row r="80" spans="1:8" ht="27" x14ac:dyDescent="0.3">
      <c r="A80" s="477"/>
      <c r="B80" s="21" t="s">
        <v>105</v>
      </c>
      <c r="C80" s="4" t="s">
        <v>3</v>
      </c>
      <c r="D80" s="22">
        <f>Balaka!D80+Balaka!E80+Balaka!F80+Balaka!G80+Balaka!H80+Balaka!I80</f>
        <v>0</v>
      </c>
      <c r="E80" s="22">
        <f>Liwonde!D80+Liwonde!E80+Liwonde!F80+Liwonde!G80+Liwonde!H80+Liwonde!I80</f>
        <v>0</v>
      </c>
      <c r="F80" s="22">
        <f>Machinga!D80+Machinga!E80+Machinga!F80+Machinga!G80+Machinga!H80+Machinga!I80</f>
        <v>0</v>
      </c>
      <c r="G80" s="22">
        <f>Ntaja!D80+Ntaja!E80+Ntaja!F80+Ntaja!G80+Ntaja!H80+Ntaja!I80</f>
        <v>0</v>
      </c>
      <c r="H80" s="149"/>
    </row>
    <row r="81" spans="1:8" ht="27" x14ac:dyDescent="0.3">
      <c r="A81" s="477"/>
      <c r="B81" s="21" t="s">
        <v>104</v>
      </c>
      <c r="C81" s="4" t="s">
        <v>3</v>
      </c>
      <c r="D81" s="22">
        <f>Balaka!D81+Balaka!E81+Balaka!F81+Balaka!G81+Balaka!H81+Balaka!I81</f>
        <v>0</v>
      </c>
      <c r="E81" s="22">
        <f>Liwonde!D81+Liwonde!E81+Liwonde!F81+Liwonde!G81+Liwonde!H81+Liwonde!I81</f>
        <v>0</v>
      </c>
      <c r="F81" s="22">
        <f>Machinga!D81+Machinga!E81+Machinga!F81+Machinga!G81+Machinga!H81+Machinga!I81</f>
        <v>0</v>
      </c>
      <c r="G81" s="22">
        <f>Ntaja!D81+Ntaja!E81+Ntaja!F81+Ntaja!G81+Ntaja!H81+Ntaja!I81</f>
        <v>1</v>
      </c>
      <c r="H81" s="138">
        <f>SUM(D81:G81)</f>
        <v>1</v>
      </c>
    </row>
    <row r="82" spans="1:8" x14ac:dyDescent="0.3">
      <c r="A82" s="477"/>
      <c r="B82" s="21" t="s">
        <v>190</v>
      </c>
      <c r="C82" s="4" t="s">
        <v>3</v>
      </c>
      <c r="D82" s="3">
        <f>D81+D80</f>
        <v>0</v>
      </c>
      <c r="E82" s="3">
        <f t="shared" ref="E82:H82" si="22">E81+E80</f>
        <v>0</v>
      </c>
      <c r="F82" s="3">
        <f t="shared" si="22"/>
        <v>0</v>
      </c>
      <c r="G82" s="3">
        <f t="shared" si="22"/>
        <v>1</v>
      </c>
      <c r="H82" s="393">
        <f t="shared" si="22"/>
        <v>1</v>
      </c>
    </row>
    <row r="83" spans="1:8" x14ac:dyDescent="0.3">
      <c r="A83" s="478"/>
      <c r="B83" s="21" t="s">
        <v>81</v>
      </c>
      <c r="C83" s="4" t="s">
        <v>3</v>
      </c>
      <c r="D83" s="22">
        <f>D78+D79-D82</f>
        <v>0</v>
      </c>
      <c r="E83" s="22">
        <f t="shared" ref="E83:H83" si="23">E78+E79-E82</f>
        <v>0</v>
      </c>
      <c r="F83" s="22">
        <f t="shared" si="23"/>
        <v>0</v>
      </c>
      <c r="G83" s="22">
        <f t="shared" si="23"/>
        <v>0</v>
      </c>
      <c r="H83" s="138">
        <f t="shared" si="23"/>
        <v>0</v>
      </c>
    </row>
    <row r="84" spans="1:8" x14ac:dyDescent="0.3">
      <c r="A84" s="479" t="s">
        <v>108</v>
      </c>
      <c r="B84" s="21" t="s">
        <v>85</v>
      </c>
      <c r="C84" s="4" t="s">
        <v>3</v>
      </c>
      <c r="D84" s="22">
        <f>Balaka!D84</f>
        <v>0</v>
      </c>
      <c r="E84" s="22">
        <f>Liwonde!D84</f>
        <v>0</v>
      </c>
      <c r="F84" s="22">
        <f>Machinga!D84</f>
        <v>0</v>
      </c>
      <c r="G84" s="22">
        <f>Ntaja!D84</f>
        <v>0</v>
      </c>
      <c r="H84" s="149">
        <f>SUM(D84:G84)</f>
        <v>0</v>
      </c>
    </row>
    <row r="85" spans="1:8" x14ac:dyDescent="0.3">
      <c r="A85" s="480"/>
      <c r="B85" s="21" t="s">
        <v>106</v>
      </c>
      <c r="C85" s="4" t="s">
        <v>3</v>
      </c>
      <c r="D85" s="22">
        <f>Balaka!D85+Balaka!E85+Balaka!F85+Balaka!G85+Balaka!H85+Balaka!I85</f>
        <v>0</v>
      </c>
      <c r="E85" s="22">
        <f>Liwonde!D85+Liwonde!E85+Liwonde!F85+Liwonde!G85+Liwonde!H85+Liwonde!I85</f>
        <v>0</v>
      </c>
      <c r="F85" s="22">
        <f>Machinga!D85+Machinga!E85+Machinga!F85+Machinga!G85+Machinga!H85+Machinga!I85</f>
        <v>0</v>
      </c>
      <c r="G85" s="22">
        <f>Ntaja!D85+Ntaja!E85+Ntaja!F85+Ntaja!G85+Ntaja!H85+Ntaja!I85</f>
        <v>0</v>
      </c>
      <c r="H85" s="149">
        <f>SUM(D85:G85)</f>
        <v>0</v>
      </c>
    </row>
    <row r="86" spans="1:8" ht="27" x14ac:dyDescent="0.3">
      <c r="A86" s="480"/>
      <c r="B86" s="21" t="s">
        <v>105</v>
      </c>
      <c r="C86" s="4" t="s">
        <v>3</v>
      </c>
      <c r="D86" s="22">
        <f>Balaka!D86+Balaka!E86+Balaka!F86+Balaka!G86+Balaka!H86+Balaka!I86</f>
        <v>0</v>
      </c>
      <c r="E86" s="22">
        <f>Liwonde!D86+Liwonde!E86+Liwonde!F86+Liwonde!G86+Liwonde!H86+Liwonde!I86</f>
        <v>0</v>
      </c>
      <c r="F86" s="22">
        <f>Machinga!D86+Machinga!E86+Machinga!F86+Machinga!G86+Machinga!H86+Machinga!I86</f>
        <v>0</v>
      </c>
      <c r="G86" s="22">
        <f>Ntaja!D86+Ntaja!E86+Ntaja!F86+Ntaja!G86+Ntaja!H86+Ntaja!I86</f>
        <v>0</v>
      </c>
      <c r="H86" s="149"/>
    </row>
    <row r="87" spans="1:8" ht="27" x14ac:dyDescent="0.3">
      <c r="A87" s="480"/>
      <c r="B87" s="21" t="s">
        <v>104</v>
      </c>
      <c r="C87" s="4" t="s">
        <v>3</v>
      </c>
      <c r="D87" s="22">
        <f>Balaka!D87+Balaka!E87+Balaka!F87+Balaka!G87+Balaka!H87+Balaka!I87</f>
        <v>0</v>
      </c>
      <c r="E87" s="22">
        <f>Liwonde!D87+Liwonde!E87+Liwonde!F87+Liwonde!G87+Liwonde!H87+Liwonde!I87</f>
        <v>0</v>
      </c>
      <c r="F87" s="22">
        <f>Machinga!D87+Machinga!E87+Machinga!F87+Machinga!G87+Machinga!H87+Machinga!I87</f>
        <v>0</v>
      </c>
      <c r="G87" s="22">
        <f>Ntaja!D87+Ntaja!E87+Ntaja!F87+Ntaja!G87+Ntaja!H87+Ntaja!I87</f>
        <v>0</v>
      </c>
      <c r="H87" s="138">
        <f>SUM(D87:G87)</f>
        <v>0</v>
      </c>
    </row>
    <row r="88" spans="1:8" x14ac:dyDescent="0.3">
      <c r="A88" s="480"/>
      <c r="B88" s="21" t="s">
        <v>190</v>
      </c>
      <c r="C88" s="4" t="s">
        <v>3</v>
      </c>
      <c r="D88" s="3">
        <f>D87+D86</f>
        <v>0</v>
      </c>
      <c r="E88" s="3">
        <f t="shared" ref="E88:G88" si="24">E87+E86</f>
        <v>0</v>
      </c>
      <c r="F88" s="3">
        <f t="shared" si="24"/>
        <v>0</v>
      </c>
      <c r="G88" s="3">
        <f t="shared" si="24"/>
        <v>0</v>
      </c>
      <c r="H88" s="138"/>
    </row>
    <row r="89" spans="1:8" x14ac:dyDescent="0.3">
      <c r="A89" s="481"/>
      <c r="B89" s="32" t="s">
        <v>81</v>
      </c>
      <c r="C89" s="4" t="s">
        <v>3</v>
      </c>
      <c r="D89" s="22">
        <f>D84+D85-D88</f>
        <v>0</v>
      </c>
      <c r="E89" s="22">
        <f t="shared" ref="E89:G89" si="25">E84+E85-E88</f>
        <v>0</v>
      </c>
      <c r="F89" s="22">
        <f t="shared" si="25"/>
        <v>0</v>
      </c>
      <c r="G89" s="22">
        <f t="shared" si="25"/>
        <v>0</v>
      </c>
      <c r="H89" s="138">
        <f t="shared" ref="H89" si="26">H84+H85-H86-H87</f>
        <v>0</v>
      </c>
    </row>
    <row r="90" spans="1:8" x14ac:dyDescent="0.3">
      <c r="A90" s="479" t="s">
        <v>107</v>
      </c>
      <c r="B90" s="21" t="s">
        <v>85</v>
      </c>
      <c r="C90" s="4" t="s">
        <v>3</v>
      </c>
      <c r="D90" s="119">
        <f>D66+D72+D78+D84</f>
        <v>407</v>
      </c>
      <c r="E90" s="119">
        <f t="shared" ref="E90:G90" si="27">E66+E72+E78+E84</f>
        <v>678</v>
      </c>
      <c r="F90" s="119">
        <f t="shared" si="27"/>
        <v>2</v>
      </c>
      <c r="G90" s="119">
        <f t="shared" si="27"/>
        <v>23</v>
      </c>
      <c r="H90" s="149">
        <f>SUM(D90:G90)</f>
        <v>1110</v>
      </c>
    </row>
    <row r="91" spans="1:8" x14ac:dyDescent="0.3">
      <c r="A91" s="480"/>
      <c r="B91" s="21" t="s">
        <v>106</v>
      </c>
      <c r="C91" s="4" t="s">
        <v>3</v>
      </c>
      <c r="D91" s="119">
        <f t="shared" ref="D91:G93" si="28">D67+D73+D79+D85</f>
        <v>285</v>
      </c>
      <c r="E91" s="119">
        <f t="shared" si="28"/>
        <v>297</v>
      </c>
      <c r="F91" s="119">
        <f t="shared" si="28"/>
        <v>26</v>
      </c>
      <c r="G91" s="119">
        <f t="shared" si="28"/>
        <v>117</v>
      </c>
      <c r="H91" s="149">
        <f>SUM(D91:G91)</f>
        <v>725</v>
      </c>
    </row>
    <row r="92" spans="1:8" ht="27" x14ac:dyDescent="0.3">
      <c r="A92" s="480"/>
      <c r="B92" s="21" t="s">
        <v>105</v>
      </c>
      <c r="C92" s="4" t="s">
        <v>3</v>
      </c>
      <c r="D92" s="119">
        <f t="shared" si="28"/>
        <v>270</v>
      </c>
      <c r="E92" s="119">
        <f t="shared" si="28"/>
        <v>0</v>
      </c>
      <c r="F92" s="119">
        <f t="shared" si="28"/>
        <v>7</v>
      </c>
      <c r="G92" s="119">
        <f t="shared" si="28"/>
        <v>0</v>
      </c>
      <c r="H92" s="149">
        <f>SUM(D92:G92)</f>
        <v>277</v>
      </c>
    </row>
    <row r="93" spans="1:8" ht="27" x14ac:dyDescent="0.3">
      <c r="A93" s="480"/>
      <c r="B93" s="21" t="s">
        <v>104</v>
      </c>
      <c r="C93" s="4"/>
      <c r="D93" s="119">
        <f t="shared" si="28"/>
        <v>0</v>
      </c>
      <c r="E93" s="119">
        <f t="shared" si="28"/>
        <v>141</v>
      </c>
      <c r="F93" s="119">
        <f t="shared" si="28"/>
        <v>17</v>
      </c>
      <c r="G93" s="119">
        <f t="shared" si="28"/>
        <v>113</v>
      </c>
      <c r="H93" s="149">
        <f>SUM(D93:G93)</f>
        <v>271</v>
      </c>
    </row>
    <row r="94" spans="1:8" x14ac:dyDescent="0.3">
      <c r="A94" s="480"/>
      <c r="B94" s="21" t="s">
        <v>190</v>
      </c>
      <c r="C94" s="4" t="s">
        <v>3</v>
      </c>
      <c r="D94" s="120">
        <f>D93+D92</f>
        <v>270</v>
      </c>
      <c r="E94" s="120">
        <f t="shared" ref="E94:H94" si="29">E93+E92</f>
        <v>141</v>
      </c>
      <c r="F94" s="120">
        <f t="shared" si="29"/>
        <v>24</v>
      </c>
      <c r="G94" s="120">
        <f t="shared" si="29"/>
        <v>113</v>
      </c>
      <c r="H94" s="150">
        <f t="shared" si="29"/>
        <v>548</v>
      </c>
    </row>
    <row r="95" spans="1:8" ht="16.2" thickBot="1" x14ac:dyDescent="0.35">
      <c r="A95" s="481"/>
      <c r="B95" s="21" t="s">
        <v>81</v>
      </c>
      <c r="C95" s="4" t="s">
        <v>3</v>
      </c>
      <c r="D95" s="121">
        <f>D90+D91-D94</f>
        <v>422</v>
      </c>
      <c r="E95" s="121">
        <f t="shared" ref="E95:H95" si="30">E90+E91-E94</f>
        <v>834</v>
      </c>
      <c r="F95" s="121">
        <f t="shared" si="30"/>
        <v>4</v>
      </c>
      <c r="G95" s="121">
        <f t="shared" si="30"/>
        <v>27</v>
      </c>
      <c r="H95" s="151">
        <f t="shared" si="30"/>
        <v>1287</v>
      </c>
    </row>
    <row r="96" spans="1:8" ht="16.2" customHeight="1" thickBot="1" x14ac:dyDescent="0.35">
      <c r="A96" s="482"/>
      <c r="B96" s="483"/>
      <c r="C96" s="483"/>
      <c r="D96" s="483"/>
      <c r="E96" s="483"/>
      <c r="F96" s="483"/>
      <c r="G96" s="483"/>
      <c r="H96" s="484"/>
    </row>
    <row r="97" spans="1:8" ht="15.75" customHeight="1" thickBot="1" x14ac:dyDescent="0.35">
      <c r="A97" s="470" t="s">
        <v>191</v>
      </c>
      <c r="B97" s="471"/>
      <c r="C97" s="471"/>
      <c r="D97" s="471"/>
      <c r="E97" s="471"/>
      <c r="F97" s="471"/>
      <c r="G97" s="471"/>
      <c r="H97" s="472"/>
    </row>
    <row r="98" spans="1:8" x14ac:dyDescent="0.3">
      <c r="A98" s="72" t="s">
        <v>192</v>
      </c>
      <c r="B98" s="62"/>
      <c r="C98" s="4" t="s">
        <v>3</v>
      </c>
      <c r="D98" s="22">
        <f>Balaka!D98+Balaka!E98+Balaka!F98+Balaka!G98+Balaka!H98+Balaka!I98</f>
        <v>426</v>
      </c>
      <c r="E98" s="22">
        <f>Liwonde!D98+Liwonde!E98+Liwonde!F98+Liwonde!G98+Liwonde!H98+Liwonde!I98</f>
        <v>248</v>
      </c>
      <c r="F98" s="22">
        <f>Machinga!D98+Machinga!E98+Machinga!F98+Machinga!G98+Machinga!H98+Machinga!I98</f>
        <v>35</v>
      </c>
      <c r="G98" s="22">
        <f>Ntaja!D98+Ntaja!E98+Ntaja!F98+Ntaja!G98+Ntaja!H98+Ntaja!I98</f>
        <v>95</v>
      </c>
      <c r="H98" s="146">
        <f>SUM(D98:G98)</f>
        <v>804</v>
      </c>
    </row>
    <row r="99" spans="1:8" x14ac:dyDescent="0.3">
      <c r="A99" s="72"/>
      <c r="B99" s="21"/>
      <c r="C99" s="4"/>
      <c r="D99" s="59"/>
      <c r="E99" s="59"/>
      <c r="F99" s="59"/>
      <c r="G99" s="59"/>
      <c r="H99" s="127"/>
    </row>
    <row r="100" spans="1:8" ht="14.4" x14ac:dyDescent="0.3">
      <c r="A100" s="473" t="s">
        <v>103</v>
      </c>
      <c r="B100" s="474"/>
      <c r="C100" s="474"/>
      <c r="D100" s="474"/>
      <c r="E100" s="474"/>
      <c r="F100" s="474"/>
      <c r="G100" s="474"/>
      <c r="H100" s="475"/>
    </row>
    <row r="101" spans="1:8" x14ac:dyDescent="0.3">
      <c r="A101" s="447" t="s">
        <v>102</v>
      </c>
      <c r="B101" s="448"/>
      <c r="C101" s="4" t="s">
        <v>3</v>
      </c>
      <c r="D101" s="22">
        <f>Balaka!I101</f>
        <v>2508</v>
      </c>
      <c r="E101" s="22">
        <f>Liwonde!I101</f>
        <v>1662</v>
      </c>
      <c r="F101" s="22">
        <f>Machinga!I101</f>
        <v>213</v>
      </c>
      <c r="G101" s="22">
        <f>Ntaja!I101</f>
        <v>0</v>
      </c>
      <c r="H101" s="28">
        <f>SUM(D101:G101)</f>
        <v>4383</v>
      </c>
    </row>
    <row r="102" spans="1:8" x14ac:dyDescent="0.3">
      <c r="A102" s="447" t="s">
        <v>101</v>
      </c>
      <c r="B102" s="448"/>
      <c r="C102" s="4" t="s">
        <v>3</v>
      </c>
      <c r="D102" s="22">
        <f>Balaka!I102</f>
        <v>50</v>
      </c>
      <c r="E102" s="22">
        <f>Liwonde!I102</f>
        <v>33</v>
      </c>
      <c r="F102" s="22">
        <f>Machinga!I102</f>
        <v>5</v>
      </c>
      <c r="G102" s="22">
        <f>Ntaja!I102</f>
        <v>0</v>
      </c>
      <c r="H102" s="28">
        <f>SUM(D102:G102)</f>
        <v>88</v>
      </c>
    </row>
    <row r="103" spans="1:8" ht="15.6" customHeight="1" x14ac:dyDescent="0.3">
      <c r="A103" s="445" t="s">
        <v>100</v>
      </c>
      <c r="B103" s="446"/>
      <c r="C103" s="4" t="s">
        <v>3</v>
      </c>
      <c r="D103" s="22">
        <f>Balaka!I103</f>
        <v>98</v>
      </c>
      <c r="E103" s="22">
        <f>Liwonde!I103</f>
        <v>20</v>
      </c>
      <c r="F103" s="22">
        <f>Machinga!I103</f>
        <v>3</v>
      </c>
      <c r="G103" s="22">
        <f>Ntaja!I103</f>
        <v>2</v>
      </c>
      <c r="H103" s="28">
        <f>SUM(D103:G103)</f>
        <v>123</v>
      </c>
    </row>
    <row r="104" spans="1:8" x14ac:dyDescent="0.3">
      <c r="A104" s="445" t="s">
        <v>99</v>
      </c>
      <c r="B104" s="446"/>
      <c r="C104" s="4" t="s">
        <v>3</v>
      </c>
      <c r="D104" s="22">
        <f>Balaka!I104</f>
        <v>18</v>
      </c>
      <c r="E104" s="22">
        <f>Liwonde!I104</f>
        <v>15</v>
      </c>
      <c r="F104" s="22">
        <f>Machinga!I104</f>
        <v>0</v>
      </c>
      <c r="G104" s="22">
        <f>Ntaja!I104</f>
        <v>0</v>
      </c>
      <c r="H104" s="28">
        <f>SUM(D104:G104)</f>
        <v>33</v>
      </c>
    </row>
    <row r="105" spans="1:8" x14ac:dyDescent="0.3">
      <c r="A105" s="485" t="s">
        <v>98</v>
      </c>
      <c r="B105" s="486"/>
      <c r="C105" s="4" t="s">
        <v>3</v>
      </c>
      <c r="D105" s="29">
        <f>SUM(D101:D104)</f>
        <v>2674</v>
      </c>
      <c r="E105" s="29">
        <f t="shared" ref="E105:H105" si="31">SUM(E101:E104)</f>
        <v>1730</v>
      </c>
      <c r="F105" s="29">
        <f t="shared" si="31"/>
        <v>221</v>
      </c>
      <c r="G105" s="29">
        <f t="shared" si="31"/>
        <v>2</v>
      </c>
      <c r="H105" s="50">
        <f t="shared" si="31"/>
        <v>4627</v>
      </c>
    </row>
    <row r="106" spans="1:8" ht="15.6" customHeight="1" x14ac:dyDescent="0.3">
      <c r="A106" s="487" t="s">
        <v>212</v>
      </c>
      <c r="B106" s="488"/>
      <c r="C106" s="488"/>
      <c r="D106" s="488"/>
      <c r="E106" s="488"/>
      <c r="F106" s="488"/>
      <c r="G106" s="488"/>
      <c r="H106" s="489"/>
    </row>
    <row r="107" spans="1:8" x14ac:dyDescent="0.3">
      <c r="A107" s="447" t="s">
        <v>195</v>
      </c>
      <c r="B107" s="448"/>
      <c r="C107" s="4" t="s">
        <v>3</v>
      </c>
      <c r="D107" s="22">
        <f>Balaka!I107</f>
        <v>2946</v>
      </c>
      <c r="E107" s="22">
        <f>Liwonde!I107</f>
        <v>2631</v>
      </c>
      <c r="F107" s="22">
        <f>Machinga!I107</f>
        <v>6</v>
      </c>
      <c r="G107" s="22">
        <f>Ntaja!I107</f>
        <v>1</v>
      </c>
      <c r="H107" s="28">
        <f>SUM(D107:G107)</f>
        <v>5584</v>
      </c>
    </row>
    <row r="108" spans="1:8" x14ac:dyDescent="0.3">
      <c r="A108" s="447" t="s">
        <v>196</v>
      </c>
      <c r="B108" s="448"/>
      <c r="C108" s="4" t="s">
        <v>3</v>
      </c>
      <c r="D108" s="22">
        <f>Balaka!I108</f>
        <v>9</v>
      </c>
      <c r="E108" s="22">
        <f>Liwonde!I108</f>
        <v>7</v>
      </c>
      <c r="F108" s="22">
        <f>Machinga!I108</f>
        <v>1</v>
      </c>
      <c r="G108" s="22">
        <f>Ntaja!I108</f>
        <v>2</v>
      </c>
      <c r="H108" s="28">
        <f>SUM(D108:G108)</f>
        <v>19</v>
      </c>
    </row>
    <row r="109" spans="1:8" x14ac:dyDescent="0.3">
      <c r="A109" s="447" t="s">
        <v>197</v>
      </c>
      <c r="B109" s="448"/>
      <c r="C109" s="4" t="s">
        <v>3</v>
      </c>
      <c r="D109" s="22">
        <f>Balaka!I109</f>
        <v>1</v>
      </c>
      <c r="E109" s="22">
        <f>Liwonde!I109</f>
        <v>4</v>
      </c>
      <c r="F109" s="22">
        <f>Machinga!I109</f>
        <v>0</v>
      </c>
      <c r="G109" s="22">
        <f>Ntaja!I109</f>
        <v>0</v>
      </c>
      <c r="H109" s="28">
        <f>SUM(D109:G109)</f>
        <v>5</v>
      </c>
    </row>
    <row r="110" spans="1:8" x14ac:dyDescent="0.3">
      <c r="A110" s="447" t="s">
        <v>198</v>
      </c>
      <c r="B110" s="448"/>
      <c r="C110" s="4" t="s">
        <v>3</v>
      </c>
      <c r="D110" s="22">
        <f>Balaka!I110</f>
        <v>11</v>
      </c>
      <c r="E110" s="22">
        <f>Liwonde!I110</f>
        <v>10</v>
      </c>
      <c r="F110" s="22">
        <f>Machinga!I110</f>
        <v>0</v>
      </c>
      <c r="G110" s="22">
        <f>Ntaja!I110</f>
        <v>0</v>
      </c>
      <c r="H110" s="28">
        <f>SUM(D110:G110)</f>
        <v>21</v>
      </c>
    </row>
    <row r="111" spans="1:8" x14ac:dyDescent="0.3">
      <c r="A111" s="449" t="s">
        <v>97</v>
      </c>
      <c r="B111" s="450"/>
      <c r="C111" s="4" t="s">
        <v>3</v>
      </c>
      <c r="D111" s="29">
        <f>SUM(D107:D110)</f>
        <v>2967</v>
      </c>
      <c r="E111" s="29">
        <f t="shared" ref="E111:H111" si="32">SUM(E107:E110)</f>
        <v>2652</v>
      </c>
      <c r="F111" s="29">
        <f t="shared" si="32"/>
        <v>7</v>
      </c>
      <c r="G111" s="29">
        <f t="shared" si="32"/>
        <v>3</v>
      </c>
      <c r="H111" s="50">
        <f t="shared" si="32"/>
        <v>5629</v>
      </c>
    </row>
    <row r="112" spans="1:8" ht="15.6" customHeight="1" x14ac:dyDescent="0.3">
      <c r="A112" s="473" t="s">
        <v>212</v>
      </c>
      <c r="B112" s="474"/>
      <c r="C112" s="474"/>
      <c r="D112" s="474"/>
      <c r="E112" s="474"/>
      <c r="F112" s="474"/>
      <c r="G112" s="474"/>
      <c r="H112" s="475"/>
    </row>
    <row r="113" spans="1:8" x14ac:dyDescent="0.3">
      <c r="A113" s="447" t="s">
        <v>199</v>
      </c>
      <c r="B113" s="448"/>
      <c r="C113" s="4" t="s">
        <v>3</v>
      </c>
      <c r="D113" s="22">
        <f>Balaka!I113</f>
        <v>2382</v>
      </c>
      <c r="E113" s="22">
        <f>Liwonde!I113</f>
        <v>1543</v>
      </c>
      <c r="F113" s="22">
        <f>Machinga!I113</f>
        <v>334</v>
      </c>
      <c r="G113" s="22">
        <f>Ntaja!I113</f>
        <v>637</v>
      </c>
      <c r="H113" s="28">
        <f>SUM(D113:G113)</f>
        <v>4896</v>
      </c>
    </row>
    <row r="114" spans="1:8" x14ac:dyDescent="0.3">
      <c r="A114" s="447" t="s">
        <v>200</v>
      </c>
      <c r="B114" s="448"/>
      <c r="C114" s="4" t="s">
        <v>3</v>
      </c>
      <c r="D114" s="22">
        <f>Balaka!I114</f>
        <v>76</v>
      </c>
      <c r="E114" s="22">
        <f>Liwonde!I114</f>
        <v>45</v>
      </c>
      <c r="F114" s="22">
        <f>Machinga!I114</f>
        <v>14</v>
      </c>
      <c r="G114" s="22">
        <f>Ntaja!I114</f>
        <v>21</v>
      </c>
      <c r="H114" s="28">
        <f>SUM(D114:G114)</f>
        <v>156</v>
      </c>
    </row>
    <row r="115" spans="1:8" x14ac:dyDescent="0.3">
      <c r="A115" s="447" t="s">
        <v>201</v>
      </c>
      <c r="B115" s="448"/>
      <c r="C115" s="4" t="s">
        <v>3</v>
      </c>
      <c r="D115" s="22">
        <f>Balaka!I115</f>
        <v>72</v>
      </c>
      <c r="E115" s="22">
        <f>Liwonde!I115</f>
        <v>114</v>
      </c>
      <c r="F115" s="22">
        <f>Machinga!I115</f>
        <v>27</v>
      </c>
      <c r="G115" s="22">
        <f>Ntaja!I115</f>
        <v>17</v>
      </c>
      <c r="H115" s="28">
        <f>SUM(D115:G115)</f>
        <v>230</v>
      </c>
    </row>
    <row r="116" spans="1:8" x14ac:dyDescent="0.3">
      <c r="A116" s="447" t="s">
        <v>202</v>
      </c>
      <c r="B116" s="448"/>
      <c r="C116" s="4" t="s">
        <v>3</v>
      </c>
      <c r="D116" s="22">
        <f>Balaka!I116</f>
        <v>5</v>
      </c>
      <c r="E116" s="22">
        <f>Liwonde!I116</f>
        <v>1</v>
      </c>
      <c r="F116" s="22">
        <f>Machinga!I116</f>
        <v>0</v>
      </c>
      <c r="G116" s="22">
        <f>Ntaja!I116</f>
        <v>3</v>
      </c>
      <c r="H116" s="28">
        <f>SUM(D116:G116)</f>
        <v>9</v>
      </c>
    </row>
    <row r="117" spans="1:8" x14ac:dyDescent="0.3">
      <c r="A117" s="449" t="s">
        <v>96</v>
      </c>
      <c r="B117" s="450"/>
      <c r="C117" s="4" t="s">
        <v>3</v>
      </c>
      <c r="D117" s="29">
        <f>SUM(D113:D116)</f>
        <v>2535</v>
      </c>
      <c r="E117" s="29">
        <f t="shared" ref="E117:G117" si="33">SUM(E113:E116)</f>
        <v>1703</v>
      </c>
      <c r="F117" s="29">
        <f t="shared" si="33"/>
        <v>375</v>
      </c>
      <c r="G117" s="29">
        <f t="shared" si="33"/>
        <v>678</v>
      </c>
      <c r="H117" s="50">
        <f>SUM(H113:H116)</f>
        <v>5291</v>
      </c>
    </row>
    <row r="118" spans="1:8" x14ac:dyDescent="0.3">
      <c r="A118" s="69" t="s">
        <v>193</v>
      </c>
      <c r="B118" s="70"/>
      <c r="C118" s="4" t="s">
        <v>3</v>
      </c>
      <c r="D118" s="29">
        <f>D111+D117</f>
        <v>5502</v>
      </c>
      <c r="E118" s="29">
        <f t="shared" ref="E118:H118" si="34">E111+E117</f>
        <v>4355</v>
      </c>
      <c r="F118" s="29">
        <f t="shared" si="34"/>
        <v>382</v>
      </c>
      <c r="G118" s="29">
        <f t="shared" si="34"/>
        <v>681</v>
      </c>
      <c r="H118" s="50">
        <f t="shared" si="34"/>
        <v>10920</v>
      </c>
    </row>
    <row r="119" spans="1:8" x14ac:dyDescent="0.3">
      <c r="A119" s="449" t="s">
        <v>194</v>
      </c>
      <c r="B119" s="450"/>
      <c r="C119" s="4" t="s">
        <v>3</v>
      </c>
      <c r="D119" s="29">
        <f>D118+D105</f>
        <v>8176</v>
      </c>
      <c r="E119" s="29">
        <f t="shared" ref="E119:G119" si="35">E118+E105</f>
        <v>6085</v>
      </c>
      <c r="F119" s="29">
        <f t="shared" si="35"/>
        <v>603</v>
      </c>
      <c r="G119" s="29">
        <f t="shared" si="35"/>
        <v>683</v>
      </c>
      <c r="H119" s="50">
        <f>H118+H105</f>
        <v>15547</v>
      </c>
    </row>
    <row r="120" spans="1:8" ht="14.4" x14ac:dyDescent="0.3">
      <c r="A120" s="441" t="s">
        <v>203</v>
      </c>
      <c r="B120" s="442"/>
      <c r="C120" s="442"/>
      <c r="D120" s="442"/>
      <c r="E120" s="442"/>
      <c r="F120" s="442"/>
      <c r="G120" s="442"/>
      <c r="H120" s="444"/>
    </row>
    <row r="121" spans="1:8" x14ac:dyDescent="0.3">
      <c r="A121" s="447" t="s">
        <v>95</v>
      </c>
      <c r="B121" s="448"/>
      <c r="C121" s="4" t="s">
        <v>3</v>
      </c>
      <c r="D121" s="22">
        <f>Balaka!I121</f>
        <v>41615.03</v>
      </c>
      <c r="E121" s="22">
        <f>Liwonde!I121</f>
        <v>34753</v>
      </c>
      <c r="F121" s="22">
        <f>Machinga!I121</f>
        <v>1463</v>
      </c>
      <c r="G121" s="22">
        <f>Ntaja!I121</f>
        <v>4220</v>
      </c>
      <c r="H121" s="28">
        <f>SUM(D121:G121)</f>
        <v>82051.03</v>
      </c>
    </row>
    <row r="122" spans="1:8" x14ac:dyDescent="0.3">
      <c r="A122" s="447" t="s">
        <v>94</v>
      </c>
      <c r="B122" s="448"/>
      <c r="C122" s="4" t="s">
        <v>3</v>
      </c>
      <c r="D122" s="22">
        <f>Balaka!I122</f>
        <v>36441.54</v>
      </c>
      <c r="E122" s="22">
        <f>Liwonde!I122</f>
        <v>31515</v>
      </c>
      <c r="F122" s="22">
        <f>Machinga!I122</f>
        <v>1270</v>
      </c>
      <c r="G122" s="22">
        <f>Ntaja!I122</f>
        <v>2807.25</v>
      </c>
      <c r="H122" s="28">
        <f>SUM(D122:G122)</f>
        <v>72033.790000000008</v>
      </c>
    </row>
    <row r="123" spans="1:8" x14ac:dyDescent="0.3">
      <c r="A123" s="494" t="s">
        <v>93</v>
      </c>
      <c r="B123" s="495"/>
      <c r="C123" s="26" t="s">
        <v>6</v>
      </c>
      <c r="D123" s="25">
        <f t="shared" ref="D123:H123" si="36">D122/D121</f>
        <v>0.87568217540633764</v>
      </c>
      <c r="E123" s="25">
        <f t="shared" si="36"/>
        <v>0.90682818749460481</v>
      </c>
      <c r="F123" s="25">
        <f t="shared" si="36"/>
        <v>0.86807928913192067</v>
      </c>
      <c r="G123" s="25">
        <f t="shared" si="36"/>
        <v>0.66522511848341237</v>
      </c>
      <c r="H123" s="368">
        <f t="shared" si="36"/>
        <v>0.87791451246864305</v>
      </c>
    </row>
    <row r="124" spans="1:8" ht="14.4" x14ac:dyDescent="0.3">
      <c r="A124" s="490" t="s">
        <v>92</v>
      </c>
      <c r="B124" s="491"/>
      <c r="C124" s="491"/>
      <c r="D124" s="491"/>
      <c r="E124" s="491"/>
      <c r="F124" s="491"/>
      <c r="G124" s="491"/>
      <c r="H124" s="492"/>
    </row>
    <row r="125" spans="1:8" x14ac:dyDescent="0.3">
      <c r="A125" s="453" t="s">
        <v>91</v>
      </c>
      <c r="B125" s="21" t="s">
        <v>85</v>
      </c>
      <c r="C125" s="4" t="s">
        <v>3</v>
      </c>
      <c r="D125" s="22">
        <f>Balaka!D125</f>
        <v>0</v>
      </c>
      <c r="E125" s="22">
        <f>Liwonde!D125</f>
        <v>0</v>
      </c>
      <c r="F125" s="22">
        <f>Machinga!D125</f>
        <v>0</v>
      </c>
      <c r="G125" s="22">
        <f>Ntaja!D125</f>
        <v>0</v>
      </c>
      <c r="H125" s="149">
        <f>SUM(D125:G125)</f>
        <v>0</v>
      </c>
    </row>
    <row r="126" spans="1:8" x14ac:dyDescent="0.3">
      <c r="A126" s="493"/>
      <c r="B126" s="21" t="s">
        <v>84</v>
      </c>
      <c r="C126" s="4" t="s">
        <v>3</v>
      </c>
      <c r="D126" s="22">
        <f>Balaka!D126+Balaka!E126+Balaka!F126+Balaka!G126+Balaka!H126+Balaka!I126</f>
        <v>0</v>
      </c>
      <c r="E126" s="22">
        <f>Liwonde!D126+Liwonde!E126+Liwonde!F126+Liwonde!G126+Liwonde!H126+Liwonde!I126</f>
        <v>0</v>
      </c>
      <c r="F126" s="22">
        <f>Machinga!D126+Machinga!E126+Machinga!F126+Machinga!G126+Machinga!H126+Machinga!I126</f>
        <v>0</v>
      </c>
      <c r="G126" s="22">
        <f>Ntaja!D126+Ntaja!E126+Ntaja!F126+Ntaja!G126+Ntaja!H126+Ntaja!I126</f>
        <v>0</v>
      </c>
      <c r="H126" s="149">
        <f>SUM(D126:G126)</f>
        <v>0</v>
      </c>
    </row>
    <row r="127" spans="1:8" x14ac:dyDescent="0.3">
      <c r="A127" s="493"/>
      <c r="B127" s="71" t="s">
        <v>88</v>
      </c>
      <c r="C127" s="4" t="s">
        <v>3</v>
      </c>
      <c r="D127" s="22">
        <f>Balaka!D127+Balaka!E127+Balaka!F127+Balaka!G127+Balaka!H127+Balaka!I127</f>
        <v>0</v>
      </c>
      <c r="E127" s="22">
        <f>Liwonde!D127+Liwonde!E127+Liwonde!F127+Liwonde!G127+Liwonde!H127+Liwonde!I127</f>
        <v>0</v>
      </c>
      <c r="F127" s="22">
        <f>Machinga!D127+Machinga!E127+Machinga!F127+Machinga!G127+Machinga!H127+Machinga!I127</f>
        <v>0</v>
      </c>
      <c r="G127" s="22">
        <f>Ntaja!D127+Ntaja!E127+Ntaja!F127+Ntaja!G127+Ntaja!H127+Ntaja!I127</f>
        <v>0</v>
      </c>
      <c r="H127" s="149">
        <f>SUM(D127:G127)</f>
        <v>0</v>
      </c>
    </row>
    <row r="128" spans="1:8" x14ac:dyDescent="0.3">
      <c r="A128" s="493"/>
      <c r="B128" s="21" t="s">
        <v>82</v>
      </c>
      <c r="C128" s="4" t="s">
        <v>3</v>
      </c>
      <c r="D128" s="22">
        <f>Balaka!D128+Balaka!E128+Balaka!F128+Balaka!G128+Balaka!H128+Balaka!I128</f>
        <v>0</v>
      </c>
      <c r="E128" s="22">
        <f>Liwonde!D128+Liwonde!E128+Liwonde!F128+Liwonde!G128+Liwonde!H128+Liwonde!I128</f>
        <v>0</v>
      </c>
      <c r="F128" s="22">
        <f>Machinga!D128+Machinga!E128+Machinga!F128+Machinga!G128+Machinga!H128+Machinga!I128</f>
        <v>0</v>
      </c>
      <c r="G128" s="22">
        <f>Ntaja!D128+Ntaja!E128+Ntaja!F128+Ntaja!G128+Ntaja!H128+Ntaja!I128</f>
        <v>0</v>
      </c>
      <c r="H128" s="149">
        <f>SUM(D128:G128)</f>
        <v>0</v>
      </c>
    </row>
    <row r="129" spans="1:8" x14ac:dyDescent="0.3">
      <c r="A129" s="454"/>
      <c r="B129" s="21" t="s">
        <v>81</v>
      </c>
      <c r="C129" s="4" t="s">
        <v>3</v>
      </c>
      <c r="D129" s="123">
        <f t="shared" ref="D129:H129" si="37">D125+D126-D127-D128</f>
        <v>0</v>
      </c>
      <c r="E129" s="123">
        <f t="shared" si="37"/>
        <v>0</v>
      </c>
      <c r="F129" s="123">
        <f t="shared" si="37"/>
        <v>0</v>
      </c>
      <c r="G129" s="123">
        <f t="shared" si="37"/>
        <v>0</v>
      </c>
      <c r="H129" s="31">
        <f t="shared" si="37"/>
        <v>0</v>
      </c>
    </row>
    <row r="130" spans="1:8" x14ac:dyDescent="0.3">
      <c r="A130" s="453" t="s">
        <v>90</v>
      </c>
      <c r="B130" s="24" t="s">
        <v>85</v>
      </c>
      <c r="C130" s="23" t="s">
        <v>3</v>
      </c>
      <c r="D130" s="22">
        <f>Balaka!D130</f>
        <v>0</v>
      </c>
      <c r="E130" s="22">
        <f>Liwonde!D130</f>
        <v>0</v>
      </c>
      <c r="F130" s="22">
        <f>Machinga!D130</f>
        <v>0</v>
      </c>
      <c r="G130" s="22">
        <f>Ntaja!D130</f>
        <v>0</v>
      </c>
      <c r="H130" s="149">
        <f>SUM(D130:G130)</f>
        <v>0</v>
      </c>
    </row>
    <row r="131" spans="1:8" x14ac:dyDescent="0.3">
      <c r="A131" s="493"/>
      <c r="B131" s="21" t="s">
        <v>84</v>
      </c>
      <c r="C131" s="4" t="s">
        <v>3</v>
      </c>
      <c r="D131" s="22">
        <f>Balaka!D131+Balaka!E131+Balaka!F131+Balaka!G131+Balaka!H131+Balaka!I131</f>
        <v>0</v>
      </c>
      <c r="E131" s="22">
        <f>Liwonde!D131+Liwonde!E131+Liwonde!F131+Liwonde!G131+Liwonde!H131+Liwonde!I131</f>
        <v>0</v>
      </c>
      <c r="F131" s="22">
        <f>Machinga!D131+Machinga!E131+Machinga!F131+Machinga!G131+Machinga!H131+Machinga!I131</f>
        <v>0</v>
      </c>
      <c r="G131" s="22">
        <f>Ntaja!D131+Ntaja!E131+Ntaja!F131+Ntaja!G131+Ntaja!H131+Ntaja!I131</f>
        <v>1</v>
      </c>
      <c r="H131" s="149">
        <f>SUM(D131:G131)</f>
        <v>1</v>
      </c>
    </row>
    <row r="132" spans="1:8" x14ac:dyDescent="0.3">
      <c r="A132" s="493"/>
      <c r="B132" s="71" t="s">
        <v>88</v>
      </c>
      <c r="C132" s="4" t="s">
        <v>3</v>
      </c>
      <c r="D132" s="22">
        <f>Balaka!D132+Balaka!E132+Balaka!F132+Balaka!G132+Balaka!H132+Balaka!I132</f>
        <v>0</v>
      </c>
      <c r="E132" s="22">
        <f>Liwonde!D132+Liwonde!E132+Liwonde!F132+Liwonde!G132+Liwonde!H132+Liwonde!I132</f>
        <v>0</v>
      </c>
      <c r="F132" s="22">
        <f>Machinga!D132+Machinga!E132+Machinga!F132+Machinga!G132+Machinga!H132+Machinga!I132</f>
        <v>0</v>
      </c>
      <c r="G132" s="22">
        <f>Ntaja!D132+Ntaja!E132+Ntaja!F132+Ntaja!G132+Ntaja!H132+Ntaja!I132</f>
        <v>0</v>
      </c>
      <c r="H132" s="149">
        <f>SUM(D132:G132)</f>
        <v>0</v>
      </c>
    </row>
    <row r="133" spans="1:8" x14ac:dyDescent="0.3">
      <c r="A133" s="493"/>
      <c r="B133" s="21" t="s">
        <v>82</v>
      </c>
      <c r="C133" s="4" t="s">
        <v>3</v>
      </c>
      <c r="D133" s="22">
        <f>Balaka!D133+Balaka!E133+Balaka!F133+Balaka!G133+Balaka!H133+Balaka!I133</f>
        <v>0</v>
      </c>
      <c r="E133" s="22">
        <f>Liwonde!D133+Liwonde!E133+Liwonde!F133+Liwonde!G133+Liwonde!H133+Liwonde!I133</f>
        <v>0</v>
      </c>
      <c r="F133" s="22">
        <f>Machinga!D133+Machinga!E133+Machinga!F133+Machinga!G133+Machinga!H133+Machinga!I133</f>
        <v>0</v>
      </c>
      <c r="G133" s="22">
        <f>Ntaja!D133+Ntaja!E133+Ntaja!F133+Ntaja!G133+Ntaja!H133+Ntaja!I133</f>
        <v>1</v>
      </c>
      <c r="H133" s="149">
        <f>SUM(D133:G133)</f>
        <v>1</v>
      </c>
    </row>
    <row r="134" spans="1:8" x14ac:dyDescent="0.3">
      <c r="A134" s="454"/>
      <c r="B134" s="21" t="s">
        <v>81</v>
      </c>
      <c r="C134" s="4" t="s">
        <v>3</v>
      </c>
      <c r="D134" s="123">
        <f t="shared" ref="D134:H134" si="38">D130+D131-D132-D133</f>
        <v>0</v>
      </c>
      <c r="E134" s="123">
        <f t="shared" si="38"/>
        <v>0</v>
      </c>
      <c r="F134" s="123">
        <f t="shared" si="38"/>
        <v>0</v>
      </c>
      <c r="G134" s="123">
        <f t="shared" si="38"/>
        <v>0</v>
      </c>
      <c r="H134" s="31">
        <f t="shared" si="38"/>
        <v>0</v>
      </c>
    </row>
    <row r="135" spans="1:8" x14ac:dyDescent="0.3">
      <c r="A135" s="453" t="s">
        <v>89</v>
      </c>
      <c r="B135" s="21" t="s">
        <v>85</v>
      </c>
      <c r="C135" s="4" t="s">
        <v>3</v>
      </c>
      <c r="D135" s="22">
        <f>Balaka!D135</f>
        <v>0</v>
      </c>
      <c r="E135" s="22">
        <f>Liwonde!D135</f>
        <v>0</v>
      </c>
      <c r="F135" s="22">
        <f>Machinga!D135</f>
        <v>0</v>
      </c>
      <c r="G135" s="22">
        <f>Ntaja!D135</f>
        <v>0</v>
      </c>
      <c r="H135" s="149">
        <f>SUM(D135:G135)</f>
        <v>0</v>
      </c>
    </row>
    <row r="136" spans="1:8" x14ac:dyDescent="0.3">
      <c r="A136" s="493"/>
      <c r="B136" s="21" t="s">
        <v>84</v>
      </c>
      <c r="C136" s="4" t="s">
        <v>3</v>
      </c>
      <c r="D136" s="22">
        <f>Balaka!D136+Balaka!E136+Balaka!F136+Balaka!G136+Balaka!H136+Balaka!I136</f>
        <v>0</v>
      </c>
      <c r="E136" s="22">
        <f>Liwonde!D136+Liwonde!E136+Liwonde!F136+Liwonde!G136+Liwonde!H136+Liwonde!I136</f>
        <v>0</v>
      </c>
      <c r="F136" s="22">
        <f>Machinga!D136+Machinga!E136+Machinga!F136+Machinga!G136+Machinga!H136+Machinga!I136</f>
        <v>0</v>
      </c>
      <c r="G136" s="22">
        <f>Ntaja!D136+Ntaja!E136+Ntaja!F136+Ntaja!G136+Ntaja!H136+Ntaja!I136</f>
        <v>0</v>
      </c>
      <c r="H136" s="149">
        <f>SUM(D136:G136)</f>
        <v>0</v>
      </c>
    </row>
    <row r="137" spans="1:8" x14ac:dyDescent="0.3">
      <c r="A137" s="493"/>
      <c r="B137" s="71" t="s">
        <v>88</v>
      </c>
      <c r="C137" s="4" t="s">
        <v>3</v>
      </c>
      <c r="D137" s="22">
        <f>Balaka!D137+Balaka!E137+Balaka!F137+Balaka!G137+Balaka!H137+Balaka!I137</f>
        <v>0</v>
      </c>
      <c r="E137" s="22">
        <f>Liwonde!D137+Liwonde!E137+Liwonde!F137+Liwonde!G137+Liwonde!H137+Liwonde!I137</f>
        <v>0</v>
      </c>
      <c r="F137" s="22">
        <f>Machinga!D137+Machinga!E137+Machinga!F137+Machinga!G137+Machinga!H137+Machinga!I137</f>
        <v>0</v>
      </c>
      <c r="G137" s="22">
        <f>Ntaja!D137+Ntaja!E137+Ntaja!F137+Ntaja!G137+Ntaja!H137+Ntaja!I137</f>
        <v>0</v>
      </c>
      <c r="H137" s="149">
        <f>SUM(D137:G137)</f>
        <v>0</v>
      </c>
    </row>
    <row r="138" spans="1:8" x14ac:dyDescent="0.3">
      <c r="A138" s="493"/>
      <c r="B138" s="21" t="s">
        <v>82</v>
      </c>
      <c r="C138" s="4" t="s">
        <v>3</v>
      </c>
      <c r="D138" s="22">
        <f>Balaka!D138+Balaka!E138+Balaka!F138+Balaka!G138+Balaka!H138+Balaka!I138</f>
        <v>0</v>
      </c>
      <c r="E138" s="22">
        <f>Liwonde!D138+Liwonde!E138+Liwonde!F138+Liwonde!G138+Liwonde!H138+Liwonde!I138</f>
        <v>0</v>
      </c>
      <c r="F138" s="22">
        <f>Machinga!D138+Machinga!E138+Machinga!F138+Machinga!G138+Machinga!H138+Machinga!I138</f>
        <v>0</v>
      </c>
      <c r="G138" s="22">
        <f>Ntaja!D138+Ntaja!E138+Ntaja!F138+Ntaja!G138+Ntaja!H138+Ntaja!I138</f>
        <v>0</v>
      </c>
      <c r="H138" s="149">
        <f>SUM(D138:G138)</f>
        <v>0</v>
      </c>
    </row>
    <row r="139" spans="1:8" x14ac:dyDescent="0.3">
      <c r="A139" s="454"/>
      <c r="B139" s="21" t="s">
        <v>81</v>
      </c>
      <c r="C139" s="4" t="s">
        <v>3</v>
      </c>
      <c r="D139" s="123">
        <f t="shared" ref="D139:H139" si="39">D135+D136-D137-D138</f>
        <v>0</v>
      </c>
      <c r="E139" s="123">
        <f t="shared" si="39"/>
        <v>0</v>
      </c>
      <c r="F139" s="123">
        <f t="shared" si="39"/>
        <v>0</v>
      </c>
      <c r="G139" s="123">
        <f t="shared" si="39"/>
        <v>0</v>
      </c>
      <c r="H139" s="31">
        <f t="shared" si="39"/>
        <v>0</v>
      </c>
    </row>
    <row r="140" spans="1:8" x14ac:dyDescent="0.3">
      <c r="A140" s="453" t="s">
        <v>87</v>
      </c>
      <c r="B140" s="21" t="s">
        <v>85</v>
      </c>
      <c r="C140" s="4" t="s">
        <v>3</v>
      </c>
      <c r="D140" s="22">
        <f>Balaka!D140</f>
        <v>376</v>
      </c>
      <c r="E140" s="22">
        <f>Liwonde!D140</f>
        <v>293</v>
      </c>
      <c r="F140" s="22">
        <f>Machinga!D140</f>
        <v>0</v>
      </c>
      <c r="G140" s="22">
        <f>Ntaja!D140</f>
        <v>0</v>
      </c>
      <c r="H140" s="149">
        <f>SUM(D140:G140)</f>
        <v>669</v>
      </c>
    </row>
    <row r="141" spans="1:8" x14ac:dyDescent="0.3">
      <c r="A141" s="493"/>
      <c r="B141" s="21" t="s">
        <v>84</v>
      </c>
      <c r="C141" s="4" t="s">
        <v>3</v>
      </c>
      <c r="D141" s="22">
        <f>Balaka!D141+Balaka!E141+Balaka!F141+Balaka!G141+Balaka!H141+Balaka!I141</f>
        <v>30</v>
      </c>
      <c r="E141" s="22">
        <f>Liwonde!D141+Liwonde!E141+Liwonde!F141+Liwonde!G141+Liwonde!H141+Liwonde!I141</f>
        <v>21</v>
      </c>
      <c r="F141" s="22">
        <f>Machinga!D141+Machinga!E141+Machinga!F141+Machinga!G141+Machinga!H141+Machinga!I141</f>
        <v>0</v>
      </c>
      <c r="G141" s="22">
        <f>Ntaja!D141+Ntaja!E141+Ntaja!F141+Ntaja!G141+Ntaja!H141+Ntaja!I141</f>
        <v>27</v>
      </c>
      <c r="H141" s="149">
        <f>SUM(D141:G141)</f>
        <v>78</v>
      </c>
    </row>
    <row r="142" spans="1:8" x14ac:dyDescent="0.3">
      <c r="A142" s="493"/>
      <c r="B142" s="21" t="s">
        <v>83</v>
      </c>
      <c r="C142" s="4" t="s">
        <v>3</v>
      </c>
      <c r="D142" s="22">
        <f>Balaka!D142+Balaka!E142+Balaka!F142+Balaka!G142+Balaka!H142+Balaka!I142</f>
        <v>46</v>
      </c>
      <c r="E142" s="22">
        <f>Liwonde!D142+Liwonde!E142+Liwonde!F142+Liwonde!G142+Liwonde!H142+Liwonde!I142</f>
        <v>0</v>
      </c>
      <c r="F142" s="22">
        <f>Machinga!D142+Machinga!E142+Machinga!F142+Machinga!G142+Machinga!H142+Machinga!I142</f>
        <v>0</v>
      </c>
      <c r="G142" s="22">
        <f>Ntaja!D142+Ntaja!E142+Ntaja!F142+Ntaja!G142+Ntaja!H142+Ntaja!I142</f>
        <v>18</v>
      </c>
      <c r="H142" s="149">
        <f>SUM(D142:G142)</f>
        <v>64</v>
      </c>
    </row>
    <row r="143" spans="1:8" x14ac:dyDescent="0.3">
      <c r="A143" s="493"/>
      <c r="B143" s="21" t="s">
        <v>82</v>
      </c>
      <c r="C143" s="4" t="s">
        <v>3</v>
      </c>
      <c r="D143" s="22">
        <f>Balaka!D143+Balaka!E143+Balaka!F143+Balaka!G143+Balaka!H143+Balaka!I143</f>
        <v>172</v>
      </c>
      <c r="E143" s="22">
        <f>Liwonde!D143+Liwonde!E143+Liwonde!F143+Liwonde!G143+Liwonde!H143+Liwonde!I143</f>
        <v>55</v>
      </c>
      <c r="F143" s="22">
        <f>Machinga!D143+Machinga!E143+Machinga!F143+Machinga!G143+Machinga!H143+Machinga!I143</f>
        <v>0</v>
      </c>
      <c r="G143" s="22">
        <f>Ntaja!D143+Ntaja!E143+Ntaja!F143+Ntaja!G143+Ntaja!H143+Ntaja!I143</f>
        <v>9</v>
      </c>
      <c r="H143" s="149">
        <f>SUM(D143:G143)</f>
        <v>236</v>
      </c>
    </row>
    <row r="144" spans="1:8" x14ac:dyDescent="0.3">
      <c r="A144" s="454"/>
      <c r="B144" s="21" t="s">
        <v>81</v>
      </c>
      <c r="C144" s="4" t="s">
        <v>3</v>
      </c>
      <c r="D144" s="123">
        <f t="shared" ref="D144:H144" si="40">D140+D141-D142-D143</f>
        <v>188</v>
      </c>
      <c r="E144" s="123">
        <f t="shared" si="40"/>
        <v>259</v>
      </c>
      <c r="F144" s="123">
        <f t="shared" si="40"/>
        <v>0</v>
      </c>
      <c r="G144" s="123">
        <f t="shared" si="40"/>
        <v>0</v>
      </c>
      <c r="H144" s="31">
        <f t="shared" si="40"/>
        <v>447</v>
      </c>
    </row>
    <row r="145" spans="1:8" x14ac:dyDescent="0.3">
      <c r="A145" s="453" t="s">
        <v>86</v>
      </c>
      <c r="B145" s="21" t="s">
        <v>85</v>
      </c>
      <c r="C145" s="4" t="s">
        <v>3</v>
      </c>
      <c r="D145" s="124">
        <f t="shared" ref="D145:G145" si="41">D125+D130+D135+D140</f>
        <v>376</v>
      </c>
      <c r="E145" s="124">
        <f t="shared" si="41"/>
        <v>293</v>
      </c>
      <c r="F145" s="124">
        <f t="shared" si="41"/>
        <v>0</v>
      </c>
      <c r="G145" s="124">
        <f t="shared" si="41"/>
        <v>0</v>
      </c>
      <c r="H145" s="98">
        <f t="shared" ref="H145:H149" si="42">H125+H130+H135+H140</f>
        <v>669</v>
      </c>
    </row>
    <row r="146" spans="1:8" x14ac:dyDescent="0.3">
      <c r="A146" s="493"/>
      <c r="B146" s="21" t="s">
        <v>84</v>
      </c>
      <c r="C146" s="4" t="s">
        <v>3</v>
      </c>
      <c r="D146" s="124">
        <f t="shared" ref="D146:G148" si="43">D126+D131+D136+D141</f>
        <v>30</v>
      </c>
      <c r="E146" s="124">
        <f t="shared" si="43"/>
        <v>21</v>
      </c>
      <c r="F146" s="124">
        <f t="shared" si="43"/>
        <v>0</v>
      </c>
      <c r="G146" s="124">
        <f t="shared" si="43"/>
        <v>28</v>
      </c>
      <c r="H146" s="98">
        <f t="shared" si="42"/>
        <v>79</v>
      </c>
    </row>
    <row r="147" spans="1:8" x14ac:dyDescent="0.3">
      <c r="A147" s="493"/>
      <c r="B147" s="21" t="s">
        <v>83</v>
      </c>
      <c r="C147" s="4" t="s">
        <v>3</v>
      </c>
      <c r="D147" s="124">
        <f t="shared" si="43"/>
        <v>46</v>
      </c>
      <c r="E147" s="124">
        <f t="shared" si="43"/>
        <v>0</v>
      </c>
      <c r="F147" s="124">
        <f t="shared" si="43"/>
        <v>0</v>
      </c>
      <c r="G147" s="124">
        <f t="shared" si="43"/>
        <v>18</v>
      </c>
      <c r="H147" s="98">
        <f t="shared" si="42"/>
        <v>64</v>
      </c>
    </row>
    <row r="148" spans="1:8" x14ac:dyDescent="0.3">
      <c r="A148" s="493"/>
      <c r="B148" s="21" t="s">
        <v>82</v>
      </c>
      <c r="C148" s="4" t="s">
        <v>3</v>
      </c>
      <c r="D148" s="124">
        <f t="shared" si="43"/>
        <v>172</v>
      </c>
      <c r="E148" s="124">
        <f t="shared" si="43"/>
        <v>55</v>
      </c>
      <c r="F148" s="124">
        <f t="shared" si="43"/>
        <v>0</v>
      </c>
      <c r="G148" s="124">
        <f t="shared" si="43"/>
        <v>10</v>
      </c>
      <c r="H148" s="98">
        <f t="shared" si="42"/>
        <v>237</v>
      </c>
    </row>
    <row r="149" spans="1:8" x14ac:dyDescent="0.3">
      <c r="A149" s="454"/>
      <c r="B149" s="21" t="s">
        <v>81</v>
      </c>
      <c r="C149" s="4" t="s">
        <v>3</v>
      </c>
      <c r="D149" s="123">
        <f t="shared" ref="D149:G149" si="44">D145+D146-D147-D148</f>
        <v>188</v>
      </c>
      <c r="E149" s="123">
        <f t="shared" si="44"/>
        <v>259</v>
      </c>
      <c r="F149" s="123">
        <f t="shared" si="44"/>
        <v>0</v>
      </c>
      <c r="G149" s="123">
        <f t="shared" si="44"/>
        <v>0</v>
      </c>
      <c r="H149" s="98">
        <f t="shared" si="42"/>
        <v>447</v>
      </c>
    </row>
    <row r="150" spans="1:8" ht="14.4" x14ac:dyDescent="0.3">
      <c r="A150" s="441" t="s">
        <v>80</v>
      </c>
      <c r="B150" s="442"/>
      <c r="C150" s="442"/>
      <c r="D150" s="442"/>
      <c r="E150" s="442"/>
      <c r="F150" s="442"/>
      <c r="G150" s="442"/>
      <c r="H150" s="444"/>
    </row>
    <row r="151" spans="1:8" ht="15.6" customHeight="1" x14ac:dyDescent="0.3">
      <c r="A151" s="506" t="s">
        <v>79</v>
      </c>
      <c r="B151" s="507"/>
      <c r="C151" s="507"/>
      <c r="D151" s="507"/>
      <c r="E151" s="507"/>
      <c r="F151" s="507"/>
      <c r="G151" s="507"/>
      <c r="H151" s="508"/>
    </row>
    <row r="152" spans="1:8" x14ac:dyDescent="0.3">
      <c r="A152" s="496" t="s">
        <v>78</v>
      </c>
      <c r="B152" s="80" t="s">
        <v>63</v>
      </c>
      <c r="C152" s="4"/>
      <c r="D152" s="13"/>
      <c r="E152" s="13"/>
      <c r="F152" s="13"/>
      <c r="G152" s="13"/>
      <c r="H152" s="34"/>
    </row>
    <row r="153" spans="1:8" x14ac:dyDescent="0.3">
      <c r="A153" s="497"/>
      <c r="B153" s="17" t="s">
        <v>73</v>
      </c>
      <c r="C153" s="4" t="s">
        <v>57</v>
      </c>
      <c r="D153" s="22">
        <f>Balaka!D153+Balaka!E153+Balaka!F153+Balaka!G153+Balaka!H153+Balaka!I153</f>
        <v>653</v>
      </c>
      <c r="E153" s="22">
        <f>Liwonde!D153+Liwonde!E153+Liwonde!F153+Liwonde!G153+Liwonde!H153+Liwonde!I153</f>
        <v>488</v>
      </c>
      <c r="F153" s="22">
        <f>Machinga!D153+Machinga!E153+Machinga!F153+Machinga!G153+Machinga!H153+Machinga!I153</f>
        <v>89</v>
      </c>
      <c r="G153" s="22">
        <f>Ntaja!D153+Ntaja!E153+Ntaja!F153+Ntaja!G153+Ntaja!H153+Ntaja!I153</f>
        <v>424</v>
      </c>
      <c r="H153" s="31">
        <f t="shared" ref="H153:H165" si="45">SUM(D153:G153)</f>
        <v>1654</v>
      </c>
    </row>
    <row r="154" spans="1:8" x14ac:dyDescent="0.3">
      <c r="A154" s="497"/>
      <c r="B154" s="17" t="s">
        <v>72</v>
      </c>
      <c r="C154" s="4" t="s">
        <v>57</v>
      </c>
      <c r="D154" s="22">
        <f>Balaka!D154+Balaka!E154+Balaka!F154+Balaka!G154+Balaka!H154+Balaka!I154</f>
        <v>435</v>
      </c>
      <c r="E154" s="22">
        <f>Liwonde!D154+Liwonde!E154+Liwonde!F154+Liwonde!G154+Liwonde!H154+Liwonde!I154</f>
        <v>218</v>
      </c>
      <c r="F154" s="22">
        <f>Machinga!D154+Machinga!E154+Machinga!F154+Machinga!G154+Machinga!H154+Machinga!I154</f>
        <v>56</v>
      </c>
      <c r="G154" s="22">
        <f>Ntaja!D154+Ntaja!E154+Ntaja!F154+Ntaja!G154+Ntaja!H154+Ntaja!I154</f>
        <v>52</v>
      </c>
      <c r="H154" s="31">
        <f t="shared" si="45"/>
        <v>761</v>
      </c>
    </row>
    <row r="155" spans="1:8" x14ac:dyDescent="0.3">
      <c r="A155" s="497"/>
      <c r="B155" s="17" t="s">
        <v>53</v>
      </c>
      <c r="C155" s="4" t="s">
        <v>57</v>
      </c>
      <c r="D155" s="22">
        <f>Balaka!D155+Balaka!E155+Balaka!F155+Balaka!G155+Balaka!H155+Balaka!I155</f>
        <v>84</v>
      </c>
      <c r="E155" s="22">
        <f>Liwonde!D155+Liwonde!E155+Liwonde!F155+Liwonde!G155+Liwonde!H155+Liwonde!I155</f>
        <v>96</v>
      </c>
      <c r="F155" s="22">
        <f>Machinga!D155+Machinga!E155+Machinga!F155+Machinga!G155+Machinga!H155+Machinga!I155</f>
        <v>50</v>
      </c>
      <c r="G155" s="22">
        <f>Ntaja!D155+Ntaja!E155+Ntaja!F155+Ntaja!G155+Ntaja!H155+Ntaja!I155</f>
        <v>46</v>
      </c>
      <c r="H155" s="31">
        <f t="shared" si="45"/>
        <v>276</v>
      </c>
    </row>
    <row r="156" spans="1:8" x14ac:dyDescent="0.3">
      <c r="A156" s="497"/>
      <c r="B156" s="17" t="s">
        <v>71</v>
      </c>
      <c r="C156" s="4" t="s">
        <v>57</v>
      </c>
      <c r="D156" s="22">
        <f>Balaka!D156+Balaka!E156+Balaka!F156+Balaka!G156+Balaka!H156+Balaka!I156</f>
        <v>3</v>
      </c>
      <c r="E156" s="22">
        <f>Liwonde!D156+Liwonde!E156+Liwonde!F156+Liwonde!G156+Liwonde!H156+Liwonde!I156</f>
        <v>26</v>
      </c>
      <c r="F156" s="22">
        <f>Machinga!D156+Machinga!E156+Machinga!F156+Machinga!G156+Machinga!H156+Machinga!I156</f>
        <v>25</v>
      </c>
      <c r="G156" s="22">
        <f>Ntaja!D156+Ntaja!E156+Ntaja!F156+Ntaja!G156+Ntaja!H156+Ntaja!I156</f>
        <v>1</v>
      </c>
      <c r="H156" s="31">
        <f t="shared" si="45"/>
        <v>55</v>
      </c>
    </row>
    <row r="157" spans="1:8" x14ac:dyDescent="0.3">
      <c r="A157" s="497"/>
      <c r="B157" s="17" t="s">
        <v>52</v>
      </c>
      <c r="C157" s="4" t="s">
        <v>57</v>
      </c>
      <c r="D157" s="22">
        <f>Balaka!D157+Balaka!E157+Balaka!F157+Balaka!G157+Balaka!H157+Balaka!I157</f>
        <v>17</v>
      </c>
      <c r="E157" s="22">
        <f>Liwonde!D157+Liwonde!E157+Liwonde!F157+Liwonde!G157+Liwonde!H157+Liwonde!I157</f>
        <v>20</v>
      </c>
      <c r="F157" s="22">
        <f>Machinga!D157+Machinga!E157+Machinga!F157+Machinga!G157+Machinga!H157+Machinga!I157</f>
        <v>19</v>
      </c>
      <c r="G157" s="22">
        <f>Ntaja!D157+Ntaja!E157+Ntaja!F157+Ntaja!G157+Ntaja!H157+Ntaja!I157</f>
        <v>8</v>
      </c>
      <c r="H157" s="31">
        <f t="shared" si="45"/>
        <v>64</v>
      </c>
    </row>
    <row r="158" spans="1:8" x14ac:dyDescent="0.3">
      <c r="A158" s="497"/>
      <c r="B158" s="17" t="s">
        <v>51</v>
      </c>
      <c r="C158" s="4" t="s">
        <v>57</v>
      </c>
      <c r="D158" s="22">
        <f>Balaka!D158+Balaka!E158+Balaka!F158+Balaka!G158+Balaka!H158+Balaka!I158</f>
        <v>44</v>
      </c>
      <c r="E158" s="22">
        <f>Liwonde!D158+Liwonde!E158+Liwonde!F158+Liwonde!G158+Liwonde!H158+Liwonde!I158</f>
        <v>34</v>
      </c>
      <c r="F158" s="22">
        <f>Machinga!D158+Machinga!E158+Machinga!F158+Machinga!G158+Machinga!H158+Machinga!I158</f>
        <v>16</v>
      </c>
      <c r="G158" s="22">
        <f>Ntaja!D158+Ntaja!E158+Ntaja!F158+Ntaja!G158+Ntaja!H158+Ntaja!I158</f>
        <v>5</v>
      </c>
      <c r="H158" s="31">
        <f t="shared" si="45"/>
        <v>99</v>
      </c>
    </row>
    <row r="159" spans="1:8" x14ac:dyDescent="0.3">
      <c r="A159" s="497"/>
      <c r="B159" s="17" t="s">
        <v>62</v>
      </c>
      <c r="C159" s="4" t="s">
        <v>57</v>
      </c>
      <c r="D159" s="22">
        <f>Balaka!D159+Balaka!E159+Balaka!F159+Balaka!G159+Balaka!H159+Balaka!I159</f>
        <v>3</v>
      </c>
      <c r="E159" s="22">
        <f>Liwonde!D159+Liwonde!E159+Liwonde!F159+Liwonde!G159+Liwonde!H159+Liwonde!I159</f>
        <v>2</v>
      </c>
      <c r="F159" s="22">
        <f>Machinga!D159+Machinga!E159+Machinga!F159+Machinga!G159+Machinga!H159+Machinga!I159</f>
        <v>0</v>
      </c>
      <c r="G159" s="22">
        <f>Ntaja!D159+Ntaja!E159+Ntaja!F159+Ntaja!G159+Ntaja!H159+Ntaja!I159</f>
        <v>1</v>
      </c>
      <c r="H159" s="31">
        <f t="shared" si="45"/>
        <v>6</v>
      </c>
    </row>
    <row r="160" spans="1:8" x14ac:dyDescent="0.3">
      <c r="A160" s="497"/>
      <c r="B160" s="17" t="s">
        <v>50</v>
      </c>
      <c r="C160" s="4" t="s">
        <v>57</v>
      </c>
      <c r="D160" s="22">
        <f>Balaka!D160+Balaka!E160+Balaka!F160+Balaka!G160+Balaka!H160+Balaka!I160</f>
        <v>1</v>
      </c>
      <c r="E160" s="22">
        <f>Liwonde!D160+Liwonde!E160+Liwonde!F160+Liwonde!G160+Liwonde!H160+Liwonde!I160</f>
        <v>32</v>
      </c>
      <c r="F160" s="22">
        <f>Machinga!D160+Machinga!E160+Machinga!F160+Machinga!G160+Machinga!H160+Machinga!I160</f>
        <v>8</v>
      </c>
      <c r="G160" s="22">
        <f>Ntaja!D160+Ntaja!E160+Ntaja!F160+Ntaja!G160+Ntaja!H160+Ntaja!I160</f>
        <v>2</v>
      </c>
      <c r="H160" s="31">
        <f t="shared" si="45"/>
        <v>43</v>
      </c>
    </row>
    <row r="161" spans="1:8" x14ac:dyDescent="0.3">
      <c r="A161" s="497"/>
      <c r="B161" s="17" t="s">
        <v>49</v>
      </c>
      <c r="C161" s="4" t="s">
        <v>57</v>
      </c>
      <c r="D161" s="22">
        <f>Balaka!D161+Balaka!E161+Balaka!F161+Balaka!G161+Balaka!H161+Balaka!I161</f>
        <v>8</v>
      </c>
      <c r="E161" s="22">
        <f>Liwonde!D161+Liwonde!E161+Liwonde!F161+Liwonde!G161+Liwonde!H161+Liwonde!I161</f>
        <v>45</v>
      </c>
      <c r="F161" s="22">
        <f>Machinga!D161+Machinga!E161+Machinga!F161+Machinga!G161+Machinga!H161+Machinga!I161</f>
        <v>2</v>
      </c>
      <c r="G161" s="22">
        <f>Ntaja!D161+Ntaja!E161+Ntaja!F161+Ntaja!G161+Ntaja!H161+Ntaja!I161</f>
        <v>0</v>
      </c>
      <c r="H161" s="31">
        <f t="shared" si="45"/>
        <v>55</v>
      </c>
    </row>
    <row r="162" spans="1:8" x14ac:dyDescent="0.3">
      <c r="A162" s="497"/>
      <c r="B162" s="17" t="s">
        <v>77</v>
      </c>
      <c r="C162" s="4" t="s">
        <v>57</v>
      </c>
      <c r="D162" s="22">
        <f>Balaka!D162+Balaka!E162+Balaka!F162+Balaka!G162+Balaka!H162+Balaka!I162</f>
        <v>3</v>
      </c>
      <c r="E162" s="22">
        <f>Liwonde!D162+Liwonde!E162+Liwonde!F162+Liwonde!G162+Liwonde!H162+Liwonde!I162</f>
        <v>28</v>
      </c>
      <c r="F162" s="22">
        <f>Machinga!D162+Machinga!E162+Machinga!F162+Machinga!G162+Machinga!H162+Machinga!I162</f>
        <v>0</v>
      </c>
      <c r="G162" s="22">
        <f>Ntaja!D162+Ntaja!E162+Ntaja!F162+Ntaja!G162+Ntaja!H162+Ntaja!I162</f>
        <v>2</v>
      </c>
      <c r="H162" s="31">
        <f t="shared" si="45"/>
        <v>33</v>
      </c>
    </row>
    <row r="163" spans="1:8" x14ac:dyDescent="0.3">
      <c r="A163" s="497"/>
      <c r="B163" s="17" t="s">
        <v>69</v>
      </c>
      <c r="C163" s="4" t="s">
        <v>57</v>
      </c>
      <c r="D163" s="22">
        <f>Balaka!D163+Balaka!E163+Balaka!F163+Balaka!G163+Balaka!H163+Balaka!I163</f>
        <v>4</v>
      </c>
      <c r="E163" s="22">
        <f>Liwonde!D163+Liwonde!E163+Liwonde!F163+Liwonde!G163+Liwonde!H163+Liwonde!I163</f>
        <v>1</v>
      </c>
      <c r="F163" s="22">
        <f>Machinga!D163+Machinga!E163+Machinga!F163+Machinga!G163+Machinga!H163+Machinga!I163</f>
        <v>0</v>
      </c>
      <c r="G163" s="22">
        <f>Ntaja!D163+Ntaja!E163+Ntaja!F163+Ntaja!G163+Ntaja!H163+Ntaja!I163</f>
        <v>0</v>
      </c>
      <c r="H163" s="31">
        <f t="shared" si="45"/>
        <v>5</v>
      </c>
    </row>
    <row r="164" spans="1:8" x14ac:dyDescent="0.3">
      <c r="A164" s="497"/>
      <c r="B164" s="17" t="s">
        <v>68</v>
      </c>
      <c r="C164" s="4" t="s">
        <v>57</v>
      </c>
      <c r="D164" s="22">
        <f>Balaka!D164+Balaka!E164+Balaka!F164+Balaka!G164+Balaka!H164+Balaka!I164</f>
        <v>0</v>
      </c>
      <c r="E164" s="22">
        <f>Liwonde!D164+Liwonde!E164+Liwonde!F164+Liwonde!G164+Liwonde!H164+Liwonde!I164</f>
        <v>0</v>
      </c>
      <c r="F164" s="22">
        <f>Machinga!D164+Machinga!E164+Machinga!F164+Machinga!G164+Machinga!H164+Machinga!I164</f>
        <v>0</v>
      </c>
      <c r="G164" s="22">
        <f>Ntaja!D164+Ntaja!E164+Ntaja!F164+Ntaja!G164+Ntaja!H164+Ntaja!I164</f>
        <v>0</v>
      </c>
      <c r="H164" s="31">
        <f t="shared" si="45"/>
        <v>0</v>
      </c>
    </row>
    <row r="165" spans="1:8" x14ac:dyDescent="0.3">
      <c r="A165" s="498"/>
      <c r="B165" s="17" t="s">
        <v>76</v>
      </c>
      <c r="C165" s="4" t="s">
        <v>57</v>
      </c>
      <c r="D165" s="22">
        <f>Balaka!D165+Balaka!E165+Balaka!F165+Balaka!G165+Balaka!H165+Balaka!I165</f>
        <v>0</v>
      </c>
      <c r="E165" s="22">
        <f>Liwonde!D165+Liwonde!E165+Liwonde!F165+Liwonde!G165+Liwonde!H165+Liwonde!I165</f>
        <v>1</v>
      </c>
      <c r="F165" s="22">
        <f>Machinga!D165+Machinga!E165+Machinga!F165+Machinga!G165+Machinga!H165+Machinga!I165</f>
        <v>0</v>
      </c>
      <c r="G165" s="22">
        <f>Ntaja!D165+Ntaja!E165+Ntaja!F165+Ntaja!G165+Ntaja!H165+Ntaja!I165</f>
        <v>0</v>
      </c>
      <c r="H165" s="31">
        <f t="shared" si="45"/>
        <v>1</v>
      </c>
    </row>
    <row r="166" spans="1:8" x14ac:dyDescent="0.3">
      <c r="A166" s="496" t="s">
        <v>75</v>
      </c>
      <c r="B166" s="19" t="s">
        <v>63</v>
      </c>
      <c r="C166" s="4"/>
      <c r="D166" s="3"/>
      <c r="E166" s="3"/>
      <c r="F166" s="3"/>
      <c r="G166" s="3"/>
      <c r="H166" s="31"/>
    </row>
    <row r="167" spans="1:8" x14ac:dyDescent="0.3">
      <c r="A167" s="497"/>
      <c r="B167" s="17" t="s">
        <v>74</v>
      </c>
      <c r="C167" s="4" t="s">
        <v>57</v>
      </c>
      <c r="D167" s="22">
        <f>Balaka!D167+Balaka!E167+Balaka!F167+Balaka!G167+Balaka!H167+Balaka!I167</f>
        <v>0</v>
      </c>
      <c r="E167" s="22">
        <f>Liwonde!D167+Liwonde!E167+Liwonde!F167+Liwonde!G167+Liwonde!H167+Liwonde!I167</f>
        <v>5</v>
      </c>
      <c r="F167" s="22">
        <f>Machinga!D167+Machinga!E167+Machinga!F167+Machinga!G167+Machinga!H167+Machinga!I167</f>
        <v>14</v>
      </c>
      <c r="G167" s="22">
        <f>Ntaja!D167+Ntaja!E167+Ntaja!F167+Ntaja!G167+Ntaja!H167+Ntaja!I167</f>
        <v>4</v>
      </c>
      <c r="H167" s="31">
        <f t="shared" ref="H167:H175" si="46">SUM(D167:G167)</f>
        <v>23</v>
      </c>
    </row>
    <row r="168" spans="1:8" x14ac:dyDescent="0.3">
      <c r="A168" s="497"/>
      <c r="B168" s="17" t="s">
        <v>73</v>
      </c>
      <c r="C168" s="4" t="s">
        <v>57</v>
      </c>
      <c r="D168" s="22">
        <f>Balaka!D168+Balaka!E168+Balaka!F168+Balaka!G168+Balaka!H168+Balaka!I168</f>
        <v>0</v>
      </c>
      <c r="E168" s="22">
        <f>Liwonde!D168+Liwonde!E168+Liwonde!F168+Liwonde!G168+Liwonde!H168+Liwonde!I168</f>
        <v>0</v>
      </c>
      <c r="F168" s="22">
        <f>Machinga!D168+Machinga!E168+Machinga!F168+Machinga!G168+Machinga!H168+Machinga!I168</f>
        <v>7</v>
      </c>
      <c r="G168" s="22">
        <f>Ntaja!D168+Ntaja!E168+Ntaja!F168+Ntaja!G168+Ntaja!H168+Ntaja!I168</f>
        <v>0</v>
      </c>
      <c r="H168" s="31">
        <f t="shared" si="46"/>
        <v>7</v>
      </c>
    </row>
    <row r="169" spans="1:8" x14ac:dyDescent="0.3">
      <c r="A169" s="497"/>
      <c r="B169" s="17" t="s">
        <v>72</v>
      </c>
      <c r="C169" s="4" t="s">
        <v>57</v>
      </c>
      <c r="D169" s="22">
        <f>Balaka!D169+Balaka!E169+Balaka!F169+Balaka!G169+Balaka!H169+Balaka!I169</f>
        <v>0</v>
      </c>
      <c r="E169" s="22">
        <f>Liwonde!D169+Liwonde!E169+Liwonde!F169+Liwonde!G169+Liwonde!H169+Liwonde!I169</f>
        <v>0</v>
      </c>
      <c r="F169" s="22">
        <f>Machinga!D169+Machinga!E169+Machinga!F169+Machinga!G169+Machinga!H169+Machinga!I169</f>
        <v>0</v>
      </c>
      <c r="G169" s="22">
        <f>Ntaja!D169+Ntaja!E169+Ntaja!F169+Ntaja!G169+Ntaja!H169+Ntaja!I169</f>
        <v>0</v>
      </c>
      <c r="H169" s="31">
        <f t="shared" si="46"/>
        <v>0</v>
      </c>
    </row>
    <row r="170" spans="1:8" x14ac:dyDescent="0.3">
      <c r="A170" s="497"/>
      <c r="B170" s="17" t="s">
        <v>71</v>
      </c>
      <c r="C170" s="4" t="s">
        <v>57</v>
      </c>
      <c r="D170" s="22">
        <f>Balaka!D170+Balaka!E170+Balaka!F170+Balaka!G170+Balaka!H170+Balaka!I170</f>
        <v>0</v>
      </c>
      <c r="E170" s="22">
        <f>Liwonde!D170+Liwonde!E170+Liwonde!F170+Liwonde!G170+Liwonde!H170+Liwonde!I170</f>
        <v>0</v>
      </c>
      <c r="F170" s="22">
        <f>Machinga!D170+Machinga!E170+Machinga!F170+Machinga!G170+Machinga!H170+Machinga!I170</f>
        <v>0</v>
      </c>
      <c r="G170" s="22">
        <f>Ntaja!D170+Ntaja!E170+Ntaja!F170+Ntaja!G170+Ntaja!H170+Ntaja!I170</f>
        <v>0</v>
      </c>
      <c r="H170" s="31">
        <f t="shared" si="46"/>
        <v>0</v>
      </c>
    </row>
    <row r="171" spans="1:8" x14ac:dyDescent="0.3">
      <c r="A171" s="497"/>
      <c r="B171" s="17" t="s">
        <v>52</v>
      </c>
      <c r="C171" s="4" t="s">
        <v>57</v>
      </c>
      <c r="D171" s="22">
        <f>Balaka!D171+Balaka!E171+Balaka!F171+Balaka!G171+Balaka!H171+Balaka!I171</f>
        <v>0</v>
      </c>
      <c r="E171" s="22">
        <f>Liwonde!D171+Liwonde!E171+Liwonde!F171+Liwonde!G171+Liwonde!H171+Liwonde!I171</f>
        <v>0</v>
      </c>
      <c r="F171" s="22">
        <f>Machinga!D171+Machinga!E171+Machinga!F171+Machinga!G171+Machinga!H171+Machinga!I171</f>
        <v>15</v>
      </c>
      <c r="G171" s="22">
        <f>Ntaja!D171+Ntaja!E171+Ntaja!F171+Ntaja!G171+Ntaja!H171+Ntaja!I171</f>
        <v>0</v>
      </c>
      <c r="H171" s="31">
        <f t="shared" si="46"/>
        <v>15</v>
      </c>
    </row>
    <row r="172" spans="1:8" x14ac:dyDescent="0.3">
      <c r="A172" s="497"/>
      <c r="B172" s="17" t="s">
        <v>62</v>
      </c>
      <c r="C172" s="4" t="s">
        <v>57</v>
      </c>
      <c r="D172" s="22">
        <f>Balaka!D172+Balaka!E172+Balaka!F172+Balaka!G172+Balaka!H172+Balaka!I172</f>
        <v>0</v>
      </c>
      <c r="E172" s="22">
        <f>Liwonde!D172+Liwonde!E172+Liwonde!F172+Liwonde!G172+Liwonde!H172+Liwonde!I172</f>
        <v>0</v>
      </c>
      <c r="F172" s="22">
        <f>Machinga!D172+Machinga!E172+Machinga!F172+Machinga!G172+Machinga!H172+Machinga!I172</f>
        <v>0</v>
      </c>
      <c r="G172" s="22">
        <f>Ntaja!D172+Ntaja!E172+Ntaja!F172+Ntaja!G172+Ntaja!H172+Ntaja!I172</f>
        <v>0</v>
      </c>
      <c r="H172" s="31">
        <f t="shared" si="46"/>
        <v>0</v>
      </c>
    </row>
    <row r="173" spans="1:8" x14ac:dyDescent="0.3">
      <c r="A173" s="497"/>
      <c r="B173" s="17" t="s">
        <v>61</v>
      </c>
      <c r="C173" s="4" t="s">
        <v>57</v>
      </c>
      <c r="D173" s="22">
        <f>Balaka!D173+Balaka!E173+Balaka!F173+Balaka!G173+Balaka!H173+Balaka!I173</f>
        <v>0</v>
      </c>
      <c r="E173" s="22">
        <f>Liwonde!D173+Liwonde!E173+Liwonde!F173+Liwonde!G173+Liwonde!H173+Liwonde!I173</f>
        <v>0</v>
      </c>
      <c r="F173" s="22">
        <f>Machinga!D173+Machinga!E173+Machinga!F173+Machinga!G173+Machinga!H173+Machinga!I173</f>
        <v>0</v>
      </c>
      <c r="G173" s="22">
        <f>Ntaja!D173+Ntaja!E173+Ntaja!F173+Ntaja!G173+Ntaja!H173+Ntaja!I173</f>
        <v>0</v>
      </c>
      <c r="H173" s="31">
        <f t="shared" si="46"/>
        <v>0</v>
      </c>
    </row>
    <row r="174" spans="1:8" x14ac:dyDescent="0.3">
      <c r="A174" s="497"/>
      <c r="B174" s="17" t="s">
        <v>60</v>
      </c>
      <c r="C174" s="4" t="s">
        <v>57</v>
      </c>
      <c r="D174" s="22">
        <f>Balaka!D174+Balaka!E174+Balaka!F174+Balaka!G174+Balaka!H174+Balaka!I174</f>
        <v>0</v>
      </c>
      <c r="E174" s="22">
        <f>Liwonde!D174+Liwonde!E174+Liwonde!F174+Liwonde!G174+Liwonde!H174+Liwonde!I174</f>
        <v>0</v>
      </c>
      <c r="F174" s="22">
        <f>Machinga!D174+Machinga!E174+Machinga!F174+Machinga!G174+Machinga!H174+Machinga!I174</f>
        <v>0</v>
      </c>
      <c r="G174" s="22">
        <f>Ntaja!D174+Ntaja!E174+Ntaja!F174+Ntaja!G174+Ntaja!H174+Ntaja!I174</f>
        <v>0</v>
      </c>
      <c r="H174" s="31">
        <f t="shared" si="46"/>
        <v>0</v>
      </c>
    </row>
    <row r="175" spans="1:8" x14ac:dyDescent="0.3">
      <c r="A175" s="498"/>
      <c r="B175" s="17" t="s">
        <v>69</v>
      </c>
      <c r="C175" s="4" t="s">
        <v>57</v>
      </c>
      <c r="D175" s="22">
        <f>Balaka!D175+Balaka!E175+Balaka!F175+Balaka!G175+Balaka!H175+Balaka!I175</f>
        <v>0</v>
      </c>
      <c r="E175" s="22">
        <f>Liwonde!D175+Liwonde!E175+Liwonde!F175+Liwonde!G175+Liwonde!H175+Liwonde!I175</f>
        <v>0</v>
      </c>
      <c r="F175" s="22">
        <f>Machinga!D175+Machinga!E175+Machinga!F175+Machinga!G175+Machinga!H175+Machinga!I175</f>
        <v>0</v>
      </c>
      <c r="G175" s="22">
        <f>Ntaja!D175+Ntaja!E175+Ntaja!F175+Ntaja!G175+Ntaja!H175+Ntaja!I175</f>
        <v>0</v>
      </c>
      <c r="H175" s="31">
        <f t="shared" si="46"/>
        <v>0</v>
      </c>
    </row>
    <row r="176" spans="1:8" x14ac:dyDescent="0.3">
      <c r="A176" s="496" t="s">
        <v>70</v>
      </c>
      <c r="B176" s="19" t="s">
        <v>63</v>
      </c>
      <c r="C176" s="4"/>
      <c r="D176" s="3"/>
      <c r="E176" s="3"/>
      <c r="F176" s="3"/>
      <c r="G176" s="3"/>
      <c r="H176" s="31"/>
    </row>
    <row r="177" spans="1:8" x14ac:dyDescent="0.3">
      <c r="A177" s="497"/>
      <c r="B177" s="17" t="s">
        <v>60</v>
      </c>
      <c r="C177" s="4" t="s">
        <v>57</v>
      </c>
      <c r="D177" s="22">
        <f>Balaka!D177+Balaka!E177+Balaka!F177+Balaka!G177+Balaka!H177+Balaka!I177</f>
        <v>0</v>
      </c>
      <c r="E177" s="22">
        <f>Liwonde!D177+Liwonde!E177+Liwonde!F177+Liwonde!G177+Liwonde!H177+Liwonde!I177</f>
        <v>0</v>
      </c>
      <c r="F177" s="22">
        <f>Machinga!D177+Machinga!E177+Machinga!F177+Machinga!G177+Machinga!H177+Machinga!I177</f>
        <v>0</v>
      </c>
      <c r="G177" s="22">
        <f>Ntaja!D177+Ntaja!E177+Ntaja!F177+Ntaja!G177+Ntaja!H177+Ntaja!I177</f>
        <v>0</v>
      </c>
      <c r="H177" s="31">
        <f t="shared" ref="H177:H182" si="47">SUM(D177:G177)</f>
        <v>0</v>
      </c>
    </row>
    <row r="178" spans="1:8" x14ac:dyDescent="0.3">
      <c r="A178" s="497"/>
      <c r="B178" s="17" t="s">
        <v>69</v>
      </c>
      <c r="C178" s="4" t="s">
        <v>57</v>
      </c>
      <c r="D178" s="22">
        <f>Balaka!D178+Balaka!E178+Balaka!F178+Balaka!G178+Balaka!H178+Balaka!I178</f>
        <v>0</v>
      </c>
      <c r="E178" s="22">
        <f>Liwonde!D178+Liwonde!E178+Liwonde!F178+Liwonde!G178+Liwonde!H178+Liwonde!I178</f>
        <v>0</v>
      </c>
      <c r="F178" s="22">
        <f>Machinga!D178+Machinga!E178+Machinga!F178+Machinga!G178+Machinga!H178+Machinga!I178</f>
        <v>0</v>
      </c>
      <c r="G178" s="22">
        <f>Ntaja!D178+Ntaja!E178+Ntaja!F178+Ntaja!G178+Ntaja!H178+Ntaja!I178</f>
        <v>0</v>
      </c>
      <c r="H178" s="31">
        <f t="shared" si="47"/>
        <v>0</v>
      </c>
    </row>
    <row r="179" spans="1:8" x14ac:dyDescent="0.3">
      <c r="A179" s="497"/>
      <c r="B179" s="17" t="s">
        <v>68</v>
      </c>
      <c r="C179" s="4" t="s">
        <v>57</v>
      </c>
      <c r="D179" s="22">
        <f>Balaka!D179+Balaka!E179+Balaka!F179+Balaka!G179+Balaka!H179+Balaka!I179</f>
        <v>0</v>
      </c>
      <c r="E179" s="22">
        <f>Liwonde!D179+Liwonde!E179+Liwonde!F179+Liwonde!G179+Liwonde!H179+Liwonde!I179</f>
        <v>0</v>
      </c>
      <c r="F179" s="22">
        <f>Machinga!D179+Machinga!E179+Machinga!F179+Machinga!G179+Machinga!H179+Machinga!I179</f>
        <v>0</v>
      </c>
      <c r="G179" s="22">
        <f>Ntaja!D179+Ntaja!E179+Ntaja!F179+Ntaja!G179+Ntaja!H179+Ntaja!I179</f>
        <v>0</v>
      </c>
      <c r="H179" s="31">
        <f t="shared" si="47"/>
        <v>0</v>
      </c>
    </row>
    <row r="180" spans="1:8" x14ac:dyDescent="0.3">
      <c r="A180" s="497"/>
      <c r="B180" s="17" t="s">
        <v>67</v>
      </c>
      <c r="C180" s="4" t="s">
        <v>57</v>
      </c>
      <c r="D180" s="22">
        <f>Balaka!D180+Balaka!E180+Balaka!F180+Balaka!G180+Balaka!H180+Balaka!I180</f>
        <v>0</v>
      </c>
      <c r="E180" s="22">
        <f>Liwonde!D180+Liwonde!E180+Liwonde!F180+Liwonde!G180+Liwonde!H180+Liwonde!I180</f>
        <v>0</v>
      </c>
      <c r="F180" s="22">
        <f>Machinga!D180+Machinga!E180+Machinga!F180+Machinga!G180+Machinga!H180+Machinga!I180</f>
        <v>0</v>
      </c>
      <c r="G180" s="22">
        <f>Ntaja!D180+Ntaja!E180+Ntaja!F180+Ntaja!G180+Ntaja!H180+Ntaja!I180</f>
        <v>0</v>
      </c>
      <c r="H180" s="31">
        <f t="shared" si="47"/>
        <v>0</v>
      </c>
    </row>
    <row r="181" spans="1:8" x14ac:dyDescent="0.3">
      <c r="A181" s="497"/>
      <c r="B181" s="17" t="s">
        <v>66</v>
      </c>
      <c r="C181" s="4" t="s">
        <v>57</v>
      </c>
      <c r="D181" s="22">
        <f>Balaka!D181+Balaka!E181+Balaka!F181+Balaka!G181+Balaka!H181+Balaka!I181</f>
        <v>0</v>
      </c>
      <c r="E181" s="22">
        <f>Liwonde!D181+Liwonde!E181+Liwonde!F181+Liwonde!G181+Liwonde!H181+Liwonde!I181</f>
        <v>0</v>
      </c>
      <c r="F181" s="22">
        <f>Machinga!D181+Machinga!E181+Machinga!F181+Machinga!G181+Machinga!H181+Machinga!I181</f>
        <v>0</v>
      </c>
      <c r="G181" s="22">
        <f>Ntaja!D181+Ntaja!E181+Ntaja!F181+Ntaja!G181+Ntaja!H181+Ntaja!I181</f>
        <v>0</v>
      </c>
      <c r="H181" s="31">
        <f t="shared" si="47"/>
        <v>0</v>
      </c>
    </row>
    <row r="182" spans="1:8" x14ac:dyDescent="0.3">
      <c r="A182" s="498"/>
      <c r="B182" s="17" t="s">
        <v>65</v>
      </c>
      <c r="C182" s="4" t="s">
        <v>57</v>
      </c>
      <c r="D182" s="22">
        <f>Balaka!D182+Balaka!E182+Balaka!F182+Balaka!G182+Balaka!H182+Balaka!I182</f>
        <v>0</v>
      </c>
      <c r="E182" s="22">
        <f>Liwonde!D182+Liwonde!E182+Liwonde!F182+Liwonde!G182+Liwonde!H182+Liwonde!I182</f>
        <v>0</v>
      </c>
      <c r="F182" s="22">
        <f>Machinga!D182+Machinga!E182+Machinga!F182+Machinga!G182+Machinga!H182+Machinga!I182</f>
        <v>0</v>
      </c>
      <c r="G182" s="22">
        <f>Ntaja!D182+Ntaja!E182+Ntaja!F182+Ntaja!G182+Ntaja!H182+Ntaja!I182</f>
        <v>0</v>
      </c>
      <c r="H182" s="31">
        <f t="shared" si="47"/>
        <v>0</v>
      </c>
    </row>
    <row r="183" spans="1:8" x14ac:dyDescent="0.3">
      <c r="A183" s="496" t="s">
        <v>211</v>
      </c>
      <c r="B183" s="19" t="s">
        <v>63</v>
      </c>
      <c r="C183" s="4"/>
      <c r="D183" s="3"/>
      <c r="E183" s="3"/>
      <c r="F183" s="3"/>
      <c r="G183" s="3"/>
      <c r="H183" s="31"/>
    </row>
    <row r="184" spans="1:8" x14ac:dyDescent="0.3">
      <c r="A184" s="497"/>
      <c r="B184" s="17" t="s">
        <v>73</v>
      </c>
      <c r="C184" s="4" t="s">
        <v>57</v>
      </c>
      <c r="D184" s="22">
        <f>Balaka!D184+Balaka!E184+Balaka!F184+Balaka!G184+Balaka!H184+Balaka!I184</f>
        <v>0</v>
      </c>
      <c r="E184" s="22">
        <f>Liwonde!D184+Liwonde!E184+Liwonde!F184+Liwonde!G184+Liwonde!H184+Liwonde!I184</f>
        <v>0</v>
      </c>
      <c r="F184" s="22">
        <f>Machinga!D184+Machinga!E184+Machinga!F184+Machinga!G184+Machinga!H184+Machinga!I184</f>
        <v>0</v>
      </c>
      <c r="G184" s="22">
        <f>Ntaja!D184+Ntaja!E184+Ntaja!F184+Ntaja!G184+Ntaja!H184+Ntaja!I184</f>
        <v>0</v>
      </c>
      <c r="H184" s="31">
        <f>SUM(D184:G184)</f>
        <v>0</v>
      </c>
    </row>
    <row r="185" spans="1:8" x14ac:dyDescent="0.3">
      <c r="A185" s="497"/>
      <c r="B185" s="17" t="s">
        <v>72</v>
      </c>
      <c r="C185" s="4" t="s">
        <v>57</v>
      </c>
      <c r="D185" s="22">
        <f>Balaka!D185+Balaka!E185+Balaka!F185+Balaka!G185+Balaka!H185+Balaka!I185</f>
        <v>0</v>
      </c>
      <c r="E185" s="22">
        <f>Liwonde!D185+Liwonde!E185+Liwonde!F185+Liwonde!G185+Liwonde!H185+Liwonde!I185</f>
        <v>0</v>
      </c>
      <c r="F185" s="22">
        <f>Machinga!D185+Machinga!E185+Machinga!F185+Machinga!G185+Machinga!H185+Machinga!I185</f>
        <v>0</v>
      </c>
      <c r="G185" s="22">
        <f>Ntaja!D185+Ntaja!E185+Ntaja!F185+Ntaja!G185+Ntaja!H185+Ntaja!I185</f>
        <v>0</v>
      </c>
      <c r="H185" s="31">
        <f>SUM(D185:G185)</f>
        <v>0</v>
      </c>
    </row>
    <row r="186" spans="1:8" x14ac:dyDescent="0.3">
      <c r="A186" s="497"/>
      <c r="B186" s="17" t="s">
        <v>53</v>
      </c>
      <c r="C186" s="4" t="s">
        <v>57</v>
      </c>
      <c r="D186" s="22">
        <f>Balaka!D186+Balaka!E186+Balaka!F186+Balaka!G186+Balaka!H186+Balaka!I186</f>
        <v>0</v>
      </c>
      <c r="E186" s="22">
        <f>Liwonde!D186+Liwonde!E186+Liwonde!F186+Liwonde!G186+Liwonde!H186+Liwonde!I186</f>
        <v>0</v>
      </c>
      <c r="F186" s="22">
        <f>Machinga!D186+Machinga!E186+Machinga!F186+Machinga!G186+Machinga!H186+Machinga!I186</f>
        <v>0</v>
      </c>
      <c r="G186" s="22">
        <f>Ntaja!D186+Ntaja!E186+Ntaja!F186+Ntaja!G186+Ntaja!H186+Ntaja!I186</f>
        <v>0</v>
      </c>
      <c r="H186" s="31">
        <f>SUM(D186:G186)</f>
        <v>0</v>
      </c>
    </row>
    <row r="187" spans="1:8" x14ac:dyDescent="0.3">
      <c r="A187" s="498"/>
      <c r="B187" s="17" t="s">
        <v>52</v>
      </c>
      <c r="C187" s="4" t="s">
        <v>57</v>
      </c>
      <c r="D187" s="22">
        <f>Balaka!D187+Balaka!E187+Balaka!F187+Balaka!G187+Balaka!H187+Balaka!I187</f>
        <v>0</v>
      </c>
      <c r="E187" s="22">
        <f>Liwonde!D187+Liwonde!E187+Liwonde!F187+Liwonde!G187+Liwonde!H187+Liwonde!I187</f>
        <v>0</v>
      </c>
      <c r="F187" s="22">
        <f>Machinga!D187+Machinga!E187+Machinga!F187+Machinga!G187+Machinga!H187+Machinga!I187</f>
        <v>0</v>
      </c>
      <c r="G187" s="22">
        <f>Ntaja!D187+Ntaja!E187+Ntaja!F187+Ntaja!G187+Ntaja!H187+Ntaja!I187</f>
        <v>0</v>
      </c>
      <c r="H187" s="31">
        <f>SUM(D187:G187)</f>
        <v>0</v>
      </c>
    </row>
    <row r="188" spans="1:8" x14ac:dyDescent="0.3">
      <c r="A188" s="496" t="s">
        <v>64</v>
      </c>
      <c r="B188" s="19" t="s">
        <v>63</v>
      </c>
      <c r="C188" s="4"/>
      <c r="D188" s="3"/>
      <c r="E188" s="3"/>
      <c r="F188" s="3"/>
      <c r="G188" s="3"/>
      <c r="H188" s="31"/>
    </row>
    <row r="189" spans="1:8" x14ac:dyDescent="0.3">
      <c r="A189" s="497"/>
      <c r="B189" s="18" t="s">
        <v>52</v>
      </c>
      <c r="C189" s="4" t="s">
        <v>57</v>
      </c>
      <c r="D189" s="22">
        <f>Balaka!D189+Balaka!E189+Balaka!F189+Balaka!G189+Balaka!H189+Balaka!I189</f>
        <v>0</v>
      </c>
      <c r="E189" s="22">
        <f>Liwonde!D189+Liwonde!E189+Liwonde!F189+Liwonde!G189+Liwonde!H189+Liwonde!I189</f>
        <v>0</v>
      </c>
      <c r="F189" s="22">
        <f>Machinga!D189+Machinga!E189+Machinga!F189+Machinga!G189+Machinga!H189+Machinga!I189</f>
        <v>0</v>
      </c>
      <c r="G189" s="22">
        <f>Ntaja!D189+Ntaja!E189+Ntaja!F189+Ntaja!G189+Ntaja!H189+Ntaja!I189</f>
        <v>0</v>
      </c>
      <c r="H189" s="31">
        <f>SUM(D189:G189)</f>
        <v>0</v>
      </c>
    </row>
    <row r="190" spans="1:8" x14ac:dyDescent="0.3">
      <c r="A190" s="497"/>
      <c r="B190" s="17" t="s">
        <v>62</v>
      </c>
      <c r="C190" s="4" t="s">
        <v>57</v>
      </c>
      <c r="D190" s="22">
        <f>Balaka!D190+Balaka!E190+Balaka!F190+Balaka!G190+Balaka!H190+Balaka!I190</f>
        <v>0</v>
      </c>
      <c r="E190" s="22">
        <f>Liwonde!D190+Liwonde!E190+Liwonde!F190+Liwonde!G190+Liwonde!H190+Liwonde!I190</f>
        <v>0</v>
      </c>
      <c r="F190" s="22">
        <f>Machinga!D190+Machinga!E190+Machinga!F190+Machinga!G190+Machinga!H190+Machinga!I190</f>
        <v>0</v>
      </c>
      <c r="G190" s="22">
        <f>Ntaja!D190+Ntaja!E190+Ntaja!F190+Ntaja!G190+Ntaja!H190+Ntaja!I190</f>
        <v>0</v>
      </c>
      <c r="H190" s="31">
        <f>SUM(D190:G190)</f>
        <v>0</v>
      </c>
    </row>
    <row r="191" spans="1:8" x14ac:dyDescent="0.3">
      <c r="A191" s="497"/>
      <c r="B191" s="17" t="s">
        <v>61</v>
      </c>
      <c r="C191" s="4" t="s">
        <v>57</v>
      </c>
      <c r="D191" s="22">
        <f>Balaka!D191+Balaka!E191+Balaka!F191+Balaka!G191+Balaka!H191+Balaka!I191</f>
        <v>0</v>
      </c>
      <c r="E191" s="22">
        <f>Liwonde!D191+Liwonde!E191+Liwonde!F191+Liwonde!G191+Liwonde!H191+Liwonde!I191</f>
        <v>0</v>
      </c>
      <c r="F191" s="22">
        <f>Machinga!D191+Machinga!E191+Machinga!F191+Machinga!G191+Machinga!H191+Machinga!I191</f>
        <v>0</v>
      </c>
      <c r="G191" s="22">
        <f>Ntaja!D191+Ntaja!E191+Ntaja!F191+Ntaja!G191+Ntaja!H191+Ntaja!I191</f>
        <v>0</v>
      </c>
      <c r="H191" s="31">
        <f>SUM(D191:G191)</f>
        <v>0</v>
      </c>
    </row>
    <row r="192" spans="1:8" x14ac:dyDescent="0.3">
      <c r="A192" s="498"/>
      <c r="B192" s="17" t="s">
        <v>60</v>
      </c>
      <c r="C192" s="4" t="s">
        <v>57</v>
      </c>
      <c r="D192" s="22">
        <f>Balaka!D192+Balaka!E192+Balaka!F192+Balaka!G192+Balaka!H192+Balaka!I192</f>
        <v>0</v>
      </c>
      <c r="E192" s="22">
        <f>Liwonde!D192+Liwonde!E192+Liwonde!F192+Liwonde!G192+Liwonde!H192+Liwonde!I192</f>
        <v>0</v>
      </c>
      <c r="F192" s="22">
        <f>Machinga!D192+Machinga!E192+Machinga!F192+Machinga!G192+Machinga!H192+Machinga!I192</f>
        <v>0</v>
      </c>
      <c r="G192" s="22">
        <f>Ntaja!D192+Ntaja!E192+Ntaja!F192+Ntaja!G192+Ntaja!H192+Ntaja!I192</f>
        <v>0</v>
      </c>
      <c r="H192" s="31">
        <f>SUM(D192:G192)</f>
        <v>0</v>
      </c>
    </row>
    <row r="193" spans="1:8" x14ac:dyDescent="0.3">
      <c r="A193" s="499" t="s">
        <v>59</v>
      </c>
      <c r="B193" s="500"/>
      <c r="C193" s="4"/>
      <c r="D193" s="9">
        <f>SUM(D153:D192)</f>
        <v>1255</v>
      </c>
      <c r="E193" s="9">
        <f t="shared" ref="E193:H193" si="48">SUM(E153:E192)</f>
        <v>996</v>
      </c>
      <c r="F193" s="9">
        <f t="shared" si="48"/>
        <v>301</v>
      </c>
      <c r="G193" s="9">
        <f t="shared" si="48"/>
        <v>545</v>
      </c>
      <c r="H193" s="138">
        <f t="shared" si="48"/>
        <v>3097</v>
      </c>
    </row>
    <row r="194" spans="1:8" x14ac:dyDescent="0.3">
      <c r="A194" s="501" t="s">
        <v>58</v>
      </c>
      <c r="B194" s="502"/>
      <c r="C194" s="4" t="s">
        <v>57</v>
      </c>
      <c r="D194" s="22">
        <f>Balaka!D194+Balaka!E194+Balaka!F194+Balaka!G194+Balaka!H194+Balaka!I194</f>
        <v>0</v>
      </c>
      <c r="E194" s="22">
        <f>Liwonde!D194+Liwonde!E194+Liwonde!F194+Liwonde!G194+Liwonde!H194+Liwonde!I194</f>
        <v>4</v>
      </c>
      <c r="F194" s="22">
        <f>Machinga!D194+Machinga!E194+Machinga!F194+Machinga!G194+Machinga!H194+Machinga!I194</f>
        <v>6</v>
      </c>
      <c r="G194" s="22">
        <f>Ntaja!D194+Ntaja!E194+Ntaja!F194+Ntaja!G194+Ntaja!H194+Ntaja!I194</f>
        <v>1</v>
      </c>
      <c r="H194" s="31">
        <f>SUM(D194:G194)</f>
        <v>11</v>
      </c>
    </row>
    <row r="195" spans="1:8" x14ac:dyDescent="0.3">
      <c r="A195" s="503"/>
      <c r="B195" s="504"/>
      <c r="C195" s="14" t="s">
        <v>55</v>
      </c>
      <c r="D195" s="22">
        <f>Balaka!D195+Balaka!E195+Balaka!F195+Balaka!G195+Balaka!H195+Balaka!I195</f>
        <v>0</v>
      </c>
      <c r="E195" s="22">
        <f>Liwonde!D195+Liwonde!E195+Liwonde!F195+Liwonde!G195+Liwonde!H195+Liwonde!I195</f>
        <v>262</v>
      </c>
      <c r="F195" s="22">
        <f>Machinga!D195+Machinga!E195+Machinga!F195+Machinga!G195+Machinga!H195+Machinga!I195</f>
        <v>0</v>
      </c>
      <c r="G195" s="22">
        <f>Ntaja!D195+Ntaja!E195+Ntaja!F195+Ntaja!G195+Ntaja!H195+Ntaja!I195</f>
        <v>168</v>
      </c>
      <c r="H195" s="31">
        <f>SUM(D195:G195)</f>
        <v>430</v>
      </c>
    </row>
    <row r="196" spans="1:8" x14ac:dyDescent="0.3">
      <c r="A196" s="74" t="s">
        <v>204</v>
      </c>
      <c r="B196" s="75"/>
      <c r="C196" s="14" t="s">
        <v>55</v>
      </c>
      <c r="D196" s="22">
        <f>Balaka!I196</f>
        <v>520</v>
      </c>
      <c r="E196" s="22">
        <f>Liwonde!I196</f>
        <v>620</v>
      </c>
      <c r="F196" s="22">
        <f>Machinga!I196</f>
        <v>0</v>
      </c>
      <c r="G196" s="22">
        <f>Ntaja!I196</f>
        <v>720</v>
      </c>
      <c r="H196" s="31">
        <f>SUM(D196:G196)/10</f>
        <v>186</v>
      </c>
    </row>
    <row r="197" spans="1:8" x14ac:dyDescent="0.3">
      <c r="A197" s="447" t="s">
        <v>56</v>
      </c>
      <c r="B197" s="448"/>
      <c r="C197" s="14" t="s">
        <v>55</v>
      </c>
      <c r="D197" s="22">
        <f>Balaka!D197+Balaka!E197+Balaka!F197+Balaka!G197+Balaka!H197+Balaka!I197</f>
        <v>557.99999999999989</v>
      </c>
      <c r="E197" s="22">
        <f>Liwonde!D197+Liwonde!E197+Liwonde!F197+Liwonde!G197+Liwonde!H197+Liwonde!I197</f>
        <v>187</v>
      </c>
      <c r="F197" s="22">
        <f>Machinga!D197+Machinga!E197+Machinga!F197+Machinga!G197+Machinga!H197+Machinga!I197</f>
        <v>317</v>
      </c>
      <c r="G197" s="22">
        <f>Ntaja!D197+Ntaja!E197+Ntaja!F197+Ntaja!G197+Ntaja!H197+Ntaja!I197</f>
        <v>844</v>
      </c>
      <c r="H197" s="31">
        <f>SUM(D197:G197)</f>
        <v>1906</v>
      </c>
    </row>
    <row r="198" spans="1:8" ht="14.4" x14ac:dyDescent="0.3">
      <c r="A198" s="441" t="s">
        <v>205</v>
      </c>
      <c r="B198" s="442"/>
      <c r="C198" s="442"/>
      <c r="D198" s="442"/>
      <c r="E198" s="442"/>
      <c r="F198" s="442"/>
      <c r="G198" s="442"/>
      <c r="H198" s="444"/>
    </row>
    <row r="199" spans="1:8" x14ac:dyDescent="0.3">
      <c r="A199" s="501" t="s">
        <v>54</v>
      </c>
      <c r="B199" s="68" t="s">
        <v>53</v>
      </c>
      <c r="C199" s="4" t="s">
        <v>47</v>
      </c>
      <c r="D199" s="22">
        <f>Balaka!D199+Balaka!E199+Balaka!F199+Balaka!G199+Balaka!H199+Balaka!I199</f>
        <v>0</v>
      </c>
      <c r="E199" s="22">
        <f>Liwonde!D199+Liwonde!E199+Liwonde!F199+Liwonde!G199+Liwonde!H199+Liwonde!I199</f>
        <v>0</v>
      </c>
      <c r="F199" s="22">
        <f>Machinga!D199+Machinga!E199+Machinga!F199+Machinga!G199+Machinga!H199+Machinga!I199</f>
        <v>0</v>
      </c>
      <c r="G199" s="22">
        <f>Ntaja!D199+Ntaja!E199+Ntaja!F199+Ntaja!G199+Ntaja!H199+Ntaja!I199</f>
        <v>0</v>
      </c>
      <c r="H199" s="143">
        <f t="shared" ref="H199:H204" si="49">SUM(D199:G199)</f>
        <v>0</v>
      </c>
    </row>
    <row r="200" spans="1:8" x14ac:dyDescent="0.3">
      <c r="A200" s="505"/>
      <c r="B200" s="68" t="s">
        <v>52</v>
      </c>
      <c r="C200" s="4" t="s">
        <v>47</v>
      </c>
      <c r="D200" s="22">
        <f>Balaka!D200+Balaka!E200+Balaka!F200+Balaka!G200+Balaka!H200+Balaka!I200</f>
        <v>0</v>
      </c>
      <c r="E200" s="22">
        <f>Liwonde!D200+Liwonde!E200+Liwonde!F200+Liwonde!G200+Liwonde!H200+Liwonde!I200</f>
        <v>0</v>
      </c>
      <c r="F200" s="22">
        <f>Machinga!D200+Machinga!E200+Machinga!F200+Machinga!G200+Machinga!H200+Machinga!I200</f>
        <v>0</v>
      </c>
      <c r="G200" s="22">
        <f>Ntaja!D200+Ntaja!E200+Ntaja!F200+Ntaja!G200+Ntaja!H200+Ntaja!I200</f>
        <v>0</v>
      </c>
      <c r="H200" s="143">
        <f t="shared" si="49"/>
        <v>0</v>
      </c>
    </row>
    <row r="201" spans="1:8" x14ac:dyDescent="0.3">
      <c r="A201" s="505"/>
      <c r="B201" s="68" t="s">
        <v>51</v>
      </c>
      <c r="C201" s="4" t="s">
        <v>47</v>
      </c>
      <c r="D201" s="22">
        <f>Balaka!D201+Balaka!E201+Balaka!F201+Balaka!G201+Balaka!H201+Balaka!I201</f>
        <v>0</v>
      </c>
      <c r="E201" s="22">
        <f>Liwonde!D201+Liwonde!E201+Liwonde!F201+Liwonde!G201+Liwonde!H201+Liwonde!I201</f>
        <v>0</v>
      </c>
      <c r="F201" s="22">
        <f>Machinga!D201+Machinga!E201+Machinga!F201+Machinga!G201+Machinga!H201+Machinga!I201</f>
        <v>0</v>
      </c>
      <c r="G201" s="22">
        <f>Ntaja!D201+Ntaja!E201+Ntaja!F201+Ntaja!G201+Ntaja!H201+Ntaja!I201</f>
        <v>0</v>
      </c>
      <c r="H201" s="143">
        <f t="shared" si="49"/>
        <v>0</v>
      </c>
    </row>
    <row r="202" spans="1:8" x14ac:dyDescent="0.3">
      <c r="A202" s="505"/>
      <c r="B202" s="68" t="s">
        <v>50</v>
      </c>
      <c r="C202" s="4" t="s">
        <v>47</v>
      </c>
      <c r="D202" s="22">
        <f>Balaka!D202+Balaka!E202+Balaka!F202+Balaka!G202+Balaka!H202+Balaka!I202</f>
        <v>0</v>
      </c>
      <c r="E202" s="22">
        <f>Liwonde!D202+Liwonde!E202+Liwonde!F202+Liwonde!G202+Liwonde!H202+Liwonde!I202</f>
        <v>500</v>
      </c>
      <c r="F202" s="22">
        <f>Machinga!D202+Machinga!E202+Machinga!F202+Machinga!G202+Machinga!H202+Machinga!I202</f>
        <v>0</v>
      </c>
      <c r="G202" s="22">
        <f>Ntaja!D202+Ntaja!E202+Ntaja!F202+Ntaja!G202+Ntaja!H202+Ntaja!I202</f>
        <v>0</v>
      </c>
      <c r="H202" s="143">
        <f t="shared" si="49"/>
        <v>500</v>
      </c>
    </row>
    <row r="203" spans="1:8" x14ac:dyDescent="0.3">
      <c r="A203" s="503"/>
      <c r="B203" s="68" t="s">
        <v>49</v>
      </c>
      <c r="C203" s="4" t="s">
        <v>47</v>
      </c>
      <c r="D203" s="22">
        <f>Balaka!D203+Balaka!E203+Balaka!F203+Balaka!G203+Balaka!H203+Balaka!I203</f>
        <v>0</v>
      </c>
      <c r="E203" s="22">
        <f>Liwonde!D203+Liwonde!E203+Liwonde!F203+Liwonde!G203+Liwonde!H203+Liwonde!I203</f>
        <v>0</v>
      </c>
      <c r="F203" s="22">
        <f>Machinga!D203+Machinga!E203+Machinga!F203+Machinga!G203+Machinga!H203+Machinga!I203</f>
        <v>0</v>
      </c>
      <c r="G203" s="22">
        <f>Ntaja!D203+Ntaja!E203+Ntaja!F203+Ntaja!G203+Ntaja!H203+Ntaja!I203</f>
        <v>0</v>
      </c>
      <c r="H203" s="143">
        <f t="shared" si="49"/>
        <v>0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0">SUM(D199:D203)</f>
        <v>0</v>
      </c>
      <c r="E204" s="13">
        <f t="shared" si="50"/>
        <v>500</v>
      </c>
      <c r="F204" s="13">
        <f t="shared" si="50"/>
        <v>0</v>
      </c>
      <c r="G204" s="13">
        <f t="shared" si="50"/>
        <v>0</v>
      </c>
      <c r="H204" s="143">
        <f t="shared" si="49"/>
        <v>500</v>
      </c>
    </row>
    <row r="205" spans="1:8" ht="14.4" x14ac:dyDescent="0.3">
      <c r="A205" s="441" t="s">
        <v>46</v>
      </c>
      <c r="B205" s="442"/>
      <c r="C205" s="442"/>
      <c r="D205" s="442"/>
      <c r="E205" s="442"/>
      <c r="F205" s="442"/>
      <c r="G205" s="442"/>
      <c r="H205" s="444"/>
    </row>
    <row r="206" spans="1:8" x14ac:dyDescent="0.3">
      <c r="A206" s="447" t="s">
        <v>43</v>
      </c>
      <c r="B206" s="448"/>
      <c r="C206" s="4" t="s">
        <v>31</v>
      </c>
      <c r="D206" s="13">
        <f>Balaka!D206+Balaka!E206+Balaka!F206+Balaka!G206+Balaka!H206+Balaka!I206</f>
        <v>183880094.10999998</v>
      </c>
      <c r="E206" s="13">
        <f>Liwonde!D206+Liwonde!E206+Liwonde!F206+Liwonde!G206+Liwonde!H206+Liwonde!I206</f>
        <v>187061420.16999987</v>
      </c>
      <c r="F206" s="13">
        <f>Machinga!D206+Machinga!E206+Machinga!F206+Machinga!G206+Machinga!H206+Machinga!I206</f>
        <v>540158.02</v>
      </c>
      <c r="G206" s="13">
        <f>Ntaja!D206+Ntaja!E206+Ntaja!F206+Ntaja!G206+Ntaja!H206+Ntaja!I206</f>
        <v>0</v>
      </c>
      <c r="H206" s="34">
        <f>SUM(D206:G206)</f>
        <v>371481672.29999983</v>
      </c>
    </row>
    <row r="207" spans="1:8" x14ac:dyDescent="0.3">
      <c r="A207" s="447" t="s">
        <v>42</v>
      </c>
      <c r="B207" s="448"/>
      <c r="C207" s="4" t="s">
        <v>31</v>
      </c>
      <c r="D207" s="13">
        <f>Balaka!D207+Balaka!E207+Balaka!F207+Balaka!G207+Balaka!H207+Balaka!I207</f>
        <v>1319067.22</v>
      </c>
      <c r="E207" s="13">
        <f>Liwonde!D207+Liwonde!E207+Liwonde!F207+Liwonde!G207+Liwonde!H207+Liwonde!I207</f>
        <v>840367.22</v>
      </c>
      <c r="F207" s="13">
        <f>Machinga!D207+Machinga!E207+Machinga!F207+Machinga!G207+Machinga!H207+Machinga!I207</f>
        <v>0</v>
      </c>
      <c r="G207" s="13">
        <f>Ntaja!D207+Ntaja!E207+Ntaja!F207+Ntaja!G207+Ntaja!H207+Ntaja!I207</f>
        <v>0</v>
      </c>
      <c r="H207" s="34">
        <f>SUM(D207:G207)</f>
        <v>2159434.44</v>
      </c>
    </row>
    <row r="208" spans="1:8" x14ac:dyDescent="0.3">
      <c r="A208" s="445" t="s">
        <v>41</v>
      </c>
      <c r="B208" s="446"/>
      <c r="C208" s="4" t="s">
        <v>31</v>
      </c>
      <c r="D208" s="13">
        <f>Balaka!D208+Balaka!E208+Balaka!F208+Balaka!G208+Balaka!H208+Balaka!I208</f>
        <v>465734.43999999994</v>
      </c>
      <c r="E208" s="13">
        <f>Liwonde!D208+Liwonde!E208+Liwonde!F208+Liwonde!G208+Liwonde!H208+Liwonde!I208</f>
        <v>12493058.530000001</v>
      </c>
      <c r="F208" s="13">
        <f>Machinga!D208+Machinga!E208+Machinga!F208+Machinga!G208+Machinga!H208+Machinga!I208</f>
        <v>0</v>
      </c>
      <c r="G208" s="13">
        <f>Ntaja!D208+Ntaja!E208+Ntaja!F208+Ntaja!G208+Ntaja!H208+Ntaja!I208</f>
        <v>0</v>
      </c>
      <c r="H208" s="34">
        <f>SUM(D208:G208)</f>
        <v>12958792.970000001</v>
      </c>
    </row>
    <row r="209" spans="1:8" x14ac:dyDescent="0.3">
      <c r="A209" s="447" t="s">
        <v>40</v>
      </c>
      <c r="B209" s="448"/>
      <c r="C209" s="4" t="s">
        <v>31</v>
      </c>
      <c r="D209" s="13">
        <f>Balaka!D209+Balaka!E209+Balaka!F209+Balaka!G209+Balaka!H209+Balaka!I209</f>
        <v>641134.43999999994</v>
      </c>
      <c r="E209" s="13">
        <f>Liwonde!D209+Liwonde!E209+Liwonde!F209+Liwonde!G209+Liwonde!H209+Liwonde!I209</f>
        <v>13554815.029999999</v>
      </c>
      <c r="F209" s="13">
        <f>Machinga!D209+Machinga!E209+Machinga!F209+Machinga!G209+Machinga!H209+Machinga!I209</f>
        <v>0</v>
      </c>
      <c r="G209" s="13">
        <f>Ntaja!D209+Ntaja!E209+Ntaja!F209+Ntaja!G209+Ntaja!H209+Ntaja!I209</f>
        <v>0</v>
      </c>
      <c r="H209" s="34">
        <f>SUM(D209:G209)</f>
        <v>14195949.469999999</v>
      </c>
    </row>
    <row r="210" spans="1:8" x14ac:dyDescent="0.3">
      <c r="A210" s="509" t="s">
        <v>45</v>
      </c>
      <c r="B210" s="510"/>
      <c r="C210" s="4" t="s">
        <v>31</v>
      </c>
      <c r="D210" s="9">
        <f t="shared" ref="D210:G210" si="51">SUM(D206:D209)</f>
        <v>186306030.20999998</v>
      </c>
      <c r="E210" s="9">
        <f t="shared" si="51"/>
        <v>213949660.94999987</v>
      </c>
      <c r="F210" s="9">
        <f t="shared" si="51"/>
        <v>540158.02</v>
      </c>
      <c r="G210" s="9">
        <f t="shared" si="51"/>
        <v>0</v>
      </c>
      <c r="H210" s="34">
        <f>SUM(D210:G210)</f>
        <v>400795849.17999983</v>
      </c>
    </row>
    <row r="211" spans="1:8" ht="14.4" x14ac:dyDescent="0.3">
      <c r="A211" s="441" t="s">
        <v>44</v>
      </c>
      <c r="B211" s="442"/>
      <c r="C211" s="442"/>
      <c r="D211" s="442"/>
      <c r="E211" s="442"/>
      <c r="F211" s="442"/>
      <c r="G211" s="442"/>
      <c r="H211" s="444"/>
    </row>
    <row r="212" spans="1:8" x14ac:dyDescent="0.3">
      <c r="A212" s="447" t="s">
        <v>43</v>
      </c>
      <c r="B212" s="448"/>
      <c r="C212" s="4" t="s">
        <v>31</v>
      </c>
      <c r="D212" s="13">
        <f>Balaka!D212+Balaka!E212+Balaka!F212+Balaka!G212+Balaka!H212+Balaka!I212</f>
        <v>102544496.6400001</v>
      </c>
      <c r="E212" s="13">
        <f>Liwonde!D212+Liwonde!E212+Liwonde!F212+Liwonde!G212+Liwonde!H212+Liwonde!I212</f>
        <v>108551009.73999991</v>
      </c>
      <c r="F212" s="13">
        <f>Machinga!D212+Machinga!E212+Machinga!F212+Machinga!G212+Machinga!H212+Machinga!I212</f>
        <v>14268422.52</v>
      </c>
      <c r="G212" s="13">
        <f>Ntaja!D212+Ntaja!E212+Ntaja!F212+Ntaja!G212+Ntaja!H212+Ntaja!I212</f>
        <v>25380730.150000002</v>
      </c>
      <c r="H212" s="34">
        <f>SUM(D212:G212)</f>
        <v>250744659.05000001</v>
      </c>
    </row>
    <row r="213" spans="1:8" x14ac:dyDescent="0.3">
      <c r="A213" s="447" t="s">
        <v>42</v>
      </c>
      <c r="B213" s="448"/>
      <c r="C213" s="4" t="s">
        <v>31</v>
      </c>
      <c r="D213" s="13">
        <f>Balaka!D213+Balaka!E213+Balaka!F213+Balaka!G213+Balaka!H213+Balaka!I213</f>
        <v>355695.16000000003</v>
      </c>
      <c r="E213" s="13">
        <f>Liwonde!D213+Liwonde!E213+Liwonde!F213+Liwonde!G213+Liwonde!H213+Liwonde!I213</f>
        <v>3500</v>
      </c>
      <c r="F213" s="13">
        <f>Machinga!D213+Machinga!E213+Machinga!F213+Machinga!G213+Machinga!H213+Machinga!I213</f>
        <v>0</v>
      </c>
      <c r="G213" s="13">
        <f>Ntaja!D213+Ntaja!E213+Ntaja!F213+Ntaja!G213+Ntaja!H213+Ntaja!I213</f>
        <v>156000</v>
      </c>
      <c r="H213" s="34">
        <f>SUM(D213:G213)</f>
        <v>515195.16000000003</v>
      </c>
    </row>
    <row r="214" spans="1:8" x14ac:dyDescent="0.3">
      <c r="A214" s="445" t="s">
        <v>41</v>
      </c>
      <c r="B214" s="446"/>
      <c r="C214" s="4" t="s">
        <v>31</v>
      </c>
      <c r="D214" s="13">
        <f>Balaka!D214+Balaka!E214+Balaka!F214+Balaka!G214+Balaka!H214+Balaka!I214</f>
        <v>16082188.840000002</v>
      </c>
      <c r="E214" s="13">
        <f>Liwonde!D214+Liwonde!E214+Liwonde!F214+Liwonde!G214+Liwonde!H214+Liwonde!I214</f>
        <v>70844821.849999994</v>
      </c>
      <c r="F214" s="13">
        <f>Machinga!D214+Machinga!E214+Machinga!F214+Machinga!G214+Machinga!H214+Machinga!I214</f>
        <v>290500</v>
      </c>
      <c r="G214" s="13">
        <f>Ntaja!D214+Ntaja!E214+Ntaja!F214+Ntaja!G214+Ntaja!H214+Ntaja!I214</f>
        <v>1489584.11</v>
      </c>
      <c r="H214" s="34">
        <f>SUM(D214:G214)</f>
        <v>88707094.799999997</v>
      </c>
    </row>
    <row r="215" spans="1:8" x14ac:dyDescent="0.3">
      <c r="A215" s="447" t="s">
        <v>40</v>
      </c>
      <c r="B215" s="448"/>
      <c r="C215" s="4" t="s">
        <v>31</v>
      </c>
      <c r="D215" s="13">
        <f>Balaka!D215+Balaka!E215+Balaka!F215+Balaka!G215+Balaka!H215+Balaka!I215</f>
        <v>19922104.799999997</v>
      </c>
      <c r="E215" s="13">
        <f>Liwonde!D215+Liwonde!E215+Liwonde!F215+Liwonde!G215+Liwonde!H215+Liwonde!I215</f>
        <v>47359850.849999994</v>
      </c>
      <c r="F215" s="13">
        <f>Machinga!D215+Machinga!E215+Machinga!F215+Machinga!G215+Machinga!H215+Machinga!I215</f>
        <v>1142800</v>
      </c>
      <c r="G215" s="13">
        <f>Ntaja!D215+Ntaja!E215+Ntaja!F215+Ntaja!G215+Ntaja!H215+Ntaja!I215</f>
        <v>944608.34</v>
      </c>
      <c r="H215" s="34">
        <f>SUM(D215:G215)</f>
        <v>69369363.989999995</v>
      </c>
    </row>
    <row r="216" spans="1:8" x14ac:dyDescent="0.3">
      <c r="A216" s="509" t="s">
        <v>39</v>
      </c>
      <c r="B216" s="510"/>
      <c r="C216" s="4" t="s">
        <v>31</v>
      </c>
      <c r="D216" s="9">
        <f t="shared" ref="D216:G216" si="52">SUM(D212:D215)</f>
        <v>138904485.44000012</v>
      </c>
      <c r="E216" s="9">
        <f t="shared" si="52"/>
        <v>226759182.43999991</v>
      </c>
      <c r="F216" s="9">
        <f t="shared" si="52"/>
        <v>15701722.52</v>
      </c>
      <c r="G216" s="9">
        <f t="shared" si="52"/>
        <v>27970922.600000001</v>
      </c>
      <c r="H216" s="34">
        <f>SUM(D216:G216)</f>
        <v>409336313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325210515.6500001</v>
      </c>
      <c r="E217" s="9">
        <f t="shared" ref="E217:H217" si="53">E210+E216</f>
        <v>440708843.38999975</v>
      </c>
      <c r="F217" s="9">
        <f t="shared" si="53"/>
        <v>16241880.539999999</v>
      </c>
      <c r="G217" s="9">
        <f t="shared" si="53"/>
        <v>27970922.600000001</v>
      </c>
      <c r="H217" s="35">
        <f t="shared" si="53"/>
        <v>810132162.17999983</v>
      </c>
    </row>
    <row r="218" spans="1:8" ht="14.4" x14ac:dyDescent="0.3">
      <c r="A218" s="441" t="s">
        <v>37</v>
      </c>
      <c r="B218" s="442"/>
      <c r="C218" s="442"/>
      <c r="D218" s="442"/>
      <c r="E218" s="442"/>
      <c r="F218" s="442"/>
      <c r="G218" s="442"/>
      <c r="H218" s="444"/>
    </row>
    <row r="219" spans="1:8" x14ac:dyDescent="0.3">
      <c r="A219" s="447" t="s">
        <v>35</v>
      </c>
      <c r="B219" s="448"/>
      <c r="C219" s="4" t="s">
        <v>31</v>
      </c>
      <c r="D219" s="13">
        <f>Balaka!D219+Balaka!E219+Balaka!F219+Balaka!G219+Balaka!H219+Balaka!I219</f>
        <v>127142164.5900003</v>
      </c>
      <c r="E219" s="13">
        <f>Liwonde!D219+Liwonde!E219+Liwonde!F219+Liwonde!G219+Liwonde!H219+Liwonde!I219</f>
        <v>144537712.44</v>
      </c>
      <c r="F219" s="13">
        <f>Machinga!D219+Machinga!E219+Machinga!F219+Machinga!G219+Machinga!H219+Machinga!I219</f>
        <v>221854.75999999998</v>
      </c>
      <c r="G219" s="13">
        <f>Ntaja!D219+Ntaja!E219+Ntaja!F219+Ntaja!G219+Ntaja!H219+Ntaja!I219</f>
        <v>69359.48</v>
      </c>
      <c r="H219" s="34">
        <f>SUM(D219:G219)</f>
        <v>271971091.27000034</v>
      </c>
    </row>
    <row r="220" spans="1:8" x14ac:dyDescent="0.3">
      <c r="A220" s="447" t="s">
        <v>34</v>
      </c>
      <c r="B220" s="448"/>
      <c r="C220" s="4" t="s">
        <v>31</v>
      </c>
      <c r="D220" s="13">
        <f>Balaka!D220+Balaka!E220+Balaka!F220+Balaka!G220+Balaka!H220+Balaka!I220</f>
        <v>1004602.56</v>
      </c>
      <c r="E220" s="13">
        <f>Liwonde!D220+Liwonde!E220+Liwonde!F220+Liwonde!G220+Liwonde!H220+Liwonde!I220</f>
        <v>741783.84000000008</v>
      </c>
      <c r="F220" s="13">
        <f>Machinga!D220+Machinga!E220+Machinga!F220+Machinga!G220+Machinga!H220+Machinga!I220</f>
        <v>0</v>
      </c>
      <c r="G220" s="13">
        <f>Ntaja!D220+Ntaja!E220+Ntaja!F220+Ntaja!G220+Ntaja!H220+Ntaja!I220</f>
        <v>0</v>
      </c>
      <c r="H220" s="34">
        <f>SUM(D220:G220)</f>
        <v>1746386.4000000001</v>
      </c>
    </row>
    <row r="221" spans="1:8" x14ac:dyDescent="0.3">
      <c r="A221" s="447" t="s">
        <v>33</v>
      </c>
      <c r="B221" s="448"/>
      <c r="C221" s="4" t="s">
        <v>31</v>
      </c>
      <c r="D221" s="13">
        <f>Balaka!D221+Balaka!E221+Balaka!F221+Balaka!G221+Balaka!H221+Balaka!I221</f>
        <v>1770358.81</v>
      </c>
      <c r="E221" s="13">
        <f>Liwonde!D221+Liwonde!E221+Liwonde!F221+Liwonde!G221+Liwonde!H221+Liwonde!I221</f>
        <v>11958570.179999998</v>
      </c>
      <c r="F221" s="13">
        <f>Machinga!D221+Machinga!E221+Machinga!F221+Machinga!G221+Machinga!H221+Machinga!I221</f>
        <v>249005.8</v>
      </c>
      <c r="G221" s="13">
        <f>Ntaja!D221+Ntaja!E221+Ntaja!F221+Ntaja!G221+Ntaja!H221+Ntaja!I221</f>
        <v>66438.899999999994</v>
      </c>
      <c r="H221" s="34">
        <f>SUM(D221:G221)</f>
        <v>14044373.689999999</v>
      </c>
    </row>
    <row r="222" spans="1:8" x14ac:dyDescent="0.3">
      <c r="A222" s="447" t="s">
        <v>32</v>
      </c>
      <c r="B222" s="448"/>
      <c r="C222" s="4" t="s">
        <v>31</v>
      </c>
      <c r="D222" s="13">
        <f>Balaka!D222+Balaka!E222+Balaka!F222+Balaka!G222+Balaka!H222+Balaka!I222</f>
        <v>349311.25</v>
      </c>
      <c r="E222" s="13">
        <f>Liwonde!D222+Liwonde!E222+Liwonde!F222+Liwonde!G222+Liwonde!H222+Liwonde!I222</f>
        <v>6561363.580000001</v>
      </c>
      <c r="F222" s="13">
        <f>Machinga!D222+Machinga!E222+Machinga!F222+Machinga!G222+Machinga!H222+Machinga!I222</f>
        <v>0</v>
      </c>
      <c r="G222" s="13">
        <f>Ntaja!D222+Ntaja!E222+Ntaja!F222+Ntaja!G222+Ntaja!H222+Ntaja!I222</f>
        <v>0</v>
      </c>
      <c r="H222" s="34">
        <f>SUM(D222:G222)</f>
        <v>6910674.830000001</v>
      </c>
    </row>
    <row r="223" spans="1:8" x14ac:dyDescent="0.3">
      <c r="A223" s="509" t="s">
        <v>36</v>
      </c>
      <c r="B223" s="510"/>
      <c r="C223" s="4" t="s">
        <v>31</v>
      </c>
      <c r="D223" s="10">
        <f t="shared" ref="D223:G223" si="54">SUM(D219:D222)</f>
        <v>130266437.21000031</v>
      </c>
      <c r="E223" s="9">
        <f t="shared" si="54"/>
        <v>163799430.04000002</v>
      </c>
      <c r="F223" s="9">
        <f t="shared" si="54"/>
        <v>470860.55999999994</v>
      </c>
      <c r="G223" s="9">
        <f t="shared" si="54"/>
        <v>135798.38</v>
      </c>
      <c r="H223" s="34">
        <f>SUM(D223:G223)</f>
        <v>294672526.19000036</v>
      </c>
    </row>
    <row r="224" spans="1:8" ht="14.4" x14ac:dyDescent="0.3">
      <c r="A224" s="441" t="s">
        <v>213</v>
      </c>
      <c r="B224" s="442"/>
      <c r="C224" s="442"/>
      <c r="D224" s="442"/>
      <c r="E224" s="442"/>
      <c r="F224" s="442"/>
      <c r="G224" s="442"/>
      <c r="H224" s="444"/>
    </row>
    <row r="225" spans="1:8" x14ac:dyDescent="0.3">
      <c r="A225" s="447" t="s">
        <v>35</v>
      </c>
      <c r="B225" s="448"/>
      <c r="C225" s="4" t="s">
        <v>31</v>
      </c>
      <c r="D225" s="13">
        <f>Balaka!D225+Balaka!E225+Balaka!F225+Balaka!G225+Balaka!H225+Balaka!I225</f>
        <v>94497849.590000182</v>
      </c>
      <c r="E225" s="13">
        <f>Liwonde!D225+Liwonde!E225+Liwonde!F225+Liwonde!G225+Liwonde!H225+Liwonde!I225</f>
        <v>106533960.74999994</v>
      </c>
      <c r="F225" s="13">
        <f>Machinga!D225+Machinga!E225+Machinga!F225+Machinga!G225+Machinga!H225+Machinga!I225</f>
        <v>11604452.109999998</v>
      </c>
      <c r="G225" s="13">
        <f>Ntaja!D225+Ntaja!E225+Ntaja!F225+Ntaja!G225+Ntaja!H225+Ntaja!I225</f>
        <v>24520044.580000002</v>
      </c>
      <c r="H225" s="34">
        <f t="shared" ref="H225:H230" si="55">SUM(D225:G225)</f>
        <v>237156307.03000012</v>
      </c>
    </row>
    <row r="226" spans="1:8" x14ac:dyDescent="0.3">
      <c r="A226" s="447" t="s">
        <v>34</v>
      </c>
      <c r="B226" s="448"/>
      <c r="C226" s="4" t="s">
        <v>31</v>
      </c>
      <c r="D226" s="13">
        <f>Balaka!D226+Balaka!E226+Balaka!F226+Balaka!G226+Balaka!H226+Balaka!I226</f>
        <v>288899.39</v>
      </c>
      <c r="E226" s="13">
        <f>Liwonde!D226+Liwonde!E226+Liwonde!F226+Liwonde!G226+Liwonde!H226+Liwonde!I226</f>
        <v>1400</v>
      </c>
      <c r="F226" s="13">
        <f>Machinga!D226+Machinga!E226+Machinga!F226+Machinga!G226+Machinga!H226+Machinga!I226</f>
        <v>0</v>
      </c>
      <c r="G226" s="13">
        <f>Ntaja!D226+Ntaja!E226+Ntaja!F226+Ntaja!G226+Ntaja!H226+Ntaja!I226</f>
        <v>156000</v>
      </c>
      <c r="H226" s="34">
        <f t="shared" si="55"/>
        <v>446299.39</v>
      </c>
    </row>
    <row r="227" spans="1:8" x14ac:dyDescent="0.3">
      <c r="A227" s="447" t="s">
        <v>33</v>
      </c>
      <c r="B227" s="448"/>
      <c r="C227" s="4" t="s">
        <v>31</v>
      </c>
      <c r="D227" s="13">
        <f>Balaka!D227+Balaka!E227+Balaka!F227+Balaka!G227+Balaka!H227+Balaka!I227</f>
        <v>18232507.669999998</v>
      </c>
      <c r="E227" s="13">
        <f>Liwonde!D227+Liwonde!E227+Liwonde!F227+Liwonde!G227+Liwonde!H227+Liwonde!I227</f>
        <v>46956562.679999992</v>
      </c>
      <c r="F227" s="13">
        <f>Machinga!D227+Machinga!E227+Machinga!F227+Machinga!G227+Machinga!H227+Machinga!I227</f>
        <v>1135974.4099999999</v>
      </c>
      <c r="G227" s="13">
        <f>Ntaja!D227+Ntaja!E227+Ntaja!F227+Ntaja!G227+Ntaja!H227+Ntaja!I227</f>
        <v>933808.34</v>
      </c>
      <c r="H227" s="34">
        <f t="shared" si="55"/>
        <v>67258853.099999994</v>
      </c>
    </row>
    <row r="228" spans="1:8" x14ac:dyDescent="0.3">
      <c r="A228" s="447" t="s">
        <v>32</v>
      </c>
      <c r="B228" s="448"/>
      <c r="C228" s="4" t="s">
        <v>31</v>
      </c>
      <c r="D228" s="13">
        <f>Balaka!D228+Balaka!E228+Balaka!F228+Balaka!G228+Balaka!H228+Balaka!I228</f>
        <v>15681710.42</v>
      </c>
      <c r="E228" s="13">
        <f>Liwonde!D228+Liwonde!E228+Liwonde!F228+Liwonde!G228+Liwonde!H228+Liwonde!I228</f>
        <v>68947273.929999992</v>
      </c>
      <c r="F228" s="13">
        <f>Machinga!D228+Machinga!E228+Machinga!F228+Machinga!G228+Machinga!H228+Machinga!I228</f>
        <v>290500</v>
      </c>
      <c r="G228" s="13">
        <f>Ntaja!D228+Ntaja!E228+Ntaja!F228+Ntaja!G228+Ntaja!H228+Ntaja!I228</f>
        <v>1430603.91</v>
      </c>
      <c r="H228" s="34">
        <f t="shared" si="55"/>
        <v>86350088.25999999</v>
      </c>
    </row>
    <row r="229" spans="1:8" x14ac:dyDescent="0.3">
      <c r="A229" s="509" t="s">
        <v>214</v>
      </c>
      <c r="B229" s="510"/>
      <c r="C229" s="4" t="s">
        <v>31</v>
      </c>
      <c r="D229" s="10">
        <f t="shared" ref="D229:G229" si="56">SUM(D225:D228)</f>
        <v>128700967.07000019</v>
      </c>
      <c r="E229" s="9">
        <f t="shared" si="56"/>
        <v>222439197.35999995</v>
      </c>
      <c r="F229" s="9">
        <f t="shared" si="56"/>
        <v>13030926.519999998</v>
      </c>
      <c r="G229" s="9">
        <f t="shared" si="56"/>
        <v>27040456.830000002</v>
      </c>
      <c r="H229" s="34">
        <f t="shared" si="55"/>
        <v>391211547.78000009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258967404.28000051</v>
      </c>
      <c r="E230" s="10">
        <f t="shared" ref="E230:G230" si="57">E223+E229</f>
        <v>386238627.39999998</v>
      </c>
      <c r="F230" s="10">
        <f t="shared" si="57"/>
        <v>13501787.079999998</v>
      </c>
      <c r="G230" s="10">
        <f t="shared" si="57"/>
        <v>27176255.210000001</v>
      </c>
      <c r="H230" s="34">
        <f t="shared" si="55"/>
        <v>685884073.97000062</v>
      </c>
    </row>
    <row r="231" spans="1:8" ht="14.4" x14ac:dyDescent="0.3">
      <c r="A231" s="441" t="s">
        <v>30</v>
      </c>
      <c r="B231" s="442"/>
      <c r="C231" s="442"/>
      <c r="D231" s="442"/>
      <c r="E231" s="442"/>
      <c r="F231" s="442"/>
      <c r="G231" s="442"/>
      <c r="H231" s="444"/>
    </row>
    <row r="232" spans="1:8" x14ac:dyDescent="0.3">
      <c r="A232" s="447" t="s">
        <v>29</v>
      </c>
      <c r="B232" s="448"/>
      <c r="C232" s="4" t="s">
        <v>18</v>
      </c>
      <c r="D232" s="13">
        <f>Balaka!D232+Balaka!E232+Balaka!F232+Balaka!G232+Balaka!H232+Balaka!I232</f>
        <v>10061966.419999979</v>
      </c>
      <c r="E232" s="13">
        <f>Liwonde!D232+Liwonde!E232+Liwonde!F232+Liwonde!G232+Liwonde!H232+Liwonde!I232</f>
        <v>8741375.9299999997</v>
      </c>
      <c r="F232" s="13">
        <f>Machinga!D232+Machinga!E232+Machinga!F232+Machinga!G232+Machinga!H232+Machinga!I232</f>
        <v>21183.87</v>
      </c>
      <c r="G232" s="13">
        <f>Ntaja!D232+Ntaja!E232+Ntaja!F232+Ntaja!G232+Ntaja!H232+Ntaja!I232</f>
        <v>6539.1599999999989</v>
      </c>
      <c r="H232" s="34">
        <f>SUM(D232:G232)</f>
        <v>18831065.37999998</v>
      </c>
    </row>
    <row r="233" spans="1:8" x14ac:dyDescent="0.3">
      <c r="A233" s="447" t="s">
        <v>28</v>
      </c>
      <c r="B233" s="448"/>
      <c r="C233" s="4" t="s">
        <v>18</v>
      </c>
      <c r="D233" s="13">
        <f>Balaka!D233+Balaka!E233+Balaka!F233+Balaka!G233+Balaka!H233+Balaka!I233</f>
        <v>12624.48</v>
      </c>
      <c r="E233" s="13">
        <f>Liwonde!D233+Liwonde!E233+Liwonde!F233+Liwonde!G233+Liwonde!H233+Liwonde!I233</f>
        <v>11094.24</v>
      </c>
      <c r="F233" s="13">
        <f>Machinga!D233+Machinga!E233+Machinga!F233+Machinga!G233+Machinga!H233+Machinga!I233</f>
        <v>0</v>
      </c>
      <c r="G233" s="13">
        <f>Ntaja!D233+Ntaja!E233+Ntaja!F233+Ntaja!G233+Ntaja!H233+Ntaja!I233</f>
        <v>0</v>
      </c>
      <c r="H233" s="34">
        <f>SUM(D233:G233)</f>
        <v>23718.720000000001</v>
      </c>
    </row>
    <row r="234" spans="1:8" x14ac:dyDescent="0.3">
      <c r="A234" s="447" t="s">
        <v>27</v>
      </c>
      <c r="B234" s="448"/>
      <c r="C234" s="4" t="s">
        <v>18</v>
      </c>
      <c r="D234" s="13">
        <f>Balaka!D234+Balaka!E234+Balaka!F234+Balaka!G234+Balaka!H234+Balaka!I234</f>
        <v>207012.04</v>
      </c>
      <c r="E234" s="13">
        <f>Liwonde!D234+Liwonde!E234+Liwonde!F234+Liwonde!G234+Liwonde!H234+Liwonde!I234</f>
        <v>203618.40000000002</v>
      </c>
      <c r="F234" s="13">
        <f>Machinga!D234+Machinga!E234+Machinga!F234+Machinga!G234+Machinga!H234+Machinga!I234</f>
        <v>20361.84</v>
      </c>
      <c r="G234" s="13">
        <f>Ntaja!D234+Ntaja!E234+Ntaja!F234+Ntaja!G234+Ntaja!H234+Ntaja!I234</f>
        <v>20361.84</v>
      </c>
      <c r="H234" s="34">
        <f>SUM(D234:G234)</f>
        <v>451354.12000000011</v>
      </c>
    </row>
    <row r="235" spans="1:8" x14ac:dyDescent="0.3">
      <c r="A235" s="447" t="s">
        <v>26</v>
      </c>
      <c r="B235" s="448"/>
      <c r="C235" s="4" t="s">
        <v>18</v>
      </c>
      <c r="D235" s="13">
        <f>Balaka!D235+Balaka!E235+Balaka!F235+Balaka!G235+Balaka!H235+Balaka!I235</f>
        <v>32461.38</v>
      </c>
      <c r="E235" s="13">
        <f>Liwonde!D235+Liwonde!E235+Liwonde!F235+Liwonde!G235+Liwonde!H235+Liwonde!I235</f>
        <v>176218.92000000004</v>
      </c>
      <c r="F235" s="13">
        <f>Machinga!D235+Machinga!E235+Machinga!F235+Machinga!G235+Machinga!H235+Machinga!I235</f>
        <v>0</v>
      </c>
      <c r="G235" s="13">
        <f>Ntaja!D235+Ntaja!E235+Ntaja!F235+Ntaja!G235+Ntaja!H235+Ntaja!I235</f>
        <v>0</v>
      </c>
      <c r="H235" s="34">
        <f>SUM(D235:G235)</f>
        <v>208680.30000000005</v>
      </c>
    </row>
    <row r="236" spans="1:8" x14ac:dyDescent="0.3">
      <c r="A236" s="509" t="s">
        <v>25</v>
      </c>
      <c r="B236" s="510"/>
      <c r="C236" s="4" t="s">
        <v>18</v>
      </c>
      <c r="D236" s="10">
        <f t="shared" ref="D236:G236" si="58">SUM(D232:D235)</f>
        <v>10314064.31999998</v>
      </c>
      <c r="E236" s="9">
        <f t="shared" si="58"/>
        <v>9132307.4900000002</v>
      </c>
      <c r="F236" s="9">
        <f t="shared" si="58"/>
        <v>41545.71</v>
      </c>
      <c r="G236" s="9">
        <f t="shared" si="58"/>
        <v>26901</v>
      </c>
      <c r="H236" s="35">
        <f t="shared" ref="H236" si="59">SUM(H232:H235)</f>
        <v>19514818.519999981</v>
      </c>
    </row>
    <row r="237" spans="1:8" ht="14.4" x14ac:dyDescent="0.3">
      <c r="A237" s="441" t="s">
        <v>24</v>
      </c>
      <c r="B237" s="442"/>
      <c r="C237" s="442"/>
      <c r="D237" s="442"/>
      <c r="E237" s="442"/>
      <c r="F237" s="442"/>
      <c r="G237" s="442"/>
      <c r="H237" s="444"/>
    </row>
    <row r="238" spans="1:8" x14ac:dyDescent="0.3">
      <c r="A238" s="447" t="s">
        <v>23</v>
      </c>
      <c r="B238" s="448"/>
      <c r="C238" s="4" t="s">
        <v>18</v>
      </c>
      <c r="D238" s="13">
        <f>Balaka!D238+Balaka!E238+Balaka!F238+Balaka!G238+Balaka!H238+Balaka!I238</f>
        <v>16802688</v>
      </c>
      <c r="E238" s="13">
        <f>Liwonde!D238+Liwonde!E238+Liwonde!F238+Liwonde!G238+Liwonde!H238+Liwonde!I238</f>
        <v>14563937</v>
      </c>
      <c r="F238" s="13">
        <f>Machinga!D238+Machinga!E238+Machinga!F238+Machinga!G238+Machinga!H238+Machinga!I238</f>
        <v>33041</v>
      </c>
      <c r="G238" s="13">
        <f>Ntaja!D238+Ntaja!E238+Ntaja!F238+Ntaja!G238+Ntaja!H238+Ntaja!I238</f>
        <v>10716</v>
      </c>
      <c r="H238" s="34">
        <f>SUM(D238:G238)</f>
        <v>31410382</v>
      </c>
    </row>
    <row r="239" spans="1:8" x14ac:dyDescent="0.3">
      <c r="A239" s="447" t="s">
        <v>22</v>
      </c>
      <c r="B239" s="448"/>
      <c r="C239" s="4" t="s">
        <v>18</v>
      </c>
      <c r="D239" s="13">
        <f>Balaka!D239+Balaka!E239+Balaka!F239+Balaka!G239+Balaka!H239+Balaka!I239</f>
        <v>58938</v>
      </c>
      <c r="E239" s="13">
        <f>Liwonde!D239+Liwonde!E239+Liwonde!F239+Liwonde!G239+Liwonde!H239+Liwonde!I239</f>
        <v>51794</v>
      </c>
      <c r="F239" s="13">
        <f>Machinga!D239+Machinga!E239+Machinga!F239+Machinga!G239+Machinga!H239+Machinga!I239</f>
        <v>0</v>
      </c>
      <c r="G239" s="13">
        <f>Ntaja!D239+Ntaja!E239+Ntaja!F239+Ntaja!G239+Ntaja!H239+Ntaja!I239</f>
        <v>0</v>
      </c>
      <c r="H239" s="34">
        <f>SUM(D239:G239)</f>
        <v>110732</v>
      </c>
    </row>
    <row r="240" spans="1:8" x14ac:dyDescent="0.3">
      <c r="A240" s="447" t="s">
        <v>21</v>
      </c>
      <c r="B240" s="448"/>
      <c r="C240" s="4" t="s">
        <v>18</v>
      </c>
      <c r="D240" s="13">
        <f>Balaka!D240+Balaka!E240+Balaka!F240+Balaka!G240+Balaka!H240+Balaka!I240</f>
        <v>54473</v>
      </c>
      <c r="E240" s="13">
        <f>Liwonde!D240+Liwonde!E240+Liwonde!F240+Liwonde!G240+Liwonde!H240+Liwonde!I240</f>
        <v>53580</v>
      </c>
      <c r="F240" s="13">
        <f>Machinga!D240+Machinga!E240+Machinga!F240+Machinga!G240+Machinga!H240+Machinga!I240</f>
        <v>5358</v>
      </c>
      <c r="G240" s="13">
        <f>Ntaja!D240+Ntaja!E240+Ntaja!F240+Ntaja!G240+Ntaja!H240+Ntaja!I240</f>
        <v>5358</v>
      </c>
      <c r="H240" s="34">
        <f>SUM(D240:G240)</f>
        <v>118769</v>
      </c>
    </row>
    <row r="241" spans="1:8" x14ac:dyDescent="0.3">
      <c r="A241" s="447" t="s">
        <v>20</v>
      </c>
      <c r="B241" s="448"/>
      <c r="C241" s="4" t="s">
        <v>18</v>
      </c>
      <c r="D241" s="13">
        <f>Balaka!D241+Balaka!E241+Balaka!F241+Balaka!G241+Balaka!H241+Balaka!I241</f>
        <v>6251</v>
      </c>
      <c r="E241" s="13">
        <f>Liwonde!D241+Liwonde!E241+Liwonde!F241+Liwonde!G241+Liwonde!H241+Liwonde!I241</f>
        <v>33934</v>
      </c>
      <c r="F241" s="13">
        <f>Machinga!D241+Machinga!E241+Machinga!F241+Machinga!G241+Machinga!H241+Machinga!I241</f>
        <v>0</v>
      </c>
      <c r="G241" s="13">
        <f>Ntaja!D241+Ntaja!E241+Ntaja!F241+Ntaja!G241+Ntaja!H241+Ntaja!I241</f>
        <v>0</v>
      </c>
      <c r="H241" s="34">
        <f>SUM(D241:G241)</f>
        <v>40185</v>
      </c>
    </row>
    <row r="242" spans="1:8" x14ac:dyDescent="0.3">
      <c r="A242" s="509" t="s">
        <v>19</v>
      </c>
      <c r="B242" s="510"/>
      <c r="C242" s="4" t="s">
        <v>18</v>
      </c>
      <c r="D242" s="10">
        <f t="shared" ref="D242:H242" si="60">SUM(D238:D241)</f>
        <v>16922350</v>
      </c>
      <c r="E242" s="10">
        <f t="shared" si="60"/>
        <v>14703245</v>
      </c>
      <c r="F242" s="10">
        <f t="shared" si="60"/>
        <v>38399</v>
      </c>
      <c r="G242" s="10">
        <f t="shared" si="60"/>
        <v>16074</v>
      </c>
      <c r="H242" s="35">
        <f t="shared" si="60"/>
        <v>31680068</v>
      </c>
    </row>
    <row r="243" spans="1:8" x14ac:dyDescent="0.3">
      <c r="A243" s="509" t="s">
        <v>216</v>
      </c>
      <c r="B243" s="510"/>
      <c r="C243" s="4" t="s">
        <v>18</v>
      </c>
      <c r="D243" s="9">
        <f>D230+D236+D242</f>
        <v>286203818.6000005</v>
      </c>
      <c r="E243" s="9">
        <f t="shared" ref="E243:G243" si="61">E230+E236+E242</f>
        <v>410074179.88999999</v>
      </c>
      <c r="F243" s="9">
        <f t="shared" si="61"/>
        <v>13581731.789999999</v>
      </c>
      <c r="G243" s="9">
        <f t="shared" si="61"/>
        <v>27219230.210000001</v>
      </c>
      <c r="H243" s="35">
        <f t="shared" ref="H243" si="62">H216+H223+H236+H242</f>
        <v>755203725.71000028</v>
      </c>
    </row>
    <row r="244" spans="1:8" ht="14.4" x14ac:dyDescent="0.3">
      <c r="A244" s="441" t="s">
        <v>206</v>
      </c>
      <c r="B244" s="442"/>
      <c r="C244" s="442"/>
      <c r="D244" s="442"/>
      <c r="E244" s="442"/>
      <c r="F244" s="442"/>
      <c r="G244" s="442"/>
      <c r="H244" s="444"/>
    </row>
    <row r="245" spans="1:8" x14ac:dyDescent="0.3">
      <c r="A245" s="513" t="s">
        <v>207</v>
      </c>
      <c r="B245" s="514"/>
      <c r="C245" s="4" t="s">
        <v>18</v>
      </c>
      <c r="D245" s="22">
        <f>Balaka!I245</f>
        <v>276344663.43000001</v>
      </c>
      <c r="E245" s="22">
        <f>Liwonde!I245</f>
        <v>195125766.94999999</v>
      </c>
      <c r="F245" s="22">
        <f>Machinga!I245</f>
        <v>17831880.620000001</v>
      </c>
      <c r="G245" s="22">
        <f>Ntaja!I245</f>
        <v>408488.65</v>
      </c>
      <c r="H245" s="34">
        <f>SUM(D245:G245)</f>
        <v>489710799.64999998</v>
      </c>
    </row>
    <row r="246" spans="1:8" x14ac:dyDescent="0.3">
      <c r="A246" s="513" t="s">
        <v>208</v>
      </c>
      <c r="B246" s="514"/>
      <c r="C246" s="4" t="s">
        <v>18</v>
      </c>
      <c r="D246" s="22">
        <f>Balaka!I246</f>
        <v>3372797.08</v>
      </c>
      <c r="E246" s="22">
        <f>Liwonde!I246</f>
        <v>5845359.9800000004</v>
      </c>
      <c r="F246" s="22">
        <f>Machinga!I246</f>
        <v>366063.71</v>
      </c>
      <c r="G246" s="22">
        <f>Ntaja!I246</f>
        <v>244395.72</v>
      </c>
      <c r="H246" s="34">
        <f>SUM(D246:G246)</f>
        <v>9828616.4900000021</v>
      </c>
    </row>
    <row r="247" spans="1:8" x14ac:dyDescent="0.3">
      <c r="A247" s="515" t="s">
        <v>209</v>
      </c>
      <c r="B247" s="516"/>
      <c r="C247" s="4" t="s">
        <v>18</v>
      </c>
      <c r="D247" s="63">
        <f>D245+D246</f>
        <v>279717460.50999999</v>
      </c>
      <c r="E247" s="63">
        <f t="shared" ref="E247:H247" si="63">E245+E246</f>
        <v>200971126.92999998</v>
      </c>
      <c r="F247" s="63">
        <f t="shared" si="63"/>
        <v>18197944.330000002</v>
      </c>
      <c r="G247" s="63">
        <f t="shared" si="63"/>
        <v>652884.37</v>
      </c>
      <c r="H247" s="141">
        <f t="shared" si="63"/>
        <v>499539416.13999999</v>
      </c>
    </row>
    <row r="248" spans="1:8" ht="14.4" x14ac:dyDescent="0.3">
      <c r="A248" s="441" t="s">
        <v>17</v>
      </c>
      <c r="B248" s="442"/>
      <c r="C248" s="442"/>
      <c r="D248" s="442"/>
      <c r="E248" s="442"/>
      <c r="F248" s="442"/>
      <c r="G248" s="442"/>
      <c r="H248" s="444"/>
    </row>
    <row r="249" spans="1:8" x14ac:dyDescent="0.3">
      <c r="A249" s="447" t="s">
        <v>16</v>
      </c>
      <c r="B249" s="448"/>
      <c r="C249" s="4" t="s">
        <v>6</v>
      </c>
      <c r="D249" s="7">
        <f>D58/D243</f>
        <v>0.72941800602691076</v>
      </c>
      <c r="E249" s="7">
        <f t="shared" ref="E249:H249" si="64">E58/E243</f>
        <v>0.64024849224349445</v>
      </c>
      <c r="F249" s="7">
        <f t="shared" si="64"/>
        <v>1.0558421051392244</v>
      </c>
      <c r="G249" s="7">
        <f t="shared" si="64"/>
        <v>1.6947636556618111</v>
      </c>
      <c r="H249" s="369">
        <f t="shared" si="64"/>
        <v>0.70415690804848508</v>
      </c>
    </row>
    <row r="250" spans="1:8" x14ac:dyDescent="0.3">
      <c r="A250" s="447" t="s">
        <v>210</v>
      </c>
      <c r="B250" s="448"/>
      <c r="C250" s="4" t="s">
        <v>6</v>
      </c>
      <c r="D250" s="25">
        <f>D210/(D223+D245)</f>
        <v>0.45819218884274637</v>
      </c>
      <c r="E250" s="25">
        <f t="shared" ref="E250:H250" si="65">E210/(E223+E245)</f>
        <v>0.59608426141216464</v>
      </c>
      <c r="F250" s="25">
        <f t="shared" si="65"/>
        <v>2.951241099285435E-2</v>
      </c>
      <c r="G250" s="25">
        <f t="shared" si="65"/>
        <v>0</v>
      </c>
      <c r="H250" s="368">
        <f t="shared" si="65"/>
        <v>0.51096936405524096</v>
      </c>
    </row>
    <row r="251" spans="1:8" ht="16.2" thickBot="1" x14ac:dyDescent="0.35">
      <c r="A251" s="511" t="s">
        <v>15</v>
      </c>
      <c r="B251" s="512"/>
      <c r="C251" s="4" t="s">
        <v>6</v>
      </c>
      <c r="D251" s="6">
        <f>D210/D223</f>
        <v>1.4301921062726173</v>
      </c>
      <c r="E251" s="6">
        <f t="shared" ref="E251:H251" si="66">E210/E223</f>
        <v>1.3061685312198772</v>
      </c>
      <c r="F251" s="6">
        <f t="shared" si="66"/>
        <v>1.1471719355726038</v>
      </c>
      <c r="G251" s="6">
        <f t="shared" si="66"/>
        <v>0</v>
      </c>
      <c r="H251" s="370">
        <f t="shared" si="66"/>
        <v>1.360139862246855</v>
      </c>
    </row>
    <row r="252" spans="1:8" ht="14.4" x14ac:dyDescent="0.3">
      <c r="A252" s="490" t="s">
        <v>14</v>
      </c>
      <c r="B252" s="491"/>
      <c r="C252" s="491"/>
      <c r="D252" s="491"/>
      <c r="E252" s="491"/>
      <c r="F252" s="491"/>
      <c r="G252" s="491"/>
      <c r="H252" s="492"/>
    </row>
    <row r="253" spans="1:8" ht="15" customHeight="1" x14ac:dyDescent="0.3">
      <c r="A253" s="447" t="s">
        <v>13</v>
      </c>
      <c r="B253" s="448"/>
      <c r="C253" s="4" t="s">
        <v>3</v>
      </c>
      <c r="D253" s="13">
        <f>Balaka!D253+Balaka!E253+Balaka!F253+Balaka!G253+Balaka!H253+Balaka!I253</f>
        <v>285</v>
      </c>
      <c r="E253" s="13">
        <f>Liwonde!D253+Liwonde!E253+Liwonde!F253+Liwonde!G253+Liwonde!H253+Liwonde!I253</f>
        <v>297</v>
      </c>
      <c r="F253" s="13">
        <f>Machinga!D253+Machinga!E253+Machinga!F253+Machinga!G253+Machinga!H253+Machinga!I253</f>
        <v>25</v>
      </c>
      <c r="G253" s="13">
        <f>Ntaja!D253+Ntaja!E253+Ntaja!F253+Ntaja!G253+Ntaja!H253+Ntaja!I253</f>
        <v>166</v>
      </c>
      <c r="H253" s="371">
        <f>SUM(D253:G253)</f>
        <v>773</v>
      </c>
    </row>
    <row r="254" spans="1:8" x14ac:dyDescent="0.3">
      <c r="A254" s="447" t="s">
        <v>12</v>
      </c>
      <c r="B254" s="448"/>
      <c r="C254" s="4" t="s">
        <v>3</v>
      </c>
      <c r="D254" s="13">
        <f>Balaka!D254+Balaka!E254+Balaka!F254+Balaka!G254+Balaka!H254+Balaka!I254</f>
        <v>6</v>
      </c>
      <c r="E254" s="13">
        <f>Liwonde!D254+Liwonde!E254+Liwonde!F254+Liwonde!G254+Liwonde!H254+Liwonde!I254</f>
        <v>25</v>
      </c>
      <c r="F254" s="13">
        <f>Machinga!D254+Machinga!E254+Machinga!F254+Machinga!G254+Machinga!H254+Machinga!I254</f>
        <v>6</v>
      </c>
      <c r="G254" s="13">
        <f>Ntaja!D254+Ntaja!E254+Ntaja!F254+Ntaja!G254+Ntaja!H254+Ntaja!I254</f>
        <v>13</v>
      </c>
      <c r="H254" s="371">
        <f>SUM(D254:G254)</f>
        <v>50</v>
      </c>
    </row>
    <row r="255" spans="1:8" ht="15.75" customHeight="1" x14ac:dyDescent="0.3">
      <c r="A255" s="447" t="s">
        <v>11</v>
      </c>
      <c r="B255" s="448"/>
      <c r="C255" s="4" t="s">
        <v>3</v>
      </c>
      <c r="D255" s="3">
        <f>D95</f>
        <v>422</v>
      </c>
      <c r="E255" s="3">
        <f t="shared" ref="E255:G255" si="67">E95</f>
        <v>834</v>
      </c>
      <c r="F255" s="3">
        <f t="shared" si="67"/>
        <v>4</v>
      </c>
      <c r="G255" s="3">
        <f t="shared" si="67"/>
        <v>27</v>
      </c>
      <c r="H255" s="371">
        <f>SUM(D255:G255)</f>
        <v>1287</v>
      </c>
    </row>
    <row r="256" spans="1:8" x14ac:dyDescent="0.3">
      <c r="A256" s="447" t="s">
        <v>10</v>
      </c>
      <c r="B256" s="448"/>
      <c r="C256" s="4" t="s">
        <v>3</v>
      </c>
      <c r="D256" s="3">
        <f>D91</f>
        <v>285</v>
      </c>
      <c r="E256" s="3">
        <f t="shared" ref="E256:G256" si="68">E91</f>
        <v>297</v>
      </c>
      <c r="F256" s="3">
        <f t="shared" si="68"/>
        <v>26</v>
      </c>
      <c r="G256" s="3">
        <f t="shared" si="68"/>
        <v>117</v>
      </c>
      <c r="H256" s="371">
        <f>SUM(D256:G256)</f>
        <v>725</v>
      </c>
    </row>
    <row r="257" spans="1:8" ht="15.6" customHeight="1" x14ac:dyDescent="0.3">
      <c r="A257" s="447" t="s">
        <v>9</v>
      </c>
      <c r="B257" s="448"/>
      <c r="C257" s="4" t="s">
        <v>3</v>
      </c>
      <c r="D257" s="13">
        <f>Balaka!D257+Balaka!E257+Balaka!F257+Balaka!G257+Balaka!H257+Balaka!I257</f>
        <v>120</v>
      </c>
      <c r="E257" s="13">
        <f>Liwonde!D257+Liwonde!E257+Liwonde!F257+Liwonde!G257+Liwonde!H257+Liwonde!I257</f>
        <v>120</v>
      </c>
      <c r="F257" s="13">
        <f>Machinga!D257+Machinga!E257+Machinga!F257+Machinga!G257+Machinga!H257+Machinga!I257</f>
        <v>90</v>
      </c>
      <c r="G257" s="13">
        <f>Ntaja!D257+Ntaja!E257+Ntaja!F257+Ntaja!G257+Ntaja!H257+Ntaja!I257</f>
        <v>118</v>
      </c>
      <c r="H257" s="371">
        <f>SUM(D257:G257)</f>
        <v>448</v>
      </c>
    </row>
    <row r="258" spans="1:8" x14ac:dyDescent="0.3">
      <c r="A258" s="509" t="s">
        <v>8</v>
      </c>
      <c r="B258" s="510"/>
      <c r="C258" s="4" t="s">
        <v>3</v>
      </c>
      <c r="D258" s="1">
        <f t="shared" ref="D258:H258" si="69">D257/D256</f>
        <v>0.42105263157894735</v>
      </c>
      <c r="E258" s="1">
        <f t="shared" si="69"/>
        <v>0.40404040404040403</v>
      </c>
      <c r="F258" s="1">
        <f t="shared" si="69"/>
        <v>3.4615384615384617</v>
      </c>
      <c r="G258" s="2">
        <f t="shared" si="69"/>
        <v>1.0085470085470085</v>
      </c>
      <c r="H258" s="371">
        <f t="shared" si="69"/>
        <v>0.61793103448275866</v>
      </c>
    </row>
    <row r="259" spans="1:8" x14ac:dyDescent="0.3">
      <c r="A259" s="509" t="s">
        <v>7</v>
      </c>
      <c r="B259" s="510"/>
      <c r="C259" s="4" t="s">
        <v>6</v>
      </c>
      <c r="D259" s="1">
        <f t="shared" ref="D259:H259" si="70">D92/D255*100</f>
        <v>63.981042654028428</v>
      </c>
      <c r="E259" s="1">
        <f t="shared" si="70"/>
        <v>0</v>
      </c>
      <c r="F259" s="1">
        <f t="shared" si="70"/>
        <v>175</v>
      </c>
      <c r="G259" s="5">
        <f t="shared" si="70"/>
        <v>0</v>
      </c>
      <c r="H259" s="411">
        <f t="shared" si="70"/>
        <v>21.522921522921521</v>
      </c>
    </row>
    <row r="260" spans="1:8" ht="14.4" x14ac:dyDescent="0.3">
      <c r="A260" s="441" t="s">
        <v>5</v>
      </c>
      <c r="B260" s="442"/>
      <c r="C260" s="442"/>
      <c r="D260" s="442"/>
      <c r="E260" s="442"/>
      <c r="F260" s="442"/>
      <c r="G260" s="442"/>
      <c r="H260" s="444"/>
    </row>
    <row r="261" spans="1:8" ht="15" customHeight="1" x14ac:dyDescent="0.3">
      <c r="A261" s="447" t="s">
        <v>4</v>
      </c>
      <c r="B261" s="448"/>
      <c r="C261" s="4" t="s">
        <v>3</v>
      </c>
      <c r="D261" s="13">
        <f>Balaka!D261+Balaka!E261+Balaka!F261+Balaka!G261+Balaka!H261+Balaka!I261</f>
        <v>108</v>
      </c>
      <c r="E261" s="13">
        <f>Liwonde!D261+Liwonde!E261+Liwonde!F261+Liwonde!G261+Liwonde!H261+Liwonde!I261</f>
        <v>83</v>
      </c>
      <c r="F261" s="13">
        <f>Machinga!D261+Machinga!E261+Machinga!F261+Machinga!G261+Machinga!H261+Machinga!I261</f>
        <v>116</v>
      </c>
      <c r="G261" s="13">
        <f>Ntaja!D261+Ntaja!E261+Ntaja!F261+Ntaja!G261+Ntaja!H261+Ntaja!I261</f>
        <v>108</v>
      </c>
      <c r="H261" s="371">
        <f>SUM(D261:G261)</f>
        <v>415</v>
      </c>
    </row>
    <row r="262" spans="1:8" ht="15.75" customHeight="1" x14ac:dyDescent="0.3">
      <c r="A262" s="447" t="s">
        <v>2</v>
      </c>
      <c r="B262" s="448"/>
      <c r="C262" s="4" t="s">
        <v>0</v>
      </c>
      <c r="D262" s="13">
        <f>Balaka!D262+Balaka!E262+Balaka!F262+Balaka!G262+Balaka!H262+Balaka!I262</f>
        <v>180</v>
      </c>
      <c r="E262" s="13">
        <f>Liwonde!D262+Liwonde!E262+Liwonde!F262+Liwonde!G262+Liwonde!H262+Liwonde!I262</f>
        <v>180</v>
      </c>
      <c r="F262" s="13">
        <f>Machinga!D262+Machinga!E262+Machinga!F262+Machinga!G262+Machinga!H262+Machinga!I262</f>
        <v>48</v>
      </c>
      <c r="G262" s="13">
        <f>Ntaja!D262+Ntaja!E262+Ntaja!F262+Ntaja!G262+Ntaja!H262+Ntaja!I262</f>
        <v>18</v>
      </c>
      <c r="H262" s="371">
        <f>SUM(D262:G262)</f>
        <v>426</v>
      </c>
    </row>
    <row r="263" spans="1:8" ht="16.2" thickBot="1" x14ac:dyDescent="0.35">
      <c r="A263" s="517" t="s">
        <v>1</v>
      </c>
      <c r="B263" s="518"/>
      <c r="C263" s="104" t="s">
        <v>0</v>
      </c>
      <c r="D263" s="105">
        <f>D261/D262</f>
        <v>0.6</v>
      </c>
      <c r="E263" s="105">
        <f t="shared" ref="E263:H263" si="71">E261/E262</f>
        <v>0.46111111111111114</v>
      </c>
      <c r="F263" s="105">
        <f t="shared" si="71"/>
        <v>2.4166666666666665</v>
      </c>
      <c r="G263" s="105">
        <f t="shared" si="71"/>
        <v>6</v>
      </c>
      <c r="H263" s="142">
        <f t="shared" si="71"/>
        <v>0.9741784037558685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5"/>
  <dimension ref="A1:H263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J9" sqref="J9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44140625" bestFit="1" customWidth="1"/>
    <col min="5" max="7" width="19.109375" customWidth="1"/>
    <col min="8" max="8" width="21.44140625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9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111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79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3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114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87"/>
    </row>
    <row r="7" spans="1:8" ht="16.2" thickBot="1" x14ac:dyDescent="0.35">
      <c r="A7" s="434" t="s">
        <v>176</v>
      </c>
      <c r="B7" s="435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436" t="s">
        <v>161</v>
      </c>
      <c r="B8" s="437"/>
      <c r="C8" s="437"/>
      <c r="D8" s="437"/>
      <c r="E8" s="437"/>
      <c r="F8" s="437"/>
      <c r="G8" s="437"/>
      <c r="H8" s="438"/>
    </row>
    <row r="9" spans="1:8" ht="15.6" x14ac:dyDescent="0.3">
      <c r="A9" s="439" t="s">
        <v>178</v>
      </c>
      <c r="B9" s="440"/>
      <c r="C9" s="52" t="s">
        <v>154</v>
      </c>
      <c r="D9" s="51">
        <f>Balaka!J9+Balaka!K9+Balaka!L9</f>
        <v>146829</v>
      </c>
      <c r="E9" s="51">
        <f>Liwonde!J9+Liwonde!K9+Liwonde!L9</f>
        <v>197953</v>
      </c>
      <c r="F9" s="51">
        <f>Machinga!J9+Machinga!K9+Machinga!L9</f>
        <v>7508</v>
      </c>
      <c r="G9" s="51">
        <f>Ntaja!J9+Ntaja!K9+Ntaja!L9</f>
        <v>8240</v>
      </c>
      <c r="H9" s="135">
        <f>SUM(D9:G9)</f>
        <v>360530</v>
      </c>
    </row>
    <row r="10" spans="1:8" ht="15" thickBot="1" x14ac:dyDescent="0.35">
      <c r="A10" s="441" t="s">
        <v>179</v>
      </c>
      <c r="B10" s="442"/>
      <c r="C10" s="442"/>
      <c r="D10" s="443"/>
      <c r="E10" s="442"/>
      <c r="F10" s="442"/>
      <c r="G10" s="443"/>
      <c r="H10" s="444"/>
    </row>
    <row r="11" spans="1:8" ht="15.6" x14ac:dyDescent="0.3">
      <c r="A11" s="445" t="s">
        <v>159</v>
      </c>
      <c r="B11" s="446"/>
      <c r="C11" s="4" t="s">
        <v>154</v>
      </c>
      <c r="D11" s="22">
        <f>Balaka!J11+Balaka!K11+Balaka!L11</f>
        <v>52649</v>
      </c>
      <c r="E11" s="153">
        <f>Liwonde!J11+Liwonde!K11+Liwonde!L11</f>
        <v>70460</v>
      </c>
      <c r="F11" s="153">
        <f>Machinga!J11+Machinga!K11+Machinga!L11</f>
        <v>155</v>
      </c>
      <c r="G11" s="22">
        <f>Ntaja!J11+Ntaja!K11+Ntaja!L11</f>
        <v>14</v>
      </c>
      <c r="H11" s="50">
        <f>SUM(D11:G11)</f>
        <v>123278</v>
      </c>
    </row>
    <row r="12" spans="1:8" ht="15.6" x14ac:dyDescent="0.3">
      <c r="A12" s="445" t="s">
        <v>158</v>
      </c>
      <c r="B12" s="446"/>
      <c r="C12" s="4" t="s">
        <v>154</v>
      </c>
      <c r="D12" s="22">
        <f>Balaka!J12+Balaka!K12+Balaka!L12</f>
        <v>2207</v>
      </c>
      <c r="E12" s="22">
        <f>Liwonde!J12+Liwonde!K12+Liwonde!L12</f>
        <v>1686</v>
      </c>
      <c r="F12" s="22">
        <f>Machinga!J12+Machinga!K12+Machinga!L12</f>
        <v>0</v>
      </c>
      <c r="G12" s="22">
        <f>Ntaja!J12+Ntaja!K12+Ntaja!L12</f>
        <v>3</v>
      </c>
      <c r="H12" s="50">
        <f>SUM(D12:G12)</f>
        <v>3896</v>
      </c>
    </row>
    <row r="13" spans="1:8" ht="15.6" x14ac:dyDescent="0.3">
      <c r="A13" s="445" t="s">
        <v>157</v>
      </c>
      <c r="B13" s="446"/>
      <c r="C13" s="4" t="s">
        <v>154</v>
      </c>
      <c r="D13" s="22">
        <f>Balaka!J13+Balaka!K13+Balaka!L13</f>
        <v>243</v>
      </c>
      <c r="E13" s="22">
        <f>Liwonde!J13+Liwonde!K13+Liwonde!L13</f>
        <v>1136</v>
      </c>
      <c r="F13" s="22">
        <f>Machinga!J13+Machinga!K13+Machinga!L13</f>
        <v>97</v>
      </c>
      <c r="G13" s="22">
        <f>Ntaja!J13+Ntaja!K13+Ntaja!L13</f>
        <v>3</v>
      </c>
      <c r="H13" s="50">
        <f>SUM(D13:G13)</f>
        <v>1479</v>
      </c>
    </row>
    <row r="14" spans="1:8" ht="15.6" x14ac:dyDescent="0.3">
      <c r="A14" s="447" t="s">
        <v>156</v>
      </c>
      <c r="B14" s="448"/>
      <c r="C14" s="4" t="s">
        <v>154</v>
      </c>
      <c r="D14" s="22">
        <f>Balaka!J14+Balaka!K14+Balaka!L14</f>
        <v>18</v>
      </c>
      <c r="E14" s="3">
        <f>Liwonde!J14+Liwonde!K14+Liwonde!L14</f>
        <v>252</v>
      </c>
      <c r="F14" s="22">
        <f>Machinga!J14+Machinga!K14+Machinga!L14</f>
        <v>0</v>
      </c>
      <c r="G14" s="22">
        <f>Ntaja!J14+Ntaja!K14+Ntaja!L14</f>
        <v>0</v>
      </c>
      <c r="H14" s="50">
        <f>SUM(D14:G14)</f>
        <v>270</v>
      </c>
    </row>
    <row r="15" spans="1:8" s="57" customFormat="1" ht="15.6" x14ac:dyDescent="0.3">
      <c r="A15" s="449" t="s">
        <v>160</v>
      </c>
      <c r="B15" s="450"/>
      <c r="C15" s="56" t="s">
        <v>154</v>
      </c>
      <c r="D15" s="30">
        <f t="shared" ref="D15:H15" si="0">SUM(D11:D14)</f>
        <v>55117</v>
      </c>
      <c r="E15" s="30">
        <f t="shared" si="0"/>
        <v>73534</v>
      </c>
      <c r="F15" s="30">
        <f t="shared" si="0"/>
        <v>252</v>
      </c>
      <c r="G15" s="30">
        <f t="shared" si="0"/>
        <v>20</v>
      </c>
      <c r="H15" s="50">
        <f t="shared" si="0"/>
        <v>128923</v>
      </c>
    </row>
    <row r="16" spans="1:8" ht="15" thickBot="1" x14ac:dyDescent="0.35">
      <c r="A16" s="441" t="s">
        <v>180</v>
      </c>
      <c r="B16" s="442"/>
      <c r="C16" s="442"/>
      <c r="D16" s="442"/>
      <c r="E16" s="442"/>
      <c r="F16" s="442"/>
      <c r="G16" s="442"/>
      <c r="H16" s="444"/>
    </row>
    <row r="17" spans="1:8" ht="15.6" x14ac:dyDescent="0.3">
      <c r="A17" s="445" t="s">
        <v>182</v>
      </c>
      <c r="B17" s="446"/>
      <c r="C17" s="4" t="s">
        <v>154</v>
      </c>
      <c r="D17" s="22">
        <f>Balaka!J17+Balaka!K17+Balaka!L17</f>
        <v>41591.199999999997</v>
      </c>
      <c r="E17" s="153">
        <f>Liwonde!J17+Liwonde!K17+Liwonde!L17</f>
        <v>55897.899999999994</v>
      </c>
      <c r="F17" s="153">
        <f>Machinga!J17+Machinga!K17+Machinga!L17</f>
        <v>4807.3999999999996</v>
      </c>
      <c r="G17" s="22">
        <f>Ntaja!J17+Ntaja!K17+Ntaja!L17</f>
        <v>7152.3</v>
      </c>
      <c r="H17" s="50">
        <f>SUM(D17:G17)</f>
        <v>109448.79999999999</v>
      </c>
    </row>
    <row r="18" spans="1:8" ht="15.6" x14ac:dyDescent="0.3">
      <c r="A18" s="445" t="s">
        <v>183</v>
      </c>
      <c r="B18" s="446"/>
      <c r="C18" s="4" t="s">
        <v>154</v>
      </c>
      <c r="D18" s="22">
        <f>Balaka!J18+Balaka!K18+Balaka!L18</f>
        <v>636.19999999999993</v>
      </c>
      <c r="E18" s="22">
        <f>Liwonde!J18+Liwonde!K18+Liwonde!L18</f>
        <v>0</v>
      </c>
      <c r="F18" s="22">
        <f>Machinga!J18+Machinga!K18+Machinga!L18</f>
        <v>0</v>
      </c>
      <c r="G18" s="22">
        <f>Ntaja!J18+Ntaja!K18+Ntaja!L18</f>
        <v>102.7</v>
      </c>
      <c r="H18" s="50">
        <f>SUM(D18:G18)</f>
        <v>738.9</v>
      </c>
    </row>
    <row r="19" spans="1:8" ht="15.6" x14ac:dyDescent="0.3">
      <c r="A19" s="445" t="s">
        <v>184</v>
      </c>
      <c r="B19" s="446"/>
      <c r="C19" s="4" t="s">
        <v>154</v>
      </c>
      <c r="D19" s="22">
        <f>Balaka!J19+Balaka!K19+Balaka!L19</f>
        <v>3508.5000000000005</v>
      </c>
      <c r="E19" s="22">
        <f>Liwonde!J19+Liwonde!K19+Liwonde!L19</f>
        <v>6006.2</v>
      </c>
      <c r="F19" s="22">
        <f>Machinga!J19+Machinga!K19+Machinga!L19</f>
        <v>751.6</v>
      </c>
      <c r="G19" s="22">
        <f>Ntaja!J19+Ntaja!K19+Ntaja!L19</f>
        <v>96.9</v>
      </c>
      <c r="H19" s="50">
        <f>SUM(D19:G19)</f>
        <v>10363.200000000001</v>
      </c>
    </row>
    <row r="20" spans="1:8" ht="15.6" x14ac:dyDescent="0.3">
      <c r="A20" s="447" t="s">
        <v>185</v>
      </c>
      <c r="B20" s="448"/>
      <c r="C20" s="4" t="s">
        <v>154</v>
      </c>
      <c r="D20" s="22">
        <f>Balaka!J20+Balaka!K20+Balaka!L20</f>
        <v>1394.8</v>
      </c>
      <c r="E20" s="3">
        <f>Liwonde!J20+Liwonde!K20+Liwonde!L20</f>
        <v>3521.6</v>
      </c>
      <c r="F20" s="22">
        <f>Machinga!J20+Machinga!K20+Machinga!L20</f>
        <v>92</v>
      </c>
      <c r="G20" s="22">
        <f>Ntaja!J20+Ntaja!K20+Ntaja!L20</f>
        <v>57.7</v>
      </c>
      <c r="H20" s="50">
        <f>SUM(D20:G20)</f>
        <v>5066.0999999999995</v>
      </c>
    </row>
    <row r="21" spans="1:8" s="57" customFormat="1" ht="15.6" x14ac:dyDescent="0.3">
      <c r="A21" s="449" t="s">
        <v>186</v>
      </c>
      <c r="B21" s="450"/>
      <c r="C21" s="56" t="s">
        <v>154</v>
      </c>
      <c r="D21" s="30">
        <f>SUM(D17:D20)</f>
        <v>47130.7</v>
      </c>
      <c r="E21" s="30">
        <f>SUM(E17:E20)</f>
        <v>65425.69999999999</v>
      </c>
      <c r="F21" s="30">
        <f t="shared" ref="F21:H21" si="1">SUM(F17:F20)</f>
        <v>5651</v>
      </c>
      <c r="G21" s="30">
        <f t="shared" si="1"/>
        <v>7409.5999999999995</v>
      </c>
      <c r="H21" s="50">
        <f t="shared" si="1"/>
        <v>125616.99999999999</v>
      </c>
    </row>
    <row r="22" spans="1:8" ht="15.6" x14ac:dyDescent="0.3">
      <c r="A22" s="64" t="s">
        <v>187</v>
      </c>
      <c r="B22" s="68"/>
      <c r="C22" s="4" t="s">
        <v>154</v>
      </c>
      <c r="D22" s="30">
        <f>D21+D15</f>
        <v>102247.7</v>
      </c>
      <c r="E22" s="30">
        <f t="shared" ref="E22:H22" si="2">E21+E15</f>
        <v>138959.69999999998</v>
      </c>
      <c r="F22" s="30">
        <f t="shared" si="2"/>
        <v>5903</v>
      </c>
      <c r="G22" s="30">
        <f t="shared" si="2"/>
        <v>7429.5999999999995</v>
      </c>
      <c r="H22" s="50">
        <f t="shared" si="2"/>
        <v>254540</v>
      </c>
    </row>
    <row r="23" spans="1:8" x14ac:dyDescent="0.3">
      <c r="A23" s="441" t="s">
        <v>217</v>
      </c>
      <c r="B23" s="442"/>
      <c r="C23" s="442"/>
      <c r="D23" s="442"/>
      <c r="E23" s="442"/>
      <c r="F23" s="442"/>
      <c r="G23" s="442"/>
      <c r="H23" s="444"/>
    </row>
    <row r="24" spans="1:8" ht="15.6" x14ac:dyDescent="0.3">
      <c r="A24" s="451" t="s">
        <v>181</v>
      </c>
      <c r="B24" s="21" t="s">
        <v>155</v>
      </c>
      <c r="C24" s="4" t="s">
        <v>154</v>
      </c>
      <c r="D24" s="49">
        <f>D9-D22</f>
        <v>44581.3</v>
      </c>
      <c r="E24" s="49">
        <f t="shared" ref="E24:H24" si="3">E9-E22</f>
        <v>58993.300000000017</v>
      </c>
      <c r="F24" s="49">
        <f t="shared" si="3"/>
        <v>1605</v>
      </c>
      <c r="G24" s="49">
        <f t="shared" si="3"/>
        <v>810.40000000000055</v>
      </c>
      <c r="H24" s="88">
        <f t="shared" si="3"/>
        <v>105990</v>
      </c>
    </row>
    <row r="25" spans="1:8" ht="15.6" x14ac:dyDescent="0.3">
      <c r="A25" s="452"/>
      <c r="B25" s="48" t="s">
        <v>153</v>
      </c>
      <c r="C25" s="47" t="s">
        <v>6</v>
      </c>
      <c r="D25" s="46">
        <f t="shared" ref="D25:H25" si="4">D24/D9</f>
        <v>0.30362734882073705</v>
      </c>
      <c r="E25" s="46">
        <f t="shared" si="4"/>
        <v>0.29801670093406019</v>
      </c>
      <c r="F25" s="46">
        <f t="shared" si="4"/>
        <v>0.21377197655833777</v>
      </c>
      <c r="G25" s="46">
        <f t="shared" si="4"/>
        <v>9.8349514563106866E-2</v>
      </c>
      <c r="H25" s="89">
        <f t="shared" si="4"/>
        <v>0.2939838570992705</v>
      </c>
    </row>
    <row r="26" spans="1:8" x14ac:dyDescent="0.3">
      <c r="A26" s="441" t="s">
        <v>152</v>
      </c>
      <c r="B26" s="442"/>
      <c r="C26" s="442"/>
      <c r="D26" s="442"/>
      <c r="E26" s="442"/>
      <c r="F26" s="442"/>
      <c r="G26" s="442"/>
      <c r="H26" s="444"/>
    </row>
    <row r="27" spans="1:8" x14ac:dyDescent="0.3">
      <c r="A27" s="455" t="s">
        <v>151</v>
      </c>
      <c r="B27" s="456"/>
      <c r="C27" s="456"/>
      <c r="D27" s="456"/>
      <c r="E27" s="456"/>
      <c r="F27" s="456"/>
      <c r="G27" s="456"/>
      <c r="H27" s="457"/>
    </row>
    <row r="28" spans="1:8" ht="15.6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ht="15.6" x14ac:dyDescent="0.3">
      <c r="A29" s="458" t="s">
        <v>148</v>
      </c>
      <c r="B29" s="433">
        <f>176264.5/50</f>
        <v>3525.29</v>
      </c>
      <c r="C29" s="4" t="s">
        <v>142</v>
      </c>
      <c r="D29" s="22">
        <f>Balaka!J29+Balaka!K29+Balaka!L29</f>
        <v>300</v>
      </c>
      <c r="E29" s="3">
        <f>Liwonde!J29+Liwonde!K29+Liwonde!L29</f>
        <v>1056</v>
      </c>
      <c r="F29" s="3">
        <f>Machinga!J29+Machinga!K29+Machinga!L29</f>
        <v>23</v>
      </c>
      <c r="G29" s="22">
        <f>Ntaja!J29+Ntaja!K29+Ntaja!L29</f>
        <v>18</v>
      </c>
      <c r="H29" s="40">
        <f>SUM(D29:G29)</f>
        <v>1397</v>
      </c>
    </row>
    <row r="30" spans="1:8" ht="15.6" x14ac:dyDescent="0.3">
      <c r="A30" s="459"/>
      <c r="B30" s="433"/>
      <c r="C30" s="37" t="s">
        <v>141</v>
      </c>
      <c r="D30" s="13">
        <f t="shared" ref="D30:H30" si="5">D29/(D9/1000)</f>
        <v>2.0431931021800871</v>
      </c>
      <c r="E30" s="13">
        <f t="shared" si="5"/>
        <v>5.3345996271842306</v>
      </c>
      <c r="F30" s="13">
        <f t="shared" si="5"/>
        <v>3.0633990410229091</v>
      </c>
      <c r="G30" s="13">
        <f t="shared" si="5"/>
        <v>2.1844660194174756</v>
      </c>
      <c r="H30" s="91">
        <f t="shared" si="5"/>
        <v>3.8748509139322667</v>
      </c>
    </row>
    <row r="31" spans="1:8" ht="15.6" x14ac:dyDescent="0.3">
      <c r="A31" s="453" t="s">
        <v>147</v>
      </c>
      <c r="B31" s="433">
        <f>53000.511/50</f>
        <v>1060.0102199999999</v>
      </c>
      <c r="C31" s="4" t="s">
        <v>142</v>
      </c>
      <c r="D31" s="22">
        <f>Balaka!J31+Balaka!K31+Balaka!L31</f>
        <v>0</v>
      </c>
      <c r="E31" s="3">
        <f>Liwonde!J31+Liwonde!K31+Liwonde!L31</f>
        <v>90</v>
      </c>
      <c r="F31" s="3">
        <f>Machinga!J31+Machinga!K31+Machinga!L31</f>
        <v>0</v>
      </c>
      <c r="G31" s="22">
        <f>Ntaja!J31+Ntaja!K31+Ntaja!L31</f>
        <v>0</v>
      </c>
      <c r="H31" s="40">
        <f>SUM(D31:G31)</f>
        <v>90</v>
      </c>
    </row>
    <row r="32" spans="1:8" ht="15.6" x14ac:dyDescent="0.3">
      <c r="A32" s="454"/>
      <c r="B32" s="433"/>
      <c r="C32" s="37" t="s">
        <v>141</v>
      </c>
      <c r="D32" s="13">
        <f t="shared" ref="D32:H32" si="6">D31/(D9/1000)</f>
        <v>0</v>
      </c>
      <c r="E32" s="13">
        <f t="shared" si="6"/>
        <v>0.4546533773168378</v>
      </c>
      <c r="F32" s="13">
        <f t="shared" si="6"/>
        <v>0</v>
      </c>
      <c r="G32" s="13">
        <f t="shared" si="6"/>
        <v>0</v>
      </c>
      <c r="H32" s="91">
        <f t="shared" si="6"/>
        <v>0.24963248550744738</v>
      </c>
    </row>
    <row r="33" spans="1:8" ht="15.6" x14ac:dyDescent="0.3">
      <c r="A33" s="453" t="s">
        <v>146</v>
      </c>
      <c r="B33" s="433">
        <f>61414.43/50</f>
        <v>1228.2886000000001</v>
      </c>
      <c r="C33" s="4" t="s">
        <v>142</v>
      </c>
      <c r="D33" s="22">
        <f>Balaka!J33+Balaka!K33+Balaka!L33</f>
        <v>0</v>
      </c>
      <c r="E33" s="3">
        <f>Liwonde!J33+Liwonde!K33+Liwonde!L33</f>
        <v>0</v>
      </c>
      <c r="F33" s="3">
        <f>Machinga!J33+Machinga!K33+Machinga!L33</f>
        <v>0</v>
      </c>
      <c r="G33" s="22">
        <f>Ntaja!J33+Ntaja!K33+Ntaja!L33</f>
        <v>0</v>
      </c>
      <c r="H33" s="40">
        <f>SUM(D33:G33)</f>
        <v>0</v>
      </c>
    </row>
    <row r="34" spans="1:8" ht="15.6" x14ac:dyDescent="0.3">
      <c r="A34" s="454"/>
      <c r="B34" s="433"/>
      <c r="C34" s="37" t="s">
        <v>141</v>
      </c>
      <c r="D34" s="13">
        <f t="shared" ref="D34:H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91">
        <f t="shared" si="7"/>
        <v>0</v>
      </c>
    </row>
    <row r="35" spans="1:8" ht="15.6" x14ac:dyDescent="0.3">
      <c r="A35" s="453" t="s">
        <v>145</v>
      </c>
      <c r="B35" s="433">
        <f>745345.16/200</f>
        <v>3726.7258000000002</v>
      </c>
      <c r="C35" s="4" t="s">
        <v>128</v>
      </c>
      <c r="D35" s="22">
        <f>Balaka!J35+Balaka!K35+Balaka!L35</f>
        <v>0</v>
      </c>
      <c r="E35" s="3">
        <f>Liwonde!J35+Liwonde!K35+Liwonde!L35</f>
        <v>890</v>
      </c>
      <c r="F35" s="3">
        <f>Machinga!J35+Machinga!K35+Machinga!L35</f>
        <v>0</v>
      </c>
      <c r="G35" s="22">
        <f>Ntaja!J35+Ntaja!K35+Ntaja!L35</f>
        <v>0</v>
      </c>
      <c r="H35" s="91"/>
    </row>
    <row r="36" spans="1:8" ht="15.6" x14ac:dyDescent="0.3">
      <c r="A36" s="454"/>
      <c r="B36" s="433"/>
      <c r="C36" s="4" t="s">
        <v>144</v>
      </c>
      <c r="D36" s="22"/>
      <c r="E36" s="13"/>
      <c r="F36" s="13"/>
      <c r="G36" s="11"/>
      <c r="H36" s="91"/>
    </row>
    <row r="37" spans="1:8" ht="15.6" x14ac:dyDescent="0.3">
      <c r="A37" s="453" t="s">
        <v>188</v>
      </c>
      <c r="B37" s="433">
        <f>790318.72/200</f>
        <v>3951.5935999999997</v>
      </c>
      <c r="C37" s="4" t="s">
        <v>128</v>
      </c>
      <c r="D37" s="22">
        <f>Balaka!J37+Balaka!K37+Balaka!L37</f>
        <v>0</v>
      </c>
      <c r="E37" s="3">
        <f>Liwonde!J37+Liwonde!K37+Liwonde!L37</f>
        <v>0</v>
      </c>
      <c r="F37" s="3">
        <f>Machinga!J37+Machinga!K37+Machinga!L37</f>
        <v>0</v>
      </c>
      <c r="G37" s="22">
        <f>Ntaja!J37+Ntaja!K37+Ntaja!L37</f>
        <v>0</v>
      </c>
      <c r="H37" s="40">
        <f>SUM(D37:G37)</f>
        <v>0</v>
      </c>
    </row>
    <row r="38" spans="1:8" ht="15.6" x14ac:dyDescent="0.3">
      <c r="A38" s="454"/>
      <c r="B38" s="433"/>
      <c r="C38" s="4" t="s">
        <v>144</v>
      </c>
      <c r="D38" s="13">
        <f t="shared" ref="D38:H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91">
        <f t="shared" si="8"/>
        <v>0</v>
      </c>
    </row>
    <row r="39" spans="1:8" ht="15.6" x14ac:dyDescent="0.3">
      <c r="A39" s="453" t="s">
        <v>143</v>
      </c>
      <c r="B39" s="433">
        <v>1950</v>
      </c>
      <c r="C39" s="4" t="s">
        <v>142</v>
      </c>
      <c r="D39" s="22">
        <f>Balaka!J39+Balaka!K39+Balaka!L39</f>
        <v>0</v>
      </c>
      <c r="E39" s="3">
        <f>Liwonde!J39+Liwonde!K39+Liwonde!L39</f>
        <v>0</v>
      </c>
      <c r="F39" s="3">
        <f>Machinga!J39+Machinga!K39+Machinga!L39</f>
        <v>0</v>
      </c>
      <c r="G39" s="22">
        <f>Ntaja!J39+Ntaja!K39+Ntaja!L39</f>
        <v>0</v>
      </c>
      <c r="H39" s="40">
        <f>SUM(D39:G39)</f>
        <v>0</v>
      </c>
    </row>
    <row r="40" spans="1:8" ht="15.6" x14ac:dyDescent="0.3">
      <c r="A40" s="454"/>
      <c r="B40" s="433"/>
      <c r="C40" s="37" t="s">
        <v>141</v>
      </c>
      <c r="D40" s="13">
        <f t="shared" ref="D40:H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91">
        <f t="shared" si="9"/>
        <v>0</v>
      </c>
    </row>
    <row r="41" spans="1:8" ht="15.6" x14ac:dyDescent="0.3">
      <c r="A41" s="447" t="s">
        <v>140</v>
      </c>
      <c r="B41" s="448"/>
      <c r="C41" s="4" t="s">
        <v>31</v>
      </c>
      <c r="D41" s="36">
        <f>(D29*$B29)+(D31*$B31)+(D33*$B33)+(D35*$B35)+(D37*$B37)+(D39*$B39)</f>
        <v>1057587</v>
      </c>
      <c r="E41" s="36">
        <f t="shared" ref="E41:G41" si="10">(E29*$B29)+(E31*$B31)+(E33*$B33)+(E35*$B35)+(E37*$B37)+(E39*$B39)</f>
        <v>7134893.1217999998</v>
      </c>
      <c r="F41" s="36">
        <f t="shared" si="10"/>
        <v>81081.67</v>
      </c>
      <c r="G41" s="36">
        <f t="shared" si="10"/>
        <v>63455.22</v>
      </c>
      <c r="H41" s="34">
        <f>SUM(D41:G41)</f>
        <v>8337017.0117999995</v>
      </c>
    </row>
    <row r="42" spans="1:8" ht="15.6" x14ac:dyDescent="0.3">
      <c r="A42" s="463" t="s">
        <v>139</v>
      </c>
      <c r="B42" s="464"/>
      <c r="C42" s="37" t="s">
        <v>117</v>
      </c>
      <c r="D42" s="13">
        <f t="shared" ref="D42:H42" si="11">D41/D9</f>
        <v>7.2028482111844392</v>
      </c>
      <c r="E42" s="13">
        <f t="shared" si="11"/>
        <v>36.043369495789406</v>
      </c>
      <c r="F42" s="13">
        <f t="shared" si="11"/>
        <v>10.799370005327651</v>
      </c>
      <c r="G42" s="13">
        <f t="shared" si="11"/>
        <v>7.7008762135922328</v>
      </c>
      <c r="H42" s="39">
        <f t="shared" si="11"/>
        <v>23.124336426372285</v>
      </c>
    </row>
    <row r="43" spans="1:8" ht="15" thickBot="1" x14ac:dyDescent="0.35">
      <c r="A43" s="460" t="s">
        <v>138</v>
      </c>
      <c r="B43" s="461"/>
      <c r="C43" s="461"/>
      <c r="D43" s="461"/>
      <c r="E43" s="461"/>
      <c r="F43" s="461"/>
      <c r="G43" s="461"/>
      <c r="H43" s="462"/>
    </row>
    <row r="44" spans="1:8" ht="15.6" x14ac:dyDescent="0.3">
      <c r="A44" s="447" t="s">
        <v>137</v>
      </c>
      <c r="B44" s="448"/>
      <c r="C44" s="4" t="s">
        <v>136</v>
      </c>
      <c r="D44" s="22">
        <f>Balaka!J44+Balaka!K44+Balaka!L44</f>
        <v>58048</v>
      </c>
      <c r="E44" s="153">
        <f>Liwonde!J44+Liwonde!K44+Liwonde!L44</f>
        <v>176171</v>
      </c>
      <c r="F44" s="3">
        <f>Machinga!J44+Machinga!K44+Machinga!L44</f>
        <v>15400</v>
      </c>
      <c r="G44" s="22">
        <f>Ntaja!J44+Ntaja!K44+Ntaja!L44</f>
        <v>9073</v>
      </c>
      <c r="H44" s="34">
        <f>SUM(D44:G44)</f>
        <v>258692</v>
      </c>
    </row>
    <row r="45" spans="1:8" ht="15.6" x14ac:dyDescent="0.3">
      <c r="A45" s="463" t="s">
        <v>135</v>
      </c>
      <c r="B45" s="464"/>
      <c r="C45" s="37" t="s">
        <v>134</v>
      </c>
      <c r="D45" s="13">
        <f t="shared" ref="D45:H45" si="12">D44/D9</f>
        <v>0.39534424398449897</v>
      </c>
      <c r="E45" s="13">
        <f t="shared" si="12"/>
        <v>0.88996377928094039</v>
      </c>
      <c r="F45" s="13">
        <f t="shared" si="12"/>
        <v>2.0511454448588173</v>
      </c>
      <c r="G45" s="13">
        <f t="shared" si="12"/>
        <v>1.1010922330097088</v>
      </c>
      <c r="H45" s="91">
        <f t="shared" si="12"/>
        <v>0.71753252156547309</v>
      </c>
    </row>
    <row r="46" spans="1:8" ht="15.6" x14ac:dyDescent="0.3">
      <c r="A46" s="447" t="s">
        <v>133</v>
      </c>
      <c r="B46" s="448"/>
      <c r="C46" s="4" t="s">
        <v>31</v>
      </c>
      <c r="D46" s="22">
        <f>Balaka!J46+Balaka!K46+Balaka!L46</f>
        <v>9762336.5200000014</v>
      </c>
      <c r="E46" s="3">
        <f>Liwonde!J46+Liwonde!K46+Liwonde!L46</f>
        <v>29509844.352499999</v>
      </c>
      <c r="F46" s="3">
        <f>Machinga!J46+Machinga!K46+Machinga!L46</f>
        <v>2632550.5</v>
      </c>
      <c r="G46" s="22">
        <f>Ntaja!J46+Ntaja!K46+Ntaja!L46</f>
        <v>1574818.4575</v>
      </c>
      <c r="H46" s="34">
        <f>SUM(D46:G46)</f>
        <v>43479549.830000006</v>
      </c>
    </row>
    <row r="47" spans="1:8" ht="15.6" x14ac:dyDescent="0.3">
      <c r="A47" s="447" t="s">
        <v>132</v>
      </c>
      <c r="B47" s="448"/>
      <c r="C47" s="4" t="s">
        <v>117</v>
      </c>
      <c r="D47" s="13">
        <f t="shared" ref="D47:H47" si="13">D46/D9</f>
        <v>66.48779546274919</v>
      </c>
      <c r="E47" s="13">
        <f t="shared" si="13"/>
        <v>149.07500443287043</v>
      </c>
      <c r="F47" s="13">
        <f t="shared" si="13"/>
        <v>350.63272509323389</v>
      </c>
      <c r="G47" s="13">
        <f t="shared" si="13"/>
        <v>191.11874484223301</v>
      </c>
      <c r="H47" s="91">
        <f t="shared" si="13"/>
        <v>120.59897880897569</v>
      </c>
    </row>
    <row r="48" spans="1:8" ht="15" thickBot="1" x14ac:dyDescent="0.35">
      <c r="A48" s="460" t="s">
        <v>131</v>
      </c>
      <c r="B48" s="461"/>
      <c r="C48" s="461"/>
      <c r="D48" s="461"/>
      <c r="E48" s="461"/>
      <c r="F48" s="461"/>
      <c r="G48" s="461"/>
      <c r="H48" s="462"/>
    </row>
    <row r="49" spans="1:8" ht="15.6" x14ac:dyDescent="0.3">
      <c r="A49" s="447" t="s">
        <v>130</v>
      </c>
      <c r="B49" s="448"/>
      <c r="C49" s="4" t="s">
        <v>129</v>
      </c>
      <c r="D49" s="22">
        <f>Balaka!J49+Balaka!K49+Balaka!L49</f>
        <v>14689.66574478298</v>
      </c>
      <c r="E49" s="153">
        <f>Liwonde!J49+Liwonde!K49+Liwonde!L49</f>
        <v>7720</v>
      </c>
      <c r="F49" s="153">
        <f>Machinga!J49+Machinga!K49+Machinga!L49</f>
        <v>0</v>
      </c>
      <c r="G49" s="22">
        <f>Ntaja!J49+Ntaja!K49+Ntaja!L49</f>
        <v>0</v>
      </c>
      <c r="H49" s="34">
        <f>SUM(D49:G49)</f>
        <v>22409.665744782978</v>
      </c>
    </row>
    <row r="50" spans="1:8" ht="15.6" x14ac:dyDescent="0.3">
      <c r="A50" s="447" t="s">
        <v>189</v>
      </c>
      <c r="B50" s="448"/>
      <c r="C50" s="4" t="s">
        <v>128</v>
      </c>
      <c r="D50" s="22">
        <f>Balaka!J50+Balaka!K50+Balaka!L50</f>
        <v>720</v>
      </c>
      <c r="E50" s="22">
        <f>Liwonde!J50+Liwonde!K50+Liwonde!L50</f>
        <v>945</v>
      </c>
      <c r="F50" s="22">
        <f>Machinga!J50+Machinga!K50+Machinga!L50</f>
        <v>0</v>
      </c>
      <c r="G50" s="22">
        <f>Ntaja!J50+Ntaja!K50+Ntaja!L50</f>
        <v>0</v>
      </c>
      <c r="H50" s="34">
        <f>SUM(D50:G50)</f>
        <v>1665</v>
      </c>
    </row>
    <row r="51" spans="1:8" ht="15.6" x14ac:dyDescent="0.3">
      <c r="A51" s="447" t="s">
        <v>127</v>
      </c>
      <c r="B51" s="448"/>
      <c r="C51" s="4" t="s">
        <v>31</v>
      </c>
      <c r="D51" s="22">
        <f>Balaka!J51+Balaka!K51+Balaka!L51</f>
        <v>2300550</v>
      </c>
      <c r="E51" s="22">
        <f>Liwonde!J51+Liwonde!K51+Liwonde!L51</f>
        <v>3114468</v>
      </c>
      <c r="F51" s="22">
        <f>Machinga!J51+Machinga!K51+Machinga!L51</f>
        <v>0</v>
      </c>
      <c r="G51" s="22">
        <f>Ntaja!J51+Ntaja!K51+Ntaja!L51</f>
        <v>0</v>
      </c>
      <c r="H51" s="35">
        <f>SUM(D51:G51)</f>
        <v>5415018</v>
      </c>
    </row>
    <row r="52" spans="1:8" ht="15.6" x14ac:dyDescent="0.3">
      <c r="A52" s="447" t="s">
        <v>126</v>
      </c>
      <c r="B52" s="448"/>
      <c r="C52" s="4" t="s">
        <v>31</v>
      </c>
      <c r="D52" s="22">
        <f>Balaka!J52+Balaka!K52+Balaka!L52</f>
        <v>0</v>
      </c>
      <c r="E52" s="3">
        <f>Liwonde!J52+Liwonde!K52+Liwonde!L52</f>
        <v>0</v>
      </c>
      <c r="F52" s="22">
        <f>Machinga!J52+Machinga!K52+Machinga!L52</f>
        <v>0</v>
      </c>
      <c r="G52" s="22">
        <f>Ntaja!J52+Ntaja!K52+Ntaja!L52</f>
        <v>0</v>
      </c>
      <c r="H52" s="35">
        <f>SUM(D52:G52)</f>
        <v>0</v>
      </c>
    </row>
    <row r="53" spans="1:8" ht="15" thickBot="1" x14ac:dyDescent="0.35">
      <c r="A53" s="460" t="s">
        <v>125</v>
      </c>
      <c r="B53" s="461"/>
      <c r="C53" s="461"/>
      <c r="D53" s="461"/>
      <c r="E53" s="461"/>
      <c r="F53" s="461"/>
      <c r="G53" s="461"/>
      <c r="H53" s="462"/>
    </row>
    <row r="54" spans="1:8" ht="15.6" x14ac:dyDescent="0.3">
      <c r="A54" s="447" t="s">
        <v>124</v>
      </c>
      <c r="B54" s="448"/>
      <c r="C54" s="4" t="s">
        <v>18</v>
      </c>
      <c r="D54" s="22">
        <f>Balaka!J54+Balaka!K54+Balaka!L54</f>
        <v>34276950.450000003</v>
      </c>
      <c r="E54" s="156">
        <f>Liwonde!J54+Liwonde!K54+Liwonde!L54</f>
        <v>33634136.349999994</v>
      </c>
      <c r="F54" s="156">
        <f>Machinga!J54+Machinga!K54+Machinga!L54</f>
        <v>1425537.26</v>
      </c>
      <c r="G54" s="22">
        <f>Ntaja!J54+Ntaja!K54+Ntaja!L54</f>
        <v>5424621.1400000006</v>
      </c>
      <c r="H54" s="34">
        <f>SUM(D54:G54)</f>
        <v>74761245.200000003</v>
      </c>
    </row>
    <row r="55" spans="1:8" ht="15.6" x14ac:dyDescent="0.3">
      <c r="A55" s="67" t="s">
        <v>123</v>
      </c>
      <c r="B55" s="68"/>
      <c r="C55" s="4" t="s">
        <v>18</v>
      </c>
      <c r="D55" s="22">
        <f>Balaka!J55+Balaka!K55+Balaka!L55</f>
        <v>21338947.920000002</v>
      </c>
      <c r="E55" s="22">
        <f>Liwonde!J55+Liwonde!K55+Liwonde!L55</f>
        <v>25000352.720000003</v>
      </c>
      <c r="F55" s="22">
        <f>Machinga!J55+Machinga!K55+Machinga!L55</f>
        <v>3024003.84</v>
      </c>
      <c r="G55" s="22">
        <f>Ntaja!J55+Ntaja!K55+Ntaja!L55</f>
        <v>1754309.92</v>
      </c>
      <c r="H55" s="34">
        <f>SUM(D55:G55)</f>
        <v>51117614.400000006</v>
      </c>
    </row>
    <row r="56" spans="1:8" ht="15.6" x14ac:dyDescent="0.3">
      <c r="A56" s="447" t="s">
        <v>122</v>
      </c>
      <c r="B56" s="448"/>
      <c r="C56" s="4" t="s">
        <v>18</v>
      </c>
      <c r="D56" s="22">
        <f>Balaka!J56+Balaka!K56+Balaka!L56</f>
        <v>14081113.4</v>
      </c>
      <c r="E56" s="3">
        <f>Liwonde!J56+Liwonde!K56+Liwonde!L56</f>
        <v>8398806.9700000007</v>
      </c>
      <c r="F56" s="3">
        <f>Machinga!J56+Machinga!K56+Machinga!L56</f>
        <v>98000</v>
      </c>
      <c r="G56" s="22">
        <f>Ntaja!J56+Ntaja!K56+Ntaja!L56</f>
        <v>110000</v>
      </c>
      <c r="H56" s="34">
        <f>SUM(D56:G56)</f>
        <v>22687920.370000001</v>
      </c>
    </row>
    <row r="57" spans="1:8" x14ac:dyDescent="0.3">
      <c r="A57" s="460" t="s">
        <v>121</v>
      </c>
      <c r="B57" s="461"/>
      <c r="C57" s="461"/>
      <c r="D57" s="461"/>
      <c r="E57" s="461"/>
      <c r="F57" s="461"/>
      <c r="G57" s="461"/>
      <c r="H57" s="462"/>
    </row>
    <row r="58" spans="1:8" ht="15.6" x14ac:dyDescent="0.3">
      <c r="A58" s="447" t="s">
        <v>120</v>
      </c>
      <c r="B58" s="448"/>
      <c r="C58" s="4" t="s">
        <v>18</v>
      </c>
      <c r="D58" s="11">
        <f>D41+D46+D51+D52+D54+D55+D56</f>
        <v>82817485.290000021</v>
      </c>
      <c r="E58" s="11">
        <f t="shared" ref="E58:G58" si="14">E41+E46+E51+E52+E54+E55+E56</f>
        <v>106792501.51429999</v>
      </c>
      <c r="F58" s="11">
        <f t="shared" si="14"/>
        <v>7261173.2699999996</v>
      </c>
      <c r="G58" s="11">
        <f t="shared" si="14"/>
        <v>8927204.7375000007</v>
      </c>
      <c r="H58" s="58">
        <f>SUM(D58:G58)</f>
        <v>205798364.81180003</v>
      </c>
    </row>
    <row r="59" spans="1:8" ht="15.6" x14ac:dyDescent="0.3">
      <c r="A59" s="447" t="s">
        <v>119</v>
      </c>
      <c r="B59" s="448"/>
      <c r="C59" s="4" t="s">
        <v>117</v>
      </c>
      <c r="D59" s="13">
        <f t="shared" ref="D59:H59" si="15">D58/D9</f>
        <v>564.04038228142952</v>
      </c>
      <c r="E59" s="13">
        <f t="shared" si="15"/>
        <v>539.48412761766679</v>
      </c>
      <c r="F59" s="13">
        <f t="shared" si="15"/>
        <v>967.12483617474686</v>
      </c>
      <c r="G59" s="13">
        <f t="shared" si="15"/>
        <v>1083.3986331917476</v>
      </c>
      <c r="H59" s="91">
        <f t="shared" si="15"/>
        <v>570.82174801486713</v>
      </c>
    </row>
    <row r="60" spans="1:8" ht="15.6" x14ac:dyDescent="0.3">
      <c r="A60" s="447" t="s">
        <v>118</v>
      </c>
      <c r="B60" s="448"/>
      <c r="C60" s="4" t="s">
        <v>117</v>
      </c>
      <c r="D60" s="13">
        <f>D58/D22</f>
        <v>809.96917573696055</v>
      </c>
      <c r="E60" s="13">
        <f t="shared" ref="E60:G60" si="16">E58/E22</f>
        <v>768.51419162750062</v>
      </c>
      <c r="F60" s="13">
        <f t="shared" si="16"/>
        <v>1230.0818685414195</v>
      </c>
      <c r="G60" s="13">
        <f t="shared" si="16"/>
        <v>1201.5727276703997</v>
      </c>
      <c r="H60" s="92">
        <f>H58/H22</f>
        <v>808.5109012799561</v>
      </c>
    </row>
    <row r="61" spans="1:8" ht="15.6" x14ac:dyDescent="0.3">
      <c r="A61" s="447" t="s">
        <v>116</v>
      </c>
      <c r="B61" s="448"/>
      <c r="C61" s="4" t="s">
        <v>3</v>
      </c>
      <c r="D61" s="22">
        <f>Balaka!J61+Balaka!K61+Balaka!L61</f>
        <v>43</v>
      </c>
      <c r="E61" s="3">
        <f>Liwonde!J61+Liwonde!K61+Liwonde!L61</f>
        <v>69</v>
      </c>
      <c r="F61" s="3">
        <f>Machinga!J61+Machinga!K61+Machinga!L61</f>
        <v>9</v>
      </c>
      <c r="G61" s="3"/>
      <c r="H61" s="34">
        <f>SUM(D61:G61)</f>
        <v>121</v>
      </c>
    </row>
    <row r="62" spans="1:8" ht="15.6" customHeight="1" x14ac:dyDescent="0.3">
      <c r="A62" s="447" t="s">
        <v>115</v>
      </c>
      <c r="B62" s="448"/>
      <c r="C62" s="4" t="s">
        <v>114</v>
      </c>
      <c r="D62" s="13">
        <f t="shared" ref="D62:H62" si="17">(D61*1000*31)/D9</f>
        <v>9.0785880173535194</v>
      </c>
      <c r="E62" s="13">
        <f t="shared" si="17"/>
        <v>10.805595267563513</v>
      </c>
      <c r="F62" s="13">
        <f t="shared" si="17"/>
        <v>37.160362280234416</v>
      </c>
      <c r="G62" s="13">
        <f t="shared" si="17"/>
        <v>0</v>
      </c>
      <c r="H62" s="91">
        <f t="shared" si="17"/>
        <v>10.404127257093723</v>
      </c>
    </row>
    <row r="63" spans="1:8" ht="15.6" x14ac:dyDescent="0.3">
      <c r="A63" s="465" t="s">
        <v>113</v>
      </c>
      <c r="B63" s="466"/>
      <c r="C63" s="33" t="s">
        <v>3</v>
      </c>
      <c r="D63" s="22">
        <f>Balaka!J63+Balaka!K63+Balaka!L63</f>
        <v>136</v>
      </c>
      <c r="E63" s="3">
        <f>Liwonde!J63+Liwonde!K63+Liwonde!L63</f>
        <v>172</v>
      </c>
      <c r="F63" s="3">
        <f>Machinga!J63+Machinga!K63+Machinga!L63</f>
        <v>24</v>
      </c>
      <c r="G63" s="3"/>
      <c r="H63" s="34">
        <f>SUM(D63:G63)</f>
        <v>332</v>
      </c>
    </row>
    <row r="64" spans="1:8" x14ac:dyDescent="0.3">
      <c r="A64" s="467"/>
      <c r="B64" s="468"/>
      <c r="C64" s="468"/>
      <c r="D64" s="468"/>
      <c r="E64" s="468"/>
      <c r="F64" s="468"/>
      <c r="G64" s="468"/>
      <c r="H64" s="469"/>
    </row>
    <row r="65" spans="1:8" ht="14.4" customHeight="1" x14ac:dyDescent="0.3">
      <c r="A65" s="460" t="s">
        <v>112</v>
      </c>
      <c r="B65" s="461"/>
      <c r="C65" s="461"/>
      <c r="D65" s="461"/>
      <c r="E65" s="520"/>
      <c r="F65" s="520"/>
      <c r="G65" s="461"/>
      <c r="H65" s="462"/>
    </row>
    <row r="66" spans="1:8" ht="15.6" x14ac:dyDescent="0.3">
      <c r="A66" s="476" t="s">
        <v>111</v>
      </c>
      <c r="B66" s="21" t="s">
        <v>85</v>
      </c>
      <c r="C66" s="4" t="s">
        <v>3</v>
      </c>
      <c r="D66" s="22">
        <f>Balaka!J66</f>
        <v>422</v>
      </c>
      <c r="E66" s="22">
        <f>Liwonde!J66</f>
        <v>834</v>
      </c>
      <c r="F66" s="22">
        <f>Machinga!J66</f>
        <v>4</v>
      </c>
      <c r="G66" s="22">
        <f>Ntaja!J66</f>
        <v>27</v>
      </c>
      <c r="H66" s="31">
        <f>SUM(D66:G66)</f>
        <v>1287</v>
      </c>
    </row>
    <row r="67" spans="1:8" ht="15.6" x14ac:dyDescent="0.3">
      <c r="A67" s="477"/>
      <c r="B67" s="21" t="s">
        <v>106</v>
      </c>
      <c r="C67" s="4" t="s">
        <v>3</v>
      </c>
      <c r="D67" s="22">
        <f>Balaka!J67+Balaka!K67+Balaka!L67</f>
        <v>91</v>
      </c>
      <c r="E67" s="22">
        <f>Liwonde!J67+Liwonde!K67+Liwonde!L67</f>
        <v>132</v>
      </c>
      <c r="F67" s="22">
        <f>Machinga!J67+Machinga!K67+Machinga!L67</f>
        <v>11</v>
      </c>
      <c r="G67" s="22">
        <f>Ntaja!J67+Ntaja!K67+Ntaja!L67</f>
        <v>13</v>
      </c>
      <c r="H67" s="31">
        <f>SUM(D67:G67)</f>
        <v>247</v>
      </c>
    </row>
    <row r="68" spans="1:8" ht="27" x14ac:dyDescent="0.3">
      <c r="A68" s="477"/>
      <c r="B68" s="21" t="s">
        <v>105</v>
      </c>
      <c r="C68" s="4" t="s">
        <v>3</v>
      </c>
      <c r="D68" s="22">
        <f>Balaka!J68+Balaka!K68+Balaka!L68</f>
        <v>109</v>
      </c>
      <c r="E68" s="22">
        <f>Liwonde!J68+Liwonde!K68+Liwonde!L68</f>
        <v>73</v>
      </c>
      <c r="F68" s="22">
        <f>Machinga!J68+Machinga!K68+Machinga!L68</f>
        <v>0</v>
      </c>
      <c r="G68" s="22">
        <f>Ntaja!J68+Ntaja!K68+Ntaja!L68</f>
        <v>0</v>
      </c>
      <c r="H68" s="31">
        <f>SUM(D68:G68)</f>
        <v>182</v>
      </c>
    </row>
    <row r="69" spans="1:8" ht="27" x14ac:dyDescent="0.3">
      <c r="A69" s="477"/>
      <c r="B69" s="21" t="s">
        <v>104</v>
      </c>
      <c r="C69" s="4" t="s">
        <v>3</v>
      </c>
      <c r="D69" s="22">
        <f>Balaka!J69+Balaka!K69+Balaka!L69</f>
        <v>0</v>
      </c>
      <c r="E69" s="22">
        <f>Liwonde!J69+Liwonde!K69+Liwonde!L69</f>
        <v>80</v>
      </c>
      <c r="F69" s="22">
        <f>Machinga!J69+Machinga!K69+Machinga!L69</f>
        <v>10</v>
      </c>
      <c r="G69" s="22">
        <f>Ntaja!J69+Ntaja!K69+Ntaja!L69</f>
        <v>25</v>
      </c>
      <c r="H69" s="31">
        <f>SUM(D69:G69)</f>
        <v>115</v>
      </c>
    </row>
    <row r="70" spans="1:8" ht="15.6" x14ac:dyDescent="0.3">
      <c r="A70" s="477"/>
      <c r="B70" s="21" t="s">
        <v>190</v>
      </c>
      <c r="C70" s="4" t="s">
        <v>3</v>
      </c>
      <c r="D70" s="3">
        <f>D68+D69</f>
        <v>109</v>
      </c>
      <c r="E70" s="22">
        <f t="shared" ref="E70:G70" si="18">E68+E69</f>
        <v>153</v>
      </c>
      <c r="F70" s="22">
        <f t="shared" si="18"/>
        <v>10</v>
      </c>
      <c r="G70" s="3">
        <f t="shared" si="18"/>
        <v>25</v>
      </c>
      <c r="H70" s="31">
        <f>SUM(D70:G70)</f>
        <v>297</v>
      </c>
    </row>
    <row r="71" spans="1:8" ht="15.6" x14ac:dyDescent="0.3">
      <c r="A71" s="478"/>
      <c r="B71" s="21" t="s">
        <v>81</v>
      </c>
      <c r="C71" s="4" t="s">
        <v>3</v>
      </c>
      <c r="D71" s="22">
        <f>D66+D67-D70</f>
        <v>404</v>
      </c>
      <c r="E71" s="22">
        <f t="shared" ref="E71:G71" si="19">E66+E67-E70</f>
        <v>813</v>
      </c>
      <c r="F71" s="22">
        <f t="shared" si="19"/>
        <v>5</v>
      </c>
      <c r="G71" s="22">
        <f t="shared" si="19"/>
        <v>15</v>
      </c>
      <c r="H71" s="50">
        <f>H66+H67-H70</f>
        <v>1237</v>
      </c>
    </row>
    <row r="72" spans="1:8" ht="15.6" x14ac:dyDescent="0.3">
      <c r="A72" s="476" t="s">
        <v>110</v>
      </c>
      <c r="B72" s="21" t="s">
        <v>85</v>
      </c>
      <c r="C72" s="4" t="s">
        <v>3</v>
      </c>
      <c r="D72" s="22">
        <f>Balaka!J72</f>
        <v>0</v>
      </c>
      <c r="E72" s="22">
        <f>Liwonde!J72</f>
        <v>0</v>
      </c>
      <c r="F72" s="22">
        <f>Machinga!J72</f>
        <v>0</v>
      </c>
      <c r="G72" s="22">
        <f>Ntaja!J72</f>
        <v>3</v>
      </c>
      <c r="H72" s="31">
        <f>SUM(D72:G72)</f>
        <v>3</v>
      </c>
    </row>
    <row r="73" spans="1:8" ht="15.6" x14ac:dyDescent="0.3">
      <c r="A73" s="477"/>
      <c r="B73" s="21" t="s">
        <v>106</v>
      </c>
      <c r="C73" s="4" t="s">
        <v>3</v>
      </c>
      <c r="D73" s="22">
        <f>Balaka!J73+Balaka!K73+Balaka!L73</f>
        <v>0</v>
      </c>
      <c r="E73" s="22">
        <f>Liwonde!J73+Liwonde!K73+Liwonde!L73</f>
        <v>0</v>
      </c>
      <c r="F73" s="22">
        <f>Machinga!J73+Machinga!K73+Machinga!L73</f>
        <v>0</v>
      </c>
      <c r="G73" s="22">
        <f>Ntaja!J73+Ntaja!K73+Ntaja!L73</f>
        <v>0</v>
      </c>
      <c r="H73" s="31">
        <f>SUM(D73:G73)</f>
        <v>0</v>
      </c>
    </row>
    <row r="74" spans="1:8" ht="27" x14ac:dyDescent="0.3">
      <c r="A74" s="477"/>
      <c r="B74" s="21" t="s">
        <v>105</v>
      </c>
      <c r="C74" s="4" t="s">
        <v>3</v>
      </c>
      <c r="D74" s="22">
        <f>Balaka!J74+Balaka!K74+Balaka!L74</f>
        <v>0</v>
      </c>
      <c r="E74" s="22">
        <f>Liwonde!J74+Liwonde!K74+Liwonde!L74</f>
        <v>0</v>
      </c>
      <c r="F74" s="22">
        <f>Machinga!J74+Machinga!K74+Machinga!L74</f>
        <v>0</v>
      </c>
      <c r="G74" s="22">
        <f>Ntaja!J74+Ntaja!K74+Ntaja!L74</f>
        <v>0</v>
      </c>
      <c r="H74" s="31">
        <f>SUM(D74:G74)</f>
        <v>0</v>
      </c>
    </row>
    <row r="75" spans="1:8" ht="27" x14ac:dyDescent="0.3">
      <c r="A75" s="477"/>
      <c r="B75" s="21" t="s">
        <v>104</v>
      </c>
      <c r="C75" s="4" t="s">
        <v>3</v>
      </c>
      <c r="D75" s="22">
        <f>Balaka!J75+Balaka!K75+Balaka!L75</f>
        <v>0</v>
      </c>
      <c r="E75" s="22">
        <f>Liwonde!J75+Liwonde!K75+Liwonde!L75</f>
        <v>0</v>
      </c>
      <c r="F75" s="22">
        <f>Machinga!J75+Machinga!K75+Machinga!L75</f>
        <v>0</v>
      </c>
      <c r="G75" s="22">
        <f>Ntaja!J75+Ntaja!K75+Ntaja!L75</f>
        <v>0</v>
      </c>
      <c r="H75" s="31">
        <f>SUM(D75:G75)</f>
        <v>0</v>
      </c>
    </row>
    <row r="76" spans="1:8" ht="15.6" x14ac:dyDescent="0.3">
      <c r="A76" s="477"/>
      <c r="B76" s="21" t="s">
        <v>190</v>
      </c>
      <c r="C76" s="4" t="s">
        <v>3</v>
      </c>
      <c r="D76" s="3">
        <f>D74+D75</f>
        <v>0</v>
      </c>
      <c r="E76" s="22">
        <f t="shared" ref="E76:G76" si="20">E74+E75</f>
        <v>0</v>
      </c>
      <c r="F76" s="22">
        <f t="shared" si="20"/>
        <v>0</v>
      </c>
      <c r="G76" s="3">
        <f t="shared" si="20"/>
        <v>0</v>
      </c>
      <c r="H76" s="31">
        <f>SUM(D76:G76)</f>
        <v>0</v>
      </c>
    </row>
    <row r="77" spans="1:8" ht="15.6" x14ac:dyDescent="0.3">
      <c r="A77" s="478"/>
      <c r="B77" s="21" t="s">
        <v>81</v>
      </c>
      <c r="C77" s="4" t="s">
        <v>3</v>
      </c>
      <c r="D77" s="22">
        <f>D73+D74-D76</f>
        <v>0</v>
      </c>
      <c r="E77" s="22">
        <f t="shared" ref="E77:G77" si="21">E73+E74-E76</f>
        <v>0</v>
      </c>
      <c r="F77" s="22">
        <f t="shared" si="21"/>
        <v>0</v>
      </c>
      <c r="G77" s="22">
        <f t="shared" si="21"/>
        <v>0</v>
      </c>
      <c r="H77" s="50">
        <f>H72+H73-H76</f>
        <v>3</v>
      </c>
    </row>
    <row r="78" spans="1:8" ht="15.6" customHeight="1" x14ac:dyDescent="0.3">
      <c r="A78" s="476" t="s">
        <v>109</v>
      </c>
      <c r="B78" s="21" t="s">
        <v>85</v>
      </c>
      <c r="C78" s="4" t="s">
        <v>3</v>
      </c>
      <c r="D78" s="22">
        <f>Balaka!J78</f>
        <v>0</v>
      </c>
      <c r="E78" s="22">
        <f>Liwonde!J78</f>
        <v>0</v>
      </c>
      <c r="F78" s="22">
        <f>Machinga!J78</f>
        <v>0</v>
      </c>
      <c r="G78" s="22">
        <f>Ntaja!J78</f>
        <v>0</v>
      </c>
      <c r="H78" s="31">
        <f>SUM(D78:G78)</f>
        <v>0</v>
      </c>
    </row>
    <row r="79" spans="1:8" ht="15.6" x14ac:dyDescent="0.3">
      <c r="A79" s="477"/>
      <c r="B79" s="21" t="s">
        <v>106</v>
      </c>
      <c r="C79" s="4" t="s">
        <v>3</v>
      </c>
      <c r="D79" s="22">
        <f>Balaka!J79+Balaka!K79+Balaka!L79</f>
        <v>0</v>
      </c>
      <c r="E79" s="22">
        <f>Liwonde!J79+Liwonde!K79+Liwonde!L79</f>
        <v>0</v>
      </c>
      <c r="F79" s="22">
        <f>Machinga!J79+Machinga!K79+Machinga!L79</f>
        <v>0</v>
      </c>
      <c r="G79" s="22">
        <f>Ntaja!J79+Ntaja!K79+Ntaja!L79</f>
        <v>0</v>
      </c>
      <c r="H79" s="31">
        <f>SUM(D79:G79)</f>
        <v>0</v>
      </c>
    </row>
    <row r="80" spans="1:8" ht="27" x14ac:dyDescent="0.3">
      <c r="A80" s="477"/>
      <c r="B80" s="21" t="s">
        <v>105</v>
      </c>
      <c r="C80" s="4" t="s">
        <v>3</v>
      </c>
      <c r="D80" s="22">
        <f>Balaka!J80+Balaka!K80+Balaka!L80</f>
        <v>0</v>
      </c>
      <c r="E80" s="22">
        <f>Liwonde!J80+Liwonde!K80+Liwonde!L80</f>
        <v>0</v>
      </c>
      <c r="F80" s="22">
        <f>Machinga!J80+Machinga!K80+Machinga!L80</f>
        <v>0</v>
      </c>
      <c r="G80" s="22">
        <f>Ntaja!J80+Ntaja!K80+Ntaja!L80</f>
        <v>0</v>
      </c>
      <c r="H80" s="31">
        <f>SUM(D80:G80)</f>
        <v>0</v>
      </c>
    </row>
    <row r="81" spans="1:8" ht="27" x14ac:dyDescent="0.3">
      <c r="A81" s="477"/>
      <c r="B81" s="21" t="s">
        <v>104</v>
      </c>
      <c r="C81" s="4" t="s">
        <v>3</v>
      </c>
      <c r="D81" s="22">
        <f>Balaka!J81+Balaka!K81+Balaka!L81</f>
        <v>0</v>
      </c>
      <c r="E81" s="22">
        <f>Liwonde!J81+Liwonde!K81+Liwonde!L81</f>
        <v>0</v>
      </c>
      <c r="F81" s="22">
        <f>Machinga!J81+Machinga!K81+Machinga!L81</f>
        <v>0</v>
      </c>
      <c r="G81" s="22">
        <f>Ntaja!J81+Ntaja!K81+Ntaja!L81</f>
        <v>0</v>
      </c>
      <c r="H81" s="31">
        <f>SUM(D81:G81)</f>
        <v>0</v>
      </c>
    </row>
    <row r="82" spans="1:8" ht="15.6" x14ac:dyDescent="0.3">
      <c r="A82" s="477"/>
      <c r="B82" s="21" t="s">
        <v>190</v>
      </c>
      <c r="C82" s="4" t="s">
        <v>3</v>
      </c>
      <c r="D82" s="3">
        <f>D81+D80</f>
        <v>0</v>
      </c>
      <c r="E82" s="22">
        <f t="shared" ref="E82:G82" si="22">E81+E80</f>
        <v>0</v>
      </c>
      <c r="F82" s="22">
        <f t="shared" si="22"/>
        <v>0</v>
      </c>
      <c r="G82" s="3">
        <f t="shared" si="22"/>
        <v>0</v>
      </c>
      <c r="H82" s="31">
        <f>SUM(D82:G82)</f>
        <v>0</v>
      </c>
    </row>
    <row r="83" spans="1:8" ht="15.6" x14ac:dyDescent="0.3">
      <c r="A83" s="478"/>
      <c r="B83" s="21" t="s">
        <v>81</v>
      </c>
      <c r="C83" s="4" t="s">
        <v>3</v>
      </c>
      <c r="D83" s="22">
        <f>D78+D79-D82</f>
        <v>0</v>
      </c>
      <c r="E83" s="22">
        <f>Liwonde!J83+Liwonde!K83+Liwonde!L83</f>
        <v>0</v>
      </c>
      <c r="F83" s="22">
        <f t="shared" ref="F83:G83" si="23">F78+F79-F82</f>
        <v>0</v>
      </c>
      <c r="G83" s="22">
        <f t="shared" si="23"/>
        <v>0</v>
      </c>
      <c r="H83" s="50">
        <f>H78+H79-H82</f>
        <v>0</v>
      </c>
    </row>
    <row r="84" spans="1:8" ht="15.6" x14ac:dyDescent="0.3">
      <c r="A84" s="479" t="s">
        <v>108</v>
      </c>
      <c r="B84" s="21" t="s">
        <v>85</v>
      </c>
      <c r="C84" s="4" t="s">
        <v>3</v>
      </c>
      <c r="D84" s="22">
        <f>Balaka!J84</f>
        <v>0</v>
      </c>
      <c r="E84" s="22">
        <f>Liwonde!J84</f>
        <v>0</v>
      </c>
      <c r="F84" s="22">
        <f>Machinga!J84</f>
        <v>0</v>
      </c>
      <c r="G84" s="22">
        <f>Ntaja!J84</f>
        <v>0</v>
      </c>
      <c r="H84" s="31">
        <f>SUM(D84:G84)</f>
        <v>0</v>
      </c>
    </row>
    <row r="85" spans="1:8" ht="15.6" x14ac:dyDescent="0.3">
      <c r="A85" s="480"/>
      <c r="B85" s="21" t="s">
        <v>106</v>
      </c>
      <c r="C85" s="4" t="s">
        <v>3</v>
      </c>
      <c r="D85" s="22">
        <f>Balaka!J85+Balaka!K85+Balaka!L85</f>
        <v>0</v>
      </c>
      <c r="E85" s="22">
        <f>Liwonde!J85+Liwonde!K85+Liwonde!L85</f>
        <v>0</v>
      </c>
      <c r="F85" s="22">
        <f>Machinga!J85+Machinga!K85+Machinga!L85</f>
        <v>0</v>
      </c>
      <c r="G85" s="22">
        <f>Ntaja!J85+Ntaja!K85+Ntaja!L85</f>
        <v>0</v>
      </c>
      <c r="H85" s="31">
        <f>SUM(D85:G85)</f>
        <v>0</v>
      </c>
    </row>
    <row r="86" spans="1:8" ht="27" x14ac:dyDescent="0.3">
      <c r="A86" s="480"/>
      <c r="B86" s="21" t="s">
        <v>105</v>
      </c>
      <c r="C86" s="4" t="s">
        <v>3</v>
      </c>
      <c r="D86" s="22">
        <f>Balaka!J86+Balaka!K86+Balaka!L86</f>
        <v>0</v>
      </c>
      <c r="E86" s="22">
        <f>Liwonde!J86+Liwonde!K86+Liwonde!L86</f>
        <v>0</v>
      </c>
      <c r="F86" s="22">
        <f>Machinga!J86+Machinga!K86+Machinga!L86</f>
        <v>0</v>
      </c>
      <c r="G86" s="22">
        <f>Ntaja!J86+Ntaja!K86+Ntaja!L86</f>
        <v>0</v>
      </c>
      <c r="H86" s="31">
        <f>SUM(D86:G86)</f>
        <v>0</v>
      </c>
    </row>
    <row r="87" spans="1:8" ht="27" x14ac:dyDescent="0.3">
      <c r="A87" s="480"/>
      <c r="B87" s="21" t="s">
        <v>104</v>
      </c>
      <c r="C87" s="4" t="s">
        <v>3</v>
      </c>
      <c r="D87" s="22">
        <f>Balaka!J87+Balaka!K87+Balaka!L87</f>
        <v>0</v>
      </c>
      <c r="E87" s="22">
        <f>Liwonde!J87+Liwonde!K87+Liwonde!L87</f>
        <v>0</v>
      </c>
      <c r="F87" s="22">
        <f>Machinga!J87+Machinga!K87+Machinga!L87</f>
        <v>0</v>
      </c>
      <c r="G87" s="22">
        <f>Ntaja!J87+Ntaja!K87+Ntaja!L87</f>
        <v>0</v>
      </c>
      <c r="H87" s="31">
        <f>SUM(D87:G87)</f>
        <v>0</v>
      </c>
    </row>
    <row r="88" spans="1:8" ht="15.6" x14ac:dyDescent="0.3">
      <c r="A88" s="480"/>
      <c r="B88" s="21" t="s">
        <v>190</v>
      </c>
      <c r="C88" s="4" t="s">
        <v>3</v>
      </c>
      <c r="D88" s="3">
        <f>D87+D86</f>
        <v>0</v>
      </c>
      <c r="E88" s="22">
        <f t="shared" ref="E88:G88" si="24">E87+E86</f>
        <v>0</v>
      </c>
      <c r="F88" s="22">
        <f t="shared" si="24"/>
        <v>0</v>
      </c>
      <c r="G88" s="3">
        <f t="shared" si="24"/>
        <v>0</v>
      </c>
      <c r="H88" s="31">
        <f>SUM(D88:G88)</f>
        <v>0</v>
      </c>
    </row>
    <row r="89" spans="1:8" ht="15.6" x14ac:dyDescent="0.3">
      <c r="A89" s="481"/>
      <c r="B89" s="32" t="s">
        <v>81</v>
      </c>
      <c r="C89" s="4" t="s">
        <v>3</v>
      </c>
      <c r="D89" s="22">
        <f>D84+D85-D88</f>
        <v>0</v>
      </c>
      <c r="E89" s="22">
        <f t="shared" ref="E89:G89" si="25">E84+E85-E88</f>
        <v>0</v>
      </c>
      <c r="F89" s="22">
        <f t="shared" si="25"/>
        <v>0</v>
      </c>
      <c r="G89" s="22">
        <f t="shared" si="25"/>
        <v>0</v>
      </c>
      <c r="H89" s="50">
        <f>H84+H85-H88</f>
        <v>0</v>
      </c>
    </row>
    <row r="90" spans="1:8" ht="15.6" x14ac:dyDescent="0.3">
      <c r="A90" s="479" t="s">
        <v>107</v>
      </c>
      <c r="B90" s="21" t="s">
        <v>85</v>
      </c>
      <c r="C90" s="4" t="s">
        <v>3</v>
      </c>
      <c r="D90" s="119">
        <f t="shared" ref="D90:E93" si="26">D66+D72+D78+D84</f>
        <v>422</v>
      </c>
      <c r="E90" s="119">
        <f t="shared" si="26"/>
        <v>834</v>
      </c>
      <c r="F90" s="119">
        <f t="shared" ref="F90:G90" si="27">F66+F72+F78+F84</f>
        <v>4</v>
      </c>
      <c r="G90" s="119">
        <f t="shared" si="27"/>
        <v>30</v>
      </c>
      <c r="H90" s="31">
        <f>SUM(D90:G90)</f>
        <v>1290</v>
      </c>
    </row>
    <row r="91" spans="1:8" ht="15.6" x14ac:dyDescent="0.3">
      <c r="A91" s="480"/>
      <c r="B91" s="21" t="s">
        <v>106</v>
      </c>
      <c r="C91" s="4" t="s">
        <v>3</v>
      </c>
      <c r="D91" s="119">
        <f t="shared" si="26"/>
        <v>91</v>
      </c>
      <c r="E91" s="119">
        <f t="shared" si="26"/>
        <v>132</v>
      </c>
      <c r="F91" s="119">
        <f t="shared" ref="F91:G91" si="28">F67+F73+F79+F85</f>
        <v>11</v>
      </c>
      <c r="G91" s="119">
        <f t="shared" si="28"/>
        <v>13</v>
      </c>
      <c r="H91" s="31">
        <f>SUM(D91:G91)</f>
        <v>247</v>
      </c>
    </row>
    <row r="92" spans="1:8" ht="27" x14ac:dyDescent="0.3">
      <c r="A92" s="480"/>
      <c r="B92" s="21" t="s">
        <v>105</v>
      </c>
      <c r="C92" s="4" t="s">
        <v>3</v>
      </c>
      <c r="D92" s="119">
        <f t="shared" si="26"/>
        <v>109</v>
      </c>
      <c r="E92" s="119">
        <f t="shared" si="26"/>
        <v>73</v>
      </c>
      <c r="F92" s="119">
        <f t="shared" ref="F92:G92" si="29">F68+F74+F80+F86</f>
        <v>0</v>
      </c>
      <c r="G92" s="119">
        <f t="shared" si="29"/>
        <v>0</v>
      </c>
      <c r="H92" s="31">
        <f>SUM(D92:G92)</f>
        <v>182</v>
      </c>
    </row>
    <row r="93" spans="1:8" ht="27" x14ac:dyDescent="0.3">
      <c r="A93" s="480"/>
      <c r="B93" s="21" t="s">
        <v>104</v>
      </c>
      <c r="C93" s="4"/>
      <c r="D93" s="119">
        <f t="shared" si="26"/>
        <v>0</v>
      </c>
      <c r="E93" s="119">
        <f t="shared" si="26"/>
        <v>80</v>
      </c>
      <c r="F93" s="119">
        <f t="shared" ref="F93:G93" si="30">F69+F75+F81+F87</f>
        <v>10</v>
      </c>
      <c r="G93" s="119">
        <f t="shared" si="30"/>
        <v>25</v>
      </c>
      <c r="H93" s="31">
        <f>SUM(D93:G93)</f>
        <v>115</v>
      </c>
    </row>
    <row r="94" spans="1:8" ht="15.6" x14ac:dyDescent="0.3">
      <c r="A94" s="480"/>
      <c r="B94" s="21" t="s">
        <v>190</v>
      </c>
      <c r="C94" s="4" t="s">
        <v>3</v>
      </c>
      <c r="D94" s="120">
        <f t="shared" ref="D94:E94" si="31">D93+D92</f>
        <v>109</v>
      </c>
      <c r="E94" s="120">
        <f t="shared" si="31"/>
        <v>153</v>
      </c>
      <c r="F94" s="120">
        <f t="shared" ref="F94:G94" si="32">F93+F92</f>
        <v>10</v>
      </c>
      <c r="G94" s="120">
        <f t="shared" si="32"/>
        <v>25</v>
      </c>
      <c r="H94" s="31">
        <f>SUM(D94:G94)</f>
        <v>297</v>
      </c>
    </row>
    <row r="95" spans="1:8" ht="16.2" thickBot="1" x14ac:dyDescent="0.35">
      <c r="A95" s="481"/>
      <c r="B95" s="21" t="s">
        <v>81</v>
      </c>
      <c r="C95" s="4" t="s">
        <v>3</v>
      </c>
      <c r="D95" s="121">
        <f t="shared" ref="D95:E95" si="33">D90+D91-D94</f>
        <v>404</v>
      </c>
      <c r="E95" s="121">
        <f t="shared" si="33"/>
        <v>813</v>
      </c>
      <c r="F95" s="121">
        <f t="shared" ref="F95:G95" si="34">F90+F91-F94</f>
        <v>5</v>
      </c>
      <c r="G95" s="121">
        <f t="shared" si="34"/>
        <v>18</v>
      </c>
      <c r="H95" s="50">
        <f>H90+H91-H94</f>
        <v>1240</v>
      </c>
    </row>
    <row r="96" spans="1:8" ht="16.2" customHeight="1" thickBot="1" x14ac:dyDescent="0.35">
      <c r="A96" s="482"/>
      <c r="B96" s="483"/>
      <c r="C96" s="483"/>
      <c r="D96" s="483"/>
      <c r="E96" s="483"/>
      <c r="F96" s="483"/>
      <c r="G96" s="483"/>
      <c r="H96" s="484"/>
    </row>
    <row r="97" spans="1:8" ht="15.75" customHeight="1" thickBot="1" x14ac:dyDescent="0.35">
      <c r="A97" s="470" t="s">
        <v>191</v>
      </c>
      <c r="B97" s="471"/>
      <c r="C97" s="471"/>
      <c r="D97" s="471"/>
      <c r="E97" s="471"/>
      <c r="F97" s="471"/>
      <c r="G97" s="471"/>
      <c r="H97" s="472"/>
    </row>
    <row r="98" spans="1:8" ht="15.6" x14ac:dyDescent="0.3">
      <c r="A98" s="72" t="s">
        <v>192</v>
      </c>
      <c r="B98" s="62"/>
      <c r="C98" s="4" t="s">
        <v>3</v>
      </c>
      <c r="D98" s="22">
        <f>Balaka!J98+Balaka!K98+Balaka!L98</f>
        <v>92</v>
      </c>
      <c r="E98" s="153">
        <f>Liwonde!J98+Liwonde!K98+Liwonde!L98</f>
        <v>88</v>
      </c>
      <c r="F98" s="153">
        <f>Machinga!J98+Machinga!K98+Machinga!L98</f>
        <v>13</v>
      </c>
      <c r="G98" s="22">
        <f>Ntaja!J98+Ntaja!K98+Ntaja!L98</f>
        <v>25</v>
      </c>
      <c r="H98" s="96">
        <f>SUM(D98:G98)</f>
        <v>218</v>
      </c>
    </row>
    <row r="99" spans="1:8" ht="15.6" x14ac:dyDescent="0.3">
      <c r="A99" s="72"/>
      <c r="B99" s="21"/>
      <c r="C99" s="4"/>
      <c r="D99" s="59"/>
      <c r="E99" s="59"/>
      <c r="F99" s="59"/>
      <c r="G99" s="59"/>
      <c r="H99" s="95"/>
    </row>
    <row r="100" spans="1:8" ht="15" thickBot="1" x14ac:dyDescent="0.35">
      <c r="A100" s="473" t="s">
        <v>103</v>
      </c>
      <c r="B100" s="474"/>
      <c r="C100" s="474"/>
      <c r="D100" s="474"/>
      <c r="E100" s="474"/>
      <c r="F100" s="474"/>
      <c r="G100" s="474"/>
      <c r="H100" s="475"/>
    </row>
    <row r="101" spans="1:8" ht="15.6" x14ac:dyDescent="0.3">
      <c r="A101" s="447" t="s">
        <v>102</v>
      </c>
      <c r="B101" s="448"/>
      <c r="C101" s="4" t="s">
        <v>3</v>
      </c>
      <c r="D101" s="157">
        <f>Balaka!L101</f>
        <v>2683</v>
      </c>
      <c r="E101" s="156">
        <f>Liwonde!L101</f>
        <v>1698</v>
      </c>
      <c r="F101" s="156">
        <f>Machinga!L101</f>
        <v>211</v>
      </c>
      <c r="G101" s="157">
        <f>Ntaja!L101</f>
        <v>0</v>
      </c>
      <c r="H101" s="28">
        <f>SUM(D101:G101)</f>
        <v>4592</v>
      </c>
    </row>
    <row r="102" spans="1:8" ht="15.6" x14ac:dyDescent="0.3">
      <c r="A102" s="447" t="s">
        <v>101</v>
      </c>
      <c r="B102" s="448"/>
      <c r="C102" s="4" t="s">
        <v>3</v>
      </c>
      <c r="D102" s="22">
        <f>Balaka!L102</f>
        <v>49</v>
      </c>
      <c r="E102" s="22">
        <f>Liwonde!L102</f>
        <v>33</v>
      </c>
      <c r="F102" s="22">
        <f>Machinga!L102</f>
        <v>5</v>
      </c>
      <c r="G102" s="22">
        <f>Ntaja!L102</f>
        <v>0</v>
      </c>
      <c r="H102" s="28">
        <f>SUM(D102:G102)</f>
        <v>87</v>
      </c>
    </row>
    <row r="103" spans="1:8" ht="15.6" customHeight="1" x14ac:dyDescent="0.3">
      <c r="A103" s="445" t="s">
        <v>100</v>
      </c>
      <c r="B103" s="446"/>
      <c r="C103" s="4" t="s">
        <v>3</v>
      </c>
      <c r="D103" s="22">
        <f>Balaka!L103</f>
        <v>96</v>
      </c>
      <c r="E103" s="22">
        <f>Liwonde!L103</f>
        <v>20</v>
      </c>
      <c r="F103" s="22">
        <f>Machinga!L103</f>
        <v>3</v>
      </c>
      <c r="G103" s="22">
        <f>Ntaja!L103</f>
        <v>3</v>
      </c>
      <c r="H103" s="28">
        <f>SUM(D103:G103)</f>
        <v>122</v>
      </c>
    </row>
    <row r="104" spans="1:8" ht="15.6" x14ac:dyDescent="0.3">
      <c r="A104" s="445" t="s">
        <v>99</v>
      </c>
      <c r="B104" s="446"/>
      <c r="C104" s="4" t="s">
        <v>3</v>
      </c>
      <c r="D104" s="22">
        <f>Balaka!L104</f>
        <v>18</v>
      </c>
      <c r="E104" s="22">
        <f>Liwonde!L104</f>
        <v>15</v>
      </c>
      <c r="F104" s="22">
        <f>Machinga!L104</f>
        <v>0</v>
      </c>
      <c r="G104" s="22">
        <f>Ntaja!L104</f>
        <v>0</v>
      </c>
      <c r="H104" s="28">
        <f>SUM(D104:G104)</f>
        <v>33</v>
      </c>
    </row>
    <row r="105" spans="1:8" ht="15.6" x14ac:dyDescent="0.3">
      <c r="A105" s="485" t="s">
        <v>98</v>
      </c>
      <c r="B105" s="486"/>
      <c r="C105" s="4" t="s">
        <v>3</v>
      </c>
      <c r="D105" s="29">
        <f>SUM(D101:D104)</f>
        <v>2846</v>
      </c>
      <c r="E105" s="29">
        <f t="shared" ref="E105:H105" si="35">SUM(E101:E104)</f>
        <v>1766</v>
      </c>
      <c r="F105" s="29">
        <f t="shared" si="35"/>
        <v>219</v>
      </c>
      <c r="G105" s="29">
        <f t="shared" si="35"/>
        <v>3</v>
      </c>
      <c r="H105" s="29">
        <f t="shared" si="35"/>
        <v>4834</v>
      </c>
    </row>
    <row r="106" spans="1:8" ht="15.6" customHeight="1" thickBot="1" x14ac:dyDescent="0.35">
      <c r="A106" s="487" t="s">
        <v>212</v>
      </c>
      <c r="B106" s="488"/>
      <c r="C106" s="488"/>
      <c r="D106" s="488"/>
      <c r="E106" s="488"/>
      <c r="F106" s="488"/>
      <c r="G106" s="488"/>
      <c r="H106" s="489"/>
    </row>
    <row r="107" spans="1:8" ht="15.6" x14ac:dyDescent="0.3">
      <c r="A107" s="447" t="s">
        <v>195</v>
      </c>
      <c r="B107" s="448"/>
      <c r="C107" s="4" t="s">
        <v>3</v>
      </c>
      <c r="D107" s="157">
        <f>Balaka!L107</f>
        <v>2964</v>
      </c>
      <c r="E107" s="156">
        <f>Liwonde!L107</f>
        <v>2587</v>
      </c>
      <c r="F107" s="156">
        <f>Machinga!L107</f>
        <v>5</v>
      </c>
      <c r="G107" s="157">
        <f>Ntaja!L107</f>
        <v>1</v>
      </c>
      <c r="H107" s="28">
        <f>SUM(D107:G107)</f>
        <v>5557</v>
      </c>
    </row>
    <row r="108" spans="1:8" ht="15.6" x14ac:dyDescent="0.3">
      <c r="A108" s="447" t="s">
        <v>196</v>
      </c>
      <c r="B108" s="448"/>
      <c r="C108" s="4" t="s">
        <v>3</v>
      </c>
      <c r="D108" s="22">
        <f>Balaka!L108</f>
        <v>8</v>
      </c>
      <c r="E108" s="22">
        <f>Liwonde!L108</f>
        <v>9</v>
      </c>
      <c r="F108" s="22">
        <f>Machinga!L108</f>
        <v>1</v>
      </c>
      <c r="G108" s="22">
        <f>Ntaja!L108</f>
        <v>2</v>
      </c>
      <c r="H108" s="28">
        <f>SUM(D108:G108)</f>
        <v>20</v>
      </c>
    </row>
    <row r="109" spans="1:8" ht="15.6" x14ac:dyDescent="0.3">
      <c r="A109" s="447" t="s">
        <v>197</v>
      </c>
      <c r="B109" s="448"/>
      <c r="C109" s="4" t="s">
        <v>3</v>
      </c>
      <c r="D109" s="22">
        <f>Balaka!L109</f>
        <v>2</v>
      </c>
      <c r="E109" s="22">
        <f>Liwonde!L109</f>
        <v>4</v>
      </c>
      <c r="F109" s="22">
        <f>Machinga!L109</f>
        <v>0</v>
      </c>
      <c r="G109" s="22">
        <f>Ntaja!L109</f>
        <v>0</v>
      </c>
      <c r="H109" s="28">
        <f>SUM(D109:G109)</f>
        <v>6</v>
      </c>
    </row>
    <row r="110" spans="1:8" ht="15.6" x14ac:dyDescent="0.3">
      <c r="A110" s="447" t="s">
        <v>198</v>
      </c>
      <c r="B110" s="448"/>
      <c r="C110" s="4" t="s">
        <v>3</v>
      </c>
      <c r="D110" s="22">
        <f>Balaka!L110</f>
        <v>11</v>
      </c>
      <c r="E110" s="22">
        <f>Liwonde!L110</f>
        <v>11</v>
      </c>
      <c r="F110" s="22">
        <f>Machinga!L110</f>
        <v>0</v>
      </c>
      <c r="G110" s="22">
        <f>Ntaja!L110</f>
        <v>0</v>
      </c>
      <c r="H110" s="28">
        <f>SUM(D110:G110)</f>
        <v>22</v>
      </c>
    </row>
    <row r="111" spans="1:8" ht="15.6" x14ac:dyDescent="0.3">
      <c r="A111" s="449" t="s">
        <v>97</v>
      </c>
      <c r="B111" s="450"/>
      <c r="C111" s="4" t="s">
        <v>3</v>
      </c>
      <c r="D111" s="29">
        <f>SUM(D107:D110)</f>
        <v>2985</v>
      </c>
      <c r="E111" s="29">
        <f t="shared" ref="E111:H111" si="36">SUM(E107:E110)</f>
        <v>2611</v>
      </c>
      <c r="F111" s="29">
        <f t="shared" si="36"/>
        <v>6</v>
      </c>
      <c r="G111" s="29">
        <f t="shared" si="36"/>
        <v>3</v>
      </c>
      <c r="H111" s="29">
        <f t="shared" si="36"/>
        <v>5605</v>
      </c>
    </row>
    <row r="112" spans="1:8" ht="15.6" customHeight="1" thickBot="1" x14ac:dyDescent="0.35">
      <c r="A112" s="473" t="s">
        <v>212</v>
      </c>
      <c r="B112" s="474"/>
      <c r="C112" s="474"/>
      <c r="D112" s="474"/>
      <c r="E112" s="474"/>
      <c r="F112" s="474"/>
      <c r="G112" s="474"/>
      <c r="H112" s="475"/>
    </row>
    <row r="113" spans="1:8" ht="15.6" x14ac:dyDescent="0.3">
      <c r="A113" s="447" t="s">
        <v>199</v>
      </c>
      <c r="B113" s="448"/>
      <c r="C113" s="4" t="s">
        <v>3</v>
      </c>
      <c r="D113" s="157">
        <f>Balaka!L113</f>
        <v>2306</v>
      </c>
      <c r="E113" s="156">
        <f>Liwonde!L113</f>
        <v>1636</v>
      </c>
      <c r="F113" s="156">
        <f>Machinga!L113</f>
        <v>347</v>
      </c>
      <c r="G113" s="157">
        <f>Ntaja!L113</f>
        <v>662</v>
      </c>
      <c r="H113" s="28">
        <f>SUM(D113:G113)</f>
        <v>4951</v>
      </c>
    </row>
    <row r="114" spans="1:8" ht="15.6" x14ac:dyDescent="0.3">
      <c r="A114" s="447" t="s">
        <v>200</v>
      </c>
      <c r="B114" s="448"/>
      <c r="C114" s="4" t="s">
        <v>3</v>
      </c>
      <c r="D114" s="22">
        <f>Balaka!L114</f>
        <v>78</v>
      </c>
      <c r="E114" s="22">
        <f>Liwonde!L114</f>
        <v>45</v>
      </c>
      <c r="F114" s="22">
        <f>Machinga!L114</f>
        <v>14</v>
      </c>
      <c r="G114" s="22">
        <f>Ntaja!L114</f>
        <v>21</v>
      </c>
      <c r="H114" s="28">
        <f>SUM(D114:G114)</f>
        <v>158</v>
      </c>
    </row>
    <row r="115" spans="1:8" ht="15.6" x14ac:dyDescent="0.3">
      <c r="A115" s="447" t="s">
        <v>201</v>
      </c>
      <c r="B115" s="448"/>
      <c r="C115" s="4" t="s">
        <v>3</v>
      </c>
      <c r="D115" s="22">
        <f>Balaka!L115</f>
        <v>73</v>
      </c>
      <c r="E115" s="22">
        <f>Liwonde!L115</f>
        <v>114</v>
      </c>
      <c r="F115" s="22">
        <f>Machinga!L115</f>
        <v>27</v>
      </c>
      <c r="G115" s="22">
        <f>Ntaja!L115</f>
        <v>17</v>
      </c>
      <c r="H115" s="28">
        <f>SUM(D115:G115)</f>
        <v>231</v>
      </c>
    </row>
    <row r="116" spans="1:8" ht="15.6" x14ac:dyDescent="0.3">
      <c r="A116" s="447" t="s">
        <v>202</v>
      </c>
      <c r="B116" s="448"/>
      <c r="C116" s="4" t="s">
        <v>3</v>
      </c>
      <c r="D116" s="22">
        <f>Balaka!L116</f>
        <v>5</v>
      </c>
      <c r="E116" s="22">
        <f>Liwonde!L116</f>
        <v>1</v>
      </c>
      <c r="F116" s="22">
        <f>Machinga!L116</f>
        <v>0</v>
      </c>
      <c r="G116" s="22">
        <f>Ntaja!L116</f>
        <v>3</v>
      </c>
      <c r="H116" s="28">
        <f>SUM(D116:G116)</f>
        <v>9</v>
      </c>
    </row>
    <row r="117" spans="1:8" ht="15.6" x14ac:dyDescent="0.3">
      <c r="A117" s="449" t="s">
        <v>96</v>
      </c>
      <c r="B117" s="450"/>
      <c r="C117" s="4" t="s">
        <v>3</v>
      </c>
      <c r="D117" s="29">
        <f>SUM(D113:D116)</f>
        <v>2462</v>
      </c>
      <c r="E117" s="29">
        <f t="shared" ref="E117:H117" si="37">SUM(E113:E116)</f>
        <v>1796</v>
      </c>
      <c r="F117" s="29">
        <f t="shared" si="37"/>
        <v>388</v>
      </c>
      <c r="G117" s="29">
        <f t="shared" si="37"/>
        <v>703</v>
      </c>
      <c r="H117" s="29">
        <f t="shared" si="37"/>
        <v>5349</v>
      </c>
    </row>
    <row r="118" spans="1:8" ht="15.6" x14ac:dyDescent="0.3">
      <c r="A118" s="69" t="s">
        <v>193</v>
      </c>
      <c r="B118" s="70"/>
      <c r="C118" s="4" t="s">
        <v>3</v>
      </c>
      <c r="D118" s="29">
        <f t="shared" ref="D118:G118" si="38">D117+D111</f>
        <v>5447</v>
      </c>
      <c r="E118" s="29">
        <f t="shared" si="38"/>
        <v>4407</v>
      </c>
      <c r="F118" s="29">
        <f t="shared" si="38"/>
        <v>394</v>
      </c>
      <c r="G118" s="29">
        <f t="shared" si="38"/>
        <v>706</v>
      </c>
      <c r="H118" s="50">
        <f t="shared" ref="H118" si="39">H117+H112</f>
        <v>5349</v>
      </c>
    </row>
    <row r="119" spans="1:8" ht="15.6" x14ac:dyDescent="0.3">
      <c r="A119" s="449" t="s">
        <v>194</v>
      </c>
      <c r="B119" s="450"/>
      <c r="C119" s="4" t="s">
        <v>3</v>
      </c>
      <c r="D119" s="29">
        <f>D118+D105</f>
        <v>8293</v>
      </c>
      <c r="E119" s="29">
        <f t="shared" ref="E119:G119" si="40">E118+E105</f>
        <v>6173</v>
      </c>
      <c r="F119" s="29">
        <f t="shared" si="40"/>
        <v>613</v>
      </c>
      <c r="G119" s="29">
        <f t="shared" si="40"/>
        <v>709</v>
      </c>
      <c r="H119" s="50">
        <f t="shared" ref="H119" si="41">H118+H106</f>
        <v>5349</v>
      </c>
    </row>
    <row r="120" spans="1:8" ht="15" thickBot="1" x14ac:dyDescent="0.35">
      <c r="A120" s="441" t="s">
        <v>203</v>
      </c>
      <c r="B120" s="442"/>
      <c r="C120" s="442"/>
      <c r="D120" s="442"/>
      <c r="E120" s="442"/>
      <c r="F120" s="442"/>
      <c r="G120" s="442"/>
      <c r="H120" s="444"/>
    </row>
    <row r="121" spans="1:8" ht="16.2" thickBot="1" x14ac:dyDescent="0.35">
      <c r="A121" s="447" t="s">
        <v>95</v>
      </c>
      <c r="B121" s="448"/>
      <c r="C121" s="4" t="s">
        <v>3</v>
      </c>
      <c r="D121" s="157">
        <f>Balaka!L121</f>
        <v>46253</v>
      </c>
      <c r="E121" s="156">
        <f>Liwonde!L121</f>
        <v>42663.75</v>
      </c>
      <c r="F121" s="156">
        <f>Machinga!L121</f>
        <v>1499.85</v>
      </c>
      <c r="G121" s="157">
        <f>Ntaja!L121</f>
        <v>4326.84</v>
      </c>
      <c r="H121" s="27">
        <f>SUM(D121:G121)</f>
        <v>94743.44</v>
      </c>
    </row>
    <row r="122" spans="1:8" ht="15.6" x14ac:dyDescent="0.3">
      <c r="A122" s="447" t="s">
        <v>94</v>
      </c>
      <c r="B122" s="448"/>
      <c r="C122" s="4" t="s">
        <v>3</v>
      </c>
      <c r="D122" s="157">
        <f>Balaka!L122</f>
        <v>38017</v>
      </c>
      <c r="E122" s="156">
        <f>Liwonde!L122</f>
        <v>38397.379999999997</v>
      </c>
      <c r="F122" s="156">
        <f>Machinga!L122</f>
        <v>1301.8900000000001</v>
      </c>
      <c r="G122" s="157">
        <f>Ntaja!L122</f>
        <v>2877.49</v>
      </c>
      <c r="H122" s="27">
        <f>SUM(D122:G122)</f>
        <v>80593.760000000009</v>
      </c>
    </row>
    <row r="123" spans="1:8" ht="15.6" x14ac:dyDescent="0.3">
      <c r="A123" s="494" t="s">
        <v>93</v>
      </c>
      <c r="B123" s="495"/>
      <c r="C123" s="26" t="s">
        <v>6</v>
      </c>
      <c r="D123" s="25">
        <f t="shared" ref="D123:H123" si="42">D122/D121</f>
        <v>0.82193587442976668</v>
      </c>
      <c r="E123" s="25">
        <f t="shared" si="42"/>
        <v>0.90000011719551132</v>
      </c>
      <c r="F123" s="25">
        <f t="shared" si="42"/>
        <v>0.86801346801346813</v>
      </c>
      <c r="G123" s="25">
        <f t="shared" si="42"/>
        <v>0.66503267973856206</v>
      </c>
      <c r="H123" s="97">
        <f t="shared" si="42"/>
        <v>0.85065266787864158</v>
      </c>
    </row>
    <row r="124" spans="1:8" x14ac:dyDescent="0.3">
      <c r="A124" s="490" t="s">
        <v>92</v>
      </c>
      <c r="B124" s="491"/>
      <c r="C124" s="491"/>
      <c r="D124" s="491"/>
      <c r="E124" s="491"/>
      <c r="F124" s="491"/>
      <c r="G124" s="491"/>
      <c r="H124" s="492"/>
    </row>
    <row r="125" spans="1:8" ht="15.6" x14ac:dyDescent="0.3">
      <c r="A125" s="453" t="s">
        <v>91</v>
      </c>
      <c r="B125" s="21" t="s">
        <v>85</v>
      </c>
      <c r="C125" s="4" t="s">
        <v>3</v>
      </c>
      <c r="D125" s="22">
        <f>Balaka!J125</f>
        <v>0</v>
      </c>
      <c r="E125" s="22">
        <f>Liwonde!J125</f>
        <v>0</v>
      </c>
      <c r="F125" s="22">
        <f>Machinga!J125</f>
        <v>0</v>
      </c>
      <c r="G125" s="22">
        <f>Ntaja!J125</f>
        <v>0</v>
      </c>
      <c r="H125" s="16">
        <f>D125</f>
        <v>0</v>
      </c>
    </row>
    <row r="126" spans="1:8" ht="15.6" x14ac:dyDescent="0.3">
      <c r="A126" s="493"/>
      <c r="B126" s="21" t="s">
        <v>84</v>
      </c>
      <c r="C126" s="4" t="s">
        <v>3</v>
      </c>
      <c r="D126" s="22">
        <f>Balaka!J126+Balaka!K126+Balaka!L126</f>
        <v>0</v>
      </c>
      <c r="E126" s="22">
        <f>Liwonde!J126+Liwonde!K126+Liwonde!L126</f>
        <v>0</v>
      </c>
      <c r="F126" s="22">
        <f>Machinga!J126+Machinga!K126+Machinga!L126</f>
        <v>0</v>
      </c>
      <c r="G126" s="22">
        <f>Ntaja!J126+Ntaja!K126+Ntaja!L126</f>
        <v>0</v>
      </c>
      <c r="H126" s="16">
        <f>SUM(D126:G126)</f>
        <v>0</v>
      </c>
    </row>
    <row r="127" spans="1:8" ht="15.6" x14ac:dyDescent="0.3">
      <c r="A127" s="493"/>
      <c r="B127" s="71" t="s">
        <v>88</v>
      </c>
      <c r="C127" s="4" t="s">
        <v>3</v>
      </c>
      <c r="D127" s="22">
        <f>Balaka!J127+Balaka!K127+Balaka!L127</f>
        <v>0</v>
      </c>
      <c r="E127" s="22">
        <f>Liwonde!J127+Liwonde!K127+Liwonde!L127</f>
        <v>0</v>
      </c>
      <c r="F127" s="22">
        <f>Machinga!J127+Machinga!K127+Machinga!L127</f>
        <v>0</v>
      </c>
      <c r="G127" s="22">
        <f>Ntaja!J127+Ntaja!K127+Ntaja!L127</f>
        <v>0</v>
      </c>
      <c r="H127" s="16">
        <f>SUM(D127:G127)</f>
        <v>0</v>
      </c>
    </row>
    <row r="128" spans="1:8" ht="15.6" x14ac:dyDescent="0.3">
      <c r="A128" s="493"/>
      <c r="B128" s="21" t="s">
        <v>82</v>
      </c>
      <c r="C128" s="4" t="s">
        <v>3</v>
      </c>
      <c r="D128" s="22">
        <f>Balaka!J128+Balaka!K128+Balaka!L128</f>
        <v>0</v>
      </c>
      <c r="E128" s="22">
        <f>Liwonde!J128+Liwonde!K128+Liwonde!L128</f>
        <v>0</v>
      </c>
      <c r="F128" s="22">
        <f>Machinga!J128+Machinga!K128+Machinga!L128</f>
        <v>0</v>
      </c>
      <c r="G128" s="22">
        <f>Ntaja!J128+Ntaja!K128+Ntaja!L128</f>
        <v>0</v>
      </c>
      <c r="H128" s="16">
        <f>SUM(D128:G128)</f>
        <v>0</v>
      </c>
    </row>
    <row r="129" spans="1:8" ht="15.6" x14ac:dyDescent="0.3">
      <c r="A129" s="454"/>
      <c r="B129" s="21" t="s">
        <v>81</v>
      </c>
      <c r="C129" s="4" t="s">
        <v>3</v>
      </c>
      <c r="D129" s="123">
        <f t="shared" ref="D129:G129" si="43">D125+D126-D127-D128</f>
        <v>0</v>
      </c>
      <c r="E129" s="124">
        <f t="shared" si="43"/>
        <v>0</v>
      </c>
      <c r="F129" s="124">
        <f t="shared" si="43"/>
        <v>0</v>
      </c>
      <c r="G129" s="123">
        <f t="shared" si="43"/>
        <v>0</v>
      </c>
      <c r="H129" s="16">
        <f>H125+H126-H127-H128</f>
        <v>0</v>
      </c>
    </row>
    <row r="130" spans="1:8" ht="15.6" x14ac:dyDescent="0.3">
      <c r="A130" s="453" t="s">
        <v>90</v>
      </c>
      <c r="B130" s="24" t="s">
        <v>85</v>
      </c>
      <c r="C130" s="23" t="s">
        <v>3</v>
      </c>
      <c r="D130" s="22">
        <f>Balaka!J130</f>
        <v>0</v>
      </c>
      <c r="E130" s="22">
        <f>Liwonde!J130</f>
        <v>0</v>
      </c>
      <c r="F130" s="22">
        <f>Machinga!J130</f>
        <v>0</v>
      </c>
      <c r="G130" s="22">
        <f>Ntaja!J130</f>
        <v>0</v>
      </c>
      <c r="H130" s="16">
        <f>D130</f>
        <v>0</v>
      </c>
    </row>
    <row r="131" spans="1:8" ht="15.6" x14ac:dyDescent="0.3">
      <c r="A131" s="493"/>
      <c r="B131" s="21" t="s">
        <v>84</v>
      </c>
      <c r="C131" s="4" t="s">
        <v>3</v>
      </c>
      <c r="D131" s="22">
        <f>Balaka!J131+Balaka!K131+Balaka!L131</f>
        <v>0</v>
      </c>
      <c r="E131" s="22">
        <f>Liwonde!J131+Liwonde!K131+Liwonde!L131</f>
        <v>0</v>
      </c>
      <c r="F131" s="22">
        <f>Machinga!J131+Machinga!K131+Machinga!L131</f>
        <v>0</v>
      </c>
      <c r="G131" s="22">
        <f>Ntaja!J131+Ntaja!K131+Ntaja!L131</f>
        <v>0</v>
      </c>
      <c r="H131" s="16">
        <f>SUM(D131:G131)</f>
        <v>0</v>
      </c>
    </row>
    <row r="132" spans="1:8" ht="15.6" x14ac:dyDescent="0.3">
      <c r="A132" s="493"/>
      <c r="B132" s="71" t="s">
        <v>88</v>
      </c>
      <c r="C132" s="4" t="s">
        <v>3</v>
      </c>
      <c r="D132" s="22">
        <f>Balaka!J132+Balaka!K132+Balaka!L132</f>
        <v>0</v>
      </c>
      <c r="E132" s="22">
        <f>Liwonde!J132+Liwonde!K132+Liwonde!L132</f>
        <v>0</v>
      </c>
      <c r="F132" s="22">
        <f>Machinga!J132+Machinga!K132+Machinga!L132</f>
        <v>0</v>
      </c>
      <c r="G132" s="22">
        <f>Ntaja!J132+Ntaja!K132+Ntaja!L132</f>
        <v>0</v>
      </c>
      <c r="H132" s="16">
        <f>SUM(D132:G132)</f>
        <v>0</v>
      </c>
    </row>
    <row r="133" spans="1:8" ht="15.6" x14ac:dyDescent="0.3">
      <c r="A133" s="493"/>
      <c r="B133" s="21" t="s">
        <v>82</v>
      </c>
      <c r="C133" s="4" t="s">
        <v>3</v>
      </c>
      <c r="D133" s="22">
        <f>Balaka!J133+Balaka!K133+Balaka!L133</f>
        <v>0</v>
      </c>
      <c r="E133" s="22">
        <f>Liwonde!J133+Liwonde!K133+Liwonde!L133</f>
        <v>0</v>
      </c>
      <c r="F133" s="22">
        <f>Machinga!J133+Machinga!K133+Machinga!L133</f>
        <v>0</v>
      </c>
      <c r="G133" s="22">
        <f>Ntaja!J133+Ntaja!K133+Ntaja!L133</f>
        <v>0</v>
      </c>
      <c r="H133" s="16">
        <f>SUM(D133:G133)</f>
        <v>0</v>
      </c>
    </row>
    <row r="134" spans="1:8" ht="15.6" x14ac:dyDescent="0.3">
      <c r="A134" s="454"/>
      <c r="B134" s="21" t="s">
        <v>81</v>
      </c>
      <c r="C134" s="4" t="s">
        <v>3</v>
      </c>
      <c r="D134" s="123">
        <f t="shared" ref="D134:G134" si="44">D130+D131-D132-D133</f>
        <v>0</v>
      </c>
      <c r="E134" s="124">
        <f t="shared" si="44"/>
        <v>0</v>
      </c>
      <c r="F134" s="124">
        <f t="shared" si="44"/>
        <v>0</v>
      </c>
      <c r="G134" s="123">
        <f t="shared" si="44"/>
        <v>0</v>
      </c>
      <c r="H134" s="16">
        <f>H130+H131-H132-H133</f>
        <v>0</v>
      </c>
    </row>
    <row r="135" spans="1:8" ht="15.6" x14ac:dyDescent="0.3">
      <c r="A135" s="453" t="s">
        <v>89</v>
      </c>
      <c r="B135" s="21" t="s">
        <v>85</v>
      </c>
      <c r="C135" s="4" t="s">
        <v>3</v>
      </c>
      <c r="D135" s="22">
        <f>Balaka!J135</f>
        <v>0</v>
      </c>
      <c r="E135" s="22">
        <f>Liwonde!J135</f>
        <v>0</v>
      </c>
      <c r="F135" s="22">
        <f>Machinga!J135</f>
        <v>0</v>
      </c>
      <c r="G135" s="22">
        <f>Ntaja!J135</f>
        <v>0</v>
      </c>
      <c r="H135" s="16">
        <f>D135</f>
        <v>0</v>
      </c>
    </row>
    <row r="136" spans="1:8" ht="15.6" x14ac:dyDescent="0.3">
      <c r="A136" s="493"/>
      <c r="B136" s="21" t="s">
        <v>84</v>
      </c>
      <c r="C136" s="4" t="s">
        <v>3</v>
      </c>
      <c r="D136" s="22">
        <f>Balaka!J136+Balaka!K136+Balaka!L136</f>
        <v>0</v>
      </c>
      <c r="E136" s="22">
        <f>Liwonde!J136+Liwonde!K136+Liwonde!L136</f>
        <v>0</v>
      </c>
      <c r="F136" s="22">
        <f>Machinga!J136+Machinga!K136+Machinga!L136</f>
        <v>0</v>
      </c>
      <c r="G136" s="22">
        <f>Ntaja!J136+Ntaja!K136+Ntaja!L136</f>
        <v>0</v>
      </c>
      <c r="H136" s="16">
        <f>SUM(D136:G136)</f>
        <v>0</v>
      </c>
    </row>
    <row r="137" spans="1:8" ht="15.6" x14ac:dyDescent="0.3">
      <c r="A137" s="493"/>
      <c r="B137" s="71" t="s">
        <v>88</v>
      </c>
      <c r="C137" s="4" t="s">
        <v>3</v>
      </c>
      <c r="D137" s="22">
        <f>Balaka!J137+Balaka!K137+Balaka!L137</f>
        <v>0</v>
      </c>
      <c r="E137" s="22">
        <f>Liwonde!J137+Liwonde!K137+Liwonde!L137</f>
        <v>0</v>
      </c>
      <c r="F137" s="22">
        <f>Machinga!J137+Machinga!K137+Machinga!L137</f>
        <v>0</v>
      </c>
      <c r="G137" s="22">
        <f>Ntaja!J137+Ntaja!K137+Ntaja!L137</f>
        <v>0</v>
      </c>
      <c r="H137" s="16">
        <f>SUM(D137:G137)</f>
        <v>0</v>
      </c>
    </row>
    <row r="138" spans="1:8" ht="15.6" x14ac:dyDescent="0.3">
      <c r="A138" s="493"/>
      <c r="B138" s="21" t="s">
        <v>82</v>
      </c>
      <c r="C138" s="4" t="s">
        <v>3</v>
      </c>
      <c r="D138" s="22">
        <f>Balaka!J138+Balaka!K138+Balaka!L138</f>
        <v>0</v>
      </c>
      <c r="E138" s="22">
        <f>Liwonde!J138+Liwonde!K138+Liwonde!L138</f>
        <v>0</v>
      </c>
      <c r="F138" s="22">
        <f>Machinga!J138+Machinga!K138+Machinga!L138</f>
        <v>0</v>
      </c>
      <c r="G138" s="22">
        <f>Ntaja!J138+Ntaja!K138+Ntaja!L138</f>
        <v>0</v>
      </c>
      <c r="H138" s="16">
        <f>SUM(D138:G138)</f>
        <v>0</v>
      </c>
    </row>
    <row r="139" spans="1:8" ht="15.6" x14ac:dyDescent="0.3">
      <c r="A139" s="454"/>
      <c r="B139" s="21" t="s">
        <v>81</v>
      </c>
      <c r="C139" s="4" t="s">
        <v>3</v>
      </c>
      <c r="D139" s="123">
        <f t="shared" ref="D139:G139" si="45">D135+D136-D137-D138</f>
        <v>0</v>
      </c>
      <c r="E139" s="124">
        <f t="shared" si="45"/>
        <v>0</v>
      </c>
      <c r="F139" s="124">
        <f t="shared" si="45"/>
        <v>0</v>
      </c>
      <c r="G139" s="123">
        <f t="shared" si="45"/>
        <v>0</v>
      </c>
      <c r="H139" s="16">
        <f>H135+H136-H137-H138</f>
        <v>0</v>
      </c>
    </row>
    <row r="140" spans="1:8" ht="15.6" x14ac:dyDescent="0.3">
      <c r="A140" s="453" t="s">
        <v>87</v>
      </c>
      <c r="B140" s="21" t="s">
        <v>85</v>
      </c>
      <c r="C140" s="4" t="s">
        <v>3</v>
      </c>
      <c r="D140" s="22">
        <f>Balaka!J140</f>
        <v>188</v>
      </c>
      <c r="E140" s="22">
        <f>Liwonde!J140</f>
        <v>232</v>
      </c>
      <c r="F140" s="22">
        <f>Machinga!J140</f>
        <v>0</v>
      </c>
      <c r="G140" s="22">
        <f>Ntaja!J140</f>
        <v>0</v>
      </c>
      <c r="H140" s="16">
        <f>D140</f>
        <v>188</v>
      </c>
    </row>
    <row r="141" spans="1:8" ht="15.6" x14ac:dyDescent="0.3">
      <c r="A141" s="493"/>
      <c r="B141" s="21" t="s">
        <v>84</v>
      </c>
      <c r="C141" s="4" t="s">
        <v>3</v>
      </c>
      <c r="D141" s="22">
        <f>Balaka!J141+Balaka!K141+Balaka!L141</f>
        <v>15</v>
      </c>
      <c r="E141" s="22">
        <f>Liwonde!J141+Liwonde!K141+Liwonde!L141</f>
        <v>117</v>
      </c>
      <c r="F141" s="22">
        <f>Machinga!J141+Machinga!K141+Machinga!L141</f>
        <v>0</v>
      </c>
      <c r="G141" s="22">
        <f>Ntaja!J141+Ntaja!K141+Ntaja!L141</f>
        <v>9</v>
      </c>
      <c r="H141" s="16">
        <f>SUM(D141:G141)</f>
        <v>141</v>
      </c>
    </row>
    <row r="142" spans="1:8" ht="15.6" x14ac:dyDescent="0.3">
      <c r="A142" s="493"/>
      <c r="B142" s="21" t="s">
        <v>83</v>
      </c>
      <c r="C142" s="4" t="s">
        <v>3</v>
      </c>
      <c r="D142" s="22">
        <f>Balaka!J142+Balaka!K142+Balaka!L142</f>
        <v>5</v>
      </c>
      <c r="E142" s="22">
        <f>Liwonde!J142+Liwonde!K142+Liwonde!L142</f>
        <v>4</v>
      </c>
      <c r="F142" s="22">
        <f>Machinga!J142+Machinga!K142+Machinga!L142</f>
        <v>0</v>
      </c>
      <c r="G142" s="22">
        <f>Ntaja!J142+Ntaja!K142+Ntaja!L142</f>
        <v>5</v>
      </c>
      <c r="H142" s="16">
        <f>SUM(D142:G142)</f>
        <v>14</v>
      </c>
    </row>
    <row r="143" spans="1:8" ht="15.6" x14ac:dyDescent="0.3">
      <c r="A143" s="493"/>
      <c r="B143" s="21" t="s">
        <v>82</v>
      </c>
      <c r="C143" s="4" t="s">
        <v>3</v>
      </c>
      <c r="D143" s="22">
        <f>Balaka!J143+Balaka!K143+Balaka!L143</f>
        <v>4</v>
      </c>
      <c r="E143" s="22">
        <f>Liwonde!J143+Liwonde!K143+Liwonde!L143</f>
        <v>3</v>
      </c>
      <c r="F143" s="22">
        <f>Machinga!J143+Machinga!K143+Machinga!L143</f>
        <v>0</v>
      </c>
      <c r="G143" s="22">
        <f>Ntaja!J143+Ntaja!K143+Ntaja!L143</f>
        <v>4</v>
      </c>
      <c r="H143" s="16">
        <f>SUM(D143:G143)</f>
        <v>11</v>
      </c>
    </row>
    <row r="144" spans="1:8" ht="15.6" x14ac:dyDescent="0.3">
      <c r="A144" s="454"/>
      <c r="B144" s="21" t="s">
        <v>81</v>
      </c>
      <c r="C144" s="4" t="s">
        <v>3</v>
      </c>
      <c r="D144" s="123">
        <f t="shared" ref="D144:G144" si="46">D140+D141-D142-D143</f>
        <v>194</v>
      </c>
      <c r="E144" s="124">
        <f t="shared" si="46"/>
        <v>342</v>
      </c>
      <c r="F144" s="124">
        <f t="shared" si="46"/>
        <v>0</v>
      </c>
      <c r="G144" s="123">
        <f t="shared" si="46"/>
        <v>0</v>
      </c>
      <c r="H144" s="16">
        <f>H140+H141-H142-H143</f>
        <v>304</v>
      </c>
    </row>
    <row r="145" spans="1:8" ht="15.6" x14ac:dyDescent="0.3">
      <c r="A145" s="453" t="s">
        <v>86</v>
      </c>
      <c r="B145" s="21" t="s">
        <v>85</v>
      </c>
      <c r="C145" s="4" t="s">
        <v>3</v>
      </c>
      <c r="D145" s="122">
        <f t="shared" ref="D145:G148" si="47">D125+D130+D135+D140</f>
        <v>188</v>
      </c>
      <c r="E145" s="122">
        <f t="shared" si="47"/>
        <v>232</v>
      </c>
      <c r="F145" s="122">
        <f t="shared" si="47"/>
        <v>0</v>
      </c>
      <c r="G145" s="122">
        <f t="shared" si="47"/>
        <v>0</v>
      </c>
      <c r="H145" s="98">
        <f t="shared" ref="H145:H149" si="48">H125+H130+H135+H140</f>
        <v>188</v>
      </c>
    </row>
    <row r="146" spans="1:8" ht="15.6" x14ac:dyDescent="0.3">
      <c r="A146" s="493"/>
      <c r="B146" s="21" t="s">
        <v>84</v>
      </c>
      <c r="C146" s="4" t="s">
        <v>3</v>
      </c>
      <c r="D146" s="122">
        <f t="shared" si="47"/>
        <v>15</v>
      </c>
      <c r="E146" s="122">
        <f t="shared" si="47"/>
        <v>117</v>
      </c>
      <c r="F146" s="122">
        <f t="shared" si="47"/>
        <v>0</v>
      </c>
      <c r="G146" s="122">
        <f t="shared" si="47"/>
        <v>9</v>
      </c>
      <c r="H146" s="98">
        <f t="shared" si="48"/>
        <v>141</v>
      </c>
    </row>
    <row r="147" spans="1:8" ht="15.6" x14ac:dyDescent="0.3">
      <c r="A147" s="493"/>
      <c r="B147" s="21" t="s">
        <v>83</v>
      </c>
      <c r="C147" s="4" t="s">
        <v>3</v>
      </c>
      <c r="D147" s="122">
        <f t="shared" si="47"/>
        <v>5</v>
      </c>
      <c r="E147" s="122">
        <f t="shared" si="47"/>
        <v>4</v>
      </c>
      <c r="F147" s="122">
        <f t="shared" si="47"/>
        <v>0</v>
      </c>
      <c r="G147" s="122">
        <f t="shared" si="47"/>
        <v>5</v>
      </c>
      <c r="H147" s="98">
        <f t="shared" si="48"/>
        <v>14</v>
      </c>
    </row>
    <row r="148" spans="1:8" ht="15.6" x14ac:dyDescent="0.3">
      <c r="A148" s="493"/>
      <c r="B148" s="21" t="s">
        <v>82</v>
      </c>
      <c r="C148" s="4" t="s">
        <v>3</v>
      </c>
      <c r="D148" s="122">
        <f t="shared" si="47"/>
        <v>4</v>
      </c>
      <c r="E148" s="122">
        <f t="shared" si="47"/>
        <v>3</v>
      </c>
      <c r="F148" s="122">
        <f t="shared" si="47"/>
        <v>0</v>
      </c>
      <c r="G148" s="122">
        <f t="shared" si="47"/>
        <v>4</v>
      </c>
      <c r="H148" s="98">
        <f t="shared" si="48"/>
        <v>11</v>
      </c>
    </row>
    <row r="149" spans="1:8" ht="15.6" x14ac:dyDescent="0.3">
      <c r="A149" s="454"/>
      <c r="B149" s="21" t="s">
        <v>81</v>
      </c>
      <c r="C149" s="4" t="s">
        <v>3</v>
      </c>
      <c r="D149" s="123">
        <f t="shared" ref="D149:G149" si="49">D145+D146-D147-D148</f>
        <v>194</v>
      </c>
      <c r="E149" s="124">
        <f t="shared" si="49"/>
        <v>342</v>
      </c>
      <c r="F149" s="124">
        <f t="shared" si="49"/>
        <v>0</v>
      </c>
      <c r="G149" s="123">
        <f t="shared" si="49"/>
        <v>0</v>
      </c>
      <c r="H149" s="98">
        <f t="shared" si="48"/>
        <v>304</v>
      </c>
    </row>
    <row r="150" spans="1:8" x14ac:dyDescent="0.3">
      <c r="A150" s="441" t="s">
        <v>80</v>
      </c>
      <c r="B150" s="442"/>
      <c r="C150" s="442"/>
      <c r="D150" s="442"/>
      <c r="E150" s="442"/>
      <c r="F150" s="442"/>
      <c r="G150" s="442"/>
      <c r="H150" s="444"/>
    </row>
    <row r="151" spans="1:8" ht="15.6" customHeight="1" x14ac:dyDescent="0.3">
      <c r="A151" s="506" t="s">
        <v>79</v>
      </c>
      <c r="B151" s="507"/>
      <c r="C151" s="507"/>
      <c r="D151" s="507"/>
      <c r="E151" s="507"/>
      <c r="F151" s="507"/>
      <c r="G151" s="507"/>
      <c r="H151" s="508"/>
    </row>
    <row r="152" spans="1:8" ht="15.6" x14ac:dyDescent="0.3">
      <c r="A152" s="496" t="s">
        <v>78</v>
      </c>
      <c r="B152" s="80" t="s">
        <v>63</v>
      </c>
      <c r="C152" s="4"/>
      <c r="D152" s="154"/>
      <c r="E152" s="154"/>
      <c r="F152" s="154"/>
      <c r="G152" s="154"/>
      <c r="H152" s="8"/>
    </row>
    <row r="153" spans="1:8" ht="15.6" x14ac:dyDescent="0.3">
      <c r="A153" s="497"/>
      <c r="B153" s="17" t="s">
        <v>73</v>
      </c>
      <c r="C153" s="4" t="s">
        <v>57</v>
      </c>
      <c r="D153" s="22">
        <f>Balaka!J153+Balaka!K153+Balaka!L153</f>
        <v>283</v>
      </c>
      <c r="E153" s="22">
        <f>Liwonde!J153+Liwonde!K153+Liwonde!L153</f>
        <v>196</v>
      </c>
      <c r="F153" s="22">
        <f>Machinga!J153+Machinga!K153+Machinga!L153</f>
        <v>60</v>
      </c>
      <c r="G153" s="22">
        <f>Ntaja!J153+Ntaja!K153+Ntaja!L153</f>
        <v>97</v>
      </c>
      <c r="H153" s="16">
        <f t="shared" ref="H153:H165" si="50">SUM(D153:G153)</f>
        <v>636</v>
      </c>
    </row>
    <row r="154" spans="1:8" ht="15.6" x14ac:dyDescent="0.3">
      <c r="A154" s="497"/>
      <c r="B154" s="17" t="s">
        <v>72</v>
      </c>
      <c r="C154" s="4" t="s">
        <v>57</v>
      </c>
      <c r="D154" s="22">
        <f>Balaka!J154+Balaka!K154+Balaka!L154</f>
        <v>121</v>
      </c>
      <c r="E154" s="22">
        <f>Liwonde!J154+Liwonde!K154+Liwonde!L154</f>
        <v>84</v>
      </c>
      <c r="F154" s="22">
        <f>Machinga!J154+Machinga!K154+Machinga!L154</f>
        <v>34</v>
      </c>
      <c r="G154" s="22">
        <f>Ntaja!J154+Ntaja!K154+Ntaja!L154</f>
        <v>15</v>
      </c>
      <c r="H154" s="16">
        <f t="shared" si="50"/>
        <v>254</v>
      </c>
    </row>
    <row r="155" spans="1:8" ht="15.6" x14ac:dyDescent="0.3">
      <c r="A155" s="497"/>
      <c r="B155" s="17" t="s">
        <v>53</v>
      </c>
      <c r="C155" s="4" t="s">
        <v>57</v>
      </c>
      <c r="D155" s="22">
        <f>Balaka!J155+Balaka!K155+Balaka!L155</f>
        <v>26</v>
      </c>
      <c r="E155" s="22">
        <f>Liwonde!J155+Liwonde!K155+Liwonde!L155</f>
        <v>33</v>
      </c>
      <c r="F155" s="22">
        <f>Machinga!J155+Machinga!K155+Machinga!L155</f>
        <v>18</v>
      </c>
      <c r="G155" s="22">
        <f>Ntaja!J155+Ntaja!K155+Ntaja!L155</f>
        <v>10</v>
      </c>
      <c r="H155" s="16">
        <f t="shared" si="50"/>
        <v>87</v>
      </c>
    </row>
    <row r="156" spans="1:8" ht="15.6" x14ac:dyDescent="0.3">
      <c r="A156" s="497"/>
      <c r="B156" s="17" t="s">
        <v>71</v>
      </c>
      <c r="C156" s="4" t="s">
        <v>57</v>
      </c>
      <c r="D156" s="22">
        <f>Balaka!J156+Balaka!K156+Balaka!L156</f>
        <v>2</v>
      </c>
      <c r="E156" s="22">
        <f>Liwonde!J156+Liwonde!K156+Liwonde!L156</f>
        <v>1</v>
      </c>
      <c r="F156" s="22">
        <f>Machinga!J156+Machinga!K156+Machinga!L156</f>
        <v>14</v>
      </c>
      <c r="G156" s="22">
        <f>Ntaja!J156+Ntaja!K156+Ntaja!L156</f>
        <v>0</v>
      </c>
      <c r="H156" s="16">
        <f t="shared" si="50"/>
        <v>17</v>
      </c>
    </row>
    <row r="157" spans="1:8" ht="15.6" x14ac:dyDescent="0.3">
      <c r="A157" s="497"/>
      <c r="B157" s="17" t="s">
        <v>52</v>
      </c>
      <c r="C157" s="4" t="s">
        <v>57</v>
      </c>
      <c r="D157" s="22">
        <f>Balaka!J157+Balaka!K157+Balaka!L157</f>
        <v>13</v>
      </c>
      <c r="E157" s="22">
        <f>Liwonde!J157+Liwonde!K157+Liwonde!L157</f>
        <v>10</v>
      </c>
      <c r="F157" s="22">
        <f>Machinga!J157+Machinga!K157+Machinga!L157</f>
        <v>9</v>
      </c>
      <c r="G157" s="22">
        <f>Ntaja!J157+Ntaja!K157+Ntaja!L157</f>
        <v>5</v>
      </c>
      <c r="H157" s="16">
        <f t="shared" si="50"/>
        <v>37</v>
      </c>
    </row>
    <row r="158" spans="1:8" ht="15.6" x14ac:dyDescent="0.3">
      <c r="A158" s="497"/>
      <c r="B158" s="17" t="s">
        <v>51</v>
      </c>
      <c r="C158" s="4" t="s">
        <v>57</v>
      </c>
      <c r="D158" s="22">
        <f>Balaka!J158+Balaka!K158+Balaka!L158</f>
        <v>19</v>
      </c>
      <c r="E158" s="22">
        <f>Liwonde!J158+Liwonde!K158+Liwonde!L158</f>
        <v>7</v>
      </c>
      <c r="F158" s="22">
        <f>Machinga!J158+Machinga!K158+Machinga!L158</f>
        <v>8</v>
      </c>
      <c r="G158" s="22">
        <f>Ntaja!J158+Ntaja!K158+Ntaja!L158</f>
        <v>0</v>
      </c>
      <c r="H158" s="16">
        <f t="shared" si="50"/>
        <v>34</v>
      </c>
    </row>
    <row r="159" spans="1:8" ht="15.6" x14ac:dyDescent="0.3">
      <c r="A159" s="497"/>
      <c r="B159" s="17" t="s">
        <v>62</v>
      </c>
      <c r="C159" s="4" t="s">
        <v>57</v>
      </c>
      <c r="D159" s="22">
        <f>Balaka!J159+Balaka!K159+Balaka!L159</f>
        <v>0</v>
      </c>
      <c r="E159" s="22">
        <f>Liwonde!J159+Liwonde!K159+Liwonde!L159</f>
        <v>2</v>
      </c>
      <c r="F159" s="22">
        <f>Machinga!J159+Machinga!K159+Machinga!L159</f>
        <v>1</v>
      </c>
      <c r="G159" s="22">
        <f>Ntaja!J159+Ntaja!K159+Ntaja!L159</f>
        <v>0</v>
      </c>
      <c r="H159" s="16">
        <f t="shared" si="50"/>
        <v>3</v>
      </c>
    </row>
    <row r="160" spans="1:8" ht="15.6" x14ac:dyDescent="0.3">
      <c r="A160" s="497"/>
      <c r="B160" s="17" t="s">
        <v>50</v>
      </c>
      <c r="C160" s="4" t="s">
        <v>57</v>
      </c>
      <c r="D160" s="22">
        <f>Balaka!J160+Balaka!K160+Balaka!L160</f>
        <v>1</v>
      </c>
      <c r="E160" s="22">
        <f>Liwonde!J160+Liwonde!K160+Liwonde!L160</f>
        <v>2</v>
      </c>
      <c r="F160" s="22">
        <f>Machinga!J160+Machinga!K160+Machinga!L160</f>
        <v>2</v>
      </c>
      <c r="G160" s="22">
        <f>Ntaja!J160+Ntaja!K160+Ntaja!L160</f>
        <v>0</v>
      </c>
      <c r="H160" s="16">
        <f t="shared" si="50"/>
        <v>5</v>
      </c>
    </row>
    <row r="161" spans="1:8" ht="15.6" x14ac:dyDescent="0.3">
      <c r="A161" s="497"/>
      <c r="B161" s="17" t="s">
        <v>49</v>
      </c>
      <c r="C161" s="4" t="s">
        <v>57</v>
      </c>
      <c r="D161" s="22">
        <f>Balaka!J161+Balaka!K161+Balaka!L161</f>
        <v>7</v>
      </c>
      <c r="E161" s="22">
        <f>Liwonde!J161+Liwonde!K161+Liwonde!L161</f>
        <v>11</v>
      </c>
      <c r="F161" s="22">
        <f>Machinga!J161+Machinga!K161+Machinga!L161</f>
        <v>4</v>
      </c>
      <c r="G161" s="22">
        <f>Ntaja!J161+Ntaja!K161+Ntaja!L161</f>
        <v>0</v>
      </c>
      <c r="H161" s="16">
        <f t="shared" si="50"/>
        <v>22</v>
      </c>
    </row>
    <row r="162" spans="1:8" ht="15.6" x14ac:dyDescent="0.3">
      <c r="A162" s="497"/>
      <c r="B162" s="17" t="s">
        <v>77</v>
      </c>
      <c r="C162" s="4" t="s">
        <v>57</v>
      </c>
      <c r="D162" s="22">
        <f>Balaka!J162+Balaka!K162+Balaka!L162</f>
        <v>6</v>
      </c>
      <c r="E162" s="22">
        <f>Liwonde!J162+Liwonde!K162+Liwonde!L162</f>
        <v>9</v>
      </c>
      <c r="F162" s="22">
        <f>Machinga!J162+Machinga!K162+Machinga!L162</f>
        <v>0</v>
      </c>
      <c r="G162" s="22">
        <f>Ntaja!J162+Ntaja!K162+Ntaja!L162</f>
        <v>0</v>
      </c>
      <c r="H162" s="16">
        <f t="shared" si="50"/>
        <v>15</v>
      </c>
    </row>
    <row r="163" spans="1:8" ht="15.6" x14ac:dyDescent="0.3">
      <c r="A163" s="497"/>
      <c r="B163" s="17" t="s">
        <v>69</v>
      </c>
      <c r="C163" s="4" t="s">
        <v>57</v>
      </c>
      <c r="D163" s="22">
        <f>Balaka!J163+Balaka!K163+Balaka!L163</f>
        <v>1</v>
      </c>
      <c r="E163" s="22">
        <f>Liwonde!J163+Liwonde!K163+Liwonde!L163</f>
        <v>0</v>
      </c>
      <c r="F163" s="22">
        <f>Machinga!J163+Machinga!K163+Machinga!L163</f>
        <v>0</v>
      </c>
      <c r="G163" s="22">
        <f>Ntaja!J163+Ntaja!K163+Ntaja!L163</f>
        <v>0</v>
      </c>
      <c r="H163" s="16">
        <f t="shared" si="50"/>
        <v>1</v>
      </c>
    </row>
    <row r="164" spans="1:8" ht="15.6" x14ac:dyDescent="0.3">
      <c r="A164" s="497"/>
      <c r="B164" s="17" t="s">
        <v>68</v>
      </c>
      <c r="C164" s="4" t="s">
        <v>57</v>
      </c>
      <c r="D164" s="22">
        <f>Balaka!J164+Balaka!K164+Balaka!L164</f>
        <v>0</v>
      </c>
      <c r="E164" s="22">
        <f>Liwonde!J164+Liwonde!K164+Liwonde!L164</f>
        <v>0</v>
      </c>
      <c r="F164" s="22">
        <f>Machinga!J164+Machinga!K164+Machinga!L164</f>
        <v>0</v>
      </c>
      <c r="G164" s="22">
        <f>Ntaja!J164+Ntaja!K164+Ntaja!L164</f>
        <v>0</v>
      </c>
      <c r="H164" s="16">
        <f t="shared" si="50"/>
        <v>0</v>
      </c>
    </row>
    <row r="165" spans="1:8" ht="15.6" x14ac:dyDescent="0.3">
      <c r="A165" s="498"/>
      <c r="B165" s="17" t="s">
        <v>76</v>
      </c>
      <c r="C165" s="4" t="s">
        <v>57</v>
      </c>
      <c r="D165" s="22">
        <f>Balaka!J165+Balaka!K165+Balaka!L165</f>
        <v>0</v>
      </c>
      <c r="E165" s="22">
        <f>Liwonde!J165+Liwonde!K165+Liwonde!L165</f>
        <v>0</v>
      </c>
      <c r="F165" s="22">
        <f>Machinga!J165+Machinga!K165+Machinga!L165</f>
        <v>0</v>
      </c>
      <c r="G165" s="22">
        <f>Ntaja!J165+Ntaja!K165+Ntaja!L165</f>
        <v>0</v>
      </c>
      <c r="H165" s="16">
        <f t="shared" si="50"/>
        <v>0</v>
      </c>
    </row>
    <row r="166" spans="1:8" ht="15.6" x14ac:dyDescent="0.3">
      <c r="A166" s="496" t="s">
        <v>75</v>
      </c>
      <c r="B166" s="19" t="s">
        <v>63</v>
      </c>
      <c r="C166" s="4"/>
      <c r="D166" s="3"/>
      <c r="E166" s="3"/>
      <c r="F166" s="3"/>
      <c r="G166" s="3"/>
      <c r="H166" s="16"/>
    </row>
    <row r="167" spans="1:8" ht="15.6" x14ac:dyDescent="0.3">
      <c r="A167" s="497"/>
      <c r="B167" s="17" t="s">
        <v>74</v>
      </c>
      <c r="C167" s="4" t="s">
        <v>57</v>
      </c>
      <c r="D167" s="22">
        <f>Balaka!J167+Balaka!K167+Balaka!L167</f>
        <v>0</v>
      </c>
      <c r="E167" s="22">
        <f>Liwonde!J167+Liwonde!K167+Liwonde!L167</f>
        <v>0</v>
      </c>
      <c r="F167" s="22">
        <f>Machinga!J167+Machinga!K167+Machinga!L167</f>
        <v>4</v>
      </c>
      <c r="G167" s="22">
        <f>Ntaja!J167+Ntaja!K167+Ntaja!L167</f>
        <v>0</v>
      </c>
      <c r="H167" s="16">
        <f t="shared" ref="H167:H175" si="51">SUM(D167:G167)</f>
        <v>4</v>
      </c>
    </row>
    <row r="168" spans="1:8" ht="15.6" x14ac:dyDescent="0.3">
      <c r="A168" s="497"/>
      <c r="B168" s="17" t="s">
        <v>73</v>
      </c>
      <c r="C168" s="4" t="s">
        <v>57</v>
      </c>
      <c r="D168" s="22">
        <f>Balaka!J168+Balaka!K168+Balaka!L168</f>
        <v>0</v>
      </c>
      <c r="E168" s="22">
        <f>Liwonde!J168+Liwonde!K168+Liwonde!L168</f>
        <v>0</v>
      </c>
      <c r="F168" s="22">
        <f>Machinga!J168+Machinga!K168+Machinga!L168</f>
        <v>3</v>
      </c>
      <c r="G168" s="22">
        <f>Ntaja!J168+Ntaja!K168+Ntaja!L168</f>
        <v>0</v>
      </c>
      <c r="H168" s="16">
        <f t="shared" si="51"/>
        <v>3</v>
      </c>
    </row>
    <row r="169" spans="1:8" ht="15.6" x14ac:dyDescent="0.3">
      <c r="A169" s="497"/>
      <c r="B169" s="17" t="s">
        <v>72</v>
      </c>
      <c r="C169" s="4" t="s">
        <v>57</v>
      </c>
      <c r="D169" s="22">
        <f>Balaka!J169+Balaka!K169+Balaka!L169</f>
        <v>0</v>
      </c>
      <c r="E169" s="22">
        <f>Liwonde!J169+Liwonde!K169+Liwonde!L169</f>
        <v>0</v>
      </c>
      <c r="F169" s="22">
        <f>Machinga!J169+Machinga!K169+Machinga!L169</f>
        <v>1</v>
      </c>
      <c r="G169" s="22">
        <f>Ntaja!J169+Ntaja!K169+Ntaja!L169</f>
        <v>0</v>
      </c>
      <c r="H169" s="16">
        <f t="shared" si="51"/>
        <v>1</v>
      </c>
    </row>
    <row r="170" spans="1:8" ht="15.6" x14ac:dyDescent="0.3">
      <c r="A170" s="497"/>
      <c r="B170" s="17" t="s">
        <v>71</v>
      </c>
      <c r="C170" s="4" t="s">
        <v>57</v>
      </c>
      <c r="D170" s="22">
        <f>Balaka!J170+Balaka!K170+Balaka!L170</f>
        <v>0</v>
      </c>
      <c r="E170" s="22">
        <f>Liwonde!J170+Liwonde!K170+Liwonde!L170</f>
        <v>0</v>
      </c>
      <c r="F170" s="22">
        <f>Machinga!J170+Machinga!K170+Machinga!L170</f>
        <v>0</v>
      </c>
      <c r="G170" s="22">
        <f>Ntaja!J170+Ntaja!K170+Ntaja!L170</f>
        <v>0</v>
      </c>
      <c r="H170" s="16">
        <f t="shared" si="51"/>
        <v>0</v>
      </c>
    </row>
    <row r="171" spans="1:8" ht="15.6" x14ac:dyDescent="0.3">
      <c r="A171" s="497"/>
      <c r="B171" s="17" t="s">
        <v>52</v>
      </c>
      <c r="C171" s="4" t="s">
        <v>57</v>
      </c>
      <c r="D171" s="22">
        <f>Balaka!J171+Balaka!K171+Balaka!L171</f>
        <v>0</v>
      </c>
      <c r="E171" s="22">
        <f>Liwonde!J171+Liwonde!K171+Liwonde!L171</f>
        <v>0</v>
      </c>
      <c r="F171" s="22">
        <f>Machinga!J171+Machinga!K171+Machinga!L171</f>
        <v>3</v>
      </c>
      <c r="G171" s="22">
        <f>Ntaja!J171+Ntaja!K171+Ntaja!L171</f>
        <v>0</v>
      </c>
      <c r="H171" s="16">
        <f t="shared" si="51"/>
        <v>3</v>
      </c>
    </row>
    <row r="172" spans="1:8" ht="15.6" x14ac:dyDescent="0.3">
      <c r="A172" s="497"/>
      <c r="B172" s="17" t="s">
        <v>62</v>
      </c>
      <c r="C172" s="4" t="s">
        <v>57</v>
      </c>
      <c r="D172" s="22">
        <f>Balaka!J172+Balaka!K172+Balaka!L172</f>
        <v>0</v>
      </c>
      <c r="E172" s="22">
        <f>Liwonde!J172+Liwonde!K172+Liwonde!L172</f>
        <v>0</v>
      </c>
      <c r="F172" s="22">
        <f>Machinga!J172+Machinga!K172+Machinga!L172</f>
        <v>0</v>
      </c>
      <c r="G172" s="22">
        <f>Ntaja!J172+Ntaja!K172+Ntaja!L172</f>
        <v>0</v>
      </c>
      <c r="H172" s="16">
        <f t="shared" si="51"/>
        <v>0</v>
      </c>
    </row>
    <row r="173" spans="1:8" ht="15.6" x14ac:dyDescent="0.3">
      <c r="A173" s="497"/>
      <c r="B173" s="17" t="s">
        <v>61</v>
      </c>
      <c r="C173" s="4" t="s">
        <v>57</v>
      </c>
      <c r="D173" s="22">
        <f>Balaka!J173+Balaka!K173+Balaka!L173</f>
        <v>0</v>
      </c>
      <c r="E173" s="22">
        <f>Liwonde!J173+Liwonde!K173+Liwonde!L173</f>
        <v>0</v>
      </c>
      <c r="F173" s="22">
        <f>Machinga!J173+Machinga!K173+Machinga!L173</f>
        <v>0</v>
      </c>
      <c r="G173" s="22">
        <f>Ntaja!J173+Ntaja!K173+Ntaja!L173</f>
        <v>0</v>
      </c>
      <c r="H173" s="16">
        <f t="shared" si="51"/>
        <v>0</v>
      </c>
    </row>
    <row r="174" spans="1:8" ht="15.6" x14ac:dyDescent="0.3">
      <c r="A174" s="497"/>
      <c r="B174" s="17" t="s">
        <v>60</v>
      </c>
      <c r="C174" s="4" t="s">
        <v>57</v>
      </c>
      <c r="D174" s="22">
        <f>Balaka!J174+Balaka!K174+Balaka!L174</f>
        <v>0</v>
      </c>
      <c r="E174" s="22">
        <f>Liwonde!J174+Liwonde!K174+Liwonde!L174</f>
        <v>0</v>
      </c>
      <c r="F174" s="22">
        <f>Machinga!J174+Machinga!K174+Machinga!L174</f>
        <v>0</v>
      </c>
      <c r="G174" s="22">
        <f>Ntaja!J174+Ntaja!K174+Ntaja!L174</f>
        <v>0</v>
      </c>
      <c r="H174" s="16">
        <f t="shared" si="51"/>
        <v>0</v>
      </c>
    </row>
    <row r="175" spans="1:8" ht="15.6" x14ac:dyDescent="0.3">
      <c r="A175" s="498"/>
      <c r="B175" s="17" t="s">
        <v>69</v>
      </c>
      <c r="C175" s="4" t="s">
        <v>57</v>
      </c>
      <c r="D175" s="22">
        <f>Balaka!J175+Balaka!K175+Balaka!L175</f>
        <v>0</v>
      </c>
      <c r="E175" s="22">
        <f>Liwonde!J175+Liwonde!K175+Liwonde!L175</f>
        <v>0</v>
      </c>
      <c r="F175" s="22">
        <f>Machinga!J175+Machinga!K175+Machinga!L175</f>
        <v>0</v>
      </c>
      <c r="G175" s="22">
        <f>Ntaja!J175+Ntaja!K175+Ntaja!L175</f>
        <v>0</v>
      </c>
      <c r="H175" s="16">
        <f t="shared" si="51"/>
        <v>0</v>
      </c>
    </row>
    <row r="176" spans="1:8" ht="15.6" x14ac:dyDescent="0.3">
      <c r="A176" s="496" t="s">
        <v>70</v>
      </c>
      <c r="B176" s="19" t="s">
        <v>63</v>
      </c>
      <c r="C176" s="4"/>
      <c r="D176" s="3"/>
      <c r="E176" s="3"/>
      <c r="F176" s="3"/>
      <c r="G176" s="3"/>
      <c r="H176" s="16"/>
    </row>
    <row r="177" spans="1:8" ht="15.6" x14ac:dyDescent="0.3">
      <c r="A177" s="497"/>
      <c r="B177" s="17" t="s">
        <v>60</v>
      </c>
      <c r="C177" s="4" t="s">
        <v>57</v>
      </c>
      <c r="D177" s="22">
        <f>Balaka!J177+Balaka!K177+Balaka!L177</f>
        <v>0</v>
      </c>
      <c r="E177" s="22">
        <f>Liwonde!J177+Liwonde!K177+Liwonde!L177</f>
        <v>0</v>
      </c>
      <c r="F177" s="22">
        <f>Machinga!J177+Machinga!K177+Machinga!L177</f>
        <v>0</v>
      </c>
      <c r="G177" s="22">
        <f>Ntaja!J177+Ntaja!K177+Ntaja!L177</f>
        <v>0</v>
      </c>
      <c r="H177" s="16">
        <f t="shared" ref="H177:H182" si="52">SUM(D177:G177)</f>
        <v>0</v>
      </c>
    </row>
    <row r="178" spans="1:8" ht="15.6" x14ac:dyDescent="0.3">
      <c r="A178" s="497"/>
      <c r="B178" s="17" t="s">
        <v>69</v>
      </c>
      <c r="C178" s="4" t="s">
        <v>57</v>
      </c>
      <c r="D178" s="22">
        <f>Balaka!J178+Balaka!K178+Balaka!L178</f>
        <v>0</v>
      </c>
      <c r="E178" s="22">
        <f>Liwonde!J178+Liwonde!K178+Liwonde!L178</f>
        <v>0</v>
      </c>
      <c r="F178" s="22">
        <f>Machinga!J178+Machinga!K178+Machinga!L178</f>
        <v>0</v>
      </c>
      <c r="G178" s="22">
        <f>Ntaja!J178+Ntaja!K178+Ntaja!L178</f>
        <v>0</v>
      </c>
      <c r="H178" s="16">
        <f t="shared" si="52"/>
        <v>0</v>
      </c>
    </row>
    <row r="179" spans="1:8" ht="15.6" x14ac:dyDescent="0.3">
      <c r="A179" s="497"/>
      <c r="B179" s="17" t="s">
        <v>68</v>
      </c>
      <c r="C179" s="4" t="s">
        <v>57</v>
      </c>
      <c r="D179" s="22">
        <f>Balaka!J179+Balaka!K179+Balaka!L179</f>
        <v>0</v>
      </c>
      <c r="E179" s="22">
        <f>Liwonde!J179+Liwonde!K179+Liwonde!L179</f>
        <v>0</v>
      </c>
      <c r="F179" s="22">
        <f>Machinga!J179+Machinga!K179+Machinga!L179</f>
        <v>0</v>
      </c>
      <c r="G179" s="22">
        <f>Ntaja!J179+Ntaja!K179+Ntaja!L179</f>
        <v>0</v>
      </c>
      <c r="H179" s="16">
        <f t="shared" si="52"/>
        <v>0</v>
      </c>
    </row>
    <row r="180" spans="1:8" ht="15.6" x14ac:dyDescent="0.3">
      <c r="A180" s="497"/>
      <c r="B180" s="17" t="s">
        <v>67</v>
      </c>
      <c r="C180" s="4" t="s">
        <v>57</v>
      </c>
      <c r="D180" s="22">
        <f>Balaka!J180+Balaka!K180+Balaka!L180</f>
        <v>0</v>
      </c>
      <c r="E180" s="22">
        <f>Liwonde!J180+Liwonde!K180+Liwonde!L180</f>
        <v>0</v>
      </c>
      <c r="F180" s="22">
        <f>Machinga!J180+Machinga!K180+Machinga!L180</f>
        <v>0</v>
      </c>
      <c r="G180" s="22">
        <f>Ntaja!J180+Ntaja!K180+Ntaja!L180</f>
        <v>0</v>
      </c>
      <c r="H180" s="16">
        <f t="shared" si="52"/>
        <v>0</v>
      </c>
    </row>
    <row r="181" spans="1:8" ht="15.6" x14ac:dyDescent="0.3">
      <c r="A181" s="497"/>
      <c r="B181" s="17" t="s">
        <v>66</v>
      </c>
      <c r="C181" s="4" t="s">
        <v>57</v>
      </c>
      <c r="D181" s="22">
        <f>Balaka!J181+Balaka!K181+Balaka!L181</f>
        <v>0</v>
      </c>
      <c r="E181" s="22">
        <f>Liwonde!J181+Liwonde!K181+Liwonde!L181</f>
        <v>0</v>
      </c>
      <c r="F181" s="22">
        <f>Machinga!J181+Machinga!K181+Machinga!L181</f>
        <v>0</v>
      </c>
      <c r="G181" s="22">
        <f>Ntaja!J181+Ntaja!K181+Ntaja!L181</f>
        <v>0</v>
      </c>
      <c r="H181" s="16">
        <f t="shared" si="52"/>
        <v>0</v>
      </c>
    </row>
    <row r="182" spans="1:8" ht="15.6" x14ac:dyDescent="0.3">
      <c r="A182" s="498"/>
      <c r="B182" s="17" t="s">
        <v>65</v>
      </c>
      <c r="C182" s="4" t="s">
        <v>57</v>
      </c>
      <c r="D182" s="22">
        <f>Balaka!J182+Balaka!K182+Balaka!L182</f>
        <v>0</v>
      </c>
      <c r="E182" s="22">
        <f>Liwonde!J182+Liwonde!K182+Liwonde!L182</f>
        <v>0</v>
      </c>
      <c r="F182" s="22">
        <f>Machinga!J182+Machinga!K182+Machinga!L182</f>
        <v>0</v>
      </c>
      <c r="G182" s="22">
        <f>Ntaja!J182+Ntaja!K182+Ntaja!L182</f>
        <v>0</v>
      </c>
      <c r="H182" s="16">
        <f t="shared" si="52"/>
        <v>0</v>
      </c>
    </row>
    <row r="183" spans="1:8" ht="15.6" x14ac:dyDescent="0.3">
      <c r="A183" s="496" t="s">
        <v>211</v>
      </c>
      <c r="B183" s="19" t="s">
        <v>63</v>
      </c>
      <c r="C183" s="4"/>
      <c r="D183" s="3"/>
      <c r="E183" s="3"/>
      <c r="F183" s="3"/>
      <c r="G183" s="3"/>
      <c r="H183" s="16"/>
    </row>
    <row r="184" spans="1:8" ht="15.6" x14ac:dyDescent="0.3">
      <c r="A184" s="497"/>
      <c r="B184" s="17" t="s">
        <v>73</v>
      </c>
      <c r="C184" s="4"/>
      <c r="D184" s="22">
        <f>Balaka!J184+Balaka!K184+Balaka!L184</f>
        <v>0</v>
      </c>
      <c r="E184" s="22">
        <f>Liwonde!J184+Liwonde!K184+Liwonde!L184</f>
        <v>0</v>
      </c>
      <c r="F184" s="22">
        <f>Machinga!J184+Machinga!K184+Machinga!L184</f>
        <v>0</v>
      </c>
      <c r="G184" s="22">
        <f>Ntaja!J184+Ntaja!K184+Ntaja!L184</f>
        <v>0</v>
      </c>
      <c r="H184" s="16">
        <f>SUM(D184:G184)</f>
        <v>0</v>
      </c>
    </row>
    <row r="185" spans="1:8" ht="15.6" x14ac:dyDescent="0.3">
      <c r="A185" s="497"/>
      <c r="B185" s="17" t="s">
        <v>72</v>
      </c>
      <c r="C185" s="4"/>
      <c r="D185" s="22">
        <f>Balaka!J185+Balaka!K185+Balaka!L185</f>
        <v>0</v>
      </c>
      <c r="E185" s="22">
        <f>Liwonde!J185+Liwonde!K185+Liwonde!L185</f>
        <v>0</v>
      </c>
      <c r="F185" s="22">
        <f>Machinga!J185+Machinga!K185+Machinga!L185</f>
        <v>0</v>
      </c>
      <c r="G185" s="22">
        <f>Ntaja!J185+Ntaja!K185+Ntaja!L185</f>
        <v>0</v>
      </c>
      <c r="H185" s="16">
        <f>SUM(D185:G185)</f>
        <v>0</v>
      </c>
    </row>
    <row r="186" spans="1:8" ht="15.6" x14ac:dyDescent="0.3">
      <c r="A186" s="497"/>
      <c r="B186" s="17" t="s">
        <v>53</v>
      </c>
      <c r="C186" s="4"/>
      <c r="D186" s="22">
        <f>Balaka!J186+Balaka!K186+Balaka!L186</f>
        <v>0</v>
      </c>
      <c r="E186" s="22">
        <f>Liwonde!J186+Liwonde!K186+Liwonde!L186</f>
        <v>0</v>
      </c>
      <c r="F186" s="22">
        <f>Machinga!J186+Machinga!K186+Machinga!L186</f>
        <v>0</v>
      </c>
      <c r="G186" s="22">
        <f>Ntaja!J186+Ntaja!K186+Ntaja!L186</f>
        <v>0</v>
      </c>
      <c r="H186" s="16">
        <f>SUM(D186:G186)</f>
        <v>0</v>
      </c>
    </row>
    <row r="187" spans="1:8" ht="15.6" x14ac:dyDescent="0.3">
      <c r="A187" s="498"/>
      <c r="B187" s="17" t="s">
        <v>52</v>
      </c>
      <c r="C187" s="4"/>
      <c r="D187" s="22">
        <f>Balaka!J187+Balaka!K187+Balaka!L187</f>
        <v>0</v>
      </c>
      <c r="E187" s="22">
        <f>Liwonde!J187+Liwonde!K187+Liwonde!L187</f>
        <v>0</v>
      </c>
      <c r="F187" s="22">
        <f>Machinga!J187+Machinga!K187+Machinga!L187</f>
        <v>0</v>
      </c>
      <c r="G187" s="22">
        <f>Ntaja!J187+Ntaja!K187+Ntaja!L187</f>
        <v>0</v>
      </c>
      <c r="H187" s="16">
        <f>SUM(D187:G187)</f>
        <v>0</v>
      </c>
    </row>
    <row r="188" spans="1:8" ht="15.6" x14ac:dyDescent="0.3">
      <c r="A188" s="496" t="s">
        <v>64</v>
      </c>
      <c r="B188" s="19" t="s">
        <v>63</v>
      </c>
      <c r="C188" s="4"/>
      <c r="D188" s="3"/>
      <c r="E188" s="3"/>
      <c r="F188" s="3"/>
      <c r="G188" s="3"/>
      <c r="H188" s="16"/>
    </row>
    <row r="189" spans="1:8" ht="15.6" x14ac:dyDescent="0.3">
      <c r="A189" s="497"/>
      <c r="B189" s="18" t="s">
        <v>52</v>
      </c>
      <c r="C189" s="4" t="s">
        <v>57</v>
      </c>
      <c r="D189" s="22">
        <f>Balaka!J189+Balaka!K189+Balaka!L189</f>
        <v>0</v>
      </c>
      <c r="E189" s="22">
        <f>Liwonde!J189+Liwonde!K189+Liwonde!L189</f>
        <v>0</v>
      </c>
      <c r="F189" s="22">
        <f>Machinga!J189+Machinga!K189+Machinga!L189</f>
        <v>0</v>
      </c>
      <c r="G189" s="22">
        <f>Ntaja!J189+Ntaja!K189+Ntaja!L189</f>
        <v>0</v>
      </c>
      <c r="H189" s="16">
        <f>SUM(D189:G189)</f>
        <v>0</v>
      </c>
    </row>
    <row r="190" spans="1:8" ht="15.6" x14ac:dyDescent="0.3">
      <c r="A190" s="497"/>
      <c r="B190" s="17" t="s">
        <v>62</v>
      </c>
      <c r="C190" s="4" t="s">
        <v>57</v>
      </c>
      <c r="D190" s="22">
        <f>Balaka!J190+Balaka!K190+Balaka!L190</f>
        <v>0</v>
      </c>
      <c r="E190" s="22">
        <f>Liwonde!J190+Liwonde!K190+Liwonde!L190</f>
        <v>0</v>
      </c>
      <c r="F190" s="22">
        <f>Machinga!J190+Machinga!K190+Machinga!L190</f>
        <v>0</v>
      </c>
      <c r="G190" s="22">
        <f>Ntaja!J190+Ntaja!K190+Ntaja!L190</f>
        <v>0</v>
      </c>
      <c r="H190" s="16">
        <f>SUM(D190:G190)</f>
        <v>0</v>
      </c>
    </row>
    <row r="191" spans="1:8" ht="15.6" x14ac:dyDescent="0.3">
      <c r="A191" s="497"/>
      <c r="B191" s="17" t="s">
        <v>61</v>
      </c>
      <c r="C191" s="4" t="s">
        <v>57</v>
      </c>
      <c r="D191" s="22">
        <f>Balaka!J191+Balaka!K191+Balaka!L191</f>
        <v>0</v>
      </c>
      <c r="E191" s="22">
        <f>Liwonde!J191+Liwonde!K191+Liwonde!L191</f>
        <v>0</v>
      </c>
      <c r="F191" s="22">
        <f>Machinga!J191+Machinga!K191+Machinga!L191</f>
        <v>0</v>
      </c>
      <c r="G191" s="22">
        <f>Ntaja!J191+Ntaja!K191+Ntaja!L191</f>
        <v>0</v>
      </c>
      <c r="H191" s="16">
        <f>SUM(D191:G191)</f>
        <v>0</v>
      </c>
    </row>
    <row r="192" spans="1:8" ht="15.6" x14ac:dyDescent="0.3">
      <c r="A192" s="498"/>
      <c r="B192" s="17" t="s">
        <v>60</v>
      </c>
      <c r="C192" s="4" t="s">
        <v>57</v>
      </c>
      <c r="D192" s="22">
        <f>Balaka!J192+Balaka!K192+Balaka!L192</f>
        <v>0</v>
      </c>
      <c r="E192" s="22">
        <f>Liwonde!J192+Liwonde!K192+Liwonde!L192</f>
        <v>0</v>
      </c>
      <c r="F192" s="22">
        <f>Machinga!J192+Machinga!K192+Machinga!L192</f>
        <v>0</v>
      </c>
      <c r="G192" s="22">
        <f>Ntaja!J192+Ntaja!K192+Ntaja!L192</f>
        <v>0</v>
      </c>
      <c r="H192" s="16">
        <f>SUM(D192:G192)</f>
        <v>0</v>
      </c>
    </row>
    <row r="193" spans="1:8" ht="15.6" x14ac:dyDescent="0.3">
      <c r="A193" s="499" t="s">
        <v>59</v>
      </c>
      <c r="B193" s="500"/>
      <c r="C193" s="4"/>
      <c r="D193" s="9">
        <f>SUM(D153:D192)</f>
        <v>479</v>
      </c>
      <c r="E193" s="9">
        <f t="shared" ref="E193:H193" si="53">SUM(E153:E192)</f>
        <v>355</v>
      </c>
      <c r="F193" s="9">
        <f t="shared" si="53"/>
        <v>161</v>
      </c>
      <c r="G193" s="9">
        <f t="shared" si="53"/>
        <v>127</v>
      </c>
      <c r="H193" s="91">
        <f t="shared" si="53"/>
        <v>1122</v>
      </c>
    </row>
    <row r="194" spans="1:8" ht="15.6" x14ac:dyDescent="0.3">
      <c r="A194" s="501" t="s">
        <v>58</v>
      </c>
      <c r="B194" s="502"/>
      <c r="C194" s="4" t="s">
        <v>57</v>
      </c>
      <c r="D194" s="22">
        <f>Balaka!J194+Balaka!K194+Balaka!L194</f>
        <v>0</v>
      </c>
      <c r="E194" s="22">
        <f>Liwonde!J194+Liwonde!K194+Liwonde!L194</f>
        <v>0</v>
      </c>
      <c r="F194" s="22">
        <f>Machinga!J194+Machinga!K194+Machinga!L194</f>
        <v>3</v>
      </c>
      <c r="G194" s="22">
        <f>Ntaja!J194+Ntaja!K194+Ntaja!L194</f>
        <v>2</v>
      </c>
      <c r="H194" s="8">
        <f>SUM(D194:G194)</f>
        <v>5</v>
      </c>
    </row>
    <row r="195" spans="1:8" ht="15.6" x14ac:dyDescent="0.3">
      <c r="A195" s="503"/>
      <c r="B195" s="504"/>
      <c r="C195" s="14" t="s">
        <v>55</v>
      </c>
      <c r="D195" s="22">
        <f>Balaka!J195+Balaka!K195+Balaka!L195</f>
        <v>0</v>
      </c>
      <c r="E195" s="22">
        <f>Liwonde!J195+Liwonde!K195+Liwonde!L195</f>
        <v>70</v>
      </c>
      <c r="F195" s="22">
        <f>Machinga!J195+Machinga!K195+Machinga!L195</f>
        <v>0</v>
      </c>
      <c r="G195" s="22">
        <f>Ntaja!J195+Ntaja!K195+Ntaja!L195</f>
        <v>576</v>
      </c>
      <c r="H195" s="8">
        <f>SUM(D195:G195)</f>
        <v>646</v>
      </c>
    </row>
    <row r="196" spans="1:8" ht="15.6" x14ac:dyDescent="0.3">
      <c r="A196" s="74" t="s">
        <v>204</v>
      </c>
      <c r="B196" s="75"/>
      <c r="C196" s="14" t="s">
        <v>55</v>
      </c>
      <c r="D196" s="22">
        <f>Balaka!J196+Balaka!K196+Balaka!L196</f>
        <v>1536</v>
      </c>
      <c r="E196" s="22">
        <f>Liwonde!J196+Liwonde!K196+Liwonde!L196</f>
        <v>2019</v>
      </c>
      <c r="F196" s="22">
        <f>Machinga!J196+Machinga!K196+Machinga!L196</f>
        <v>0</v>
      </c>
      <c r="G196" s="22">
        <f>Ntaja!J196+Ntaja!K196+Ntaja!L196</f>
        <v>2160</v>
      </c>
      <c r="H196" s="8"/>
    </row>
    <row r="197" spans="1:8" ht="15.6" x14ac:dyDescent="0.3">
      <c r="A197" s="447" t="s">
        <v>56</v>
      </c>
      <c r="B197" s="448"/>
      <c r="C197" s="14" t="s">
        <v>55</v>
      </c>
      <c r="D197" s="22">
        <f>Balaka!J197+Balaka!K197+Balaka!L197</f>
        <v>128</v>
      </c>
      <c r="E197" s="22">
        <f>Liwonde!J197+Liwonde!K197+Liwonde!L197</f>
        <v>230</v>
      </c>
      <c r="F197" s="22">
        <f>Machinga!J197+Machinga!K197+Machinga!L197</f>
        <v>204</v>
      </c>
      <c r="G197" s="22">
        <f>Ntaja!J197+Ntaja!K197+Ntaja!L197</f>
        <v>522</v>
      </c>
      <c r="H197" s="8">
        <f>SUM(D197:G197)</f>
        <v>1084</v>
      </c>
    </row>
    <row r="198" spans="1:8" x14ac:dyDescent="0.3">
      <c r="A198" s="441" t="s">
        <v>205</v>
      </c>
      <c r="B198" s="442"/>
      <c r="C198" s="442"/>
      <c r="D198" s="442"/>
      <c r="E198" s="442"/>
      <c r="F198" s="442"/>
      <c r="G198" s="442"/>
      <c r="H198" s="444"/>
    </row>
    <row r="199" spans="1:8" ht="15.6" x14ac:dyDescent="0.3">
      <c r="A199" s="501" t="s">
        <v>54</v>
      </c>
      <c r="B199" s="68" t="s">
        <v>53</v>
      </c>
      <c r="C199" s="4" t="s">
        <v>47</v>
      </c>
      <c r="D199" s="22">
        <f>Balaka!J199+Balaka!K199+Balaka!L199</f>
        <v>0</v>
      </c>
      <c r="E199" s="22">
        <f>Liwonde!J199+Liwonde!K199+Liwonde!L199</f>
        <v>0</v>
      </c>
      <c r="F199" s="22">
        <f>Machinga!J199+Machinga!K199+Machinga!L199</f>
        <v>0</v>
      </c>
      <c r="G199" s="22">
        <f>Ntaja!J199+Ntaja!K199+Ntaja!L199</f>
        <v>0</v>
      </c>
      <c r="H199" s="8">
        <f t="shared" ref="H199:H204" si="54">SUM(D199:G199)</f>
        <v>0</v>
      </c>
    </row>
    <row r="200" spans="1:8" ht="15.6" x14ac:dyDescent="0.3">
      <c r="A200" s="505"/>
      <c r="B200" s="68" t="s">
        <v>52</v>
      </c>
      <c r="C200" s="4" t="s">
        <v>47</v>
      </c>
      <c r="D200" s="22">
        <f>Balaka!J200+Balaka!K200+Balaka!L200</f>
        <v>0</v>
      </c>
      <c r="E200" s="22">
        <f>Liwonde!J200+Liwonde!K200+Liwonde!L200</f>
        <v>0</v>
      </c>
      <c r="F200" s="22">
        <f>Machinga!J200+Machinga!K200+Machinga!L200</f>
        <v>0</v>
      </c>
      <c r="G200" s="22">
        <f>Ntaja!J200+Ntaja!K200+Ntaja!L200</f>
        <v>0</v>
      </c>
      <c r="H200" s="8">
        <f t="shared" si="54"/>
        <v>0</v>
      </c>
    </row>
    <row r="201" spans="1:8" ht="15.6" x14ac:dyDescent="0.3">
      <c r="A201" s="505"/>
      <c r="B201" s="68" t="s">
        <v>51</v>
      </c>
      <c r="C201" s="4" t="s">
        <v>47</v>
      </c>
      <c r="D201" s="22">
        <f>Balaka!J201+Balaka!K201+Balaka!L201</f>
        <v>18</v>
      </c>
      <c r="E201" s="22">
        <f>Liwonde!J201+Liwonde!K201+Liwonde!L201</f>
        <v>210</v>
      </c>
      <c r="F201" s="22">
        <f>Machinga!J201+Machinga!K201+Machinga!L201</f>
        <v>0</v>
      </c>
      <c r="G201" s="22">
        <f>Ntaja!J201+Ntaja!K201+Ntaja!L201</f>
        <v>0</v>
      </c>
      <c r="H201" s="8">
        <f t="shared" si="54"/>
        <v>228</v>
      </c>
    </row>
    <row r="202" spans="1:8" ht="15.6" x14ac:dyDescent="0.3">
      <c r="A202" s="505"/>
      <c r="B202" s="68" t="s">
        <v>50</v>
      </c>
      <c r="C202" s="4" t="s">
        <v>47</v>
      </c>
      <c r="D202" s="22">
        <f>Balaka!J202+Balaka!K202+Balaka!L202</f>
        <v>0</v>
      </c>
      <c r="E202" s="22">
        <f>Liwonde!J202+Liwonde!K202+Liwonde!L202</f>
        <v>0</v>
      </c>
      <c r="F202" s="22">
        <f>Machinga!J202+Machinga!K202+Machinga!L202</f>
        <v>0</v>
      </c>
      <c r="G202" s="22">
        <f>Ntaja!J202+Ntaja!K202+Ntaja!L202</f>
        <v>0</v>
      </c>
      <c r="H202" s="8">
        <f t="shared" si="54"/>
        <v>0</v>
      </c>
    </row>
    <row r="203" spans="1:8" ht="15.6" x14ac:dyDescent="0.3">
      <c r="A203" s="503"/>
      <c r="B203" s="68" t="s">
        <v>49</v>
      </c>
      <c r="C203" s="4" t="s">
        <v>47</v>
      </c>
      <c r="D203" s="22">
        <f>Balaka!J203+Balaka!K203+Balaka!L203</f>
        <v>180</v>
      </c>
      <c r="E203" s="22">
        <f>Liwonde!J203+Liwonde!K203+Liwonde!L203</f>
        <v>2130</v>
      </c>
      <c r="F203" s="22">
        <f>Machinga!J203+Machinga!K203+Machinga!L203</f>
        <v>0</v>
      </c>
      <c r="G203" s="22">
        <f>Ntaja!J203+Ntaja!K203+Ntaja!L203</f>
        <v>0</v>
      </c>
      <c r="H203" s="8">
        <f t="shared" si="54"/>
        <v>2310</v>
      </c>
    </row>
    <row r="204" spans="1:8" ht="15.6" x14ac:dyDescent="0.3">
      <c r="A204" s="72" t="s">
        <v>48</v>
      </c>
      <c r="B204" s="68"/>
      <c r="C204" s="4" t="s">
        <v>47</v>
      </c>
      <c r="D204" s="13">
        <f t="shared" ref="D204:G204" si="55">SUM(D199:D203)</f>
        <v>198</v>
      </c>
      <c r="E204" s="13">
        <f t="shared" si="55"/>
        <v>2340</v>
      </c>
      <c r="F204" s="13">
        <f t="shared" si="55"/>
        <v>0</v>
      </c>
      <c r="G204" s="13">
        <f t="shared" si="55"/>
        <v>0</v>
      </c>
      <c r="H204" s="99">
        <f t="shared" si="54"/>
        <v>2538</v>
      </c>
    </row>
    <row r="205" spans="1:8" x14ac:dyDescent="0.3">
      <c r="A205" s="441" t="s">
        <v>46</v>
      </c>
      <c r="B205" s="442"/>
      <c r="C205" s="442"/>
      <c r="D205" s="442"/>
      <c r="E205" s="442"/>
      <c r="F205" s="442"/>
      <c r="G205" s="442"/>
      <c r="H205" s="444"/>
    </row>
    <row r="206" spans="1:8" ht="15.6" x14ac:dyDescent="0.3">
      <c r="A206" s="447" t="s">
        <v>43</v>
      </c>
      <c r="B206" s="448"/>
      <c r="C206" s="4" t="s">
        <v>31</v>
      </c>
      <c r="D206" s="13">
        <f>Balaka!J206+Balaka!K206+Balaka!L206</f>
        <v>66834933.909999996</v>
      </c>
      <c r="E206" s="13">
        <f>Liwonde!J206+Liwonde!K206+Liwonde!L206</f>
        <v>75152283.210000008</v>
      </c>
      <c r="F206" s="13">
        <f>Machinga!J206+Machinga!K206+Machinga!L206</f>
        <v>155867.22</v>
      </c>
      <c r="G206" s="13">
        <f>Ntaja!J206+Ntaja!K206+Ntaja!L206</f>
        <v>6000</v>
      </c>
      <c r="H206" s="8">
        <f>SUM(D206:G206)</f>
        <v>142149084.34</v>
      </c>
    </row>
    <row r="207" spans="1:8" ht="15.6" x14ac:dyDescent="0.3">
      <c r="A207" s="447" t="s">
        <v>42</v>
      </c>
      <c r="B207" s="448"/>
      <c r="C207" s="4" t="s">
        <v>31</v>
      </c>
      <c r="D207" s="13">
        <f>Balaka!J207+Balaka!K207+Balaka!L207</f>
        <v>369500</v>
      </c>
      <c r="E207" s="13">
        <f>Liwonde!J207+Liwonde!K207+Liwonde!L207</f>
        <v>345250</v>
      </c>
      <c r="F207" s="13">
        <f>Machinga!J207+Machinga!K207+Machinga!L207</f>
        <v>0</v>
      </c>
      <c r="G207" s="13">
        <f>Ntaja!J207+Ntaja!K207+Ntaja!L207</f>
        <v>0</v>
      </c>
      <c r="H207" s="8">
        <f>SUM(D207:G207)</f>
        <v>714750</v>
      </c>
    </row>
    <row r="208" spans="1:8" ht="15.6" x14ac:dyDescent="0.3">
      <c r="A208" s="445" t="s">
        <v>41</v>
      </c>
      <c r="B208" s="446"/>
      <c r="C208" s="4" t="s">
        <v>31</v>
      </c>
      <c r="D208" s="13">
        <f>Balaka!J208+Balaka!K208+Balaka!L208</f>
        <v>94750</v>
      </c>
      <c r="E208" s="13">
        <f>Liwonde!J208+Liwonde!K208+Liwonde!L208</f>
        <v>1997720</v>
      </c>
      <c r="F208" s="13">
        <f>Machinga!J208+Machinga!K208+Machinga!L208</f>
        <v>0</v>
      </c>
      <c r="G208" s="13">
        <f>Ntaja!J208+Ntaja!K208+Ntaja!L208</f>
        <v>0</v>
      </c>
      <c r="H208" s="8">
        <f>SUM(D208:G208)</f>
        <v>2092470</v>
      </c>
    </row>
    <row r="209" spans="1:8" ht="15.6" x14ac:dyDescent="0.3">
      <c r="A209" s="447" t="s">
        <v>40</v>
      </c>
      <c r="B209" s="448"/>
      <c r="C209" s="4" t="s">
        <v>31</v>
      </c>
      <c r="D209" s="13">
        <f>Balaka!J209+Balaka!K209+Balaka!L209</f>
        <v>32000</v>
      </c>
      <c r="E209" s="13">
        <f>Liwonde!J209+Liwonde!K209+Liwonde!L209</f>
        <v>2431943.9500000002</v>
      </c>
      <c r="F209" s="13">
        <f>Machinga!J209+Machinga!K209+Machinga!L209</f>
        <v>0</v>
      </c>
      <c r="G209" s="13">
        <f>Ntaja!J209+Ntaja!K209+Ntaja!L209</f>
        <v>0</v>
      </c>
      <c r="H209" s="8">
        <f>SUM(D209:G209)</f>
        <v>2463943.9500000002</v>
      </c>
    </row>
    <row r="210" spans="1:8" ht="15.6" x14ac:dyDescent="0.3">
      <c r="A210" s="509" t="s">
        <v>45</v>
      </c>
      <c r="B210" s="510"/>
      <c r="C210" s="4" t="s">
        <v>31</v>
      </c>
      <c r="D210" s="9">
        <f t="shared" ref="D210:G210" si="56">SUM(D206:D209)</f>
        <v>67331183.909999996</v>
      </c>
      <c r="E210" s="9">
        <f t="shared" si="56"/>
        <v>79927197.160000011</v>
      </c>
      <c r="F210" s="9">
        <f t="shared" si="56"/>
        <v>155867.22</v>
      </c>
      <c r="G210" s="9">
        <f t="shared" si="56"/>
        <v>6000</v>
      </c>
      <c r="H210" s="8">
        <f>SUM(D210:G210)</f>
        <v>147420248.28999999</v>
      </c>
    </row>
    <row r="211" spans="1:8" x14ac:dyDescent="0.3">
      <c r="A211" s="441" t="s">
        <v>44</v>
      </c>
      <c r="B211" s="442"/>
      <c r="C211" s="442"/>
      <c r="D211" s="442"/>
      <c r="E211" s="442"/>
      <c r="F211" s="442"/>
      <c r="G211" s="442"/>
      <c r="H211" s="444"/>
    </row>
    <row r="212" spans="1:8" ht="15.6" x14ac:dyDescent="0.3">
      <c r="A212" s="447" t="s">
        <v>43</v>
      </c>
      <c r="B212" s="448"/>
      <c r="C212" s="4" t="s">
        <v>31</v>
      </c>
      <c r="D212" s="13">
        <f>Balaka!J212+Balaka!K212+Balaka!L212</f>
        <v>66687719.560000017</v>
      </c>
      <c r="E212" s="13">
        <f>Liwonde!J212+Liwonde!K212+Liwonde!L212</f>
        <v>72571586.310000002</v>
      </c>
      <c r="F212" s="13">
        <f>Machinga!J212+Machinga!K212+Machinga!L212</f>
        <v>6629495.3900000006</v>
      </c>
      <c r="G212" s="13">
        <f>Ntaja!J212+Ntaja!K212+Ntaja!L212</f>
        <v>9231660.9100000001</v>
      </c>
      <c r="H212" s="8">
        <f>SUM(D212:G212)</f>
        <v>155120462.16999999</v>
      </c>
    </row>
    <row r="213" spans="1:8" ht="15.6" x14ac:dyDescent="0.3">
      <c r="A213" s="447" t="s">
        <v>42</v>
      </c>
      <c r="B213" s="448"/>
      <c r="C213" s="4" t="s">
        <v>31</v>
      </c>
      <c r="D213" s="13">
        <f>Balaka!J213+Balaka!K213+Balaka!L213</f>
        <v>156400</v>
      </c>
      <c r="E213" s="13">
        <f>Liwonde!J213+Liwonde!K213+Liwonde!L213</f>
        <v>43100</v>
      </c>
      <c r="F213" s="13">
        <f>Machinga!J213+Machinga!K213+Machinga!L213</f>
        <v>0</v>
      </c>
      <c r="G213" s="13">
        <f>Ntaja!J213+Ntaja!K213+Ntaja!L213</f>
        <v>21800</v>
      </c>
      <c r="H213" s="8">
        <f>SUM(D213:G213)</f>
        <v>221300</v>
      </c>
    </row>
    <row r="214" spans="1:8" ht="15.6" x14ac:dyDescent="0.3">
      <c r="A214" s="445" t="s">
        <v>41</v>
      </c>
      <c r="B214" s="446"/>
      <c r="C214" s="4" t="s">
        <v>31</v>
      </c>
      <c r="D214" s="13">
        <f>Balaka!J214+Balaka!K214+Balaka!L214</f>
        <v>6951248.71</v>
      </c>
      <c r="E214" s="13">
        <f>Liwonde!J214+Liwonde!K214+Liwonde!L214</f>
        <v>26853200.710000001</v>
      </c>
      <c r="F214" s="13">
        <f>Machinga!J214+Machinga!K214+Machinga!L214</f>
        <v>453000</v>
      </c>
      <c r="G214" s="13">
        <f>Ntaja!J214+Ntaja!K214+Ntaja!L214</f>
        <v>371200</v>
      </c>
      <c r="H214" s="8">
        <f>SUM(D214:G214)</f>
        <v>34628649.420000002</v>
      </c>
    </row>
    <row r="215" spans="1:8" ht="15.6" x14ac:dyDescent="0.3">
      <c r="A215" s="447" t="s">
        <v>40</v>
      </c>
      <c r="B215" s="448"/>
      <c r="C215" s="4" t="s">
        <v>31</v>
      </c>
      <c r="D215" s="13">
        <f>Balaka!J215+Balaka!K215+Balaka!L215</f>
        <v>12084678.889999989</v>
      </c>
      <c r="E215" s="13">
        <f>Liwonde!J215+Liwonde!K215+Liwonde!L215</f>
        <v>18236114.199999999</v>
      </c>
      <c r="F215" s="13">
        <f>Machinga!J215+Machinga!K215+Machinga!L215</f>
        <v>2293700</v>
      </c>
      <c r="G215" s="13">
        <f>Ntaja!J215+Ntaja!K215+Ntaja!L215</f>
        <v>319900</v>
      </c>
      <c r="H215" s="8">
        <f>SUM(D215:G215)</f>
        <v>32934393.089999989</v>
      </c>
    </row>
    <row r="216" spans="1:8" ht="15.6" x14ac:dyDescent="0.3">
      <c r="A216" s="509" t="s">
        <v>39</v>
      </c>
      <c r="B216" s="510"/>
      <c r="C216" s="4" t="s">
        <v>31</v>
      </c>
      <c r="D216" s="9">
        <f t="shared" ref="D216:G216" si="57">SUM(D212:D215)</f>
        <v>85880047.159999996</v>
      </c>
      <c r="E216" s="9">
        <f t="shared" si="57"/>
        <v>117704001.22000001</v>
      </c>
      <c r="F216" s="9">
        <f t="shared" si="57"/>
        <v>9376195.3900000006</v>
      </c>
      <c r="G216" s="9">
        <f t="shared" si="57"/>
        <v>9944560.9100000001</v>
      </c>
      <c r="H216" s="8">
        <f>SUM(D216:G216)</f>
        <v>222904804.67999998</v>
      </c>
    </row>
    <row r="217" spans="1:8" ht="15.6" x14ac:dyDescent="0.3">
      <c r="A217" s="65" t="s">
        <v>38</v>
      </c>
      <c r="B217" s="66"/>
      <c r="C217" s="4" t="s">
        <v>31</v>
      </c>
      <c r="D217" s="9">
        <f>D210+D216</f>
        <v>153211231.06999999</v>
      </c>
      <c r="E217" s="9">
        <f t="shared" ref="E217:H217" si="58">E210+E216</f>
        <v>197631198.38000003</v>
      </c>
      <c r="F217" s="9">
        <f t="shared" si="58"/>
        <v>9532062.6100000013</v>
      </c>
      <c r="G217" s="9">
        <f t="shared" si="58"/>
        <v>9950560.9100000001</v>
      </c>
      <c r="H217" s="35">
        <f t="shared" si="58"/>
        <v>370325052.96999997</v>
      </c>
    </row>
    <row r="218" spans="1:8" x14ac:dyDescent="0.3">
      <c r="A218" s="441" t="s">
        <v>37</v>
      </c>
      <c r="B218" s="442"/>
      <c r="C218" s="442"/>
      <c r="D218" s="442"/>
      <c r="E218" s="442"/>
      <c r="F218" s="442"/>
      <c r="G218" s="442"/>
      <c r="H218" s="444"/>
    </row>
    <row r="219" spans="1:8" ht="15.6" x14ac:dyDescent="0.3">
      <c r="A219" s="447" t="s">
        <v>35</v>
      </c>
      <c r="B219" s="448"/>
      <c r="C219" s="4" t="s">
        <v>31</v>
      </c>
      <c r="D219" s="13">
        <f>Balaka!J219+Balaka!K219+Balaka!L219</f>
        <v>53517341.530000001</v>
      </c>
      <c r="E219" s="13">
        <f>Liwonde!J219+Liwonde!K219+Liwonde!L219</f>
        <v>65103339.310000002</v>
      </c>
      <c r="F219" s="13">
        <f>Machinga!J219+Machinga!K219+Machinga!L219</f>
        <v>138432.69999999998</v>
      </c>
      <c r="G219" s="13">
        <f>Ntaja!J219+Ntaja!K219+Ntaja!L219</f>
        <v>21800.959999999999</v>
      </c>
      <c r="H219" s="8">
        <f>SUM(D219:G219)</f>
        <v>118780914.5</v>
      </c>
    </row>
    <row r="220" spans="1:8" ht="15.6" x14ac:dyDescent="0.3">
      <c r="A220" s="447" t="s">
        <v>34</v>
      </c>
      <c r="B220" s="448"/>
      <c r="C220" s="4" t="s">
        <v>31</v>
      </c>
      <c r="D220" s="13">
        <f>Balaka!J220+Balaka!K220+Balaka!L220</f>
        <v>422154.96</v>
      </c>
      <c r="E220" s="13">
        <f>Liwonde!J220+Liwonde!K220+Liwonde!L220</f>
        <v>322498.08</v>
      </c>
      <c r="F220" s="13">
        <f>Machinga!J220+Machinga!K220+Machinga!L220</f>
        <v>0</v>
      </c>
      <c r="G220" s="13">
        <f>Ntaja!J220+Ntaja!K220+Ntaja!L220</f>
        <v>0</v>
      </c>
      <c r="H220" s="8">
        <f>SUM(D220:G220)</f>
        <v>744653.04</v>
      </c>
    </row>
    <row r="221" spans="1:8" ht="15.6" x14ac:dyDescent="0.3">
      <c r="A221" s="447" t="s">
        <v>33</v>
      </c>
      <c r="B221" s="448"/>
      <c r="C221" s="4" t="s">
        <v>31</v>
      </c>
      <c r="D221" s="13">
        <f>Balaka!J221+Balaka!K221+Balaka!L221</f>
        <v>713721.23</v>
      </c>
      <c r="E221" s="13">
        <f>Liwonde!J221+Liwonde!K221+Liwonde!L221</f>
        <v>3807501.5300000003</v>
      </c>
      <c r="F221" s="13">
        <f>Machinga!J221+Machinga!K221+Machinga!L221</f>
        <v>304410.69</v>
      </c>
      <c r="G221" s="13">
        <f>Ntaja!J221+Ntaja!K221+Ntaja!L221</f>
        <v>25232.97</v>
      </c>
      <c r="H221" s="8">
        <f>SUM(D221:G221)</f>
        <v>4850866.42</v>
      </c>
    </row>
    <row r="222" spans="1:8" ht="15.6" x14ac:dyDescent="0.3">
      <c r="A222" s="447" t="s">
        <v>32</v>
      </c>
      <c r="B222" s="448"/>
      <c r="C222" s="4" t="s">
        <v>31</v>
      </c>
      <c r="D222" s="13">
        <f>Balaka!J222+Balaka!K222+Balaka!L222</f>
        <v>48826.229999999996</v>
      </c>
      <c r="E222" s="13">
        <f>Liwonde!J222+Liwonde!K222+Liwonde!L222</f>
        <v>1108316.6199999999</v>
      </c>
      <c r="F222" s="13">
        <f>Machinga!J222+Machinga!K222+Machinga!L222</f>
        <v>0</v>
      </c>
      <c r="G222" s="13">
        <f>Ntaja!J222+Ntaja!K222+Ntaja!L222</f>
        <v>0</v>
      </c>
      <c r="H222" s="8">
        <f>SUM(D222:G222)</f>
        <v>1157142.8499999999</v>
      </c>
    </row>
    <row r="223" spans="1:8" ht="15.6" x14ac:dyDescent="0.3">
      <c r="A223" s="509" t="s">
        <v>36</v>
      </c>
      <c r="B223" s="510"/>
      <c r="C223" s="4" t="s">
        <v>31</v>
      </c>
      <c r="D223" s="10">
        <f t="shared" ref="D223:G223" si="59">SUM(D219:D222)</f>
        <v>54702043.949999996</v>
      </c>
      <c r="E223" s="9">
        <f t="shared" si="59"/>
        <v>70341655.540000007</v>
      </c>
      <c r="F223" s="9">
        <f t="shared" si="59"/>
        <v>442843.39</v>
      </c>
      <c r="G223" s="9">
        <f t="shared" si="59"/>
        <v>47033.93</v>
      </c>
      <c r="H223" s="8">
        <f>SUM(D223:G223)</f>
        <v>125533576.81000002</v>
      </c>
    </row>
    <row r="224" spans="1:8" x14ac:dyDescent="0.3">
      <c r="A224" s="441" t="s">
        <v>213</v>
      </c>
      <c r="B224" s="442"/>
      <c r="C224" s="442"/>
      <c r="D224" s="442"/>
      <c r="E224" s="442"/>
      <c r="F224" s="442"/>
      <c r="G224" s="442"/>
      <c r="H224" s="444"/>
    </row>
    <row r="225" spans="1:8" ht="15.6" x14ac:dyDescent="0.3">
      <c r="A225" s="447" t="s">
        <v>35</v>
      </c>
      <c r="B225" s="448"/>
      <c r="C225" s="4" t="s">
        <v>31</v>
      </c>
      <c r="D225" s="13">
        <f>Balaka!J225+Balaka!K225+Balaka!L225</f>
        <v>51957983.870000035</v>
      </c>
      <c r="E225" s="13">
        <f>Liwonde!J225+Liwonde!K225+Liwonde!L225</f>
        <v>70068738.549999982</v>
      </c>
      <c r="F225" s="13">
        <f>Machinga!J225+Machinga!K225+Machinga!L225</f>
        <v>6028318.2699999986</v>
      </c>
      <c r="G225" s="13">
        <f>Ntaja!J225+Ntaja!K225+Ntaja!L225</f>
        <v>8936946.5400000028</v>
      </c>
      <c r="H225" s="8">
        <f t="shared" ref="H225:H230" si="60">SUM(D225:G225)</f>
        <v>136991987.23000002</v>
      </c>
    </row>
    <row r="226" spans="1:8" ht="15.6" x14ac:dyDescent="0.3">
      <c r="A226" s="447" t="s">
        <v>34</v>
      </c>
      <c r="B226" s="448"/>
      <c r="C226" s="4" t="s">
        <v>31</v>
      </c>
      <c r="D226" s="13">
        <f>Balaka!J226+Balaka!K226+Balaka!L226</f>
        <v>135160</v>
      </c>
      <c r="E226" s="13">
        <f>Liwonde!J226+Liwonde!K226+Liwonde!L226</f>
        <v>27980</v>
      </c>
      <c r="F226" s="13">
        <f>Machinga!J226+Machinga!K226+Machinga!L226</f>
        <v>0</v>
      </c>
      <c r="G226" s="13">
        <f>Ntaja!J226+Ntaja!K226+Ntaja!L226</f>
        <v>21800</v>
      </c>
      <c r="H226" s="8">
        <f t="shared" si="60"/>
        <v>184940</v>
      </c>
    </row>
    <row r="227" spans="1:8" ht="15.6" x14ac:dyDescent="0.3">
      <c r="A227" s="447" t="s">
        <v>33</v>
      </c>
      <c r="B227" s="448"/>
      <c r="C227" s="4" t="s">
        <v>31</v>
      </c>
      <c r="D227" s="13">
        <f>Balaka!J227+Balaka!K227+Balaka!L227</f>
        <v>10589030.150000002</v>
      </c>
      <c r="E227" s="13">
        <f>Liwonde!J227+Liwonde!K227+Liwonde!L227</f>
        <v>18136642.23</v>
      </c>
      <c r="F227" s="13">
        <f>Machinga!J227+Machinga!K227+Machinga!L227</f>
        <v>2283700</v>
      </c>
      <c r="G227" s="13">
        <f>Ntaja!J227+Ntaja!K227+Ntaja!L227</f>
        <v>319900</v>
      </c>
      <c r="H227" s="8">
        <f t="shared" si="60"/>
        <v>31329272.380000003</v>
      </c>
    </row>
    <row r="228" spans="1:8" ht="15.6" x14ac:dyDescent="0.3">
      <c r="A228" s="447" t="s">
        <v>32</v>
      </c>
      <c r="B228" s="448"/>
      <c r="C228" s="4" t="s">
        <v>31</v>
      </c>
      <c r="D228" s="13">
        <f>Balaka!J228+Balaka!K228+Balaka!L228</f>
        <v>6435683.1100000013</v>
      </c>
      <c r="E228" s="13">
        <f>Liwonde!J228+Liwonde!K228+Liwonde!L228</f>
        <v>25275666.359999999</v>
      </c>
      <c r="F228" s="13">
        <f>Machinga!J228+Machinga!K228+Machinga!L228</f>
        <v>434303.54000000004</v>
      </c>
      <c r="G228" s="13">
        <f>Ntaja!J228+Ntaja!K228+Ntaja!L228</f>
        <v>371200</v>
      </c>
      <c r="H228" s="8">
        <f t="shared" si="60"/>
        <v>32516853.009999998</v>
      </c>
    </row>
    <row r="229" spans="1:8" ht="15.6" x14ac:dyDescent="0.3">
      <c r="A229" s="509" t="s">
        <v>214</v>
      </c>
      <c r="B229" s="510"/>
      <c r="C229" s="4" t="s">
        <v>31</v>
      </c>
      <c r="D229" s="10">
        <f t="shared" ref="D229:G229" si="61">SUM(D225:D228)</f>
        <v>69117857.13000004</v>
      </c>
      <c r="E229" s="9">
        <f t="shared" si="61"/>
        <v>113509027.13999999</v>
      </c>
      <c r="F229" s="9">
        <f t="shared" si="61"/>
        <v>8746321.8099999987</v>
      </c>
      <c r="G229" s="9">
        <f t="shared" si="61"/>
        <v>9649846.5400000028</v>
      </c>
      <c r="H229" s="8">
        <f t="shared" si="60"/>
        <v>201023052.62000003</v>
      </c>
    </row>
    <row r="230" spans="1:8" ht="15.6" x14ac:dyDescent="0.3">
      <c r="A230" s="65" t="s">
        <v>215</v>
      </c>
      <c r="B230" s="108"/>
      <c r="C230" s="4" t="s">
        <v>31</v>
      </c>
      <c r="D230" s="10">
        <f>D223+D229</f>
        <v>123819901.08000004</v>
      </c>
      <c r="E230" s="10">
        <f t="shared" ref="E230:G230" si="62">E223+E229</f>
        <v>183850682.68000001</v>
      </c>
      <c r="F230" s="10">
        <f t="shared" si="62"/>
        <v>9189165.1999999993</v>
      </c>
      <c r="G230" s="10">
        <f t="shared" si="62"/>
        <v>9696880.4700000025</v>
      </c>
      <c r="H230" s="8">
        <f t="shared" si="60"/>
        <v>326556629.43000007</v>
      </c>
    </row>
    <row r="231" spans="1:8" x14ac:dyDescent="0.3">
      <c r="A231" s="441" t="s">
        <v>30</v>
      </c>
      <c r="B231" s="442"/>
      <c r="C231" s="442"/>
      <c r="D231" s="442"/>
      <c r="E231" s="442"/>
      <c r="F231" s="442"/>
      <c r="G231" s="442"/>
      <c r="H231" s="444"/>
    </row>
    <row r="232" spans="1:8" ht="15.6" x14ac:dyDescent="0.3">
      <c r="A232" s="447" t="s">
        <v>29</v>
      </c>
      <c r="B232" s="448"/>
      <c r="C232" s="4" t="s">
        <v>18</v>
      </c>
      <c r="D232" s="13">
        <f>Balaka!J232+Balaka!K232+Balaka!L232</f>
        <v>4801451.57</v>
      </c>
      <c r="E232" s="13">
        <f>Liwonde!J232+Liwonde!K232+Liwonde!L232</f>
        <v>4088716.5999999996</v>
      </c>
      <c r="F232" s="13">
        <f>Machinga!J232+Machinga!K232+Machinga!L232</f>
        <v>7274.75</v>
      </c>
      <c r="G232" s="13">
        <f>Ntaja!J232+Ntaja!K232+Ntaja!L232</f>
        <v>3269.58</v>
      </c>
      <c r="H232" s="8">
        <f>SUM(D232:G232)</f>
        <v>8900712.5</v>
      </c>
    </row>
    <row r="233" spans="1:8" ht="15.6" x14ac:dyDescent="0.3">
      <c r="A233" s="447" t="s">
        <v>28</v>
      </c>
      <c r="B233" s="448"/>
      <c r="C233" s="4" t="s">
        <v>18</v>
      </c>
      <c r="D233" s="13">
        <f>Balaka!J233+Balaka!K233+Balaka!L233</f>
        <v>6312.24</v>
      </c>
      <c r="E233" s="13">
        <f>Liwonde!J233+Liwonde!K233+Liwonde!L233</f>
        <v>6120.96</v>
      </c>
      <c r="F233" s="13">
        <f>Machinga!J233+Machinga!K233+Machinga!L233</f>
        <v>0</v>
      </c>
      <c r="G233" s="13">
        <f>Ntaja!J233+Ntaja!K233+Ntaja!L233</f>
        <v>0</v>
      </c>
      <c r="H233" s="8">
        <f>SUM(D233:G233)</f>
        <v>12433.2</v>
      </c>
    </row>
    <row r="234" spans="1:8" ht="15.6" x14ac:dyDescent="0.3">
      <c r="A234" s="447" t="s">
        <v>27</v>
      </c>
      <c r="B234" s="448"/>
      <c r="C234" s="4" t="s">
        <v>18</v>
      </c>
      <c r="D234" s="13">
        <f>Balaka!J234+Balaka!K234+Balaka!L234</f>
        <v>81447.360000000001</v>
      </c>
      <c r="E234" s="13">
        <f>Liwonde!J234+Liwonde!K234+Liwonde!L234</f>
        <v>88234.64</v>
      </c>
      <c r="F234" s="13">
        <f>Machinga!J234+Machinga!K234+Machinga!L234</f>
        <v>10180.92</v>
      </c>
      <c r="G234" s="13">
        <f>Ntaja!J234+Ntaja!K234+Ntaja!L234</f>
        <v>10180.92</v>
      </c>
      <c r="H234" s="8">
        <f>SUM(D234:G234)</f>
        <v>190043.84000000003</v>
      </c>
    </row>
    <row r="235" spans="1:8" ht="15.6" x14ac:dyDescent="0.3">
      <c r="A235" s="447" t="s">
        <v>26</v>
      </c>
      <c r="B235" s="448"/>
      <c r="C235" s="4" t="s">
        <v>18</v>
      </c>
      <c r="D235" s="13">
        <f>Balaka!J235+Balaka!K235+Balaka!L235</f>
        <v>23186.7</v>
      </c>
      <c r="E235" s="13">
        <f>Liwonde!J235+Liwonde!K235+Liwonde!L235</f>
        <v>64922.76</v>
      </c>
      <c r="F235" s="13">
        <f>Machinga!J235+Machinga!K235+Machinga!L235</f>
        <v>0</v>
      </c>
      <c r="G235" s="13">
        <f>Ntaja!J235+Ntaja!K235+Ntaja!L235</f>
        <v>0</v>
      </c>
      <c r="H235" s="8">
        <f>SUM(D235:G235)</f>
        <v>88109.46</v>
      </c>
    </row>
    <row r="236" spans="1:8" ht="15.6" x14ac:dyDescent="0.3">
      <c r="A236" s="509" t="s">
        <v>25</v>
      </c>
      <c r="B236" s="510"/>
      <c r="C236" s="4" t="s">
        <v>18</v>
      </c>
      <c r="D236" s="10"/>
      <c r="E236" s="10"/>
      <c r="F236" s="10"/>
      <c r="G236" s="10"/>
      <c r="H236" s="35">
        <f t="shared" ref="H236" si="63">SUM(H232:H235)</f>
        <v>9191299</v>
      </c>
    </row>
    <row r="237" spans="1:8" x14ac:dyDescent="0.3">
      <c r="A237" s="441" t="s">
        <v>24</v>
      </c>
      <c r="B237" s="442"/>
      <c r="C237" s="442"/>
      <c r="D237" s="442"/>
      <c r="E237" s="442"/>
      <c r="F237" s="442"/>
      <c r="G237" s="442"/>
      <c r="H237" s="444"/>
    </row>
    <row r="238" spans="1:8" ht="15.6" x14ac:dyDescent="0.3">
      <c r="A238" s="447" t="s">
        <v>23</v>
      </c>
      <c r="B238" s="448"/>
      <c r="C238" s="4" t="s">
        <v>18</v>
      </c>
      <c r="D238" s="13">
        <f>Balaka!J238+Balaka!K238+Balaka!L238</f>
        <v>7953058</v>
      </c>
      <c r="E238" s="13">
        <f>Liwonde!J238+Liwonde!K238+Liwonde!L238</f>
        <v>6861812</v>
      </c>
      <c r="F238" s="13">
        <f>Machinga!J238+Machinga!K238+Machinga!L238</f>
        <v>10716</v>
      </c>
      <c r="G238" s="13">
        <f>Ntaja!J238+Ntaja!K238+Ntaja!L238</f>
        <v>5358</v>
      </c>
      <c r="H238" s="34">
        <f>SUM(D238:G238)</f>
        <v>14830944</v>
      </c>
    </row>
    <row r="239" spans="1:8" ht="15.6" x14ac:dyDescent="0.3">
      <c r="A239" s="447" t="s">
        <v>22</v>
      </c>
      <c r="B239" s="448"/>
      <c r="C239" s="4" t="s">
        <v>18</v>
      </c>
      <c r="D239" s="13">
        <f>Balaka!J239+Balaka!K239+Balaka!L239</f>
        <v>29469</v>
      </c>
      <c r="E239" s="13">
        <f>Liwonde!J239+Liwonde!K239+Liwonde!L239</f>
        <v>28576</v>
      </c>
      <c r="F239" s="13">
        <f>Machinga!J239+Machinga!K239+Machinga!L239</f>
        <v>0</v>
      </c>
      <c r="G239" s="13">
        <f>Ntaja!J239+Ntaja!K239+Ntaja!L239</f>
        <v>0</v>
      </c>
      <c r="H239" s="34">
        <f>SUM(D239:G239)</f>
        <v>58045</v>
      </c>
    </row>
    <row r="240" spans="1:8" ht="15.6" x14ac:dyDescent="0.3">
      <c r="A240" s="447" t="s">
        <v>21</v>
      </c>
      <c r="B240" s="448"/>
      <c r="C240" s="4" t="s">
        <v>18</v>
      </c>
      <c r="D240" s="13">
        <f>Balaka!J240+Balaka!K240+Balaka!L240</f>
        <v>21432</v>
      </c>
      <c r="E240" s="13">
        <f>Liwonde!J240+Liwonde!K240+Liwonde!L240</f>
        <v>23218</v>
      </c>
      <c r="F240" s="13">
        <f>Machinga!J240+Machinga!K240+Machinga!L240</f>
        <v>2679</v>
      </c>
      <c r="G240" s="13">
        <f>Ntaja!J240+Ntaja!K240+Ntaja!L240</f>
        <v>2679</v>
      </c>
      <c r="H240" s="34">
        <f>SUM(D240:G240)</f>
        <v>50008</v>
      </c>
    </row>
    <row r="241" spans="1:8" ht="15.6" x14ac:dyDescent="0.3">
      <c r="A241" s="447" t="s">
        <v>20</v>
      </c>
      <c r="B241" s="448"/>
      <c r="C241" s="4" t="s">
        <v>18</v>
      </c>
      <c r="D241" s="13">
        <f>Balaka!J241+Balaka!K241+Balaka!L241</f>
        <v>4465</v>
      </c>
      <c r="E241" s="13">
        <f>Liwonde!J241+Liwonde!K241+Liwonde!L241</f>
        <v>12502</v>
      </c>
      <c r="F241" s="13">
        <f>Machinga!J241+Machinga!K241+Machinga!L241</f>
        <v>0</v>
      </c>
      <c r="G241" s="13">
        <f>Ntaja!J241+Ntaja!K241+Ntaja!L241</f>
        <v>0</v>
      </c>
      <c r="H241" s="34">
        <f>SUM(D241:G241)</f>
        <v>16967</v>
      </c>
    </row>
    <row r="242" spans="1:8" ht="15.6" x14ac:dyDescent="0.3">
      <c r="A242" s="509" t="s">
        <v>19</v>
      </c>
      <c r="B242" s="510"/>
      <c r="C242" s="4" t="s">
        <v>18</v>
      </c>
      <c r="D242" s="10">
        <f t="shared" ref="D242:H242" si="64">SUM(D238:D241)</f>
        <v>8008424</v>
      </c>
      <c r="E242" s="10">
        <f t="shared" si="64"/>
        <v>6926108</v>
      </c>
      <c r="F242" s="10">
        <f t="shared" si="64"/>
        <v>13395</v>
      </c>
      <c r="G242" s="10">
        <f t="shared" si="64"/>
        <v>8037</v>
      </c>
      <c r="H242" s="35">
        <f t="shared" si="64"/>
        <v>14955964</v>
      </c>
    </row>
    <row r="243" spans="1:8" ht="15.6" x14ac:dyDescent="0.3">
      <c r="A243" s="509" t="s">
        <v>216</v>
      </c>
      <c r="B243" s="510"/>
      <c r="C243" s="4" t="s">
        <v>18</v>
      </c>
      <c r="D243" s="9">
        <f>D230+D236+D242</f>
        <v>131828325.08000004</v>
      </c>
      <c r="E243" s="9">
        <f t="shared" ref="E243:G243" si="65">E230+E236+E242</f>
        <v>190776790.68000001</v>
      </c>
      <c r="F243" s="9">
        <f t="shared" si="65"/>
        <v>9202560.1999999993</v>
      </c>
      <c r="G243" s="9">
        <f t="shared" si="65"/>
        <v>9704917.4700000025</v>
      </c>
      <c r="H243" s="35">
        <f t="shared" ref="H243" si="66">H216+H223+H236+H242</f>
        <v>372585644.49000001</v>
      </c>
    </row>
    <row r="244" spans="1:8" x14ac:dyDescent="0.3">
      <c r="A244" s="441" t="s">
        <v>206</v>
      </c>
      <c r="B244" s="442"/>
      <c r="C244" s="442"/>
      <c r="D244" s="442"/>
      <c r="E244" s="442"/>
      <c r="F244" s="442"/>
      <c r="G244" s="442"/>
      <c r="H244" s="444"/>
    </row>
    <row r="245" spans="1:8" ht="15.6" x14ac:dyDescent="0.3">
      <c r="A245" s="513" t="s">
        <v>207</v>
      </c>
      <c r="B245" s="514"/>
      <c r="C245" s="4" t="s">
        <v>18</v>
      </c>
      <c r="D245" s="13">
        <f>Balaka!J245+Balaka!K245+Balaka!L245</f>
        <v>582425720.77999997</v>
      </c>
      <c r="E245" s="13">
        <f>Liwonde!J245+Liwonde!K245+Liwonde!L245</f>
        <v>501483738.76999998</v>
      </c>
      <c r="F245" s="13">
        <f>Machinga!J245+Machinga!K245+Machinga!L245</f>
        <v>43601880.720000006</v>
      </c>
      <c r="G245" s="13">
        <f>Ntaja!J245+Ntaja!K245+Ntaja!L245</f>
        <v>1299201.53</v>
      </c>
      <c r="H245" s="35">
        <f>SUM(D245:G245)</f>
        <v>1128810541.8</v>
      </c>
    </row>
    <row r="246" spans="1:8" ht="15.6" x14ac:dyDescent="0.3">
      <c r="A246" s="513" t="s">
        <v>208</v>
      </c>
      <c r="B246" s="514"/>
      <c r="C246" s="4" t="s">
        <v>18</v>
      </c>
      <c r="D246" s="13">
        <f>Balaka!J246+Balaka!K246+Balaka!L246</f>
        <v>10322046.23</v>
      </c>
      <c r="E246" s="13">
        <f>Liwonde!J246+Liwonde!K246+Liwonde!L246</f>
        <v>21221126.5</v>
      </c>
      <c r="F246" s="13">
        <f>Machinga!J246+Machinga!K246+Machinga!L246</f>
        <v>1763333.34</v>
      </c>
      <c r="G246" s="13">
        <f>Ntaja!J246+Ntaja!K246+Ntaja!L246</f>
        <v>958315.93</v>
      </c>
      <c r="H246" s="35">
        <f>SUM(D246:G246)</f>
        <v>34264822</v>
      </c>
    </row>
    <row r="247" spans="1:8" ht="15.6" x14ac:dyDescent="0.3">
      <c r="A247" s="515" t="s">
        <v>209</v>
      </c>
      <c r="B247" s="516"/>
      <c r="C247" s="4" t="s">
        <v>18</v>
      </c>
      <c r="D247" s="155">
        <f>D245+D246</f>
        <v>592747767.00999999</v>
      </c>
      <c r="E247" s="155">
        <f t="shared" ref="E247:G247" si="67">E245+E246</f>
        <v>522704865.26999998</v>
      </c>
      <c r="F247" s="155">
        <f t="shared" si="67"/>
        <v>45365214.06000001</v>
      </c>
      <c r="G247" s="155">
        <f t="shared" si="67"/>
        <v>2257517.46</v>
      </c>
      <c r="H247" s="141">
        <f t="shared" ref="H247" si="68">H245+H246</f>
        <v>1163075363.8</v>
      </c>
    </row>
    <row r="248" spans="1:8" x14ac:dyDescent="0.3">
      <c r="A248" s="441" t="s">
        <v>17</v>
      </c>
      <c r="B248" s="442"/>
      <c r="C248" s="442"/>
      <c r="D248" s="442"/>
      <c r="E248" s="442"/>
      <c r="F248" s="442"/>
      <c r="G248" s="442"/>
      <c r="H248" s="444"/>
    </row>
    <row r="249" spans="1:8" ht="15.6" x14ac:dyDescent="0.3">
      <c r="A249" s="447" t="s">
        <v>16</v>
      </c>
      <c r="B249" s="448"/>
      <c r="C249" s="4" t="s">
        <v>6</v>
      </c>
      <c r="D249" s="7">
        <f>D58/D243%</f>
        <v>62.822223706280276</v>
      </c>
      <c r="E249" s="7">
        <f t="shared" ref="E249:H249" si="69">E58/E243%</f>
        <v>55.977721993147846</v>
      </c>
      <c r="F249" s="7">
        <f t="shared" si="69"/>
        <v>78.903838846933041</v>
      </c>
      <c r="G249" s="7">
        <f t="shared" si="69"/>
        <v>91.986405501086637</v>
      </c>
      <c r="H249" s="7">
        <f t="shared" si="69"/>
        <v>55.235183602819554</v>
      </c>
    </row>
    <row r="250" spans="1:8" ht="15.6" x14ac:dyDescent="0.3">
      <c r="A250" s="447" t="s">
        <v>210</v>
      </c>
      <c r="B250" s="448"/>
      <c r="C250" s="4" t="s">
        <v>6</v>
      </c>
      <c r="D250" s="25">
        <f>D210/(D223+D245)%</f>
        <v>10.567924933946866</v>
      </c>
      <c r="E250" s="25">
        <f t="shared" ref="E250:H250" si="70">E210/(E223+E245)%</f>
        <v>13.977552930548866</v>
      </c>
      <c r="F250" s="25">
        <f t="shared" si="70"/>
        <v>0.3538839739595771</v>
      </c>
      <c r="G250" s="25">
        <f t="shared" si="70"/>
        <v>0.44568726484147136</v>
      </c>
      <c r="H250" s="25">
        <f t="shared" si="70"/>
        <v>11.752775502576087</v>
      </c>
    </row>
    <row r="251" spans="1:8" ht="16.2" thickBot="1" x14ac:dyDescent="0.35">
      <c r="A251" s="511" t="s">
        <v>15</v>
      </c>
      <c r="B251" s="512"/>
      <c r="C251" s="4" t="s">
        <v>6</v>
      </c>
      <c r="D251" s="6">
        <f>D210/D223%</f>
        <v>123.08714455266713</v>
      </c>
      <c r="E251" s="6">
        <f t="shared" ref="E251:H251" si="71">E210/E223%</f>
        <v>113.62711972928922</v>
      </c>
      <c r="F251" s="6">
        <f t="shared" si="71"/>
        <v>35.196916905545322</v>
      </c>
      <c r="G251" s="6">
        <f t="shared" si="71"/>
        <v>12.756748160317457</v>
      </c>
      <c r="H251" s="6">
        <f t="shared" si="71"/>
        <v>117.43491425654692</v>
      </c>
    </row>
    <row r="252" spans="1:8" x14ac:dyDescent="0.3">
      <c r="A252" s="490" t="s">
        <v>14</v>
      </c>
      <c r="B252" s="491"/>
      <c r="C252" s="491"/>
      <c r="D252" s="491"/>
      <c r="E252" s="491"/>
      <c r="F252" s="491"/>
      <c r="G252" s="491"/>
      <c r="H252" s="492"/>
    </row>
    <row r="253" spans="1:8" ht="15" customHeight="1" x14ac:dyDescent="0.3">
      <c r="A253" s="447" t="s">
        <v>13</v>
      </c>
      <c r="B253" s="448"/>
      <c r="C253" s="4" t="s">
        <v>3</v>
      </c>
      <c r="D253" s="22">
        <f>Balaka!J253+Balaka!K253+Balaka!L253</f>
        <v>91</v>
      </c>
      <c r="E253" s="22">
        <f>Liwonde!J253+Liwonde!K253+Liwonde!L253</f>
        <v>132</v>
      </c>
      <c r="F253" s="22">
        <f>Machinga!J253+Machinga!K253+Machinga!L253</f>
        <v>12</v>
      </c>
      <c r="G253" s="22">
        <f>Ntaja!J253+Ntaja!K253+Ntaja!L253</f>
        <v>27</v>
      </c>
      <c r="H253" s="102">
        <f>SUM(D253:G253)</f>
        <v>262</v>
      </c>
    </row>
    <row r="254" spans="1:8" ht="15.6" x14ac:dyDescent="0.3">
      <c r="A254" s="447" t="s">
        <v>12</v>
      </c>
      <c r="B254" s="448"/>
      <c r="C254" s="4" t="s">
        <v>3</v>
      </c>
      <c r="D254" s="22">
        <f>Balaka!J254+Balaka!K254+Balaka!L254</f>
        <v>3</v>
      </c>
      <c r="E254" s="22">
        <f>Liwonde!J254+Liwonde!K254+Liwonde!L254</f>
        <v>3</v>
      </c>
      <c r="F254" s="22">
        <f>Machinga!J254+Machinga!K254+Machinga!L254</f>
        <v>3</v>
      </c>
      <c r="G254" s="22">
        <f>Ntaja!J254+Ntaja!K254+Ntaja!L254</f>
        <v>3</v>
      </c>
      <c r="H254" s="102">
        <f>SUM(D254:G254)</f>
        <v>12</v>
      </c>
    </row>
    <row r="255" spans="1:8" ht="15.75" customHeight="1" x14ac:dyDescent="0.3">
      <c r="A255" s="447" t="s">
        <v>11</v>
      </c>
      <c r="B255" s="448"/>
      <c r="C255" s="4" t="s">
        <v>3</v>
      </c>
      <c r="D255" s="22">
        <f>Balaka!J255+Balaka!K255+Balaka!L255</f>
        <v>1233</v>
      </c>
      <c r="E255" s="22">
        <f>Liwonde!J255+Liwonde!K255+Liwonde!L255</f>
        <v>2488</v>
      </c>
      <c r="F255" s="22">
        <f>Machinga!J255+Machinga!K255+Machinga!L255</f>
        <v>13</v>
      </c>
      <c r="G255" s="22">
        <f>Ntaja!J255+Ntaja!K255+Ntaja!L255</f>
        <v>62</v>
      </c>
      <c r="H255" s="102">
        <f>SUM(D255:G255)</f>
        <v>3796</v>
      </c>
    </row>
    <row r="256" spans="1:8" ht="15.6" x14ac:dyDescent="0.3">
      <c r="A256" s="447" t="s">
        <v>10</v>
      </c>
      <c r="B256" s="448"/>
      <c r="C256" s="4" t="s">
        <v>3</v>
      </c>
      <c r="D256" s="22">
        <f>Balaka!J256+Balaka!K256+Balaka!L256</f>
        <v>91</v>
      </c>
      <c r="E256" s="22">
        <f>Liwonde!J256+Liwonde!K256+Liwonde!L256</f>
        <v>132</v>
      </c>
      <c r="F256" s="22">
        <f>Machinga!J256+Machinga!K256+Machinga!L256</f>
        <v>11</v>
      </c>
      <c r="G256" s="22">
        <f>Ntaja!J256+Ntaja!K256+Ntaja!L256</f>
        <v>13</v>
      </c>
      <c r="H256" s="102">
        <f>SUM(D256:G256)</f>
        <v>247</v>
      </c>
    </row>
    <row r="257" spans="1:8" ht="15.6" customHeight="1" x14ac:dyDescent="0.3">
      <c r="A257" s="447" t="s">
        <v>9</v>
      </c>
      <c r="B257" s="448"/>
      <c r="C257" s="4" t="s">
        <v>3</v>
      </c>
      <c r="D257" s="22">
        <f>Balaka!J257+Balaka!K257+Balaka!L257</f>
        <v>72</v>
      </c>
      <c r="E257" s="22">
        <f>Liwonde!J257+Liwonde!K257+Liwonde!L257</f>
        <v>94</v>
      </c>
      <c r="F257" s="22">
        <f>Machinga!J257+Machinga!K257+Machinga!L257</f>
        <v>20</v>
      </c>
      <c r="G257" s="22">
        <f>Ntaja!J257+Ntaja!K257+Ntaja!L257</f>
        <v>42</v>
      </c>
      <c r="H257" s="102">
        <f>SUM(D257:G257)</f>
        <v>228</v>
      </c>
    </row>
    <row r="258" spans="1:8" ht="15.6" x14ac:dyDescent="0.3">
      <c r="A258" s="509" t="s">
        <v>8</v>
      </c>
      <c r="B258" s="510"/>
      <c r="C258" s="4" t="s">
        <v>3</v>
      </c>
      <c r="D258" s="1">
        <f t="shared" ref="D258:H258" si="72">D257/D256</f>
        <v>0.79120879120879117</v>
      </c>
      <c r="E258" s="1">
        <f t="shared" si="72"/>
        <v>0.71212121212121215</v>
      </c>
      <c r="F258" s="1">
        <f t="shared" si="72"/>
        <v>1.8181818181818181</v>
      </c>
      <c r="G258" s="2">
        <f t="shared" si="72"/>
        <v>3.2307692307692308</v>
      </c>
      <c r="H258" s="102">
        <f t="shared" si="72"/>
        <v>0.92307692307692313</v>
      </c>
    </row>
    <row r="259" spans="1:8" ht="15.6" x14ac:dyDescent="0.3">
      <c r="A259" s="509" t="s">
        <v>7</v>
      </c>
      <c r="B259" s="510"/>
      <c r="C259" s="4" t="s">
        <v>6</v>
      </c>
      <c r="D259" s="1">
        <f t="shared" ref="D259:H259" si="73">D92/D255*100</f>
        <v>8.8402270884022709</v>
      </c>
      <c r="E259" s="1">
        <f t="shared" si="73"/>
        <v>2.934083601286174</v>
      </c>
      <c r="F259" s="1">
        <f t="shared" si="73"/>
        <v>0</v>
      </c>
      <c r="G259" s="5">
        <f t="shared" si="73"/>
        <v>0</v>
      </c>
      <c r="H259" s="103">
        <f t="shared" si="73"/>
        <v>4.7945205479452051</v>
      </c>
    </row>
    <row r="260" spans="1:8" x14ac:dyDescent="0.3">
      <c r="A260" s="441" t="s">
        <v>5</v>
      </c>
      <c r="B260" s="442"/>
      <c r="C260" s="442"/>
      <c r="D260" s="442"/>
      <c r="E260" s="442"/>
      <c r="F260" s="442"/>
      <c r="G260" s="442"/>
      <c r="H260" s="444"/>
    </row>
    <row r="261" spans="1:8" ht="15" customHeight="1" x14ac:dyDescent="0.3">
      <c r="A261" s="447" t="s">
        <v>4</v>
      </c>
      <c r="B261" s="448"/>
      <c r="C261" s="4" t="s">
        <v>3</v>
      </c>
      <c r="D261" s="22">
        <f>Balaka!J261+Balaka!K261+Balaka!L261</f>
        <v>98</v>
      </c>
      <c r="E261" s="22">
        <f>Liwonde!J261+Liwonde!K261+Liwonde!L261</f>
        <v>50</v>
      </c>
      <c r="F261" s="22">
        <f>Machinga!J261+Machinga!K261+Machinga!L261</f>
        <v>56</v>
      </c>
      <c r="G261" s="22">
        <f>Ntaja!J261+Ntaja!K261+Ntaja!L261</f>
        <v>148</v>
      </c>
      <c r="H261" s="102">
        <f t="shared" ref="H261:H262" si="74">SUM(D261:G261)</f>
        <v>352</v>
      </c>
    </row>
    <row r="262" spans="1:8" ht="15.75" customHeight="1" x14ac:dyDescent="0.3">
      <c r="A262" s="447" t="s">
        <v>2</v>
      </c>
      <c r="B262" s="448"/>
      <c r="C262" s="4" t="s">
        <v>0</v>
      </c>
      <c r="D262" s="22">
        <f>Balaka!J262+Balaka!K262+Balaka!L262</f>
        <v>44</v>
      </c>
      <c r="E262" s="22">
        <f>Liwonde!J262+Liwonde!K262+Liwonde!L262</f>
        <v>90</v>
      </c>
      <c r="F262" s="22">
        <f>Machinga!J262+Machinga!K262+Machinga!L262</f>
        <v>14</v>
      </c>
      <c r="G262" s="22">
        <f>Ntaja!J262+Ntaja!K262+Ntaja!L262</f>
        <v>16</v>
      </c>
      <c r="H262" s="102">
        <f t="shared" si="74"/>
        <v>164</v>
      </c>
    </row>
    <row r="263" spans="1:8" ht="16.2" thickBot="1" x14ac:dyDescent="0.35">
      <c r="A263" s="517" t="s">
        <v>1</v>
      </c>
      <c r="B263" s="518"/>
      <c r="C263" s="104" t="s">
        <v>0</v>
      </c>
      <c r="D263" s="105">
        <f t="shared" ref="D263:H263" si="75">D261/D262</f>
        <v>2.2272727272727271</v>
      </c>
      <c r="E263" s="105">
        <f t="shared" si="75"/>
        <v>0.55555555555555558</v>
      </c>
      <c r="F263" s="105">
        <f t="shared" si="75"/>
        <v>4</v>
      </c>
      <c r="G263" s="105">
        <f t="shared" si="75"/>
        <v>9.25</v>
      </c>
      <c r="H263" s="105">
        <f t="shared" si="75"/>
        <v>2.1463414634146343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6"/>
  <dimension ref="A1:H263"/>
  <sheetViews>
    <sheetView workbookViewId="0">
      <selection activeCell="K14" sqref="K14"/>
    </sheetView>
  </sheetViews>
  <sheetFormatPr defaultRowHeight="14.4" x14ac:dyDescent="0.3"/>
  <cols>
    <col min="1" max="1" width="39" customWidth="1"/>
    <col min="2" max="2" width="16.88671875" customWidth="1"/>
    <col min="3" max="3" width="12.5546875" customWidth="1"/>
    <col min="4" max="4" width="21.5546875" bestFit="1" customWidth="1"/>
    <col min="5" max="7" width="19.109375" customWidth="1"/>
    <col min="8" max="8" width="21.44140625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109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111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79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113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114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87"/>
    </row>
    <row r="7" spans="1:8" ht="16.2" thickBot="1" x14ac:dyDescent="0.35">
      <c r="A7" s="434" t="s">
        <v>176</v>
      </c>
      <c r="B7" s="435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436" t="s">
        <v>161</v>
      </c>
      <c r="B8" s="437"/>
      <c r="C8" s="437"/>
      <c r="D8" s="437"/>
      <c r="E8" s="437"/>
      <c r="F8" s="437"/>
      <c r="G8" s="437"/>
      <c r="H8" s="438"/>
    </row>
    <row r="9" spans="1:8" ht="15.6" x14ac:dyDescent="0.3">
      <c r="A9" s="439" t="s">
        <v>178</v>
      </c>
      <c r="B9" s="440"/>
      <c r="C9" s="52" t="s">
        <v>154</v>
      </c>
      <c r="D9" s="51">
        <f>Balaka!M9+Balaka!N9+Balaka!O9</f>
        <v>144118</v>
      </c>
      <c r="E9" s="51">
        <f>Liwonde!M9+Liwonde!N9+Liwonde!O9</f>
        <v>186069</v>
      </c>
      <c r="F9" s="51">
        <f>Machinga!M9+Machinga!N9+Machinga!O9</f>
        <v>6464</v>
      </c>
      <c r="G9" s="51">
        <f>Ntaja!M9+Ntaja!N9+Ntaja!O9</f>
        <v>8849</v>
      </c>
      <c r="H9" s="135">
        <f>SUM(D9:G9)</f>
        <v>345500</v>
      </c>
    </row>
    <row r="10" spans="1:8" x14ac:dyDescent="0.3">
      <c r="A10" s="441" t="s">
        <v>179</v>
      </c>
      <c r="B10" s="442"/>
      <c r="C10" s="442"/>
      <c r="D10" s="443"/>
      <c r="E10" s="443"/>
      <c r="F10" s="443"/>
      <c r="G10" s="443"/>
      <c r="H10" s="444"/>
    </row>
    <row r="11" spans="1:8" ht="15.6" x14ac:dyDescent="0.3">
      <c r="A11" s="445" t="s">
        <v>159</v>
      </c>
      <c r="B11" s="446"/>
      <c r="C11" s="4" t="s">
        <v>154</v>
      </c>
      <c r="D11" s="22">
        <f>Balaka!M11+Balaka!N11+Balaka!O11</f>
        <v>53329</v>
      </c>
      <c r="E11" s="22">
        <f>Liwonde!M11+Liwonde!N11+Liwonde!O11</f>
        <v>70541</v>
      </c>
      <c r="F11" s="22">
        <f>Machinga!M11+Machinga!N11+Machinga!O11</f>
        <v>190</v>
      </c>
      <c r="G11" s="22">
        <f>Ntaja!M11+Ntaja!N11+Ntaja!O11</f>
        <v>15</v>
      </c>
      <c r="H11" s="50">
        <f>SUM(D11:G11)</f>
        <v>124075</v>
      </c>
    </row>
    <row r="12" spans="1:8" ht="15.6" x14ac:dyDescent="0.3">
      <c r="A12" s="445" t="s">
        <v>158</v>
      </c>
      <c r="B12" s="446"/>
      <c r="C12" s="4" t="s">
        <v>154</v>
      </c>
      <c r="D12" s="22">
        <f>Balaka!M12+Balaka!N12+Balaka!O12</f>
        <v>1521</v>
      </c>
      <c r="E12" s="22">
        <f>Liwonde!M12+Liwonde!N12+Liwonde!O12</f>
        <v>1366</v>
      </c>
      <c r="F12" s="22">
        <f>Machinga!M12+Machinga!N12+Machinga!O12</f>
        <v>0</v>
      </c>
      <c r="G12" s="22">
        <f>Ntaja!M12+Ntaja!N12+Ntaja!O12</f>
        <v>0</v>
      </c>
      <c r="H12" s="50">
        <f>SUM(D12:G12)</f>
        <v>2887</v>
      </c>
    </row>
    <row r="13" spans="1:8" ht="15.6" x14ac:dyDescent="0.3">
      <c r="A13" s="445" t="s">
        <v>157</v>
      </c>
      <c r="B13" s="446"/>
      <c r="C13" s="4" t="s">
        <v>154</v>
      </c>
      <c r="D13" s="22">
        <f>Balaka!M13+Balaka!N13+Balaka!O13</f>
        <v>225</v>
      </c>
      <c r="E13" s="22">
        <f>Liwonde!M13+Liwonde!N13+Liwonde!O13</f>
        <v>932</v>
      </c>
      <c r="F13" s="22">
        <f>Machinga!M13+Machinga!N13+Machinga!O13</f>
        <v>26</v>
      </c>
      <c r="G13" s="22">
        <f>Ntaja!M13+Ntaja!N13+Ntaja!O13</f>
        <v>6</v>
      </c>
      <c r="H13" s="50">
        <f>SUM(D13:G13)</f>
        <v>1189</v>
      </c>
    </row>
    <row r="14" spans="1:8" ht="15.6" x14ac:dyDescent="0.3">
      <c r="A14" s="447" t="s">
        <v>156</v>
      </c>
      <c r="B14" s="448"/>
      <c r="C14" s="4" t="s">
        <v>154</v>
      </c>
      <c r="D14" s="22">
        <f>Balaka!M14+Balaka!N14+Balaka!O14</f>
        <v>24</v>
      </c>
      <c r="E14" s="22">
        <f>Liwonde!M14+Liwonde!N14+Liwonde!O14</f>
        <v>232</v>
      </c>
      <c r="F14" s="22">
        <f>Machinga!M14+Machinga!N14+Machinga!O14</f>
        <v>0</v>
      </c>
      <c r="G14" s="22">
        <f>Ntaja!M14+Ntaja!N14+Ntaja!O14</f>
        <v>0</v>
      </c>
      <c r="H14" s="50">
        <f>SUM(D14:G14)</f>
        <v>256</v>
      </c>
    </row>
    <row r="15" spans="1:8" s="57" customFormat="1" ht="15.6" x14ac:dyDescent="0.3">
      <c r="A15" s="449" t="s">
        <v>160</v>
      </c>
      <c r="B15" s="450"/>
      <c r="C15" s="56" t="s">
        <v>154</v>
      </c>
      <c r="D15" s="30">
        <f t="shared" ref="D15:H15" si="0">SUM(D11:D14)</f>
        <v>55099</v>
      </c>
      <c r="E15" s="30">
        <f t="shared" si="0"/>
        <v>73071</v>
      </c>
      <c r="F15" s="30">
        <f t="shared" si="0"/>
        <v>216</v>
      </c>
      <c r="G15" s="30">
        <f t="shared" si="0"/>
        <v>21</v>
      </c>
      <c r="H15" s="50">
        <f t="shared" si="0"/>
        <v>128407</v>
      </c>
    </row>
    <row r="16" spans="1:8" x14ac:dyDescent="0.3">
      <c r="A16" s="441" t="s">
        <v>180</v>
      </c>
      <c r="B16" s="442"/>
      <c r="C16" s="442"/>
      <c r="D16" s="442"/>
      <c r="E16" s="443"/>
      <c r="F16" s="443"/>
      <c r="G16" s="443"/>
      <c r="H16" s="444"/>
    </row>
    <row r="17" spans="1:8" ht="15.6" x14ac:dyDescent="0.3">
      <c r="A17" s="445" t="s">
        <v>182</v>
      </c>
      <c r="B17" s="446"/>
      <c r="C17" s="4" t="s">
        <v>154</v>
      </c>
      <c r="D17" s="22">
        <f>Balaka!M17+Balaka!N17+Balaka!O17</f>
        <v>39386</v>
      </c>
      <c r="E17" s="22">
        <f>Liwonde!M17+Liwonde!N17+Liwonde!O17</f>
        <v>48186.1</v>
      </c>
      <c r="F17" s="22">
        <f>Machinga!M17+Machinga!N17+Machinga!O17</f>
        <v>4266.8999999999996</v>
      </c>
      <c r="G17" s="22">
        <f>Ntaja!M17+Ntaja!N17+Ntaja!O17</f>
        <v>7502.7000000000007</v>
      </c>
      <c r="H17" s="50">
        <f>SUM(D17:G17)</f>
        <v>99341.7</v>
      </c>
    </row>
    <row r="18" spans="1:8" ht="15.6" x14ac:dyDescent="0.3">
      <c r="A18" s="445" t="s">
        <v>183</v>
      </c>
      <c r="B18" s="446"/>
      <c r="C18" s="4" t="s">
        <v>154</v>
      </c>
      <c r="D18" s="22">
        <f>Balaka!M18+Balaka!N18+Balaka!O18</f>
        <v>623.79999999999995</v>
      </c>
      <c r="E18" s="22">
        <f>Liwonde!M18+Liwonde!N18+Liwonde!O18</f>
        <v>36.200000000000003</v>
      </c>
      <c r="F18" s="22">
        <f>Machinga!M18+Machinga!N18+Machinga!O18</f>
        <v>0</v>
      </c>
      <c r="G18" s="22">
        <f>Ntaja!M18+Ntaja!N18+Ntaja!O18</f>
        <v>228.3</v>
      </c>
      <c r="H18" s="50">
        <f>SUM(D18:G18)</f>
        <v>888.3</v>
      </c>
    </row>
    <row r="19" spans="1:8" ht="15.6" x14ac:dyDescent="0.3">
      <c r="A19" s="445" t="s">
        <v>184</v>
      </c>
      <c r="B19" s="446"/>
      <c r="C19" s="4" t="s">
        <v>154</v>
      </c>
      <c r="D19" s="22">
        <f>Balaka!M19+Balaka!N19+Balaka!O19</f>
        <v>2545.1999999999998</v>
      </c>
      <c r="E19" s="22">
        <f>Liwonde!M19+Liwonde!N19+Liwonde!O19</f>
        <v>2330.6999999999998</v>
      </c>
      <c r="F19" s="22">
        <f>Machinga!M19+Machinga!N19+Machinga!O19</f>
        <v>228.2</v>
      </c>
      <c r="G19" s="22">
        <f>Ntaja!M19+Ntaja!N19+Ntaja!O19</f>
        <v>187.10000000000002</v>
      </c>
      <c r="H19" s="50">
        <f>SUM(D19:G19)</f>
        <v>5291.2</v>
      </c>
    </row>
    <row r="20" spans="1:8" ht="15.6" x14ac:dyDescent="0.3">
      <c r="A20" s="447" t="s">
        <v>185</v>
      </c>
      <c r="B20" s="448"/>
      <c r="C20" s="4" t="s">
        <v>154</v>
      </c>
      <c r="D20" s="22">
        <f>Balaka!M20+Balaka!N20+Balaka!O20</f>
        <v>1886.4</v>
      </c>
      <c r="E20" s="22">
        <f>Liwonde!M20+Liwonde!N20+Liwonde!O20</f>
        <v>6288.4</v>
      </c>
      <c r="F20" s="22">
        <f>Machinga!M20+Machinga!N20+Machinga!O20</f>
        <v>134</v>
      </c>
      <c r="G20" s="22">
        <f>Ntaja!M20+Ntaja!N20+Ntaja!O20</f>
        <v>120.1</v>
      </c>
      <c r="H20" s="50">
        <f>SUM(D20:G20)</f>
        <v>8428.9</v>
      </c>
    </row>
    <row r="21" spans="1:8" s="57" customFormat="1" ht="15.6" x14ac:dyDescent="0.3">
      <c r="A21" s="449" t="s">
        <v>186</v>
      </c>
      <c r="B21" s="450"/>
      <c r="C21" s="56" t="s">
        <v>154</v>
      </c>
      <c r="D21" s="30">
        <f>SUM(D17:D20)</f>
        <v>44441.4</v>
      </c>
      <c r="E21" s="30">
        <f t="shared" ref="E21:H21" si="1">SUM(E17:E20)</f>
        <v>56841.399999999994</v>
      </c>
      <c r="F21" s="30">
        <f t="shared" si="1"/>
        <v>4629.0999999999995</v>
      </c>
      <c r="G21" s="30">
        <f t="shared" si="1"/>
        <v>8038.2000000000016</v>
      </c>
      <c r="H21" s="50">
        <f t="shared" si="1"/>
        <v>113950.09999999999</v>
      </c>
    </row>
    <row r="22" spans="1:8" ht="15.6" x14ac:dyDescent="0.3">
      <c r="A22" s="64" t="s">
        <v>187</v>
      </c>
      <c r="B22" s="68"/>
      <c r="C22" s="4" t="s">
        <v>154</v>
      </c>
      <c r="D22" s="30">
        <f>D21+D15</f>
        <v>99540.4</v>
      </c>
      <c r="E22" s="30">
        <f t="shared" ref="E22:H22" si="2">E21+E15</f>
        <v>129912.4</v>
      </c>
      <c r="F22" s="30">
        <f t="shared" si="2"/>
        <v>4845.0999999999995</v>
      </c>
      <c r="G22" s="30">
        <f t="shared" si="2"/>
        <v>8059.2000000000016</v>
      </c>
      <c r="H22" s="50">
        <f t="shared" si="2"/>
        <v>242357.09999999998</v>
      </c>
    </row>
    <row r="23" spans="1:8" x14ac:dyDescent="0.3">
      <c r="A23" s="441" t="s">
        <v>217</v>
      </c>
      <c r="B23" s="442"/>
      <c r="C23" s="442"/>
      <c r="D23" s="442"/>
      <c r="E23" s="442"/>
      <c r="F23" s="442"/>
      <c r="G23" s="442"/>
      <c r="H23" s="444"/>
    </row>
    <row r="24" spans="1:8" ht="15.6" x14ac:dyDescent="0.3">
      <c r="A24" s="451" t="s">
        <v>181</v>
      </c>
      <c r="B24" s="21" t="s">
        <v>155</v>
      </c>
      <c r="C24" s="4" t="s">
        <v>154</v>
      </c>
      <c r="D24" s="49">
        <f>D9-D22</f>
        <v>44577.600000000006</v>
      </c>
      <c r="E24" s="49">
        <f t="shared" ref="E24:H24" si="3">E9-E22</f>
        <v>56156.600000000006</v>
      </c>
      <c r="F24" s="49">
        <f t="shared" si="3"/>
        <v>1618.9000000000005</v>
      </c>
      <c r="G24" s="49">
        <f t="shared" si="3"/>
        <v>789.79999999999836</v>
      </c>
      <c r="H24" s="88">
        <f t="shared" si="3"/>
        <v>103142.90000000002</v>
      </c>
    </row>
    <row r="25" spans="1:8" ht="15.6" x14ac:dyDescent="0.3">
      <c r="A25" s="452"/>
      <c r="B25" s="48" t="s">
        <v>153</v>
      </c>
      <c r="C25" s="47" t="s">
        <v>6</v>
      </c>
      <c r="D25" s="46">
        <f t="shared" ref="D25:H25" si="4">D24/D9</f>
        <v>0.30931320168195509</v>
      </c>
      <c r="E25" s="46">
        <f t="shared" si="4"/>
        <v>0.30180524429109634</v>
      </c>
      <c r="F25" s="46">
        <f t="shared" si="4"/>
        <v>0.25044863861386146</v>
      </c>
      <c r="G25" s="46">
        <f t="shared" si="4"/>
        <v>8.9253022940445056E-2</v>
      </c>
      <c r="H25" s="89">
        <f t="shared" si="4"/>
        <v>0.29853227206946459</v>
      </c>
    </row>
    <row r="26" spans="1:8" x14ac:dyDescent="0.3">
      <c r="A26" s="441" t="s">
        <v>152</v>
      </c>
      <c r="B26" s="442"/>
      <c r="C26" s="442"/>
      <c r="D26" s="442"/>
      <c r="E26" s="442"/>
      <c r="F26" s="442"/>
      <c r="G26" s="442"/>
      <c r="H26" s="444"/>
    </row>
    <row r="27" spans="1:8" x14ac:dyDescent="0.3">
      <c r="A27" s="455" t="s">
        <v>151</v>
      </c>
      <c r="B27" s="456"/>
      <c r="C27" s="456"/>
      <c r="D27" s="456"/>
      <c r="E27" s="456"/>
      <c r="F27" s="456"/>
      <c r="G27" s="456"/>
      <c r="H27" s="457"/>
    </row>
    <row r="28" spans="1:8" ht="15.6" x14ac:dyDescent="0.3">
      <c r="A28" s="90" t="s">
        <v>150</v>
      </c>
      <c r="B28" s="45" t="s">
        <v>149</v>
      </c>
      <c r="C28" s="44"/>
      <c r="D28" s="160"/>
      <c r="E28" s="160"/>
      <c r="F28" s="160"/>
      <c r="G28" s="160"/>
      <c r="H28" s="41"/>
    </row>
    <row r="29" spans="1:8" ht="15.6" x14ac:dyDescent="0.3">
      <c r="A29" s="458" t="s">
        <v>148</v>
      </c>
      <c r="B29" s="433">
        <f>176264.5/50</f>
        <v>3525.29</v>
      </c>
      <c r="C29" s="4" t="s">
        <v>142</v>
      </c>
      <c r="D29" s="22">
        <f>Balaka!M29+Balaka!N29+Balaka!O29</f>
        <v>200</v>
      </c>
      <c r="E29" s="22">
        <f>Liwonde!M29+Liwonde!N29+Liwonde!O29</f>
        <v>1064</v>
      </c>
      <c r="F29" s="22">
        <f>Machinga!M29+Machinga!N29+Machinga!O29</f>
        <v>29</v>
      </c>
      <c r="G29" s="22">
        <f>Ntaja!M29+Ntaja!N29+Ntaja!O29</f>
        <v>24</v>
      </c>
      <c r="H29" s="40">
        <f>SUM(D29:G29)</f>
        <v>1317</v>
      </c>
    </row>
    <row r="30" spans="1:8" ht="15.6" x14ac:dyDescent="0.3">
      <c r="A30" s="459"/>
      <c r="B30" s="433"/>
      <c r="C30" s="37" t="s">
        <v>141</v>
      </c>
      <c r="D30" s="13">
        <f t="shared" ref="D30:H30" si="5">D29/(D9/1000)</f>
        <v>1.387751703465216</v>
      </c>
      <c r="E30" s="13">
        <f t="shared" si="5"/>
        <v>5.7183087994238697</v>
      </c>
      <c r="F30" s="13">
        <f t="shared" si="5"/>
        <v>4.4863861386138613</v>
      </c>
      <c r="G30" s="13">
        <f t="shared" si="5"/>
        <v>2.7121708667646063</v>
      </c>
      <c r="H30" s="91">
        <f t="shared" si="5"/>
        <v>3.8118668596237337</v>
      </c>
    </row>
    <row r="31" spans="1:8" ht="15.6" x14ac:dyDescent="0.3">
      <c r="A31" s="453" t="s">
        <v>147</v>
      </c>
      <c r="B31" s="433">
        <f>53000.511/50</f>
        <v>1060.0102199999999</v>
      </c>
      <c r="C31" s="4" t="s">
        <v>142</v>
      </c>
      <c r="D31" s="22">
        <f>Balaka!M31+Balaka!N31+Balaka!O31</f>
        <v>0</v>
      </c>
      <c r="E31" s="22">
        <f>Liwonde!M31+Liwonde!N31+Liwonde!O31</f>
        <v>1010</v>
      </c>
      <c r="F31" s="22">
        <f>Machinga!M31+Machinga!N31+Machinga!O31</f>
        <v>0</v>
      </c>
      <c r="G31" s="22">
        <f>Ntaja!M31+Ntaja!N31+Ntaja!O31</f>
        <v>0</v>
      </c>
      <c r="H31" s="40">
        <f>SUM(D31:G31)</f>
        <v>1010</v>
      </c>
    </row>
    <row r="32" spans="1:8" ht="15.6" x14ac:dyDescent="0.3">
      <c r="A32" s="454"/>
      <c r="B32" s="433"/>
      <c r="C32" s="37" t="s">
        <v>141</v>
      </c>
      <c r="D32" s="13">
        <f t="shared" ref="D32:H32" si="6">D31/(D9/1000)</f>
        <v>0</v>
      </c>
      <c r="E32" s="13">
        <f t="shared" si="6"/>
        <v>5.4280938791523576</v>
      </c>
      <c r="F32" s="13">
        <f t="shared" si="6"/>
        <v>0</v>
      </c>
      <c r="G32" s="13">
        <f t="shared" si="6"/>
        <v>0</v>
      </c>
      <c r="H32" s="91">
        <f t="shared" si="6"/>
        <v>2.923299565846599</v>
      </c>
    </row>
    <row r="33" spans="1:8" ht="15.6" x14ac:dyDescent="0.3">
      <c r="A33" s="453" t="s">
        <v>146</v>
      </c>
      <c r="B33" s="433">
        <f>61414.43/50</f>
        <v>1228.2886000000001</v>
      </c>
      <c r="C33" s="4" t="s">
        <v>142</v>
      </c>
      <c r="D33" s="22">
        <f>Balaka!M33+Balaka!N33+Balaka!O33</f>
        <v>0</v>
      </c>
      <c r="E33" s="22">
        <f>Liwonde!M33+Liwonde!N33+Liwonde!O33</f>
        <v>0</v>
      </c>
      <c r="F33" s="22">
        <f>Machinga!M33+Machinga!N33+Machinga!O33</f>
        <v>0</v>
      </c>
      <c r="G33" s="22">
        <f>Ntaja!M33+Ntaja!N33+Ntaja!O33</f>
        <v>0</v>
      </c>
      <c r="H33" s="40">
        <f>SUM(D33:G33)</f>
        <v>0</v>
      </c>
    </row>
    <row r="34" spans="1:8" ht="15.6" x14ac:dyDescent="0.3">
      <c r="A34" s="454"/>
      <c r="B34" s="433"/>
      <c r="C34" s="37" t="s">
        <v>141</v>
      </c>
      <c r="D34" s="13">
        <f t="shared" ref="D34:H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91">
        <f t="shared" si="7"/>
        <v>0</v>
      </c>
    </row>
    <row r="35" spans="1:8" ht="15.6" x14ac:dyDescent="0.3">
      <c r="A35" s="453" t="s">
        <v>145</v>
      </c>
      <c r="B35" s="433">
        <f>745345.16/200</f>
        <v>3726.7258000000002</v>
      </c>
      <c r="C35" s="4" t="s">
        <v>128</v>
      </c>
      <c r="D35" s="3">
        <f>Balaka!M35+Balaka!N35+Balaka!O35</f>
        <v>0</v>
      </c>
      <c r="E35" s="3">
        <f>Liwonde!M35+Liwonde!N35+Liwonde!O35</f>
        <v>1180</v>
      </c>
      <c r="F35" s="3">
        <f>Machinga!M35+Machinga!N35+Machinga!O35</f>
        <v>0</v>
      </c>
      <c r="G35" s="3">
        <f>Ntaja!M35+Ntaja!N35+Ntaja!O35</f>
        <v>0</v>
      </c>
      <c r="H35" s="91"/>
    </row>
    <row r="36" spans="1:8" ht="15.6" x14ac:dyDescent="0.3">
      <c r="A36" s="454"/>
      <c r="B36" s="433"/>
      <c r="C36" s="4" t="s">
        <v>144</v>
      </c>
      <c r="D36" s="11"/>
      <c r="E36" s="11"/>
      <c r="F36" s="11"/>
      <c r="G36" s="11"/>
      <c r="H36" s="91"/>
    </row>
    <row r="37" spans="1:8" ht="15.6" x14ac:dyDescent="0.3">
      <c r="A37" s="453" t="s">
        <v>188</v>
      </c>
      <c r="B37" s="433">
        <f>790318.72/200</f>
        <v>3951.5935999999997</v>
      </c>
      <c r="C37" s="4" t="s">
        <v>128</v>
      </c>
      <c r="D37" s="38">
        <v>0</v>
      </c>
      <c r="E37" s="38">
        <v>0</v>
      </c>
      <c r="F37" s="38">
        <v>0</v>
      </c>
      <c r="G37" s="38">
        <v>0</v>
      </c>
      <c r="H37" s="40">
        <f>SUM(D37:G37)</f>
        <v>0</v>
      </c>
    </row>
    <row r="38" spans="1:8" ht="15.6" x14ac:dyDescent="0.3">
      <c r="A38" s="454"/>
      <c r="B38" s="433"/>
      <c r="C38" s="4" t="s">
        <v>144</v>
      </c>
      <c r="D38" s="13">
        <f t="shared" ref="D38:H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91">
        <f t="shared" si="8"/>
        <v>0</v>
      </c>
    </row>
    <row r="39" spans="1:8" ht="15.6" x14ac:dyDescent="0.3">
      <c r="A39" s="453" t="s">
        <v>143</v>
      </c>
      <c r="B39" s="433">
        <v>1950</v>
      </c>
      <c r="C39" s="4" t="s">
        <v>142</v>
      </c>
      <c r="D39" s="38">
        <v>0</v>
      </c>
      <c r="E39" s="38">
        <v>0</v>
      </c>
      <c r="F39" s="38">
        <v>0</v>
      </c>
      <c r="G39" s="38">
        <v>0</v>
      </c>
      <c r="H39" s="40">
        <f>SUM(D39:G39)</f>
        <v>0</v>
      </c>
    </row>
    <row r="40" spans="1:8" ht="15.6" x14ac:dyDescent="0.3">
      <c r="A40" s="454"/>
      <c r="B40" s="433"/>
      <c r="C40" s="37" t="s">
        <v>141</v>
      </c>
      <c r="D40" s="13">
        <f t="shared" ref="D40:H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91">
        <f t="shared" si="9"/>
        <v>0</v>
      </c>
    </row>
    <row r="41" spans="1:8" ht="15.6" x14ac:dyDescent="0.3">
      <c r="A41" s="447" t="s">
        <v>140</v>
      </c>
      <c r="B41" s="448"/>
      <c r="C41" s="4" t="s">
        <v>31</v>
      </c>
      <c r="D41" s="36">
        <f>(D29*$B29)+(D31*$B31)+(D33*$B33)+(D35*$B35)+(D37*$B37)+(D39*$B39)</f>
        <v>705058</v>
      </c>
      <c r="E41" s="36">
        <f t="shared" ref="E41:G41" si="10">(E29*$B29)+(E31*$B31)+(E33*$B33)+(E35*$B35)+(E37*$B37)+(E39*$B39)</f>
        <v>9219055.3262000009</v>
      </c>
      <c r="F41" s="36">
        <f t="shared" si="10"/>
        <v>102233.41</v>
      </c>
      <c r="G41" s="36">
        <f t="shared" si="10"/>
        <v>84606.959999999992</v>
      </c>
      <c r="H41" s="34">
        <f>SUM(D41:G41)</f>
        <v>10110953.696200002</v>
      </c>
    </row>
    <row r="42" spans="1:8" ht="15.6" x14ac:dyDescent="0.3">
      <c r="A42" s="463" t="s">
        <v>139</v>
      </c>
      <c r="B42" s="464"/>
      <c r="C42" s="37" t="s">
        <v>117</v>
      </c>
      <c r="D42" s="13">
        <f t="shared" ref="D42:H42" si="11">D41/D9</f>
        <v>4.8922272027088916</v>
      </c>
      <c r="E42" s="13">
        <f t="shared" si="11"/>
        <v>49.546433453181351</v>
      </c>
      <c r="F42" s="13">
        <f t="shared" si="11"/>
        <v>15.815812190594061</v>
      </c>
      <c r="G42" s="13">
        <f t="shared" si="11"/>
        <v>9.5611888348965977</v>
      </c>
      <c r="H42" s="39">
        <f t="shared" si="11"/>
        <v>29.26469955484805</v>
      </c>
    </row>
    <row r="43" spans="1:8" ht="15" thickBot="1" x14ac:dyDescent="0.35">
      <c r="A43" s="460" t="s">
        <v>138</v>
      </c>
      <c r="B43" s="461"/>
      <c r="C43" s="461"/>
      <c r="D43" s="461"/>
      <c r="E43" s="461"/>
      <c r="F43" s="461"/>
      <c r="G43" s="461"/>
      <c r="H43" s="462"/>
    </row>
    <row r="44" spans="1:8" ht="15.6" x14ac:dyDescent="0.3">
      <c r="A44" s="447" t="s">
        <v>137</v>
      </c>
      <c r="B44" s="448"/>
      <c r="C44" s="4" t="s">
        <v>136</v>
      </c>
      <c r="D44" s="153">
        <f>Balaka!M44+Balaka!N44+Balaka!O44</f>
        <v>61873</v>
      </c>
      <c r="E44" s="153">
        <f>Liwonde!M44+Liwonde!N44+Liwonde!O44</f>
        <v>186656.7627118644</v>
      </c>
      <c r="F44" s="153">
        <f>Machinga!M44+Machinga!N44+Machinga!O44</f>
        <v>10960</v>
      </c>
      <c r="G44" s="153">
        <f>Ntaja!M44+Ntaja!N44+Ntaja!O44</f>
        <v>10575</v>
      </c>
      <c r="H44" s="34">
        <f>SUM(D44:G44)</f>
        <v>270064.76271186443</v>
      </c>
    </row>
    <row r="45" spans="1:8" ht="16.2" thickBot="1" x14ac:dyDescent="0.35">
      <c r="A45" s="463" t="s">
        <v>135</v>
      </c>
      <c r="B45" s="464"/>
      <c r="C45" s="37" t="s">
        <v>134</v>
      </c>
      <c r="D45" s="13">
        <f t="shared" ref="D45:H45" si="12">D44/D9</f>
        <v>0.42932180574251655</v>
      </c>
      <c r="E45" s="13">
        <f t="shared" si="12"/>
        <v>1.0031588427511535</v>
      </c>
      <c r="F45" s="13">
        <f t="shared" si="12"/>
        <v>1.6955445544554455</v>
      </c>
      <c r="G45" s="13">
        <f t="shared" si="12"/>
        <v>1.1950502881681546</v>
      </c>
      <c r="H45" s="91">
        <f t="shared" si="12"/>
        <v>0.78166356790698821</v>
      </c>
    </row>
    <row r="46" spans="1:8" ht="15.6" x14ac:dyDescent="0.3">
      <c r="A46" s="447" t="s">
        <v>133</v>
      </c>
      <c r="B46" s="448"/>
      <c r="C46" s="4" t="s">
        <v>31</v>
      </c>
      <c r="D46" s="153">
        <f>Balaka!M46+Balaka!N46+Balaka!O46</f>
        <v>10401790.4575</v>
      </c>
      <c r="E46" s="153">
        <f>Liwonde!M46+Liwonde!N46+Liwonde!O46</f>
        <v>31262827.948262714</v>
      </c>
      <c r="F46" s="153">
        <f>Machinga!M46+Machinga!N46+Machinga!O46</f>
        <v>1890282.4</v>
      </c>
      <c r="G46" s="153">
        <f>Ntaja!M46+Ntaja!N46+Ntaja!O46</f>
        <v>1825919.0625</v>
      </c>
      <c r="H46" s="34">
        <f>SUM(D46:G46)</f>
        <v>45380819.868262716</v>
      </c>
    </row>
    <row r="47" spans="1:8" ht="15.6" x14ac:dyDescent="0.3">
      <c r="A47" s="447" t="s">
        <v>132</v>
      </c>
      <c r="B47" s="448"/>
      <c r="C47" s="4" t="s">
        <v>117</v>
      </c>
      <c r="D47" s="13">
        <f t="shared" ref="D47:H47" si="13">D46/D9</f>
        <v>72.175512132419271</v>
      </c>
      <c r="E47" s="13">
        <f t="shared" si="13"/>
        <v>168.01739111976048</v>
      </c>
      <c r="F47" s="13">
        <f t="shared" si="13"/>
        <v>292.43230198019802</v>
      </c>
      <c r="G47" s="13">
        <f t="shared" si="13"/>
        <v>206.34185359927676</v>
      </c>
      <c r="H47" s="91">
        <f t="shared" si="13"/>
        <v>131.34824853332191</v>
      </c>
    </row>
    <row r="48" spans="1:8" ht="15" thickBot="1" x14ac:dyDescent="0.35">
      <c r="A48" s="460" t="s">
        <v>131</v>
      </c>
      <c r="B48" s="461"/>
      <c r="C48" s="461"/>
      <c r="D48" s="461"/>
      <c r="E48" s="461"/>
      <c r="F48" s="461"/>
      <c r="G48" s="461"/>
      <c r="H48" s="462"/>
    </row>
    <row r="49" spans="1:8" ht="15.6" x14ac:dyDescent="0.3">
      <c r="A49" s="447" t="s">
        <v>130</v>
      </c>
      <c r="B49" s="448"/>
      <c r="C49" s="4" t="s">
        <v>129</v>
      </c>
      <c r="D49" s="156">
        <f>Balaka!M49+Balaka!N49+Balaka!O49</f>
        <v>19673</v>
      </c>
      <c r="E49" s="156">
        <f>Liwonde!M49+Liwonde!N49+Liwonde!O49</f>
        <v>6277</v>
      </c>
      <c r="F49" s="156">
        <f>Machinga!M49+Machinga!N49+Machinga!O49</f>
        <v>0</v>
      </c>
      <c r="G49" s="156">
        <f>Ntaja!M49+Ntaja!N49+Ntaja!O49</f>
        <v>0</v>
      </c>
      <c r="H49" s="34">
        <f>SUM(D49:G49)</f>
        <v>25950</v>
      </c>
    </row>
    <row r="50" spans="1:8" ht="15.6" x14ac:dyDescent="0.3">
      <c r="A50" s="447" t="s">
        <v>189</v>
      </c>
      <c r="B50" s="448"/>
      <c r="C50" s="4" t="s">
        <v>128</v>
      </c>
      <c r="D50" s="22">
        <f>Balaka!M50+Balaka!N50+Balaka!O50</f>
        <v>427</v>
      </c>
      <c r="E50" s="22">
        <f>Liwonde!M50+Liwonde!N50+Liwonde!O50</f>
        <v>570</v>
      </c>
      <c r="F50" s="22">
        <f>Machinga!M50+Machinga!N50+Machinga!O50</f>
        <v>0</v>
      </c>
      <c r="G50" s="22">
        <f>Ntaja!M50+Ntaja!N50+Ntaja!O50</f>
        <v>0</v>
      </c>
      <c r="H50" s="34">
        <f>SUM(D50:G50)</f>
        <v>997</v>
      </c>
    </row>
    <row r="51" spans="1:8" ht="15.6" x14ac:dyDescent="0.3">
      <c r="A51" s="447" t="s">
        <v>127</v>
      </c>
      <c r="B51" s="448"/>
      <c r="C51" s="4" t="s">
        <v>31</v>
      </c>
      <c r="D51" s="3">
        <f>Balaka!M51+Balaka!N51+Balaka!O51</f>
        <v>2135000</v>
      </c>
      <c r="E51" s="3">
        <f>Liwonde!M51+Liwonde!N51+Liwonde!O51</f>
        <v>1995000</v>
      </c>
      <c r="F51" s="3">
        <f>Machinga!M51+Machinga!N51+Machinga!O51</f>
        <v>0</v>
      </c>
      <c r="G51" s="3">
        <f>Ntaja!M51+Ntaja!N51+Ntaja!O51</f>
        <v>0</v>
      </c>
      <c r="H51" s="35">
        <f>SUM(D51:G51)</f>
        <v>4130000</v>
      </c>
    </row>
    <row r="52" spans="1:8" ht="15.6" x14ac:dyDescent="0.3">
      <c r="A52" s="447" t="s">
        <v>126</v>
      </c>
      <c r="B52" s="448"/>
      <c r="C52" s="4" t="s">
        <v>31</v>
      </c>
      <c r="D52" s="11">
        <v>0</v>
      </c>
      <c r="E52" s="11">
        <v>0</v>
      </c>
      <c r="F52" s="11">
        <v>0</v>
      </c>
      <c r="G52" s="11">
        <v>0</v>
      </c>
      <c r="H52" s="35">
        <f>SUM(D52:G52)</f>
        <v>0</v>
      </c>
    </row>
    <row r="53" spans="1:8" x14ac:dyDescent="0.3">
      <c r="A53" s="460" t="s">
        <v>125</v>
      </c>
      <c r="B53" s="461"/>
      <c r="C53" s="461"/>
      <c r="D53" s="461"/>
      <c r="E53" s="461"/>
      <c r="F53" s="461"/>
      <c r="G53" s="461"/>
      <c r="H53" s="462"/>
    </row>
    <row r="54" spans="1:8" ht="15.6" x14ac:dyDescent="0.3">
      <c r="A54" s="447" t="s">
        <v>124</v>
      </c>
      <c r="B54" s="448"/>
      <c r="C54" s="4" t="s">
        <v>18</v>
      </c>
      <c r="D54" s="22">
        <f>Balaka!M54+Balaka!N54+Balaka!O54</f>
        <v>53889032.849999994</v>
      </c>
      <c r="E54" s="22">
        <f>Liwonde!M54+Liwonde!N54+Liwonde!O54</f>
        <v>36186587.739999995</v>
      </c>
      <c r="F54" s="22">
        <f>Machinga!M54+Machinga!N54+Machinga!O54</f>
        <v>1425537.26</v>
      </c>
      <c r="G54" s="22">
        <f>Ntaja!M54+Ntaja!N54+Ntaja!O54</f>
        <v>5083713.04</v>
      </c>
      <c r="H54" s="34">
        <f>SUM(D54:G54)</f>
        <v>96584870.890000001</v>
      </c>
    </row>
    <row r="55" spans="1:8" ht="15.6" x14ac:dyDescent="0.3">
      <c r="A55" s="67" t="s">
        <v>123</v>
      </c>
      <c r="B55" s="68"/>
      <c r="C55" s="4" t="s">
        <v>18</v>
      </c>
      <c r="D55" s="22">
        <f>Balaka!M55+Balaka!N55+Balaka!O55</f>
        <v>14684530.24</v>
      </c>
      <c r="E55" s="22">
        <f>Liwonde!M55+Liwonde!N55+Liwonde!O55</f>
        <v>13430911.68</v>
      </c>
      <c r="F55" s="22">
        <f>Machinga!M55+Machinga!N55+Machinga!O55</f>
        <v>1008001.28</v>
      </c>
      <c r="G55" s="22">
        <f>Ntaja!M55+Ntaja!N55+Ntaja!O55</f>
        <v>494308.32</v>
      </c>
      <c r="H55" s="34">
        <f>SUM(D55:G55)</f>
        <v>29617751.520000003</v>
      </c>
    </row>
    <row r="56" spans="1:8" ht="15.6" x14ac:dyDescent="0.3">
      <c r="A56" s="447" t="s">
        <v>122</v>
      </c>
      <c r="B56" s="448"/>
      <c r="C56" s="4" t="s">
        <v>18</v>
      </c>
      <c r="D56" s="22">
        <f>Balaka!M56+Balaka!N56+Balaka!O56</f>
        <v>7180802.5</v>
      </c>
      <c r="E56" s="22">
        <f>Liwonde!M56+Liwonde!N56+Liwonde!O56</f>
        <v>14788365.92</v>
      </c>
      <c r="F56" s="22">
        <f>Machinga!M56+Machinga!N56+Machinga!O56</f>
        <v>545000</v>
      </c>
      <c r="G56" s="22">
        <f>Ntaja!M56+Ntaja!N56+Ntaja!O56</f>
        <v>0</v>
      </c>
      <c r="H56" s="34">
        <f>SUM(D56:G56)</f>
        <v>22514168.420000002</v>
      </c>
    </row>
    <row r="57" spans="1:8" x14ac:dyDescent="0.3">
      <c r="A57" s="460" t="s">
        <v>121</v>
      </c>
      <c r="B57" s="461"/>
      <c r="C57" s="461"/>
      <c r="D57" s="461"/>
      <c r="E57" s="461"/>
      <c r="F57" s="461"/>
      <c r="G57" s="461"/>
      <c r="H57" s="462"/>
    </row>
    <row r="58" spans="1:8" ht="15.6" x14ac:dyDescent="0.3">
      <c r="A58" s="447" t="s">
        <v>120</v>
      </c>
      <c r="B58" s="448"/>
      <c r="C58" s="4" t="s">
        <v>18</v>
      </c>
      <c r="D58" s="11">
        <f>D41+D46+D51+D52+D54+D55+D56</f>
        <v>88996214.047499985</v>
      </c>
      <c r="E58" s="11">
        <f t="shared" ref="E58:G58" si="14">E41+E46+E51+E52+E54+E55+E56</f>
        <v>106882748.61446272</v>
      </c>
      <c r="F58" s="11">
        <f t="shared" si="14"/>
        <v>4971054.3499999996</v>
      </c>
      <c r="G58" s="11">
        <f t="shared" si="14"/>
        <v>7488547.3825000003</v>
      </c>
      <c r="H58" s="58">
        <f>SUM(D58:G58)</f>
        <v>208338564.39446267</v>
      </c>
    </row>
    <row r="59" spans="1:8" ht="15.6" x14ac:dyDescent="0.3">
      <c r="A59" s="447" t="s">
        <v>119</v>
      </c>
      <c r="B59" s="448"/>
      <c r="C59" s="4" t="s">
        <v>117</v>
      </c>
      <c r="D59" s="13">
        <f t="shared" ref="D59:H59" si="15">D58/D9</f>
        <v>617.52323823186543</v>
      </c>
      <c r="E59" s="13">
        <f t="shared" si="15"/>
        <v>574.42534013974773</v>
      </c>
      <c r="F59" s="13">
        <f t="shared" si="15"/>
        <v>769.03687345297021</v>
      </c>
      <c r="G59" s="13">
        <f t="shared" si="15"/>
        <v>846.25916855011872</v>
      </c>
      <c r="H59" s="91">
        <f t="shared" si="15"/>
        <v>603.00597509251133</v>
      </c>
    </row>
    <row r="60" spans="1:8" ht="15.6" x14ac:dyDescent="0.3">
      <c r="A60" s="447" t="s">
        <v>118</v>
      </c>
      <c r="B60" s="448"/>
      <c r="C60" s="4" t="s">
        <v>117</v>
      </c>
      <c r="D60" s="13">
        <f>D58/D22</f>
        <v>894.07129213364612</v>
      </c>
      <c r="E60" s="13">
        <f t="shared" ref="E60:G60" si="16">E58/E22</f>
        <v>822.72938237198855</v>
      </c>
      <c r="F60" s="13">
        <f t="shared" si="16"/>
        <v>1025.9962333078781</v>
      </c>
      <c r="G60" s="13">
        <f t="shared" si="16"/>
        <v>929.19239905945983</v>
      </c>
      <c r="H60" s="92">
        <f>H58/H22</f>
        <v>859.63466469297862</v>
      </c>
    </row>
    <row r="61" spans="1:8" ht="15.6" x14ac:dyDescent="0.3">
      <c r="A61" s="447" t="s">
        <v>116</v>
      </c>
      <c r="B61" s="448"/>
      <c r="C61" s="4" t="s">
        <v>3</v>
      </c>
      <c r="D61" s="3"/>
      <c r="E61" s="3"/>
      <c r="F61" s="3"/>
      <c r="G61" s="3"/>
      <c r="H61" s="8"/>
    </row>
    <row r="62" spans="1:8" ht="15.6" customHeight="1" x14ac:dyDescent="0.3">
      <c r="A62" s="447" t="s">
        <v>115</v>
      </c>
      <c r="B62" s="448"/>
      <c r="C62" s="4" t="s">
        <v>114</v>
      </c>
      <c r="D62" s="13">
        <f t="shared" ref="D62:G62" si="17">(D61*1000*31)/D9</f>
        <v>0</v>
      </c>
      <c r="E62" s="13">
        <f t="shared" si="17"/>
        <v>0</v>
      </c>
      <c r="F62" s="13">
        <f t="shared" si="17"/>
        <v>0</v>
      </c>
      <c r="G62" s="13">
        <f t="shared" si="17"/>
        <v>0</v>
      </c>
      <c r="H62" s="91"/>
    </row>
    <row r="63" spans="1:8" ht="15.6" x14ac:dyDescent="0.3">
      <c r="A63" s="465" t="s">
        <v>113</v>
      </c>
      <c r="B63" s="466"/>
      <c r="C63" s="33" t="s">
        <v>3</v>
      </c>
      <c r="D63" s="3"/>
      <c r="E63" s="3"/>
      <c r="F63" s="3"/>
      <c r="G63" s="3"/>
      <c r="H63" s="8">
        <f>SUM(D63:G63)</f>
        <v>0</v>
      </c>
    </row>
    <row r="64" spans="1:8" x14ac:dyDescent="0.3">
      <c r="A64" s="467"/>
      <c r="B64" s="468"/>
      <c r="C64" s="468"/>
      <c r="D64" s="468"/>
      <c r="E64" s="468"/>
      <c r="F64" s="468"/>
      <c r="G64" s="468"/>
      <c r="H64" s="469"/>
    </row>
    <row r="65" spans="1:8" ht="14.4" customHeight="1" x14ac:dyDescent="0.3">
      <c r="A65" s="460" t="s">
        <v>112</v>
      </c>
      <c r="B65" s="461"/>
      <c r="C65" s="461"/>
      <c r="D65" s="461"/>
      <c r="E65" s="461"/>
      <c r="F65" s="461"/>
      <c r="G65" s="461"/>
      <c r="H65" s="462"/>
    </row>
    <row r="66" spans="1:8" ht="15.6" x14ac:dyDescent="0.3">
      <c r="A66" s="476" t="s">
        <v>111</v>
      </c>
      <c r="B66" s="21" t="s">
        <v>85</v>
      </c>
      <c r="C66" s="4" t="s">
        <v>3</v>
      </c>
      <c r="D66" s="30">
        <f>Balaka!M66</f>
        <v>404</v>
      </c>
      <c r="E66" s="30">
        <f>Liwonde!M66</f>
        <v>813</v>
      </c>
      <c r="F66" s="30">
        <f>Machinga!M66</f>
        <v>5</v>
      </c>
      <c r="G66" s="30">
        <f>Ntaja!M66</f>
        <v>15</v>
      </c>
      <c r="H66" s="31">
        <f>SUM(D66:G66)</f>
        <v>1237</v>
      </c>
    </row>
    <row r="67" spans="1:8" ht="15.6" x14ac:dyDescent="0.3">
      <c r="A67" s="477"/>
      <c r="B67" s="21" t="s">
        <v>106</v>
      </c>
      <c r="C67" s="4" t="s">
        <v>3</v>
      </c>
      <c r="D67" s="22">
        <f>Balaka!M67+Balaka!N67+Balaka!O67</f>
        <v>92</v>
      </c>
      <c r="E67" s="22">
        <f>Liwonde!M67+Liwonde!N67+Liwonde!O67</f>
        <v>126</v>
      </c>
      <c r="F67" s="22">
        <f>Machinga!M67+Machinga!N67+Machinga!O67</f>
        <v>14</v>
      </c>
      <c r="G67" s="22">
        <f>Ntaja!M67+Ntaja!N67+Ntaja!O67</f>
        <v>5</v>
      </c>
      <c r="H67" s="31">
        <f>SUM(D67:G67)</f>
        <v>237</v>
      </c>
    </row>
    <row r="68" spans="1:8" ht="27" x14ac:dyDescent="0.3">
      <c r="A68" s="477"/>
      <c r="B68" s="21" t="s">
        <v>105</v>
      </c>
      <c r="C68" s="4" t="s">
        <v>3</v>
      </c>
      <c r="D68" s="22">
        <f>Balaka!M68+Balaka!N68+Balaka!O68</f>
        <v>77</v>
      </c>
      <c r="E68" s="22">
        <f>Liwonde!M68+Liwonde!N68+Liwonde!O68</f>
        <v>80</v>
      </c>
      <c r="F68" s="22">
        <f>Machinga!M68+Machinga!N68+Machinga!O68</f>
        <v>15</v>
      </c>
      <c r="G68" s="22">
        <f>Ntaja!M68+Ntaja!N68+Ntaja!O68</f>
        <v>0</v>
      </c>
      <c r="H68" s="31">
        <f>SUM(D68:G68)</f>
        <v>172</v>
      </c>
    </row>
    <row r="69" spans="1:8" ht="27" x14ac:dyDescent="0.3">
      <c r="A69" s="477"/>
      <c r="B69" s="21" t="s">
        <v>104</v>
      </c>
      <c r="C69" s="4" t="s">
        <v>3</v>
      </c>
      <c r="D69" s="22">
        <f>Balaka!M69+Balaka!N69+Balaka!O69</f>
        <v>0</v>
      </c>
      <c r="E69" s="22">
        <f>Liwonde!M69+Liwonde!N69+Liwonde!O69</f>
        <v>2</v>
      </c>
      <c r="F69" s="22">
        <f>Machinga!M69+Machinga!N69+Machinga!O69</f>
        <v>0</v>
      </c>
      <c r="G69" s="22">
        <f>Ntaja!M69+Ntaja!N69+Ntaja!O69</f>
        <v>5</v>
      </c>
      <c r="H69" s="31">
        <f>SUM(D69:G69)</f>
        <v>7</v>
      </c>
    </row>
    <row r="70" spans="1:8" ht="15.6" x14ac:dyDescent="0.3">
      <c r="A70" s="477"/>
      <c r="B70" s="21" t="s">
        <v>190</v>
      </c>
      <c r="C70" s="4" t="s">
        <v>3</v>
      </c>
      <c r="D70" s="3">
        <f>D68+D69</f>
        <v>77</v>
      </c>
      <c r="E70" s="3">
        <f t="shared" ref="E70:H70" si="18">E68+E69</f>
        <v>82</v>
      </c>
      <c r="F70" s="3">
        <f t="shared" si="18"/>
        <v>15</v>
      </c>
      <c r="G70" s="3">
        <f t="shared" si="18"/>
        <v>5</v>
      </c>
      <c r="H70" s="93">
        <f t="shared" si="18"/>
        <v>179</v>
      </c>
    </row>
    <row r="71" spans="1:8" ht="15.6" x14ac:dyDescent="0.3">
      <c r="A71" s="478"/>
      <c r="B71" s="21" t="s">
        <v>81</v>
      </c>
      <c r="C71" s="4" t="s">
        <v>3</v>
      </c>
      <c r="D71" s="30">
        <f>D66+D67-D70</f>
        <v>419</v>
      </c>
      <c r="E71" s="30">
        <f t="shared" ref="E71:G71" si="19">E66+E67-E70</f>
        <v>857</v>
      </c>
      <c r="F71" s="30">
        <f t="shared" si="19"/>
        <v>4</v>
      </c>
      <c r="G71" s="30">
        <f t="shared" si="19"/>
        <v>15</v>
      </c>
      <c r="H71" s="50">
        <f>H66+H67-H70</f>
        <v>1295</v>
      </c>
    </row>
    <row r="72" spans="1:8" ht="15.6" x14ac:dyDescent="0.3">
      <c r="A72" s="476" t="s">
        <v>110</v>
      </c>
      <c r="B72" s="21" t="s">
        <v>85</v>
      </c>
      <c r="C72" s="4" t="s">
        <v>3</v>
      </c>
      <c r="D72" s="30">
        <f>Balaka!M72</f>
        <v>0</v>
      </c>
      <c r="E72" s="30">
        <f>Liwonde!M72</f>
        <v>0</v>
      </c>
      <c r="F72" s="30">
        <f>Machinga!M72</f>
        <v>0</v>
      </c>
      <c r="G72" s="30">
        <f>Ntaja!M72</f>
        <v>3</v>
      </c>
      <c r="H72" s="31">
        <f>D72</f>
        <v>0</v>
      </c>
    </row>
    <row r="73" spans="1:8" ht="15.6" x14ac:dyDescent="0.3">
      <c r="A73" s="477"/>
      <c r="B73" s="21" t="s">
        <v>106</v>
      </c>
      <c r="C73" s="4" t="s">
        <v>3</v>
      </c>
      <c r="D73" s="22">
        <f>Balaka!M73+Balaka!N73+Balaka!O73</f>
        <v>0</v>
      </c>
      <c r="E73" s="22">
        <f>Liwonde!M73+Liwonde!N73+Liwonde!O73</f>
        <v>0</v>
      </c>
      <c r="F73" s="22">
        <f>Machinga!M73+Machinga!N73+Machinga!O73</f>
        <v>0</v>
      </c>
      <c r="G73" s="22">
        <f>Ntaja!M73+Ntaja!N73+Ntaja!O73</f>
        <v>0</v>
      </c>
      <c r="H73" s="31">
        <f>SUM(D73:G73)</f>
        <v>0</v>
      </c>
    </row>
    <row r="74" spans="1:8" ht="27" x14ac:dyDescent="0.3">
      <c r="A74" s="477"/>
      <c r="B74" s="21" t="s">
        <v>105</v>
      </c>
      <c r="C74" s="4" t="s">
        <v>3</v>
      </c>
      <c r="D74" s="22">
        <f>Balaka!M74+Balaka!N74+Balaka!O74</f>
        <v>0</v>
      </c>
      <c r="E74" s="22">
        <f>Liwonde!M74+Liwonde!N74+Liwonde!O74</f>
        <v>0</v>
      </c>
      <c r="F74" s="22">
        <f>Machinga!M74+Machinga!N74+Machinga!O74</f>
        <v>0</v>
      </c>
      <c r="G74" s="22">
        <f>Ntaja!M74+Ntaja!N74+Ntaja!O74</f>
        <v>0</v>
      </c>
      <c r="H74" s="31">
        <f>SUM(D74:G74)</f>
        <v>0</v>
      </c>
    </row>
    <row r="75" spans="1:8" ht="27" x14ac:dyDescent="0.3">
      <c r="A75" s="477"/>
      <c r="B75" s="21" t="s">
        <v>104</v>
      </c>
      <c r="C75" s="4" t="s">
        <v>3</v>
      </c>
      <c r="D75" s="22">
        <f>Balaka!M75+Balaka!N75+Balaka!O75</f>
        <v>0</v>
      </c>
      <c r="E75" s="22">
        <f>Liwonde!M75+Liwonde!N75+Liwonde!O75</f>
        <v>0</v>
      </c>
      <c r="F75" s="22">
        <f>Machinga!M75+Machinga!N75+Machinga!O75</f>
        <v>0</v>
      </c>
      <c r="G75" s="22">
        <f>Ntaja!M75+Ntaja!N75+Ntaja!O75</f>
        <v>0</v>
      </c>
      <c r="H75" s="31">
        <f>SUM(D75:G75)</f>
        <v>0</v>
      </c>
    </row>
    <row r="76" spans="1:8" ht="15.6" x14ac:dyDescent="0.3">
      <c r="A76" s="477"/>
      <c r="B76" s="21" t="s">
        <v>190</v>
      </c>
      <c r="C76" s="4" t="s">
        <v>3</v>
      </c>
      <c r="D76" s="3">
        <f>D74+D75</f>
        <v>0</v>
      </c>
      <c r="E76" s="3">
        <f t="shared" ref="E76:G76" si="20">E74+E75</f>
        <v>0</v>
      </c>
      <c r="F76" s="3">
        <f t="shared" si="20"/>
        <v>0</v>
      </c>
      <c r="G76" s="3">
        <f t="shared" si="20"/>
        <v>0</v>
      </c>
      <c r="H76" s="93">
        <f t="shared" ref="H76" si="21">H74+H75</f>
        <v>0</v>
      </c>
    </row>
    <row r="77" spans="1:8" ht="15.6" x14ac:dyDescent="0.3">
      <c r="A77" s="478"/>
      <c r="B77" s="21" t="s">
        <v>81</v>
      </c>
      <c r="C77" s="4" t="s">
        <v>3</v>
      </c>
      <c r="D77" s="30">
        <f>D72+D73-D76</f>
        <v>0</v>
      </c>
      <c r="E77" s="30">
        <f t="shared" ref="E77:G77" si="22">E72+E73-E76</f>
        <v>0</v>
      </c>
      <c r="F77" s="30">
        <f t="shared" si="22"/>
        <v>0</v>
      </c>
      <c r="G77" s="30">
        <f t="shared" si="22"/>
        <v>3</v>
      </c>
      <c r="H77" s="94">
        <f t="shared" ref="H77" si="23">H73+H74-H76</f>
        <v>0</v>
      </c>
    </row>
    <row r="78" spans="1:8" ht="15.6" customHeight="1" x14ac:dyDescent="0.3">
      <c r="A78" s="476" t="s">
        <v>109</v>
      </c>
      <c r="B78" s="21" t="s">
        <v>85</v>
      </c>
      <c r="C78" s="4" t="s">
        <v>3</v>
      </c>
      <c r="D78" s="30">
        <f>Balaka!M78</f>
        <v>0</v>
      </c>
      <c r="E78" s="30">
        <f>Liwonde!M78</f>
        <v>0</v>
      </c>
      <c r="F78" s="30">
        <f>Machinga!M78</f>
        <v>0</v>
      </c>
      <c r="G78" s="30">
        <f>Ntaja!M78</f>
        <v>0</v>
      </c>
      <c r="H78" s="31">
        <f>D78</f>
        <v>0</v>
      </c>
    </row>
    <row r="79" spans="1:8" ht="15.6" x14ac:dyDescent="0.3">
      <c r="A79" s="477"/>
      <c r="B79" s="21" t="s">
        <v>106</v>
      </c>
      <c r="C79" s="4" t="s">
        <v>3</v>
      </c>
      <c r="D79" s="22">
        <f>Balaka!M79+Balaka!N79+Balaka!O79</f>
        <v>0</v>
      </c>
      <c r="E79" s="22">
        <f>Liwonde!M79+Liwonde!N79+Liwonde!O79</f>
        <v>0</v>
      </c>
      <c r="F79" s="22">
        <f>Machinga!M79+Machinga!N79+Machinga!O79</f>
        <v>0</v>
      </c>
      <c r="G79" s="22">
        <f>Ntaja!M79+Ntaja!N79+Ntaja!O79</f>
        <v>0</v>
      </c>
      <c r="H79" s="31">
        <f>SUM(D79:G79)</f>
        <v>0</v>
      </c>
    </row>
    <row r="80" spans="1:8" ht="27" x14ac:dyDescent="0.3">
      <c r="A80" s="477"/>
      <c r="B80" s="21" t="s">
        <v>105</v>
      </c>
      <c r="C80" s="4" t="s">
        <v>3</v>
      </c>
      <c r="D80" s="22">
        <f>Balaka!M80+Balaka!N80+Balaka!O80</f>
        <v>0</v>
      </c>
      <c r="E80" s="22">
        <f>Liwonde!M80+Liwonde!N80+Liwonde!O80</f>
        <v>0</v>
      </c>
      <c r="F80" s="22">
        <f>Machinga!M80+Machinga!N80+Machinga!O80</f>
        <v>0</v>
      </c>
      <c r="G80" s="22">
        <f>Ntaja!M80+Ntaja!N80+Ntaja!O80</f>
        <v>0</v>
      </c>
      <c r="H80" s="31">
        <f>SUM(D80:G80)</f>
        <v>0</v>
      </c>
    </row>
    <row r="81" spans="1:8" ht="27" x14ac:dyDescent="0.3">
      <c r="A81" s="477"/>
      <c r="B81" s="21" t="s">
        <v>104</v>
      </c>
      <c r="C81" s="4" t="s">
        <v>3</v>
      </c>
      <c r="D81" s="22">
        <f>Balaka!M81+Balaka!N81+Balaka!O81</f>
        <v>0</v>
      </c>
      <c r="E81" s="22">
        <f>Liwonde!M81+Liwonde!N81+Liwonde!O81</f>
        <v>0</v>
      </c>
      <c r="F81" s="22">
        <f>Machinga!M81+Machinga!N81+Machinga!O81</f>
        <v>0</v>
      </c>
      <c r="G81" s="22">
        <f>Ntaja!M81+Ntaja!N81+Ntaja!O81</f>
        <v>0</v>
      </c>
      <c r="H81" s="31">
        <f>SUM(D81:G81)</f>
        <v>0</v>
      </c>
    </row>
    <row r="82" spans="1:8" ht="15.6" x14ac:dyDescent="0.3">
      <c r="A82" s="477"/>
      <c r="B82" s="21" t="s">
        <v>190</v>
      </c>
      <c r="C82" s="4" t="s">
        <v>3</v>
      </c>
      <c r="D82" s="3">
        <f>D80+D81</f>
        <v>0</v>
      </c>
      <c r="E82" s="3">
        <f t="shared" ref="E82:G82" si="24">E80+E81</f>
        <v>0</v>
      </c>
      <c r="F82" s="3">
        <f t="shared" si="24"/>
        <v>0</v>
      </c>
      <c r="G82" s="3">
        <f t="shared" si="24"/>
        <v>0</v>
      </c>
      <c r="H82" s="93">
        <f t="shared" ref="H82" si="25">H81+H80</f>
        <v>0</v>
      </c>
    </row>
    <row r="83" spans="1:8" ht="15.6" x14ac:dyDescent="0.3">
      <c r="A83" s="478"/>
      <c r="B83" s="21" t="s">
        <v>81</v>
      </c>
      <c r="C83" s="4" t="s">
        <v>3</v>
      </c>
      <c r="D83" s="30">
        <f>D78+D79-D82</f>
        <v>0</v>
      </c>
      <c r="E83" s="30">
        <f t="shared" ref="E83:G83" si="26">E78+E79-E82</f>
        <v>0</v>
      </c>
      <c r="F83" s="30">
        <f t="shared" si="26"/>
        <v>0</v>
      </c>
      <c r="G83" s="30">
        <f t="shared" si="26"/>
        <v>0</v>
      </c>
      <c r="H83" s="94">
        <f t="shared" ref="H83" si="27">H78+H79-H82</f>
        <v>0</v>
      </c>
    </row>
    <row r="84" spans="1:8" ht="15.6" x14ac:dyDescent="0.3">
      <c r="A84" s="479" t="s">
        <v>108</v>
      </c>
      <c r="B84" s="21" t="s">
        <v>85</v>
      </c>
      <c r="C84" s="4" t="s">
        <v>3</v>
      </c>
      <c r="D84" s="30">
        <f>Balaka!M84</f>
        <v>0</v>
      </c>
      <c r="E84" s="30">
        <f>Liwonde!M84</f>
        <v>0</v>
      </c>
      <c r="F84" s="30">
        <f>Machinga!M84</f>
        <v>0</v>
      </c>
      <c r="G84" s="30">
        <f>Ntaja!M84</f>
        <v>0</v>
      </c>
      <c r="H84" s="31">
        <f>D84</f>
        <v>0</v>
      </c>
    </row>
    <row r="85" spans="1:8" ht="15.6" x14ac:dyDescent="0.3">
      <c r="A85" s="480"/>
      <c r="B85" s="21" t="s">
        <v>106</v>
      </c>
      <c r="C85" s="4" t="s">
        <v>3</v>
      </c>
      <c r="D85" s="22">
        <f>Balaka!M85+Balaka!N85+Balaka!O85</f>
        <v>0</v>
      </c>
      <c r="E85" s="22">
        <f>Liwonde!M85+Liwonde!N85+Liwonde!O85</f>
        <v>0</v>
      </c>
      <c r="F85" s="22">
        <f>Machinga!M85+Machinga!N85+Machinga!O85</f>
        <v>0</v>
      </c>
      <c r="G85" s="22">
        <f>Ntaja!M85+Ntaja!N85+Ntaja!O85</f>
        <v>0</v>
      </c>
      <c r="H85" s="31">
        <f>SUM(D85:G85)</f>
        <v>0</v>
      </c>
    </row>
    <row r="86" spans="1:8" ht="27" x14ac:dyDescent="0.3">
      <c r="A86" s="480"/>
      <c r="B86" s="21" t="s">
        <v>105</v>
      </c>
      <c r="C86" s="4" t="s">
        <v>3</v>
      </c>
      <c r="D86" s="22">
        <f>Balaka!M86+Balaka!N86+Balaka!O86</f>
        <v>0</v>
      </c>
      <c r="E86" s="22">
        <f>Liwonde!M86+Liwonde!N86+Liwonde!O86</f>
        <v>0</v>
      </c>
      <c r="F86" s="22">
        <f>Machinga!M86+Machinga!N86+Machinga!O86</f>
        <v>0</v>
      </c>
      <c r="G86" s="22">
        <f>Ntaja!M86+Ntaja!N86+Ntaja!O86</f>
        <v>0</v>
      </c>
      <c r="H86" s="31">
        <f>SUM(D86:G86)</f>
        <v>0</v>
      </c>
    </row>
    <row r="87" spans="1:8" ht="27" x14ac:dyDescent="0.3">
      <c r="A87" s="480"/>
      <c r="B87" s="21" t="s">
        <v>104</v>
      </c>
      <c r="C87" s="4" t="s">
        <v>3</v>
      </c>
      <c r="D87" s="22">
        <f>Balaka!M87+Balaka!N87+Balaka!O87</f>
        <v>0</v>
      </c>
      <c r="E87" s="22">
        <f>Liwonde!M87+Liwonde!N87+Liwonde!O87</f>
        <v>0</v>
      </c>
      <c r="F87" s="22">
        <f>Machinga!M87+Machinga!N87+Machinga!O87</f>
        <v>0</v>
      </c>
      <c r="G87" s="22">
        <f>Ntaja!M87+Ntaja!N87+Ntaja!O87</f>
        <v>0</v>
      </c>
      <c r="H87" s="31">
        <f>SUM(D87:G87)</f>
        <v>0</v>
      </c>
    </row>
    <row r="88" spans="1:8" ht="15.6" x14ac:dyDescent="0.3">
      <c r="A88" s="480"/>
      <c r="B88" s="21" t="s">
        <v>190</v>
      </c>
      <c r="C88" s="4" t="s">
        <v>3</v>
      </c>
      <c r="D88" s="3">
        <f>D86+D87</f>
        <v>0</v>
      </c>
      <c r="E88" s="3">
        <f t="shared" ref="E88:G88" si="28">E86+E87</f>
        <v>0</v>
      </c>
      <c r="F88" s="3">
        <f t="shared" si="28"/>
        <v>0</v>
      </c>
      <c r="G88" s="3">
        <f t="shared" si="28"/>
        <v>0</v>
      </c>
      <c r="H88" s="31"/>
    </row>
    <row r="89" spans="1:8" ht="15.6" x14ac:dyDescent="0.3">
      <c r="A89" s="481"/>
      <c r="B89" s="32" t="s">
        <v>81</v>
      </c>
      <c r="C89" s="4" t="s">
        <v>3</v>
      </c>
      <c r="D89" s="30">
        <f>D84+D85-D88</f>
        <v>0</v>
      </c>
      <c r="E89" s="30">
        <f t="shared" ref="E89:G89" si="29">E84+E85-E88</f>
        <v>0</v>
      </c>
      <c r="F89" s="30">
        <f t="shared" si="29"/>
        <v>0</v>
      </c>
      <c r="G89" s="30">
        <f t="shared" si="29"/>
        <v>0</v>
      </c>
      <c r="H89" s="94">
        <f t="shared" ref="H89" si="30">H84+H85-H86-H87</f>
        <v>0</v>
      </c>
    </row>
    <row r="90" spans="1:8" ht="15.6" x14ac:dyDescent="0.3">
      <c r="A90" s="479" t="s">
        <v>107</v>
      </c>
      <c r="B90" s="21" t="s">
        <v>85</v>
      </c>
      <c r="C90" s="4" t="s">
        <v>3</v>
      </c>
      <c r="D90" s="119">
        <f>D66+D72+D78+D84</f>
        <v>404</v>
      </c>
      <c r="E90" s="119">
        <f t="shared" ref="E90:G90" si="31">E66+E72+E78+E84</f>
        <v>813</v>
      </c>
      <c r="F90" s="119">
        <f t="shared" si="31"/>
        <v>5</v>
      </c>
      <c r="G90" s="119">
        <f t="shared" si="31"/>
        <v>18</v>
      </c>
      <c r="H90" s="31">
        <f>SUM(D90:G90)</f>
        <v>1240</v>
      </c>
    </row>
    <row r="91" spans="1:8" ht="15.6" x14ac:dyDescent="0.3">
      <c r="A91" s="480"/>
      <c r="B91" s="21" t="s">
        <v>106</v>
      </c>
      <c r="C91" s="4" t="s">
        <v>3</v>
      </c>
      <c r="D91" s="119">
        <f t="shared" ref="D91:G93" si="32">D67+D73+D79+D85</f>
        <v>92</v>
      </c>
      <c r="E91" s="119">
        <f t="shared" si="32"/>
        <v>126</v>
      </c>
      <c r="F91" s="119">
        <f t="shared" si="32"/>
        <v>14</v>
      </c>
      <c r="G91" s="119">
        <f t="shared" si="32"/>
        <v>5</v>
      </c>
      <c r="H91" s="31">
        <f>SUM(D91:G91)</f>
        <v>237</v>
      </c>
    </row>
    <row r="92" spans="1:8" ht="27" x14ac:dyDescent="0.3">
      <c r="A92" s="480"/>
      <c r="B92" s="21" t="s">
        <v>105</v>
      </c>
      <c r="C92" s="4" t="s">
        <v>3</v>
      </c>
      <c r="D92" s="119">
        <f t="shared" si="32"/>
        <v>77</v>
      </c>
      <c r="E92" s="119">
        <f t="shared" si="32"/>
        <v>80</v>
      </c>
      <c r="F92" s="119">
        <f t="shared" si="32"/>
        <v>15</v>
      </c>
      <c r="G92" s="119">
        <f t="shared" si="32"/>
        <v>0</v>
      </c>
      <c r="H92" s="31">
        <f>SUM(D92:G92)</f>
        <v>172</v>
      </c>
    </row>
    <row r="93" spans="1:8" ht="27" x14ac:dyDescent="0.3">
      <c r="A93" s="480"/>
      <c r="B93" s="21" t="s">
        <v>104</v>
      </c>
      <c r="C93" s="4"/>
      <c r="D93" s="119">
        <f t="shared" si="32"/>
        <v>0</v>
      </c>
      <c r="E93" s="119">
        <f t="shared" si="32"/>
        <v>2</v>
      </c>
      <c r="F93" s="119">
        <f t="shared" si="32"/>
        <v>0</v>
      </c>
      <c r="G93" s="119">
        <f t="shared" si="32"/>
        <v>5</v>
      </c>
      <c r="H93" s="31">
        <f>SUM(D93:G93)</f>
        <v>7</v>
      </c>
    </row>
    <row r="94" spans="1:8" ht="15.6" x14ac:dyDescent="0.3">
      <c r="A94" s="480"/>
      <c r="B94" s="21" t="s">
        <v>190</v>
      </c>
      <c r="C94" s="4" t="s">
        <v>3</v>
      </c>
      <c r="D94" s="120">
        <f>D93+D92</f>
        <v>77</v>
      </c>
      <c r="E94" s="120">
        <f t="shared" ref="E94:G94" si="33">E93+E92</f>
        <v>82</v>
      </c>
      <c r="F94" s="120">
        <f t="shared" si="33"/>
        <v>15</v>
      </c>
      <c r="G94" s="120">
        <f t="shared" si="33"/>
        <v>5</v>
      </c>
      <c r="H94" s="95">
        <f>H93+H92</f>
        <v>179</v>
      </c>
    </row>
    <row r="95" spans="1:8" ht="16.2" thickBot="1" x14ac:dyDescent="0.35">
      <c r="A95" s="481"/>
      <c r="B95" s="21" t="s">
        <v>81</v>
      </c>
      <c r="C95" s="4" t="s">
        <v>3</v>
      </c>
      <c r="D95" s="121">
        <f>D90+D91-D94</f>
        <v>419</v>
      </c>
      <c r="E95" s="121">
        <f t="shared" ref="E95:G95" si="34">E90+E91-E94</f>
        <v>857</v>
      </c>
      <c r="F95" s="121">
        <f t="shared" si="34"/>
        <v>4</v>
      </c>
      <c r="G95" s="121">
        <f t="shared" si="34"/>
        <v>18</v>
      </c>
      <c r="H95" s="128">
        <f t="shared" ref="H95" si="35">H90+H91-H94</f>
        <v>1298</v>
      </c>
    </row>
    <row r="96" spans="1:8" ht="16.2" customHeight="1" thickBot="1" x14ac:dyDescent="0.35">
      <c r="A96" s="482"/>
      <c r="B96" s="483"/>
      <c r="C96" s="483"/>
      <c r="D96" s="483"/>
      <c r="E96" s="483"/>
      <c r="F96" s="483"/>
      <c r="G96" s="483"/>
      <c r="H96" s="484"/>
    </row>
    <row r="97" spans="1:8" ht="15.75" customHeight="1" thickBot="1" x14ac:dyDescent="0.35">
      <c r="A97" s="470" t="s">
        <v>191</v>
      </c>
      <c r="B97" s="471"/>
      <c r="C97" s="471"/>
      <c r="D97" s="471"/>
      <c r="E97" s="471"/>
      <c r="F97" s="471"/>
      <c r="G97" s="471"/>
      <c r="H97" s="472"/>
    </row>
    <row r="98" spans="1:8" ht="15.6" x14ac:dyDescent="0.3">
      <c r="A98" s="72" t="s">
        <v>192</v>
      </c>
      <c r="B98" s="62"/>
      <c r="C98" s="4" t="s">
        <v>3</v>
      </c>
      <c r="D98" s="22">
        <f>Balaka!M98+Balaka!N98+Balaka!O98</f>
        <v>71</v>
      </c>
      <c r="E98" s="22">
        <f>Liwonde!M98+Liwonde!N98+Liwonde!O98</f>
        <v>23</v>
      </c>
      <c r="F98" s="22">
        <f>Machinga!M98+Machinga!N98+Machinga!O98</f>
        <v>8</v>
      </c>
      <c r="G98" s="22">
        <f>Ntaja!M98+Ntaja!N98+Ntaja!O98</f>
        <v>2</v>
      </c>
      <c r="H98" s="96">
        <f>SUM(D98:G98)</f>
        <v>104</v>
      </c>
    </row>
    <row r="99" spans="1:8" ht="15.6" x14ac:dyDescent="0.3">
      <c r="A99" s="72"/>
      <c r="B99" s="21"/>
      <c r="C99" s="4"/>
      <c r="D99" s="59"/>
      <c r="E99" s="59"/>
      <c r="F99" s="59"/>
      <c r="G99" s="59"/>
      <c r="H99" s="95"/>
    </row>
    <row r="100" spans="1:8" x14ac:dyDescent="0.3">
      <c r="A100" s="473" t="s">
        <v>103</v>
      </c>
      <c r="B100" s="474"/>
      <c r="C100" s="474"/>
      <c r="D100" s="474"/>
      <c r="E100" s="474"/>
      <c r="F100" s="474"/>
      <c r="G100" s="474"/>
      <c r="H100" s="475"/>
    </row>
    <row r="101" spans="1:8" ht="15.6" x14ac:dyDescent="0.3">
      <c r="A101" s="447" t="s">
        <v>102</v>
      </c>
      <c r="B101" s="448"/>
      <c r="C101" s="4" t="s">
        <v>3</v>
      </c>
      <c r="D101" s="22">
        <f>Balaka!O101</f>
        <v>2544</v>
      </c>
      <c r="E101" s="22">
        <f>Liwonde!O101</f>
        <v>1684</v>
      </c>
      <c r="F101" s="22">
        <f>Machinga!O101</f>
        <v>214</v>
      </c>
      <c r="G101" s="22">
        <f>Ntaja!O101</f>
        <v>0</v>
      </c>
      <c r="H101" s="28">
        <f>SUM(D101:G101)</f>
        <v>4442</v>
      </c>
    </row>
    <row r="102" spans="1:8" ht="15.6" x14ac:dyDescent="0.3">
      <c r="A102" s="447" t="s">
        <v>101</v>
      </c>
      <c r="B102" s="448"/>
      <c r="C102" s="4" t="s">
        <v>3</v>
      </c>
      <c r="D102" s="22">
        <f>Balaka!O102</f>
        <v>62</v>
      </c>
      <c r="E102" s="22">
        <f>Liwonde!O102</f>
        <v>33</v>
      </c>
      <c r="F102" s="22">
        <f>Machinga!O102</f>
        <v>5</v>
      </c>
      <c r="G102" s="22">
        <f>Ntaja!O102</f>
        <v>0</v>
      </c>
      <c r="H102" s="28">
        <f>SUM(D102:G102)</f>
        <v>100</v>
      </c>
    </row>
    <row r="103" spans="1:8" ht="15.6" customHeight="1" x14ac:dyDescent="0.3">
      <c r="A103" s="445" t="s">
        <v>100</v>
      </c>
      <c r="B103" s="446"/>
      <c r="C103" s="4" t="s">
        <v>3</v>
      </c>
      <c r="D103" s="22">
        <f>Balaka!O103</f>
        <v>94</v>
      </c>
      <c r="E103" s="22">
        <f>Liwonde!O103</f>
        <v>20</v>
      </c>
      <c r="F103" s="22">
        <f>Machinga!O103</f>
        <v>3</v>
      </c>
      <c r="G103" s="22">
        <f>Ntaja!O103</f>
        <v>3</v>
      </c>
      <c r="H103" s="28">
        <f>SUM(D103:G103)</f>
        <v>120</v>
      </c>
    </row>
    <row r="104" spans="1:8" ht="15.6" x14ac:dyDescent="0.3">
      <c r="A104" s="445" t="s">
        <v>99</v>
      </c>
      <c r="B104" s="446"/>
      <c r="C104" s="4" t="s">
        <v>3</v>
      </c>
      <c r="D104" s="22">
        <f>Balaka!O104</f>
        <v>19</v>
      </c>
      <c r="E104" s="22">
        <f>Liwonde!O104</f>
        <v>15</v>
      </c>
      <c r="F104" s="22">
        <f>Machinga!O104</f>
        <v>0</v>
      </c>
      <c r="G104" s="22">
        <f>Ntaja!O104</f>
        <v>0</v>
      </c>
      <c r="H104" s="28">
        <f>SUM(D104:G104)</f>
        <v>34</v>
      </c>
    </row>
    <row r="105" spans="1:8" ht="15.6" x14ac:dyDescent="0.3">
      <c r="A105" s="485" t="s">
        <v>98</v>
      </c>
      <c r="B105" s="486"/>
      <c r="C105" s="4" t="s">
        <v>3</v>
      </c>
      <c r="D105" s="29">
        <f>SUM(D101:D104)</f>
        <v>2719</v>
      </c>
      <c r="E105" s="29">
        <f t="shared" ref="E105:H105" si="36">SUM(E101:E104)</f>
        <v>1752</v>
      </c>
      <c r="F105" s="29">
        <f t="shared" si="36"/>
        <v>222</v>
      </c>
      <c r="G105" s="29">
        <f t="shared" si="36"/>
        <v>3</v>
      </c>
      <c r="H105" s="50">
        <f t="shared" si="36"/>
        <v>4696</v>
      </c>
    </row>
    <row r="106" spans="1:8" ht="15.6" customHeight="1" x14ac:dyDescent="0.3">
      <c r="A106" s="487" t="s">
        <v>212</v>
      </c>
      <c r="B106" s="488"/>
      <c r="C106" s="488"/>
      <c r="D106" s="488"/>
      <c r="E106" s="488"/>
      <c r="F106" s="488"/>
      <c r="G106" s="488"/>
      <c r="H106" s="489"/>
    </row>
    <row r="107" spans="1:8" ht="15.6" x14ac:dyDescent="0.3">
      <c r="A107" s="447" t="s">
        <v>195</v>
      </c>
      <c r="B107" s="448"/>
      <c r="C107" s="4" t="s">
        <v>3</v>
      </c>
      <c r="D107" s="22">
        <f>Balaka!O107</f>
        <v>3166</v>
      </c>
      <c r="E107" s="22">
        <f>Liwonde!O107</f>
        <v>2677</v>
      </c>
      <c r="F107" s="22">
        <f>Machinga!O107</f>
        <v>17</v>
      </c>
      <c r="G107" s="22">
        <f>Ntaja!O107</f>
        <v>1</v>
      </c>
      <c r="H107" s="28">
        <f>SUM(D107:G107)</f>
        <v>5861</v>
      </c>
    </row>
    <row r="108" spans="1:8" ht="15.6" x14ac:dyDescent="0.3">
      <c r="A108" s="447" t="s">
        <v>196</v>
      </c>
      <c r="B108" s="448"/>
      <c r="C108" s="4" t="s">
        <v>3</v>
      </c>
      <c r="D108" s="22">
        <f>Balaka!O108</f>
        <v>6</v>
      </c>
      <c r="E108" s="22">
        <f>Liwonde!O108</f>
        <v>9</v>
      </c>
      <c r="F108" s="22">
        <f>Machinga!O108</f>
        <v>1</v>
      </c>
      <c r="G108" s="22">
        <f>Ntaja!O108</f>
        <v>2</v>
      </c>
      <c r="H108" s="28">
        <f>SUM(D108:G108)</f>
        <v>18</v>
      </c>
    </row>
    <row r="109" spans="1:8" ht="15.6" x14ac:dyDescent="0.3">
      <c r="A109" s="447" t="s">
        <v>197</v>
      </c>
      <c r="B109" s="448"/>
      <c r="C109" s="4" t="s">
        <v>3</v>
      </c>
      <c r="D109" s="22">
        <f>Balaka!O109</f>
        <v>2</v>
      </c>
      <c r="E109" s="22">
        <f>Liwonde!O109</f>
        <v>8</v>
      </c>
      <c r="F109" s="22">
        <f>Machinga!O109</f>
        <v>0</v>
      </c>
      <c r="G109" s="22">
        <f>Ntaja!O109</f>
        <v>0</v>
      </c>
      <c r="H109" s="28">
        <f>SUM(D109:G109)</f>
        <v>10</v>
      </c>
    </row>
    <row r="110" spans="1:8" ht="15.6" x14ac:dyDescent="0.3">
      <c r="A110" s="447" t="s">
        <v>198</v>
      </c>
      <c r="B110" s="448"/>
      <c r="C110" s="4" t="s">
        <v>3</v>
      </c>
      <c r="D110" s="22">
        <f>Balaka!O110</f>
        <v>10</v>
      </c>
      <c r="E110" s="22">
        <f>Liwonde!O110</f>
        <v>11</v>
      </c>
      <c r="F110" s="22">
        <f>Machinga!O110</f>
        <v>0</v>
      </c>
      <c r="G110" s="22">
        <f>Ntaja!O110</f>
        <v>0</v>
      </c>
      <c r="H110" s="28">
        <f>SUM(D110:G110)</f>
        <v>21</v>
      </c>
    </row>
    <row r="111" spans="1:8" ht="15.6" x14ac:dyDescent="0.3">
      <c r="A111" s="449" t="s">
        <v>97</v>
      </c>
      <c r="B111" s="450"/>
      <c r="C111" s="4" t="s">
        <v>3</v>
      </c>
      <c r="D111" s="29">
        <f>SUM(D107:D110)</f>
        <v>3184</v>
      </c>
      <c r="E111" s="29">
        <f t="shared" ref="E111:H111" si="37">SUM(E107:E110)</f>
        <v>2705</v>
      </c>
      <c r="F111" s="29">
        <f t="shared" si="37"/>
        <v>18</v>
      </c>
      <c r="G111" s="29">
        <f t="shared" si="37"/>
        <v>3</v>
      </c>
      <c r="H111" s="50">
        <f t="shared" si="37"/>
        <v>5910</v>
      </c>
    </row>
    <row r="112" spans="1:8" ht="15.6" customHeight="1" x14ac:dyDescent="0.3">
      <c r="A112" s="473" t="s">
        <v>212</v>
      </c>
      <c r="B112" s="474"/>
      <c r="C112" s="474"/>
      <c r="D112" s="474"/>
      <c r="E112" s="474"/>
      <c r="F112" s="474"/>
      <c r="G112" s="474"/>
      <c r="H112" s="475"/>
    </row>
    <row r="113" spans="1:8" ht="15.6" x14ac:dyDescent="0.3">
      <c r="A113" s="447" t="s">
        <v>199</v>
      </c>
      <c r="B113" s="448"/>
      <c r="C113" s="4" t="s">
        <v>3</v>
      </c>
      <c r="D113" s="22">
        <f>Balaka!O113</f>
        <v>2390</v>
      </c>
      <c r="E113" s="22">
        <f>Liwonde!O113</f>
        <v>1636</v>
      </c>
      <c r="F113" s="22">
        <f>Machinga!O113</f>
        <v>347</v>
      </c>
      <c r="G113" s="22">
        <f>Ntaja!O113</f>
        <v>667</v>
      </c>
      <c r="H113" s="28">
        <f>SUM(D113:G113)</f>
        <v>5040</v>
      </c>
    </row>
    <row r="114" spans="1:8" ht="15.6" x14ac:dyDescent="0.3">
      <c r="A114" s="447" t="s">
        <v>200</v>
      </c>
      <c r="B114" s="448"/>
      <c r="C114" s="4" t="s">
        <v>3</v>
      </c>
      <c r="D114" s="22">
        <f>Balaka!O114</f>
        <v>67</v>
      </c>
      <c r="E114" s="22">
        <f>Liwonde!O114</f>
        <v>45</v>
      </c>
      <c r="F114" s="22">
        <f>Machinga!O114</f>
        <v>14</v>
      </c>
      <c r="G114" s="22">
        <f>Ntaja!O114</f>
        <v>21</v>
      </c>
      <c r="H114" s="28">
        <f>SUM(D114:G114)</f>
        <v>147</v>
      </c>
    </row>
    <row r="115" spans="1:8" ht="15.6" x14ac:dyDescent="0.3">
      <c r="A115" s="447" t="s">
        <v>201</v>
      </c>
      <c r="B115" s="448"/>
      <c r="C115" s="4" t="s">
        <v>3</v>
      </c>
      <c r="D115" s="22">
        <f>Balaka!O115</f>
        <v>75</v>
      </c>
      <c r="E115" s="22">
        <f>Liwonde!O115</f>
        <v>114</v>
      </c>
      <c r="F115" s="22">
        <f>Machinga!O115</f>
        <v>27</v>
      </c>
      <c r="G115" s="22">
        <f>Ntaja!O115</f>
        <v>17</v>
      </c>
      <c r="H115" s="28">
        <f>SUM(D115:G115)</f>
        <v>233</v>
      </c>
    </row>
    <row r="116" spans="1:8" ht="15.6" x14ac:dyDescent="0.3">
      <c r="A116" s="447" t="s">
        <v>202</v>
      </c>
      <c r="B116" s="448"/>
      <c r="C116" s="4" t="s">
        <v>3</v>
      </c>
      <c r="D116" s="22">
        <f>Balaka!O116</f>
        <v>5</v>
      </c>
      <c r="E116" s="22">
        <f>Liwonde!O116</f>
        <v>1</v>
      </c>
      <c r="F116" s="22">
        <f>Machinga!O116</f>
        <v>0</v>
      </c>
      <c r="G116" s="22">
        <f>Ntaja!O116</f>
        <v>3</v>
      </c>
      <c r="H116" s="28">
        <f>SUM(D116:G116)</f>
        <v>9</v>
      </c>
    </row>
    <row r="117" spans="1:8" ht="15.6" x14ac:dyDescent="0.3">
      <c r="A117" s="449" t="s">
        <v>96</v>
      </c>
      <c r="B117" s="450"/>
      <c r="C117" s="4" t="s">
        <v>3</v>
      </c>
      <c r="D117" s="29">
        <f>SUM(D113:D116)</f>
        <v>2537</v>
      </c>
      <c r="E117" s="29">
        <f t="shared" ref="E117:H117" si="38">SUM(E113:E116)</f>
        <v>1796</v>
      </c>
      <c r="F117" s="29">
        <f t="shared" si="38"/>
        <v>388</v>
      </c>
      <c r="G117" s="29">
        <f t="shared" si="38"/>
        <v>708</v>
      </c>
      <c r="H117" s="50">
        <f t="shared" si="38"/>
        <v>5429</v>
      </c>
    </row>
    <row r="118" spans="1:8" ht="15.6" x14ac:dyDescent="0.3">
      <c r="A118" s="69" t="s">
        <v>193</v>
      </c>
      <c r="B118" s="70"/>
      <c r="C118" s="4" t="s">
        <v>3</v>
      </c>
      <c r="D118" s="29">
        <f>D117+D111</f>
        <v>5721</v>
      </c>
      <c r="E118" s="29">
        <f t="shared" ref="E118:H118" si="39">E117+E111</f>
        <v>4501</v>
      </c>
      <c r="F118" s="29">
        <f t="shared" si="39"/>
        <v>406</v>
      </c>
      <c r="G118" s="29">
        <f t="shared" si="39"/>
        <v>711</v>
      </c>
      <c r="H118" s="50">
        <f t="shared" si="39"/>
        <v>11339</v>
      </c>
    </row>
    <row r="119" spans="1:8" ht="15.6" x14ac:dyDescent="0.3">
      <c r="A119" s="449" t="s">
        <v>194</v>
      </c>
      <c r="B119" s="450"/>
      <c r="C119" s="4" t="s">
        <v>3</v>
      </c>
      <c r="D119" s="29">
        <f>D118+D105</f>
        <v>8440</v>
      </c>
      <c r="E119" s="29">
        <f t="shared" ref="E119:H119" si="40">E118+E105</f>
        <v>6253</v>
      </c>
      <c r="F119" s="29">
        <f t="shared" si="40"/>
        <v>628</v>
      </c>
      <c r="G119" s="29">
        <f t="shared" si="40"/>
        <v>714</v>
      </c>
      <c r="H119" s="50">
        <f t="shared" si="40"/>
        <v>16035</v>
      </c>
    </row>
    <row r="120" spans="1:8" x14ac:dyDescent="0.3">
      <c r="A120" s="441" t="s">
        <v>203</v>
      </c>
      <c r="B120" s="442"/>
      <c r="C120" s="442"/>
      <c r="D120" s="442"/>
      <c r="E120" s="442"/>
      <c r="F120" s="442"/>
      <c r="G120" s="442"/>
      <c r="H120" s="444"/>
    </row>
    <row r="121" spans="1:8" ht="15.6" x14ac:dyDescent="0.3">
      <c r="A121" s="447" t="s">
        <v>95</v>
      </c>
      <c r="B121" s="448"/>
      <c r="C121" s="4" t="s">
        <v>3</v>
      </c>
      <c r="D121" s="22">
        <f>Balaka!O121</f>
        <v>47417</v>
      </c>
      <c r="E121" s="22">
        <f>Liwonde!O121</f>
        <v>43739</v>
      </c>
      <c r="F121" s="22">
        <f>Machinga!O121</f>
        <v>1537</v>
      </c>
      <c r="G121" s="22">
        <f>Ntaja!O121</f>
        <v>4303</v>
      </c>
      <c r="H121" s="27"/>
    </row>
    <row r="122" spans="1:8" ht="15.6" x14ac:dyDescent="0.3">
      <c r="A122" s="447" t="s">
        <v>94</v>
      </c>
      <c r="B122" s="448"/>
      <c r="C122" s="4" t="s">
        <v>3</v>
      </c>
      <c r="D122" s="22">
        <f>Balaka!O122</f>
        <v>38974</v>
      </c>
      <c r="E122" s="22">
        <f>Liwonde!O122</f>
        <v>39363</v>
      </c>
      <c r="F122" s="22">
        <f>Machinga!O122</f>
        <v>1334</v>
      </c>
      <c r="G122" s="22">
        <f>Ntaja!O122</f>
        <v>2861</v>
      </c>
      <c r="H122" s="27"/>
    </row>
    <row r="123" spans="1:8" ht="15.6" x14ac:dyDescent="0.3">
      <c r="A123" s="494" t="s">
        <v>93</v>
      </c>
      <c r="B123" s="495"/>
      <c r="C123" s="26" t="s">
        <v>6</v>
      </c>
      <c r="D123" s="25">
        <f t="shared" ref="D123:G123" si="41">D122/D121</f>
        <v>0.82194149777505954</v>
      </c>
      <c r="E123" s="25">
        <f t="shared" si="41"/>
        <v>0.89995198792839337</v>
      </c>
      <c r="F123" s="25">
        <f t="shared" si="41"/>
        <v>0.86792452830188682</v>
      </c>
      <c r="G123" s="25">
        <f t="shared" si="41"/>
        <v>0.66488496397861951</v>
      </c>
      <c r="H123" s="97"/>
    </row>
    <row r="124" spans="1:8" x14ac:dyDescent="0.3">
      <c r="A124" s="490" t="s">
        <v>92</v>
      </c>
      <c r="B124" s="491"/>
      <c r="C124" s="491"/>
      <c r="D124" s="491"/>
      <c r="E124" s="491"/>
      <c r="F124" s="491"/>
      <c r="G124" s="491"/>
      <c r="H124" s="492"/>
    </row>
    <row r="125" spans="1:8" ht="15.6" x14ac:dyDescent="0.3">
      <c r="A125" s="453" t="s">
        <v>91</v>
      </c>
      <c r="B125" s="21" t="s">
        <v>85</v>
      </c>
      <c r="C125" s="4" t="s">
        <v>3</v>
      </c>
      <c r="D125" s="30">
        <f>Balaka!M125</f>
        <v>0</v>
      </c>
      <c r="E125" s="30">
        <f>Liwonde!M125</f>
        <v>0</v>
      </c>
      <c r="F125" s="30">
        <f>Machinga!M125</f>
        <v>0</v>
      </c>
      <c r="G125" s="30">
        <f>Ntaja!M125</f>
        <v>0</v>
      </c>
      <c r="H125" s="31">
        <f>SUM(D125:G125)</f>
        <v>0</v>
      </c>
    </row>
    <row r="126" spans="1:8" ht="15.6" x14ac:dyDescent="0.3">
      <c r="A126" s="493"/>
      <c r="B126" s="21" t="s">
        <v>84</v>
      </c>
      <c r="C126" s="4" t="s">
        <v>3</v>
      </c>
      <c r="D126" s="22">
        <f>Balaka!M126+Balaka!N126+Balaka!O126</f>
        <v>0</v>
      </c>
      <c r="E126" s="22">
        <f>Liwonde!M126+Liwonde!N126+Liwonde!O126</f>
        <v>0</v>
      </c>
      <c r="F126" s="22">
        <f>Machinga!M126+Machinga!N126+Machinga!O126</f>
        <v>0</v>
      </c>
      <c r="G126" s="22">
        <f>Ntaja!M126+Ntaja!N126+Ntaja!O126</f>
        <v>0</v>
      </c>
      <c r="H126" s="31">
        <f>SUM(D126:G126)</f>
        <v>0</v>
      </c>
    </row>
    <row r="127" spans="1:8" ht="15.6" x14ac:dyDescent="0.3">
      <c r="A127" s="493"/>
      <c r="B127" s="71" t="s">
        <v>88</v>
      </c>
      <c r="C127" s="4" t="s">
        <v>3</v>
      </c>
      <c r="D127" s="22">
        <f>Balaka!M127+Balaka!N127+Balaka!O127</f>
        <v>0</v>
      </c>
      <c r="E127" s="22">
        <f>Liwonde!M127+Liwonde!N127+Liwonde!O127</f>
        <v>0</v>
      </c>
      <c r="F127" s="22">
        <f>Machinga!M127+Machinga!N127+Machinga!O127</f>
        <v>0</v>
      </c>
      <c r="G127" s="22">
        <f>Ntaja!M127+Ntaja!N127+Ntaja!O127</f>
        <v>0</v>
      </c>
      <c r="H127" s="31">
        <f>SUM(D127:G127)</f>
        <v>0</v>
      </c>
    </row>
    <row r="128" spans="1:8" ht="15.6" x14ac:dyDescent="0.3">
      <c r="A128" s="493"/>
      <c r="B128" s="21" t="s">
        <v>82</v>
      </c>
      <c r="C128" s="4" t="s">
        <v>3</v>
      </c>
      <c r="D128" s="22">
        <f>Balaka!M128+Balaka!N128+Balaka!O128</f>
        <v>0</v>
      </c>
      <c r="E128" s="22">
        <f>Liwonde!M128+Liwonde!N128+Liwonde!O128</f>
        <v>0</v>
      </c>
      <c r="F128" s="22">
        <f>Machinga!M128+Machinga!N128+Machinga!O128</f>
        <v>0</v>
      </c>
      <c r="G128" s="22">
        <f>Ntaja!M128+Ntaja!N128+Ntaja!O128</f>
        <v>0</v>
      </c>
      <c r="H128" s="31">
        <f>SUM(D128:G128)</f>
        <v>0</v>
      </c>
    </row>
    <row r="129" spans="1:8" ht="15.6" x14ac:dyDescent="0.3">
      <c r="A129" s="454"/>
      <c r="B129" s="21" t="s">
        <v>81</v>
      </c>
      <c r="C129" s="4" t="s">
        <v>3</v>
      </c>
      <c r="D129" s="123">
        <f t="shared" ref="D129:H129" si="42">D125+D126-D127-D128</f>
        <v>0</v>
      </c>
      <c r="E129" s="124">
        <f t="shared" si="42"/>
        <v>0</v>
      </c>
      <c r="F129" s="124">
        <f t="shared" si="42"/>
        <v>0</v>
      </c>
      <c r="G129" s="123">
        <f t="shared" si="42"/>
        <v>0</v>
      </c>
      <c r="H129" s="31">
        <f t="shared" si="42"/>
        <v>0</v>
      </c>
    </row>
    <row r="130" spans="1:8" ht="15.6" x14ac:dyDescent="0.3">
      <c r="A130" s="453" t="s">
        <v>90</v>
      </c>
      <c r="B130" s="24" t="s">
        <v>85</v>
      </c>
      <c r="C130" s="23" t="s">
        <v>3</v>
      </c>
      <c r="D130" s="30">
        <f>Balaka!M130</f>
        <v>0</v>
      </c>
      <c r="E130" s="30">
        <f>Liwonde!M130</f>
        <v>0</v>
      </c>
      <c r="F130" s="30">
        <f>Machinga!M130</f>
        <v>0</v>
      </c>
      <c r="G130" s="30">
        <f>Ntaja!M130</f>
        <v>0</v>
      </c>
      <c r="H130" s="31">
        <f>SUM(D130:G130)</f>
        <v>0</v>
      </c>
    </row>
    <row r="131" spans="1:8" ht="15.6" x14ac:dyDescent="0.3">
      <c r="A131" s="493"/>
      <c r="B131" s="21" t="s">
        <v>84</v>
      </c>
      <c r="C131" s="4" t="s">
        <v>3</v>
      </c>
      <c r="D131" s="22">
        <f>Balaka!M131+Balaka!N131+Balaka!O131</f>
        <v>0</v>
      </c>
      <c r="E131" s="22">
        <f>Liwonde!M131+Liwonde!N131+Liwonde!O131</f>
        <v>0</v>
      </c>
      <c r="F131" s="22">
        <f>Machinga!M131+Machinga!N131+Machinga!O131</f>
        <v>0</v>
      </c>
      <c r="G131" s="22">
        <f>Ntaja!M131+Ntaja!N131+Ntaja!O131</f>
        <v>0</v>
      </c>
      <c r="H131" s="31">
        <f>SUM(D131:G131)</f>
        <v>0</v>
      </c>
    </row>
    <row r="132" spans="1:8" ht="15.6" x14ac:dyDescent="0.3">
      <c r="A132" s="493"/>
      <c r="B132" s="71" t="s">
        <v>88</v>
      </c>
      <c r="C132" s="4" t="s">
        <v>3</v>
      </c>
      <c r="D132" s="22">
        <f>Balaka!M132+Balaka!N132+Balaka!O132</f>
        <v>0</v>
      </c>
      <c r="E132" s="22">
        <f>Liwonde!M132+Liwonde!N132+Liwonde!O132</f>
        <v>0</v>
      </c>
      <c r="F132" s="22">
        <f>Machinga!M132+Machinga!N132+Machinga!O132</f>
        <v>0</v>
      </c>
      <c r="G132" s="22">
        <f>Ntaja!M132+Ntaja!N132+Ntaja!O132</f>
        <v>0</v>
      </c>
      <c r="H132" s="31">
        <f>SUM(D132:G132)</f>
        <v>0</v>
      </c>
    </row>
    <row r="133" spans="1:8" ht="15.6" x14ac:dyDescent="0.3">
      <c r="A133" s="493"/>
      <c r="B133" s="21" t="s">
        <v>82</v>
      </c>
      <c r="C133" s="4" t="s">
        <v>3</v>
      </c>
      <c r="D133" s="22">
        <f>Balaka!M133+Balaka!N133+Balaka!O133</f>
        <v>0</v>
      </c>
      <c r="E133" s="22">
        <f>Liwonde!M133+Liwonde!N133+Liwonde!O133</f>
        <v>0</v>
      </c>
      <c r="F133" s="22">
        <f>Machinga!M133+Machinga!N133+Machinga!O133</f>
        <v>0</v>
      </c>
      <c r="G133" s="22">
        <f>Ntaja!M133+Ntaja!N133+Ntaja!O133</f>
        <v>0</v>
      </c>
      <c r="H133" s="31">
        <f>SUM(D133:G133)</f>
        <v>0</v>
      </c>
    </row>
    <row r="134" spans="1:8" ht="15.6" x14ac:dyDescent="0.3">
      <c r="A134" s="454"/>
      <c r="B134" s="21" t="s">
        <v>81</v>
      </c>
      <c r="C134" s="4" t="s">
        <v>3</v>
      </c>
      <c r="D134" s="123">
        <f t="shared" ref="D134:H134" si="43">D130+D131-D132-D133</f>
        <v>0</v>
      </c>
      <c r="E134" s="124">
        <f t="shared" si="43"/>
        <v>0</v>
      </c>
      <c r="F134" s="124">
        <f t="shared" si="43"/>
        <v>0</v>
      </c>
      <c r="G134" s="123">
        <f t="shared" si="43"/>
        <v>0</v>
      </c>
      <c r="H134" s="31">
        <f t="shared" si="43"/>
        <v>0</v>
      </c>
    </row>
    <row r="135" spans="1:8" ht="15.6" x14ac:dyDescent="0.3">
      <c r="A135" s="453" t="s">
        <v>89</v>
      </c>
      <c r="B135" s="21" t="s">
        <v>85</v>
      </c>
      <c r="C135" s="4" t="s">
        <v>3</v>
      </c>
      <c r="D135" s="30">
        <f>Balaka!M135</f>
        <v>0</v>
      </c>
      <c r="E135" s="30">
        <f>Liwonde!M135</f>
        <v>0</v>
      </c>
      <c r="F135" s="30">
        <f>Machinga!M135</f>
        <v>0</v>
      </c>
      <c r="G135" s="30">
        <f>Ntaja!M135</f>
        <v>0</v>
      </c>
      <c r="H135" s="31">
        <f>SUM(D135:G135)</f>
        <v>0</v>
      </c>
    </row>
    <row r="136" spans="1:8" ht="15.6" x14ac:dyDescent="0.3">
      <c r="A136" s="493"/>
      <c r="B136" s="21" t="s">
        <v>84</v>
      </c>
      <c r="C136" s="4" t="s">
        <v>3</v>
      </c>
      <c r="D136" s="22">
        <f>Balaka!M136+Balaka!N136+Balaka!O136</f>
        <v>0</v>
      </c>
      <c r="E136" s="22">
        <f>Liwonde!M136+Liwonde!N136+Liwonde!O136</f>
        <v>0</v>
      </c>
      <c r="F136" s="22">
        <f>Machinga!M136+Machinga!N136+Machinga!O136</f>
        <v>0</v>
      </c>
      <c r="G136" s="22">
        <f>Ntaja!M136+Ntaja!N136+Ntaja!O136</f>
        <v>0</v>
      </c>
      <c r="H136" s="31">
        <f>SUM(D136:G136)</f>
        <v>0</v>
      </c>
    </row>
    <row r="137" spans="1:8" ht="15.6" x14ac:dyDescent="0.3">
      <c r="A137" s="493"/>
      <c r="B137" s="71" t="s">
        <v>88</v>
      </c>
      <c r="C137" s="4" t="s">
        <v>3</v>
      </c>
      <c r="D137" s="22">
        <f>Balaka!M137+Balaka!N137+Balaka!O137</f>
        <v>0</v>
      </c>
      <c r="E137" s="22">
        <f>Liwonde!M137+Liwonde!N137+Liwonde!O137</f>
        <v>0</v>
      </c>
      <c r="F137" s="22">
        <f>Machinga!M137+Machinga!N137+Machinga!O137</f>
        <v>0</v>
      </c>
      <c r="G137" s="22">
        <f>Ntaja!M137+Ntaja!N137+Ntaja!O137</f>
        <v>0</v>
      </c>
      <c r="H137" s="31">
        <f>SUM(D137:G137)</f>
        <v>0</v>
      </c>
    </row>
    <row r="138" spans="1:8" ht="15.6" x14ac:dyDescent="0.3">
      <c r="A138" s="493"/>
      <c r="B138" s="21" t="s">
        <v>82</v>
      </c>
      <c r="C138" s="4" t="s">
        <v>3</v>
      </c>
      <c r="D138" s="22">
        <f>Balaka!M138+Balaka!N138+Balaka!O138</f>
        <v>0</v>
      </c>
      <c r="E138" s="22">
        <f>Liwonde!M138+Liwonde!N138+Liwonde!O138</f>
        <v>0</v>
      </c>
      <c r="F138" s="22">
        <f>Machinga!M138+Machinga!N138+Machinga!O138</f>
        <v>0</v>
      </c>
      <c r="G138" s="22">
        <f>Ntaja!M138+Ntaja!N138+Ntaja!O138</f>
        <v>0</v>
      </c>
      <c r="H138" s="31">
        <f>SUM(D138:G138)</f>
        <v>0</v>
      </c>
    </row>
    <row r="139" spans="1:8" ht="15.6" x14ac:dyDescent="0.3">
      <c r="A139" s="454"/>
      <c r="B139" s="21" t="s">
        <v>81</v>
      </c>
      <c r="C139" s="4" t="s">
        <v>3</v>
      </c>
      <c r="D139" s="123">
        <f t="shared" ref="D139:H139" si="44">D135+D136-D137-D138</f>
        <v>0</v>
      </c>
      <c r="E139" s="124">
        <f t="shared" si="44"/>
        <v>0</v>
      </c>
      <c r="F139" s="124">
        <f t="shared" si="44"/>
        <v>0</v>
      </c>
      <c r="G139" s="123">
        <f t="shared" si="44"/>
        <v>0</v>
      </c>
      <c r="H139" s="31">
        <f t="shared" si="44"/>
        <v>0</v>
      </c>
    </row>
    <row r="140" spans="1:8" ht="15.6" x14ac:dyDescent="0.3">
      <c r="A140" s="453" t="s">
        <v>87</v>
      </c>
      <c r="B140" s="21" t="s">
        <v>85</v>
      </c>
      <c r="C140" s="4" t="s">
        <v>3</v>
      </c>
      <c r="D140" s="30">
        <f>Balaka!M140</f>
        <v>194</v>
      </c>
      <c r="E140" s="30">
        <f>Liwonde!M140</f>
        <v>342</v>
      </c>
      <c r="F140" s="30">
        <f>Machinga!M140</f>
        <v>0</v>
      </c>
      <c r="G140" s="30">
        <f>Ntaja!M140</f>
        <v>0</v>
      </c>
      <c r="H140" s="31">
        <f>SUM(D140:G140)</f>
        <v>536</v>
      </c>
    </row>
    <row r="141" spans="1:8" ht="15.6" x14ac:dyDescent="0.3">
      <c r="A141" s="493"/>
      <c r="B141" s="21" t="s">
        <v>84</v>
      </c>
      <c r="C141" s="4" t="s">
        <v>3</v>
      </c>
      <c r="D141" s="22">
        <f>Balaka!M141+Balaka!N141+Balaka!O141</f>
        <v>121</v>
      </c>
      <c r="E141" s="22">
        <f>Liwonde!M141+Liwonde!N141+Liwonde!O141</f>
        <v>0</v>
      </c>
      <c r="F141" s="22">
        <f>Machinga!M141+Machinga!N141+Machinga!O141</f>
        <v>0</v>
      </c>
      <c r="G141" s="22">
        <f>Ntaja!M141+Ntaja!N141+Ntaja!O141</f>
        <v>0</v>
      </c>
      <c r="H141" s="31">
        <f>SUM(D141:G141)</f>
        <v>121</v>
      </c>
    </row>
    <row r="142" spans="1:8" ht="15.6" x14ac:dyDescent="0.3">
      <c r="A142" s="493"/>
      <c r="B142" s="21" t="s">
        <v>83</v>
      </c>
      <c r="C142" s="4" t="s">
        <v>3</v>
      </c>
      <c r="D142" s="22">
        <f>Balaka!M142+Balaka!N142+Balaka!O142</f>
        <v>5</v>
      </c>
      <c r="E142" s="22">
        <f>Liwonde!M142+Liwonde!N142+Liwonde!O142</f>
        <v>0</v>
      </c>
      <c r="F142" s="22">
        <f>Machinga!M142+Machinga!N142+Machinga!O142</f>
        <v>0</v>
      </c>
      <c r="G142" s="22">
        <f>Ntaja!M142+Ntaja!N142+Ntaja!O142</f>
        <v>0</v>
      </c>
      <c r="H142" s="31">
        <f>SUM(D142:G142)</f>
        <v>5</v>
      </c>
    </row>
    <row r="143" spans="1:8" ht="15.6" x14ac:dyDescent="0.3">
      <c r="A143" s="493"/>
      <c r="B143" s="21" t="s">
        <v>82</v>
      </c>
      <c r="C143" s="4" t="s">
        <v>3</v>
      </c>
      <c r="D143" s="22">
        <f>Balaka!M143+Balaka!N143+Balaka!O143</f>
        <v>3</v>
      </c>
      <c r="E143" s="22">
        <f>Liwonde!M143+Liwonde!N143+Liwonde!O143</f>
        <v>0</v>
      </c>
      <c r="F143" s="22">
        <f>Machinga!M143+Machinga!N143+Machinga!O143</f>
        <v>0</v>
      </c>
      <c r="G143" s="22">
        <f>Ntaja!M143+Ntaja!N143+Ntaja!O143</f>
        <v>0</v>
      </c>
      <c r="H143" s="31">
        <f>SUM(D143:G143)</f>
        <v>3</v>
      </c>
    </row>
    <row r="144" spans="1:8" ht="15.6" x14ac:dyDescent="0.3">
      <c r="A144" s="454"/>
      <c r="B144" s="21" t="s">
        <v>81</v>
      </c>
      <c r="C144" s="4" t="s">
        <v>3</v>
      </c>
      <c r="D144" s="123">
        <f t="shared" ref="D144:H144" si="45">D140+D141-D142-D143</f>
        <v>307</v>
      </c>
      <c r="E144" s="123">
        <f t="shared" si="45"/>
        <v>342</v>
      </c>
      <c r="F144" s="123">
        <f t="shared" si="45"/>
        <v>0</v>
      </c>
      <c r="G144" s="123">
        <f t="shared" si="45"/>
        <v>0</v>
      </c>
      <c r="H144" s="31">
        <f t="shared" si="45"/>
        <v>649</v>
      </c>
    </row>
    <row r="145" spans="1:8" ht="15.6" x14ac:dyDescent="0.3">
      <c r="A145" s="453" t="s">
        <v>86</v>
      </c>
      <c r="B145" s="21" t="s">
        <v>85</v>
      </c>
      <c r="C145" s="4" t="s">
        <v>3</v>
      </c>
      <c r="D145" s="122">
        <f t="shared" ref="D145:G148" si="46">D125+D130+D135+D140</f>
        <v>194</v>
      </c>
      <c r="E145" s="122">
        <f t="shared" si="46"/>
        <v>342</v>
      </c>
      <c r="F145" s="122">
        <f t="shared" si="46"/>
        <v>0</v>
      </c>
      <c r="G145" s="122">
        <f t="shared" si="46"/>
        <v>0</v>
      </c>
      <c r="H145" s="98">
        <f t="shared" ref="H145:H149" si="47">H125+H130+H135+H140</f>
        <v>536</v>
      </c>
    </row>
    <row r="146" spans="1:8" ht="15.6" x14ac:dyDescent="0.3">
      <c r="A146" s="493"/>
      <c r="B146" s="21" t="s">
        <v>84</v>
      </c>
      <c r="C146" s="4" t="s">
        <v>3</v>
      </c>
      <c r="D146" s="122">
        <f t="shared" si="46"/>
        <v>121</v>
      </c>
      <c r="E146" s="122">
        <f t="shared" si="46"/>
        <v>0</v>
      </c>
      <c r="F146" s="122">
        <f t="shared" si="46"/>
        <v>0</v>
      </c>
      <c r="G146" s="122">
        <f t="shared" si="46"/>
        <v>0</v>
      </c>
      <c r="H146" s="98">
        <f t="shared" si="47"/>
        <v>121</v>
      </c>
    </row>
    <row r="147" spans="1:8" ht="15.6" x14ac:dyDescent="0.3">
      <c r="A147" s="493"/>
      <c r="B147" s="21" t="s">
        <v>83</v>
      </c>
      <c r="C147" s="4" t="s">
        <v>3</v>
      </c>
      <c r="D147" s="122">
        <f t="shared" si="46"/>
        <v>5</v>
      </c>
      <c r="E147" s="122">
        <f t="shared" si="46"/>
        <v>0</v>
      </c>
      <c r="F147" s="122">
        <f t="shared" si="46"/>
        <v>0</v>
      </c>
      <c r="G147" s="122">
        <f t="shared" si="46"/>
        <v>0</v>
      </c>
      <c r="H147" s="98">
        <f t="shared" si="47"/>
        <v>5</v>
      </c>
    </row>
    <row r="148" spans="1:8" ht="15.6" x14ac:dyDescent="0.3">
      <c r="A148" s="493"/>
      <c r="B148" s="21" t="s">
        <v>82</v>
      </c>
      <c r="C148" s="4" t="s">
        <v>3</v>
      </c>
      <c r="D148" s="122">
        <f t="shared" si="46"/>
        <v>3</v>
      </c>
      <c r="E148" s="122">
        <f t="shared" si="46"/>
        <v>0</v>
      </c>
      <c r="F148" s="122">
        <f t="shared" si="46"/>
        <v>0</v>
      </c>
      <c r="G148" s="122">
        <f t="shared" si="46"/>
        <v>0</v>
      </c>
      <c r="H148" s="98">
        <f t="shared" si="47"/>
        <v>3</v>
      </c>
    </row>
    <row r="149" spans="1:8" ht="15.6" x14ac:dyDescent="0.3">
      <c r="A149" s="454"/>
      <c r="B149" s="21" t="s">
        <v>81</v>
      </c>
      <c r="C149" s="4" t="s">
        <v>3</v>
      </c>
      <c r="D149" s="123">
        <f t="shared" ref="D149:G149" si="48">D145+D146-D147-D148</f>
        <v>307</v>
      </c>
      <c r="E149" s="124">
        <f t="shared" si="48"/>
        <v>342</v>
      </c>
      <c r="F149" s="124">
        <f t="shared" si="48"/>
        <v>0</v>
      </c>
      <c r="G149" s="123">
        <f t="shared" si="48"/>
        <v>0</v>
      </c>
      <c r="H149" s="98">
        <f t="shared" si="47"/>
        <v>649</v>
      </c>
    </row>
    <row r="150" spans="1:8" x14ac:dyDescent="0.3">
      <c r="A150" s="441" t="s">
        <v>80</v>
      </c>
      <c r="B150" s="442"/>
      <c r="C150" s="442"/>
      <c r="D150" s="442"/>
      <c r="E150" s="442"/>
      <c r="F150" s="442"/>
      <c r="G150" s="442"/>
      <c r="H150" s="444"/>
    </row>
    <row r="151" spans="1:8" ht="15.6" customHeight="1" x14ac:dyDescent="0.3">
      <c r="A151" s="506" t="s">
        <v>79</v>
      </c>
      <c r="B151" s="507"/>
      <c r="C151" s="507"/>
      <c r="D151" s="507"/>
      <c r="E151" s="507"/>
      <c r="F151" s="507"/>
      <c r="G151" s="507"/>
      <c r="H151" s="508"/>
    </row>
    <row r="152" spans="1:8" ht="15.6" x14ac:dyDescent="0.3">
      <c r="A152" s="496" t="s">
        <v>78</v>
      </c>
      <c r="B152" s="80" t="s">
        <v>63</v>
      </c>
      <c r="C152" s="4"/>
      <c r="D152" s="13"/>
      <c r="E152" s="13"/>
      <c r="F152" s="13"/>
      <c r="G152" s="13"/>
      <c r="H152" s="8"/>
    </row>
    <row r="153" spans="1:8" ht="15.6" x14ac:dyDescent="0.3">
      <c r="A153" s="497"/>
      <c r="B153" s="17" t="s">
        <v>73</v>
      </c>
      <c r="C153" s="4" t="s">
        <v>57</v>
      </c>
      <c r="D153" s="22">
        <f>Balaka!M153+Balaka!N153+Balaka!O153</f>
        <v>252</v>
      </c>
      <c r="E153" s="22">
        <f>Liwonde!M153+Liwonde!N153+Liwonde!O153</f>
        <v>183</v>
      </c>
      <c r="F153" s="22">
        <f>Machinga!M153+Machinga!N153+Machinga!O153</f>
        <v>39</v>
      </c>
      <c r="G153" s="22">
        <f>Ntaja!M153+Ntaja!N153+Ntaja!O153</f>
        <v>169</v>
      </c>
      <c r="H153" s="16">
        <f t="shared" ref="H153:H165" si="49">SUM(D153:G153)</f>
        <v>643</v>
      </c>
    </row>
    <row r="154" spans="1:8" ht="15.6" x14ac:dyDescent="0.3">
      <c r="A154" s="497"/>
      <c r="B154" s="17" t="s">
        <v>72</v>
      </c>
      <c r="C154" s="4" t="s">
        <v>57</v>
      </c>
      <c r="D154" s="22">
        <f>Balaka!M154+Balaka!N154+Balaka!O154</f>
        <v>148</v>
      </c>
      <c r="E154" s="22">
        <f>Liwonde!M154+Liwonde!N154+Liwonde!O154</f>
        <v>73</v>
      </c>
      <c r="F154" s="22">
        <f>Machinga!M154+Machinga!N154+Machinga!O154</f>
        <v>24</v>
      </c>
      <c r="G154" s="22">
        <f>Ntaja!M154+Ntaja!N154+Ntaja!O154</f>
        <v>23</v>
      </c>
      <c r="H154" s="16">
        <f t="shared" si="49"/>
        <v>268</v>
      </c>
    </row>
    <row r="155" spans="1:8" ht="15.6" x14ac:dyDescent="0.3">
      <c r="A155" s="497"/>
      <c r="B155" s="17" t="s">
        <v>53</v>
      </c>
      <c r="C155" s="4" t="s">
        <v>57</v>
      </c>
      <c r="D155" s="22">
        <f>Balaka!M155+Balaka!N155+Balaka!O155</f>
        <v>59</v>
      </c>
      <c r="E155" s="22">
        <f>Liwonde!M155+Liwonde!N155+Liwonde!O155</f>
        <v>34</v>
      </c>
      <c r="F155" s="22">
        <f>Machinga!M155+Machinga!N155+Machinga!O155</f>
        <v>21</v>
      </c>
      <c r="G155" s="22">
        <f>Ntaja!M155+Ntaja!N155+Ntaja!O155</f>
        <v>10</v>
      </c>
      <c r="H155" s="16">
        <f t="shared" si="49"/>
        <v>124</v>
      </c>
    </row>
    <row r="156" spans="1:8" ht="15.6" x14ac:dyDescent="0.3">
      <c r="A156" s="497"/>
      <c r="B156" s="17" t="s">
        <v>71</v>
      </c>
      <c r="C156" s="4" t="s">
        <v>57</v>
      </c>
      <c r="D156" s="22">
        <f>Balaka!M156+Balaka!N156+Balaka!O156</f>
        <v>10</v>
      </c>
      <c r="E156" s="22">
        <f>Liwonde!M156+Liwonde!N156+Liwonde!O156</f>
        <v>14</v>
      </c>
      <c r="F156" s="22">
        <f>Machinga!M156+Machinga!N156+Machinga!O156</f>
        <v>9</v>
      </c>
      <c r="G156" s="22">
        <f>Ntaja!M156+Ntaja!N156+Ntaja!O156</f>
        <v>6</v>
      </c>
      <c r="H156" s="16">
        <f t="shared" si="49"/>
        <v>39</v>
      </c>
    </row>
    <row r="157" spans="1:8" ht="15.6" x14ac:dyDescent="0.3">
      <c r="A157" s="497"/>
      <c r="B157" s="17" t="s">
        <v>52</v>
      </c>
      <c r="C157" s="4" t="s">
        <v>57</v>
      </c>
      <c r="D157" s="22">
        <f>Balaka!M157+Balaka!N157+Balaka!O157</f>
        <v>17</v>
      </c>
      <c r="E157" s="22">
        <f>Liwonde!M157+Liwonde!N157+Liwonde!O157</f>
        <v>17</v>
      </c>
      <c r="F157" s="22">
        <f>Machinga!M157+Machinga!N157+Machinga!O157</f>
        <v>9</v>
      </c>
      <c r="G157" s="22">
        <f>Ntaja!M157+Ntaja!N157+Ntaja!O157</f>
        <v>7</v>
      </c>
      <c r="H157" s="16">
        <f t="shared" si="49"/>
        <v>50</v>
      </c>
    </row>
    <row r="158" spans="1:8" ht="15.6" x14ac:dyDescent="0.3">
      <c r="A158" s="497"/>
      <c r="B158" s="17" t="s">
        <v>51</v>
      </c>
      <c r="C158" s="4" t="s">
        <v>57</v>
      </c>
      <c r="D158" s="22">
        <f>Balaka!M158+Balaka!N158+Balaka!O158</f>
        <v>11</v>
      </c>
      <c r="E158" s="22">
        <f>Liwonde!M158+Liwonde!N158+Liwonde!O158</f>
        <v>12</v>
      </c>
      <c r="F158" s="22">
        <f>Machinga!M158+Machinga!N158+Machinga!O158</f>
        <v>9</v>
      </c>
      <c r="G158" s="22">
        <f>Ntaja!M158+Ntaja!N158+Ntaja!O158</f>
        <v>0</v>
      </c>
      <c r="H158" s="16">
        <f t="shared" si="49"/>
        <v>32</v>
      </c>
    </row>
    <row r="159" spans="1:8" ht="15.6" x14ac:dyDescent="0.3">
      <c r="A159" s="497"/>
      <c r="B159" s="17" t="s">
        <v>62</v>
      </c>
      <c r="C159" s="4" t="s">
        <v>57</v>
      </c>
      <c r="D159" s="22">
        <f>Balaka!M159+Balaka!N159+Balaka!O159</f>
        <v>0</v>
      </c>
      <c r="E159" s="22">
        <f>Liwonde!M159+Liwonde!N159+Liwonde!O159</f>
        <v>0</v>
      </c>
      <c r="F159" s="22">
        <f>Machinga!M159+Machinga!N159+Machinga!O159</f>
        <v>0</v>
      </c>
      <c r="G159" s="22">
        <f>Ntaja!M159+Ntaja!N159+Ntaja!O159</f>
        <v>0</v>
      </c>
      <c r="H159" s="16">
        <f t="shared" si="49"/>
        <v>0</v>
      </c>
    </row>
    <row r="160" spans="1:8" ht="15.6" x14ac:dyDescent="0.3">
      <c r="A160" s="497"/>
      <c r="B160" s="17" t="s">
        <v>50</v>
      </c>
      <c r="C160" s="4" t="s">
        <v>57</v>
      </c>
      <c r="D160" s="22">
        <f>Balaka!M160+Balaka!N160+Balaka!O160</f>
        <v>0</v>
      </c>
      <c r="E160" s="22">
        <f>Liwonde!M160+Liwonde!N160+Liwonde!O160</f>
        <v>4</v>
      </c>
      <c r="F160" s="22">
        <f>Machinga!M160+Machinga!N160+Machinga!O160</f>
        <v>3</v>
      </c>
      <c r="G160" s="22">
        <f>Ntaja!M160+Ntaja!N160+Ntaja!O160</f>
        <v>2</v>
      </c>
      <c r="H160" s="16">
        <f t="shared" si="49"/>
        <v>9</v>
      </c>
    </row>
    <row r="161" spans="1:8" ht="15.6" x14ac:dyDescent="0.3">
      <c r="A161" s="497"/>
      <c r="B161" s="17" t="s">
        <v>49</v>
      </c>
      <c r="C161" s="4" t="s">
        <v>57</v>
      </c>
      <c r="D161" s="22">
        <f>Balaka!M161+Balaka!N161+Balaka!O161</f>
        <v>2</v>
      </c>
      <c r="E161" s="22">
        <f>Liwonde!M161+Liwonde!N161+Liwonde!O161</f>
        <v>13</v>
      </c>
      <c r="F161" s="22">
        <f>Machinga!M161+Machinga!N161+Machinga!O161</f>
        <v>3</v>
      </c>
      <c r="G161" s="22">
        <f>Ntaja!M161+Ntaja!N161+Ntaja!O161</f>
        <v>0</v>
      </c>
      <c r="H161" s="16">
        <f t="shared" si="49"/>
        <v>18</v>
      </c>
    </row>
    <row r="162" spans="1:8" ht="15.6" x14ac:dyDescent="0.3">
      <c r="A162" s="497"/>
      <c r="B162" s="17" t="s">
        <v>77</v>
      </c>
      <c r="C162" s="4" t="s">
        <v>57</v>
      </c>
      <c r="D162" s="22">
        <f>Balaka!M162+Balaka!N162+Balaka!O162</f>
        <v>0</v>
      </c>
      <c r="E162" s="22">
        <f>Liwonde!M162+Liwonde!N162+Liwonde!O162</f>
        <v>3</v>
      </c>
      <c r="F162" s="22">
        <f>Machinga!M162+Machinga!N162+Machinga!O162</f>
        <v>0</v>
      </c>
      <c r="G162" s="22">
        <f>Ntaja!M162+Ntaja!N162+Ntaja!O162</f>
        <v>0</v>
      </c>
      <c r="H162" s="16">
        <f t="shared" si="49"/>
        <v>3</v>
      </c>
    </row>
    <row r="163" spans="1:8" ht="15.6" x14ac:dyDescent="0.3">
      <c r="A163" s="497"/>
      <c r="B163" s="17" t="s">
        <v>69</v>
      </c>
      <c r="C163" s="4" t="s">
        <v>57</v>
      </c>
      <c r="D163" s="22">
        <f>Balaka!M163+Balaka!N163+Balaka!O163</f>
        <v>2</v>
      </c>
      <c r="E163" s="22">
        <f>Liwonde!M163+Liwonde!N163+Liwonde!O163</f>
        <v>0</v>
      </c>
      <c r="F163" s="22">
        <f>Machinga!M163+Machinga!N163+Machinga!O163</f>
        <v>0</v>
      </c>
      <c r="G163" s="22">
        <f>Ntaja!M163+Ntaja!N163+Ntaja!O163</f>
        <v>0</v>
      </c>
      <c r="H163" s="16">
        <f t="shared" si="49"/>
        <v>2</v>
      </c>
    </row>
    <row r="164" spans="1:8" ht="15.6" x14ac:dyDescent="0.3">
      <c r="A164" s="497"/>
      <c r="B164" s="17" t="s">
        <v>68</v>
      </c>
      <c r="C164" s="4" t="s">
        <v>57</v>
      </c>
      <c r="D164" s="22">
        <f>Balaka!M164+Balaka!N164+Balaka!O164</f>
        <v>0</v>
      </c>
      <c r="E164" s="22">
        <f>Liwonde!M164+Liwonde!N164+Liwonde!O164</f>
        <v>0</v>
      </c>
      <c r="F164" s="22">
        <f>Machinga!M164+Machinga!N164+Machinga!O164</f>
        <v>0</v>
      </c>
      <c r="G164" s="22">
        <f>Ntaja!M164+Ntaja!N164+Ntaja!O164</f>
        <v>0</v>
      </c>
      <c r="H164" s="16">
        <f t="shared" si="49"/>
        <v>0</v>
      </c>
    </row>
    <row r="165" spans="1:8" ht="15.6" x14ac:dyDescent="0.3">
      <c r="A165" s="498"/>
      <c r="B165" s="17" t="s">
        <v>76</v>
      </c>
      <c r="C165" s="4" t="s">
        <v>57</v>
      </c>
      <c r="D165" s="22">
        <f>Balaka!M165+Balaka!N165+Balaka!O165</f>
        <v>0</v>
      </c>
      <c r="E165" s="22">
        <f>Liwonde!M165+Liwonde!N165+Liwonde!O165</f>
        <v>0</v>
      </c>
      <c r="F165" s="22">
        <f>Machinga!M165+Machinga!N165+Machinga!O165</f>
        <v>0</v>
      </c>
      <c r="G165" s="22">
        <f>Ntaja!M165+Ntaja!N165+Ntaja!O165</f>
        <v>0</v>
      </c>
      <c r="H165" s="16">
        <f t="shared" si="49"/>
        <v>0</v>
      </c>
    </row>
    <row r="166" spans="1:8" ht="15.6" x14ac:dyDescent="0.3">
      <c r="A166" s="496" t="s">
        <v>75</v>
      </c>
      <c r="B166" s="19" t="s">
        <v>63</v>
      </c>
      <c r="C166" s="4"/>
      <c r="D166" s="3"/>
      <c r="E166" s="3"/>
      <c r="F166" s="3"/>
      <c r="G166" s="3"/>
      <c r="H166" s="16"/>
    </row>
    <row r="167" spans="1:8" ht="15.6" x14ac:dyDescent="0.3">
      <c r="A167" s="497"/>
      <c r="B167" s="17" t="s">
        <v>74</v>
      </c>
      <c r="C167" s="4" t="s">
        <v>57</v>
      </c>
      <c r="D167" s="22">
        <f>Balaka!M167+Balaka!N167+Balaka!O167</f>
        <v>0</v>
      </c>
      <c r="E167" s="22">
        <f>Liwonde!M167+Liwonde!N167+Liwonde!O167</f>
        <v>0</v>
      </c>
      <c r="F167" s="22">
        <f>Machinga!M167+Machinga!N167+Machinga!O167</f>
        <v>4</v>
      </c>
      <c r="G167" s="22">
        <f>Ntaja!M167+Ntaja!N167+Ntaja!O167</f>
        <v>0</v>
      </c>
      <c r="H167" s="16">
        <f t="shared" ref="H167:H175" si="50">SUM(D167:G167)</f>
        <v>4</v>
      </c>
    </row>
    <row r="168" spans="1:8" ht="15.6" x14ac:dyDescent="0.3">
      <c r="A168" s="497"/>
      <c r="B168" s="17" t="s">
        <v>73</v>
      </c>
      <c r="C168" s="4" t="s">
        <v>57</v>
      </c>
      <c r="D168" s="22">
        <f>Balaka!M168+Balaka!N168+Balaka!O168</f>
        <v>0</v>
      </c>
      <c r="E168" s="22">
        <f>Liwonde!M168+Liwonde!N168+Liwonde!O168</f>
        <v>0</v>
      </c>
      <c r="F168" s="22">
        <f>Machinga!M168+Machinga!N168+Machinga!O168</f>
        <v>3</v>
      </c>
      <c r="G168" s="22">
        <f>Ntaja!M168+Ntaja!N168+Ntaja!O168</f>
        <v>0</v>
      </c>
      <c r="H168" s="16">
        <f t="shared" si="50"/>
        <v>3</v>
      </c>
    </row>
    <row r="169" spans="1:8" ht="15.6" x14ac:dyDescent="0.3">
      <c r="A169" s="497"/>
      <c r="B169" s="17" t="s">
        <v>72</v>
      </c>
      <c r="C169" s="4" t="s">
        <v>57</v>
      </c>
      <c r="D169" s="22">
        <f>Balaka!M169+Balaka!N169+Balaka!O169</f>
        <v>0</v>
      </c>
      <c r="E169" s="22">
        <f>Liwonde!M169+Liwonde!N169+Liwonde!O169</f>
        <v>0</v>
      </c>
      <c r="F169" s="22">
        <f>Machinga!M169+Machinga!N169+Machinga!O169</f>
        <v>0</v>
      </c>
      <c r="G169" s="22">
        <f>Ntaja!M169+Ntaja!N169+Ntaja!O169</f>
        <v>0</v>
      </c>
      <c r="H169" s="16">
        <f t="shared" si="50"/>
        <v>0</v>
      </c>
    </row>
    <row r="170" spans="1:8" ht="15.6" x14ac:dyDescent="0.3">
      <c r="A170" s="497"/>
      <c r="B170" s="17" t="s">
        <v>71</v>
      </c>
      <c r="C170" s="4" t="s">
        <v>57</v>
      </c>
      <c r="D170" s="22">
        <f>Balaka!M170+Balaka!N170+Balaka!O170</f>
        <v>0</v>
      </c>
      <c r="E170" s="22">
        <f>Liwonde!M170+Liwonde!N170+Liwonde!O170</f>
        <v>0</v>
      </c>
      <c r="F170" s="22">
        <f>Machinga!M170+Machinga!N170+Machinga!O170</f>
        <v>0</v>
      </c>
      <c r="G170" s="22">
        <f>Ntaja!M170+Ntaja!N170+Ntaja!O170</f>
        <v>0</v>
      </c>
      <c r="H170" s="16">
        <f t="shared" si="50"/>
        <v>0</v>
      </c>
    </row>
    <row r="171" spans="1:8" ht="15.6" x14ac:dyDescent="0.3">
      <c r="A171" s="497"/>
      <c r="B171" s="17" t="s">
        <v>52</v>
      </c>
      <c r="C171" s="4" t="s">
        <v>57</v>
      </c>
      <c r="D171" s="22">
        <f>Balaka!M171+Balaka!N171+Balaka!O171</f>
        <v>0</v>
      </c>
      <c r="E171" s="22">
        <f>Liwonde!M171+Liwonde!N171+Liwonde!O171</f>
        <v>0</v>
      </c>
      <c r="F171" s="22">
        <f>Machinga!M171+Machinga!N171+Machinga!O171</f>
        <v>2</v>
      </c>
      <c r="G171" s="22">
        <f>Ntaja!M171+Ntaja!N171+Ntaja!O171</f>
        <v>0</v>
      </c>
      <c r="H171" s="16">
        <f t="shared" si="50"/>
        <v>2</v>
      </c>
    </row>
    <row r="172" spans="1:8" ht="15.6" x14ac:dyDescent="0.3">
      <c r="A172" s="497"/>
      <c r="B172" s="17" t="s">
        <v>62</v>
      </c>
      <c r="C172" s="4" t="s">
        <v>57</v>
      </c>
      <c r="D172" s="22">
        <f>Balaka!M172+Balaka!N172+Balaka!O172</f>
        <v>0</v>
      </c>
      <c r="E172" s="22">
        <f>Liwonde!M172+Liwonde!N172+Liwonde!O172</f>
        <v>0</v>
      </c>
      <c r="F172" s="22">
        <f>Machinga!M172+Machinga!N172+Machinga!O172</f>
        <v>0</v>
      </c>
      <c r="G172" s="22">
        <f>Ntaja!M172+Ntaja!N172+Ntaja!O172</f>
        <v>0</v>
      </c>
      <c r="H172" s="16">
        <f t="shared" si="50"/>
        <v>0</v>
      </c>
    </row>
    <row r="173" spans="1:8" ht="15.6" x14ac:dyDescent="0.3">
      <c r="A173" s="497"/>
      <c r="B173" s="17" t="s">
        <v>61</v>
      </c>
      <c r="C173" s="4" t="s">
        <v>57</v>
      </c>
      <c r="D173" s="22">
        <f>Balaka!M173+Balaka!N173+Balaka!O173</f>
        <v>0</v>
      </c>
      <c r="E173" s="22">
        <f>Liwonde!M173+Liwonde!N173+Liwonde!O173</f>
        <v>0</v>
      </c>
      <c r="F173" s="22">
        <f>Machinga!M173+Machinga!N173+Machinga!O173</f>
        <v>0</v>
      </c>
      <c r="G173" s="22">
        <f>Ntaja!M173+Ntaja!N173+Ntaja!O173</f>
        <v>0</v>
      </c>
      <c r="H173" s="16">
        <f t="shared" si="50"/>
        <v>0</v>
      </c>
    </row>
    <row r="174" spans="1:8" ht="15.6" x14ac:dyDescent="0.3">
      <c r="A174" s="497"/>
      <c r="B174" s="17" t="s">
        <v>60</v>
      </c>
      <c r="C174" s="4" t="s">
        <v>57</v>
      </c>
      <c r="D174" s="22">
        <f>Balaka!M174+Balaka!N174+Balaka!O174</f>
        <v>0</v>
      </c>
      <c r="E174" s="22">
        <f>Liwonde!M174+Liwonde!N174+Liwonde!O174</f>
        <v>0</v>
      </c>
      <c r="F174" s="22">
        <f>Machinga!M174+Machinga!N174+Machinga!O174</f>
        <v>0</v>
      </c>
      <c r="G174" s="22">
        <f>Ntaja!M174+Ntaja!N174+Ntaja!O174</f>
        <v>0</v>
      </c>
      <c r="H174" s="16">
        <f t="shared" si="50"/>
        <v>0</v>
      </c>
    </row>
    <row r="175" spans="1:8" ht="15.6" x14ac:dyDescent="0.3">
      <c r="A175" s="498"/>
      <c r="B175" s="17" t="s">
        <v>69</v>
      </c>
      <c r="C175" s="4" t="s">
        <v>57</v>
      </c>
      <c r="D175" s="22">
        <f>Balaka!M175+Balaka!N175+Balaka!O175</f>
        <v>0</v>
      </c>
      <c r="E175" s="22">
        <f>Liwonde!M175+Liwonde!N175+Liwonde!O175</f>
        <v>0</v>
      </c>
      <c r="F175" s="22">
        <f>Machinga!M175+Machinga!N175+Machinga!O175</f>
        <v>0</v>
      </c>
      <c r="G175" s="22">
        <f>Ntaja!M175+Ntaja!N175+Ntaja!O175</f>
        <v>0</v>
      </c>
      <c r="H175" s="16">
        <f t="shared" si="50"/>
        <v>0</v>
      </c>
    </row>
    <row r="176" spans="1:8" ht="15.6" x14ac:dyDescent="0.3">
      <c r="A176" s="496" t="s">
        <v>70</v>
      </c>
      <c r="B176" s="19" t="s">
        <v>63</v>
      </c>
      <c r="C176" s="4"/>
      <c r="D176" s="3"/>
      <c r="E176" s="3"/>
      <c r="F176" s="3"/>
      <c r="G176" s="3"/>
      <c r="H176" s="16"/>
    </row>
    <row r="177" spans="1:8" ht="15.6" x14ac:dyDescent="0.3">
      <c r="A177" s="497"/>
      <c r="B177" s="17" t="s">
        <v>60</v>
      </c>
      <c r="C177" s="4" t="s">
        <v>57</v>
      </c>
      <c r="D177" s="22">
        <f>Balaka!M177+Balaka!N177+Balaka!O177</f>
        <v>0</v>
      </c>
      <c r="E177" s="22">
        <f>Liwonde!M177+Liwonde!N177+Liwonde!O177</f>
        <v>0</v>
      </c>
      <c r="F177" s="22">
        <f>Machinga!M177+Machinga!N177+Machinga!O177</f>
        <v>0</v>
      </c>
      <c r="G177" s="22">
        <f>Ntaja!M177+Ntaja!N177+Ntaja!O177</f>
        <v>0</v>
      </c>
      <c r="H177" s="16">
        <f t="shared" ref="H177:H182" si="51">SUM(D177:G177)</f>
        <v>0</v>
      </c>
    </row>
    <row r="178" spans="1:8" ht="15.6" x14ac:dyDescent="0.3">
      <c r="A178" s="497"/>
      <c r="B178" s="17" t="s">
        <v>69</v>
      </c>
      <c r="C178" s="4" t="s">
        <v>57</v>
      </c>
      <c r="D178" s="22">
        <f>Balaka!M178+Balaka!N178+Balaka!O178</f>
        <v>0</v>
      </c>
      <c r="E178" s="22">
        <f>Liwonde!M178+Liwonde!N178+Liwonde!O178</f>
        <v>0</v>
      </c>
      <c r="F178" s="22">
        <f>Machinga!M178+Machinga!N178+Machinga!O178</f>
        <v>0</v>
      </c>
      <c r="G178" s="22">
        <f>Ntaja!M178+Ntaja!N178+Ntaja!O178</f>
        <v>0</v>
      </c>
      <c r="H178" s="16">
        <f t="shared" si="51"/>
        <v>0</v>
      </c>
    </row>
    <row r="179" spans="1:8" ht="15.6" x14ac:dyDescent="0.3">
      <c r="A179" s="497"/>
      <c r="B179" s="17" t="s">
        <v>68</v>
      </c>
      <c r="C179" s="4" t="s">
        <v>57</v>
      </c>
      <c r="D179" s="22">
        <f>Balaka!M179+Balaka!N179+Balaka!O179</f>
        <v>0</v>
      </c>
      <c r="E179" s="22">
        <f>Liwonde!M179+Liwonde!N179+Liwonde!O179</f>
        <v>0</v>
      </c>
      <c r="F179" s="22">
        <f>Machinga!M179+Machinga!N179+Machinga!O179</f>
        <v>0</v>
      </c>
      <c r="G179" s="22">
        <f>Ntaja!M179+Ntaja!N179+Ntaja!O179</f>
        <v>0</v>
      </c>
      <c r="H179" s="16">
        <f t="shared" si="51"/>
        <v>0</v>
      </c>
    </row>
    <row r="180" spans="1:8" ht="15.6" x14ac:dyDescent="0.3">
      <c r="A180" s="497"/>
      <c r="B180" s="17" t="s">
        <v>67</v>
      </c>
      <c r="C180" s="4" t="s">
        <v>57</v>
      </c>
      <c r="D180" s="22">
        <f>Balaka!M180+Balaka!N180+Balaka!O180</f>
        <v>0</v>
      </c>
      <c r="E180" s="22">
        <f>Liwonde!M180+Liwonde!N180+Liwonde!O180</f>
        <v>0</v>
      </c>
      <c r="F180" s="22">
        <f>Machinga!M180+Machinga!N180+Machinga!O180</f>
        <v>0</v>
      </c>
      <c r="G180" s="22">
        <f>Ntaja!M180+Ntaja!N180+Ntaja!O180</f>
        <v>0</v>
      </c>
      <c r="H180" s="16">
        <f t="shared" si="51"/>
        <v>0</v>
      </c>
    </row>
    <row r="181" spans="1:8" ht="15.6" x14ac:dyDescent="0.3">
      <c r="A181" s="497"/>
      <c r="B181" s="17" t="s">
        <v>66</v>
      </c>
      <c r="C181" s="4" t="s">
        <v>57</v>
      </c>
      <c r="D181" s="22">
        <f>Balaka!M181+Balaka!N181+Balaka!O181</f>
        <v>0</v>
      </c>
      <c r="E181" s="22">
        <f>Liwonde!M181+Liwonde!N181+Liwonde!O181</f>
        <v>0</v>
      </c>
      <c r="F181" s="22">
        <f>Machinga!M181+Machinga!N181+Machinga!O181</f>
        <v>0</v>
      </c>
      <c r="G181" s="22">
        <f>Ntaja!M181+Ntaja!N181+Ntaja!O181</f>
        <v>0</v>
      </c>
      <c r="H181" s="16">
        <f t="shared" si="51"/>
        <v>0</v>
      </c>
    </row>
    <row r="182" spans="1:8" ht="15.6" x14ac:dyDescent="0.3">
      <c r="A182" s="498"/>
      <c r="B182" s="17" t="s">
        <v>65</v>
      </c>
      <c r="C182" s="4" t="s">
        <v>57</v>
      </c>
      <c r="D182" s="22">
        <f>Balaka!M182+Balaka!N182+Balaka!O182</f>
        <v>0</v>
      </c>
      <c r="E182" s="22">
        <f>Liwonde!M182+Liwonde!N182+Liwonde!O182</f>
        <v>0</v>
      </c>
      <c r="F182" s="22">
        <f>Machinga!M182+Machinga!N182+Machinga!O182</f>
        <v>0</v>
      </c>
      <c r="G182" s="22">
        <f>Ntaja!M182+Ntaja!N182+Ntaja!O182</f>
        <v>0</v>
      </c>
      <c r="H182" s="16">
        <f t="shared" si="51"/>
        <v>0</v>
      </c>
    </row>
    <row r="183" spans="1:8" ht="15.6" x14ac:dyDescent="0.3">
      <c r="A183" s="496" t="s">
        <v>211</v>
      </c>
      <c r="B183" s="19" t="s">
        <v>63</v>
      </c>
      <c r="C183" s="4"/>
      <c r="D183" s="3"/>
      <c r="E183" s="3"/>
      <c r="F183" s="3"/>
      <c r="G183" s="3"/>
      <c r="H183" s="16"/>
    </row>
    <row r="184" spans="1:8" ht="15.6" x14ac:dyDescent="0.3">
      <c r="A184" s="497"/>
      <c r="B184" s="17" t="s">
        <v>73</v>
      </c>
      <c r="C184" s="4"/>
      <c r="D184" s="22">
        <f>Balaka!M184+Balaka!N184+Balaka!O184</f>
        <v>0</v>
      </c>
      <c r="E184" s="22">
        <f>Liwonde!M184+Liwonde!N184+Liwonde!O184</f>
        <v>0</v>
      </c>
      <c r="F184" s="22">
        <f>Machinga!M184+Machinga!N184+Machinga!O184</f>
        <v>0</v>
      </c>
      <c r="G184" s="22">
        <f>Ntaja!M184+Ntaja!N184+Ntaja!O184</f>
        <v>0</v>
      </c>
      <c r="H184" s="16">
        <f>SUM(D184:G184)</f>
        <v>0</v>
      </c>
    </row>
    <row r="185" spans="1:8" ht="15.6" x14ac:dyDescent="0.3">
      <c r="A185" s="497"/>
      <c r="B185" s="17" t="s">
        <v>72</v>
      </c>
      <c r="C185" s="4"/>
      <c r="D185" s="22">
        <f>Balaka!M185+Balaka!N185+Balaka!O185</f>
        <v>0</v>
      </c>
      <c r="E185" s="22">
        <f>Liwonde!M185+Liwonde!N185+Liwonde!O185</f>
        <v>0</v>
      </c>
      <c r="F185" s="22">
        <f>Machinga!M185+Machinga!N185+Machinga!O185</f>
        <v>0</v>
      </c>
      <c r="G185" s="22">
        <f>Ntaja!M185+Ntaja!N185+Ntaja!O185</f>
        <v>0</v>
      </c>
      <c r="H185" s="16">
        <f>SUM(D185:G185)</f>
        <v>0</v>
      </c>
    </row>
    <row r="186" spans="1:8" ht="15.6" x14ac:dyDescent="0.3">
      <c r="A186" s="497"/>
      <c r="B186" s="17" t="s">
        <v>53</v>
      </c>
      <c r="C186" s="4"/>
      <c r="D186" s="22">
        <f>Balaka!M186+Balaka!N186+Balaka!O186</f>
        <v>0</v>
      </c>
      <c r="E186" s="22">
        <f>Liwonde!M186+Liwonde!N186+Liwonde!O186</f>
        <v>0</v>
      </c>
      <c r="F186" s="22">
        <f>Machinga!M186+Machinga!N186+Machinga!O186</f>
        <v>0</v>
      </c>
      <c r="G186" s="22">
        <f>Ntaja!M186+Ntaja!N186+Ntaja!O186</f>
        <v>0</v>
      </c>
      <c r="H186" s="16">
        <f>SUM(D186:G186)</f>
        <v>0</v>
      </c>
    </row>
    <row r="187" spans="1:8" ht="15.6" x14ac:dyDescent="0.3">
      <c r="A187" s="498"/>
      <c r="B187" s="17" t="s">
        <v>52</v>
      </c>
      <c r="C187" s="4"/>
      <c r="D187" s="22">
        <f>Balaka!M187+Balaka!N187+Balaka!O187</f>
        <v>0</v>
      </c>
      <c r="E187" s="22">
        <f>Liwonde!M187+Liwonde!N187+Liwonde!O187</f>
        <v>0</v>
      </c>
      <c r="F187" s="22">
        <f>Machinga!M187+Machinga!N187+Machinga!O187</f>
        <v>0</v>
      </c>
      <c r="G187" s="22">
        <f>Ntaja!M187+Ntaja!N187+Ntaja!O187</f>
        <v>0</v>
      </c>
      <c r="H187" s="16">
        <f>SUM(D187:G187)</f>
        <v>0</v>
      </c>
    </row>
    <row r="188" spans="1:8" ht="15.6" x14ac:dyDescent="0.3">
      <c r="A188" s="496" t="s">
        <v>64</v>
      </c>
      <c r="B188" s="19" t="s">
        <v>63</v>
      </c>
      <c r="C188" s="4"/>
      <c r="D188" s="3"/>
      <c r="E188" s="3"/>
      <c r="F188" s="3"/>
      <c r="G188" s="3"/>
      <c r="H188" s="16"/>
    </row>
    <row r="189" spans="1:8" ht="15.6" x14ac:dyDescent="0.3">
      <c r="A189" s="497"/>
      <c r="B189" s="18" t="s">
        <v>52</v>
      </c>
      <c r="C189" s="4" t="s">
        <v>57</v>
      </c>
      <c r="D189" s="3"/>
      <c r="E189" s="3"/>
      <c r="F189" s="3"/>
      <c r="G189" s="3"/>
      <c r="H189" s="16">
        <f>SUM(D189:G189)</f>
        <v>0</v>
      </c>
    </row>
    <row r="190" spans="1:8" ht="15.6" x14ac:dyDescent="0.3">
      <c r="A190" s="497"/>
      <c r="B190" s="17" t="s">
        <v>62</v>
      </c>
      <c r="C190" s="4" t="s">
        <v>57</v>
      </c>
      <c r="D190" s="3"/>
      <c r="E190" s="3"/>
      <c r="F190" s="3"/>
      <c r="G190" s="3"/>
      <c r="H190" s="16">
        <f>SUM(D190:G190)</f>
        <v>0</v>
      </c>
    </row>
    <row r="191" spans="1:8" ht="15.6" x14ac:dyDescent="0.3">
      <c r="A191" s="497"/>
      <c r="B191" s="17" t="s">
        <v>61</v>
      </c>
      <c r="C191" s="4" t="s">
        <v>57</v>
      </c>
      <c r="D191" s="3"/>
      <c r="E191" s="3"/>
      <c r="F191" s="3"/>
      <c r="G191" s="3"/>
      <c r="H191" s="16">
        <f>SUM(D191:G191)</f>
        <v>0</v>
      </c>
    </row>
    <row r="192" spans="1:8" ht="15.6" x14ac:dyDescent="0.3">
      <c r="A192" s="498"/>
      <c r="B192" s="17" t="s">
        <v>60</v>
      </c>
      <c r="C192" s="4" t="s">
        <v>57</v>
      </c>
      <c r="D192" s="3"/>
      <c r="E192" s="3"/>
      <c r="F192" s="3"/>
      <c r="G192" s="3"/>
      <c r="H192" s="16">
        <f>SUM(D192:G192)</f>
        <v>0</v>
      </c>
    </row>
    <row r="193" spans="1:8" ht="15.6" x14ac:dyDescent="0.3">
      <c r="A193" s="499" t="s">
        <v>59</v>
      </c>
      <c r="B193" s="500"/>
      <c r="C193" s="4"/>
      <c r="D193" s="9">
        <f>SUM(D153:D192)</f>
        <v>501</v>
      </c>
      <c r="E193" s="9">
        <f t="shared" ref="E193:H193" si="52">SUM(E153:E192)</f>
        <v>353</v>
      </c>
      <c r="F193" s="9">
        <f t="shared" si="52"/>
        <v>126</v>
      </c>
      <c r="G193" s="9">
        <f t="shared" si="52"/>
        <v>217</v>
      </c>
      <c r="H193" s="91">
        <f t="shared" si="52"/>
        <v>1197</v>
      </c>
    </row>
    <row r="194" spans="1:8" ht="15.6" x14ac:dyDescent="0.3">
      <c r="A194" s="501" t="s">
        <v>58</v>
      </c>
      <c r="B194" s="502"/>
      <c r="C194" s="4" t="s">
        <v>57</v>
      </c>
      <c r="D194" s="22">
        <f>Balaka!M194+Balaka!N194+Balaka!O194</f>
        <v>0</v>
      </c>
      <c r="E194" s="22">
        <f>Liwonde!M194+Liwonde!N194+Liwonde!O194</f>
        <v>0</v>
      </c>
      <c r="F194" s="22">
        <f>Machinga!M194+Machinga!N194+Machinga!O194</f>
        <v>3</v>
      </c>
      <c r="G194" s="22">
        <f>Ntaja!M194+Ntaja!N194+Ntaja!O194</f>
        <v>2</v>
      </c>
      <c r="H194" s="8">
        <f>SUM(D194:G194)</f>
        <v>5</v>
      </c>
    </row>
    <row r="195" spans="1:8" ht="15.6" x14ac:dyDescent="0.3">
      <c r="A195" s="503"/>
      <c r="B195" s="504"/>
      <c r="C195" s="14" t="s">
        <v>55</v>
      </c>
      <c r="D195" s="22">
        <f>Balaka!M195+Balaka!N195+Balaka!O195</f>
        <v>0</v>
      </c>
      <c r="E195" s="22">
        <f>Liwonde!M195+Liwonde!N195+Liwonde!O195</f>
        <v>69</v>
      </c>
      <c r="F195" s="22">
        <f>Machinga!M195+Machinga!N195+Machinga!O195</f>
        <v>0</v>
      </c>
      <c r="G195" s="22">
        <f>Ntaja!M195+Ntaja!N195+Ntaja!O195</f>
        <v>1320</v>
      </c>
      <c r="H195" s="8">
        <f>SUM(D195:G195)</f>
        <v>1389</v>
      </c>
    </row>
    <row r="196" spans="1:8" ht="15.6" x14ac:dyDescent="0.3">
      <c r="A196" s="74" t="s">
        <v>204</v>
      </c>
      <c r="B196" s="75"/>
      <c r="C196" s="14" t="s">
        <v>55</v>
      </c>
      <c r="D196" s="22">
        <f>Balaka!M196+Balaka!N196+Balaka!O196</f>
        <v>1488</v>
      </c>
      <c r="E196" s="22">
        <f>Liwonde!M196+Liwonde!N196+Liwonde!O196</f>
        <v>2096</v>
      </c>
      <c r="F196" s="22">
        <f>Machinga!M196+Machinga!N196+Machinga!O196</f>
        <v>0</v>
      </c>
      <c r="G196" s="22">
        <f>Ntaja!M196+Ntaja!N196+Ntaja!O196</f>
        <v>2160</v>
      </c>
      <c r="H196" s="8"/>
    </row>
    <row r="197" spans="1:8" ht="15.6" x14ac:dyDescent="0.3">
      <c r="A197" s="447" t="s">
        <v>56</v>
      </c>
      <c r="B197" s="448"/>
      <c r="C197" s="14" t="s">
        <v>55</v>
      </c>
      <c r="D197" s="22">
        <f>Balaka!M197+Balaka!N197+Balaka!O197</f>
        <v>168</v>
      </c>
      <c r="E197" s="22">
        <f>Liwonde!M197+Liwonde!N197+Liwonde!O197</f>
        <v>52</v>
      </c>
      <c r="F197" s="22">
        <f>Machinga!M197+Machinga!N197+Machinga!O197</f>
        <v>322</v>
      </c>
      <c r="G197" s="22">
        <f>Ntaja!M197+Ntaja!N197+Ntaja!O197</f>
        <v>271</v>
      </c>
      <c r="H197" s="8">
        <f>SUM(D197:G197)</f>
        <v>813</v>
      </c>
    </row>
    <row r="198" spans="1:8" x14ac:dyDescent="0.3">
      <c r="A198" s="441" t="s">
        <v>205</v>
      </c>
      <c r="B198" s="442"/>
      <c r="C198" s="442"/>
      <c r="D198" s="442"/>
      <c r="E198" s="442"/>
      <c r="F198" s="442"/>
      <c r="G198" s="442"/>
      <c r="H198" s="444"/>
    </row>
    <row r="199" spans="1:8" ht="15.6" x14ac:dyDescent="0.3">
      <c r="A199" s="501" t="s">
        <v>54</v>
      </c>
      <c r="B199" s="68" t="s">
        <v>53</v>
      </c>
      <c r="C199" s="4" t="s">
        <v>47</v>
      </c>
      <c r="D199" s="22">
        <f>Balaka!M199+Balaka!N199+Balaka!O199</f>
        <v>390</v>
      </c>
      <c r="E199" s="22">
        <f>Liwonde!M199+Liwonde!N199+Liwonde!O199</f>
        <v>30</v>
      </c>
      <c r="F199" s="22">
        <f>Machinga!M199+Machinga!N199+Machinga!O199</f>
        <v>0</v>
      </c>
      <c r="G199" s="22">
        <f>Ntaja!M199+Ntaja!N199+Ntaja!O199</f>
        <v>0</v>
      </c>
      <c r="H199" s="8">
        <f t="shared" ref="H199:H204" si="53">SUM(D199:G199)</f>
        <v>420</v>
      </c>
    </row>
    <row r="200" spans="1:8" ht="15.6" x14ac:dyDescent="0.3">
      <c r="A200" s="505"/>
      <c r="B200" s="68" t="s">
        <v>52</v>
      </c>
      <c r="C200" s="4" t="s">
        <v>47</v>
      </c>
      <c r="D200" s="22">
        <f>Balaka!M200+Balaka!N200+Balaka!O200</f>
        <v>728</v>
      </c>
      <c r="E200" s="22">
        <f>Liwonde!M200+Liwonde!N200+Liwonde!O200</f>
        <v>0</v>
      </c>
      <c r="F200" s="22">
        <f>Machinga!M200+Machinga!N200+Machinga!O200</f>
        <v>0</v>
      </c>
      <c r="G200" s="22">
        <f>Ntaja!M200+Ntaja!N200+Ntaja!O200</f>
        <v>0</v>
      </c>
      <c r="H200" s="8">
        <f t="shared" si="53"/>
        <v>728</v>
      </c>
    </row>
    <row r="201" spans="1:8" ht="15.6" x14ac:dyDescent="0.3">
      <c r="A201" s="505"/>
      <c r="B201" s="68" t="s">
        <v>51</v>
      </c>
      <c r="C201" s="4" t="s">
        <v>47</v>
      </c>
      <c r="D201" s="22">
        <f>Balaka!M201+Balaka!N201+Balaka!O201</f>
        <v>0</v>
      </c>
      <c r="E201" s="22">
        <f>Liwonde!M201+Liwonde!N201+Liwonde!O201</f>
        <v>122</v>
      </c>
      <c r="F201" s="22">
        <f>Machinga!M201+Machinga!N201+Machinga!O201</f>
        <v>0</v>
      </c>
      <c r="G201" s="22">
        <f>Ntaja!M201+Ntaja!N201+Ntaja!O201</f>
        <v>0</v>
      </c>
      <c r="H201" s="8">
        <f t="shared" si="53"/>
        <v>122</v>
      </c>
    </row>
    <row r="202" spans="1:8" ht="15.6" x14ac:dyDescent="0.3">
      <c r="A202" s="505"/>
      <c r="B202" s="68" t="s">
        <v>50</v>
      </c>
      <c r="C202" s="4" t="s">
        <v>47</v>
      </c>
      <c r="D202" s="22">
        <f>Balaka!M202+Balaka!N202+Balaka!O202</f>
        <v>90</v>
      </c>
      <c r="E202" s="22">
        <f>Liwonde!M202+Liwonde!N202+Liwonde!O202</f>
        <v>360</v>
      </c>
      <c r="F202" s="22">
        <f>Machinga!M202+Machinga!N202+Machinga!O202</f>
        <v>0</v>
      </c>
      <c r="G202" s="22">
        <f>Ntaja!M202+Ntaja!N202+Ntaja!O202</f>
        <v>0</v>
      </c>
      <c r="H202" s="8">
        <f t="shared" si="53"/>
        <v>450</v>
      </c>
    </row>
    <row r="203" spans="1:8" ht="15.6" x14ac:dyDescent="0.3">
      <c r="A203" s="503"/>
      <c r="B203" s="68" t="s">
        <v>49</v>
      </c>
      <c r="C203" s="4" t="s">
        <v>47</v>
      </c>
      <c r="D203" s="22">
        <f>Balaka!M203+Balaka!N203+Balaka!O203</f>
        <v>150</v>
      </c>
      <c r="E203" s="22">
        <f>Liwonde!M203+Liwonde!N203+Liwonde!O203</f>
        <v>340</v>
      </c>
      <c r="F203" s="22">
        <f>Machinga!M203+Machinga!N203+Machinga!O203</f>
        <v>0</v>
      </c>
      <c r="G203" s="22">
        <f>Ntaja!M203+Ntaja!N203+Ntaja!O203</f>
        <v>0</v>
      </c>
      <c r="H203" s="8">
        <f t="shared" si="53"/>
        <v>490</v>
      </c>
    </row>
    <row r="204" spans="1:8" ht="15.6" x14ac:dyDescent="0.3">
      <c r="A204" s="72" t="s">
        <v>48</v>
      </c>
      <c r="B204" s="68"/>
      <c r="C204" s="4" t="s">
        <v>47</v>
      </c>
      <c r="D204" s="13">
        <f t="shared" ref="D204:G204" si="54">SUM(D199:D203)</f>
        <v>1358</v>
      </c>
      <c r="E204" s="13">
        <f t="shared" si="54"/>
        <v>852</v>
      </c>
      <c r="F204" s="13">
        <f t="shared" si="54"/>
        <v>0</v>
      </c>
      <c r="G204" s="13">
        <f t="shared" si="54"/>
        <v>0</v>
      </c>
      <c r="H204" s="99">
        <f t="shared" si="53"/>
        <v>2210</v>
      </c>
    </row>
    <row r="205" spans="1:8" x14ac:dyDescent="0.3">
      <c r="A205" s="441" t="s">
        <v>46</v>
      </c>
      <c r="B205" s="442"/>
      <c r="C205" s="442"/>
      <c r="D205" s="442"/>
      <c r="E205" s="442"/>
      <c r="F205" s="442"/>
      <c r="G205" s="442"/>
      <c r="H205" s="444"/>
    </row>
    <row r="206" spans="1:8" ht="15.6" x14ac:dyDescent="0.3">
      <c r="A206" s="447" t="s">
        <v>43</v>
      </c>
      <c r="B206" s="448"/>
      <c r="C206" s="4" t="s">
        <v>31</v>
      </c>
      <c r="D206" s="13">
        <f>Balaka!M206+Balaka!N206+Balaka!O206</f>
        <v>65209536.049999997</v>
      </c>
      <c r="E206" s="13">
        <f>Liwonde!M206+Liwonde!N206+Liwonde!O206</f>
        <v>79812134.030000001</v>
      </c>
      <c r="F206" s="13">
        <f>Machinga!M206+Machinga!N206+Machinga!O206</f>
        <v>0</v>
      </c>
      <c r="G206" s="13">
        <f>Ntaja!M206+Ntaja!N206+Ntaja!O206</f>
        <v>0</v>
      </c>
      <c r="H206" s="8">
        <f>SUM(D206:G206)</f>
        <v>145021670.07999998</v>
      </c>
    </row>
    <row r="207" spans="1:8" ht="15.6" x14ac:dyDescent="0.3">
      <c r="A207" s="447" t="s">
        <v>42</v>
      </c>
      <c r="B207" s="448"/>
      <c r="C207" s="4" t="s">
        <v>31</v>
      </c>
      <c r="D207" s="13">
        <f>Balaka!M207+Balaka!N207+Balaka!O207</f>
        <v>351100</v>
      </c>
      <c r="E207" s="13">
        <f>Liwonde!M207+Liwonde!N207+Liwonde!O207</f>
        <v>336099</v>
      </c>
      <c r="F207" s="13">
        <f>Machinga!M207+Machinga!N207+Machinga!O207</f>
        <v>0</v>
      </c>
      <c r="G207" s="13">
        <f>Ntaja!M207+Ntaja!N207+Ntaja!O207</f>
        <v>0</v>
      </c>
      <c r="H207" s="8">
        <f>SUM(D207:G207)</f>
        <v>687199</v>
      </c>
    </row>
    <row r="208" spans="1:8" ht="15.6" x14ac:dyDescent="0.3">
      <c r="A208" s="445" t="s">
        <v>41</v>
      </c>
      <c r="B208" s="446"/>
      <c r="C208" s="4" t="s">
        <v>31</v>
      </c>
      <c r="D208" s="13">
        <f>Balaka!M208+Balaka!N208+Balaka!O208</f>
        <v>108700</v>
      </c>
      <c r="E208" s="13">
        <f>Liwonde!M208+Liwonde!N208+Liwonde!O208</f>
        <v>2698360</v>
      </c>
      <c r="F208" s="13">
        <f>Machinga!M208+Machinga!N208+Machinga!O208</f>
        <v>0</v>
      </c>
      <c r="G208" s="13">
        <f>Ntaja!M208+Ntaja!N208+Ntaja!O208</f>
        <v>0</v>
      </c>
      <c r="H208" s="8">
        <f>SUM(D208:G208)</f>
        <v>2807060</v>
      </c>
    </row>
    <row r="209" spans="1:8" ht="15.6" x14ac:dyDescent="0.3">
      <c r="A209" s="447" t="s">
        <v>40</v>
      </c>
      <c r="B209" s="448"/>
      <c r="C209" s="4" t="s">
        <v>31</v>
      </c>
      <c r="D209" s="13">
        <f>Balaka!M209+Balaka!N209+Balaka!O209</f>
        <v>689734.44</v>
      </c>
      <c r="E209" s="13">
        <f>Liwonde!M209+Liwonde!N209+Liwonde!O209</f>
        <v>3472633.48</v>
      </c>
      <c r="F209" s="13">
        <f>Machinga!M209+Machinga!N209+Machinga!O209</f>
        <v>0</v>
      </c>
      <c r="G209" s="13">
        <f>Ntaja!M209+Ntaja!N209+Ntaja!O209</f>
        <v>0</v>
      </c>
      <c r="H209" s="8">
        <f>SUM(D209:G209)</f>
        <v>4162367.92</v>
      </c>
    </row>
    <row r="210" spans="1:8" ht="15.6" x14ac:dyDescent="0.3">
      <c r="A210" s="509" t="s">
        <v>45</v>
      </c>
      <c r="B210" s="510"/>
      <c r="C210" s="4" t="s">
        <v>31</v>
      </c>
      <c r="D210" s="9">
        <f t="shared" ref="D210:G210" si="55">SUM(D206:D209)</f>
        <v>66359070.489999995</v>
      </c>
      <c r="E210" s="9">
        <f t="shared" si="55"/>
        <v>86319226.510000005</v>
      </c>
      <c r="F210" s="9">
        <f t="shared" si="55"/>
        <v>0</v>
      </c>
      <c r="G210" s="9">
        <f t="shared" si="55"/>
        <v>0</v>
      </c>
      <c r="H210" s="8">
        <f>SUM(D210:G210)</f>
        <v>152678297</v>
      </c>
    </row>
    <row r="211" spans="1:8" x14ac:dyDescent="0.3">
      <c r="A211" s="441" t="s">
        <v>44</v>
      </c>
      <c r="B211" s="442"/>
      <c r="C211" s="442"/>
      <c r="D211" s="442"/>
      <c r="E211" s="442"/>
      <c r="F211" s="442"/>
      <c r="G211" s="442"/>
      <c r="H211" s="444"/>
    </row>
    <row r="212" spans="1:8" ht="15.6" x14ac:dyDescent="0.3">
      <c r="A212" s="447" t="s">
        <v>43</v>
      </c>
      <c r="B212" s="448"/>
      <c r="C212" s="4" t="s">
        <v>31</v>
      </c>
      <c r="D212" s="13">
        <f>Balaka!M212+Balaka!N212+Balaka!O212</f>
        <v>55550612.760000005</v>
      </c>
      <c r="E212" s="13">
        <f>Liwonde!M212+Liwonde!N212+Liwonde!O212</f>
        <v>65102444.939999998</v>
      </c>
      <c r="F212" s="13">
        <f>Machinga!M212+Machinga!N212+Machinga!O212</f>
        <v>5678216</v>
      </c>
      <c r="G212" s="13">
        <f>Ntaja!M212+Ntaja!N212+Ntaja!O212</f>
        <v>9440388.8000000007</v>
      </c>
      <c r="H212" s="8">
        <f>SUM(D212:G212)</f>
        <v>135771662.5</v>
      </c>
    </row>
    <row r="213" spans="1:8" ht="15.6" x14ac:dyDescent="0.3">
      <c r="A213" s="447" t="s">
        <v>42</v>
      </c>
      <c r="B213" s="448"/>
      <c r="C213" s="4" t="s">
        <v>31</v>
      </c>
      <c r="D213" s="13">
        <f>Balaka!M213+Balaka!N213+Balaka!O213</f>
        <v>186540</v>
      </c>
      <c r="E213" s="13">
        <f>Liwonde!M213+Liwonde!N213+Liwonde!O213</f>
        <v>19100</v>
      </c>
      <c r="F213" s="13">
        <f>Machinga!M213+Machinga!N213+Machinga!O213</f>
        <v>0</v>
      </c>
      <c r="G213" s="13">
        <f>Ntaja!M213+Ntaja!N213+Ntaja!O213</f>
        <v>48500</v>
      </c>
      <c r="H213" s="8">
        <f>SUM(D213:G213)</f>
        <v>254140</v>
      </c>
    </row>
    <row r="214" spans="1:8" ht="15.6" x14ac:dyDescent="0.3">
      <c r="A214" s="445" t="s">
        <v>41</v>
      </c>
      <c r="B214" s="446"/>
      <c r="C214" s="4" t="s">
        <v>31</v>
      </c>
      <c r="D214" s="13">
        <f>Balaka!M214+Balaka!N214+Balaka!O214</f>
        <v>9026640.2799999993</v>
      </c>
      <c r="E214" s="13">
        <f>Liwonde!M214+Liwonde!N214+Liwonde!O214</f>
        <v>31097252.789999999</v>
      </c>
      <c r="F214" s="13">
        <f>Machinga!M214+Machinga!N214+Machinga!O214</f>
        <v>645200</v>
      </c>
      <c r="G214" s="13">
        <f>Ntaja!M214+Ntaja!N214+Ntaja!O214</f>
        <v>568800</v>
      </c>
      <c r="H214" s="8">
        <f>SUM(D214:G214)</f>
        <v>41337893.07</v>
      </c>
    </row>
    <row r="215" spans="1:8" ht="15.6" x14ac:dyDescent="0.3">
      <c r="A215" s="447" t="s">
        <v>40</v>
      </c>
      <c r="B215" s="448"/>
      <c r="C215" s="4" t="s">
        <v>31</v>
      </c>
      <c r="D215" s="13">
        <f>Balaka!M215+Balaka!N215+Balaka!O215</f>
        <v>8184250.9299999997</v>
      </c>
      <c r="E215" s="13">
        <f>Liwonde!M215+Liwonde!N215+Liwonde!O215</f>
        <v>7240711.75</v>
      </c>
      <c r="F215" s="13">
        <f>Machinga!M215+Machinga!N215+Machinga!O215</f>
        <v>852700</v>
      </c>
      <c r="G215" s="13">
        <f>Ntaja!M215+Ntaja!N215+Ntaja!O215</f>
        <v>569100</v>
      </c>
      <c r="H215" s="8">
        <f>SUM(D215:G215)</f>
        <v>16846762.68</v>
      </c>
    </row>
    <row r="216" spans="1:8" ht="15.6" x14ac:dyDescent="0.3">
      <c r="A216" s="509" t="s">
        <v>39</v>
      </c>
      <c r="B216" s="510"/>
      <c r="C216" s="4" t="s">
        <v>31</v>
      </c>
      <c r="D216" s="9">
        <f t="shared" ref="D216:G216" si="56">SUM(D212:D215)</f>
        <v>72948043.969999999</v>
      </c>
      <c r="E216" s="9">
        <f t="shared" si="56"/>
        <v>103459509.47999999</v>
      </c>
      <c r="F216" s="9">
        <f t="shared" si="56"/>
        <v>7176116</v>
      </c>
      <c r="G216" s="9">
        <f t="shared" si="56"/>
        <v>10626788.800000001</v>
      </c>
      <c r="H216" s="8">
        <f>SUM(D216:G216)</f>
        <v>194210458.25</v>
      </c>
    </row>
    <row r="217" spans="1:8" ht="15.6" x14ac:dyDescent="0.3">
      <c r="A217" s="65" t="s">
        <v>38</v>
      </c>
      <c r="B217" s="66"/>
      <c r="C217" s="4" t="s">
        <v>31</v>
      </c>
      <c r="D217" s="9">
        <f>D210+D216</f>
        <v>139307114.45999998</v>
      </c>
      <c r="E217" s="9">
        <f t="shared" ref="E217:H217" si="57">E210+E216</f>
        <v>189778735.99000001</v>
      </c>
      <c r="F217" s="9">
        <f t="shared" si="57"/>
        <v>7176116</v>
      </c>
      <c r="G217" s="9">
        <f t="shared" si="57"/>
        <v>10626788.800000001</v>
      </c>
      <c r="H217" s="35">
        <f t="shared" si="57"/>
        <v>346888755.25</v>
      </c>
    </row>
    <row r="218" spans="1:8" x14ac:dyDescent="0.3">
      <c r="A218" s="441" t="s">
        <v>37</v>
      </c>
      <c r="B218" s="442"/>
      <c r="C218" s="442"/>
      <c r="D218" s="442"/>
      <c r="E218" s="442"/>
      <c r="F218" s="442"/>
      <c r="G218" s="442"/>
      <c r="H218" s="444"/>
    </row>
    <row r="219" spans="1:8" ht="15.6" x14ac:dyDescent="0.3">
      <c r="A219" s="447" t="s">
        <v>35</v>
      </c>
      <c r="B219" s="448"/>
      <c r="C219" s="4" t="s">
        <v>31</v>
      </c>
      <c r="D219" s="13">
        <f>Balaka!M219+Balaka!N219+Balaka!O219</f>
        <v>53890698.459999993</v>
      </c>
      <c r="E219" s="13">
        <f>Liwonde!M219+Liwonde!N219+Liwonde!O219</f>
        <v>66002580.379999995</v>
      </c>
      <c r="F219" s="13">
        <f>Machinga!M219+Machinga!N219+Machinga!O219</f>
        <v>216574.81</v>
      </c>
      <c r="G219" s="13">
        <f>Ntaja!M219+Ntaja!N219+Ntaja!O219</f>
        <v>2774376.31</v>
      </c>
      <c r="H219" s="8">
        <f>SUM(D219:G219)</f>
        <v>122884229.95999999</v>
      </c>
    </row>
    <row r="220" spans="1:8" ht="15.6" x14ac:dyDescent="0.3">
      <c r="A220" s="447" t="s">
        <v>34</v>
      </c>
      <c r="B220" s="448"/>
      <c r="C220" s="4" t="s">
        <v>31</v>
      </c>
      <c r="D220" s="13">
        <f>Balaka!M220+Balaka!N220+Balaka!O220</f>
        <v>290936.88</v>
      </c>
      <c r="E220" s="13">
        <f>Liwonde!M220+Liwonde!N220+Liwonde!O220</f>
        <v>261288.47999999998</v>
      </c>
      <c r="F220" s="13">
        <f>Machinga!M220+Machinga!N220+Machinga!O220</f>
        <v>0</v>
      </c>
      <c r="G220" s="13">
        <f>Ntaja!M220+Ntaja!N220+Ntaja!O220</f>
        <v>0</v>
      </c>
      <c r="H220" s="8">
        <f>SUM(D220:G220)</f>
        <v>552225.36</v>
      </c>
    </row>
    <row r="221" spans="1:8" ht="15.6" x14ac:dyDescent="0.3">
      <c r="A221" s="447" t="s">
        <v>33</v>
      </c>
      <c r="B221" s="448"/>
      <c r="C221" s="4" t="s">
        <v>31</v>
      </c>
      <c r="D221" s="13">
        <f>Balaka!M221+Balaka!N221+Balaka!O221</f>
        <v>638166.91</v>
      </c>
      <c r="E221" s="13">
        <f>Liwonde!M221+Liwonde!N221+Liwonde!O221</f>
        <v>3084760.98</v>
      </c>
      <c r="F221" s="13">
        <f>Machinga!M221+Machinga!N221+Machinga!O221</f>
        <v>62503.210000000006</v>
      </c>
      <c r="G221" s="13">
        <f>Ntaja!M221+Ntaja!N221+Ntaja!O221</f>
        <v>223421.98</v>
      </c>
      <c r="H221" s="8">
        <f>SUM(D221:G221)</f>
        <v>4008853.08</v>
      </c>
    </row>
    <row r="222" spans="1:8" ht="15.6" x14ac:dyDescent="0.3">
      <c r="A222" s="447" t="s">
        <v>32</v>
      </c>
      <c r="B222" s="448"/>
      <c r="C222" s="4" t="s">
        <v>31</v>
      </c>
      <c r="D222" s="13">
        <f>Balaka!M222+Balaka!N222+Balaka!O222</f>
        <v>74059.199999999997</v>
      </c>
      <c r="E222" s="13">
        <f>Liwonde!M222+Liwonde!N222+Liwonde!O222</f>
        <v>963276.04</v>
      </c>
      <c r="F222" s="13">
        <f>Machinga!M222+Machinga!N222+Machinga!O222</f>
        <v>0</v>
      </c>
      <c r="G222" s="13">
        <f>Ntaja!M222+Ntaja!N222+Ntaja!O222</f>
        <v>265500</v>
      </c>
      <c r="H222" s="8">
        <f>SUM(D222:G222)</f>
        <v>1302835.24</v>
      </c>
    </row>
    <row r="223" spans="1:8" ht="15.6" x14ac:dyDescent="0.3">
      <c r="A223" s="509" t="s">
        <v>36</v>
      </c>
      <c r="B223" s="510"/>
      <c r="C223" s="4" t="s">
        <v>31</v>
      </c>
      <c r="D223" s="10">
        <f t="shared" ref="D223:G223" si="58">SUM(D219:D222)</f>
        <v>54893861.449999996</v>
      </c>
      <c r="E223" s="9">
        <f t="shared" si="58"/>
        <v>70311905.879999995</v>
      </c>
      <c r="F223" s="9">
        <f t="shared" si="58"/>
        <v>279078.02</v>
      </c>
      <c r="G223" s="9">
        <f t="shared" si="58"/>
        <v>3263298.29</v>
      </c>
      <c r="H223" s="8">
        <f>SUM(D223:G223)</f>
        <v>128748143.63999999</v>
      </c>
    </row>
    <row r="224" spans="1:8" x14ac:dyDescent="0.3">
      <c r="A224" s="441" t="s">
        <v>213</v>
      </c>
      <c r="B224" s="442"/>
      <c r="C224" s="442"/>
      <c r="D224" s="442"/>
      <c r="E224" s="442"/>
      <c r="F224" s="442"/>
      <c r="G224" s="442"/>
      <c r="H224" s="444"/>
    </row>
    <row r="225" spans="1:8" ht="15.6" x14ac:dyDescent="0.3">
      <c r="A225" s="447" t="s">
        <v>35</v>
      </c>
      <c r="B225" s="448"/>
      <c r="C225" s="4" t="s">
        <v>31</v>
      </c>
      <c r="D225" s="13">
        <f>Balaka!M225+Balaka!N225+Balaka!O225</f>
        <v>49164783.480000056</v>
      </c>
      <c r="E225" s="13">
        <f>Liwonde!M225+Liwonde!N225+Liwonde!O225</f>
        <v>60111617.700000003</v>
      </c>
      <c r="F225" s="13">
        <f>Machinga!M225+Machinga!N225+Machinga!O225</f>
        <v>5323463.91</v>
      </c>
      <c r="G225" s="13">
        <f>Ntaja!M225+Ntaja!N225+Ntaja!O225</f>
        <v>9347382.0800000019</v>
      </c>
      <c r="H225" s="8">
        <f t="shared" ref="H225:H230" si="59">SUM(D225:G225)</f>
        <v>123947247.17000006</v>
      </c>
    </row>
    <row r="226" spans="1:8" ht="15.6" x14ac:dyDescent="0.3">
      <c r="A226" s="447" t="s">
        <v>34</v>
      </c>
      <c r="B226" s="448"/>
      <c r="C226" s="4" t="s">
        <v>31</v>
      </c>
      <c r="D226" s="13">
        <f>Balaka!M226+Balaka!N226+Balaka!O226</f>
        <v>132546</v>
      </c>
      <c r="E226" s="13">
        <f>Liwonde!M226+Liwonde!N226+Liwonde!O226</f>
        <v>7640</v>
      </c>
      <c r="F226" s="13">
        <f>Machinga!M226+Machinga!N226+Machinga!O226</f>
        <v>0</v>
      </c>
      <c r="G226" s="13">
        <f>Ntaja!M226+Ntaja!N226+Ntaja!O226</f>
        <v>48500</v>
      </c>
      <c r="H226" s="8">
        <f t="shared" si="59"/>
        <v>188686</v>
      </c>
    </row>
    <row r="227" spans="1:8" ht="15.6" x14ac:dyDescent="0.3">
      <c r="A227" s="447" t="s">
        <v>33</v>
      </c>
      <c r="B227" s="448"/>
      <c r="C227" s="4" t="s">
        <v>31</v>
      </c>
      <c r="D227" s="13">
        <f>Balaka!M227+Balaka!N227+Balaka!O227</f>
        <v>7735034.9100000001</v>
      </c>
      <c r="E227" s="13">
        <f>Liwonde!M227+Liwonde!N227+Liwonde!O227</f>
        <v>7084662.4500000002</v>
      </c>
      <c r="F227" s="13">
        <f>Machinga!M227+Machinga!N227+Machinga!O227</f>
        <v>694825.65</v>
      </c>
      <c r="G227" s="13">
        <f>Ntaja!M227+Ntaja!N227+Ntaja!O227</f>
        <v>568466.07999999996</v>
      </c>
      <c r="H227" s="8">
        <f t="shared" si="59"/>
        <v>16082989.09</v>
      </c>
    </row>
    <row r="228" spans="1:8" ht="15.6" x14ac:dyDescent="0.3">
      <c r="A228" s="447" t="s">
        <v>32</v>
      </c>
      <c r="B228" s="448"/>
      <c r="C228" s="4" t="s">
        <v>31</v>
      </c>
      <c r="D228" s="13">
        <f>Balaka!M228+Balaka!N228+Balaka!O228</f>
        <v>8918046.2200000007</v>
      </c>
      <c r="E228" s="13">
        <f>Liwonde!M228+Liwonde!N228+Liwonde!O228</f>
        <v>29725875.469999999</v>
      </c>
      <c r="F228" s="13">
        <f>Machinga!M228+Machinga!N228+Machinga!O228</f>
        <v>636200</v>
      </c>
      <c r="G228" s="13">
        <f>Ntaja!M228+Ntaja!N228+Ntaja!O228</f>
        <v>568800</v>
      </c>
      <c r="H228" s="8">
        <f t="shared" si="59"/>
        <v>39848921.689999998</v>
      </c>
    </row>
    <row r="229" spans="1:8" ht="15.6" x14ac:dyDescent="0.3">
      <c r="A229" s="509" t="s">
        <v>214</v>
      </c>
      <c r="B229" s="510"/>
      <c r="C229" s="4" t="s">
        <v>31</v>
      </c>
      <c r="D229" s="10">
        <f t="shared" ref="D229:G229" si="60">SUM(D225:D228)</f>
        <v>65950410.610000059</v>
      </c>
      <c r="E229" s="9">
        <f t="shared" si="60"/>
        <v>96929795.620000005</v>
      </c>
      <c r="F229" s="9">
        <f t="shared" si="60"/>
        <v>6654489.5600000005</v>
      </c>
      <c r="G229" s="9">
        <f t="shared" si="60"/>
        <v>10533148.160000002</v>
      </c>
      <c r="H229" s="8">
        <f t="shared" si="59"/>
        <v>180067843.95000008</v>
      </c>
    </row>
    <row r="230" spans="1:8" ht="15.6" x14ac:dyDescent="0.3">
      <c r="A230" s="65" t="s">
        <v>215</v>
      </c>
      <c r="B230" s="108"/>
      <c r="C230" s="4" t="s">
        <v>31</v>
      </c>
      <c r="D230" s="10">
        <f>D223+D229</f>
        <v>120844272.06000006</v>
      </c>
      <c r="E230" s="10">
        <f t="shared" ref="E230:G230" si="61">E223+E229</f>
        <v>167241701.5</v>
      </c>
      <c r="F230" s="10">
        <f t="shared" si="61"/>
        <v>6933567.5800000001</v>
      </c>
      <c r="G230" s="10">
        <f t="shared" si="61"/>
        <v>13796446.450000003</v>
      </c>
      <c r="H230" s="8">
        <f t="shared" si="59"/>
        <v>308815987.59000003</v>
      </c>
    </row>
    <row r="231" spans="1:8" x14ac:dyDescent="0.3">
      <c r="A231" s="441" t="s">
        <v>30</v>
      </c>
      <c r="B231" s="442"/>
      <c r="C231" s="442"/>
      <c r="D231" s="442"/>
      <c r="E231" s="442"/>
      <c r="F231" s="442"/>
      <c r="G231" s="442"/>
      <c r="H231" s="444"/>
    </row>
    <row r="232" spans="1:8" ht="15.6" x14ac:dyDescent="0.3">
      <c r="A232" s="447" t="s">
        <v>29</v>
      </c>
      <c r="B232" s="448"/>
      <c r="C232" s="4" t="s">
        <v>18</v>
      </c>
      <c r="D232" s="13">
        <f>Balaka!M232+Balaka!N232+Balaka!O232</f>
        <v>4707050.88</v>
      </c>
      <c r="E232" s="13">
        <f>Liwonde!M232+Liwonde!N232+Liwonde!O232</f>
        <v>4233995.68</v>
      </c>
      <c r="F232" s="13">
        <f>Machinga!M232+Machinga!N232+Machinga!O232</f>
        <v>14313.3</v>
      </c>
      <c r="G232" s="13">
        <f>Ntaja!M232+Ntaja!N232+Ntaja!O232</f>
        <v>3269.58</v>
      </c>
      <c r="H232" s="8">
        <f>SUM(D232:G232)</f>
        <v>8958629.4399999995</v>
      </c>
    </row>
    <row r="233" spans="1:8" ht="15.6" x14ac:dyDescent="0.3">
      <c r="A233" s="447" t="s">
        <v>28</v>
      </c>
      <c r="B233" s="448"/>
      <c r="C233" s="4" t="s">
        <v>18</v>
      </c>
      <c r="D233" s="13">
        <f>Balaka!M233+Balaka!N233+Balaka!O233</f>
        <v>5738.4</v>
      </c>
      <c r="E233" s="13">
        <f>Liwonde!M233+Liwonde!N233+Liwonde!O233</f>
        <v>6312.24</v>
      </c>
      <c r="F233" s="13">
        <f>Machinga!M233+Machinga!N233+Machinga!O233</f>
        <v>0</v>
      </c>
      <c r="G233" s="13">
        <f>Ntaja!M233+Ntaja!N233+Ntaja!O233</f>
        <v>0</v>
      </c>
      <c r="H233" s="8">
        <f>SUM(D233:G233)</f>
        <v>12050.64</v>
      </c>
    </row>
    <row r="234" spans="1:8" ht="15.6" x14ac:dyDescent="0.3">
      <c r="A234" s="447" t="s">
        <v>27</v>
      </c>
      <c r="B234" s="448"/>
      <c r="C234" s="4" t="s">
        <v>18</v>
      </c>
      <c r="D234" s="13">
        <f>Balaka!M234+Balaka!N234+Balaka!O234</f>
        <v>61085.520000000004</v>
      </c>
      <c r="E234" s="13">
        <f>Liwonde!M234+Liwonde!N234+Liwonde!O234</f>
        <v>91628.28</v>
      </c>
      <c r="F234" s="13">
        <f>Machinga!M234+Machinga!N234+Machinga!O234</f>
        <v>10180.92</v>
      </c>
      <c r="G234" s="13">
        <f>Ntaja!M234+Ntaja!N234+Ntaja!O234</f>
        <v>10180.92</v>
      </c>
      <c r="H234" s="8">
        <f>SUM(D234:G234)</f>
        <v>173075.64</v>
      </c>
    </row>
    <row r="235" spans="1:8" ht="15.6" x14ac:dyDescent="0.3">
      <c r="A235" s="447" t="s">
        <v>26</v>
      </c>
      <c r="B235" s="448"/>
      <c r="C235" s="4" t="s">
        <v>18</v>
      </c>
      <c r="D235" s="13">
        <f>Balaka!M235+Balaka!N235+Balaka!O235</f>
        <v>37098.720000000001</v>
      </c>
      <c r="E235" s="13">
        <f>Liwonde!M235+Liwonde!N235+Liwonde!O235</f>
        <v>83472.12</v>
      </c>
      <c r="F235" s="13">
        <f>Machinga!M235+Machinga!N235+Machinga!O235</f>
        <v>0</v>
      </c>
      <c r="G235" s="13">
        <f>Ntaja!M235+Ntaja!N235+Ntaja!O235</f>
        <v>0</v>
      </c>
      <c r="H235" s="8">
        <f>SUM(D235:G235)</f>
        <v>120570.84</v>
      </c>
    </row>
    <row r="236" spans="1:8" ht="15.6" x14ac:dyDescent="0.3">
      <c r="A236" s="509" t="s">
        <v>25</v>
      </c>
      <c r="B236" s="510"/>
      <c r="C236" s="4" t="s">
        <v>18</v>
      </c>
      <c r="D236" s="10">
        <f>SUM(D232:D235)</f>
        <v>4810973.5199999996</v>
      </c>
      <c r="E236" s="10">
        <f t="shared" ref="E236:G236" si="62">SUM(E232:E235)</f>
        <v>4415408.32</v>
      </c>
      <c r="F236" s="10">
        <f t="shared" si="62"/>
        <v>24494.22</v>
      </c>
      <c r="G236" s="10">
        <f t="shared" si="62"/>
        <v>13450.5</v>
      </c>
      <c r="H236" s="35">
        <f>SUM(H232:H235)</f>
        <v>9264326.5600000005</v>
      </c>
    </row>
    <row r="237" spans="1:8" x14ac:dyDescent="0.3">
      <c r="A237" s="441" t="s">
        <v>24</v>
      </c>
      <c r="B237" s="442"/>
      <c r="C237" s="442"/>
      <c r="D237" s="442"/>
      <c r="E237" s="442"/>
      <c r="F237" s="442"/>
      <c r="G237" s="442"/>
      <c r="H237" s="444"/>
    </row>
    <row r="238" spans="1:8" ht="15.6" x14ac:dyDescent="0.3">
      <c r="A238" s="447" t="s">
        <v>23</v>
      </c>
      <c r="B238" s="448"/>
      <c r="C238" s="4" t="s">
        <v>18</v>
      </c>
      <c r="D238" s="13">
        <f>Balaka!M238+Balaka!N238+Balaka!O238</f>
        <v>7803927</v>
      </c>
      <c r="E238" s="13">
        <f>Liwonde!M238+Liwonde!N238+Liwonde!O238</f>
        <v>7099350</v>
      </c>
      <c r="F238" s="13">
        <f>Machinga!M238+Machinga!N238+Machinga!O238</f>
        <v>25004</v>
      </c>
      <c r="G238" s="13">
        <f>Ntaja!M238+Ntaja!N238+Ntaja!O238</f>
        <v>5358</v>
      </c>
      <c r="H238" s="8">
        <f>SUM(D238:G238)</f>
        <v>14933639</v>
      </c>
    </row>
    <row r="239" spans="1:8" ht="15.6" x14ac:dyDescent="0.3">
      <c r="A239" s="447" t="s">
        <v>22</v>
      </c>
      <c r="B239" s="448"/>
      <c r="C239" s="4" t="s">
        <v>18</v>
      </c>
      <c r="D239" s="13">
        <f>Balaka!M239+Balaka!N239+Balaka!O239</f>
        <v>26790</v>
      </c>
      <c r="E239" s="13">
        <f>Liwonde!M239+Liwonde!N239+Liwonde!O239</f>
        <v>29469</v>
      </c>
      <c r="F239" s="13">
        <f>Machinga!M239+Machinga!N239+Machinga!O239</f>
        <v>0</v>
      </c>
      <c r="G239" s="13">
        <f>Ntaja!M239+Ntaja!N239+Ntaja!O239</f>
        <v>0</v>
      </c>
      <c r="H239" s="8">
        <f>SUM(D239:G239)</f>
        <v>56259</v>
      </c>
    </row>
    <row r="240" spans="1:8" ht="15.6" x14ac:dyDescent="0.3">
      <c r="A240" s="447" t="s">
        <v>21</v>
      </c>
      <c r="B240" s="448"/>
      <c r="C240" s="4" t="s">
        <v>18</v>
      </c>
      <c r="D240" s="13">
        <f>Balaka!M240+Balaka!N240+Balaka!O240</f>
        <v>16074</v>
      </c>
      <c r="E240" s="13">
        <f>Liwonde!M240+Liwonde!N240+Liwonde!O240</f>
        <v>24111</v>
      </c>
      <c r="F240" s="13">
        <f>Machinga!M240+Machinga!N240+Machinga!O240</f>
        <v>2679</v>
      </c>
      <c r="G240" s="13">
        <f>Ntaja!M240+Ntaja!N240+Ntaja!O240</f>
        <v>2679</v>
      </c>
      <c r="H240" s="8">
        <f>SUM(D240:G240)</f>
        <v>45543</v>
      </c>
    </row>
    <row r="241" spans="1:8" ht="15.6" x14ac:dyDescent="0.3">
      <c r="A241" s="447" t="s">
        <v>20</v>
      </c>
      <c r="B241" s="448"/>
      <c r="C241" s="4" t="s">
        <v>18</v>
      </c>
      <c r="D241" s="13">
        <f>Balaka!M241+Balaka!N241+Balaka!O241</f>
        <v>7144</v>
      </c>
      <c r="E241" s="13">
        <f>Liwonde!M241+Liwonde!N241+Liwonde!O241</f>
        <v>16074</v>
      </c>
      <c r="F241" s="13">
        <f>Machinga!M241+Machinga!N241+Machinga!O241</f>
        <v>0</v>
      </c>
      <c r="G241" s="13">
        <f>Ntaja!M241+Ntaja!N241+Ntaja!O241</f>
        <v>0</v>
      </c>
      <c r="H241" s="8">
        <f>SUM(D241:G241)</f>
        <v>23218</v>
      </c>
    </row>
    <row r="242" spans="1:8" ht="15.6" x14ac:dyDescent="0.3">
      <c r="A242" s="509" t="s">
        <v>19</v>
      </c>
      <c r="B242" s="510"/>
      <c r="C242" s="4" t="s">
        <v>18</v>
      </c>
      <c r="D242" s="10">
        <f t="shared" ref="D242:H242" si="63">SUM(D238:D241)</f>
        <v>7853935</v>
      </c>
      <c r="E242" s="10">
        <f t="shared" si="63"/>
        <v>7169004</v>
      </c>
      <c r="F242" s="10">
        <f t="shared" si="63"/>
        <v>27683</v>
      </c>
      <c r="G242" s="10">
        <f t="shared" si="63"/>
        <v>8037</v>
      </c>
      <c r="H242" s="35">
        <f t="shared" si="63"/>
        <v>15058659</v>
      </c>
    </row>
    <row r="243" spans="1:8" ht="15.6" x14ac:dyDescent="0.3">
      <c r="A243" s="509" t="s">
        <v>216</v>
      </c>
      <c r="B243" s="510"/>
      <c r="C243" s="4" t="s">
        <v>18</v>
      </c>
      <c r="D243" s="9">
        <f>D230+D236+D242</f>
        <v>133509180.58000006</v>
      </c>
      <c r="E243" s="9">
        <f t="shared" ref="E243:G243" si="64">E230+E236+E242</f>
        <v>178826113.81999999</v>
      </c>
      <c r="F243" s="9">
        <f t="shared" si="64"/>
        <v>6985744.7999999998</v>
      </c>
      <c r="G243" s="9">
        <f t="shared" si="64"/>
        <v>13817933.950000003</v>
      </c>
      <c r="H243" s="35">
        <f t="shared" ref="H243" si="65">H216+H223+H236+H242</f>
        <v>347281587.44999999</v>
      </c>
    </row>
    <row r="244" spans="1:8" x14ac:dyDescent="0.3">
      <c r="A244" s="441" t="s">
        <v>206</v>
      </c>
      <c r="B244" s="442"/>
      <c r="C244" s="442"/>
      <c r="D244" s="442"/>
      <c r="E244" s="442"/>
      <c r="F244" s="442"/>
      <c r="G244" s="442"/>
      <c r="H244" s="444"/>
    </row>
    <row r="245" spans="1:8" ht="15.6" x14ac:dyDescent="0.3">
      <c r="A245" s="513" t="s">
        <v>207</v>
      </c>
      <c r="B245" s="514"/>
      <c r="C245" s="4" t="s">
        <v>18</v>
      </c>
      <c r="D245" s="13">
        <f>Balaka!O245</f>
        <v>126418964.03</v>
      </c>
      <c r="E245" s="13">
        <f>Liwonde!O245</f>
        <v>103326660.39</v>
      </c>
      <c r="F245" s="13">
        <f>Machinga!O245</f>
        <v>11621972.09</v>
      </c>
      <c r="G245" s="13">
        <f>Ntaja!O245</f>
        <v>670270.15</v>
      </c>
      <c r="H245" s="35">
        <f>SUM(D245:G245)</f>
        <v>242037866.66000003</v>
      </c>
    </row>
    <row r="246" spans="1:8" ht="15.6" x14ac:dyDescent="0.3">
      <c r="A246" s="513" t="s">
        <v>208</v>
      </c>
      <c r="B246" s="514"/>
      <c r="C246" s="4" t="s">
        <v>18</v>
      </c>
      <c r="D246" s="13">
        <f>Balaka!O246</f>
        <v>1202893.75</v>
      </c>
      <c r="E246" s="13">
        <f>Liwonde!O246</f>
        <v>3135234.72</v>
      </c>
      <c r="F246" s="13">
        <f>Machinga!O246</f>
        <v>313246.89</v>
      </c>
      <c r="G246" s="13">
        <f>Ntaja!O246</f>
        <v>17475.82</v>
      </c>
      <c r="H246" s="35">
        <f>SUM(D246:G246)</f>
        <v>4668851.1800000006</v>
      </c>
    </row>
    <row r="247" spans="1:8" ht="15.6" x14ac:dyDescent="0.3">
      <c r="A247" s="515" t="s">
        <v>209</v>
      </c>
      <c r="B247" s="516"/>
      <c r="C247" s="4" t="s">
        <v>18</v>
      </c>
      <c r="D247" s="126">
        <f>D245+D246</f>
        <v>127621857.78</v>
      </c>
      <c r="E247" s="126">
        <f t="shared" ref="E247:H247" si="66">E245+E246</f>
        <v>106461895.11</v>
      </c>
      <c r="F247" s="126">
        <f t="shared" si="66"/>
        <v>11935218.98</v>
      </c>
      <c r="G247" s="126">
        <f t="shared" si="66"/>
        <v>687745.97</v>
      </c>
      <c r="H247" s="141">
        <f t="shared" si="66"/>
        <v>246706717.84000003</v>
      </c>
    </row>
    <row r="248" spans="1:8" x14ac:dyDescent="0.3">
      <c r="A248" s="441" t="s">
        <v>17</v>
      </c>
      <c r="B248" s="442"/>
      <c r="C248" s="442"/>
      <c r="D248" s="442"/>
      <c r="E248" s="442"/>
      <c r="F248" s="442"/>
      <c r="G248" s="442"/>
      <c r="H248" s="444"/>
    </row>
    <row r="249" spans="1:8" ht="15.6" x14ac:dyDescent="0.3">
      <c r="A249" s="447" t="s">
        <v>16</v>
      </c>
      <c r="B249" s="448"/>
      <c r="C249" s="4" t="s">
        <v>6</v>
      </c>
      <c r="D249" s="7">
        <f>D58/D243%</f>
        <v>66.659246698149374</v>
      </c>
      <c r="E249" s="7">
        <f t="shared" ref="E249:H249" si="67">E58/E243%</f>
        <v>59.769094306912635</v>
      </c>
      <c r="F249" s="7">
        <f t="shared" si="67"/>
        <v>71.159976385052019</v>
      </c>
      <c r="G249" s="7">
        <f t="shared" si="67"/>
        <v>54.19440713493929</v>
      </c>
      <c r="H249" s="100">
        <f t="shared" si="67"/>
        <v>59.991249730295102</v>
      </c>
    </row>
    <row r="250" spans="1:8" ht="15.6" x14ac:dyDescent="0.3">
      <c r="A250" s="447" t="s">
        <v>210</v>
      </c>
      <c r="B250" s="448"/>
      <c r="C250" s="4" t="s">
        <v>6</v>
      </c>
      <c r="D250" s="25">
        <f>D210/(D223+D245)%</f>
        <v>36.599214817994131</v>
      </c>
      <c r="E250" s="25">
        <f t="shared" ref="E250:H250" si="68">E210/(E223+E245)%</f>
        <v>49.712012926769724</v>
      </c>
      <c r="F250" s="25">
        <f t="shared" si="68"/>
        <v>0</v>
      </c>
      <c r="G250" s="25">
        <f t="shared" si="68"/>
        <v>0</v>
      </c>
      <c r="H250" s="97">
        <f t="shared" si="68"/>
        <v>41.176930293693985</v>
      </c>
    </row>
    <row r="251" spans="1:8" ht="16.2" thickBot="1" x14ac:dyDescent="0.35">
      <c r="A251" s="511" t="s">
        <v>15</v>
      </c>
      <c r="B251" s="512"/>
      <c r="C251" s="4" t="s">
        <v>6</v>
      </c>
      <c r="D251" s="6">
        <f>D210/D223%</f>
        <v>120.88614052127318</v>
      </c>
      <c r="E251" s="6">
        <f t="shared" ref="E251:H251" si="69">E210/E223%</f>
        <v>122.76615948559181</v>
      </c>
      <c r="F251" s="6">
        <f t="shared" si="69"/>
        <v>0</v>
      </c>
      <c r="G251" s="6">
        <f t="shared" si="69"/>
        <v>0</v>
      </c>
      <c r="H251" s="101">
        <f t="shared" si="69"/>
        <v>118.58679487209733</v>
      </c>
    </row>
    <row r="252" spans="1:8" x14ac:dyDescent="0.3">
      <c r="A252" s="490" t="s">
        <v>14</v>
      </c>
      <c r="B252" s="491"/>
      <c r="C252" s="491"/>
      <c r="D252" s="491"/>
      <c r="E252" s="491"/>
      <c r="F252" s="491"/>
      <c r="G252" s="491"/>
      <c r="H252" s="492"/>
    </row>
    <row r="253" spans="1:8" ht="15" customHeight="1" x14ac:dyDescent="0.3">
      <c r="A253" s="447" t="s">
        <v>13</v>
      </c>
      <c r="B253" s="448"/>
      <c r="C253" s="4" t="s">
        <v>3</v>
      </c>
      <c r="D253" s="22">
        <f>Balaka!M253+Balaka!N253+Balaka!O253</f>
        <v>90</v>
      </c>
      <c r="E253" s="22">
        <f>Liwonde!M253+Liwonde!N253+Liwonde!O253</f>
        <v>121</v>
      </c>
      <c r="F253" s="22">
        <f>Machinga!M253+Machinga!N253+Machinga!O253</f>
        <v>12</v>
      </c>
      <c r="G253" s="22">
        <f>Ntaja!M253+Ntaja!N253+Ntaja!O253</f>
        <v>23</v>
      </c>
      <c r="H253" s="102">
        <f>SUM(D253:G253)</f>
        <v>246</v>
      </c>
    </row>
    <row r="254" spans="1:8" ht="15.6" x14ac:dyDescent="0.3">
      <c r="A254" s="447" t="s">
        <v>12</v>
      </c>
      <c r="B254" s="448"/>
      <c r="C254" s="4" t="s">
        <v>3</v>
      </c>
      <c r="D254" s="22">
        <f>Balaka!M254+Balaka!N254+Balaka!O254</f>
        <v>3</v>
      </c>
      <c r="E254" s="22">
        <f>Liwonde!M254+Liwonde!N254+Liwonde!O254</f>
        <v>3</v>
      </c>
      <c r="F254" s="22">
        <f>Machinga!M254+Machinga!N254+Machinga!O254</f>
        <v>3</v>
      </c>
      <c r="G254" s="22">
        <f>Ntaja!M254+Ntaja!N254+Ntaja!O254</f>
        <v>3</v>
      </c>
      <c r="H254" s="102">
        <f>SUM(D254:G254)</f>
        <v>12</v>
      </c>
    </row>
    <row r="255" spans="1:8" ht="15.75" customHeight="1" x14ac:dyDescent="0.3">
      <c r="A255" s="447" t="s">
        <v>11</v>
      </c>
      <c r="B255" s="448"/>
      <c r="C255" s="4" t="s">
        <v>3</v>
      </c>
      <c r="D255" s="22">
        <f>Balaka!M255+Balaka!N255+Balaka!O255</f>
        <v>1240</v>
      </c>
      <c r="E255" s="22">
        <f>Liwonde!M255+Liwonde!N255+Liwonde!O255</f>
        <v>2507</v>
      </c>
      <c r="F255" s="22">
        <f>Machinga!M255+Machinga!N255+Machinga!O255</f>
        <v>13</v>
      </c>
      <c r="G255" s="22">
        <f>Ntaja!M255+Ntaja!N255+Ntaja!O255</f>
        <v>52</v>
      </c>
      <c r="H255" s="102">
        <f>SUM(D255:G255)</f>
        <v>3812</v>
      </c>
    </row>
    <row r="256" spans="1:8" ht="15.6" x14ac:dyDescent="0.3">
      <c r="A256" s="447" t="s">
        <v>10</v>
      </c>
      <c r="B256" s="448"/>
      <c r="C256" s="4" t="s">
        <v>3</v>
      </c>
      <c r="D256" s="22">
        <f>Balaka!M256+Balaka!N256+Balaka!O256</f>
        <v>92</v>
      </c>
      <c r="E256" s="22">
        <f>Liwonde!M256+Liwonde!N256+Liwonde!O256</f>
        <v>126</v>
      </c>
      <c r="F256" s="22">
        <f>Machinga!M256+Machinga!N256+Machinga!O256</f>
        <v>14</v>
      </c>
      <c r="G256" s="22">
        <f>Ntaja!M256+Ntaja!N256+Ntaja!O256</f>
        <v>5</v>
      </c>
      <c r="H256" s="102">
        <f>SUM(D256:G256)</f>
        <v>237</v>
      </c>
    </row>
    <row r="257" spans="1:8" ht="15.6" customHeight="1" x14ac:dyDescent="0.3">
      <c r="A257" s="447" t="s">
        <v>9</v>
      </c>
      <c r="B257" s="448"/>
      <c r="C257" s="4" t="s">
        <v>3</v>
      </c>
      <c r="D257" s="22">
        <f>Balaka!M257+Balaka!N257+Balaka!O257</f>
        <v>60</v>
      </c>
      <c r="E257" s="22">
        <f>Liwonde!M257+Liwonde!N257+Liwonde!O257</f>
        <v>90</v>
      </c>
      <c r="F257" s="22">
        <f>Machinga!M257+Machinga!N257+Machinga!O257</f>
        <v>3</v>
      </c>
      <c r="G257" s="22">
        <f>Ntaja!M257+Ntaja!N257+Ntaja!O257</f>
        <v>42</v>
      </c>
      <c r="H257" s="102">
        <f>SUM(D257:G257)</f>
        <v>195</v>
      </c>
    </row>
    <row r="258" spans="1:8" ht="15.6" x14ac:dyDescent="0.3">
      <c r="A258" s="509" t="s">
        <v>8</v>
      </c>
      <c r="B258" s="510"/>
      <c r="C258" s="4" t="s">
        <v>3</v>
      </c>
      <c r="D258" s="1">
        <f t="shared" ref="D258:H258" si="70">D257/D256</f>
        <v>0.65217391304347827</v>
      </c>
      <c r="E258" s="1">
        <f t="shared" si="70"/>
        <v>0.7142857142857143</v>
      </c>
      <c r="F258" s="1">
        <f t="shared" si="70"/>
        <v>0.21428571428571427</v>
      </c>
      <c r="G258" s="2">
        <f t="shared" si="70"/>
        <v>8.4</v>
      </c>
      <c r="H258" s="102">
        <f t="shared" si="70"/>
        <v>0.82278481012658233</v>
      </c>
    </row>
    <row r="259" spans="1:8" ht="15.6" x14ac:dyDescent="0.3">
      <c r="A259" s="509" t="s">
        <v>7</v>
      </c>
      <c r="B259" s="510"/>
      <c r="C259" s="4" t="s">
        <v>6</v>
      </c>
      <c r="D259" s="1">
        <f t="shared" ref="D259:H259" si="71">D92/D255*100</f>
        <v>6.209677419354839</v>
      </c>
      <c r="E259" s="1">
        <f t="shared" si="71"/>
        <v>3.1910650179497408</v>
      </c>
      <c r="F259" s="1">
        <f t="shared" si="71"/>
        <v>115.38461538461537</v>
      </c>
      <c r="G259" s="5">
        <f t="shared" si="71"/>
        <v>0</v>
      </c>
      <c r="H259" s="103">
        <f t="shared" si="71"/>
        <v>4.5120671563483734</v>
      </c>
    </row>
    <row r="260" spans="1:8" x14ac:dyDescent="0.3">
      <c r="A260" s="441" t="s">
        <v>5</v>
      </c>
      <c r="B260" s="442"/>
      <c r="C260" s="442"/>
      <c r="D260" s="442"/>
      <c r="E260" s="442"/>
      <c r="F260" s="442"/>
      <c r="G260" s="442"/>
      <c r="H260" s="444"/>
    </row>
    <row r="261" spans="1:8" ht="15" customHeight="1" x14ac:dyDescent="0.3">
      <c r="A261" s="447" t="s">
        <v>4</v>
      </c>
      <c r="B261" s="448"/>
      <c r="C261" s="4" t="s">
        <v>3</v>
      </c>
      <c r="D261" s="22">
        <f>Balaka!M261+Balaka!N261+Balaka!O261</f>
        <v>56</v>
      </c>
      <c r="E261" s="22">
        <f>Liwonde!M261+Liwonde!N261+Liwonde!O261</f>
        <v>40</v>
      </c>
      <c r="F261" s="22">
        <f>Machinga!M261+Machinga!N261+Machinga!O261</f>
        <v>40</v>
      </c>
      <c r="G261" s="22">
        <f>Ntaja!M261+Ntaja!N261+Ntaja!O261</f>
        <v>72</v>
      </c>
      <c r="H261" s="102"/>
    </row>
    <row r="262" spans="1:8" ht="15.75" customHeight="1" x14ac:dyDescent="0.3">
      <c r="A262" s="447" t="s">
        <v>2</v>
      </c>
      <c r="B262" s="448"/>
      <c r="C262" s="4" t="s">
        <v>0</v>
      </c>
      <c r="D262" s="22">
        <f>Balaka!M262+Balaka!N262+Balaka!O262</f>
        <v>45</v>
      </c>
      <c r="E262" s="22">
        <f>Liwonde!M262+Liwonde!N262+Liwonde!O262</f>
        <v>90</v>
      </c>
      <c r="F262" s="22">
        <f>Machinga!M262+Machinga!N262+Machinga!O262</f>
        <v>10</v>
      </c>
      <c r="G262" s="22">
        <f>Ntaja!M262+Ntaja!N262+Ntaja!O262</f>
        <v>9</v>
      </c>
      <c r="H262" s="102"/>
    </row>
    <row r="263" spans="1:8" ht="16.2" thickBot="1" x14ac:dyDescent="0.35">
      <c r="A263" s="517" t="s">
        <v>1</v>
      </c>
      <c r="B263" s="518"/>
      <c r="C263" s="104" t="s">
        <v>0</v>
      </c>
      <c r="D263" s="105">
        <f t="shared" ref="D263:H263" si="72">D261/D262</f>
        <v>1.2444444444444445</v>
      </c>
      <c r="E263" s="105">
        <f t="shared" si="72"/>
        <v>0.44444444444444442</v>
      </c>
      <c r="F263" s="105">
        <f t="shared" si="72"/>
        <v>4</v>
      </c>
      <c r="G263" s="105">
        <f t="shared" si="72"/>
        <v>8</v>
      </c>
      <c r="H263" s="152" t="e">
        <f t="shared" si="72"/>
        <v>#DIV/0!</v>
      </c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7"/>
  <dimension ref="A1:H265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G14" sqref="G14"/>
    </sheetView>
  </sheetViews>
  <sheetFormatPr defaultRowHeight="15.6" x14ac:dyDescent="0.3"/>
  <cols>
    <col min="1" max="1" width="39" customWidth="1"/>
    <col min="2" max="2" width="16.88671875" customWidth="1"/>
    <col min="3" max="3" width="11.21875" bestFit="1" customWidth="1"/>
    <col min="4" max="4" width="20.109375" bestFit="1" customWidth="1"/>
    <col min="5" max="7" width="19.109375" customWidth="1"/>
    <col min="8" max="8" width="24.5546875" style="372" bestFit="1" customWidth="1"/>
  </cols>
  <sheetData>
    <row r="1" spans="1:8" ht="18" thickBot="1" x14ac:dyDescent="0.35">
      <c r="A1" s="106" t="s">
        <v>177</v>
      </c>
      <c r="B1" s="107"/>
      <c r="C1" s="107"/>
      <c r="D1" s="107"/>
      <c r="E1" s="107"/>
      <c r="F1" s="107"/>
      <c r="G1" s="107"/>
      <c r="H1" s="394"/>
    </row>
    <row r="2" spans="1:8" ht="18" thickBot="1" x14ac:dyDescent="0.35">
      <c r="A2" s="81"/>
      <c r="B2" s="110"/>
      <c r="C2" s="110"/>
      <c r="D2" s="110"/>
      <c r="E2" s="110"/>
      <c r="F2" s="110"/>
      <c r="G2" s="110"/>
      <c r="H2" s="395"/>
    </row>
    <row r="3" spans="1:8" ht="18" thickBot="1" x14ac:dyDescent="0.35">
      <c r="A3" s="77" t="s">
        <v>224</v>
      </c>
      <c r="B3" s="78"/>
      <c r="C3" s="78"/>
      <c r="D3" s="78"/>
      <c r="E3" s="78"/>
      <c r="F3" s="78"/>
      <c r="G3" s="78"/>
      <c r="H3" s="406"/>
    </row>
    <row r="4" spans="1:8" ht="18" thickBot="1" x14ac:dyDescent="0.35">
      <c r="A4" s="82" t="s">
        <v>219</v>
      </c>
      <c r="B4" s="112"/>
      <c r="C4" s="112"/>
      <c r="D4" s="112"/>
      <c r="E4" s="112"/>
      <c r="F4" s="112"/>
      <c r="G4" s="112"/>
      <c r="H4" s="396"/>
    </row>
    <row r="5" spans="1:8" ht="14.4" customHeight="1" x14ac:dyDescent="0.3">
      <c r="A5" s="83" t="s">
        <v>219</v>
      </c>
      <c r="B5" s="84"/>
      <c r="C5" s="84"/>
      <c r="D5" s="84"/>
      <c r="E5" s="84"/>
      <c r="F5" s="84"/>
      <c r="G5" s="84"/>
      <c r="H5" s="407"/>
    </row>
    <row r="6" spans="1:8" ht="15" customHeight="1" thickBot="1" x14ac:dyDescent="0.35">
      <c r="A6" s="85"/>
      <c r="B6" s="86"/>
      <c r="C6" s="86"/>
      <c r="D6" s="86"/>
      <c r="E6" s="86"/>
      <c r="F6" s="86"/>
      <c r="G6" s="86"/>
      <c r="H6" s="408"/>
    </row>
    <row r="7" spans="1:8" ht="16.2" thickBot="1" x14ac:dyDescent="0.35">
      <c r="A7" s="434" t="s">
        <v>176</v>
      </c>
      <c r="B7" s="435"/>
      <c r="C7" s="55" t="s">
        <v>175</v>
      </c>
      <c r="D7" s="54" t="s">
        <v>220</v>
      </c>
      <c r="E7" s="54" t="s">
        <v>221</v>
      </c>
      <c r="F7" s="54" t="s">
        <v>222</v>
      </c>
      <c r="G7" s="54" t="s">
        <v>223</v>
      </c>
      <c r="H7" s="53" t="s">
        <v>162</v>
      </c>
    </row>
    <row r="8" spans="1:8" ht="15" thickBot="1" x14ac:dyDescent="0.35">
      <c r="A8" s="436" t="s">
        <v>161</v>
      </c>
      <c r="B8" s="437"/>
      <c r="C8" s="437"/>
      <c r="D8" s="437"/>
      <c r="E8" s="437"/>
      <c r="F8" s="437"/>
      <c r="G8" s="437"/>
      <c r="H8" s="438"/>
    </row>
    <row r="9" spans="1:8" x14ac:dyDescent="0.3">
      <c r="A9" s="439" t="s">
        <v>178</v>
      </c>
      <c r="B9" s="440"/>
      <c r="C9" s="52" t="s">
        <v>154</v>
      </c>
      <c r="D9" s="51">
        <f>Balaka!P9</f>
        <v>609672</v>
      </c>
      <c r="E9" s="51">
        <f>Liwonde!P9</f>
        <v>784015</v>
      </c>
      <c r="F9" s="51">
        <f>Machinga!P9</f>
        <v>26499</v>
      </c>
      <c r="G9" s="51">
        <f>Ntaja!P9</f>
        <v>39736</v>
      </c>
      <c r="H9" s="135">
        <f>SUM(D9:G9)</f>
        <v>1459922</v>
      </c>
    </row>
    <row r="10" spans="1:8" ht="14.4" x14ac:dyDescent="0.3">
      <c r="A10" s="441" t="s">
        <v>179</v>
      </c>
      <c r="B10" s="442"/>
      <c r="C10" s="442"/>
      <c r="D10" s="443"/>
      <c r="E10" s="443"/>
      <c r="F10" s="443"/>
      <c r="G10" s="443"/>
      <c r="H10" s="444"/>
    </row>
    <row r="11" spans="1:8" x14ac:dyDescent="0.3">
      <c r="A11" s="445" t="s">
        <v>159</v>
      </c>
      <c r="B11" s="446"/>
      <c r="C11" s="4" t="s">
        <v>154</v>
      </c>
      <c r="D11" s="22">
        <f>Balaka!P11</f>
        <v>236656</v>
      </c>
      <c r="E11" s="22">
        <f>Liwonde!P11</f>
        <v>297339</v>
      </c>
      <c r="F11" s="22">
        <f>Machinga!P11</f>
        <v>563</v>
      </c>
      <c r="G11" s="22">
        <f>Ntaja!P11</f>
        <v>101</v>
      </c>
      <c r="H11" s="50">
        <f>SUM(D11:G11)</f>
        <v>534659</v>
      </c>
    </row>
    <row r="12" spans="1:8" x14ac:dyDescent="0.3">
      <c r="A12" s="445" t="s">
        <v>158</v>
      </c>
      <c r="B12" s="446"/>
      <c r="C12" s="4" t="s">
        <v>154</v>
      </c>
      <c r="D12" s="22">
        <f>Balaka!P12</f>
        <v>8980</v>
      </c>
      <c r="E12" s="22">
        <f>Liwonde!P12</f>
        <v>6930</v>
      </c>
      <c r="F12" s="22">
        <f>Machinga!P12</f>
        <v>0</v>
      </c>
      <c r="G12" s="22">
        <f>Ntaja!P12</f>
        <v>3</v>
      </c>
      <c r="H12" s="50">
        <f>SUM(D12:G12)</f>
        <v>15913</v>
      </c>
    </row>
    <row r="13" spans="1:8" x14ac:dyDescent="0.3">
      <c r="A13" s="445" t="s">
        <v>157</v>
      </c>
      <c r="B13" s="446"/>
      <c r="C13" s="4" t="s">
        <v>154</v>
      </c>
      <c r="D13" s="22">
        <f>Balaka!P13</f>
        <v>1034</v>
      </c>
      <c r="E13" s="22">
        <f>Liwonde!P13</f>
        <v>5613</v>
      </c>
      <c r="F13" s="22">
        <f>Machinga!P13</f>
        <v>213</v>
      </c>
      <c r="G13" s="22">
        <f>Ntaja!P13</f>
        <v>34</v>
      </c>
      <c r="H13" s="50">
        <f>SUM(D13:G13)</f>
        <v>6894</v>
      </c>
    </row>
    <row r="14" spans="1:8" x14ac:dyDescent="0.3">
      <c r="A14" s="447" t="s">
        <v>156</v>
      </c>
      <c r="B14" s="448"/>
      <c r="C14" s="4" t="s">
        <v>154</v>
      </c>
      <c r="D14" s="22">
        <f>Balaka!P14</f>
        <v>130</v>
      </c>
      <c r="E14" s="22">
        <f>Liwonde!P14</f>
        <v>1931</v>
      </c>
      <c r="F14" s="22">
        <f>Machinga!P14</f>
        <v>0</v>
      </c>
      <c r="G14" s="22">
        <f>Ntaja!P14</f>
        <v>0</v>
      </c>
      <c r="H14" s="50">
        <f>SUM(D14:G14)</f>
        <v>2061</v>
      </c>
    </row>
    <row r="15" spans="1:8" s="57" customFormat="1" x14ac:dyDescent="0.3">
      <c r="A15" s="449" t="s">
        <v>160</v>
      </c>
      <c r="B15" s="450"/>
      <c r="C15" s="56" t="s">
        <v>154</v>
      </c>
      <c r="D15" s="30">
        <f t="shared" ref="D15:H15" si="0">SUM(D11:D14)</f>
        <v>246800</v>
      </c>
      <c r="E15" s="30">
        <f t="shared" si="0"/>
        <v>311813</v>
      </c>
      <c r="F15" s="30">
        <f t="shared" si="0"/>
        <v>776</v>
      </c>
      <c r="G15" s="30">
        <f t="shared" si="0"/>
        <v>138</v>
      </c>
      <c r="H15" s="50">
        <f t="shared" si="0"/>
        <v>559527</v>
      </c>
    </row>
    <row r="16" spans="1:8" ht="14.4" x14ac:dyDescent="0.3">
      <c r="A16" s="441" t="s">
        <v>180</v>
      </c>
      <c r="B16" s="442"/>
      <c r="C16" s="442"/>
      <c r="D16" s="442"/>
      <c r="E16" s="442"/>
      <c r="F16" s="442"/>
      <c r="G16" s="442"/>
      <c r="H16" s="444"/>
    </row>
    <row r="17" spans="1:8" x14ac:dyDescent="0.3">
      <c r="A17" s="445" t="s">
        <v>182</v>
      </c>
      <c r="B17" s="446"/>
      <c r="C17" s="4" t="s">
        <v>154</v>
      </c>
      <c r="D17" s="22">
        <f>Balaka!P17</f>
        <v>156498.90000000008</v>
      </c>
      <c r="E17" s="22">
        <f>Liwonde!P17</f>
        <v>189248</v>
      </c>
      <c r="F17" s="22">
        <f>Machinga!P17</f>
        <v>18313</v>
      </c>
      <c r="G17" s="22">
        <f>Ntaja!P17</f>
        <v>34171.800000000003</v>
      </c>
      <c r="H17" s="50">
        <f>SUM(D17:G17)</f>
        <v>398231.70000000007</v>
      </c>
    </row>
    <row r="18" spans="1:8" x14ac:dyDescent="0.3">
      <c r="A18" s="445" t="s">
        <v>183</v>
      </c>
      <c r="B18" s="446"/>
      <c r="C18" s="4" t="s">
        <v>154</v>
      </c>
      <c r="D18" s="22">
        <f>Balaka!P18</f>
        <v>2618</v>
      </c>
      <c r="E18" s="22">
        <f>Liwonde!P18</f>
        <v>36.200000000000003</v>
      </c>
      <c r="F18" s="22">
        <f>Machinga!P18</f>
        <v>0</v>
      </c>
      <c r="G18" s="22">
        <f>Ntaja!P18</f>
        <v>1065.1000000000001</v>
      </c>
      <c r="H18" s="50">
        <f>SUM(D18:G18)</f>
        <v>3719.3</v>
      </c>
    </row>
    <row r="19" spans="1:8" x14ac:dyDescent="0.3">
      <c r="A19" s="445" t="s">
        <v>184</v>
      </c>
      <c r="B19" s="446"/>
      <c r="C19" s="4" t="s">
        <v>154</v>
      </c>
      <c r="D19" s="22">
        <f>Balaka!P19</f>
        <v>11945</v>
      </c>
      <c r="E19" s="22">
        <f>Liwonde!P19</f>
        <v>23891.1</v>
      </c>
      <c r="F19" s="22">
        <f>Machinga!P19</f>
        <v>1353.3999999999999</v>
      </c>
      <c r="G19" s="22">
        <f>Ntaja!P19</f>
        <v>591.6</v>
      </c>
      <c r="H19" s="50">
        <f>SUM(D19:G19)</f>
        <v>37781.1</v>
      </c>
    </row>
    <row r="20" spans="1:8" x14ac:dyDescent="0.3">
      <c r="A20" s="447" t="s">
        <v>185</v>
      </c>
      <c r="B20" s="448"/>
      <c r="C20" s="4" t="s">
        <v>154</v>
      </c>
      <c r="D20" s="22">
        <f>Balaka!P20</f>
        <v>6645.2999999999993</v>
      </c>
      <c r="E20" s="22">
        <f>Liwonde!P20</f>
        <v>24455.599999999995</v>
      </c>
      <c r="F20" s="22">
        <f>Machinga!P20</f>
        <v>283.7</v>
      </c>
      <c r="G20" s="22">
        <f>Ntaja!P20</f>
        <v>479.4</v>
      </c>
      <c r="H20" s="50">
        <f>SUM(D20:G20)</f>
        <v>31863.999999999996</v>
      </c>
    </row>
    <row r="21" spans="1:8" s="57" customFormat="1" x14ac:dyDescent="0.3">
      <c r="A21" s="449" t="s">
        <v>186</v>
      </c>
      <c r="B21" s="450"/>
      <c r="C21" s="56" t="s">
        <v>154</v>
      </c>
      <c r="D21" s="30">
        <f>SUM(D17:D20)</f>
        <v>177707.20000000007</v>
      </c>
      <c r="E21" s="30">
        <f t="shared" ref="E21:H21" si="1">SUM(E17:E20)</f>
        <v>237630.90000000002</v>
      </c>
      <c r="F21" s="30">
        <f t="shared" si="1"/>
        <v>19950.100000000002</v>
      </c>
      <c r="G21" s="30">
        <f t="shared" si="1"/>
        <v>36307.9</v>
      </c>
      <c r="H21" s="50">
        <f t="shared" si="1"/>
        <v>471596.10000000003</v>
      </c>
    </row>
    <row r="22" spans="1:8" x14ac:dyDescent="0.3">
      <c r="A22" s="64" t="s">
        <v>187</v>
      </c>
      <c r="B22" s="68"/>
      <c r="C22" s="4" t="s">
        <v>154</v>
      </c>
      <c r="D22" s="30">
        <f>D21+D15</f>
        <v>424507.20000000007</v>
      </c>
      <c r="E22" s="30">
        <f t="shared" ref="E22:H22" si="2">E21+E15</f>
        <v>549443.9</v>
      </c>
      <c r="F22" s="30">
        <f t="shared" si="2"/>
        <v>20726.100000000002</v>
      </c>
      <c r="G22" s="30">
        <f t="shared" si="2"/>
        <v>36445.9</v>
      </c>
      <c r="H22" s="50">
        <f t="shared" si="2"/>
        <v>1031123.1000000001</v>
      </c>
    </row>
    <row r="23" spans="1:8" ht="14.4" x14ac:dyDescent="0.3">
      <c r="A23" s="441" t="s">
        <v>217</v>
      </c>
      <c r="B23" s="442"/>
      <c r="C23" s="442"/>
      <c r="D23" s="442"/>
      <c r="E23" s="442"/>
      <c r="F23" s="442"/>
      <c r="G23" s="442"/>
      <c r="H23" s="444"/>
    </row>
    <row r="24" spans="1:8" x14ac:dyDescent="0.3">
      <c r="A24" s="451" t="s">
        <v>181</v>
      </c>
      <c r="B24" s="21" t="s">
        <v>155</v>
      </c>
      <c r="C24" s="4" t="s">
        <v>154</v>
      </c>
      <c r="D24" s="49">
        <f>D9-D22</f>
        <v>185164.79999999993</v>
      </c>
      <c r="E24" s="49">
        <f t="shared" ref="E24:H24" si="3">E9-E22</f>
        <v>234571.09999999998</v>
      </c>
      <c r="F24" s="49">
        <f t="shared" si="3"/>
        <v>5772.8999999999978</v>
      </c>
      <c r="G24" s="49">
        <f t="shared" si="3"/>
        <v>3290.0999999999985</v>
      </c>
      <c r="H24" s="140">
        <f t="shared" si="3"/>
        <v>428798.89999999991</v>
      </c>
    </row>
    <row r="25" spans="1:8" x14ac:dyDescent="0.3">
      <c r="A25" s="452"/>
      <c r="B25" s="48" t="s">
        <v>153</v>
      </c>
      <c r="C25" s="47" t="s">
        <v>6</v>
      </c>
      <c r="D25" s="46">
        <f t="shared" ref="D25:H25" si="4">D24/D9</f>
        <v>0.30371215998110446</v>
      </c>
      <c r="E25" s="46">
        <f t="shared" si="4"/>
        <v>0.29919210729386553</v>
      </c>
      <c r="F25" s="46">
        <f t="shared" si="4"/>
        <v>0.21785350390580768</v>
      </c>
      <c r="G25" s="46">
        <f t="shared" si="4"/>
        <v>8.2798973223273564E-2</v>
      </c>
      <c r="H25" s="136">
        <f t="shared" si="4"/>
        <v>0.29371356825912609</v>
      </c>
    </row>
    <row r="26" spans="1:8" ht="14.4" x14ac:dyDescent="0.3">
      <c r="A26" s="441" t="s">
        <v>152</v>
      </c>
      <c r="B26" s="442"/>
      <c r="C26" s="442"/>
      <c r="D26" s="442"/>
      <c r="E26" s="442"/>
      <c r="F26" s="442"/>
      <c r="G26" s="442"/>
      <c r="H26" s="444"/>
    </row>
    <row r="27" spans="1:8" ht="14.4" x14ac:dyDescent="0.3">
      <c r="A27" s="455" t="s">
        <v>151</v>
      </c>
      <c r="B27" s="456"/>
      <c r="C27" s="456"/>
      <c r="D27" s="456"/>
      <c r="E27" s="456"/>
      <c r="F27" s="456"/>
      <c r="G27" s="456"/>
      <c r="H27" s="457"/>
    </row>
    <row r="28" spans="1:8" x14ac:dyDescent="0.3">
      <c r="A28" s="90" t="s">
        <v>150</v>
      </c>
      <c r="B28" s="45" t="s">
        <v>149</v>
      </c>
      <c r="C28" s="44"/>
      <c r="D28" s="42"/>
      <c r="E28" s="42"/>
      <c r="F28" s="42"/>
      <c r="G28" s="42"/>
      <c r="H28" s="41"/>
    </row>
    <row r="29" spans="1:8" x14ac:dyDescent="0.3">
      <c r="A29" s="458" t="s">
        <v>148</v>
      </c>
      <c r="B29" s="433">
        <f>176264.5/50</f>
        <v>3525.29</v>
      </c>
      <c r="C29" s="4" t="s">
        <v>142</v>
      </c>
      <c r="D29" s="22">
        <f>Balaka!P29</f>
        <v>1282</v>
      </c>
      <c r="E29" s="22">
        <f>Liwonde!P29</f>
        <v>4061</v>
      </c>
      <c r="F29" s="22">
        <f>Machinga!P29</f>
        <v>101</v>
      </c>
      <c r="G29" s="22">
        <f>Ntaja!P29</f>
        <v>101</v>
      </c>
      <c r="H29" s="40">
        <f>SUM(D29:G29)</f>
        <v>5545</v>
      </c>
    </row>
    <row r="30" spans="1:8" x14ac:dyDescent="0.3">
      <c r="A30" s="459"/>
      <c r="B30" s="433"/>
      <c r="C30" s="37" t="s">
        <v>141</v>
      </c>
      <c r="D30" s="13">
        <f t="shared" ref="D30:H30" si="5">D29/(D9/1000)</f>
        <v>2.1027700140403365</v>
      </c>
      <c r="E30" s="13">
        <f t="shared" si="5"/>
        <v>5.1797478364572109</v>
      </c>
      <c r="F30" s="13">
        <f t="shared" si="5"/>
        <v>3.8114645835691916</v>
      </c>
      <c r="G30" s="13">
        <f t="shared" si="5"/>
        <v>2.5417757197503525</v>
      </c>
      <c r="H30" s="35">
        <f t="shared" si="5"/>
        <v>3.7981481202420402</v>
      </c>
    </row>
    <row r="31" spans="1:8" x14ac:dyDescent="0.3">
      <c r="A31" s="453" t="s">
        <v>147</v>
      </c>
      <c r="B31" s="433">
        <f>53000.511/50</f>
        <v>1060.0102199999999</v>
      </c>
      <c r="C31" s="4" t="s">
        <v>142</v>
      </c>
      <c r="D31" s="22">
        <f>Balaka!P31</f>
        <v>0</v>
      </c>
      <c r="E31" s="22">
        <f>Liwonde!P31</f>
        <v>1983</v>
      </c>
      <c r="F31" s="22">
        <f>Machinga!P31</f>
        <v>0</v>
      </c>
      <c r="G31" s="22">
        <f>Ntaja!P31</f>
        <v>0</v>
      </c>
      <c r="H31" s="40">
        <f>SUM(D31:G31)</f>
        <v>1983</v>
      </c>
    </row>
    <row r="32" spans="1:8" x14ac:dyDescent="0.3">
      <c r="A32" s="454"/>
      <c r="B32" s="433"/>
      <c r="C32" s="37" t="s">
        <v>141</v>
      </c>
      <c r="D32" s="13">
        <f t="shared" ref="D32:H32" si="6">D31/(D9/1000)</f>
        <v>0</v>
      </c>
      <c r="E32" s="13">
        <f t="shared" si="6"/>
        <v>2.5292883426975248</v>
      </c>
      <c r="F32" s="13">
        <f t="shared" si="6"/>
        <v>0</v>
      </c>
      <c r="G32" s="13">
        <f t="shared" si="6"/>
        <v>0</v>
      </c>
      <c r="H32" s="35">
        <f t="shared" si="6"/>
        <v>1.3582917443534654</v>
      </c>
    </row>
    <row r="33" spans="1:8" x14ac:dyDescent="0.3">
      <c r="A33" s="453" t="s">
        <v>146</v>
      </c>
      <c r="B33" s="433">
        <f>61414.43/50</f>
        <v>1228.2886000000001</v>
      </c>
      <c r="C33" s="4" t="s">
        <v>142</v>
      </c>
      <c r="D33" s="22">
        <f>Balaka!P33</f>
        <v>0</v>
      </c>
      <c r="E33" s="22">
        <f>Liwonde!P33</f>
        <v>0</v>
      </c>
      <c r="F33" s="22">
        <f>Machinga!P33</f>
        <v>0</v>
      </c>
      <c r="G33" s="22">
        <f>Ntaja!P33</f>
        <v>0</v>
      </c>
      <c r="H33" s="40">
        <f>SUM(D33:G33)</f>
        <v>0</v>
      </c>
    </row>
    <row r="34" spans="1:8" x14ac:dyDescent="0.3">
      <c r="A34" s="454"/>
      <c r="B34" s="433"/>
      <c r="C34" s="37" t="s">
        <v>141</v>
      </c>
      <c r="D34" s="13">
        <f t="shared" ref="D34:H34" si="7">D33/(D9/1000)</f>
        <v>0</v>
      </c>
      <c r="E34" s="13">
        <f t="shared" si="7"/>
        <v>0</v>
      </c>
      <c r="F34" s="13">
        <f t="shared" si="7"/>
        <v>0</v>
      </c>
      <c r="G34" s="13">
        <f t="shared" si="7"/>
        <v>0</v>
      </c>
      <c r="H34" s="35">
        <f t="shared" si="7"/>
        <v>0</v>
      </c>
    </row>
    <row r="35" spans="1:8" x14ac:dyDescent="0.3">
      <c r="A35" s="453" t="s">
        <v>145</v>
      </c>
      <c r="B35" s="433">
        <f>745345.16/200</f>
        <v>3726.7258000000002</v>
      </c>
      <c r="C35" s="4" t="s">
        <v>128</v>
      </c>
      <c r="D35" s="22">
        <f>Balaka!P35</f>
        <v>0</v>
      </c>
      <c r="E35" s="22">
        <f>Liwonde!P35</f>
        <v>0</v>
      </c>
      <c r="F35" s="22">
        <f>Machinga!P35</f>
        <v>0</v>
      </c>
      <c r="G35" s="22">
        <f>Ntaja!P35</f>
        <v>0</v>
      </c>
      <c r="H35" s="35"/>
    </row>
    <row r="36" spans="1:8" x14ac:dyDescent="0.3">
      <c r="A36" s="454"/>
      <c r="B36" s="433"/>
      <c r="C36" s="4" t="s">
        <v>144</v>
      </c>
      <c r="D36" s="11"/>
      <c r="E36" s="11"/>
      <c r="F36" s="11"/>
      <c r="G36" s="11"/>
      <c r="H36" s="35"/>
    </row>
    <row r="37" spans="1:8" x14ac:dyDescent="0.3">
      <c r="A37" s="453" t="s">
        <v>188</v>
      </c>
      <c r="B37" s="433">
        <f>790318.72/200</f>
        <v>3951.5935999999997</v>
      </c>
      <c r="C37" s="4" t="s">
        <v>128</v>
      </c>
      <c r="D37" s="22">
        <f>Balaka!P37</f>
        <v>0</v>
      </c>
      <c r="E37" s="22">
        <f>Liwonde!P37</f>
        <v>0</v>
      </c>
      <c r="F37" s="22">
        <f>Machinga!P37</f>
        <v>0</v>
      </c>
      <c r="G37" s="22">
        <f>Ntaja!P37</f>
        <v>0</v>
      </c>
      <c r="H37" s="40">
        <f>SUM(D37:G37)</f>
        <v>0</v>
      </c>
    </row>
    <row r="38" spans="1:8" x14ac:dyDescent="0.3">
      <c r="A38" s="454"/>
      <c r="B38" s="433"/>
      <c r="C38" s="4" t="s">
        <v>144</v>
      </c>
      <c r="D38" s="13">
        <f t="shared" ref="D38:H38" si="8">D37/(D9/1000)</f>
        <v>0</v>
      </c>
      <c r="E38" s="13">
        <f t="shared" si="8"/>
        <v>0</v>
      </c>
      <c r="F38" s="13">
        <f t="shared" si="8"/>
        <v>0</v>
      </c>
      <c r="G38" s="13">
        <f t="shared" si="8"/>
        <v>0</v>
      </c>
      <c r="H38" s="35">
        <f t="shared" si="8"/>
        <v>0</v>
      </c>
    </row>
    <row r="39" spans="1:8" x14ac:dyDescent="0.3">
      <c r="A39" s="453" t="s">
        <v>143</v>
      </c>
      <c r="B39" s="433">
        <v>1950</v>
      </c>
      <c r="C39" s="4" t="s">
        <v>142</v>
      </c>
      <c r="D39" s="22">
        <f>Balaka!P39</f>
        <v>0</v>
      </c>
      <c r="E39" s="22">
        <f>Liwonde!P39</f>
        <v>0</v>
      </c>
      <c r="F39" s="22">
        <f>Machinga!P39</f>
        <v>0</v>
      </c>
      <c r="G39" s="22">
        <f>Ntaja!P39</f>
        <v>0</v>
      </c>
      <c r="H39" s="40">
        <f>SUM(D39:G39)</f>
        <v>0</v>
      </c>
    </row>
    <row r="40" spans="1:8" x14ac:dyDescent="0.3">
      <c r="A40" s="454"/>
      <c r="B40" s="433"/>
      <c r="C40" s="37" t="s">
        <v>141</v>
      </c>
      <c r="D40" s="13">
        <f t="shared" ref="D40:H40" si="9">D39/(D9/1000)</f>
        <v>0</v>
      </c>
      <c r="E40" s="13">
        <f t="shared" si="9"/>
        <v>0</v>
      </c>
      <c r="F40" s="13">
        <f t="shared" si="9"/>
        <v>0</v>
      </c>
      <c r="G40" s="13">
        <f t="shared" si="9"/>
        <v>0</v>
      </c>
      <c r="H40" s="35">
        <f t="shared" si="9"/>
        <v>0</v>
      </c>
    </row>
    <row r="41" spans="1:8" x14ac:dyDescent="0.3">
      <c r="A41" s="447" t="s">
        <v>140</v>
      </c>
      <c r="B41" s="448"/>
      <c r="C41" s="4" t="s">
        <v>31</v>
      </c>
      <c r="D41" s="36">
        <f>(D29*$B29)+(D31*$B31)+(D33*$B33)+(D35*$B35)+(D37*$B37)+(D39*$B39)</f>
        <v>4519421.78</v>
      </c>
      <c r="E41" s="36">
        <f t="shared" ref="E41:G41" si="10">(E29*$B29)+(E31*$B31)+(E33*$B33)+(E35*$B35)+(E37*$B37)+(E39*$B39)</f>
        <v>16418202.956259999</v>
      </c>
      <c r="F41" s="36">
        <f t="shared" si="10"/>
        <v>356054.29</v>
      </c>
      <c r="G41" s="36">
        <f t="shared" si="10"/>
        <v>356054.29</v>
      </c>
      <c r="H41" s="34">
        <f>SUM(D41:G41)</f>
        <v>21649733.316259999</v>
      </c>
    </row>
    <row r="42" spans="1:8" x14ac:dyDescent="0.3">
      <c r="A42" s="463" t="s">
        <v>139</v>
      </c>
      <c r="B42" s="464"/>
      <c r="C42" s="37" t="s">
        <v>117</v>
      </c>
      <c r="D42" s="13">
        <f t="shared" ref="D42:H42" si="11">D41/D9</f>
        <v>7.4128741027962581</v>
      </c>
      <c r="E42" s="13">
        <f t="shared" si="11"/>
        <v>20.941184742970478</v>
      </c>
      <c r="F42" s="13">
        <f t="shared" si="11"/>
        <v>13.436517981810633</v>
      </c>
      <c r="G42" s="13">
        <f t="shared" si="11"/>
        <v>8.9604965270787194</v>
      </c>
      <c r="H42" s="99">
        <f t="shared" si="11"/>
        <v>14.829376717564362</v>
      </c>
    </row>
    <row r="43" spans="1:8" ht="14.4" x14ac:dyDescent="0.3">
      <c r="A43" s="460" t="s">
        <v>138</v>
      </c>
      <c r="B43" s="461"/>
      <c r="C43" s="461"/>
      <c r="D43" s="461"/>
      <c r="E43" s="461"/>
      <c r="F43" s="461"/>
      <c r="G43" s="461"/>
      <c r="H43" s="462"/>
    </row>
    <row r="44" spans="1:8" x14ac:dyDescent="0.3">
      <c r="A44" s="447" t="s">
        <v>137</v>
      </c>
      <c r="B44" s="448"/>
      <c r="C44" s="4" t="s">
        <v>136</v>
      </c>
      <c r="D44" s="22">
        <f>Balaka!P44</f>
        <v>307527.2</v>
      </c>
      <c r="E44" s="22">
        <f>Liwonde!P44</f>
        <v>712807.56271186448</v>
      </c>
      <c r="F44" s="22">
        <f>Machinga!P44</f>
        <v>46126.805070000002</v>
      </c>
      <c r="G44" s="22">
        <f>Ntaja!P44</f>
        <v>45446</v>
      </c>
      <c r="H44" s="34">
        <f>SUM(D44:G44)</f>
        <v>1111907.5677818644</v>
      </c>
    </row>
    <row r="45" spans="1:8" x14ac:dyDescent="0.3">
      <c r="A45" s="463" t="s">
        <v>135</v>
      </c>
      <c r="B45" s="464"/>
      <c r="C45" s="37" t="s">
        <v>134</v>
      </c>
      <c r="D45" s="13">
        <f t="shared" ref="D45:H45" si="12">D44/D9</f>
        <v>0.50441417680326472</v>
      </c>
      <c r="E45" s="13">
        <f t="shared" si="12"/>
        <v>0.90917592483799992</v>
      </c>
      <c r="F45" s="13">
        <f t="shared" si="12"/>
        <v>1.7406998403713347</v>
      </c>
      <c r="G45" s="13">
        <f t="shared" si="12"/>
        <v>1.1436984095027178</v>
      </c>
      <c r="H45" s="35">
        <f t="shared" si="12"/>
        <v>0.7616212152305839</v>
      </c>
    </row>
    <row r="46" spans="1:8" x14ac:dyDescent="0.3">
      <c r="A46" s="447" t="s">
        <v>133</v>
      </c>
      <c r="B46" s="448"/>
      <c r="C46" s="4" t="s">
        <v>31</v>
      </c>
      <c r="D46" s="22">
        <f>Balaka!P46</f>
        <v>51643696.478</v>
      </c>
      <c r="E46" s="22">
        <f>Liwonde!P46</f>
        <v>119397454.31526271</v>
      </c>
      <c r="F46" s="22">
        <f>Machinga!P46</f>
        <v>7943431.9545899257</v>
      </c>
      <c r="G46" s="22">
        <f>Ntaja!P46</f>
        <v>7829616.665</v>
      </c>
      <c r="H46" s="34">
        <f>SUM(D46:G46)</f>
        <v>186814199.41285264</v>
      </c>
    </row>
    <row r="47" spans="1:8" x14ac:dyDescent="0.3">
      <c r="A47" s="447" t="s">
        <v>132</v>
      </c>
      <c r="B47" s="448"/>
      <c r="C47" s="4" t="s">
        <v>117</v>
      </c>
      <c r="D47" s="13">
        <f t="shared" ref="D47:H47" si="13">D46/D9</f>
        <v>84.7073450609508</v>
      </c>
      <c r="E47" s="13">
        <f t="shared" si="13"/>
        <v>152.28975761339095</v>
      </c>
      <c r="F47" s="13">
        <f t="shared" si="13"/>
        <v>299.7634610585277</v>
      </c>
      <c r="G47" s="13">
        <f t="shared" si="13"/>
        <v>197.04088647573988</v>
      </c>
      <c r="H47" s="35">
        <f t="shared" si="13"/>
        <v>127.96176741829539</v>
      </c>
    </row>
    <row r="48" spans="1:8" ht="14.4" x14ac:dyDescent="0.3">
      <c r="A48" s="460" t="s">
        <v>131</v>
      </c>
      <c r="B48" s="461"/>
      <c r="C48" s="461"/>
      <c r="D48" s="461"/>
      <c r="E48" s="461"/>
      <c r="F48" s="461"/>
      <c r="G48" s="461"/>
      <c r="H48" s="462"/>
    </row>
    <row r="49" spans="1:8" x14ac:dyDescent="0.3">
      <c r="A49" s="447" t="s">
        <v>130</v>
      </c>
      <c r="B49" s="448"/>
      <c r="C49" s="4" t="s">
        <v>129</v>
      </c>
      <c r="D49" s="22">
        <f>Balaka!P49</f>
        <v>66196.18089629813</v>
      </c>
      <c r="E49" s="22">
        <f>Liwonde!P49</f>
        <v>27652</v>
      </c>
      <c r="F49" s="22">
        <f>Machinga!P49</f>
        <v>0</v>
      </c>
      <c r="G49" s="22">
        <f>Ntaja!P49</f>
        <v>0</v>
      </c>
      <c r="H49" s="34">
        <f>SUM(D49:G49)</f>
        <v>93848.18089629813</v>
      </c>
    </row>
    <row r="50" spans="1:8" x14ac:dyDescent="0.3">
      <c r="A50" s="447" t="s">
        <v>189</v>
      </c>
      <c r="B50" s="448"/>
      <c r="C50" s="4" t="s">
        <v>128</v>
      </c>
      <c r="D50" s="22">
        <f>Balaka!P50</f>
        <v>2501.008571428571</v>
      </c>
      <c r="E50" s="22">
        <f>Liwonde!P50</f>
        <v>3858</v>
      </c>
      <c r="F50" s="22">
        <f>Machinga!P50</f>
        <v>0</v>
      </c>
      <c r="G50" s="22">
        <f>Ntaja!P50</f>
        <v>0</v>
      </c>
      <c r="H50" s="34">
        <f>SUM(D50:G50)</f>
        <v>6359.0085714285706</v>
      </c>
    </row>
    <row r="51" spans="1:8" x14ac:dyDescent="0.3">
      <c r="A51" s="447" t="s">
        <v>127</v>
      </c>
      <c r="B51" s="448"/>
      <c r="C51" s="4" t="s">
        <v>31</v>
      </c>
      <c r="D51" s="22">
        <f>Balaka!P51</f>
        <v>8421414</v>
      </c>
      <c r="E51" s="22">
        <f>Liwonde!P51</f>
        <v>11136030</v>
      </c>
      <c r="F51" s="22">
        <f>Machinga!P51</f>
        <v>0</v>
      </c>
      <c r="G51" s="22">
        <f>Ntaja!P51</f>
        <v>0</v>
      </c>
      <c r="H51" s="35">
        <f>SUM(D51:G51)</f>
        <v>19557444</v>
      </c>
    </row>
    <row r="52" spans="1:8" x14ac:dyDescent="0.3">
      <c r="A52" s="447" t="s">
        <v>126</v>
      </c>
      <c r="B52" s="448"/>
      <c r="C52" s="4" t="s">
        <v>31</v>
      </c>
      <c r="D52" s="22">
        <f>Balaka!P52</f>
        <v>0</v>
      </c>
      <c r="E52" s="22">
        <f>Liwonde!P52</f>
        <v>0</v>
      </c>
      <c r="F52" s="22">
        <f>Machinga!P52</f>
        <v>0</v>
      </c>
      <c r="G52" s="22">
        <f>Ntaja!P52</f>
        <v>0</v>
      </c>
      <c r="H52" s="35">
        <f>SUM(D52:G52)</f>
        <v>0</v>
      </c>
    </row>
    <row r="53" spans="1:8" ht="14.4" x14ac:dyDescent="0.3">
      <c r="A53" s="460" t="s">
        <v>125</v>
      </c>
      <c r="B53" s="461"/>
      <c r="C53" s="461"/>
      <c r="D53" s="461"/>
      <c r="E53" s="461"/>
      <c r="F53" s="461"/>
      <c r="G53" s="461"/>
      <c r="H53" s="462"/>
    </row>
    <row r="54" spans="1:8" x14ac:dyDescent="0.3">
      <c r="A54" s="447" t="s">
        <v>124</v>
      </c>
      <c r="B54" s="448"/>
      <c r="C54" s="4" t="s">
        <v>18</v>
      </c>
      <c r="D54" s="22">
        <f>Balaka!P54</f>
        <v>193481092.19000003</v>
      </c>
      <c r="E54" s="22">
        <f>Liwonde!P54</f>
        <v>167767499.25</v>
      </c>
      <c r="F54" s="22">
        <f>Machinga!P54</f>
        <v>7138366.459999999</v>
      </c>
      <c r="G54" s="22">
        <f>Ntaja!P54</f>
        <v>48628621.480000004</v>
      </c>
      <c r="H54" s="34">
        <f>SUM(D54:G54)</f>
        <v>417015579.38000005</v>
      </c>
    </row>
    <row r="55" spans="1:8" x14ac:dyDescent="0.3">
      <c r="A55" s="67" t="s">
        <v>123</v>
      </c>
      <c r="B55" s="68"/>
      <c r="C55" s="4" t="s">
        <v>18</v>
      </c>
      <c r="D55" s="22">
        <f>Balaka!P55</f>
        <v>65235533.499999993</v>
      </c>
      <c r="E55" s="22">
        <f>Liwonde!P55</f>
        <v>76685969.260000005</v>
      </c>
      <c r="F55" s="22">
        <f>Machinga!P55</f>
        <v>9504010.8800000008</v>
      </c>
      <c r="G55" s="22">
        <f>Ntaja!P55</f>
        <v>5596621.7800000003</v>
      </c>
      <c r="H55" s="34">
        <f>SUM(D55:G55)</f>
        <v>157022135.41999999</v>
      </c>
    </row>
    <row r="56" spans="1:8" x14ac:dyDescent="0.3">
      <c r="A56" s="447" t="s">
        <v>122</v>
      </c>
      <c r="B56" s="448"/>
      <c r="C56" s="4" t="s">
        <v>18</v>
      </c>
      <c r="D56" s="22">
        <f>Balaka!P56</f>
        <v>57274760.070000008</v>
      </c>
      <c r="E56" s="22">
        <f>Liwonde!P56</f>
        <v>69983374.319999993</v>
      </c>
      <c r="F56" s="22">
        <f>Machinga!P56</f>
        <v>1630528.3199999998</v>
      </c>
      <c r="G56" s="22">
        <f>Ntaja!P56</f>
        <v>135000</v>
      </c>
      <c r="H56" s="34">
        <f>SUM(D56:G56)</f>
        <v>129023662.70999999</v>
      </c>
    </row>
    <row r="57" spans="1:8" ht="14.4" x14ac:dyDescent="0.3">
      <c r="A57" s="460" t="s">
        <v>121</v>
      </c>
      <c r="B57" s="461"/>
      <c r="C57" s="461"/>
      <c r="D57" s="461"/>
      <c r="E57" s="461"/>
      <c r="F57" s="461"/>
      <c r="G57" s="461"/>
      <c r="H57" s="462"/>
    </row>
    <row r="58" spans="1:8" x14ac:dyDescent="0.3">
      <c r="A58" s="447" t="s">
        <v>120</v>
      </c>
      <c r="B58" s="448"/>
      <c r="C58" s="4" t="s">
        <v>18</v>
      </c>
      <c r="D58" s="11">
        <f>D41+D46+D51+D52+D54+D55+D56</f>
        <v>380575918.01800001</v>
      </c>
      <c r="E58" s="11">
        <f t="shared" ref="E58:G58" si="14">E41+E46+E51+E52+E54+E55+E56</f>
        <v>461388530.10152268</v>
      </c>
      <c r="F58" s="11">
        <f t="shared" si="14"/>
        <v>26572391.904589929</v>
      </c>
      <c r="G58" s="11">
        <f t="shared" si="14"/>
        <v>62545914.215000004</v>
      </c>
      <c r="H58" s="34">
        <f>SUM(D58:G58)</f>
        <v>931082754.23911262</v>
      </c>
    </row>
    <row r="59" spans="1:8" x14ac:dyDescent="0.3">
      <c r="A59" s="447" t="s">
        <v>119</v>
      </c>
      <c r="B59" s="448"/>
      <c r="C59" s="4" t="s">
        <v>117</v>
      </c>
      <c r="D59" s="13">
        <f t="shared" ref="D59:H59" si="15">D58/D9</f>
        <v>624.23059943379394</v>
      </c>
      <c r="E59" s="13">
        <f t="shared" si="15"/>
        <v>588.49451872926238</v>
      </c>
      <c r="F59" s="13">
        <f t="shared" si="15"/>
        <v>1002.7696103471802</v>
      </c>
      <c r="G59" s="13">
        <f t="shared" si="15"/>
        <v>1574.0364962502517</v>
      </c>
      <c r="H59" s="35">
        <f t="shared" si="15"/>
        <v>637.76198607810045</v>
      </c>
    </row>
    <row r="60" spans="1:8" x14ac:dyDescent="0.3">
      <c r="A60" s="447" t="s">
        <v>118</v>
      </c>
      <c r="B60" s="448"/>
      <c r="C60" s="4" t="s">
        <v>117</v>
      </c>
      <c r="D60" s="13">
        <f>D58/D22</f>
        <v>896.51228063505152</v>
      </c>
      <c r="E60" s="13">
        <f t="shared" ref="E60:G60" si="16">E58/E22</f>
        <v>839.73728728542198</v>
      </c>
      <c r="F60" s="13">
        <f t="shared" si="16"/>
        <v>1282.0739022097705</v>
      </c>
      <c r="G60" s="13">
        <f t="shared" si="16"/>
        <v>1716.1303250845774</v>
      </c>
      <c r="H60" s="131">
        <f>H58/H22</f>
        <v>902.9792410228348</v>
      </c>
    </row>
    <row r="61" spans="1:8" x14ac:dyDescent="0.3">
      <c r="A61" s="447" t="s">
        <v>116</v>
      </c>
      <c r="B61" s="448"/>
      <c r="C61" s="4" t="s">
        <v>3</v>
      </c>
      <c r="D61" s="22">
        <f>Balaka!P61</f>
        <v>14</v>
      </c>
      <c r="E61" s="22">
        <f>Liwonde!P61</f>
        <v>26</v>
      </c>
      <c r="F61" s="22">
        <f>Machinga!P61</f>
        <v>3</v>
      </c>
      <c r="G61" s="22">
        <f>Ntaja!P61</f>
        <v>5</v>
      </c>
      <c r="H61" s="34"/>
    </row>
    <row r="62" spans="1:8" ht="15.6" customHeight="1" x14ac:dyDescent="0.3">
      <c r="A62" s="447" t="s">
        <v>115</v>
      </c>
      <c r="B62" s="448"/>
      <c r="C62" s="4" t="s">
        <v>114</v>
      </c>
      <c r="D62" s="13">
        <f t="shared" ref="D62:G62" si="17">(D61*1000*31)/D9</f>
        <v>0.71185817948011387</v>
      </c>
      <c r="E62" s="13">
        <f t="shared" si="17"/>
        <v>1.0280415553273854</v>
      </c>
      <c r="F62" s="13">
        <f t="shared" si="17"/>
        <v>3.5095663987320278</v>
      </c>
      <c r="G62" s="13">
        <f t="shared" si="17"/>
        <v>3.9007449164485606</v>
      </c>
      <c r="H62" s="35"/>
    </row>
    <row r="63" spans="1:8" x14ac:dyDescent="0.3">
      <c r="A63" s="465" t="s">
        <v>113</v>
      </c>
      <c r="B63" s="466"/>
      <c r="C63" s="33" t="s">
        <v>3</v>
      </c>
      <c r="D63" s="22">
        <f>Balaka!P63</f>
        <v>425</v>
      </c>
      <c r="E63" s="22">
        <f>Liwonde!P63</f>
        <v>601</v>
      </c>
      <c r="F63" s="22">
        <f>Machinga!P63</f>
        <v>96</v>
      </c>
      <c r="G63" s="22">
        <f>Ntaja!P63</f>
        <v>59</v>
      </c>
      <c r="H63" s="34">
        <f>SUM(D63:G63)</f>
        <v>1181</v>
      </c>
    </row>
    <row r="64" spans="1:8" ht="14.4" x14ac:dyDescent="0.3">
      <c r="A64" s="467"/>
      <c r="B64" s="468"/>
      <c r="C64" s="468"/>
      <c r="D64" s="468"/>
      <c r="E64" s="468"/>
      <c r="F64" s="468"/>
      <c r="G64" s="468"/>
      <c r="H64" s="469"/>
    </row>
    <row r="65" spans="1:8" ht="14.4" customHeight="1" x14ac:dyDescent="0.3">
      <c r="A65" s="460" t="s">
        <v>112</v>
      </c>
      <c r="B65" s="461"/>
      <c r="C65" s="461"/>
      <c r="D65" s="461"/>
      <c r="E65" s="461"/>
      <c r="F65" s="461"/>
      <c r="G65" s="461"/>
      <c r="H65" s="462"/>
    </row>
    <row r="66" spans="1:8" x14ac:dyDescent="0.3">
      <c r="A66" s="476" t="s">
        <v>111</v>
      </c>
      <c r="B66" s="21" t="s">
        <v>85</v>
      </c>
      <c r="C66" s="4" t="s">
        <v>3</v>
      </c>
      <c r="D66" s="22">
        <f>Balaka!D66</f>
        <v>407</v>
      </c>
      <c r="E66" s="22">
        <f>Liwonde!D66</f>
        <v>678</v>
      </c>
      <c r="F66" s="22">
        <f>Machinga!P66</f>
        <v>2</v>
      </c>
      <c r="G66" s="22">
        <f>Ntaja!D66</f>
        <v>23</v>
      </c>
      <c r="H66" s="31">
        <f>D66</f>
        <v>407</v>
      </c>
    </row>
    <row r="67" spans="1:8" x14ac:dyDescent="0.3">
      <c r="A67" s="477"/>
      <c r="B67" s="21" t="s">
        <v>106</v>
      </c>
      <c r="C67" s="4" t="s">
        <v>3</v>
      </c>
      <c r="D67" s="22">
        <f>Balaka!P67</f>
        <v>468</v>
      </c>
      <c r="E67" s="22">
        <f>Liwonde!P67</f>
        <v>555</v>
      </c>
      <c r="F67" s="22">
        <f>Machinga!P67</f>
        <v>51</v>
      </c>
      <c r="G67" s="22">
        <f>Ntaja!P67</f>
        <v>133</v>
      </c>
      <c r="H67" s="31">
        <f>SUM(D67:G67)</f>
        <v>1207</v>
      </c>
    </row>
    <row r="68" spans="1:8" ht="27" x14ac:dyDescent="0.3">
      <c r="A68" s="477"/>
      <c r="B68" s="21" t="s">
        <v>105</v>
      </c>
      <c r="C68" s="4" t="s">
        <v>3</v>
      </c>
      <c r="D68" s="22">
        <f>Balaka!P68</f>
        <v>456</v>
      </c>
      <c r="E68" s="22">
        <f>Liwonde!P68</f>
        <v>153</v>
      </c>
      <c r="F68" s="22">
        <f>Machinga!P68</f>
        <v>22</v>
      </c>
      <c r="G68" s="22">
        <f>Ntaja!P68</f>
        <v>0</v>
      </c>
      <c r="H68" s="31">
        <f>SUM(D68:G68)</f>
        <v>631</v>
      </c>
    </row>
    <row r="69" spans="1:8" ht="27" x14ac:dyDescent="0.3">
      <c r="A69" s="477"/>
      <c r="B69" s="21" t="s">
        <v>104</v>
      </c>
      <c r="C69" s="4" t="s">
        <v>3</v>
      </c>
      <c r="D69" s="22">
        <f>Balaka!P69</f>
        <v>0</v>
      </c>
      <c r="E69" s="22">
        <f>Liwonde!P69</f>
        <v>223</v>
      </c>
      <c r="F69" s="22">
        <f>Machinga!P69</f>
        <v>27</v>
      </c>
      <c r="G69" s="22">
        <f>Ntaja!P69</f>
        <v>141</v>
      </c>
      <c r="H69" s="31">
        <f>SUM(D69:G69)</f>
        <v>391</v>
      </c>
    </row>
    <row r="70" spans="1:8" x14ac:dyDescent="0.3">
      <c r="A70" s="477"/>
      <c r="B70" s="21" t="s">
        <v>190</v>
      </c>
      <c r="C70" s="4" t="s">
        <v>3</v>
      </c>
      <c r="D70" s="3">
        <f>D68+D69</f>
        <v>456</v>
      </c>
      <c r="E70" s="3">
        <f t="shared" ref="E70:H70" si="18">E68+E69</f>
        <v>376</v>
      </c>
      <c r="F70" s="3">
        <f t="shared" si="18"/>
        <v>49</v>
      </c>
      <c r="G70" s="3">
        <f t="shared" si="18"/>
        <v>141</v>
      </c>
      <c r="H70" s="145">
        <f t="shared" si="18"/>
        <v>1022</v>
      </c>
    </row>
    <row r="71" spans="1:8" x14ac:dyDescent="0.3">
      <c r="A71" s="478"/>
      <c r="B71" s="21" t="s">
        <v>81</v>
      </c>
      <c r="C71" s="4" t="s">
        <v>3</v>
      </c>
      <c r="D71" s="22">
        <f>D66+D67-D70</f>
        <v>419</v>
      </c>
      <c r="E71" s="22">
        <f t="shared" ref="E71:G71" si="19">E66+E67-E70</f>
        <v>857</v>
      </c>
      <c r="F71" s="22">
        <f t="shared" si="19"/>
        <v>4</v>
      </c>
      <c r="G71" s="22">
        <f t="shared" si="19"/>
        <v>15</v>
      </c>
      <c r="H71" s="50">
        <f>H66+H67-H70</f>
        <v>592</v>
      </c>
    </row>
    <row r="72" spans="1:8" x14ac:dyDescent="0.3">
      <c r="A72" s="476" t="s">
        <v>110</v>
      </c>
      <c r="B72" s="21" t="s">
        <v>85</v>
      </c>
      <c r="C72" s="4" t="s">
        <v>3</v>
      </c>
      <c r="D72" s="22">
        <f>Balaka!D72</f>
        <v>0</v>
      </c>
      <c r="E72" s="22">
        <f>Liwonde!D72</f>
        <v>0</v>
      </c>
      <c r="F72" s="22">
        <f>Machinga!P72</f>
        <v>0</v>
      </c>
      <c r="G72" s="22">
        <f>Ntaja!D72</f>
        <v>0</v>
      </c>
      <c r="H72" s="31">
        <f>D72</f>
        <v>0</v>
      </c>
    </row>
    <row r="73" spans="1:8" x14ac:dyDescent="0.3">
      <c r="A73" s="477"/>
      <c r="B73" s="21" t="s">
        <v>106</v>
      </c>
      <c r="C73" s="4" t="s">
        <v>3</v>
      </c>
      <c r="D73" s="22">
        <f>Balaka!P73</f>
        <v>0</v>
      </c>
      <c r="E73" s="22">
        <f>Liwonde!P73</f>
        <v>0</v>
      </c>
      <c r="F73" s="22">
        <f>Machinga!P73</f>
        <v>0</v>
      </c>
      <c r="G73" s="22">
        <f>Ntaja!P73</f>
        <v>1</v>
      </c>
      <c r="H73" s="31">
        <f>SUM(D73:G73)</f>
        <v>1</v>
      </c>
    </row>
    <row r="74" spans="1:8" ht="27" x14ac:dyDescent="0.3">
      <c r="A74" s="477"/>
      <c r="B74" s="21" t="s">
        <v>105</v>
      </c>
      <c r="C74" s="4" t="s">
        <v>3</v>
      </c>
      <c r="D74" s="22">
        <f>Balaka!P74</f>
        <v>0</v>
      </c>
      <c r="E74" s="22">
        <f>Liwonde!P74</f>
        <v>0</v>
      </c>
      <c r="F74" s="22">
        <f>Machinga!P74</f>
        <v>0</v>
      </c>
      <c r="G74" s="22">
        <f>Ntaja!P74</f>
        <v>0</v>
      </c>
      <c r="H74" s="31">
        <f>SUM(D74:G74)</f>
        <v>0</v>
      </c>
    </row>
    <row r="75" spans="1:8" ht="27" x14ac:dyDescent="0.3">
      <c r="A75" s="477"/>
      <c r="B75" s="21" t="s">
        <v>104</v>
      </c>
      <c r="C75" s="4" t="s">
        <v>3</v>
      </c>
      <c r="D75" s="22">
        <f>Balaka!P75</f>
        <v>0</v>
      </c>
      <c r="E75" s="22">
        <f>Liwonde!P75</f>
        <v>0</v>
      </c>
      <c r="F75" s="22">
        <f>Machinga!P75</f>
        <v>0</v>
      </c>
      <c r="G75" s="22">
        <f>Ntaja!P75</f>
        <v>1</v>
      </c>
      <c r="H75" s="31"/>
    </row>
    <row r="76" spans="1:8" x14ac:dyDescent="0.3">
      <c r="A76" s="477"/>
      <c r="B76" s="21" t="s">
        <v>190</v>
      </c>
      <c r="C76" s="4" t="s">
        <v>3</v>
      </c>
      <c r="D76" s="3">
        <f>D74+D75</f>
        <v>0</v>
      </c>
      <c r="E76" s="3">
        <f t="shared" ref="E76:G76" si="20">E74+E75</f>
        <v>0</v>
      </c>
      <c r="F76" s="3">
        <f t="shared" si="20"/>
        <v>0</v>
      </c>
      <c r="G76" s="3">
        <f t="shared" si="20"/>
        <v>1</v>
      </c>
      <c r="H76" s="145">
        <f t="shared" ref="H76" si="21">H74+H75</f>
        <v>0</v>
      </c>
    </row>
    <row r="77" spans="1:8" x14ac:dyDescent="0.3">
      <c r="A77" s="478"/>
      <c r="B77" s="21" t="s">
        <v>81</v>
      </c>
      <c r="C77" s="4" t="s">
        <v>3</v>
      </c>
      <c r="D77" s="22">
        <f>D73+D74-D76</f>
        <v>0</v>
      </c>
      <c r="E77" s="22">
        <f t="shared" ref="E77:H77" si="22">E73+E74-E76</f>
        <v>0</v>
      </c>
      <c r="F77" s="22">
        <f t="shared" si="22"/>
        <v>0</v>
      </c>
      <c r="G77" s="22">
        <f t="shared" si="22"/>
        <v>0</v>
      </c>
      <c r="H77" s="50">
        <f t="shared" si="22"/>
        <v>1</v>
      </c>
    </row>
    <row r="78" spans="1:8" ht="15.6" customHeight="1" x14ac:dyDescent="0.3">
      <c r="A78" s="476" t="s">
        <v>109</v>
      </c>
      <c r="B78" s="21" t="s">
        <v>85</v>
      </c>
      <c r="C78" s="4" t="s">
        <v>3</v>
      </c>
      <c r="D78" s="22">
        <f>Balaka!D78</f>
        <v>0</v>
      </c>
      <c r="E78" s="22">
        <f>Liwonde!D78</f>
        <v>0</v>
      </c>
      <c r="F78" s="22">
        <f>Machinga!P78</f>
        <v>0</v>
      </c>
      <c r="G78" s="22">
        <f>Ntaja!D78</f>
        <v>0</v>
      </c>
      <c r="H78" s="31">
        <f>D78</f>
        <v>0</v>
      </c>
    </row>
    <row r="79" spans="1:8" x14ac:dyDescent="0.3">
      <c r="A79" s="477"/>
      <c r="B79" s="21" t="s">
        <v>106</v>
      </c>
      <c r="C79" s="4" t="s">
        <v>3</v>
      </c>
      <c r="D79" s="22">
        <f>Balaka!P79</f>
        <v>0</v>
      </c>
      <c r="E79" s="22">
        <f>Liwonde!P79</f>
        <v>0</v>
      </c>
      <c r="F79" s="22">
        <f>Machinga!P79</f>
        <v>0</v>
      </c>
      <c r="G79" s="22">
        <f>Ntaja!P79</f>
        <v>1</v>
      </c>
      <c r="H79" s="31">
        <f>SUM(D79:G79)</f>
        <v>1</v>
      </c>
    </row>
    <row r="80" spans="1:8" ht="27" x14ac:dyDescent="0.3">
      <c r="A80" s="477"/>
      <c r="B80" s="21" t="s">
        <v>105</v>
      </c>
      <c r="C80" s="4" t="s">
        <v>3</v>
      </c>
      <c r="D80" s="22">
        <f>Balaka!P80</f>
        <v>0</v>
      </c>
      <c r="E80" s="22">
        <f>Liwonde!P80</f>
        <v>0</v>
      </c>
      <c r="F80" s="22">
        <f>Machinga!P80</f>
        <v>0</v>
      </c>
      <c r="G80" s="22">
        <f>Ntaja!P80</f>
        <v>0</v>
      </c>
      <c r="H80" s="31">
        <f>SUM(D80:G80)</f>
        <v>0</v>
      </c>
    </row>
    <row r="81" spans="1:8" ht="27" x14ac:dyDescent="0.3">
      <c r="A81" s="477"/>
      <c r="B81" s="21" t="s">
        <v>104</v>
      </c>
      <c r="C81" s="4" t="s">
        <v>3</v>
      </c>
      <c r="D81" s="22">
        <f>Balaka!P81</f>
        <v>0</v>
      </c>
      <c r="E81" s="22">
        <f>Liwonde!P81</f>
        <v>0</v>
      </c>
      <c r="F81" s="22">
        <f>Machinga!P81</f>
        <v>0</v>
      </c>
      <c r="G81" s="22">
        <f>Ntaja!P81</f>
        <v>1</v>
      </c>
      <c r="H81" s="31">
        <f>SUM(D81:G81)</f>
        <v>1</v>
      </c>
    </row>
    <row r="82" spans="1:8" x14ac:dyDescent="0.3">
      <c r="A82" s="477"/>
      <c r="B82" s="21" t="s">
        <v>190</v>
      </c>
      <c r="C82" s="4" t="s">
        <v>3</v>
      </c>
      <c r="D82" s="3">
        <f>D80+D81</f>
        <v>0</v>
      </c>
      <c r="E82" s="3">
        <f t="shared" ref="E82:G82" si="23">E80+E81</f>
        <v>0</v>
      </c>
      <c r="F82" s="3">
        <f t="shared" si="23"/>
        <v>0</v>
      </c>
      <c r="G82" s="3">
        <f t="shared" si="23"/>
        <v>1</v>
      </c>
      <c r="H82" s="145">
        <f t="shared" ref="H82" si="24">H81+H80</f>
        <v>1</v>
      </c>
    </row>
    <row r="83" spans="1:8" x14ac:dyDescent="0.3">
      <c r="A83" s="478"/>
      <c r="B83" s="21" t="s">
        <v>81</v>
      </c>
      <c r="C83" s="4" t="s">
        <v>3</v>
      </c>
      <c r="D83" s="22">
        <f>D78+D79-D82</f>
        <v>0</v>
      </c>
      <c r="E83" s="22">
        <f t="shared" ref="E83:H83" si="25">E78+E79-E82</f>
        <v>0</v>
      </c>
      <c r="F83" s="22">
        <f t="shared" si="25"/>
        <v>0</v>
      </c>
      <c r="G83" s="22">
        <f t="shared" si="25"/>
        <v>0</v>
      </c>
      <c r="H83" s="50">
        <f t="shared" si="25"/>
        <v>0</v>
      </c>
    </row>
    <row r="84" spans="1:8" x14ac:dyDescent="0.3">
      <c r="A84" s="479" t="s">
        <v>108</v>
      </c>
      <c r="B84" s="21" t="s">
        <v>85</v>
      </c>
      <c r="C84" s="4" t="s">
        <v>3</v>
      </c>
      <c r="D84" s="22">
        <f>Balaka!D84</f>
        <v>0</v>
      </c>
      <c r="E84" s="22">
        <f>Liwonde!D84</f>
        <v>0</v>
      </c>
      <c r="F84" s="22">
        <f>Machinga!P84</f>
        <v>0</v>
      </c>
      <c r="G84" s="22">
        <f>Ntaja!D84</f>
        <v>0</v>
      </c>
      <c r="H84" s="31">
        <f>D84</f>
        <v>0</v>
      </c>
    </row>
    <row r="85" spans="1:8" x14ac:dyDescent="0.3">
      <c r="A85" s="480"/>
      <c r="B85" s="21" t="s">
        <v>106</v>
      </c>
      <c r="C85" s="4" t="s">
        <v>3</v>
      </c>
      <c r="D85" s="22">
        <f>Balaka!P85</f>
        <v>0</v>
      </c>
      <c r="E85" s="22">
        <f>Liwonde!P85</f>
        <v>0</v>
      </c>
      <c r="F85" s="22">
        <f>Machinga!P85</f>
        <v>0</v>
      </c>
      <c r="G85" s="22">
        <f>Ntaja!P85</f>
        <v>0</v>
      </c>
      <c r="H85" s="31">
        <f>SUM(D85:G85)</f>
        <v>0</v>
      </c>
    </row>
    <row r="86" spans="1:8" ht="27" x14ac:dyDescent="0.3">
      <c r="A86" s="480"/>
      <c r="B86" s="21" t="s">
        <v>105</v>
      </c>
      <c r="C86" s="4" t="s">
        <v>3</v>
      </c>
      <c r="D86" s="22">
        <f>Balaka!P86</f>
        <v>0</v>
      </c>
      <c r="E86" s="22">
        <f>Liwonde!P86</f>
        <v>0</v>
      </c>
      <c r="F86" s="22">
        <f>Machinga!P86</f>
        <v>0</v>
      </c>
      <c r="G86" s="22">
        <f>Ntaja!P86</f>
        <v>0</v>
      </c>
      <c r="H86" s="31">
        <f>SUM(D86:G86)</f>
        <v>0</v>
      </c>
    </row>
    <row r="87" spans="1:8" ht="27" x14ac:dyDescent="0.3">
      <c r="A87" s="480"/>
      <c r="B87" s="21" t="s">
        <v>104</v>
      </c>
      <c r="C87" s="4" t="s">
        <v>3</v>
      </c>
      <c r="D87" s="22">
        <f>Balaka!P87</f>
        <v>0</v>
      </c>
      <c r="E87" s="22">
        <f>Liwonde!P87</f>
        <v>0</v>
      </c>
      <c r="F87" s="22">
        <f>Machinga!P87</f>
        <v>0</v>
      </c>
      <c r="G87" s="22">
        <f>Ntaja!P87</f>
        <v>0</v>
      </c>
      <c r="H87" s="31">
        <f>SUM(D87:G87)</f>
        <v>0</v>
      </c>
    </row>
    <row r="88" spans="1:8" x14ac:dyDescent="0.3">
      <c r="A88" s="480"/>
      <c r="B88" s="21" t="s">
        <v>190</v>
      </c>
      <c r="C88" s="4" t="s">
        <v>3</v>
      </c>
      <c r="D88" s="3">
        <f>D86+D87</f>
        <v>0</v>
      </c>
      <c r="E88" s="3">
        <f t="shared" ref="E88:G88" si="26">E86+E87</f>
        <v>0</v>
      </c>
      <c r="F88" s="3">
        <f t="shared" si="26"/>
        <v>0</v>
      </c>
      <c r="G88" s="3">
        <f t="shared" si="26"/>
        <v>0</v>
      </c>
      <c r="H88" s="31">
        <f>SUM(D88:G88)</f>
        <v>0</v>
      </c>
    </row>
    <row r="89" spans="1:8" x14ac:dyDescent="0.3">
      <c r="A89" s="481"/>
      <c r="B89" s="32" t="s">
        <v>81</v>
      </c>
      <c r="C89" s="4" t="s">
        <v>3</v>
      </c>
      <c r="D89" s="22">
        <f>D84+D85-D88</f>
        <v>0</v>
      </c>
      <c r="E89" s="22"/>
      <c r="F89" s="22"/>
      <c r="G89" s="22"/>
      <c r="H89" s="50">
        <f t="shared" ref="H89" si="27">H84+H85-H86-H87</f>
        <v>0</v>
      </c>
    </row>
    <row r="90" spans="1:8" x14ac:dyDescent="0.3">
      <c r="A90" s="479" t="s">
        <v>107</v>
      </c>
      <c r="B90" s="21" t="s">
        <v>85</v>
      </c>
      <c r="C90" s="4" t="s">
        <v>3</v>
      </c>
      <c r="D90" s="119">
        <f>D66+D72+D78+D84</f>
        <v>407</v>
      </c>
      <c r="E90" s="119">
        <f t="shared" ref="E90:G90" si="28">E66+E72+E78+E84</f>
        <v>678</v>
      </c>
      <c r="F90" s="119">
        <f t="shared" si="28"/>
        <v>2</v>
      </c>
      <c r="G90" s="119">
        <f t="shared" si="28"/>
        <v>23</v>
      </c>
      <c r="H90" s="31">
        <f>SUM(D90:G90)</f>
        <v>1110</v>
      </c>
    </row>
    <row r="91" spans="1:8" x14ac:dyDescent="0.3">
      <c r="A91" s="480"/>
      <c r="B91" s="21" t="s">
        <v>106</v>
      </c>
      <c r="C91" s="4" t="s">
        <v>3</v>
      </c>
      <c r="D91" s="119">
        <f t="shared" ref="D91:G93" si="29">D67+D73+D79+D85</f>
        <v>468</v>
      </c>
      <c r="E91" s="119">
        <f t="shared" si="29"/>
        <v>555</v>
      </c>
      <c r="F91" s="119">
        <f t="shared" si="29"/>
        <v>51</v>
      </c>
      <c r="G91" s="119">
        <f t="shared" si="29"/>
        <v>135</v>
      </c>
      <c r="H91" s="31">
        <f>SUM(D91:G91)</f>
        <v>1209</v>
      </c>
    </row>
    <row r="92" spans="1:8" ht="27" x14ac:dyDescent="0.3">
      <c r="A92" s="480"/>
      <c r="B92" s="21" t="s">
        <v>105</v>
      </c>
      <c r="C92" s="4" t="s">
        <v>3</v>
      </c>
      <c r="D92" s="119">
        <f t="shared" si="29"/>
        <v>456</v>
      </c>
      <c r="E92" s="119">
        <f t="shared" si="29"/>
        <v>153</v>
      </c>
      <c r="F92" s="119">
        <f t="shared" si="29"/>
        <v>22</v>
      </c>
      <c r="G92" s="119">
        <f t="shared" si="29"/>
        <v>0</v>
      </c>
      <c r="H92" s="31">
        <f>SUM(D92:G92)</f>
        <v>631</v>
      </c>
    </row>
    <row r="93" spans="1:8" ht="27" x14ac:dyDescent="0.3">
      <c r="A93" s="480"/>
      <c r="B93" s="21" t="s">
        <v>104</v>
      </c>
      <c r="C93" s="4"/>
      <c r="D93" s="119">
        <f t="shared" si="29"/>
        <v>0</v>
      </c>
      <c r="E93" s="119">
        <f t="shared" si="29"/>
        <v>223</v>
      </c>
      <c r="F93" s="119">
        <f t="shared" si="29"/>
        <v>27</v>
      </c>
      <c r="G93" s="119">
        <f t="shared" si="29"/>
        <v>143</v>
      </c>
      <c r="H93" s="31">
        <f>SUM(D93:G93)</f>
        <v>393</v>
      </c>
    </row>
    <row r="94" spans="1:8" x14ac:dyDescent="0.3">
      <c r="A94" s="480"/>
      <c r="B94" s="21" t="s">
        <v>190</v>
      </c>
      <c r="C94" s="4" t="s">
        <v>3</v>
      </c>
      <c r="D94" s="120">
        <f>D93+D92</f>
        <v>456</v>
      </c>
      <c r="E94" s="120">
        <f t="shared" ref="E94:G94" si="30">E93+E92</f>
        <v>376</v>
      </c>
      <c r="F94" s="120">
        <f t="shared" si="30"/>
        <v>49</v>
      </c>
      <c r="G94" s="120">
        <f t="shared" si="30"/>
        <v>143</v>
      </c>
      <c r="H94" s="127">
        <f t="shared" ref="H94" si="31">H93+H92</f>
        <v>1024</v>
      </c>
    </row>
    <row r="95" spans="1:8" ht="16.2" thickBot="1" x14ac:dyDescent="0.35">
      <c r="A95" s="481"/>
      <c r="B95" s="21" t="s">
        <v>81</v>
      </c>
      <c r="C95" s="4" t="s">
        <v>3</v>
      </c>
      <c r="D95" s="121">
        <f>D90+D91-D94</f>
        <v>419</v>
      </c>
      <c r="E95" s="121">
        <f t="shared" ref="E95:G95" si="32">E90+E91-E94</f>
        <v>857</v>
      </c>
      <c r="F95" s="121">
        <f t="shared" si="32"/>
        <v>4</v>
      </c>
      <c r="G95" s="121">
        <f t="shared" si="32"/>
        <v>15</v>
      </c>
      <c r="H95" s="128">
        <f t="shared" ref="H95" si="33">H90+H91-H94</f>
        <v>1295</v>
      </c>
    </row>
    <row r="96" spans="1:8" ht="16.2" customHeight="1" thickBot="1" x14ac:dyDescent="0.35">
      <c r="A96" s="482"/>
      <c r="B96" s="483"/>
      <c r="C96" s="483"/>
      <c r="D96" s="483"/>
      <c r="E96" s="483"/>
      <c r="F96" s="483"/>
      <c r="G96" s="483"/>
      <c r="H96" s="484"/>
    </row>
    <row r="97" spans="1:8" ht="15.75" customHeight="1" thickBot="1" x14ac:dyDescent="0.35">
      <c r="A97" s="470" t="s">
        <v>191</v>
      </c>
      <c r="B97" s="471"/>
      <c r="C97" s="471"/>
      <c r="D97" s="471"/>
      <c r="E97" s="471"/>
      <c r="F97" s="471"/>
      <c r="G97" s="471"/>
      <c r="H97" s="472"/>
    </row>
    <row r="98" spans="1:8" x14ac:dyDescent="0.3">
      <c r="A98" s="72" t="s">
        <v>192</v>
      </c>
      <c r="B98" s="62"/>
      <c r="C98" s="4" t="s">
        <v>3</v>
      </c>
      <c r="D98" s="22">
        <f>Balaka!P98</f>
        <v>589</v>
      </c>
      <c r="E98" s="22">
        <f>Liwonde!P98</f>
        <v>359</v>
      </c>
      <c r="F98" s="22">
        <f>Machinga!P98</f>
        <v>56</v>
      </c>
      <c r="G98" s="22">
        <f>Ntaja!P98</f>
        <v>122</v>
      </c>
      <c r="H98" s="146">
        <f>SUM(D98:G98)</f>
        <v>1126</v>
      </c>
    </row>
    <row r="99" spans="1:8" x14ac:dyDescent="0.3">
      <c r="A99" s="72"/>
      <c r="B99" s="21"/>
      <c r="C99" s="4"/>
      <c r="D99" s="59">
        <f>D94/3269*400</f>
        <v>55.796879779749155</v>
      </c>
      <c r="E99" s="59">
        <f t="shared" ref="E99:G99" si="34">E94/3269*400</f>
        <v>46.007953502600188</v>
      </c>
      <c r="F99" s="59">
        <f t="shared" si="34"/>
        <v>5.9957173447537473</v>
      </c>
      <c r="G99" s="59">
        <f t="shared" si="34"/>
        <v>17.497705720403793</v>
      </c>
      <c r="H99" s="127"/>
    </row>
    <row r="100" spans="1:8" ht="14.4" x14ac:dyDescent="0.3">
      <c r="A100" s="473" t="s">
        <v>103</v>
      </c>
      <c r="B100" s="474"/>
      <c r="C100" s="474"/>
      <c r="D100" s="474"/>
      <c r="E100" s="474"/>
      <c r="F100" s="474"/>
      <c r="G100" s="474"/>
      <c r="H100" s="475"/>
    </row>
    <row r="101" spans="1:8" x14ac:dyDescent="0.3">
      <c r="A101" s="447" t="s">
        <v>102</v>
      </c>
      <c r="B101" s="448"/>
      <c r="C101" s="4" t="s">
        <v>3</v>
      </c>
      <c r="D101" s="22">
        <f>Balaka!P101</f>
        <v>2544</v>
      </c>
      <c r="E101" s="22">
        <f>Liwonde!P101</f>
        <v>1684</v>
      </c>
      <c r="F101" s="22">
        <f>Machinga!P101</f>
        <v>214</v>
      </c>
      <c r="G101" s="22">
        <f>Ntaja!P101</f>
        <v>0</v>
      </c>
      <c r="H101" s="146">
        <f>SUM(D101:G101)</f>
        <v>4442</v>
      </c>
    </row>
    <row r="102" spans="1:8" x14ac:dyDescent="0.3">
      <c r="A102" s="447" t="s">
        <v>101</v>
      </c>
      <c r="B102" s="448"/>
      <c r="C102" s="4" t="s">
        <v>3</v>
      </c>
      <c r="D102" s="22">
        <f>Balaka!P102</f>
        <v>62</v>
      </c>
      <c r="E102" s="22">
        <f>Liwonde!P102</f>
        <v>33</v>
      </c>
      <c r="F102" s="22">
        <f>Machinga!P102</f>
        <v>5</v>
      </c>
      <c r="G102" s="22">
        <f>Ntaja!P102</f>
        <v>0</v>
      </c>
      <c r="H102" s="146">
        <f>SUM(D102:G102)</f>
        <v>100</v>
      </c>
    </row>
    <row r="103" spans="1:8" ht="15.6" customHeight="1" x14ac:dyDescent="0.3">
      <c r="A103" s="445" t="s">
        <v>100</v>
      </c>
      <c r="B103" s="446"/>
      <c r="C103" s="4" t="s">
        <v>3</v>
      </c>
      <c r="D103" s="22">
        <f>Balaka!P103</f>
        <v>94</v>
      </c>
      <c r="E103" s="22">
        <f>Liwonde!P103</f>
        <v>20</v>
      </c>
      <c r="F103" s="22">
        <f>Machinga!P103</f>
        <v>3</v>
      </c>
      <c r="G103" s="22">
        <f>Ntaja!P103</f>
        <v>3</v>
      </c>
      <c r="H103" s="146">
        <f>SUM(D103:G103)</f>
        <v>120</v>
      </c>
    </row>
    <row r="104" spans="1:8" x14ac:dyDescent="0.3">
      <c r="A104" s="445" t="s">
        <v>99</v>
      </c>
      <c r="B104" s="446"/>
      <c r="C104" s="4" t="s">
        <v>3</v>
      </c>
      <c r="D104" s="22">
        <f>Balaka!P104</f>
        <v>19</v>
      </c>
      <c r="E104" s="22">
        <f>Liwonde!P104</f>
        <v>15</v>
      </c>
      <c r="F104" s="22">
        <f>Machinga!P104</f>
        <v>0</v>
      </c>
      <c r="G104" s="22">
        <f>Ntaja!P104</f>
        <v>0</v>
      </c>
      <c r="H104" s="146">
        <f>SUM(D104:G104)</f>
        <v>34</v>
      </c>
    </row>
    <row r="105" spans="1:8" x14ac:dyDescent="0.3">
      <c r="A105" s="485" t="s">
        <v>98</v>
      </c>
      <c r="B105" s="486"/>
      <c r="C105" s="4" t="s">
        <v>3</v>
      </c>
      <c r="D105" s="29">
        <f>SUM(D101:D104)</f>
        <v>2719</v>
      </c>
      <c r="E105" s="29">
        <f t="shared" ref="E105:H105" si="35">SUM(E101:E104)</f>
        <v>1752</v>
      </c>
      <c r="F105" s="29">
        <f t="shared" si="35"/>
        <v>222</v>
      </c>
      <c r="G105" s="29">
        <f t="shared" si="35"/>
        <v>3</v>
      </c>
      <c r="H105" s="50">
        <f t="shared" si="35"/>
        <v>4696</v>
      </c>
    </row>
    <row r="106" spans="1:8" ht="15.6" customHeight="1" x14ac:dyDescent="0.3">
      <c r="A106" s="487" t="s">
        <v>212</v>
      </c>
      <c r="B106" s="488"/>
      <c r="C106" s="488"/>
      <c r="D106" s="488"/>
      <c r="E106" s="488"/>
      <c r="F106" s="488"/>
      <c r="G106" s="488"/>
      <c r="H106" s="489"/>
    </row>
    <row r="107" spans="1:8" x14ac:dyDescent="0.3">
      <c r="A107" s="447" t="s">
        <v>195</v>
      </c>
      <c r="B107" s="448"/>
      <c r="C107" s="4" t="s">
        <v>3</v>
      </c>
      <c r="D107" s="22">
        <f>Balaka!P107</f>
        <v>3166</v>
      </c>
      <c r="E107" s="22">
        <f>Liwonde!P107</f>
        <v>2677</v>
      </c>
      <c r="F107" s="22">
        <f>Machinga!P107</f>
        <v>17</v>
      </c>
      <c r="G107" s="22">
        <f>Ntaja!P107</f>
        <v>1</v>
      </c>
      <c r="H107" s="146">
        <f>SUM(D107:G107)</f>
        <v>5861</v>
      </c>
    </row>
    <row r="108" spans="1:8" x14ac:dyDescent="0.3">
      <c r="A108" s="447" t="s">
        <v>196</v>
      </c>
      <c r="B108" s="448"/>
      <c r="C108" s="4" t="s">
        <v>3</v>
      </c>
      <c r="D108" s="22">
        <f>Balaka!P108</f>
        <v>6</v>
      </c>
      <c r="E108" s="22">
        <f>Liwonde!P108</f>
        <v>9</v>
      </c>
      <c r="F108" s="22">
        <f>Machinga!P108</f>
        <v>1</v>
      </c>
      <c r="G108" s="22">
        <f>Ntaja!P108</f>
        <v>2</v>
      </c>
      <c r="H108" s="146">
        <f>SUM(D108:G108)</f>
        <v>18</v>
      </c>
    </row>
    <row r="109" spans="1:8" x14ac:dyDescent="0.3">
      <c r="A109" s="447" t="s">
        <v>197</v>
      </c>
      <c r="B109" s="448"/>
      <c r="C109" s="4" t="s">
        <v>3</v>
      </c>
      <c r="D109" s="22">
        <f>Balaka!P109</f>
        <v>2</v>
      </c>
      <c r="E109" s="22">
        <f>Liwonde!P109</f>
        <v>8</v>
      </c>
      <c r="F109" s="22">
        <f>Machinga!P109</f>
        <v>0</v>
      </c>
      <c r="G109" s="22">
        <f>Ntaja!P109</f>
        <v>0</v>
      </c>
      <c r="H109" s="146">
        <f>SUM(D109:G109)</f>
        <v>10</v>
      </c>
    </row>
    <row r="110" spans="1:8" x14ac:dyDescent="0.3">
      <c r="A110" s="447" t="s">
        <v>198</v>
      </c>
      <c r="B110" s="448"/>
      <c r="C110" s="4" t="s">
        <v>3</v>
      </c>
      <c r="D110" s="22">
        <f>Balaka!P110</f>
        <v>10</v>
      </c>
      <c r="E110" s="22">
        <f>Liwonde!P110</f>
        <v>11</v>
      </c>
      <c r="F110" s="22">
        <f>Machinga!P110</f>
        <v>0</v>
      </c>
      <c r="G110" s="22">
        <f>Ntaja!P110</f>
        <v>0</v>
      </c>
      <c r="H110" s="146">
        <f>SUM(D110:G110)</f>
        <v>21</v>
      </c>
    </row>
    <row r="111" spans="1:8" x14ac:dyDescent="0.3">
      <c r="A111" s="449" t="s">
        <v>97</v>
      </c>
      <c r="B111" s="450"/>
      <c r="C111" s="4" t="s">
        <v>3</v>
      </c>
      <c r="D111" s="29">
        <f>SUM(D107:D110)</f>
        <v>3184</v>
      </c>
      <c r="E111" s="29">
        <f t="shared" ref="E111:H111" si="36">SUM(E107:E110)</f>
        <v>2705</v>
      </c>
      <c r="F111" s="29">
        <f t="shared" si="36"/>
        <v>18</v>
      </c>
      <c r="G111" s="29">
        <f t="shared" si="36"/>
        <v>3</v>
      </c>
      <c r="H111" s="50">
        <f t="shared" si="36"/>
        <v>5910</v>
      </c>
    </row>
    <row r="112" spans="1:8" ht="15.6" customHeight="1" x14ac:dyDescent="0.3">
      <c r="A112" s="473" t="s">
        <v>212</v>
      </c>
      <c r="B112" s="474"/>
      <c r="C112" s="474"/>
      <c r="D112" s="474"/>
      <c r="E112" s="474"/>
      <c r="F112" s="474"/>
      <c r="G112" s="474"/>
      <c r="H112" s="475"/>
    </row>
    <row r="113" spans="1:8" x14ac:dyDescent="0.3">
      <c r="A113" s="447" t="s">
        <v>199</v>
      </c>
      <c r="B113" s="448"/>
      <c r="C113" s="4" t="s">
        <v>3</v>
      </c>
      <c r="D113" s="22">
        <f>Balaka!P113</f>
        <v>2390</v>
      </c>
      <c r="E113" s="22">
        <f>Liwonde!P113</f>
        <v>1636</v>
      </c>
      <c r="F113" s="22">
        <f>Machinga!P113</f>
        <v>347</v>
      </c>
      <c r="G113" s="22">
        <f>Ntaja!P113</f>
        <v>667</v>
      </c>
      <c r="H113" s="146">
        <f>SUM(D113:G113)</f>
        <v>5040</v>
      </c>
    </row>
    <row r="114" spans="1:8" x14ac:dyDescent="0.3">
      <c r="A114" s="447" t="s">
        <v>200</v>
      </c>
      <c r="B114" s="448"/>
      <c r="C114" s="4" t="s">
        <v>3</v>
      </c>
      <c r="D114" s="22">
        <f>Balaka!P114</f>
        <v>67</v>
      </c>
      <c r="E114" s="22">
        <f>Liwonde!P114</f>
        <v>45</v>
      </c>
      <c r="F114" s="22">
        <f>Machinga!P114</f>
        <v>14</v>
      </c>
      <c r="G114" s="22">
        <f>Ntaja!P114</f>
        <v>21</v>
      </c>
      <c r="H114" s="146">
        <f>SUM(D114:G114)</f>
        <v>147</v>
      </c>
    </row>
    <row r="115" spans="1:8" x14ac:dyDescent="0.3">
      <c r="A115" s="447" t="s">
        <v>201</v>
      </c>
      <c r="B115" s="448"/>
      <c r="C115" s="4" t="s">
        <v>3</v>
      </c>
      <c r="D115" s="22">
        <f>Balaka!P115</f>
        <v>75</v>
      </c>
      <c r="E115" s="22">
        <f>Liwonde!P115</f>
        <v>114</v>
      </c>
      <c r="F115" s="22">
        <f>Machinga!P115</f>
        <v>27</v>
      </c>
      <c r="G115" s="22">
        <f>Ntaja!P115</f>
        <v>17</v>
      </c>
      <c r="H115" s="146">
        <f>SUM(D115:G115)</f>
        <v>233</v>
      </c>
    </row>
    <row r="116" spans="1:8" x14ac:dyDescent="0.3">
      <c r="A116" s="447" t="s">
        <v>202</v>
      </c>
      <c r="B116" s="448"/>
      <c r="C116" s="4" t="s">
        <v>3</v>
      </c>
      <c r="D116" s="22">
        <f>Balaka!P116</f>
        <v>5</v>
      </c>
      <c r="E116" s="22">
        <f>Liwonde!P116</f>
        <v>1</v>
      </c>
      <c r="F116" s="22">
        <f>Machinga!P116</f>
        <v>0</v>
      </c>
      <c r="G116" s="22">
        <f>Ntaja!P116</f>
        <v>3</v>
      </c>
      <c r="H116" s="146">
        <f>SUM(D116:G116)</f>
        <v>9</v>
      </c>
    </row>
    <row r="117" spans="1:8" x14ac:dyDescent="0.3">
      <c r="A117" s="449" t="s">
        <v>96</v>
      </c>
      <c r="B117" s="450"/>
      <c r="C117" s="4" t="s">
        <v>3</v>
      </c>
      <c r="D117" s="29">
        <f>SUM(D113:D116)</f>
        <v>2537</v>
      </c>
      <c r="E117" s="29">
        <f t="shared" ref="E117:H117" si="37">SUM(E113:E116)</f>
        <v>1796</v>
      </c>
      <c r="F117" s="29">
        <f t="shared" si="37"/>
        <v>388</v>
      </c>
      <c r="G117" s="29">
        <f t="shared" si="37"/>
        <v>708</v>
      </c>
      <c r="H117" s="50">
        <f t="shared" si="37"/>
        <v>5429</v>
      </c>
    </row>
    <row r="118" spans="1:8" x14ac:dyDescent="0.3">
      <c r="A118" s="69" t="s">
        <v>193</v>
      </c>
      <c r="B118" s="70"/>
      <c r="C118" s="4" t="s">
        <v>3</v>
      </c>
      <c r="D118" s="29">
        <f>D111+D117</f>
        <v>5721</v>
      </c>
      <c r="E118" s="29">
        <f t="shared" ref="E118:H118" si="38">E111+E117</f>
        <v>4501</v>
      </c>
      <c r="F118" s="29">
        <f t="shared" si="38"/>
        <v>406</v>
      </c>
      <c r="G118" s="29">
        <f t="shared" si="38"/>
        <v>711</v>
      </c>
      <c r="H118" s="50">
        <f t="shared" si="38"/>
        <v>11339</v>
      </c>
    </row>
    <row r="119" spans="1:8" x14ac:dyDescent="0.3">
      <c r="A119" s="449" t="s">
        <v>194</v>
      </c>
      <c r="B119" s="450"/>
      <c r="C119" s="4" t="s">
        <v>3</v>
      </c>
      <c r="D119" s="29">
        <f>D118+D105</f>
        <v>8440</v>
      </c>
      <c r="E119" s="29">
        <f t="shared" ref="E119:H119" si="39">E118+E105</f>
        <v>6253</v>
      </c>
      <c r="F119" s="29">
        <f t="shared" si="39"/>
        <v>628</v>
      </c>
      <c r="G119" s="29">
        <f t="shared" si="39"/>
        <v>714</v>
      </c>
      <c r="H119" s="50">
        <f t="shared" si="39"/>
        <v>16035</v>
      </c>
    </row>
    <row r="120" spans="1:8" ht="14.4" x14ac:dyDescent="0.3">
      <c r="A120" s="441" t="s">
        <v>203</v>
      </c>
      <c r="B120" s="442"/>
      <c r="C120" s="442"/>
      <c r="D120" s="442"/>
      <c r="E120" s="442"/>
      <c r="F120" s="442"/>
      <c r="G120" s="442"/>
      <c r="H120" s="444"/>
    </row>
    <row r="121" spans="1:8" x14ac:dyDescent="0.3">
      <c r="A121" s="447" t="s">
        <v>95</v>
      </c>
      <c r="B121" s="448"/>
      <c r="C121" s="4" t="s">
        <v>3</v>
      </c>
      <c r="D121" s="22">
        <f>Balaka!P121</f>
        <v>47417</v>
      </c>
      <c r="E121" s="22">
        <f>Liwonde!P121</f>
        <v>43739</v>
      </c>
      <c r="F121" s="22">
        <f>Machinga!P121</f>
        <v>1537</v>
      </c>
      <c r="G121" s="22">
        <f>Ntaja!P121</f>
        <v>4303</v>
      </c>
      <c r="H121" s="27"/>
    </row>
    <row r="122" spans="1:8" x14ac:dyDescent="0.3">
      <c r="A122" s="447" t="s">
        <v>94</v>
      </c>
      <c r="B122" s="448"/>
      <c r="C122" s="4" t="s">
        <v>3</v>
      </c>
      <c r="D122" s="22">
        <f>Balaka!P122</f>
        <v>38974</v>
      </c>
      <c r="E122" s="22">
        <f>Liwonde!P122</f>
        <v>39363</v>
      </c>
      <c r="F122" s="22">
        <f>Machinga!P122</f>
        <v>1334</v>
      </c>
      <c r="G122" s="22">
        <f>Ntaja!P122</f>
        <v>2861</v>
      </c>
      <c r="H122" s="27"/>
    </row>
    <row r="123" spans="1:8" x14ac:dyDescent="0.3">
      <c r="A123" s="494" t="s">
        <v>93</v>
      </c>
      <c r="B123" s="495"/>
      <c r="C123" s="26" t="s">
        <v>6</v>
      </c>
      <c r="D123" s="25">
        <f t="shared" ref="D123:H123" si="40">D122/D121</f>
        <v>0.82194149777505954</v>
      </c>
      <c r="E123" s="25">
        <f t="shared" si="40"/>
        <v>0.89995198792839337</v>
      </c>
      <c r="F123" s="25">
        <f t="shared" si="40"/>
        <v>0.86792452830188682</v>
      </c>
      <c r="G123" s="25">
        <f t="shared" si="40"/>
        <v>0.66488496397861951</v>
      </c>
      <c r="H123" s="368" t="e">
        <f t="shared" si="40"/>
        <v>#DIV/0!</v>
      </c>
    </row>
    <row r="124" spans="1:8" ht="14.4" x14ac:dyDescent="0.3">
      <c r="A124" s="490" t="s">
        <v>92</v>
      </c>
      <c r="B124" s="491"/>
      <c r="C124" s="491"/>
      <c r="D124" s="491"/>
      <c r="E124" s="491"/>
      <c r="F124" s="491"/>
      <c r="G124" s="491"/>
      <c r="H124" s="492"/>
    </row>
    <row r="125" spans="1:8" x14ac:dyDescent="0.3">
      <c r="A125" s="453" t="s">
        <v>91</v>
      </c>
      <c r="B125" s="21" t="s">
        <v>85</v>
      </c>
      <c r="C125" s="4" t="s">
        <v>3</v>
      </c>
      <c r="D125" s="22">
        <f>Balaka!P125</f>
        <v>0</v>
      </c>
      <c r="E125" s="22">
        <f>Liwonde!P125</f>
        <v>0</v>
      </c>
      <c r="F125" s="22">
        <f>Machinga!P125</f>
        <v>0</v>
      </c>
      <c r="G125" s="22">
        <f>Ntaja!P125</f>
        <v>0</v>
      </c>
      <c r="H125" s="31">
        <f>SUM(D125:G125)</f>
        <v>0</v>
      </c>
    </row>
    <row r="126" spans="1:8" x14ac:dyDescent="0.3">
      <c r="A126" s="493"/>
      <c r="B126" s="21" t="s">
        <v>84</v>
      </c>
      <c r="C126" s="4" t="s">
        <v>3</v>
      </c>
      <c r="D126" s="22">
        <f>Balaka!P126</f>
        <v>0</v>
      </c>
      <c r="E126" s="22">
        <f>Liwonde!P126</f>
        <v>0</v>
      </c>
      <c r="F126" s="22">
        <f>Machinga!P126</f>
        <v>0</v>
      </c>
      <c r="G126" s="22">
        <f>Ntaja!P126</f>
        <v>0</v>
      </c>
      <c r="H126" s="31">
        <f>SUM(D126:G126)</f>
        <v>0</v>
      </c>
    </row>
    <row r="127" spans="1:8" x14ac:dyDescent="0.3">
      <c r="A127" s="493"/>
      <c r="B127" s="71" t="s">
        <v>88</v>
      </c>
      <c r="C127" s="4" t="s">
        <v>3</v>
      </c>
      <c r="D127" s="22">
        <f>Balaka!P127</f>
        <v>0</v>
      </c>
      <c r="E127" s="22">
        <f>Liwonde!P127</f>
        <v>0</v>
      </c>
      <c r="F127" s="22">
        <f>Machinga!P127</f>
        <v>0</v>
      </c>
      <c r="G127" s="22">
        <f>Ntaja!P127</f>
        <v>0</v>
      </c>
      <c r="H127" s="31">
        <f>SUM(D127:G127)</f>
        <v>0</v>
      </c>
    </row>
    <row r="128" spans="1:8" x14ac:dyDescent="0.3">
      <c r="A128" s="493"/>
      <c r="B128" s="21" t="s">
        <v>82</v>
      </c>
      <c r="C128" s="4" t="s">
        <v>3</v>
      </c>
      <c r="D128" s="22">
        <f>Balaka!P128</f>
        <v>0</v>
      </c>
      <c r="E128" s="22">
        <f>Liwonde!P128</f>
        <v>0</v>
      </c>
      <c r="F128" s="22">
        <f>Machinga!P128</f>
        <v>0</v>
      </c>
      <c r="G128" s="22">
        <f>Ntaja!P128</f>
        <v>0</v>
      </c>
      <c r="H128" s="31">
        <f>SUM(D128:G128)</f>
        <v>0</v>
      </c>
    </row>
    <row r="129" spans="1:8" x14ac:dyDescent="0.3">
      <c r="A129" s="454"/>
      <c r="B129" s="21" t="s">
        <v>81</v>
      </c>
      <c r="C129" s="4" t="s">
        <v>3</v>
      </c>
      <c r="D129" s="123">
        <f t="shared" ref="D129:H129" si="41">D125+D126-D127-D128</f>
        <v>0</v>
      </c>
      <c r="E129" s="123">
        <f t="shared" si="41"/>
        <v>0</v>
      </c>
      <c r="F129" s="123">
        <f t="shared" si="41"/>
        <v>0</v>
      </c>
      <c r="G129" s="123">
        <f t="shared" si="41"/>
        <v>0</v>
      </c>
      <c r="H129" s="31">
        <f t="shared" si="41"/>
        <v>0</v>
      </c>
    </row>
    <row r="130" spans="1:8" x14ac:dyDescent="0.3">
      <c r="A130" s="453" t="s">
        <v>90</v>
      </c>
      <c r="B130" s="24" t="s">
        <v>85</v>
      </c>
      <c r="C130" s="23" t="s">
        <v>3</v>
      </c>
      <c r="D130" s="22">
        <f>Balaka!P130</f>
        <v>0</v>
      </c>
      <c r="E130" s="22">
        <f>Liwonde!P130</f>
        <v>0</v>
      </c>
      <c r="F130" s="22">
        <f>Machinga!P130</f>
        <v>0</v>
      </c>
      <c r="G130" s="22">
        <f>Ntaja!P130</f>
        <v>0</v>
      </c>
      <c r="H130" s="31">
        <f>SUM(D130:G130)</f>
        <v>0</v>
      </c>
    </row>
    <row r="131" spans="1:8" x14ac:dyDescent="0.3">
      <c r="A131" s="493"/>
      <c r="B131" s="21" t="s">
        <v>84</v>
      </c>
      <c r="C131" s="4" t="s">
        <v>3</v>
      </c>
      <c r="D131" s="22">
        <f>Balaka!P131</f>
        <v>0</v>
      </c>
      <c r="E131" s="22">
        <f>Liwonde!P131</f>
        <v>0</v>
      </c>
      <c r="F131" s="22">
        <f>Machinga!P131</f>
        <v>0</v>
      </c>
      <c r="G131" s="22">
        <f>Ntaja!P131</f>
        <v>1</v>
      </c>
      <c r="H131" s="31">
        <f>SUM(D131:G131)</f>
        <v>1</v>
      </c>
    </row>
    <row r="132" spans="1:8" x14ac:dyDescent="0.3">
      <c r="A132" s="493"/>
      <c r="B132" s="71" t="s">
        <v>88</v>
      </c>
      <c r="C132" s="4" t="s">
        <v>3</v>
      </c>
      <c r="D132" s="22">
        <f>Balaka!P132</f>
        <v>0</v>
      </c>
      <c r="E132" s="22">
        <f>Liwonde!P132</f>
        <v>0</v>
      </c>
      <c r="F132" s="22">
        <f>Machinga!P132</f>
        <v>0</v>
      </c>
      <c r="G132" s="22">
        <f>Ntaja!P132</f>
        <v>0</v>
      </c>
      <c r="H132" s="31">
        <f>SUM(D132:G132)</f>
        <v>0</v>
      </c>
    </row>
    <row r="133" spans="1:8" x14ac:dyDescent="0.3">
      <c r="A133" s="493"/>
      <c r="B133" s="21" t="s">
        <v>82</v>
      </c>
      <c r="C133" s="4" t="s">
        <v>3</v>
      </c>
      <c r="D133" s="22">
        <f>Balaka!P133</f>
        <v>0</v>
      </c>
      <c r="E133" s="22">
        <f>Liwonde!P133</f>
        <v>0</v>
      </c>
      <c r="F133" s="22">
        <f>Machinga!P133</f>
        <v>0</v>
      </c>
      <c r="G133" s="22">
        <f>Ntaja!P133</f>
        <v>1</v>
      </c>
      <c r="H133" s="31">
        <f>SUM(D133:G133)</f>
        <v>1</v>
      </c>
    </row>
    <row r="134" spans="1:8" x14ac:dyDescent="0.3">
      <c r="A134" s="454"/>
      <c r="B134" s="21" t="s">
        <v>81</v>
      </c>
      <c r="C134" s="4" t="s">
        <v>3</v>
      </c>
      <c r="D134" s="123">
        <f t="shared" ref="D134:H134" si="42">D130+D131-D132-D133</f>
        <v>0</v>
      </c>
      <c r="E134" s="123">
        <f t="shared" si="42"/>
        <v>0</v>
      </c>
      <c r="F134" s="123">
        <f t="shared" si="42"/>
        <v>0</v>
      </c>
      <c r="G134" s="123">
        <f t="shared" si="42"/>
        <v>0</v>
      </c>
      <c r="H134" s="31">
        <f t="shared" si="42"/>
        <v>0</v>
      </c>
    </row>
    <row r="135" spans="1:8" x14ac:dyDescent="0.3">
      <c r="A135" s="453" t="s">
        <v>89</v>
      </c>
      <c r="B135" s="21" t="s">
        <v>85</v>
      </c>
      <c r="C135" s="4" t="s">
        <v>3</v>
      </c>
      <c r="D135" s="22">
        <f>Balaka!P135</f>
        <v>0</v>
      </c>
      <c r="E135" s="22">
        <f>Liwonde!P135</f>
        <v>0</v>
      </c>
      <c r="F135" s="22">
        <f>Machinga!P135</f>
        <v>0</v>
      </c>
      <c r="G135" s="22">
        <f>Ntaja!P135</f>
        <v>0</v>
      </c>
      <c r="H135" s="31">
        <f>SUM(D135:G135)</f>
        <v>0</v>
      </c>
    </row>
    <row r="136" spans="1:8" x14ac:dyDescent="0.3">
      <c r="A136" s="493"/>
      <c r="B136" s="21" t="s">
        <v>84</v>
      </c>
      <c r="C136" s="4" t="s">
        <v>3</v>
      </c>
      <c r="D136" s="22">
        <f>Balaka!P136</f>
        <v>0</v>
      </c>
      <c r="E136" s="22">
        <f>Liwonde!P136</f>
        <v>0</v>
      </c>
      <c r="F136" s="22">
        <f>Machinga!P136</f>
        <v>0</v>
      </c>
      <c r="G136" s="22">
        <f>Ntaja!P136</f>
        <v>0</v>
      </c>
      <c r="H136" s="31">
        <f>SUM(D136:G136)</f>
        <v>0</v>
      </c>
    </row>
    <row r="137" spans="1:8" x14ac:dyDescent="0.3">
      <c r="A137" s="493"/>
      <c r="B137" s="71" t="s">
        <v>88</v>
      </c>
      <c r="C137" s="4" t="s">
        <v>3</v>
      </c>
      <c r="D137" s="22">
        <f>Balaka!P137</f>
        <v>0</v>
      </c>
      <c r="E137" s="22">
        <f>Liwonde!P137</f>
        <v>0</v>
      </c>
      <c r="F137" s="22">
        <f>Machinga!P137</f>
        <v>0</v>
      </c>
      <c r="G137" s="22">
        <f>Ntaja!P137</f>
        <v>0</v>
      </c>
      <c r="H137" s="31">
        <f>SUM(D137:G137)</f>
        <v>0</v>
      </c>
    </row>
    <row r="138" spans="1:8" x14ac:dyDescent="0.3">
      <c r="A138" s="493"/>
      <c r="B138" s="21" t="s">
        <v>82</v>
      </c>
      <c r="C138" s="4" t="s">
        <v>3</v>
      </c>
      <c r="D138" s="22">
        <f>Balaka!P138</f>
        <v>0</v>
      </c>
      <c r="E138" s="22">
        <f>Liwonde!P138</f>
        <v>0</v>
      </c>
      <c r="F138" s="22">
        <f>Machinga!P138</f>
        <v>0</v>
      </c>
      <c r="G138" s="22">
        <f>Ntaja!P138</f>
        <v>0</v>
      </c>
      <c r="H138" s="31">
        <f>SUM(D138:G138)</f>
        <v>0</v>
      </c>
    </row>
    <row r="139" spans="1:8" x14ac:dyDescent="0.3">
      <c r="A139" s="454"/>
      <c r="B139" s="21" t="s">
        <v>81</v>
      </c>
      <c r="C139" s="4" t="s">
        <v>3</v>
      </c>
      <c r="D139" s="123">
        <f t="shared" ref="D139:H139" si="43">D135+D136-D137-D138</f>
        <v>0</v>
      </c>
      <c r="E139" s="123">
        <f t="shared" si="43"/>
        <v>0</v>
      </c>
      <c r="F139" s="123">
        <f t="shared" si="43"/>
        <v>0</v>
      </c>
      <c r="G139" s="123">
        <f t="shared" si="43"/>
        <v>0</v>
      </c>
      <c r="H139" s="31">
        <f t="shared" si="43"/>
        <v>0</v>
      </c>
    </row>
    <row r="140" spans="1:8" x14ac:dyDescent="0.3">
      <c r="A140" s="453" t="s">
        <v>87</v>
      </c>
      <c r="B140" s="21" t="s">
        <v>85</v>
      </c>
      <c r="C140" s="4" t="s">
        <v>3</v>
      </c>
      <c r="D140" s="22">
        <f>Balaka!P140</f>
        <v>376</v>
      </c>
      <c r="E140" s="22">
        <f>Liwonde!P140</f>
        <v>293</v>
      </c>
      <c r="F140" s="22">
        <f>Machinga!P140</f>
        <v>0</v>
      </c>
      <c r="G140" s="22">
        <f>Ntaja!P140</f>
        <v>0</v>
      </c>
      <c r="H140" s="31">
        <f>SUM(D140:G140)</f>
        <v>669</v>
      </c>
    </row>
    <row r="141" spans="1:8" x14ac:dyDescent="0.3">
      <c r="A141" s="493"/>
      <c r="B141" s="21" t="s">
        <v>84</v>
      </c>
      <c r="C141" s="4" t="s">
        <v>3</v>
      </c>
      <c r="D141" s="22">
        <f>Balaka!P141</f>
        <v>166</v>
      </c>
      <c r="E141" s="22">
        <f>Liwonde!P141</f>
        <v>138</v>
      </c>
      <c r="F141" s="22">
        <f>Machinga!P141</f>
        <v>0</v>
      </c>
      <c r="G141" s="22">
        <f>Ntaja!P141</f>
        <v>36</v>
      </c>
      <c r="H141" s="31">
        <f>SUM(D141:G141)</f>
        <v>340</v>
      </c>
    </row>
    <row r="142" spans="1:8" x14ac:dyDescent="0.3">
      <c r="A142" s="493"/>
      <c r="B142" s="21" t="s">
        <v>83</v>
      </c>
      <c r="C142" s="4" t="s">
        <v>3</v>
      </c>
      <c r="D142" s="22">
        <f>Balaka!P142</f>
        <v>56</v>
      </c>
      <c r="E142" s="22">
        <f>Liwonde!P142</f>
        <v>4</v>
      </c>
      <c r="F142" s="22">
        <f>Machinga!P142</f>
        <v>0</v>
      </c>
      <c r="G142" s="22">
        <f>Ntaja!P142</f>
        <v>23</v>
      </c>
      <c r="H142" s="31">
        <f>SUM(D142:G142)</f>
        <v>83</v>
      </c>
    </row>
    <row r="143" spans="1:8" x14ac:dyDescent="0.3">
      <c r="A143" s="493"/>
      <c r="B143" s="21" t="s">
        <v>82</v>
      </c>
      <c r="C143" s="4" t="s">
        <v>3</v>
      </c>
      <c r="D143" s="22">
        <f>Balaka!P143</f>
        <v>179</v>
      </c>
      <c r="E143" s="22">
        <f>Liwonde!P143</f>
        <v>58</v>
      </c>
      <c r="F143" s="22">
        <f>Machinga!P143</f>
        <v>0</v>
      </c>
      <c r="G143" s="22">
        <f>Ntaja!P143</f>
        <v>13</v>
      </c>
      <c r="H143" s="31">
        <f>SUM(D143:G143)</f>
        <v>250</v>
      </c>
    </row>
    <row r="144" spans="1:8" x14ac:dyDescent="0.3">
      <c r="A144" s="454"/>
      <c r="B144" s="21" t="s">
        <v>81</v>
      </c>
      <c r="C144" s="4" t="s">
        <v>3</v>
      </c>
      <c r="D144" s="123">
        <f t="shared" ref="D144:H144" si="44">D140+D141-D142-D143</f>
        <v>307</v>
      </c>
      <c r="E144" s="123">
        <f t="shared" si="44"/>
        <v>369</v>
      </c>
      <c r="F144" s="123">
        <f t="shared" si="44"/>
        <v>0</v>
      </c>
      <c r="G144" s="123">
        <f t="shared" si="44"/>
        <v>0</v>
      </c>
      <c r="H144" s="31">
        <f t="shared" si="44"/>
        <v>676</v>
      </c>
    </row>
    <row r="145" spans="1:8" x14ac:dyDescent="0.3">
      <c r="A145" s="453" t="s">
        <v>86</v>
      </c>
      <c r="B145" s="21" t="s">
        <v>85</v>
      </c>
      <c r="C145" s="4" t="s">
        <v>3</v>
      </c>
      <c r="D145" s="124">
        <f t="shared" ref="D145:G145" si="45">D125+D130+D135+D140</f>
        <v>376</v>
      </c>
      <c r="E145" s="124">
        <f t="shared" si="45"/>
        <v>293</v>
      </c>
      <c r="F145" s="124">
        <f t="shared" si="45"/>
        <v>0</v>
      </c>
      <c r="G145" s="124">
        <f t="shared" si="45"/>
        <v>0</v>
      </c>
      <c r="H145" s="98">
        <f t="shared" ref="H145:H149" si="46">H125+H130+H135+H140</f>
        <v>669</v>
      </c>
    </row>
    <row r="146" spans="1:8" x14ac:dyDescent="0.3">
      <c r="A146" s="493"/>
      <c r="B146" s="21" t="s">
        <v>84</v>
      </c>
      <c r="C146" s="4" t="s">
        <v>3</v>
      </c>
      <c r="D146" s="124">
        <f t="shared" ref="D146:G148" si="47">D126+D131+D136+D141</f>
        <v>166</v>
      </c>
      <c r="E146" s="124">
        <f t="shared" si="47"/>
        <v>138</v>
      </c>
      <c r="F146" s="124">
        <f t="shared" si="47"/>
        <v>0</v>
      </c>
      <c r="G146" s="124">
        <f t="shared" si="47"/>
        <v>37</v>
      </c>
      <c r="H146" s="98">
        <f t="shared" si="46"/>
        <v>341</v>
      </c>
    </row>
    <row r="147" spans="1:8" x14ac:dyDescent="0.3">
      <c r="A147" s="493"/>
      <c r="B147" s="21" t="s">
        <v>83</v>
      </c>
      <c r="C147" s="4" t="s">
        <v>3</v>
      </c>
      <c r="D147" s="124">
        <f t="shared" si="47"/>
        <v>56</v>
      </c>
      <c r="E147" s="124">
        <f t="shared" si="47"/>
        <v>4</v>
      </c>
      <c r="F147" s="124">
        <f t="shared" si="47"/>
        <v>0</v>
      </c>
      <c r="G147" s="124">
        <f t="shared" si="47"/>
        <v>23</v>
      </c>
      <c r="H147" s="98">
        <f t="shared" si="46"/>
        <v>83</v>
      </c>
    </row>
    <row r="148" spans="1:8" x14ac:dyDescent="0.3">
      <c r="A148" s="493"/>
      <c r="B148" s="21" t="s">
        <v>82</v>
      </c>
      <c r="C148" s="4" t="s">
        <v>3</v>
      </c>
      <c r="D148" s="124">
        <f t="shared" si="47"/>
        <v>179</v>
      </c>
      <c r="E148" s="124">
        <f t="shared" si="47"/>
        <v>58</v>
      </c>
      <c r="F148" s="124">
        <f t="shared" si="47"/>
        <v>0</v>
      </c>
      <c r="G148" s="124">
        <f t="shared" si="47"/>
        <v>14</v>
      </c>
      <c r="H148" s="98">
        <f t="shared" si="46"/>
        <v>251</v>
      </c>
    </row>
    <row r="149" spans="1:8" x14ac:dyDescent="0.3">
      <c r="A149" s="454"/>
      <c r="B149" s="21" t="s">
        <v>81</v>
      </c>
      <c r="C149" s="4" t="s">
        <v>3</v>
      </c>
      <c r="D149" s="123">
        <f t="shared" ref="D149:G149" si="48">D145+D146-D147-D148</f>
        <v>307</v>
      </c>
      <c r="E149" s="123">
        <f t="shared" si="48"/>
        <v>369</v>
      </c>
      <c r="F149" s="123">
        <f t="shared" si="48"/>
        <v>0</v>
      </c>
      <c r="G149" s="123">
        <f t="shared" si="48"/>
        <v>0</v>
      </c>
      <c r="H149" s="98">
        <f t="shared" si="46"/>
        <v>676</v>
      </c>
    </row>
    <row r="150" spans="1:8" ht="14.4" x14ac:dyDescent="0.3">
      <c r="A150" s="441" t="s">
        <v>80</v>
      </c>
      <c r="B150" s="442"/>
      <c r="C150" s="442"/>
      <c r="D150" s="442"/>
      <c r="E150" s="442"/>
      <c r="F150" s="442"/>
      <c r="G150" s="442"/>
      <c r="H150" s="444"/>
    </row>
    <row r="151" spans="1:8" ht="15.6" customHeight="1" x14ac:dyDescent="0.3">
      <c r="A151" s="506" t="s">
        <v>79</v>
      </c>
      <c r="B151" s="507"/>
      <c r="C151" s="507"/>
      <c r="D151" s="507"/>
      <c r="E151" s="507"/>
      <c r="F151" s="507"/>
      <c r="G151" s="507"/>
      <c r="H151" s="508"/>
    </row>
    <row r="152" spans="1:8" x14ac:dyDescent="0.3">
      <c r="A152" s="496" t="s">
        <v>78</v>
      </c>
      <c r="B152" s="80" t="s">
        <v>63</v>
      </c>
      <c r="C152" s="4"/>
      <c r="D152" s="13"/>
      <c r="E152" s="13"/>
      <c r="F152" s="13"/>
      <c r="G152" s="13"/>
      <c r="H152" s="34"/>
    </row>
    <row r="153" spans="1:8" x14ac:dyDescent="0.3">
      <c r="A153" s="497"/>
      <c r="B153" s="17" t="s">
        <v>73</v>
      </c>
      <c r="C153" s="4" t="s">
        <v>57</v>
      </c>
      <c r="D153" s="22">
        <f>Balaka!P153</f>
        <v>1188</v>
      </c>
      <c r="E153" s="22">
        <f>Liwonde!P153</f>
        <v>867</v>
      </c>
      <c r="F153" s="22">
        <f>Machinga!P153</f>
        <v>188</v>
      </c>
      <c r="G153" s="22">
        <f>Ntaja!P153</f>
        <v>690</v>
      </c>
      <c r="H153" s="31">
        <f t="shared" ref="H153:H165" si="49">SUM(D153:G153)</f>
        <v>2933</v>
      </c>
    </row>
    <row r="154" spans="1:8" x14ac:dyDescent="0.3">
      <c r="A154" s="497"/>
      <c r="B154" s="17" t="s">
        <v>72</v>
      </c>
      <c r="C154" s="4" t="s">
        <v>57</v>
      </c>
      <c r="D154" s="22">
        <f>Balaka!P154</f>
        <v>704</v>
      </c>
      <c r="E154" s="22">
        <f>Liwonde!P154</f>
        <v>375</v>
      </c>
      <c r="F154" s="22">
        <f>Machinga!P154</f>
        <v>114</v>
      </c>
      <c r="G154" s="22">
        <f>Ntaja!P154</f>
        <v>90</v>
      </c>
      <c r="H154" s="31">
        <f t="shared" si="49"/>
        <v>1283</v>
      </c>
    </row>
    <row r="155" spans="1:8" x14ac:dyDescent="0.3">
      <c r="A155" s="497"/>
      <c r="B155" s="17" t="s">
        <v>53</v>
      </c>
      <c r="C155" s="4" t="s">
        <v>57</v>
      </c>
      <c r="D155" s="22">
        <f>Balaka!P155</f>
        <v>169</v>
      </c>
      <c r="E155" s="22">
        <f>Liwonde!P155</f>
        <v>163</v>
      </c>
      <c r="F155" s="22">
        <f>Machinga!P155</f>
        <v>89</v>
      </c>
      <c r="G155" s="22">
        <f>Ntaja!P155</f>
        <v>66</v>
      </c>
      <c r="H155" s="31">
        <f t="shared" si="49"/>
        <v>487</v>
      </c>
    </row>
    <row r="156" spans="1:8" x14ac:dyDescent="0.3">
      <c r="A156" s="497"/>
      <c r="B156" s="17" t="s">
        <v>71</v>
      </c>
      <c r="C156" s="4" t="s">
        <v>57</v>
      </c>
      <c r="D156" s="22">
        <f>Balaka!P156</f>
        <v>15</v>
      </c>
      <c r="E156" s="22">
        <f>Liwonde!P156</f>
        <v>41</v>
      </c>
      <c r="F156" s="22">
        <f>Machinga!P156</f>
        <v>48</v>
      </c>
      <c r="G156" s="22">
        <f>Ntaja!P156</f>
        <v>7</v>
      </c>
      <c r="H156" s="31">
        <f t="shared" si="49"/>
        <v>111</v>
      </c>
    </row>
    <row r="157" spans="1:8" x14ac:dyDescent="0.3">
      <c r="A157" s="497"/>
      <c r="B157" s="17" t="s">
        <v>52</v>
      </c>
      <c r="C157" s="4" t="s">
        <v>57</v>
      </c>
      <c r="D157" s="22">
        <f>Balaka!P157</f>
        <v>47</v>
      </c>
      <c r="E157" s="22">
        <f>Liwonde!P157</f>
        <v>47</v>
      </c>
      <c r="F157" s="22">
        <f>Machinga!P157</f>
        <v>37</v>
      </c>
      <c r="G157" s="22">
        <f>Ntaja!P157</f>
        <v>20</v>
      </c>
      <c r="H157" s="31">
        <f t="shared" si="49"/>
        <v>151</v>
      </c>
    </row>
    <row r="158" spans="1:8" x14ac:dyDescent="0.3">
      <c r="A158" s="497"/>
      <c r="B158" s="17" t="s">
        <v>51</v>
      </c>
      <c r="C158" s="4" t="s">
        <v>57</v>
      </c>
      <c r="D158" s="22">
        <f>Balaka!P158</f>
        <v>74</v>
      </c>
      <c r="E158" s="22">
        <f>Liwonde!P158</f>
        <v>53</v>
      </c>
      <c r="F158" s="22">
        <f>Machinga!P158</f>
        <v>33</v>
      </c>
      <c r="G158" s="22">
        <f>Ntaja!P158</f>
        <v>5</v>
      </c>
      <c r="H158" s="31">
        <f t="shared" si="49"/>
        <v>165</v>
      </c>
    </row>
    <row r="159" spans="1:8" x14ac:dyDescent="0.3">
      <c r="A159" s="497"/>
      <c r="B159" s="17" t="s">
        <v>62</v>
      </c>
      <c r="C159" s="4" t="s">
        <v>57</v>
      </c>
      <c r="D159" s="22">
        <f>Balaka!P159</f>
        <v>3</v>
      </c>
      <c r="E159" s="22">
        <f>Liwonde!P159</f>
        <v>4</v>
      </c>
      <c r="F159" s="22">
        <f>Machinga!P159</f>
        <v>1</v>
      </c>
      <c r="G159" s="22">
        <f>Ntaja!P159</f>
        <v>1</v>
      </c>
      <c r="H159" s="31">
        <f t="shared" si="49"/>
        <v>9</v>
      </c>
    </row>
    <row r="160" spans="1:8" x14ac:dyDescent="0.3">
      <c r="A160" s="497"/>
      <c r="B160" s="17" t="s">
        <v>50</v>
      </c>
      <c r="C160" s="4" t="s">
        <v>57</v>
      </c>
      <c r="D160" s="22">
        <f>Balaka!P160</f>
        <v>2</v>
      </c>
      <c r="E160" s="22">
        <f>Liwonde!P160</f>
        <v>38</v>
      </c>
      <c r="F160" s="22">
        <f>Machinga!P160</f>
        <v>13</v>
      </c>
      <c r="G160" s="22">
        <f>Ntaja!P160</f>
        <v>4</v>
      </c>
      <c r="H160" s="31">
        <f t="shared" si="49"/>
        <v>57</v>
      </c>
    </row>
    <row r="161" spans="1:8" x14ac:dyDescent="0.3">
      <c r="A161" s="497"/>
      <c r="B161" s="17" t="s">
        <v>49</v>
      </c>
      <c r="C161" s="4" t="s">
        <v>57</v>
      </c>
      <c r="D161" s="22">
        <f>Balaka!P161</f>
        <v>17</v>
      </c>
      <c r="E161" s="22">
        <f>Liwonde!P161</f>
        <v>69</v>
      </c>
      <c r="F161" s="22">
        <f>Machinga!P161</f>
        <v>9</v>
      </c>
      <c r="G161" s="22">
        <f>Ntaja!P161</f>
        <v>0</v>
      </c>
      <c r="H161" s="31">
        <f t="shared" si="49"/>
        <v>95</v>
      </c>
    </row>
    <row r="162" spans="1:8" x14ac:dyDescent="0.3">
      <c r="A162" s="497"/>
      <c r="B162" s="17" t="s">
        <v>77</v>
      </c>
      <c r="C162" s="4" t="s">
        <v>57</v>
      </c>
      <c r="D162" s="22">
        <f>Balaka!P162</f>
        <v>9</v>
      </c>
      <c r="E162" s="22">
        <f>Liwonde!P162</f>
        <v>40</v>
      </c>
      <c r="F162" s="22">
        <f>Machinga!P162</f>
        <v>0</v>
      </c>
      <c r="G162" s="22">
        <f>Ntaja!P162</f>
        <v>2</v>
      </c>
      <c r="H162" s="31">
        <f t="shared" si="49"/>
        <v>51</v>
      </c>
    </row>
    <row r="163" spans="1:8" x14ac:dyDescent="0.3">
      <c r="A163" s="497"/>
      <c r="B163" s="17" t="s">
        <v>69</v>
      </c>
      <c r="C163" s="4" t="s">
        <v>57</v>
      </c>
      <c r="D163" s="22">
        <f>Balaka!P163</f>
        <v>7</v>
      </c>
      <c r="E163" s="22">
        <f>Liwonde!P163</f>
        <v>1</v>
      </c>
      <c r="F163" s="22">
        <f>Machinga!P163</f>
        <v>0</v>
      </c>
      <c r="G163" s="22">
        <f>Ntaja!P163</f>
        <v>0</v>
      </c>
      <c r="H163" s="31">
        <f t="shared" si="49"/>
        <v>8</v>
      </c>
    </row>
    <row r="164" spans="1:8" x14ac:dyDescent="0.3">
      <c r="A164" s="497"/>
      <c r="B164" s="17" t="s">
        <v>68</v>
      </c>
      <c r="C164" s="4" t="s">
        <v>57</v>
      </c>
      <c r="D164" s="22">
        <f>Balaka!P164</f>
        <v>0</v>
      </c>
      <c r="E164" s="22">
        <f>Liwonde!P164</f>
        <v>0</v>
      </c>
      <c r="F164" s="22">
        <f>Machinga!P164</f>
        <v>0</v>
      </c>
      <c r="G164" s="22">
        <f>Ntaja!P164</f>
        <v>0</v>
      </c>
      <c r="H164" s="31">
        <f t="shared" si="49"/>
        <v>0</v>
      </c>
    </row>
    <row r="165" spans="1:8" x14ac:dyDescent="0.3">
      <c r="A165" s="498"/>
      <c r="B165" s="17" t="s">
        <v>76</v>
      </c>
      <c r="C165" s="4" t="s">
        <v>57</v>
      </c>
      <c r="D165" s="22">
        <f>Balaka!P165</f>
        <v>0</v>
      </c>
      <c r="E165" s="22">
        <f>Liwonde!P165</f>
        <v>1</v>
      </c>
      <c r="F165" s="22">
        <f>Machinga!P165</f>
        <v>0</v>
      </c>
      <c r="G165" s="22">
        <f>Ntaja!P165</f>
        <v>0</v>
      </c>
      <c r="H165" s="31">
        <f t="shared" si="49"/>
        <v>1</v>
      </c>
    </row>
    <row r="166" spans="1:8" x14ac:dyDescent="0.3">
      <c r="A166" s="496" t="s">
        <v>75</v>
      </c>
      <c r="B166" s="19" t="s">
        <v>63</v>
      </c>
      <c r="C166" s="4"/>
      <c r="D166" s="3"/>
      <c r="E166" s="3"/>
      <c r="F166" s="3"/>
      <c r="G166" s="3"/>
      <c r="H166" s="31"/>
    </row>
    <row r="167" spans="1:8" x14ac:dyDescent="0.3">
      <c r="A167" s="497"/>
      <c r="B167" s="17" t="s">
        <v>74</v>
      </c>
      <c r="C167" s="4" t="s">
        <v>57</v>
      </c>
      <c r="D167" s="22">
        <f>Balaka!P167</f>
        <v>0</v>
      </c>
      <c r="E167" s="22">
        <f>Liwonde!P167</f>
        <v>5</v>
      </c>
      <c r="F167" s="22">
        <f>Machinga!P167</f>
        <v>22</v>
      </c>
      <c r="G167" s="22">
        <f>Ntaja!P167</f>
        <v>4</v>
      </c>
      <c r="H167" s="31">
        <f t="shared" ref="H167:H175" si="50">SUM(D167:G167)</f>
        <v>31</v>
      </c>
    </row>
    <row r="168" spans="1:8" x14ac:dyDescent="0.3">
      <c r="A168" s="497"/>
      <c r="B168" s="17" t="s">
        <v>73</v>
      </c>
      <c r="C168" s="4" t="s">
        <v>57</v>
      </c>
      <c r="D168" s="22">
        <f>Balaka!P168</f>
        <v>0</v>
      </c>
      <c r="E168" s="22">
        <f>Liwonde!P168</f>
        <v>0</v>
      </c>
      <c r="F168" s="22">
        <f>Machinga!P168</f>
        <v>13</v>
      </c>
      <c r="G168" s="22">
        <f>Ntaja!P168</f>
        <v>0</v>
      </c>
      <c r="H168" s="31">
        <f t="shared" si="50"/>
        <v>13</v>
      </c>
    </row>
    <row r="169" spans="1:8" x14ac:dyDescent="0.3">
      <c r="A169" s="497"/>
      <c r="B169" s="17" t="s">
        <v>72</v>
      </c>
      <c r="C169" s="4" t="s">
        <v>57</v>
      </c>
      <c r="D169" s="22">
        <f>Balaka!P169</f>
        <v>0</v>
      </c>
      <c r="E169" s="22">
        <f>Liwonde!P169</f>
        <v>0</v>
      </c>
      <c r="F169" s="22">
        <f>Machinga!P169</f>
        <v>1</v>
      </c>
      <c r="G169" s="22">
        <f>Ntaja!P169</f>
        <v>0</v>
      </c>
      <c r="H169" s="31">
        <f t="shared" si="50"/>
        <v>1</v>
      </c>
    </row>
    <row r="170" spans="1:8" x14ac:dyDescent="0.3">
      <c r="A170" s="497"/>
      <c r="B170" s="17" t="s">
        <v>71</v>
      </c>
      <c r="C170" s="4" t="s">
        <v>57</v>
      </c>
      <c r="D170" s="22">
        <f>Balaka!P170</f>
        <v>0</v>
      </c>
      <c r="E170" s="22">
        <f>Liwonde!P170</f>
        <v>0</v>
      </c>
      <c r="F170" s="22">
        <f>Machinga!P170</f>
        <v>0</v>
      </c>
      <c r="G170" s="22">
        <f>Ntaja!P170</f>
        <v>0</v>
      </c>
      <c r="H170" s="31">
        <f t="shared" si="50"/>
        <v>0</v>
      </c>
    </row>
    <row r="171" spans="1:8" x14ac:dyDescent="0.3">
      <c r="A171" s="497"/>
      <c r="B171" s="17" t="s">
        <v>52</v>
      </c>
      <c r="C171" s="4" t="s">
        <v>57</v>
      </c>
      <c r="D171" s="22">
        <f>Balaka!P171</f>
        <v>0</v>
      </c>
      <c r="E171" s="22">
        <f>Liwonde!P171</f>
        <v>0</v>
      </c>
      <c r="F171" s="22">
        <f>Machinga!P171</f>
        <v>20</v>
      </c>
      <c r="G171" s="22">
        <f>Ntaja!P171</f>
        <v>0</v>
      </c>
      <c r="H171" s="31">
        <f t="shared" si="50"/>
        <v>20</v>
      </c>
    </row>
    <row r="172" spans="1:8" x14ac:dyDescent="0.3">
      <c r="A172" s="497"/>
      <c r="B172" s="17" t="s">
        <v>62</v>
      </c>
      <c r="C172" s="4" t="s">
        <v>57</v>
      </c>
      <c r="D172" s="22">
        <f>Balaka!P172</f>
        <v>0</v>
      </c>
      <c r="E172" s="22">
        <f>Liwonde!P172</f>
        <v>0</v>
      </c>
      <c r="F172" s="22">
        <f>Machinga!P172</f>
        <v>0</v>
      </c>
      <c r="G172" s="22">
        <f>Ntaja!P172</f>
        <v>0</v>
      </c>
      <c r="H172" s="31">
        <f t="shared" si="50"/>
        <v>0</v>
      </c>
    </row>
    <row r="173" spans="1:8" x14ac:dyDescent="0.3">
      <c r="A173" s="497"/>
      <c r="B173" s="17" t="s">
        <v>61</v>
      </c>
      <c r="C173" s="4" t="s">
        <v>57</v>
      </c>
      <c r="D173" s="22">
        <f>Balaka!P173</f>
        <v>0</v>
      </c>
      <c r="E173" s="22">
        <f>Liwonde!P173</f>
        <v>0</v>
      </c>
      <c r="F173" s="22">
        <f>Machinga!P173</f>
        <v>0</v>
      </c>
      <c r="G173" s="22">
        <f>Ntaja!P173</f>
        <v>0</v>
      </c>
      <c r="H173" s="31">
        <f t="shared" si="50"/>
        <v>0</v>
      </c>
    </row>
    <row r="174" spans="1:8" x14ac:dyDescent="0.3">
      <c r="A174" s="497"/>
      <c r="B174" s="17" t="s">
        <v>60</v>
      </c>
      <c r="C174" s="4" t="s">
        <v>57</v>
      </c>
      <c r="D174" s="22">
        <f>Balaka!P174</f>
        <v>0</v>
      </c>
      <c r="E174" s="22">
        <f>Liwonde!P174</f>
        <v>0</v>
      </c>
      <c r="F174" s="22">
        <f>Machinga!P174</f>
        <v>0</v>
      </c>
      <c r="G174" s="22">
        <f>Ntaja!P174</f>
        <v>0</v>
      </c>
      <c r="H174" s="31">
        <f t="shared" si="50"/>
        <v>0</v>
      </c>
    </row>
    <row r="175" spans="1:8" x14ac:dyDescent="0.3">
      <c r="A175" s="498"/>
      <c r="B175" s="17" t="s">
        <v>69</v>
      </c>
      <c r="C175" s="4" t="s">
        <v>57</v>
      </c>
      <c r="D175" s="22">
        <f>Balaka!P175</f>
        <v>0</v>
      </c>
      <c r="E175" s="22">
        <f>Liwonde!P175</f>
        <v>0</v>
      </c>
      <c r="F175" s="22">
        <f>Machinga!P175</f>
        <v>0</v>
      </c>
      <c r="G175" s="22">
        <f>Ntaja!P175</f>
        <v>0</v>
      </c>
      <c r="H175" s="31">
        <f t="shared" si="50"/>
        <v>0</v>
      </c>
    </row>
    <row r="176" spans="1:8" x14ac:dyDescent="0.3">
      <c r="A176" s="496" t="s">
        <v>70</v>
      </c>
      <c r="B176" s="19" t="s">
        <v>63</v>
      </c>
      <c r="C176" s="4"/>
      <c r="D176" s="3"/>
      <c r="E176" s="3"/>
      <c r="F176" s="3"/>
      <c r="G176" s="3"/>
      <c r="H176" s="31"/>
    </row>
    <row r="177" spans="1:8" x14ac:dyDescent="0.3">
      <c r="A177" s="497"/>
      <c r="B177" s="17" t="s">
        <v>60</v>
      </c>
      <c r="C177" s="4" t="s">
        <v>57</v>
      </c>
      <c r="D177" s="22">
        <f>Balaka!P177</f>
        <v>0</v>
      </c>
      <c r="E177" s="22">
        <f>Liwonde!P177</f>
        <v>0</v>
      </c>
      <c r="F177" s="22">
        <f>Machinga!P177</f>
        <v>0</v>
      </c>
      <c r="G177" s="22">
        <f>Ntaja!P177</f>
        <v>0</v>
      </c>
      <c r="H177" s="31">
        <f t="shared" ref="H177:H182" si="51">SUM(D177:G177)</f>
        <v>0</v>
      </c>
    </row>
    <row r="178" spans="1:8" x14ac:dyDescent="0.3">
      <c r="A178" s="497"/>
      <c r="B178" s="17" t="s">
        <v>69</v>
      </c>
      <c r="C178" s="4" t="s">
        <v>57</v>
      </c>
      <c r="D178" s="22">
        <f>Balaka!P178</f>
        <v>0</v>
      </c>
      <c r="E178" s="22">
        <f>Liwonde!P178</f>
        <v>0</v>
      </c>
      <c r="F178" s="22">
        <f>Machinga!P178</f>
        <v>0</v>
      </c>
      <c r="G178" s="22">
        <f>Ntaja!P178</f>
        <v>0</v>
      </c>
      <c r="H178" s="31">
        <f t="shared" si="51"/>
        <v>0</v>
      </c>
    </row>
    <row r="179" spans="1:8" x14ac:dyDescent="0.3">
      <c r="A179" s="497"/>
      <c r="B179" s="17" t="s">
        <v>68</v>
      </c>
      <c r="C179" s="4" t="s">
        <v>57</v>
      </c>
      <c r="D179" s="22">
        <f>Balaka!P179</f>
        <v>0</v>
      </c>
      <c r="E179" s="22">
        <f>Liwonde!P179</f>
        <v>0</v>
      </c>
      <c r="F179" s="22">
        <f>Machinga!P179</f>
        <v>0</v>
      </c>
      <c r="G179" s="22">
        <f>Ntaja!P179</f>
        <v>0</v>
      </c>
      <c r="H179" s="31">
        <f t="shared" si="51"/>
        <v>0</v>
      </c>
    </row>
    <row r="180" spans="1:8" x14ac:dyDescent="0.3">
      <c r="A180" s="497"/>
      <c r="B180" s="17" t="s">
        <v>67</v>
      </c>
      <c r="C180" s="4" t="s">
        <v>57</v>
      </c>
      <c r="D180" s="22">
        <f>Balaka!P180</f>
        <v>0</v>
      </c>
      <c r="E180" s="22">
        <f>Liwonde!P180</f>
        <v>0</v>
      </c>
      <c r="F180" s="22">
        <f>Machinga!P180</f>
        <v>0</v>
      </c>
      <c r="G180" s="22">
        <f>Ntaja!P180</f>
        <v>0</v>
      </c>
      <c r="H180" s="31">
        <f t="shared" si="51"/>
        <v>0</v>
      </c>
    </row>
    <row r="181" spans="1:8" x14ac:dyDescent="0.3">
      <c r="A181" s="497"/>
      <c r="B181" s="17" t="s">
        <v>66</v>
      </c>
      <c r="C181" s="4" t="s">
        <v>57</v>
      </c>
      <c r="D181" s="22">
        <f>Balaka!P181</f>
        <v>0</v>
      </c>
      <c r="E181" s="22">
        <f>Liwonde!P181</f>
        <v>0</v>
      </c>
      <c r="F181" s="22">
        <f>Machinga!P181</f>
        <v>0</v>
      </c>
      <c r="G181" s="22">
        <f>Ntaja!P181</f>
        <v>0</v>
      </c>
      <c r="H181" s="31">
        <f t="shared" si="51"/>
        <v>0</v>
      </c>
    </row>
    <row r="182" spans="1:8" x14ac:dyDescent="0.3">
      <c r="A182" s="498"/>
      <c r="B182" s="17" t="s">
        <v>65</v>
      </c>
      <c r="C182" s="4" t="s">
        <v>57</v>
      </c>
      <c r="D182" s="22">
        <f>Balaka!P182</f>
        <v>0</v>
      </c>
      <c r="E182" s="22">
        <f>Liwonde!P182</f>
        <v>0</v>
      </c>
      <c r="F182" s="22">
        <f>Machinga!P182</f>
        <v>0</v>
      </c>
      <c r="G182" s="22">
        <f>Ntaja!P182</f>
        <v>0</v>
      </c>
      <c r="H182" s="31">
        <f t="shared" si="51"/>
        <v>0</v>
      </c>
    </row>
    <row r="183" spans="1:8" x14ac:dyDescent="0.3">
      <c r="A183" s="496" t="s">
        <v>211</v>
      </c>
      <c r="B183" s="19" t="s">
        <v>63</v>
      </c>
      <c r="C183" s="4"/>
      <c r="D183" s="3"/>
      <c r="E183" s="3"/>
      <c r="F183" s="3"/>
      <c r="G183" s="3"/>
      <c r="H183" s="31"/>
    </row>
    <row r="184" spans="1:8" x14ac:dyDescent="0.3">
      <c r="A184" s="497"/>
      <c r="B184" s="17" t="s">
        <v>73</v>
      </c>
      <c r="C184" s="4" t="s">
        <v>57</v>
      </c>
      <c r="D184" s="22">
        <f>Balaka!P184</f>
        <v>0</v>
      </c>
      <c r="E184" s="22">
        <f>Liwonde!P184</f>
        <v>0</v>
      </c>
      <c r="F184" s="22">
        <f>Machinga!P184</f>
        <v>0</v>
      </c>
      <c r="G184" s="22">
        <f>Ntaja!P184</f>
        <v>0</v>
      </c>
      <c r="H184" s="31">
        <f>SUM(D184:G184)</f>
        <v>0</v>
      </c>
    </row>
    <row r="185" spans="1:8" x14ac:dyDescent="0.3">
      <c r="A185" s="497"/>
      <c r="B185" s="17" t="s">
        <v>72</v>
      </c>
      <c r="C185" s="4" t="s">
        <v>57</v>
      </c>
      <c r="D185" s="22">
        <f>Balaka!P185</f>
        <v>0</v>
      </c>
      <c r="E185" s="22">
        <f>Liwonde!P185</f>
        <v>0</v>
      </c>
      <c r="F185" s="22">
        <f>Machinga!P185</f>
        <v>0</v>
      </c>
      <c r="G185" s="22">
        <f>Ntaja!P185</f>
        <v>0</v>
      </c>
      <c r="H185" s="31">
        <f>SUM(D185:G185)</f>
        <v>0</v>
      </c>
    </row>
    <row r="186" spans="1:8" x14ac:dyDescent="0.3">
      <c r="A186" s="497"/>
      <c r="B186" s="17" t="s">
        <v>53</v>
      </c>
      <c r="C186" s="4" t="s">
        <v>57</v>
      </c>
      <c r="D186" s="22">
        <f>Balaka!P186</f>
        <v>0</v>
      </c>
      <c r="E186" s="22">
        <f>Liwonde!P186</f>
        <v>0</v>
      </c>
      <c r="F186" s="22">
        <f>Machinga!P186</f>
        <v>0</v>
      </c>
      <c r="G186" s="22">
        <f>Ntaja!P186</f>
        <v>0</v>
      </c>
      <c r="H186" s="31">
        <f>SUM(D186:G186)</f>
        <v>0</v>
      </c>
    </row>
    <row r="187" spans="1:8" x14ac:dyDescent="0.3">
      <c r="A187" s="498"/>
      <c r="B187" s="17" t="s">
        <v>52</v>
      </c>
      <c r="C187" s="4" t="s">
        <v>57</v>
      </c>
      <c r="D187" s="22">
        <f>Balaka!P187</f>
        <v>0</v>
      </c>
      <c r="E187" s="22">
        <f>Liwonde!P187</f>
        <v>0</v>
      </c>
      <c r="F187" s="22">
        <f>Machinga!P187</f>
        <v>0</v>
      </c>
      <c r="G187" s="22">
        <f>Ntaja!P187</f>
        <v>0</v>
      </c>
      <c r="H187" s="31">
        <f>SUM(D187:G187)</f>
        <v>0</v>
      </c>
    </row>
    <row r="188" spans="1:8" x14ac:dyDescent="0.3">
      <c r="A188" s="496" t="s">
        <v>64</v>
      </c>
      <c r="B188" s="19" t="s">
        <v>63</v>
      </c>
      <c r="C188" s="4"/>
      <c r="D188" s="3"/>
      <c r="E188" s="3"/>
      <c r="F188" s="3"/>
      <c r="G188" s="3"/>
      <c r="H188" s="31"/>
    </row>
    <row r="189" spans="1:8" x14ac:dyDescent="0.3">
      <c r="A189" s="497"/>
      <c r="B189" s="18" t="s">
        <v>52</v>
      </c>
      <c r="C189" s="4" t="s">
        <v>57</v>
      </c>
      <c r="D189" s="22">
        <f>Balaka!P189</f>
        <v>0</v>
      </c>
      <c r="E189" s="22">
        <f>Liwonde!P189</f>
        <v>0</v>
      </c>
      <c r="F189" s="22">
        <f>Machinga!P189</f>
        <v>0</v>
      </c>
      <c r="G189" s="22">
        <f>Ntaja!P189</f>
        <v>0</v>
      </c>
      <c r="H189" s="31">
        <f>SUM(D189:G189)</f>
        <v>0</v>
      </c>
    </row>
    <row r="190" spans="1:8" x14ac:dyDescent="0.3">
      <c r="A190" s="497"/>
      <c r="B190" s="17" t="s">
        <v>62</v>
      </c>
      <c r="C190" s="4" t="s">
        <v>57</v>
      </c>
      <c r="D190" s="22">
        <f>Balaka!P190</f>
        <v>0</v>
      </c>
      <c r="E190" s="22">
        <f>Liwonde!P190</f>
        <v>0</v>
      </c>
      <c r="F190" s="22">
        <f>Machinga!P190</f>
        <v>0</v>
      </c>
      <c r="G190" s="22">
        <f>Ntaja!P190</f>
        <v>0</v>
      </c>
      <c r="H190" s="31">
        <f>SUM(D190:G190)</f>
        <v>0</v>
      </c>
    </row>
    <row r="191" spans="1:8" x14ac:dyDescent="0.3">
      <c r="A191" s="497"/>
      <c r="B191" s="17" t="s">
        <v>61</v>
      </c>
      <c r="C191" s="4" t="s">
        <v>57</v>
      </c>
      <c r="D191" s="22">
        <f>Balaka!P191</f>
        <v>0</v>
      </c>
      <c r="E191" s="22">
        <f>Liwonde!P191</f>
        <v>0</v>
      </c>
      <c r="F191" s="22">
        <f>Machinga!P191</f>
        <v>0</v>
      </c>
      <c r="G191" s="22">
        <f>Ntaja!P191</f>
        <v>0</v>
      </c>
      <c r="H191" s="31">
        <f>SUM(D191:G191)</f>
        <v>0</v>
      </c>
    </row>
    <row r="192" spans="1:8" x14ac:dyDescent="0.3">
      <c r="A192" s="498"/>
      <c r="B192" s="17" t="s">
        <v>60</v>
      </c>
      <c r="C192" s="4" t="s">
        <v>57</v>
      </c>
      <c r="D192" s="22">
        <f>Balaka!P192</f>
        <v>0</v>
      </c>
      <c r="E192" s="22">
        <f>Liwonde!P192</f>
        <v>0</v>
      </c>
      <c r="F192" s="22">
        <f>Machinga!P192</f>
        <v>0</v>
      </c>
      <c r="G192" s="22">
        <f>Ntaja!P192</f>
        <v>0</v>
      </c>
      <c r="H192" s="31">
        <f>SUM(D192:G192)</f>
        <v>0</v>
      </c>
    </row>
    <row r="193" spans="1:8" x14ac:dyDescent="0.3">
      <c r="A193" s="499" t="s">
        <v>59</v>
      </c>
      <c r="B193" s="500"/>
      <c r="C193" s="4"/>
      <c r="D193" s="9">
        <f>SUM(D153:D192)</f>
        <v>2235</v>
      </c>
      <c r="E193" s="9">
        <f t="shared" ref="E193:G193" si="52">SUM(E153:E192)</f>
        <v>1704</v>
      </c>
      <c r="F193" s="9">
        <f t="shared" si="52"/>
        <v>588</v>
      </c>
      <c r="G193" s="9">
        <f t="shared" si="52"/>
        <v>889</v>
      </c>
      <c r="H193" s="35">
        <f>SUM(H153:H192)</f>
        <v>5416</v>
      </c>
    </row>
    <row r="194" spans="1:8" x14ac:dyDescent="0.3">
      <c r="A194" s="501" t="s">
        <v>58</v>
      </c>
      <c r="B194" s="502"/>
      <c r="C194" s="4" t="s">
        <v>57</v>
      </c>
      <c r="D194" s="22">
        <f>Balaka!P194</f>
        <v>0</v>
      </c>
      <c r="E194" s="22">
        <f>Liwonde!P194</f>
        <v>4</v>
      </c>
      <c r="F194" s="22">
        <f>Machinga!P194</f>
        <v>12</v>
      </c>
      <c r="G194" s="22">
        <f>Ntaja!P194</f>
        <v>5</v>
      </c>
      <c r="H194" s="34">
        <f>SUM(D194:G194)</f>
        <v>21</v>
      </c>
    </row>
    <row r="195" spans="1:8" x14ac:dyDescent="0.3">
      <c r="A195" s="503"/>
      <c r="B195" s="504"/>
      <c r="C195" s="14" t="s">
        <v>55</v>
      </c>
      <c r="D195" s="22">
        <f>Balaka!P195</f>
        <v>0</v>
      </c>
      <c r="E195" s="22">
        <f>Liwonde!P195</f>
        <v>401</v>
      </c>
      <c r="F195" s="22">
        <f>Machinga!P195</f>
        <v>0</v>
      </c>
      <c r="G195" s="22">
        <f>Ntaja!P195</f>
        <v>2064</v>
      </c>
      <c r="H195" s="34">
        <f>SUM(D195:G195)</f>
        <v>2465</v>
      </c>
    </row>
    <row r="196" spans="1:8" x14ac:dyDescent="0.3">
      <c r="A196" s="74" t="s">
        <v>204</v>
      </c>
      <c r="B196" s="75"/>
      <c r="C196" s="14" t="s">
        <v>55</v>
      </c>
      <c r="D196" s="22">
        <f>Balaka!P196</f>
        <v>472</v>
      </c>
      <c r="E196" s="22">
        <f>Liwonde!P196</f>
        <v>669.08333333333337</v>
      </c>
      <c r="F196" s="22">
        <f>Machinga!P196</f>
        <v>54</v>
      </c>
      <c r="G196" s="22">
        <f>Ntaja!P196</f>
        <v>662.66666666666663</v>
      </c>
      <c r="H196" s="34">
        <f>SUM(D196:G196)/10</f>
        <v>185.77500000000001</v>
      </c>
    </row>
    <row r="197" spans="1:8" x14ac:dyDescent="0.3">
      <c r="A197" s="447" t="s">
        <v>56</v>
      </c>
      <c r="B197" s="448"/>
      <c r="C197" s="14" t="s">
        <v>55</v>
      </c>
      <c r="D197" s="22">
        <f>Balaka!P197</f>
        <v>853.99999999999989</v>
      </c>
      <c r="E197" s="22">
        <f>Liwonde!P197</f>
        <v>469</v>
      </c>
      <c r="F197" s="22">
        <f>Machinga!P197</f>
        <v>843</v>
      </c>
      <c r="G197" s="22">
        <f>Ntaja!P197</f>
        <v>1637</v>
      </c>
      <c r="H197" s="34">
        <f>SUM(D197:G197)</f>
        <v>3803</v>
      </c>
    </row>
    <row r="198" spans="1:8" ht="14.4" x14ac:dyDescent="0.3">
      <c r="A198" s="441" t="s">
        <v>205</v>
      </c>
      <c r="B198" s="442"/>
      <c r="C198" s="442"/>
      <c r="D198" s="442"/>
      <c r="E198" s="442"/>
      <c r="F198" s="442"/>
      <c r="G198" s="442"/>
      <c r="H198" s="444"/>
    </row>
    <row r="199" spans="1:8" x14ac:dyDescent="0.3">
      <c r="A199" s="501" t="s">
        <v>54</v>
      </c>
      <c r="B199" s="68" t="s">
        <v>53</v>
      </c>
      <c r="C199" s="4" t="s">
        <v>47</v>
      </c>
      <c r="D199" s="22">
        <f>Balaka!P199</f>
        <v>390</v>
      </c>
      <c r="E199" s="22">
        <f>Liwonde!P199</f>
        <v>30</v>
      </c>
      <c r="F199" s="22">
        <f>Machinga!P199</f>
        <v>0</v>
      </c>
      <c r="G199" s="22">
        <f>Ntaja!P199</f>
        <v>0</v>
      </c>
      <c r="H199" s="34">
        <f t="shared" ref="H199:H204" si="53">SUM(D199:G199)</f>
        <v>420</v>
      </c>
    </row>
    <row r="200" spans="1:8" x14ac:dyDescent="0.3">
      <c r="A200" s="505"/>
      <c r="B200" s="68" t="s">
        <v>52</v>
      </c>
      <c r="C200" s="4" t="s">
        <v>47</v>
      </c>
      <c r="D200" s="22">
        <f>Balaka!P200</f>
        <v>728</v>
      </c>
      <c r="E200" s="22">
        <f>Liwonde!P200</f>
        <v>0</v>
      </c>
      <c r="F200" s="22">
        <f>Machinga!P200</f>
        <v>0</v>
      </c>
      <c r="G200" s="22">
        <f>Ntaja!P200</f>
        <v>0</v>
      </c>
      <c r="H200" s="34">
        <f t="shared" si="53"/>
        <v>728</v>
      </c>
    </row>
    <row r="201" spans="1:8" x14ac:dyDescent="0.3">
      <c r="A201" s="505"/>
      <c r="B201" s="68" t="s">
        <v>51</v>
      </c>
      <c r="C201" s="4" t="s">
        <v>47</v>
      </c>
      <c r="D201" s="22">
        <f>Balaka!P201</f>
        <v>18</v>
      </c>
      <c r="E201" s="22">
        <f>Liwonde!P201</f>
        <v>332</v>
      </c>
      <c r="F201" s="22">
        <f>Machinga!P201</f>
        <v>0</v>
      </c>
      <c r="G201" s="22">
        <f>Ntaja!P201</f>
        <v>0</v>
      </c>
      <c r="H201" s="34">
        <f t="shared" si="53"/>
        <v>350</v>
      </c>
    </row>
    <row r="202" spans="1:8" x14ac:dyDescent="0.3">
      <c r="A202" s="505"/>
      <c r="B202" s="68" t="s">
        <v>50</v>
      </c>
      <c r="C202" s="4" t="s">
        <v>47</v>
      </c>
      <c r="D202" s="22">
        <f>Balaka!P202</f>
        <v>90</v>
      </c>
      <c r="E202" s="22">
        <f>Liwonde!P202</f>
        <v>860</v>
      </c>
      <c r="F202" s="22">
        <f>Machinga!P202</f>
        <v>0</v>
      </c>
      <c r="G202" s="22">
        <f>Ntaja!P202</f>
        <v>0</v>
      </c>
      <c r="H202" s="34">
        <f t="shared" si="53"/>
        <v>950</v>
      </c>
    </row>
    <row r="203" spans="1:8" x14ac:dyDescent="0.3">
      <c r="A203" s="503"/>
      <c r="B203" s="68" t="s">
        <v>49</v>
      </c>
      <c r="C203" s="4" t="s">
        <v>47</v>
      </c>
      <c r="D203" s="22">
        <f>Balaka!P203</f>
        <v>330</v>
      </c>
      <c r="E203" s="22">
        <f>Liwonde!P203</f>
        <v>2470</v>
      </c>
      <c r="F203" s="22">
        <f>Machinga!P203</f>
        <v>0</v>
      </c>
      <c r="G203" s="22">
        <f>Ntaja!P203</f>
        <v>0</v>
      </c>
      <c r="H203" s="34">
        <f t="shared" si="53"/>
        <v>2800</v>
      </c>
    </row>
    <row r="204" spans="1:8" x14ac:dyDescent="0.3">
      <c r="A204" s="72" t="s">
        <v>48</v>
      </c>
      <c r="B204" s="68"/>
      <c r="C204" s="4" t="s">
        <v>47</v>
      </c>
      <c r="D204" s="13">
        <f t="shared" ref="D204:G204" si="54">SUM(D199:D203)</f>
        <v>1556</v>
      </c>
      <c r="E204" s="13">
        <f t="shared" si="54"/>
        <v>3692</v>
      </c>
      <c r="F204" s="13">
        <f t="shared" si="54"/>
        <v>0</v>
      </c>
      <c r="G204" s="13">
        <f t="shared" si="54"/>
        <v>0</v>
      </c>
      <c r="H204" s="99">
        <f t="shared" si="53"/>
        <v>5248</v>
      </c>
    </row>
    <row r="205" spans="1:8" ht="14.4" x14ac:dyDescent="0.3">
      <c r="A205" s="441" t="s">
        <v>46</v>
      </c>
      <c r="B205" s="442"/>
      <c r="C205" s="442"/>
      <c r="D205" s="442"/>
      <c r="E205" s="442"/>
      <c r="F205" s="442"/>
      <c r="G205" s="442"/>
      <c r="H205" s="444"/>
    </row>
    <row r="206" spans="1:8" x14ac:dyDescent="0.3">
      <c r="A206" s="447" t="s">
        <v>43</v>
      </c>
      <c r="B206" s="448"/>
      <c r="C206" s="4" t="s">
        <v>31</v>
      </c>
      <c r="D206" s="13">
        <f>Balaka!P206</f>
        <v>315924564.06999999</v>
      </c>
      <c r="E206" s="13">
        <f>Liwonde!P206</f>
        <v>342025837.40999985</v>
      </c>
      <c r="F206" s="13">
        <f>Machinga!P206</f>
        <v>696025.24</v>
      </c>
      <c r="G206" s="13">
        <f>Ntaja!P206</f>
        <v>6000</v>
      </c>
      <c r="H206" s="34">
        <f>SUM(D206:G206)</f>
        <v>658652426.71999979</v>
      </c>
    </row>
    <row r="207" spans="1:8" x14ac:dyDescent="0.3">
      <c r="A207" s="447" t="s">
        <v>42</v>
      </c>
      <c r="B207" s="448"/>
      <c r="C207" s="4" t="s">
        <v>31</v>
      </c>
      <c r="D207" s="13">
        <f>Balaka!P207</f>
        <v>2039667.22</v>
      </c>
      <c r="E207" s="13">
        <f>Liwonde!P207</f>
        <v>1521716.22</v>
      </c>
      <c r="F207" s="13">
        <f>Machinga!P207</f>
        <v>0</v>
      </c>
      <c r="G207" s="13">
        <f>Ntaja!P207</f>
        <v>0</v>
      </c>
      <c r="H207" s="34">
        <f>SUM(D207:G207)</f>
        <v>3561383.44</v>
      </c>
    </row>
    <row r="208" spans="1:8" x14ac:dyDescent="0.3">
      <c r="A208" s="445" t="s">
        <v>41</v>
      </c>
      <c r="B208" s="446"/>
      <c r="C208" s="4" t="s">
        <v>31</v>
      </c>
      <c r="D208" s="13">
        <f>Balaka!P208</f>
        <v>669184.43999999994</v>
      </c>
      <c r="E208" s="13">
        <f>Liwonde!P208</f>
        <v>17189138.530000001</v>
      </c>
      <c r="F208" s="13">
        <f>Machinga!P208</f>
        <v>0</v>
      </c>
      <c r="G208" s="13">
        <f>Ntaja!P208</f>
        <v>0</v>
      </c>
      <c r="H208" s="34">
        <f>SUM(D208:G208)</f>
        <v>17858322.970000003</v>
      </c>
    </row>
    <row r="209" spans="1:8" x14ac:dyDescent="0.3">
      <c r="A209" s="447" t="s">
        <v>40</v>
      </c>
      <c r="B209" s="448"/>
      <c r="C209" s="4" t="s">
        <v>31</v>
      </c>
      <c r="D209" s="13">
        <f>Balaka!P209</f>
        <v>1362868.88</v>
      </c>
      <c r="E209" s="13">
        <f>Liwonde!P209</f>
        <v>19459392.460000001</v>
      </c>
      <c r="F209" s="13">
        <f>Machinga!P209</f>
        <v>0</v>
      </c>
      <c r="G209" s="13">
        <f>Ntaja!P209</f>
        <v>0</v>
      </c>
      <c r="H209" s="34">
        <f>SUM(D209:G209)</f>
        <v>20822261.34</v>
      </c>
    </row>
    <row r="210" spans="1:8" x14ac:dyDescent="0.3">
      <c r="A210" s="509" t="s">
        <v>45</v>
      </c>
      <c r="B210" s="510"/>
      <c r="C210" s="4" t="s">
        <v>31</v>
      </c>
      <c r="D210" s="9">
        <f t="shared" ref="D210:G210" si="55">SUM(D206:D209)</f>
        <v>319996284.61000001</v>
      </c>
      <c r="E210" s="9">
        <f t="shared" si="55"/>
        <v>380196084.61999983</v>
      </c>
      <c r="F210" s="9">
        <f t="shared" si="55"/>
        <v>696025.24</v>
      </c>
      <c r="G210" s="9">
        <f t="shared" si="55"/>
        <v>6000</v>
      </c>
      <c r="H210" s="34">
        <f>SUM(D210:G210)</f>
        <v>700894394.46999979</v>
      </c>
    </row>
    <row r="211" spans="1:8" ht="14.4" x14ac:dyDescent="0.3">
      <c r="A211" s="441" t="s">
        <v>44</v>
      </c>
      <c r="B211" s="442"/>
      <c r="C211" s="442"/>
      <c r="D211" s="442"/>
      <c r="E211" s="442"/>
      <c r="F211" s="442"/>
      <c r="G211" s="442"/>
      <c r="H211" s="444"/>
    </row>
    <row r="212" spans="1:8" x14ac:dyDescent="0.3">
      <c r="A212" s="447" t="s">
        <v>43</v>
      </c>
      <c r="B212" s="448"/>
      <c r="C212" s="4" t="s">
        <v>31</v>
      </c>
      <c r="D212" s="13">
        <f>Balaka!P212</f>
        <v>224782828.96000016</v>
      </c>
      <c r="E212" s="13">
        <f>Liwonde!P212</f>
        <v>246225040.98999989</v>
      </c>
      <c r="F212" s="13">
        <f>Machinga!P212</f>
        <v>26576133.91</v>
      </c>
      <c r="G212" s="13">
        <f>Ntaja!P212</f>
        <v>44052779.859999999</v>
      </c>
      <c r="H212" s="34">
        <f>SUM(D212:G212)</f>
        <v>541636783.72000003</v>
      </c>
    </row>
    <row r="213" spans="1:8" x14ac:dyDescent="0.3">
      <c r="A213" s="447" t="s">
        <v>42</v>
      </c>
      <c r="B213" s="448"/>
      <c r="C213" s="4" t="s">
        <v>31</v>
      </c>
      <c r="D213" s="13">
        <f>Balaka!P213</f>
        <v>698635.16</v>
      </c>
      <c r="E213" s="13">
        <f>Liwonde!P213</f>
        <v>65700</v>
      </c>
      <c r="F213" s="13">
        <f>Machinga!P213</f>
        <v>0</v>
      </c>
      <c r="G213" s="13">
        <f>Ntaja!P213</f>
        <v>226300</v>
      </c>
      <c r="H213" s="34">
        <f>SUM(D213:G213)</f>
        <v>990635.16</v>
      </c>
    </row>
    <row r="214" spans="1:8" x14ac:dyDescent="0.3">
      <c r="A214" s="445" t="s">
        <v>41</v>
      </c>
      <c r="B214" s="446"/>
      <c r="C214" s="4" t="s">
        <v>31</v>
      </c>
      <c r="D214" s="13">
        <f>Balaka!P214</f>
        <v>32060077.829999998</v>
      </c>
      <c r="E214" s="13">
        <f>Liwonde!P214</f>
        <v>128795275.34999999</v>
      </c>
      <c r="F214" s="13">
        <f>Machinga!P214</f>
        <v>1388700</v>
      </c>
      <c r="G214" s="13">
        <f>Ntaja!P214</f>
        <v>2429584.1100000003</v>
      </c>
      <c r="H214" s="34">
        <f>SUM(D214:G214)</f>
        <v>164673637.29000002</v>
      </c>
    </row>
    <row r="215" spans="1:8" x14ac:dyDescent="0.3">
      <c r="A215" s="447" t="s">
        <v>40</v>
      </c>
      <c r="B215" s="448"/>
      <c r="C215" s="4" t="s">
        <v>31</v>
      </c>
      <c r="D215" s="13">
        <f>Balaka!P215</f>
        <v>40191034.61999999</v>
      </c>
      <c r="E215" s="13">
        <f>Liwonde!P215</f>
        <v>72836676.799999997</v>
      </c>
      <c r="F215" s="13">
        <f>Machinga!P215</f>
        <v>4289200</v>
      </c>
      <c r="G215" s="13">
        <f>Ntaja!P215</f>
        <v>1833608.3399999999</v>
      </c>
      <c r="H215" s="34">
        <f>SUM(D215:G215)</f>
        <v>119150519.75999999</v>
      </c>
    </row>
    <row r="216" spans="1:8" x14ac:dyDescent="0.3">
      <c r="A216" s="509" t="s">
        <v>39</v>
      </c>
      <c r="B216" s="510"/>
      <c r="C216" s="4" t="s">
        <v>31</v>
      </c>
      <c r="D216" s="9">
        <f t="shared" ref="D216:G216" si="56">SUM(D212:D215)</f>
        <v>297732576.57000017</v>
      </c>
      <c r="E216" s="9">
        <f t="shared" si="56"/>
        <v>447922693.13999993</v>
      </c>
      <c r="F216" s="9">
        <f t="shared" si="56"/>
        <v>32254033.91</v>
      </c>
      <c r="G216" s="9">
        <f t="shared" si="56"/>
        <v>48542272.310000002</v>
      </c>
      <c r="H216" s="34">
        <f>SUM(D216:G216)</f>
        <v>826451575.93000007</v>
      </c>
    </row>
    <row r="217" spans="1:8" x14ac:dyDescent="0.3">
      <c r="A217" s="65" t="s">
        <v>38</v>
      </c>
      <c r="B217" s="66"/>
      <c r="C217" s="4" t="s">
        <v>31</v>
      </c>
      <c r="D217" s="9">
        <f>D210+D216</f>
        <v>617728861.18000019</v>
      </c>
      <c r="E217" s="9">
        <f t="shared" ref="E217:H217" si="57">E210+E216</f>
        <v>828118777.75999975</v>
      </c>
      <c r="F217" s="9">
        <f t="shared" si="57"/>
        <v>32950059.149999999</v>
      </c>
      <c r="G217" s="9">
        <f t="shared" si="57"/>
        <v>48548272.310000002</v>
      </c>
      <c r="H217" s="35">
        <f t="shared" si="57"/>
        <v>1527345970.3999999</v>
      </c>
    </row>
    <row r="218" spans="1:8" ht="14.4" x14ac:dyDescent="0.3">
      <c r="A218" s="441" t="s">
        <v>37</v>
      </c>
      <c r="B218" s="442"/>
      <c r="C218" s="442"/>
      <c r="D218" s="442"/>
      <c r="E218" s="442"/>
      <c r="F218" s="442"/>
      <c r="G218" s="442"/>
      <c r="H218" s="444"/>
    </row>
    <row r="219" spans="1:8" x14ac:dyDescent="0.3">
      <c r="A219" s="447" t="s">
        <v>35</v>
      </c>
      <c r="B219" s="448"/>
      <c r="C219" s="4" t="s">
        <v>31</v>
      </c>
      <c r="D219" s="13">
        <f>Balaka!P219</f>
        <v>234550204.58000028</v>
      </c>
      <c r="E219" s="13">
        <f>Liwonde!P219</f>
        <v>275643632.13</v>
      </c>
      <c r="F219" s="13">
        <f>Machinga!P219</f>
        <v>576862.2699999999</v>
      </c>
      <c r="G219" s="13">
        <f>Ntaja!P219</f>
        <v>2865536.75</v>
      </c>
      <c r="H219" s="34">
        <f>SUM(D219:G219)</f>
        <v>513636235.73000026</v>
      </c>
    </row>
    <row r="220" spans="1:8" x14ac:dyDescent="0.3">
      <c r="A220" s="447" t="s">
        <v>34</v>
      </c>
      <c r="B220" s="448"/>
      <c r="C220" s="4" t="s">
        <v>31</v>
      </c>
      <c r="D220" s="13">
        <f>Balaka!P220</f>
        <v>1717694.4000000001</v>
      </c>
      <c r="E220" s="13">
        <f>Liwonde!P220</f>
        <v>1325570.3999999997</v>
      </c>
      <c r="F220" s="13">
        <f>Machinga!P220</f>
        <v>0</v>
      </c>
      <c r="G220" s="13">
        <f>Ntaja!P220</f>
        <v>0</v>
      </c>
      <c r="H220" s="34">
        <f>SUM(D220:G220)</f>
        <v>3043264.8</v>
      </c>
    </row>
    <row r="221" spans="1:8" x14ac:dyDescent="0.3">
      <c r="A221" s="447" t="s">
        <v>33</v>
      </c>
      <c r="B221" s="448"/>
      <c r="C221" s="4" t="s">
        <v>31</v>
      </c>
      <c r="D221" s="13">
        <f>Balaka!P221</f>
        <v>3122246.95</v>
      </c>
      <c r="E221" s="13">
        <f>Liwonde!P221</f>
        <v>18850832.689999998</v>
      </c>
      <c r="F221" s="13">
        <f>Machinga!P221</f>
        <v>615919.69999999995</v>
      </c>
      <c r="G221" s="13">
        <f>Ntaja!P221</f>
        <v>315093.85000000003</v>
      </c>
      <c r="H221" s="34">
        <f>SUM(D221:G221)</f>
        <v>22904093.189999998</v>
      </c>
    </row>
    <row r="222" spans="1:8" x14ac:dyDescent="0.3">
      <c r="A222" s="447" t="s">
        <v>32</v>
      </c>
      <c r="B222" s="448"/>
      <c r="C222" s="4" t="s">
        <v>31</v>
      </c>
      <c r="D222" s="13">
        <f>Balaka!P222</f>
        <v>472196.67999999993</v>
      </c>
      <c r="E222" s="13">
        <f>Liwonde!P222</f>
        <v>8632956.2400000002</v>
      </c>
      <c r="F222" s="13">
        <f>Machinga!P222</f>
        <v>0</v>
      </c>
      <c r="G222" s="13">
        <f>Ntaja!P222</f>
        <v>265500</v>
      </c>
      <c r="H222" s="34">
        <f>SUM(D222:G222)</f>
        <v>9370652.9199999999</v>
      </c>
    </row>
    <row r="223" spans="1:8" x14ac:dyDescent="0.3">
      <c r="A223" s="509" t="s">
        <v>36</v>
      </c>
      <c r="B223" s="510"/>
      <c r="C223" s="4" t="s">
        <v>31</v>
      </c>
      <c r="D223" s="9">
        <f t="shared" ref="D223:G223" si="58">SUM(D219:D222)</f>
        <v>239862342.61000028</v>
      </c>
      <c r="E223" s="9">
        <f t="shared" si="58"/>
        <v>304452991.45999998</v>
      </c>
      <c r="F223" s="9">
        <f t="shared" si="58"/>
        <v>1192781.9699999997</v>
      </c>
      <c r="G223" s="9">
        <f t="shared" si="58"/>
        <v>3446130.6</v>
      </c>
      <c r="H223" s="34">
        <f>SUM(D223:G223)</f>
        <v>548954246.64000034</v>
      </c>
    </row>
    <row r="224" spans="1:8" ht="14.4" x14ac:dyDescent="0.3">
      <c r="A224" s="441" t="s">
        <v>213</v>
      </c>
      <c r="B224" s="442"/>
      <c r="C224" s="442"/>
      <c r="D224" s="442"/>
      <c r="E224" s="442"/>
      <c r="F224" s="442"/>
      <c r="G224" s="442"/>
      <c r="H224" s="444"/>
    </row>
    <row r="225" spans="1:8" x14ac:dyDescent="0.3">
      <c r="A225" s="447" t="s">
        <v>35</v>
      </c>
      <c r="B225" s="448"/>
      <c r="C225" s="4" t="s">
        <v>31</v>
      </c>
      <c r="D225" s="13">
        <f>Balaka!P225</f>
        <v>195620616.94000027</v>
      </c>
      <c r="E225" s="13">
        <f>Liwonde!P225</f>
        <v>236714316.99999991</v>
      </c>
      <c r="F225" s="13">
        <f>Machinga!P225</f>
        <v>22956234.289999995</v>
      </c>
      <c r="G225" s="13">
        <f>Ntaja!P225</f>
        <v>42804373.200000003</v>
      </c>
      <c r="H225" s="34">
        <f t="shared" ref="H225:H230" si="59">SUM(D225:G225)</f>
        <v>498095541.43000019</v>
      </c>
    </row>
    <row r="226" spans="1:8" x14ac:dyDescent="0.3">
      <c r="A226" s="447" t="s">
        <v>34</v>
      </c>
      <c r="B226" s="448"/>
      <c r="C226" s="4" t="s">
        <v>31</v>
      </c>
      <c r="D226" s="13">
        <f>Balaka!P226</f>
        <v>556605.39</v>
      </c>
      <c r="E226" s="13">
        <f>Liwonde!P226</f>
        <v>37020</v>
      </c>
      <c r="F226" s="13">
        <f>Machinga!P226</f>
        <v>0</v>
      </c>
      <c r="G226" s="13">
        <f>Ntaja!P226</f>
        <v>226300</v>
      </c>
      <c r="H226" s="34">
        <f t="shared" si="59"/>
        <v>819925.39</v>
      </c>
    </row>
    <row r="227" spans="1:8" x14ac:dyDescent="0.3">
      <c r="A227" s="447" t="s">
        <v>33</v>
      </c>
      <c r="B227" s="448"/>
      <c r="C227" s="4" t="s">
        <v>31</v>
      </c>
      <c r="D227" s="13">
        <f>Balaka!P227</f>
        <v>36556572.729999997</v>
      </c>
      <c r="E227" s="13">
        <f>Liwonde!P227</f>
        <v>72177867.359999985</v>
      </c>
      <c r="F227" s="13">
        <f>Machinga!P227</f>
        <v>4114500.06</v>
      </c>
      <c r="G227" s="13">
        <f>Ntaja!P227</f>
        <v>1822174.42</v>
      </c>
      <c r="H227" s="34">
        <f t="shared" si="59"/>
        <v>114671114.56999998</v>
      </c>
    </row>
    <row r="228" spans="1:8" x14ac:dyDescent="0.3">
      <c r="A228" s="447" t="s">
        <v>32</v>
      </c>
      <c r="B228" s="448"/>
      <c r="C228" s="4" t="s">
        <v>31</v>
      </c>
      <c r="D228" s="13">
        <f>Balaka!P228</f>
        <v>31035439.749999996</v>
      </c>
      <c r="E228" s="13">
        <f>Liwonde!P228</f>
        <v>123948815.75999999</v>
      </c>
      <c r="F228" s="13">
        <f>Machinga!P228</f>
        <v>1361003.54</v>
      </c>
      <c r="G228" s="13">
        <f>Ntaja!P228</f>
        <v>2370603.91</v>
      </c>
      <c r="H228" s="34">
        <f t="shared" si="59"/>
        <v>158715862.95999998</v>
      </c>
    </row>
    <row r="229" spans="1:8" x14ac:dyDescent="0.3">
      <c r="A229" s="509" t="s">
        <v>214</v>
      </c>
      <c r="B229" s="510"/>
      <c r="C229" s="4" t="s">
        <v>31</v>
      </c>
      <c r="D229" s="9">
        <f t="shared" ref="D229:G229" si="60">SUM(D225:D228)</f>
        <v>263769234.81000024</v>
      </c>
      <c r="E229" s="9">
        <f t="shared" si="60"/>
        <v>432878020.11999989</v>
      </c>
      <c r="F229" s="9">
        <f t="shared" si="60"/>
        <v>28431737.889999993</v>
      </c>
      <c r="G229" s="9">
        <f t="shared" si="60"/>
        <v>47223451.530000001</v>
      </c>
      <c r="H229" s="34">
        <f t="shared" si="59"/>
        <v>772302444.35000002</v>
      </c>
    </row>
    <row r="230" spans="1:8" x14ac:dyDescent="0.3">
      <c r="A230" s="65" t="s">
        <v>215</v>
      </c>
      <c r="B230" s="108"/>
      <c r="C230" s="4" t="s">
        <v>31</v>
      </c>
      <c r="D230" s="10">
        <f>D223+D229</f>
        <v>503631577.42000055</v>
      </c>
      <c r="E230" s="10">
        <f t="shared" ref="E230:G230" si="61">E223+E229</f>
        <v>737331011.57999992</v>
      </c>
      <c r="F230" s="10">
        <f t="shared" si="61"/>
        <v>29624519.859999992</v>
      </c>
      <c r="G230" s="10">
        <f t="shared" si="61"/>
        <v>50669582.130000003</v>
      </c>
      <c r="H230" s="34">
        <f t="shared" si="59"/>
        <v>1321256690.9900005</v>
      </c>
    </row>
    <row r="231" spans="1:8" ht="14.4" x14ac:dyDescent="0.3">
      <c r="A231" s="441" t="s">
        <v>30</v>
      </c>
      <c r="B231" s="442"/>
      <c r="C231" s="442"/>
      <c r="D231" s="442"/>
      <c r="E231" s="442"/>
      <c r="F231" s="442"/>
      <c r="G231" s="442"/>
      <c r="H231" s="444"/>
    </row>
    <row r="232" spans="1:8" x14ac:dyDescent="0.3">
      <c r="A232" s="447" t="s">
        <v>29</v>
      </c>
      <c r="B232" s="448"/>
      <c r="C232" s="4" t="s">
        <v>18</v>
      </c>
      <c r="D232" s="13">
        <f>Balaka!P232</f>
        <v>19570468.869999979</v>
      </c>
      <c r="E232" s="13">
        <f>Liwonde!P232</f>
        <v>17064088.210000001</v>
      </c>
      <c r="F232" s="13">
        <f>Machinga!P232</f>
        <v>42771.92</v>
      </c>
      <c r="G232" s="13">
        <f>Ntaja!P232</f>
        <v>13078.320000000002</v>
      </c>
      <c r="H232" s="34">
        <f>SUM(D232:G232)</f>
        <v>36690407.319999985</v>
      </c>
    </row>
    <row r="233" spans="1:8" x14ac:dyDescent="0.3">
      <c r="A233" s="447" t="s">
        <v>28</v>
      </c>
      <c r="B233" s="448"/>
      <c r="C233" s="4" t="s">
        <v>18</v>
      </c>
      <c r="D233" s="13">
        <f>Balaka!P233</f>
        <v>24675.119999999999</v>
      </c>
      <c r="E233" s="13">
        <f>Liwonde!P233</f>
        <v>23527.440000000002</v>
      </c>
      <c r="F233" s="13">
        <f>Machinga!P233</f>
        <v>0</v>
      </c>
      <c r="G233" s="13">
        <f>Ntaja!P233</f>
        <v>0</v>
      </c>
      <c r="H233" s="34">
        <f>SUM(D233:G233)</f>
        <v>48202.559999999998</v>
      </c>
    </row>
    <row r="234" spans="1:8" x14ac:dyDescent="0.3">
      <c r="A234" s="447" t="s">
        <v>27</v>
      </c>
      <c r="B234" s="448"/>
      <c r="C234" s="4" t="s">
        <v>18</v>
      </c>
      <c r="D234" s="13">
        <f>Balaka!P234</f>
        <v>349544.9200000001</v>
      </c>
      <c r="E234" s="13">
        <f>Liwonde!P234</f>
        <v>383481.32000000007</v>
      </c>
      <c r="F234" s="13">
        <f>Machinga!P234</f>
        <v>40723.68</v>
      </c>
      <c r="G234" s="13">
        <f>Ntaja!P234</f>
        <v>40723.68</v>
      </c>
      <c r="H234" s="34">
        <f>SUM(D234:G234)</f>
        <v>814473.60000000033</v>
      </c>
    </row>
    <row r="235" spans="1:8" x14ac:dyDescent="0.3">
      <c r="A235" s="447" t="s">
        <v>26</v>
      </c>
      <c r="B235" s="448"/>
      <c r="C235" s="4" t="s">
        <v>18</v>
      </c>
      <c r="D235" s="13">
        <f>Balaka!P235</f>
        <v>92746.800000000017</v>
      </c>
      <c r="E235" s="13">
        <f>Liwonde!P235</f>
        <v>324613.80000000005</v>
      </c>
      <c r="F235" s="13">
        <f>Machinga!P235</f>
        <v>0</v>
      </c>
      <c r="G235" s="13">
        <f>Ntaja!P235</f>
        <v>0</v>
      </c>
      <c r="H235" s="34">
        <f>SUM(D235:G235)</f>
        <v>417360.60000000009</v>
      </c>
    </row>
    <row r="236" spans="1:8" x14ac:dyDescent="0.3">
      <c r="A236" s="509" t="s">
        <v>25</v>
      </c>
      <c r="B236" s="510"/>
      <c r="C236" s="4" t="s">
        <v>18</v>
      </c>
      <c r="D236" s="9">
        <f t="shared" ref="D236:G236" si="62">SUM(D232:D235)</f>
        <v>20037435.709999982</v>
      </c>
      <c r="E236" s="9">
        <f t="shared" si="62"/>
        <v>17795710.770000003</v>
      </c>
      <c r="F236" s="9">
        <f t="shared" si="62"/>
        <v>83495.600000000006</v>
      </c>
      <c r="G236" s="9">
        <f t="shared" si="62"/>
        <v>53802</v>
      </c>
      <c r="H236" s="35">
        <f t="shared" ref="H236" si="63">SUM(H232:H235)</f>
        <v>37970444.079999991</v>
      </c>
    </row>
    <row r="237" spans="1:8" ht="14.4" x14ac:dyDescent="0.3">
      <c r="A237" s="441" t="s">
        <v>24</v>
      </c>
      <c r="B237" s="442"/>
      <c r="C237" s="442"/>
      <c r="D237" s="442"/>
      <c r="E237" s="442"/>
      <c r="F237" s="442"/>
      <c r="G237" s="442"/>
      <c r="H237" s="444"/>
    </row>
    <row r="238" spans="1:8" x14ac:dyDescent="0.3">
      <c r="A238" s="447" t="s">
        <v>23</v>
      </c>
      <c r="B238" s="448"/>
      <c r="C238" s="4" t="s">
        <v>18</v>
      </c>
      <c r="D238" s="13">
        <f>Balaka!P238</f>
        <v>32559673</v>
      </c>
      <c r="E238" s="13">
        <f>Liwonde!P238</f>
        <v>28525099</v>
      </c>
      <c r="F238" s="13">
        <f>Machinga!P238</f>
        <v>68761</v>
      </c>
      <c r="G238" s="13">
        <f>Ntaja!P238</f>
        <v>21432</v>
      </c>
      <c r="H238" s="34">
        <f>SUM(D238:G238)</f>
        <v>61174965</v>
      </c>
    </row>
    <row r="239" spans="1:8" x14ac:dyDescent="0.3">
      <c r="A239" s="447" t="s">
        <v>22</v>
      </c>
      <c r="B239" s="448"/>
      <c r="C239" s="4" t="s">
        <v>18</v>
      </c>
      <c r="D239" s="13">
        <f>Balaka!P239</f>
        <v>115197</v>
      </c>
      <c r="E239" s="13">
        <f>Liwonde!P239</f>
        <v>109839</v>
      </c>
      <c r="F239" s="13">
        <f>Machinga!P239</f>
        <v>0</v>
      </c>
      <c r="G239" s="13">
        <f>Ntaja!P239</f>
        <v>0</v>
      </c>
      <c r="H239" s="34">
        <f>SUM(D239:G239)</f>
        <v>225036</v>
      </c>
    </row>
    <row r="240" spans="1:8" x14ac:dyDescent="0.3">
      <c r="A240" s="447" t="s">
        <v>21</v>
      </c>
      <c r="B240" s="448"/>
      <c r="C240" s="4" t="s">
        <v>18</v>
      </c>
      <c r="D240" s="13">
        <f>Balaka!P240</f>
        <v>91979</v>
      </c>
      <c r="E240" s="13">
        <f>Liwonde!P240</f>
        <v>100909</v>
      </c>
      <c r="F240" s="13">
        <f>Machinga!P240</f>
        <v>10716</v>
      </c>
      <c r="G240" s="13">
        <f>Ntaja!P240</f>
        <v>10716</v>
      </c>
      <c r="H240" s="34">
        <f>SUM(D240:G240)</f>
        <v>214320</v>
      </c>
    </row>
    <row r="241" spans="1:8" x14ac:dyDescent="0.3">
      <c r="A241" s="447" t="s">
        <v>20</v>
      </c>
      <c r="B241" s="448"/>
      <c r="C241" s="4" t="s">
        <v>18</v>
      </c>
      <c r="D241" s="13">
        <f>Balaka!P241</f>
        <v>17860</v>
      </c>
      <c r="E241" s="13">
        <f>Liwonde!P241</f>
        <v>62510</v>
      </c>
      <c r="F241" s="13">
        <f>Machinga!P241</f>
        <v>0</v>
      </c>
      <c r="G241" s="13">
        <f>Ntaja!P241</f>
        <v>0</v>
      </c>
      <c r="H241" s="34">
        <f>SUM(D241:G241)</f>
        <v>80370</v>
      </c>
    </row>
    <row r="242" spans="1:8" x14ac:dyDescent="0.3">
      <c r="A242" s="509" t="s">
        <v>19</v>
      </c>
      <c r="B242" s="510"/>
      <c r="C242" s="4" t="s">
        <v>18</v>
      </c>
      <c r="D242" s="9">
        <f t="shared" ref="D242:G242" si="64">SUM(D238:D241)</f>
        <v>32784709</v>
      </c>
      <c r="E242" s="9">
        <f t="shared" si="64"/>
        <v>28798357</v>
      </c>
      <c r="F242" s="9">
        <f t="shared" si="64"/>
        <v>79477</v>
      </c>
      <c r="G242" s="9">
        <f t="shared" si="64"/>
        <v>32148</v>
      </c>
      <c r="H242" s="35">
        <f t="shared" ref="H242" si="65">SUM(H238:H241)</f>
        <v>61694691</v>
      </c>
    </row>
    <row r="243" spans="1:8" x14ac:dyDescent="0.3">
      <c r="A243" s="509" t="s">
        <v>216</v>
      </c>
      <c r="B243" s="510"/>
      <c r="C243" s="4" t="s">
        <v>18</v>
      </c>
      <c r="D243" s="9">
        <f>D230+D236+D242</f>
        <v>556453722.13000059</v>
      </c>
      <c r="E243" s="9">
        <f t="shared" ref="E243:G243" si="66">E230+E236+E242</f>
        <v>783925079.3499999</v>
      </c>
      <c r="F243" s="9">
        <f t="shared" si="66"/>
        <v>29787492.459999993</v>
      </c>
      <c r="G243" s="9">
        <f t="shared" si="66"/>
        <v>50755532.130000003</v>
      </c>
      <c r="H243" s="35">
        <f t="shared" ref="H243" si="67">H216+H223+H236+H242</f>
        <v>1475070957.6500003</v>
      </c>
    </row>
    <row r="244" spans="1:8" ht="14.4" x14ac:dyDescent="0.3">
      <c r="A244" s="441" t="s">
        <v>206</v>
      </c>
      <c r="B244" s="442"/>
      <c r="C244" s="442"/>
      <c r="D244" s="442"/>
      <c r="E244" s="442"/>
      <c r="F244" s="442"/>
      <c r="G244" s="442"/>
      <c r="H244" s="444"/>
    </row>
    <row r="245" spans="1:8" x14ac:dyDescent="0.3">
      <c r="A245" s="513" t="s">
        <v>207</v>
      </c>
      <c r="B245" s="514"/>
      <c r="C245" s="4" t="s">
        <v>18</v>
      </c>
      <c r="D245" s="13">
        <f>Balaka!P245</f>
        <v>126418964.03</v>
      </c>
      <c r="E245" s="13">
        <f>Liwonde!P245</f>
        <v>103326660.39</v>
      </c>
      <c r="F245" s="13">
        <f>Machinga!P245</f>
        <v>11621972.09</v>
      </c>
      <c r="G245" s="13">
        <f>Ntaja!P245</f>
        <v>670270.15</v>
      </c>
      <c r="H245" s="35">
        <f>SUM(D245:G245)</f>
        <v>242037866.66000003</v>
      </c>
    </row>
    <row r="246" spans="1:8" x14ac:dyDescent="0.3">
      <c r="A246" s="513" t="s">
        <v>208</v>
      </c>
      <c r="B246" s="514"/>
      <c r="C246" s="4" t="s">
        <v>18</v>
      </c>
      <c r="D246" s="13">
        <f>Balaka!P246</f>
        <v>1202893.75</v>
      </c>
      <c r="E246" s="13">
        <f>Liwonde!P246</f>
        <v>3135234.72</v>
      </c>
      <c r="F246" s="13">
        <f>Machinga!P246</f>
        <v>313246.89</v>
      </c>
      <c r="G246" s="13">
        <f>Ntaja!P246</f>
        <v>17475.82</v>
      </c>
      <c r="H246" s="35">
        <f>SUM(D246:G246)</f>
        <v>4668851.1800000006</v>
      </c>
    </row>
    <row r="247" spans="1:8" x14ac:dyDescent="0.3">
      <c r="A247" s="515" t="s">
        <v>209</v>
      </c>
      <c r="B247" s="516"/>
      <c r="C247" s="4" t="s">
        <v>18</v>
      </c>
      <c r="D247" s="126">
        <f>D245+D246</f>
        <v>127621857.78</v>
      </c>
      <c r="E247" s="126">
        <f t="shared" ref="E247:H247" si="68">E245+E246</f>
        <v>106461895.11</v>
      </c>
      <c r="F247" s="126">
        <f t="shared" si="68"/>
        <v>11935218.98</v>
      </c>
      <c r="G247" s="126">
        <f t="shared" si="68"/>
        <v>687745.97</v>
      </c>
      <c r="H247" s="141">
        <f t="shared" si="68"/>
        <v>246706717.84000003</v>
      </c>
    </row>
    <row r="248" spans="1:8" ht="14.4" x14ac:dyDescent="0.3">
      <c r="A248" s="441" t="s">
        <v>17</v>
      </c>
      <c r="B248" s="442"/>
      <c r="C248" s="442"/>
      <c r="D248" s="442"/>
      <c r="E248" s="442"/>
      <c r="F248" s="442"/>
      <c r="G248" s="442"/>
      <c r="H248" s="444"/>
    </row>
    <row r="249" spans="1:8" x14ac:dyDescent="0.3">
      <c r="A249" s="447" t="s">
        <v>16</v>
      </c>
      <c r="B249" s="448"/>
      <c r="C249" s="4" t="s">
        <v>6</v>
      </c>
      <c r="D249" s="7">
        <f>D58/D243%</f>
        <v>68.393094139298185</v>
      </c>
      <c r="E249" s="7">
        <f t="shared" ref="E249:H249" si="69">E58/E243%</f>
        <v>58.856202238623119</v>
      </c>
      <c r="F249" s="7">
        <f t="shared" si="69"/>
        <v>89.206541773439142</v>
      </c>
      <c r="G249" s="7">
        <f t="shared" si="69"/>
        <v>123.22974775400114</v>
      </c>
      <c r="H249" s="369">
        <f t="shared" si="69"/>
        <v>63.121217959742154</v>
      </c>
    </row>
    <row r="250" spans="1:8" x14ac:dyDescent="0.3">
      <c r="A250" s="447" t="s">
        <v>210</v>
      </c>
      <c r="B250" s="448"/>
      <c r="C250" s="4" t="s">
        <v>6</v>
      </c>
      <c r="D250" s="25">
        <f>D210/(D223+D245)%</f>
        <v>87.36353147405049</v>
      </c>
      <c r="E250" s="25">
        <f t="shared" ref="E250:H250" si="70">E210/(E223+E245)%</f>
        <v>93.235668551665086</v>
      </c>
      <c r="F250" s="25">
        <f t="shared" si="70"/>
        <v>5.4314365827165947</v>
      </c>
      <c r="G250" s="25">
        <f t="shared" si="70"/>
        <v>0.1457584031389558</v>
      </c>
      <c r="H250" s="368">
        <f t="shared" si="70"/>
        <v>88.609530067990804</v>
      </c>
    </row>
    <row r="251" spans="1:8" ht="16.2" thickBot="1" x14ac:dyDescent="0.35">
      <c r="A251" s="511" t="s">
        <v>15</v>
      </c>
      <c r="B251" s="512"/>
      <c r="C251" s="4" t="s">
        <v>6</v>
      </c>
      <c r="D251" s="6">
        <f>D210/D223%</f>
        <v>133.40830458338851</v>
      </c>
      <c r="E251" s="6">
        <f t="shared" ref="E251:H251" si="71">E210/E223%</f>
        <v>124.87841975103444</v>
      </c>
      <c r="F251" s="6">
        <f t="shared" si="71"/>
        <v>58.353098680725374</v>
      </c>
      <c r="G251" s="6">
        <f t="shared" si="71"/>
        <v>0.17410831731101542</v>
      </c>
      <c r="H251" s="370">
        <f t="shared" si="71"/>
        <v>127.67810774030511</v>
      </c>
    </row>
    <row r="252" spans="1:8" ht="14.4" x14ac:dyDescent="0.3">
      <c r="A252" s="490" t="s">
        <v>14</v>
      </c>
      <c r="B252" s="491"/>
      <c r="C252" s="491"/>
      <c r="D252" s="491"/>
      <c r="E252" s="491"/>
      <c r="F252" s="491"/>
      <c r="G252" s="491"/>
      <c r="H252" s="492"/>
    </row>
    <row r="253" spans="1:8" ht="15" customHeight="1" x14ac:dyDescent="0.3">
      <c r="A253" s="447" t="s">
        <v>13</v>
      </c>
      <c r="B253" s="448"/>
      <c r="C253" s="4" t="s">
        <v>3</v>
      </c>
      <c r="D253" s="22">
        <f>Balaka!P253</f>
        <v>466</v>
      </c>
      <c r="E253" s="22">
        <f>Liwonde!P253</f>
        <v>550</v>
      </c>
      <c r="F253" s="22">
        <f>Machinga!P253</f>
        <v>49</v>
      </c>
      <c r="G253" s="22">
        <f>Ntaja!P253</f>
        <v>216</v>
      </c>
      <c r="H253" s="371">
        <f>SUM(D253:G253)</f>
        <v>1281</v>
      </c>
    </row>
    <row r="254" spans="1:8" x14ac:dyDescent="0.3">
      <c r="A254" s="447" t="s">
        <v>12</v>
      </c>
      <c r="B254" s="448"/>
      <c r="C254" s="4" t="s">
        <v>3</v>
      </c>
      <c r="D254" s="22">
        <f>Balaka!P254</f>
        <v>12</v>
      </c>
      <c r="E254" s="22">
        <f>Liwonde!P254</f>
        <v>31</v>
      </c>
      <c r="F254" s="22">
        <f>Machinga!P254</f>
        <v>12</v>
      </c>
      <c r="G254" s="22">
        <f>Ntaja!P254</f>
        <v>19</v>
      </c>
      <c r="H254" s="371">
        <f>SUM(D254:G254)</f>
        <v>74</v>
      </c>
    </row>
    <row r="255" spans="1:8" ht="15.75" customHeight="1" x14ac:dyDescent="0.3">
      <c r="A255" s="447" t="s">
        <v>11</v>
      </c>
      <c r="B255" s="448"/>
      <c r="C255" s="4" t="s">
        <v>3</v>
      </c>
      <c r="D255" s="3">
        <f>D95</f>
        <v>419</v>
      </c>
      <c r="E255" s="3">
        <f t="shared" ref="E255:G255" si="72">E95</f>
        <v>857</v>
      </c>
      <c r="F255" s="3">
        <f t="shared" si="72"/>
        <v>4</v>
      </c>
      <c r="G255" s="3">
        <f t="shared" si="72"/>
        <v>15</v>
      </c>
      <c r="H255" s="371">
        <f>SUM(D255:G255)</f>
        <v>1295</v>
      </c>
    </row>
    <row r="256" spans="1:8" x14ac:dyDescent="0.3">
      <c r="A256" s="447" t="s">
        <v>10</v>
      </c>
      <c r="B256" s="448"/>
      <c r="C256" s="4" t="s">
        <v>3</v>
      </c>
      <c r="D256" s="3">
        <f>D91</f>
        <v>468</v>
      </c>
      <c r="E256" s="3">
        <f t="shared" ref="E256:G256" si="73">E91</f>
        <v>555</v>
      </c>
      <c r="F256" s="3">
        <f t="shared" si="73"/>
        <v>51</v>
      </c>
      <c r="G256" s="3">
        <f t="shared" si="73"/>
        <v>135</v>
      </c>
      <c r="H256" s="371">
        <f>SUM(D256:G256)</f>
        <v>1209</v>
      </c>
    </row>
    <row r="257" spans="1:8" ht="15.6" customHeight="1" x14ac:dyDescent="0.3">
      <c r="A257" s="447" t="s">
        <v>9</v>
      </c>
      <c r="B257" s="448"/>
      <c r="C257" s="4" t="s">
        <v>3</v>
      </c>
      <c r="D257" s="22">
        <f>Balaka!P257</f>
        <v>252</v>
      </c>
      <c r="E257" s="22">
        <f>Liwonde!P257</f>
        <v>304</v>
      </c>
      <c r="F257" s="22">
        <f>Machinga!P257</f>
        <v>113</v>
      </c>
      <c r="G257" s="22">
        <f>Ntaja!P257</f>
        <v>202</v>
      </c>
      <c r="H257" s="371">
        <f>SUM(D257:G257)</f>
        <v>871</v>
      </c>
    </row>
    <row r="258" spans="1:8" x14ac:dyDescent="0.3">
      <c r="A258" s="509" t="s">
        <v>8</v>
      </c>
      <c r="B258" s="510"/>
      <c r="C258" s="4" t="s">
        <v>3</v>
      </c>
      <c r="D258" s="1">
        <f t="shared" ref="D258:H258" si="74">D257/D256</f>
        <v>0.53846153846153844</v>
      </c>
      <c r="E258" s="1">
        <f t="shared" si="74"/>
        <v>0.5477477477477477</v>
      </c>
      <c r="F258" s="1">
        <f t="shared" si="74"/>
        <v>2.215686274509804</v>
      </c>
      <c r="G258" s="2">
        <f t="shared" si="74"/>
        <v>1.4962962962962962</v>
      </c>
      <c r="H258" s="371">
        <f t="shared" si="74"/>
        <v>0.72043010752688175</v>
      </c>
    </row>
    <row r="259" spans="1:8" x14ac:dyDescent="0.3">
      <c r="A259" s="509" t="s">
        <v>7</v>
      </c>
      <c r="B259" s="510"/>
      <c r="C259" s="4" t="s">
        <v>6</v>
      </c>
      <c r="D259" s="1">
        <f t="shared" ref="D259:H259" si="75">D92/D255*100</f>
        <v>108.83054892601432</v>
      </c>
      <c r="E259" s="1">
        <f t="shared" si="75"/>
        <v>17.852975495915985</v>
      </c>
      <c r="F259" s="1">
        <f t="shared" si="75"/>
        <v>550</v>
      </c>
      <c r="G259" s="5">
        <f t="shared" si="75"/>
        <v>0</v>
      </c>
      <c r="H259" s="411">
        <f t="shared" si="75"/>
        <v>48.725868725868729</v>
      </c>
    </row>
    <row r="260" spans="1:8" ht="14.4" x14ac:dyDescent="0.3">
      <c r="A260" s="441" t="s">
        <v>5</v>
      </c>
      <c r="B260" s="442"/>
      <c r="C260" s="442"/>
      <c r="D260" s="442"/>
      <c r="E260" s="442"/>
      <c r="F260" s="442"/>
      <c r="G260" s="442"/>
      <c r="H260" s="444"/>
    </row>
    <row r="261" spans="1:8" ht="15" customHeight="1" x14ac:dyDescent="0.3">
      <c r="A261" s="447" t="s">
        <v>4</v>
      </c>
      <c r="B261" s="448"/>
      <c r="C261" s="4" t="s">
        <v>3</v>
      </c>
      <c r="D261" s="22">
        <f>Balaka!P261</f>
        <v>262</v>
      </c>
      <c r="E261" s="22">
        <f>Liwonde!P261</f>
        <v>173</v>
      </c>
      <c r="F261" s="22">
        <f>Machinga!P261</f>
        <v>212</v>
      </c>
      <c r="G261" s="22">
        <f>Ntaja!P261</f>
        <v>328</v>
      </c>
      <c r="H261" s="35">
        <f>SUM(B261:G261)</f>
        <v>975</v>
      </c>
    </row>
    <row r="262" spans="1:8" ht="15.75" customHeight="1" x14ac:dyDescent="0.3">
      <c r="A262" s="447" t="s">
        <v>2</v>
      </c>
      <c r="B262" s="448"/>
      <c r="C262" s="4" t="s">
        <v>0</v>
      </c>
      <c r="D262" s="22">
        <f>Balaka!P262</f>
        <v>269</v>
      </c>
      <c r="E262" s="22">
        <f>Liwonde!P262</f>
        <v>360</v>
      </c>
      <c r="F262" s="22">
        <f>Machinga!P262</f>
        <v>72</v>
      </c>
      <c r="G262" s="22">
        <f>Ntaja!P262</f>
        <v>43</v>
      </c>
      <c r="H262" s="35">
        <f>SUM(B262:G262)</f>
        <v>744</v>
      </c>
    </row>
    <row r="263" spans="1:8" ht="16.2" thickBot="1" x14ac:dyDescent="0.35">
      <c r="A263" s="517" t="s">
        <v>1</v>
      </c>
      <c r="B263" s="518"/>
      <c r="C263" s="104" t="s">
        <v>0</v>
      </c>
      <c r="D263" s="105">
        <f>D261/D262</f>
        <v>0.97397769516728627</v>
      </c>
      <c r="E263" s="105">
        <f t="shared" ref="E263:H263" si="76">E261/E262</f>
        <v>0.48055555555555557</v>
      </c>
      <c r="F263" s="105">
        <f t="shared" si="76"/>
        <v>2.9444444444444446</v>
      </c>
      <c r="G263" s="105">
        <f t="shared" si="76"/>
        <v>7.6279069767441863</v>
      </c>
      <c r="H263" s="367">
        <f t="shared" si="76"/>
        <v>1.310483870967742</v>
      </c>
    </row>
    <row r="265" spans="1:8" x14ac:dyDescent="0.3">
      <c r="D265" s="147"/>
      <c r="E265" s="147"/>
      <c r="F265" s="147"/>
      <c r="G265" s="147"/>
      <c r="H265" s="416"/>
    </row>
  </sheetData>
  <mergeCells count="160">
    <mergeCell ref="A260:H260"/>
    <mergeCell ref="A261:B261"/>
    <mergeCell ref="A262:B262"/>
    <mergeCell ref="A263:B263"/>
    <mergeCell ref="A254:B254"/>
    <mergeCell ref="A255:B255"/>
    <mergeCell ref="A256:B256"/>
    <mergeCell ref="A257:B257"/>
    <mergeCell ref="A258:B258"/>
    <mergeCell ref="A259:B259"/>
    <mergeCell ref="A249:B249"/>
    <mergeCell ref="A250:B250"/>
    <mergeCell ref="A251:B251"/>
    <mergeCell ref="A252:H252"/>
    <mergeCell ref="A253:B253"/>
    <mergeCell ref="A243:B243"/>
    <mergeCell ref="A244:H244"/>
    <mergeCell ref="A245:B245"/>
    <mergeCell ref="A246:B246"/>
    <mergeCell ref="A247:B247"/>
    <mergeCell ref="A248:H248"/>
    <mergeCell ref="A237:H237"/>
    <mergeCell ref="A238:B238"/>
    <mergeCell ref="A239:B239"/>
    <mergeCell ref="A240:B240"/>
    <mergeCell ref="A241:B241"/>
    <mergeCell ref="A242:B242"/>
    <mergeCell ref="A231:H231"/>
    <mergeCell ref="A232:B232"/>
    <mergeCell ref="A233:B233"/>
    <mergeCell ref="A234:B234"/>
    <mergeCell ref="A235:B235"/>
    <mergeCell ref="A236:B236"/>
    <mergeCell ref="A224:H224"/>
    <mergeCell ref="A225:B225"/>
    <mergeCell ref="A226:B226"/>
    <mergeCell ref="A227:B227"/>
    <mergeCell ref="A228:B228"/>
    <mergeCell ref="A229:B229"/>
    <mergeCell ref="A218:H218"/>
    <mergeCell ref="A219:B219"/>
    <mergeCell ref="A220:B220"/>
    <mergeCell ref="A221:B221"/>
    <mergeCell ref="A222:B222"/>
    <mergeCell ref="A223:B223"/>
    <mergeCell ref="A211:H211"/>
    <mergeCell ref="A212:B212"/>
    <mergeCell ref="A213:B213"/>
    <mergeCell ref="A214:B214"/>
    <mergeCell ref="A215:B215"/>
    <mergeCell ref="A216:B216"/>
    <mergeCell ref="A205:H205"/>
    <mergeCell ref="A206:B206"/>
    <mergeCell ref="A207:B207"/>
    <mergeCell ref="A208:B208"/>
    <mergeCell ref="A209:B209"/>
    <mergeCell ref="A210:B210"/>
    <mergeCell ref="A188:A192"/>
    <mergeCell ref="A193:B193"/>
    <mergeCell ref="A194:B195"/>
    <mergeCell ref="A197:B197"/>
    <mergeCell ref="A198:H198"/>
    <mergeCell ref="A199:A203"/>
    <mergeCell ref="A150:H150"/>
    <mergeCell ref="A151:H151"/>
    <mergeCell ref="A152:A165"/>
    <mergeCell ref="A166:A175"/>
    <mergeCell ref="A176:A182"/>
    <mergeCell ref="A183:A187"/>
    <mergeCell ref="A124:H124"/>
    <mergeCell ref="A125:A129"/>
    <mergeCell ref="A130:A134"/>
    <mergeCell ref="A135:A139"/>
    <mergeCell ref="A140:A144"/>
    <mergeCell ref="A145:A149"/>
    <mergeCell ref="A117:B117"/>
    <mergeCell ref="A119:B119"/>
    <mergeCell ref="A120:H120"/>
    <mergeCell ref="A121:B121"/>
    <mergeCell ref="A122:B122"/>
    <mergeCell ref="A123:B123"/>
    <mergeCell ref="A111:B111"/>
    <mergeCell ref="A112:H112"/>
    <mergeCell ref="A113:B113"/>
    <mergeCell ref="A114:B114"/>
    <mergeCell ref="A115:B115"/>
    <mergeCell ref="A116:B116"/>
    <mergeCell ref="A105:B105"/>
    <mergeCell ref="A106:H106"/>
    <mergeCell ref="A107:B107"/>
    <mergeCell ref="A108:B108"/>
    <mergeCell ref="A109:B109"/>
    <mergeCell ref="A110:B110"/>
    <mergeCell ref="A97:H97"/>
    <mergeCell ref="A100:H100"/>
    <mergeCell ref="A101:B101"/>
    <mergeCell ref="A102:B102"/>
    <mergeCell ref="A103:B103"/>
    <mergeCell ref="A104:B104"/>
    <mergeCell ref="A66:A71"/>
    <mergeCell ref="A72:A77"/>
    <mergeCell ref="A78:A83"/>
    <mergeCell ref="A84:A89"/>
    <mergeCell ref="A90:A95"/>
    <mergeCell ref="A96:H96"/>
    <mergeCell ref="A60:B60"/>
    <mergeCell ref="A61:B61"/>
    <mergeCell ref="A62:B62"/>
    <mergeCell ref="A63:B63"/>
    <mergeCell ref="A64:H64"/>
    <mergeCell ref="A65:H65"/>
    <mergeCell ref="A53:H53"/>
    <mergeCell ref="A54:B54"/>
    <mergeCell ref="A56:B56"/>
    <mergeCell ref="A57:H57"/>
    <mergeCell ref="A58:B58"/>
    <mergeCell ref="A59:B59"/>
    <mergeCell ref="A47:B47"/>
    <mergeCell ref="A48:H48"/>
    <mergeCell ref="A49:B49"/>
    <mergeCell ref="A50:B50"/>
    <mergeCell ref="A51:B51"/>
    <mergeCell ref="A52:B52"/>
    <mergeCell ref="A41:B41"/>
    <mergeCell ref="A42:B42"/>
    <mergeCell ref="A43:H43"/>
    <mergeCell ref="A44:B44"/>
    <mergeCell ref="A45:B45"/>
    <mergeCell ref="A46:B46"/>
    <mergeCell ref="A35:A36"/>
    <mergeCell ref="B35:B36"/>
    <mergeCell ref="A37:A38"/>
    <mergeCell ref="B37:B38"/>
    <mergeCell ref="A39:A40"/>
    <mergeCell ref="B39:B40"/>
    <mergeCell ref="A27:H27"/>
    <mergeCell ref="A29:A30"/>
    <mergeCell ref="B29:B30"/>
    <mergeCell ref="A31:A32"/>
    <mergeCell ref="B31:B32"/>
    <mergeCell ref="A33:A34"/>
    <mergeCell ref="B33:B34"/>
    <mergeCell ref="A23:H23"/>
    <mergeCell ref="A24:A25"/>
    <mergeCell ref="A26:H26"/>
    <mergeCell ref="A13:B13"/>
    <mergeCell ref="A14:B14"/>
    <mergeCell ref="A15:B15"/>
    <mergeCell ref="A16:H16"/>
    <mergeCell ref="A17:B17"/>
    <mergeCell ref="A18:B18"/>
    <mergeCell ref="A7:B7"/>
    <mergeCell ref="A8:H8"/>
    <mergeCell ref="A9:B9"/>
    <mergeCell ref="A10:H10"/>
    <mergeCell ref="A11:B11"/>
    <mergeCell ref="A12:B12"/>
    <mergeCell ref="A19:B19"/>
    <mergeCell ref="A20:B20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Balaka</vt:lpstr>
      <vt:lpstr>Liwonde</vt:lpstr>
      <vt:lpstr>Machinga</vt:lpstr>
      <vt:lpstr>Ntaja</vt:lpstr>
      <vt:lpstr>Zone Monthly</vt:lpstr>
      <vt:lpstr>1st QTR</vt:lpstr>
      <vt:lpstr>2nd QTR </vt:lpstr>
      <vt:lpstr>Midyear Summary</vt:lpstr>
      <vt:lpstr>3rd QTR</vt:lpstr>
      <vt:lpstr>4th QTR</vt:lpstr>
      <vt:lpstr>Zone Annual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Mussa</dc:creator>
  <cp:lastModifiedBy>Yolanda Mkwende</cp:lastModifiedBy>
  <cp:lastPrinted>2022-08-30T11:52:10Z</cp:lastPrinted>
  <dcterms:created xsi:type="dcterms:W3CDTF">2022-06-08T08:26:11Z</dcterms:created>
  <dcterms:modified xsi:type="dcterms:W3CDTF">2026-05-08T10:13:19Z</dcterms:modified>
</cp:coreProperties>
</file>